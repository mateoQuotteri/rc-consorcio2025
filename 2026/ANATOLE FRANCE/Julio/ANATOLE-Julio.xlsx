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2026\ANATOLE FRANCE\Julio\"/>
    </mc:Choice>
  </mc:AlternateContent>
  <xr:revisionPtr revIDLastSave="0" documentId="13_ncr:1_{862CFC98-F664-479A-99B5-5D4F59802A67}" xr6:coauthVersionLast="47" xr6:coauthVersionMax="47" xr10:uidLastSave="{00000000-0000-0000-0000-000000000000}"/>
  <bookViews>
    <workbookView xWindow="-108" yWindow="-108" windowWidth="23256" windowHeight="12576" tabRatio="850" xr2:uid="{00000000-000D-0000-FFFF-FFFF00000000}"/>
  </bookViews>
  <sheets>
    <sheet name="RESUMEN" sheetId="1" r:id="rId1"/>
    <sheet name="PRORRATEO" sheetId="2" r:id="rId2"/>
    <sheet name="ANOTACIONES" sheetId="3" r:id="rId3"/>
  </sheets>
  <definedNames>
    <definedName name="_xlnm.Print_Area" localSheetId="1">PRORRATEO!$A$1:$M$35</definedName>
    <definedName name="_xlnm.Print_Area" localSheetId="0">RESUMEN!$A$1:$E$126</definedName>
  </definedNames>
  <calcPr calcId="181029"/>
</workbook>
</file>

<file path=xl/calcChain.xml><?xml version="1.0" encoding="utf-8"?>
<calcChain xmlns="http://schemas.openxmlformats.org/spreadsheetml/2006/main">
  <c r="G26" i="2" l="1"/>
  <c r="G23" i="2"/>
  <c r="G25" i="2"/>
  <c r="G31" i="2"/>
  <c r="G32" i="2"/>
  <c r="G22" i="2"/>
  <c r="G12" i="2"/>
  <c r="G9" i="2"/>
  <c r="G14" i="2"/>
  <c r="G19" i="2"/>
  <c r="G28" i="2"/>
  <c r="G11" i="2"/>
  <c r="G17" i="2"/>
  <c r="G21" i="2"/>
  <c r="G13" i="2" l="1"/>
  <c r="G10" i="2"/>
  <c r="E58" i="1"/>
  <c r="E39" i="1" l="1"/>
  <c r="G34" i="2"/>
  <c r="H31" i="2" l="1"/>
  <c r="I31" i="2" s="1"/>
  <c r="K9" i="2"/>
  <c r="K27" i="2"/>
  <c r="K28" i="2"/>
  <c r="K30" i="2"/>
  <c r="K31" i="2"/>
  <c r="K32" i="2"/>
  <c r="H27" i="2"/>
  <c r="I27" i="2" s="1"/>
  <c r="H28" i="2"/>
  <c r="I28" i="2" s="1"/>
  <c r="H29" i="2"/>
  <c r="I29" i="2" s="1"/>
  <c r="H30" i="2"/>
  <c r="I30" i="2" s="1"/>
  <c r="J10" i="2"/>
  <c r="J12" i="2"/>
  <c r="J13" i="2"/>
  <c r="J14" i="2"/>
  <c r="J15" i="2"/>
  <c r="J16" i="2"/>
  <c r="J17" i="2"/>
  <c r="J18" i="2"/>
  <c r="J19" i="2"/>
  <c r="J21" i="2"/>
  <c r="J22" i="2"/>
  <c r="J24" i="2"/>
  <c r="J25" i="2"/>
  <c r="J27" i="2"/>
  <c r="J28" i="2"/>
  <c r="J30" i="2"/>
  <c r="J31" i="2"/>
  <c r="J32" i="2"/>
  <c r="J9" i="2"/>
  <c r="H32" i="2"/>
  <c r="I32" i="2" s="1"/>
  <c r="D25" i="1"/>
  <c r="E44" i="1"/>
  <c r="E43" i="1"/>
  <c r="E29" i="2"/>
  <c r="K29" i="2" s="1"/>
  <c r="E26" i="2"/>
  <c r="J26" i="2" s="1"/>
  <c r="E23" i="2"/>
  <c r="J23" i="2" s="1"/>
  <c r="E20" i="2"/>
  <c r="J20" i="2" s="1"/>
  <c r="E11" i="2"/>
  <c r="J11" i="2" s="1"/>
  <c r="J29" i="2" l="1"/>
  <c r="E34" i="2"/>
  <c r="E45" i="1" l="1"/>
  <c r="E50" i="1"/>
  <c r="E62" i="1" l="1"/>
  <c r="E36" i="1" l="1"/>
  <c r="K10" i="2" l="1"/>
  <c r="K11" i="2"/>
  <c r="K12" i="2"/>
  <c r="K13" i="2"/>
  <c r="K14" i="2"/>
  <c r="K15" i="2"/>
  <c r="K16" i="2"/>
  <c r="K17" i="2"/>
  <c r="K18" i="2"/>
  <c r="K19" i="2"/>
  <c r="K20" i="2"/>
  <c r="K21" i="2"/>
  <c r="K22" i="2"/>
  <c r="K23" i="2"/>
  <c r="K24" i="2"/>
  <c r="K25" i="2"/>
  <c r="K26" i="2"/>
  <c r="C37" i="2" l="1"/>
  <c r="H20" i="2" l="1"/>
  <c r="A10" i="2" l="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E74" i="1" l="1"/>
  <c r="E79" i="1" s="1"/>
  <c r="B83" i="1" s="1"/>
  <c r="B106" i="1" s="1"/>
  <c r="B99" i="1" l="1"/>
  <c r="B125" i="1"/>
  <c r="B95" i="1" l="1"/>
  <c r="B108" i="1"/>
  <c r="H23" i="2" l="1"/>
  <c r="D31" i="1" l="1"/>
  <c r="L8" i="2" l="1"/>
  <c r="E32" i="1" l="1"/>
  <c r="E66" i="1" s="1"/>
  <c r="N10" i="2" l="1"/>
  <c r="N11" i="2" s="1"/>
  <c r="N12" i="2" s="1"/>
  <c r="N13" i="2" s="1"/>
  <c r="N14" i="2" s="1"/>
  <c r="N15" i="2" s="1"/>
  <c r="N16" i="2" s="1"/>
  <c r="N17" i="2" s="1"/>
  <c r="N18" i="2" s="1"/>
  <c r="N19" i="2" s="1"/>
  <c r="N20" i="2" s="1"/>
  <c r="N21" i="2" s="1"/>
  <c r="N22" i="2" s="1"/>
  <c r="N23" i="2" s="1"/>
  <c r="N24" i="2" s="1"/>
  <c r="N25" i="2" s="1"/>
  <c r="N26" i="2" s="1"/>
  <c r="N27" i="2" s="1"/>
  <c r="N28" i="2" l="1"/>
  <c r="L27" i="2"/>
  <c r="M27" i="2" s="1"/>
  <c r="B109" i="1"/>
  <c r="F34" i="2"/>
  <c r="N29" i="2" l="1"/>
  <c r="L28" i="2"/>
  <c r="M28" i="2" s="1"/>
  <c r="B93" i="1"/>
  <c r="H10" i="2"/>
  <c r="H11" i="2"/>
  <c r="H12" i="2"/>
  <c r="H13" i="2"/>
  <c r="H14" i="2"/>
  <c r="H15" i="2"/>
  <c r="H16" i="2"/>
  <c r="H17" i="2"/>
  <c r="H18" i="2"/>
  <c r="H19" i="2"/>
  <c r="H21" i="2"/>
  <c r="H22" i="2"/>
  <c r="H24" i="2"/>
  <c r="H25" i="2"/>
  <c r="H26" i="2"/>
  <c r="H9" i="2"/>
  <c r="L29" i="2" l="1"/>
  <c r="M29" i="2" s="1"/>
  <c r="N30" i="2"/>
  <c r="B84" i="1"/>
  <c r="H34" i="2"/>
  <c r="I26" i="2"/>
  <c r="I14" i="2"/>
  <c r="I25" i="2"/>
  <c r="I21" i="2"/>
  <c r="I17" i="2"/>
  <c r="I13" i="2"/>
  <c r="I22" i="2"/>
  <c r="I10" i="2"/>
  <c r="I24" i="2"/>
  <c r="I20" i="2"/>
  <c r="I16" i="2"/>
  <c r="I12" i="2"/>
  <c r="I18" i="2"/>
  <c r="I23" i="2"/>
  <c r="I19" i="2"/>
  <c r="I15" i="2"/>
  <c r="I11" i="2"/>
  <c r="I9" i="2"/>
  <c r="L9" i="2" s="1"/>
  <c r="L30" i="2" l="1"/>
  <c r="M30" i="2" s="1"/>
  <c r="N31" i="2"/>
  <c r="I34" i="2"/>
  <c r="A43" i="1"/>
  <c r="A44" i="1" s="1"/>
  <c r="N32" i="2" l="1"/>
  <c r="L31" i="2"/>
  <c r="M31" i="2" s="1"/>
  <c r="L10" i="2"/>
  <c r="L11" i="2"/>
  <c r="L12" i="2"/>
  <c r="L13" i="2"/>
  <c r="L14" i="2"/>
  <c r="L15" i="2"/>
  <c r="L16" i="2"/>
  <c r="L17" i="2"/>
  <c r="L18" i="2"/>
  <c r="L19" i="2"/>
  <c r="L20" i="2"/>
  <c r="L21" i="2"/>
  <c r="L22" i="2"/>
  <c r="L23" i="2"/>
  <c r="L24" i="2"/>
  <c r="L25" i="2"/>
  <c r="L26" i="2"/>
  <c r="L32" i="2" l="1"/>
  <c r="M32" i="2" s="1"/>
  <c r="L34" i="2"/>
  <c r="M26" i="2"/>
  <c r="M22" i="2"/>
  <c r="M18" i="2"/>
  <c r="M14" i="2"/>
  <c r="M10" i="2"/>
  <c r="M9" i="2"/>
  <c r="M25" i="2"/>
  <c r="M21" i="2"/>
  <c r="M17" i="2"/>
  <c r="M13" i="2"/>
  <c r="M24" i="2"/>
  <c r="M20" i="2"/>
  <c r="M16" i="2"/>
  <c r="M12" i="2"/>
  <c r="M23" i="2"/>
  <c r="M19" i="2"/>
  <c r="M15" i="2"/>
  <c r="M11" i="2"/>
  <c r="J34" i="2"/>
  <c r="M34" i="2" l="1"/>
  <c r="K34" i="2" l="1"/>
  <c r="B82" i="1" l="1"/>
  <c r="B105" i="1" s="1"/>
  <c r="B110" i="1" l="1"/>
  <c r="B98" i="1"/>
  <c r="B100" i="1" s="1"/>
  <c r="B81" i="1"/>
</calcChain>
</file>

<file path=xl/sharedStrings.xml><?xml version="1.0" encoding="utf-8"?>
<sst xmlns="http://schemas.openxmlformats.org/spreadsheetml/2006/main" count="177" uniqueCount="170">
  <si>
    <t>LIQUIDACION DE EXPENSAS</t>
  </si>
  <si>
    <t>TOTAL SUELDO</t>
  </si>
  <si>
    <t>TOTAL IMPUESTO</t>
  </si>
  <si>
    <t>TOTAL Aportes y Contribuciones - Sindicato</t>
  </si>
  <si>
    <t>TOTAL ABONOS Y SERVICIOS</t>
  </si>
  <si>
    <t>UF</t>
  </si>
  <si>
    <t>Propietario</t>
  </si>
  <si>
    <t xml:space="preserve">Ingreso </t>
  </si>
  <si>
    <t>TOTAL</t>
  </si>
  <si>
    <t>GASTOS ORDINARIOS UNIDADES FUNCIONALES:</t>
  </si>
  <si>
    <t xml:space="preserve"> (%)</t>
  </si>
  <si>
    <t>GASTOS BANCARIOS</t>
  </si>
  <si>
    <t xml:space="preserve">TOTAL ORDINARIOS </t>
  </si>
  <si>
    <t>GASTOS ORDINARIOS + PREVISION :</t>
  </si>
  <si>
    <t>GASTOS ORDINARIOS SIN PREVISION:</t>
  </si>
  <si>
    <t xml:space="preserve">TOTAL </t>
  </si>
  <si>
    <t>APORTES Y CONTRIBUCIONES</t>
  </si>
  <si>
    <t>ABONOS Y SERVICIOS</t>
  </si>
  <si>
    <t>HONORARIOS</t>
  </si>
  <si>
    <t>PREVISION EXTRAORDINARIA</t>
  </si>
  <si>
    <t xml:space="preserve">TOTAL EXTRAORDINARIOS </t>
  </si>
  <si>
    <t>GASTOS EXTRAORDINARIOS SIN PREVISION:</t>
  </si>
  <si>
    <t>Egresos Ordinarios</t>
  </si>
  <si>
    <t>Egresos Extraordinarios</t>
  </si>
  <si>
    <t>Expensas ord.</t>
  </si>
  <si>
    <t>Inquilinos</t>
  </si>
  <si>
    <t>CUIT ADMINISTRACION: 27231256879</t>
  </si>
  <si>
    <t>HORARIOS DE ATENCION: LUNES A VIERNES</t>
  </si>
  <si>
    <t>Deuda o Saldo a favor</t>
  </si>
  <si>
    <t xml:space="preserve">SEGUROS </t>
  </si>
  <si>
    <t>DEPOSITOS NO IDENTIFICADOS</t>
  </si>
  <si>
    <t>HABERES ENCARGADOS</t>
  </si>
  <si>
    <t>Neto</t>
  </si>
  <si>
    <t>Total 2do Vto</t>
  </si>
  <si>
    <t>Total 1er Vto</t>
  </si>
  <si>
    <t>ADMINISTRADORA: CAROLINA CANCIANI MP:1148</t>
  </si>
  <si>
    <t>SAC</t>
  </si>
  <si>
    <t>GASTOS EXTRAORDINARIOS CON PREVISION:</t>
  </si>
  <si>
    <t xml:space="preserve">Deposito sin identificar </t>
  </si>
  <si>
    <t>Interes 3%</t>
  </si>
  <si>
    <t>Sueldo encargado Balcazza Leonardo</t>
  </si>
  <si>
    <t>GASTOS EXTRAORDINARIOS:</t>
  </si>
  <si>
    <t>Punitorios mal cobrados</t>
  </si>
  <si>
    <t xml:space="preserve">ARCA </t>
  </si>
  <si>
    <t>CAJA REAL</t>
  </si>
  <si>
    <t xml:space="preserve">Saldo Ord </t>
  </si>
  <si>
    <t xml:space="preserve">PREVISION ORDINARIA </t>
  </si>
  <si>
    <t>Egresos del mes ordinarios</t>
  </si>
  <si>
    <t>Egresos del mes extrordinarios</t>
  </si>
  <si>
    <t>Ingresos</t>
  </si>
  <si>
    <t>Ordinarios</t>
  </si>
  <si>
    <t>Pagos sin identificar</t>
  </si>
  <si>
    <t>Gastos bancarios</t>
  </si>
  <si>
    <t>Mantenimiento de cuenta</t>
  </si>
  <si>
    <t>10 A 15HS - EMERGENCIAS 24HS</t>
  </si>
  <si>
    <t>CUIT DEL EDIFICIO: 30-59335197-8</t>
  </si>
  <si>
    <t>CONSORCIO DE PROPIETARIOS ANATOLE FRANCE 1692</t>
  </si>
  <si>
    <t xml:space="preserve">Ascensores lema - Mantenimiento </t>
  </si>
  <si>
    <t>Extraordinarios:</t>
  </si>
  <si>
    <t>Expensas extraord.</t>
  </si>
  <si>
    <t>MAIL: anatolefrance1692@gmail.com</t>
  </si>
  <si>
    <t>Piso</t>
  </si>
  <si>
    <t>1C</t>
  </si>
  <si>
    <t>2C</t>
  </si>
  <si>
    <t>3C</t>
  </si>
  <si>
    <t>4C</t>
  </si>
  <si>
    <t>5C</t>
  </si>
  <si>
    <t>6C</t>
  </si>
  <si>
    <t>7C</t>
  </si>
  <si>
    <t>8C</t>
  </si>
  <si>
    <t>1B</t>
  </si>
  <si>
    <t>1A</t>
  </si>
  <si>
    <t>2B</t>
  </si>
  <si>
    <t>2A</t>
  </si>
  <si>
    <t>3B</t>
  </si>
  <si>
    <t>3A</t>
  </si>
  <si>
    <t>4B</t>
  </si>
  <si>
    <t>4A</t>
  </si>
  <si>
    <t>5B</t>
  </si>
  <si>
    <t>5A</t>
  </si>
  <si>
    <t>6B</t>
  </si>
  <si>
    <t>6A</t>
  </si>
  <si>
    <t>7B</t>
  </si>
  <si>
    <t>7A</t>
  </si>
  <si>
    <t>8B</t>
  </si>
  <si>
    <t>8A</t>
  </si>
  <si>
    <t>Vila Carlos</t>
  </si>
  <si>
    <t>Lavia M. Esther</t>
  </si>
  <si>
    <t>Pranteda Marta</t>
  </si>
  <si>
    <t>Lopardo A</t>
  </si>
  <si>
    <t>Blanco maria Ana</t>
  </si>
  <si>
    <t>Noya gabriela</t>
  </si>
  <si>
    <t>Papalepore</t>
  </si>
  <si>
    <t>Rosa</t>
  </si>
  <si>
    <t>Pranteda A</t>
  </si>
  <si>
    <t>Folini A</t>
  </si>
  <si>
    <t>Ballestero A.O (Iris)</t>
  </si>
  <si>
    <t>Nouche Betty</t>
  </si>
  <si>
    <t>Lopez H.</t>
  </si>
  <si>
    <t>De Rodriguez F. (Javier)</t>
  </si>
  <si>
    <t>Lugea Norma</t>
  </si>
  <si>
    <t>Varela Noemi</t>
  </si>
  <si>
    <t>Muñoz Alicia</t>
  </si>
  <si>
    <t>TOTALES</t>
  </si>
  <si>
    <t>Datos Bancarios: Banco Santander  - Alias: ANATOLEFRANCE.1692 - CBU: 0720054020000002108836</t>
  </si>
  <si>
    <t>Debito</t>
  </si>
  <si>
    <t>Edesur</t>
  </si>
  <si>
    <t>AySa</t>
  </si>
  <si>
    <t>Suthery</t>
  </si>
  <si>
    <t>Seracarh</t>
  </si>
  <si>
    <t>Fathery</t>
  </si>
  <si>
    <t>Honorarios Sr. Encargado Roberto Sanchez</t>
  </si>
  <si>
    <t>Descuentos</t>
  </si>
  <si>
    <t>Redondeo</t>
  </si>
  <si>
    <t>Laura</t>
  </si>
  <si>
    <t>Hugo</t>
  </si>
  <si>
    <t>Bianchi Jorge</t>
  </si>
  <si>
    <t xml:space="preserve">Moran Andrea </t>
  </si>
  <si>
    <t xml:space="preserve">Ferrara Zulma </t>
  </si>
  <si>
    <t xml:space="preserve">Marcote Anibal </t>
  </si>
  <si>
    <t xml:space="preserve">Ruiz NM Ines </t>
  </si>
  <si>
    <t>Carmona Maria Del Carmen Losada</t>
  </si>
  <si>
    <t>Camila Daiana Pasculi</t>
  </si>
  <si>
    <t>Nancy Beatriz Rios</t>
  </si>
  <si>
    <t>Tomas Centuri</t>
  </si>
  <si>
    <t>Soledad Evangelina Gom</t>
  </si>
  <si>
    <t>SALDO EN BANCO Y EFECTIVO</t>
  </si>
  <si>
    <t>Miguel</t>
  </si>
  <si>
    <t>Pablo Cunioli</t>
  </si>
  <si>
    <t>Montenegro Jorge</t>
  </si>
  <si>
    <t>Camila</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</si>
  <si>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</si>
  <si>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Gustavo Padron - Sr contador</t>
  </si>
  <si>
    <t xml:space="preserve">Fumigacion </t>
  </si>
  <si>
    <t>Liliana Sansoni</t>
  </si>
  <si>
    <t>Brenda Giuliano</t>
  </si>
  <si>
    <t>Martin Ayala</t>
  </si>
  <si>
    <t xml:space="preserve">Martin Russo </t>
  </si>
  <si>
    <t>RESPETAR LOS CENTAVOS AL ABONAR</t>
  </si>
  <si>
    <t>Leonardo y Dario</t>
  </si>
  <si>
    <t>Dpto:</t>
  </si>
  <si>
    <t xml:space="preserve">Nombre: </t>
  </si>
  <si>
    <t>Federacion Patronal - Seguro de consorcio</t>
  </si>
  <si>
    <t>PROVEEDORES</t>
  </si>
  <si>
    <t>Personal Flow</t>
  </si>
  <si>
    <t>Walter Martinez</t>
  </si>
  <si>
    <t>Gabriel R Mouriño</t>
  </si>
  <si>
    <t>Fracchia garcia Sebastian ezequiel</t>
  </si>
  <si>
    <t>Transf 06/05</t>
  </si>
  <si>
    <t>Transf 11/05</t>
  </si>
  <si>
    <t>Transf 12/05</t>
  </si>
  <si>
    <t>Barreiro Cristina</t>
  </si>
  <si>
    <t>Transf 04/06</t>
  </si>
  <si>
    <t>Inombiliaria Peduto - Honorarios (Sr. Vazquez Andres)</t>
  </si>
  <si>
    <t>Transf 24/06</t>
  </si>
  <si>
    <t>German Meilinger</t>
  </si>
  <si>
    <t>El total del dinero en cuenta corresponde a CAJA EXTRAORDINARIA</t>
  </si>
  <si>
    <t>Ingreso pago de expensas porteria</t>
  </si>
  <si>
    <t>VTO 17/08</t>
  </si>
  <si>
    <t>PERÍODO: JULIO</t>
  </si>
  <si>
    <t>Sindicatos mes de JULIO</t>
  </si>
  <si>
    <t>Honorarios administracion - junio - Se adeuda JULIO</t>
  </si>
  <si>
    <t>Casa Ruan - Compra de materiales electricos</t>
  </si>
  <si>
    <t>Transf 10/07</t>
  </si>
  <si>
    <t>Transf 06/07</t>
  </si>
  <si>
    <t>Mozart SRL - Recarga de matafuegos</t>
  </si>
  <si>
    <t>Transf 02/07</t>
  </si>
  <si>
    <t>Transf 29/06</t>
  </si>
  <si>
    <t>Doartero julio - Colocacion de llave de paso : Mano de obra y materiales</t>
  </si>
  <si>
    <t>Transf 21/07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</si>
</sst>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0.000"/>
  </numFmts>
  <fonts count="27"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i/>
      <u/>
      <sz val="11"/>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sz val="10"/>
      <color rgb="FFFF0000"/>
      <name val="Calibri"/>
      <family val="2"/>
      <scheme val="minor"/>
    </font>
    <font>
      <sz val="8"/>
      <color theme="1"/>
      <name val="Calibri"/>
      <family val="2"/>
      <scheme val="minor"/>
    </font>
    <font>
      <sz val="9"/>
      <name val="Calibri"/>
      <family val="2"/>
      <scheme val="minor"/>
    </font>
    <font>
      <b/>
      <sz val="16"/>
      <color theme="1"/>
      <name val="Calibri"/>
      <family val="2"/>
      <scheme val="minor"/>
    </font>
    <font>
      <b/>
      <i/>
      <sz val="11"/>
      <color theme="1"/>
      <name val="Calibri"/>
      <family val="2"/>
      <scheme val="minor"/>
    </font>
    <font>
      <sz val="10"/>
      <name val="Calibri"/>
      <family val="2"/>
      <scheme val="minor"/>
    </font>
    <font>
      <b/>
      <i/>
      <u/>
      <sz val="10"/>
      <color theme="1"/>
      <name val="Calibri"/>
      <family val="2"/>
      <scheme val="minor"/>
    </font>
    <font>
      <b/>
      <sz val="9"/>
      <color theme="1"/>
      <name val="Calibri"/>
      <family val="2"/>
      <scheme val="minor"/>
    </font>
    <font>
      <sz val="9"/>
      <color theme="0"/>
      <name val="Calibri"/>
      <family val="2"/>
      <scheme val="minor"/>
    </font>
    <font>
      <sz val="11"/>
      <color theme="0"/>
      <name val="Calibri"/>
      <family val="2"/>
      <scheme val="minor"/>
    </font>
    <font>
      <b/>
      <i/>
      <sz val="11"/>
      <name val="Calibri"/>
      <family val="2"/>
      <scheme val="minor"/>
    </font>
    <font>
      <b/>
      <sz val="14"/>
      <color theme="0"/>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6"/>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thin">
        <color indexed="64"/>
      </top>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32">
    <xf numFmtId="0" fontId="0" fillId="0" borderId="0" xfId="0"/>
    <xf numFmtId="0" fontId="0" fillId="0" borderId="16"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0" fontId="5" fillId="6" borderId="0" xfId="0" applyFont="1" applyFill="1"/>
    <xf numFmtId="164" fontId="3" fillId="0" borderId="0" xfId="0" applyNumberFormat="1" applyFont="1"/>
    <xf numFmtId="0" fontId="6" fillId="0" borderId="1" xfId="0" applyFont="1" applyBorder="1"/>
    <xf numFmtId="4" fontId="0" fillId="0" borderId="0" xfId="0" applyNumberFormat="1"/>
    <xf numFmtId="4" fontId="6" fillId="0" borderId="0" xfId="0" applyNumberFormat="1" applyFont="1"/>
    <xf numFmtId="0" fontId="6" fillId="0" borderId="1" xfId="0" applyFont="1" applyBorder="1" applyAlignment="1">
      <alignment vertical="center" wrapText="1"/>
    </xf>
    <xf numFmtId="0" fontId="7" fillId="0" borderId="1" xfId="0" applyFont="1" applyBorder="1"/>
    <xf numFmtId="0" fontId="2" fillId="4" borderId="1" xfId="0" applyFont="1" applyFill="1" applyBorder="1"/>
    <xf numFmtId="0" fontId="2" fillId="8" borderId="1" xfId="0" applyFont="1" applyFill="1" applyBorder="1"/>
    <xf numFmtId="0" fontId="2" fillId="0" borderId="1" xfId="0" applyFont="1" applyBorder="1"/>
    <xf numFmtId="0" fontId="11" fillId="2" borderId="0" xfId="0" applyFont="1" applyFill="1"/>
    <xf numFmtId="0" fontId="12" fillId="4" borderId="1" xfId="0" applyFont="1" applyFill="1" applyBorder="1"/>
    <xf numFmtId="0" fontId="13" fillId="4" borderId="1" xfId="0" applyFont="1" applyFill="1" applyBorder="1"/>
    <xf numFmtId="44" fontId="0" fillId="0" borderId="1" xfId="1" applyFont="1" applyBorder="1"/>
    <xf numFmtId="4" fontId="6" fillId="0" borderId="0" xfId="0" applyNumberFormat="1" applyFont="1" applyAlignment="1">
      <alignment wrapText="1"/>
    </xf>
    <xf numFmtId="0" fontId="0" fillId="0" borderId="0" xfId="0" applyAlignment="1">
      <alignment wrapText="1"/>
    </xf>
    <xf numFmtId="0" fontId="6" fillId="0" borderId="1" xfId="0" applyFont="1" applyBorder="1" applyAlignment="1">
      <alignment vertical="top" wrapText="1"/>
    </xf>
    <xf numFmtId="44" fontId="3" fillId="2" borderId="1" xfId="1" applyFont="1" applyFill="1" applyBorder="1"/>
    <xf numFmtId="44" fontId="0" fillId="0" borderId="0" xfId="1" applyFont="1"/>
    <xf numFmtId="44" fontId="3" fillId="0" borderId="0" xfId="1" applyFont="1"/>
    <xf numFmtId="44" fontId="0" fillId="0" borderId="0" xfId="0" applyNumberFormat="1"/>
    <xf numFmtId="0" fontId="10" fillId="6" borderId="0" xfId="0" applyFont="1" applyFill="1"/>
    <xf numFmtId="44" fontId="10" fillId="6" borderId="0" xfId="1" applyFont="1" applyFill="1"/>
    <xf numFmtId="44" fontId="0" fillId="0" borderId="0" xfId="0" applyNumberFormat="1" applyAlignment="1">
      <alignment wrapText="1"/>
    </xf>
    <xf numFmtId="44" fontId="15" fillId="2" borderId="1" xfId="1" applyFont="1" applyFill="1" applyBorder="1"/>
    <xf numFmtId="0" fontId="0" fillId="4" borderId="0" xfId="0" applyFill="1"/>
    <xf numFmtId="0" fontId="2" fillId="4" borderId="0" xfId="0" applyFont="1" applyFill="1"/>
    <xf numFmtId="0" fontId="14" fillId="0" borderId="0" xfId="0" applyFont="1"/>
    <xf numFmtId="0" fontId="2" fillId="4" borderId="3" xfId="0" applyFont="1" applyFill="1" applyBorder="1"/>
    <xf numFmtId="0" fontId="0" fillId="2" borderId="1" xfId="0" applyFill="1" applyBorder="1"/>
    <xf numFmtId="0" fontId="0" fillId="0" borderId="1" xfId="0" applyBorder="1" applyAlignment="1">
      <alignment vertical="center" wrapText="1"/>
    </xf>
    <xf numFmtId="44" fontId="0" fillId="3" borderId="0" xfId="1" applyFont="1" applyFill="1" applyAlignment="1"/>
    <xf numFmtId="0" fontId="19" fillId="10" borderId="1" xfId="0" applyFont="1" applyFill="1" applyBorder="1"/>
    <xf numFmtId="44" fontId="0" fillId="4" borderId="0" xfId="1" applyFont="1" applyFill="1"/>
    <xf numFmtId="44" fontId="8" fillId="0" borderId="1" xfId="1" applyFont="1" applyBorder="1"/>
    <xf numFmtId="44" fontId="0" fillId="3" borderId="0" xfId="1" applyFont="1" applyFill="1" applyBorder="1" applyAlignment="1">
      <alignment vertical="center"/>
    </xf>
    <xf numFmtId="0" fontId="17" fillId="3" borderId="19" xfId="0" applyFont="1" applyFill="1" applyBorder="1" applyAlignment="1">
      <alignment horizontal="center" vertical="center" wrapText="1"/>
    </xf>
    <xf numFmtId="0" fontId="2" fillId="4" borderId="1" xfId="0" applyFont="1" applyFill="1" applyBorder="1" applyAlignment="1">
      <alignment wrapText="1"/>
    </xf>
    <xf numFmtId="44" fontId="6" fillId="5" borderId="11" xfId="0" applyNumberFormat="1" applyFont="1" applyFill="1" applyBorder="1"/>
    <xf numFmtId="0" fontId="6" fillId="3" borderId="15" xfId="0" applyFont="1" applyFill="1" applyBorder="1"/>
    <xf numFmtId="0" fontId="6" fillId="3" borderId="0" xfId="0" applyFont="1" applyFill="1"/>
    <xf numFmtId="0" fontId="6" fillId="3" borderId="17" xfId="0" applyFont="1" applyFill="1" applyBorder="1"/>
    <xf numFmtId="0" fontId="2" fillId="3" borderId="10" xfId="0" applyFont="1" applyFill="1" applyBorder="1" applyAlignment="1">
      <alignment horizontal="left"/>
    </xf>
    <xf numFmtId="0" fontId="6" fillId="7" borderId="9" xfId="0" applyFont="1" applyFill="1" applyBorder="1"/>
    <xf numFmtId="44" fontId="6" fillId="7" borderId="11" xfId="0" applyNumberFormat="1" applyFont="1" applyFill="1" applyBorder="1"/>
    <xf numFmtId="0" fontId="4" fillId="0" borderId="1" xfId="0" applyFont="1" applyBorder="1"/>
    <xf numFmtId="44" fontId="11" fillId="4" borderId="20" xfId="1" applyFont="1" applyFill="1" applyBorder="1"/>
    <xf numFmtId="0" fontId="20" fillId="0" borderId="1" xfId="1" applyNumberFormat="1" applyFont="1" applyBorder="1" applyAlignment="1">
      <alignment horizontal="left"/>
    </xf>
    <xf numFmtId="0" fontId="0" fillId="0" borderId="6" xfId="0" applyBorder="1" applyAlignment="1">
      <alignment horizontal="left" vertical="center" wrapText="1"/>
    </xf>
    <xf numFmtId="44" fontId="4" fillId="2" borderId="6" xfId="1" applyFont="1" applyFill="1" applyBorder="1"/>
    <xf numFmtId="0" fontId="0" fillId="0" borderId="24" xfId="0" applyBorder="1" applyAlignment="1">
      <alignment horizontal="left" vertical="center" wrapText="1"/>
    </xf>
    <xf numFmtId="44" fontId="20" fillId="2" borderId="1" xfId="1" applyFont="1" applyFill="1" applyBorder="1"/>
    <xf numFmtId="8" fontId="8" fillId="4" borderId="21" xfId="0" applyNumberFormat="1" applyFont="1" applyFill="1" applyBorder="1"/>
    <xf numFmtId="0" fontId="20" fillId="0" borderId="4" xfId="0" applyFont="1" applyBorder="1"/>
    <xf numFmtId="0" fontId="8" fillId="8" borderId="6" xfId="0" applyFont="1" applyFill="1" applyBorder="1"/>
    <xf numFmtId="44" fontId="11" fillId="8" borderId="13" xfId="1" applyFont="1" applyFill="1" applyBorder="1"/>
    <xf numFmtId="0" fontId="4" fillId="0" borderId="0" xfId="0" applyFont="1"/>
    <xf numFmtId="0" fontId="20" fillId="0" borderId="17" xfId="0" applyFont="1" applyBorder="1"/>
    <xf numFmtId="0" fontId="8" fillId="5" borderId="10" xfId="0" applyFont="1" applyFill="1" applyBorder="1"/>
    <xf numFmtId="44" fontId="11" fillId="5" borderId="11" xfId="0" applyNumberFormat="1" applyFont="1" applyFill="1" applyBorder="1"/>
    <xf numFmtId="0" fontId="4" fillId="5" borderId="12" xfId="0" applyFont="1" applyFill="1" applyBorder="1"/>
    <xf numFmtId="0" fontId="4" fillId="5" borderId="15" xfId="0" applyFont="1" applyFill="1" applyBorder="1"/>
    <xf numFmtId="44" fontId="0" fillId="0" borderId="0" xfId="1" applyFont="1" applyBorder="1"/>
    <xf numFmtId="0" fontId="3" fillId="0" borderId="1" xfId="0" applyFont="1" applyBorder="1" applyAlignment="1">
      <alignment vertical="center" wrapText="1"/>
    </xf>
    <xf numFmtId="44" fontId="10" fillId="6" borderId="0" xfId="0" applyNumberFormat="1" applyFont="1" applyFill="1"/>
    <xf numFmtId="44" fontId="3" fillId="0" borderId="1" xfId="1" applyFont="1" applyBorder="1" applyAlignment="1">
      <alignment vertical="center" wrapText="1"/>
    </xf>
    <xf numFmtId="0" fontId="6" fillId="0" borderId="1" xfId="0" applyFont="1" applyBorder="1" applyAlignment="1">
      <alignment horizontal="left" vertical="center" wrapText="1"/>
    </xf>
    <xf numFmtId="0" fontId="0" fillId="2" borderId="0" xfId="0" applyFill="1"/>
    <xf numFmtId="44" fontId="6" fillId="6" borderId="1" xfId="1" applyFont="1" applyFill="1" applyBorder="1"/>
    <xf numFmtId="166" fontId="0" fillId="0" borderId="0" xfId="0" applyNumberFormat="1"/>
    <xf numFmtId="167" fontId="0" fillId="0" borderId="0" xfId="0" applyNumberFormat="1"/>
    <xf numFmtId="44" fontId="9" fillId="2" borderId="6" xfId="1" applyFont="1" applyFill="1" applyBorder="1"/>
    <xf numFmtId="166" fontId="0" fillId="3" borderId="0" xfId="1" applyNumberFormat="1" applyFont="1" applyFill="1" applyAlignment="1"/>
    <xf numFmtId="0" fontId="10" fillId="6" borderId="2" xfId="0" applyFont="1" applyFill="1" applyBorder="1"/>
    <xf numFmtId="0" fontId="0" fillId="0" borderId="0" xfId="0" applyAlignment="1">
      <alignment horizontal="left" vertical="center" wrapText="1"/>
    </xf>
    <xf numFmtId="0" fontId="2" fillId="11" borderId="29" xfId="0" applyFont="1" applyFill="1" applyBorder="1" applyAlignment="1">
      <alignment horizontal="left" vertical="center" wrapText="1"/>
    </xf>
    <xf numFmtId="44" fontId="2" fillId="11" borderId="27" xfId="1" applyFont="1" applyFill="1" applyBorder="1" applyAlignment="1">
      <alignment horizontal="left" vertical="center" wrapText="1"/>
    </xf>
    <xf numFmtId="44" fontId="0" fillId="0" borderId="1" xfId="0" applyNumberFormat="1" applyBorder="1" applyAlignment="1">
      <alignment vertical="center" wrapText="1"/>
    </xf>
    <xf numFmtId="44" fontId="0" fillId="0" borderId="1" xfId="1" applyFont="1" applyBorder="1" applyAlignment="1">
      <alignment vertical="center" wrapText="1"/>
    </xf>
    <xf numFmtId="43" fontId="0" fillId="0" borderId="0" xfId="0" applyNumberFormat="1"/>
    <xf numFmtId="0" fontId="0" fillId="10" borderId="1" xfId="0" applyFill="1" applyBorder="1"/>
    <xf numFmtId="8" fontId="6" fillId="4" borderId="20" xfId="1" applyNumberFormat="1" applyFont="1" applyFill="1" applyBorder="1"/>
    <xf numFmtId="44" fontId="21" fillId="4" borderId="3" xfId="1" applyFont="1" applyFill="1" applyBorder="1"/>
    <xf numFmtId="44" fontId="6" fillId="4" borderId="1" xfId="1" applyFont="1" applyFill="1" applyBorder="1"/>
    <xf numFmtId="44" fontId="6" fillId="4" borderId="20" xfId="1" applyFont="1" applyFill="1" applyBorder="1"/>
    <xf numFmtId="0" fontId="0" fillId="4" borderId="1" xfId="0" applyFill="1" applyBorder="1"/>
    <xf numFmtId="44" fontId="3" fillId="4" borderId="3" xfId="1" applyFont="1" applyFill="1" applyBorder="1"/>
    <xf numFmtId="44" fontId="6" fillId="4" borderId="13" xfId="1" applyFont="1" applyFill="1" applyBorder="1"/>
    <xf numFmtId="44" fontId="6" fillId="4" borderId="2" xfId="1" applyFont="1" applyFill="1" applyBorder="1"/>
    <xf numFmtId="44" fontId="3" fillId="2" borderId="3" xfId="1" applyFont="1" applyFill="1" applyBorder="1"/>
    <xf numFmtId="0" fontId="0" fillId="0" borderId="7" xfId="0" applyBorder="1" applyAlignment="1">
      <alignment horizontal="left" vertical="center" wrapText="1"/>
    </xf>
    <xf numFmtId="0" fontId="20" fillId="2" borderId="1" xfId="0" applyFont="1" applyFill="1" applyBorder="1"/>
    <xf numFmtId="0" fontId="20" fillId="2" borderId="1" xfId="1" applyNumberFormat="1" applyFont="1" applyFill="1" applyBorder="1" applyAlignment="1"/>
    <xf numFmtId="0" fontId="20" fillId="2" borderId="2" xfId="1" applyNumberFormat="1" applyFont="1" applyFill="1" applyBorder="1" applyAlignment="1"/>
    <xf numFmtId="0" fontId="0" fillId="0" borderId="6" xfId="0" applyBorder="1" applyAlignment="1">
      <alignment horizontal="left" vertical="center"/>
    </xf>
    <xf numFmtId="168" fontId="0" fillId="3" borderId="0" xfId="0" applyNumberFormat="1" applyFill="1"/>
    <xf numFmtId="166" fontId="0" fillId="2" borderId="0" xfId="1" applyNumberFormat="1" applyFont="1" applyFill="1" applyAlignment="1"/>
    <xf numFmtId="16" fontId="20" fillId="2" borderId="1" xfId="0" applyNumberFormat="1" applyFont="1" applyFill="1" applyBorder="1"/>
    <xf numFmtId="0" fontId="14" fillId="0" borderId="1" xfId="0" applyFont="1" applyBorder="1"/>
    <xf numFmtId="0" fontId="14" fillId="0" borderId="1" xfId="0" applyFont="1" applyBorder="1" applyAlignment="1">
      <alignment horizontal="center"/>
    </xf>
    <xf numFmtId="44" fontId="17" fillId="0" borderId="1" xfId="1" applyFont="1" applyBorder="1"/>
    <xf numFmtId="165" fontId="14" fillId="0" borderId="1" xfId="0" applyNumberFormat="1" applyFont="1" applyBorder="1"/>
    <xf numFmtId="165" fontId="14" fillId="0" borderId="1" xfId="1" applyNumberFormat="1" applyFont="1" applyBorder="1"/>
    <xf numFmtId="165" fontId="14" fillId="0" borderId="6" xfId="1" applyNumberFormat="1" applyFont="1" applyBorder="1"/>
    <xf numFmtId="44" fontId="17" fillId="0" borderId="26" xfId="1" applyFont="1" applyBorder="1"/>
    <xf numFmtId="44" fontId="17" fillId="0" borderId="28" xfId="1" applyFont="1" applyBorder="1"/>
    <xf numFmtId="0" fontId="14" fillId="0" borderId="1" xfId="0" applyFont="1" applyBorder="1" applyAlignment="1">
      <alignment wrapText="1"/>
    </xf>
    <xf numFmtId="0" fontId="14" fillId="2" borderId="1" xfId="0" applyFont="1" applyFill="1" applyBorder="1"/>
    <xf numFmtId="0" fontId="14" fillId="2" borderId="1" xfId="0" applyFont="1" applyFill="1" applyBorder="1" applyAlignment="1">
      <alignment wrapText="1"/>
    </xf>
    <xf numFmtId="44" fontId="17" fillId="2" borderId="1" xfId="1" applyFont="1" applyFill="1" applyBorder="1"/>
    <xf numFmtId="44" fontId="17" fillId="0" borderId="2" xfId="1" applyFont="1" applyBorder="1"/>
    <xf numFmtId="44" fontId="17" fillId="2" borderId="2" xfId="1" applyFont="1" applyFill="1" applyBorder="1"/>
    <xf numFmtId="0" fontId="14" fillId="0" borderId="22" xfId="0" applyFont="1" applyBorder="1"/>
    <xf numFmtId="0" fontId="14" fillId="0" borderId="2" xfId="0" applyFont="1" applyBorder="1"/>
    <xf numFmtId="0" fontId="14" fillId="0" borderId="2" xfId="0" applyFont="1" applyBorder="1" applyAlignment="1">
      <alignment wrapText="1"/>
    </xf>
    <xf numFmtId="0" fontId="14" fillId="4" borderId="13" xfId="0" applyFont="1" applyFill="1" applyBorder="1"/>
    <xf numFmtId="44" fontId="14" fillId="4" borderId="13" xfId="0" applyNumberFormat="1" applyFont="1" applyFill="1" applyBorder="1"/>
    <xf numFmtId="165" fontId="14" fillId="4" borderId="13" xfId="0" applyNumberFormat="1" applyFont="1" applyFill="1" applyBorder="1"/>
    <xf numFmtId="166" fontId="14" fillId="4" borderId="13" xfId="0" applyNumberFormat="1" applyFont="1" applyFill="1" applyBorder="1"/>
    <xf numFmtId="44" fontId="14" fillId="4" borderId="20" xfId="0" applyNumberFormat="1" applyFont="1" applyFill="1" applyBorder="1"/>
    <xf numFmtId="169" fontId="14" fillId="0" borderId="1" xfId="0" applyNumberFormat="1" applyFont="1" applyBorder="1" applyAlignment="1">
      <alignment horizontal="center"/>
    </xf>
    <xf numFmtId="169" fontId="14" fillId="2" borderId="1" xfId="0" applyNumberFormat="1" applyFont="1" applyFill="1" applyBorder="1" applyAlignment="1">
      <alignment horizontal="center"/>
    </xf>
    <xf numFmtId="0" fontId="17" fillId="0" borderId="2" xfId="1" applyNumberFormat="1" applyFont="1" applyBorder="1"/>
    <xf numFmtId="169" fontId="14" fillId="4" borderId="13" xfId="0" applyNumberFormat="1" applyFont="1" applyFill="1" applyBorder="1" applyAlignment="1">
      <alignment horizontal="center"/>
    </xf>
    <xf numFmtId="44" fontId="24" fillId="6" borderId="2" xfId="1" applyFont="1" applyFill="1" applyBorder="1"/>
    <xf numFmtId="0" fontId="2" fillId="8" borderId="30" xfId="0" applyFont="1" applyFill="1" applyBorder="1"/>
    <xf numFmtId="0" fontId="2" fillId="8" borderId="31" xfId="0" applyFont="1" applyFill="1" applyBorder="1"/>
    <xf numFmtId="0" fontId="2" fillId="8" borderId="32" xfId="0" applyFont="1" applyFill="1" applyBorder="1"/>
    <xf numFmtId="44" fontId="0" fillId="3" borderId="0" xfId="1" applyFont="1" applyFill="1"/>
    <xf numFmtId="0" fontId="17" fillId="3" borderId="18" xfId="0" applyFont="1" applyFill="1" applyBorder="1" applyAlignment="1">
      <alignment horizontal="center" vertical="center" wrapText="1"/>
    </xf>
    <xf numFmtId="0" fontId="23" fillId="2" borderId="1" xfId="0" applyFont="1" applyFill="1" applyBorder="1"/>
    <xf numFmtId="0" fontId="14" fillId="2" borderId="7" xfId="0" applyFont="1" applyFill="1" applyBorder="1"/>
    <xf numFmtId="0" fontId="14" fillId="2" borderId="1" xfId="0" applyFont="1" applyFill="1" applyBorder="1" applyAlignment="1">
      <alignment vertical="center" wrapText="1"/>
    </xf>
    <xf numFmtId="0" fontId="14" fillId="2" borderId="22" xfId="0" applyFont="1" applyFill="1" applyBorder="1"/>
    <xf numFmtId="0" fontId="14" fillId="2" borderId="2" xfId="0" applyFont="1" applyFill="1" applyBorder="1"/>
    <xf numFmtId="0" fontId="14" fillId="2" borderId="2" xfId="0" applyFont="1" applyFill="1" applyBorder="1" applyAlignment="1">
      <alignment wrapText="1"/>
    </xf>
    <xf numFmtId="44" fontId="9" fillId="0" borderId="1" xfId="0" applyNumberFormat="1" applyFont="1" applyBorder="1" applyAlignment="1">
      <alignment vertical="center" wrapText="1"/>
    </xf>
    <xf numFmtId="8" fontId="4" fillId="2" borderId="1" xfId="0" applyNumberFormat="1" applyFont="1" applyFill="1" applyBorder="1"/>
    <xf numFmtId="8" fontId="25" fillId="10" borderId="1" xfId="0" applyNumberFormat="1" applyFont="1" applyFill="1" applyBorder="1"/>
    <xf numFmtId="8" fontId="4" fillId="2" borderId="6" xfId="0" applyNumberFormat="1" applyFont="1" applyFill="1" applyBorder="1"/>
    <xf numFmtId="8" fontId="25" fillId="10" borderId="6" xfId="0" applyNumberFormat="1" applyFont="1" applyFill="1" applyBorder="1"/>
    <xf numFmtId="8" fontId="8" fillId="4" borderId="6" xfId="0" applyNumberFormat="1" applyFont="1" applyFill="1" applyBorder="1"/>
    <xf numFmtId="8" fontId="12" fillId="4" borderId="1" xfId="0" applyNumberFormat="1" applyFont="1" applyFill="1" applyBorder="1"/>
    <xf numFmtId="44" fontId="8" fillId="4" borderId="6" xfId="1" applyFont="1" applyFill="1" applyBorder="1"/>
    <xf numFmtId="44" fontId="8" fillId="4" borderId="1" xfId="1" applyFont="1" applyFill="1" applyBorder="1"/>
    <xf numFmtId="44" fontId="4" fillId="2" borderId="1" xfId="1" applyFont="1" applyFill="1" applyBorder="1" applyAlignment="1">
      <alignment wrapText="1"/>
    </xf>
    <xf numFmtId="44" fontId="4" fillId="4" borderId="1" xfId="1" applyFont="1" applyFill="1" applyBorder="1"/>
    <xf numFmtId="44" fontId="4" fillId="2" borderId="1" xfId="1" applyFont="1" applyFill="1" applyBorder="1"/>
    <xf numFmtId="44" fontId="4" fillId="4" borderId="6" xfId="1" applyFont="1" applyFill="1" applyBorder="1"/>
    <xf numFmtId="44" fontId="8" fillId="4" borderId="6" xfId="1" applyFont="1" applyFill="1" applyBorder="1" applyAlignment="1">
      <alignment horizontal="center"/>
    </xf>
    <xf numFmtId="0" fontId="0" fillId="0" borderId="12" xfId="0" applyBorder="1"/>
    <xf numFmtId="0" fontId="0" fillId="0" borderId="15" xfId="0" applyBorder="1"/>
    <xf numFmtId="0" fontId="0" fillId="0" borderId="17" xfId="0" applyBorder="1"/>
    <xf numFmtId="0" fontId="0" fillId="2" borderId="16" xfId="0" applyFill="1" applyBorder="1"/>
    <xf numFmtId="0" fontId="0" fillId="0" borderId="6" xfId="0" applyBorder="1"/>
    <xf numFmtId="0" fontId="0" fillId="0" borderId="7" xfId="0" applyBorder="1"/>
    <xf numFmtId="44" fontId="2" fillId="8" borderId="11" xfId="1" applyFont="1" applyFill="1" applyBorder="1" applyAlignment="1">
      <alignment vertical="center"/>
    </xf>
    <xf numFmtId="0" fontId="0" fillId="12" borderId="14" xfId="0" applyFill="1" applyBorder="1"/>
    <xf numFmtId="0" fontId="0" fillId="12" borderId="12" xfId="0" applyFill="1" applyBorder="1"/>
    <xf numFmtId="0" fontId="0" fillId="12" borderId="16" xfId="0" applyFill="1" applyBorder="1"/>
    <xf numFmtId="0" fontId="0" fillId="12" borderId="0" xfId="0" applyFill="1"/>
    <xf numFmtId="0" fontId="17" fillId="0" borderId="1" xfId="1" applyNumberFormat="1" applyFont="1" applyBorder="1"/>
    <xf numFmtId="44" fontId="3" fillId="0" borderId="1" xfId="1" applyFont="1" applyBorder="1" applyAlignment="1">
      <alignment wrapText="1"/>
    </xf>
    <xf numFmtId="44" fontId="4" fillId="0" borderId="1" xfId="0" applyNumberFormat="1" applyFont="1" applyBorder="1" applyAlignment="1">
      <alignment vertical="center" wrapText="1"/>
    </xf>
    <xf numFmtId="0" fontId="18" fillId="9" borderId="0" xfId="0" applyFont="1" applyFill="1" applyAlignment="1">
      <alignment horizontal="center"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6" fillId="3" borderId="12" xfId="0" applyFont="1"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27" xfId="0" applyFont="1" applyFill="1" applyBorder="1" applyAlignment="1">
      <alignment horizontal="left" vertical="center" wrapText="1"/>
    </xf>
    <xf numFmtId="0" fontId="2" fillId="7" borderId="0" xfId="0" applyFont="1" applyFill="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2" fillId="9" borderId="0" xfId="0" applyFont="1" applyFill="1" applyAlignment="1">
      <alignment horizontal="center" vertical="center" wrapText="1"/>
    </xf>
    <xf numFmtId="0" fontId="10" fillId="6" borderId="0" xfId="0" applyFont="1" applyFill="1" applyAlignment="1">
      <alignment horizontal="center" vertical="center"/>
    </xf>
    <xf numFmtId="0" fontId="26" fillId="6" borderId="33" xfId="0" applyFont="1" applyFill="1" applyBorder="1" applyAlignment="1">
      <alignment horizontal="left" vertical="center" wrapText="1"/>
    </xf>
    <xf numFmtId="0" fontId="26" fillId="6" borderId="0" xfId="0" applyFont="1" applyFill="1" applyAlignment="1">
      <alignment horizontal="left" vertical="center" wrapText="1"/>
    </xf>
    <xf numFmtId="0" fontId="26" fillId="6" borderId="8" xfId="0" applyFont="1" applyFill="1" applyBorder="1" applyAlignment="1">
      <alignment horizontal="left" vertical="center" wrapText="1"/>
    </xf>
    <xf numFmtId="0" fontId="14" fillId="3" borderId="18" xfId="0" applyFont="1" applyFill="1" applyBorder="1" applyAlignment="1">
      <alignment horizontal="center" vertical="center"/>
    </xf>
    <xf numFmtId="0" fontId="14" fillId="3" borderId="19" xfId="0" applyFont="1" applyFill="1" applyBorder="1" applyAlignment="1">
      <alignment horizontal="center" vertical="center"/>
    </xf>
    <xf numFmtId="0" fontId="14" fillId="0" borderId="25" xfId="0" applyFont="1" applyBorder="1" applyAlignment="1">
      <alignment horizontal="left"/>
    </xf>
    <xf numFmtId="0" fontId="14" fillId="0" borderId="22" xfId="0" applyFont="1" applyBorder="1" applyAlignment="1">
      <alignment horizontal="left"/>
    </xf>
    <xf numFmtId="0" fontId="22" fillId="4" borderId="8" xfId="0" applyFont="1" applyFill="1" applyBorder="1" applyAlignment="1">
      <alignment horizontal="left"/>
    </xf>
    <xf numFmtId="0" fontId="22" fillId="4" borderId="27" xfId="0" applyFont="1" applyFill="1" applyBorder="1" applyAlignment="1">
      <alignment horizontal="left"/>
    </xf>
    <xf numFmtId="0" fontId="17" fillId="3" borderId="18" xfId="0" applyFont="1" applyFill="1" applyBorder="1" applyAlignment="1">
      <alignment horizontal="center" vertical="center" wrapText="1"/>
    </xf>
    <xf numFmtId="0" fontId="0" fillId="3" borderId="0" xfId="0" applyFill="1" applyAlignment="1">
      <alignment horizontal="left"/>
    </xf>
    <xf numFmtId="0" fontId="14" fillId="3" borderId="18" xfId="0" applyFont="1" applyFill="1" applyBorder="1" applyAlignment="1">
      <alignment horizontal="center" vertical="center" wrapText="1"/>
    </xf>
    <xf numFmtId="0" fontId="14" fillId="3" borderId="19" xfId="0" applyFont="1" applyFill="1" applyBorder="1" applyAlignment="1">
      <alignment horizontal="center" vertical="center" wrapText="1"/>
    </xf>
    <xf numFmtId="0" fontId="16" fillId="3" borderId="18" xfId="0" applyFont="1" applyFill="1" applyBorder="1" applyAlignment="1">
      <alignment horizontal="center" vertical="center" wrapText="1"/>
    </xf>
    <xf numFmtId="0" fontId="16" fillId="3" borderId="19" xfId="0" applyFont="1" applyFill="1" applyBorder="1" applyAlignment="1">
      <alignment horizontal="center" vertical="center" wrapText="1"/>
    </xf>
    <xf numFmtId="0" fontId="14" fillId="3" borderId="16" xfId="0" applyFont="1" applyFill="1" applyBorder="1" applyAlignment="1">
      <alignment horizontal="center" vertical="center" wrapText="1"/>
    </xf>
    <xf numFmtId="0" fontId="14" fillId="3" borderId="23" xfId="0" applyFont="1" applyFill="1" applyBorder="1" applyAlignment="1">
      <alignment horizontal="center" vertical="center" wrapText="1"/>
    </xf>
    <xf numFmtId="0" fontId="18" fillId="9" borderId="14" xfId="0" applyFont="1" applyFill="1" applyBorder="1" applyAlignment="1">
      <alignment horizontal="center" vertical="center"/>
    </xf>
    <xf numFmtId="0" fontId="18" fillId="9" borderId="12" xfId="0" applyFont="1" applyFill="1" applyBorder="1" applyAlignment="1">
      <alignment horizontal="center" vertical="center"/>
    </xf>
    <xf numFmtId="0" fontId="18" fillId="9" borderId="15" xfId="0" applyFont="1" applyFill="1" applyBorder="1" applyAlignment="1">
      <alignment horizontal="center" vertical="center"/>
    </xf>
    <xf numFmtId="0" fontId="18" fillId="9" borderId="16" xfId="0" applyFont="1" applyFill="1" applyBorder="1" applyAlignment="1">
      <alignment horizontal="center" vertical="center"/>
    </xf>
    <xf numFmtId="0" fontId="18" fillId="9" borderId="17" xfId="0" applyFont="1" applyFill="1" applyBorder="1" applyAlignment="1">
      <alignment horizontal="center" vertical="center"/>
    </xf>
    <xf numFmtId="0" fontId="18" fillId="9" borderId="29" xfId="0" applyFont="1" applyFill="1" applyBorder="1" applyAlignment="1">
      <alignment horizontal="center" vertical="center"/>
    </xf>
    <xf numFmtId="0" fontId="18" fillId="9" borderId="8" xfId="0" applyFont="1" applyFill="1" applyBorder="1" applyAlignment="1">
      <alignment horizontal="center" vertical="center"/>
    </xf>
    <xf numFmtId="0" fontId="18" fillId="9" borderId="27" xfId="0" applyFont="1" applyFill="1" applyBorder="1" applyAlignment="1">
      <alignment horizontal="center" vertical="center"/>
    </xf>
    <xf numFmtId="0" fontId="0" fillId="0" borderId="16" xfId="0" applyBorder="1" applyAlignment="1">
      <alignment horizontal="left" vertical="center" wrapText="1"/>
    </xf>
    <xf numFmtId="0" fontId="0" fillId="0" borderId="0" xfId="0" applyAlignment="1">
      <alignment horizontal="left" vertical="center" wrapText="1"/>
    </xf>
    <xf numFmtId="0" fontId="0" fillId="0" borderId="17" xfId="0" applyBorder="1" applyAlignment="1">
      <alignment horizontal="left" vertical="center" wrapText="1"/>
    </xf>
    <xf numFmtId="0" fontId="0" fillId="0" borderId="29" xfId="0" applyBorder="1" applyAlignment="1">
      <alignment horizontal="left" vertical="center" wrapText="1"/>
    </xf>
    <xf numFmtId="0" fontId="0" fillId="0" borderId="8" xfId="0" applyBorder="1" applyAlignment="1">
      <alignment horizontal="left" vertical="center" wrapText="1"/>
    </xf>
    <xf numFmtId="0" fontId="0" fillId="0" borderId="27" xfId="0" applyBorder="1" applyAlignment="1">
      <alignment horizontal="left" vertical="center" wrapText="1"/>
    </xf>
    <xf numFmtId="44" fontId="9" fillId="2" borderId="1" xfId="1" applyFont="1" applyFill="1" applyBorder="1"/>
    <xf numFmtId="8" fontId="9" fillId="2" borderId="1" xfId="0" applyNumberFormat="1" applyFont="1" applyFill="1" applyBorder="1" applyAlignment="1">
      <alignment horizontal="right"/>
    </xf>
    <xf numFmtId="44" fontId="9" fillId="0" borderId="1" xfId="1" applyFont="1" applyBorder="1"/>
    <xf numFmtId="8" fontId="9" fillId="2" borderId="1" xfId="0" applyNumberFormat="1" applyFont="1" applyFill="1" applyBorder="1"/>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47625</xdr:rowOff>
    </xdr:from>
    <xdr:to>
      <xdr:col>0</xdr:col>
      <xdr:colOff>2247900</xdr:colOff>
      <xdr:row>2</xdr:row>
      <xdr:rowOff>742950</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247650"/>
          <a:ext cx="2162175" cy="107632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30"/>
  <sheetViews>
    <sheetView tabSelected="1" topLeftCell="A40" zoomScale="98" zoomScaleNormal="98" workbookViewId="0">
      <selection activeCell="D48" sqref="D48"/>
    </sheetView>
  </sheetViews>
  <sheetFormatPr baseColWidth="10" defaultColWidth="10.88671875" defaultRowHeight="14.4" x14ac:dyDescent="0.3"/>
  <cols>
    <col min="1" max="1" width="37.5546875" customWidth="1"/>
    <col min="2" max="2" width="31.6640625" customWidth="1"/>
    <col min="3" max="3" width="0.109375" customWidth="1"/>
    <col min="4" max="4" width="21.6640625" customWidth="1"/>
    <col min="5" max="5" width="14.6640625" customWidth="1"/>
    <col min="6" max="6" width="13" bestFit="1" customWidth="1"/>
    <col min="7" max="7" width="14.5546875" bestFit="1" customWidth="1"/>
    <col min="8" max="8" width="12" bestFit="1" customWidth="1"/>
    <col min="11" max="11" width="18" customWidth="1"/>
    <col min="12" max="12" width="18.33203125" customWidth="1"/>
  </cols>
  <sheetData>
    <row r="1" spans="1:5" ht="14.4" customHeight="1" x14ac:dyDescent="0.3">
      <c r="A1" s="14"/>
      <c r="B1" s="189" t="s">
        <v>60</v>
      </c>
      <c r="C1" s="189"/>
      <c r="D1" s="189"/>
      <c r="E1" s="61"/>
    </row>
    <row r="2" spans="1:5" x14ac:dyDescent="0.3">
      <c r="A2" s="15"/>
      <c r="B2" s="62" t="s">
        <v>26</v>
      </c>
      <c r="C2" s="62"/>
      <c r="D2" s="62"/>
      <c r="E2" s="63"/>
    </row>
    <row r="3" spans="1:5" ht="70.5" customHeight="1" thickBot="1" x14ac:dyDescent="0.35">
      <c r="A3" s="15"/>
      <c r="B3" s="190" t="s">
        <v>104</v>
      </c>
      <c r="C3" s="190"/>
      <c r="D3" s="190"/>
      <c r="E3" s="191"/>
    </row>
    <row r="4" spans="1:5" ht="15" thickBot="1" x14ac:dyDescent="0.35">
      <c r="A4" s="18" t="s">
        <v>0</v>
      </c>
      <c r="B4" s="64" t="s">
        <v>35</v>
      </c>
      <c r="C4" s="19"/>
      <c r="D4" s="19"/>
      <c r="E4" s="20"/>
    </row>
    <row r="5" spans="1:5" ht="15" thickBot="1" x14ac:dyDescent="0.35">
      <c r="A5" s="15" t="s">
        <v>55</v>
      </c>
      <c r="B5" s="19" t="s">
        <v>159</v>
      </c>
      <c r="C5" s="16"/>
      <c r="D5" s="62" t="s">
        <v>27</v>
      </c>
      <c r="E5" s="17"/>
    </row>
    <row r="6" spans="1:5" ht="15" thickBot="1" x14ac:dyDescent="0.35">
      <c r="A6" s="18" t="s">
        <v>56</v>
      </c>
      <c r="B6" s="19"/>
      <c r="C6" s="19"/>
      <c r="D6" s="19" t="s">
        <v>54</v>
      </c>
      <c r="E6" s="20"/>
    </row>
    <row r="8" spans="1:5" x14ac:dyDescent="0.3">
      <c r="B8" s="186" t="s">
        <v>158</v>
      </c>
      <c r="C8" s="186"/>
    </row>
    <row r="9" spans="1:5" x14ac:dyDescent="0.3">
      <c r="B9" s="186"/>
      <c r="C9" s="186"/>
    </row>
    <row r="10" spans="1:5" x14ac:dyDescent="0.3">
      <c r="B10" s="186"/>
      <c r="C10" s="186"/>
    </row>
    <row r="12" spans="1:5" hidden="1" x14ac:dyDescent="0.3"/>
    <row r="13" spans="1:5" ht="15" customHeight="1" x14ac:dyDescent="0.3">
      <c r="A13" s="192" t="s">
        <v>131</v>
      </c>
      <c r="B13" s="192"/>
      <c r="C13" s="192"/>
      <c r="D13" s="192"/>
      <c r="E13" s="192"/>
    </row>
    <row r="14" spans="1:5" ht="15" customHeight="1" x14ac:dyDescent="0.3">
      <c r="A14" s="192"/>
      <c r="B14" s="192"/>
      <c r="C14" s="192"/>
      <c r="D14" s="192"/>
      <c r="E14" s="192"/>
    </row>
    <row r="15" spans="1:5" ht="15" customHeight="1" x14ac:dyDescent="0.3">
      <c r="A15" s="192"/>
      <c r="B15" s="192"/>
      <c r="C15" s="192"/>
      <c r="D15" s="192"/>
      <c r="E15" s="192"/>
    </row>
    <row r="16" spans="1:5" ht="137.25" customHeight="1" x14ac:dyDescent="0.3">
      <c r="A16" s="192"/>
      <c r="B16" s="192"/>
      <c r="C16" s="192"/>
      <c r="D16" s="192"/>
      <c r="E16" s="192"/>
    </row>
    <row r="17" spans="1:7" ht="14.25" customHeight="1" thickBot="1" x14ac:dyDescent="0.35"/>
    <row r="18" spans="1:7" hidden="1" x14ac:dyDescent="0.3">
      <c r="A18" s="2"/>
    </row>
    <row r="19" spans="1:7" ht="15" hidden="1" thickBot="1" x14ac:dyDescent="0.35"/>
    <row r="20" spans="1:7" x14ac:dyDescent="0.3">
      <c r="A20" s="10" t="s">
        <v>9</v>
      </c>
      <c r="B20" s="11"/>
      <c r="C20" s="12"/>
      <c r="D20" s="8"/>
      <c r="E20" s="13"/>
    </row>
    <row r="21" spans="1:7" x14ac:dyDescent="0.3">
      <c r="A21" s="34" t="s">
        <v>31</v>
      </c>
      <c r="B21" s="34"/>
      <c r="C21" s="34"/>
      <c r="D21" s="33"/>
      <c r="E21" s="33"/>
    </row>
    <row r="22" spans="1:7" ht="15" customHeight="1" x14ac:dyDescent="0.3">
      <c r="A22" s="187" t="s">
        <v>111</v>
      </c>
      <c r="B22" s="188"/>
      <c r="C22" s="5"/>
      <c r="D22" s="159">
        <v>1719538.75</v>
      </c>
      <c r="E22" s="5"/>
    </row>
    <row r="23" spans="1:7" ht="15" customHeight="1" x14ac:dyDescent="0.3">
      <c r="A23" s="70" t="s">
        <v>112</v>
      </c>
      <c r="B23" s="112"/>
      <c r="C23" s="5"/>
      <c r="D23" s="159">
        <v>-425585.84</v>
      </c>
      <c r="E23" s="5"/>
    </row>
    <row r="24" spans="1:7" ht="15" customHeight="1" x14ac:dyDescent="0.3">
      <c r="A24" s="70" t="s">
        <v>113</v>
      </c>
      <c r="B24" s="112"/>
      <c r="C24" s="5"/>
      <c r="D24" s="159">
        <v>0.09</v>
      </c>
      <c r="E24" s="5"/>
    </row>
    <row r="25" spans="1:7" ht="14.25" customHeight="1" x14ac:dyDescent="0.3">
      <c r="A25" s="54" t="s">
        <v>32</v>
      </c>
      <c r="B25" s="54"/>
      <c r="C25" s="54"/>
      <c r="D25" s="160">
        <f>SUM(D22:D24)</f>
        <v>1293953</v>
      </c>
      <c r="E25" s="102"/>
      <c r="G25" s="21"/>
    </row>
    <row r="26" spans="1:7" ht="14.25" hidden="1" customHeight="1" x14ac:dyDescent="0.3">
      <c r="A26" s="5" t="s">
        <v>40</v>
      </c>
      <c r="B26" s="5"/>
      <c r="C26" s="5"/>
      <c r="D26" s="159"/>
      <c r="E26" s="5"/>
    </row>
    <row r="27" spans="1:7" hidden="1" x14ac:dyDescent="0.3">
      <c r="A27" s="28"/>
      <c r="B27" s="5"/>
      <c r="C27" s="5"/>
      <c r="D27" s="159"/>
      <c r="E27" s="5"/>
    </row>
    <row r="28" spans="1:7" hidden="1" x14ac:dyDescent="0.3">
      <c r="A28" s="5"/>
      <c r="B28" s="5"/>
      <c r="C28" s="5"/>
      <c r="D28" s="159"/>
      <c r="E28" s="5"/>
    </row>
    <row r="29" spans="1:7" hidden="1" x14ac:dyDescent="0.3">
      <c r="A29" s="5"/>
      <c r="B29" s="5"/>
      <c r="C29" s="5"/>
      <c r="D29" s="161"/>
      <c r="E29" s="5"/>
    </row>
    <row r="30" spans="1:7" ht="0.75" customHeight="1" x14ac:dyDescent="0.3">
      <c r="A30" s="5" t="s">
        <v>36</v>
      </c>
      <c r="B30" s="5"/>
      <c r="C30" s="5"/>
      <c r="D30" s="161"/>
      <c r="E30" s="5"/>
    </row>
    <row r="31" spans="1:7" hidden="1" x14ac:dyDescent="0.3">
      <c r="A31" s="54" t="s">
        <v>32</v>
      </c>
      <c r="B31" s="54"/>
      <c r="C31" s="54"/>
      <c r="D31" s="162">
        <f>SUM(D26:D30)</f>
        <v>0</v>
      </c>
      <c r="E31" s="102"/>
    </row>
    <row r="32" spans="1:7" ht="15" thickBot="1" x14ac:dyDescent="0.35">
      <c r="A32" s="29" t="s">
        <v>1</v>
      </c>
      <c r="B32" s="29"/>
      <c r="C32" s="29"/>
      <c r="D32" s="163"/>
      <c r="E32" s="103">
        <f>D25+D31</f>
        <v>1293953</v>
      </c>
      <c r="F32" s="21"/>
    </row>
    <row r="33" spans="1:7" x14ac:dyDescent="0.3">
      <c r="A33" s="34" t="s">
        <v>18</v>
      </c>
      <c r="B33" s="34"/>
      <c r="C33" s="34"/>
      <c r="D33" s="164"/>
      <c r="E33" s="104"/>
    </row>
    <row r="34" spans="1:7" ht="15" customHeight="1" x14ac:dyDescent="0.3">
      <c r="A34" s="193" t="s">
        <v>132</v>
      </c>
      <c r="B34" s="194"/>
      <c r="C34" s="51"/>
      <c r="D34" s="231">
        <v>50000</v>
      </c>
      <c r="E34" s="183" t="s">
        <v>163</v>
      </c>
    </row>
    <row r="35" spans="1:7" ht="15" customHeight="1" x14ac:dyDescent="0.3">
      <c r="A35" s="193" t="s">
        <v>161</v>
      </c>
      <c r="B35" s="194"/>
      <c r="C35" s="51"/>
      <c r="D35" s="229">
        <v>190000</v>
      </c>
      <c r="E35" s="184" t="s">
        <v>152</v>
      </c>
    </row>
    <row r="36" spans="1:7" ht="15" thickBot="1" x14ac:dyDescent="0.35">
      <c r="A36" s="29" t="s">
        <v>15</v>
      </c>
      <c r="B36" s="29"/>
      <c r="C36" s="29"/>
      <c r="D36" s="165"/>
      <c r="E36" s="103">
        <f>SUM(D34:D35)</f>
        <v>240000</v>
      </c>
    </row>
    <row r="37" spans="1:7" x14ac:dyDescent="0.3">
      <c r="A37" s="34" t="s">
        <v>29</v>
      </c>
      <c r="B37" s="29"/>
      <c r="C37" s="29"/>
      <c r="D37" s="166"/>
      <c r="E37" s="105"/>
    </row>
    <row r="38" spans="1:7" s="37" customFormat="1" ht="14.25" customHeight="1" x14ac:dyDescent="0.3">
      <c r="A38" s="187" t="s">
        <v>142</v>
      </c>
      <c r="B38" s="188"/>
      <c r="C38" s="52"/>
      <c r="D38" s="167">
        <v>161303</v>
      </c>
      <c r="E38" s="119" t="s">
        <v>105</v>
      </c>
    </row>
    <row r="39" spans="1:7" ht="15" thickBot="1" x14ac:dyDescent="0.35">
      <c r="A39" s="29" t="s">
        <v>2</v>
      </c>
      <c r="B39" s="29"/>
      <c r="C39" s="29"/>
      <c r="D39" s="165"/>
      <c r="E39" s="106">
        <f>SUM(D38:D38)</f>
        <v>161303</v>
      </c>
    </row>
    <row r="40" spans="1:7" x14ac:dyDescent="0.3">
      <c r="A40" s="34" t="s">
        <v>16</v>
      </c>
      <c r="B40" s="107"/>
      <c r="C40" s="107"/>
      <c r="D40" s="168"/>
      <c r="E40" s="108"/>
    </row>
    <row r="41" spans="1:7" x14ac:dyDescent="0.3">
      <c r="A41" s="5" t="s">
        <v>43</v>
      </c>
      <c r="B41" s="5"/>
      <c r="C41" s="51"/>
      <c r="D41" s="230">
        <v>1034496.5</v>
      </c>
      <c r="E41" s="113" t="s">
        <v>148</v>
      </c>
      <c r="G41" s="89"/>
    </row>
    <row r="42" spans="1:7" x14ac:dyDescent="0.3">
      <c r="A42" s="5" t="s">
        <v>160</v>
      </c>
      <c r="B42" s="5" t="s">
        <v>108</v>
      </c>
      <c r="C42" s="5"/>
      <c r="D42" s="228">
        <v>77379.5</v>
      </c>
      <c r="E42" s="113" t="s">
        <v>150</v>
      </c>
    </row>
    <row r="43" spans="1:7" x14ac:dyDescent="0.3">
      <c r="A43" s="5" t="str">
        <f>A42</f>
        <v>Sindicatos mes de JULIO</v>
      </c>
      <c r="B43" s="5" t="s">
        <v>110</v>
      </c>
      <c r="C43" s="5"/>
      <c r="D43" s="228">
        <v>148088.01999999999</v>
      </c>
      <c r="E43" s="114" t="str">
        <f>E42</f>
        <v>Transf 12/05</v>
      </c>
    </row>
    <row r="44" spans="1:7" x14ac:dyDescent="0.3">
      <c r="A44" s="5" t="str">
        <f>A43</f>
        <v>Sindicatos mes de JULIO</v>
      </c>
      <c r="B44" s="5" t="s">
        <v>109</v>
      </c>
      <c r="C44" s="5"/>
      <c r="D44" s="228">
        <v>8597.69</v>
      </c>
      <c r="E44" s="115" t="str">
        <f>E42</f>
        <v>Transf 12/05</v>
      </c>
    </row>
    <row r="45" spans="1:7" ht="15" customHeight="1" thickBot="1" x14ac:dyDescent="0.35">
      <c r="A45" s="29" t="s">
        <v>3</v>
      </c>
      <c r="B45" s="107"/>
      <c r="C45" s="107"/>
      <c r="D45" s="170"/>
      <c r="E45" s="106">
        <f>SUM(D41:D44)</f>
        <v>1268561.71</v>
      </c>
    </row>
    <row r="46" spans="1:7" x14ac:dyDescent="0.3">
      <c r="A46" s="34" t="s">
        <v>17</v>
      </c>
      <c r="B46" s="107"/>
      <c r="C46" s="107"/>
      <c r="D46" s="168"/>
      <c r="E46" s="108"/>
    </row>
    <row r="47" spans="1:7" ht="14.25" customHeight="1" x14ac:dyDescent="0.3">
      <c r="A47" s="5" t="s">
        <v>106</v>
      </c>
      <c r="B47" s="5"/>
      <c r="C47" s="5"/>
      <c r="D47" s="228">
        <v>484034.19</v>
      </c>
      <c r="E47" s="113" t="s">
        <v>164</v>
      </c>
    </row>
    <row r="48" spans="1:7" ht="14.25" customHeight="1" x14ac:dyDescent="0.3">
      <c r="A48" s="176" t="s">
        <v>144</v>
      </c>
      <c r="B48" s="177"/>
      <c r="C48" s="5"/>
      <c r="D48" s="228">
        <v>17688</v>
      </c>
      <c r="E48" s="113" t="s">
        <v>149</v>
      </c>
    </row>
    <row r="49" spans="1:5" x14ac:dyDescent="0.3">
      <c r="A49" s="70" t="s">
        <v>107</v>
      </c>
      <c r="B49" s="112"/>
      <c r="C49" s="5"/>
      <c r="D49" s="228">
        <v>1033943.24</v>
      </c>
      <c r="E49" s="113" t="s">
        <v>164</v>
      </c>
    </row>
    <row r="50" spans="1:5" ht="15" thickBot="1" x14ac:dyDescent="0.35">
      <c r="A50" s="29" t="s">
        <v>4</v>
      </c>
      <c r="B50" s="29"/>
      <c r="C50" s="29"/>
      <c r="D50" s="171"/>
      <c r="E50" s="106">
        <f>SUM(D47:D49)</f>
        <v>1535665.43</v>
      </c>
    </row>
    <row r="51" spans="1:5" ht="15" customHeight="1" thickBot="1" x14ac:dyDescent="0.35">
      <c r="A51" s="34" t="s">
        <v>143</v>
      </c>
      <c r="B51" s="29"/>
      <c r="C51" s="29"/>
      <c r="D51" s="165"/>
      <c r="E51" s="109"/>
    </row>
    <row r="52" spans="1:5" ht="20.100000000000001" customHeight="1" x14ac:dyDescent="0.3">
      <c r="A52" s="116" t="s">
        <v>57</v>
      </c>
      <c r="B52" s="112"/>
      <c r="C52" s="5"/>
      <c r="D52" s="228">
        <v>189500</v>
      </c>
      <c r="E52" s="144" t="s">
        <v>163</v>
      </c>
    </row>
    <row r="53" spans="1:5" ht="20.100000000000001" customHeight="1" x14ac:dyDescent="0.3">
      <c r="A53" s="116" t="s">
        <v>153</v>
      </c>
      <c r="B53" s="112"/>
      <c r="C53" s="5"/>
      <c r="D53" s="169">
        <v>38400</v>
      </c>
      <c r="E53" s="144" t="s">
        <v>154</v>
      </c>
    </row>
    <row r="54" spans="1:5" ht="37.950000000000003" customHeight="1" x14ac:dyDescent="0.3">
      <c r="A54" s="187" t="s">
        <v>168</v>
      </c>
      <c r="B54" s="188"/>
      <c r="C54" s="5"/>
      <c r="D54" s="228">
        <v>110000</v>
      </c>
      <c r="E54" s="144" t="s">
        <v>169</v>
      </c>
    </row>
    <row r="55" spans="1:5" ht="35.25" customHeight="1" x14ac:dyDescent="0.3">
      <c r="A55" s="187" t="s">
        <v>165</v>
      </c>
      <c r="B55" s="188"/>
      <c r="C55" s="5"/>
      <c r="D55" s="228">
        <v>2493229.87</v>
      </c>
      <c r="E55" s="144" t="s">
        <v>166</v>
      </c>
    </row>
    <row r="56" spans="1:5" ht="35.25" customHeight="1" x14ac:dyDescent="0.3">
      <c r="A56" s="70" t="s">
        <v>162</v>
      </c>
      <c r="B56" s="112"/>
      <c r="C56" s="5"/>
      <c r="D56" s="228">
        <v>145000</v>
      </c>
      <c r="E56" s="144"/>
    </row>
    <row r="57" spans="1:5" ht="20.100000000000001" customHeight="1" x14ac:dyDescent="0.3">
      <c r="A57" s="116" t="s">
        <v>133</v>
      </c>
      <c r="B57" s="112"/>
      <c r="C57" s="5"/>
      <c r="D57" s="228">
        <v>60000</v>
      </c>
      <c r="E57" s="144" t="s">
        <v>167</v>
      </c>
    </row>
    <row r="58" spans="1:5" ht="15" thickBot="1" x14ac:dyDescent="0.35">
      <c r="A58" s="29" t="s">
        <v>8</v>
      </c>
      <c r="B58" s="34"/>
      <c r="C58" s="34"/>
      <c r="D58" s="33"/>
      <c r="E58" s="110">
        <f>SUM(D52:D57)</f>
        <v>3036129.87</v>
      </c>
    </row>
    <row r="59" spans="1:5" ht="15" thickBot="1" x14ac:dyDescent="0.35">
      <c r="A59" s="34" t="s">
        <v>11</v>
      </c>
      <c r="B59" s="59"/>
      <c r="C59" s="29"/>
      <c r="D59" s="163"/>
      <c r="E59" s="109"/>
    </row>
    <row r="60" spans="1:5" x14ac:dyDescent="0.3">
      <c r="A60" s="5" t="s">
        <v>53</v>
      </c>
      <c r="B60" s="5"/>
      <c r="C60" s="5"/>
      <c r="D60" s="169">
        <v>69000</v>
      </c>
      <c r="E60" s="111"/>
    </row>
    <row r="61" spans="1:5" x14ac:dyDescent="0.3">
      <c r="A61" s="5" t="s">
        <v>52</v>
      </c>
      <c r="B61" s="5"/>
      <c r="C61" s="5"/>
      <c r="D61" s="169">
        <v>95455.99</v>
      </c>
      <c r="E61" s="39"/>
    </row>
    <row r="62" spans="1:5" ht="15" thickBot="1" x14ac:dyDescent="0.35">
      <c r="A62" s="50" t="s">
        <v>15</v>
      </c>
      <c r="B62" s="50"/>
      <c r="C62" s="50"/>
      <c r="D62" s="74"/>
      <c r="E62" s="68">
        <f>SUM(D60:D61)</f>
        <v>164455.99</v>
      </c>
    </row>
    <row r="63" spans="1:5" ht="15" thickBot="1" x14ac:dyDescent="0.35">
      <c r="A63" s="5"/>
      <c r="B63" s="5"/>
      <c r="C63" s="5"/>
      <c r="D63" s="67"/>
      <c r="E63" s="75"/>
    </row>
    <row r="64" spans="1:5" ht="15" thickBot="1" x14ac:dyDescent="0.35">
      <c r="A64" s="30" t="s">
        <v>46</v>
      </c>
      <c r="B64" s="30"/>
      <c r="C64" s="30"/>
      <c r="D64" s="76"/>
      <c r="E64" s="77"/>
    </row>
    <row r="65" spans="1:12" ht="15" thickBot="1" x14ac:dyDescent="0.35">
      <c r="A65" s="1"/>
      <c r="D65" s="78"/>
      <c r="E65" s="79"/>
      <c r="F65" s="42"/>
    </row>
    <row r="66" spans="1:12" ht="15" thickBot="1" x14ac:dyDescent="0.35">
      <c r="A66" s="3" t="s">
        <v>12</v>
      </c>
      <c r="B66" s="9"/>
      <c r="C66" s="4"/>
      <c r="D66" s="80"/>
      <c r="E66" s="81">
        <f>(SUM(E28:E64))</f>
        <v>7700069</v>
      </c>
      <c r="F66" s="101"/>
      <c r="G66" s="42"/>
      <c r="H66" s="89"/>
      <c r="I66" s="89"/>
      <c r="J66" s="89"/>
      <c r="K66" s="89"/>
      <c r="L66" s="89"/>
    </row>
    <row r="67" spans="1:12" x14ac:dyDescent="0.3">
      <c r="D67" s="78"/>
      <c r="E67" s="78"/>
      <c r="H67" s="89"/>
      <c r="I67" s="89"/>
      <c r="J67" s="89"/>
      <c r="K67" s="89"/>
      <c r="L67" s="89"/>
    </row>
    <row r="68" spans="1:12" ht="15" thickBot="1" x14ac:dyDescent="0.35">
      <c r="D68" s="78"/>
      <c r="E68" s="78"/>
      <c r="H68" s="118"/>
    </row>
    <row r="69" spans="1:12" x14ac:dyDescent="0.3">
      <c r="A69" s="10" t="s">
        <v>41</v>
      </c>
      <c r="B69" s="11"/>
      <c r="C69" s="12"/>
      <c r="D69" s="82"/>
      <c r="E69" s="83"/>
    </row>
    <row r="70" spans="1:12" ht="15" customHeight="1" x14ac:dyDescent="0.3">
      <c r="A70" s="187"/>
      <c r="B70" s="188"/>
      <c r="C70" s="5"/>
      <c r="D70" s="93"/>
      <c r="E70" s="69"/>
    </row>
    <row r="71" spans="1:12" x14ac:dyDescent="0.3">
      <c r="A71" s="187"/>
      <c r="B71" s="188"/>
      <c r="C71" s="5"/>
      <c r="D71" s="71"/>
      <c r="E71" s="69"/>
    </row>
    <row r="72" spans="1:12" ht="15.75" customHeight="1" x14ac:dyDescent="0.3">
      <c r="A72" s="193"/>
      <c r="B72" s="194"/>
      <c r="C72" s="5"/>
      <c r="D72" s="71"/>
      <c r="E72" s="69"/>
    </row>
    <row r="73" spans="1:12" x14ac:dyDescent="0.3">
      <c r="A73" s="70"/>
      <c r="B73" s="72"/>
      <c r="C73" s="5"/>
      <c r="D73" s="71"/>
      <c r="E73" s="69"/>
    </row>
    <row r="74" spans="1:12" x14ac:dyDescent="0.3">
      <c r="A74" s="48"/>
      <c r="B74" s="47"/>
      <c r="C74" s="47"/>
      <c r="D74" s="55"/>
      <c r="E74" s="55">
        <f>SUM(D70:D73)</f>
        <v>0</v>
      </c>
    </row>
    <row r="75" spans="1:12" ht="15" customHeight="1" thickBot="1" x14ac:dyDescent="0.35"/>
    <row r="76" spans="1:12" ht="15" hidden="1" thickBot="1" x14ac:dyDescent="0.35"/>
    <row r="77" spans="1:12" ht="15" thickBot="1" x14ac:dyDescent="0.35">
      <c r="A77" s="147" t="s">
        <v>19</v>
      </c>
      <c r="B77" s="148"/>
      <c r="C77" s="148"/>
      <c r="D77" s="149"/>
      <c r="E77" s="178">
        <v>0</v>
      </c>
    </row>
    <row r="78" spans="1:12" ht="15" thickBot="1" x14ac:dyDescent="0.35"/>
    <row r="79" spans="1:12" ht="15" thickBot="1" x14ac:dyDescent="0.35">
      <c r="A79" s="3" t="s">
        <v>20</v>
      </c>
      <c r="B79" s="9"/>
      <c r="C79" s="4"/>
      <c r="D79" s="4"/>
      <c r="E79" s="60">
        <f>E74+E77</f>
        <v>0</v>
      </c>
    </row>
    <row r="80" spans="1:12" ht="15" thickBot="1" x14ac:dyDescent="0.35"/>
    <row r="81" spans="1:5" ht="15" thickBot="1" x14ac:dyDescent="0.35">
      <c r="A81" s="65" t="s">
        <v>13</v>
      </c>
      <c r="B81" s="66">
        <f>E66</f>
        <v>7700069</v>
      </c>
    </row>
    <row r="82" spans="1:5" ht="15" thickBot="1" x14ac:dyDescent="0.35">
      <c r="A82" s="65" t="s">
        <v>14</v>
      </c>
      <c r="B82" s="66">
        <f>E66-E64</f>
        <v>7700069</v>
      </c>
    </row>
    <row r="83" spans="1:5" ht="15" thickBot="1" x14ac:dyDescent="0.35">
      <c r="A83" s="65" t="s">
        <v>21</v>
      </c>
      <c r="B83" s="66">
        <f>E79-E77</f>
        <v>0</v>
      </c>
    </row>
    <row r="84" spans="1:5" ht="15" thickBot="1" x14ac:dyDescent="0.35">
      <c r="A84" s="65" t="s">
        <v>37</v>
      </c>
      <c r="B84" s="66">
        <f>E79</f>
        <v>0</v>
      </c>
    </row>
    <row r="85" spans="1:5" ht="29.25" customHeight="1" x14ac:dyDescent="0.3"/>
    <row r="86" spans="1:5" ht="34.5" hidden="1" customHeight="1" x14ac:dyDescent="0.3"/>
    <row r="87" spans="1:5" hidden="1" x14ac:dyDescent="0.3">
      <c r="A87" s="195"/>
      <c r="B87" s="195"/>
      <c r="C87" s="195"/>
      <c r="D87" s="195"/>
      <c r="E87" s="195"/>
    </row>
    <row r="88" spans="1:5" ht="106.5" hidden="1" customHeight="1" x14ac:dyDescent="0.3">
      <c r="A88" s="195"/>
      <c r="B88" s="195"/>
      <c r="C88" s="195"/>
      <c r="D88" s="195"/>
      <c r="E88" s="195"/>
    </row>
    <row r="89" spans="1:5" ht="15.75" hidden="1" customHeight="1" x14ac:dyDescent="0.3">
      <c r="A89" s="195"/>
      <c r="B89" s="195"/>
      <c r="C89" s="195"/>
      <c r="D89" s="195"/>
      <c r="E89" s="195"/>
    </row>
    <row r="91" spans="1:5" ht="0.75" customHeight="1" x14ac:dyDescent="0.3">
      <c r="A91" s="22"/>
      <c r="B91" s="90"/>
      <c r="C91" s="23"/>
    </row>
    <row r="92" spans="1:5" hidden="1" x14ac:dyDescent="0.3">
      <c r="A92" s="32"/>
      <c r="B92" s="56">
        <v>0</v>
      </c>
      <c r="C92" s="25"/>
    </row>
    <row r="93" spans="1:5" ht="14.25" hidden="1" customHeight="1" x14ac:dyDescent="0.3">
      <c r="A93" s="24" t="s">
        <v>7</v>
      </c>
      <c r="B93" s="39">
        <f>PRORRATEO!G34</f>
        <v>5351853.4400000013</v>
      </c>
      <c r="C93" s="23"/>
    </row>
    <row r="94" spans="1:5" hidden="1" x14ac:dyDescent="0.3">
      <c r="A94" s="24"/>
      <c r="B94" s="39">
        <v>0</v>
      </c>
      <c r="C94" s="23"/>
    </row>
    <row r="95" spans="1:5" hidden="1" x14ac:dyDescent="0.3">
      <c r="A95" s="24" t="s">
        <v>38</v>
      </c>
      <c r="B95" s="73">
        <f>B125</f>
        <v>0</v>
      </c>
      <c r="C95" s="23"/>
    </row>
    <row r="96" spans="1:5" hidden="1" x14ac:dyDescent="0.3">
      <c r="A96" s="27"/>
      <c r="B96" s="46"/>
      <c r="C96" s="23"/>
    </row>
    <row r="97" spans="1:6" hidden="1" x14ac:dyDescent="0.3">
      <c r="A97" s="88" t="s">
        <v>42</v>
      </c>
      <c r="B97" s="46"/>
      <c r="C97" s="23"/>
    </row>
    <row r="98" spans="1:6" hidden="1" x14ac:dyDescent="0.3">
      <c r="A98" s="38" t="s">
        <v>22</v>
      </c>
      <c r="B98" s="46">
        <f>-B82</f>
        <v>-7700069</v>
      </c>
      <c r="C98" s="23"/>
    </row>
    <row r="99" spans="1:6" hidden="1" x14ac:dyDescent="0.3">
      <c r="A99" s="27" t="s">
        <v>23</v>
      </c>
      <c r="B99" s="46">
        <f>-(B83)</f>
        <v>0</v>
      </c>
      <c r="C99" s="23"/>
    </row>
    <row r="100" spans="1:6" hidden="1" x14ac:dyDescent="0.3">
      <c r="A100" s="31" t="s">
        <v>8</v>
      </c>
      <c r="B100" s="56">
        <f>SUM(B92:B99)</f>
        <v>-2348215.5599999987</v>
      </c>
      <c r="C100" s="26"/>
      <c r="D100" s="42"/>
    </row>
    <row r="101" spans="1:6" ht="34.5" hidden="1" customHeight="1" x14ac:dyDescent="0.3">
      <c r="B101" s="40"/>
      <c r="C101" s="26"/>
      <c r="D101" s="42"/>
      <c r="E101" s="91"/>
      <c r="F101" s="92"/>
    </row>
    <row r="102" spans="1:6" ht="14.25" hidden="1" customHeight="1" x14ac:dyDescent="0.3">
      <c r="B102" s="41"/>
      <c r="C102" s="26"/>
    </row>
    <row r="103" spans="1:6" s="37" customFormat="1" ht="27" hidden="1" customHeight="1" x14ac:dyDescent="0.3">
      <c r="A103"/>
      <c r="B103" s="40"/>
      <c r="C103" s="36"/>
    </row>
    <row r="104" spans="1:6" s="37" customFormat="1" x14ac:dyDescent="0.3">
      <c r="A104" s="95" t="s">
        <v>126</v>
      </c>
      <c r="B104" s="146">
        <v>4130734.6900000004</v>
      </c>
      <c r="C104" s="36"/>
      <c r="D104" s="45"/>
      <c r="E104" s="42"/>
    </row>
    <row r="105" spans="1:6" x14ac:dyDescent="0.3">
      <c r="A105" s="52" t="s">
        <v>47</v>
      </c>
      <c r="B105" s="158">
        <f>-B82</f>
        <v>-7700069</v>
      </c>
    </row>
    <row r="106" spans="1:6" x14ac:dyDescent="0.3">
      <c r="A106" s="52" t="s">
        <v>48</v>
      </c>
      <c r="B106" s="99">
        <f>-B83</f>
        <v>0</v>
      </c>
    </row>
    <row r="107" spans="1:6" x14ac:dyDescent="0.3">
      <c r="A107" s="52" t="s">
        <v>157</v>
      </c>
      <c r="B107" s="185">
        <v>163369.25</v>
      </c>
    </row>
    <row r="108" spans="1:6" x14ac:dyDescent="0.3">
      <c r="A108" s="52" t="s">
        <v>51</v>
      </c>
      <c r="B108" s="99">
        <f>B125</f>
        <v>0</v>
      </c>
    </row>
    <row r="109" spans="1:6" x14ac:dyDescent="0.3">
      <c r="A109" s="52" t="s">
        <v>49</v>
      </c>
      <c r="B109" s="100">
        <f>PRORRATEO!G34</f>
        <v>5351853.4400000013</v>
      </c>
    </row>
    <row r="110" spans="1:6" ht="15" thickBot="1" x14ac:dyDescent="0.35">
      <c r="A110" s="97" t="s">
        <v>44</v>
      </c>
      <c r="B110" s="98">
        <f>SUM(B104:C109)</f>
        <v>1945888.3800000018</v>
      </c>
      <c r="D110" s="42"/>
      <c r="E110" s="42"/>
    </row>
    <row r="111" spans="1:6" x14ac:dyDescent="0.3">
      <c r="A111" s="96"/>
      <c r="B111" s="96"/>
    </row>
    <row r="112" spans="1:6" x14ac:dyDescent="0.3">
      <c r="A112" s="96"/>
      <c r="B112" s="96"/>
    </row>
    <row r="113" spans="1:13" x14ac:dyDescent="0.3">
      <c r="A113" s="197" t="s">
        <v>156</v>
      </c>
      <c r="B113" s="197"/>
    </row>
    <row r="114" spans="1:13" ht="10.5" customHeight="1" x14ac:dyDescent="0.3">
      <c r="A114" s="198"/>
      <c r="B114" s="198"/>
    </row>
    <row r="115" spans="1:13" hidden="1" x14ac:dyDescent="0.3">
      <c r="A115" s="198"/>
      <c r="B115" s="198"/>
    </row>
    <row r="116" spans="1:13" ht="44.25" customHeight="1" thickBot="1" x14ac:dyDescent="0.35">
      <c r="A116" s="199"/>
      <c r="B116" s="199"/>
    </row>
    <row r="117" spans="1:13" x14ac:dyDescent="0.3">
      <c r="A117" s="96"/>
      <c r="B117" s="96"/>
    </row>
    <row r="118" spans="1:13" x14ac:dyDescent="0.3">
      <c r="A118" s="96"/>
      <c r="B118" s="96"/>
    </row>
    <row r="119" spans="1:13" x14ac:dyDescent="0.3">
      <c r="A119" s="96"/>
      <c r="B119" s="96"/>
    </row>
    <row r="120" spans="1:13" ht="34.5" customHeight="1" x14ac:dyDescent="0.3"/>
    <row r="121" spans="1:13" x14ac:dyDescent="0.3">
      <c r="A121" s="196" t="s">
        <v>30</v>
      </c>
      <c r="B121" s="196"/>
      <c r="C121" s="196"/>
    </row>
    <row r="122" spans="1:13" x14ac:dyDescent="0.3">
      <c r="A122" s="196"/>
      <c r="B122" s="196"/>
      <c r="C122" s="196"/>
    </row>
    <row r="123" spans="1:13" ht="35.25" customHeight="1" x14ac:dyDescent="0.3">
      <c r="A123" s="85"/>
      <c r="B123" s="35">
        <v>0</v>
      </c>
      <c r="C123" s="35">
        <v>40000</v>
      </c>
      <c r="E123" s="101"/>
    </row>
    <row r="124" spans="1:13" ht="27" customHeight="1" x14ac:dyDescent="0.3">
      <c r="A124" s="85"/>
      <c r="B124" s="87"/>
      <c r="C124" s="84"/>
      <c r="D124" s="101"/>
    </row>
    <row r="125" spans="1:13" x14ac:dyDescent="0.3">
      <c r="A125" s="43" t="s">
        <v>8</v>
      </c>
      <c r="B125" s="86">
        <f>SUM(B123:B124)</f>
        <v>0</v>
      </c>
      <c r="C125" s="44"/>
    </row>
    <row r="126" spans="1:13" x14ac:dyDescent="0.3">
      <c r="M126" s="7"/>
    </row>
    <row r="127" spans="1:13" ht="15" customHeight="1" x14ac:dyDescent="0.3">
      <c r="A127" s="195"/>
      <c r="B127" s="195"/>
      <c r="C127" s="195"/>
      <c r="D127" s="195"/>
      <c r="E127" s="195"/>
    </row>
    <row r="128" spans="1:13" x14ac:dyDescent="0.3">
      <c r="A128" s="195"/>
      <c r="B128" s="195"/>
      <c r="C128" s="195"/>
      <c r="D128" s="195"/>
      <c r="E128" s="195"/>
    </row>
    <row r="129" spans="1:5" x14ac:dyDescent="0.3">
      <c r="A129" s="195"/>
      <c r="B129" s="195"/>
      <c r="C129" s="195"/>
      <c r="D129" s="195"/>
      <c r="E129" s="195"/>
    </row>
    <row r="130" spans="1:5" x14ac:dyDescent="0.3">
      <c r="A130" s="195"/>
      <c r="B130" s="195"/>
      <c r="C130" s="195"/>
      <c r="D130" s="195"/>
      <c r="E130" s="195"/>
    </row>
  </sheetData>
  <mergeCells count="17">
    <mergeCell ref="A34:B34"/>
    <mergeCell ref="A127:E130"/>
    <mergeCell ref="A121:C122"/>
    <mergeCell ref="A87:E89"/>
    <mergeCell ref="A71:B71"/>
    <mergeCell ref="A70:B70"/>
    <mergeCell ref="A72:B72"/>
    <mergeCell ref="A38:B38"/>
    <mergeCell ref="A35:B35"/>
    <mergeCell ref="A54:B54"/>
    <mergeCell ref="A55:B55"/>
    <mergeCell ref="A113:B116"/>
    <mergeCell ref="B8:C10"/>
    <mergeCell ref="A22:B22"/>
    <mergeCell ref="B1:D1"/>
    <mergeCell ref="B3:E3"/>
    <mergeCell ref="A13:E16"/>
  </mergeCells>
  <pageMargins left="0.23622047244094491" right="0.23622047244094491" top="0.74803149606299213" bottom="0.74803149606299213" header="0.31496062992125984" footer="0.31496062992125984"/>
  <pageSetup paperSize="3" scale="1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2"/>
  <sheetViews>
    <sheetView topLeftCell="A16" zoomScaleNormal="100" workbookViewId="0">
      <selection activeCell="N18" sqref="N18"/>
    </sheetView>
  </sheetViews>
  <sheetFormatPr baseColWidth="10" defaultColWidth="10.88671875" defaultRowHeight="14.4" x14ac:dyDescent="0.3"/>
  <cols>
    <col min="1" max="1" width="4.33203125" customWidth="1"/>
    <col min="2" max="2" width="6.5546875" customWidth="1"/>
    <col min="3" max="3" width="28.5546875" customWidth="1"/>
    <col min="4" max="4" width="20.44140625" customWidth="1"/>
    <col min="5" max="5" width="8.44140625" customWidth="1"/>
    <col min="6" max="6" width="14.109375" customWidth="1"/>
    <col min="7" max="7" width="14" customWidth="1"/>
    <col min="8" max="8" width="11.44140625" customWidth="1"/>
    <col min="9" max="9" width="11" customWidth="1"/>
    <col min="10" max="10" width="12.44140625" customWidth="1"/>
    <col min="11" max="11" width="15.5546875" bestFit="1" customWidth="1"/>
    <col min="12" max="12" width="14.6640625" customWidth="1"/>
    <col min="13" max="13" width="14.33203125" customWidth="1"/>
    <col min="14" max="14" width="7.44140625" bestFit="1" customWidth="1"/>
    <col min="15" max="15" width="12" bestFit="1" customWidth="1"/>
    <col min="16" max="16" width="13.5546875" bestFit="1" customWidth="1"/>
  </cols>
  <sheetData>
    <row r="1" spans="1:16" ht="12.9" customHeight="1" x14ac:dyDescent="0.3">
      <c r="A1" s="6"/>
      <c r="B1" s="6"/>
      <c r="C1" s="6"/>
      <c r="D1" s="6"/>
      <c r="E1" s="207"/>
      <c r="F1" s="207"/>
      <c r="G1" s="207"/>
      <c r="H1" s="207"/>
      <c r="I1" s="207"/>
      <c r="J1" s="207"/>
      <c r="K1" s="207"/>
      <c r="L1" s="207"/>
      <c r="M1" s="6"/>
    </row>
    <row r="2" spans="1:16" ht="12.9" customHeight="1" x14ac:dyDescent="0.3">
      <c r="A2" s="6"/>
      <c r="B2" s="6"/>
      <c r="C2" s="6"/>
      <c r="D2" s="6"/>
      <c r="E2" s="6" t="s">
        <v>58</v>
      </c>
      <c r="F2" s="6"/>
      <c r="G2" s="117">
        <v>0</v>
      </c>
      <c r="H2" s="6"/>
      <c r="I2" s="6"/>
      <c r="J2" s="6" t="s">
        <v>50</v>
      </c>
      <c r="K2" s="150">
        <v>5430895.8100000005</v>
      </c>
      <c r="L2" s="94"/>
      <c r="M2" s="53"/>
      <c r="N2" s="21"/>
    </row>
    <row r="3" spans="1:16" ht="12.9" customHeight="1" thickBot="1" x14ac:dyDescent="0.35">
      <c r="A3" s="6"/>
      <c r="B3" s="6"/>
      <c r="C3" s="6"/>
      <c r="D3" s="6"/>
      <c r="E3" s="6"/>
      <c r="F3" s="6"/>
      <c r="G3" s="6"/>
      <c r="H3" s="6"/>
      <c r="I3" s="6"/>
      <c r="J3" s="6"/>
      <c r="K3" s="6"/>
      <c r="L3" s="57"/>
      <c r="M3" s="57"/>
    </row>
    <row r="4" spans="1:16" ht="12.9" customHeight="1" x14ac:dyDescent="0.3">
      <c r="A4" s="214" t="s">
        <v>138</v>
      </c>
      <c r="B4" s="215"/>
      <c r="C4" s="215"/>
      <c r="D4" s="215"/>
      <c r="E4" s="215"/>
      <c r="F4" s="215"/>
      <c r="G4" s="215"/>
      <c r="H4" s="215"/>
      <c r="I4" s="215"/>
      <c r="J4" s="215"/>
      <c r="K4" s="215"/>
      <c r="L4" s="215"/>
      <c r="M4" s="216"/>
    </row>
    <row r="5" spans="1:16" ht="12.9" customHeight="1" x14ac:dyDescent="0.3">
      <c r="A5" s="217"/>
      <c r="B5" s="186"/>
      <c r="C5" s="186"/>
      <c r="D5" s="186"/>
      <c r="E5" s="186"/>
      <c r="F5" s="186"/>
      <c r="G5" s="186"/>
      <c r="H5" s="186"/>
      <c r="I5" s="186"/>
      <c r="J5" s="186"/>
      <c r="K5" s="186"/>
      <c r="L5" s="186"/>
      <c r="M5" s="218"/>
    </row>
    <row r="6" spans="1:16" ht="12.9" customHeight="1" thickBot="1" x14ac:dyDescent="0.35">
      <c r="A6" s="219"/>
      <c r="B6" s="220"/>
      <c r="C6" s="220"/>
      <c r="D6" s="220"/>
      <c r="E6" s="220"/>
      <c r="F6" s="220"/>
      <c r="G6" s="220"/>
      <c r="H6" s="220"/>
      <c r="I6" s="220"/>
      <c r="J6" s="220"/>
      <c r="K6" s="220"/>
      <c r="L6" s="220"/>
      <c r="M6" s="221"/>
    </row>
    <row r="7" spans="1:16" x14ac:dyDescent="0.3">
      <c r="A7" s="200" t="s">
        <v>5</v>
      </c>
      <c r="B7" s="200" t="s">
        <v>61</v>
      </c>
      <c r="C7" s="200" t="s">
        <v>6</v>
      </c>
      <c r="D7" s="200" t="s">
        <v>25</v>
      </c>
      <c r="E7" s="200" t="s">
        <v>10</v>
      </c>
      <c r="F7" s="208" t="s">
        <v>45</v>
      </c>
      <c r="G7" s="200" t="s">
        <v>7</v>
      </c>
      <c r="H7" s="210" t="s">
        <v>28</v>
      </c>
      <c r="I7" s="208" t="s">
        <v>39</v>
      </c>
      <c r="J7" s="208" t="s">
        <v>24</v>
      </c>
      <c r="K7" s="212" t="s">
        <v>59</v>
      </c>
      <c r="L7" s="151" t="s">
        <v>34</v>
      </c>
      <c r="M7" s="206" t="s">
        <v>33</v>
      </c>
    </row>
    <row r="8" spans="1:16" ht="15.75" customHeight="1" x14ac:dyDescent="0.3">
      <c r="A8" s="200"/>
      <c r="B8" s="201"/>
      <c r="C8" s="200"/>
      <c r="D8" s="201"/>
      <c r="E8" s="200"/>
      <c r="F8" s="209"/>
      <c r="G8" s="200"/>
      <c r="H8" s="211"/>
      <c r="I8" s="209"/>
      <c r="J8" s="209"/>
      <c r="K8" s="213"/>
      <c r="L8" s="58" t="str">
        <f>RESUMEN!B8</f>
        <v>VTO 17/08</v>
      </c>
      <c r="M8" s="206"/>
    </row>
    <row r="9" spans="1:16" ht="17.100000000000001" customHeight="1" x14ac:dyDescent="0.3">
      <c r="A9" s="120">
        <v>1</v>
      </c>
      <c r="B9" s="120" t="s">
        <v>62</v>
      </c>
      <c r="C9" s="120" t="s">
        <v>86</v>
      </c>
      <c r="D9" s="120" t="s">
        <v>123</v>
      </c>
      <c r="E9" s="142">
        <v>3.43</v>
      </c>
      <c r="F9" s="122">
        <v>182208.01</v>
      </c>
      <c r="G9" s="131">
        <f t="shared" ref="G9:G14" si="0">F9</f>
        <v>182208.01</v>
      </c>
      <c r="H9" s="123">
        <f t="shared" ref="H9:H32" si="1">F9-G9</f>
        <v>0</v>
      </c>
      <c r="I9" s="123">
        <f>IF(H9&gt;0,H9*3%,0)</f>
        <v>0</v>
      </c>
      <c r="J9" s="124">
        <f>K$2*E9%</f>
        <v>186279.72628300005</v>
      </c>
      <c r="K9" s="125">
        <f>G$2*E9/100</f>
        <v>0</v>
      </c>
      <c r="L9" s="126">
        <f t="shared" ref="L9:L32" si="2">ROUND(SUM(H9:K9),0) + N9</f>
        <v>186280.01</v>
      </c>
      <c r="M9" s="127">
        <f t="shared" ref="M9:M32" si="3">ROUND(L9*3%,0) + L9</f>
        <v>191868.01</v>
      </c>
      <c r="N9" s="42">
        <v>0.01</v>
      </c>
    </row>
    <row r="10" spans="1:16" ht="17.100000000000001" customHeight="1" x14ac:dyDescent="0.3">
      <c r="A10" s="129">
        <f>A9+1</f>
        <v>2</v>
      </c>
      <c r="B10" s="129" t="s">
        <v>70</v>
      </c>
      <c r="C10" s="129" t="s">
        <v>87</v>
      </c>
      <c r="D10" s="130" t="s">
        <v>114</v>
      </c>
      <c r="E10" s="143">
        <v>2.95</v>
      </c>
      <c r="F10" s="131">
        <v>160211.01999999999</v>
      </c>
      <c r="G10" s="131">
        <f t="shared" si="0"/>
        <v>160211.01999999999</v>
      </c>
      <c r="H10" s="123">
        <f t="shared" si="1"/>
        <v>0</v>
      </c>
      <c r="I10" s="123">
        <f t="shared" ref="I10:I32" si="4">IF(H10&gt;0,H10*3%,0)</f>
        <v>0</v>
      </c>
      <c r="J10" s="124">
        <f t="shared" ref="J10:J32" si="5">K$2*E10%</f>
        <v>160211.42639500002</v>
      </c>
      <c r="K10" s="125">
        <f t="shared" ref="K10:K32" si="6">G$2*E10/100</f>
        <v>0</v>
      </c>
      <c r="L10" s="126">
        <f t="shared" si="2"/>
        <v>160211.01999999999</v>
      </c>
      <c r="M10" s="127">
        <f t="shared" si="3"/>
        <v>165017.01999999999</v>
      </c>
      <c r="N10" s="42">
        <f>N9+0.01</f>
        <v>0.02</v>
      </c>
      <c r="O10" s="42"/>
    </row>
    <row r="11" spans="1:16" ht="17.100000000000001" customHeight="1" x14ac:dyDescent="0.3">
      <c r="A11" s="129">
        <f t="shared" ref="A11:A32" si="7">A10+1</f>
        <v>3</v>
      </c>
      <c r="B11" s="129" t="s">
        <v>71</v>
      </c>
      <c r="C11" s="129" t="s">
        <v>88</v>
      </c>
      <c r="D11" s="130" t="s">
        <v>130</v>
      </c>
      <c r="E11" s="143">
        <f>5.78+1.02</f>
        <v>6.8000000000000007</v>
      </c>
      <c r="F11" s="131">
        <v>369301.03</v>
      </c>
      <c r="G11" s="131">
        <f t="shared" si="0"/>
        <v>369301.03</v>
      </c>
      <c r="H11" s="123">
        <f t="shared" si="1"/>
        <v>0</v>
      </c>
      <c r="I11" s="123">
        <f t="shared" si="4"/>
        <v>0</v>
      </c>
      <c r="J11" s="124">
        <f t="shared" si="5"/>
        <v>369300.91508000006</v>
      </c>
      <c r="K11" s="125">
        <f t="shared" si="6"/>
        <v>0</v>
      </c>
      <c r="L11" s="126">
        <f t="shared" si="2"/>
        <v>369301.03</v>
      </c>
      <c r="M11" s="127">
        <f t="shared" si="3"/>
        <v>380380.03</v>
      </c>
      <c r="N11" s="42">
        <f t="shared" ref="N11:N32" si="8">N10+0.01</f>
        <v>0.03</v>
      </c>
      <c r="O11" t="s">
        <v>122</v>
      </c>
    </row>
    <row r="12" spans="1:16" ht="17.100000000000001" customHeight="1" x14ac:dyDescent="0.3">
      <c r="A12" s="120">
        <f t="shared" si="7"/>
        <v>4</v>
      </c>
      <c r="B12" s="120" t="s">
        <v>63</v>
      </c>
      <c r="C12" s="128" t="s">
        <v>151</v>
      </c>
      <c r="D12" s="128"/>
      <c r="E12" s="142">
        <v>3.43</v>
      </c>
      <c r="F12" s="122">
        <v>182327.04000000001</v>
      </c>
      <c r="G12" s="131">
        <f t="shared" si="0"/>
        <v>182327.04000000001</v>
      </c>
      <c r="H12" s="123">
        <f t="shared" si="1"/>
        <v>0</v>
      </c>
      <c r="I12" s="123">
        <f t="shared" si="4"/>
        <v>0</v>
      </c>
      <c r="J12" s="124">
        <f t="shared" si="5"/>
        <v>186279.72628300005</v>
      </c>
      <c r="K12" s="125">
        <f t="shared" si="6"/>
        <v>0</v>
      </c>
      <c r="L12" s="126">
        <f t="shared" si="2"/>
        <v>186280.04</v>
      </c>
      <c r="M12" s="127">
        <f t="shared" si="3"/>
        <v>191868.04</v>
      </c>
      <c r="N12" s="42">
        <f t="shared" si="8"/>
        <v>0.04</v>
      </c>
      <c r="P12" s="42"/>
    </row>
    <row r="13" spans="1:16" ht="17.100000000000001" customHeight="1" x14ac:dyDescent="0.3">
      <c r="A13" s="120">
        <f t="shared" si="7"/>
        <v>5</v>
      </c>
      <c r="B13" s="120" t="s">
        <v>72</v>
      </c>
      <c r="C13" s="120" t="s">
        <v>89</v>
      </c>
      <c r="D13" s="128"/>
      <c r="E13" s="142">
        <v>2.95</v>
      </c>
      <c r="F13" s="122">
        <v>160211.04999999999</v>
      </c>
      <c r="G13" s="131">
        <f t="shared" si="0"/>
        <v>160211.04999999999</v>
      </c>
      <c r="H13" s="123">
        <f t="shared" si="1"/>
        <v>0</v>
      </c>
      <c r="I13" s="123">
        <f t="shared" si="4"/>
        <v>0</v>
      </c>
      <c r="J13" s="124">
        <f t="shared" si="5"/>
        <v>160211.42639500002</v>
      </c>
      <c r="K13" s="125">
        <f t="shared" si="6"/>
        <v>0</v>
      </c>
      <c r="L13" s="126">
        <f t="shared" si="2"/>
        <v>160211.04999999999</v>
      </c>
      <c r="M13" s="127">
        <f t="shared" si="3"/>
        <v>165017.04999999999</v>
      </c>
      <c r="N13" s="42">
        <f t="shared" si="8"/>
        <v>0.05</v>
      </c>
      <c r="P13" s="42"/>
    </row>
    <row r="14" spans="1:16" ht="17.100000000000001" customHeight="1" x14ac:dyDescent="0.3">
      <c r="A14" s="129">
        <f t="shared" si="7"/>
        <v>6</v>
      </c>
      <c r="B14" s="129" t="s">
        <v>73</v>
      </c>
      <c r="C14" s="129" t="s">
        <v>90</v>
      </c>
      <c r="D14" s="129"/>
      <c r="E14" s="142">
        <v>5.69</v>
      </c>
      <c r="F14" s="122">
        <v>302264.06</v>
      </c>
      <c r="G14" s="131">
        <f t="shared" si="0"/>
        <v>302264.06</v>
      </c>
      <c r="H14" s="123">
        <f t="shared" si="1"/>
        <v>0</v>
      </c>
      <c r="I14" s="123">
        <f t="shared" si="4"/>
        <v>0</v>
      </c>
      <c r="J14" s="124">
        <f t="shared" si="5"/>
        <v>309017.97158900008</v>
      </c>
      <c r="K14" s="125">
        <f t="shared" si="6"/>
        <v>0</v>
      </c>
      <c r="L14" s="126">
        <f t="shared" si="2"/>
        <v>309018.06</v>
      </c>
      <c r="M14" s="127">
        <f t="shared" si="3"/>
        <v>318289.06</v>
      </c>
      <c r="N14" s="42">
        <f t="shared" si="8"/>
        <v>6.0000000000000005E-2</v>
      </c>
      <c r="O14" t="s">
        <v>146</v>
      </c>
    </row>
    <row r="15" spans="1:16" ht="17.100000000000001" customHeight="1" x14ac:dyDescent="0.3">
      <c r="A15" s="120">
        <f t="shared" si="7"/>
        <v>7</v>
      </c>
      <c r="B15" s="120" t="s">
        <v>64</v>
      </c>
      <c r="C15" s="120" t="s">
        <v>91</v>
      </c>
      <c r="D15" s="120"/>
      <c r="E15" s="142">
        <v>3.43</v>
      </c>
      <c r="F15" s="122">
        <v>326059.07</v>
      </c>
      <c r="G15" s="131">
        <v>279558</v>
      </c>
      <c r="H15" s="123">
        <f t="shared" si="1"/>
        <v>46501.070000000007</v>
      </c>
      <c r="I15" s="123">
        <f t="shared" si="4"/>
        <v>1395.0321000000001</v>
      </c>
      <c r="J15" s="124">
        <f t="shared" si="5"/>
        <v>186279.72628300005</v>
      </c>
      <c r="K15" s="125">
        <f t="shared" si="6"/>
        <v>0</v>
      </c>
      <c r="L15" s="126">
        <f t="shared" si="2"/>
        <v>234176.07</v>
      </c>
      <c r="M15" s="127">
        <f t="shared" si="3"/>
        <v>241201.07</v>
      </c>
      <c r="N15" s="42">
        <f t="shared" si="8"/>
        <v>7.0000000000000007E-2</v>
      </c>
      <c r="O15" t="s">
        <v>147</v>
      </c>
    </row>
    <row r="16" spans="1:16" ht="17.100000000000001" customHeight="1" x14ac:dyDescent="0.3">
      <c r="A16" s="120">
        <f t="shared" si="7"/>
        <v>8</v>
      </c>
      <c r="B16" s="120" t="s">
        <v>74</v>
      </c>
      <c r="C16" s="120" t="s">
        <v>92</v>
      </c>
      <c r="D16" s="128" t="s">
        <v>139</v>
      </c>
      <c r="E16" s="142">
        <v>2.95</v>
      </c>
      <c r="F16" s="122">
        <v>280430.08000000002</v>
      </c>
      <c r="G16" s="131"/>
      <c r="H16" s="123">
        <f t="shared" si="1"/>
        <v>280430.08000000002</v>
      </c>
      <c r="I16" s="123">
        <f t="shared" si="4"/>
        <v>8412.9024000000009</v>
      </c>
      <c r="J16" s="124">
        <f t="shared" si="5"/>
        <v>160211.42639500002</v>
      </c>
      <c r="K16" s="125">
        <f t="shared" si="6"/>
        <v>0</v>
      </c>
      <c r="L16" s="126">
        <f t="shared" si="2"/>
        <v>449054.08</v>
      </c>
      <c r="M16" s="127">
        <f t="shared" si="3"/>
        <v>462526.08</v>
      </c>
      <c r="N16" s="42">
        <f t="shared" si="8"/>
        <v>0.08</v>
      </c>
    </row>
    <row r="17" spans="1:14" ht="17.100000000000001" customHeight="1" x14ac:dyDescent="0.3">
      <c r="A17" s="120">
        <f t="shared" si="7"/>
        <v>9</v>
      </c>
      <c r="B17" s="120" t="s">
        <v>75</v>
      </c>
      <c r="C17" s="120" t="s">
        <v>117</v>
      </c>
      <c r="D17" s="128" t="s">
        <v>155</v>
      </c>
      <c r="E17" s="142">
        <v>5.69</v>
      </c>
      <c r="F17" s="122">
        <v>540897.09</v>
      </c>
      <c r="G17" s="131">
        <f>F17</f>
        <v>540897.09</v>
      </c>
      <c r="H17" s="123">
        <f t="shared" si="1"/>
        <v>0</v>
      </c>
      <c r="I17" s="123">
        <f t="shared" si="4"/>
        <v>0</v>
      </c>
      <c r="J17" s="124">
        <f t="shared" si="5"/>
        <v>309017.97158900008</v>
      </c>
      <c r="K17" s="125">
        <f t="shared" si="6"/>
        <v>0</v>
      </c>
      <c r="L17" s="126">
        <f t="shared" si="2"/>
        <v>309018.09000000003</v>
      </c>
      <c r="M17" s="127">
        <f t="shared" si="3"/>
        <v>318289.09000000003</v>
      </c>
      <c r="N17" s="42">
        <f t="shared" si="8"/>
        <v>0.09</v>
      </c>
    </row>
    <row r="18" spans="1:14" ht="17.100000000000001" customHeight="1" x14ac:dyDescent="0.3">
      <c r="A18" s="120">
        <f t="shared" si="7"/>
        <v>10</v>
      </c>
      <c r="B18" s="120" t="s">
        <v>65</v>
      </c>
      <c r="C18" s="120" t="s">
        <v>93</v>
      </c>
      <c r="D18" s="128" t="s">
        <v>125</v>
      </c>
      <c r="E18" s="142">
        <v>3.43</v>
      </c>
      <c r="F18" s="122">
        <v>186280.1</v>
      </c>
      <c r="G18" s="131">
        <v>191868.1</v>
      </c>
      <c r="H18" s="123">
        <f t="shared" si="1"/>
        <v>-5588</v>
      </c>
      <c r="I18" s="123">
        <f t="shared" si="4"/>
        <v>0</v>
      </c>
      <c r="J18" s="124">
        <f t="shared" si="5"/>
        <v>186279.72628300005</v>
      </c>
      <c r="K18" s="125">
        <f t="shared" si="6"/>
        <v>0</v>
      </c>
      <c r="L18" s="126">
        <f t="shared" si="2"/>
        <v>180692.1</v>
      </c>
      <c r="M18" s="127">
        <f t="shared" si="3"/>
        <v>186113.1</v>
      </c>
      <c r="N18" s="42">
        <f t="shared" si="8"/>
        <v>9.9999999999999992E-2</v>
      </c>
    </row>
    <row r="19" spans="1:14" ht="17.100000000000001" customHeight="1" x14ac:dyDescent="0.3">
      <c r="A19" s="120">
        <f t="shared" si="7"/>
        <v>11</v>
      </c>
      <c r="B19" s="120" t="s">
        <v>76</v>
      </c>
      <c r="C19" s="120" t="s">
        <v>116</v>
      </c>
      <c r="D19" s="128" t="s">
        <v>124</v>
      </c>
      <c r="E19" s="142">
        <v>2.95</v>
      </c>
      <c r="F19" s="122">
        <v>160211.10999999999</v>
      </c>
      <c r="G19" s="131">
        <f>F19</f>
        <v>160211.10999999999</v>
      </c>
      <c r="H19" s="123">
        <f t="shared" si="1"/>
        <v>0</v>
      </c>
      <c r="I19" s="123">
        <f t="shared" si="4"/>
        <v>0</v>
      </c>
      <c r="J19" s="124">
        <f t="shared" si="5"/>
        <v>160211.42639500002</v>
      </c>
      <c r="K19" s="125">
        <f t="shared" si="6"/>
        <v>0</v>
      </c>
      <c r="L19" s="126">
        <f t="shared" si="2"/>
        <v>160211.10999999999</v>
      </c>
      <c r="M19" s="127">
        <f t="shared" si="3"/>
        <v>165017.10999999999</v>
      </c>
      <c r="N19" s="42">
        <f t="shared" si="8"/>
        <v>0.10999999999999999</v>
      </c>
    </row>
    <row r="20" spans="1:14" ht="17.100000000000001" customHeight="1" x14ac:dyDescent="0.3">
      <c r="A20" s="120">
        <f t="shared" si="7"/>
        <v>12</v>
      </c>
      <c r="B20" s="120" t="s">
        <v>77</v>
      </c>
      <c r="C20" s="120" t="s">
        <v>118</v>
      </c>
      <c r="D20" s="128" t="s">
        <v>115</v>
      </c>
      <c r="E20" s="142">
        <f>5.69+0.51</f>
        <v>6.2</v>
      </c>
      <c r="F20" s="122">
        <v>336716.12</v>
      </c>
      <c r="G20" s="131">
        <v>346814.12</v>
      </c>
      <c r="H20" s="123">
        <f t="shared" si="1"/>
        <v>-10098</v>
      </c>
      <c r="I20" s="123">
        <f t="shared" si="4"/>
        <v>0</v>
      </c>
      <c r="J20" s="124">
        <f t="shared" si="5"/>
        <v>336715.54022000002</v>
      </c>
      <c r="K20" s="125">
        <f t="shared" si="6"/>
        <v>0</v>
      </c>
      <c r="L20" s="126">
        <f t="shared" si="2"/>
        <v>326618.12</v>
      </c>
      <c r="M20" s="127">
        <f t="shared" si="3"/>
        <v>336417.12</v>
      </c>
      <c r="N20" s="42">
        <f t="shared" si="8"/>
        <v>0.11999999999999998</v>
      </c>
    </row>
    <row r="21" spans="1:14" ht="17.100000000000001" customHeight="1" x14ac:dyDescent="0.3">
      <c r="A21" s="120">
        <f t="shared" si="7"/>
        <v>13</v>
      </c>
      <c r="B21" s="120" t="s">
        <v>66</v>
      </c>
      <c r="C21" s="120" t="s">
        <v>94</v>
      </c>
      <c r="D21" s="128" t="s">
        <v>127</v>
      </c>
      <c r="E21" s="142">
        <v>3.43</v>
      </c>
      <c r="F21" s="122">
        <v>180873.13</v>
      </c>
      <c r="G21" s="131">
        <f>F21</f>
        <v>180873.13</v>
      </c>
      <c r="H21" s="123">
        <f t="shared" si="1"/>
        <v>0</v>
      </c>
      <c r="I21" s="123">
        <f t="shared" si="4"/>
        <v>0</v>
      </c>
      <c r="J21" s="124">
        <f t="shared" si="5"/>
        <v>186279.72628300005</v>
      </c>
      <c r="K21" s="125">
        <f t="shared" si="6"/>
        <v>0</v>
      </c>
      <c r="L21" s="126">
        <f t="shared" si="2"/>
        <v>186280.13</v>
      </c>
      <c r="M21" s="127">
        <f t="shared" si="3"/>
        <v>191868.13</v>
      </c>
      <c r="N21" s="42">
        <f t="shared" si="8"/>
        <v>0.12999999999999998</v>
      </c>
    </row>
    <row r="22" spans="1:14" ht="17.100000000000001" customHeight="1" x14ac:dyDescent="0.3">
      <c r="A22" s="120">
        <f t="shared" si="7"/>
        <v>14</v>
      </c>
      <c r="B22" s="120" t="s">
        <v>78</v>
      </c>
      <c r="C22" s="120" t="s">
        <v>95</v>
      </c>
      <c r="D22" s="128" t="s">
        <v>134</v>
      </c>
      <c r="E22" s="142">
        <v>2.95</v>
      </c>
      <c r="F22" s="122">
        <v>160211.14000000001</v>
      </c>
      <c r="G22" s="131">
        <f>F22</f>
        <v>160211.14000000001</v>
      </c>
      <c r="H22" s="123">
        <f t="shared" si="1"/>
        <v>0</v>
      </c>
      <c r="I22" s="123">
        <f t="shared" si="4"/>
        <v>0</v>
      </c>
      <c r="J22" s="124">
        <f t="shared" si="5"/>
        <v>160211.42639500002</v>
      </c>
      <c r="K22" s="125">
        <f t="shared" si="6"/>
        <v>0</v>
      </c>
      <c r="L22" s="126">
        <f t="shared" si="2"/>
        <v>160211.14000000001</v>
      </c>
      <c r="M22" s="127">
        <f t="shared" si="3"/>
        <v>165017.14000000001</v>
      </c>
      <c r="N22" s="42">
        <f t="shared" si="8"/>
        <v>0.13999999999999999</v>
      </c>
    </row>
    <row r="23" spans="1:14" ht="17.100000000000001" customHeight="1" x14ac:dyDescent="0.3">
      <c r="A23" s="129">
        <f t="shared" si="7"/>
        <v>15</v>
      </c>
      <c r="B23" s="129" t="s">
        <v>79</v>
      </c>
      <c r="C23" s="129" t="s">
        <v>96</v>
      </c>
      <c r="D23" s="130" t="s">
        <v>128</v>
      </c>
      <c r="E23" s="143">
        <f>5.69+0.51</f>
        <v>6.2</v>
      </c>
      <c r="F23" s="131">
        <v>336716.15</v>
      </c>
      <c r="G23" s="133">
        <f>F23</f>
        <v>336716.15</v>
      </c>
      <c r="H23" s="123">
        <f t="shared" si="1"/>
        <v>0</v>
      </c>
      <c r="I23" s="123">
        <f t="shared" si="4"/>
        <v>0</v>
      </c>
      <c r="J23" s="124">
        <f t="shared" si="5"/>
        <v>336715.54022000002</v>
      </c>
      <c r="K23" s="125">
        <f t="shared" si="6"/>
        <v>0</v>
      </c>
      <c r="L23" s="126">
        <f t="shared" si="2"/>
        <v>336716.15</v>
      </c>
      <c r="M23" s="127">
        <f t="shared" si="3"/>
        <v>346817.15</v>
      </c>
      <c r="N23" s="42">
        <f t="shared" si="8"/>
        <v>0.15</v>
      </c>
    </row>
    <row r="24" spans="1:14" ht="17.100000000000001" customHeight="1" x14ac:dyDescent="0.3">
      <c r="A24" s="129">
        <f t="shared" si="7"/>
        <v>16</v>
      </c>
      <c r="B24" s="129" t="s">
        <v>67</v>
      </c>
      <c r="C24" s="129" t="s">
        <v>97</v>
      </c>
      <c r="D24" s="129"/>
      <c r="E24" s="142">
        <v>3.43</v>
      </c>
      <c r="F24" s="122">
        <v>186280.16</v>
      </c>
      <c r="G24" s="131">
        <v>191868.16</v>
      </c>
      <c r="H24" s="123">
        <f t="shared" si="1"/>
        <v>-5588</v>
      </c>
      <c r="I24" s="123">
        <f t="shared" si="4"/>
        <v>0</v>
      </c>
      <c r="J24" s="124">
        <f t="shared" si="5"/>
        <v>186279.72628300005</v>
      </c>
      <c r="K24" s="125">
        <f t="shared" si="6"/>
        <v>0</v>
      </c>
      <c r="L24" s="126">
        <f t="shared" si="2"/>
        <v>180692.16</v>
      </c>
      <c r="M24" s="127">
        <f t="shared" si="3"/>
        <v>186113.16</v>
      </c>
      <c r="N24" s="42">
        <f t="shared" si="8"/>
        <v>0.16</v>
      </c>
    </row>
    <row r="25" spans="1:14" ht="17.100000000000001" customHeight="1" x14ac:dyDescent="0.3">
      <c r="A25" s="120">
        <f t="shared" si="7"/>
        <v>17</v>
      </c>
      <c r="B25" s="120" t="s">
        <v>80</v>
      </c>
      <c r="C25" s="120" t="s">
        <v>98</v>
      </c>
      <c r="D25" s="128" t="s">
        <v>135</v>
      </c>
      <c r="E25" s="142">
        <v>2.95</v>
      </c>
      <c r="F25" s="131">
        <v>160211.17000000001</v>
      </c>
      <c r="G25" s="133">
        <f>F25</f>
        <v>160211.17000000001</v>
      </c>
      <c r="H25" s="123">
        <f t="shared" si="1"/>
        <v>0</v>
      </c>
      <c r="I25" s="123">
        <f t="shared" si="4"/>
        <v>0</v>
      </c>
      <c r="J25" s="124">
        <f t="shared" si="5"/>
        <v>160211.42639500002</v>
      </c>
      <c r="K25" s="125">
        <f t="shared" si="6"/>
        <v>0</v>
      </c>
      <c r="L25" s="126">
        <f t="shared" si="2"/>
        <v>160211.17000000001</v>
      </c>
      <c r="M25" s="127">
        <f t="shared" si="3"/>
        <v>165017.17000000001</v>
      </c>
      <c r="N25" s="42">
        <f t="shared" si="8"/>
        <v>0.17</v>
      </c>
    </row>
    <row r="26" spans="1:14" ht="17.100000000000001" customHeight="1" x14ac:dyDescent="0.3">
      <c r="A26" s="129">
        <f t="shared" si="7"/>
        <v>18</v>
      </c>
      <c r="B26" s="129" t="s">
        <v>81</v>
      </c>
      <c r="C26" s="129" t="s">
        <v>99</v>
      </c>
      <c r="D26" s="152"/>
      <c r="E26" s="143">
        <f>5.69+0.51</f>
        <v>6.2</v>
      </c>
      <c r="F26" s="131">
        <v>344295.18</v>
      </c>
      <c r="G26" s="133">
        <f>F26</f>
        <v>344295.18</v>
      </c>
      <c r="H26" s="123">
        <f t="shared" si="1"/>
        <v>0</v>
      </c>
      <c r="I26" s="123">
        <f t="shared" si="4"/>
        <v>0</v>
      </c>
      <c r="J26" s="124">
        <f t="shared" si="5"/>
        <v>336715.54022000002</v>
      </c>
      <c r="K26" s="125">
        <f t="shared" si="6"/>
        <v>0</v>
      </c>
      <c r="L26" s="126">
        <f t="shared" si="2"/>
        <v>336716.18</v>
      </c>
      <c r="M26" s="127">
        <f t="shared" si="3"/>
        <v>346817.18</v>
      </c>
      <c r="N26" s="42">
        <f t="shared" si="8"/>
        <v>0.18000000000000002</v>
      </c>
    </row>
    <row r="27" spans="1:14" x14ac:dyDescent="0.3">
      <c r="A27" s="129">
        <f t="shared" si="7"/>
        <v>19</v>
      </c>
      <c r="B27" s="129" t="s">
        <v>68</v>
      </c>
      <c r="C27" s="129" t="s">
        <v>121</v>
      </c>
      <c r="D27" s="130" t="s">
        <v>129</v>
      </c>
      <c r="E27" s="143">
        <v>3.43</v>
      </c>
      <c r="F27" s="131">
        <v>660257.18999999994</v>
      </c>
      <c r="G27" s="131"/>
      <c r="H27" s="123">
        <f t="shared" si="1"/>
        <v>660257.18999999994</v>
      </c>
      <c r="I27" s="123">
        <f t="shared" si="4"/>
        <v>19807.715699999997</v>
      </c>
      <c r="J27" s="124">
        <f t="shared" si="5"/>
        <v>186279.72628300005</v>
      </c>
      <c r="K27" s="125">
        <f t="shared" si="6"/>
        <v>0</v>
      </c>
      <c r="L27" s="126">
        <f t="shared" si="2"/>
        <v>866345.19</v>
      </c>
      <c r="M27" s="127">
        <f t="shared" si="3"/>
        <v>892335.19</v>
      </c>
      <c r="N27" s="42">
        <f t="shared" si="8"/>
        <v>0.19000000000000003</v>
      </c>
    </row>
    <row r="28" spans="1:14" x14ac:dyDescent="0.3">
      <c r="A28" s="129">
        <f t="shared" si="7"/>
        <v>20</v>
      </c>
      <c r="B28" s="153" t="s">
        <v>82</v>
      </c>
      <c r="C28" s="129" t="s">
        <v>119</v>
      </c>
      <c r="D28" s="130" t="s">
        <v>136</v>
      </c>
      <c r="E28" s="143">
        <v>2.95</v>
      </c>
      <c r="F28" s="133">
        <v>160211.20000000001</v>
      </c>
      <c r="G28" s="131">
        <f>F28</f>
        <v>160211.20000000001</v>
      </c>
      <c r="H28" s="123">
        <f t="shared" si="1"/>
        <v>0</v>
      </c>
      <c r="I28" s="123">
        <f t="shared" si="4"/>
        <v>0</v>
      </c>
      <c r="J28" s="124">
        <f t="shared" si="5"/>
        <v>160211.42639500002</v>
      </c>
      <c r="K28" s="125">
        <f t="shared" si="6"/>
        <v>0</v>
      </c>
      <c r="L28" s="126">
        <f t="shared" si="2"/>
        <v>160211.20000000001</v>
      </c>
      <c r="M28" s="127">
        <f t="shared" si="3"/>
        <v>165017.20000000001</v>
      </c>
      <c r="N28" s="42">
        <f t="shared" si="8"/>
        <v>0.20000000000000004</v>
      </c>
    </row>
    <row r="29" spans="1:14" x14ac:dyDescent="0.3">
      <c r="A29" s="129">
        <f t="shared" si="7"/>
        <v>21</v>
      </c>
      <c r="B29" s="153" t="s">
        <v>83</v>
      </c>
      <c r="C29" s="154" t="s">
        <v>100</v>
      </c>
      <c r="D29" s="130"/>
      <c r="E29" s="143">
        <f>5.69+0.51</f>
        <v>6.2</v>
      </c>
      <c r="F29" s="133">
        <v>329563.21000000002</v>
      </c>
      <c r="G29" s="131">
        <v>339450.21</v>
      </c>
      <c r="H29" s="123">
        <f t="shared" si="1"/>
        <v>-9887</v>
      </c>
      <c r="I29" s="123">
        <f t="shared" si="4"/>
        <v>0</v>
      </c>
      <c r="J29" s="124">
        <f t="shared" si="5"/>
        <v>336715.54022000002</v>
      </c>
      <c r="K29" s="125">
        <f t="shared" si="6"/>
        <v>0</v>
      </c>
      <c r="L29" s="126">
        <f t="shared" si="2"/>
        <v>326829.21000000002</v>
      </c>
      <c r="M29" s="127">
        <f t="shared" si="3"/>
        <v>336634.21</v>
      </c>
      <c r="N29" s="42">
        <f t="shared" si="8"/>
        <v>0.21000000000000005</v>
      </c>
    </row>
    <row r="30" spans="1:14" x14ac:dyDescent="0.3">
      <c r="A30" s="129">
        <f t="shared" si="7"/>
        <v>22</v>
      </c>
      <c r="B30" s="155" t="s">
        <v>69</v>
      </c>
      <c r="C30" s="129" t="s">
        <v>101</v>
      </c>
      <c r="D30" s="130" t="s">
        <v>145</v>
      </c>
      <c r="E30" s="143">
        <v>3.43</v>
      </c>
      <c r="F30" s="133">
        <v>320730.21999999997</v>
      </c>
      <c r="G30" s="133">
        <v>140000</v>
      </c>
      <c r="H30" s="123">
        <f t="shared" si="1"/>
        <v>180730.21999999997</v>
      </c>
      <c r="I30" s="123">
        <f t="shared" si="4"/>
        <v>5421.9065999999993</v>
      </c>
      <c r="J30" s="124">
        <f t="shared" si="5"/>
        <v>186279.72628300005</v>
      </c>
      <c r="K30" s="125">
        <f t="shared" si="6"/>
        <v>0</v>
      </c>
      <c r="L30" s="126">
        <f t="shared" si="2"/>
        <v>372432.22</v>
      </c>
      <c r="M30" s="127">
        <f t="shared" si="3"/>
        <v>383605.22</v>
      </c>
      <c r="N30" s="42">
        <f t="shared" si="8"/>
        <v>0.22000000000000006</v>
      </c>
    </row>
    <row r="31" spans="1:14" x14ac:dyDescent="0.3">
      <c r="A31" s="129">
        <f t="shared" si="7"/>
        <v>23</v>
      </c>
      <c r="B31" s="155" t="s">
        <v>84</v>
      </c>
      <c r="C31" s="156" t="s">
        <v>120</v>
      </c>
      <c r="D31" s="157" t="s">
        <v>137</v>
      </c>
      <c r="E31" s="143">
        <v>2.95</v>
      </c>
      <c r="F31" s="133">
        <v>160211.23000000001</v>
      </c>
      <c r="G31" s="133">
        <f>F31</f>
        <v>160211.23000000001</v>
      </c>
      <c r="H31" s="123">
        <f t="shared" si="1"/>
        <v>0</v>
      </c>
      <c r="I31" s="123">
        <f t="shared" si="4"/>
        <v>0</v>
      </c>
      <c r="J31" s="124">
        <f t="shared" si="5"/>
        <v>160211.42639500002</v>
      </c>
      <c r="K31" s="125">
        <f t="shared" si="6"/>
        <v>0</v>
      </c>
      <c r="L31" s="126">
        <f t="shared" si="2"/>
        <v>160211.23000000001</v>
      </c>
      <c r="M31" s="127">
        <f t="shared" si="3"/>
        <v>165017.23000000001</v>
      </c>
      <c r="N31" s="42">
        <f t="shared" si="8"/>
        <v>0.23000000000000007</v>
      </c>
    </row>
    <row r="32" spans="1:14" x14ac:dyDescent="0.3">
      <c r="A32" s="120">
        <f t="shared" si="7"/>
        <v>24</v>
      </c>
      <c r="B32" s="134" t="s">
        <v>85</v>
      </c>
      <c r="C32" s="135" t="s">
        <v>102</v>
      </c>
      <c r="D32" s="136"/>
      <c r="E32" s="142">
        <v>5.68</v>
      </c>
      <c r="F32" s="132">
        <v>301935.24</v>
      </c>
      <c r="G32" s="133">
        <f>F32</f>
        <v>301935.24</v>
      </c>
      <c r="H32" s="123">
        <f t="shared" si="1"/>
        <v>0</v>
      </c>
      <c r="I32" s="123">
        <f t="shared" si="4"/>
        <v>0</v>
      </c>
      <c r="J32" s="124">
        <f t="shared" si="5"/>
        <v>308474.88200799999</v>
      </c>
      <c r="K32" s="125">
        <f t="shared" si="6"/>
        <v>0</v>
      </c>
      <c r="L32" s="126">
        <f t="shared" si="2"/>
        <v>308475.24</v>
      </c>
      <c r="M32" s="127">
        <f t="shared" si="3"/>
        <v>317729.24</v>
      </c>
      <c r="N32" s="42">
        <f t="shared" si="8"/>
        <v>0.24000000000000007</v>
      </c>
    </row>
    <row r="33" spans="1:14" ht="17.100000000000001" customHeight="1" thickBot="1" x14ac:dyDescent="0.35">
      <c r="A33" s="202"/>
      <c r="B33" s="203"/>
      <c r="C33" s="135"/>
      <c r="D33" s="135"/>
      <c r="E33" s="121"/>
      <c r="F33" s="132"/>
      <c r="G33" s="133"/>
      <c r="H33" s="123"/>
      <c r="I33" s="123"/>
      <c r="J33" s="124"/>
      <c r="K33" s="125"/>
      <c r="L33" s="126"/>
      <c r="M33" s="127"/>
      <c r="N33" s="42"/>
    </row>
    <row r="34" spans="1:14" ht="17.100000000000001" customHeight="1" thickBot="1" x14ac:dyDescent="0.35">
      <c r="A34" s="204" t="s">
        <v>103</v>
      </c>
      <c r="B34" s="204"/>
      <c r="C34" s="205"/>
      <c r="D34" s="137"/>
      <c r="E34" s="145">
        <f t="shared" ref="E34:K34" si="9">SUM(E9:E33)</f>
        <v>99.700000000000045</v>
      </c>
      <c r="F34" s="138">
        <f t="shared" si="9"/>
        <v>6488611.0000000009</v>
      </c>
      <c r="G34" s="139">
        <f t="shared" si="9"/>
        <v>5351853.4400000013</v>
      </c>
      <c r="H34" s="139">
        <f t="shared" si="9"/>
        <v>1136757.56</v>
      </c>
      <c r="I34" s="139">
        <f t="shared" si="9"/>
        <v>35037.556799999998</v>
      </c>
      <c r="J34" s="140">
        <f t="shared" si="9"/>
        <v>5414603.1225699997</v>
      </c>
      <c r="K34" s="139">
        <f t="shared" si="9"/>
        <v>0</v>
      </c>
      <c r="L34" s="141">
        <f>SUM(L9:L26)</f>
        <v>4391897.71</v>
      </c>
      <c r="M34" s="141">
        <f>SUM(M9:M33)</f>
        <v>6783991.0000000009</v>
      </c>
    </row>
    <row r="35" spans="1:14" ht="12.75" customHeight="1" x14ac:dyDescent="0.3">
      <c r="C35" s="49"/>
      <c r="D35" s="49"/>
    </row>
    <row r="36" spans="1:14" hidden="1" x14ac:dyDescent="0.3"/>
    <row r="37" spans="1:14" ht="9" customHeight="1" x14ac:dyDescent="0.3">
      <c r="C37" s="195" t="str">
        <f>RESUMEN!A13</f>
        <v>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v>
      </c>
      <c r="D37" s="195"/>
      <c r="E37" s="195"/>
      <c r="F37" s="195"/>
      <c r="G37" s="195"/>
      <c r="H37" s="195"/>
      <c r="I37" s="195"/>
      <c r="J37" s="195"/>
      <c r="K37" s="195"/>
      <c r="L37" s="195"/>
    </row>
    <row r="38" spans="1:14" ht="12" hidden="1" customHeight="1" x14ac:dyDescent="0.3">
      <c r="C38" s="195"/>
      <c r="D38" s="195"/>
      <c r="E38" s="195"/>
      <c r="F38" s="195"/>
      <c r="G38" s="195"/>
      <c r="H38" s="195"/>
      <c r="I38" s="195"/>
      <c r="J38" s="195"/>
      <c r="K38" s="195"/>
      <c r="L38" s="195"/>
    </row>
    <row r="39" spans="1:14" ht="12" hidden="1" customHeight="1" x14ac:dyDescent="0.3">
      <c r="C39" s="195"/>
      <c r="D39" s="195"/>
      <c r="E39" s="195"/>
      <c r="F39" s="195"/>
      <c r="G39" s="195"/>
      <c r="H39" s="195"/>
      <c r="I39" s="195"/>
      <c r="J39" s="195"/>
      <c r="K39" s="195"/>
      <c r="L39" s="195"/>
    </row>
    <row r="40" spans="1:14" ht="12" hidden="1" customHeight="1" x14ac:dyDescent="0.3">
      <c r="C40" s="195"/>
      <c r="D40" s="195"/>
      <c r="E40" s="195"/>
      <c r="F40" s="195"/>
      <c r="G40" s="195"/>
      <c r="H40" s="195"/>
      <c r="I40" s="195"/>
      <c r="J40" s="195"/>
      <c r="K40" s="195"/>
      <c r="L40" s="195"/>
    </row>
    <row r="41" spans="1:14" ht="12" hidden="1" customHeight="1" x14ac:dyDescent="0.3">
      <c r="C41" s="195"/>
      <c r="D41" s="195"/>
      <c r="E41" s="195"/>
      <c r="F41" s="195"/>
      <c r="G41" s="195"/>
      <c r="H41" s="195"/>
      <c r="I41" s="195"/>
      <c r="J41" s="195"/>
      <c r="K41" s="195"/>
      <c r="L41" s="195"/>
    </row>
    <row r="42" spans="1:14" ht="127.5" customHeight="1" x14ac:dyDescent="0.3">
      <c r="C42" s="195"/>
      <c r="D42" s="195"/>
      <c r="E42" s="195"/>
      <c r="F42" s="195"/>
      <c r="G42" s="195"/>
      <c r="H42" s="195"/>
      <c r="I42" s="195"/>
      <c r="J42" s="195"/>
      <c r="K42" s="195"/>
      <c r="L42" s="195"/>
    </row>
  </sheetData>
  <mergeCells count="17">
    <mergeCell ref="M7:M8"/>
    <mergeCell ref="E1:L1"/>
    <mergeCell ref="I7:I8"/>
    <mergeCell ref="F7:F8"/>
    <mergeCell ref="G7:G8"/>
    <mergeCell ref="H7:H8"/>
    <mergeCell ref="J7:J8"/>
    <mergeCell ref="K7:K8"/>
    <mergeCell ref="A4:M6"/>
    <mergeCell ref="C37:L42"/>
    <mergeCell ref="D7:D8"/>
    <mergeCell ref="A7:A8"/>
    <mergeCell ref="C7:C8"/>
    <mergeCell ref="E7:E8"/>
    <mergeCell ref="B7:B8"/>
    <mergeCell ref="A33:B33"/>
    <mergeCell ref="A34:C34"/>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23E2-E76E-40B2-9631-974509386176}">
  <dimension ref="B2:G9"/>
  <sheetViews>
    <sheetView workbookViewId="0">
      <selection activeCell="C4" sqref="C4"/>
    </sheetView>
  </sheetViews>
  <sheetFormatPr baseColWidth="10" defaultColWidth="10.88671875" defaultRowHeight="14.4" x14ac:dyDescent="0.3"/>
  <sheetData>
    <row r="2" spans="2:7" ht="15" thickBot="1" x14ac:dyDescent="0.35"/>
    <row r="3" spans="2:7" x14ac:dyDescent="0.3">
      <c r="B3" s="179" t="s">
        <v>140</v>
      </c>
      <c r="C3" s="180"/>
      <c r="D3" s="172"/>
      <c r="E3" s="172"/>
      <c r="F3" s="172"/>
      <c r="G3" s="173"/>
    </row>
    <row r="4" spans="2:7" x14ac:dyDescent="0.3">
      <c r="B4" s="181" t="s">
        <v>141</v>
      </c>
      <c r="C4" s="182"/>
      <c r="G4" s="174"/>
    </row>
    <row r="5" spans="2:7" x14ac:dyDescent="0.3">
      <c r="B5" s="175"/>
      <c r="G5" s="174"/>
    </row>
    <row r="6" spans="2:7" x14ac:dyDescent="0.3">
      <c r="B6" s="222"/>
      <c r="C6" s="223"/>
      <c r="D6" s="223"/>
      <c r="E6" s="223"/>
      <c r="F6" s="223"/>
      <c r="G6" s="224"/>
    </row>
    <row r="7" spans="2:7" x14ac:dyDescent="0.3">
      <c r="B7" s="222"/>
      <c r="C7" s="223"/>
      <c r="D7" s="223"/>
      <c r="E7" s="223"/>
      <c r="F7" s="223"/>
      <c r="G7" s="224"/>
    </row>
    <row r="8" spans="2:7" x14ac:dyDescent="0.3">
      <c r="B8" s="222"/>
      <c r="C8" s="223"/>
      <c r="D8" s="223"/>
      <c r="E8" s="223"/>
      <c r="F8" s="223"/>
      <c r="G8" s="224"/>
    </row>
    <row r="9" spans="2:7" ht="15" thickBot="1" x14ac:dyDescent="0.35">
      <c r="B9" s="225"/>
      <c r="C9" s="226"/>
      <c r="D9" s="226"/>
      <c r="E9" s="226"/>
      <c r="F9" s="226"/>
      <c r="G9" s="227"/>
    </row>
  </sheetData>
  <mergeCells count="1">
    <mergeCell ref="B6:G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2026-07-04T16:21:44Z</cp:lastPrinted>
  <dcterms:created xsi:type="dcterms:W3CDTF">2023-09-17T12:29:07Z</dcterms:created>
  <dcterms:modified xsi:type="dcterms:W3CDTF">2026-07-28T14:17:41Z</dcterms:modified>
</cp:coreProperties>
</file>