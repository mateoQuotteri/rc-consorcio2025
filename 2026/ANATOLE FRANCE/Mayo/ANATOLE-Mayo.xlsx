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ANATOLE FRANCE\Mayo\"/>
    </mc:Choice>
  </mc:AlternateContent>
  <xr:revisionPtr revIDLastSave="0" documentId="13_ncr:1_{E77C6A93-86E5-49DD-B0D6-7380374C15CC}"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RESUMEN!$A$1:$E$133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4" i="2" l="1"/>
  <c r="F55" i="1"/>
  <c r="F56" i="1" s="1"/>
  <c r="G20" i="2"/>
  <c r="G31" i="2"/>
  <c r="G18" i="2"/>
  <c r="G28" i="2"/>
  <c r="G25" i="2"/>
  <c r="G24" i="2"/>
  <c r="G21" i="2"/>
  <c r="G22" i="2"/>
  <c r="G13" i="2"/>
  <c r="G10" i="2"/>
  <c r="G11" i="2"/>
  <c r="G19" i="2"/>
  <c r="E63" i="1"/>
  <c r="E40" i="1" l="1"/>
  <c r="G23" i="2"/>
  <c r="H31" i="2" l="1"/>
  <c r="I31" i="2" s="1"/>
  <c r="K9" i="2"/>
  <c r="K27" i="2"/>
  <c r="K28" i="2"/>
  <c r="K30" i="2"/>
  <c r="K31" i="2"/>
  <c r="K32" i="2"/>
  <c r="H27" i="2"/>
  <c r="I27" i="2" s="1"/>
  <c r="H28" i="2"/>
  <c r="I28" i="2" s="1"/>
  <c r="H29" i="2"/>
  <c r="I29" i="2" s="1"/>
  <c r="H30" i="2"/>
  <c r="I30" i="2" s="1"/>
  <c r="H33" i="2"/>
  <c r="I33" i="2" s="1"/>
  <c r="J10" i="2"/>
  <c r="J12" i="2"/>
  <c r="J13" i="2"/>
  <c r="J14" i="2"/>
  <c r="J15" i="2"/>
  <c r="J16" i="2"/>
  <c r="J33" i="2" s="1"/>
  <c r="J17" i="2"/>
  <c r="J18" i="2"/>
  <c r="J19" i="2"/>
  <c r="J21" i="2"/>
  <c r="J22" i="2"/>
  <c r="J24" i="2"/>
  <c r="J25" i="2"/>
  <c r="J27" i="2"/>
  <c r="J28" i="2"/>
  <c r="J30" i="2"/>
  <c r="J31" i="2"/>
  <c r="J32" i="2"/>
  <c r="J9" i="2"/>
  <c r="H32" i="2"/>
  <c r="I32" i="2" s="1"/>
  <c r="D25" i="1"/>
  <c r="E45" i="1"/>
  <c r="E44" i="1"/>
  <c r="E29" i="2"/>
  <c r="K29" i="2" s="1"/>
  <c r="E26" i="2"/>
  <c r="J26" i="2" s="1"/>
  <c r="E23" i="2"/>
  <c r="J23" i="2" s="1"/>
  <c r="E20" i="2"/>
  <c r="J20" i="2" s="1"/>
  <c r="E11" i="2"/>
  <c r="J11" i="2" s="1"/>
  <c r="J29" i="2" l="1"/>
  <c r="E34" i="2"/>
  <c r="E46" i="1" l="1"/>
  <c r="E51" i="1"/>
  <c r="E67" i="1" l="1"/>
  <c r="E36" i="1" l="1"/>
  <c r="K10" i="2" l="1"/>
  <c r="K11" i="2"/>
  <c r="K12" i="2"/>
  <c r="K13" i="2"/>
  <c r="K14" i="2"/>
  <c r="K15" i="2"/>
  <c r="K16" i="2"/>
  <c r="K33" i="2" s="1"/>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9" i="1" l="1"/>
  <c r="E84" i="1" s="1"/>
  <c r="B88" i="1" s="1"/>
  <c r="B111" i="1" s="1"/>
  <c r="B104" i="1" l="1"/>
  <c r="B132" i="1"/>
  <c r="B100" i="1" l="1"/>
  <c r="B115" i="1"/>
  <c r="H23" i="2" l="1"/>
  <c r="D31" i="1" l="1"/>
  <c r="L8" i="2" l="1"/>
  <c r="E32" i="1" l="1"/>
  <c r="E71"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B116" i="1"/>
  <c r="F34" i="2"/>
  <c r="N29" i="2" l="1"/>
  <c r="L28" i="2"/>
  <c r="M28" i="2" s="1"/>
  <c r="B98" i="1"/>
  <c r="H10" i="2"/>
  <c r="H11" i="2"/>
  <c r="H12" i="2"/>
  <c r="H13" i="2"/>
  <c r="H14" i="2"/>
  <c r="H15" i="2"/>
  <c r="H16" i="2"/>
  <c r="H17" i="2"/>
  <c r="H18" i="2"/>
  <c r="H19" i="2"/>
  <c r="H21" i="2"/>
  <c r="H22" i="2"/>
  <c r="H24" i="2"/>
  <c r="H25" i="2"/>
  <c r="H26" i="2"/>
  <c r="H9" i="2"/>
  <c r="L29" i="2" l="1"/>
  <c r="M29" i="2" s="1"/>
  <c r="N30" i="2"/>
  <c r="B89" i="1"/>
  <c r="H34" i="2"/>
  <c r="I26" i="2"/>
  <c r="I14" i="2"/>
  <c r="I25" i="2"/>
  <c r="I21" i="2"/>
  <c r="I17" i="2"/>
  <c r="I13" i="2"/>
  <c r="I22" i="2"/>
  <c r="I10" i="2"/>
  <c r="I24" i="2"/>
  <c r="I20" i="2"/>
  <c r="I16" i="2"/>
  <c r="I12" i="2"/>
  <c r="I18" i="2"/>
  <c r="I23" i="2"/>
  <c r="I19" i="2"/>
  <c r="I15" i="2"/>
  <c r="I11" i="2"/>
  <c r="I9" i="2"/>
  <c r="L9" i="2" s="1"/>
  <c r="L30" i="2" l="1"/>
  <c r="M30" i="2" s="1"/>
  <c r="N31" i="2"/>
  <c r="I34" i="2"/>
  <c r="A44" i="1"/>
  <c r="A45" i="1" s="1"/>
  <c r="N32" i="2" l="1"/>
  <c r="L31" i="2"/>
  <c r="M31" i="2" s="1"/>
  <c r="L10" i="2"/>
  <c r="L11" i="2"/>
  <c r="L12" i="2"/>
  <c r="L13" i="2"/>
  <c r="L14" i="2"/>
  <c r="L15" i="2"/>
  <c r="L16" i="2"/>
  <c r="L17" i="2"/>
  <c r="L18" i="2"/>
  <c r="L19" i="2"/>
  <c r="L20" i="2"/>
  <c r="L21" i="2"/>
  <c r="L22" i="2"/>
  <c r="L23" i="2"/>
  <c r="L24" i="2"/>
  <c r="L25" i="2"/>
  <c r="L26" i="2"/>
  <c r="N33" i="2" l="1"/>
  <c r="L33" i="2" s="1"/>
  <c r="M33" i="2" s="1"/>
  <c r="L32" i="2"/>
  <c r="M32" i="2" s="1"/>
  <c r="L34" i="2"/>
  <c r="M26" i="2"/>
  <c r="M22" i="2"/>
  <c r="M18" i="2"/>
  <c r="M14" i="2"/>
  <c r="M10" i="2"/>
  <c r="M9" i="2"/>
  <c r="M25" i="2"/>
  <c r="M21" i="2"/>
  <c r="M17" i="2"/>
  <c r="M13" i="2"/>
  <c r="M24" i="2"/>
  <c r="M20" i="2"/>
  <c r="M16" i="2"/>
  <c r="M12" i="2"/>
  <c r="M23" i="2"/>
  <c r="M19" i="2"/>
  <c r="M15" i="2"/>
  <c r="M11" i="2"/>
  <c r="J34" i="2"/>
  <c r="M34" i="2" l="1"/>
  <c r="K34" i="2" l="1"/>
  <c r="B87" i="1" l="1"/>
  <c r="B110" i="1" s="1"/>
  <c r="B117" i="1" l="1"/>
  <c r="B103" i="1"/>
  <c r="B105" i="1" s="1"/>
  <c r="B86" i="1"/>
</calcChain>
</file>

<file path=xl/sharedStrings.xml><?xml version="1.0" encoding="utf-8"?>
<sst xmlns="http://schemas.openxmlformats.org/spreadsheetml/2006/main" count="193" uniqueCount="181">
  <si>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</si>
  <si>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</si>
  <si>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</si>
  <si>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</si>
  <si>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</si>
  <si>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</si>
  <si>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</si>
  <si>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</si>
  <si>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</si>
  <si>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</si>
  <si>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</si>
  <si>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</si>
  <si>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</si>
  <si>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</si>
  <si>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</si>
  <si>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</si>
  <si>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</si>
  <si>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</si>
  <si>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</si>
  <si>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</si>
  <si>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</si>
  <si>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</si>
  <si>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</si>
  <si>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</si>
  <si>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</si>
  <si>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</si>
  <si>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</si>
  <si>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</si>
  <si>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</si>
  <si>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</si>
  <si>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</si>
  <si>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</si>
  <si>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</si>
  <si>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</si>
  <si>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</si>
  <si>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</si>
  <si>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</si>
  <si>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</si>
  <si>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</si>
  <si>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</si>
  <si>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</si>
  <si>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</si>
  <si>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</si>
  <si>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</si>
  <si>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</si>
  <si>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</si>
  <si>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</si>
  <si>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</si>
  <si>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</si>
  <si>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</si>
  <si>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</si>
  <si>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</si>
  <si>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</si>
  <si>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</si>
  <si>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</si>
  <si>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</si>
  <si>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</si>
  <si>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</si>
  <si>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</si>
  <si>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</si>
  <si>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</si>
  <si>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</si>
  <si>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</si>
  <si>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</si>
  <si>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</si>
  <si>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</si>
  <si>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</si>
  <si>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</si>
  <si>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</si>
  <si>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</si>
  <si>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</si>
  <si>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</si>
  <si>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</si>
  <si>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</si>
  <si>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</si>
  <si>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</si>
  <si>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</si>
  <si>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</si>
  <si>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</si>
  <si>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</si>
  <si>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</si>
  <si>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</si>
  <si>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</si>
  <si>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</si>
  <si>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</si>
  <si>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</si>
  <si>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</si>
  <si>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</si>
  <si>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</si>
  <si>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</si>
  <si>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</si>
  <si>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</si>
  <si>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</si>
  <si>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</si>
  <si>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</si>
  <si>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</si>
  <si>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</si>
  <si>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</si>
  <si>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</si>
  <si>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</si>
  <si>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</si>
  <si>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</si>
  <si>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</si>
  <si>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 xml:space="preserve">Horacio De la Torre </t>
  </si>
  <si>
    <t>Porteria</t>
  </si>
  <si>
    <t>TOTALES</t>
  </si>
  <si>
    <t>Datos Bancarios: Banco Santander  - Alias: ANATOLEFRANCE.1692 - CBU: 0720054020000002108836</t>
  </si>
  <si>
    <t>Debito</t>
  </si>
  <si>
    <t>Edesur</t>
  </si>
  <si>
    <t>AySa</t>
  </si>
  <si>
    <t>Suthery</t>
  </si>
  <si>
    <t>Seracarh</t>
  </si>
  <si>
    <t>Fathery</t>
  </si>
  <si>
    <t>Honorarios Sr. Encargado Roberto Sanchez</t>
  </si>
  <si>
    <t>Descuentos</t>
  </si>
  <si>
    <t>Redondeo</t>
  </si>
  <si>
    <t>Alquiler Porteria</t>
  </si>
  <si>
    <t>Laura</t>
  </si>
  <si>
    <t>German</t>
  </si>
  <si>
    <t>Hugo</t>
  </si>
  <si>
    <t>Bianchi Jorge</t>
  </si>
  <si>
    <t xml:space="preserve">Moran Andrea </t>
  </si>
  <si>
    <t xml:space="preserve">Ferrara Zulma </t>
  </si>
  <si>
    <t xml:space="preserve">Marcote Anibal </t>
  </si>
  <si>
    <t xml:space="preserve">Ruiz NM Ines </t>
  </si>
  <si>
    <t>Carmona Maria Del Carmen Losada</t>
  </si>
  <si>
    <t>Camila Daiana Pasculi</t>
  </si>
  <si>
    <t>Nancy Beatriz Rios</t>
  </si>
  <si>
    <t>Tomas Centuri</t>
  </si>
  <si>
    <t>Soledad Evangelina Gom</t>
  </si>
  <si>
    <t>SALDO EN BANCO Y EFECTIVO</t>
  </si>
  <si>
    <t>Miguel</t>
  </si>
  <si>
    <t>Pablo Cunioli</t>
  </si>
  <si>
    <t>Montenegro Jorge</t>
  </si>
  <si>
    <t>Camila</t>
  </si>
  <si>
    <t>Barreiro Cristian</t>
  </si>
  <si>
    <t>La porteria paga lo mismo que el 3B</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</si>
  <si>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</si>
  <si>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</si>
  <si>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</si>
  <si>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</si>
  <si>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</si>
  <si>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</si>
  <si>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</si>
  <si>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</si>
  <si>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</si>
  <si>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</si>
  <si>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 xml:space="preserve">Nombre: </t>
  </si>
  <si>
    <t>Cuello Natalia - Desobstruccion columna cocina 6B</t>
  </si>
  <si>
    <t>Cuello Natalia - Desobstruccion columna cocina 1C</t>
  </si>
  <si>
    <t>Transf 06/04</t>
  </si>
  <si>
    <t>Federacion Patronal - Seguro de consorcio</t>
  </si>
  <si>
    <t>PROVEEDORES</t>
  </si>
  <si>
    <t>Personal Flow</t>
  </si>
  <si>
    <t>Walter Martinez</t>
  </si>
  <si>
    <t>Gabriel R Mouriño</t>
  </si>
  <si>
    <t>Fracchia garcia Sebastian ezequiel</t>
  </si>
  <si>
    <t>VTO 18/06</t>
  </si>
  <si>
    <t>PERÍODO: MAYO</t>
  </si>
  <si>
    <t>Sindicatos mes de MAYO</t>
  </si>
  <si>
    <t>Cuello Natalia - Servicio de emergencia - Desobstruccion de colectora cloacal</t>
  </si>
  <si>
    <t>Transf 22/05</t>
  </si>
  <si>
    <t>Casa Ruan - Compra de materiales electricos</t>
  </si>
  <si>
    <t>Transf 21/05</t>
  </si>
  <si>
    <t>Urbeco - Anticipo de cambio de tapa y marco en TQ cisterna de bombeo - Anticipo Reparacion e impermeabilizacion interna de respectiva cuba</t>
  </si>
  <si>
    <t>Transf 18/05</t>
  </si>
  <si>
    <t>Transf 14/05</t>
  </si>
  <si>
    <t>Transf 06/05</t>
  </si>
  <si>
    <t>Transf 08/05</t>
  </si>
  <si>
    <t>Doartero Julio - Reparacion de perdida bajo mesada - Mano de obra y materiales</t>
  </si>
  <si>
    <t>Transf 07/05</t>
  </si>
  <si>
    <t>Transf 11/05</t>
  </si>
  <si>
    <t>Honorarios administracion - Marzo y Abril - Se adeuda Mayo</t>
  </si>
  <si>
    <t>Transf 12/05</t>
  </si>
  <si>
    <t>Allianz Seguro - Seguro integral para consorcio</t>
  </si>
  <si>
    <t>Cuello Natalia - Desobstruccion columna baño 4C</t>
  </si>
  <si>
    <t>Servisur - Retiro de tortugas plasticas en zotano - Instalacion de cable en bastidor y llave de un punto - Cambio de lampras eantiexplosivas sala de gas</t>
  </si>
  <si>
    <t>Transf 26/05</t>
  </si>
  <si>
    <t>Punitorios mal cobrados 6C</t>
  </si>
  <si>
    <t>El total del dinero en cuenta ($4.130.735) corresponde a CAJA EXTRAORDINARIA</t>
  </si>
  <si>
    <t>Ingreso generado por expensas pagadas en cuenta bancaria erronea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</si>
</sst>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
      <b/>
      <sz val="14"/>
      <color theme="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6"/>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3">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3" fillId="0" borderId="3" xfId="1" applyFont="1" applyBorder="1" applyAlignment="1">
      <alignment wrapText="1"/>
    </xf>
    <xf numFmtId="8" fontId="6" fillId="4" borderId="13" xfId="1" applyNumberFormat="1" applyFont="1" applyFill="1" applyBorder="1"/>
    <xf numFmtId="44" fontId="6" fillId="4" borderId="1" xfId="1" applyFont="1" applyFill="1" applyBorder="1"/>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0" fillId="3" borderId="0" xfId="1" applyFont="1" applyFill="1"/>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44" fontId="8" fillId="4" borderId="6" xfId="1" applyFont="1" applyFill="1" applyBorder="1"/>
    <xf numFmtId="44" fontId="8" fillId="4" borderId="1" xfId="1" applyFont="1" applyFill="1" applyBorder="1"/>
    <xf numFmtId="44" fontId="4" fillId="2" borderId="1" xfId="1" applyFont="1" applyFill="1" applyBorder="1" applyAlignment="1">
      <alignment wrapText="1"/>
    </xf>
    <xf numFmtId="44" fontId="4" fillId="2" borderId="1" xfId="1" applyFont="1" applyFill="1" applyBorder="1" applyAlignment="1"/>
    <xf numFmtId="44" fontId="4" fillId="4" borderId="1" xfId="1" applyFont="1" applyFill="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0" borderId="6" xfId="0" applyBorder="1"/>
    <xf numFmtId="0" fontId="0" fillId="0" borderId="7" xfId="0" applyBorder="1"/>
    <xf numFmtId="44" fontId="2" fillId="8" borderId="11" xfId="1" applyFont="1" applyFill="1" applyBorder="1" applyAlignment="1">
      <alignment vertical="center"/>
    </xf>
    <xf numFmtId="0" fontId="0" fillId="0" borderId="7" xfId="0" applyBorder="1" applyAlignment="1">
      <alignment horizontal="left" vertical="center" wrapText="1"/>
    </xf>
    <xf numFmtId="0" fontId="0" fillId="0" borderId="0" xfId="0" applyAlignment="1">
      <alignment horizontal="left" vertical="center" wrapText="1"/>
    </xf>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18" fillId="9" borderId="0" xfId="0" applyFont="1" applyFill="1" applyAlignment="1">
      <alignment horizontal="center" vertical="center"/>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4" fillId="3" borderId="18"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xf numFmtId="0" fontId="26" fillId="6" borderId="33" xfId="0" applyFont="1" applyFill="1" applyBorder="1" applyAlignment="1">
      <alignment horizontal="left" vertical="center" wrapText="1"/>
    </xf>
    <xf numFmtId="0" fontId="26" fillId="6" borderId="0" xfId="0" applyFont="1" applyFill="1" applyAlignment="1">
      <alignment horizontal="left" vertical="center" wrapText="1"/>
    </xf>
    <xf numFmtId="0" fontId="26" fillId="6" borderId="8" xfId="0" applyFont="1" applyFill="1" applyBorder="1" applyAlignment="1">
      <alignment horizontal="left" vertical="center" wrapText="1"/>
    </xf>
    <xf numFmtId="44" fontId="4" fillId="0" borderId="1" xfId="0" applyNumberFormat="1" applyFont="1" applyBorder="1" applyAlignment="1">
      <alignment vertical="center" wrapText="1"/>
    </xf>
    <xf numFmtId="8" fontId="4" fillId="2" borderId="1" xfId="0" applyNumberFormat="1" applyFont="1" applyFill="1" applyBorder="1" applyAlignment="1">
      <alignment horizontal="right"/>
    </xf>
    <xf numFmtId="44" fontId="4" fillId="0" borderId="1" xfId="1" applyFont="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37"/>
  <sheetViews>
    <sheetView tabSelected="1" topLeftCell="A68" workbookViewId="0">
      <selection activeCell="B87" sqref="B87"/>
    </sheetView>
  </sheetViews>
  <sheetFormatPr baseColWidth="10" defaultColWidth="10.85546875" defaultRowHeight="15" x14ac:dyDescent="0.25"/>
  <cols>
    <col min="1" max="1" width="37.5703125" customWidth="1"/>
    <col min="2" max="2" width="31.7109375" customWidth="1"/>
    <col min="3" max="3" width="0.140625"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95" t="s">
        <v>60</v>
      </c>
      <c r="C1" s="195"/>
      <c r="D1" s="195"/>
      <c r="E1" s="61"/>
    </row>
    <row r="2" spans="1:5" x14ac:dyDescent="0.25">
      <c r="A2" s="15"/>
      <c r="B2" s="62" t="s">
        <v>26</v>
      </c>
      <c r="C2" s="62"/>
      <c r="D2" s="62"/>
      <c r="E2" s="63"/>
    </row>
    <row r="3" spans="1:5" ht="70.5" customHeight="1" thickBot="1" x14ac:dyDescent="0.3">
      <c r="A3" s="15"/>
      <c r="B3" s="196" t="s">
        <v>106</v>
      </c>
      <c r="C3" s="196"/>
      <c r="D3" s="196"/>
      <c r="E3" s="197"/>
    </row>
    <row r="4" spans="1:5" ht="15.75" thickBot="1" x14ac:dyDescent="0.3">
      <c r="A4" s="18" t="s">
        <v>0</v>
      </c>
      <c r="B4" s="64" t="s">
        <v>35</v>
      </c>
      <c r="C4" s="19"/>
      <c r="D4" s="19"/>
      <c r="E4" s="20"/>
    </row>
    <row r="5" spans="1:5" ht="15.75" thickBot="1" x14ac:dyDescent="0.3">
      <c r="A5" s="15" t="s">
        <v>55</v>
      </c>
      <c r="B5" s="19" t="s">
        <v>158</v>
      </c>
      <c r="C5" s="16"/>
      <c r="D5" s="62" t="s">
        <v>27</v>
      </c>
      <c r="E5" s="17"/>
    </row>
    <row r="6" spans="1:5" ht="15.75" thickBot="1" x14ac:dyDescent="0.3">
      <c r="A6" s="18" t="s">
        <v>56</v>
      </c>
      <c r="B6" s="19"/>
      <c r="C6" s="19"/>
      <c r="D6" s="19" t="s">
        <v>54</v>
      </c>
      <c r="E6" s="20"/>
    </row>
    <row r="8" spans="1:5" x14ac:dyDescent="0.25">
      <c r="B8" s="194" t="s">
        <v>157</v>
      </c>
      <c r="C8" s="194"/>
    </row>
    <row r="9" spans="1:5" x14ac:dyDescent="0.25">
      <c r="B9" s="194"/>
      <c r="C9" s="194"/>
    </row>
    <row r="10" spans="1:5" x14ac:dyDescent="0.25">
      <c r="B10" s="194"/>
      <c r="C10" s="194"/>
    </row>
    <row r="12" spans="1:5" hidden="1" x14ac:dyDescent="0.25"/>
    <row r="13" spans="1:5" ht="15" customHeight="1" x14ac:dyDescent="0.25">
      <c r="A13" s="198" t="s">
        <v>137</v>
      </c>
      <c r="B13" s="198"/>
      <c r="C13" s="198"/>
      <c r="D13" s="198"/>
      <c r="E13" s="198"/>
    </row>
    <row r="14" spans="1:5" ht="15" customHeight="1" x14ac:dyDescent="0.25">
      <c r="A14" s="198"/>
      <c r="B14" s="198"/>
      <c r="C14" s="198"/>
      <c r="D14" s="198"/>
      <c r="E14" s="198"/>
    </row>
    <row r="15" spans="1:5" ht="15" customHeight="1" x14ac:dyDescent="0.25">
      <c r="A15" s="198"/>
      <c r="B15" s="198"/>
      <c r="C15" s="198"/>
      <c r="D15" s="198"/>
      <c r="E15" s="198"/>
    </row>
    <row r="16" spans="1:5" ht="137.25" customHeight="1" x14ac:dyDescent="0.25">
      <c r="A16" s="198"/>
      <c r="B16" s="198"/>
      <c r="C16" s="198"/>
      <c r="D16" s="198"/>
      <c r="E16" s="198"/>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34" t="s">
        <v>31</v>
      </c>
      <c r="B21" s="34"/>
      <c r="C21" s="34"/>
      <c r="D21" s="33"/>
      <c r="E21" s="33"/>
    </row>
    <row r="22" spans="1:7" ht="15" customHeight="1" x14ac:dyDescent="0.25">
      <c r="A22" s="192" t="s">
        <v>113</v>
      </c>
      <c r="B22" s="193"/>
      <c r="C22" s="5"/>
      <c r="D22" s="161">
        <v>1066547.7</v>
      </c>
      <c r="E22" s="5"/>
    </row>
    <row r="23" spans="1:7" ht="15" customHeight="1" x14ac:dyDescent="0.25">
      <c r="A23" s="70" t="s">
        <v>114</v>
      </c>
      <c r="B23" s="114"/>
      <c r="C23" s="5"/>
      <c r="D23" s="161">
        <v>-263970.56</v>
      </c>
      <c r="E23" s="5"/>
    </row>
    <row r="24" spans="1:7" ht="15" customHeight="1" x14ac:dyDescent="0.25">
      <c r="A24" s="70" t="s">
        <v>115</v>
      </c>
      <c r="B24" s="114"/>
      <c r="C24" s="5"/>
      <c r="D24" s="161">
        <v>0.86</v>
      </c>
      <c r="E24" s="5"/>
    </row>
    <row r="25" spans="1:7" ht="14.25" customHeight="1" x14ac:dyDescent="0.25">
      <c r="A25" s="54" t="s">
        <v>32</v>
      </c>
      <c r="B25" s="54"/>
      <c r="C25" s="54"/>
      <c r="D25" s="162">
        <f>SUM(D22:D24)</f>
        <v>802577.99999999988</v>
      </c>
      <c r="E25" s="102"/>
      <c r="G25" s="21"/>
    </row>
    <row r="26" spans="1:7" ht="14.25" hidden="1" customHeight="1" x14ac:dyDescent="0.25">
      <c r="A26" s="5" t="s">
        <v>40</v>
      </c>
      <c r="B26" s="5"/>
      <c r="C26" s="5"/>
      <c r="D26" s="161"/>
      <c r="E26" s="5"/>
    </row>
    <row r="27" spans="1:7" hidden="1" x14ac:dyDescent="0.25">
      <c r="A27" s="28"/>
      <c r="B27" s="5"/>
      <c r="C27" s="5"/>
      <c r="D27" s="161"/>
      <c r="E27" s="5"/>
    </row>
    <row r="28" spans="1:7" hidden="1" x14ac:dyDescent="0.25">
      <c r="A28" s="5"/>
      <c r="B28" s="5"/>
      <c r="C28" s="5"/>
      <c r="D28" s="161"/>
      <c r="E28" s="5"/>
    </row>
    <row r="29" spans="1:7" hidden="1" x14ac:dyDescent="0.25">
      <c r="A29" s="5"/>
      <c r="B29" s="5"/>
      <c r="C29" s="5"/>
      <c r="D29" s="163"/>
      <c r="E29" s="5"/>
    </row>
    <row r="30" spans="1:7" ht="0.75" customHeight="1" x14ac:dyDescent="0.25">
      <c r="A30" s="5" t="s">
        <v>36</v>
      </c>
      <c r="B30" s="5"/>
      <c r="C30" s="5"/>
      <c r="D30" s="163"/>
      <c r="E30" s="5"/>
    </row>
    <row r="31" spans="1:7" hidden="1" x14ac:dyDescent="0.25">
      <c r="A31" s="54" t="s">
        <v>32</v>
      </c>
      <c r="B31" s="54"/>
      <c r="C31" s="54"/>
      <c r="D31" s="164">
        <f>SUM(D26:D30)</f>
        <v>0</v>
      </c>
      <c r="E31" s="102"/>
    </row>
    <row r="32" spans="1:7" ht="15.75" thickBot="1" x14ac:dyDescent="0.3">
      <c r="A32" s="29" t="s">
        <v>1</v>
      </c>
      <c r="B32" s="29"/>
      <c r="C32" s="29"/>
      <c r="D32" s="165"/>
      <c r="E32" s="103">
        <f>D25+D31</f>
        <v>802577.99999999988</v>
      </c>
      <c r="F32" s="21"/>
    </row>
    <row r="33" spans="1:7" x14ac:dyDescent="0.25">
      <c r="A33" s="34" t="s">
        <v>18</v>
      </c>
      <c r="B33" s="34"/>
      <c r="C33" s="34"/>
      <c r="D33" s="166"/>
      <c r="E33" s="104"/>
    </row>
    <row r="34" spans="1:7" ht="15" customHeight="1" x14ac:dyDescent="0.25">
      <c r="A34" s="188" t="s">
        <v>138</v>
      </c>
      <c r="B34" s="189"/>
      <c r="C34" s="51"/>
      <c r="D34" s="161">
        <v>45000</v>
      </c>
      <c r="E34" s="105" t="s">
        <v>170</v>
      </c>
    </row>
    <row r="35" spans="1:7" ht="15" customHeight="1" thickBot="1" x14ac:dyDescent="0.3">
      <c r="A35" s="188" t="s">
        <v>172</v>
      </c>
      <c r="B35" s="189"/>
      <c r="C35" s="51"/>
      <c r="D35" s="231">
        <v>380000</v>
      </c>
      <c r="E35" s="105" t="s">
        <v>171</v>
      </c>
    </row>
    <row r="36" spans="1:7" ht="15.75" thickBot="1" x14ac:dyDescent="0.3">
      <c r="A36" s="29" t="s">
        <v>15</v>
      </c>
      <c r="B36" s="29"/>
      <c r="C36" s="29"/>
      <c r="D36" s="167"/>
      <c r="E36" s="106">
        <f>SUM(D34:D35)</f>
        <v>425000</v>
      </c>
    </row>
    <row r="37" spans="1:7" x14ac:dyDescent="0.25">
      <c r="A37" s="34" t="s">
        <v>29</v>
      </c>
      <c r="B37" s="29"/>
      <c r="C37" s="29"/>
      <c r="D37" s="168"/>
      <c r="E37" s="107"/>
    </row>
    <row r="38" spans="1:7" s="37" customFormat="1" ht="14.25" customHeight="1" x14ac:dyDescent="0.25">
      <c r="A38" s="192" t="s">
        <v>151</v>
      </c>
      <c r="B38" s="193"/>
      <c r="C38" s="52"/>
      <c r="D38" s="169">
        <v>161303</v>
      </c>
      <c r="E38" s="121" t="s">
        <v>107</v>
      </c>
    </row>
    <row r="39" spans="1:7" ht="14.25" customHeight="1" x14ac:dyDescent="0.25">
      <c r="A39" s="192" t="s">
        <v>174</v>
      </c>
      <c r="B39" s="193"/>
      <c r="C39" s="52"/>
      <c r="D39" s="170">
        <v>199876.87</v>
      </c>
      <c r="E39" s="121" t="s">
        <v>107</v>
      </c>
    </row>
    <row r="40" spans="1:7" ht="15.75" thickBot="1" x14ac:dyDescent="0.3">
      <c r="A40" s="29" t="s">
        <v>2</v>
      </c>
      <c r="B40" s="29"/>
      <c r="C40" s="29"/>
      <c r="D40" s="167"/>
      <c r="E40" s="108">
        <f>SUM(D38:D39)</f>
        <v>361179.87</v>
      </c>
    </row>
    <row r="41" spans="1:7" x14ac:dyDescent="0.25">
      <c r="A41" s="34" t="s">
        <v>16</v>
      </c>
      <c r="B41" s="109"/>
      <c r="C41" s="109"/>
      <c r="D41" s="171"/>
      <c r="E41" s="110"/>
    </row>
    <row r="42" spans="1:7" x14ac:dyDescent="0.25">
      <c r="A42" s="5" t="s">
        <v>43</v>
      </c>
      <c r="B42" s="5"/>
      <c r="C42" s="51"/>
      <c r="D42" s="232">
        <v>624914.22</v>
      </c>
      <c r="E42" s="115" t="s">
        <v>167</v>
      </c>
      <c r="G42" s="89"/>
    </row>
    <row r="43" spans="1:7" x14ac:dyDescent="0.25">
      <c r="A43" s="5" t="s">
        <v>159</v>
      </c>
      <c r="B43" s="5" t="s">
        <v>110</v>
      </c>
      <c r="C43" s="5"/>
      <c r="D43" s="172">
        <v>46741.68</v>
      </c>
      <c r="E43" s="115" t="s">
        <v>173</v>
      </c>
    </row>
    <row r="44" spans="1:7" x14ac:dyDescent="0.25">
      <c r="A44" s="5" t="str">
        <f>A43</f>
        <v>Sindicatos mes de MAYO</v>
      </c>
      <c r="B44" s="5" t="s">
        <v>112</v>
      </c>
      <c r="C44" s="5"/>
      <c r="D44" s="172">
        <v>89132.76</v>
      </c>
      <c r="E44" s="116" t="str">
        <f>E43</f>
        <v>Transf 12/05</v>
      </c>
    </row>
    <row r="45" spans="1:7" x14ac:dyDescent="0.25">
      <c r="A45" s="5" t="str">
        <f>A44</f>
        <v>Sindicatos mes de MAYO</v>
      </c>
      <c r="B45" s="5" t="s">
        <v>111</v>
      </c>
      <c r="C45" s="5"/>
      <c r="D45" s="172">
        <v>5193.5200000000004</v>
      </c>
      <c r="E45" s="117" t="str">
        <f>E43</f>
        <v>Transf 12/05</v>
      </c>
    </row>
    <row r="46" spans="1:7" ht="15" customHeight="1" thickBot="1" x14ac:dyDescent="0.3">
      <c r="A46" s="29" t="s">
        <v>3</v>
      </c>
      <c r="B46" s="109"/>
      <c r="C46" s="109"/>
      <c r="D46" s="173"/>
      <c r="E46" s="108">
        <f>SUM(D42:D45)</f>
        <v>765982.18</v>
      </c>
    </row>
    <row r="47" spans="1:7" x14ac:dyDescent="0.25">
      <c r="A47" s="34" t="s">
        <v>17</v>
      </c>
      <c r="B47" s="109"/>
      <c r="C47" s="109"/>
      <c r="D47" s="171"/>
      <c r="E47" s="110"/>
    </row>
    <row r="48" spans="1:7" ht="14.25" customHeight="1" x14ac:dyDescent="0.25">
      <c r="A48" s="5" t="s">
        <v>108</v>
      </c>
      <c r="B48" s="5"/>
      <c r="C48" s="5"/>
      <c r="D48" s="172">
        <v>305642.36</v>
      </c>
      <c r="E48" s="115" t="s">
        <v>167</v>
      </c>
    </row>
    <row r="49" spans="1:6" ht="14.25" customHeight="1" x14ac:dyDescent="0.25">
      <c r="A49" s="179" t="s">
        <v>153</v>
      </c>
      <c r="B49" s="180"/>
      <c r="C49" s="5"/>
      <c r="D49" s="172">
        <v>18758.310000000001</v>
      </c>
      <c r="E49" s="115" t="s">
        <v>171</v>
      </c>
    </row>
    <row r="50" spans="1:6" x14ac:dyDescent="0.25">
      <c r="A50" s="70" t="s">
        <v>109</v>
      </c>
      <c r="B50" s="114"/>
      <c r="C50" s="5"/>
      <c r="D50" s="172">
        <v>999748.85</v>
      </c>
      <c r="E50" s="115" t="s">
        <v>167</v>
      </c>
    </row>
    <row r="51" spans="1:6" ht="15.75" thickBot="1" x14ac:dyDescent="0.3">
      <c r="A51" s="29" t="s">
        <v>4</v>
      </c>
      <c r="B51" s="29"/>
      <c r="C51" s="29"/>
      <c r="D51" s="174"/>
      <c r="E51" s="108">
        <f>SUM(D48:D50)</f>
        <v>1324149.52</v>
      </c>
    </row>
    <row r="52" spans="1:6" ht="15" customHeight="1" thickBot="1" x14ac:dyDescent="0.3">
      <c r="A52" s="34" t="s">
        <v>152</v>
      </c>
      <c r="B52" s="29"/>
      <c r="C52" s="29"/>
      <c r="D52" s="167"/>
      <c r="E52" s="111"/>
    </row>
    <row r="53" spans="1:6" ht="20.100000000000001" customHeight="1" x14ac:dyDescent="0.25">
      <c r="A53" s="118" t="s">
        <v>57</v>
      </c>
      <c r="B53" s="114"/>
      <c r="C53" s="5"/>
      <c r="D53" s="172">
        <v>189500</v>
      </c>
      <c r="E53" s="146" t="s">
        <v>168</v>
      </c>
    </row>
    <row r="54" spans="1:6" ht="20.100000000000001" customHeight="1" x14ac:dyDescent="0.25">
      <c r="A54" s="118" t="s">
        <v>160</v>
      </c>
      <c r="B54" s="114"/>
      <c r="C54" s="5"/>
      <c r="D54" s="172">
        <v>191400</v>
      </c>
      <c r="E54" s="146" t="s">
        <v>161</v>
      </c>
    </row>
    <row r="55" spans="1:6" ht="20.100000000000001" customHeight="1" x14ac:dyDescent="0.25">
      <c r="A55" s="118" t="s">
        <v>149</v>
      </c>
      <c r="B55" s="114"/>
      <c r="C55" s="5"/>
      <c r="D55" s="172">
        <v>31400</v>
      </c>
      <c r="E55" s="146" t="s">
        <v>166</v>
      </c>
      <c r="F55" s="42">
        <f>D54+D55+D56+D57</f>
        <v>300400</v>
      </c>
    </row>
    <row r="56" spans="1:6" ht="20.100000000000001" customHeight="1" x14ac:dyDescent="0.25">
      <c r="A56" s="118" t="s">
        <v>175</v>
      </c>
      <c r="B56" s="182"/>
      <c r="C56" s="5"/>
      <c r="D56" s="172">
        <v>46200</v>
      </c>
      <c r="E56" s="146" t="s">
        <v>166</v>
      </c>
      <c r="F56" s="42">
        <f>F55-D54</f>
        <v>109000</v>
      </c>
    </row>
    <row r="57" spans="1:6" ht="20.100000000000001" customHeight="1" x14ac:dyDescent="0.25">
      <c r="A57" s="118" t="s">
        <v>148</v>
      </c>
      <c r="B57" s="114"/>
      <c r="C57" s="5"/>
      <c r="D57" s="172">
        <v>31400</v>
      </c>
      <c r="E57" s="146" t="s">
        <v>166</v>
      </c>
    </row>
    <row r="58" spans="1:6" ht="37.9" customHeight="1" x14ac:dyDescent="0.25">
      <c r="A58" s="192" t="s">
        <v>164</v>
      </c>
      <c r="B58" s="193"/>
      <c r="C58" s="5"/>
      <c r="D58" s="172">
        <v>847000</v>
      </c>
      <c r="E58" s="146" t="s">
        <v>165</v>
      </c>
    </row>
    <row r="59" spans="1:6" ht="35.25" customHeight="1" x14ac:dyDescent="0.25">
      <c r="A59" s="192" t="s">
        <v>169</v>
      </c>
      <c r="B59" s="193"/>
      <c r="C59" s="5"/>
      <c r="D59" s="172">
        <v>120000</v>
      </c>
      <c r="E59" s="146" t="s">
        <v>167</v>
      </c>
    </row>
    <row r="60" spans="1:6" ht="20.100000000000001" customHeight="1" x14ac:dyDescent="0.25">
      <c r="A60" s="118" t="s">
        <v>139</v>
      </c>
      <c r="B60" s="114"/>
      <c r="C60" s="5"/>
      <c r="D60" s="172">
        <v>60000</v>
      </c>
      <c r="E60" s="146" t="s">
        <v>177</v>
      </c>
    </row>
    <row r="61" spans="1:6" ht="43.5" customHeight="1" x14ac:dyDescent="0.25">
      <c r="A61" s="188" t="s">
        <v>176</v>
      </c>
      <c r="B61" s="189"/>
      <c r="C61" s="5"/>
      <c r="D61" s="172">
        <v>65000</v>
      </c>
      <c r="E61" s="146" t="s">
        <v>163</v>
      </c>
    </row>
    <row r="62" spans="1:6" ht="24" customHeight="1" x14ac:dyDescent="0.25">
      <c r="A62" s="192" t="s">
        <v>162</v>
      </c>
      <c r="B62" s="193"/>
      <c r="C62" s="5"/>
      <c r="D62" s="172">
        <v>19500</v>
      </c>
      <c r="E62" s="146" t="s">
        <v>150</v>
      </c>
    </row>
    <row r="63" spans="1:6" ht="15.75" thickBot="1" x14ac:dyDescent="0.3">
      <c r="A63" s="29" t="s">
        <v>8</v>
      </c>
      <c r="B63" s="34"/>
      <c r="C63" s="34"/>
      <c r="D63" s="33"/>
      <c r="E63" s="112">
        <f>SUM(D53:D62)</f>
        <v>1601400</v>
      </c>
    </row>
    <row r="64" spans="1:6" ht="15.75" thickBot="1" x14ac:dyDescent="0.3">
      <c r="A64" s="34" t="s">
        <v>11</v>
      </c>
      <c r="B64" s="59"/>
      <c r="C64" s="29"/>
      <c r="D64" s="165"/>
      <c r="E64" s="111"/>
    </row>
    <row r="65" spans="1:12" x14ac:dyDescent="0.25">
      <c r="A65" s="5" t="s">
        <v>53</v>
      </c>
      <c r="B65" s="5"/>
      <c r="C65" s="5"/>
      <c r="D65" s="172">
        <v>69000</v>
      </c>
      <c r="E65" s="113"/>
    </row>
    <row r="66" spans="1:12" x14ac:dyDescent="0.25">
      <c r="A66" s="5" t="s">
        <v>52</v>
      </c>
      <c r="B66" s="5"/>
      <c r="C66" s="5"/>
      <c r="D66" s="172">
        <v>81606.240000000005</v>
      </c>
      <c r="E66" s="39"/>
    </row>
    <row r="67" spans="1:12" ht="15.75" thickBot="1" x14ac:dyDescent="0.3">
      <c r="A67" s="50" t="s">
        <v>15</v>
      </c>
      <c r="B67" s="50"/>
      <c r="C67" s="50"/>
      <c r="D67" s="74"/>
      <c r="E67" s="68">
        <f>SUM(D65:D66)</f>
        <v>150606.24</v>
      </c>
    </row>
    <row r="68" spans="1:12" ht="15.75" thickBot="1" x14ac:dyDescent="0.3">
      <c r="A68" s="5"/>
      <c r="B68" s="5"/>
      <c r="C68" s="5"/>
      <c r="D68" s="67"/>
      <c r="E68" s="75"/>
    </row>
    <row r="69" spans="1:12" ht="15.75" thickBot="1" x14ac:dyDescent="0.3">
      <c r="A69" s="30" t="s">
        <v>46</v>
      </c>
      <c r="B69" s="30"/>
      <c r="C69" s="30"/>
      <c r="D69" s="76"/>
      <c r="E69" s="77"/>
    </row>
    <row r="70" spans="1:12" ht="15.75" thickBot="1" x14ac:dyDescent="0.3">
      <c r="A70" s="1"/>
      <c r="D70" s="78"/>
      <c r="E70" s="79"/>
      <c r="F70" s="42"/>
    </row>
    <row r="71" spans="1:12" ht="15.75" thickBot="1" x14ac:dyDescent="0.3">
      <c r="A71" s="3" t="s">
        <v>12</v>
      </c>
      <c r="B71" s="9"/>
      <c r="C71" s="4"/>
      <c r="D71" s="80"/>
      <c r="E71" s="81">
        <f>(SUM(E28:E69))</f>
        <v>5430895.8100000005</v>
      </c>
      <c r="F71" s="101"/>
      <c r="G71" s="42"/>
      <c r="H71" s="89"/>
      <c r="I71" s="89"/>
      <c r="J71" s="89"/>
      <c r="K71" s="89"/>
      <c r="L71" s="89"/>
    </row>
    <row r="72" spans="1:12" x14ac:dyDescent="0.25">
      <c r="D72" s="78"/>
      <c r="E72" s="78"/>
      <c r="H72" s="89"/>
      <c r="I72" s="89"/>
      <c r="J72" s="89"/>
      <c r="K72" s="89"/>
      <c r="L72" s="89"/>
    </row>
    <row r="73" spans="1:12" ht="15.75" thickBot="1" x14ac:dyDescent="0.3">
      <c r="D73" s="78"/>
      <c r="E73" s="78"/>
      <c r="H73" s="120"/>
    </row>
    <row r="74" spans="1:12" x14ac:dyDescent="0.25">
      <c r="A74" s="10" t="s">
        <v>41</v>
      </c>
      <c r="B74" s="11"/>
      <c r="C74" s="12"/>
      <c r="D74" s="82"/>
      <c r="E74" s="83"/>
    </row>
    <row r="75" spans="1:12" ht="15" customHeight="1" x14ac:dyDescent="0.25">
      <c r="A75" s="192"/>
      <c r="B75" s="193"/>
      <c r="C75" s="5"/>
      <c r="D75" s="93"/>
      <c r="E75" s="69"/>
    </row>
    <row r="76" spans="1:12" x14ac:dyDescent="0.25">
      <c r="A76" s="192"/>
      <c r="B76" s="193"/>
      <c r="C76" s="5"/>
      <c r="D76" s="71"/>
      <c r="E76" s="69"/>
    </row>
    <row r="77" spans="1:12" ht="15.75" customHeight="1" x14ac:dyDescent="0.25">
      <c r="A77" s="188"/>
      <c r="B77" s="189"/>
      <c r="C77" s="5"/>
      <c r="D77" s="71"/>
      <c r="E77" s="69"/>
    </row>
    <row r="78" spans="1:12" x14ac:dyDescent="0.25">
      <c r="A78" s="70"/>
      <c r="B78" s="72"/>
      <c r="C78" s="5"/>
      <c r="D78" s="71"/>
      <c r="E78" s="69"/>
    </row>
    <row r="79" spans="1:12" x14ac:dyDescent="0.25">
      <c r="A79" s="48"/>
      <c r="B79" s="47"/>
      <c r="C79" s="47"/>
      <c r="D79" s="55"/>
      <c r="E79" s="55">
        <f>SUM(D75:D78)</f>
        <v>0</v>
      </c>
    </row>
    <row r="80" spans="1:12" ht="15" customHeight="1" thickBot="1" x14ac:dyDescent="0.3"/>
    <row r="81" spans="1:5" ht="15.75" hidden="1" thickBot="1" x14ac:dyDescent="0.3"/>
    <row r="82" spans="1:5" ht="15.75" thickBot="1" x14ac:dyDescent="0.3">
      <c r="A82" s="149" t="s">
        <v>19</v>
      </c>
      <c r="B82" s="150"/>
      <c r="C82" s="150"/>
      <c r="D82" s="151"/>
      <c r="E82" s="181">
        <v>0</v>
      </c>
    </row>
    <row r="83" spans="1:5" ht="15.75" thickBot="1" x14ac:dyDescent="0.3"/>
    <row r="84" spans="1:5" ht="15.75" thickBot="1" x14ac:dyDescent="0.3">
      <c r="A84" s="3" t="s">
        <v>20</v>
      </c>
      <c r="B84" s="9"/>
      <c r="C84" s="4"/>
      <c r="D84" s="4"/>
      <c r="E84" s="60">
        <f>E79+E82</f>
        <v>0</v>
      </c>
    </row>
    <row r="85" spans="1:5" ht="15.75" thickBot="1" x14ac:dyDescent="0.3"/>
    <row r="86" spans="1:5" ht="15.75" thickBot="1" x14ac:dyDescent="0.3">
      <c r="A86" s="65" t="s">
        <v>13</v>
      </c>
      <c r="B86" s="66">
        <f>E71</f>
        <v>5430895.8100000005</v>
      </c>
    </row>
    <row r="87" spans="1:5" ht="15.75" thickBot="1" x14ac:dyDescent="0.3">
      <c r="A87" s="65" t="s">
        <v>14</v>
      </c>
      <c r="B87" s="66">
        <f>E71-E69</f>
        <v>5430895.8100000005</v>
      </c>
    </row>
    <row r="88" spans="1:5" ht="15.75" thickBot="1" x14ac:dyDescent="0.3">
      <c r="A88" s="65" t="s">
        <v>21</v>
      </c>
      <c r="B88" s="66">
        <f>E84-E82</f>
        <v>0</v>
      </c>
    </row>
    <row r="89" spans="1:5" ht="15.75" thickBot="1" x14ac:dyDescent="0.3">
      <c r="A89" s="65" t="s">
        <v>37</v>
      </c>
      <c r="B89" s="66">
        <f>E84</f>
        <v>0</v>
      </c>
    </row>
    <row r="90" spans="1:5" ht="29.25" customHeight="1" x14ac:dyDescent="0.25"/>
    <row r="91" spans="1:5" ht="34.5" hidden="1" customHeight="1" x14ac:dyDescent="0.25"/>
    <row r="92" spans="1:5" hidden="1" x14ac:dyDescent="0.25">
      <c r="A92" s="190"/>
      <c r="B92" s="190"/>
      <c r="C92" s="190"/>
      <c r="D92" s="190"/>
      <c r="E92" s="190"/>
    </row>
    <row r="93" spans="1:5" ht="106.5" hidden="1" customHeight="1" x14ac:dyDescent="0.25">
      <c r="A93" s="190"/>
      <c r="B93" s="190"/>
      <c r="C93" s="190"/>
      <c r="D93" s="190"/>
      <c r="E93" s="190"/>
    </row>
    <row r="94" spans="1:5" ht="15.75" hidden="1" customHeight="1" x14ac:dyDescent="0.25">
      <c r="A94" s="190"/>
      <c r="B94" s="190"/>
      <c r="C94" s="190"/>
      <c r="D94" s="190"/>
      <c r="E94" s="190"/>
    </row>
    <row r="96" spans="1:5" ht="0.75" customHeight="1" x14ac:dyDescent="0.25">
      <c r="A96" s="22"/>
      <c r="B96" s="90"/>
      <c r="C96" s="23"/>
    </row>
    <row r="97" spans="1:6" hidden="1" x14ac:dyDescent="0.25">
      <c r="A97" s="32"/>
      <c r="B97" s="56">
        <v>0</v>
      </c>
      <c r="C97" s="25"/>
    </row>
    <row r="98" spans="1:6" ht="14.25" hidden="1" customHeight="1" x14ac:dyDescent="0.25">
      <c r="A98" s="24" t="s">
        <v>7</v>
      </c>
      <c r="B98" s="39">
        <f>PRORRATEO!G34</f>
        <v>3674269.8400000008</v>
      </c>
      <c r="C98" s="23"/>
    </row>
    <row r="99" spans="1:6" hidden="1" x14ac:dyDescent="0.25">
      <c r="A99" s="24"/>
      <c r="B99" s="39">
        <v>0</v>
      </c>
      <c r="C99" s="23"/>
    </row>
    <row r="100" spans="1:6" hidden="1" x14ac:dyDescent="0.25">
      <c r="A100" s="24" t="s">
        <v>38</v>
      </c>
      <c r="B100" s="73">
        <f>B132</f>
        <v>0</v>
      </c>
      <c r="C100" s="23"/>
    </row>
    <row r="101" spans="1:6" hidden="1" x14ac:dyDescent="0.25">
      <c r="A101" s="27"/>
      <c r="B101" s="46"/>
      <c r="C101" s="23"/>
    </row>
    <row r="102" spans="1:6" hidden="1" x14ac:dyDescent="0.25">
      <c r="A102" s="88" t="s">
        <v>42</v>
      </c>
      <c r="B102" s="46"/>
      <c r="C102" s="23"/>
    </row>
    <row r="103" spans="1:6" hidden="1" x14ac:dyDescent="0.25">
      <c r="A103" s="38" t="s">
        <v>22</v>
      </c>
      <c r="B103" s="46">
        <f>-B87</f>
        <v>-5430895.8100000005</v>
      </c>
      <c r="C103" s="23"/>
    </row>
    <row r="104" spans="1:6" hidden="1" x14ac:dyDescent="0.25">
      <c r="A104" s="27" t="s">
        <v>23</v>
      </c>
      <c r="B104" s="46">
        <f>-(B88)</f>
        <v>0</v>
      </c>
      <c r="C104" s="23"/>
    </row>
    <row r="105" spans="1:6" hidden="1" x14ac:dyDescent="0.25">
      <c r="A105" s="31" t="s">
        <v>8</v>
      </c>
      <c r="B105" s="56">
        <f>SUM(B97:B104)</f>
        <v>-1756625.9699999997</v>
      </c>
      <c r="C105" s="26"/>
      <c r="D105" s="42"/>
    </row>
    <row r="106" spans="1:6" ht="34.5" hidden="1" customHeight="1" x14ac:dyDescent="0.25">
      <c r="B106" s="40"/>
      <c r="C106" s="26"/>
      <c r="D106" s="42"/>
      <c r="E106" s="91"/>
      <c r="F106" s="92"/>
    </row>
    <row r="107" spans="1:6" ht="14.25" hidden="1" customHeight="1" x14ac:dyDescent="0.25">
      <c r="B107" s="41"/>
      <c r="C107" s="26"/>
    </row>
    <row r="108" spans="1:6" s="37" customFormat="1" ht="27" hidden="1" customHeight="1" x14ac:dyDescent="0.25">
      <c r="A108"/>
      <c r="B108" s="40"/>
      <c r="C108" s="36"/>
    </row>
    <row r="109" spans="1:6" s="37" customFormat="1" x14ac:dyDescent="0.25">
      <c r="A109" s="95" t="s">
        <v>130</v>
      </c>
      <c r="B109" s="148">
        <v>5421368.6600000001</v>
      </c>
      <c r="C109" s="36"/>
      <c r="D109" s="45"/>
      <c r="E109" s="42"/>
    </row>
    <row r="110" spans="1:6" x14ac:dyDescent="0.25">
      <c r="A110" s="52" t="s">
        <v>47</v>
      </c>
      <c r="B110" s="160">
        <f>-B87</f>
        <v>-5430895.8100000005</v>
      </c>
    </row>
    <row r="111" spans="1:6" x14ac:dyDescent="0.25">
      <c r="A111" s="52" t="s">
        <v>48</v>
      </c>
      <c r="B111" s="99">
        <f>-B88</f>
        <v>0</v>
      </c>
    </row>
    <row r="112" spans="1:6" x14ac:dyDescent="0.25">
      <c r="A112" s="52" t="s">
        <v>116</v>
      </c>
      <c r="B112" s="99">
        <v>350000</v>
      </c>
    </row>
    <row r="113" spans="1:5" x14ac:dyDescent="0.25">
      <c r="A113" s="52" t="s">
        <v>178</v>
      </c>
      <c r="B113" s="160">
        <v>-3949</v>
      </c>
    </row>
    <row r="114" spans="1:5" ht="34.5" customHeight="1" x14ac:dyDescent="0.25">
      <c r="A114" s="52" t="s">
        <v>180</v>
      </c>
      <c r="B114" s="230">
        <v>119941</v>
      </c>
    </row>
    <row r="115" spans="1:5" x14ac:dyDescent="0.25">
      <c r="A115" s="52" t="s">
        <v>51</v>
      </c>
      <c r="B115" s="99">
        <f>B132</f>
        <v>0</v>
      </c>
    </row>
    <row r="116" spans="1:5" x14ac:dyDescent="0.25">
      <c r="A116" s="52" t="s">
        <v>49</v>
      </c>
      <c r="B116" s="100">
        <f>PRORRATEO!G34</f>
        <v>3674269.8400000008</v>
      </c>
    </row>
    <row r="117" spans="1:5" ht="15.75" thickBot="1" x14ac:dyDescent="0.3">
      <c r="A117" s="97" t="s">
        <v>44</v>
      </c>
      <c r="B117" s="98">
        <f>SUM(B109:C116)</f>
        <v>4130734.6900000004</v>
      </c>
      <c r="D117" s="42"/>
      <c r="E117" s="42"/>
    </row>
    <row r="118" spans="1:5" x14ac:dyDescent="0.25">
      <c r="A118" s="96"/>
      <c r="B118" s="96"/>
    </row>
    <row r="119" spans="1:5" x14ac:dyDescent="0.25">
      <c r="A119" s="183"/>
      <c r="B119" s="183"/>
    </row>
    <row r="120" spans="1:5" x14ac:dyDescent="0.25">
      <c r="A120" s="227" t="s">
        <v>179</v>
      </c>
      <c r="B120" s="227"/>
    </row>
    <row r="121" spans="1:5" ht="10.5" customHeight="1" x14ac:dyDescent="0.25">
      <c r="A121" s="228"/>
      <c r="B121" s="228"/>
    </row>
    <row r="122" spans="1:5" hidden="1" x14ac:dyDescent="0.25">
      <c r="A122" s="228"/>
      <c r="B122" s="228"/>
    </row>
    <row r="123" spans="1:5" ht="44.25" customHeight="1" thickBot="1" x14ac:dyDescent="0.3">
      <c r="A123" s="229"/>
      <c r="B123" s="229"/>
    </row>
    <row r="124" spans="1:5" x14ac:dyDescent="0.25">
      <c r="A124" s="183"/>
      <c r="B124" s="183"/>
    </row>
    <row r="125" spans="1:5" x14ac:dyDescent="0.25">
      <c r="A125" s="183"/>
      <c r="B125" s="183"/>
    </row>
    <row r="126" spans="1:5" x14ac:dyDescent="0.25">
      <c r="A126" s="183"/>
      <c r="B126" s="183"/>
    </row>
    <row r="127" spans="1:5" ht="34.5" customHeight="1" x14ac:dyDescent="0.25"/>
    <row r="128" spans="1:5" x14ac:dyDescent="0.25">
      <c r="A128" s="191" t="s">
        <v>30</v>
      </c>
      <c r="B128" s="191"/>
      <c r="C128" s="191"/>
    </row>
    <row r="129" spans="1:13" x14ac:dyDescent="0.25">
      <c r="A129" s="191"/>
      <c r="B129" s="191"/>
      <c r="C129" s="191"/>
    </row>
    <row r="130" spans="1:13" ht="35.25" customHeight="1" x14ac:dyDescent="0.25">
      <c r="A130" s="85"/>
      <c r="B130" s="35">
        <v>0</v>
      </c>
      <c r="C130" s="35">
        <v>40000</v>
      </c>
      <c r="E130" s="101"/>
    </row>
    <row r="131" spans="1:13" ht="27" customHeight="1" x14ac:dyDescent="0.25">
      <c r="A131" s="85"/>
      <c r="B131" s="87"/>
      <c r="C131" s="84"/>
      <c r="D131" s="101"/>
    </row>
    <row r="132" spans="1:13" x14ac:dyDescent="0.25">
      <c r="A132" s="43" t="s">
        <v>8</v>
      </c>
      <c r="B132" s="86">
        <f>SUM(B130:B131)</f>
        <v>0</v>
      </c>
      <c r="C132" s="44"/>
    </row>
    <row r="133" spans="1:13" x14ac:dyDescent="0.25">
      <c r="M133" s="7"/>
    </row>
    <row r="134" spans="1:13" ht="15" customHeight="1" x14ac:dyDescent="0.25">
      <c r="A134" s="190"/>
      <c r="B134" s="190"/>
      <c r="C134" s="190"/>
      <c r="D134" s="190"/>
      <c r="E134" s="190"/>
    </row>
    <row r="135" spans="1:13" x14ac:dyDescent="0.25">
      <c r="A135" s="190"/>
      <c r="B135" s="190"/>
      <c r="C135" s="190"/>
      <c r="D135" s="190"/>
      <c r="E135" s="190"/>
    </row>
    <row r="136" spans="1:13" x14ac:dyDescent="0.25">
      <c r="A136" s="190"/>
      <c r="B136" s="190"/>
      <c r="C136" s="190"/>
      <c r="D136" s="190"/>
      <c r="E136" s="190"/>
    </row>
    <row r="137" spans="1:13" x14ac:dyDescent="0.25">
      <c r="A137" s="190"/>
      <c r="B137" s="190"/>
      <c r="C137" s="190"/>
      <c r="D137" s="190"/>
      <c r="E137" s="190"/>
    </row>
  </sheetData>
  <mergeCells count="20">
    <mergeCell ref="B8:C10"/>
    <mergeCell ref="A22:B22"/>
    <mergeCell ref="B1:D1"/>
    <mergeCell ref="B3:E3"/>
    <mergeCell ref="A13:E16"/>
    <mergeCell ref="A34:B34"/>
    <mergeCell ref="A134:E137"/>
    <mergeCell ref="A128:C129"/>
    <mergeCell ref="A92:E94"/>
    <mergeCell ref="A76:B76"/>
    <mergeCell ref="A75:B75"/>
    <mergeCell ref="A77:B77"/>
    <mergeCell ref="A38:B38"/>
    <mergeCell ref="A39:B39"/>
    <mergeCell ref="A35:B35"/>
    <mergeCell ref="A62:B62"/>
    <mergeCell ref="A61:B61"/>
    <mergeCell ref="A58:B58"/>
    <mergeCell ref="A59:B59"/>
    <mergeCell ref="A120:B123"/>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zoomScaleNormal="100" workbookViewId="0">
      <selection activeCell="K2" sqref="K2"/>
    </sheetView>
  </sheetViews>
  <sheetFormatPr baseColWidth="10" defaultColWidth="10.85546875" defaultRowHeight="15" x14ac:dyDescent="0.25"/>
  <cols>
    <col min="1" max="1" width="4.28515625" customWidth="1"/>
    <col min="2" max="2" width="6.5703125" customWidth="1"/>
    <col min="3" max="3" width="28.5703125" customWidth="1"/>
    <col min="4" max="4" width="20.42578125" customWidth="1"/>
    <col min="5" max="5" width="8.42578125" customWidth="1"/>
    <col min="6" max="6" width="14.140625" customWidth="1"/>
    <col min="7" max="7" width="14" customWidth="1"/>
    <col min="8" max="8" width="11.42578125" customWidth="1"/>
    <col min="9" max="9" width="11" customWidth="1"/>
    <col min="10" max="10" width="12.42578125" customWidth="1"/>
    <col min="11" max="11" width="15.5703125" bestFit="1" customWidth="1"/>
    <col min="12" max="12" width="14.7109375" customWidth="1"/>
    <col min="13" max="13" width="14.28515625" customWidth="1"/>
    <col min="14" max="14" width="7.42578125" bestFit="1" customWidth="1"/>
    <col min="15" max="15" width="12" bestFit="1" customWidth="1"/>
    <col min="16" max="16" width="13.5703125" bestFit="1" customWidth="1"/>
  </cols>
  <sheetData>
    <row r="1" spans="1:16" ht="12.95" customHeight="1" x14ac:dyDescent="0.25">
      <c r="A1" s="6"/>
      <c r="B1" s="6"/>
      <c r="C1" s="6"/>
      <c r="D1" s="6"/>
      <c r="E1" s="200"/>
      <c r="F1" s="200"/>
      <c r="G1" s="200"/>
      <c r="H1" s="200"/>
      <c r="I1" s="200"/>
      <c r="J1" s="200"/>
      <c r="K1" s="200"/>
      <c r="L1" s="200"/>
      <c r="M1" s="6"/>
    </row>
    <row r="2" spans="1:16" ht="12.95" customHeight="1" x14ac:dyDescent="0.25">
      <c r="A2" s="6"/>
      <c r="B2" s="6"/>
      <c r="C2" s="6"/>
      <c r="D2" s="6"/>
      <c r="E2" s="6" t="s">
        <v>58</v>
      </c>
      <c r="F2" s="6"/>
      <c r="G2" s="119">
        <v>0</v>
      </c>
      <c r="H2" s="6"/>
      <c r="I2" s="6"/>
      <c r="J2" s="6" t="s">
        <v>50</v>
      </c>
      <c r="K2" s="152">
        <v>5430895.8100000005</v>
      </c>
      <c r="L2" s="94"/>
      <c r="M2" s="53"/>
      <c r="N2" s="21"/>
    </row>
    <row r="3" spans="1:16" ht="12.95" customHeight="1" thickBot="1" x14ac:dyDescent="0.3">
      <c r="A3" s="6"/>
      <c r="B3" s="6"/>
      <c r="C3" s="6"/>
      <c r="D3" s="6"/>
      <c r="E3" s="6"/>
      <c r="F3" s="6"/>
      <c r="G3" s="6"/>
      <c r="H3" s="6"/>
      <c r="I3" s="6"/>
      <c r="J3" s="6"/>
      <c r="K3" s="6"/>
      <c r="L3" s="57"/>
      <c r="M3" s="57"/>
    </row>
    <row r="4" spans="1:16" ht="12.95" customHeight="1" x14ac:dyDescent="0.25">
      <c r="A4" s="208" t="s">
        <v>144</v>
      </c>
      <c r="B4" s="209"/>
      <c r="C4" s="209"/>
      <c r="D4" s="209"/>
      <c r="E4" s="209"/>
      <c r="F4" s="209"/>
      <c r="G4" s="209"/>
      <c r="H4" s="209"/>
      <c r="I4" s="209"/>
      <c r="J4" s="209"/>
      <c r="K4" s="209"/>
      <c r="L4" s="209"/>
      <c r="M4" s="210"/>
    </row>
    <row r="5" spans="1:16" ht="12.95" customHeight="1" x14ac:dyDescent="0.25">
      <c r="A5" s="211"/>
      <c r="B5" s="194"/>
      <c r="C5" s="194"/>
      <c r="D5" s="194"/>
      <c r="E5" s="194"/>
      <c r="F5" s="194"/>
      <c r="G5" s="194"/>
      <c r="H5" s="194"/>
      <c r="I5" s="194"/>
      <c r="J5" s="194"/>
      <c r="K5" s="194"/>
      <c r="L5" s="194"/>
      <c r="M5" s="212"/>
    </row>
    <row r="6" spans="1:16" ht="12.95" customHeight="1" thickBot="1" x14ac:dyDescent="0.3">
      <c r="A6" s="213"/>
      <c r="B6" s="214"/>
      <c r="C6" s="214"/>
      <c r="D6" s="214"/>
      <c r="E6" s="214"/>
      <c r="F6" s="214"/>
      <c r="G6" s="214"/>
      <c r="H6" s="214"/>
      <c r="I6" s="214"/>
      <c r="J6" s="214"/>
      <c r="K6" s="214"/>
      <c r="L6" s="214"/>
      <c r="M6" s="215"/>
    </row>
    <row r="7" spans="1:16" x14ac:dyDescent="0.25">
      <c r="A7" s="203" t="s">
        <v>5</v>
      </c>
      <c r="B7" s="203" t="s">
        <v>61</v>
      </c>
      <c r="C7" s="203" t="s">
        <v>6</v>
      </c>
      <c r="D7" s="203" t="s">
        <v>25</v>
      </c>
      <c r="E7" s="203" t="s">
        <v>10</v>
      </c>
      <c r="F7" s="201" t="s">
        <v>45</v>
      </c>
      <c r="G7" s="203" t="s">
        <v>7</v>
      </c>
      <c r="H7" s="204" t="s">
        <v>28</v>
      </c>
      <c r="I7" s="201" t="s">
        <v>39</v>
      </c>
      <c r="J7" s="201" t="s">
        <v>24</v>
      </c>
      <c r="K7" s="206" t="s">
        <v>59</v>
      </c>
      <c r="L7" s="153" t="s">
        <v>34</v>
      </c>
      <c r="M7" s="199" t="s">
        <v>33</v>
      </c>
    </row>
    <row r="8" spans="1:16" ht="15.75" customHeight="1" x14ac:dyDescent="0.25">
      <c r="A8" s="203"/>
      <c r="B8" s="216"/>
      <c r="C8" s="203"/>
      <c r="D8" s="216"/>
      <c r="E8" s="203"/>
      <c r="F8" s="202"/>
      <c r="G8" s="203"/>
      <c r="H8" s="205"/>
      <c r="I8" s="202"/>
      <c r="J8" s="202"/>
      <c r="K8" s="207"/>
      <c r="L8" s="58" t="str">
        <f>RESUMEN!B8</f>
        <v>VTO 18/06</v>
      </c>
      <c r="M8" s="199"/>
    </row>
    <row r="9" spans="1:16" ht="17.100000000000001" customHeight="1" x14ac:dyDescent="0.25">
      <c r="A9" s="122">
        <v>1</v>
      </c>
      <c r="B9" s="122" t="s">
        <v>62</v>
      </c>
      <c r="C9" s="122" t="s">
        <v>86</v>
      </c>
      <c r="D9" s="122" t="s">
        <v>127</v>
      </c>
      <c r="E9" s="144">
        <v>3.43</v>
      </c>
      <c r="F9" s="124">
        <v>135708.01</v>
      </c>
      <c r="G9" s="133">
        <v>139780</v>
      </c>
      <c r="H9" s="125">
        <f t="shared" ref="H9:H33" si="0">F9-G9</f>
        <v>-4071.9899999999907</v>
      </c>
      <c r="I9" s="125">
        <f>IF(H9&gt;0,H9*3%,0)</f>
        <v>0</v>
      </c>
      <c r="J9" s="126">
        <f>K$2*E9%</f>
        <v>186279.72628300005</v>
      </c>
      <c r="K9" s="127">
        <f>G$2*E9/100</f>
        <v>0</v>
      </c>
      <c r="L9" s="128">
        <f t="shared" ref="L9:L33" si="1">ROUND(SUM(H9:K9),0) + N9</f>
        <v>182208.01</v>
      </c>
      <c r="M9" s="129">
        <f t="shared" ref="M9:M33" si="2">ROUND(L9*3%,0) + L9</f>
        <v>187674.01</v>
      </c>
      <c r="N9" s="42">
        <v>0.01</v>
      </c>
    </row>
    <row r="10" spans="1:16" ht="17.100000000000001" customHeight="1" x14ac:dyDescent="0.25">
      <c r="A10" s="131">
        <f>A9+1</f>
        <v>2</v>
      </c>
      <c r="B10" s="131" t="s">
        <v>70</v>
      </c>
      <c r="C10" s="131" t="s">
        <v>87</v>
      </c>
      <c r="D10" s="132" t="s">
        <v>117</v>
      </c>
      <c r="E10" s="145">
        <v>2.95</v>
      </c>
      <c r="F10" s="133">
        <v>116717.02</v>
      </c>
      <c r="G10" s="133">
        <f>F10</f>
        <v>116717.02</v>
      </c>
      <c r="H10" s="125">
        <f t="shared" si="0"/>
        <v>0</v>
      </c>
      <c r="I10" s="125">
        <f t="shared" ref="I10:I33" si="3">IF(H10&gt;0,H10*3%,0)</f>
        <v>0</v>
      </c>
      <c r="J10" s="126">
        <f t="shared" ref="J10:J32" si="4">K$2*E10%</f>
        <v>160211.42639500002</v>
      </c>
      <c r="K10" s="127">
        <f t="shared" ref="K10:K32" si="5">G$2*E10/100</f>
        <v>0</v>
      </c>
      <c r="L10" s="128">
        <f t="shared" si="1"/>
        <v>160211.01999999999</v>
      </c>
      <c r="M10" s="129">
        <f t="shared" si="2"/>
        <v>165017.01999999999</v>
      </c>
      <c r="N10" s="42">
        <f>N9+0.01</f>
        <v>0.02</v>
      </c>
      <c r="O10" s="42"/>
    </row>
    <row r="11" spans="1:16" ht="17.100000000000001" customHeight="1" x14ac:dyDescent="0.25">
      <c r="A11" s="131">
        <f t="shared" ref="A11:A32" si="6">A10+1</f>
        <v>3</v>
      </c>
      <c r="B11" s="131" t="s">
        <v>71</v>
      </c>
      <c r="C11" s="131" t="s">
        <v>88</v>
      </c>
      <c r="D11" s="132" t="s">
        <v>134</v>
      </c>
      <c r="E11" s="145">
        <f>5.78+1.02</f>
        <v>6.8000000000000007</v>
      </c>
      <c r="F11" s="133">
        <v>260971.03</v>
      </c>
      <c r="G11" s="133">
        <f>F11</f>
        <v>260971.03</v>
      </c>
      <c r="H11" s="125">
        <f t="shared" si="0"/>
        <v>0</v>
      </c>
      <c r="I11" s="125">
        <f t="shared" si="3"/>
        <v>0</v>
      </c>
      <c r="J11" s="126">
        <f t="shared" si="4"/>
        <v>369300.91508000006</v>
      </c>
      <c r="K11" s="127">
        <f t="shared" si="5"/>
        <v>0</v>
      </c>
      <c r="L11" s="128">
        <f t="shared" si="1"/>
        <v>369301.03</v>
      </c>
      <c r="M11" s="129">
        <f t="shared" si="2"/>
        <v>380380.03</v>
      </c>
      <c r="N11" s="42">
        <f t="shared" ref="N11:N33" si="7">N10+0.01</f>
        <v>0.03</v>
      </c>
      <c r="O11" t="s">
        <v>126</v>
      </c>
    </row>
    <row r="12" spans="1:16" ht="17.100000000000001" customHeight="1" x14ac:dyDescent="0.25">
      <c r="A12" s="122">
        <f t="shared" si="6"/>
        <v>4</v>
      </c>
      <c r="B12" s="122" t="s">
        <v>63</v>
      </c>
      <c r="C12" s="130" t="s">
        <v>135</v>
      </c>
      <c r="D12" s="130"/>
      <c r="E12" s="144">
        <v>3.43</v>
      </c>
      <c r="F12" s="124">
        <v>131759.04000000001</v>
      </c>
      <c r="G12" s="133">
        <v>135712.04</v>
      </c>
      <c r="H12" s="125">
        <f t="shared" si="0"/>
        <v>-3953</v>
      </c>
      <c r="I12" s="125">
        <f t="shared" si="3"/>
        <v>0</v>
      </c>
      <c r="J12" s="126">
        <f t="shared" si="4"/>
        <v>186279.72628300005</v>
      </c>
      <c r="K12" s="127">
        <f t="shared" si="5"/>
        <v>0</v>
      </c>
      <c r="L12" s="128">
        <f t="shared" si="1"/>
        <v>182327.04000000001</v>
      </c>
      <c r="M12" s="129">
        <f t="shared" si="2"/>
        <v>187797.04</v>
      </c>
      <c r="N12" s="42">
        <f t="shared" si="7"/>
        <v>0.04</v>
      </c>
      <c r="P12" s="42"/>
    </row>
    <row r="13" spans="1:16" ht="17.100000000000001" customHeight="1" x14ac:dyDescent="0.25">
      <c r="A13" s="122">
        <f t="shared" si="6"/>
        <v>5</v>
      </c>
      <c r="B13" s="122" t="s">
        <v>72</v>
      </c>
      <c r="C13" s="122" t="s">
        <v>89</v>
      </c>
      <c r="D13" s="130"/>
      <c r="E13" s="144">
        <v>2.95</v>
      </c>
      <c r="F13" s="124">
        <v>116717.05</v>
      </c>
      <c r="G13" s="133">
        <f>F13</f>
        <v>116717.05</v>
      </c>
      <c r="H13" s="125">
        <f t="shared" si="0"/>
        <v>0</v>
      </c>
      <c r="I13" s="125">
        <f t="shared" si="3"/>
        <v>0</v>
      </c>
      <c r="J13" s="126">
        <f t="shared" si="4"/>
        <v>160211.42639500002</v>
      </c>
      <c r="K13" s="127">
        <f t="shared" si="5"/>
        <v>0</v>
      </c>
      <c r="L13" s="128">
        <f t="shared" si="1"/>
        <v>160211.04999999999</v>
      </c>
      <c r="M13" s="129">
        <f t="shared" si="2"/>
        <v>165017.04999999999</v>
      </c>
      <c r="N13" s="42">
        <f t="shared" si="7"/>
        <v>0.05</v>
      </c>
      <c r="P13" s="42"/>
    </row>
    <row r="14" spans="1:16" ht="17.100000000000001" customHeight="1" x14ac:dyDescent="0.25">
      <c r="A14" s="131">
        <f t="shared" si="6"/>
        <v>6</v>
      </c>
      <c r="B14" s="131" t="s">
        <v>73</v>
      </c>
      <c r="C14" s="131" t="s">
        <v>90</v>
      </c>
      <c r="D14" s="131"/>
      <c r="E14" s="144">
        <v>5.69</v>
      </c>
      <c r="F14" s="124">
        <v>225125.06</v>
      </c>
      <c r="G14" s="133">
        <v>231879.06</v>
      </c>
      <c r="H14" s="125">
        <f t="shared" si="0"/>
        <v>-6754</v>
      </c>
      <c r="I14" s="125">
        <f t="shared" si="3"/>
        <v>0</v>
      </c>
      <c r="J14" s="126">
        <f t="shared" si="4"/>
        <v>309017.97158900008</v>
      </c>
      <c r="K14" s="127">
        <f t="shared" si="5"/>
        <v>0</v>
      </c>
      <c r="L14" s="128">
        <f t="shared" si="1"/>
        <v>302264.06</v>
      </c>
      <c r="M14" s="129">
        <f t="shared" si="2"/>
        <v>311332.06</v>
      </c>
      <c r="N14" s="42">
        <f t="shared" si="7"/>
        <v>6.0000000000000005E-2</v>
      </c>
      <c r="O14" t="s">
        <v>155</v>
      </c>
    </row>
    <row r="15" spans="1:16" ht="17.100000000000001" customHeight="1" x14ac:dyDescent="0.25">
      <c r="A15" s="122">
        <f t="shared" si="6"/>
        <v>7</v>
      </c>
      <c r="B15" s="122" t="s">
        <v>64</v>
      </c>
      <c r="C15" s="122" t="s">
        <v>91</v>
      </c>
      <c r="D15" s="122"/>
      <c r="E15" s="144">
        <v>3.43</v>
      </c>
      <c r="F15" s="124">
        <v>135708.07</v>
      </c>
      <c r="G15" s="133"/>
      <c r="H15" s="125">
        <f t="shared" si="0"/>
        <v>135708.07</v>
      </c>
      <c r="I15" s="125">
        <f t="shared" si="3"/>
        <v>4071.2420999999999</v>
      </c>
      <c r="J15" s="126">
        <f t="shared" si="4"/>
        <v>186279.72628300005</v>
      </c>
      <c r="K15" s="127">
        <f t="shared" si="5"/>
        <v>0</v>
      </c>
      <c r="L15" s="128">
        <f t="shared" si="1"/>
        <v>326059.07</v>
      </c>
      <c r="M15" s="129">
        <f t="shared" si="2"/>
        <v>335841.07</v>
      </c>
      <c r="N15" s="42">
        <f t="shared" si="7"/>
        <v>7.0000000000000007E-2</v>
      </c>
      <c r="O15" t="s">
        <v>156</v>
      </c>
    </row>
    <row r="16" spans="1:16" ht="17.100000000000001" customHeight="1" x14ac:dyDescent="0.25">
      <c r="A16" s="122">
        <f t="shared" si="6"/>
        <v>8</v>
      </c>
      <c r="B16" s="122" t="s">
        <v>74</v>
      </c>
      <c r="C16" s="122" t="s">
        <v>92</v>
      </c>
      <c r="D16" s="130" t="s">
        <v>145</v>
      </c>
      <c r="E16" s="144">
        <v>2.95</v>
      </c>
      <c r="F16" s="124">
        <v>116717.08</v>
      </c>
      <c r="G16" s="133"/>
      <c r="H16" s="125">
        <f t="shared" si="0"/>
        <v>116717.08</v>
      </c>
      <c r="I16" s="125">
        <f t="shared" si="3"/>
        <v>3501.5124000000001</v>
      </c>
      <c r="J16" s="126">
        <f t="shared" si="4"/>
        <v>160211.42639500002</v>
      </c>
      <c r="K16" s="127">
        <f t="shared" si="5"/>
        <v>0</v>
      </c>
      <c r="L16" s="128">
        <f t="shared" si="1"/>
        <v>280430.08000000002</v>
      </c>
      <c r="M16" s="129">
        <f t="shared" si="2"/>
        <v>288843.08</v>
      </c>
      <c r="N16" s="42">
        <f t="shared" si="7"/>
        <v>0.08</v>
      </c>
    </row>
    <row r="17" spans="1:14" ht="17.100000000000001" customHeight="1" x14ac:dyDescent="0.25">
      <c r="A17" s="122">
        <f t="shared" si="6"/>
        <v>9</v>
      </c>
      <c r="B17" s="122" t="s">
        <v>75</v>
      </c>
      <c r="C17" s="122" t="s">
        <v>121</v>
      </c>
      <c r="D17" s="130" t="s">
        <v>118</v>
      </c>
      <c r="E17" s="144">
        <v>5.69</v>
      </c>
      <c r="F17" s="124">
        <v>225125.09</v>
      </c>
      <c r="G17" s="133"/>
      <c r="H17" s="125">
        <f t="shared" si="0"/>
        <v>225125.09</v>
      </c>
      <c r="I17" s="125">
        <f t="shared" si="3"/>
        <v>6753.7527</v>
      </c>
      <c r="J17" s="126">
        <f t="shared" si="4"/>
        <v>309017.97158900008</v>
      </c>
      <c r="K17" s="127">
        <f t="shared" si="5"/>
        <v>0</v>
      </c>
      <c r="L17" s="128">
        <f t="shared" si="1"/>
        <v>540897.09</v>
      </c>
      <c r="M17" s="129">
        <f t="shared" si="2"/>
        <v>557124.09</v>
      </c>
      <c r="N17" s="42">
        <f t="shared" si="7"/>
        <v>0.09</v>
      </c>
    </row>
    <row r="18" spans="1:14" ht="17.100000000000001" customHeight="1" x14ac:dyDescent="0.25">
      <c r="A18" s="122">
        <f t="shared" si="6"/>
        <v>10</v>
      </c>
      <c r="B18" s="122" t="s">
        <v>65</v>
      </c>
      <c r="C18" s="122" t="s">
        <v>93</v>
      </c>
      <c r="D18" s="130" t="s">
        <v>129</v>
      </c>
      <c r="E18" s="144">
        <v>3.43</v>
      </c>
      <c r="F18" s="124">
        <v>419164.1</v>
      </c>
      <c r="G18" s="133">
        <f>F18</f>
        <v>419164.1</v>
      </c>
      <c r="H18" s="125">
        <f t="shared" si="0"/>
        <v>0</v>
      </c>
      <c r="I18" s="125">
        <f t="shared" si="3"/>
        <v>0</v>
      </c>
      <c r="J18" s="126">
        <f t="shared" si="4"/>
        <v>186279.72628300005</v>
      </c>
      <c r="K18" s="127">
        <f t="shared" si="5"/>
        <v>0</v>
      </c>
      <c r="L18" s="128">
        <f t="shared" si="1"/>
        <v>186280.1</v>
      </c>
      <c r="M18" s="129">
        <f t="shared" si="2"/>
        <v>191868.1</v>
      </c>
      <c r="N18" s="42">
        <f t="shared" si="7"/>
        <v>9.9999999999999992E-2</v>
      </c>
    </row>
    <row r="19" spans="1:14" ht="17.100000000000001" customHeight="1" x14ac:dyDescent="0.25">
      <c r="A19" s="122">
        <f t="shared" si="6"/>
        <v>11</v>
      </c>
      <c r="B19" s="122" t="s">
        <v>76</v>
      </c>
      <c r="C19" s="122" t="s">
        <v>120</v>
      </c>
      <c r="D19" s="130" t="s">
        <v>128</v>
      </c>
      <c r="E19" s="144">
        <v>2.95</v>
      </c>
      <c r="F19" s="124">
        <v>113321.11</v>
      </c>
      <c r="G19" s="133">
        <f>F19</f>
        <v>113321.11</v>
      </c>
      <c r="H19" s="125">
        <f t="shared" si="0"/>
        <v>0</v>
      </c>
      <c r="I19" s="125">
        <f t="shared" si="3"/>
        <v>0</v>
      </c>
      <c r="J19" s="126">
        <f t="shared" si="4"/>
        <v>160211.42639500002</v>
      </c>
      <c r="K19" s="127">
        <f t="shared" si="5"/>
        <v>0</v>
      </c>
      <c r="L19" s="128">
        <f t="shared" si="1"/>
        <v>160211.10999999999</v>
      </c>
      <c r="M19" s="129">
        <f t="shared" si="2"/>
        <v>165017.10999999999</v>
      </c>
      <c r="N19" s="42">
        <f t="shared" si="7"/>
        <v>0.10999999999999999</v>
      </c>
    </row>
    <row r="20" spans="1:14" ht="17.100000000000001" customHeight="1" x14ac:dyDescent="0.25">
      <c r="A20" s="122">
        <f t="shared" si="6"/>
        <v>12</v>
      </c>
      <c r="B20" s="122" t="s">
        <v>77</v>
      </c>
      <c r="C20" s="122" t="s">
        <v>122</v>
      </c>
      <c r="D20" s="130" t="s">
        <v>119</v>
      </c>
      <c r="E20" s="144">
        <f>5.69+0.51</f>
        <v>6.2</v>
      </c>
      <c r="F20" s="124">
        <v>245082.12</v>
      </c>
      <c r="G20" s="133">
        <f>F20</f>
        <v>245082.12</v>
      </c>
      <c r="H20" s="125">
        <f t="shared" si="0"/>
        <v>0</v>
      </c>
      <c r="I20" s="125">
        <f t="shared" si="3"/>
        <v>0</v>
      </c>
      <c r="J20" s="126">
        <f t="shared" si="4"/>
        <v>336715.54022000002</v>
      </c>
      <c r="K20" s="127">
        <f t="shared" si="5"/>
        <v>0</v>
      </c>
      <c r="L20" s="128">
        <f t="shared" si="1"/>
        <v>336716.12</v>
      </c>
      <c r="M20" s="129">
        <f t="shared" si="2"/>
        <v>346817.12</v>
      </c>
      <c r="N20" s="42">
        <f t="shared" si="7"/>
        <v>0.11999999999999998</v>
      </c>
    </row>
    <row r="21" spans="1:14" ht="17.100000000000001" customHeight="1" x14ac:dyDescent="0.25">
      <c r="A21" s="122">
        <f t="shared" si="6"/>
        <v>13</v>
      </c>
      <c r="B21" s="122" t="s">
        <v>66</v>
      </c>
      <c r="C21" s="122" t="s">
        <v>94</v>
      </c>
      <c r="D21" s="130" t="s">
        <v>131</v>
      </c>
      <c r="E21" s="144">
        <v>3.43</v>
      </c>
      <c r="F21" s="124">
        <v>135708.13</v>
      </c>
      <c r="G21" s="133">
        <f>F21+5406.25</f>
        <v>141114.38</v>
      </c>
      <c r="H21" s="125">
        <f t="shared" si="0"/>
        <v>-5406.25</v>
      </c>
      <c r="I21" s="125">
        <f t="shared" si="3"/>
        <v>0</v>
      </c>
      <c r="J21" s="126">
        <f t="shared" si="4"/>
        <v>186279.72628300005</v>
      </c>
      <c r="K21" s="127">
        <f t="shared" si="5"/>
        <v>0</v>
      </c>
      <c r="L21" s="128">
        <f t="shared" si="1"/>
        <v>180873.13</v>
      </c>
      <c r="M21" s="129">
        <f t="shared" si="2"/>
        <v>186299.13</v>
      </c>
      <c r="N21" s="42">
        <f t="shared" si="7"/>
        <v>0.12999999999999998</v>
      </c>
    </row>
    <row r="22" spans="1:14" ht="17.100000000000001" customHeight="1" x14ac:dyDescent="0.25">
      <c r="A22" s="122">
        <f t="shared" si="6"/>
        <v>14</v>
      </c>
      <c r="B22" s="122" t="s">
        <v>78</v>
      </c>
      <c r="C22" s="122" t="s">
        <v>95</v>
      </c>
      <c r="D22" s="130" t="s">
        <v>140</v>
      </c>
      <c r="E22" s="144">
        <v>2.95</v>
      </c>
      <c r="F22" s="124">
        <v>116717.14</v>
      </c>
      <c r="G22" s="133">
        <f>F22</f>
        <v>116717.14</v>
      </c>
      <c r="H22" s="125">
        <f t="shared" si="0"/>
        <v>0</v>
      </c>
      <c r="I22" s="125">
        <f t="shared" si="3"/>
        <v>0</v>
      </c>
      <c r="J22" s="126">
        <f t="shared" si="4"/>
        <v>160211.42639500002</v>
      </c>
      <c r="K22" s="127">
        <f t="shared" si="5"/>
        <v>0</v>
      </c>
      <c r="L22" s="128">
        <f t="shared" si="1"/>
        <v>160211.14000000001</v>
      </c>
      <c r="M22" s="129">
        <f t="shared" si="2"/>
        <v>165017.14000000001</v>
      </c>
      <c r="N22" s="42">
        <f t="shared" si="7"/>
        <v>0.13999999999999999</v>
      </c>
    </row>
    <row r="23" spans="1:14" ht="17.100000000000001" customHeight="1" x14ac:dyDescent="0.25">
      <c r="A23" s="131">
        <f t="shared" si="6"/>
        <v>15</v>
      </c>
      <c r="B23" s="131" t="s">
        <v>79</v>
      </c>
      <c r="C23" s="131" t="s">
        <v>96</v>
      </c>
      <c r="D23" s="132" t="s">
        <v>132</v>
      </c>
      <c r="E23" s="145">
        <f>5.69+0.51</f>
        <v>6.2</v>
      </c>
      <c r="F23" s="133">
        <v>245303.15</v>
      </c>
      <c r="G23" s="133">
        <f>F23</f>
        <v>245303.15</v>
      </c>
      <c r="H23" s="125">
        <f t="shared" si="0"/>
        <v>0</v>
      </c>
      <c r="I23" s="125">
        <f t="shared" si="3"/>
        <v>0</v>
      </c>
      <c r="J23" s="126">
        <f t="shared" si="4"/>
        <v>336715.54022000002</v>
      </c>
      <c r="K23" s="127">
        <f t="shared" si="5"/>
        <v>0</v>
      </c>
      <c r="L23" s="128">
        <f t="shared" si="1"/>
        <v>336716.15</v>
      </c>
      <c r="M23" s="129">
        <f t="shared" si="2"/>
        <v>346817.15</v>
      </c>
      <c r="N23" s="42">
        <f t="shared" si="7"/>
        <v>0.15</v>
      </c>
    </row>
    <row r="24" spans="1:14" ht="17.100000000000001" customHeight="1" x14ac:dyDescent="0.25">
      <c r="A24" s="131">
        <f t="shared" si="6"/>
        <v>16</v>
      </c>
      <c r="B24" s="131" t="s">
        <v>67</v>
      </c>
      <c r="C24" s="131" t="s">
        <v>97</v>
      </c>
      <c r="D24" s="131"/>
      <c r="E24" s="144">
        <v>3.43</v>
      </c>
      <c r="F24" s="124">
        <v>271294.15999999997</v>
      </c>
      <c r="G24" s="133">
        <f>267345.16+3949</f>
        <v>271294.15999999997</v>
      </c>
      <c r="H24" s="125">
        <f t="shared" si="0"/>
        <v>0</v>
      </c>
      <c r="I24" s="125">
        <f t="shared" si="3"/>
        <v>0</v>
      </c>
      <c r="J24" s="126">
        <f t="shared" si="4"/>
        <v>186279.72628300005</v>
      </c>
      <c r="K24" s="127">
        <f t="shared" si="5"/>
        <v>0</v>
      </c>
      <c r="L24" s="128">
        <f t="shared" si="1"/>
        <v>186280.16</v>
      </c>
      <c r="M24" s="129">
        <f t="shared" si="2"/>
        <v>191868.16</v>
      </c>
      <c r="N24" s="42">
        <f t="shared" si="7"/>
        <v>0.16</v>
      </c>
    </row>
    <row r="25" spans="1:14" ht="17.100000000000001" customHeight="1" x14ac:dyDescent="0.25">
      <c r="A25" s="122">
        <f t="shared" si="6"/>
        <v>17</v>
      </c>
      <c r="B25" s="122" t="s">
        <v>80</v>
      </c>
      <c r="C25" s="122" t="s">
        <v>98</v>
      </c>
      <c r="D25" s="130" t="s">
        <v>141</v>
      </c>
      <c r="E25" s="144">
        <v>2.95</v>
      </c>
      <c r="F25" s="133">
        <v>116717.17</v>
      </c>
      <c r="G25" s="133">
        <f>F25</f>
        <v>116717.17</v>
      </c>
      <c r="H25" s="125">
        <f t="shared" si="0"/>
        <v>0</v>
      </c>
      <c r="I25" s="125">
        <f t="shared" si="3"/>
        <v>0</v>
      </c>
      <c r="J25" s="126">
        <f t="shared" si="4"/>
        <v>160211.42639500002</v>
      </c>
      <c r="K25" s="127">
        <f t="shared" si="5"/>
        <v>0</v>
      </c>
      <c r="L25" s="128">
        <f t="shared" si="1"/>
        <v>160211.17000000001</v>
      </c>
      <c r="M25" s="129">
        <f t="shared" si="2"/>
        <v>165017.17000000001</v>
      </c>
      <c r="N25" s="42">
        <f t="shared" si="7"/>
        <v>0.17</v>
      </c>
    </row>
    <row r="26" spans="1:14" ht="17.100000000000001" customHeight="1" x14ac:dyDescent="0.25">
      <c r="A26" s="131">
        <f t="shared" si="6"/>
        <v>18</v>
      </c>
      <c r="B26" s="131" t="s">
        <v>81</v>
      </c>
      <c r="C26" s="131" t="s">
        <v>99</v>
      </c>
      <c r="D26" s="154"/>
      <c r="E26" s="145">
        <f>5.69+0.51</f>
        <v>6.2</v>
      </c>
      <c r="F26" s="133">
        <v>252662.18</v>
      </c>
      <c r="G26" s="133">
        <v>245303.18</v>
      </c>
      <c r="H26" s="125">
        <f t="shared" si="0"/>
        <v>7359</v>
      </c>
      <c r="I26" s="125">
        <f t="shared" si="3"/>
        <v>220.76999999999998</v>
      </c>
      <c r="J26" s="126">
        <f t="shared" si="4"/>
        <v>336715.54022000002</v>
      </c>
      <c r="K26" s="127">
        <f t="shared" si="5"/>
        <v>0</v>
      </c>
      <c r="L26" s="128">
        <f t="shared" si="1"/>
        <v>344295.18</v>
      </c>
      <c r="M26" s="129">
        <f t="shared" si="2"/>
        <v>354624.18</v>
      </c>
      <c r="N26" s="42">
        <f t="shared" si="7"/>
        <v>0.18000000000000002</v>
      </c>
    </row>
    <row r="27" spans="1:14" x14ac:dyDescent="0.25">
      <c r="A27" s="131">
        <f t="shared" si="6"/>
        <v>19</v>
      </c>
      <c r="B27" s="131" t="s">
        <v>68</v>
      </c>
      <c r="C27" s="131" t="s">
        <v>125</v>
      </c>
      <c r="D27" s="132" t="s">
        <v>133</v>
      </c>
      <c r="E27" s="145">
        <v>3.43</v>
      </c>
      <c r="F27" s="133">
        <v>460172.19</v>
      </c>
      <c r="G27" s="133"/>
      <c r="H27" s="125">
        <f t="shared" si="0"/>
        <v>460172.19</v>
      </c>
      <c r="I27" s="125">
        <f t="shared" si="3"/>
        <v>13805.1657</v>
      </c>
      <c r="J27" s="126">
        <f t="shared" si="4"/>
        <v>186279.72628300005</v>
      </c>
      <c r="K27" s="127">
        <f t="shared" si="5"/>
        <v>0</v>
      </c>
      <c r="L27" s="128">
        <f t="shared" si="1"/>
        <v>660257.18999999994</v>
      </c>
      <c r="M27" s="129">
        <f t="shared" si="2"/>
        <v>680065.19</v>
      </c>
      <c r="N27" s="42">
        <f t="shared" si="7"/>
        <v>0.19000000000000003</v>
      </c>
    </row>
    <row r="28" spans="1:14" x14ac:dyDescent="0.25">
      <c r="A28" s="131">
        <f t="shared" si="6"/>
        <v>20</v>
      </c>
      <c r="B28" s="155" t="s">
        <v>82</v>
      </c>
      <c r="C28" s="131" t="s">
        <v>123</v>
      </c>
      <c r="D28" s="132" t="s">
        <v>142</v>
      </c>
      <c r="E28" s="145">
        <v>2.95</v>
      </c>
      <c r="F28" s="135">
        <v>116717.2</v>
      </c>
      <c r="G28" s="133">
        <f>F28</f>
        <v>116717.2</v>
      </c>
      <c r="H28" s="125">
        <f t="shared" si="0"/>
        <v>0</v>
      </c>
      <c r="I28" s="125">
        <f t="shared" si="3"/>
        <v>0</v>
      </c>
      <c r="J28" s="126">
        <f t="shared" si="4"/>
        <v>160211.42639500002</v>
      </c>
      <c r="K28" s="127">
        <f t="shared" si="5"/>
        <v>0</v>
      </c>
      <c r="L28" s="128">
        <f t="shared" si="1"/>
        <v>160211.20000000001</v>
      </c>
      <c r="M28" s="129">
        <f t="shared" si="2"/>
        <v>165017.20000000001</v>
      </c>
      <c r="N28" s="42">
        <f t="shared" si="7"/>
        <v>0.20000000000000004</v>
      </c>
    </row>
    <row r="29" spans="1:14" x14ac:dyDescent="0.25">
      <c r="A29" s="131">
        <f t="shared" si="6"/>
        <v>21</v>
      </c>
      <c r="B29" s="155" t="s">
        <v>83</v>
      </c>
      <c r="C29" s="156" t="s">
        <v>100</v>
      </c>
      <c r="D29" s="132"/>
      <c r="E29" s="145">
        <f>5.69+0.51</f>
        <v>6.2</v>
      </c>
      <c r="F29" s="135">
        <v>238441.21</v>
      </c>
      <c r="G29" s="133">
        <v>245594.21</v>
      </c>
      <c r="H29" s="125">
        <f t="shared" si="0"/>
        <v>-7153</v>
      </c>
      <c r="I29" s="125">
        <f t="shared" si="3"/>
        <v>0</v>
      </c>
      <c r="J29" s="126">
        <f t="shared" si="4"/>
        <v>336715.54022000002</v>
      </c>
      <c r="K29" s="127">
        <f t="shared" si="5"/>
        <v>0</v>
      </c>
      <c r="L29" s="128">
        <f t="shared" si="1"/>
        <v>329563.21000000002</v>
      </c>
      <c r="M29" s="129">
        <f t="shared" si="2"/>
        <v>339450.21</v>
      </c>
      <c r="N29" s="42">
        <f t="shared" si="7"/>
        <v>0.21000000000000005</v>
      </c>
    </row>
    <row r="30" spans="1:14" x14ac:dyDescent="0.25">
      <c r="A30" s="131">
        <f t="shared" si="6"/>
        <v>22</v>
      </c>
      <c r="B30" s="157" t="s">
        <v>69</v>
      </c>
      <c r="C30" s="131" t="s">
        <v>101</v>
      </c>
      <c r="D30" s="132" t="s">
        <v>154</v>
      </c>
      <c r="E30" s="145">
        <v>3.43</v>
      </c>
      <c r="F30" s="135">
        <v>130534.22</v>
      </c>
      <c r="G30" s="135">
        <v>0</v>
      </c>
      <c r="H30" s="125">
        <f t="shared" si="0"/>
        <v>130534.22</v>
      </c>
      <c r="I30" s="125">
        <f t="shared" si="3"/>
        <v>3916.0265999999997</v>
      </c>
      <c r="J30" s="126">
        <f t="shared" si="4"/>
        <v>186279.72628300005</v>
      </c>
      <c r="K30" s="127">
        <f t="shared" si="5"/>
        <v>0</v>
      </c>
      <c r="L30" s="128">
        <f t="shared" si="1"/>
        <v>320730.21999999997</v>
      </c>
      <c r="M30" s="129">
        <f t="shared" si="2"/>
        <v>330352.21999999997</v>
      </c>
      <c r="N30" s="42">
        <f t="shared" si="7"/>
        <v>0.22000000000000006</v>
      </c>
    </row>
    <row r="31" spans="1:14" x14ac:dyDescent="0.25">
      <c r="A31" s="131">
        <f t="shared" si="6"/>
        <v>23</v>
      </c>
      <c r="B31" s="157" t="s">
        <v>84</v>
      </c>
      <c r="C31" s="158" t="s">
        <v>124</v>
      </c>
      <c r="D31" s="159" t="s">
        <v>143</v>
      </c>
      <c r="E31" s="145">
        <v>2.95</v>
      </c>
      <c r="F31" s="135">
        <v>116717.23</v>
      </c>
      <c r="G31" s="133">
        <f>F31</f>
        <v>116717.23</v>
      </c>
      <c r="H31" s="125">
        <f t="shared" si="0"/>
        <v>0</v>
      </c>
      <c r="I31" s="125">
        <f t="shared" si="3"/>
        <v>0</v>
      </c>
      <c r="J31" s="126">
        <f t="shared" si="4"/>
        <v>160211.42639500002</v>
      </c>
      <c r="K31" s="127">
        <f t="shared" si="5"/>
        <v>0</v>
      </c>
      <c r="L31" s="128">
        <f t="shared" si="1"/>
        <v>160211.23000000001</v>
      </c>
      <c r="M31" s="129">
        <f t="shared" si="2"/>
        <v>165017.23000000001</v>
      </c>
      <c r="N31" s="42">
        <f t="shared" si="7"/>
        <v>0.23000000000000007</v>
      </c>
    </row>
    <row r="32" spans="1:14" x14ac:dyDescent="0.25">
      <c r="A32" s="122">
        <f t="shared" si="6"/>
        <v>24</v>
      </c>
      <c r="B32" s="136" t="s">
        <v>85</v>
      </c>
      <c r="C32" s="137" t="s">
        <v>102</v>
      </c>
      <c r="D32" s="138"/>
      <c r="E32" s="144">
        <v>5.68</v>
      </c>
      <c r="F32" s="134">
        <v>217987.24</v>
      </c>
      <c r="G32" s="135">
        <v>224527.24</v>
      </c>
      <c r="H32" s="125">
        <f t="shared" si="0"/>
        <v>-6540</v>
      </c>
      <c r="I32" s="125">
        <f t="shared" si="3"/>
        <v>0</v>
      </c>
      <c r="J32" s="126">
        <f t="shared" si="4"/>
        <v>308474.88200799999</v>
      </c>
      <c r="K32" s="127">
        <f t="shared" si="5"/>
        <v>0</v>
      </c>
      <c r="L32" s="128">
        <f t="shared" si="1"/>
        <v>301935.24</v>
      </c>
      <c r="M32" s="129">
        <f t="shared" si="2"/>
        <v>310993.24</v>
      </c>
      <c r="N32" s="42">
        <f t="shared" si="7"/>
        <v>0.24000000000000007</v>
      </c>
    </row>
    <row r="33" spans="1:15" ht="17.100000000000001" customHeight="1" thickBot="1" x14ac:dyDescent="0.3">
      <c r="A33" s="217" t="s">
        <v>104</v>
      </c>
      <c r="B33" s="218"/>
      <c r="C33" s="137" t="s">
        <v>103</v>
      </c>
      <c r="D33" s="137"/>
      <c r="E33" s="123"/>
      <c r="F33" s="134">
        <v>53321.25</v>
      </c>
      <c r="G33" s="135">
        <v>54921.25</v>
      </c>
      <c r="H33" s="125">
        <f t="shared" si="0"/>
        <v>-1600</v>
      </c>
      <c r="I33" s="125">
        <f t="shared" si="3"/>
        <v>0</v>
      </c>
      <c r="J33" s="126">
        <f>J16</f>
        <v>160211.42639500002</v>
      </c>
      <c r="K33" s="127">
        <f>K16</f>
        <v>0</v>
      </c>
      <c r="L33" s="128">
        <f t="shared" si="1"/>
        <v>158611.25</v>
      </c>
      <c r="M33" s="129">
        <f t="shared" si="2"/>
        <v>163369.25</v>
      </c>
      <c r="N33" s="42">
        <f t="shared" si="7"/>
        <v>0.25000000000000006</v>
      </c>
      <c r="O33" t="s">
        <v>136</v>
      </c>
    </row>
    <row r="34" spans="1:15" ht="17.100000000000001" customHeight="1" thickBot="1" x14ac:dyDescent="0.3">
      <c r="A34" s="219" t="s">
        <v>105</v>
      </c>
      <c r="B34" s="219"/>
      <c r="C34" s="220"/>
      <c r="D34" s="139"/>
      <c r="E34" s="147">
        <f>SUM(E9:E33)</f>
        <v>99.700000000000045</v>
      </c>
      <c r="F34" s="140">
        <f t="shared" ref="F34:K34" si="8">SUM(F9:F33)</f>
        <v>4714407.2500000009</v>
      </c>
      <c r="G34" s="141">
        <f>SUM(G9:G33)</f>
        <v>3674269.8400000008</v>
      </c>
      <c r="H34" s="141">
        <f t="shared" si="8"/>
        <v>1040137.4099999999</v>
      </c>
      <c r="I34" s="141">
        <f t="shared" si="8"/>
        <v>32268.469500000003</v>
      </c>
      <c r="J34" s="142">
        <f t="shared" si="8"/>
        <v>5574814.5489649996</v>
      </c>
      <c r="K34" s="141">
        <f t="shared" si="8"/>
        <v>0</v>
      </c>
      <c r="L34" s="143">
        <f>SUM(L9:L26)</f>
        <v>4555702.71</v>
      </c>
      <c r="M34" s="143">
        <f>SUM(M9:M33)</f>
        <v>6846635.2500000009</v>
      </c>
    </row>
    <row r="35" spans="1:15" ht="12.75" customHeight="1" x14ac:dyDescent="0.25">
      <c r="C35" s="49"/>
      <c r="D35" s="49"/>
    </row>
    <row r="36" spans="1:15" hidden="1" x14ac:dyDescent="0.25"/>
    <row r="37" spans="1:15" ht="9" customHeight="1" x14ac:dyDescent="0.25">
      <c r="C37" s="190"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90"/>
      <c r="E37" s="190"/>
      <c r="F37" s="190"/>
      <c r="G37" s="190"/>
      <c r="H37" s="190"/>
      <c r="I37" s="190"/>
      <c r="J37" s="190"/>
      <c r="K37" s="190"/>
      <c r="L37" s="190"/>
    </row>
    <row r="38" spans="1:15" ht="12" hidden="1" customHeight="1" x14ac:dyDescent="0.25">
      <c r="C38" s="190"/>
      <c r="D38" s="190"/>
      <c r="E38" s="190"/>
      <c r="F38" s="190"/>
      <c r="G38" s="190"/>
      <c r="H38" s="190"/>
      <c r="I38" s="190"/>
      <c r="J38" s="190"/>
      <c r="K38" s="190"/>
      <c r="L38" s="190"/>
    </row>
    <row r="39" spans="1:15" ht="12" hidden="1" customHeight="1" x14ac:dyDescent="0.25">
      <c r="C39" s="190"/>
      <c r="D39" s="190"/>
      <c r="E39" s="190"/>
      <c r="F39" s="190"/>
      <c r="G39" s="190"/>
      <c r="H39" s="190"/>
      <c r="I39" s="190"/>
      <c r="J39" s="190"/>
      <c r="K39" s="190"/>
      <c r="L39" s="190"/>
    </row>
    <row r="40" spans="1:15" ht="12" hidden="1" customHeight="1" x14ac:dyDescent="0.25">
      <c r="C40" s="190"/>
      <c r="D40" s="190"/>
      <c r="E40" s="190"/>
      <c r="F40" s="190"/>
      <c r="G40" s="190"/>
      <c r="H40" s="190"/>
      <c r="I40" s="190"/>
      <c r="J40" s="190"/>
      <c r="K40" s="190"/>
      <c r="L40" s="190"/>
    </row>
    <row r="41" spans="1:15" ht="12" hidden="1" customHeight="1" x14ac:dyDescent="0.25">
      <c r="C41" s="190"/>
      <c r="D41" s="190"/>
      <c r="E41" s="190"/>
      <c r="F41" s="190"/>
      <c r="G41" s="190"/>
      <c r="H41" s="190"/>
      <c r="I41" s="190"/>
      <c r="J41" s="190"/>
      <c r="K41" s="190"/>
      <c r="L41" s="190"/>
    </row>
    <row r="42" spans="1:15" ht="127.5" customHeight="1" x14ac:dyDescent="0.25">
      <c r="C42" s="190"/>
      <c r="D42" s="190"/>
      <c r="E42" s="190"/>
      <c r="F42" s="190"/>
      <c r="G42" s="190"/>
      <c r="H42" s="190"/>
      <c r="I42" s="190"/>
      <c r="J42" s="190"/>
      <c r="K42" s="190"/>
      <c r="L42" s="190"/>
    </row>
  </sheetData>
  <mergeCells count="17">
    <mergeCell ref="C37:L42"/>
    <mergeCell ref="D7:D8"/>
    <mergeCell ref="A7:A8"/>
    <mergeCell ref="C7:C8"/>
    <mergeCell ref="E7:E8"/>
    <mergeCell ref="B7:B8"/>
    <mergeCell ref="A33:B33"/>
    <mergeCell ref="A34:C34"/>
    <mergeCell ref="M7:M8"/>
    <mergeCell ref="E1:L1"/>
    <mergeCell ref="I7:I8"/>
    <mergeCell ref="F7:F8"/>
    <mergeCell ref="G7:G8"/>
    <mergeCell ref="H7:H8"/>
    <mergeCell ref="J7:J8"/>
    <mergeCell ref="K7:K8"/>
    <mergeCell ref="A4:M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2:G9"/>
  <sheetViews>
    <sheetView workbookViewId="0">
      <selection activeCell="C4" sqref="C4"/>
    </sheetView>
  </sheetViews>
  <sheetFormatPr baseColWidth="10" defaultColWidth="10.85546875" defaultRowHeight="15" x14ac:dyDescent="0.25"/>
  <sheetData>
    <row r="2" spans="2:7" ht="15.75" thickBot="1" x14ac:dyDescent="0.3"/>
    <row r="3" spans="2:7" x14ac:dyDescent="0.25">
      <c r="B3" s="184" t="s">
        <v>146</v>
      </c>
      <c r="C3" s="185"/>
      <c r="D3" s="175"/>
      <c r="E3" s="175"/>
      <c r="F3" s="175"/>
      <c r="G3" s="176"/>
    </row>
    <row r="4" spans="2:7" x14ac:dyDescent="0.25">
      <c r="B4" s="186" t="s">
        <v>147</v>
      </c>
      <c r="C4" s="187"/>
      <c r="G4" s="177"/>
    </row>
    <row r="5" spans="2:7" x14ac:dyDescent="0.25">
      <c r="B5" s="178"/>
      <c r="G5" s="177"/>
    </row>
    <row r="6" spans="2:7" x14ac:dyDescent="0.25">
      <c r="B6" s="221"/>
      <c r="C6" s="222"/>
      <c r="D6" s="222"/>
      <c r="E6" s="222"/>
      <c r="F6" s="222"/>
      <c r="G6" s="223"/>
    </row>
    <row r="7" spans="2:7" x14ac:dyDescent="0.25">
      <c r="B7" s="221"/>
      <c r="C7" s="222"/>
      <c r="D7" s="222"/>
      <c r="E7" s="222"/>
      <c r="F7" s="222"/>
      <c r="G7" s="223"/>
    </row>
    <row r="8" spans="2:7" x14ac:dyDescent="0.25">
      <c r="B8" s="221"/>
      <c r="C8" s="222"/>
      <c r="D8" s="222"/>
      <c r="E8" s="222"/>
      <c r="F8" s="222"/>
      <c r="G8" s="223"/>
    </row>
    <row r="9" spans="2:7" ht="15.75" thickBot="1" x14ac:dyDescent="0.3">
      <c r="B9" s="224"/>
      <c r="C9" s="225"/>
      <c r="D9" s="225"/>
      <c r="E9" s="225"/>
      <c r="F9" s="225"/>
      <c r="G9" s="226"/>
    </row>
  </sheetData>
  <mergeCells count="1">
    <mergeCell ref="B6:G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2026-06-03T14:50:28Z</cp:lastPrinted>
  <dcterms:created xsi:type="dcterms:W3CDTF">2023-09-17T12:29:07Z</dcterms:created>
  <dcterms:modified xsi:type="dcterms:W3CDTF">2026-06-03T14:51:10Z</dcterms:modified>
</cp:coreProperties>
</file>