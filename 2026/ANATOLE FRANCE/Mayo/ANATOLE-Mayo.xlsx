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Mayo\"/>
    </mc:Choice>
  </mc:AlternateContent>
  <xr:revisionPtr revIDLastSave="0" documentId="13_ncr:1_{E257D11F-9D47-496A-B2A5-D3B5F73ACF75}"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RESUMEN!$A$1:$E$134</definedName>
  </definedNames>
  <calcPr calcId="181029"/>
</workbook>
</file>

<file path=xl/calcChain.xml><?xml version="1.0" encoding="utf-8"?>
<calcChain xmlns="http://schemas.openxmlformats.org/spreadsheetml/2006/main">
  <c r="G10" i="2" l="1"/>
  <c r="G33" i="2"/>
  <c r="G26" i="2"/>
  <c r="G25" i="2"/>
  <c r="G16" i="2"/>
  <c r="G14" i="2"/>
  <c r="G28" i="2"/>
  <c r="G31" i="2"/>
  <c r="G21" i="2"/>
  <c r="G9" i="2"/>
  <c r="G30" i="2"/>
  <c r="J33" i="2"/>
  <c r="E40" i="1" l="1"/>
  <c r="G23" i="2"/>
  <c r="H31" i="2" l="1"/>
  <c r="I31" i="2" s="1"/>
  <c r="K9" i="2"/>
  <c r="K27" i="2"/>
  <c r="K28" i="2"/>
  <c r="K30" i="2"/>
  <c r="K31" i="2"/>
  <c r="K32" i="2"/>
  <c r="H27" i="2"/>
  <c r="I27" i="2" s="1"/>
  <c r="H28" i="2"/>
  <c r="I28" i="2" s="1"/>
  <c r="H29" i="2"/>
  <c r="I29" i="2" s="1"/>
  <c r="H30" i="2"/>
  <c r="I30" i="2" s="1"/>
  <c r="H33" i="2"/>
  <c r="I33" i="2" s="1"/>
  <c r="J10" i="2"/>
  <c r="J12" i="2"/>
  <c r="J13" i="2"/>
  <c r="J14" i="2"/>
  <c r="J15" i="2"/>
  <c r="J16" i="2"/>
  <c r="J17" i="2"/>
  <c r="J18" i="2"/>
  <c r="J19" i="2"/>
  <c r="J21" i="2"/>
  <c r="J22" i="2"/>
  <c r="J24" i="2"/>
  <c r="J25" i="2"/>
  <c r="J27" i="2"/>
  <c r="J28" i="2"/>
  <c r="J30" i="2"/>
  <c r="J31" i="2"/>
  <c r="J32" i="2"/>
  <c r="J9" i="2"/>
  <c r="G13" i="2"/>
  <c r="G15" i="2"/>
  <c r="G22" i="2"/>
  <c r="H32" i="2"/>
  <c r="I32" i="2" s="1"/>
  <c r="G17" i="2"/>
  <c r="D25" i="1"/>
  <c r="E65" i="1"/>
  <c r="E45" i="1"/>
  <c r="E44" i="1"/>
  <c r="E29" i="2"/>
  <c r="K29" i="2" s="1"/>
  <c r="E26" i="2"/>
  <c r="J26" i="2" s="1"/>
  <c r="E23" i="2"/>
  <c r="J23" i="2" s="1"/>
  <c r="E20" i="2"/>
  <c r="J20" i="2" s="1"/>
  <c r="E11" i="2"/>
  <c r="J11" i="2" s="1"/>
  <c r="J29" i="2" l="1"/>
  <c r="E34" i="2"/>
  <c r="E46" i="1" l="1"/>
  <c r="E53" i="1"/>
  <c r="E69" i="1" l="1"/>
  <c r="E36" i="1" l="1"/>
  <c r="K10" i="2" l="1"/>
  <c r="K11" i="2"/>
  <c r="K12" i="2"/>
  <c r="K13" i="2"/>
  <c r="K14" i="2"/>
  <c r="K15" i="2"/>
  <c r="K16" i="2"/>
  <c r="K33" i="2" s="1"/>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81" i="1" l="1"/>
  <c r="E86" i="1" s="1"/>
  <c r="B90" i="1" s="1"/>
  <c r="B113" i="1" s="1"/>
  <c r="B106" i="1" l="1"/>
  <c r="B133" i="1"/>
  <c r="B102" i="1" l="1"/>
  <c r="B119" i="1"/>
  <c r="H23" i="2" l="1"/>
  <c r="D31" i="1" l="1"/>
  <c r="L8" i="2" l="1"/>
  <c r="E32" i="1" l="1"/>
  <c r="E73"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G34" i="2"/>
  <c r="B120" i="1" s="1"/>
  <c r="F34" i="2"/>
  <c r="N29" i="2" l="1"/>
  <c r="L28" i="2"/>
  <c r="M28" i="2" s="1"/>
  <c r="B100" i="1"/>
  <c r="H10" i="2"/>
  <c r="H11" i="2"/>
  <c r="H12" i="2"/>
  <c r="H13" i="2"/>
  <c r="H14" i="2"/>
  <c r="H15" i="2"/>
  <c r="H16" i="2"/>
  <c r="H17" i="2"/>
  <c r="H18" i="2"/>
  <c r="H19" i="2"/>
  <c r="H21" i="2"/>
  <c r="H22" i="2"/>
  <c r="H24" i="2"/>
  <c r="H25" i="2"/>
  <c r="H26" i="2"/>
  <c r="H9" i="2"/>
  <c r="L29" i="2" l="1"/>
  <c r="M29" i="2" s="1"/>
  <c r="N30" i="2"/>
  <c r="B91" i="1"/>
  <c r="H34" i="2"/>
  <c r="I26" i="2"/>
  <c r="I14" i="2"/>
  <c r="I25" i="2"/>
  <c r="I21" i="2"/>
  <c r="I17" i="2"/>
  <c r="I13" i="2"/>
  <c r="I22" i="2"/>
  <c r="I10" i="2"/>
  <c r="I24" i="2"/>
  <c r="I20" i="2"/>
  <c r="I16" i="2"/>
  <c r="I12" i="2"/>
  <c r="I18" i="2"/>
  <c r="I23" i="2"/>
  <c r="I19" i="2"/>
  <c r="I15" i="2"/>
  <c r="I11" i="2"/>
  <c r="I9" i="2"/>
  <c r="L9" i="2" s="1"/>
  <c r="L30" i="2" l="1"/>
  <c r="M30" i="2" s="1"/>
  <c r="N31" i="2"/>
  <c r="I34" i="2"/>
  <c r="A44" i="1"/>
  <c r="A45" i="1" s="1"/>
  <c r="N32" i="2" l="1"/>
  <c r="L31" i="2"/>
  <c r="M31" i="2" s="1"/>
  <c r="L10" i="2"/>
  <c r="L11" i="2"/>
  <c r="L12" i="2"/>
  <c r="L13" i="2"/>
  <c r="L14" i="2"/>
  <c r="L15" i="2"/>
  <c r="L16" i="2"/>
  <c r="L17" i="2"/>
  <c r="L18" i="2"/>
  <c r="L19" i="2"/>
  <c r="L20" i="2"/>
  <c r="L21" i="2"/>
  <c r="L22" i="2"/>
  <c r="L23" i="2"/>
  <c r="L24" i="2"/>
  <c r="L25" i="2"/>
  <c r="L26" i="2"/>
  <c r="N33" i="2" l="1"/>
  <c r="L33" i="2" s="1"/>
  <c r="M33" i="2" s="1"/>
  <c r="L32" i="2"/>
  <c r="M32" i="2" s="1"/>
  <c r="L34" i="2"/>
  <c r="M26" i="2"/>
  <c r="M22" i="2"/>
  <c r="M18" i="2"/>
  <c r="M14" i="2"/>
  <c r="M10" i="2"/>
  <c r="M9" i="2"/>
  <c r="M25" i="2"/>
  <c r="M21" i="2"/>
  <c r="M17" i="2"/>
  <c r="M13" i="2"/>
  <c r="M24" i="2"/>
  <c r="M20" i="2"/>
  <c r="M16" i="2"/>
  <c r="M12" i="2"/>
  <c r="M23" i="2"/>
  <c r="M19" i="2"/>
  <c r="M15" i="2"/>
  <c r="M11" i="2"/>
  <c r="J34" i="2"/>
  <c r="M34" i="2" l="1"/>
  <c r="K34" i="2" l="1"/>
  <c r="B89" i="1" l="1"/>
  <c r="B112" i="1" s="1"/>
  <c r="B121" i="1" l="1"/>
  <c r="B105" i="1"/>
  <c r="B107" i="1" s="1"/>
  <c r="B88" i="1"/>
</calcChain>
</file>

<file path=xl/sharedStrings.xml><?xml version="1.0" encoding="utf-8"?>
<sst xmlns="http://schemas.openxmlformats.org/spreadsheetml/2006/main" count="200" uniqueCount="186">
  <si>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</si>
  <si>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</si>
  <si>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</si>
  <si>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</si>
  <si>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</si>
  <si>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</si>
  <si>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</si>
  <si>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</si>
  <si>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</si>
  <si>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</si>
  <si>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</si>
  <si>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</si>
  <si>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</si>
  <si>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</si>
  <si>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</si>
  <si>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</si>
  <si>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</si>
  <si>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</si>
  <si>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</si>
  <si>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</si>
  <si>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</si>
  <si>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</si>
  <si>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</si>
  <si>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</si>
  <si>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</si>
  <si>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</si>
  <si>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</si>
  <si>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</si>
  <si>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</si>
  <si>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</si>
  <si>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</si>
  <si>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</si>
  <si>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</si>
  <si>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</si>
  <si>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</si>
  <si>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</si>
  <si>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</si>
  <si>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</si>
  <si>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</si>
  <si>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</si>
  <si>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</si>
  <si>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</si>
  <si>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</si>
  <si>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</si>
  <si>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</si>
  <si>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</si>
  <si>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</si>
  <si>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</si>
  <si>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</si>
  <si>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</si>
  <si>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</si>
  <si>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</si>
  <si>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</si>
  <si>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</si>
  <si>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</si>
  <si>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</si>
  <si>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</si>
  <si>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</si>
  <si>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</si>
  <si>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</si>
  <si>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</si>
  <si>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</si>
  <si>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</si>
  <si>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</si>
  <si>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</si>
  <si>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</si>
  <si>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</si>
  <si>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</si>
  <si>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</si>
  <si>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</si>
  <si>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</si>
  <si>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</si>
  <si>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</si>
  <si>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</si>
  <si>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</si>
  <si>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</si>
  <si>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</si>
  <si>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</si>
  <si>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</si>
  <si>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</si>
  <si>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</si>
  <si>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</si>
  <si>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</si>
  <si>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</si>
  <si>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</si>
  <si>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</si>
  <si>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</si>
  <si>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</si>
  <si>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</si>
  <si>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</si>
  <si>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</si>
  <si>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</si>
  <si>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</si>
  <si>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</si>
  <si>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</si>
  <si>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</si>
  <si>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</si>
  <si>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</si>
  <si>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</si>
  <si>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</si>
  <si>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</si>
  <si>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</si>
  <si>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</si>
  <si>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 xml:space="preserve">Horacio De la Torre </t>
  </si>
  <si>
    <t>Porteria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</si>
  <si>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</si>
  <si>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</si>
  <si>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</si>
  <si>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</si>
  <si>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</si>
  <si>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</si>
  <si>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</si>
  <si>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</si>
  <si>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</si>
  <si>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</si>
  <si>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</si>
  <si>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Alquiler Porteria</t>
  </si>
  <si>
    <t>Laura</t>
  </si>
  <si>
    <t>German</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</si>
  <si>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</si>
  <si>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</si>
  <si>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</si>
  <si>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</si>
  <si>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</si>
  <si>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</si>
  <si>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</si>
  <si>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</si>
  <si>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</si>
  <si>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</si>
  <si>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</si>
  <si>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</si>
  <si>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</si>
  <si>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</si>
  <si>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</si>
  <si>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</si>
  <si>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Barreiro Cristian</t>
  </si>
  <si>
    <t>La porteria paga lo mismo que el 3B</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</si>
  <si>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</si>
  <si>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</si>
  <si>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</si>
  <si>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</si>
  <si>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</si>
  <si>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</si>
  <si>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</si>
  <si>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</si>
  <si>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</si>
  <si>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</si>
  <si>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</si>
  <si>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Cuello Natalia - Desobstruccion columna cocina 6B</t>
  </si>
  <si>
    <t>Cuello Natalia - Desobstruccion columna cocina 1C</t>
  </si>
  <si>
    <t>Transf 20/04</t>
  </si>
  <si>
    <t>Transf 06/04</t>
  </si>
  <si>
    <t>Transf 13/04</t>
  </si>
  <si>
    <t>Transf 07/04</t>
  </si>
  <si>
    <t>Federacion Patronal - Seguro de consorcio</t>
  </si>
  <si>
    <t>Destapacion roman</t>
  </si>
  <si>
    <t>Allianz Seguro - Mes anterior</t>
  </si>
  <si>
    <t>AySa - Boca inspeccion calle</t>
  </si>
  <si>
    <t>Transf 16 y 20/04</t>
  </si>
  <si>
    <t>AySa - Destapacion</t>
  </si>
  <si>
    <t>Efectivo</t>
  </si>
  <si>
    <t>PROVEEDORES</t>
  </si>
  <si>
    <t>Personal Flow</t>
  </si>
  <si>
    <t>Honorarios inmobiliaria</t>
  </si>
  <si>
    <t>Walter Martinez</t>
  </si>
  <si>
    <t>Gabriel R Mouriño</t>
  </si>
  <si>
    <t>Transferencia ya identificada mes anterior</t>
  </si>
  <si>
    <t>Fracchia garcia Sebastian ezequiel</t>
  </si>
  <si>
    <t>Pago ya identificado 1B</t>
  </si>
  <si>
    <t>VTO 18/06</t>
  </si>
  <si>
    <t>PERÍODO: MAYO</t>
  </si>
  <si>
    <t>Sindicatos mes de MAYO</t>
  </si>
  <si>
    <t>Al final del mes de Enero del 2026 se contaba con una caja destinada a fondos extraordinarios de $3.232.438, en febrero se recibieron $622.371 en concepto de expensas extraordinarias, en ABRIL se recibieron $674.863 y en MAYO $740265,4. La suma de los tres meses arroja un total de $2.037.499,4, que sumado al saldo inicial da como resultado que de los $5.421.368,66 que se tienen en el banco $5.268.937,4 corresponden a la caja EXTRAORDINARIA</t>
  </si>
  <si>
    <t>Honorarios administracion - Marzo y Abril</t>
  </si>
  <si>
    <t>Cuello Natalia - Servicio de emergencia - Desobstruccion de colectora cloacal</t>
  </si>
  <si>
    <t>Transf 22/05</t>
  </si>
  <si>
    <t>Casa Ruan - Compra de materiales electricos</t>
  </si>
  <si>
    <t xml:space="preserve">Servisur - Retiro de tortugas plasticas en zotano - Instalacion de cable en bastidor </t>
  </si>
  <si>
    <t>Transf 21/05</t>
  </si>
  <si>
    <t>Urbeco - Anticipo de cambio de tapa y marco en TQ cisterna de bombeo - Anticipo Reparacion e impermeabilizacion interna de respectiva cuba</t>
  </si>
  <si>
    <t>Transf 18/05</t>
  </si>
  <si>
    <t>Transf 14/05</t>
  </si>
  <si>
    <t>Doartero Julio - Reparacion de perdida bajo mesada y cambio de flexible - Mano de obra y materiales</t>
  </si>
  <si>
    <t>Transf 06/05</t>
  </si>
  <si>
    <t>Descontar punitorios pq deposito en otra cuenta</t>
  </si>
  <si>
    <t>Transf 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</si>
</sst>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3" fillId="0" borderId="3" xfId="1" applyFont="1" applyBorder="1" applyAlignment="1">
      <alignment wrapText="1"/>
    </xf>
    <xf numFmtId="8" fontId="6" fillId="4" borderId="13" xfId="1" applyNumberFormat="1" applyFont="1" applyFill="1" applyBorder="1"/>
    <xf numFmtId="44" fontId="6" fillId="4" borderId="1" xfId="1" applyFont="1" applyFill="1" applyBorder="1"/>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44" fontId="8" fillId="4" borderId="6" xfId="1" applyFont="1" applyFill="1" applyBorder="1"/>
    <xf numFmtId="44" fontId="8" fillId="4" borderId="1" xfId="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4" borderId="1" xfId="1" applyFont="1" applyFill="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2" borderId="6" xfId="0" applyFill="1" applyBorder="1" applyAlignment="1">
      <alignment horizontal="left" vertical="center" wrapText="1"/>
    </xf>
    <xf numFmtId="0" fontId="0" fillId="0" borderId="6" xfId="0" applyBorder="1"/>
    <xf numFmtId="0" fontId="0" fillId="0" borderId="7" xfId="0" applyBorder="1"/>
    <xf numFmtId="44" fontId="2" fillId="8" borderId="11" xfId="1" applyFont="1" applyFill="1" applyBorder="1" applyAlignment="1">
      <alignment vertical="center"/>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10" fillId="6" borderId="33" xfId="0" applyFont="1" applyFill="1" applyBorder="1" applyAlignment="1">
      <alignment horizontal="left" vertical="center" wrapText="1"/>
    </xf>
    <xf numFmtId="0" fontId="10" fillId="6" borderId="0" xfId="0" applyFont="1" applyFill="1" applyAlignment="1">
      <alignment horizontal="left" vertical="center" wrapText="1"/>
    </xf>
    <xf numFmtId="0" fontId="10" fillId="6" borderId="8" xfId="0" applyFont="1" applyFill="1" applyBorder="1" applyAlignment="1">
      <alignment horizontal="left" vertical="center" wrapText="1"/>
    </xf>
    <xf numFmtId="0" fontId="14" fillId="3" borderId="18"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8" fontId="9" fillId="2" borderId="1" xfId="0" applyNumberFormat="1" applyFont="1" applyFill="1" applyBorder="1" applyAlignment="1">
      <alignment horizontal="right"/>
    </xf>
    <xf numFmtId="44" fontId="9" fillId="2" borderId="1" xfId="1" applyFont="1" applyFill="1" applyBorder="1"/>
    <xf numFmtId="0" fontId="0" fillId="9" borderId="6" xfId="0" applyFill="1" applyBorder="1" applyAlignment="1">
      <alignment horizontal="left" vertical="center" wrapText="1"/>
    </xf>
    <xf numFmtId="0" fontId="0" fillId="9" borderId="7" xfId="0" applyFill="1" applyBorder="1" applyAlignment="1">
      <alignment horizontal="left" vertical="center" wrapText="1"/>
    </xf>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4" fillId="12" borderId="1" xfId="0" applyFont="1" applyFill="1" applyBorder="1"/>
    <xf numFmtId="44" fontId="9" fillId="0" borderId="1" xfId="1" applyFont="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8"/>
  <sheetViews>
    <sheetView tabSelected="1" topLeftCell="A36" workbookViewId="0">
      <selection activeCell="D43" sqref="D43:D45"/>
    </sheetView>
  </sheetViews>
  <sheetFormatPr baseColWidth="10" defaultColWidth="10.88671875" defaultRowHeight="14.4" x14ac:dyDescent="0.3"/>
  <cols>
    <col min="1" max="1" width="37.5546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86" t="s">
        <v>60</v>
      </c>
      <c r="C1" s="186"/>
      <c r="D1" s="186"/>
      <c r="E1" s="61"/>
    </row>
    <row r="2" spans="1:5" x14ac:dyDescent="0.3">
      <c r="A2" s="15"/>
      <c r="B2" s="62" t="s">
        <v>26</v>
      </c>
      <c r="C2" s="62"/>
      <c r="D2" s="62"/>
      <c r="E2" s="63"/>
    </row>
    <row r="3" spans="1:5" ht="70.5" customHeight="1" thickBot="1" x14ac:dyDescent="0.35">
      <c r="A3" s="15"/>
      <c r="B3" s="187" t="s">
        <v>106</v>
      </c>
      <c r="C3" s="187"/>
      <c r="D3" s="187"/>
      <c r="E3" s="188"/>
    </row>
    <row r="4" spans="1:5" ht="15" thickBot="1" x14ac:dyDescent="0.35">
      <c r="A4" s="18" t="s">
        <v>0</v>
      </c>
      <c r="B4" s="64" t="s">
        <v>35</v>
      </c>
      <c r="C4" s="19"/>
      <c r="D4" s="19"/>
      <c r="E4" s="20"/>
    </row>
    <row r="5" spans="1:5" ht="15" thickBot="1" x14ac:dyDescent="0.35">
      <c r="A5" s="15" t="s">
        <v>55</v>
      </c>
      <c r="B5" s="19" t="s">
        <v>170</v>
      </c>
      <c r="C5" s="16"/>
      <c r="D5" s="62" t="s">
        <v>27</v>
      </c>
      <c r="E5" s="17"/>
    </row>
    <row r="6" spans="1:5" ht="15" thickBot="1" x14ac:dyDescent="0.35">
      <c r="A6" s="18" t="s">
        <v>56</v>
      </c>
      <c r="B6" s="19"/>
      <c r="C6" s="19"/>
      <c r="D6" s="19" t="s">
        <v>54</v>
      </c>
      <c r="E6" s="20"/>
    </row>
    <row r="8" spans="1:5" x14ac:dyDescent="0.3">
      <c r="B8" s="183" t="s">
        <v>169</v>
      </c>
      <c r="C8" s="183"/>
    </row>
    <row r="9" spans="1:5" x14ac:dyDescent="0.3">
      <c r="B9" s="183"/>
      <c r="C9" s="183"/>
    </row>
    <row r="10" spans="1:5" x14ac:dyDescent="0.3">
      <c r="B10" s="183"/>
      <c r="C10" s="183"/>
    </row>
    <row r="12" spans="1:5" hidden="1" x14ac:dyDescent="0.3"/>
    <row r="13" spans="1:5" ht="15" customHeight="1" x14ac:dyDescent="0.3">
      <c r="A13" s="189" t="s">
        <v>137</v>
      </c>
      <c r="B13" s="189"/>
      <c r="C13" s="189"/>
      <c r="D13" s="189"/>
      <c r="E13" s="189"/>
    </row>
    <row r="14" spans="1:5" ht="15" customHeight="1" x14ac:dyDescent="0.3">
      <c r="A14" s="189"/>
      <c r="B14" s="189"/>
      <c r="C14" s="189"/>
      <c r="D14" s="189"/>
      <c r="E14" s="189"/>
    </row>
    <row r="15" spans="1:5" ht="15" customHeight="1" x14ac:dyDescent="0.3">
      <c r="A15" s="189"/>
      <c r="B15" s="189"/>
      <c r="C15" s="189"/>
      <c r="D15" s="189"/>
      <c r="E15" s="189"/>
    </row>
    <row r="16" spans="1:5" ht="137.25" customHeight="1" x14ac:dyDescent="0.3">
      <c r="A16" s="189"/>
      <c r="B16" s="189"/>
      <c r="C16" s="189"/>
      <c r="D16" s="189"/>
      <c r="E16" s="189"/>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34" t="s">
        <v>31</v>
      </c>
      <c r="B21" s="34"/>
      <c r="C21" s="34"/>
      <c r="D21" s="33"/>
      <c r="E21" s="33"/>
    </row>
    <row r="22" spans="1:7" ht="15" customHeight="1" x14ac:dyDescent="0.3">
      <c r="A22" s="184" t="s">
        <v>113</v>
      </c>
      <c r="B22" s="185"/>
      <c r="C22" s="5"/>
      <c r="D22" s="161">
        <v>1038704</v>
      </c>
      <c r="E22" s="5"/>
    </row>
    <row r="23" spans="1:7" ht="15" customHeight="1" x14ac:dyDescent="0.3">
      <c r="A23" s="70" t="s">
        <v>114</v>
      </c>
      <c r="B23" s="114"/>
      <c r="C23" s="5"/>
      <c r="D23" s="161">
        <v>-257079.24</v>
      </c>
      <c r="E23" s="5"/>
    </row>
    <row r="24" spans="1:7" ht="15" customHeight="1" x14ac:dyDescent="0.3">
      <c r="A24" s="70" t="s">
        <v>115</v>
      </c>
      <c r="B24" s="114"/>
      <c r="C24" s="5"/>
      <c r="D24" s="161">
        <v>0.24</v>
      </c>
      <c r="E24" s="5"/>
    </row>
    <row r="25" spans="1:7" ht="14.25" customHeight="1" x14ac:dyDescent="0.3">
      <c r="A25" s="54" t="s">
        <v>32</v>
      </c>
      <c r="B25" s="54"/>
      <c r="C25" s="54"/>
      <c r="D25" s="162">
        <f>SUM(D22:D24)</f>
        <v>781625</v>
      </c>
      <c r="E25" s="102"/>
      <c r="G25" s="21"/>
    </row>
    <row r="26" spans="1:7" ht="14.25" hidden="1" customHeight="1" x14ac:dyDescent="0.3">
      <c r="A26" s="5" t="s">
        <v>40</v>
      </c>
      <c r="B26" s="5"/>
      <c r="C26" s="5"/>
      <c r="D26" s="161"/>
      <c r="E26" s="5"/>
    </row>
    <row r="27" spans="1:7" hidden="1" x14ac:dyDescent="0.3">
      <c r="A27" s="28"/>
      <c r="B27" s="5"/>
      <c r="C27" s="5"/>
      <c r="D27" s="161"/>
      <c r="E27" s="5"/>
    </row>
    <row r="28" spans="1:7" hidden="1" x14ac:dyDescent="0.3">
      <c r="A28" s="5"/>
      <c r="B28" s="5"/>
      <c r="C28" s="5"/>
      <c r="D28" s="161"/>
      <c r="E28" s="5"/>
    </row>
    <row r="29" spans="1:7" hidden="1" x14ac:dyDescent="0.3">
      <c r="A29" s="5"/>
      <c r="B29" s="5"/>
      <c r="C29" s="5"/>
      <c r="D29" s="163"/>
      <c r="E29" s="5"/>
    </row>
    <row r="30" spans="1:7" ht="0.75" customHeight="1" x14ac:dyDescent="0.3">
      <c r="A30" s="5" t="s">
        <v>36</v>
      </c>
      <c r="B30" s="5"/>
      <c r="C30" s="5"/>
      <c r="D30" s="163"/>
      <c r="E30" s="5"/>
    </row>
    <row r="31" spans="1:7" hidden="1" x14ac:dyDescent="0.3">
      <c r="A31" s="54" t="s">
        <v>32</v>
      </c>
      <c r="B31" s="54"/>
      <c r="C31" s="54"/>
      <c r="D31" s="164">
        <f>SUM(D26:D30)</f>
        <v>0</v>
      </c>
      <c r="E31" s="102"/>
    </row>
    <row r="32" spans="1:7" ht="15" thickBot="1" x14ac:dyDescent="0.35">
      <c r="A32" s="29" t="s">
        <v>1</v>
      </c>
      <c r="B32" s="29"/>
      <c r="C32" s="29"/>
      <c r="D32" s="165"/>
      <c r="E32" s="103">
        <f>D25+D31</f>
        <v>781625</v>
      </c>
      <c r="F32" s="21"/>
    </row>
    <row r="33" spans="1:7" x14ac:dyDescent="0.3">
      <c r="A33" s="34" t="s">
        <v>18</v>
      </c>
      <c r="B33" s="34"/>
      <c r="C33" s="34"/>
      <c r="D33" s="166"/>
      <c r="E33" s="104"/>
    </row>
    <row r="34" spans="1:7" ht="15" customHeight="1" x14ac:dyDescent="0.3">
      <c r="A34" s="190" t="s">
        <v>138</v>
      </c>
      <c r="B34" s="191"/>
      <c r="C34" s="51"/>
      <c r="D34" s="161">
        <v>45000</v>
      </c>
      <c r="E34" s="105" t="s">
        <v>153</v>
      </c>
    </row>
    <row r="35" spans="1:7" ht="15" customHeight="1" thickBot="1" x14ac:dyDescent="0.35">
      <c r="A35" s="190" t="s">
        <v>173</v>
      </c>
      <c r="B35" s="191"/>
      <c r="C35" s="51"/>
      <c r="D35" s="225">
        <v>380000</v>
      </c>
      <c r="E35" s="105"/>
    </row>
    <row r="36" spans="1:7" ht="15" thickBot="1" x14ac:dyDescent="0.35">
      <c r="A36" s="29" t="s">
        <v>15</v>
      </c>
      <c r="B36" s="29"/>
      <c r="C36" s="29"/>
      <c r="D36" s="167"/>
      <c r="E36" s="106">
        <f>SUM(D34:D35)</f>
        <v>425000</v>
      </c>
    </row>
    <row r="37" spans="1:7" x14ac:dyDescent="0.3">
      <c r="A37" s="34" t="s">
        <v>29</v>
      </c>
      <c r="B37" s="29"/>
      <c r="C37" s="29"/>
      <c r="D37" s="168"/>
      <c r="E37" s="107"/>
    </row>
    <row r="38" spans="1:7" s="37" customFormat="1" ht="14.25" customHeight="1" x14ac:dyDescent="0.3">
      <c r="A38" s="184" t="s">
        <v>154</v>
      </c>
      <c r="B38" s="185"/>
      <c r="C38" s="52"/>
      <c r="D38" s="169">
        <v>161303</v>
      </c>
      <c r="E38" s="121" t="s">
        <v>107</v>
      </c>
    </row>
    <row r="39" spans="1:7" ht="14.25" customHeight="1" x14ac:dyDescent="0.3">
      <c r="A39" s="184" t="s">
        <v>156</v>
      </c>
      <c r="B39" s="185"/>
      <c r="C39" s="52"/>
      <c r="D39" s="170">
        <v>200057</v>
      </c>
      <c r="E39" s="121" t="s">
        <v>107</v>
      </c>
    </row>
    <row r="40" spans="1:7" ht="15" thickBot="1" x14ac:dyDescent="0.35">
      <c r="A40" s="29" t="s">
        <v>2</v>
      </c>
      <c r="B40" s="29"/>
      <c r="C40" s="29"/>
      <c r="D40" s="167"/>
      <c r="E40" s="108">
        <f>SUM(D38:D39)</f>
        <v>361360</v>
      </c>
    </row>
    <row r="41" spans="1:7" x14ac:dyDescent="0.3">
      <c r="A41" s="34" t="s">
        <v>16</v>
      </c>
      <c r="B41" s="109"/>
      <c r="C41" s="109"/>
      <c r="D41" s="171"/>
      <c r="E41" s="110"/>
    </row>
    <row r="42" spans="1:7" x14ac:dyDescent="0.3">
      <c r="A42" s="5" t="s">
        <v>43</v>
      </c>
      <c r="B42" s="5"/>
      <c r="C42" s="51"/>
      <c r="D42" s="234">
        <v>624914.22</v>
      </c>
      <c r="E42" s="115" t="s">
        <v>151</v>
      </c>
      <c r="G42" s="89"/>
    </row>
    <row r="43" spans="1:7" x14ac:dyDescent="0.3">
      <c r="A43" s="5" t="s">
        <v>171</v>
      </c>
      <c r="B43" s="5" t="s">
        <v>110</v>
      </c>
      <c r="C43" s="5"/>
      <c r="D43" s="226">
        <v>46741.68</v>
      </c>
      <c r="E43" s="115" t="s">
        <v>152</v>
      </c>
    </row>
    <row r="44" spans="1:7" x14ac:dyDescent="0.3">
      <c r="A44" s="5" t="str">
        <f>A43</f>
        <v>Sindicatos mes de MAYO</v>
      </c>
      <c r="B44" s="5" t="s">
        <v>112</v>
      </c>
      <c r="C44" s="5"/>
      <c r="D44" s="226">
        <v>89132.76</v>
      </c>
      <c r="E44" s="116" t="str">
        <f>E43</f>
        <v>Transf 13/04</v>
      </c>
    </row>
    <row r="45" spans="1:7" x14ac:dyDescent="0.3">
      <c r="A45" s="5" t="str">
        <f>A44</f>
        <v>Sindicatos mes de MAYO</v>
      </c>
      <c r="B45" s="5" t="s">
        <v>111</v>
      </c>
      <c r="C45" s="5"/>
      <c r="D45" s="226">
        <v>5193.5200000000004</v>
      </c>
      <c r="E45" s="117" t="str">
        <f>E43</f>
        <v>Transf 13/04</v>
      </c>
    </row>
    <row r="46" spans="1:7" ht="15" customHeight="1" thickBot="1" x14ac:dyDescent="0.35">
      <c r="A46" s="29" t="s">
        <v>3</v>
      </c>
      <c r="B46" s="109"/>
      <c r="C46" s="109"/>
      <c r="D46" s="173"/>
      <c r="E46" s="108">
        <f>SUM(D42:D45)</f>
        <v>765982.18</v>
      </c>
    </row>
    <row r="47" spans="1:7" x14ac:dyDescent="0.3">
      <c r="A47" s="34" t="s">
        <v>17</v>
      </c>
      <c r="B47" s="109"/>
      <c r="C47" s="109"/>
      <c r="D47" s="171"/>
      <c r="E47" s="110"/>
    </row>
    <row r="48" spans="1:7" ht="14.25" customHeight="1" x14ac:dyDescent="0.3">
      <c r="A48" s="5" t="s">
        <v>108</v>
      </c>
      <c r="B48" s="5"/>
      <c r="C48" s="5"/>
      <c r="D48" s="172">
        <v>299191.63</v>
      </c>
      <c r="E48" s="115" t="s">
        <v>151</v>
      </c>
    </row>
    <row r="49" spans="1:5" ht="14.25" customHeight="1" x14ac:dyDescent="0.3">
      <c r="A49" s="180" t="s">
        <v>162</v>
      </c>
      <c r="B49" s="181"/>
      <c r="C49" s="5"/>
      <c r="D49" s="226">
        <v>18758.310000000001</v>
      </c>
      <c r="E49" s="115" t="s">
        <v>160</v>
      </c>
    </row>
    <row r="50" spans="1:5" ht="14.25" customHeight="1" x14ac:dyDescent="0.3">
      <c r="A50" s="70" t="s">
        <v>157</v>
      </c>
      <c r="B50" s="114"/>
      <c r="C50" s="5"/>
      <c r="D50" s="172">
        <v>300000</v>
      </c>
      <c r="E50" s="115" t="s">
        <v>158</v>
      </c>
    </row>
    <row r="51" spans="1:5" ht="14.25" customHeight="1" x14ac:dyDescent="0.3">
      <c r="A51" s="70" t="s">
        <v>159</v>
      </c>
      <c r="B51" s="114"/>
      <c r="C51" s="5"/>
      <c r="D51" s="172">
        <v>80000</v>
      </c>
      <c r="E51" s="115" t="s">
        <v>160</v>
      </c>
    </row>
    <row r="52" spans="1:5" x14ac:dyDescent="0.3">
      <c r="A52" s="70" t="s">
        <v>109</v>
      </c>
      <c r="B52" s="114"/>
      <c r="C52" s="5"/>
      <c r="D52" s="172">
        <v>999748.85</v>
      </c>
      <c r="E52" s="115" t="s">
        <v>151</v>
      </c>
    </row>
    <row r="53" spans="1:5" ht="15" thickBot="1" x14ac:dyDescent="0.35">
      <c r="A53" s="29" t="s">
        <v>4</v>
      </c>
      <c r="B53" s="29"/>
      <c r="C53" s="29"/>
      <c r="D53" s="174"/>
      <c r="E53" s="108">
        <f>SUM(D48:D52)</f>
        <v>1697698.79</v>
      </c>
    </row>
    <row r="54" spans="1:5" ht="15" customHeight="1" thickBot="1" x14ac:dyDescent="0.35">
      <c r="A54" s="34" t="s">
        <v>161</v>
      </c>
      <c r="B54" s="29"/>
      <c r="C54" s="29"/>
      <c r="D54" s="167"/>
      <c r="E54" s="111"/>
    </row>
    <row r="55" spans="1:5" ht="20.100000000000001" customHeight="1" x14ac:dyDescent="0.3">
      <c r="A55" s="118" t="s">
        <v>57</v>
      </c>
      <c r="B55" s="114"/>
      <c r="C55" s="5"/>
      <c r="D55" s="226">
        <v>189500</v>
      </c>
      <c r="E55" s="146" t="s">
        <v>185</v>
      </c>
    </row>
    <row r="56" spans="1:5" ht="20.100000000000001" customHeight="1" x14ac:dyDescent="0.3">
      <c r="A56" s="118" t="s">
        <v>174</v>
      </c>
      <c r="B56" s="114"/>
      <c r="C56" s="5"/>
      <c r="D56" s="226">
        <v>191400</v>
      </c>
      <c r="E56" s="146" t="s">
        <v>175</v>
      </c>
    </row>
    <row r="57" spans="1:5" ht="20.100000000000001" customHeight="1" x14ac:dyDescent="0.3">
      <c r="A57" s="118" t="s">
        <v>149</v>
      </c>
      <c r="B57" s="114"/>
      <c r="C57" s="5"/>
      <c r="D57" s="226">
        <v>31400</v>
      </c>
      <c r="E57" s="146" t="s">
        <v>181</v>
      </c>
    </row>
    <row r="58" spans="1:5" ht="20.100000000000001" customHeight="1" x14ac:dyDescent="0.3">
      <c r="A58" s="118" t="s">
        <v>148</v>
      </c>
      <c r="B58" s="114"/>
      <c r="C58" s="5"/>
      <c r="D58" s="226">
        <v>31400</v>
      </c>
      <c r="E58" s="146" t="s">
        <v>181</v>
      </c>
    </row>
    <row r="59" spans="1:5" ht="37.799999999999997" customHeight="1" x14ac:dyDescent="0.3">
      <c r="A59" s="184" t="s">
        <v>179</v>
      </c>
      <c r="B59" s="185"/>
      <c r="C59" s="5"/>
      <c r="D59" s="226">
        <v>847000</v>
      </c>
      <c r="E59" s="146" t="s">
        <v>180</v>
      </c>
    </row>
    <row r="60" spans="1:5" ht="38.4" customHeight="1" x14ac:dyDescent="0.3">
      <c r="A60" s="184" t="s">
        <v>182</v>
      </c>
      <c r="B60" s="185"/>
      <c r="C60" s="5"/>
      <c r="D60" s="226">
        <v>120000</v>
      </c>
      <c r="E60" s="146" t="s">
        <v>183</v>
      </c>
    </row>
    <row r="61" spans="1:5" ht="20.100000000000001" customHeight="1" x14ac:dyDescent="0.3">
      <c r="A61" s="118" t="s">
        <v>139</v>
      </c>
      <c r="B61" s="114"/>
      <c r="C61" s="5"/>
      <c r="D61" s="172">
        <v>60000</v>
      </c>
      <c r="E61" s="146" t="s">
        <v>150</v>
      </c>
    </row>
    <row r="62" spans="1:5" ht="18.75" customHeight="1" x14ac:dyDescent="0.3">
      <c r="A62" s="179" t="s">
        <v>155</v>
      </c>
      <c r="B62" s="114"/>
      <c r="C62" s="5"/>
      <c r="D62" s="172">
        <v>85000</v>
      </c>
      <c r="E62" s="146" t="s">
        <v>152</v>
      </c>
    </row>
    <row r="63" spans="1:5" ht="18.75" customHeight="1" x14ac:dyDescent="0.3">
      <c r="A63" s="227" t="s">
        <v>177</v>
      </c>
      <c r="B63" s="228"/>
      <c r="C63" s="5"/>
      <c r="D63" s="226">
        <v>65000</v>
      </c>
      <c r="E63" s="146" t="s">
        <v>178</v>
      </c>
    </row>
    <row r="64" spans="1:5" ht="24" customHeight="1" x14ac:dyDescent="0.3">
      <c r="A64" s="184" t="s">
        <v>176</v>
      </c>
      <c r="B64" s="185"/>
      <c r="C64" s="5"/>
      <c r="D64" s="226">
        <v>19500</v>
      </c>
      <c r="E64" s="146" t="s">
        <v>151</v>
      </c>
    </row>
    <row r="65" spans="1:12" ht="15" thickBot="1" x14ac:dyDescent="0.35">
      <c r="A65" s="29" t="s">
        <v>8</v>
      </c>
      <c r="B65" s="34"/>
      <c r="C65" s="34"/>
      <c r="D65" s="33"/>
      <c r="E65" s="112">
        <f>SUM(D55:D64)</f>
        <v>1640200</v>
      </c>
    </row>
    <row r="66" spans="1:12" ht="15" thickBot="1" x14ac:dyDescent="0.35">
      <c r="A66" s="34" t="s">
        <v>11</v>
      </c>
      <c r="B66" s="59"/>
      <c r="C66" s="29"/>
      <c r="D66" s="165"/>
      <c r="E66" s="111"/>
    </row>
    <row r="67" spans="1:12" x14ac:dyDescent="0.3">
      <c r="A67" s="5" t="s">
        <v>53</v>
      </c>
      <c r="B67" s="5"/>
      <c r="C67" s="5"/>
      <c r="D67" s="172">
        <v>57500</v>
      </c>
      <c r="E67" s="113"/>
    </row>
    <row r="68" spans="1:12" x14ac:dyDescent="0.3">
      <c r="A68" s="5" t="s">
        <v>52</v>
      </c>
      <c r="B68" s="5"/>
      <c r="C68" s="5"/>
      <c r="D68" s="172">
        <v>74836.23</v>
      </c>
      <c r="E68" s="39"/>
    </row>
    <row r="69" spans="1:12" ht="15" thickBot="1" x14ac:dyDescent="0.35">
      <c r="A69" s="50" t="s">
        <v>15</v>
      </c>
      <c r="B69" s="50"/>
      <c r="C69" s="50"/>
      <c r="D69" s="74"/>
      <c r="E69" s="68">
        <f>SUM(D67:D68)</f>
        <v>132336.22999999998</v>
      </c>
    </row>
    <row r="70" spans="1:12" ht="15" thickBot="1" x14ac:dyDescent="0.35">
      <c r="A70" s="5"/>
      <c r="B70" s="5"/>
      <c r="C70" s="5"/>
      <c r="D70" s="67"/>
      <c r="E70" s="75"/>
    </row>
    <row r="71" spans="1:12" ht="15" thickBot="1" x14ac:dyDescent="0.35">
      <c r="A71" s="30" t="s">
        <v>46</v>
      </c>
      <c r="B71" s="30"/>
      <c r="C71" s="30"/>
      <c r="D71" s="76"/>
      <c r="E71" s="77"/>
    </row>
    <row r="72" spans="1:12" ht="15" thickBot="1" x14ac:dyDescent="0.35">
      <c r="A72" s="1"/>
      <c r="D72" s="78"/>
      <c r="E72" s="79"/>
      <c r="F72" s="42"/>
    </row>
    <row r="73" spans="1:12" ht="15" thickBot="1" x14ac:dyDescent="0.35">
      <c r="A73" s="3" t="s">
        <v>12</v>
      </c>
      <c r="B73" s="9"/>
      <c r="C73" s="4"/>
      <c r="D73" s="80"/>
      <c r="E73" s="81">
        <f>(SUM(E28:E71))</f>
        <v>5804202.2000000011</v>
      </c>
      <c r="F73" s="101"/>
      <c r="G73" s="42"/>
      <c r="H73" s="89"/>
      <c r="I73" s="89"/>
      <c r="J73" s="89"/>
      <c r="K73" s="89"/>
      <c r="L73" s="89"/>
    </row>
    <row r="74" spans="1:12" x14ac:dyDescent="0.3">
      <c r="D74" s="78"/>
      <c r="E74" s="78"/>
      <c r="H74" s="89"/>
      <c r="I74" s="89"/>
      <c r="J74" s="89"/>
      <c r="K74" s="89"/>
      <c r="L74" s="89"/>
    </row>
    <row r="75" spans="1:12" ht="15" thickBot="1" x14ac:dyDescent="0.35">
      <c r="D75" s="78"/>
      <c r="E75" s="78"/>
      <c r="H75" s="120"/>
    </row>
    <row r="76" spans="1:12" x14ac:dyDescent="0.3">
      <c r="A76" s="10" t="s">
        <v>41</v>
      </c>
      <c r="B76" s="11"/>
      <c r="C76" s="12"/>
      <c r="D76" s="82"/>
      <c r="E76" s="83"/>
    </row>
    <row r="77" spans="1:12" ht="15" customHeight="1" x14ac:dyDescent="0.3">
      <c r="A77" s="184"/>
      <c r="B77" s="185"/>
      <c r="C77" s="5"/>
      <c r="D77" s="93"/>
      <c r="E77" s="69"/>
    </row>
    <row r="78" spans="1:12" x14ac:dyDescent="0.3">
      <c r="A78" s="184"/>
      <c r="B78" s="185"/>
      <c r="C78" s="5"/>
      <c r="D78" s="71"/>
      <c r="E78" s="69"/>
    </row>
    <row r="79" spans="1:12" ht="15.75" customHeight="1" x14ac:dyDescent="0.3">
      <c r="A79" s="190"/>
      <c r="B79" s="191"/>
      <c r="C79" s="5"/>
      <c r="D79" s="71"/>
      <c r="E79" s="69"/>
    </row>
    <row r="80" spans="1:12" x14ac:dyDescent="0.3">
      <c r="A80" s="70"/>
      <c r="B80" s="72"/>
      <c r="C80" s="5"/>
      <c r="D80" s="71"/>
      <c r="E80" s="69"/>
    </row>
    <row r="81" spans="1:5" x14ac:dyDescent="0.3">
      <c r="A81" s="48"/>
      <c r="B81" s="47"/>
      <c r="C81" s="47"/>
      <c r="D81" s="55"/>
      <c r="E81" s="55">
        <f>SUM(D77:D80)</f>
        <v>0</v>
      </c>
    </row>
    <row r="82" spans="1:5" ht="15" customHeight="1" thickBot="1" x14ac:dyDescent="0.35"/>
    <row r="83" spans="1:5" ht="15" hidden="1" thickBot="1" x14ac:dyDescent="0.35"/>
    <row r="84" spans="1:5" ht="15" thickBot="1" x14ac:dyDescent="0.35">
      <c r="A84" s="149" t="s">
        <v>19</v>
      </c>
      <c r="B84" s="150"/>
      <c r="C84" s="150"/>
      <c r="D84" s="151"/>
      <c r="E84" s="182">
        <v>801500</v>
      </c>
    </row>
    <row r="85" spans="1:5" ht="15" thickBot="1" x14ac:dyDescent="0.35"/>
    <row r="86" spans="1:5" ht="15" thickBot="1" x14ac:dyDescent="0.35">
      <c r="A86" s="3" t="s">
        <v>20</v>
      </c>
      <c r="B86" s="9"/>
      <c r="C86" s="4"/>
      <c r="D86" s="4"/>
      <c r="E86" s="60">
        <f>E81+E84</f>
        <v>801500</v>
      </c>
    </row>
    <row r="87" spans="1:5" ht="15" thickBot="1" x14ac:dyDescent="0.35"/>
    <row r="88" spans="1:5" ht="15" thickBot="1" x14ac:dyDescent="0.35">
      <c r="A88" s="65" t="s">
        <v>13</v>
      </c>
      <c r="B88" s="66">
        <f>E73</f>
        <v>5804202.2000000011</v>
      </c>
    </row>
    <row r="89" spans="1:5" ht="15" thickBot="1" x14ac:dyDescent="0.35">
      <c r="A89" s="65" t="s">
        <v>14</v>
      </c>
      <c r="B89" s="66">
        <f>E73-E71</f>
        <v>5804202.2000000011</v>
      </c>
    </row>
    <row r="90" spans="1:5" ht="15" thickBot="1" x14ac:dyDescent="0.35">
      <c r="A90" s="65" t="s">
        <v>21</v>
      </c>
      <c r="B90" s="66">
        <f>E86-E84</f>
        <v>0</v>
      </c>
    </row>
    <row r="91" spans="1:5" ht="15" thickBot="1" x14ac:dyDescent="0.35">
      <c r="A91" s="65" t="s">
        <v>37</v>
      </c>
      <c r="B91" s="66">
        <f>E86</f>
        <v>801500</v>
      </c>
    </row>
    <row r="92" spans="1:5" ht="29.25" customHeight="1" x14ac:dyDescent="0.3"/>
    <row r="93" spans="1:5" ht="34.5" hidden="1" customHeight="1" x14ac:dyDescent="0.3"/>
    <row r="94" spans="1:5" hidden="1" x14ac:dyDescent="0.3">
      <c r="A94" s="192"/>
      <c r="B94" s="192"/>
      <c r="C94" s="192"/>
      <c r="D94" s="192"/>
      <c r="E94" s="192"/>
    </row>
    <row r="95" spans="1:5" ht="106.5" hidden="1" customHeight="1" x14ac:dyDescent="0.3">
      <c r="A95" s="192"/>
      <c r="B95" s="192"/>
      <c r="C95" s="192"/>
      <c r="D95" s="192"/>
      <c r="E95" s="192"/>
    </row>
    <row r="96" spans="1:5" ht="15.75" hidden="1" customHeight="1" x14ac:dyDescent="0.3">
      <c r="A96" s="192"/>
      <c r="B96" s="192"/>
      <c r="C96" s="192"/>
      <c r="D96" s="192"/>
      <c r="E96" s="192"/>
    </row>
    <row r="98" spans="1:6" ht="0.75" customHeight="1" x14ac:dyDescent="0.3">
      <c r="A98" s="22"/>
      <c r="B98" s="90"/>
      <c r="C98" s="23"/>
    </row>
    <row r="99" spans="1:6" hidden="1" x14ac:dyDescent="0.3">
      <c r="A99" s="32"/>
      <c r="B99" s="56">
        <v>0</v>
      </c>
      <c r="C99" s="25"/>
    </row>
    <row r="100" spans="1:6" ht="14.25" hidden="1" customHeight="1" x14ac:dyDescent="0.3">
      <c r="A100" s="24" t="s">
        <v>7</v>
      </c>
      <c r="B100" s="39">
        <f>PRORRATEO!G34</f>
        <v>4494340.58</v>
      </c>
      <c r="C100" s="23"/>
    </row>
    <row r="101" spans="1:6" hidden="1" x14ac:dyDescent="0.3">
      <c r="A101" s="24"/>
      <c r="B101" s="39">
        <v>0</v>
      </c>
      <c r="C101" s="23"/>
    </row>
    <row r="102" spans="1:6" hidden="1" x14ac:dyDescent="0.3">
      <c r="A102" s="24" t="s">
        <v>38</v>
      </c>
      <c r="B102" s="73">
        <f>B133</f>
        <v>0</v>
      </c>
      <c r="C102" s="23"/>
    </row>
    <row r="103" spans="1:6" hidden="1" x14ac:dyDescent="0.3">
      <c r="A103" s="27"/>
      <c r="B103" s="46"/>
      <c r="C103" s="23"/>
    </row>
    <row r="104" spans="1:6" hidden="1" x14ac:dyDescent="0.3">
      <c r="A104" s="88" t="s">
        <v>42</v>
      </c>
      <c r="B104" s="46"/>
      <c r="C104" s="23"/>
    </row>
    <row r="105" spans="1:6" hidden="1" x14ac:dyDescent="0.3">
      <c r="A105" s="38" t="s">
        <v>22</v>
      </c>
      <c r="B105" s="46">
        <f>-B89</f>
        <v>-5804202.2000000011</v>
      </c>
      <c r="C105" s="23"/>
    </row>
    <row r="106" spans="1:6" hidden="1" x14ac:dyDescent="0.3">
      <c r="A106" s="27" t="s">
        <v>23</v>
      </c>
      <c r="B106" s="46">
        <f>-(B90)</f>
        <v>0</v>
      </c>
      <c r="C106" s="23"/>
    </row>
    <row r="107" spans="1:6" hidden="1" x14ac:dyDescent="0.3">
      <c r="A107" s="31" t="s">
        <v>8</v>
      </c>
      <c r="B107" s="56">
        <f>SUM(B99:B106)</f>
        <v>-1309861.620000001</v>
      </c>
      <c r="C107" s="26"/>
      <c r="D107" s="42"/>
    </row>
    <row r="108" spans="1:6" ht="34.5" hidden="1" customHeight="1" x14ac:dyDescent="0.3">
      <c r="B108" s="40"/>
      <c r="C108" s="26"/>
      <c r="D108" s="42"/>
      <c r="E108" s="91"/>
      <c r="F108" s="92"/>
    </row>
    <row r="109" spans="1:6" ht="14.25" hidden="1" customHeight="1" x14ac:dyDescent="0.3">
      <c r="B109" s="41"/>
      <c r="C109" s="26"/>
    </row>
    <row r="110" spans="1:6" s="37" customFormat="1" ht="27" hidden="1" customHeight="1" x14ac:dyDescent="0.3">
      <c r="A110"/>
      <c r="B110" s="40"/>
      <c r="C110" s="36"/>
    </row>
    <row r="111" spans="1:6" s="37" customFormat="1" x14ac:dyDescent="0.3">
      <c r="A111" s="95" t="s">
        <v>130</v>
      </c>
      <c r="B111" s="148">
        <v>5539308.3700000001</v>
      </c>
      <c r="C111" s="36"/>
      <c r="D111" s="45"/>
    </row>
    <row r="112" spans="1:6" x14ac:dyDescent="0.3">
      <c r="A112" s="52" t="s">
        <v>47</v>
      </c>
      <c r="B112" s="160">
        <f>-B89</f>
        <v>-5804202.2000000011</v>
      </c>
    </row>
    <row r="113" spans="1:5" x14ac:dyDescent="0.3">
      <c r="A113" s="52" t="s">
        <v>48</v>
      </c>
      <c r="B113" s="99">
        <f>-B90</f>
        <v>0</v>
      </c>
    </row>
    <row r="114" spans="1:5" x14ac:dyDescent="0.3">
      <c r="A114" s="52" t="s">
        <v>163</v>
      </c>
      <c r="B114" s="160">
        <v>-76800</v>
      </c>
    </row>
    <row r="115" spans="1:5" x14ac:dyDescent="0.3">
      <c r="A115" s="52" t="s">
        <v>116</v>
      </c>
      <c r="B115" s="99">
        <v>320000</v>
      </c>
    </row>
    <row r="116" spans="1:5" x14ac:dyDescent="0.3">
      <c r="A116" s="52" t="s">
        <v>166</v>
      </c>
      <c r="B116" s="160">
        <v>-231879</v>
      </c>
    </row>
    <row r="117" spans="1:5" x14ac:dyDescent="0.3">
      <c r="A117" s="52" t="s">
        <v>42</v>
      </c>
      <c r="B117" s="160">
        <v>-6754</v>
      </c>
    </row>
    <row r="118" spans="1:5" x14ac:dyDescent="0.3">
      <c r="A118" s="52" t="s">
        <v>168</v>
      </c>
      <c r="B118" s="160">
        <v>-116717.02</v>
      </c>
    </row>
    <row r="119" spans="1:5" x14ac:dyDescent="0.3">
      <c r="A119" s="52" t="s">
        <v>51</v>
      </c>
      <c r="B119" s="99">
        <f>B133</f>
        <v>0</v>
      </c>
    </row>
    <row r="120" spans="1:5" x14ac:dyDescent="0.3">
      <c r="A120" s="52" t="s">
        <v>49</v>
      </c>
      <c r="B120" s="100">
        <f>PRORRATEO!G34</f>
        <v>4494340.58</v>
      </c>
    </row>
    <row r="121" spans="1:5" ht="15" thickBot="1" x14ac:dyDescent="0.35">
      <c r="A121" s="97" t="s">
        <v>44</v>
      </c>
      <c r="B121" s="98">
        <f>SUM(B111:C120)</f>
        <v>4117296.7299999991</v>
      </c>
      <c r="D121" s="42"/>
      <c r="E121" s="42"/>
    </row>
    <row r="122" spans="1:5" x14ac:dyDescent="0.3">
      <c r="A122" s="96"/>
      <c r="B122" s="96"/>
    </row>
    <row r="123" spans="1:5" x14ac:dyDescent="0.3">
      <c r="A123" s="96"/>
      <c r="B123" s="96"/>
    </row>
    <row r="124" spans="1:5" x14ac:dyDescent="0.3">
      <c r="A124" s="194" t="s">
        <v>172</v>
      </c>
      <c r="B124" s="194"/>
    </row>
    <row r="125" spans="1:5" x14ac:dyDescent="0.3">
      <c r="A125" s="195"/>
      <c r="B125" s="195"/>
    </row>
    <row r="126" spans="1:5" x14ac:dyDescent="0.3">
      <c r="A126" s="195"/>
      <c r="B126" s="195"/>
    </row>
    <row r="127" spans="1:5" ht="61.2" customHeight="1" thickBot="1" x14ac:dyDescent="0.35">
      <c r="A127" s="196"/>
      <c r="B127" s="196"/>
    </row>
    <row r="128" spans="1:5" ht="34.5" customHeight="1" x14ac:dyDescent="0.3"/>
    <row r="129" spans="1:13" x14ac:dyDescent="0.3">
      <c r="A129" s="193" t="s">
        <v>30</v>
      </c>
      <c r="B129" s="193"/>
      <c r="C129" s="193"/>
    </row>
    <row r="130" spans="1:13" x14ac:dyDescent="0.3">
      <c r="A130" s="193"/>
      <c r="B130" s="193"/>
      <c r="C130" s="193"/>
    </row>
    <row r="131" spans="1:13" ht="35.25" customHeight="1" x14ac:dyDescent="0.3">
      <c r="A131" s="85"/>
      <c r="B131" s="35">
        <v>0</v>
      </c>
      <c r="C131" s="35">
        <v>40000</v>
      </c>
      <c r="E131" s="101"/>
    </row>
    <row r="132" spans="1:13" ht="27" customHeight="1" x14ac:dyDescent="0.3">
      <c r="A132" s="85"/>
      <c r="B132" s="87"/>
      <c r="C132" s="84"/>
      <c r="D132" s="101"/>
    </row>
    <row r="133" spans="1:13" x14ac:dyDescent="0.3">
      <c r="A133" s="43" t="s">
        <v>8</v>
      </c>
      <c r="B133" s="86">
        <f>SUM(B131:B132)</f>
        <v>0</v>
      </c>
      <c r="C133" s="44"/>
    </row>
    <row r="134" spans="1:13" x14ac:dyDescent="0.3">
      <c r="M134" s="7"/>
    </row>
    <row r="135" spans="1:13" ht="15" customHeight="1" x14ac:dyDescent="0.3">
      <c r="A135" s="192"/>
      <c r="B135" s="192"/>
      <c r="C135" s="192"/>
      <c r="D135" s="192"/>
      <c r="E135" s="192"/>
    </row>
    <row r="136" spans="1:13" x14ac:dyDescent="0.3">
      <c r="A136" s="192"/>
      <c r="B136" s="192"/>
      <c r="C136" s="192"/>
      <c r="D136" s="192"/>
      <c r="E136" s="192"/>
    </row>
    <row r="137" spans="1:13" x14ac:dyDescent="0.3">
      <c r="A137" s="192"/>
      <c r="B137" s="192"/>
      <c r="C137" s="192"/>
      <c r="D137" s="192"/>
      <c r="E137" s="192"/>
    </row>
    <row r="138" spans="1:13" x14ac:dyDescent="0.3">
      <c r="A138" s="192"/>
      <c r="B138" s="192"/>
      <c r="C138" s="192"/>
      <c r="D138" s="192"/>
      <c r="E138" s="192"/>
    </row>
  </sheetData>
  <mergeCells count="20">
    <mergeCell ref="A34:B34"/>
    <mergeCell ref="A135:E138"/>
    <mergeCell ref="A129:C130"/>
    <mergeCell ref="A94:E96"/>
    <mergeCell ref="A78:B78"/>
    <mergeCell ref="A77:B77"/>
    <mergeCell ref="A79:B79"/>
    <mergeCell ref="A38:B38"/>
    <mergeCell ref="A39:B39"/>
    <mergeCell ref="A35:B35"/>
    <mergeCell ref="A64:B64"/>
    <mergeCell ref="A124:B127"/>
    <mergeCell ref="A63:B63"/>
    <mergeCell ref="A59:B59"/>
    <mergeCell ref="A60:B60"/>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Normal="100" workbookViewId="0">
      <selection activeCell="A24" sqref="A24:D24"/>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6"/>
      <c r="B1" s="6"/>
      <c r="C1" s="6"/>
      <c r="D1" s="6"/>
      <c r="E1" s="204"/>
      <c r="F1" s="204"/>
      <c r="G1" s="204"/>
      <c r="H1" s="204"/>
      <c r="I1" s="204"/>
      <c r="J1" s="204"/>
      <c r="K1" s="204"/>
      <c r="L1" s="204"/>
      <c r="M1" s="6"/>
    </row>
    <row r="2" spans="1:16" ht="12.9" customHeight="1" x14ac:dyDescent="0.3">
      <c r="A2" s="6"/>
      <c r="B2" s="6"/>
      <c r="C2" s="6"/>
      <c r="D2" s="6"/>
      <c r="E2" s="6" t="s">
        <v>58</v>
      </c>
      <c r="F2" s="6"/>
      <c r="G2" s="119">
        <v>801500</v>
      </c>
      <c r="H2" s="6"/>
      <c r="I2" s="6"/>
      <c r="J2" s="6" t="s">
        <v>50</v>
      </c>
      <c r="K2" s="152">
        <v>3155000</v>
      </c>
      <c r="L2" s="94"/>
      <c r="M2" s="53"/>
      <c r="N2" s="21"/>
    </row>
    <row r="3" spans="1:16" ht="12.9" customHeight="1" thickBot="1" x14ac:dyDescent="0.35">
      <c r="A3" s="6"/>
      <c r="B3" s="6"/>
      <c r="C3" s="6"/>
      <c r="D3" s="6"/>
      <c r="E3" s="6"/>
      <c r="F3" s="6"/>
      <c r="G3" s="6"/>
      <c r="H3" s="6"/>
      <c r="I3" s="6"/>
      <c r="J3" s="6"/>
      <c r="K3" s="6"/>
      <c r="L3" s="57"/>
      <c r="M3" s="57"/>
    </row>
    <row r="4" spans="1:16" ht="12.9" customHeight="1" x14ac:dyDescent="0.3">
      <c r="A4" s="211" t="s">
        <v>144</v>
      </c>
      <c r="B4" s="212"/>
      <c r="C4" s="212"/>
      <c r="D4" s="212"/>
      <c r="E4" s="212"/>
      <c r="F4" s="212"/>
      <c r="G4" s="212"/>
      <c r="H4" s="212"/>
      <c r="I4" s="212"/>
      <c r="J4" s="212"/>
      <c r="K4" s="212"/>
      <c r="L4" s="212"/>
      <c r="M4" s="213"/>
    </row>
    <row r="5" spans="1:16" ht="12.9" customHeight="1" x14ac:dyDescent="0.3">
      <c r="A5" s="214"/>
      <c r="B5" s="183"/>
      <c r="C5" s="183"/>
      <c r="D5" s="183"/>
      <c r="E5" s="183"/>
      <c r="F5" s="183"/>
      <c r="G5" s="183"/>
      <c r="H5" s="183"/>
      <c r="I5" s="183"/>
      <c r="J5" s="183"/>
      <c r="K5" s="183"/>
      <c r="L5" s="183"/>
      <c r="M5" s="215"/>
    </row>
    <row r="6" spans="1:16" ht="12.9" customHeight="1" thickBot="1" x14ac:dyDescent="0.35">
      <c r="A6" s="216"/>
      <c r="B6" s="217"/>
      <c r="C6" s="217"/>
      <c r="D6" s="217"/>
      <c r="E6" s="217"/>
      <c r="F6" s="217"/>
      <c r="G6" s="217"/>
      <c r="H6" s="217"/>
      <c r="I6" s="217"/>
      <c r="J6" s="217"/>
      <c r="K6" s="217"/>
      <c r="L6" s="217"/>
      <c r="M6" s="218"/>
    </row>
    <row r="7" spans="1:16" x14ac:dyDescent="0.3">
      <c r="A7" s="197" t="s">
        <v>5</v>
      </c>
      <c r="B7" s="197" t="s">
        <v>61</v>
      </c>
      <c r="C7" s="197" t="s">
        <v>6</v>
      </c>
      <c r="D7" s="197" t="s">
        <v>25</v>
      </c>
      <c r="E7" s="197" t="s">
        <v>10</v>
      </c>
      <c r="F7" s="205" t="s">
        <v>45</v>
      </c>
      <c r="G7" s="197" t="s">
        <v>7</v>
      </c>
      <c r="H7" s="207" t="s">
        <v>28</v>
      </c>
      <c r="I7" s="205" t="s">
        <v>39</v>
      </c>
      <c r="J7" s="205" t="s">
        <v>24</v>
      </c>
      <c r="K7" s="209" t="s">
        <v>59</v>
      </c>
      <c r="L7" s="153" t="s">
        <v>34</v>
      </c>
      <c r="M7" s="203" t="s">
        <v>33</v>
      </c>
    </row>
    <row r="8" spans="1:16" ht="15.75" customHeight="1" x14ac:dyDescent="0.3">
      <c r="A8" s="197"/>
      <c r="B8" s="198"/>
      <c r="C8" s="197"/>
      <c r="D8" s="198"/>
      <c r="E8" s="197"/>
      <c r="F8" s="206"/>
      <c r="G8" s="197"/>
      <c r="H8" s="208"/>
      <c r="I8" s="206"/>
      <c r="J8" s="206"/>
      <c r="K8" s="210"/>
      <c r="L8" s="58" t="str">
        <f>RESUMEN!B8</f>
        <v>VTO 18/06</v>
      </c>
      <c r="M8" s="203"/>
    </row>
    <row r="9" spans="1:16" ht="17.100000000000001" customHeight="1" x14ac:dyDescent="0.3">
      <c r="A9" s="122">
        <v>1</v>
      </c>
      <c r="B9" s="122" t="s">
        <v>62</v>
      </c>
      <c r="C9" s="122" t="s">
        <v>86</v>
      </c>
      <c r="D9" s="122" t="s">
        <v>127</v>
      </c>
      <c r="E9" s="144">
        <v>3.43</v>
      </c>
      <c r="F9" s="124">
        <v>135708.01</v>
      </c>
      <c r="G9" s="133">
        <f>F9</f>
        <v>135708.01</v>
      </c>
      <c r="H9" s="125">
        <f t="shared" ref="H9:H33" si="0">F9-G9</f>
        <v>0</v>
      </c>
      <c r="I9" s="125">
        <f>IF(H9&gt;0,H9*3%,0)</f>
        <v>0</v>
      </c>
      <c r="J9" s="126">
        <f>K$2*E9%</f>
        <v>108216.50000000001</v>
      </c>
      <c r="K9" s="127">
        <f>G$2*E9/100</f>
        <v>27491.45</v>
      </c>
      <c r="L9" s="128">
        <f t="shared" ref="L9:L33" si="1">ROUND(SUM(H9:K9),0) + N9</f>
        <v>135708.01</v>
      </c>
      <c r="M9" s="129">
        <f t="shared" ref="M9:M33" si="2">ROUND(L9*3%,0) + L9</f>
        <v>139779.01</v>
      </c>
      <c r="N9" s="42">
        <v>0.01</v>
      </c>
    </row>
    <row r="10" spans="1:16" ht="17.100000000000001" customHeight="1" x14ac:dyDescent="0.3">
      <c r="A10" s="131">
        <f>A9+1</f>
        <v>2</v>
      </c>
      <c r="B10" s="131" t="s">
        <v>70</v>
      </c>
      <c r="C10" s="131" t="s">
        <v>87</v>
      </c>
      <c r="D10" s="132" t="s">
        <v>117</v>
      </c>
      <c r="E10" s="145">
        <v>2.95</v>
      </c>
      <c r="F10" s="133">
        <v>241311.02</v>
      </c>
      <c r="G10" s="133">
        <f>124594+116717.02</f>
        <v>241311.02000000002</v>
      </c>
      <c r="H10" s="125">
        <f t="shared" si="0"/>
        <v>0</v>
      </c>
      <c r="I10" s="125">
        <f t="shared" ref="I10:I33" si="3">IF(H10&gt;0,H10*3%,0)</f>
        <v>0</v>
      </c>
      <c r="J10" s="126">
        <f t="shared" ref="J10:J32" si="4">K$2*E10%</f>
        <v>93072.5</v>
      </c>
      <c r="K10" s="127">
        <f t="shared" ref="K10:K32" si="5">G$2*E10/100</f>
        <v>23644.25</v>
      </c>
      <c r="L10" s="128">
        <f t="shared" si="1"/>
        <v>116717.02</v>
      </c>
      <c r="M10" s="129">
        <f t="shared" si="2"/>
        <v>120219.02</v>
      </c>
      <c r="N10" s="42">
        <f>N9+0.01</f>
        <v>0.02</v>
      </c>
      <c r="O10" s="42"/>
    </row>
    <row r="11" spans="1:16" ht="17.100000000000001" customHeight="1" x14ac:dyDescent="0.3">
      <c r="A11" s="131">
        <f t="shared" ref="A11:A32" si="6">A10+1</f>
        <v>3</v>
      </c>
      <c r="B11" s="131" t="s">
        <v>71</v>
      </c>
      <c r="C11" s="131" t="s">
        <v>88</v>
      </c>
      <c r="D11" s="132" t="s">
        <v>134</v>
      </c>
      <c r="E11" s="145">
        <f>5.78+1.02</f>
        <v>6.8000000000000007</v>
      </c>
      <c r="F11" s="133">
        <v>269042.03000000003</v>
      </c>
      <c r="G11" s="133">
        <v>277113.03000000003</v>
      </c>
      <c r="H11" s="125">
        <f t="shared" si="0"/>
        <v>-8071</v>
      </c>
      <c r="I11" s="125">
        <f t="shared" si="3"/>
        <v>0</v>
      </c>
      <c r="J11" s="126">
        <f t="shared" si="4"/>
        <v>214540.00000000003</v>
      </c>
      <c r="K11" s="127">
        <f t="shared" si="5"/>
        <v>54502.000000000007</v>
      </c>
      <c r="L11" s="128">
        <f t="shared" si="1"/>
        <v>260971.03</v>
      </c>
      <c r="M11" s="129">
        <f t="shared" si="2"/>
        <v>268800.03000000003</v>
      </c>
      <c r="N11" s="42">
        <f t="shared" ref="N11:N33" si="7">N10+0.01</f>
        <v>0.03</v>
      </c>
      <c r="O11" t="s">
        <v>126</v>
      </c>
    </row>
    <row r="12" spans="1:16" ht="17.100000000000001" customHeight="1" x14ac:dyDescent="0.3">
      <c r="A12" s="122">
        <f t="shared" si="6"/>
        <v>4</v>
      </c>
      <c r="B12" s="122" t="s">
        <v>63</v>
      </c>
      <c r="C12" s="130" t="s">
        <v>135</v>
      </c>
      <c r="D12" s="130"/>
      <c r="E12" s="144">
        <v>3.43</v>
      </c>
      <c r="F12" s="124">
        <v>131637.04</v>
      </c>
      <c r="G12" s="133">
        <v>135586.04</v>
      </c>
      <c r="H12" s="125">
        <f t="shared" si="0"/>
        <v>-3949</v>
      </c>
      <c r="I12" s="125">
        <f t="shared" si="3"/>
        <v>0</v>
      </c>
      <c r="J12" s="126">
        <f t="shared" si="4"/>
        <v>108216.50000000001</v>
      </c>
      <c r="K12" s="127">
        <f t="shared" si="5"/>
        <v>27491.45</v>
      </c>
      <c r="L12" s="128">
        <f t="shared" si="1"/>
        <v>131759.04000000001</v>
      </c>
      <c r="M12" s="129">
        <f t="shared" si="2"/>
        <v>135712.04</v>
      </c>
      <c r="N12" s="42">
        <f t="shared" si="7"/>
        <v>0.04</v>
      </c>
      <c r="P12" s="42"/>
    </row>
    <row r="13" spans="1:16" ht="17.100000000000001" customHeight="1" x14ac:dyDescent="0.3">
      <c r="A13" s="122">
        <f t="shared" si="6"/>
        <v>5</v>
      </c>
      <c r="B13" s="122" t="s">
        <v>72</v>
      </c>
      <c r="C13" s="122" t="s">
        <v>89</v>
      </c>
      <c r="D13" s="130"/>
      <c r="E13" s="144">
        <v>2.95</v>
      </c>
      <c r="F13" s="124">
        <v>116717.05</v>
      </c>
      <c r="G13" s="133">
        <f>F13</f>
        <v>116717.05</v>
      </c>
      <c r="H13" s="125">
        <f t="shared" si="0"/>
        <v>0</v>
      </c>
      <c r="I13" s="125">
        <f t="shared" si="3"/>
        <v>0</v>
      </c>
      <c r="J13" s="126">
        <f t="shared" si="4"/>
        <v>93072.5</v>
      </c>
      <c r="K13" s="127">
        <f t="shared" si="5"/>
        <v>23644.25</v>
      </c>
      <c r="L13" s="128">
        <f t="shared" si="1"/>
        <v>116717.05</v>
      </c>
      <c r="M13" s="129">
        <f t="shared" si="2"/>
        <v>120219.05</v>
      </c>
      <c r="N13" s="42">
        <f t="shared" si="7"/>
        <v>0.05</v>
      </c>
      <c r="P13" s="42"/>
    </row>
    <row r="14" spans="1:16" ht="17.100000000000001" customHeight="1" x14ac:dyDescent="0.3">
      <c r="A14" s="131">
        <f t="shared" si="6"/>
        <v>6</v>
      </c>
      <c r="B14" s="131" t="s">
        <v>73</v>
      </c>
      <c r="C14" s="131" t="s">
        <v>90</v>
      </c>
      <c r="D14" s="131"/>
      <c r="E14" s="144">
        <v>5.69</v>
      </c>
      <c r="F14" s="124">
        <v>457004.06</v>
      </c>
      <c r="G14" s="133">
        <f>231879+218371.06+6754</f>
        <v>457004.06</v>
      </c>
      <c r="H14" s="125">
        <f t="shared" si="0"/>
        <v>0</v>
      </c>
      <c r="I14" s="125">
        <f t="shared" si="3"/>
        <v>0</v>
      </c>
      <c r="J14" s="126">
        <f t="shared" si="4"/>
        <v>179519.50000000003</v>
      </c>
      <c r="K14" s="127">
        <f t="shared" si="5"/>
        <v>45605.35</v>
      </c>
      <c r="L14" s="128">
        <f t="shared" si="1"/>
        <v>225125.06</v>
      </c>
      <c r="M14" s="129">
        <f t="shared" si="2"/>
        <v>231879.06</v>
      </c>
      <c r="N14" s="42">
        <f t="shared" si="7"/>
        <v>6.0000000000000005E-2</v>
      </c>
      <c r="O14" t="s">
        <v>165</v>
      </c>
    </row>
    <row r="15" spans="1:16" ht="17.100000000000001" customHeight="1" x14ac:dyDescent="0.3">
      <c r="A15" s="122">
        <f t="shared" si="6"/>
        <v>7</v>
      </c>
      <c r="B15" s="122" t="s">
        <v>64</v>
      </c>
      <c r="C15" s="122" t="s">
        <v>91</v>
      </c>
      <c r="D15" s="122"/>
      <c r="E15" s="144">
        <v>3.43</v>
      </c>
      <c r="F15" s="124">
        <v>139779.07</v>
      </c>
      <c r="G15" s="133">
        <f>F15</f>
        <v>139779.07</v>
      </c>
      <c r="H15" s="125">
        <f t="shared" si="0"/>
        <v>0</v>
      </c>
      <c r="I15" s="125">
        <f t="shared" si="3"/>
        <v>0</v>
      </c>
      <c r="J15" s="126">
        <f t="shared" si="4"/>
        <v>108216.50000000001</v>
      </c>
      <c r="K15" s="127">
        <f t="shared" si="5"/>
        <v>27491.45</v>
      </c>
      <c r="L15" s="128">
        <f t="shared" si="1"/>
        <v>135708.07</v>
      </c>
      <c r="M15" s="129">
        <f t="shared" si="2"/>
        <v>139779.07</v>
      </c>
      <c r="N15" s="42">
        <f t="shared" si="7"/>
        <v>7.0000000000000007E-2</v>
      </c>
      <c r="O15" t="s">
        <v>167</v>
      </c>
    </row>
    <row r="16" spans="1:16" ht="17.100000000000001" customHeight="1" x14ac:dyDescent="0.3">
      <c r="A16" s="122">
        <f t="shared" si="6"/>
        <v>8</v>
      </c>
      <c r="B16" s="122" t="s">
        <v>74</v>
      </c>
      <c r="C16" s="122" t="s">
        <v>92</v>
      </c>
      <c r="D16" s="130" t="s">
        <v>145</v>
      </c>
      <c r="E16" s="144">
        <v>2.95</v>
      </c>
      <c r="F16" s="124">
        <v>387212.08</v>
      </c>
      <c r="G16" s="133">
        <f>F16</f>
        <v>387212.08</v>
      </c>
      <c r="H16" s="125">
        <f t="shared" si="0"/>
        <v>0</v>
      </c>
      <c r="I16" s="125">
        <f t="shared" si="3"/>
        <v>0</v>
      </c>
      <c r="J16" s="126">
        <f t="shared" si="4"/>
        <v>93072.5</v>
      </c>
      <c r="K16" s="127">
        <f t="shared" si="5"/>
        <v>23644.25</v>
      </c>
      <c r="L16" s="128">
        <f t="shared" si="1"/>
        <v>116717.08</v>
      </c>
      <c r="M16" s="129">
        <f t="shared" si="2"/>
        <v>120219.08</v>
      </c>
      <c r="N16" s="42">
        <f t="shared" si="7"/>
        <v>0.08</v>
      </c>
    </row>
    <row r="17" spans="1:14" ht="17.100000000000001" customHeight="1" x14ac:dyDescent="0.3">
      <c r="A17" s="122">
        <f t="shared" si="6"/>
        <v>9</v>
      </c>
      <c r="B17" s="122" t="s">
        <v>75</v>
      </c>
      <c r="C17" s="122" t="s">
        <v>121</v>
      </c>
      <c r="D17" s="130" t="s">
        <v>118</v>
      </c>
      <c r="E17" s="144">
        <v>5.69</v>
      </c>
      <c r="F17" s="124">
        <v>225125.09</v>
      </c>
      <c r="G17" s="133">
        <f>F17</f>
        <v>225125.09</v>
      </c>
      <c r="H17" s="125">
        <f t="shared" si="0"/>
        <v>0</v>
      </c>
      <c r="I17" s="125">
        <f t="shared" si="3"/>
        <v>0</v>
      </c>
      <c r="J17" s="126">
        <f t="shared" si="4"/>
        <v>179519.50000000003</v>
      </c>
      <c r="K17" s="127">
        <f t="shared" si="5"/>
        <v>45605.35</v>
      </c>
      <c r="L17" s="128">
        <f t="shared" si="1"/>
        <v>225125.09</v>
      </c>
      <c r="M17" s="129">
        <f t="shared" si="2"/>
        <v>231879.09</v>
      </c>
      <c r="N17" s="42">
        <f t="shared" si="7"/>
        <v>0.09</v>
      </c>
    </row>
    <row r="18" spans="1:14" ht="17.100000000000001" customHeight="1" x14ac:dyDescent="0.3">
      <c r="A18" s="122">
        <f t="shared" si="6"/>
        <v>10</v>
      </c>
      <c r="B18" s="122" t="s">
        <v>65</v>
      </c>
      <c r="C18" s="122" t="s">
        <v>93</v>
      </c>
      <c r="D18" s="130" t="s">
        <v>129</v>
      </c>
      <c r="E18" s="144">
        <v>3.43</v>
      </c>
      <c r="F18" s="124">
        <v>275200.09999999998</v>
      </c>
      <c r="G18" s="133">
        <v>0</v>
      </c>
      <c r="H18" s="125">
        <f t="shared" si="0"/>
        <v>275200.09999999998</v>
      </c>
      <c r="I18" s="125">
        <f t="shared" si="3"/>
        <v>8256.0029999999988</v>
      </c>
      <c r="J18" s="126">
        <f t="shared" si="4"/>
        <v>108216.50000000001</v>
      </c>
      <c r="K18" s="127">
        <f t="shared" si="5"/>
        <v>27491.45</v>
      </c>
      <c r="L18" s="128">
        <f t="shared" si="1"/>
        <v>419164.1</v>
      </c>
      <c r="M18" s="129">
        <f t="shared" si="2"/>
        <v>431739.1</v>
      </c>
      <c r="N18" s="42">
        <f t="shared" si="7"/>
        <v>9.9999999999999992E-2</v>
      </c>
    </row>
    <row r="19" spans="1:14" ht="17.100000000000001" customHeight="1" x14ac:dyDescent="0.3">
      <c r="A19" s="122">
        <f t="shared" si="6"/>
        <v>11</v>
      </c>
      <c r="B19" s="122" t="s">
        <v>76</v>
      </c>
      <c r="C19" s="122" t="s">
        <v>120</v>
      </c>
      <c r="D19" s="130" t="s">
        <v>128</v>
      </c>
      <c r="E19" s="144">
        <v>2.95</v>
      </c>
      <c r="F19" s="124">
        <v>113214.11</v>
      </c>
      <c r="G19" s="133">
        <v>116610.11</v>
      </c>
      <c r="H19" s="125">
        <f t="shared" si="0"/>
        <v>-3396</v>
      </c>
      <c r="I19" s="125">
        <f t="shared" si="3"/>
        <v>0</v>
      </c>
      <c r="J19" s="126">
        <f t="shared" si="4"/>
        <v>93072.5</v>
      </c>
      <c r="K19" s="127">
        <f t="shared" si="5"/>
        <v>23644.25</v>
      </c>
      <c r="L19" s="128">
        <f t="shared" si="1"/>
        <v>113321.11</v>
      </c>
      <c r="M19" s="129">
        <f t="shared" si="2"/>
        <v>116721.11</v>
      </c>
      <c r="N19" s="42">
        <f t="shared" si="7"/>
        <v>0.10999999999999999</v>
      </c>
    </row>
    <row r="20" spans="1:14" ht="17.100000000000001" customHeight="1" x14ac:dyDescent="0.3">
      <c r="A20" s="122">
        <f t="shared" si="6"/>
        <v>12</v>
      </c>
      <c r="B20" s="122" t="s">
        <v>77</v>
      </c>
      <c r="C20" s="122" t="s">
        <v>122</v>
      </c>
      <c r="D20" s="130" t="s">
        <v>119</v>
      </c>
      <c r="E20" s="144">
        <f>5.69+0.51</f>
        <v>6.2</v>
      </c>
      <c r="F20" s="124">
        <v>245303.12</v>
      </c>
      <c r="G20" s="133">
        <v>252662.12</v>
      </c>
      <c r="H20" s="125">
        <f t="shared" si="0"/>
        <v>-7359</v>
      </c>
      <c r="I20" s="125">
        <f t="shared" si="3"/>
        <v>0</v>
      </c>
      <c r="J20" s="126">
        <f t="shared" si="4"/>
        <v>195610</v>
      </c>
      <c r="K20" s="127">
        <f t="shared" si="5"/>
        <v>49693</v>
      </c>
      <c r="L20" s="128">
        <f t="shared" si="1"/>
        <v>237944.12</v>
      </c>
      <c r="M20" s="129">
        <f t="shared" si="2"/>
        <v>245082.12</v>
      </c>
      <c r="N20" s="42">
        <f t="shared" si="7"/>
        <v>0.11999999999999998</v>
      </c>
    </row>
    <row r="21" spans="1:14" ht="17.100000000000001" customHeight="1" x14ac:dyDescent="0.3">
      <c r="A21" s="122">
        <f t="shared" si="6"/>
        <v>13</v>
      </c>
      <c r="B21" s="122" t="s">
        <v>66</v>
      </c>
      <c r="C21" s="122" t="s">
        <v>94</v>
      </c>
      <c r="D21" s="130" t="s">
        <v>131</v>
      </c>
      <c r="E21" s="144">
        <v>3.43</v>
      </c>
      <c r="F21" s="124">
        <v>135708.13</v>
      </c>
      <c r="G21" s="133">
        <f>F21</f>
        <v>135708.13</v>
      </c>
      <c r="H21" s="125">
        <f t="shared" si="0"/>
        <v>0</v>
      </c>
      <c r="I21" s="125">
        <f t="shared" si="3"/>
        <v>0</v>
      </c>
      <c r="J21" s="126">
        <f t="shared" si="4"/>
        <v>108216.50000000001</v>
      </c>
      <c r="K21" s="127">
        <f t="shared" si="5"/>
        <v>27491.45</v>
      </c>
      <c r="L21" s="128">
        <f t="shared" si="1"/>
        <v>135708.13</v>
      </c>
      <c r="M21" s="129">
        <f t="shared" si="2"/>
        <v>139779.13</v>
      </c>
      <c r="N21" s="42">
        <f t="shared" si="7"/>
        <v>0.12999999999999998</v>
      </c>
    </row>
    <row r="22" spans="1:14" ht="17.100000000000001" customHeight="1" x14ac:dyDescent="0.3">
      <c r="A22" s="122">
        <f t="shared" si="6"/>
        <v>14</v>
      </c>
      <c r="B22" s="122" t="s">
        <v>78</v>
      </c>
      <c r="C22" s="122" t="s">
        <v>95</v>
      </c>
      <c r="D22" s="130" t="s">
        <v>140</v>
      </c>
      <c r="E22" s="144">
        <v>2.95</v>
      </c>
      <c r="F22" s="124">
        <v>116717.14</v>
      </c>
      <c r="G22" s="133">
        <f>F22</f>
        <v>116717.14</v>
      </c>
      <c r="H22" s="125">
        <f t="shared" si="0"/>
        <v>0</v>
      </c>
      <c r="I22" s="125">
        <f t="shared" si="3"/>
        <v>0</v>
      </c>
      <c r="J22" s="126">
        <f t="shared" si="4"/>
        <v>93072.5</v>
      </c>
      <c r="K22" s="127">
        <f t="shared" si="5"/>
        <v>23644.25</v>
      </c>
      <c r="L22" s="128">
        <f t="shared" si="1"/>
        <v>116717.14</v>
      </c>
      <c r="M22" s="129">
        <f t="shared" si="2"/>
        <v>120219.14</v>
      </c>
      <c r="N22" s="42">
        <f t="shared" si="7"/>
        <v>0.13999999999999999</v>
      </c>
    </row>
    <row r="23" spans="1:14" ht="17.100000000000001" customHeight="1" x14ac:dyDescent="0.3">
      <c r="A23" s="131">
        <f t="shared" si="6"/>
        <v>15</v>
      </c>
      <c r="B23" s="131" t="s">
        <v>79</v>
      </c>
      <c r="C23" s="131" t="s">
        <v>96</v>
      </c>
      <c r="D23" s="132" t="s">
        <v>132</v>
      </c>
      <c r="E23" s="145">
        <f>5.69+0.51</f>
        <v>6.2</v>
      </c>
      <c r="F23" s="133">
        <v>245303.15</v>
      </c>
      <c r="G23" s="133">
        <f>F23</f>
        <v>245303.15</v>
      </c>
      <c r="H23" s="125">
        <f t="shared" si="0"/>
        <v>0</v>
      </c>
      <c r="I23" s="125">
        <f t="shared" si="3"/>
        <v>0</v>
      </c>
      <c r="J23" s="126">
        <f t="shared" si="4"/>
        <v>195610</v>
      </c>
      <c r="K23" s="127">
        <f t="shared" si="5"/>
        <v>49693</v>
      </c>
      <c r="L23" s="128">
        <f t="shared" si="1"/>
        <v>245303.15</v>
      </c>
      <c r="M23" s="129">
        <f t="shared" si="2"/>
        <v>252662.15</v>
      </c>
      <c r="N23" s="42">
        <f t="shared" si="7"/>
        <v>0.15</v>
      </c>
    </row>
    <row r="24" spans="1:14" ht="17.100000000000001" customHeight="1" x14ac:dyDescent="0.3">
      <c r="A24" s="233">
        <f t="shared" si="6"/>
        <v>16</v>
      </c>
      <c r="B24" s="233" t="s">
        <v>67</v>
      </c>
      <c r="C24" s="233" t="s">
        <v>97</v>
      </c>
      <c r="D24" s="233"/>
      <c r="E24" s="144">
        <v>3.43</v>
      </c>
      <c r="F24" s="124">
        <v>131637.16</v>
      </c>
      <c r="G24" s="133"/>
      <c r="H24" s="125">
        <f t="shared" si="0"/>
        <v>131637.16</v>
      </c>
      <c r="I24" s="125">
        <f t="shared" si="3"/>
        <v>3949.1147999999998</v>
      </c>
      <c r="J24" s="126">
        <f t="shared" si="4"/>
        <v>108216.50000000001</v>
      </c>
      <c r="K24" s="127">
        <f t="shared" si="5"/>
        <v>27491.45</v>
      </c>
      <c r="L24" s="128">
        <f t="shared" si="1"/>
        <v>271294.15999999997</v>
      </c>
      <c r="M24" s="129">
        <f t="shared" si="2"/>
        <v>279433.15999999997</v>
      </c>
      <c r="N24" s="42">
        <f t="shared" si="7"/>
        <v>0.16</v>
      </c>
    </row>
    <row r="25" spans="1:14" ht="17.100000000000001" customHeight="1" x14ac:dyDescent="0.3">
      <c r="A25" s="122">
        <f t="shared" si="6"/>
        <v>17</v>
      </c>
      <c r="B25" s="122" t="s">
        <v>80</v>
      </c>
      <c r="C25" s="122" t="s">
        <v>98</v>
      </c>
      <c r="D25" s="130" t="s">
        <v>141</v>
      </c>
      <c r="E25" s="144">
        <v>2.95</v>
      </c>
      <c r="F25" s="133">
        <v>116717.17</v>
      </c>
      <c r="G25" s="133">
        <f>F25</f>
        <v>116717.17</v>
      </c>
      <c r="H25" s="125">
        <f t="shared" si="0"/>
        <v>0</v>
      </c>
      <c r="I25" s="125">
        <f t="shared" si="3"/>
        <v>0</v>
      </c>
      <c r="J25" s="126">
        <f t="shared" si="4"/>
        <v>93072.5</v>
      </c>
      <c r="K25" s="127">
        <f t="shared" si="5"/>
        <v>23644.25</v>
      </c>
      <c r="L25" s="128">
        <f t="shared" si="1"/>
        <v>116717.17</v>
      </c>
      <c r="M25" s="129">
        <f t="shared" si="2"/>
        <v>120219.17</v>
      </c>
      <c r="N25" s="42">
        <f t="shared" si="7"/>
        <v>0.17</v>
      </c>
    </row>
    <row r="26" spans="1:14" ht="17.100000000000001" customHeight="1" x14ac:dyDescent="0.3">
      <c r="A26" s="131">
        <f t="shared" si="6"/>
        <v>18</v>
      </c>
      <c r="B26" s="131" t="s">
        <v>81</v>
      </c>
      <c r="C26" s="131" t="s">
        <v>99</v>
      </c>
      <c r="D26" s="154"/>
      <c r="E26" s="145">
        <f>5.69+0.51</f>
        <v>6.2</v>
      </c>
      <c r="F26" s="133">
        <v>237944.18</v>
      </c>
      <c r="G26" s="133">
        <f>F26</f>
        <v>237944.18</v>
      </c>
      <c r="H26" s="125">
        <f t="shared" si="0"/>
        <v>0</v>
      </c>
      <c r="I26" s="125">
        <f t="shared" si="3"/>
        <v>0</v>
      </c>
      <c r="J26" s="126">
        <f t="shared" si="4"/>
        <v>195610</v>
      </c>
      <c r="K26" s="127">
        <f t="shared" si="5"/>
        <v>49693</v>
      </c>
      <c r="L26" s="128">
        <f t="shared" si="1"/>
        <v>245303.18</v>
      </c>
      <c r="M26" s="129">
        <f t="shared" si="2"/>
        <v>252662.18</v>
      </c>
      <c r="N26" s="42">
        <f t="shared" si="7"/>
        <v>0.18000000000000002</v>
      </c>
    </row>
    <row r="27" spans="1:14" x14ac:dyDescent="0.3">
      <c r="A27" s="131">
        <f t="shared" si="6"/>
        <v>19</v>
      </c>
      <c r="B27" s="131" t="s">
        <v>68</v>
      </c>
      <c r="C27" s="131" t="s">
        <v>125</v>
      </c>
      <c r="D27" s="132" t="s">
        <v>133</v>
      </c>
      <c r="E27" s="145">
        <v>3.43</v>
      </c>
      <c r="F27" s="133">
        <v>315013.19</v>
      </c>
      <c r="G27" s="133"/>
      <c r="H27" s="125">
        <f t="shared" si="0"/>
        <v>315013.19</v>
      </c>
      <c r="I27" s="125">
        <f t="shared" si="3"/>
        <v>9450.3956999999991</v>
      </c>
      <c r="J27" s="126">
        <f t="shared" si="4"/>
        <v>108216.50000000001</v>
      </c>
      <c r="K27" s="127">
        <f t="shared" si="5"/>
        <v>27491.45</v>
      </c>
      <c r="L27" s="128">
        <f t="shared" si="1"/>
        <v>460172.19</v>
      </c>
      <c r="M27" s="129">
        <f t="shared" si="2"/>
        <v>473977.19</v>
      </c>
      <c r="N27" s="42">
        <f t="shared" si="7"/>
        <v>0.19000000000000003</v>
      </c>
    </row>
    <row r="28" spans="1:14" x14ac:dyDescent="0.3">
      <c r="A28" s="131">
        <f t="shared" si="6"/>
        <v>20</v>
      </c>
      <c r="B28" s="155" t="s">
        <v>82</v>
      </c>
      <c r="C28" s="131" t="s">
        <v>123</v>
      </c>
      <c r="D28" s="132" t="s">
        <v>142</v>
      </c>
      <c r="E28" s="145">
        <v>2.95</v>
      </c>
      <c r="F28" s="135">
        <v>116717.2</v>
      </c>
      <c r="G28" s="135">
        <f>F28</f>
        <v>116717.2</v>
      </c>
      <c r="H28" s="125">
        <f t="shared" si="0"/>
        <v>0</v>
      </c>
      <c r="I28" s="125">
        <f t="shared" si="3"/>
        <v>0</v>
      </c>
      <c r="J28" s="126">
        <f t="shared" si="4"/>
        <v>93072.5</v>
      </c>
      <c r="K28" s="127">
        <f t="shared" si="5"/>
        <v>23644.25</v>
      </c>
      <c r="L28" s="128">
        <f t="shared" si="1"/>
        <v>116717.2</v>
      </c>
      <c r="M28" s="129">
        <f t="shared" si="2"/>
        <v>120219.2</v>
      </c>
      <c r="N28" s="42">
        <f t="shared" si="7"/>
        <v>0.20000000000000004</v>
      </c>
    </row>
    <row r="29" spans="1:14" x14ac:dyDescent="0.3">
      <c r="A29" s="131">
        <f t="shared" si="6"/>
        <v>21</v>
      </c>
      <c r="B29" s="155" t="s">
        <v>83</v>
      </c>
      <c r="C29" s="156" t="s">
        <v>100</v>
      </c>
      <c r="D29" s="132"/>
      <c r="E29" s="145">
        <f>5.69+0.51</f>
        <v>6.2</v>
      </c>
      <c r="F29" s="135">
        <v>228744.21</v>
      </c>
      <c r="G29" s="133">
        <v>235606.21</v>
      </c>
      <c r="H29" s="125">
        <f t="shared" si="0"/>
        <v>-6862</v>
      </c>
      <c r="I29" s="125">
        <f t="shared" si="3"/>
        <v>0</v>
      </c>
      <c r="J29" s="126">
        <f t="shared" si="4"/>
        <v>195610</v>
      </c>
      <c r="K29" s="127">
        <f t="shared" si="5"/>
        <v>49693</v>
      </c>
      <c r="L29" s="128">
        <f t="shared" si="1"/>
        <v>238441.21</v>
      </c>
      <c r="M29" s="129">
        <f t="shared" si="2"/>
        <v>245594.21</v>
      </c>
      <c r="N29" s="42">
        <f t="shared" si="7"/>
        <v>0.21000000000000005</v>
      </c>
    </row>
    <row r="30" spans="1:14" x14ac:dyDescent="0.3">
      <c r="A30" s="131">
        <f t="shared" si="6"/>
        <v>22</v>
      </c>
      <c r="B30" s="157" t="s">
        <v>69</v>
      </c>
      <c r="C30" s="131" t="s">
        <v>101</v>
      </c>
      <c r="D30" s="132" t="s">
        <v>164</v>
      </c>
      <c r="E30" s="145">
        <v>3.43</v>
      </c>
      <c r="F30" s="135">
        <v>274826.21999999997</v>
      </c>
      <c r="G30" s="135">
        <f>140000*2</f>
        <v>280000</v>
      </c>
      <c r="H30" s="125">
        <f t="shared" si="0"/>
        <v>-5173.7800000000279</v>
      </c>
      <c r="I30" s="125">
        <f t="shared" si="3"/>
        <v>0</v>
      </c>
      <c r="J30" s="126">
        <f t="shared" si="4"/>
        <v>108216.50000000001</v>
      </c>
      <c r="K30" s="127">
        <f t="shared" si="5"/>
        <v>27491.45</v>
      </c>
      <c r="L30" s="128">
        <f t="shared" si="1"/>
        <v>130534.22</v>
      </c>
      <c r="M30" s="129">
        <f t="shared" si="2"/>
        <v>134450.22</v>
      </c>
      <c r="N30" s="42">
        <f t="shared" si="7"/>
        <v>0.22000000000000006</v>
      </c>
    </row>
    <row r="31" spans="1:14" x14ac:dyDescent="0.3">
      <c r="A31" s="131">
        <f t="shared" si="6"/>
        <v>23</v>
      </c>
      <c r="B31" s="157" t="s">
        <v>84</v>
      </c>
      <c r="C31" s="158" t="s">
        <v>124</v>
      </c>
      <c r="D31" s="159" t="s">
        <v>143</v>
      </c>
      <c r="E31" s="145">
        <v>2.95</v>
      </c>
      <c r="F31" s="135">
        <v>116717.23</v>
      </c>
      <c r="G31" s="133">
        <f>F31</f>
        <v>116717.23</v>
      </c>
      <c r="H31" s="125">
        <f t="shared" si="0"/>
        <v>0</v>
      </c>
      <c r="I31" s="125">
        <f t="shared" si="3"/>
        <v>0</v>
      </c>
      <c r="J31" s="126">
        <f t="shared" si="4"/>
        <v>93072.5</v>
      </c>
      <c r="K31" s="127">
        <f t="shared" si="5"/>
        <v>23644.25</v>
      </c>
      <c r="L31" s="128">
        <f t="shared" si="1"/>
        <v>116717.23</v>
      </c>
      <c r="M31" s="129">
        <f t="shared" si="2"/>
        <v>120219.23</v>
      </c>
      <c r="N31" s="42">
        <f t="shared" si="7"/>
        <v>0.23000000000000007</v>
      </c>
    </row>
    <row r="32" spans="1:14" x14ac:dyDescent="0.3">
      <c r="A32" s="122">
        <f t="shared" si="6"/>
        <v>24</v>
      </c>
      <c r="B32" s="136" t="s">
        <v>85</v>
      </c>
      <c r="C32" s="137" t="s">
        <v>102</v>
      </c>
      <c r="D32" s="138"/>
      <c r="E32" s="144">
        <v>5.68</v>
      </c>
      <c r="F32" s="134">
        <v>224729.24</v>
      </c>
      <c r="G32" s="135">
        <v>231471.24</v>
      </c>
      <c r="H32" s="125">
        <f t="shared" si="0"/>
        <v>-6742</v>
      </c>
      <c r="I32" s="125">
        <f t="shared" si="3"/>
        <v>0</v>
      </c>
      <c r="J32" s="126">
        <f t="shared" si="4"/>
        <v>179204</v>
      </c>
      <c r="K32" s="127">
        <f t="shared" si="5"/>
        <v>45525.2</v>
      </c>
      <c r="L32" s="128">
        <f t="shared" si="1"/>
        <v>217987.24</v>
      </c>
      <c r="M32" s="129">
        <f t="shared" si="2"/>
        <v>224527.24</v>
      </c>
      <c r="N32" s="42">
        <f t="shared" si="7"/>
        <v>0.24000000000000007</v>
      </c>
    </row>
    <row r="33" spans="1:15" ht="17.100000000000001" customHeight="1" thickBot="1" x14ac:dyDescent="0.35">
      <c r="A33" s="199" t="s">
        <v>104</v>
      </c>
      <c r="B33" s="200"/>
      <c r="C33" s="137" t="s">
        <v>103</v>
      </c>
      <c r="D33" s="137"/>
      <c r="E33" s="123"/>
      <c r="F33" s="134">
        <v>113215.25</v>
      </c>
      <c r="G33" s="135">
        <f>116611.25+60000</f>
        <v>176611.25</v>
      </c>
      <c r="H33" s="125">
        <f t="shared" si="0"/>
        <v>-63396</v>
      </c>
      <c r="I33" s="125">
        <f t="shared" si="3"/>
        <v>0</v>
      </c>
      <c r="J33" s="126">
        <f>J16</f>
        <v>93072.5</v>
      </c>
      <c r="K33" s="127">
        <f>K16</f>
        <v>23644.25</v>
      </c>
      <c r="L33" s="128">
        <f t="shared" si="1"/>
        <v>53321.25</v>
      </c>
      <c r="M33" s="129">
        <f t="shared" si="2"/>
        <v>54921.25</v>
      </c>
      <c r="N33" s="42">
        <f t="shared" si="7"/>
        <v>0.25000000000000006</v>
      </c>
      <c r="O33" t="s">
        <v>136</v>
      </c>
    </row>
    <row r="34" spans="1:15" ht="17.100000000000001" customHeight="1" thickBot="1" x14ac:dyDescent="0.35">
      <c r="A34" s="201" t="s">
        <v>105</v>
      </c>
      <c r="B34" s="201"/>
      <c r="C34" s="202"/>
      <c r="D34" s="139"/>
      <c r="E34" s="147">
        <f>SUM(E9:E33)</f>
        <v>99.700000000000045</v>
      </c>
      <c r="F34" s="140">
        <f t="shared" ref="F34:K34" si="8">SUM(F9:F33)</f>
        <v>5111242.2500000009</v>
      </c>
      <c r="G34" s="141">
        <f t="shared" si="8"/>
        <v>4494340.58</v>
      </c>
      <c r="H34" s="141">
        <f t="shared" si="8"/>
        <v>616901.66999999993</v>
      </c>
      <c r="I34" s="141">
        <f t="shared" si="8"/>
        <v>21655.513499999997</v>
      </c>
      <c r="J34" s="142">
        <f t="shared" si="8"/>
        <v>3238607.5</v>
      </c>
      <c r="K34" s="141">
        <f t="shared" si="8"/>
        <v>822739.74999999988</v>
      </c>
      <c r="L34" s="143">
        <f>SUM(L9:L26)</f>
        <v>3366019.7100000004</v>
      </c>
      <c r="M34" s="143">
        <f>SUM(M9:M33)</f>
        <v>4840911.2500000009</v>
      </c>
    </row>
    <row r="35" spans="1:15" ht="12.75" customHeight="1" x14ac:dyDescent="0.3">
      <c r="C35" s="49"/>
      <c r="D35" s="49"/>
    </row>
    <row r="36" spans="1:15" hidden="1" x14ac:dyDescent="0.3"/>
    <row r="37" spans="1:15" ht="9" customHeight="1" x14ac:dyDescent="0.3">
      <c r="C37" s="192"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92"/>
      <c r="E37" s="192"/>
      <c r="F37" s="192"/>
      <c r="G37" s="192"/>
      <c r="H37" s="192"/>
      <c r="I37" s="192"/>
      <c r="J37" s="192"/>
      <c r="K37" s="192"/>
      <c r="L37" s="192"/>
    </row>
    <row r="38" spans="1:15" ht="12" hidden="1" customHeight="1" x14ac:dyDescent="0.3">
      <c r="C38" s="192"/>
      <c r="D38" s="192"/>
      <c r="E38" s="192"/>
      <c r="F38" s="192"/>
      <c r="G38" s="192"/>
      <c r="H38" s="192"/>
      <c r="I38" s="192"/>
      <c r="J38" s="192"/>
      <c r="K38" s="192"/>
      <c r="L38" s="192"/>
    </row>
    <row r="39" spans="1:15" ht="12" hidden="1" customHeight="1" x14ac:dyDescent="0.3">
      <c r="C39" s="192"/>
      <c r="D39" s="192"/>
      <c r="E39" s="192"/>
      <c r="F39" s="192"/>
      <c r="G39" s="192"/>
      <c r="H39" s="192"/>
      <c r="I39" s="192"/>
      <c r="J39" s="192"/>
      <c r="K39" s="192"/>
      <c r="L39" s="192"/>
    </row>
    <row r="40" spans="1:15" ht="12" hidden="1" customHeight="1" x14ac:dyDescent="0.3">
      <c r="C40" s="192"/>
      <c r="D40" s="192"/>
      <c r="E40" s="192"/>
      <c r="F40" s="192"/>
      <c r="G40" s="192"/>
      <c r="H40" s="192"/>
      <c r="I40" s="192"/>
      <c r="J40" s="192"/>
      <c r="K40" s="192"/>
      <c r="L40" s="192"/>
    </row>
    <row r="41" spans="1:15" ht="12" hidden="1" customHeight="1" x14ac:dyDescent="0.3">
      <c r="C41" s="192"/>
      <c r="D41" s="192"/>
      <c r="E41" s="192"/>
      <c r="F41" s="192"/>
      <c r="G41" s="192"/>
      <c r="H41" s="192"/>
      <c r="I41" s="192"/>
      <c r="J41" s="192"/>
      <c r="K41" s="192"/>
      <c r="L41" s="192"/>
    </row>
    <row r="42" spans="1:15" ht="127.5" customHeight="1" x14ac:dyDescent="0.3">
      <c r="C42" s="192"/>
      <c r="D42" s="192"/>
      <c r="E42" s="192"/>
      <c r="F42" s="192"/>
      <c r="G42" s="192"/>
      <c r="H42" s="192"/>
      <c r="I42" s="192"/>
      <c r="J42" s="192"/>
      <c r="K42" s="192"/>
      <c r="L42" s="192"/>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15" sqref="C15"/>
    </sheetView>
  </sheetViews>
  <sheetFormatPr baseColWidth="10" defaultColWidth="10.88671875" defaultRowHeight="14.4" x14ac:dyDescent="0.3"/>
  <sheetData>
    <row r="2" spans="2:7" ht="15" thickBot="1" x14ac:dyDescent="0.35"/>
    <row r="3" spans="2:7" x14ac:dyDescent="0.3">
      <c r="B3" s="229" t="s">
        <v>146</v>
      </c>
      <c r="C3" s="230" t="s">
        <v>67</v>
      </c>
      <c r="D3" s="175"/>
      <c r="E3" s="175"/>
      <c r="F3" s="175"/>
      <c r="G3" s="176"/>
    </row>
    <row r="4" spans="2:7" x14ac:dyDescent="0.3">
      <c r="B4" s="231" t="s">
        <v>147</v>
      </c>
      <c r="C4" s="232"/>
      <c r="G4" s="177"/>
    </row>
    <row r="5" spans="2:7" x14ac:dyDescent="0.3">
      <c r="B5" s="178"/>
      <c r="G5" s="177"/>
    </row>
    <row r="6" spans="2:7" x14ac:dyDescent="0.3">
      <c r="B6" s="219" t="s">
        <v>184</v>
      </c>
      <c r="C6" s="220"/>
      <c r="D6" s="220"/>
      <c r="E6" s="220"/>
      <c r="F6" s="220"/>
      <c r="G6" s="221"/>
    </row>
    <row r="7" spans="2:7" x14ac:dyDescent="0.3">
      <c r="B7" s="219"/>
      <c r="C7" s="220"/>
      <c r="D7" s="220"/>
      <c r="E7" s="220"/>
      <c r="F7" s="220"/>
      <c r="G7" s="221"/>
    </row>
    <row r="8" spans="2:7" x14ac:dyDescent="0.3">
      <c r="B8" s="219"/>
      <c r="C8" s="220"/>
      <c r="D8" s="220"/>
      <c r="E8" s="220"/>
      <c r="F8" s="220"/>
      <c r="G8" s="221"/>
    </row>
    <row r="9" spans="2:7" ht="15" thickBot="1" x14ac:dyDescent="0.35">
      <c r="B9" s="222"/>
      <c r="C9" s="223"/>
      <c r="D9" s="223"/>
      <c r="E9" s="223"/>
      <c r="F9" s="223"/>
      <c r="G9" s="224"/>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2026-05-01T18:05:15Z</cp:lastPrinted>
  <dcterms:created xsi:type="dcterms:W3CDTF">2023-09-17T12:29:07Z</dcterms:created>
  <dcterms:modified xsi:type="dcterms:W3CDTF">2026-05-27T11:42:41Z</dcterms:modified>
</cp:coreProperties>
</file>