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ANATOLE FRANCE\FEBRERO\"/>
    </mc:Choice>
  </mc:AlternateContent>
  <xr:revisionPtr revIDLastSave="0" documentId="13_ncr:1_{7574758A-63D3-4F66-A59E-C21848914E9A}" xr6:coauthVersionLast="47" xr6:coauthVersionMax="47" xr10:uidLastSave="{00000000-0000-0000-0000-000000000000}"/>
  <bookViews>
    <workbookView xWindow="-120" yWindow="-120" windowWidth="20730" windowHeight="11160" tabRatio="850" activeTab="2" xr2:uid="{00000000-000D-0000-FFFF-FFFF00000000}"/>
  </bookViews>
  <sheets>
    <sheet name="RESUMEN" sheetId="1" r:id="rId1"/>
    <sheet name="PRORRATEO" sheetId="2" r:id="rId2"/>
    <sheet name="ANOTACIONES" sheetId="3" r:id="rId3"/>
  </sheets>
  <definedNames>
    <definedName name="_xlnm.Print_Area" localSheetId="1">PRORRATEO!$A$1:$M$32</definedName>
    <definedName name="_xlnm.Print_Area" localSheetId="0">RESUMEN!$A$1:$E$117</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8" i="2" l="1"/>
  <c r="N25" i="2"/>
  <c r="N26" i="2" s="1"/>
  <c r="K30" i="2"/>
  <c r="J30" i="2"/>
  <c r="K6" i="2"/>
  <c r="K24" i="2"/>
  <c r="L24" i="2" s="1"/>
  <c r="M24" i="2" s="1"/>
  <c r="K25" i="2"/>
  <c r="L25" i="2" s="1"/>
  <c r="M25" i="2" s="1"/>
  <c r="K26" i="2"/>
  <c r="K27" i="2"/>
  <c r="K28" i="2"/>
  <c r="K29" i="2"/>
  <c r="I24" i="2"/>
  <c r="I25" i="2"/>
  <c r="I26" i="2"/>
  <c r="I27" i="2"/>
  <c r="I29" i="2"/>
  <c r="I30" i="2"/>
  <c r="H24" i="2"/>
  <c r="H25" i="2"/>
  <c r="H26" i="2"/>
  <c r="H27" i="2"/>
  <c r="H28" i="2"/>
  <c r="I28" i="2" s="1"/>
  <c r="H29" i="2"/>
  <c r="H30" i="2"/>
  <c r="J7" i="2"/>
  <c r="J8" i="2"/>
  <c r="J9" i="2"/>
  <c r="J10" i="2"/>
  <c r="J11" i="2"/>
  <c r="J12" i="2"/>
  <c r="J13" i="2"/>
  <c r="J14" i="2"/>
  <c r="J15" i="2"/>
  <c r="J16" i="2"/>
  <c r="J17" i="2"/>
  <c r="J18" i="2"/>
  <c r="J19" i="2"/>
  <c r="J20" i="2"/>
  <c r="J21" i="2"/>
  <c r="J22" i="2"/>
  <c r="J23" i="2"/>
  <c r="J24" i="2"/>
  <c r="J25" i="2"/>
  <c r="J26" i="2"/>
  <c r="J27" i="2"/>
  <c r="J28" i="2"/>
  <c r="J29" i="2"/>
  <c r="J6" i="2"/>
  <c r="D59" i="1"/>
  <c r="G10" i="2"/>
  <c r="G17" i="2"/>
  <c r="G23" i="2"/>
  <c r="G12" i="2"/>
  <c r="G16" i="2"/>
  <c r="G9" i="2"/>
  <c r="G6" i="2"/>
  <c r="G19" i="2"/>
  <c r="G29" i="2"/>
  <c r="G21" i="2"/>
  <c r="G11" i="2"/>
  <c r="G18" i="2"/>
  <c r="G14" i="2"/>
  <c r="G8" i="2"/>
  <c r="E31" i="2"/>
  <c r="D26" i="1"/>
  <c r="E56" i="1"/>
  <c r="E47" i="1"/>
  <c r="E46" i="1"/>
  <c r="E26" i="2"/>
  <c r="E23" i="2"/>
  <c r="E20" i="2"/>
  <c r="E17" i="2"/>
  <c r="E8" i="2"/>
  <c r="A26" i="2"/>
  <c r="A27" i="2" s="1"/>
  <c r="A28" i="2" s="1"/>
  <c r="A29" i="2" s="1"/>
  <c r="A24" i="2"/>
  <c r="A25" i="2" s="1"/>
  <c r="L26" i="2" l="1"/>
  <c r="M26" i="2" s="1"/>
  <c r="N27" i="2"/>
  <c r="E42" i="1"/>
  <c r="L27" i="2" l="1"/>
  <c r="M27" i="2" s="1"/>
  <c r="N28" i="2"/>
  <c r="E48" i="1"/>
  <c r="E52" i="1"/>
  <c r="N29" i="2" l="1"/>
  <c r="L28" i="2"/>
  <c r="M28" i="2" s="1"/>
  <c r="E60" i="1"/>
  <c r="N30" i="2" l="1"/>
  <c r="L30" i="2" s="1"/>
  <c r="M30" i="2" s="1"/>
  <c r="L29" i="2"/>
  <c r="M29" i="2" s="1"/>
  <c r="E38" i="1"/>
  <c r="K7" i="2" l="1"/>
  <c r="K8" i="2"/>
  <c r="K9" i="2"/>
  <c r="K10" i="2"/>
  <c r="K11" i="2"/>
  <c r="K12" i="2"/>
  <c r="K13" i="2"/>
  <c r="K14" i="2"/>
  <c r="K15" i="2"/>
  <c r="K16" i="2"/>
  <c r="K17" i="2"/>
  <c r="K18" i="2"/>
  <c r="K19" i="2"/>
  <c r="K20" i="2"/>
  <c r="K21" i="2"/>
  <c r="K22" i="2"/>
  <c r="K23" i="2"/>
  <c r="C34" i="2" l="1"/>
  <c r="H17" i="2" l="1"/>
  <c r="A7" i="2" l="1"/>
  <c r="A8" i="2" s="1"/>
  <c r="A9" i="2" s="1"/>
  <c r="A10" i="2" s="1"/>
  <c r="A11" i="2" s="1"/>
  <c r="A12" i="2" s="1"/>
  <c r="A13" i="2" s="1"/>
  <c r="A14" i="2" s="1"/>
  <c r="A15" i="2" s="1"/>
  <c r="A16" i="2" s="1"/>
  <c r="A17" i="2" s="1"/>
  <c r="A18" i="2" s="1"/>
  <c r="A19" i="2" s="1"/>
  <c r="A20" i="2" s="1"/>
  <c r="A21" i="2" s="1"/>
  <c r="A22" i="2" s="1"/>
  <c r="A23" i="2" s="1"/>
  <c r="E72" i="1" l="1"/>
  <c r="E77" i="1" s="1"/>
  <c r="B81" i="1" s="1"/>
  <c r="B97" i="1" l="1"/>
  <c r="B104" i="1"/>
  <c r="B116" i="1"/>
  <c r="B93" i="1" l="1"/>
  <c r="B107" i="1"/>
  <c r="H20" i="2" l="1"/>
  <c r="D32" i="1" l="1"/>
  <c r="L5" i="2" l="1"/>
  <c r="E33" i="1" l="1"/>
  <c r="E64" i="1" s="1"/>
  <c r="N7" i="2" l="1"/>
  <c r="N8" i="2" s="1"/>
  <c r="N9" i="2" s="1"/>
  <c r="N10" i="2" s="1"/>
  <c r="N11" i="2" s="1"/>
  <c r="N12" i="2" s="1"/>
  <c r="N13" i="2" s="1"/>
  <c r="N14" i="2" s="1"/>
  <c r="N15" i="2" s="1"/>
  <c r="N16" i="2" s="1"/>
  <c r="N17" i="2" s="1"/>
  <c r="N18" i="2" s="1"/>
  <c r="N19" i="2" s="1"/>
  <c r="N20" i="2" s="1"/>
  <c r="N21" i="2" s="1"/>
  <c r="N22" i="2" s="1"/>
  <c r="N23" i="2" s="1"/>
  <c r="N24" i="2" s="1"/>
  <c r="G31" i="2" l="1"/>
  <c r="B108" i="1" s="1"/>
  <c r="F31" i="2"/>
  <c r="B91" i="1" l="1"/>
  <c r="H7" i="2"/>
  <c r="H8" i="2"/>
  <c r="H9" i="2"/>
  <c r="H10" i="2"/>
  <c r="H11" i="2"/>
  <c r="H12" i="2"/>
  <c r="H13" i="2"/>
  <c r="H14" i="2"/>
  <c r="H15" i="2"/>
  <c r="H16" i="2"/>
  <c r="H18" i="2"/>
  <c r="H19" i="2"/>
  <c r="H21" i="2"/>
  <c r="H22" i="2"/>
  <c r="H23" i="2"/>
  <c r="H6" i="2"/>
  <c r="B82" i="1" l="1"/>
  <c r="H31" i="2"/>
  <c r="I23" i="2"/>
  <c r="I11" i="2"/>
  <c r="I22" i="2"/>
  <c r="I18" i="2"/>
  <c r="I14" i="2"/>
  <c r="I10" i="2"/>
  <c r="I19" i="2"/>
  <c r="I7" i="2"/>
  <c r="I21" i="2"/>
  <c r="I17" i="2"/>
  <c r="I13" i="2"/>
  <c r="I9" i="2"/>
  <c r="I15" i="2"/>
  <c r="I20" i="2"/>
  <c r="I16" i="2"/>
  <c r="I12" i="2"/>
  <c r="I8" i="2"/>
  <c r="I6" i="2"/>
  <c r="L6" i="2" s="1"/>
  <c r="I31" i="2" l="1"/>
  <c r="A46" i="1"/>
  <c r="A47" i="1" s="1"/>
  <c r="L7" i="2" l="1"/>
  <c r="L8" i="2"/>
  <c r="L9" i="2"/>
  <c r="L10" i="2"/>
  <c r="L11" i="2"/>
  <c r="L12" i="2"/>
  <c r="L13" i="2"/>
  <c r="L14" i="2"/>
  <c r="L15" i="2"/>
  <c r="L16" i="2"/>
  <c r="L17" i="2"/>
  <c r="L18" i="2"/>
  <c r="L19" i="2"/>
  <c r="L20" i="2"/>
  <c r="L21" i="2"/>
  <c r="L22" i="2"/>
  <c r="L23" i="2"/>
  <c r="L31" i="2" l="1"/>
  <c r="M23" i="2"/>
  <c r="M19" i="2"/>
  <c r="M15" i="2"/>
  <c r="M11" i="2"/>
  <c r="M7" i="2"/>
  <c r="M6" i="2"/>
  <c r="M22" i="2"/>
  <c r="M18" i="2"/>
  <c r="M14" i="2"/>
  <c r="M10" i="2"/>
  <c r="M21" i="2"/>
  <c r="M17" i="2"/>
  <c r="M13" i="2"/>
  <c r="M9" i="2"/>
  <c r="M20" i="2"/>
  <c r="M16" i="2"/>
  <c r="M12" i="2"/>
  <c r="M8" i="2"/>
  <c r="J31" i="2"/>
  <c r="M31" i="2" l="1"/>
  <c r="K31" i="2" l="1"/>
  <c r="B80" i="1" l="1"/>
  <c r="B103" i="1" s="1"/>
  <c r="B109" i="1" s="1"/>
  <c r="B96" i="1" l="1"/>
  <c r="B98" i="1" s="1"/>
  <c r="B79" i="1"/>
</calcChain>
</file>

<file path=xl/sharedStrings.xml><?xml version="1.0" encoding="utf-8"?>
<sst xmlns="http://schemas.openxmlformats.org/spreadsheetml/2006/main" count="174" uniqueCount="167">
  <si>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</si>
  <si>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</si>
  <si>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</si>
  <si>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</si>
  <si>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</si>
  <si>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</si>
  <si>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</si>
  <si>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</si>
  <si>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</si>
  <si>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</si>
  <si>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</si>
  <si>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</si>
  <si>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</si>
  <si>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</si>
  <si>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</si>
  <si>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</si>
  <si>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</si>
  <si>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</si>
  <si>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</si>
  <si>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</si>
  <si>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</si>
  <si>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</si>
  <si>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</si>
  <si>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</si>
  <si>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</si>
  <si>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</si>
  <si>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</si>
  <si>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</si>
  <si>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</si>
  <si>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</si>
  <si>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</si>
  <si>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RESUMEN</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</si>
  <si>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</si>
  <si>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</si>
  <si>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</si>
  <si>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</si>
  <si>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</si>
  <si>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</si>
  <si>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</si>
  <si>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</si>
  <si>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</si>
  <si>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</si>
  <si>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</si>
  <si>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</si>
  <si>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</si>
  <si>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</si>
  <si>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</si>
  <si>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</si>
  <si>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</si>
  <si>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</si>
  <si>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</si>
  <si>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</si>
  <si>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</si>
  <si>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</si>
  <si>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</si>
  <si>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</si>
  <si>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PERÍODO: FEBRERO</t>
  </si>
  <si>
    <t>Sindicatos mes de FEBRERO</t>
  </si>
  <si>
    <t>CUIT DEL EDIFICIO: 30-59335197-8</t>
  </si>
  <si>
    <t>CONSORCIO DE PROPIETARIOS ANATOLE FRANCE 1692</t>
  </si>
  <si>
    <t>Seguro integral Allianz</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</si>
  <si>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</si>
  <si>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</si>
  <si>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</si>
  <si>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</si>
  <si>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</si>
  <si>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</si>
  <si>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</si>
  <si>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</si>
  <si>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</si>
  <si>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</si>
  <si>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</si>
  <si>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</si>
  <si>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</si>
  <si>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</si>
  <si>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</si>
  <si>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</si>
  <si>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</si>
  <si>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</si>
  <si>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</si>
  <si>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</si>
  <si>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</si>
  <si>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</si>
  <si>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</si>
  <si>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</si>
  <si>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</si>
  <si>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</si>
  <si>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</si>
  <si>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</si>
  <si>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</si>
  <si>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</si>
  <si>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</si>
  <si>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</si>
  <si>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Gil Delia (Cristina)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</si>
  <si>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</si>
  <si>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</si>
  <si>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</si>
  <si>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</si>
  <si>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</si>
  <si>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</si>
  <si>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</si>
  <si>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</si>
  <si>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</si>
  <si>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</si>
  <si>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</si>
  <si>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</si>
  <si>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</si>
  <si>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</si>
  <si>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 xml:space="preserve">Horacio De la Torre </t>
  </si>
  <si>
    <t>Porteria</t>
  </si>
  <si>
    <t>TOTALES</t>
  </si>
  <si>
    <t>VTO 16/03</t>
  </si>
  <si>
    <t>Datos Bancarios: Banco Santander  - Alias: ANATOLEFRANCE.1692 - CBU: 0720054020000002108836</t>
  </si>
  <si>
    <t>Transf 02/02</t>
  </si>
  <si>
    <t>Sueldo encargado Roberto Sanchez - Administracion Saliente - Mes de Enero</t>
  </si>
  <si>
    <t>Transf 04/02</t>
  </si>
  <si>
    <t xml:space="preserve">Honorarios rendicion de gastos - Realizado por administracion Saliente </t>
  </si>
  <si>
    <t>Debito</t>
  </si>
  <si>
    <t>Seguro integral Allianz - Accidentes personales Sr. Suplente</t>
  </si>
  <si>
    <t>Adm Anterior</t>
  </si>
  <si>
    <t>Transf 05/02</t>
  </si>
  <si>
    <t>Edesur</t>
  </si>
  <si>
    <t>AySa</t>
  </si>
  <si>
    <t>Polzinetti Carlos - Honorarios contador - Administracion saliente</t>
  </si>
  <si>
    <t>Honorarios administracion</t>
  </si>
  <si>
    <t>Suthery</t>
  </si>
  <si>
    <t>Seracarh</t>
  </si>
  <si>
    <t>Transf 12/02</t>
  </si>
  <si>
    <t>Fathery</t>
  </si>
  <si>
    <t>Transf 23/02</t>
  </si>
  <si>
    <t>Transf 25/02</t>
  </si>
  <si>
    <t xml:space="preserve">Fumigaciones Hermat -  Mes de Febrero </t>
  </si>
  <si>
    <t>Honorarios Sr. Encargado Roberto Sanchez</t>
  </si>
  <si>
    <t>Descuentos</t>
  </si>
  <si>
    <t>Redondeo</t>
  </si>
  <si>
    <t>Transf 26/02</t>
  </si>
  <si>
    <t>Alquiler Porteria</t>
  </si>
  <si>
    <t>Laura</t>
  </si>
  <si>
    <t>Ana Maria</t>
  </si>
  <si>
    <t>German</t>
  </si>
  <si>
    <t>Hugo</t>
  </si>
  <si>
    <t>Bianchi Jorge</t>
  </si>
  <si>
    <t xml:space="preserve">Moran Andrea </t>
  </si>
  <si>
    <t xml:space="preserve">Ferrara Zulma </t>
  </si>
  <si>
    <t>Brenda</t>
  </si>
  <si>
    <t xml:space="preserve">Marcote Anibal </t>
  </si>
  <si>
    <t>Pablo</t>
  </si>
  <si>
    <t xml:space="preserve">Ruiz NM Ines </t>
  </si>
  <si>
    <t>Walter</t>
  </si>
  <si>
    <t>Carmona Maria Del Carmen Losada</t>
  </si>
  <si>
    <t>Camila Daiana Pasculi</t>
  </si>
  <si>
    <t>Nancy Beatriz Rios</t>
  </si>
  <si>
    <t>Tomas Centuri</t>
  </si>
  <si>
    <t>Martin Russo</t>
  </si>
  <si>
    <t>Soledad Evangelina Gom</t>
  </si>
  <si>
    <t>Deposito del dia 11/02</t>
  </si>
  <si>
    <t>SALDO EN BANCO Y EFECTIVO</t>
  </si>
  <si>
    <t>Deposito Sra. Alejandra 05/02</t>
  </si>
  <si>
    <t>Miguel</t>
  </si>
  <si>
    <t>Pablo Cunioli</t>
  </si>
  <si>
    <t>Montenegro Jorge</t>
  </si>
  <si>
    <t>Camila</t>
  </si>
  <si>
    <t>Barreiro Cristian</t>
  </si>
  <si>
    <t>La porteria paga lo mismo que el 3B</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</si>
  <si>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</si>
  <si>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El mes pasado le pusimos pago al 7C lo que era para el 1B</t>
  </si>
  <si>
    <t>El mes pasado el 8B abono $141.650 y no lo pusimos pago - Creo que se lo pusimos al 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</si>
</sst>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theme="5"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44" fontId="0" fillId="3" borderId="8" xfId="1" applyFont="1" applyFill="1" applyBorder="1" applyAlignment="1">
      <alignment vertical="center"/>
    </xf>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20"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1"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44" fontId="20" fillId="2" borderId="1" xfId="1" applyFont="1" applyFill="1" applyBorder="1"/>
    <xf numFmtId="8" fontId="8" fillId="4" borderId="22"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1" xfId="1" applyNumberFormat="1" applyFont="1" applyFill="1" applyBorder="1"/>
    <xf numFmtId="44" fontId="21" fillId="4" borderId="3" xfId="1" applyFont="1" applyFill="1" applyBorder="1"/>
    <xf numFmtId="44" fontId="3" fillId="0" borderId="3" xfId="1" applyFont="1" applyBorder="1" applyAlignment="1">
      <alignment wrapText="1"/>
    </xf>
    <xf numFmtId="8" fontId="6" fillId="4" borderId="13" xfId="1" applyNumberFormat="1" applyFont="1" applyFill="1" applyBorder="1"/>
    <xf numFmtId="44" fontId="6" fillId="4" borderId="1" xfId="1" applyFont="1" applyFill="1" applyBorder="1"/>
    <xf numFmtId="44" fontId="3" fillId="2" borderId="1" xfId="1" applyFont="1" applyFill="1" applyBorder="1" applyAlignment="1">
      <alignment wrapText="1"/>
    </xf>
    <xf numFmtId="44" fontId="6" fillId="4" borderId="21"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17" fillId="0" borderId="1" xfId="1" applyNumberFormat="1" applyFont="1" applyBorder="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8" fontId="0" fillId="2" borderId="1" xfId="0" applyNumberFormat="1" applyFill="1" applyBorder="1"/>
    <xf numFmtId="8" fontId="19" fillId="10" borderId="1" xfId="0" applyNumberFormat="1" applyFont="1" applyFill="1" applyBorder="1"/>
    <xf numFmtId="8" fontId="0" fillId="2" borderId="6" xfId="0" applyNumberFormat="1" applyFill="1" applyBorder="1"/>
    <xf numFmtId="8" fontId="19" fillId="10" borderId="6" xfId="0" applyNumberFormat="1" applyFont="1" applyFill="1" applyBorder="1"/>
    <xf numFmtId="8" fontId="2" fillId="4" borderId="6" xfId="0" applyNumberFormat="1" applyFont="1" applyFill="1" applyBorder="1"/>
    <xf numFmtId="8" fontId="13" fillId="4" borderId="1" xfId="0" applyNumberFormat="1" applyFont="1" applyFill="1" applyBorder="1"/>
    <xf numFmtId="8" fontId="0" fillId="2" borderId="1" xfId="0" applyNumberFormat="1" applyFill="1" applyBorder="1" applyAlignment="1">
      <alignment horizontal="right"/>
    </xf>
    <xf numFmtId="44" fontId="2" fillId="4" borderId="6" xfId="1" applyFont="1" applyFill="1" applyBorder="1"/>
    <xf numFmtId="44" fontId="2" fillId="4" borderId="1" xfId="1" applyFont="1" applyFill="1" applyBorder="1"/>
    <xf numFmtId="44" fontId="0" fillId="2" borderId="1" xfId="1" applyFont="1" applyFill="1" applyBorder="1" applyAlignment="1">
      <alignment wrapText="1"/>
    </xf>
    <xf numFmtId="44" fontId="0" fillId="2" borderId="1" xfId="1" applyFont="1" applyFill="1" applyBorder="1" applyAlignment="1"/>
    <xf numFmtId="44" fontId="0" fillId="4" borderId="1" xfId="1" applyFont="1" applyFill="1" applyBorder="1"/>
    <xf numFmtId="44" fontId="0" fillId="2" borderId="1" xfId="1" applyFont="1" applyFill="1" applyBorder="1"/>
    <xf numFmtId="44" fontId="0" fillId="4" borderId="6" xfId="1" applyFont="1" applyFill="1" applyBorder="1"/>
    <xf numFmtId="44" fontId="2" fillId="4" borderId="6" xfId="1" applyFont="1" applyFill="1" applyBorder="1" applyAlignment="1">
      <alignment horizontal="center"/>
    </xf>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7" xfId="1" applyFont="1" applyBorder="1"/>
    <xf numFmtId="44" fontId="17" fillId="0" borderId="29"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0" fontId="23" fillId="0" borderId="1" xfId="0" applyFont="1" applyBorder="1"/>
    <xf numFmtId="0" fontId="14" fillId="0" borderId="7" xfId="0" applyFont="1" applyBorder="1"/>
    <xf numFmtId="44" fontId="17" fillId="0" borderId="2" xfId="1" applyFont="1" applyBorder="1"/>
    <xf numFmtId="44" fontId="17" fillId="2" borderId="2" xfId="1" applyFont="1" applyFill="1" applyBorder="1"/>
    <xf numFmtId="0" fontId="14" fillId="0" borderId="1" xfId="0" applyFont="1" applyBorder="1" applyAlignment="1">
      <alignment vertical="center" wrapText="1"/>
    </xf>
    <xf numFmtId="0" fontId="14" fillId="0" borderId="23"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1"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1" xfId="0" applyFont="1" applyFill="1" applyBorder="1"/>
    <xf numFmtId="0" fontId="2" fillId="8" borderId="32" xfId="0" applyFont="1" applyFill="1" applyBorder="1"/>
    <xf numFmtId="0" fontId="2" fillId="8" borderId="33" xfId="0" applyFont="1" applyFill="1" applyBorder="1"/>
    <xf numFmtId="44" fontId="14" fillId="8" borderId="11" xfId="1" applyFont="1" applyFill="1" applyBorder="1" applyAlignment="1">
      <alignment vertical="center"/>
    </xf>
    <xf numFmtId="44" fontId="0" fillId="3" borderId="0" xfId="1" applyFont="1" applyFill="1"/>
    <xf numFmtId="0" fontId="14" fillId="12" borderId="1" xfId="0" applyFont="1" applyFill="1" applyBorder="1"/>
    <xf numFmtId="0" fontId="14" fillId="12" borderId="1" xfId="0" applyFont="1" applyFill="1" applyBorder="1" applyAlignment="1">
      <alignment wrapText="1"/>
    </xf>
    <xf numFmtId="169" fontId="14" fillId="12" borderId="1" xfId="0" applyNumberFormat="1" applyFont="1" applyFill="1" applyBorder="1" applyAlignment="1">
      <alignment horizontal="center"/>
    </xf>
    <xf numFmtId="44" fontId="17" fillId="12" borderId="1" xfId="1" applyFont="1" applyFill="1" applyBorder="1"/>
    <xf numFmtId="166" fontId="17" fillId="12" borderId="1" xfId="1" applyNumberFormat="1" applyFont="1" applyFill="1" applyBorder="1"/>
    <xf numFmtId="0" fontId="14" fillId="13" borderId="1" xfId="0" applyFont="1" applyFill="1" applyBorder="1"/>
    <xf numFmtId="0" fontId="14" fillId="13" borderId="23" xfId="0" applyFont="1" applyFill="1" applyBorder="1"/>
    <xf numFmtId="0" fontId="14" fillId="13" borderId="2" xfId="0" applyFont="1" applyFill="1" applyBorder="1"/>
    <xf numFmtId="0" fontId="14" fillId="13" borderId="2" xfId="0" applyFont="1" applyFill="1" applyBorder="1" applyAlignment="1">
      <alignment wrapText="1"/>
    </xf>
    <xf numFmtId="169" fontId="14" fillId="13" borderId="1" xfId="0" applyNumberFormat="1" applyFont="1" applyFill="1" applyBorder="1" applyAlignment="1">
      <alignment horizontal="center"/>
    </xf>
    <xf numFmtId="44" fontId="17" fillId="13" borderId="2" xfId="1" applyFont="1" applyFill="1" applyBorder="1"/>
    <xf numFmtId="0" fontId="0" fillId="13" borderId="0" xfId="0" applyFill="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14" fillId="3" borderId="18" xfId="0" applyFont="1" applyFill="1" applyBorder="1" applyAlignment="1">
      <alignment horizontal="center" vertical="center"/>
    </xf>
    <xf numFmtId="0" fontId="14" fillId="3" borderId="20"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6" xfId="0" applyFont="1" applyBorder="1" applyAlignment="1">
      <alignment horizontal="left"/>
    </xf>
    <xf numFmtId="0" fontId="14" fillId="0" borderId="23" xfId="0" applyFont="1" applyBorder="1" applyAlignment="1">
      <alignment horizontal="left"/>
    </xf>
    <xf numFmtId="0" fontId="22" fillId="4" borderId="8" xfId="0" applyFont="1" applyFill="1" applyBorder="1" applyAlignment="1">
      <alignment horizontal="left"/>
    </xf>
    <xf numFmtId="0" fontId="22" fillId="4" borderId="28" xfId="0" applyFont="1" applyFill="1" applyBorder="1" applyAlignment="1">
      <alignment horizontal="left"/>
    </xf>
    <xf numFmtId="0" fontId="17" fillId="3" borderId="18"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24" xfId="0" applyFont="1" applyFill="1" applyBorder="1" applyAlignment="1">
      <alignment horizontal="center"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opLeftCell="A13" workbookViewId="0">
      <selection activeCell="A13" sqref="A13:E16"/>
    </sheetView>
  </sheetViews>
  <sheetFormatPr baseColWidth="10" defaultColWidth="10.85546875" defaultRowHeight="15" x14ac:dyDescent="0.25"/>
  <cols>
    <col min="1" max="1" width="37.5703125" customWidth="1"/>
    <col min="2" max="2" width="31.7109375" customWidth="1"/>
    <col min="3" max="3" width="0.140625"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93" t="s">
        <v>64</v>
      </c>
      <c r="C1" s="193"/>
      <c r="D1" s="193"/>
      <c r="E1" s="63"/>
    </row>
    <row r="2" spans="1:5" x14ac:dyDescent="0.25">
      <c r="A2" s="15"/>
      <c r="B2" s="64" t="s">
        <v>26</v>
      </c>
      <c r="C2" s="64"/>
      <c r="D2" s="64"/>
      <c r="E2" s="65"/>
    </row>
    <row r="3" spans="1:5" ht="70.5" customHeight="1" thickBot="1" x14ac:dyDescent="0.3">
      <c r="A3" s="15"/>
      <c r="B3" s="194" t="s">
        <v>112</v>
      </c>
      <c r="C3" s="194"/>
      <c r="D3" s="194"/>
      <c r="E3" s="195"/>
    </row>
    <row r="4" spans="1:5" ht="15.75" thickBot="1" x14ac:dyDescent="0.3">
      <c r="A4" s="18" t="s">
        <v>0</v>
      </c>
      <c r="B4" s="66" t="s">
        <v>36</v>
      </c>
      <c r="C4" s="19"/>
      <c r="D4" s="19"/>
      <c r="E4" s="20"/>
    </row>
    <row r="5" spans="1:5" ht="15.75" thickBot="1" x14ac:dyDescent="0.3">
      <c r="A5" s="15" t="s">
        <v>58</v>
      </c>
      <c r="B5" s="19" t="s">
        <v>56</v>
      </c>
      <c r="C5" s="16"/>
      <c r="D5" s="64" t="s">
        <v>27</v>
      </c>
      <c r="E5" s="17"/>
    </row>
    <row r="6" spans="1:5" ht="15.75" thickBot="1" x14ac:dyDescent="0.3">
      <c r="A6" s="18" t="s">
        <v>59</v>
      </c>
      <c r="B6" s="19"/>
      <c r="C6" s="19"/>
      <c r="D6" s="19" t="s">
        <v>55</v>
      </c>
      <c r="E6" s="20"/>
    </row>
    <row r="8" spans="1:5" x14ac:dyDescent="0.25">
      <c r="B8" s="188" t="s">
        <v>111</v>
      </c>
      <c r="C8" s="188"/>
    </row>
    <row r="9" spans="1:5" x14ac:dyDescent="0.25">
      <c r="B9" s="188"/>
      <c r="C9" s="188"/>
    </row>
    <row r="10" spans="1:5" x14ac:dyDescent="0.25">
      <c r="B10" s="188"/>
      <c r="C10" s="188"/>
    </row>
    <row r="12" spans="1:5" hidden="1" x14ac:dyDescent="0.25"/>
    <row r="13" spans="1:5" ht="15" customHeight="1" x14ac:dyDescent="0.25">
      <c r="A13" s="196" t="s">
        <v>164</v>
      </c>
      <c r="B13" s="196"/>
      <c r="C13" s="196"/>
      <c r="D13" s="196"/>
      <c r="E13" s="196"/>
    </row>
    <row r="14" spans="1:5" ht="15" customHeight="1" x14ac:dyDescent="0.25">
      <c r="A14" s="196"/>
      <c r="B14" s="196"/>
      <c r="C14" s="196"/>
      <c r="D14" s="196"/>
      <c r="E14" s="196"/>
    </row>
    <row r="15" spans="1:5" ht="15" customHeight="1" x14ac:dyDescent="0.25">
      <c r="A15" s="196"/>
      <c r="B15" s="196"/>
      <c r="C15" s="196"/>
      <c r="D15" s="196"/>
      <c r="E15" s="196"/>
    </row>
    <row r="16" spans="1:5" ht="137.25" customHeight="1" x14ac:dyDescent="0.25">
      <c r="A16" s="196"/>
      <c r="B16" s="196"/>
      <c r="C16" s="196"/>
      <c r="D16" s="196"/>
      <c r="E16" s="196"/>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34" t="s">
        <v>32</v>
      </c>
      <c r="B21" s="34"/>
      <c r="C21" s="34"/>
      <c r="D21" s="33"/>
      <c r="E21" s="33"/>
    </row>
    <row r="22" spans="1:7" ht="42" customHeight="1" x14ac:dyDescent="0.25">
      <c r="A22" s="189" t="s">
        <v>114</v>
      </c>
      <c r="B22" s="190"/>
      <c r="C22" s="5"/>
      <c r="D22" s="126">
        <v>803081</v>
      </c>
      <c r="E22" s="5" t="s">
        <v>113</v>
      </c>
    </row>
    <row r="23" spans="1:7" ht="15" customHeight="1" x14ac:dyDescent="0.25">
      <c r="A23" s="189" t="s">
        <v>132</v>
      </c>
      <c r="B23" s="190"/>
      <c r="C23" s="5"/>
      <c r="D23" s="126">
        <v>1000830.1</v>
      </c>
      <c r="E23" s="5" t="s">
        <v>135</v>
      </c>
    </row>
    <row r="24" spans="1:7" ht="15" customHeight="1" x14ac:dyDescent="0.25">
      <c r="A24" s="72" t="s">
        <v>133</v>
      </c>
      <c r="B24" s="117"/>
      <c r="C24" s="5"/>
      <c r="D24" s="126">
        <v>-247705.44</v>
      </c>
      <c r="E24" s="5"/>
    </row>
    <row r="25" spans="1:7" ht="15" customHeight="1" x14ac:dyDescent="0.25">
      <c r="A25" s="72" t="s">
        <v>134</v>
      </c>
      <c r="B25" s="117"/>
      <c r="C25" s="5"/>
      <c r="D25" s="126">
        <v>0.34</v>
      </c>
      <c r="E25" s="5"/>
    </row>
    <row r="26" spans="1:7" ht="14.25" customHeight="1" x14ac:dyDescent="0.25">
      <c r="A26" s="55" t="s">
        <v>33</v>
      </c>
      <c r="B26" s="55"/>
      <c r="C26" s="55"/>
      <c r="D26" s="127">
        <f>SUM(D22:D25)</f>
        <v>1556206.0000000002</v>
      </c>
      <c r="E26" s="104"/>
      <c r="G26" s="21"/>
    </row>
    <row r="27" spans="1:7" ht="14.25" hidden="1" customHeight="1" x14ac:dyDescent="0.25">
      <c r="A27" s="5" t="s">
        <v>41</v>
      </c>
      <c r="B27" s="5"/>
      <c r="C27" s="5"/>
      <c r="D27" s="126"/>
      <c r="E27" s="5"/>
    </row>
    <row r="28" spans="1:7" hidden="1" x14ac:dyDescent="0.25">
      <c r="A28" s="28"/>
      <c r="B28" s="5"/>
      <c r="C28" s="5"/>
      <c r="D28" s="126"/>
      <c r="E28" s="5"/>
    </row>
    <row r="29" spans="1:7" hidden="1" x14ac:dyDescent="0.25">
      <c r="A29" s="5"/>
      <c r="B29" s="5"/>
      <c r="C29" s="5"/>
      <c r="D29" s="126"/>
      <c r="E29" s="5"/>
    </row>
    <row r="30" spans="1:7" hidden="1" x14ac:dyDescent="0.25">
      <c r="A30" s="5"/>
      <c r="B30" s="5"/>
      <c r="C30" s="5"/>
      <c r="D30" s="128"/>
      <c r="E30" s="5"/>
    </row>
    <row r="31" spans="1:7" ht="0.75" customHeight="1" x14ac:dyDescent="0.25">
      <c r="A31" s="5" t="s">
        <v>37</v>
      </c>
      <c r="B31" s="5"/>
      <c r="C31" s="5"/>
      <c r="D31" s="128"/>
      <c r="E31" s="5"/>
    </row>
    <row r="32" spans="1:7" hidden="1" x14ac:dyDescent="0.25">
      <c r="A32" s="55" t="s">
        <v>33</v>
      </c>
      <c r="B32" s="55"/>
      <c r="C32" s="55"/>
      <c r="D32" s="129">
        <f>SUM(D27:D31)</f>
        <v>0</v>
      </c>
      <c r="E32" s="104"/>
    </row>
    <row r="33" spans="1:7" ht="15.75" thickBot="1" x14ac:dyDescent="0.3">
      <c r="A33" s="29" t="s">
        <v>1</v>
      </c>
      <c r="B33" s="29"/>
      <c r="C33" s="29"/>
      <c r="D33" s="130"/>
      <c r="E33" s="105">
        <f>D26+D32</f>
        <v>1556206.0000000002</v>
      </c>
      <c r="F33" s="21"/>
    </row>
    <row r="34" spans="1:7" x14ac:dyDescent="0.25">
      <c r="A34" s="34" t="s">
        <v>18</v>
      </c>
      <c r="B34" s="34"/>
      <c r="C34" s="34"/>
      <c r="D34" s="131"/>
      <c r="E34" s="106"/>
    </row>
    <row r="35" spans="1:7" ht="15" customHeight="1" x14ac:dyDescent="0.25">
      <c r="A35" s="191" t="s">
        <v>123</v>
      </c>
      <c r="B35" s="192"/>
      <c r="C35" s="51"/>
      <c r="D35" s="126">
        <v>25000</v>
      </c>
      <c r="E35" s="107" t="s">
        <v>120</v>
      </c>
    </row>
    <row r="36" spans="1:7" ht="15" customHeight="1" x14ac:dyDescent="0.25">
      <c r="A36" s="191" t="s">
        <v>116</v>
      </c>
      <c r="B36" s="192"/>
      <c r="C36" s="51"/>
      <c r="D36" s="126">
        <v>220000</v>
      </c>
      <c r="E36" s="107" t="s">
        <v>115</v>
      </c>
    </row>
    <row r="37" spans="1:7" ht="15" customHeight="1" thickBot="1" x14ac:dyDescent="0.3">
      <c r="A37" s="191" t="s">
        <v>124</v>
      </c>
      <c r="B37" s="192"/>
      <c r="C37" s="51"/>
      <c r="D37" s="132">
        <v>0</v>
      </c>
      <c r="E37" s="107"/>
    </row>
    <row r="38" spans="1:7" ht="15.75" thickBot="1" x14ac:dyDescent="0.3">
      <c r="A38" s="29" t="s">
        <v>15</v>
      </c>
      <c r="B38" s="29"/>
      <c r="C38" s="29"/>
      <c r="D38" s="133"/>
      <c r="E38" s="108">
        <f>SUM(D35:D37)</f>
        <v>245000</v>
      </c>
    </row>
    <row r="39" spans="1:7" x14ac:dyDescent="0.25">
      <c r="A39" s="34" t="s">
        <v>29</v>
      </c>
      <c r="B39" s="29"/>
      <c r="C39" s="29"/>
      <c r="D39" s="134"/>
      <c r="E39" s="109"/>
    </row>
    <row r="40" spans="1:7" s="37" customFormat="1" ht="14.25" customHeight="1" x14ac:dyDescent="0.25">
      <c r="A40" s="189" t="s">
        <v>60</v>
      </c>
      <c r="B40" s="190"/>
      <c r="C40" s="52"/>
      <c r="D40" s="135">
        <v>176994.85</v>
      </c>
      <c r="E40" s="125" t="s">
        <v>117</v>
      </c>
    </row>
    <row r="41" spans="1:7" ht="14.25" customHeight="1" x14ac:dyDescent="0.25">
      <c r="A41" s="189" t="s">
        <v>118</v>
      </c>
      <c r="B41" s="190"/>
      <c r="C41" s="52"/>
      <c r="D41" s="136">
        <v>15087.23</v>
      </c>
      <c r="E41" s="110" t="s">
        <v>119</v>
      </c>
    </row>
    <row r="42" spans="1:7" ht="15.75" thickBot="1" x14ac:dyDescent="0.3">
      <c r="A42" s="29" t="s">
        <v>2</v>
      </c>
      <c r="B42" s="29"/>
      <c r="C42" s="29"/>
      <c r="D42" s="133"/>
      <c r="E42" s="111">
        <f>SUM(D40:D41)</f>
        <v>192082.08000000002</v>
      </c>
    </row>
    <row r="43" spans="1:7" x14ac:dyDescent="0.25">
      <c r="A43" s="34" t="s">
        <v>16</v>
      </c>
      <c r="B43" s="112"/>
      <c r="C43" s="112"/>
      <c r="D43" s="137"/>
      <c r="E43" s="113"/>
    </row>
    <row r="44" spans="1:7" x14ac:dyDescent="0.25">
      <c r="A44" s="5" t="s">
        <v>44</v>
      </c>
      <c r="B44" s="5"/>
      <c r="C44" s="51"/>
      <c r="D44" s="35">
        <v>540049.64</v>
      </c>
      <c r="E44" s="118" t="s">
        <v>115</v>
      </c>
      <c r="G44" s="91"/>
    </row>
    <row r="45" spans="1:7" x14ac:dyDescent="0.25">
      <c r="A45" s="5" t="s">
        <v>57</v>
      </c>
      <c r="B45" s="5" t="s">
        <v>125</v>
      </c>
      <c r="C45" s="5"/>
      <c r="D45" s="138">
        <v>47394.9</v>
      </c>
      <c r="E45" s="118" t="s">
        <v>127</v>
      </c>
    </row>
    <row r="46" spans="1:7" x14ac:dyDescent="0.25">
      <c r="A46" s="5" t="str">
        <f>A45</f>
        <v>Sindicatos mes de FEBRERO</v>
      </c>
      <c r="B46" s="5" t="s">
        <v>128</v>
      </c>
      <c r="C46" s="5"/>
      <c r="D46" s="138">
        <v>109223.7</v>
      </c>
      <c r="E46" s="119" t="str">
        <f>E45</f>
        <v>Transf 12/02</v>
      </c>
    </row>
    <row r="47" spans="1:7" x14ac:dyDescent="0.25">
      <c r="A47" s="5" t="str">
        <f>A46</f>
        <v>Sindicatos mes de FEBRERO</v>
      </c>
      <c r="B47" s="5" t="s">
        <v>126</v>
      </c>
      <c r="C47" s="5"/>
      <c r="D47" s="138">
        <v>5266.1</v>
      </c>
      <c r="E47" s="120" t="str">
        <f>E45</f>
        <v>Transf 12/02</v>
      </c>
    </row>
    <row r="48" spans="1:7" ht="15" customHeight="1" thickBot="1" x14ac:dyDescent="0.3">
      <c r="A48" s="29" t="s">
        <v>3</v>
      </c>
      <c r="B48" s="112"/>
      <c r="C48" s="112"/>
      <c r="D48" s="139"/>
      <c r="E48" s="111">
        <f>SUM(D44:D47)</f>
        <v>701934.34</v>
      </c>
    </row>
    <row r="49" spans="1:12" x14ac:dyDescent="0.25">
      <c r="A49" s="34" t="s">
        <v>17</v>
      </c>
      <c r="B49" s="112"/>
      <c r="C49" s="112"/>
      <c r="D49" s="137"/>
      <c r="E49" s="113"/>
    </row>
    <row r="50" spans="1:12" ht="14.25" customHeight="1" x14ac:dyDescent="0.25">
      <c r="A50" s="5" t="s">
        <v>121</v>
      </c>
      <c r="B50" s="5"/>
      <c r="C50" s="5"/>
      <c r="D50" s="138"/>
      <c r="E50" s="118"/>
    </row>
    <row r="51" spans="1:12" x14ac:dyDescent="0.25">
      <c r="A51" s="189" t="s">
        <v>122</v>
      </c>
      <c r="B51" s="190"/>
      <c r="C51" s="5"/>
      <c r="D51" s="138">
        <v>817259.26</v>
      </c>
      <c r="E51" s="118" t="s">
        <v>120</v>
      </c>
    </row>
    <row r="52" spans="1:12" ht="15.75" thickBot="1" x14ac:dyDescent="0.3">
      <c r="A52" s="29" t="s">
        <v>4</v>
      </c>
      <c r="B52" s="29"/>
      <c r="C52" s="29"/>
      <c r="D52" s="140"/>
      <c r="E52" s="111">
        <f>SUM(D50:D51)</f>
        <v>817259.26</v>
      </c>
    </row>
    <row r="53" spans="1:12" ht="15" customHeight="1" thickBot="1" x14ac:dyDescent="0.3">
      <c r="A53" s="34"/>
      <c r="B53" s="29"/>
      <c r="C53" s="29"/>
      <c r="D53" s="133"/>
      <c r="E53" s="114"/>
    </row>
    <row r="54" spans="1:12" ht="20.100000000000001" customHeight="1" x14ac:dyDescent="0.25">
      <c r="A54" s="122" t="s">
        <v>61</v>
      </c>
      <c r="B54" s="117"/>
      <c r="C54" s="5"/>
      <c r="D54" s="138">
        <v>175500</v>
      </c>
      <c r="E54" s="121" t="s">
        <v>129</v>
      </c>
    </row>
    <row r="55" spans="1:12" ht="20.100000000000001" customHeight="1" x14ac:dyDescent="0.25">
      <c r="A55" s="122" t="s">
        <v>131</v>
      </c>
      <c r="B55" s="117"/>
      <c r="C55" s="5"/>
      <c r="D55" s="138">
        <v>60000</v>
      </c>
      <c r="E55" s="168" t="s">
        <v>130</v>
      </c>
    </row>
    <row r="56" spans="1:12" ht="15.75" thickBot="1" x14ac:dyDescent="0.3">
      <c r="A56" s="29" t="s">
        <v>8</v>
      </c>
      <c r="B56" s="34"/>
      <c r="C56" s="34"/>
      <c r="D56" s="34"/>
      <c r="E56" s="115">
        <f>SUM(D54:D55)</f>
        <v>235500</v>
      </c>
    </row>
    <row r="57" spans="1:12" ht="15.75" thickBot="1" x14ac:dyDescent="0.3">
      <c r="A57" s="34" t="s">
        <v>11</v>
      </c>
      <c r="B57" s="61"/>
      <c r="C57" s="29"/>
      <c r="D57" s="130"/>
      <c r="E57" s="114"/>
    </row>
    <row r="58" spans="1:12" x14ac:dyDescent="0.25">
      <c r="A58" s="5" t="s">
        <v>54</v>
      </c>
      <c r="B58" s="5"/>
      <c r="C58" s="5"/>
      <c r="D58" s="138">
        <v>57500</v>
      </c>
      <c r="E58" s="116"/>
    </row>
    <row r="59" spans="1:12" x14ac:dyDescent="0.25">
      <c r="A59" s="5" t="s">
        <v>53</v>
      </c>
      <c r="B59" s="5"/>
      <c r="C59" s="5"/>
      <c r="D59" s="138">
        <f>254+73435.06</f>
        <v>73689.06</v>
      </c>
      <c r="E59" s="39"/>
    </row>
    <row r="60" spans="1:12" ht="15.75" thickBot="1" x14ac:dyDescent="0.3">
      <c r="A60" s="50" t="s">
        <v>15</v>
      </c>
      <c r="B60" s="50"/>
      <c r="C60" s="50"/>
      <c r="D60" s="76"/>
      <c r="E60" s="70">
        <f>SUM(D58:D59)</f>
        <v>131189.06</v>
      </c>
    </row>
    <row r="61" spans="1:12" ht="15.75" thickBot="1" x14ac:dyDescent="0.3">
      <c r="A61" s="5"/>
      <c r="B61" s="5"/>
      <c r="C61" s="5"/>
      <c r="D61" s="69"/>
      <c r="E61" s="77"/>
    </row>
    <row r="62" spans="1:12" ht="15.75" thickBot="1" x14ac:dyDescent="0.3">
      <c r="A62" s="30" t="s">
        <v>47</v>
      </c>
      <c r="B62" s="30"/>
      <c r="C62" s="30"/>
      <c r="D62" s="78"/>
      <c r="E62" s="79"/>
    </row>
    <row r="63" spans="1:12" ht="15.75" thickBot="1" x14ac:dyDescent="0.3">
      <c r="A63" s="1"/>
      <c r="D63" s="80"/>
      <c r="E63" s="81"/>
      <c r="F63" s="42"/>
    </row>
    <row r="64" spans="1:12" ht="15.75" thickBot="1" x14ac:dyDescent="0.3">
      <c r="A64" s="3" t="s">
        <v>12</v>
      </c>
      <c r="B64" s="9"/>
      <c r="C64" s="4"/>
      <c r="D64" s="82"/>
      <c r="E64" s="83">
        <f>(SUM(E29:E62))</f>
        <v>3879170.7400000007</v>
      </c>
      <c r="F64" s="103"/>
      <c r="G64" s="42"/>
      <c r="H64" s="91"/>
      <c r="I64" s="91"/>
      <c r="J64" s="91"/>
      <c r="K64" s="91"/>
      <c r="L64" s="91"/>
    </row>
    <row r="65" spans="1:12" x14ac:dyDescent="0.25">
      <c r="D65" s="80"/>
      <c r="E65" s="80"/>
      <c r="H65" s="91"/>
      <c r="I65" s="91"/>
      <c r="J65" s="91"/>
      <c r="K65" s="91"/>
      <c r="L65" s="91"/>
    </row>
    <row r="66" spans="1:12" ht="15.75" thickBot="1" x14ac:dyDescent="0.3">
      <c r="D66" s="80"/>
      <c r="E66" s="80"/>
      <c r="H66" s="124"/>
    </row>
    <row r="67" spans="1:12" x14ac:dyDescent="0.25">
      <c r="A67" s="10" t="s">
        <v>42</v>
      </c>
      <c r="B67" s="11"/>
      <c r="C67" s="12"/>
      <c r="D67" s="84"/>
      <c r="E67" s="85"/>
    </row>
    <row r="68" spans="1:12" ht="15" customHeight="1" x14ac:dyDescent="0.25">
      <c r="A68" s="189"/>
      <c r="B68" s="190"/>
      <c r="C68" s="5"/>
      <c r="D68" s="95"/>
      <c r="E68" s="71"/>
    </row>
    <row r="69" spans="1:12" x14ac:dyDescent="0.25">
      <c r="A69" s="189"/>
      <c r="B69" s="190"/>
      <c r="C69" s="5"/>
      <c r="D69" s="73"/>
      <c r="E69" s="71"/>
    </row>
    <row r="70" spans="1:12" ht="15.75" customHeight="1" x14ac:dyDescent="0.25">
      <c r="A70" s="191"/>
      <c r="B70" s="192"/>
      <c r="C70" s="5"/>
      <c r="D70" s="73"/>
      <c r="E70" s="71"/>
    </row>
    <row r="71" spans="1:12" x14ac:dyDescent="0.25">
      <c r="A71" s="72"/>
      <c r="B71" s="74"/>
      <c r="C71" s="5"/>
      <c r="D71" s="73"/>
      <c r="E71" s="71"/>
    </row>
    <row r="72" spans="1:12" x14ac:dyDescent="0.25">
      <c r="A72" s="48"/>
      <c r="B72" s="47"/>
      <c r="C72" s="47"/>
      <c r="D72" s="56"/>
      <c r="E72" s="56">
        <f>SUM(D68:D71)</f>
        <v>0</v>
      </c>
    </row>
    <row r="73" spans="1:12" ht="15" customHeight="1" thickBot="1" x14ac:dyDescent="0.3"/>
    <row r="74" spans="1:12" ht="15.75" hidden="1" thickBot="1" x14ac:dyDescent="0.3"/>
    <row r="75" spans="1:12" ht="15.75" thickBot="1" x14ac:dyDescent="0.3">
      <c r="A75" s="171" t="s">
        <v>19</v>
      </c>
      <c r="B75" s="172"/>
      <c r="C75" s="172"/>
      <c r="D75" s="173"/>
      <c r="E75" s="174"/>
    </row>
    <row r="76" spans="1:12" ht="15.75" thickBot="1" x14ac:dyDescent="0.3"/>
    <row r="77" spans="1:12" ht="15.75" thickBot="1" x14ac:dyDescent="0.3">
      <c r="A77" s="3" t="s">
        <v>20</v>
      </c>
      <c r="B77" s="9"/>
      <c r="C77" s="4"/>
      <c r="D77" s="4"/>
      <c r="E77" s="62">
        <f>E72+E75</f>
        <v>0</v>
      </c>
    </row>
    <row r="78" spans="1:12" ht="15.75" thickBot="1" x14ac:dyDescent="0.3"/>
    <row r="79" spans="1:12" ht="15.75" thickBot="1" x14ac:dyDescent="0.3">
      <c r="A79" s="67" t="s">
        <v>13</v>
      </c>
      <c r="B79" s="68">
        <f>E64</f>
        <v>3879170.7400000007</v>
      </c>
    </row>
    <row r="80" spans="1:12" ht="15.75" thickBot="1" x14ac:dyDescent="0.3">
      <c r="A80" s="67" t="s">
        <v>14</v>
      </c>
      <c r="B80" s="68">
        <f>E64-E62</f>
        <v>3879170.7400000007</v>
      </c>
    </row>
    <row r="81" spans="1:5" ht="15.75" thickBot="1" x14ac:dyDescent="0.3">
      <c r="A81" s="67" t="s">
        <v>21</v>
      </c>
      <c r="B81" s="68">
        <f>E77-E75</f>
        <v>0</v>
      </c>
    </row>
    <row r="82" spans="1:5" ht="15.75" thickBot="1" x14ac:dyDescent="0.3">
      <c r="A82" s="67" t="s">
        <v>38</v>
      </c>
      <c r="B82" s="68">
        <f>E77</f>
        <v>0</v>
      </c>
    </row>
    <row r="83" spans="1:5" ht="29.25" customHeight="1" x14ac:dyDescent="0.25"/>
    <row r="84" spans="1:5" ht="34.5" hidden="1" customHeight="1" x14ac:dyDescent="0.25"/>
    <row r="85" spans="1:5" hidden="1" x14ac:dyDescent="0.25">
      <c r="A85" s="197"/>
      <c r="B85" s="197"/>
      <c r="C85" s="197"/>
      <c r="D85" s="197"/>
      <c r="E85" s="197"/>
    </row>
    <row r="86" spans="1:5" ht="106.5" hidden="1" customHeight="1" x14ac:dyDescent="0.25">
      <c r="A86" s="197"/>
      <c r="B86" s="197"/>
      <c r="C86" s="197"/>
      <c r="D86" s="197"/>
      <c r="E86" s="197"/>
    </row>
    <row r="87" spans="1:5" ht="15.75" hidden="1" customHeight="1" x14ac:dyDescent="0.25">
      <c r="A87" s="197"/>
      <c r="B87" s="197"/>
      <c r="C87" s="197"/>
      <c r="D87" s="197"/>
      <c r="E87" s="197"/>
    </row>
    <row r="89" spans="1:5" ht="0.75" customHeight="1" x14ac:dyDescent="0.25">
      <c r="A89" s="22" t="s">
        <v>31</v>
      </c>
      <c r="B89" s="92"/>
      <c r="C89" s="23"/>
    </row>
    <row r="90" spans="1:5" hidden="1" x14ac:dyDescent="0.25">
      <c r="A90" s="32"/>
      <c r="B90" s="57">
        <v>0</v>
      </c>
      <c r="C90" s="25"/>
    </row>
    <row r="91" spans="1:5" ht="14.25" hidden="1" customHeight="1" x14ac:dyDescent="0.25">
      <c r="A91" s="24" t="s">
        <v>7</v>
      </c>
      <c r="B91" s="39">
        <f>PRORRATEO!G31</f>
        <v>4103511.9100000011</v>
      </c>
      <c r="C91" s="23"/>
    </row>
    <row r="92" spans="1:5" hidden="1" x14ac:dyDescent="0.25">
      <c r="A92" s="24"/>
      <c r="B92" s="39">
        <v>0</v>
      </c>
      <c r="C92" s="23"/>
    </row>
    <row r="93" spans="1:5" hidden="1" x14ac:dyDescent="0.25">
      <c r="A93" s="24" t="s">
        <v>39</v>
      </c>
      <c r="B93" s="75">
        <f>B116</f>
        <v>300000</v>
      </c>
      <c r="C93" s="23"/>
    </row>
    <row r="94" spans="1:5" hidden="1" x14ac:dyDescent="0.25">
      <c r="A94" s="27"/>
      <c r="B94" s="46"/>
      <c r="C94" s="23"/>
    </row>
    <row r="95" spans="1:5" hidden="1" x14ac:dyDescent="0.25">
      <c r="A95" s="90" t="s">
        <v>43</v>
      </c>
      <c r="B95" s="46"/>
      <c r="C95" s="23"/>
    </row>
    <row r="96" spans="1:5" hidden="1" x14ac:dyDescent="0.25">
      <c r="A96" s="38" t="s">
        <v>22</v>
      </c>
      <c r="B96" s="46">
        <f>-B80</f>
        <v>-3879170.7400000007</v>
      </c>
      <c r="C96" s="23"/>
    </row>
    <row r="97" spans="1:6" hidden="1" x14ac:dyDescent="0.25">
      <c r="A97" s="27" t="s">
        <v>23</v>
      </c>
      <c r="B97" s="46">
        <f>-(B81)</f>
        <v>0</v>
      </c>
      <c r="C97" s="23"/>
    </row>
    <row r="98" spans="1:6" hidden="1" x14ac:dyDescent="0.25">
      <c r="A98" s="31" t="s">
        <v>8</v>
      </c>
      <c r="B98" s="57">
        <f>SUM(B90:B97)</f>
        <v>524341.17000000039</v>
      </c>
      <c r="C98" s="26"/>
      <c r="D98" s="42"/>
    </row>
    <row r="99" spans="1:6" ht="34.5" hidden="1" customHeight="1" x14ac:dyDescent="0.25">
      <c r="B99" s="40"/>
      <c r="C99" s="26"/>
      <c r="D99" s="42"/>
      <c r="E99" s="93"/>
      <c r="F99" s="94"/>
    </row>
    <row r="100" spans="1:6" ht="14.25" hidden="1" customHeight="1" x14ac:dyDescent="0.25">
      <c r="B100" s="41"/>
      <c r="C100" s="26"/>
    </row>
    <row r="101" spans="1:6" s="37" customFormat="1" ht="27" hidden="1" customHeight="1" x14ac:dyDescent="0.25">
      <c r="A101"/>
      <c r="B101" s="40"/>
      <c r="C101" s="36"/>
    </row>
    <row r="102" spans="1:6" s="37" customFormat="1" x14ac:dyDescent="0.25">
      <c r="A102" s="97" t="s">
        <v>156</v>
      </c>
      <c r="B102" s="170">
        <v>3790829.07</v>
      </c>
      <c r="C102" s="36"/>
      <c r="D102" s="45"/>
    </row>
    <row r="103" spans="1:6" x14ac:dyDescent="0.25">
      <c r="A103" s="52" t="s">
        <v>48</v>
      </c>
      <c r="B103" s="101">
        <f>-B80</f>
        <v>-3879170.7400000007</v>
      </c>
    </row>
    <row r="104" spans="1:6" x14ac:dyDescent="0.25">
      <c r="A104" s="52" t="s">
        <v>49</v>
      </c>
      <c r="B104" s="101">
        <f>-B81</f>
        <v>0</v>
      </c>
    </row>
    <row r="105" spans="1:6" x14ac:dyDescent="0.25">
      <c r="A105" s="52" t="s">
        <v>157</v>
      </c>
      <c r="B105" s="101">
        <v>675</v>
      </c>
    </row>
    <row r="106" spans="1:6" x14ac:dyDescent="0.25">
      <c r="A106" s="52" t="s">
        <v>136</v>
      </c>
      <c r="B106" s="101">
        <v>320000</v>
      </c>
    </row>
    <row r="107" spans="1:6" x14ac:dyDescent="0.25">
      <c r="A107" s="52" t="s">
        <v>52</v>
      </c>
      <c r="B107" s="101">
        <f>B116</f>
        <v>300000</v>
      </c>
    </row>
    <row r="108" spans="1:6" x14ac:dyDescent="0.25">
      <c r="A108" s="52" t="s">
        <v>50</v>
      </c>
      <c r="B108" s="102">
        <f>PRORRATEO!G31</f>
        <v>4103511.9100000011</v>
      </c>
    </row>
    <row r="109" spans="1:6" ht="15.75" thickBot="1" x14ac:dyDescent="0.3">
      <c r="A109" s="99" t="s">
        <v>45</v>
      </c>
      <c r="B109" s="100">
        <f>SUM(B102:C108)</f>
        <v>4635845.24</v>
      </c>
      <c r="D109" s="42"/>
    </row>
    <row r="110" spans="1:6" x14ac:dyDescent="0.25">
      <c r="A110" s="98"/>
      <c r="B110" s="98"/>
    </row>
    <row r="111" spans="1:6" ht="34.5" customHeight="1" x14ac:dyDescent="0.25"/>
    <row r="112" spans="1:6" x14ac:dyDescent="0.25">
      <c r="A112" s="198" t="s">
        <v>30</v>
      </c>
      <c r="B112" s="198"/>
      <c r="C112" s="198"/>
    </row>
    <row r="113" spans="1:13" x14ac:dyDescent="0.25">
      <c r="A113" s="198"/>
      <c r="B113" s="198"/>
      <c r="C113" s="198"/>
    </row>
    <row r="114" spans="1:13" ht="35.25" customHeight="1" x14ac:dyDescent="0.25">
      <c r="A114" s="87" t="s">
        <v>155</v>
      </c>
      <c r="B114" s="35">
        <v>300000</v>
      </c>
      <c r="C114" s="35">
        <v>40000</v>
      </c>
      <c r="E114" s="103"/>
    </row>
    <row r="115" spans="1:13" ht="27" customHeight="1" x14ac:dyDescent="0.25">
      <c r="A115" s="87"/>
      <c r="B115" s="89"/>
      <c r="C115" s="86"/>
      <c r="D115" s="103"/>
    </row>
    <row r="116" spans="1:13" x14ac:dyDescent="0.25">
      <c r="A116" s="43" t="s">
        <v>8</v>
      </c>
      <c r="B116" s="88">
        <f>SUM(B114:B115)</f>
        <v>300000</v>
      </c>
      <c r="C116" s="44"/>
    </row>
    <row r="117" spans="1:13" x14ac:dyDescent="0.25">
      <c r="M117" s="7"/>
    </row>
    <row r="118" spans="1:13" ht="15" customHeight="1" x14ac:dyDescent="0.25">
      <c r="A118" s="197"/>
      <c r="B118" s="197"/>
      <c r="C118" s="197"/>
      <c r="D118" s="197"/>
      <c r="E118" s="197"/>
    </row>
    <row r="119" spans="1:13" x14ac:dyDescent="0.25">
      <c r="A119" s="197"/>
      <c r="B119" s="197"/>
      <c r="C119" s="197"/>
      <c r="D119" s="197"/>
      <c r="E119" s="197"/>
    </row>
    <row r="120" spans="1:13" x14ac:dyDescent="0.25">
      <c r="A120" s="197"/>
      <c r="B120" s="197"/>
      <c r="C120" s="197"/>
      <c r="D120" s="197"/>
      <c r="E120" s="197"/>
    </row>
    <row r="121" spans="1:13" x14ac:dyDescent="0.25">
      <c r="A121" s="197"/>
      <c r="B121" s="197"/>
      <c r="C121" s="197"/>
      <c r="D121" s="197"/>
      <c r="E121" s="197"/>
    </row>
  </sheetData>
  <mergeCells count="18">
    <mergeCell ref="A40:B40"/>
    <mergeCell ref="A41:B41"/>
    <mergeCell ref="A51:B51"/>
    <mergeCell ref="A37:B37"/>
    <mergeCell ref="A35:B35"/>
    <mergeCell ref="A118:E121"/>
    <mergeCell ref="A112:C113"/>
    <mergeCell ref="A85:E87"/>
    <mergeCell ref="A69:B69"/>
    <mergeCell ref="A68:B68"/>
    <mergeCell ref="A70:B70"/>
    <mergeCell ref="B8:C10"/>
    <mergeCell ref="A22:B22"/>
    <mergeCell ref="A36:B36"/>
    <mergeCell ref="A23:B23"/>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9"/>
  <sheetViews>
    <sheetView topLeftCell="A13" zoomScaleNormal="100" workbookViewId="0">
      <selection activeCell="L28" sqref="L28"/>
    </sheetView>
  </sheetViews>
  <sheetFormatPr baseColWidth="10" defaultColWidth="10.85546875" defaultRowHeight="15" x14ac:dyDescent="0.25"/>
  <cols>
    <col min="1" max="1" width="4.28515625" customWidth="1"/>
    <col min="2" max="2" width="6.5703125" customWidth="1"/>
    <col min="3" max="3" width="28.5703125" customWidth="1"/>
    <col min="4" max="4" width="20.42578125" customWidth="1"/>
    <col min="5" max="5" width="8.42578125" customWidth="1"/>
    <col min="6" max="6" width="14.140625" customWidth="1"/>
    <col min="7" max="7" width="14" customWidth="1"/>
    <col min="8" max="8" width="11.42578125" customWidth="1"/>
    <col min="9" max="9" width="11" customWidth="1"/>
    <col min="10" max="10" width="12.42578125" customWidth="1"/>
    <col min="11" max="11" width="15.5703125" bestFit="1" customWidth="1"/>
    <col min="12" max="12" width="14.7109375" customWidth="1"/>
    <col min="13" max="13" width="14.28515625" customWidth="1"/>
    <col min="14" max="14" width="7.42578125" bestFit="1" customWidth="1"/>
    <col min="15" max="15" width="12" bestFit="1" customWidth="1"/>
    <col min="16" max="16" width="13.5703125" bestFit="1" customWidth="1"/>
  </cols>
  <sheetData>
    <row r="1" spans="1:16" ht="12.95" customHeight="1" x14ac:dyDescent="0.25">
      <c r="A1" s="6"/>
      <c r="B1" s="6"/>
      <c r="C1" s="6"/>
      <c r="D1" s="6"/>
      <c r="E1" s="208"/>
      <c r="F1" s="208"/>
      <c r="G1" s="208"/>
      <c r="H1" s="208"/>
      <c r="I1" s="208"/>
      <c r="J1" s="208"/>
      <c r="K1" s="208"/>
      <c r="L1" s="208"/>
      <c r="M1" s="6"/>
    </row>
    <row r="2" spans="1:16" ht="12.95" customHeight="1" x14ac:dyDescent="0.25">
      <c r="A2" s="6"/>
      <c r="B2" s="6"/>
      <c r="C2" s="6"/>
      <c r="D2" s="6"/>
      <c r="E2" s="6" t="s">
        <v>62</v>
      </c>
      <c r="F2" s="6"/>
      <c r="G2" s="123">
        <v>801500</v>
      </c>
      <c r="H2" s="6"/>
      <c r="I2" s="6"/>
      <c r="J2" s="6" t="s">
        <v>51</v>
      </c>
      <c r="K2" s="175">
        <v>3155000</v>
      </c>
      <c r="L2" s="96"/>
      <c r="M2" s="53"/>
      <c r="N2" s="21"/>
    </row>
    <row r="3" spans="1:16" ht="12.95" customHeight="1" thickBot="1" x14ac:dyDescent="0.3">
      <c r="A3" s="6"/>
      <c r="B3" s="6"/>
      <c r="C3" s="6"/>
      <c r="D3" s="6"/>
      <c r="E3" s="6"/>
      <c r="F3" s="6"/>
      <c r="G3" s="6"/>
      <c r="H3" s="6"/>
      <c r="I3" s="6"/>
      <c r="J3" s="6"/>
      <c r="K3" s="6"/>
      <c r="L3" s="54"/>
      <c r="M3" s="58"/>
    </row>
    <row r="4" spans="1:16" x14ac:dyDescent="0.25">
      <c r="A4" s="199" t="s">
        <v>5</v>
      </c>
      <c r="B4" s="199" t="s">
        <v>65</v>
      </c>
      <c r="C4" s="199" t="s">
        <v>6</v>
      </c>
      <c r="D4" s="199" t="s">
        <v>25</v>
      </c>
      <c r="E4" s="199" t="s">
        <v>10</v>
      </c>
      <c r="F4" s="209" t="s">
        <v>46</v>
      </c>
      <c r="G4" s="199" t="s">
        <v>7</v>
      </c>
      <c r="H4" s="211" t="s">
        <v>28</v>
      </c>
      <c r="I4" s="209" t="s">
        <v>40</v>
      </c>
      <c r="J4" s="209" t="s">
        <v>24</v>
      </c>
      <c r="K4" s="213" t="s">
        <v>63</v>
      </c>
      <c r="L4" s="60" t="s">
        <v>35</v>
      </c>
      <c r="M4" s="206" t="s">
        <v>34</v>
      </c>
    </row>
    <row r="5" spans="1:16" ht="15.75" customHeight="1" x14ac:dyDescent="0.25">
      <c r="A5" s="201"/>
      <c r="B5" s="200"/>
      <c r="C5" s="201"/>
      <c r="D5" s="200"/>
      <c r="E5" s="201"/>
      <c r="F5" s="210"/>
      <c r="G5" s="201"/>
      <c r="H5" s="212"/>
      <c r="I5" s="210"/>
      <c r="J5" s="210"/>
      <c r="K5" s="214"/>
      <c r="L5" s="59" t="str">
        <f>RESUMEN!B8</f>
        <v>VTO 16/03</v>
      </c>
      <c r="M5" s="207"/>
    </row>
    <row r="6" spans="1:16" ht="17.100000000000001" customHeight="1" x14ac:dyDescent="0.25">
      <c r="A6" s="141">
        <v>1</v>
      </c>
      <c r="B6" s="141" t="s">
        <v>66</v>
      </c>
      <c r="C6" s="141" t="s">
        <v>90</v>
      </c>
      <c r="D6" s="141" t="s">
        <v>151</v>
      </c>
      <c r="E6" s="166">
        <v>3.43</v>
      </c>
      <c r="F6" s="143">
        <v>164698.01</v>
      </c>
      <c r="G6" s="152">
        <f>F6</f>
        <v>164698.01</v>
      </c>
      <c r="H6" s="144">
        <f t="shared" ref="H6:H30" si="0">F6-G6</f>
        <v>0</v>
      </c>
      <c r="I6" s="144">
        <f>IF(H6&gt;0,H6*3%,0)</f>
        <v>0</v>
      </c>
      <c r="J6" s="145">
        <f>K$2*E6%</f>
        <v>108216.50000000001</v>
      </c>
      <c r="K6" s="146">
        <f>G$2*E6/100</f>
        <v>27491.45</v>
      </c>
      <c r="L6" s="147">
        <f t="shared" ref="L6:L30" si="1">ROUND(SUM(H6:K6),0) + N6</f>
        <v>135708.01</v>
      </c>
      <c r="M6" s="148">
        <f t="shared" ref="M6:M30" si="2">ROUND(L6*3%,0) + L6</f>
        <v>139779.01</v>
      </c>
      <c r="N6" s="42">
        <v>0.01</v>
      </c>
    </row>
    <row r="7" spans="1:16" ht="17.100000000000001" customHeight="1" x14ac:dyDescent="0.25">
      <c r="A7" s="176">
        <f>A6+1</f>
        <v>2</v>
      </c>
      <c r="B7" s="176" t="s">
        <v>74</v>
      </c>
      <c r="C7" s="176" t="s">
        <v>91</v>
      </c>
      <c r="D7" s="177" t="s">
        <v>137</v>
      </c>
      <c r="E7" s="178">
        <v>2.95</v>
      </c>
      <c r="F7" s="179">
        <v>141651.01999999999</v>
      </c>
      <c r="G7" s="152"/>
      <c r="H7" s="144">
        <f t="shared" si="0"/>
        <v>141651.01999999999</v>
      </c>
      <c r="I7" s="144">
        <f t="shared" ref="I7:I30" si="3">IF(H7&gt;0,H7*3%,0)</f>
        <v>4249.5305999999991</v>
      </c>
      <c r="J7" s="145">
        <f t="shared" ref="J7:J29" si="4">K$2*E7%</f>
        <v>93072.5</v>
      </c>
      <c r="K7" s="146">
        <f t="shared" ref="K7:K29" si="5">G$2*E7/100</f>
        <v>23644.25</v>
      </c>
      <c r="L7" s="147">
        <f t="shared" si="1"/>
        <v>262617.02</v>
      </c>
      <c r="M7" s="148">
        <f t="shared" si="2"/>
        <v>270496.02</v>
      </c>
      <c r="N7" s="42">
        <f>N6+0.01</f>
        <v>0.02</v>
      </c>
      <c r="O7" s="42"/>
    </row>
    <row r="8" spans="1:16" ht="17.100000000000001" customHeight="1" x14ac:dyDescent="0.25">
      <c r="A8" s="150">
        <f t="shared" ref="A8:A29" si="6">A7+1</f>
        <v>3</v>
      </c>
      <c r="B8" s="150" t="s">
        <v>75</v>
      </c>
      <c r="C8" s="150" t="s">
        <v>92</v>
      </c>
      <c r="D8" s="151" t="s">
        <v>161</v>
      </c>
      <c r="E8" s="167">
        <f>5.78+1.02</f>
        <v>6.8000000000000007</v>
      </c>
      <c r="F8" s="152">
        <v>326517.03000000003</v>
      </c>
      <c r="G8" s="152">
        <f>F8</f>
        <v>326517.03000000003</v>
      </c>
      <c r="H8" s="144">
        <f t="shared" si="0"/>
        <v>0</v>
      </c>
      <c r="I8" s="144">
        <f t="shared" si="3"/>
        <v>0</v>
      </c>
      <c r="J8" s="145">
        <f t="shared" si="4"/>
        <v>214540.00000000003</v>
      </c>
      <c r="K8" s="146">
        <f t="shared" si="5"/>
        <v>54502.000000000007</v>
      </c>
      <c r="L8" s="147">
        <f t="shared" si="1"/>
        <v>269042.03000000003</v>
      </c>
      <c r="M8" s="148">
        <f t="shared" si="2"/>
        <v>277113.03000000003</v>
      </c>
      <c r="N8" s="42">
        <f t="shared" ref="N8:N30" si="7">N7+0.01</f>
        <v>0.03</v>
      </c>
      <c r="O8" t="s">
        <v>150</v>
      </c>
    </row>
    <row r="9" spans="1:16" ht="17.100000000000001" customHeight="1" x14ac:dyDescent="0.25">
      <c r="A9" s="141">
        <f t="shared" si="6"/>
        <v>4</v>
      </c>
      <c r="B9" s="141" t="s">
        <v>67</v>
      </c>
      <c r="C9" s="141" t="s">
        <v>93</v>
      </c>
      <c r="D9" s="149" t="s">
        <v>162</v>
      </c>
      <c r="E9" s="166">
        <v>3.43</v>
      </c>
      <c r="F9" s="143">
        <v>164699.04</v>
      </c>
      <c r="G9" s="152">
        <f>F9</f>
        <v>164699.04</v>
      </c>
      <c r="H9" s="144">
        <f t="shared" si="0"/>
        <v>0</v>
      </c>
      <c r="I9" s="144">
        <f t="shared" si="3"/>
        <v>0</v>
      </c>
      <c r="J9" s="145">
        <f t="shared" si="4"/>
        <v>108216.50000000001</v>
      </c>
      <c r="K9" s="146">
        <f t="shared" si="5"/>
        <v>27491.45</v>
      </c>
      <c r="L9" s="147">
        <f t="shared" si="1"/>
        <v>135708.04</v>
      </c>
      <c r="M9" s="148">
        <f t="shared" si="2"/>
        <v>139779.04</v>
      </c>
      <c r="N9" s="42">
        <f t="shared" si="7"/>
        <v>0.04</v>
      </c>
      <c r="P9" s="42"/>
    </row>
    <row r="10" spans="1:16" ht="17.100000000000001" customHeight="1" x14ac:dyDescent="0.25">
      <c r="A10" s="141">
        <f t="shared" si="6"/>
        <v>5</v>
      </c>
      <c r="B10" s="141" t="s">
        <v>76</v>
      </c>
      <c r="C10" s="141" t="s">
        <v>94</v>
      </c>
      <c r="D10" s="149"/>
      <c r="E10" s="166">
        <v>2.95</v>
      </c>
      <c r="F10" s="143">
        <v>141651.04999999999</v>
      </c>
      <c r="G10" s="152">
        <f>F10</f>
        <v>141651.04999999999</v>
      </c>
      <c r="H10" s="144">
        <f t="shared" si="0"/>
        <v>0</v>
      </c>
      <c r="I10" s="144">
        <f t="shared" si="3"/>
        <v>0</v>
      </c>
      <c r="J10" s="145">
        <f t="shared" si="4"/>
        <v>93072.5</v>
      </c>
      <c r="K10" s="146">
        <f t="shared" si="5"/>
        <v>23644.25</v>
      </c>
      <c r="L10" s="147">
        <f t="shared" si="1"/>
        <v>116717.05</v>
      </c>
      <c r="M10" s="148">
        <f t="shared" si="2"/>
        <v>120219.05</v>
      </c>
      <c r="N10" s="42">
        <f t="shared" si="7"/>
        <v>0.05</v>
      </c>
      <c r="P10" s="42"/>
    </row>
    <row r="11" spans="1:16" ht="17.100000000000001" customHeight="1" x14ac:dyDescent="0.25">
      <c r="A11" s="141">
        <f t="shared" si="6"/>
        <v>6</v>
      </c>
      <c r="B11" s="141" t="s">
        <v>77</v>
      </c>
      <c r="C11" s="141" t="s">
        <v>95</v>
      </c>
      <c r="D11" s="141" t="s">
        <v>138</v>
      </c>
      <c r="E11" s="166">
        <v>5.69</v>
      </c>
      <c r="F11" s="143">
        <v>273218.06</v>
      </c>
      <c r="G11" s="152">
        <f>F11</f>
        <v>273218.06</v>
      </c>
      <c r="H11" s="144">
        <f t="shared" si="0"/>
        <v>0</v>
      </c>
      <c r="I11" s="144">
        <f t="shared" si="3"/>
        <v>0</v>
      </c>
      <c r="J11" s="145">
        <f t="shared" si="4"/>
        <v>179519.50000000003</v>
      </c>
      <c r="K11" s="146">
        <f t="shared" si="5"/>
        <v>45605.35</v>
      </c>
      <c r="L11" s="147">
        <f t="shared" si="1"/>
        <v>225125.06</v>
      </c>
      <c r="M11" s="148">
        <f t="shared" si="2"/>
        <v>231879.06</v>
      </c>
      <c r="N11" s="42">
        <f t="shared" si="7"/>
        <v>6.0000000000000005E-2</v>
      </c>
    </row>
    <row r="12" spans="1:16" ht="17.100000000000001" customHeight="1" x14ac:dyDescent="0.25">
      <c r="A12" s="141">
        <f t="shared" si="6"/>
        <v>7</v>
      </c>
      <c r="B12" s="141" t="s">
        <v>68</v>
      </c>
      <c r="C12" s="141" t="s">
        <v>96</v>
      </c>
      <c r="D12" s="141"/>
      <c r="E12" s="166">
        <v>3.43</v>
      </c>
      <c r="F12" s="143">
        <v>164699.07</v>
      </c>
      <c r="G12" s="152">
        <f>F12</f>
        <v>164699.07</v>
      </c>
      <c r="H12" s="144">
        <f t="shared" si="0"/>
        <v>0</v>
      </c>
      <c r="I12" s="144">
        <f t="shared" si="3"/>
        <v>0</v>
      </c>
      <c r="J12" s="145">
        <f t="shared" si="4"/>
        <v>108216.50000000001</v>
      </c>
      <c r="K12" s="146">
        <f t="shared" si="5"/>
        <v>27491.45</v>
      </c>
      <c r="L12" s="147">
        <f t="shared" si="1"/>
        <v>135708.07</v>
      </c>
      <c r="M12" s="148">
        <f t="shared" si="2"/>
        <v>139779.07</v>
      </c>
      <c r="N12" s="42">
        <f t="shared" si="7"/>
        <v>7.0000000000000007E-2</v>
      </c>
    </row>
    <row r="13" spans="1:16" ht="17.100000000000001" customHeight="1" x14ac:dyDescent="0.25">
      <c r="A13" s="141">
        <f t="shared" si="6"/>
        <v>8</v>
      </c>
      <c r="B13" s="141" t="s">
        <v>78</v>
      </c>
      <c r="C13" s="141" t="s">
        <v>97</v>
      </c>
      <c r="D13" s="149"/>
      <c r="E13" s="166">
        <v>2.95</v>
      </c>
      <c r="F13" s="143">
        <v>141651.07999999999</v>
      </c>
      <c r="G13" s="152"/>
      <c r="H13" s="144">
        <f t="shared" si="0"/>
        <v>141651.07999999999</v>
      </c>
      <c r="I13" s="144">
        <f t="shared" si="3"/>
        <v>4249.5323999999991</v>
      </c>
      <c r="J13" s="145">
        <f t="shared" si="4"/>
        <v>93072.5</v>
      </c>
      <c r="K13" s="146">
        <f t="shared" si="5"/>
        <v>23644.25</v>
      </c>
      <c r="L13" s="147">
        <f t="shared" si="1"/>
        <v>262617.08</v>
      </c>
      <c r="M13" s="148">
        <f t="shared" si="2"/>
        <v>270496.08</v>
      </c>
      <c r="N13" s="42">
        <f t="shared" si="7"/>
        <v>0.08</v>
      </c>
    </row>
    <row r="14" spans="1:16" ht="17.100000000000001" customHeight="1" x14ac:dyDescent="0.25">
      <c r="A14" s="141">
        <f t="shared" si="6"/>
        <v>9</v>
      </c>
      <c r="B14" s="141" t="s">
        <v>79</v>
      </c>
      <c r="C14" s="141" t="s">
        <v>142</v>
      </c>
      <c r="D14" s="149" t="s">
        <v>139</v>
      </c>
      <c r="E14" s="166">
        <v>5.69</v>
      </c>
      <c r="F14" s="143">
        <v>273218.09000000003</v>
      </c>
      <c r="G14" s="152">
        <f>F14</f>
        <v>273218.09000000003</v>
      </c>
      <c r="H14" s="144">
        <f t="shared" si="0"/>
        <v>0</v>
      </c>
      <c r="I14" s="144">
        <f t="shared" si="3"/>
        <v>0</v>
      </c>
      <c r="J14" s="145">
        <f t="shared" si="4"/>
        <v>179519.50000000003</v>
      </c>
      <c r="K14" s="146">
        <f t="shared" si="5"/>
        <v>45605.35</v>
      </c>
      <c r="L14" s="147">
        <f t="shared" si="1"/>
        <v>225125.09</v>
      </c>
      <c r="M14" s="148">
        <f t="shared" si="2"/>
        <v>231879.09</v>
      </c>
      <c r="N14" s="42">
        <f t="shared" si="7"/>
        <v>0.09</v>
      </c>
    </row>
    <row r="15" spans="1:16" ht="17.100000000000001" customHeight="1" x14ac:dyDescent="0.25">
      <c r="A15" s="141">
        <f t="shared" si="6"/>
        <v>10</v>
      </c>
      <c r="B15" s="141" t="s">
        <v>69</v>
      </c>
      <c r="C15" s="141" t="s">
        <v>98</v>
      </c>
      <c r="D15" s="149" t="s">
        <v>154</v>
      </c>
      <c r="E15" s="166">
        <v>3.43</v>
      </c>
      <c r="F15" s="143">
        <v>405721.1</v>
      </c>
      <c r="G15" s="152">
        <v>406000</v>
      </c>
      <c r="H15" s="144">
        <f t="shared" si="0"/>
        <v>-278.90000000002328</v>
      </c>
      <c r="I15" s="144">
        <f t="shared" si="3"/>
        <v>0</v>
      </c>
      <c r="J15" s="145">
        <f t="shared" si="4"/>
        <v>108216.50000000001</v>
      </c>
      <c r="K15" s="146">
        <f t="shared" si="5"/>
        <v>27491.45</v>
      </c>
      <c r="L15" s="147">
        <f t="shared" si="1"/>
        <v>135429.1</v>
      </c>
      <c r="M15" s="148">
        <f t="shared" si="2"/>
        <v>139492.1</v>
      </c>
      <c r="N15" s="42">
        <f t="shared" si="7"/>
        <v>9.9999999999999992E-2</v>
      </c>
    </row>
    <row r="16" spans="1:16" ht="17.100000000000001" customHeight="1" x14ac:dyDescent="0.25">
      <c r="A16" s="141">
        <f t="shared" si="6"/>
        <v>11</v>
      </c>
      <c r="B16" s="141" t="s">
        <v>80</v>
      </c>
      <c r="C16" s="141" t="s">
        <v>141</v>
      </c>
      <c r="D16" s="149" t="s">
        <v>152</v>
      </c>
      <c r="E16" s="166">
        <v>2.95</v>
      </c>
      <c r="F16" s="143">
        <v>141651.10999999999</v>
      </c>
      <c r="G16" s="152">
        <f>F16</f>
        <v>141651.10999999999</v>
      </c>
      <c r="H16" s="144">
        <f t="shared" si="0"/>
        <v>0</v>
      </c>
      <c r="I16" s="144">
        <f t="shared" si="3"/>
        <v>0</v>
      </c>
      <c r="J16" s="145">
        <f t="shared" si="4"/>
        <v>93072.5</v>
      </c>
      <c r="K16" s="146">
        <f t="shared" si="5"/>
        <v>23644.25</v>
      </c>
      <c r="L16" s="147">
        <f t="shared" si="1"/>
        <v>116717.11</v>
      </c>
      <c r="M16" s="148">
        <f t="shared" si="2"/>
        <v>120219.11</v>
      </c>
      <c r="N16" s="42">
        <f t="shared" si="7"/>
        <v>0.10999999999999999</v>
      </c>
    </row>
    <row r="17" spans="1:15" ht="17.100000000000001" customHeight="1" x14ac:dyDescent="0.25">
      <c r="A17" s="141">
        <f t="shared" si="6"/>
        <v>12</v>
      </c>
      <c r="B17" s="141" t="s">
        <v>81</v>
      </c>
      <c r="C17" s="141" t="s">
        <v>143</v>
      </c>
      <c r="D17" s="149" t="s">
        <v>140</v>
      </c>
      <c r="E17" s="166">
        <f>5.69+0.51</f>
        <v>6.2</v>
      </c>
      <c r="F17" s="143">
        <v>297707.12</v>
      </c>
      <c r="G17" s="152">
        <f>F17</f>
        <v>297707.12</v>
      </c>
      <c r="H17" s="144">
        <f t="shared" si="0"/>
        <v>0</v>
      </c>
      <c r="I17" s="144">
        <f t="shared" si="3"/>
        <v>0</v>
      </c>
      <c r="J17" s="145">
        <f t="shared" si="4"/>
        <v>195610</v>
      </c>
      <c r="K17" s="146">
        <f t="shared" si="5"/>
        <v>49693</v>
      </c>
      <c r="L17" s="147">
        <f t="shared" si="1"/>
        <v>245303.12</v>
      </c>
      <c r="M17" s="148">
        <f t="shared" si="2"/>
        <v>252662.12</v>
      </c>
      <c r="N17" s="42">
        <f t="shared" si="7"/>
        <v>0.11999999999999998</v>
      </c>
    </row>
    <row r="18" spans="1:15" ht="17.100000000000001" customHeight="1" x14ac:dyDescent="0.25">
      <c r="A18" s="141">
        <f t="shared" si="6"/>
        <v>13</v>
      </c>
      <c r="B18" s="141" t="s">
        <v>70</v>
      </c>
      <c r="C18" s="141" t="s">
        <v>99</v>
      </c>
      <c r="D18" s="149" t="s">
        <v>158</v>
      </c>
      <c r="E18" s="166">
        <v>3.43</v>
      </c>
      <c r="F18" s="143">
        <v>164699.13</v>
      </c>
      <c r="G18" s="152">
        <f>F18</f>
        <v>164699.13</v>
      </c>
      <c r="H18" s="144">
        <f t="shared" si="0"/>
        <v>0</v>
      </c>
      <c r="I18" s="144">
        <f t="shared" si="3"/>
        <v>0</v>
      </c>
      <c r="J18" s="145">
        <f t="shared" si="4"/>
        <v>108216.50000000001</v>
      </c>
      <c r="K18" s="146">
        <f t="shared" si="5"/>
        <v>27491.45</v>
      </c>
      <c r="L18" s="147">
        <f t="shared" si="1"/>
        <v>135708.13</v>
      </c>
      <c r="M18" s="148">
        <f t="shared" si="2"/>
        <v>139779.13</v>
      </c>
      <c r="N18" s="42">
        <f t="shared" si="7"/>
        <v>0.12999999999999998</v>
      </c>
    </row>
    <row r="19" spans="1:15" ht="17.100000000000001" customHeight="1" x14ac:dyDescent="0.25">
      <c r="A19" s="141">
        <f t="shared" si="6"/>
        <v>14</v>
      </c>
      <c r="B19" s="141" t="s">
        <v>82</v>
      </c>
      <c r="C19" s="141" t="s">
        <v>100</v>
      </c>
      <c r="D19" s="149"/>
      <c r="E19" s="166">
        <v>2.95</v>
      </c>
      <c r="F19" s="143">
        <v>141650.14000000001</v>
      </c>
      <c r="G19" s="152">
        <f>F19</f>
        <v>141650.14000000001</v>
      </c>
      <c r="H19" s="144">
        <f t="shared" si="0"/>
        <v>0</v>
      </c>
      <c r="I19" s="144">
        <f t="shared" si="3"/>
        <v>0</v>
      </c>
      <c r="J19" s="145">
        <f t="shared" si="4"/>
        <v>93072.5</v>
      </c>
      <c r="K19" s="146">
        <f t="shared" si="5"/>
        <v>23644.25</v>
      </c>
      <c r="L19" s="147">
        <f t="shared" si="1"/>
        <v>116717.14</v>
      </c>
      <c r="M19" s="148">
        <f t="shared" si="2"/>
        <v>120219.14</v>
      </c>
      <c r="N19" s="42">
        <f t="shared" si="7"/>
        <v>0.13999999999999999</v>
      </c>
    </row>
    <row r="20" spans="1:15" ht="17.100000000000001" customHeight="1" x14ac:dyDescent="0.25">
      <c r="A20" s="150">
        <f t="shared" si="6"/>
        <v>15</v>
      </c>
      <c r="B20" s="150" t="s">
        <v>83</v>
      </c>
      <c r="C20" s="150" t="s">
        <v>101</v>
      </c>
      <c r="D20" s="151" t="s">
        <v>159</v>
      </c>
      <c r="E20" s="167">
        <f>5.69+0.51</f>
        <v>6.2</v>
      </c>
      <c r="F20" s="152">
        <v>297707.15000000002</v>
      </c>
      <c r="G20" s="152"/>
      <c r="H20" s="144">
        <f t="shared" si="0"/>
        <v>297707.15000000002</v>
      </c>
      <c r="I20" s="144">
        <f t="shared" si="3"/>
        <v>8931.2145</v>
      </c>
      <c r="J20" s="145">
        <f t="shared" si="4"/>
        <v>195610</v>
      </c>
      <c r="K20" s="146">
        <f t="shared" si="5"/>
        <v>49693</v>
      </c>
      <c r="L20" s="147">
        <f t="shared" si="1"/>
        <v>551941.15</v>
      </c>
      <c r="M20" s="148">
        <f t="shared" si="2"/>
        <v>568499.15</v>
      </c>
      <c r="N20" s="42">
        <f t="shared" si="7"/>
        <v>0.15</v>
      </c>
    </row>
    <row r="21" spans="1:15" ht="17.100000000000001" customHeight="1" x14ac:dyDescent="0.25">
      <c r="A21" s="141">
        <f t="shared" si="6"/>
        <v>16</v>
      </c>
      <c r="B21" s="141" t="s">
        <v>71</v>
      </c>
      <c r="C21" s="141" t="s">
        <v>102</v>
      </c>
      <c r="D21" s="141"/>
      <c r="E21" s="166">
        <v>3.43</v>
      </c>
      <c r="F21" s="143">
        <v>164699.16</v>
      </c>
      <c r="G21" s="152">
        <f>F21</f>
        <v>164699.16</v>
      </c>
      <c r="H21" s="144">
        <f t="shared" si="0"/>
        <v>0</v>
      </c>
      <c r="I21" s="144">
        <f t="shared" si="3"/>
        <v>0</v>
      </c>
      <c r="J21" s="145">
        <f t="shared" si="4"/>
        <v>108216.50000000001</v>
      </c>
      <c r="K21" s="146">
        <f t="shared" si="5"/>
        <v>27491.45</v>
      </c>
      <c r="L21" s="147">
        <f t="shared" si="1"/>
        <v>135708.16</v>
      </c>
      <c r="M21" s="148">
        <f t="shared" si="2"/>
        <v>139779.16</v>
      </c>
      <c r="N21" s="42">
        <f t="shared" si="7"/>
        <v>0.16</v>
      </c>
    </row>
    <row r="22" spans="1:15" ht="17.100000000000001" customHeight="1" x14ac:dyDescent="0.25">
      <c r="A22" s="141">
        <f t="shared" si="6"/>
        <v>17</v>
      </c>
      <c r="B22" s="141" t="s">
        <v>84</v>
      </c>
      <c r="C22" s="141" t="s">
        <v>103</v>
      </c>
      <c r="D22" s="149" t="s">
        <v>144</v>
      </c>
      <c r="E22" s="166">
        <v>2.95</v>
      </c>
      <c r="F22" s="152">
        <v>141651.17000000001</v>
      </c>
      <c r="G22" s="152"/>
      <c r="H22" s="144">
        <f t="shared" si="0"/>
        <v>141651.17000000001</v>
      </c>
      <c r="I22" s="144">
        <f t="shared" si="3"/>
        <v>4249.5351000000001</v>
      </c>
      <c r="J22" s="145">
        <f t="shared" si="4"/>
        <v>93072.5</v>
      </c>
      <c r="K22" s="146">
        <f t="shared" si="5"/>
        <v>23644.25</v>
      </c>
      <c r="L22" s="147">
        <f t="shared" si="1"/>
        <v>262617.17</v>
      </c>
      <c r="M22" s="148">
        <f t="shared" si="2"/>
        <v>270496.17</v>
      </c>
      <c r="N22" s="42">
        <f t="shared" si="7"/>
        <v>0.17</v>
      </c>
    </row>
    <row r="23" spans="1:15" ht="17.100000000000001" customHeight="1" x14ac:dyDescent="0.25">
      <c r="A23" s="141">
        <f t="shared" si="6"/>
        <v>18</v>
      </c>
      <c r="B23" s="141" t="s">
        <v>85</v>
      </c>
      <c r="C23" s="141" t="s">
        <v>104</v>
      </c>
      <c r="D23" s="153"/>
      <c r="E23" s="166">
        <f>5.69+0.51</f>
        <v>6.2</v>
      </c>
      <c r="F23" s="143">
        <v>297707.18</v>
      </c>
      <c r="G23" s="152">
        <f>F23</f>
        <v>297707.18</v>
      </c>
      <c r="H23" s="144">
        <f t="shared" si="0"/>
        <v>0</v>
      </c>
      <c r="I23" s="144">
        <f t="shared" si="3"/>
        <v>0</v>
      </c>
      <c r="J23" s="145">
        <f t="shared" si="4"/>
        <v>195610</v>
      </c>
      <c r="K23" s="146">
        <f t="shared" si="5"/>
        <v>49693</v>
      </c>
      <c r="L23" s="147">
        <f t="shared" si="1"/>
        <v>245303.18</v>
      </c>
      <c r="M23" s="148">
        <f t="shared" si="2"/>
        <v>252662.18</v>
      </c>
      <c r="N23" s="42">
        <f t="shared" si="7"/>
        <v>0.18000000000000002</v>
      </c>
    </row>
    <row r="24" spans="1:15" x14ac:dyDescent="0.25">
      <c r="A24" s="176">
        <f t="shared" si="6"/>
        <v>19</v>
      </c>
      <c r="B24" s="176" t="s">
        <v>72</v>
      </c>
      <c r="C24" s="176" t="s">
        <v>149</v>
      </c>
      <c r="D24" s="177" t="s">
        <v>160</v>
      </c>
      <c r="E24" s="178">
        <v>3.43</v>
      </c>
      <c r="F24" s="179">
        <v>154699.19</v>
      </c>
      <c r="G24" s="180">
        <v>141652</v>
      </c>
      <c r="H24" s="144">
        <f t="shared" si="0"/>
        <v>13047.190000000002</v>
      </c>
      <c r="I24" s="144">
        <f t="shared" si="3"/>
        <v>391.41570000000007</v>
      </c>
      <c r="J24" s="145">
        <f t="shared" si="4"/>
        <v>108216.50000000001</v>
      </c>
      <c r="K24" s="146">
        <f t="shared" si="5"/>
        <v>27491.45</v>
      </c>
      <c r="L24" s="147">
        <f t="shared" si="1"/>
        <v>149147.19</v>
      </c>
      <c r="M24" s="148">
        <f t="shared" si="2"/>
        <v>153621.19</v>
      </c>
      <c r="N24" s="42">
        <f t="shared" si="7"/>
        <v>0.19000000000000003</v>
      </c>
    </row>
    <row r="25" spans="1:15" x14ac:dyDescent="0.25">
      <c r="A25" s="141">
        <f t="shared" si="6"/>
        <v>20</v>
      </c>
      <c r="B25" s="154" t="s">
        <v>86</v>
      </c>
      <c r="C25" s="141" t="s">
        <v>145</v>
      </c>
      <c r="D25" s="149" t="s">
        <v>153</v>
      </c>
      <c r="E25" s="166">
        <v>2.95</v>
      </c>
      <c r="F25" s="155">
        <v>141651.20000000001</v>
      </c>
      <c r="G25" s="156">
        <v>141650</v>
      </c>
      <c r="H25" s="144">
        <f t="shared" si="0"/>
        <v>1.2000000000116415</v>
      </c>
      <c r="I25" s="144">
        <f t="shared" si="3"/>
        <v>3.6000000000349246E-2</v>
      </c>
      <c r="J25" s="145">
        <f t="shared" si="4"/>
        <v>93072.5</v>
      </c>
      <c r="K25" s="146">
        <f t="shared" si="5"/>
        <v>23644.25</v>
      </c>
      <c r="L25" s="147">
        <f t="shared" si="1"/>
        <v>116718.2</v>
      </c>
      <c r="M25" s="148">
        <f t="shared" si="2"/>
        <v>120220.2</v>
      </c>
      <c r="N25" s="42">
        <f t="shared" si="7"/>
        <v>0.20000000000000004</v>
      </c>
    </row>
    <row r="26" spans="1:15" x14ac:dyDescent="0.25">
      <c r="A26" s="141">
        <f t="shared" si="6"/>
        <v>21</v>
      </c>
      <c r="B26" s="154" t="s">
        <v>87</v>
      </c>
      <c r="C26" s="157" t="s">
        <v>105</v>
      </c>
      <c r="D26" s="149"/>
      <c r="E26" s="166">
        <f>5.69+0.51</f>
        <v>6.2</v>
      </c>
      <c r="F26" s="155">
        <v>297707.21000000002</v>
      </c>
      <c r="G26" s="156"/>
      <c r="H26" s="144">
        <f t="shared" si="0"/>
        <v>297707.21000000002</v>
      </c>
      <c r="I26" s="144">
        <f t="shared" si="3"/>
        <v>8931.2163</v>
      </c>
      <c r="J26" s="145">
        <f t="shared" si="4"/>
        <v>195610</v>
      </c>
      <c r="K26" s="146">
        <f t="shared" si="5"/>
        <v>49693</v>
      </c>
      <c r="L26" s="147">
        <f t="shared" si="1"/>
        <v>551941.21</v>
      </c>
      <c r="M26" s="148">
        <f t="shared" si="2"/>
        <v>568499.21</v>
      </c>
      <c r="N26" s="42">
        <f t="shared" si="7"/>
        <v>0.21000000000000005</v>
      </c>
    </row>
    <row r="27" spans="1:15" x14ac:dyDescent="0.25">
      <c r="A27" s="141">
        <f t="shared" si="6"/>
        <v>22</v>
      </c>
      <c r="B27" s="158" t="s">
        <v>73</v>
      </c>
      <c r="C27" s="141" t="s">
        <v>106</v>
      </c>
      <c r="D27" s="149" t="s">
        <v>148</v>
      </c>
      <c r="E27" s="166">
        <v>3.43</v>
      </c>
      <c r="F27" s="155">
        <v>164358.22</v>
      </c>
      <c r="G27" s="156">
        <v>165000</v>
      </c>
      <c r="H27" s="144">
        <f t="shared" si="0"/>
        <v>-641.77999999999884</v>
      </c>
      <c r="I27" s="144">
        <f t="shared" si="3"/>
        <v>0</v>
      </c>
      <c r="J27" s="145">
        <f t="shared" si="4"/>
        <v>108216.50000000001</v>
      </c>
      <c r="K27" s="146">
        <f t="shared" si="5"/>
        <v>27491.45</v>
      </c>
      <c r="L27" s="147">
        <f t="shared" si="1"/>
        <v>135066.22</v>
      </c>
      <c r="M27" s="148">
        <f t="shared" si="2"/>
        <v>139118.22</v>
      </c>
      <c r="N27" s="42">
        <f t="shared" si="7"/>
        <v>0.22000000000000006</v>
      </c>
    </row>
    <row r="28" spans="1:15" x14ac:dyDescent="0.25">
      <c r="A28" s="181">
        <f t="shared" si="6"/>
        <v>23</v>
      </c>
      <c r="B28" s="182" t="s">
        <v>88</v>
      </c>
      <c r="C28" s="183" t="s">
        <v>147</v>
      </c>
      <c r="D28" s="184" t="s">
        <v>146</v>
      </c>
      <c r="E28" s="185">
        <v>2.95</v>
      </c>
      <c r="F28" s="186">
        <v>141651.23000000001</v>
      </c>
      <c r="G28" s="186">
        <f>F28</f>
        <v>141651.23000000001</v>
      </c>
      <c r="H28" s="144">
        <f t="shared" si="0"/>
        <v>0</v>
      </c>
      <c r="I28" s="144">
        <f t="shared" si="3"/>
        <v>0</v>
      </c>
      <c r="J28" s="145">
        <f t="shared" si="4"/>
        <v>93072.5</v>
      </c>
      <c r="K28" s="146">
        <f t="shared" si="5"/>
        <v>23644.25</v>
      </c>
      <c r="L28" s="147">
        <f t="shared" si="1"/>
        <v>116717.23</v>
      </c>
      <c r="M28" s="148">
        <f t="shared" si="2"/>
        <v>120219.23</v>
      </c>
      <c r="N28" s="42">
        <f t="shared" si="7"/>
        <v>0.23000000000000007</v>
      </c>
    </row>
    <row r="29" spans="1:15" x14ac:dyDescent="0.25">
      <c r="A29" s="141">
        <f t="shared" si="6"/>
        <v>24</v>
      </c>
      <c r="B29" s="158" t="s">
        <v>89</v>
      </c>
      <c r="C29" s="159" t="s">
        <v>107</v>
      </c>
      <c r="D29" s="160"/>
      <c r="E29" s="166">
        <v>5.68</v>
      </c>
      <c r="F29" s="155">
        <v>272738.24</v>
      </c>
      <c r="G29" s="156">
        <f>F29</f>
        <v>272738.24</v>
      </c>
      <c r="H29" s="144">
        <f t="shared" si="0"/>
        <v>0</v>
      </c>
      <c r="I29" s="144">
        <f t="shared" si="3"/>
        <v>0</v>
      </c>
      <c r="J29" s="145">
        <f t="shared" si="4"/>
        <v>179204</v>
      </c>
      <c r="K29" s="146">
        <f t="shared" si="5"/>
        <v>45525.2</v>
      </c>
      <c r="L29" s="147">
        <f t="shared" si="1"/>
        <v>224729.24</v>
      </c>
      <c r="M29" s="148">
        <f t="shared" si="2"/>
        <v>231471.24</v>
      </c>
      <c r="N29" s="42">
        <f t="shared" si="7"/>
        <v>0.24000000000000007</v>
      </c>
    </row>
    <row r="30" spans="1:15" ht="17.100000000000001" customHeight="1" thickBot="1" x14ac:dyDescent="0.3">
      <c r="A30" s="202" t="s">
        <v>109</v>
      </c>
      <c r="B30" s="203"/>
      <c r="C30" s="159" t="s">
        <v>108</v>
      </c>
      <c r="D30" s="159"/>
      <c r="E30" s="142"/>
      <c r="F30" s="155">
        <v>118006.25</v>
      </c>
      <c r="G30" s="156">
        <v>118006.25</v>
      </c>
      <c r="H30" s="144">
        <f t="shared" si="0"/>
        <v>0</v>
      </c>
      <c r="I30" s="144">
        <f t="shared" si="3"/>
        <v>0</v>
      </c>
      <c r="J30" s="145">
        <f>J13</f>
        <v>93072.5</v>
      </c>
      <c r="K30" s="146">
        <f>K13</f>
        <v>23644.25</v>
      </c>
      <c r="L30" s="147">
        <f t="shared" si="1"/>
        <v>116717.25</v>
      </c>
      <c r="M30" s="148">
        <f t="shared" si="2"/>
        <v>120219.25</v>
      </c>
      <c r="N30" s="42">
        <f t="shared" si="7"/>
        <v>0.25000000000000006</v>
      </c>
      <c r="O30" t="s">
        <v>163</v>
      </c>
    </row>
    <row r="31" spans="1:15" ht="17.100000000000001" customHeight="1" thickBot="1" x14ac:dyDescent="0.3">
      <c r="A31" s="204" t="s">
        <v>110</v>
      </c>
      <c r="B31" s="204"/>
      <c r="C31" s="205"/>
      <c r="D31" s="161"/>
      <c r="E31" s="169">
        <f>SUM(E6:E30)</f>
        <v>99.700000000000045</v>
      </c>
      <c r="F31" s="162">
        <f t="shared" ref="F31:K31" si="8">SUM(F6:F30)</f>
        <v>5136007.2500000009</v>
      </c>
      <c r="G31" s="163">
        <f t="shared" si="8"/>
        <v>4103511.9100000011</v>
      </c>
      <c r="H31" s="163">
        <f t="shared" si="8"/>
        <v>1032495.3399999999</v>
      </c>
      <c r="I31" s="163">
        <f t="shared" si="8"/>
        <v>31002.480599999999</v>
      </c>
      <c r="J31" s="164">
        <f t="shared" si="8"/>
        <v>3238607.5</v>
      </c>
      <c r="K31" s="163">
        <f t="shared" si="8"/>
        <v>822739.74999999988</v>
      </c>
      <c r="L31" s="165">
        <f>SUM(L6:L23)</f>
        <v>3713811.7100000009</v>
      </c>
      <c r="M31" s="165">
        <f>SUM(M6:M30)</f>
        <v>5278596.2500000009</v>
      </c>
    </row>
    <row r="32" spans="1:15" ht="12.75" customHeight="1" x14ac:dyDescent="0.25">
      <c r="C32" s="49"/>
      <c r="D32" s="49"/>
    </row>
    <row r="33" spans="3:12" hidden="1" x14ac:dyDescent="0.25"/>
    <row r="34" spans="3:12" ht="9" customHeight="1" x14ac:dyDescent="0.25">
      <c r="C34" s="197"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4" s="197"/>
      <c r="E34" s="197"/>
      <c r="F34" s="197"/>
      <c r="G34" s="197"/>
      <c r="H34" s="197"/>
      <c r="I34" s="197"/>
      <c r="J34" s="197"/>
      <c r="K34" s="197"/>
      <c r="L34" s="197"/>
    </row>
    <row r="35" spans="3:12" ht="12" hidden="1" customHeight="1" x14ac:dyDescent="0.25">
      <c r="C35" s="197"/>
      <c r="D35" s="197"/>
      <c r="E35" s="197"/>
      <c r="F35" s="197"/>
      <c r="G35" s="197"/>
      <c r="H35" s="197"/>
      <c r="I35" s="197"/>
      <c r="J35" s="197"/>
      <c r="K35" s="197"/>
      <c r="L35" s="197"/>
    </row>
    <row r="36" spans="3:12" ht="12" hidden="1" customHeight="1" x14ac:dyDescent="0.25">
      <c r="C36" s="197"/>
      <c r="D36" s="197"/>
      <c r="E36" s="197"/>
      <c r="F36" s="197"/>
      <c r="G36" s="197"/>
      <c r="H36" s="197"/>
      <c r="I36" s="197"/>
      <c r="J36" s="197"/>
      <c r="K36" s="197"/>
      <c r="L36" s="197"/>
    </row>
    <row r="37" spans="3:12" ht="12" hidden="1" customHeight="1" x14ac:dyDescent="0.25">
      <c r="C37" s="197"/>
      <c r="D37" s="197"/>
      <c r="E37" s="197"/>
      <c r="F37" s="197"/>
      <c r="G37" s="197"/>
      <c r="H37" s="197"/>
      <c r="I37" s="197"/>
      <c r="J37" s="197"/>
      <c r="K37" s="197"/>
      <c r="L37" s="197"/>
    </row>
    <row r="38" spans="3:12" ht="12" hidden="1" customHeight="1" x14ac:dyDescent="0.25">
      <c r="C38" s="197"/>
      <c r="D38" s="197"/>
      <c r="E38" s="197"/>
      <c r="F38" s="197"/>
      <c r="G38" s="197"/>
      <c r="H38" s="197"/>
      <c r="I38" s="197"/>
      <c r="J38" s="197"/>
      <c r="K38" s="197"/>
      <c r="L38" s="197"/>
    </row>
    <row r="39" spans="3:12" ht="67.5" customHeight="1" x14ac:dyDescent="0.25">
      <c r="C39" s="197"/>
      <c r="D39" s="197"/>
      <c r="E39" s="197"/>
      <c r="F39" s="197"/>
      <c r="G39" s="197"/>
      <c r="H39" s="197"/>
      <c r="I39" s="197"/>
      <c r="J39" s="197"/>
      <c r="K39" s="197"/>
      <c r="L39" s="197"/>
    </row>
  </sheetData>
  <mergeCells count="16">
    <mergeCell ref="M4:M5"/>
    <mergeCell ref="E1:L1"/>
    <mergeCell ref="I4:I5"/>
    <mergeCell ref="F4:F5"/>
    <mergeCell ref="G4:G5"/>
    <mergeCell ref="H4:H5"/>
    <mergeCell ref="J4:J5"/>
    <mergeCell ref="K4:K5"/>
    <mergeCell ref="C34:L39"/>
    <mergeCell ref="D4:D5"/>
    <mergeCell ref="A4:A5"/>
    <mergeCell ref="C4:C5"/>
    <mergeCell ref="E4:E5"/>
    <mergeCell ref="B4:B5"/>
    <mergeCell ref="A30:B30"/>
    <mergeCell ref="A31:C31"/>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4:B6"/>
  <sheetViews>
    <sheetView tabSelected="1" workbookViewId="0">
      <selection activeCell="B7" sqref="B7"/>
    </sheetView>
  </sheetViews>
  <sheetFormatPr baseColWidth="10" defaultColWidth="10.85546875" defaultRowHeight="15" x14ac:dyDescent="0.25"/>
  <sheetData>
    <row r="4" spans="2:2" x14ac:dyDescent="0.25">
      <c r="B4" t="s">
        <v>165</v>
      </c>
    </row>
    <row r="6" spans="2:2" x14ac:dyDescent="0.25">
      <c r="B6" s="187"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2026-03-05T20:09:32Z</cp:lastPrinted>
  <dcterms:created xsi:type="dcterms:W3CDTF">2023-09-17T12:29:07Z</dcterms:created>
  <dcterms:modified xsi:type="dcterms:W3CDTF">2026-03-19T18:10:28Z</dcterms:modified>
</cp:coreProperties>
</file>