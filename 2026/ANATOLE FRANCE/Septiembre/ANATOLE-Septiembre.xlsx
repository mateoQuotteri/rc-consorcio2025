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Septiembre\"/>
    </mc:Choice>
  </mc:AlternateContent>
  <xr:revisionPtr revIDLastSave="0" documentId="13_ncr:1_{7A6721AE-098B-4182-90B6-C240FEDEC2B3}"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RESUMEN!$A$1:$E$122</definedName>
  </definedNames>
  <calcPr calcId="181029"/>
</workbook>
</file>

<file path=xl/calcChain.xml><?xml version="1.0" encoding="utf-8"?>
<calcChain xmlns="http://schemas.openxmlformats.org/spreadsheetml/2006/main">
  <c r="E39" i="1" l="1"/>
  <c r="E45" i="1"/>
  <c r="E50" i="1"/>
  <c r="E55" i="1"/>
  <c r="G30" i="2"/>
  <c r="G20" i="2"/>
  <c r="G18" i="2"/>
  <c r="D35" i="1" l="1"/>
  <c r="E36" i="1" s="1"/>
  <c r="E49" i="1"/>
  <c r="H18" i="2" l="1"/>
  <c r="G13" i="2"/>
  <c r="G23" i="2"/>
  <c r="G25" i="2"/>
  <c r="G22" i="2"/>
  <c r="G28" i="2"/>
  <c r="G11" i="2"/>
  <c r="G26" i="2" l="1"/>
  <c r="G31" i="2"/>
  <c r="G14" i="2"/>
  <c r="G19" i="2"/>
  <c r="G17" i="2"/>
  <c r="G21" i="2"/>
  <c r="G10" i="2" l="1"/>
  <c r="G34" i="2" l="1"/>
  <c r="H31" i="2" l="1"/>
  <c r="I31" i="2" s="1"/>
  <c r="K9" i="2"/>
  <c r="K27" i="2"/>
  <c r="K28" i="2"/>
  <c r="K30" i="2"/>
  <c r="K31" i="2"/>
  <c r="K32" i="2"/>
  <c r="H27" i="2"/>
  <c r="I27" i="2" s="1"/>
  <c r="H28" i="2"/>
  <c r="I28" i="2" s="1"/>
  <c r="H29" i="2"/>
  <c r="I29" i="2" s="1"/>
  <c r="H30" i="2"/>
  <c r="I30" i="2" s="1"/>
  <c r="J10" i="2"/>
  <c r="J12" i="2"/>
  <c r="J13" i="2"/>
  <c r="J14" i="2"/>
  <c r="J15" i="2"/>
  <c r="J16" i="2"/>
  <c r="J17" i="2"/>
  <c r="J18" i="2"/>
  <c r="J19" i="2"/>
  <c r="J21" i="2"/>
  <c r="J22" i="2"/>
  <c r="J24" i="2"/>
  <c r="J25" i="2"/>
  <c r="J27" i="2"/>
  <c r="J28" i="2"/>
  <c r="J30" i="2"/>
  <c r="J31" i="2"/>
  <c r="J32" i="2"/>
  <c r="J9" i="2"/>
  <c r="H32" i="2"/>
  <c r="I32" i="2" s="1"/>
  <c r="D25" i="1"/>
  <c r="E44" i="1"/>
  <c r="E43" i="1"/>
  <c r="E29" i="2"/>
  <c r="K29" i="2" s="1"/>
  <c r="E26" i="2"/>
  <c r="J26" i="2" s="1"/>
  <c r="E23" i="2"/>
  <c r="J23" i="2" s="1"/>
  <c r="E20" i="2"/>
  <c r="J20" i="2" s="1"/>
  <c r="E11" i="2"/>
  <c r="J11" i="2" s="1"/>
  <c r="J29" i="2" l="1"/>
  <c r="E34" i="2"/>
  <c r="E59" i="1" l="1"/>
  <c r="K10" i="2" l="1"/>
  <c r="K11" i="2"/>
  <c r="K12" i="2"/>
  <c r="K13" i="2"/>
  <c r="K14" i="2"/>
  <c r="K15" i="2"/>
  <c r="K16" i="2"/>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1" i="1" l="1"/>
  <c r="E76" i="1" s="1"/>
  <c r="B80" i="1" s="1"/>
  <c r="B103" i="1" s="1"/>
  <c r="B96" i="1" l="1"/>
  <c r="B121" i="1"/>
  <c r="B92" i="1" l="1"/>
  <c r="B104" i="1"/>
  <c r="H23" i="2" l="1"/>
  <c r="D31" i="1" l="1"/>
  <c r="E32" i="1" s="1"/>
  <c r="E63" i="1" s="1"/>
  <c r="L8" i="2" l="1"/>
  <c r="N10" i="2" l="1"/>
  <c r="N11" i="2" s="1"/>
  <c r="N12" i="2" s="1"/>
  <c r="N13" i="2" s="1"/>
  <c r="N14" i="2" s="1"/>
  <c r="N15" i="2" s="1"/>
  <c r="N16" i="2" s="1"/>
  <c r="N17" i="2" s="1"/>
  <c r="N18" i="2" s="1"/>
  <c r="N19" i="2" s="1"/>
  <c r="N20" i="2" s="1"/>
  <c r="N21" i="2" s="1"/>
  <c r="N22" i="2" s="1"/>
  <c r="N23" i="2" s="1"/>
  <c r="N24" i="2" s="1"/>
  <c r="N25" i="2" s="1"/>
  <c r="N26" i="2" s="1"/>
  <c r="N27" i="2" s="1"/>
  <c r="N28" i="2" l="1"/>
  <c r="L27" i="2"/>
  <c r="M27" i="2" s="1"/>
  <c r="B105" i="1"/>
  <c r="F34" i="2"/>
  <c r="N29" i="2" l="1"/>
  <c r="L28" i="2"/>
  <c r="M28" i="2" s="1"/>
  <c r="B90" i="1"/>
  <c r="H10" i="2"/>
  <c r="H11" i="2"/>
  <c r="H12" i="2"/>
  <c r="H13" i="2"/>
  <c r="H14" i="2"/>
  <c r="H15" i="2"/>
  <c r="H16" i="2"/>
  <c r="H17" i="2"/>
  <c r="H19" i="2"/>
  <c r="H21" i="2"/>
  <c r="H22" i="2"/>
  <c r="H24" i="2"/>
  <c r="H25" i="2"/>
  <c r="H26" i="2"/>
  <c r="H9" i="2"/>
  <c r="L29" i="2" l="1"/>
  <c r="M29" i="2" s="1"/>
  <c r="N30" i="2"/>
  <c r="B81" i="1"/>
  <c r="H34" i="2"/>
  <c r="I26" i="2"/>
  <c r="I14" i="2"/>
  <c r="I25" i="2"/>
  <c r="I21" i="2"/>
  <c r="I17" i="2"/>
  <c r="I13" i="2"/>
  <c r="I22" i="2"/>
  <c r="I10" i="2"/>
  <c r="I24" i="2"/>
  <c r="I20" i="2"/>
  <c r="I16" i="2"/>
  <c r="I12" i="2"/>
  <c r="I18" i="2"/>
  <c r="I23" i="2"/>
  <c r="I19" i="2"/>
  <c r="I15" i="2"/>
  <c r="I11" i="2"/>
  <c r="I9" i="2"/>
  <c r="L9" i="2" s="1"/>
  <c r="L30" i="2" l="1"/>
  <c r="M30" i="2" s="1"/>
  <c r="N31" i="2"/>
  <c r="I34" i="2"/>
  <c r="A43" i="1"/>
  <c r="A44" i="1" s="1"/>
  <c r="N32" i="2" l="1"/>
  <c r="L31" i="2"/>
  <c r="M31" i="2" s="1"/>
  <c r="L10" i="2"/>
  <c r="L11" i="2"/>
  <c r="L12" i="2"/>
  <c r="L13" i="2"/>
  <c r="L14" i="2"/>
  <c r="L15" i="2"/>
  <c r="L16" i="2"/>
  <c r="L17" i="2"/>
  <c r="L18" i="2"/>
  <c r="L19" i="2"/>
  <c r="L20" i="2"/>
  <c r="L21" i="2"/>
  <c r="L22" i="2"/>
  <c r="L23" i="2"/>
  <c r="L24" i="2"/>
  <c r="L25" i="2"/>
  <c r="L26" i="2"/>
  <c r="L32" i="2" l="1"/>
  <c r="M32" i="2" s="1"/>
  <c r="L34" i="2"/>
  <c r="M26" i="2"/>
  <c r="M22" i="2"/>
  <c r="M18" i="2"/>
  <c r="M14" i="2"/>
  <c r="M10" i="2"/>
  <c r="M9" i="2"/>
  <c r="M25" i="2"/>
  <c r="M21" i="2"/>
  <c r="M17" i="2"/>
  <c r="M13" i="2"/>
  <c r="M24" i="2"/>
  <c r="M20" i="2"/>
  <c r="M16" i="2"/>
  <c r="M12" i="2"/>
  <c r="M23" i="2"/>
  <c r="M19" i="2"/>
  <c r="M15" i="2"/>
  <c r="M11" i="2"/>
  <c r="J34" i="2"/>
  <c r="M34" i="2" l="1"/>
  <c r="K34" i="2" l="1"/>
  <c r="B79" i="1" l="1"/>
  <c r="B102" i="1" s="1"/>
  <c r="B106" i="1" l="1"/>
  <c r="B95" i="1"/>
  <c r="B97" i="1" s="1"/>
  <c r="B78" i="1"/>
</calcChain>
</file>

<file path=xl/sharedStrings.xml><?xml version="1.0" encoding="utf-8"?>
<sst xmlns="http://schemas.openxmlformats.org/spreadsheetml/2006/main" count="176" uniqueCount="167">
  <si>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</si>
  <si>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</si>
  <si>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</si>
  <si>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</si>
  <si>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</si>
  <si>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</si>
  <si>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</si>
  <si>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</si>
  <si>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</si>
  <si>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</si>
  <si>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</si>
  <si>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</si>
  <si>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</si>
  <si>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</si>
  <si>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</si>
  <si>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</si>
  <si>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</si>
  <si>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</si>
  <si>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</si>
  <si>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</si>
  <si>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</si>
  <si>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</si>
  <si>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</si>
  <si>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</si>
  <si>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</si>
  <si>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</si>
  <si>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</si>
  <si>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</si>
  <si>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</si>
  <si>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</si>
  <si>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</si>
  <si>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</si>
  <si>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</si>
  <si>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</si>
  <si>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</si>
  <si>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</si>
  <si>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</si>
  <si>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</si>
  <si>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</si>
  <si>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</si>
  <si>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</si>
  <si>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</si>
  <si>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</si>
  <si>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</si>
  <si>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</si>
  <si>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</si>
  <si>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</si>
  <si>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</si>
  <si>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</si>
  <si>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</si>
  <si>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</si>
  <si>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</si>
  <si>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</si>
  <si>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</si>
  <si>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</si>
  <si>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</si>
  <si>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</si>
  <si>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</si>
  <si>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</si>
  <si>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</si>
  <si>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</si>
  <si>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</si>
  <si>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</si>
  <si>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</si>
  <si>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</si>
  <si>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</si>
  <si>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</si>
  <si>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</si>
  <si>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</si>
  <si>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</si>
  <si>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</si>
  <si>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</si>
  <si>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</si>
  <si>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</si>
  <si>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</si>
  <si>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</si>
  <si>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</si>
  <si>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</si>
  <si>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</si>
  <si>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</si>
  <si>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</si>
  <si>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</si>
  <si>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</si>
  <si>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</si>
  <si>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</si>
  <si>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</si>
  <si>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</si>
  <si>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</si>
  <si>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</si>
  <si>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</si>
  <si>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</si>
  <si>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</si>
  <si>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</si>
  <si>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</si>
  <si>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</si>
  <si>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</si>
  <si>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</si>
  <si>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</si>
  <si>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</si>
  <si>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</si>
  <si>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</si>
  <si>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</si>
  <si>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</si>
  <si>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</si>
  <si>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</si>
  <si>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</si>
  <si>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</si>
  <si>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</si>
  <si>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</si>
  <si>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</si>
  <si>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</si>
  <si>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</si>
  <si>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</si>
  <si>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Laura</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</si>
  <si>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</si>
  <si>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</si>
  <si>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</si>
  <si>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</si>
  <si>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</si>
  <si>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</si>
  <si>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</si>
  <si>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</si>
  <si>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</si>
  <si>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</si>
  <si>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</si>
  <si>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</si>
  <si>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</si>
  <si>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</si>
  <si>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</si>
  <si>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</si>
  <si>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</si>
  <si>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</si>
  <si>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</si>
  <si>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</si>
  <si>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</si>
  <si>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</si>
  <si>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</si>
  <si>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</si>
  <si>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</si>
  <si>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</si>
  <si>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</si>
  <si>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Federacion Patronal - Seguro de consorcio</t>
  </si>
  <si>
    <t>PROVEEDORES</t>
  </si>
  <si>
    <t>Personal Flow</t>
  </si>
  <si>
    <t>Walter Martinez</t>
  </si>
  <si>
    <t>Gabriel R Mouriño</t>
  </si>
  <si>
    <t>Fracchia garcia Sebastian ezequiel</t>
  </si>
  <si>
    <t>Barreiro Cristina</t>
  </si>
  <si>
    <t>German Meilinger</t>
  </si>
  <si>
    <t>El total del dinero en cuenta corresponde a CAJA EXTRAORDINARIA</t>
  </si>
  <si>
    <t>Suben a $216.000 en juli0</t>
  </si>
  <si>
    <t>Transf 12/08</t>
  </si>
  <si>
    <t>Transf 10/08</t>
  </si>
  <si>
    <t>Suplencia Sr. Roberto - Sra. Silvana</t>
  </si>
  <si>
    <t>Seguro Sra. Silvana</t>
  </si>
  <si>
    <t>Transf 28/08</t>
  </si>
  <si>
    <t>Caludio luis</t>
  </si>
  <si>
    <t>Efectivo</t>
  </si>
  <si>
    <t>Transf 24/08</t>
  </si>
  <si>
    <t>VTO 16/10</t>
  </si>
  <si>
    <t>PERÍODO: SEPTIEMBRE</t>
  </si>
  <si>
    <t>Se adeuda mes de SEPTIEMBRE</t>
  </si>
  <si>
    <t>Sindicatos mes de SEPTIEMBRE</t>
  </si>
  <si>
    <t>Honorarios administracion - AGOSTO Y SEPTIEMBRE</t>
  </si>
  <si>
    <t>Transf 11/09</t>
  </si>
  <si>
    <t>Transf 09/09</t>
  </si>
  <si>
    <t xml:space="preserve">Servisur - Retiro de 5 luces de emergencia obsoletas e instalacion de 5 luces led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</si>
</sst>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sz val="10"/>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
      <b/>
      <sz val="16"/>
      <name val="Calibri"/>
      <family val="2"/>
      <scheme val="minor"/>
    </font>
    <font>
      <i/>
      <u/>
      <sz val="11"/>
      <name val="Calibri"/>
      <family val="2"/>
      <scheme val="minor"/>
    </font>
    <font>
      <b/>
      <i/>
      <u/>
      <sz val="1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3">
    <xf numFmtId="0" fontId="0" fillId="0" borderId="0" xfId="0"/>
    <xf numFmtId="0" fontId="0" fillId="3" borderId="0" xfId="0" applyFill="1"/>
    <xf numFmtId="0" fontId="0" fillId="0" borderId="5" xfId="0"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2" fillId="0" borderId="1" xfId="0" applyFont="1" applyBorder="1"/>
    <xf numFmtId="0" fontId="10" fillId="2" borderId="0" xfId="0" applyFont="1" applyFill="1"/>
    <xf numFmtId="0" fontId="11"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3" fillId="2" borderId="1" xfId="1" applyFont="1" applyFill="1" applyBorder="1"/>
    <xf numFmtId="0" fontId="12" fillId="0" borderId="0" xfId="0" applyFont="1"/>
    <xf numFmtId="0" fontId="0" fillId="0" borderId="1" xfId="0" applyBorder="1" applyAlignment="1">
      <alignment vertical="center" wrapText="1"/>
    </xf>
    <xf numFmtId="44" fontId="0" fillId="3" borderId="0" xfId="1" applyFont="1" applyFill="1" applyAlignment="1"/>
    <xf numFmtId="44" fontId="7" fillId="0" borderId="1" xfId="1" applyFont="1" applyBorder="1"/>
    <xf numFmtId="44" fontId="0" fillId="3" borderId="0" xfId="1" applyFont="1" applyFill="1" applyBorder="1" applyAlignment="1">
      <alignment vertical="center"/>
    </xf>
    <xf numFmtId="0" fontId="15" fillId="3" borderId="19" xfId="0" applyFont="1" applyFill="1" applyBorder="1" applyAlignment="1">
      <alignment horizontal="center" vertical="center" wrapText="1"/>
    </xf>
    <xf numFmtId="0" fontId="4" fillId="0" borderId="1" xfId="0" applyFont="1" applyBorder="1"/>
    <xf numFmtId="44" fontId="10" fillId="4" borderId="20" xfId="1" applyFont="1" applyFill="1" applyBorder="1"/>
    <xf numFmtId="0" fontId="17" fillId="0" borderId="1" xfId="1" applyNumberFormat="1" applyFont="1" applyBorder="1" applyAlignment="1">
      <alignment horizontal="left"/>
    </xf>
    <xf numFmtId="44" fontId="4" fillId="2" borderId="6" xfId="1" applyFont="1" applyFill="1" applyBorder="1"/>
    <xf numFmtId="44" fontId="17" fillId="2" borderId="1" xfId="1" applyFont="1" applyFill="1" applyBorder="1"/>
    <xf numFmtId="8" fontId="7" fillId="4" borderId="21" xfId="0" applyNumberFormat="1" applyFont="1" applyFill="1" applyBorder="1"/>
    <xf numFmtId="0" fontId="17"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7"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166" fontId="0" fillId="3" borderId="0" xfId="1" applyNumberFormat="1" applyFont="1" applyFill="1" applyAlignment="1"/>
    <xf numFmtId="0" fontId="9"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17" fillId="2" borderId="1" xfId="0" applyFont="1" applyFill="1" applyBorder="1"/>
    <xf numFmtId="0" fontId="17" fillId="2" borderId="1" xfId="1" applyNumberFormat="1" applyFont="1" applyFill="1" applyBorder="1" applyAlignment="1"/>
    <xf numFmtId="0" fontId="17" fillId="2" borderId="2" xfId="1" applyNumberFormat="1" applyFont="1" applyFill="1" applyBorder="1" applyAlignment="1"/>
    <xf numFmtId="168" fontId="0" fillId="3" borderId="0" xfId="0" applyNumberFormat="1" applyFill="1"/>
    <xf numFmtId="166" fontId="0" fillId="2" borderId="0" xfId="1" applyNumberFormat="1" applyFont="1" applyFill="1" applyAlignment="1"/>
    <xf numFmtId="16" fontId="17" fillId="2" borderId="1" xfId="0" applyNumberFormat="1" applyFont="1" applyFill="1" applyBorder="1"/>
    <xf numFmtId="0" fontId="12" fillId="0" borderId="1" xfId="0" applyFont="1" applyBorder="1"/>
    <xf numFmtId="0" fontId="12" fillId="0" borderId="1" xfId="0" applyFont="1" applyBorder="1" applyAlignment="1">
      <alignment horizontal="center"/>
    </xf>
    <xf numFmtId="44" fontId="15" fillId="0" borderId="1" xfId="1" applyFont="1" applyBorder="1"/>
    <xf numFmtId="165" fontId="12" fillId="0" borderId="1" xfId="0" applyNumberFormat="1" applyFont="1" applyBorder="1"/>
    <xf numFmtId="165" fontId="12" fillId="0" borderId="1" xfId="1" applyNumberFormat="1" applyFont="1" applyBorder="1"/>
    <xf numFmtId="165" fontId="12" fillId="0" borderId="6" xfId="1" applyNumberFormat="1" applyFont="1" applyBorder="1"/>
    <xf numFmtId="44" fontId="15" fillId="0" borderId="26" xfId="1" applyFont="1" applyBorder="1"/>
    <xf numFmtId="44" fontId="15" fillId="0" borderId="28" xfId="1" applyFont="1" applyBorder="1"/>
    <xf numFmtId="0" fontId="12" fillId="0" borderId="1" xfId="0" applyFont="1" applyBorder="1" applyAlignment="1">
      <alignment wrapText="1"/>
    </xf>
    <xf numFmtId="0" fontId="12" fillId="2" borderId="1" xfId="0" applyFont="1" applyFill="1" applyBorder="1"/>
    <xf numFmtId="0" fontId="12" fillId="2" borderId="1" xfId="0" applyFont="1" applyFill="1" applyBorder="1" applyAlignment="1">
      <alignment wrapText="1"/>
    </xf>
    <xf numFmtId="44" fontId="15" fillId="2" borderId="1" xfId="1" applyFont="1" applyFill="1" applyBorder="1"/>
    <xf numFmtId="44" fontId="15" fillId="0" borderId="2" xfId="1" applyFont="1" applyBorder="1"/>
    <xf numFmtId="44" fontId="15" fillId="2" borderId="2" xfId="1" applyFont="1" applyFill="1" applyBorder="1"/>
    <xf numFmtId="0" fontId="12" fillId="0" borderId="22" xfId="0" applyFont="1" applyBorder="1"/>
    <xf numFmtId="0" fontId="12" fillId="0" borderId="2" xfId="0" applyFont="1" applyBorder="1"/>
    <xf numFmtId="0" fontId="12" fillId="0" borderId="2" xfId="0" applyFont="1" applyBorder="1" applyAlignment="1">
      <alignment wrapText="1"/>
    </xf>
    <xf numFmtId="0" fontId="12" fillId="4" borderId="13" xfId="0" applyFont="1" applyFill="1" applyBorder="1"/>
    <xf numFmtId="44" fontId="12" fillId="4" borderId="13" xfId="0" applyNumberFormat="1" applyFont="1" applyFill="1" applyBorder="1"/>
    <xf numFmtId="165" fontId="12" fillId="4" borderId="13" xfId="0" applyNumberFormat="1" applyFont="1" applyFill="1" applyBorder="1"/>
    <xf numFmtId="166" fontId="12" fillId="4" borderId="13" xfId="0" applyNumberFormat="1" applyFont="1" applyFill="1" applyBorder="1"/>
    <xf numFmtId="44" fontId="12" fillId="4" borderId="20" xfId="0" applyNumberFormat="1" applyFont="1" applyFill="1" applyBorder="1"/>
    <xf numFmtId="169" fontId="12" fillId="0" borderId="1" xfId="0" applyNumberFormat="1" applyFont="1" applyBorder="1" applyAlignment="1">
      <alignment horizontal="center"/>
    </xf>
    <xf numFmtId="169" fontId="12" fillId="2" borderId="1" xfId="0" applyNumberFormat="1" applyFont="1" applyFill="1" applyBorder="1" applyAlignment="1">
      <alignment horizontal="center"/>
    </xf>
    <xf numFmtId="169" fontId="12" fillId="4" borderId="13" xfId="0" applyNumberFormat="1" applyFont="1" applyFill="1" applyBorder="1" applyAlignment="1">
      <alignment horizontal="center"/>
    </xf>
    <xf numFmtId="44" fontId="20" fillId="6" borderId="2" xfId="1" applyFont="1" applyFill="1" applyBorder="1"/>
    <xf numFmtId="44" fontId="0" fillId="3" borderId="0" xfId="1" applyFont="1" applyFill="1"/>
    <xf numFmtId="0" fontId="15" fillId="3" borderId="18" xfId="0" applyFont="1" applyFill="1" applyBorder="1" applyAlignment="1">
      <alignment horizontal="center" vertical="center" wrapText="1"/>
    </xf>
    <xf numFmtId="0" fontId="19" fillId="2" borderId="1" xfId="0" applyFont="1" applyFill="1" applyBorder="1"/>
    <xf numFmtId="0" fontId="12" fillId="2" borderId="7" xfId="0" applyFont="1" applyFill="1" applyBorder="1"/>
    <xf numFmtId="0" fontId="12" fillId="2" borderId="1" xfId="0" applyFont="1" applyFill="1" applyBorder="1" applyAlignment="1">
      <alignment vertical="center" wrapText="1"/>
    </xf>
    <xf numFmtId="0" fontId="12" fillId="2" borderId="22" xfId="0" applyFont="1" applyFill="1" applyBorder="1"/>
    <xf numFmtId="0" fontId="12" fillId="2" borderId="2" xfId="0" applyFont="1" applyFill="1" applyBorder="1"/>
    <xf numFmtId="0" fontId="12" fillId="2" borderId="2" xfId="0" applyFont="1" applyFill="1" applyBorder="1" applyAlignment="1">
      <alignment wrapText="1"/>
    </xf>
    <xf numFmtId="44" fontId="8" fillId="0" borderId="1" xfId="0" applyNumberFormat="1" applyFont="1" applyBorder="1" applyAlignment="1">
      <alignment vertical="center" wrapText="1"/>
    </xf>
    <xf numFmtId="8" fontId="4" fillId="2" borderId="1" xfId="0" applyNumberFormat="1" applyFont="1" applyFill="1" applyBorder="1"/>
    <xf numFmtId="8" fontId="21" fillId="10" borderId="1" xfId="0" applyNumberFormat="1" applyFont="1" applyFill="1" applyBorder="1"/>
    <xf numFmtId="8" fontId="4" fillId="2" borderId="6" xfId="0" applyNumberFormat="1" applyFont="1" applyFill="1" applyBorder="1"/>
    <xf numFmtId="8" fontId="21"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2" borderId="1" xfId="1" applyFont="1" applyFill="1" applyBorder="1"/>
    <xf numFmtId="44" fontId="4" fillId="4" borderId="6" xfId="1" applyFont="1" applyFill="1" applyBorder="1"/>
    <xf numFmtId="44" fontId="7"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7" fillId="2" borderId="2" xfId="0" applyFont="1" applyFill="1" applyBorder="1"/>
    <xf numFmtId="8" fontId="4" fillId="2" borderId="1" xfId="0" applyNumberFormat="1" applyFont="1" applyFill="1" applyBorder="1" applyAlignment="1">
      <alignment horizontal="right"/>
    </xf>
    <xf numFmtId="44" fontId="4" fillId="2" borderId="1" xfId="1" applyFont="1" applyFill="1" applyBorder="1" applyAlignment="1">
      <alignment wrapText="1"/>
    </xf>
    <xf numFmtId="0" fontId="7" fillId="3" borderId="14" xfId="0" applyFont="1" applyFill="1" applyBorder="1"/>
    <xf numFmtId="0" fontId="10" fillId="3" borderId="15" xfId="0" applyFont="1" applyFill="1" applyBorder="1"/>
    <xf numFmtId="0" fontId="7" fillId="3" borderId="16" xfId="0" applyFont="1" applyFill="1" applyBorder="1"/>
    <xf numFmtId="0" fontId="10" fillId="3" borderId="0" xfId="0" applyFont="1" applyFill="1"/>
    <xf numFmtId="0" fontId="10" fillId="3" borderId="17" xfId="0" applyFont="1" applyFill="1" applyBorder="1"/>
    <xf numFmtId="0" fontId="7" fillId="3" borderId="9" xfId="0" applyFont="1" applyFill="1" applyBorder="1"/>
    <xf numFmtId="0" fontId="7" fillId="3" borderId="10" xfId="0" applyFont="1" applyFill="1" applyBorder="1" applyAlignment="1">
      <alignment horizontal="left"/>
    </xf>
    <xf numFmtId="0" fontId="7" fillId="3" borderId="10" xfId="0" applyFont="1" applyFill="1" applyBorder="1"/>
    <xf numFmtId="0" fontId="7" fillId="3" borderId="11" xfId="0" applyFont="1" applyFill="1" applyBorder="1"/>
    <xf numFmtId="0" fontId="7" fillId="3" borderId="0" xfId="0" applyFont="1" applyFill="1"/>
    <xf numFmtId="0" fontId="7" fillId="3" borderId="17" xfId="0" applyFont="1" applyFill="1" applyBorder="1"/>
    <xf numFmtId="0" fontId="7" fillId="0" borderId="0" xfId="0" applyFont="1"/>
    <xf numFmtId="0" fontId="7" fillId="5" borderId="14" xfId="0" applyFont="1" applyFill="1" applyBorder="1"/>
    <xf numFmtId="0" fontId="7" fillId="5" borderId="12" xfId="0" applyFont="1" applyFill="1" applyBorder="1"/>
    <xf numFmtId="10" fontId="7" fillId="5" borderId="12" xfId="0" applyNumberFormat="1" applyFont="1" applyFill="1" applyBorder="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1" fillId="10" borderId="1" xfId="0" applyFont="1" applyFill="1" applyBorder="1"/>
    <xf numFmtId="0" fontId="4" fillId="10" borderId="1" xfId="0" applyFont="1" applyFill="1" applyBorder="1"/>
    <xf numFmtId="0" fontId="24" fillId="0" borderId="1" xfId="0" applyFont="1" applyBorder="1"/>
    <xf numFmtId="0" fontId="7" fillId="4" borderId="1" xfId="0" applyFont="1" applyFill="1" applyBorder="1"/>
    <xf numFmtId="8" fontId="10" fillId="4" borderId="20" xfId="1" applyNumberFormat="1" applyFont="1" applyFill="1" applyBorder="1"/>
    <xf numFmtId="44" fontId="25" fillId="4" borderId="3" xfId="1" applyFont="1" applyFill="1" applyBorder="1"/>
    <xf numFmtId="0" fontId="4" fillId="2" borderId="1" xfId="0" applyFont="1" applyFill="1" applyBorder="1"/>
    <xf numFmtId="44" fontId="10" fillId="4" borderId="1" xfId="1" applyFont="1" applyFill="1" applyBorder="1"/>
    <xf numFmtId="0" fontId="4" fillId="0" borderId="1" xfId="0" applyFont="1" applyBorder="1" applyAlignment="1">
      <alignment vertical="center" wrapText="1"/>
    </xf>
    <xf numFmtId="0" fontId="4" fillId="4" borderId="1" xfId="0" applyFont="1" applyFill="1" applyBorder="1"/>
    <xf numFmtId="44" fontId="17" fillId="4" borderId="3" xfId="1" applyFont="1" applyFill="1" applyBorder="1"/>
    <xf numFmtId="0" fontId="4" fillId="0" borderId="6" xfId="0" applyFont="1" applyBorder="1"/>
    <xf numFmtId="0" fontId="4" fillId="0" borderId="7" xfId="0" applyFont="1" applyBorder="1"/>
    <xf numFmtId="44" fontId="10" fillId="4" borderId="13" xfId="1" applyFont="1" applyFill="1" applyBorder="1"/>
    <xf numFmtId="0" fontId="4" fillId="0" borderId="6" xfId="0" applyFont="1" applyBorder="1" applyAlignment="1">
      <alignment horizontal="left" vertical="center"/>
    </xf>
    <xf numFmtId="44" fontId="10" fillId="4" borderId="2" xfId="1" applyFont="1" applyFill="1" applyBorder="1"/>
    <xf numFmtId="0" fontId="7" fillId="4" borderId="1" xfId="0" applyFont="1" applyFill="1" applyBorder="1" applyAlignment="1">
      <alignment wrapText="1"/>
    </xf>
    <xf numFmtId="44" fontId="17" fillId="2" borderId="3" xfId="1" applyFont="1" applyFill="1" applyBorder="1"/>
    <xf numFmtId="0" fontId="7" fillId="4" borderId="3" xfId="0" applyFont="1" applyFill="1" applyBorder="1"/>
    <xf numFmtId="0" fontId="7" fillId="8" borderId="1"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0" borderId="24" xfId="0" applyFont="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30" xfId="0" applyFont="1" applyFill="1" applyBorder="1"/>
    <xf numFmtId="0" fontId="7" fillId="8" borderId="31" xfId="0" applyFont="1" applyFill="1" applyBorder="1"/>
    <xf numFmtId="0" fontId="7" fillId="8" borderId="32" xfId="0" applyFont="1" applyFill="1" applyBorder="1"/>
    <xf numFmtId="44" fontId="7" fillId="8" borderId="1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2" fillId="6" borderId="33" xfId="0" applyFont="1" applyFill="1" applyBorder="1" applyAlignment="1">
      <alignment horizontal="left" vertical="center" wrapText="1"/>
    </xf>
    <xf numFmtId="0" fontId="22" fillId="6" borderId="0" xfId="0" applyFont="1" applyFill="1" applyAlignment="1">
      <alignment horizontal="left" vertical="center" wrapText="1"/>
    </xf>
    <xf numFmtId="0" fontId="22" fillId="6" borderId="8" xfId="0" applyFont="1" applyFill="1" applyBorder="1" applyAlignment="1">
      <alignment horizontal="left" vertical="center" wrapText="1"/>
    </xf>
    <xf numFmtId="0" fontId="23" fillId="9" borderId="0" xfId="0" applyFont="1" applyFill="1" applyAlignment="1">
      <alignment horizontal="center" vertical="center"/>
    </xf>
    <xf numFmtId="0" fontId="10" fillId="3" borderId="12" xfId="0" applyFont="1" applyFill="1" applyBorder="1" applyAlignment="1">
      <alignment horizontal="left" vertical="center" wrapText="1"/>
    </xf>
    <xf numFmtId="0" fontId="7" fillId="3" borderId="8" xfId="0" applyFont="1" applyFill="1" applyBorder="1" applyAlignment="1">
      <alignment horizontal="left" vertical="center" wrapText="1"/>
    </xf>
    <xf numFmtId="0" fontId="7" fillId="3" borderId="27" xfId="0" applyFont="1" applyFill="1" applyBorder="1" applyAlignment="1">
      <alignment horizontal="left" vertical="center" wrapText="1"/>
    </xf>
    <xf numFmtId="0" fontId="7" fillId="7" borderId="0" xfId="0" applyFont="1" applyFill="1" applyAlignment="1">
      <alignment horizontal="left" vertical="center" wrapText="1"/>
    </xf>
    <xf numFmtId="0" fontId="15" fillId="3" borderId="18" xfId="0" applyFont="1" applyFill="1" applyBorder="1" applyAlignment="1">
      <alignment horizontal="center" vertical="center" wrapText="1"/>
    </xf>
    <xf numFmtId="0" fontId="0" fillId="3" borderId="0" xfId="0" applyFill="1" applyAlignment="1">
      <alignment horizontal="left"/>
    </xf>
    <xf numFmtId="0" fontId="12" fillId="3" borderId="18"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8"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2" fillId="3" borderId="16"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16" fillId="9" borderId="14" xfId="0" applyFont="1" applyFill="1" applyBorder="1" applyAlignment="1">
      <alignment horizontal="center" vertical="center"/>
    </xf>
    <xf numFmtId="0" fontId="16" fillId="9" borderId="12" xfId="0" applyFont="1" applyFill="1" applyBorder="1" applyAlignment="1">
      <alignment horizontal="center" vertical="center"/>
    </xf>
    <xf numFmtId="0" fontId="16" fillId="9" borderId="15" xfId="0" applyFont="1" applyFill="1" applyBorder="1" applyAlignment="1">
      <alignment horizontal="center" vertical="center"/>
    </xf>
    <xf numFmtId="0" fontId="16" fillId="9" borderId="16" xfId="0" applyFont="1" applyFill="1" applyBorder="1" applyAlignment="1">
      <alignment horizontal="center" vertical="center"/>
    </xf>
    <xf numFmtId="0" fontId="16" fillId="9" borderId="0" xfId="0" applyFont="1" applyFill="1" applyAlignment="1">
      <alignment horizontal="center" vertical="center"/>
    </xf>
    <xf numFmtId="0" fontId="16" fillId="9" borderId="17" xfId="0" applyFont="1" applyFill="1" applyBorder="1" applyAlignment="1">
      <alignment horizontal="center" vertical="center"/>
    </xf>
    <xf numFmtId="0" fontId="16" fillId="9" borderId="29" xfId="0" applyFont="1" applyFill="1" applyBorder="1" applyAlignment="1">
      <alignment horizontal="center" vertical="center"/>
    </xf>
    <xf numFmtId="0" fontId="16" fillId="9" borderId="8" xfId="0" applyFont="1" applyFill="1" applyBorder="1" applyAlignment="1">
      <alignment horizontal="center" vertical="center"/>
    </xf>
    <xf numFmtId="0" fontId="16" fillId="9" borderId="27" xfId="0" applyFont="1" applyFill="1" applyBorder="1" applyAlignment="1">
      <alignment horizontal="center" vertical="center"/>
    </xf>
    <xf numFmtId="0" fontId="12" fillId="3" borderId="19" xfId="0" applyFont="1" applyFill="1" applyBorder="1" applyAlignment="1">
      <alignment horizontal="center" vertical="center"/>
    </xf>
    <xf numFmtId="0" fontId="12" fillId="0" borderId="25" xfId="0" applyFont="1" applyBorder="1" applyAlignment="1">
      <alignment horizontal="left"/>
    </xf>
    <xf numFmtId="0" fontId="12" fillId="0" borderId="22" xfId="0" applyFont="1" applyBorder="1" applyAlignment="1">
      <alignment horizontal="left"/>
    </xf>
    <xf numFmtId="0" fontId="18" fillId="4" borderId="8" xfId="0" applyFont="1" applyFill="1" applyBorder="1" applyAlignment="1">
      <alignment horizontal="left"/>
    </xf>
    <xf numFmtId="0" fontId="18"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44" fontId="8" fillId="2" borderId="1" xfId="1" applyFont="1" applyFill="1" applyBorder="1"/>
    <xf numFmtId="8" fontId="8" fillId="2" borderId="1" xfId="0" applyNumberFormat="1" applyFont="1" applyFill="1" applyBorder="1"/>
    <xf numFmtId="44" fontId="8" fillId="0" borderId="1" xfId="1" applyFont="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6"/>
  <sheetViews>
    <sheetView tabSelected="1" topLeftCell="A38" zoomScale="98" zoomScaleNormal="98" workbookViewId="0">
      <selection activeCell="E41" sqref="E41"/>
    </sheetView>
  </sheetViews>
  <sheetFormatPr baseColWidth="10" defaultColWidth="10.88671875" defaultRowHeight="14.4" x14ac:dyDescent="0.3"/>
  <cols>
    <col min="1" max="1" width="38.88671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27"/>
      <c r="B1" s="187" t="s">
        <v>59</v>
      </c>
      <c r="C1" s="187"/>
      <c r="D1" s="187"/>
      <c r="E1" s="128"/>
    </row>
    <row r="2" spans="1:5" x14ac:dyDescent="0.3">
      <c r="A2" s="129"/>
      <c r="B2" s="130" t="s">
        <v>26</v>
      </c>
      <c r="C2" s="130"/>
      <c r="D2" s="130"/>
      <c r="E2" s="131"/>
    </row>
    <row r="3" spans="1:5" ht="70.5" customHeight="1" thickBot="1" x14ac:dyDescent="0.35">
      <c r="A3" s="129"/>
      <c r="B3" s="188" t="s">
        <v>103</v>
      </c>
      <c r="C3" s="188"/>
      <c r="D3" s="188"/>
      <c r="E3" s="189"/>
    </row>
    <row r="4" spans="1:5" ht="15" thickBot="1" x14ac:dyDescent="0.35">
      <c r="A4" s="132" t="s">
        <v>0</v>
      </c>
      <c r="B4" s="133" t="s">
        <v>35</v>
      </c>
      <c r="C4" s="134"/>
      <c r="D4" s="134"/>
      <c r="E4" s="135"/>
    </row>
    <row r="5" spans="1:5" ht="15" thickBot="1" x14ac:dyDescent="0.35">
      <c r="A5" s="129" t="s">
        <v>54</v>
      </c>
      <c r="B5" s="134" t="s">
        <v>160</v>
      </c>
      <c r="C5" s="136"/>
      <c r="D5" s="130" t="s">
        <v>27</v>
      </c>
      <c r="E5" s="137"/>
    </row>
    <row r="6" spans="1:5" ht="15" thickBot="1" x14ac:dyDescent="0.35">
      <c r="A6" s="132" t="s">
        <v>55</v>
      </c>
      <c r="B6" s="134"/>
      <c r="C6" s="134"/>
      <c r="D6" s="134" t="s">
        <v>53</v>
      </c>
      <c r="E6" s="135"/>
    </row>
    <row r="7" spans="1:5" x14ac:dyDescent="0.3">
      <c r="A7" s="40"/>
      <c r="B7" s="40"/>
      <c r="C7" s="40"/>
      <c r="D7" s="40"/>
      <c r="E7" s="40"/>
    </row>
    <row r="8" spans="1:5" x14ac:dyDescent="0.3">
      <c r="A8" s="40"/>
      <c r="B8" s="186" t="s">
        <v>159</v>
      </c>
      <c r="C8" s="186"/>
      <c r="D8" s="40"/>
      <c r="E8" s="40"/>
    </row>
    <row r="9" spans="1:5" x14ac:dyDescent="0.3">
      <c r="A9" s="40"/>
      <c r="B9" s="186"/>
      <c r="C9" s="186"/>
      <c r="D9" s="40"/>
      <c r="E9" s="40"/>
    </row>
    <row r="10" spans="1:5" x14ac:dyDescent="0.3">
      <c r="A10" s="40"/>
      <c r="B10" s="186"/>
      <c r="C10" s="186"/>
      <c r="D10" s="40"/>
      <c r="E10" s="40"/>
    </row>
    <row r="11" spans="1:5" x14ac:dyDescent="0.3">
      <c r="A11" s="40"/>
      <c r="B11" s="40"/>
      <c r="C11" s="40"/>
      <c r="D11" s="40"/>
      <c r="E11" s="40"/>
    </row>
    <row r="12" spans="1:5" hidden="1" x14ac:dyDescent="0.3">
      <c r="A12" s="40"/>
      <c r="B12" s="40"/>
      <c r="C12" s="40"/>
      <c r="D12" s="40"/>
      <c r="E12" s="40"/>
    </row>
    <row r="13" spans="1:5" ht="15" customHeight="1" x14ac:dyDescent="0.3">
      <c r="A13" s="190" t="s">
        <v>130</v>
      </c>
      <c r="B13" s="190"/>
      <c r="C13" s="190"/>
      <c r="D13" s="190"/>
      <c r="E13" s="190"/>
    </row>
    <row r="14" spans="1:5" ht="15" customHeight="1" x14ac:dyDescent="0.3">
      <c r="A14" s="190"/>
      <c r="B14" s="190"/>
      <c r="C14" s="190"/>
      <c r="D14" s="190"/>
      <c r="E14" s="190"/>
    </row>
    <row r="15" spans="1:5" ht="15" customHeight="1" x14ac:dyDescent="0.3">
      <c r="A15" s="190"/>
      <c r="B15" s="190"/>
      <c r="C15" s="190"/>
      <c r="D15" s="190"/>
      <c r="E15" s="190"/>
    </row>
    <row r="16" spans="1:5" ht="137.25" customHeight="1" x14ac:dyDescent="0.3">
      <c r="A16" s="190"/>
      <c r="B16" s="190"/>
      <c r="C16" s="190"/>
      <c r="D16" s="190"/>
      <c r="E16" s="190"/>
    </row>
    <row r="17" spans="1:7" ht="14.25" customHeight="1" thickBot="1" x14ac:dyDescent="0.35">
      <c r="A17" s="40"/>
      <c r="B17" s="40"/>
      <c r="C17" s="40"/>
      <c r="D17" s="40"/>
      <c r="E17" s="40"/>
    </row>
    <row r="18" spans="1:7" hidden="1" x14ac:dyDescent="0.3">
      <c r="A18" s="138"/>
      <c r="B18" s="40"/>
      <c r="C18" s="40"/>
      <c r="D18" s="40"/>
      <c r="E18" s="40"/>
    </row>
    <row r="19" spans="1:7" ht="15" hidden="1" thickBot="1" x14ac:dyDescent="0.35">
      <c r="A19" s="40"/>
      <c r="B19" s="40"/>
      <c r="C19" s="40"/>
      <c r="D19" s="40"/>
      <c r="E19" s="40"/>
    </row>
    <row r="20" spans="1:7" x14ac:dyDescent="0.3">
      <c r="A20" s="139" t="s">
        <v>9</v>
      </c>
      <c r="B20" s="140"/>
      <c r="C20" s="141"/>
      <c r="D20" s="44"/>
      <c r="E20" s="45"/>
    </row>
    <row r="21" spans="1:7" x14ac:dyDescent="0.3">
      <c r="A21" s="12" t="s">
        <v>31</v>
      </c>
      <c r="B21" s="12"/>
      <c r="C21" s="12"/>
      <c r="D21" s="12"/>
      <c r="E21" s="12"/>
    </row>
    <row r="22" spans="1:7" ht="15" customHeight="1" x14ac:dyDescent="0.3">
      <c r="A22" s="181" t="s">
        <v>110</v>
      </c>
      <c r="B22" s="182"/>
      <c r="C22" s="31"/>
      <c r="D22" s="104" t="s">
        <v>161</v>
      </c>
      <c r="E22" s="31"/>
    </row>
    <row r="23" spans="1:7" ht="15" customHeight="1" x14ac:dyDescent="0.3">
      <c r="A23" s="142" t="s">
        <v>111</v>
      </c>
      <c r="B23" s="143"/>
      <c r="C23" s="31"/>
      <c r="D23" s="104"/>
      <c r="E23" s="31"/>
    </row>
    <row r="24" spans="1:7" ht="15" customHeight="1" x14ac:dyDescent="0.3">
      <c r="A24" s="142" t="s">
        <v>112</v>
      </c>
      <c r="B24" s="143"/>
      <c r="C24" s="31"/>
      <c r="D24" s="104"/>
      <c r="E24" s="31"/>
    </row>
    <row r="25" spans="1:7" ht="14.25" customHeight="1" x14ac:dyDescent="0.3">
      <c r="A25" s="144" t="s">
        <v>32</v>
      </c>
      <c r="B25" s="144"/>
      <c r="C25" s="144"/>
      <c r="D25" s="105">
        <f>SUM(D22:D24)</f>
        <v>0</v>
      </c>
      <c r="E25" s="145"/>
      <c r="G25" s="3"/>
    </row>
    <row r="26" spans="1:7" ht="14.25" hidden="1" customHeight="1" x14ac:dyDescent="0.3">
      <c r="A26" s="31" t="s">
        <v>39</v>
      </c>
      <c r="B26" s="31"/>
      <c r="C26" s="31"/>
      <c r="D26" s="104"/>
      <c r="E26" s="31"/>
    </row>
    <row r="27" spans="1:7" hidden="1" x14ac:dyDescent="0.3">
      <c r="A27" s="146"/>
      <c r="B27" s="31"/>
      <c r="C27" s="31"/>
      <c r="D27" s="104"/>
      <c r="E27" s="31"/>
    </row>
    <row r="28" spans="1:7" hidden="1" x14ac:dyDescent="0.3">
      <c r="A28" s="31"/>
      <c r="B28" s="31"/>
      <c r="C28" s="31"/>
      <c r="D28" s="104"/>
      <c r="E28" s="31"/>
    </row>
    <row r="29" spans="1:7" x14ac:dyDescent="0.3">
      <c r="A29" s="31" t="s">
        <v>153</v>
      </c>
      <c r="B29" s="31"/>
      <c r="C29" s="31"/>
      <c r="D29" s="106">
        <v>352000</v>
      </c>
      <c r="E29" s="31" t="s">
        <v>158</v>
      </c>
    </row>
    <row r="30" spans="1:7" x14ac:dyDescent="0.3">
      <c r="A30" s="31" t="s">
        <v>154</v>
      </c>
      <c r="B30" s="31"/>
      <c r="C30" s="31"/>
      <c r="D30" s="106">
        <v>5087</v>
      </c>
      <c r="E30" s="31" t="s">
        <v>157</v>
      </c>
    </row>
    <row r="31" spans="1:7" x14ac:dyDescent="0.3">
      <c r="A31" s="144" t="s">
        <v>32</v>
      </c>
      <c r="B31" s="144"/>
      <c r="C31" s="144"/>
      <c r="D31" s="107">
        <f>SUM(D26:D30)</f>
        <v>357087</v>
      </c>
      <c r="E31" s="145"/>
    </row>
    <row r="32" spans="1:7" ht="15" thickBot="1" x14ac:dyDescent="0.35">
      <c r="A32" s="147" t="s">
        <v>1</v>
      </c>
      <c r="B32" s="147"/>
      <c r="C32" s="147"/>
      <c r="D32" s="108"/>
      <c r="E32" s="148">
        <f>D25+D31</f>
        <v>357087</v>
      </c>
      <c r="F32" s="3"/>
    </row>
    <row r="33" spans="1:7" x14ac:dyDescent="0.3">
      <c r="A33" s="12" t="s">
        <v>18</v>
      </c>
      <c r="B33" s="12"/>
      <c r="C33" s="12"/>
      <c r="D33" s="109"/>
      <c r="E33" s="149"/>
    </row>
    <row r="34" spans="1:7" ht="15" customHeight="1" x14ac:dyDescent="0.3">
      <c r="A34" s="177" t="s">
        <v>131</v>
      </c>
      <c r="B34" s="178"/>
      <c r="C34" s="150"/>
      <c r="D34" s="221">
        <v>50000</v>
      </c>
      <c r="E34" s="63" t="s">
        <v>164</v>
      </c>
    </row>
    <row r="35" spans="1:7" ht="15" customHeight="1" x14ac:dyDescent="0.3">
      <c r="A35" s="177" t="s">
        <v>163</v>
      </c>
      <c r="B35" s="178"/>
      <c r="C35" s="150"/>
      <c r="D35" s="125">
        <f>216000*2</f>
        <v>432000</v>
      </c>
      <c r="E35" s="63" t="s">
        <v>151</v>
      </c>
      <c r="G35" t="s">
        <v>150</v>
      </c>
    </row>
    <row r="36" spans="1:7" ht="15" thickBot="1" x14ac:dyDescent="0.35">
      <c r="A36" s="147" t="s">
        <v>15</v>
      </c>
      <c r="B36" s="147"/>
      <c r="C36" s="147"/>
      <c r="D36" s="110"/>
      <c r="E36" s="148">
        <f>SUM(D34:D35)</f>
        <v>482000</v>
      </c>
    </row>
    <row r="37" spans="1:7" x14ac:dyDescent="0.3">
      <c r="A37" s="12" t="s">
        <v>29</v>
      </c>
      <c r="B37" s="147"/>
      <c r="C37" s="147"/>
      <c r="D37" s="111"/>
      <c r="E37" s="151"/>
    </row>
    <row r="38" spans="1:7" s="15" customFormat="1" ht="14.25" customHeight="1" x14ac:dyDescent="0.3">
      <c r="A38" s="181" t="s">
        <v>141</v>
      </c>
      <c r="B38" s="182"/>
      <c r="C38" s="152"/>
      <c r="D38" s="126">
        <v>161303</v>
      </c>
      <c r="E38" s="68" t="s">
        <v>104</v>
      </c>
    </row>
    <row r="39" spans="1:7" ht="15" thickBot="1" x14ac:dyDescent="0.35">
      <c r="A39" s="147" t="s">
        <v>2</v>
      </c>
      <c r="B39" s="147"/>
      <c r="C39" s="147"/>
      <c r="D39" s="110"/>
      <c r="E39" s="32">
        <f>SUM(D38:D38)</f>
        <v>161303</v>
      </c>
    </row>
    <row r="40" spans="1:7" x14ac:dyDescent="0.3">
      <c r="A40" s="12" t="s">
        <v>16</v>
      </c>
      <c r="B40" s="153"/>
      <c r="C40" s="153"/>
      <c r="D40" s="112"/>
      <c r="E40" s="154"/>
    </row>
    <row r="41" spans="1:7" x14ac:dyDescent="0.3">
      <c r="A41" s="31" t="s">
        <v>42</v>
      </c>
      <c r="B41" s="31"/>
      <c r="C41" s="150"/>
      <c r="D41" s="222">
        <v>733506.19</v>
      </c>
      <c r="E41" s="63" t="s">
        <v>165</v>
      </c>
      <c r="G41" s="51"/>
    </row>
    <row r="42" spans="1:7" x14ac:dyDescent="0.3">
      <c r="A42" s="31" t="s">
        <v>162</v>
      </c>
      <c r="B42" s="31" t="s">
        <v>107</v>
      </c>
      <c r="C42" s="31"/>
      <c r="D42" s="220">
        <v>54846.84</v>
      </c>
      <c r="E42" s="63" t="s">
        <v>151</v>
      </c>
    </row>
    <row r="43" spans="1:7" x14ac:dyDescent="0.3">
      <c r="A43" s="31" t="str">
        <f>A42</f>
        <v>Sindicatos mes de SEPTIEMBRE</v>
      </c>
      <c r="B43" s="31" t="s">
        <v>109</v>
      </c>
      <c r="C43" s="31"/>
      <c r="D43" s="220">
        <v>104388.21</v>
      </c>
      <c r="E43" s="64" t="str">
        <f>E42</f>
        <v>Transf 12/08</v>
      </c>
    </row>
    <row r="44" spans="1:7" x14ac:dyDescent="0.3">
      <c r="A44" s="31" t="str">
        <f>A43</f>
        <v>Sindicatos mes de SEPTIEMBRE</v>
      </c>
      <c r="B44" s="31" t="s">
        <v>108</v>
      </c>
      <c r="C44" s="31"/>
      <c r="D44" s="220">
        <v>6094.09</v>
      </c>
      <c r="E44" s="65" t="str">
        <f>E42</f>
        <v>Transf 12/08</v>
      </c>
    </row>
    <row r="45" spans="1:7" ht="15" customHeight="1" thickBot="1" x14ac:dyDescent="0.35">
      <c r="A45" s="147" t="s">
        <v>3</v>
      </c>
      <c r="B45" s="153"/>
      <c r="C45" s="153"/>
      <c r="D45" s="114"/>
      <c r="E45" s="32">
        <f>SUM(D41:D44)</f>
        <v>898835.32999999984</v>
      </c>
    </row>
    <row r="46" spans="1:7" x14ac:dyDescent="0.3">
      <c r="A46" s="12" t="s">
        <v>17</v>
      </c>
      <c r="B46" s="153"/>
      <c r="C46" s="153"/>
      <c r="D46" s="112"/>
      <c r="E46" s="154"/>
    </row>
    <row r="47" spans="1:7" ht="14.25" customHeight="1" x14ac:dyDescent="0.3">
      <c r="A47" s="31" t="s">
        <v>105</v>
      </c>
      <c r="B47" s="31"/>
      <c r="C47" s="31"/>
      <c r="D47" s="220">
        <v>235592.49</v>
      </c>
      <c r="E47" s="63" t="s">
        <v>165</v>
      </c>
    </row>
    <row r="48" spans="1:7" ht="14.25" customHeight="1" x14ac:dyDescent="0.3">
      <c r="A48" s="155" t="s">
        <v>143</v>
      </c>
      <c r="B48" s="156"/>
      <c r="C48" s="31"/>
      <c r="D48" s="113">
        <v>18022.7</v>
      </c>
      <c r="E48" s="63" t="s">
        <v>152</v>
      </c>
    </row>
    <row r="49" spans="1:12" x14ac:dyDescent="0.3">
      <c r="A49" s="142" t="s">
        <v>106</v>
      </c>
      <c r="B49" s="143"/>
      <c r="C49" s="31"/>
      <c r="D49" s="113">
        <v>1057695.3400000001</v>
      </c>
      <c r="E49" s="65" t="str">
        <f>E47</f>
        <v>Transf 09/09</v>
      </c>
    </row>
    <row r="50" spans="1:12" ht="15" thickBot="1" x14ac:dyDescent="0.35">
      <c r="A50" s="147" t="s">
        <v>4</v>
      </c>
      <c r="B50" s="147"/>
      <c r="C50" s="147"/>
      <c r="D50" s="115"/>
      <c r="E50" s="32">
        <f>SUM(D47:D49)</f>
        <v>1311310.53</v>
      </c>
    </row>
    <row r="51" spans="1:12" ht="15" customHeight="1" thickBot="1" x14ac:dyDescent="0.35">
      <c r="A51" s="12" t="s">
        <v>142</v>
      </c>
      <c r="B51" s="147"/>
      <c r="C51" s="147"/>
      <c r="D51" s="110"/>
      <c r="E51" s="157"/>
    </row>
    <row r="52" spans="1:12" ht="20.100000000000001" customHeight="1" x14ac:dyDescent="0.3">
      <c r="A52" s="158" t="s">
        <v>56</v>
      </c>
      <c r="B52" s="143"/>
      <c r="C52" s="31"/>
      <c r="D52" s="220">
        <v>205400</v>
      </c>
      <c r="E52" s="63" t="s">
        <v>164</v>
      </c>
    </row>
    <row r="53" spans="1:12" ht="20.100000000000001" customHeight="1" x14ac:dyDescent="0.3">
      <c r="A53" s="158" t="s">
        <v>166</v>
      </c>
      <c r="B53" s="143"/>
      <c r="C53" s="31"/>
      <c r="D53" s="220">
        <v>100000</v>
      </c>
      <c r="E53" s="124" t="s">
        <v>165</v>
      </c>
    </row>
    <row r="54" spans="1:12" ht="20.100000000000001" customHeight="1" x14ac:dyDescent="0.3">
      <c r="A54" s="158" t="s">
        <v>132</v>
      </c>
      <c r="B54" s="143"/>
      <c r="C54" s="31"/>
      <c r="D54" s="113">
        <v>60000</v>
      </c>
      <c r="E54" s="124" t="s">
        <v>155</v>
      </c>
    </row>
    <row r="55" spans="1:12" ht="15" thickBot="1" x14ac:dyDescent="0.35">
      <c r="A55" s="147" t="s">
        <v>8</v>
      </c>
      <c r="B55" s="12"/>
      <c r="C55" s="12"/>
      <c r="D55" s="12"/>
      <c r="E55" s="159">
        <f>SUM(D52:D54)</f>
        <v>365400</v>
      </c>
    </row>
    <row r="56" spans="1:12" ht="15" thickBot="1" x14ac:dyDescent="0.35">
      <c r="A56" s="12" t="s">
        <v>11</v>
      </c>
      <c r="B56" s="160"/>
      <c r="C56" s="147"/>
      <c r="D56" s="108"/>
      <c r="E56" s="157"/>
    </row>
    <row r="57" spans="1:12" x14ac:dyDescent="0.3">
      <c r="A57" s="31" t="s">
        <v>52</v>
      </c>
      <c r="B57" s="31"/>
      <c r="C57" s="31"/>
      <c r="D57" s="113">
        <v>69000</v>
      </c>
      <c r="E57" s="161"/>
    </row>
    <row r="58" spans="1:12" x14ac:dyDescent="0.3">
      <c r="A58" s="31" t="s">
        <v>51</v>
      </c>
      <c r="B58" s="31"/>
      <c r="C58" s="31"/>
      <c r="D58" s="113">
        <v>105329.94</v>
      </c>
      <c r="E58" s="35"/>
    </row>
    <row r="59" spans="1:12" ht="15" thickBot="1" x14ac:dyDescent="0.35">
      <c r="A59" s="162" t="s">
        <v>15</v>
      </c>
      <c r="B59" s="162"/>
      <c r="C59" s="162"/>
      <c r="D59" s="36"/>
      <c r="E59" s="32">
        <f>SUM(D57:D58)</f>
        <v>174329.94</v>
      </c>
    </row>
    <row r="60" spans="1:12" ht="15" thickBot="1" x14ac:dyDescent="0.35">
      <c r="A60" s="31"/>
      <c r="B60" s="31"/>
      <c r="C60" s="31"/>
      <c r="D60" s="31"/>
      <c r="E60" s="37"/>
    </row>
    <row r="61" spans="1:12" ht="15" thickBot="1" x14ac:dyDescent="0.35">
      <c r="A61" s="163" t="s">
        <v>45</v>
      </c>
      <c r="B61" s="163"/>
      <c r="C61" s="163"/>
      <c r="D61" s="38"/>
      <c r="E61" s="39"/>
    </row>
    <row r="62" spans="1:12" ht="15" thickBot="1" x14ac:dyDescent="0.35">
      <c r="A62" s="164"/>
      <c r="B62" s="40"/>
      <c r="C62" s="40"/>
      <c r="D62" s="40"/>
      <c r="E62" s="41"/>
      <c r="F62" s="20"/>
    </row>
    <row r="63" spans="1:12" ht="15" thickBot="1" x14ac:dyDescent="0.35">
      <c r="A63" s="165" t="s">
        <v>12</v>
      </c>
      <c r="B63" s="166"/>
      <c r="C63" s="42"/>
      <c r="D63" s="42"/>
      <c r="E63" s="43">
        <f>(SUM(E28:E61))</f>
        <v>3750265.8</v>
      </c>
      <c r="F63" s="62"/>
      <c r="G63" s="20"/>
      <c r="H63" s="51"/>
      <c r="I63" s="51"/>
      <c r="J63" s="51"/>
      <c r="K63" s="51"/>
      <c r="L63" s="51"/>
    </row>
    <row r="64" spans="1:12" x14ac:dyDescent="0.3">
      <c r="A64" s="40"/>
      <c r="B64" s="40"/>
      <c r="C64" s="40"/>
      <c r="D64" s="40"/>
      <c r="E64" s="40"/>
      <c r="H64" s="51"/>
      <c r="I64" s="51"/>
      <c r="J64" s="51"/>
      <c r="K64" s="51"/>
      <c r="L64" s="51"/>
    </row>
    <row r="65" spans="1:8" ht="15" thickBot="1" x14ac:dyDescent="0.35">
      <c r="A65" s="40"/>
      <c r="B65" s="40"/>
      <c r="C65" s="40"/>
      <c r="D65" s="40"/>
      <c r="E65" s="40"/>
      <c r="H65" s="67"/>
    </row>
    <row r="66" spans="1:8" x14ac:dyDescent="0.3">
      <c r="A66" s="139" t="s">
        <v>40</v>
      </c>
      <c r="B66" s="140"/>
      <c r="C66" s="141"/>
      <c r="D66" s="44"/>
      <c r="E66" s="45"/>
    </row>
    <row r="67" spans="1:8" ht="15" customHeight="1" x14ac:dyDescent="0.3">
      <c r="A67" s="181"/>
      <c r="B67" s="182"/>
      <c r="C67" s="31"/>
      <c r="D67" s="34"/>
      <c r="E67" s="33"/>
    </row>
    <row r="68" spans="1:8" x14ac:dyDescent="0.3">
      <c r="A68" s="181"/>
      <c r="B68" s="182"/>
      <c r="C68" s="31"/>
      <c r="D68" s="34"/>
      <c r="E68" s="33"/>
    </row>
    <row r="69" spans="1:8" ht="15.75" customHeight="1" x14ac:dyDescent="0.3">
      <c r="A69" s="177"/>
      <c r="B69" s="178"/>
      <c r="C69" s="31"/>
      <c r="D69" s="34"/>
      <c r="E69" s="33"/>
    </row>
    <row r="70" spans="1:8" x14ac:dyDescent="0.3">
      <c r="A70" s="142"/>
      <c r="B70" s="167"/>
      <c r="C70" s="31"/>
      <c r="D70" s="34"/>
      <c r="E70" s="33"/>
    </row>
    <row r="71" spans="1:8" x14ac:dyDescent="0.3">
      <c r="A71" s="168"/>
      <c r="B71" s="169"/>
      <c r="C71" s="169"/>
      <c r="D71" s="170"/>
      <c r="E71" s="170">
        <f>SUM(D67:D70)</f>
        <v>0</v>
      </c>
    </row>
    <row r="72" spans="1:8" ht="15" customHeight="1" thickBot="1" x14ac:dyDescent="0.35">
      <c r="A72" s="40"/>
      <c r="B72" s="40"/>
      <c r="C72" s="40"/>
      <c r="D72" s="40"/>
      <c r="E72" s="40"/>
    </row>
    <row r="73" spans="1:8" ht="15" hidden="1" thickBot="1" x14ac:dyDescent="0.35">
      <c r="A73" s="40"/>
      <c r="B73" s="40"/>
      <c r="C73" s="40"/>
      <c r="D73" s="40"/>
      <c r="E73" s="40"/>
    </row>
    <row r="74" spans="1:8" ht="15" thickBot="1" x14ac:dyDescent="0.35">
      <c r="A74" s="171" t="s">
        <v>19</v>
      </c>
      <c r="B74" s="172"/>
      <c r="C74" s="172"/>
      <c r="D74" s="173"/>
      <c r="E74" s="174">
        <v>0</v>
      </c>
    </row>
    <row r="75" spans="1:8" ht="15" thickBot="1" x14ac:dyDescent="0.35">
      <c r="A75" s="40"/>
      <c r="B75" s="40"/>
      <c r="C75" s="40"/>
      <c r="D75" s="40"/>
      <c r="E75" s="40"/>
    </row>
    <row r="76" spans="1:8" ht="15" thickBot="1" x14ac:dyDescent="0.35">
      <c r="A76" s="165" t="s">
        <v>20</v>
      </c>
      <c r="B76" s="166"/>
      <c r="C76" s="42"/>
      <c r="D76" s="42"/>
      <c r="E76" s="43">
        <f>E71+E74</f>
        <v>0</v>
      </c>
    </row>
    <row r="77" spans="1:8" ht="15" thickBot="1" x14ac:dyDescent="0.35">
      <c r="A77" s="40"/>
      <c r="B77" s="40"/>
      <c r="C77" s="40"/>
      <c r="D77" s="40"/>
      <c r="E77" s="40"/>
    </row>
    <row r="78" spans="1:8" ht="15" thickBot="1" x14ac:dyDescent="0.35">
      <c r="A78" s="175" t="s">
        <v>13</v>
      </c>
      <c r="B78" s="176">
        <f>E63</f>
        <v>3750265.8</v>
      </c>
      <c r="C78" s="40"/>
      <c r="D78" s="40"/>
      <c r="E78" s="40"/>
    </row>
    <row r="79" spans="1:8" ht="15" thickBot="1" x14ac:dyDescent="0.35">
      <c r="A79" s="175" t="s">
        <v>14</v>
      </c>
      <c r="B79" s="176">
        <f>E63-E61</f>
        <v>3750265.8</v>
      </c>
      <c r="C79" s="40"/>
      <c r="D79" s="40"/>
      <c r="E79" s="40"/>
    </row>
    <row r="80" spans="1:8" ht="15" thickBot="1" x14ac:dyDescent="0.35">
      <c r="A80" s="175" t="s">
        <v>21</v>
      </c>
      <c r="B80" s="176">
        <f>E76-E74</f>
        <v>0</v>
      </c>
      <c r="C80" s="40"/>
      <c r="D80" s="40"/>
      <c r="E80" s="40"/>
    </row>
    <row r="81" spans="1:5" ht="15" thickBot="1" x14ac:dyDescent="0.35">
      <c r="A81" s="175" t="s">
        <v>36</v>
      </c>
      <c r="B81" s="176">
        <f>E76</f>
        <v>0</v>
      </c>
      <c r="C81" s="40"/>
      <c r="D81" s="40"/>
      <c r="E81" s="40"/>
    </row>
    <row r="82" spans="1:5" ht="29.25" customHeight="1" x14ac:dyDescent="0.3">
      <c r="A82" s="40"/>
      <c r="B82" s="40"/>
      <c r="C82" s="40"/>
      <c r="D82" s="40"/>
      <c r="E82" s="40"/>
    </row>
    <row r="83" spans="1:5" ht="34.5" hidden="1" customHeight="1" x14ac:dyDescent="0.3"/>
    <row r="84" spans="1:5" hidden="1" x14ac:dyDescent="0.3">
      <c r="A84" s="179"/>
      <c r="B84" s="179"/>
      <c r="C84" s="179"/>
      <c r="D84" s="179"/>
      <c r="E84" s="179"/>
    </row>
    <row r="85" spans="1:5" ht="106.5" hidden="1" customHeight="1" x14ac:dyDescent="0.3">
      <c r="A85" s="179"/>
      <c r="B85" s="179"/>
      <c r="C85" s="179"/>
      <c r="D85" s="179"/>
      <c r="E85" s="179"/>
    </row>
    <row r="86" spans="1:5" ht="15.75" hidden="1" customHeight="1" x14ac:dyDescent="0.3">
      <c r="A86" s="179"/>
      <c r="B86" s="179"/>
      <c r="C86" s="179"/>
      <c r="D86" s="179"/>
      <c r="E86" s="179"/>
    </row>
    <row r="88" spans="1:5" ht="0.75" customHeight="1" x14ac:dyDescent="0.3">
      <c r="A88" s="4"/>
      <c r="B88" s="52"/>
      <c r="C88" s="5"/>
    </row>
    <row r="89" spans="1:5" hidden="1" x14ac:dyDescent="0.3">
      <c r="A89" s="11"/>
      <c r="B89" s="28">
        <v>0</v>
      </c>
      <c r="C89" s="7"/>
    </row>
    <row r="90" spans="1:5" ht="14.25" hidden="1" customHeight="1" x14ac:dyDescent="0.3">
      <c r="A90" s="6" t="s">
        <v>7</v>
      </c>
      <c r="B90" s="17">
        <f>PRORRATEO!G34</f>
        <v>5558621.0700000012</v>
      </c>
      <c r="C90" s="5"/>
    </row>
    <row r="91" spans="1:5" hidden="1" x14ac:dyDescent="0.3">
      <c r="A91" s="6"/>
      <c r="B91" s="17">
        <v>0</v>
      </c>
      <c r="C91" s="5"/>
    </row>
    <row r="92" spans="1:5" hidden="1" x14ac:dyDescent="0.3">
      <c r="A92" s="6" t="s">
        <v>37</v>
      </c>
      <c r="B92" s="35">
        <f>B121</f>
        <v>0</v>
      </c>
      <c r="C92" s="5"/>
    </row>
    <row r="93" spans="1:5" hidden="1" x14ac:dyDescent="0.3">
      <c r="A93" s="9"/>
      <c r="B93" s="24"/>
      <c r="C93" s="5"/>
    </row>
    <row r="94" spans="1:5" hidden="1" x14ac:dyDescent="0.3">
      <c r="A94" s="50" t="s">
        <v>41</v>
      </c>
      <c r="B94" s="24"/>
      <c r="C94" s="5"/>
    </row>
    <row r="95" spans="1:5" hidden="1" x14ac:dyDescent="0.3">
      <c r="A95" s="16" t="s">
        <v>22</v>
      </c>
      <c r="B95" s="24">
        <f>-B79</f>
        <v>-3750265.8</v>
      </c>
      <c r="C95" s="5"/>
    </row>
    <row r="96" spans="1:5" hidden="1" x14ac:dyDescent="0.3">
      <c r="A96" s="9" t="s">
        <v>23</v>
      </c>
      <c r="B96" s="24">
        <f>-(B80)</f>
        <v>0</v>
      </c>
      <c r="C96" s="5"/>
    </row>
    <row r="97" spans="1:6" hidden="1" x14ac:dyDescent="0.3">
      <c r="A97" s="10" t="s">
        <v>8</v>
      </c>
      <c r="B97" s="28">
        <f>SUM(B89:B96)</f>
        <v>1808355.2700000014</v>
      </c>
      <c r="C97" s="8"/>
      <c r="D97" s="20"/>
    </row>
    <row r="98" spans="1:6" ht="34.5" hidden="1" customHeight="1" x14ac:dyDescent="0.3">
      <c r="B98" s="18"/>
      <c r="C98" s="8"/>
      <c r="D98" s="20"/>
      <c r="E98" s="53"/>
      <c r="F98" s="54"/>
    </row>
    <row r="99" spans="1:6" ht="14.25" hidden="1" customHeight="1" x14ac:dyDescent="0.3">
      <c r="B99" s="19"/>
      <c r="C99" s="8"/>
    </row>
    <row r="100" spans="1:6" s="15" customFormat="1" ht="27" hidden="1" customHeight="1" x14ac:dyDescent="0.3">
      <c r="A100"/>
      <c r="B100" s="18"/>
      <c r="C100" s="14"/>
    </row>
    <row r="101" spans="1:6" s="15" customFormat="1" x14ac:dyDescent="0.3">
      <c r="A101" s="56" t="s">
        <v>125</v>
      </c>
      <c r="B101" s="94">
        <v>874049.42000000365</v>
      </c>
      <c r="C101" s="14"/>
      <c r="D101" s="23"/>
      <c r="E101" s="20"/>
    </row>
    <row r="102" spans="1:6" x14ac:dyDescent="0.3">
      <c r="A102" s="26" t="s">
        <v>46</v>
      </c>
      <c r="B102" s="103">
        <f>-B79</f>
        <v>-3750265.8</v>
      </c>
    </row>
    <row r="103" spans="1:6" x14ac:dyDescent="0.3">
      <c r="A103" s="26" t="s">
        <v>47</v>
      </c>
      <c r="B103" s="60">
        <f>-B80</f>
        <v>0</v>
      </c>
    </row>
    <row r="104" spans="1:6" x14ac:dyDescent="0.3">
      <c r="A104" s="26" t="s">
        <v>50</v>
      </c>
      <c r="B104" s="60">
        <f>B121</f>
        <v>0</v>
      </c>
    </row>
    <row r="105" spans="1:6" x14ac:dyDescent="0.3">
      <c r="A105" s="26" t="s">
        <v>48</v>
      </c>
      <c r="B105" s="61">
        <f>PRORRATEO!G34</f>
        <v>5558621.0700000012</v>
      </c>
    </row>
    <row r="106" spans="1:6" ht="15" thickBot="1" x14ac:dyDescent="0.35">
      <c r="A106" s="58" t="s">
        <v>43</v>
      </c>
      <c r="B106" s="59">
        <f>SUM(B101:C105)</f>
        <v>2682404.6900000051</v>
      </c>
      <c r="D106" s="20"/>
      <c r="E106" s="20"/>
    </row>
    <row r="107" spans="1:6" x14ac:dyDescent="0.3">
      <c r="A107" s="57"/>
      <c r="B107" s="57"/>
    </row>
    <row r="108" spans="1:6" x14ac:dyDescent="0.3">
      <c r="A108" s="57"/>
      <c r="B108" s="57"/>
    </row>
    <row r="109" spans="1:6" x14ac:dyDescent="0.3">
      <c r="A109" s="183" t="s">
        <v>149</v>
      </c>
      <c r="B109" s="183"/>
    </row>
    <row r="110" spans="1:6" ht="10.5" customHeight="1" x14ac:dyDescent="0.3">
      <c r="A110" s="184"/>
      <c r="B110" s="184"/>
    </row>
    <row r="111" spans="1:6" hidden="1" x14ac:dyDescent="0.3">
      <c r="A111" s="184"/>
      <c r="B111" s="184"/>
    </row>
    <row r="112" spans="1:6" ht="44.25" customHeight="1" thickBot="1" x14ac:dyDescent="0.35">
      <c r="A112" s="185"/>
      <c r="B112" s="185"/>
    </row>
    <row r="113" spans="1:13" x14ac:dyDescent="0.3">
      <c r="A113" s="57"/>
      <c r="B113" s="57"/>
    </row>
    <row r="114" spans="1:13" x14ac:dyDescent="0.3">
      <c r="A114" s="57"/>
      <c r="B114" s="57"/>
    </row>
    <row r="115" spans="1:13" x14ac:dyDescent="0.3">
      <c r="A115" s="57"/>
      <c r="B115" s="57"/>
    </row>
    <row r="116" spans="1:13" ht="34.5" customHeight="1" x14ac:dyDescent="0.3"/>
    <row r="117" spans="1:13" x14ac:dyDescent="0.3">
      <c r="A117" s="180" t="s">
        <v>30</v>
      </c>
      <c r="B117" s="180"/>
      <c r="C117" s="180"/>
    </row>
    <row r="118" spans="1:13" x14ac:dyDescent="0.3">
      <c r="A118" s="180"/>
      <c r="B118" s="180"/>
      <c r="C118" s="180"/>
    </row>
    <row r="119" spans="1:13" ht="35.25" customHeight="1" x14ac:dyDescent="0.3">
      <c r="A119" s="47"/>
      <c r="B119" s="13"/>
      <c r="C119" s="13">
        <v>40000</v>
      </c>
      <c r="E119" s="62"/>
    </row>
    <row r="120" spans="1:13" ht="27" customHeight="1" x14ac:dyDescent="0.3">
      <c r="A120" s="47"/>
      <c r="B120" s="49"/>
      <c r="C120" s="46"/>
      <c r="D120" s="62"/>
    </row>
    <row r="121" spans="1:13" x14ac:dyDescent="0.3">
      <c r="A121" s="21" t="s">
        <v>8</v>
      </c>
      <c r="B121" s="48">
        <f>SUM(B119:B120)</f>
        <v>0</v>
      </c>
      <c r="C121" s="22"/>
    </row>
    <row r="122" spans="1:13" x14ac:dyDescent="0.3">
      <c r="M122" s="2"/>
    </row>
    <row r="123" spans="1:13" ht="15" customHeight="1" x14ac:dyDescent="0.3">
      <c r="A123" s="179"/>
      <c r="B123" s="179"/>
      <c r="C123" s="179"/>
      <c r="D123" s="179"/>
      <c r="E123" s="179"/>
    </row>
    <row r="124" spans="1:13" x14ac:dyDescent="0.3">
      <c r="A124" s="179"/>
      <c r="B124" s="179"/>
      <c r="C124" s="179"/>
      <c r="D124" s="179"/>
      <c r="E124" s="179"/>
    </row>
    <row r="125" spans="1:13" x14ac:dyDescent="0.3">
      <c r="A125" s="179"/>
      <c r="B125" s="179"/>
      <c r="C125" s="179"/>
      <c r="D125" s="179"/>
      <c r="E125" s="179"/>
    </row>
    <row r="126" spans="1:13" x14ac:dyDescent="0.3">
      <c r="A126" s="179"/>
      <c r="B126" s="179"/>
      <c r="C126" s="179"/>
      <c r="D126" s="179"/>
      <c r="E126" s="179"/>
    </row>
  </sheetData>
  <mergeCells count="15">
    <mergeCell ref="B8:C10"/>
    <mergeCell ref="A22:B22"/>
    <mergeCell ref="B1:D1"/>
    <mergeCell ref="B3:E3"/>
    <mergeCell ref="A13:E16"/>
    <mergeCell ref="A34:B34"/>
    <mergeCell ref="A123:E126"/>
    <mergeCell ref="A117:C118"/>
    <mergeCell ref="A84:E86"/>
    <mergeCell ref="A68:B68"/>
    <mergeCell ref="A67:B67"/>
    <mergeCell ref="A69:B69"/>
    <mergeCell ref="A38:B38"/>
    <mergeCell ref="A35:B35"/>
    <mergeCell ref="A109:B112"/>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Normal="100" workbookViewId="0">
      <selection activeCell="D30" sqref="D30"/>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1"/>
      <c r="B1" s="1"/>
      <c r="C1" s="1"/>
      <c r="D1" s="1"/>
      <c r="E1" s="192"/>
      <c r="F1" s="192"/>
      <c r="G1" s="192"/>
      <c r="H1" s="192"/>
      <c r="I1" s="192"/>
      <c r="J1" s="192"/>
      <c r="K1" s="192"/>
      <c r="L1" s="192"/>
      <c r="M1" s="1"/>
    </row>
    <row r="2" spans="1:16" ht="12.9" customHeight="1" x14ac:dyDescent="0.3">
      <c r="A2" s="1"/>
      <c r="B2" s="1"/>
      <c r="C2" s="1"/>
      <c r="D2" s="1"/>
      <c r="E2" s="1" t="s">
        <v>57</v>
      </c>
      <c r="F2" s="1"/>
      <c r="G2" s="66">
        <v>0</v>
      </c>
      <c r="H2" s="1"/>
      <c r="I2" s="1"/>
      <c r="J2" s="1" t="s">
        <v>49</v>
      </c>
      <c r="K2" s="95">
        <v>4638395.6600000011</v>
      </c>
      <c r="L2" s="55"/>
      <c r="M2" s="27"/>
      <c r="N2" s="3"/>
    </row>
    <row r="3" spans="1:16" ht="12.9" customHeight="1" thickBot="1" x14ac:dyDescent="0.35">
      <c r="A3" s="1"/>
      <c r="B3" s="1"/>
      <c r="C3" s="1"/>
      <c r="D3" s="1"/>
      <c r="E3" s="1"/>
      <c r="F3" s="1"/>
      <c r="G3" s="1"/>
      <c r="H3" s="1"/>
      <c r="I3" s="1"/>
      <c r="J3" s="1"/>
      <c r="K3" s="1"/>
      <c r="L3" s="29"/>
      <c r="M3" s="29"/>
    </row>
    <row r="4" spans="1:16" ht="12.9" customHeight="1" x14ac:dyDescent="0.3">
      <c r="A4" s="200" t="s">
        <v>137</v>
      </c>
      <c r="B4" s="201"/>
      <c r="C4" s="201"/>
      <c r="D4" s="201"/>
      <c r="E4" s="201"/>
      <c r="F4" s="201"/>
      <c r="G4" s="201"/>
      <c r="H4" s="201"/>
      <c r="I4" s="201"/>
      <c r="J4" s="201"/>
      <c r="K4" s="201"/>
      <c r="L4" s="201"/>
      <c r="M4" s="202"/>
    </row>
    <row r="5" spans="1:16" ht="12.9" customHeight="1" x14ac:dyDescent="0.3">
      <c r="A5" s="203"/>
      <c r="B5" s="204"/>
      <c r="C5" s="204"/>
      <c r="D5" s="204"/>
      <c r="E5" s="204"/>
      <c r="F5" s="204"/>
      <c r="G5" s="204"/>
      <c r="H5" s="204"/>
      <c r="I5" s="204"/>
      <c r="J5" s="204"/>
      <c r="K5" s="204"/>
      <c r="L5" s="204"/>
      <c r="M5" s="205"/>
    </row>
    <row r="6" spans="1:16" ht="12.9" customHeight="1" thickBot="1" x14ac:dyDescent="0.35">
      <c r="A6" s="206"/>
      <c r="B6" s="207"/>
      <c r="C6" s="207"/>
      <c r="D6" s="207"/>
      <c r="E6" s="207"/>
      <c r="F6" s="207"/>
      <c r="G6" s="207"/>
      <c r="H6" s="207"/>
      <c r="I6" s="207"/>
      <c r="J6" s="207"/>
      <c r="K6" s="207"/>
      <c r="L6" s="207"/>
      <c r="M6" s="208"/>
    </row>
    <row r="7" spans="1:16" x14ac:dyDescent="0.3">
      <c r="A7" s="195" t="s">
        <v>5</v>
      </c>
      <c r="B7" s="195" t="s">
        <v>60</v>
      </c>
      <c r="C7" s="195" t="s">
        <v>6</v>
      </c>
      <c r="D7" s="195" t="s">
        <v>25</v>
      </c>
      <c r="E7" s="195" t="s">
        <v>10</v>
      </c>
      <c r="F7" s="193" t="s">
        <v>44</v>
      </c>
      <c r="G7" s="195" t="s">
        <v>7</v>
      </c>
      <c r="H7" s="196" t="s">
        <v>28</v>
      </c>
      <c r="I7" s="193" t="s">
        <v>38</v>
      </c>
      <c r="J7" s="193" t="s">
        <v>24</v>
      </c>
      <c r="K7" s="198" t="s">
        <v>58</v>
      </c>
      <c r="L7" s="96" t="s">
        <v>34</v>
      </c>
      <c r="M7" s="191" t="s">
        <v>33</v>
      </c>
    </row>
    <row r="8" spans="1:16" ht="15.75" customHeight="1" x14ac:dyDescent="0.3">
      <c r="A8" s="195"/>
      <c r="B8" s="209"/>
      <c r="C8" s="195"/>
      <c r="D8" s="209"/>
      <c r="E8" s="195"/>
      <c r="F8" s="194"/>
      <c r="G8" s="195"/>
      <c r="H8" s="197"/>
      <c r="I8" s="194"/>
      <c r="J8" s="194"/>
      <c r="K8" s="199"/>
      <c r="L8" s="30" t="str">
        <f>RESUMEN!B8</f>
        <v>VTO 16/10</v>
      </c>
      <c r="M8" s="191"/>
    </row>
    <row r="9" spans="1:16" ht="17.100000000000001" customHeight="1" x14ac:dyDescent="0.3">
      <c r="A9" s="69">
        <v>1</v>
      </c>
      <c r="B9" s="69" t="s">
        <v>61</v>
      </c>
      <c r="C9" s="69" t="s">
        <v>85</v>
      </c>
      <c r="D9" s="69" t="s">
        <v>122</v>
      </c>
      <c r="E9" s="91">
        <v>3.43</v>
      </c>
      <c r="F9" s="71">
        <v>211055.01</v>
      </c>
      <c r="G9" s="80">
        <v>211055.01</v>
      </c>
      <c r="H9" s="72">
        <f t="shared" ref="H9:H32" si="0">F9-G9</f>
        <v>0</v>
      </c>
      <c r="I9" s="72">
        <f>IF(H9&gt;0,H9*3%,0)</f>
        <v>0</v>
      </c>
      <c r="J9" s="73">
        <f>K$2*E9%</f>
        <v>159096.97113800005</v>
      </c>
      <c r="K9" s="74">
        <f>G$2*E9/100</f>
        <v>0</v>
      </c>
      <c r="L9" s="75">
        <f t="shared" ref="L9:L32" si="1">ROUND(SUM(H9:K9),0) + N9</f>
        <v>159097.01</v>
      </c>
      <c r="M9" s="76">
        <f t="shared" ref="M9:M32" si="2">ROUND(L9*3%,0) + L9</f>
        <v>163870.01</v>
      </c>
      <c r="N9" s="20">
        <v>0.01</v>
      </c>
    </row>
    <row r="10" spans="1:16" ht="17.100000000000001" customHeight="1" x14ac:dyDescent="0.3">
      <c r="A10" s="78">
        <f>A9+1</f>
        <v>2</v>
      </c>
      <c r="B10" s="78" t="s">
        <v>69</v>
      </c>
      <c r="C10" s="78" t="s">
        <v>86</v>
      </c>
      <c r="D10" s="79" t="s">
        <v>113</v>
      </c>
      <c r="E10" s="92">
        <v>2.95</v>
      </c>
      <c r="F10" s="80">
        <v>176233.02</v>
      </c>
      <c r="G10" s="80">
        <f t="shared" ref="G10:G14" si="3">F10</f>
        <v>176233.02</v>
      </c>
      <c r="H10" s="72">
        <f t="shared" si="0"/>
        <v>0</v>
      </c>
      <c r="I10" s="72">
        <f t="shared" ref="I10:I32" si="4">IF(H10&gt;0,H10*3%,0)</f>
        <v>0</v>
      </c>
      <c r="J10" s="73">
        <f t="shared" ref="J10:J32" si="5">K$2*E10%</f>
        <v>136832.67197000005</v>
      </c>
      <c r="K10" s="74">
        <f t="shared" ref="K10:K32" si="6">G$2*E10/100</f>
        <v>0</v>
      </c>
      <c r="L10" s="75">
        <f t="shared" si="1"/>
        <v>136833.01999999999</v>
      </c>
      <c r="M10" s="76">
        <f t="shared" si="2"/>
        <v>140938.01999999999</v>
      </c>
      <c r="N10" s="20">
        <f>N9+0.01</f>
        <v>0.02</v>
      </c>
      <c r="O10" s="20"/>
    </row>
    <row r="11" spans="1:16" ht="17.100000000000001" customHeight="1" x14ac:dyDescent="0.3">
      <c r="A11" s="78">
        <f t="shared" ref="A11:A32" si="7">A10+1</f>
        <v>3</v>
      </c>
      <c r="B11" s="78" t="s">
        <v>70</v>
      </c>
      <c r="C11" s="78" t="s">
        <v>87</v>
      </c>
      <c r="D11" s="79" t="s">
        <v>129</v>
      </c>
      <c r="E11" s="92">
        <f>5.78+1.02</f>
        <v>6.8000000000000007</v>
      </c>
      <c r="F11" s="80">
        <v>406231.03</v>
      </c>
      <c r="G11" s="80">
        <f t="shared" si="3"/>
        <v>406231.03</v>
      </c>
      <c r="H11" s="72">
        <f t="shared" si="0"/>
        <v>0</v>
      </c>
      <c r="I11" s="72">
        <f t="shared" si="4"/>
        <v>0</v>
      </c>
      <c r="J11" s="73">
        <f t="shared" si="5"/>
        <v>315410.9048800001</v>
      </c>
      <c r="K11" s="74">
        <f t="shared" si="6"/>
        <v>0</v>
      </c>
      <c r="L11" s="75">
        <f t="shared" si="1"/>
        <v>315411.03000000003</v>
      </c>
      <c r="M11" s="76">
        <f t="shared" si="2"/>
        <v>324873.03000000003</v>
      </c>
      <c r="N11" s="20">
        <f t="shared" ref="N11:N32" si="8">N10+0.01</f>
        <v>0.03</v>
      </c>
      <c r="O11" t="s">
        <v>121</v>
      </c>
    </row>
    <row r="12" spans="1:16" ht="17.100000000000001" customHeight="1" x14ac:dyDescent="0.3">
      <c r="A12" s="69">
        <f t="shared" si="7"/>
        <v>4</v>
      </c>
      <c r="B12" s="69" t="s">
        <v>62</v>
      </c>
      <c r="C12" s="77" t="s">
        <v>147</v>
      </c>
      <c r="D12" s="77"/>
      <c r="E12" s="91">
        <v>3.43</v>
      </c>
      <c r="F12" s="71">
        <v>199320.04</v>
      </c>
      <c r="G12" s="80">
        <v>205300.04</v>
      </c>
      <c r="H12" s="72">
        <f t="shared" si="0"/>
        <v>-5980</v>
      </c>
      <c r="I12" s="72">
        <f t="shared" si="4"/>
        <v>0</v>
      </c>
      <c r="J12" s="73">
        <f t="shared" si="5"/>
        <v>159096.97113800005</v>
      </c>
      <c r="K12" s="74">
        <f t="shared" si="6"/>
        <v>0</v>
      </c>
      <c r="L12" s="75">
        <f t="shared" si="1"/>
        <v>153117.04</v>
      </c>
      <c r="M12" s="76">
        <f t="shared" si="2"/>
        <v>157711.04000000001</v>
      </c>
      <c r="N12" s="20">
        <f t="shared" si="8"/>
        <v>0.04</v>
      </c>
      <c r="P12" s="20"/>
    </row>
    <row r="13" spans="1:16" ht="17.100000000000001" customHeight="1" x14ac:dyDescent="0.3">
      <c r="A13" s="69">
        <f t="shared" si="7"/>
        <v>5</v>
      </c>
      <c r="B13" s="69" t="s">
        <v>71</v>
      </c>
      <c r="C13" s="69" t="s">
        <v>88</v>
      </c>
      <c r="D13" s="77"/>
      <c r="E13" s="91">
        <v>2.95</v>
      </c>
      <c r="F13" s="71">
        <v>176233.05</v>
      </c>
      <c r="G13" s="80">
        <f>F13</f>
        <v>176233.05</v>
      </c>
      <c r="H13" s="72">
        <f t="shared" si="0"/>
        <v>0</v>
      </c>
      <c r="I13" s="72">
        <f t="shared" si="4"/>
        <v>0</v>
      </c>
      <c r="J13" s="73">
        <f t="shared" si="5"/>
        <v>136832.67197000005</v>
      </c>
      <c r="K13" s="74">
        <f t="shared" si="6"/>
        <v>0</v>
      </c>
      <c r="L13" s="75">
        <f t="shared" si="1"/>
        <v>136833.04999999999</v>
      </c>
      <c r="M13" s="76">
        <f t="shared" si="2"/>
        <v>140938.04999999999</v>
      </c>
      <c r="N13" s="20">
        <f t="shared" si="8"/>
        <v>0.05</v>
      </c>
      <c r="P13" s="20"/>
    </row>
    <row r="14" spans="1:16" ht="17.100000000000001" customHeight="1" x14ac:dyDescent="0.3">
      <c r="A14" s="78">
        <f t="shared" si="7"/>
        <v>6</v>
      </c>
      <c r="B14" s="78" t="s">
        <v>72</v>
      </c>
      <c r="C14" s="78" t="s">
        <v>89</v>
      </c>
      <c r="D14" s="78"/>
      <c r="E14" s="91">
        <v>5.69</v>
      </c>
      <c r="F14" s="71">
        <v>339920.06</v>
      </c>
      <c r="G14" s="80">
        <f t="shared" si="3"/>
        <v>339920.06</v>
      </c>
      <c r="H14" s="72">
        <f t="shared" si="0"/>
        <v>0</v>
      </c>
      <c r="I14" s="72">
        <f t="shared" si="4"/>
        <v>0</v>
      </c>
      <c r="J14" s="73">
        <f t="shared" si="5"/>
        <v>263924.71305400011</v>
      </c>
      <c r="K14" s="74">
        <f t="shared" si="6"/>
        <v>0</v>
      </c>
      <c r="L14" s="75">
        <f t="shared" si="1"/>
        <v>263925.06</v>
      </c>
      <c r="M14" s="76">
        <f t="shared" si="2"/>
        <v>271843.06</v>
      </c>
      <c r="N14" s="20">
        <f t="shared" si="8"/>
        <v>6.0000000000000005E-2</v>
      </c>
      <c r="O14" t="s">
        <v>145</v>
      </c>
    </row>
    <row r="15" spans="1:16" ht="17.100000000000001" customHeight="1" x14ac:dyDescent="0.3">
      <c r="A15" s="69">
        <f t="shared" si="7"/>
        <v>7</v>
      </c>
      <c r="B15" s="69" t="s">
        <v>63</v>
      </c>
      <c r="C15" s="69" t="s">
        <v>90</v>
      </c>
      <c r="D15" s="69"/>
      <c r="E15" s="91">
        <v>3.43</v>
      </c>
      <c r="F15" s="71">
        <v>204908.07</v>
      </c>
      <c r="G15" s="80">
        <v>0</v>
      </c>
      <c r="H15" s="72">
        <f t="shared" si="0"/>
        <v>204908.07</v>
      </c>
      <c r="I15" s="72">
        <f t="shared" si="4"/>
        <v>6147.2421000000004</v>
      </c>
      <c r="J15" s="73">
        <f t="shared" si="5"/>
        <v>159096.97113800005</v>
      </c>
      <c r="K15" s="74">
        <f t="shared" si="6"/>
        <v>0</v>
      </c>
      <c r="L15" s="75">
        <f t="shared" si="1"/>
        <v>370152.07</v>
      </c>
      <c r="M15" s="76">
        <f t="shared" si="2"/>
        <v>381257.07</v>
      </c>
      <c r="N15" s="20">
        <f t="shared" si="8"/>
        <v>7.0000000000000007E-2</v>
      </c>
      <c r="O15" t="s">
        <v>146</v>
      </c>
    </row>
    <row r="16" spans="1:16" ht="17.100000000000001" customHeight="1" x14ac:dyDescent="0.3">
      <c r="A16" s="69">
        <f t="shared" si="7"/>
        <v>8</v>
      </c>
      <c r="B16" s="69" t="s">
        <v>73</v>
      </c>
      <c r="C16" s="69" t="s">
        <v>91</v>
      </c>
      <c r="D16" s="77" t="s">
        <v>138</v>
      </c>
      <c r="E16" s="91">
        <v>2.95</v>
      </c>
      <c r="F16" s="71">
        <v>638758.07999999996</v>
      </c>
      <c r="G16" s="80"/>
      <c r="H16" s="72">
        <f t="shared" si="0"/>
        <v>638758.07999999996</v>
      </c>
      <c r="I16" s="72">
        <f t="shared" si="4"/>
        <v>19162.742399999999</v>
      </c>
      <c r="J16" s="73">
        <f t="shared" si="5"/>
        <v>136832.67197000005</v>
      </c>
      <c r="K16" s="74">
        <f t="shared" si="6"/>
        <v>0</v>
      </c>
      <c r="L16" s="75">
        <f t="shared" si="1"/>
        <v>794753.08</v>
      </c>
      <c r="M16" s="76">
        <f t="shared" si="2"/>
        <v>818596.08</v>
      </c>
      <c r="N16" s="20">
        <f t="shared" si="8"/>
        <v>0.08</v>
      </c>
    </row>
    <row r="17" spans="1:15" ht="17.100000000000001" customHeight="1" x14ac:dyDescent="0.3">
      <c r="A17" s="69">
        <f t="shared" si="7"/>
        <v>9</v>
      </c>
      <c r="B17" s="69" t="s">
        <v>74</v>
      </c>
      <c r="C17" s="69" t="s">
        <v>116</v>
      </c>
      <c r="D17" s="77" t="s">
        <v>148</v>
      </c>
      <c r="E17" s="91">
        <v>5.69</v>
      </c>
      <c r="F17" s="71">
        <v>339920.09</v>
      </c>
      <c r="G17" s="80">
        <f t="shared" ref="G17:G23" si="9">F17</f>
        <v>339920.09</v>
      </c>
      <c r="H17" s="72">
        <f t="shared" si="0"/>
        <v>0</v>
      </c>
      <c r="I17" s="72">
        <f t="shared" si="4"/>
        <v>0</v>
      </c>
      <c r="J17" s="73">
        <f t="shared" si="5"/>
        <v>263924.71305400011</v>
      </c>
      <c r="K17" s="74">
        <f t="shared" si="6"/>
        <v>0</v>
      </c>
      <c r="L17" s="75">
        <f t="shared" si="1"/>
        <v>263925.09000000003</v>
      </c>
      <c r="M17" s="76">
        <f t="shared" si="2"/>
        <v>271843.09000000003</v>
      </c>
      <c r="N17" s="20">
        <f t="shared" si="8"/>
        <v>0.09</v>
      </c>
    </row>
    <row r="18" spans="1:15" ht="17.100000000000001" customHeight="1" x14ac:dyDescent="0.3">
      <c r="A18" s="69">
        <f t="shared" si="7"/>
        <v>10</v>
      </c>
      <c r="B18" s="69" t="s">
        <v>64</v>
      </c>
      <c r="C18" s="69" t="s">
        <v>92</v>
      </c>
      <c r="D18" s="77" t="s">
        <v>124</v>
      </c>
      <c r="E18" s="91">
        <v>3.43</v>
      </c>
      <c r="F18" s="71">
        <v>199100.1</v>
      </c>
      <c r="G18" s="80">
        <f t="shared" si="9"/>
        <v>199100.1</v>
      </c>
      <c r="H18" s="72">
        <f>F18-G18</f>
        <v>0</v>
      </c>
      <c r="I18" s="72">
        <f t="shared" si="4"/>
        <v>0</v>
      </c>
      <c r="J18" s="73">
        <f t="shared" si="5"/>
        <v>159096.97113800005</v>
      </c>
      <c r="K18" s="74">
        <f t="shared" si="6"/>
        <v>0</v>
      </c>
      <c r="L18" s="75">
        <f t="shared" si="1"/>
        <v>159097.1</v>
      </c>
      <c r="M18" s="76">
        <f t="shared" si="2"/>
        <v>163870.1</v>
      </c>
      <c r="N18" s="20">
        <f t="shared" si="8"/>
        <v>9.9999999999999992E-2</v>
      </c>
    </row>
    <row r="19" spans="1:15" ht="17.100000000000001" customHeight="1" x14ac:dyDescent="0.3">
      <c r="A19" s="69">
        <f t="shared" si="7"/>
        <v>11</v>
      </c>
      <c r="B19" s="69" t="s">
        <v>75</v>
      </c>
      <c r="C19" s="69" t="s">
        <v>115</v>
      </c>
      <c r="D19" s="77" t="s">
        <v>123</v>
      </c>
      <c r="E19" s="91">
        <v>2.95</v>
      </c>
      <c r="F19" s="71">
        <v>176233.11</v>
      </c>
      <c r="G19" s="80">
        <f t="shared" si="9"/>
        <v>176233.11</v>
      </c>
      <c r="H19" s="72">
        <f t="shared" si="0"/>
        <v>0</v>
      </c>
      <c r="I19" s="72">
        <f t="shared" si="4"/>
        <v>0</v>
      </c>
      <c r="J19" s="73">
        <f t="shared" si="5"/>
        <v>136832.67197000005</v>
      </c>
      <c r="K19" s="74">
        <f t="shared" si="6"/>
        <v>0</v>
      </c>
      <c r="L19" s="75">
        <f t="shared" si="1"/>
        <v>136833.10999999999</v>
      </c>
      <c r="M19" s="76">
        <f t="shared" si="2"/>
        <v>140938.10999999999</v>
      </c>
      <c r="N19" s="20">
        <f t="shared" si="8"/>
        <v>0.10999999999999999</v>
      </c>
    </row>
    <row r="20" spans="1:15" ht="17.100000000000001" customHeight="1" x14ac:dyDescent="0.3">
      <c r="A20" s="69">
        <f t="shared" si="7"/>
        <v>12</v>
      </c>
      <c r="B20" s="69" t="s">
        <v>76</v>
      </c>
      <c r="C20" s="69" t="s">
        <v>117</v>
      </c>
      <c r="D20" s="77" t="s">
        <v>114</v>
      </c>
      <c r="E20" s="91">
        <f>5.69+0.51</f>
        <v>6.2</v>
      </c>
      <c r="F20" s="71">
        <v>371406.12</v>
      </c>
      <c r="G20" s="80">
        <f t="shared" si="9"/>
        <v>371406.12</v>
      </c>
      <c r="H20" s="72">
        <f t="shared" si="0"/>
        <v>0</v>
      </c>
      <c r="I20" s="72">
        <f t="shared" si="4"/>
        <v>0</v>
      </c>
      <c r="J20" s="73">
        <f t="shared" si="5"/>
        <v>287580.53092000005</v>
      </c>
      <c r="K20" s="74">
        <f t="shared" si="6"/>
        <v>0</v>
      </c>
      <c r="L20" s="75">
        <f t="shared" si="1"/>
        <v>287581.12</v>
      </c>
      <c r="M20" s="76">
        <f t="shared" si="2"/>
        <v>296208.12</v>
      </c>
      <c r="N20" s="20">
        <f t="shared" si="8"/>
        <v>0.11999999999999998</v>
      </c>
    </row>
    <row r="21" spans="1:15" ht="17.100000000000001" customHeight="1" x14ac:dyDescent="0.3">
      <c r="A21" s="69">
        <f t="shared" si="7"/>
        <v>13</v>
      </c>
      <c r="B21" s="69" t="s">
        <v>65</v>
      </c>
      <c r="C21" s="69" t="s">
        <v>93</v>
      </c>
      <c r="D21" s="77" t="s">
        <v>126</v>
      </c>
      <c r="E21" s="91">
        <v>3.43</v>
      </c>
      <c r="F21" s="71">
        <v>204908.13</v>
      </c>
      <c r="G21" s="80">
        <f t="shared" si="9"/>
        <v>204908.13</v>
      </c>
      <c r="H21" s="72">
        <f t="shared" si="0"/>
        <v>0</v>
      </c>
      <c r="I21" s="72">
        <f t="shared" si="4"/>
        <v>0</v>
      </c>
      <c r="J21" s="73">
        <f t="shared" si="5"/>
        <v>159096.97113800005</v>
      </c>
      <c r="K21" s="74">
        <f t="shared" si="6"/>
        <v>0</v>
      </c>
      <c r="L21" s="75">
        <f t="shared" si="1"/>
        <v>159097.13</v>
      </c>
      <c r="M21" s="76">
        <f t="shared" si="2"/>
        <v>163870.13</v>
      </c>
      <c r="N21" s="20">
        <f t="shared" si="8"/>
        <v>0.12999999999999998</v>
      </c>
    </row>
    <row r="22" spans="1:15" ht="17.100000000000001" customHeight="1" x14ac:dyDescent="0.3">
      <c r="A22" s="69">
        <f t="shared" si="7"/>
        <v>14</v>
      </c>
      <c r="B22" s="69" t="s">
        <v>77</v>
      </c>
      <c r="C22" s="69" t="s">
        <v>94</v>
      </c>
      <c r="D22" s="77" t="s">
        <v>133</v>
      </c>
      <c r="E22" s="91">
        <v>2.95</v>
      </c>
      <c r="F22" s="71">
        <v>176233.14</v>
      </c>
      <c r="G22" s="80">
        <f t="shared" si="9"/>
        <v>176233.14</v>
      </c>
      <c r="H22" s="72">
        <f t="shared" si="0"/>
        <v>0</v>
      </c>
      <c r="I22" s="72">
        <f t="shared" si="4"/>
        <v>0</v>
      </c>
      <c r="J22" s="73">
        <f t="shared" si="5"/>
        <v>136832.67197000005</v>
      </c>
      <c r="K22" s="74">
        <f t="shared" si="6"/>
        <v>0</v>
      </c>
      <c r="L22" s="75">
        <f t="shared" si="1"/>
        <v>136833.14000000001</v>
      </c>
      <c r="M22" s="76">
        <f t="shared" si="2"/>
        <v>140938.14000000001</v>
      </c>
      <c r="N22" s="20">
        <f t="shared" si="8"/>
        <v>0.13999999999999999</v>
      </c>
    </row>
    <row r="23" spans="1:15" ht="17.100000000000001" customHeight="1" x14ac:dyDescent="0.3">
      <c r="A23" s="78">
        <f t="shared" si="7"/>
        <v>15</v>
      </c>
      <c r="B23" s="78" t="s">
        <v>78</v>
      </c>
      <c r="C23" s="78" t="s">
        <v>95</v>
      </c>
      <c r="D23" s="79" t="s">
        <v>127</v>
      </c>
      <c r="E23" s="92">
        <f>5.69+0.51</f>
        <v>6.2</v>
      </c>
      <c r="F23" s="80">
        <v>370387.15</v>
      </c>
      <c r="G23" s="80">
        <f t="shared" si="9"/>
        <v>370387.15</v>
      </c>
      <c r="H23" s="72">
        <f t="shared" si="0"/>
        <v>0</v>
      </c>
      <c r="I23" s="72">
        <f t="shared" si="4"/>
        <v>0</v>
      </c>
      <c r="J23" s="73">
        <f t="shared" si="5"/>
        <v>287580.53092000005</v>
      </c>
      <c r="K23" s="74">
        <f t="shared" si="6"/>
        <v>0</v>
      </c>
      <c r="L23" s="75">
        <f t="shared" si="1"/>
        <v>287581.15000000002</v>
      </c>
      <c r="M23" s="76">
        <f t="shared" si="2"/>
        <v>296208.15000000002</v>
      </c>
      <c r="N23" s="20">
        <f t="shared" si="8"/>
        <v>0.15</v>
      </c>
    </row>
    <row r="24" spans="1:15" ht="17.100000000000001" customHeight="1" x14ac:dyDescent="0.3">
      <c r="A24" s="78">
        <f t="shared" si="7"/>
        <v>16</v>
      </c>
      <c r="B24" s="78" t="s">
        <v>66</v>
      </c>
      <c r="C24" s="78" t="s">
        <v>96</v>
      </c>
      <c r="D24" s="78"/>
      <c r="E24" s="91">
        <v>3.43</v>
      </c>
      <c r="F24" s="71">
        <v>199487.16</v>
      </c>
      <c r="G24" s="80">
        <v>205472</v>
      </c>
      <c r="H24" s="72">
        <f t="shared" si="0"/>
        <v>-5984.8399999999965</v>
      </c>
      <c r="I24" s="72">
        <f t="shared" si="4"/>
        <v>0</v>
      </c>
      <c r="J24" s="73">
        <f t="shared" si="5"/>
        <v>159096.97113800005</v>
      </c>
      <c r="K24" s="74">
        <f t="shared" si="6"/>
        <v>0</v>
      </c>
      <c r="L24" s="75">
        <f t="shared" si="1"/>
        <v>153112.16</v>
      </c>
      <c r="M24" s="76">
        <f t="shared" si="2"/>
        <v>157705.16</v>
      </c>
      <c r="N24" s="20">
        <f t="shared" si="8"/>
        <v>0.16</v>
      </c>
    </row>
    <row r="25" spans="1:15" ht="17.100000000000001" customHeight="1" x14ac:dyDescent="0.3">
      <c r="A25" s="69">
        <f t="shared" si="7"/>
        <v>17</v>
      </c>
      <c r="B25" s="69" t="s">
        <v>79</v>
      </c>
      <c r="C25" s="69" t="s">
        <v>97</v>
      </c>
      <c r="D25" s="77" t="s">
        <v>134</v>
      </c>
      <c r="E25" s="91">
        <v>2.95</v>
      </c>
      <c r="F25" s="80">
        <v>176233.17</v>
      </c>
      <c r="G25" s="80">
        <f>F25</f>
        <v>176233.17</v>
      </c>
      <c r="H25" s="72">
        <f t="shared" si="0"/>
        <v>0</v>
      </c>
      <c r="I25" s="72">
        <f t="shared" si="4"/>
        <v>0</v>
      </c>
      <c r="J25" s="73">
        <f t="shared" si="5"/>
        <v>136832.67197000005</v>
      </c>
      <c r="K25" s="74">
        <f t="shared" si="6"/>
        <v>0</v>
      </c>
      <c r="L25" s="75">
        <f t="shared" si="1"/>
        <v>136833.17000000001</v>
      </c>
      <c r="M25" s="76">
        <f t="shared" si="2"/>
        <v>140938.17000000001</v>
      </c>
      <c r="N25" s="20">
        <f t="shared" si="8"/>
        <v>0.17</v>
      </c>
    </row>
    <row r="26" spans="1:15" ht="17.100000000000001" customHeight="1" x14ac:dyDescent="0.3">
      <c r="A26" s="78">
        <f t="shared" si="7"/>
        <v>18</v>
      </c>
      <c r="B26" s="78" t="s">
        <v>80</v>
      </c>
      <c r="C26" s="78" t="s">
        <v>98</v>
      </c>
      <c r="D26" s="97"/>
      <c r="E26" s="92">
        <f>5.69+0.51</f>
        <v>6.2</v>
      </c>
      <c r="F26" s="80">
        <v>370387.18</v>
      </c>
      <c r="G26" s="82">
        <f>F26</f>
        <v>370387.18</v>
      </c>
      <c r="H26" s="72">
        <f t="shared" si="0"/>
        <v>0</v>
      </c>
      <c r="I26" s="72">
        <f t="shared" si="4"/>
        <v>0</v>
      </c>
      <c r="J26" s="73">
        <f t="shared" si="5"/>
        <v>287580.53092000005</v>
      </c>
      <c r="K26" s="74">
        <f t="shared" si="6"/>
        <v>0</v>
      </c>
      <c r="L26" s="75">
        <f t="shared" si="1"/>
        <v>287581.18</v>
      </c>
      <c r="M26" s="76">
        <f t="shared" si="2"/>
        <v>296208.18</v>
      </c>
      <c r="N26" s="20">
        <f t="shared" si="8"/>
        <v>0.18000000000000002</v>
      </c>
    </row>
    <row r="27" spans="1:15" x14ac:dyDescent="0.3">
      <c r="A27" s="78">
        <f t="shared" si="7"/>
        <v>19</v>
      </c>
      <c r="B27" s="78" t="s">
        <v>67</v>
      </c>
      <c r="C27" s="78" t="s">
        <v>120</v>
      </c>
      <c r="D27" s="79" t="s">
        <v>128</v>
      </c>
      <c r="E27" s="92">
        <v>3.43</v>
      </c>
      <c r="F27" s="80">
        <v>1097243.19</v>
      </c>
      <c r="G27" s="80"/>
      <c r="H27" s="72">
        <f t="shared" si="0"/>
        <v>1097243.19</v>
      </c>
      <c r="I27" s="72">
        <f t="shared" si="4"/>
        <v>32917.295699999995</v>
      </c>
      <c r="J27" s="73">
        <f t="shared" si="5"/>
        <v>159096.97113800005</v>
      </c>
      <c r="K27" s="74">
        <f t="shared" si="6"/>
        <v>0</v>
      </c>
      <c r="L27" s="75">
        <f t="shared" si="1"/>
        <v>1289257.19</v>
      </c>
      <c r="M27" s="76">
        <f t="shared" si="2"/>
        <v>1327935.19</v>
      </c>
      <c r="N27" s="20">
        <f t="shared" si="8"/>
        <v>0.19000000000000003</v>
      </c>
    </row>
    <row r="28" spans="1:15" x14ac:dyDescent="0.3">
      <c r="A28" s="78">
        <f t="shared" si="7"/>
        <v>20</v>
      </c>
      <c r="B28" s="98" t="s">
        <v>81</v>
      </c>
      <c r="C28" s="78" t="s">
        <v>118</v>
      </c>
      <c r="D28" s="79" t="s">
        <v>135</v>
      </c>
      <c r="E28" s="92">
        <v>2.95</v>
      </c>
      <c r="F28" s="82">
        <v>176233.2</v>
      </c>
      <c r="G28" s="80">
        <f t="shared" ref="G28" si="10">F28</f>
        <v>176233.2</v>
      </c>
      <c r="H28" s="72">
        <f t="shared" si="0"/>
        <v>0</v>
      </c>
      <c r="I28" s="72">
        <f t="shared" si="4"/>
        <v>0</v>
      </c>
      <c r="J28" s="73">
        <f t="shared" si="5"/>
        <v>136832.67197000005</v>
      </c>
      <c r="K28" s="74">
        <f t="shared" si="6"/>
        <v>0</v>
      </c>
      <c r="L28" s="75">
        <f t="shared" si="1"/>
        <v>136833.20000000001</v>
      </c>
      <c r="M28" s="76">
        <f t="shared" si="2"/>
        <v>140938.20000000001</v>
      </c>
      <c r="N28" s="20">
        <f t="shared" si="8"/>
        <v>0.20000000000000004</v>
      </c>
    </row>
    <row r="29" spans="1:15" x14ac:dyDescent="0.3">
      <c r="A29" s="78">
        <f t="shared" si="7"/>
        <v>21</v>
      </c>
      <c r="B29" s="98" t="s">
        <v>82</v>
      </c>
      <c r="C29" s="99" t="s">
        <v>99</v>
      </c>
      <c r="D29" s="79"/>
      <c r="E29" s="92">
        <f>5.69+0.51</f>
        <v>6.2</v>
      </c>
      <c r="F29" s="82">
        <v>360582.21</v>
      </c>
      <c r="G29" s="80">
        <v>371400</v>
      </c>
      <c r="H29" s="72">
        <f t="shared" si="0"/>
        <v>-10817.789999999979</v>
      </c>
      <c r="I29" s="72">
        <f t="shared" si="4"/>
        <v>0</v>
      </c>
      <c r="J29" s="73">
        <f t="shared" si="5"/>
        <v>287580.53092000005</v>
      </c>
      <c r="K29" s="74">
        <f t="shared" si="6"/>
        <v>0</v>
      </c>
      <c r="L29" s="75">
        <f t="shared" si="1"/>
        <v>276763.21000000002</v>
      </c>
      <c r="M29" s="76">
        <f t="shared" si="2"/>
        <v>285066.21000000002</v>
      </c>
      <c r="N29" s="20">
        <f t="shared" si="8"/>
        <v>0.21000000000000005</v>
      </c>
      <c r="O29" s="79" t="s">
        <v>156</v>
      </c>
    </row>
    <row r="30" spans="1:15" x14ac:dyDescent="0.3">
      <c r="A30" s="78">
        <f t="shared" si="7"/>
        <v>22</v>
      </c>
      <c r="B30" s="100" t="s">
        <v>68</v>
      </c>
      <c r="C30" s="78" t="s">
        <v>100</v>
      </c>
      <c r="D30" s="79" t="s">
        <v>144</v>
      </c>
      <c r="E30" s="92">
        <v>3.43</v>
      </c>
      <c r="F30" s="82">
        <v>423713.22</v>
      </c>
      <c r="G30" s="82">
        <f>200000+180000</f>
        <v>380000</v>
      </c>
      <c r="H30" s="72">
        <f t="shared" si="0"/>
        <v>43713.219999999972</v>
      </c>
      <c r="I30" s="72">
        <f t="shared" si="4"/>
        <v>1311.3965999999991</v>
      </c>
      <c r="J30" s="73">
        <f t="shared" si="5"/>
        <v>159096.97113800005</v>
      </c>
      <c r="K30" s="74">
        <f t="shared" si="6"/>
        <v>0</v>
      </c>
      <c r="L30" s="75">
        <f t="shared" si="1"/>
        <v>204122.22</v>
      </c>
      <c r="M30" s="76">
        <f t="shared" si="2"/>
        <v>210246.22</v>
      </c>
      <c r="N30" s="20">
        <f t="shared" si="8"/>
        <v>0.22000000000000006</v>
      </c>
    </row>
    <row r="31" spans="1:15" x14ac:dyDescent="0.3">
      <c r="A31" s="78">
        <f t="shared" si="7"/>
        <v>23</v>
      </c>
      <c r="B31" s="100" t="s">
        <v>83</v>
      </c>
      <c r="C31" s="101" t="s">
        <v>119</v>
      </c>
      <c r="D31" s="102" t="s">
        <v>136</v>
      </c>
      <c r="E31" s="92">
        <v>2.95</v>
      </c>
      <c r="F31" s="82">
        <v>176233.23</v>
      </c>
      <c r="G31" s="82">
        <f>F31</f>
        <v>176233.23</v>
      </c>
      <c r="H31" s="72">
        <f t="shared" si="0"/>
        <v>0</v>
      </c>
      <c r="I31" s="72">
        <f t="shared" si="4"/>
        <v>0</v>
      </c>
      <c r="J31" s="73">
        <f t="shared" si="5"/>
        <v>136832.67197000005</v>
      </c>
      <c r="K31" s="74">
        <f t="shared" si="6"/>
        <v>0</v>
      </c>
      <c r="L31" s="75">
        <f t="shared" si="1"/>
        <v>136833.23000000001</v>
      </c>
      <c r="M31" s="76">
        <f t="shared" si="2"/>
        <v>140938.23000000001</v>
      </c>
      <c r="N31" s="20">
        <f t="shared" si="8"/>
        <v>0.23000000000000007</v>
      </c>
    </row>
    <row r="32" spans="1:15" x14ac:dyDescent="0.3">
      <c r="A32" s="69">
        <f t="shared" si="7"/>
        <v>24</v>
      </c>
      <c r="B32" s="83" t="s">
        <v>84</v>
      </c>
      <c r="C32" s="84" t="s">
        <v>101</v>
      </c>
      <c r="D32" s="85"/>
      <c r="E32" s="91">
        <v>5.68</v>
      </c>
      <c r="F32" s="81">
        <v>339322.24</v>
      </c>
      <c r="G32" s="82">
        <v>349502.24</v>
      </c>
      <c r="H32" s="72">
        <f t="shared" si="0"/>
        <v>-10180</v>
      </c>
      <c r="I32" s="72">
        <f t="shared" si="4"/>
        <v>0</v>
      </c>
      <c r="J32" s="73">
        <f t="shared" si="5"/>
        <v>263460.87348800007</v>
      </c>
      <c r="K32" s="74">
        <f t="shared" si="6"/>
        <v>0</v>
      </c>
      <c r="L32" s="75">
        <f t="shared" si="1"/>
        <v>253281.24</v>
      </c>
      <c r="M32" s="76">
        <f t="shared" si="2"/>
        <v>260879.24</v>
      </c>
      <c r="N32" s="20">
        <f t="shared" si="8"/>
        <v>0.24000000000000007</v>
      </c>
    </row>
    <row r="33" spans="1:14" ht="17.100000000000001" customHeight="1" thickBot="1" x14ac:dyDescent="0.35">
      <c r="A33" s="210"/>
      <c r="B33" s="211"/>
      <c r="C33" s="84"/>
      <c r="D33" s="84"/>
      <c r="E33" s="70"/>
      <c r="F33" s="81"/>
      <c r="G33" s="82"/>
      <c r="H33" s="72"/>
      <c r="I33" s="72"/>
      <c r="J33" s="73"/>
      <c r="K33" s="74"/>
      <c r="L33" s="75"/>
      <c r="M33" s="76"/>
      <c r="N33" s="20"/>
    </row>
    <row r="34" spans="1:14" ht="17.100000000000001" customHeight="1" thickBot="1" x14ac:dyDescent="0.35">
      <c r="A34" s="212" t="s">
        <v>102</v>
      </c>
      <c r="B34" s="212"/>
      <c r="C34" s="213"/>
      <c r="D34" s="86"/>
      <c r="E34" s="93">
        <f t="shared" ref="E34:K34" si="11">SUM(E9:E33)</f>
        <v>99.700000000000045</v>
      </c>
      <c r="F34" s="87">
        <f t="shared" si="11"/>
        <v>7510281.0000000009</v>
      </c>
      <c r="G34" s="88">
        <f t="shared" si="11"/>
        <v>5558621.0700000012</v>
      </c>
      <c r="H34" s="88">
        <f t="shared" si="11"/>
        <v>1951659.93</v>
      </c>
      <c r="I34" s="88">
        <f t="shared" si="11"/>
        <v>59538.676799999994</v>
      </c>
      <c r="J34" s="89">
        <f t="shared" si="11"/>
        <v>4624480.4730200013</v>
      </c>
      <c r="K34" s="88">
        <f t="shared" si="11"/>
        <v>0</v>
      </c>
      <c r="L34" s="90">
        <f>SUM(L9:L26)</f>
        <v>4338595.71</v>
      </c>
      <c r="M34" s="90">
        <f>SUM(M9:M33)</f>
        <v>6834757.0000000009</v>
      </c>
    </row>
    <row r="35" spans="1:14" ht="12.75" customHeight="1" x14ac:dyDescent="0.3">
      <c r="C35" s="25"/>
      <c r="D35" s="25"/>
    </row>
    <row r="36" spans="1:14" hidden="1" x14ac:dyDescent="0.3"/>
    <row r="37" spans="1:14" ht="9" customHeight="1" x14ac:dyDescent="0.3">
      <c r="C37" s="179"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79"/>
      <c r="E37" s="179"/>
      <c r="F37" s="179"/>
      <c r="G37" s="179"/>
      <c r="H37" s="179"/>
      <c r="I37" s="179"/>
      <c r="J37" s="179"/>
      <c r="K37" s="179"/>
      <c r="L37" s="179"/>
    </row>
    <row r="38" spans="1:14" ht="12" hidden="1" customHeight="1" x14ac:dyDescent="0.3">
      <c r="C38" s="179"/>
      <c r="D38" s="179"/>
      <c r="E38" s="179"/>
      <c r="F38" s="179"/>
      <c r="G38" s="179"/>
      <c r="H38" s="179"/>
      <c r="I38" s="179"/>
      <c r="J38" s="179"/>
      <c r="K38" s="179"/>
      <c r="L38" s="179"/>
    </row>
    <row r="39" spans="1:14" ht="12" hidden="1" customHeight="1" x14ac:dyDescent="0.3">
      <c r="C39" s="179"/>
      <c r="D39" s="179"/>
      <c r="E39" s="179"/>
      <c r="F39" s="179"/>
      <c r="G39" s="179"/>
      <c r="H39" s="179"/>
      <c r="I39" s="179"/>
      <c r="J39" s="179"/>
      <c r="K39" s="179"/>
      <c r="L39" s="179"/>
    </row>
    <row r="40" spans="1:14" ht="12" hidden="1" customHeight="1" x14ac:dyDescent="0.3">
      <c r="C40" s="179"/>
      <c r="D40" s="179"/>
      <c r="E40" s="179"/>
      <c r="F40" s="179"/>
      <c r="G40" s="179"/>
      <c r="H40" s="179"/>
      <c r="I40" s="179"/>
      <c r="J40" s="179"/>
      <c r="K40" s="179"/>
      <c r="L40" s="179"/>
    </row>
    <row r="41" spans="1:14" ht="12" hidden="1" customHeight="1" x14ac:dyDescent="0.3">
      <c r="C41" s="179"/>
      <c r="D41" s="179"/>
      <c r="E41" s="179"/>
      <c r="F41" s="179"/>
      <c r="G41" s="179"/>
      <c r="H41" s="179"/>
      <c r="I41" s="179"/>
      <c r="J41" s="179"/>
      <c r="K41" s="179"/>
      <c r="L41" s="179"/>
    </row>
    <row r="42" spans="1:14" ht="127.5" customHeight="1" x14ac:dyDescent="0.3">
      <c r="C42" s="179"/>
      <c r="D42" s="179"/>
      <c r="E42" s="179"/>
      <c r="F42" s="179"/>
      <c r="G42" s="179"/>
      <c r="H42" s="179"/>
      <c r="I42" s="179"/>
      <c r="J42" s="179"/>
      <c r="K42" s="179"/>
      <c r="L42" s="179"/>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8671875" defaultRowHeight="14.4" x14ac:dyDescent="0.3"/>
  <sheetData>
    <row r="2" spans="2:7" ht="15" thickBot="1" x14ac:dyDescent="0.35"/>
    <row r="3" spans="2:7" x14ac:dyDescent="0.3">
      <c r="B3" s="120" t="s">
        <v>139</v>
      </c>
      <c r="C3" s="121"/>
      <c r="D3" s="116"/>
      <c r="E3" s="116"/>
      <c r="F3" s="116"/>
      <c r="G3" s="117"/>
    </row>
    <row r="4" spans="2:7" x14ac:dyDescent="0.3">
      <c r="B4" s="122" t="s">
        <v>140</v>
      </c>
      <c r="C4" s="123"/>
      <c r="G4" s="118"/>
    </row>
    <row r="5" spans="2:7" x14ac:dyDescent="0.3">
      <c r="B5" s="119"/>
      <c r="G5" s="118"/>
    </row>
    <row r="6" spans="2:7" x14ac:dyDescent="0.3">
      <c r="B6" s="214"/>
      <c r="C6" s="215"/>
      <c r="D6" s="215"/>
      <c r="E6" s="215"/>
      <c r="F6" s="215"/>
      <c r="G6" s="216"/>
    </row>
    <row r="7" spans="2:7" x14ac:dyDescent="0.3">
      <c r="B7" s="214"/>
      <c r="C7" s="215"/>
      <c r="D7" s="215"/>
      <c r="E7" s="215"/>
      <c r="F7" s="215"/>
      <c r="G7" s="216"/>
    </row>
    <row r="8" spans="2:7" x14ac:dyDescent="0.3">
      <c r="B8" s="214"/>
      <c r="C8" s="215"/>
      <c r="D8" s="215"/>
      <c r="E8" s="215"/>
      <c r="F8" s="215"/>
      <c r="G8" s="216"/>
    </row>
    <row r="9" spans="2:7" ht="15" thickBot="1" x14ac:dyDescent="0.35">
      <c r="B9" s="217"/>
      <c r="C9" s="218"/>
      <c r="D9" s="218"/>
      <c r="E9" s="218"/>
      <c r="F9" s="218"/>
      <c r="G9" s="219"/>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2026-09-03T13:51:10Z</cp:lastPrinted>
  <dcterms:created xsi:type="dcterms:W3CDTF">2023-09-17T12:29:07Z</dcterms:created>
  <dcterms:modified xsi:type="dcterms:W3CDTF">2026-10-02T15:56:58Z</dcterms:modified>
</cp:coreProperties>
</file>