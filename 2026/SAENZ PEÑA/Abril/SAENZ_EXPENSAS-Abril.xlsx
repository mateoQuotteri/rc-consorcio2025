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SAENZ PEÑA\Abril\"/>
    </mc:Choice>
  </mc:AlternateContent>
  <xr:revisionPtr revIDLastSave="0" documentId="13_ncr:1_{C040CD6A-3A12-4203-AA96-0422C16D53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prorrateo  (2)" sheetId="5" r:id="rId3"/>
    <sheet name="extraordinaria" sheetId="4" r:id="rId4"/>
  </sheets>
  <definedNames>
    <definedName name="_xlnm.Print_Area" localSheetId="0">'detalle y gastos'!$A$1:$F$36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9" i="1"/>
  <c r="F7" i="1" l="1"/>
  <c r="F8" i="1"/>
  <c r="C23" i="3" l="1"/>
  <c r="C17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4" i="3"/>
  <c r="C34" i="3" l="1"/>
  <c r="C36" i="3" s="1"/>
  <c r="A2" i="1"/>
  <c r="C35" i="3" l="1"/>
  <c r="C33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7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<sst xmlns="http://schemas.openxmlformats.org/spreadsheetml/2006/main" count="124" uniqueCount="76">
  <si>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</si>
  <si>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</si>
  <si>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</si>
  <si>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</si>
  <si>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</si>
  <si>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</si>
  <si>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</si>
  <si>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</si>
  <si>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</si>
  <si>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</si>
  <si>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</si>
  <si>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</si>
  <si>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</si>
  <si>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</si>
  <si>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</si>
  <si>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</si>
  <si>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</si>
  <si>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</si>
  <si>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</si>
  <si>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</si>
  <si>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</si>
  <si>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</si>
  <si>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</si>
  <si>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</si>
  <si>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</si>
  <si>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</si>
  <si>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</si>
  <si>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</si>
  <si>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</si>
  <si>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</si>
  <si>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</si>
  <si>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</si>
  <si>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</si>
  <si>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</si>
  <si>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</si>
  <si>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</si>
  <si>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</si>
  <si>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</si>
  <si>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</si>
  <si>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</si>
  <si>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</si>
  <si>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</si>
  <si>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</si>
  <si>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</si>
  <si>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</si>
  <si>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</si>
  <si>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</si>
  <si>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</si>
  <si>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</si>
  <si>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</si>
  <si>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</si>
  <si>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</si>
  <si>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</si>
  <si>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</si>
  <si>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</si>
  <si>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</si>
  <si>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</si>
  <si>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</si>
  <si>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</si>
  <si>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</si>
  <si>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</si>
  <si>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 xml:space="preserve">Pago efectivo </t>
  </si>
  <si>
    <t>MP:1148</t>
  </si>
  <si>
    <t>Domicilio : Dr melo 2958 - 8vo piso  - con cita previa</t>
  </si>
  <si>
    <t>Mercantil Andina</t>
  </si>
  <si>
    <t xml:space="preserve">Poliza 8356156-0 </t>
  </si>
  <si>
    <t>Honorarios</t>
  </si>
  <si>
    <t>Prevision</t>
  </si>
  <si>
    <t>PRESUPUESTO APROBADO - MANO DE OBRA GAS Y CLOACAS</t>
  </si>
  <si>
    <t>Federacion Patronal - Sra. Nancy - Poliza 9200959</t>
  </si>
  <si>
    <t>Subidos en En3r0</t>
  </si>
  <si>
    <t xml:space="preserve">  </t>
  </si>
  <si>
    <t>Liquidacion mes de ABRIL</t>
  </si>
  <si>
    <t xml:space="preserve">Período ABRIL </t>
  </si>
  <si>
    <t>Destapacion - 22/04 Destapacion de cañeria cloacal desde camara hacia onodor en dpto B y desde camara hacia pozo. Se extrajo papel higenico - Dia 25/04: Destapacio de inodoro en dpto B - Se extrajo un trapo</t>
  </si>
  <si>
    <t>Desagote de Pozo - Camiones Villar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</si>
</sst>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  <numFmt numFmtId="168" formatCode="_ &quot;$&quot;\ * #,##0.0_ ;_ &quot;$&quot;\ * \-#,##0.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0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17" fontId="0" fillId="0" borderId="1" xfId="0" applyNumberFormat="1" applyBorder="1"/>
    <xf numFmtId="4" fontId="10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6" fontId="9" fillId="0" borderId="21" xfId="2" applyNumberFormat="1" applyFont="1" applyBorder="1"/>
    <xf numFmtId="168" fontId="14" fillId="2" borderId="1" xfId="2" applyNumberFormat="1" applyFont="1" applyFill="1" applyBorder="1"/>
    <xf numFmtId="168" fontId="14" fillId="6" borderId="10" xfId="0" applyNumberFormat="1" applyFont="1" applyFill="1" applyBorder="1"/>
    <xf numFmtId="166" fontId="10" fillId="0" borderId="19" xfId="2" applyNumberFormat="1" applyFont="1" applyBorder="1"/>
    <xf numFmtId="166" fontId="10" fillId="6" borderId="17" xfId="2" applyNumberFormat="1" applyFont="1" applyFill="1" applyBorder="1"/>
    <xf numFmtId="166" fontId="9" fillId="6" borderId="17" xfId="2" applyNumberFormat="1" applyFont="1" applyFill="1" applyBorder="1"/>
    <xf numFmtId="166" fontId="9" fillId="2" borderId="10" xfId="2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4"/>
  <sheetViews>
    <sheetView tabSelected="1" topLeftCell="A10" workbookViewId="0">
      <selection activeCell="C24" sqref="C24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8" x14ac:dyDescent="0.25">
      <c r="B1" t="s">
        <v>63</v>
      </c>
    </row>
    <row r="2" spans="1:8" x14ac:dyDescent="0.25">
      <c r="B2" t="s">
        <v>20</v>
      </c>
      <c r="C2" s="97" t="s">
        <v>62</v>
      </c>
    </row>
    <row r="3" spans="1:8" x14ac:dyDescent="0.25">
      <c r="B3" t="s">
        <v>11</v>
      </c>
    </row>
    <row r="4" spans="1:8" x14ac:dyDescent="0.25">
      <c r="B4" s="4" t="s">
        <v>8</v>
      </c>
    </row>
    <row r="5" spans="1:8" ht="8.25" customHeight="1" x14ac:dyDescent="0.25">
      <c r="A5" s="3"/>
      <c r="B5" s="23"/>
      <c r="C5" s="3"/>
    </row>
    <row r="6" spans="1:8" x14ac:dyDescent="0.25">
      <c r="D6" s="28"/>
      <c r="E6" s="28" t="s">
        <v>71</v>
      </c>
      <c r="F6" s="28"/>
    </row>
    <row r="7" spans="1:8" x14ac:dyDescent="0.25">
      <c r="A7" s="24" t="s">
        <v>43</v>
      </c>
      <c r="B7" s="24"/>
      <c r="C7" s="59"/>
      <c r="D7" s="59"/>
      <c r="E7" s="24" t="s">
        <v>72</v>
      </c>
      <c r="F7" s="98"/>
    </row>
    <row r="8" spans="1:8" x14ac:dyDescent="0.25">
      <c r="A8" s="3"/>
      <c r="B8" s="3"/>
      <c r="C8" s="3"/>
      <c r="D8" s="3"/>
      <c r="E8" s="3"/>
      <c r="F8" s="3"/>
    </row>
    <row r="10" spans="1:8" x14ac:dyDescent="0.25">
      <c r="A10" s="22" t="s">
        <v>13</v>
      </c>
    </row>
    <row r="11" spans="1:8" ht="15.75" thickBot="1" x14ac:dyDescent="0.3">
      <c r="A11" s="101" t="s">
        <v>12</v>
      </c>
      <c r="B11" s="97"/>
      <c r="C11" s="12"/>
      <c r="D11" s="5"/>
      <c r="E11" s="128" t="s">
        <v>24</v>
      </c>
      <c r="F11" s="128"/>
    </row>
    <row r="12" spans="1:8" x14ac:dyDescent="0.25">
      <c r="A12" s="99"/>
      <c r="B12" s="99"/>
      <c r="C12" s="105"/>
      <c r="D12" s="5"/>
      <c r="E12" s="48" t="s">
        <v>48</v>
      </c>
      <c r="F12" s="121">
        <v>1810783.8092361402</v>
      </c>
    </row>
    <row r="13" spans="1:8" x14ac:dyDescent="0.25">
      <c r="A13" s="97" t="s">
        <v>64</v>
      </c>
      <c r="B13" s="97" t="s">
        <v>65</v>
      </c>
      <c r="C13" s="105">
        <v>40499</v>
      </c>
      <c r="D13" s="36"/>
      <c r="E13" s="49" t="s">
        <v>9</v>
      </c>
      <c r="F13" s="50">
        <f>'prorrateo '!F11</f>
        <v>467450.20456200006</v>
      </c>
    </row>
    <row r="14" spans="1:8" x14ac:dyDescent="0.25">
      <c r="A14" s="99" t="s">
        <v>26</v>
      </c>
      <c r="B14" s="99" t="s">
        <v>61</v>
      </c>
      <c r="C14" s="105">
        <v>38128.82</v>
      </c>
      <c r="D14" s="5"/>
      <c r="E14" s="49" t="s">
        <v>22</v>
      </c>
      <c r="F14" s="50">
        <f>-(C36)</f>
        <v>-642995.82000000007</v>
      </c>
    </row>
    <row r="15" spans="1:8" x14ac:dyDescent="0.25">
      <c r="A15" s="97" t="s">
        <v>21</v>
      </c>
      <c r="B15" s="97" t="s">
        <v>66</v>
      </c>
      <c r="C15" s="71">
        <v>35000</v>
      </c>
      <c r="D15" s="5"/>
      <c r="E15" s="49"/>
      <c r="F15" s="50"/>
    </row>
    <row r="16" spans="1:8" x14ac:dyDescent="0.25">
      <c r="A16" s="99" t="s">
        <v>69</v>
      </c>
      <c r="B16" s="97"/>
      <c r="C16" s="71">
        <v>10568</v>
      </c>
      <c r="D16" s="5"/>
      <c r="E16" s="49"/>
      <c r="F16" s="50"/>
      <c r="H16" t="s">
        <v>70</v>
      </c>
    </row>
    <row r="17" spans="1:7" ht="15.75" thickBot="1" x14ac:dyDescent="0.3">
      <c r="A17" s="102"/>
      <c r="B17" s="103"/>
      <c r="C17" s="125">
        <f>SUM(C12:C16)</f>
        <v>124195.82</v>
      </c>
      <c r="E17" s="51" t="s">
        <v>49</v>
      </c>
      <c r="F17" s="118">
        <f>SUM(F12:F15)</f>
        <v>1635238.1937981404</v>
      </c>
    </row>
    <row r="18" spans="1:7" x14ac:dyDescent="0.25">
      <c r="A18" s="101" t="s">
        <v>23</v>
      </c>
      <c r="B18" s="97"/>
      <c r="C18" s="126"/>
      <c r="D18" s="5"/>
      <c r="E18" s="19"/>
      <c r="F18" s="20"/>
    </row>
    <row r="19" spans="1:7" ht="15" customHeight="1" x14ac:dyDescent="0.25">
      <c r="A19" s="97" t="s">
        <v>42</v>
      </c>
      <c r="B19" s="104" t="s">
        <v>73</v>
      </c>
      <c r="C19" s="71">
        <v>88800</v>
      </c>
      <c r="D19" s="5"/>
      <c r="E19" s="19"/>
      <c r="F19" s="20"/>
    </row>
    <row r="20" spans="1:7" ht="48.75" customHeight="1" x14ac:dyDescent="0.25">
      <c r="A20" s="148" t="s">
        <v>74</v>
      </c>
      <c r="B20" s="149"/>
      <c r="C20" s="71">
        <v>210000</v>
      </c>
      <c r="D20" s="5"/>
      <c r="E20" s="19"/>
      <c r="F20" s="20"/>
    </row>
    <row r="21" spans="1:7" ht="15" customHeight="1" x14ac:dyDescent="0.25">
      <c r="A21" s="97" t="s">
        <v>75</v>
      </c>
      <c r="B21" s="104"/>
      <c r="C21" s="105">
        <v>220000</v>
      </c>
      <c r="D21" s="5"/>
      <c r="E21" s="19"/>
      <c r="F21" s="20"/>
    </row>
    <row r="22" spans="1:7" x14ac:dyDescent="0.25">
      <c r="A22" s="97" t="s">
        <v>67</v>
      </c>
      <c r="B22" s="104"/>
      <c r="C22" s="105"/>
      <c r="D22" s="5"/>
      <c r="E22" s="19"/>
      <c r="F22" s="20"/>
    </row>
    <row r="23" spans="1:7" x14ac:dyDescent="0.25">
      <c r="A23" s="102"/>
      <c r="B23" s="103"/>
      <c r="C23" s="119">
        <f>SUM(C18:C22)</f>
        <v>518800</v>
      </c>
      <c r="D23" s="5"/>
      <c r="E23" s="5"/>
      <c r="F23" s="47"/>
      <c r="G23" s="6"/>
    </row>
    <row r="24" spans="1:7" x14ac:dyDescent="0.25">
      <c r="A24" s="40" t="s">
        <v>14</v>
      </c>
      <c r="B24" s="41"/>
      <c r="C24" s="120">
        <f>+C23+C17</f>
        <v>642995.82000000007</v>
      </c>
      <c r="D24" s="5"/>
      <c r="E24" s="19"/>
      <c r="F24" s="20"/>
    </row>
    <row r="25" spans="1:7" ht="14.25" customHeight="1" x14ac:dyDescent="0.25">
      <c r="A25" s="60" t="s">
        <v>27</v>
      </c>
      <c r="B25" s="73"/>
      <c r="C25" s="74"/>
      <c r="E25" s="19"/>
      <c r="F25" s="20"/>
    </row>
    <row r="26" spans="1:7" hidden="1" x14ac:dyDescent="0.25">
      <c r="A26" s="22" t="s">
        <v>27</v>
      </c>
    </row>
    <row r="27" spans="1:7" hidden="1" x14ac:dyDescent="0.25">
      <c r="A27" s="37"/>
      <c r="B27" s="28"/>
      <c r="C27" s="46"/>
      <c r="F27" s="6"/>
    </row>
    <row r="28" spans="1:7" hidden="1" x14ac:dyDescent="0.25">
      <c r="A28" s="44"/>
      <c r="B28" s="43"/>
      <c r="C28" s="45">
        <v>0</v>
      </c>
      <c r="F28" s="6"/>
    </row>
    <row r="29" spans="1:7" hidden="1" x14ac:dyDescent="0.25">
      <c r="A29" s="52"/>
      <c r="B29" s="53"/>
      <c r="C29" s="45">
        <v>0</v>
      </c>
      <c r="F29" s="6"/>
    </row>
    <row r="30" spans="1:7" x14ac:dyDescent="0.25">
      <c r="A30" s="69"/>
      <c r="B30" s="70"/>
      <c r="C30" s="72"/>
      <c r="F30" s="6"/>
    </row>
    <row r="31" spans="1:7" x14ac:dyDescent="0.25">
      <c r="A31" s="69"/>
      <c r="B31" s="76"/>
      <c r="C31" s="77"/>
      <c r="F31" s="6"/>
    </row>
    <row r="32" spans="1:7" x14ac:dyDescent="0.25">
      <c r="A32" s="69"/>
      <c r="B32" s="75"/>
      <c r="C32" s="72">
        <v>0</v>
      </c>
      <c r="F32" s="6"/>
    </row>
    <row r="33" spans="1:6" x14ac:dyDescent="0.25">
      <c r="A33" s="54" t="s">
        <v>25</v>
      </c>
      <c r="B33" s="55"/>
      <c r="C33" s="56">
        <f>SUM(C28:C32)</f>
        <v>0</v>
      </c>
    </row>
    <row r="34" spans="1:6" x14ac:dyDescent="0.25">
      <c r="A34" t="s">
        <v>59</v>
      </c>
      <c r="C34" s="122">
        <f>C24-C22</f>
        <v>642995.82000000007</v>
      </c>
      <c r="F34" s="6"/>
    </row>
    <row r="35" spans="1:6" x14ac:dyDescent="0.25">
      <c r="A35" s="5" t="s">
        <v>54</v>
      </c>
      <c r="C35" s="123">
        <f>+C24</f>
        <v>642995.82000000007</v>
      </c>
      <c r="E35" s="100"/>
      <c r="F35" s="6"/>
    </row>
    <row r="36" spans="1:6" x14ac:dyDescent="0.25">
      <c r="A36" s="54" t="s">
        <v>15</v>
      </c>
      <c r="B36" s="55"/>
      <c r="C36" s="124">
        <f>C34</f>
        <v>642995.82000000007</v>
      </c>
      <c r="E36" s="16"/>
    </row>
    <row r="41" spans="1:6" x14ac:dyDescent="0.25">
      <c r="D41" s="6"/>
    </row>
    <row r="42" spans="1:6" x14ac:dyDescent="0.25">
      <c r="D42" s="16"/>
      <c r="E42" s="16"/>
    </row>
    <row r="43" spans="1:6" x14ac:dyDescent="0.25">
      <c r="D43" s="16"/>
      <c r="E43" s="16"/>
    </row>
    <row r="44" spans="1:6" x14ac:dyDescent="0.25">
      <c r="D44" s="16"/>
    </row>
    <row r="45" spans="1:6" x14ac:dyDescent="0.25">
      <c r="D45" s="16"/>
    </row>
    <row r="57" spans="1:3" x14ac:dyDescent="0.25">
      <c r="A57" s="19"/>
      <c r="B57" s="18"/>
      <c r="C57" s="20"/>
    </row>
    <row r="58" spans="1:3" x14ac:dyDescent="0.25">
      <c r="A58" s="18"/>
      <c r="B58" s="18"/>
      <c r="C58" s="18"/>
    </row>
    <row r="59" spans="1:3" x14ac:dyDescent="0.25">
      <c r="A59" s="18"/>
      <c r="B59" s="18"/>
      <c r="C59" s="18"/>
    </row>
    <row r="60" spans="1:3" x14ac:dyDescent="0.25">
      <c r="A60" s="18"/>
      <c r="B60" s="18"/>
      <c r="C60" s="18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  <row r="64" spans="1:3" x14ac:dyDescent="0.25">
      <c r="A64" s="18"/>
      <c r="B64" s="18"/>
      <c r="C64" s="18"/>
    </row>
  </sheetData>
  <mergeCells count="2">
    <mergeCell ref="E11:F11"/>
    <mergeCell ref="A20:B20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K1" sqref="K1"/>
    </sheetView>
  </sheetViews>
  <sheetFormatPr baseColWidth="10" defaultColWidth="10.85546875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2.7109375" customWidth="1"/>
    <col min="11" max="11" width="14.28515625" bestFit="1" customWidth="1"/>
    <col min="12" max="12" width="12.42578125" bestFit="1" customWidth="1"/>
    <col min="14" max="14" width="11.42578125" style="21"/>
  </cols>
  <sheetData>
    <row r="1" spans="1:12" x14ac:dyDescent="0.25">
      <c r="A1" s="95" t="s">
        <v>60</v>
      </c>
      <c r="B1" s="96"/>
      <c r="C1" s="96"/>
      <c r="D1" s="26"/>
      <c r="E1" s="25" t="s">
        <v>41</v>
      </c>
      <c r="F1" s="26"/>
      <c r="G1" s="25" t="s">
        <v>52</v>
      </c>
      <c r="H1" s="26"/>
      <c r="I1" s="26"/>
      <c r="J1" s="26"/>
      <c r="K1" s="62">
        <v>372041.53</v>
      </c>
      <c r="L1" s="27"/>
    </row>
    <row r="2" spans="1:12" ht="15.75" thickBot="1" x14ac:dyDescent="0.3">
      <c r="A2" s="63" t="str">
        <f>'detalle y gastos'!E7</f>
        <v>Liquidacion mes de ABRIL</v>
      </c>
      <c r="B2" s="64"/>
      <c r="C2" s="64"/>
      <c r="D2" s="65"/>
      <c r="E2" s="66"/>
      <c r="F2" s="65"/>
      <c r="G2" s="66" t="s">
        <v>53</v>
      </c>
      <c r="H2" s="65"/>
      <c r="I2" s="65"/>
      <c r="J2" s="65"/>
      <c r="K2" s="67"/>
      <c r="L2" s="68"/>
    </row>
    <row r="3" spans="1:12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2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7" t="s">
        <v>5</v>
      </c>
    </row>
    <row r="5" spans="1:12" x14ac:dyDescent="0.25">
      <c r="A5" s="12">
        <v>1</v>
      </c>
      <c r="B5" s="13" t="s">
        <v>29</v>
      </c>
      <c r="C5" s="14" t="s">
        <v>37</v>
      </c>
      <c r="D5" s="17">
        <v>0.1512</v>
      </c>
      <c r="E5" s="34">
        <v>652249.57843237906</v>
      </c>
      <c r="F5" s="127"/>
      <c r="G5" s="58">
        <f>E5-F5</f>
        <v>652249.57843237906</v>
      </c>
      <c r="H5" s="61">
        <f>IF(G5&gt;0,G5*8.4%,0)</f>
        <v>54788.964588319846</v>
      </c>
      <c r="I5" s="15">
        <v>0</v>
      </c>
      <c r="J5" s="31">
        <f>K1*D5</f>
        <v>56252.679336000001</v>
      </c>
      <c r="K5" s="15">
        <f>K2*D5</f>
        <v>0</v>
      </c>
      <c r="L5" s="32">
        <f>J5+K5+H5+G5</f>
        <v>763291.22235669894</v>
      </c>
    </row>
    <row r="6" spans="1:12" x14ac:dyDescent="0.25">
      <c r="A6" s="12">
        <v>2</v>
      </c>
      <c r="B6" s="13" t="s">
        <v>30</v>
      </c>
      <c r="C6" s="14" t="s">
        <v>38</v>
      </c>
      <c r="D6" s="17">
        <v>0.15690000000000001</v>
      </c>
      <c r="E6" s="34">
        <v>58373.316057000011</v>
      </c>
      <c r="F6" s="127">
        <f>'detalle y gastos'!C20</f>
        <v>210000</v>
      </c>
      <c r="G6" s="58">
        <f t="shared" ref="G6:G8" si="0">E6-F6</f>
        <v>-151626.68394299998</v>
      </c>
      <c r="H6" s="61">
        <f t="shared" ref="H6:H10" si="1">IF(G6&gt;0,G6*8.4%,0)</f>
        <v>0</v>
      </c>
      <c r="I6" s="15">
        <v>0</v>
      </c>
      <c r="J6" s="31">
        <f>K1*D6</f>
        <v>58373.316057000011</v>
      </c>
      <c r="K6" s="15">
        <f>K2*D6</f>
        <v>0</v>
      </c>
      <c r="L6" s="32">
        <f>J6+K6+H6+G6</f>
        <v>-93253.367885999964</v>
      </c>
    </row>
    <row r="7" spans="1:12" x14ac:dyDescent="0.25">
      <c r="A7" s="12">
        <v>3</v>
      </c>
      <c r="B7" s="13" t="s">
        <v>31</v>
      </c>
      <c r="C7" s="14" t="s">
        <v>39</v>
      </c>
      <c r="D7" s="17">
        <v>0.15820000000000001</v>
      </c>
      <c r="E7" s="34">
        <v>58856.970046000009</v>
      </c>
      <c r="F7" s="127">
        <f>E7</f>
        <v>58856.970046000009</v>
      </c>
      <c r="G7" s="58">
        <f t="shared" si="0"/>
        <v>0</v>
      </c>
      <c r="H7" s="61">
        <f t="shared" si="1"/>
        <v>0</v>
      </c>
      <c r="I7" s="15">
        <v>0</v>
      </c>
      <c r="J7" s="31">
        <f>K1*D7</f>
        <v>58856.970046000009</v>
      </c>
      <c r="K7" s="15">
        <f>K2*D7</f>
        <v>0</v>
      </c>
      <c r="L7" s="32">
        <f t="shared" ref="L7:L9" si="2">J7+K7+H7+G7</f>
        <v>58856.970046000009</v>
      </c>
    </row>
    <row r="8" spans="1:12" x14ac:dyDescent="0.25">
      <c r="A8" s="12">
        <v>4</v>
      </c>
      <c r="B8" s="13" t="s">
        <v>33</v>
      </c>
      <c r="C8" s="14" t="s">
        <v>40</v>
      </c>
      <c r="D8" s="17">
        <v>0.19800000000000001</v>
      </c>
      <c r="E8" s="34">
        <v>73664.222940000007</v>
      </c>
      <c r="F8" s="127">
        <f>E8</f>
        <v>73664.222940000007</v>
      </c>
      <c r="G8" s="58">
        <f t="shared" si="0"/>
        <v>0</v>
      </c>
      <c r="H8" s="61">
        <f t="shared" si="1"/>
        <v>0</v>
      </c>
      <c r="I8" s="15">
        <v>0</v>
      </c>
      <c r="J8" s="31">
        <f>K1*D8</f>
        <v>73664.222940000007</v>
      </c>
      <c r="K8" s="15">
        <f>K2*D8</f>
        <v>0</v>
      </c>
      <c r="L8" s="32">
        <f t="shared" si="2"/>
        <v>73664.222940000007</v>
      </c>
    </row>
    <row r="9" spans="1:12" x14ac:dyDescent="0.25">
      <c r="A9" s="12">
        <v>5</v>
      </c>
      <c r="B9" s="13" t="s">
        <v>32</v>
      </c>
      <c r="C9" s="14" t="s">
        <v>35</v>
      </c>
      <c r="D9" s="17">
        <v>0.15920000000000001</v>
      </c>
      <c r="E9" s="34">
        <v>59229.011576000004</v>
      </c>
      <c r="F9" s="127">
        <f>E9</f>
        <v>59229.011576000004</v>
      </c>
      <c r="G9" s="58">
        <f>E9-F9</f>
        <v>0</v>
      </c>
      <c r="H9" s="61">
        <f t="shared" si="1"/>
        <v>0</v>
      </c>
      <c r="I9" s="15">
        <v>0</v>
      </c>
      <c r="J9" s="31">
        <f>K1*D9</f>
        <v>59229.011576000004</v>
      </c>
      <c r="K9" s="15">
        <f>K2*D9</f>
        <v>0</v>
      </c>
      <c r="L9" s="32">
        <f t="shared" si="2"/>
        <v>59229.011576000004</v>
      </c>
    </row>
    <row r="10" spans="1:12" x14ac:dyDescent="0.25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65665.330044999995</v>
      </c>
      <c r="F10" s="127">
        <v>65700</v>
      </c>
      <c r="G10" s="58">
        <f>E10-F10</f>
        <v>-34.669955000004848</v>
      </c>
      <c r="H10" s="61">
        <f t="shared" si="1"/>
        <v>0</v>
      </c>
      <c r="I10" s="15">
        <v>0</v>
      </c>
      <c r="J10" s="31">
        <f>K1*D10</f>
        <v>65665.330044999995</v>
      </c>
      <c r="K10" s="15">
        <f>K2*D10</f>
        <v>0</v>
      </c>
      <c r="L10" s="32">
        <f>J10+K10+H10+G10</f>
        <v>65630.66008999999</v>
      </c>
    </row>
    <row r="11" spans="1:12" ht="15" customHeight="1" thickBot="1" x14ac:dyDescent="0.3">
      <c r="A11" s="8" t="s">
        <v>10</v>
      </c>
      <c r="B11" s="9"/>
      <c r="C11" s="10"/>
      <c r="D11" s="38">
        <f>SUM(D5:D10)</f>
        <v>1</v>
      </c>
      <c r="E11" s="35">
        <f t="shared" ref="E11" si="3">SUM(E5:E10)</f>
        <v>968038.42909637897</v>
      </c>
      <c r="F11" s="35">
        <f>SUM(F5:F10)</f>
        <v>467450.20456200006</v>
      </c>
      <c r="G11" s="42">
        <f>SUM(G5:G10)</f>
        <v>500588.22453437909</v>
      </c>
      <c r="H11" s="42">
        <f t="shared" ref="H11:K11" si="4">SUM(H5:H10)</f>
        <v>54788.964588319846</v>
      </c>
      <c r="I11" s="11">
        <f t="shared" si="4"/>
        <v>0</v>
      </c>
      <c r="J11" s="39">
        <f t="shared" si="4"/>
        <v>372041.53</v>
      </c>
      <c r="K11" s="39">
        <f t="shared" si="4"/>
        <v>0</v>
      </c>
      <c r="L11" s="42">
        <f>SUM(L5:L10)</f>
        <v>927418.719122699</v>
      </c>
    </row>
    <row r="12" spans="1:12" ht="51.75" hidden="1" customHeight="1" x14ac:dyDescent="0.25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</row>
    <row r="13" spans="1:12" x14ac:dyDescent="0.25">
      <c r="L13" s="6"/>
    </row>
    <row r="16" spans="1:12" x14ac:dyDescent="0.2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I10" sqref="I10"/>
    </sheetView>
  </sheetViews>
  <sheetFormatPr baseColWidth="10" defaultColWidth="10.85546875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12.7109375" customWidth="1"/>
    <col min="9" max="9" width="12.42578125" bestFit="1" customWidth="1"/>
    <col min="11" max="11" width="11.42578125" style="21"/>
  </cols>
  <sheetData>
    <row r="1" spans="1:9" x14ac:dyDescent="0.25">
      <c r="A1" s="106" t="s">
        <v>68</v>
      </c>
      <c r="B1" s="107"/>
      <c r="C1" s="107"/>
      <c r="D1" s="108"/>
      <c r="E1" s="109"/>
      <c r="F1" s="108"/>
      <c r="G1" s="130">
        <v>4500000</v>
      </c>
      <c r="H1" s="130"/>
      <c r="I1" s="110"/>
    </row>
    <row r="2" spans="1:9" x14ac:dyDescent="0.25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25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25">
      <c r="A4" s="12">
        <v>1</v>
      </c>
      <c r="B4" s="13" t="s">
        <v>29</v>
      </c>
      <c r="C4" s="14" t="s">
        <v>37</v>
      </c>
      <c r="D4" s="111">
        <v>0.1512</v>
      </c>
      <c r="E4" s="34">
        <v>0</v>
      </c>
      <c r="F4" s="71">
        <v>0</v>
      </c>
      <c r="G4" s="112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25">
      <c r="A5" s="12">
        <v>2</v>
      </c>
      <c r="B5" s="13" t="s">
        <v>30</v>
      </c>
      <c r="C5" s="14" t="s">
        <v>38</v>
      </c>
      <c r="D5" s="111">
        <v>0.15690000000000001</v>
      </c>
      <c r="E5" s="34">
        <v>0</v>
      </c>
      <c r="F5" s="71">
        <v>0</v>
      </c>
      <c r="G5" s="112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25">
      <c r="A6" s="12">
        <v>3</v>
      </c>
      <c r="B6" s="13" t="s">
        <v>31</v>
      </c>
      <c r="C6" s="14" t="s">
        <v>39</v>
      </c>
      <c r="D6" s="111">
        <v>0.15820000000000001</v>
      </c>
      <c r="E6" s="34">
        <v>0</v>
      </c>
      <c r="F6" s="71">
        <v>0</v>
      </c>
      <c r="G6" s="112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25">
      <c r="A7" s="12">
        <v>4</v>
      </c>
      <c r="B7" s="13" t="s">
        <v>33</v>
      </c>
      <c r="C7" s="14" t="s">
        <v>40</v>
      </c>
      <c r="D7" s="111">
        <v>0.19800000000000001</v>
      </c>
      <c r="E7" s="34">
        <v>0</v>
      </c>
      <c r="F7" s="71">
        <v>0</v>
      </c>
      <c r="G7" s="112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25">
      <c r="A8" s="12">
        <v>5</v>
      </c>
      <c r="B8" s="13" t="s">
        <v>32</v>
      </c>
      <c r="C8" s="14" t="s">
        <v>35</v>
      </c>
      <c r="D8" s="111">
        <v>0.15920000000000001</v>
      </c>
      <c r="E8" s="34">
        <v>0</v>
      </c>
      <c r="F8" s="71">
        <v>0</v>
      </c>
      <c r="G8" s="112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25">
      <c r="A9" s="12">
        <v>6</v>
      </c>
      <c r="B9" s="13" t="s">
        <v>34</v>
      </c>
      <c r="C9" s="14" t="s">
        <v>36</v>
      </c>
      <c r="D9" s="111">
        <v>0.17649999999999999</v>
      </c>
      <c r="E9" s="34">
        <v>0</v>
      </c>
      <c r="F9" s="71">
        <v>0</v>
      </c>
      <c r="G9" s="112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25">
      <c r="A10" s="113" t="s">
        <v>10</v>
      </c>
      <c r="B10" s="114"/>
      <c r="C10" s="115"/>
      <c r="D10" s="116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17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">
      <c r="A11" s="129"/>
      <c r="B11" s="129"/>
      <c r="C11" s="129"/>
      <c r="D11" s="129"/>
      <c r="E11" s="129"/>
      <c r="F11" s="129"/>
      <c r="G11" s="129"/>
      <c r="H11" s="129"/>
      <c r="I11" s="129"/>
    </row>
    <row r="12" spans="1:9" x14ac:dyDescent="0.25">
      <c r="I12" s="6"/>
    </row>
    <row r="15" spans="1:9" x14ac:dyDescent="0.25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ColWidth="10.85546875" defaultRowHeight="15" x14ac:dyDescent="0.25"/>
  <cols>
    <col min="3" max="3" width="13.140625" customWidth="1"/>
  </cols>
  <sheetData>
    <row r="1" spans="1:7" ht="19.5" thickBot="1" x14ac:dyDescent="0.35">
      <c r="A1" s="136" t="s">
        <v>27</v>
      </c>
      <c r="B1" s="137"/>
      <c r="C1" s="137"/>
      <c r="D1" s="137"/>
      <c r="E1" s="138"/>
      <c r="F1" s="78"/>
      <c r="G1" s="78"/>
    </row>
    <row r="2" spans="1:7" ht="15.75" thickBot="1" x14ac:dyDescent="0.3">
      <c r="A2" s="139" t="s">
        <v>55</v>
      </c>
      <c r="B2" s="140"/>
      <c r="C2" s="141"/>
      <c r="D2" s="142">
        <v>565</v>
      </c>
      <c r="E2" s="143"/>
      <c r="F2" s="79"/>
      <c r="G2" s="79"/>
    </row>
    <row r="3" spans="1:7" ht="15.75" thickTop="1" x14ac:dyDescent="0.25">
      <c r="A3" s="144" t="s">
        <v>0</v>
      </c>
      <c r="B3" s="144" t="s">
        <v>1</v>
      </c>
      <c r="C3" s="144" t="s">
        <v>2</v>
      </c>
      <c r="D3" s="146" t="s">
        <v>6</v>
      </c>
      <c r="E3" s="131" t="s">
        <v>56</v>
      </c>
      <c r="F3" s="131" t="s">
        <v>57</v>
      </c>
      <c r="G3" s="131" t="s">
        <v>50</v>
      </c>
    </row>
    <row r="4" spans="1:7" ht="15.75" thickBot="1" x14ac:dyDescent="0.3">
      <c r="A4" s="145"/>
      <c r="B4" s="145"/>
      <c r="C4" s="145"/>
      <c r="D4" s="147"/>
      <c r="E4" s="132"/>
      <c r="F4" s="132"/>
      <c r="G4" s="132"/>
    </row>
    <row r="5" spans="1:7" ht="16.5" thickTop="1" thickBot="1" x14ac:dyDescent="0.3">
      <c r="A5" s="80">
        <v>1</v>
      </c>
      <c r="B5" s="82" t="s">
        <v>29</v>
      </c>
      <c r="C5" s="83" t="s">
        <v>37</v>
      </c>
      <c r="D5" s="81">
        <v>0.1512</v>
      </c>
      <c r="E5" s="84">
        <v>85</v>
      </c>
      <c r="F5" s="84">
        <v>0</v>
      </c>
      <c r="G5" s="84">
        <v>0</v>
      </c>
    </row>
    <row r="6" spans="1:7" ht="15.75" thickBot="1" x14ac:dyDescent="0.3">
      <c r="A6" s="80">
        <v>2</v>
      </c>
      <c r="B6" s="82" t="s">
        <v>30</v>
      </c>
      <c r="C6" s="83" t="s">
        <v>38</v>
      </c>
      <c r="D6" s="81">
        <v>0.15690000000000001</v>
      </c>
      <c r="E6" s="84">
        <v>89</v>
      </c>
      <c r="F6" s="84">
        <v>0</v>
      </c>
      <c r="G6" s="84">
        <v>0</v>
      </c>
    </row>
    <row r="7" spans="1:7" ht="15.75" thickBot="1" x14ac:dyDescent="0.3">
      <c r="A7" s="80">
        <v>3</v>
      </c>
      <c r="B7" s="82" t="s">
        <v>31</v>
      </c>
      <c r="C7" s="83" t="s">
        <v>39</v>
      </c>
      <c r="D7" s="81">
        <v>0.15820000000000001</v>
      </c>
      <c r="E7" s="84">
        <v>89</v>
      </c>
      <c r="F7" s="84">
        <v>0</v>
      </c>
      <c r="G7" s="84">
        <v>0</v>
      </c>
    </row>
    <row r="8" spans="1:7" ht="18" customHeight="1" thickBot="1" x14ac:dyDescent="0.3">
      <c r="A8" s="80">
        <v>4</v>
      </c>
      <c r="B8" s="82" t="s">
        <v>33</v>
      </c>
      <c r="C8" s="94" t="s">
        <v>40</v>
      </c>
      <c r="D8" s="81">
        <v>0.19800000000000001</v>
      </c>
      <c r="E8" s="84">
        <v>112</v>
      </c>
      <c r="F8" s="84">
        <v>0</v>
      </c>
      <c r="G8" s="84">
        <v>0</v>
      </c>
    </row>
    <row r="9" spans="1:7" ht="15.75" thickBot="1" x14ac:dyDescent="0.3">
      <c r="A9" s="80">
        <v>5</v>
      </c>
      <c r="B9" s="82" t="s">
        <v>32</v>
      </c>
      <c r="C9" s="83" t="s">
        <v>35</v>
      </c>
      <c r="D9" s="81">
        <v>0.15920000000000001</v>
      </c>
      <c r="E9" s="84">
        <v>90</v>
      </c>
      <c r="F9" s="84">
        <v>0</v>
      </c>
      <c r="G9" s="84">
        <v>0</v>
      </c>
    </row>
    <row r="10" spans="1:7" ht="15.75" thickBot="1" x14ac:dyDescent="0.3">
      <c r="A10" s="85">
        <v>6</v>
      </c>
      <c r="B10" s="87" t="s">
        <v>34</v>
      </c>
      <c r="C10" s="88" t="s">
        <v>36</v>
      </c>
      <c r="D10" s="86">
        <v>0.17649999999999999</v>
      </c>
      <c r="E10" s="89">
        <v>100</v>
      </c>
      <c r="F10" s="89">
        <v>0</v>
      </c>
      <c r="G10" s="89">
        <v>0</v>
      </c>
    </row>
    <row r="11" spans="1:7" ht="16.5" thickTop="1" thickBot="1" x14ac:dyDescent="0.3">
      <c r="A11" s="90" t="s">
        <v>10</v>
      </c>
      <c r="B11" s="91"/>
      <c r="C11" s="91"/>
      <c r="D11" s="92">
        <v>1</v>
      </c>
      <c r="E11" s="92">
        <v>565</v>
      </c>
      <c r="F11" s="92" t="s">
        <v>58</v>
      </c>
      <c r="G11" s="93" t="s">
        <v>58</v>
      </c>
    </row>
    <row r="12" spans="1:7" ht="16.5" thickTop="1" thickBot="1" x14ac:dyDescent="0.3">
      <c r="A12" s="133"/>
      <c r="B12" s="134"/>
      <c r="C12" s="134"/>
      <c r="D12" s="134"/>
      <c r="E12" s="135"/>
      <c r="F12" s="78"/>
      <c r="G12" s="7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prorrateo  (2)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2026-04-30T18:00:22Z</cp:lastPrinted>
  <dcterms:created xsi:type="dcterms:W3CDTF">2020-12-10T00:27:53Z</dcterms:created>
  <dcterms:modified xsi:type="dcterms:W3CDTF">2026-04-30T18:00:29Z</dcterms:modified>
</cp:coreProperties>
</file>