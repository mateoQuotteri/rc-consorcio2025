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ENZ PEÑA\"/>
    </mc:Choice>
  </mc:AlternateContent>
  <xr:revisionPtr revIDLastSave="0" documentId="13_ncr:1_{FBFFC2AA-5822-4541-A8D3-A706AEBE3B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gastos'!$A$1:$F$41</definedName>
  </definedNames>
  <calcPr calcId="181029"/>
</workbook>
</file>

<file path=xl/calcChain.xml><?xml version="1.0" encoding="utf-8"?>
<calcChain xmlns="http://schemas.openxmlformats.org/spreadsheetml/2006/main">
  <c r="C15" i="3" l="1"/>
  <c r="C13" i="3"/>
  <c r="C16" i="3"/>
  <c r="C14" i="3"/>
  <c r="C28" i="3"/>
  <c r="C17" i="3" l="1"/>
  <c r="H5" i="5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9" i="3"/>
  <c r="C39" i="3" l="1"/>
  <c r="C41" i="3" s="1"/>
  <c r="A2" i="1"/>
  <c r="F13" i="3" l="1"/>
  <c r="C40" i="3"/>
  <c r="C38" i="3" l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7" i="3" l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<sst xmlns="http://schemas.openxmlformats.org/spreadsheetml/2006/main" count="129" uniqueCount="80">
  <si>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</si>
  <si>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</si>
  <si>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</si>
  <si>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</si>
  <si>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</si>
  <si>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</si>
  <si>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</si>
  <si>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</si>
  <si>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</si>
  <si>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</si>
  <si>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</si>
  <si>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</si>
  <si>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</si>
  <si>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</si>
  <si>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</si>
  <si>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</si>
  <si>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</si>
  <si>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</si>
  <si>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</si>
  <si>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</si>
  <si>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</si>
  <si>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</si>
  <si>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</si>
  <si>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</si>
  <si>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</si>
  <si>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</si>
  <si>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</si>
  <si>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</si>
  <si>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</si>
  <si>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</si>
  <si>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</si>
  <si>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</si>
  <si>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</si>
  <si>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</si>
  <si>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</si>
  <si>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</si>
  <si>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</si>
  <si>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</si>
  <si>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</si>
  <si>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</si>
  <si>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</si>
  <si>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</si>
  <si>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</si>
  <si>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</si>
  <si>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</si>
  <si>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</si>
  <si>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</si>
  <si>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</si>
  <si>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</si>
  <si>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</si>
  <si>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</si>
  <si>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</si>
  <si>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</si>
  <si>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</si>
  <si>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</si>
  <si>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</si>
  <si>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</si>
  <si>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</si>
  <si>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</si>
  <si>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</si>
  <si>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</si>
  <si>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</si>
  <si>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Mercantil Andina</t>
  </si>
  <si>
    <t>Prevision</t>
  </si>
  <si>
    <t>PRESUPUESTO APROBADO - MANO DE OBRA GAS Y CLOACAS</t>
  </si>
  <si>
    <t xml:space="preserve">  </t>
  </si>
  <si>
    <t xml:space="preserve">Período MAYO </t>
  </si>
  <si>
    <t>Destapacion - 22/04 Destapacion de cañeria cloacal desde camara hacia onodor en dpto B y desde camara hacia pozo. Se extrajo papel higenico - Dia 25/04: Destapacio de inodoro en dpto B - Se extrajo un trap</t>
  </si>
  <si>
    <t xml:space="preserve">Período Abril </t>
  </si>
  <si>
    <t>Desagote de Pozo - Camiones Villar 24/04</t>
  </si>
  <si>
    <t>Materiales de construccion - Cascote picado en bolson</t>
  </si>
  <si>
    <t>Pago finalizacion de obra cloacal (Restaban abonar $500.00 al cierre de la obra) - Ver resumen de octubre</t>
  </si>
  <si>
    <t>Liquidacion mes de JUNIO</t>
  </si>
  <si>
    <t>Articulos de limpieza</t>
  </si>
  <si>
    <t>Desagote de pozo ciego - Forlini Nora</t>
  </si>
  <si>
    <t>SAC Srta. Nancy</t>
  </si>
  <si>
    <t>Federacion Patronal - Sra. Nancy - Poliza 9200959 - Poliza que se dara de baja ya que esta unido a la CUIT de la administracion - Cubierta hasta el 31/05 - Periodo Abril - Mayo  - Junio</t>
  </si>
  <si>
    <t>Poliza 8356156-0 - Abril, Mayo y Junio</t>
  </si>
  <si>
    <t>Periodo Abril, Mayo y Junio</t>
  </si>
  <si>
    <t>Honorarios Abril, Mayo y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</si>
</sst>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4" fontId="15" fillId="0" borderId="20" xfId="0" applyNumberFormat="1" applyFont="1" applyBorder="1"/>
    <xf numFmtId="0" fontId="0" fillId="0" borderId="8" xfId="0" applyBorder="1"/>
    <xf numFmtId="17" fontId="0" fillId="0" borderId="10" xfId="0" applyNumberFormat="1" applyBorder="1"/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8" fillId="4" borderId="22" xfId="0" applyFont="1" applyFill="1" applyBorder="1" applyAlignment="1">
      <alignment horizontal="center"/>
    </xf>
    <xf numFmtId="0" fontId="0" fillId="6" borderId="8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164" fontId="15" fillId="0" borderId="20" xfId="2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9"/>
  <sheetViews>
    <sheetView tabSelected="1" topLeftCell="A4" workbookViewId="0">
      <selection activeCell="B21" sqref="B21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7.109375" customWidth="1"/>
    <col min="5" max="5" width="58.109375" bestFit="1" customWidth="1"/>
    <col min="6" max="6" width="13.5546875" customWidth="1"/>
  </cols>
  <sheetData>
    <row r="1" spans="1:6" x14ac:dyDescent="0.3">
      <c r="B1" t="s">
        <v>61</v>
      </c>
    </row>
    <row r="2" spans="1:6" x14ac:dyDescent="0.3">
      <c r="B2" t="s">
        <v>19</v>
      </c>
      <c r="C2" s="97" t="s">
        <v>60</v>
      </c>
    </row>
    <row r="3" spans="1:6" x14ac:dyDescent="0.3">
      <c r="B3" t="s">
        <v>10</v>
      </c>
    </row>
    <row r="4" spans="1:6" x14ac:dyDescent="0.3">
      <c r="B4" s="4" t="s">
        <v>8</v>
      </c>
    </row>
    <row r="5" spans="1:6" ht="8.25" customHeight="1" x14ac:dyDescent="0.3">
      <c r="A5" s="3"/>
      <c r="B5" s="23"/>
      <c r="C5" s="3"/>
    </row>
    <row r="6" spans="1:6" x14ac:dyDescent="0.3">
      <c r="D6" s="28"/>
      <c r="E6" s="28" t="s">
        <v>65</v>
      </c>
      <c r="F6" s="28"/>
    </row>
    <row r="7" spans="1:6" x14ac:dyDescent="0.3">
      <c r="A7" s="24" t="s">
        <v>42</v>
      </c>
      <c r="B7" s="24"/>
      <c r="C7" s="59"/>
      <c r="D7" s="59"/>
      <c r="E7" s="24" t="s">
        <v>72</v>
      </c>
      <c r="F7" s="98"/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12</v>
      </c>
    </row>
    <row r="11" spans="1:6" ht="15" thickBot="1" x14ac:dyDescent="0.35">
      <c r="A11" s="101" t="s">
        <v>11</v>
      </c>
      <c r="B11" s="97"/>
      <c r="C11" s="12"/>
      <c r="D11" s="5"/>
      <c r="E11" s="135" t="s">
        <v>23</v>
      </c>
      <c r="F11" s="135"/>
    </row>
    <row r="12" spans="1:6" x14ac:dyDescent="0.3">
      <c r="A12" s="99"/>
      <c r="B12" s="99"/>
      <c r="C12" s="105"/>
      <c r="D12" s="5"/>
      <c r="E12" s="48" t="s">
        <v>47</v>
      </c>
      <c r="F12" s="121">
        <v>1810783.8092361402</v>
      </c>
    </row>
    <row r="13" spans="1:6" x14ac:dyDescent="0.3">
      <c r="A13" s="97" t="s">
        <v>62</v>
      </c>
      <c r="B13" s="97" t="s">
        <v>77</v>
      </c>
      <c r="C13" s="105">
        <f>40499*3</f>
        <v>121497</v>
      </c>
      <c r="D13" s="36"/>
      <c r="E13" s="49" t="s">
        <v>21</v>
      </c>
      <c r="F13" s="130">
        <f>-(C41)</f>
        <v>-1298461.43</v>
      </c>
    </row>
    <row r="14" spans="1:6" x14ac:dyDescent="0.3">
      <c r="A14" s="99" t="s">
        <v>25</v>
      </c>
      <c r="B14" s="99" t="s">
        <v>78</v>
      </c>
      <c r="C14" s="105">
        <f>64087.45+ 38128.82+ 60719.16</f>
        <v>162935.43</v>
      </c>
      <c r="D14" s="5"/>
      <c r="E14" s="138" t="s">
        <v>71</v>
      </c>
      <c r="F14" s="139">
        <v>-500000</v>
      </c>
    </row>
    <row r="15" spans="1:6" ht="14.4" customHeight="1" x14ac:dyDescent="0.3">
      <c r="A15" s="97" t="s">
        <v>20</v>
      </c>
      <c r="B15" s="97" t="s">
        <v>79</v>
      </c>
      <c r="C15" s="71">
        <f>35000*3</f>
        <v>105000</v>
      </c>
      <c r="D15" s="5"/>
      <c r="E15" s="138"/>
      <c r="F15" s="139"/>
    </row>
    <row r="16" spans="1:6" ht="32.4" customHeight="1" x14ac:dyDescent="0.3">
      <c r="A16" s="136" t="s">
        <v>76</v>
      </c>
      <c r="B16" s="137"/>
      <c r="C16" s="71">
        <f>10568*3</f>
        <v>31704</v>
      </c>
      <c r="D16" s="5"/>
      <c r="E16" s="49"/>
      <c r="F16" s="50"/>
    </row>
    <row r="17" spans="1:7" ht="15" thickBot="1" x14ac:dyDescent="0.35">
      <c r="A17" s="102"/>
      <c r="B17" s="103"/>
      <c r="C17" s="125">
        <f>SUM(C12:C16)</f>
        <v>421136.43</v>
      </c>
      <c r="E17" s="51" t="s">
        <v>48</v>
      </c>
      <c r="F17" s="118">
        <f>SUM(F12:F14)</f>
        <v>12322.379236140288</v>
      </c>
    </row>
    <row r="18" spans="1:7" x14ac:dyDescent="0.3">
      <c r="A18" s="101" t="s">
        <v>22</v>
      </c>
      <c r="B18" s="97"/>
      <c r="C18" s="126"/>
      <c r="D18" s="5"/>
      <c r="E18" s="19"/>
      <c r="F18" s="20"/>
    </row>
    <row r="19" spans="1:7" ht="15" customHeight="1" x14ac:dyDescent="0.3">
      <c r="A19" s="97" t="s">
        <v>41</v>
      </c>
      <c r="B19" s="104" t="s">
        <v>66</v>
      </c>
      <c r="C19" s="71">
        <v>88800</v>
      </c>
      <c r="D19" s="5"/>
      <c r="E19" s="19"/>
      <c r="F19" s="20"/>
    </row>
    <row r="20" spans="1:7" ht="15" customHeight="1" x14ac:dyDescent="0.3">
      <c r="A20" s="97" t="s">
        <v>41</v>
      </c>
      <c r="B20" s="104" t="s">
        <v>68</v>
      </c>
      <c r="C20" s="71">
        <v>88800</v>
      </c>
      <c r="D20" s="5"/>
      <c r="E20" s="19"/>
      <c r="F20" s="20"/>
    </row>
    <row r="21" spans="1:7" ht="15" customHeight="1" x14ac:dyDescent="0.3">
      <c r="A21" s="131" t="s">
        <v>75</v>
      </c>
      <c r="B21" s="132"/>
      <c r="C21" s="71">
        <v>44000</v>
      </c>
      <c r="D21" s="5"/>
      <c r="E21" s="19"/>
      <c r="F21" s="20"/>
    </row>
    <row r="22" spans="1:7" ht="15" customHeight="1" x14ac:dyDescent="0.3">
      <c r="A22" s="131" t="s">
        <v>73</v>
      </c>
      <c r="B22" s="132"/>
      <c r="C22" s="71">
        <v>30600</v>
      </c>
      <c r="D22" s="5"/>
      <c r="E22" s="19"/>
      <c r="F22" s="20"/>
    </row>
    <row r="23" spans="1:7" ht="46.5" customHeight="1" x14ac:dyDescent="0.3">
      <c r="A23" s="133" t="s">
        <v>67</v>
      </c>
      <c r="B23" s="134"/>
      <c r="C23" s="71">
        <v>210000</v>
      </c>
      <c r="D23" s="5"/>
      <c r="E23" s="19"/>
      <c r="F23" s="20"/>
    </row>
    <row r="24" spans="1:7" ht="15" customHeight="1" x14ac:dyDescent="0.3">
      <c r="A24" s="128" t="s">
        <v>74</v>
      </c>
      <c r="B24" s="129"/>
      <c r="C24" s="71">
        <v>160000</v>
      </c>
      <c r="D24" s="5"/>
      <c r="E24" s="19"/>
      <c r="F24" s="20"/>
    </row>
    <row r="25" spans="1:7" ht="21.75" customHeight="1" x14ac:dyDescent="0.3">
      <c r="A25" s="133" t="s">
        <v>70</v>
      </c>
      <c r="B25" s="134"/>
      <c r="C25" s="71">
        <v>35125</v>
      </c>
      <c r="D25" s="5"/>
      <c r="E25" s="19"/>
      <c r="F25" s="20"/>
    </row>
    <row r="26" spans="1:7" ht="16.5" customHeight="1" x14ac:dyDescent="0.3">
      <c r="A26" s="128" t="s">
        <v>69</v>
      </c>
      <c r="B26" s="129"/>
      <c r="C26" s="71">
        <v>220000</v>
      </c>
      <c r="D26" s="5"/>
      <c r="E26" s="19"/>
      <c r="F26" s="20"/>
    </row>
    <row r="27" spans="1:7" x14ac:dyDescent="0.3">
      <c r="A27" s="97" t="s">
        <v>63</v>
      </c>
      <c r="B27" s="104"/>
      <c r="C27" s="105"/>
      <c r="D27" s="5"/>
      <c r="E27" s="19"/>
      <c r="F27" s="20"/>
    </row>
    <row r="28" spans="1:7" x14ac:dyDescent="0.3">
      <c r="A28" s="102"/>
      <c r="B28" s="103"/>
      <c r="C28" s="119">
        <f>SUM(C18:C27)</f>
        <v>877325</v>
      </c>
      <c r="D28" s="5"/>
      <c r="E28" s="5"/>
      <c r="F28" s="47"/>
      <c r="G28" s="6"/>
    </row>
    <row r="29" spans="1:7" x14ac:dyDescent="0.3">
      <c r="A29" s="40" t="s">
        <v>13</v>
      </c>
      <c r="B29" s="41"/>
      <c r="C29" s="120">
        <f>+C28+C17</f>
        <v>1298461.43</v>
      </c>
      <c r="D29" s="5"/>
      <c r="E29" s="19"/>
      <c r="F29" s="20"/>
    </row>
    <row r="30" spans="1:7" ht="14.25" customHeight="1" x14ac:dyDescent="0.3">
      <c r="A30" s="60" t="s">
        <v>26</v>
      </c>
      <c r="B30" s="73"/>
      <c r="C30" s="74"/>
      <c r="E30" s="19"/>
      <c r="F30" s="20"/>
    </row>
    <row r="31" spans="1:7" hidden="1" x14ac:dyDescent="0.3">
      <c r="A31" s="22" t="s">
        <v>26</v>
      </c>
    </row>
    <row r="32" spans="1:7" hidden="1" x14ac:dyDescent="0.3">
      <c r="A32" s="37"/>
      <c r="B32" s="28"/>
      <c r="C32" s="46"/>
      <c r="F32" s="6"/>
    </row>
    <row r="33" spans="1:6" hidden="1" x14ac:dyDescent="0.3">
      <c r="A33" s="44"/>
      <c r="B33" s="43"/>
      <c r="C33" s="45">
        <v>0</v>
      </c>
      <c r="F33" s="6"/>
    </row>
    <row r="34" spans="1:6" hidden="1" x14ac:dyDescent="0.3">
      <c r="A34" s="52"/>
      <c r="B34" s="53"/>
      <c r="C34" s="45">
        <v>0</v>
      </c>
      <c r="F34" s="6"/>
    </row>
    <row r="35" spans="1:6" x14ac:dyDescent="0.3">
      <c r="A35" s="69"/>
      <c r="B35" s="70"/>
      <c r="C35" s="72"/>
      <c r="F35" s="6"/>
    </row>
    <row r="36" spans="1:6" x14ac:dyDescent="0.3">
      <c r="A36" s="69"/>
      <c r="B36" s="76"/>
      <c r="C36" s="77"/>
      <c r="F36" s="6"/>
    </row>
    <row r="37" spans="1:6" x14ac:dyDescent="0.3">
      <c r="A37" s="69"/>
      <c r="B37" s="75"/>
      <c r="C37" s="72">
        <v>0</v>
      </c>
      <c r="F37" s="6"/>
    </row>
    <row r="38" spans="1:6" x14ac:dyDescent="0.3">
      <c r="A38" s="54" t="s">
        <v>24</v>
      </c>
      <c r="B38" s="55"/>
      <c r="C38" s="56">
        <f>SUM(C33:C37)</f>
        <v>0</v>
      </c>
    </row>
    <row r="39" spans="1:6" x14ac:dyDescent="0.3">
      <c r="A39" t="s">
        <v>58</v>
      </c>
      <c r="C39" s="122">
        <f>C29-C27</f>
        <v>1298461.43</v>
      </c>
      <c r="F39" s="6"/>
    </row>
    <row r="40" spans="1:6" x14ac:dyDescent="0.3">
      <c r="A40" s="5" t="s">
        <v>53</v>
      </c>
      <c r="C40" s="123">
        <f>+C29</f>
        <v>1298461.43</v>
      </c>
      <c r="E40" s="100"/>
      <c r="F40" s="6"/>
    </row>
    <row r="41" spans="1:6" x14ac:dyDescent="0.3">
      <c r="A41" s="54" t="s">
        <v>14</v>
      </c>
      <c r="B41" s="55"/>
      <c r="C41" s="124">
        <f>C39</f>
        <v>1298461.43</v>
      </c>
      <c r="E41" s="16"/>
    </row>
    <row r="46" spans="1:6" x14ac:dyDescent="0.3">
      <c r="D46" s="6"/>
    </row>
    <row r="47" spans="1:6" x14ac:dyDescent="0.3">
      <c r="D47" s="16"/>
      <c r="E47" s="16"/>
    </row>
    <row r="48" spans="1:6" x14ac:dyDescent="0.3">
      <c r="D48" s="16"/>
      <c r="E48" s="16"/>
    </row>
    <row r="49" spans="1:4" x14ac:dyDescent="0.3">
      <c r="D49" s="16"/>
    </row>
    <row r="50" spans="1:4" x14ac:dyDescent="0.3">
      <c r="D50" s="16"/>
    </row>
    <row r="62" spans="1:4" x14ac:dyDescent="0.3">
      <c r="A62" s="19"/>
      <c r="B62" s="18"/>
      <c r="C62" s="20"/>
    </row>
    <row r="63" spans="1:4" x14ac:dyDescent="0.3">
      <c r="A63" s="18"/>
      <c r="B63" s="18"/>
      <c r="C63" s="18"/>
    </row>
    <row r="64" spans="1:4" x14ac:dyDescent="0.3">
      <c r="A64" s="18"/>
      <c r="B64" s="18"/>
      <c r="C64" s="18"/>
    </row>
    <row r="65" spans="1:3" x14ac:dyDescent="0.3">
      <c r="A65" s="18"/>
      <c r="B65" s="18"/>
      <c r="C65" s="18"/>
    </row>
    <row r="66" spans="1:3" x14ac:dyDescent="0.3">
      <c r="A66" s="18"/>
      <c r="B66" s="18"/>
      <c r="C66" s="18"/>
    </row>
    <row r="67" spans="1:3" x14ac:dyDescent="0.3">
      <c r="A67" s="18"/>
      <c r="B67" s="18"/>
      <c r="C67" s="18"/>
    </row>
    <row r="68" spans="1:3" x14ac:dyDescent="0.3">
      <c r="A68" s="18"/>
      <c r="B68" s="18"/>
      <c r="C68" s="18"/>
    </row>
    <row r="69" spans="1:3" x14ac:dyDescent="0.3">
      <c r="A69" s="18"/>
      <c r="B69" s="18"/>
      <c r="C69" s="18"/>
    </row>
  </sheetData>
  <mergeCells count="6">
    <mergeCell ref="A25:B25"/>
    <mergeCell ref="E11:F11"/>
    <mergeCell ref="A16:B16"/>
    <mergeCell ref="A23:B23"/>
    <mergeCell ref="E14:E15"/>
    <mergeCell ref="F14:F1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7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J19" sqref="J19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5" t="s">
        <v>59</v>
      </c>
      <c r="B1" s="96"/>
      <c r="C1" s="96"/>
      <c r="D1" s="26"/>
      <c r="E1" s="25" t="s">
        <v>40</v>
      </c>
      <c r="F1" s="26"/>
      <c r="G1" s="25" t="s">
        <v>51</v>
      </c>
      <c r="H1" s="26"/>
      <c r="I1" s="26"/>
      <c r="J1" s="26"/>
      <c r="K1" s="62">
        <v>372041.53</v>
      </c>
      <c r="L1" s="27"/>
    </row>
    <row r="2" spans="1:12" ht="15" thickBot="1" x14ac:dyDescent="0.35">
      <c r="A2" s="63" t="str">
        <f>'detalle y gastos'!E7</f>
        <v>Liquidacion mes de JUNIO</v>
      </c>
      <c r="B2" s="64"/>
      <c r="C2" s="64"/>
      <c r="D2" s="65"/>
      <c r="E2" s="66"/>
      <c r="F2" s="65"/>
      <c r="G2" s="66" t="s">
        <v>52</v>
      </c>
      <c r="H2" s="65"/>
      <c r="I2" s="65"/>
      <c r="J2" s="65"/>
      <c r="K2" s="67"/>
      <c r="L2" s="68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17</v>
      </c>
      <c r="F3" s="7" t="s">
        <v>3</v>
      </c>
      <c r="G3" s="2" t="s">
        <v>49</v>
      </c>
      <c r="H3" s="2" t="s">
        <v>27</v>
      </c>
      <c r="I3" s="7" t="s">
        <v>45</v>
      </c>
      <c r="J3" s="33" t="s">
        <v>15</v>
      </c>
      <c r="K3" s="33" t="s">
        <v>43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18</v>
      </c>
      <c r="F4" s="7" t="s">
        <v>50</v>
      </c>
      <c r="G4" s="2"/>
      <c r="H4" s="29">
        <v>7.6999999999999999E-2</v>
      </c>
      <c r="I4" s="7" t="s">
        <v>46</v>
      </c>
      <c r="J4" s="30" t="s">
        <v>16</v>
      </c>
      <c r="K4" s="30" t="s">
        <v>44</v>
      </c>
      <c r="L4" s="57" t="s">
        <v>5</v>
      </c>
    </row>
    <row r="5" spans="1:12" x14ac:dyDescent="0.3">
      <c r="A5" s="12">
        <v>1</v>
      </c>
      <c r="B5" s="13" t="s">
        <v>28</v>
      </c>
      <c r="C5" s="14" t="s">
        <v>36</v>
      </c>
      <c r="D5" s="17">
        <v>0.1512</v>
      </c>
      <c r="E5" s="34">
        <v>652249.57843237906</v>
      </c>
      <c r="F5" s="127">
        <v>0</v>
      </c>
      <c r="G5" s="58">
        <f>E5-F5</f>
        <v>652249.57843237906</v>
      </c>
      <c r="H5" s="61">
        <f>IF(G5&gt;0,G5*8.4%,0)</f>
        <v>54788.964588319846</v>
      </c>
      <c r="I5" s="15">
        <v>0</v>
      </c>
      <c r="J5" s="31">
        <f>K1*D5</f>
        <v>56252.679336000001</v>
      </c>
      <c r="K5" s="15">
        <f>K2*D5</f>
        <v>0</v>
      </c>
      <c r="L5" s="32">
        <f>J5+K5+H5+G5</f>
        <v>763291.22235669894</v>
      </c>
    </row>
    <row r="6" spans="1:12" x14ac:dyDescent="0.3">
      <c r="A6" s="12">
        <v>2</v>
      </c>
      <c r="B6" s="13" t="s">
        <v>29</v>
      </c>
      <c r="C6" s="14" t="s">
        <v>37</v>
      </c>
      <c r="D6" s="17">
        <v>0.15690000000000001</v>
      </c>
      <c r="E6" s="34">
        <v>58373.316057000011</v>
      </c>
      <c r="F6" s="127">
        <v>0</v>
      </c>
      <c r="G6" s="58">
        <f t="shared" ref="G6:G8" si="0">E6-F6</f>
        <v>58373.316057000011</v>
      </c>
      <c r="H6" s="61">
        <f t="shared" ref="H6:H10" si="1">IF(G6&gt;0,G6*8.4%,0)</f>
        <v>4903.3585487880009</v>
      </c>
      <c r="I6" s="15">
        <v>0</v>
      </c>
      <c r="J6" s="31">
        <f>K1*D6</f>
        <v>58373.316057000011</v>
      </c>
      <c r="K6" s="15">
        <f>K2*D6</f>
        <v>0</v>
      </c>
      <c r="L6" s="32">
        <f>J6+K6+H6+G6</f>
        <v>121649.99066278801</v>
      </c>
    </row>
    <row r="7" spans="1:12" x14ac:dyDescent="0.3">
      <c r="A7" s="12">
        <v>3</v>
      </c>
      <c r="B7" s="13" t="s">
        <v>30</v>
      </c>
      <c r="C7" s="14" t="s">
        <v>38</v>
      </c>
      <c r="D7" s="17">
        <v>0.15820000000000001</v>
      </c>
      <c r="E7" s="34">
        <v>58856.970046000009</v>
      </c>
      <c r="F7" s="127">
        <v>0</v>
      </c>
      <c r="G7" s="58">
        <f t="shared" si="0"/>
        <v>58856.970046000009</v>
      </c>
      <c r="H7" s="61">
        <f t="shared" si="1"/>
        <v>4943.9854838640013</v>
      </c>
      <c r="I7" s="15">
        <v>0</v>
      </c>
      <c r="J7" s="31">
        <f>K1*D7</f>
        <v>58856.970046000009</v>
      </c>
      <c r="K7" s="15">
        <f>K2*D7</f>
        <v>0</v>
      </c>
      <c r="L7" s="32">
        <f t="shared" ref="L7:L9" si="2">J7+K7+H7+G7</f>
        <v>122657.92557586402</v>
      </c>
    </row>
    <row r="8" spans="1:12" x14ac:dyDescent="0.3">
      <c r="A8" s="12">
        <v>4</v>
      </c>
      <c r="B8" s="13" t="s">
        <v>32</v>
      </c>
      <c r="C8" s="14" t="s">
        <v>39</v>
      </c>
      <c r="D8" s="17">
        <v>0.19800000000000001</v>
      </c>
      <c r="E8" s="34">
        <v>73664.222940000007</v>
      </c>
      <c r="F8" s="127">
        <v>0</v>
      </c>
      <c r="G8" s="58">
        <f t="shared" si="0"/>
        <v>73664.222940000007</v>
      </c>
      <c r="H8" s="61">
        <f t="shared" si="1"/>
        <v>6187.7947269600008</v>
      </c>
      <c r="I8" s="15">
        <v>0</v>
      </c>
      <c r="J8" s="31">
        <f>K1*D8</f>
        <v>73664.222940000007</v>
      </c>
      <c r="K8" s="15">
        <f>K2*D8</f>
        <v>0</v>
      </c>
      <c r="L8" s="32">
        <f t="shared" si="2"/>
        <v>153516.24060696003</v>
      </c>
    </row>
    <row r="9" spans="1:12" x14ac:dyDescent="0.3">
      <c r="A9" s="12">
        <v>5</v>
      </c>
      <c r="B9" s="13" t="s">
        <v>31</v>
      </c>
      <c r="C9" s="14" t="s">
        <v>34</v>
      </c>
      <c r="D9" s="17">
        <v>0.15920000000000001</v>
      </c>
      <c r="E9" s="34">
        <v>59229.011576000004</v>
      </c>
      <c r="F9" s="127">
        <v>0</v>
      </c>
      <c r="G9" s="58">
        <f>E9-F9</f>
        <v>59229.011576000004</v>
      </c>
      <c r="H9" s="61">
        <f t="shared" si="1"/>
        <v>4975.2369723840011</v>
      </c>
      <c r="I9" s="15">
        <v>0</v>
      </c>
      <c r="J9" s="31">
        <f>K1*D9</f>
        <v>59229.011576000004</v>
      </c>
      <c r="K9" s="15">
        <f>K2*D9</f>
        <v>0</v>
      </c>
      <c r="L9" s="32">
        <f t="shared" si="2"/>
        <v>123433.26012438402</v>
      </c>
    </row>
    <row r="10" spans="1:12" x14ac:dyDescent="0.3">
      <c r="A10" s="12">
        <v>6</v>
      </c>
      <c r="B10" s="13" t="s">
        <v>33</v>
      </c>
      <c r="C10" s="14" t="s">
        <v>35</v>
      </c>
      <c r="D10" s="17">
        <v>0.17649999999999999</v>
      </c>
      <c r="E10" s="34">
        <v>65665.330044999995</v>
      </c>
      <c r="F10" s="127">
        <v>0</v>
      </c>
      <c r="G10" s="58">
        <f>E10-F10</f>
        <v>65665.330044999995</v>
      </c>
      <c r="H10" s="61">
        <f t="shared" si="1"/>
        <v>5515.8877237799998</v>
      </c>
      <c r="I10" s="15">
        <v>0</v>
      </c>
      <c r="J10" s="31">
        <f>K1*D10</f>
        <v>65665.330044999995</v>
      </c>
      <c r="K10" s="15">
        <f>K2*D10</f>
        <v>0</v>
      </c>
      <c r="L10" s="32">
        <f>J10+K10+H10+G10</f>
        <v>136846.54781377999</v>
      </c>
    </row>
    <row r="11" spans="1:12" ht="15" customHeight="1" thickBot="1" x14ac:dyDescent="0.35">
      <c r="A11" s="8" t="s">
        <v>9</v>
      </c>
      <c r="B11" s="9"/>
      <c r="C11" s="10"/>
      <c r="D11" s="38">
        <f>SUM(D5:D10)</f>
        <v>1</v>
      </c>
      <c r="E11" s="35">
        <f t="shared" ref="E11" si="3">SUM(E5:E10)</f>
        <v>968038.42909637897</v>
      </c>
      <c r="F11" s="35">
        <f>SUM(F5:F10)</f>
        <v>0</v>
      </c>
      <c r="G11" s="42">
        <f>SUM(G5:G10)</f>
        <v>968038.42909637897</v>
      </c>
      <c r="H11" s="42">
        <f t="shared" ref="H11:K11" si="4">SUM(H5:H10)</f>
        <v>81315.228044095842</v>
      </c>
      <c r="I11" s="11">
        <f t="shared" si="4"/>
        <v>0</v>
      </c>
      <c r="J11" s="39">
        <f t="shared" si="4"/>
        <v>372041.53</v>
      </c>
      <c r="K11" s="39">
        <f t="shared" si="4"/>
        <v>0</v>
      </c>
      <c r="L11" s="42">
        <f>SUM(L5:L10)</f>
        <v>1421395.1871404748</v>
      </c>
    </row>
    <row r="12" spans="1:12" ht="51.75" hidden="1" customHeigh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06" t="s">
        <v>64</v>
      </c>
      <c r="B1" s="107"/>
      <c r="C1" s="107"/>
      <c r="D1" s="108"/>
      <c r="E1" s="109"/>
      <c r="F1" s="108"/>
      <c r="G1" s="141">
        <v>4500000</v>
      </c>
      <c r="H1" s="141"/>
      <c r="I1" s="110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17</v>
      </c>
      <c r="F2" s="12" t="s">
        <v>3</v>
      </c>
      <c r="G2" s="12" t="s">
        <v>49</v>
      </c>
      <c r="H2" s="12" t="s">
        <v>15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18</v>
      </c>
      <c r="F3" s="12" t="s">
        <v>50</v>
      </c>
      <c r="G3" s="12"/>
      <c r="H3" s="12" t="s">
        <v>16</v>
      </c>
      <c r="I3" s="12" t="s">
        <v>5</v>
      </c>
    </row>
    <row r="4" spans="1:9" x14ac:dyDescent="0.3">
      <c r="A4" s="12">
        <v>1</v>
      </c>
      <c r="B4" s="13" t="s">
        <v>28</v>
      </c>
      <c r="C4" s="14" t="s">
        <v>36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29</v>
      </c>
      <c r="C5" s="14" t="s">
        <v>37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30</v>
      </c>
      <c r="C6" s="14" t="s">
        <v>38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32</v>
      </c>
      <c r="C7" s="14" t="s">
        <v>39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31</v>
      </c>
      <c r="C8" s="14" t="s">
        <v>34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33</v>
      </c>
      <c r="C9" s="14" t="s">
        <v>35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3" t="s">
        <v>9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40"/>
      <c r="B11" s="140"/>
      <c r="C11" s="140"/>
      <c r="D11" s="140"/>
      <c r="E11" s="140"/>
      <c r="F11" s="140"/>
      <c r="G11" s="140"/>
      <c r="H11" s="140"/>
      <c r="I11" s="140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8671875" defaultRowHeight="14.4" x14ac:dyDescent="0.3"/>
  <cols>
    <col min="3" max="3" width="13.109375" customWidth="1"/>
  </cols>
  <sheetData>
    <row r="1" spans="1:7" ht="18.600000000000001" thickBot="1" x14ac:dyDescent="0.4">
      <c r="A1" s="147" t="s">
        <v>26</v>
      </c>
      <c r="B1" s="148"/>
      <c r="C1" s="148"/>
      <c r="D1" s="148"/>
      <c r="E1" s="149"/>
      <c r="F1" s="78"/>
      <c r="G1" s="78"/>
    </row>
    <row r="2" spans="1:7" ht="15" thickBot="1" x14ac:dyDescent="0.35">
      <c r="A2" s="150" t="s">
        <v>54</v>
      </c>
      <c r="B2" s="151"/>
      <c r="C2" s="152"/>
      <c r="D2" s="153">
        <v>565</v>
      </c>
      <c r="E2" s="154"/>
      <c r="F2" s="79"/>
      <c r="G2" s="79"/>
    </row>
    <row r="3" spans="1:7" ht="15" thickTop="1" x14ac:dyDescent="0.3">
      <c r="A3" s="155" t="s">
        <v>0</v>
      </c>
      <c r="B3" s="155" t="s">
        <v>1</v>
      </c>
      <c r="C3" s="155" t="s">
        <v>2</v>
      </c>
      <c r="D3" s="157" t="s">
        <v>6</v>
      </c>
      <c r="E3" s="142" t="s">
        <v>55</v>
      </c>
      <c r="F3" s="142" t="s">
        <v>56</v>
      </c>
      <c r="G3" s="142" t="s">
        <v>49</v>
      </c>
    </row>
    <row r="4" spans="1:7" ht="15" thickBot="1" x14ac:dyDescent="0.35">
      <c r="A4" s="156"/>
      <c r="B4" s="156"/>
      <c r="C4" s="156"/>
      <c r="D4" s="158"/>
      <c r="E4" s="143"/>
      <c r="F4" s="143"/>
      <c r="G4" s="143"/>
    </row>
    <row r="5" spans="1:7" ht="15.6" thickTop="1" thickBot="1" x14ac:dyDescent="0.35">
      <c r="A5" s="80">
        <v>1</v>
      </c>
      <c r="B5" s="82" t="s">
        <v>28</v>
      </c>
      <c r="C5" s="83" t="s">
        <v>36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35">
      <c r="A6" s="80">
        <v>2</v>
      </c>
      <c r="B6" s="82" t="s">
        <v>29</v>
      </c>
      <c r="C6" s="83" t="s">
        <v>37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35">
      <c r="A7" s="80">
        <v>3</v>
      </c>
      <c r="B7" s="82" t="s">
        <v>30</v>
      </c>
      <c r="C7" s="83" t="s">
        <v>38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5">
      <c r="A8" s="80">
        <v>4</v>
      </c>
      <c r="B8" s="82" t="s">
        <v>32</v>
      </c>
      <c r="C8" s="94" t="s">
        <v>39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35">
      <c r="A9" s="80">
        <v>5</v>
      </c>
      <c r="B9" s="82" t="s">
        <v>31</v>
      </c>
      <c r="C9" s="83" t="s">
        <v>34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35">
      <c r="A10" s="85">
        <v>6</v>
      </c>
      <c r="B10" s="87" t="s">
        <v>33</v>
      </c>
      <c r="C10" s="88" t="s">
        <v>35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6" thickTop="1" thickBot="1" x14ac:dyDescent="0.35">
      <c r="A11" s="90" t="s">
        <v>9</v>
      </c>
      <c r="B11" s="91"/>
      <c r="C11" s="91"/>
      <c r="D11" s="92">
        <v>1</v>
      </c>
      <c r="E11" s="92">
        <v>565</v>
      </c>
      <c r="F11" s="92" t="s">
        <v>57</v>
      </c>
      <c r="G11" s="93" t="s">
        <v>57</v>
      </c>
    </row>
    <row r="12" spans="1:7" ht="15.6" thickTop="1" thickBot="1" x14ac:dyDescent="0.35">
      <c r="A12" s="144"/>
      <c r="B12" s="145"/>
      <c r="C12" s="145"/>
      <c r="D12" s="145"/>
      <c r="E12" s="146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2026-06-24T13:07:56Z</cp:lastPrinted>
  <dcterms:created xsi:type="dcterms:W3CDTF">2020-12-10T00:27:53Z</dcterms:created>
  <dcterms:modified xsi:type="dcterms:W3CDTF">2026-06-24T13:27:11Z</dcterms:modified>
</cp:coreProperties>
</file>