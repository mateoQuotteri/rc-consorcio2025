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ENZ PEÑA\Mayo\"/>
    </mc:Choice>
  </mc:AlternateContent>
  <xr:revisionPtr revIDLastSave="0" documentId="13_ncr:1_{7FA1F210-ED9F-45E7-BB5F-C58894309D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gastos'!$A$1:$F$35</definedName>
  </definedNames>
  <calcPr calcId="181029"/>
</workbook>
</file>

<file path=xl/calcChain.xml><?xml version="1.0" encoding="utf-8"?>
<calcChain xmlns="http://schemas.openxmlformats.org/spreadsheetml/2006/main">
  <c r="F14" i="3" l="1"/>
  <c r="C22" i="3" l="1"/>
  <c r="C16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3" i="3"/>
  <c r="C33" i="3" l="1"/>
  <c r="C35" i="3" s="1"/>
  <c r="F13" i="3" s="1"/>
  <c r="A2" i="1"/>
  <c r="C34" i="3" l="1"/>
  <c r="C32" i="3" l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6" i="3" l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<sst xmlns="http://schemas.openxmlformats.org/spreadsheetml/2006/main" count="122" uniqueCount="73">
  <si>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</si>
  <si>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</si>
  <si>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</si>
  <si>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</si>
  <si>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</si>
  <si>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</si>
  <si>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</si>
  <si>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</si>
  <si>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</si>
  <si>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</si>
  <si>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</si>
  <si>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</si>
  <si>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</si>
  <si>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</si>
  <si>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</si>
  <si>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</si>
  <si>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</si>
  <si>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</si>
  <si>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</si>
  <si>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</si>
  <si>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</si>
  <si>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</si>
  <si>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</si>
  <si>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</si>
  <si>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</si>
  <si>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</si>
  <si>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</si>
  <si>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</si>
  <si>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</si>
  <si>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</si>
  <si>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</si>
  <si>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</si>
  <si>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</si>
  <si>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</si>
  <si>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</si>
  <si>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</si>
  <si>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</si>
  <si>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</si>
  <si>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</si>
  <si>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</si>
  <si>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</si>
  <si>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</si>
  <si>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</si>
  <si>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</si>
  <si>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</si>
  <si>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</si>
  <si>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</si>
  <si>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</si>
  <si>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</si>
  <si>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</si>
  <si>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</si>
  <si>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</si>
  <si>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</si>
  <si>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</si>
  <si>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</si>
  <si>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</si>
  <si>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</si>
  <si>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</si>
  <si>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</si>
  <si>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</si>
  <si>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</si>
  <si>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</si>
  <si>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</si>
  <si>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Mercantil Andina</t>
  </si>
  <si>
    <t>Prevision</t>
  </si>
  <si>
    <t>PRESUPUESTO APROBADO - MANO DE OBRA GAS Y CLOACAS</t>
  </si>
  <si>
    <t xml:space="preserve">  </t>
  </si>
  <si>
    <t>Liquidacion mes de MAYO</t>
  </si>
  <si>
    <t xml:space="preserve">Período MAYO </t>
  </si>
  <si>
    <t>Poliza 8356156-0 - Mayo</t>
  </si>
  <si>
    <t>Honorarios Mayo</t>
  </si>
  <si>
    <t>Periodo Mayo</t>
  </si>
  <si>
    <t>Destapacion - 12/05 - Forlini 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</si>
</sst>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0" fillId="0" borderId="51" xfId="0" applyBorder="1" applyAlignment="1">
      <alignment horizontal="left" vertical="center" wrapText="1"/>
    </xf>
    <xf numFmtId="164" fontId="15" fillId="0" borderId="20" xfId="2" applyFont="1" applyBorder="1" applyAlignment="1">
      <alignment horizontal="center"/>
    </xf>
    <xf numFmtId="4" fontId="15" fillId="0" borderId="20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tabSelected="1" topLeftCell="A10" workbookViewId="0">
      <selection activeCell="F12" sqref="F12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6" x14ac:dyDescent="0.3">
      <c r="B1" t="s">
        <v>62</v>
      </c>
    </row>
    <row r="2" spans="1:6" x14ac:dyDescent="0.3">
      <c r="B2" t="s">
        <v>20</v>
      </c>
      <c r="C2" s="97" t="s">
        <v>61</v>
      </c>
    </row>
    <row r="3" spans="1:6" x14ac:dyDescent="0.3">
      <c r="B3" t="s">
        <v>11</v>
      </c>
    </row>
    <row r="4" spans="1:6" x14ac:dyDescent="0.3">
      <c r="B4" s="4" t="s">
        <v>8</v>
      </c>
    </row>
    <row r="5" spans="1:6" ht="8.25" customHeight="1" x14ac:dyDescent="0.3">
      <c r="A5" s="3"/>
      <c r="B5" s="23"/>
      <c r="C5" s="3"/>
    </row>
    <row r="6" spans="1:6" x14ac:dyDescent="0.3">
      <c r="D6" s="28"/>
      <c r="E6" s="28" t="s">
        <v>66</v>
      </c>
      <c r="F6" s="28"/>
    </row>
    <row r="7" spans="1:6" x14ac:dyDescent="0.3">
      <c r="A7" s="24" t="s">
        <v>43</v>
      </c>
      <c r="B7" s="24"/>
      <c r="C7" s="59"/>
      <c r="D7" s="59"/>
      <c r="E7" s="24" t="s">
        <v>67</v>
      </c>
      <c r="F7" s="98"/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13</v>
      </c>
    </row>
    <row r="11" spans="1:6" ht="15" thickBot="1" x14ac:dyDescent="0.35">
      <c r="A11" s="101" t="s">
        <v>12</v>
      </c>
      <c r="B11" s="97"/>
      <c r="C11" s="12"/>
      <c r="D11" s="5"/>
      <c r="E11" s="131" t="s">
        <v>24</v>
      </c>
      <c r="F11" s="131"/>
    </row>
    <row r="12" spans="1:6" x14ac:dyDescent="0.3">
      <c r="A12" s="99"/>
      <c r="B12" s="99"/>
      <c r="C12" s="105"/>
      <c r="D12" s="5"/>
      <c r="E12" s="48" t="s">
        <v>48</v>
      </c>
      <c r="F12" s="121">
        <v>1635238</v>
      </c>
    </row>
    <row r="13" spans="1:6" x14ac:dyDescent="0.3">
      <c r="A13" s="97" t="s">
        <v>63</v>
      </c>
      <c r="B13" s="97" t="s">
        <v>69</v>
      </c>
      <c r="C13" s="105">
        <v>0</v>
      </c>
      <c r="D13" s="36"/>
      <c r="E13" s="49" t="s">
        <v>22</v>
      </c>
      <c r="F13" s="130">
        <f>-(C35)</f>
        <v>-527887.44999999995</v>
      </c>
    </row>
    <row r="14" spans="1:6" x14ac:dyDescent="0.3">
      <c r="A14" s="99" t="s">
        <v>26</v>
      </c>
      <c r="B14" s="99" t="s">
        <v>71</v>
      </c>
      <c r="C14" s="105">
        <v>64087.45</v>
      </c>
      <c r="D14" s="5"/>
      <c r="E14" s="128" t="s">
        <v>9</v>
      </c>
      <c r="F14" s="129">
        <f>'prorrateo '!F11</f>
        <v>0</v>
      </c>
    </row>
    <row r="15" spans="1:6" x14ac:dyDescent="0.3">
      <c r="A15" s="97" t="s">
        <v>21</v>
      </c>
      <c r="B15" s="97" t="s">
        <v>70</v>
      </c>
      <c r="C15" s="71">
        <v>35000</v>
      </c>
      <c r="D15" s="5"/>
      <c r="E15" s="49"/>
      <c r="F15" s="50"/>
    </row>
    <row r="16" spans="1:6" ht="15" thickBot="1" x14ac:dyDescent="0.35">
      <c r="A16" s="102"/>
      <c r="B16" s="103"/>
      <c r="C16" s="125">
        <f>SUM(C12:C15)</f>
        <v>99087.45</v>
      </c>
      <c r="E16" s="51" t="s">
        <v>49</v>
      </c>
      <c r="F16" s="118">
        <f>SUM(F12:F14)</f>
        <v>1107350.55</v>
      </c>
    </row>
    <row r="17" spans="1:7" x14ac:dyDescent="0.3">
      <c r="A17" s="101" t="s">
        <v>23</v>
      </c>
      <c r="B17" s="97"/>
      <c r="C17" s="126"/>
      <c r="D17" s="5"/>
      <c r="E17" s="19"/>
      <c r="F17" s="20"/>
    </row>
    <row r="18" spans="1:7" ht="15" customHeight="1" x14ac:dyDescent="0.3">
      <c r="A18" s="97" t="s">
        <v>42</v>
      </c>
      <c r="B18" s="104" t="s">
        <v>68</v>
      </c>
      <c r="C18" s="71">
        <v>88800</v>
      </c>
      <c r="D18" s="5"/>
      <c r="E18" s="19"/>
      <c r="F18" s="20"/>
    </row>
    <row r="19" spans="1:7" ht="15" customHeight="1" x14ac:dyDescent="0.3">
      <c r="A19" s="132" t="s">
        <v>72</v>
      </c>
      <c r="B19" s="133"/>
      <c r="C19" s="71">
        <v>220000</v>
      </c>
      <c r="D19" s="5"/>
      <c r="E19" s="19"/>
      <c r="F19" s="20"/>
    </row>
    <row r="20" spans="1:7" ht="14.4" customHeight="1" x14ac:dyDescent="0.3">
      <c r="A20" s="132" t="s">
        <v>72</v>
      </c>
      <c r="B20" s="133"/>
      <c r="C20" s="71">
        <v>120000</v>
      </c>
      <c r="D20" s="5"/>
      <c r="E20" s="19"/>
      <c r="F20" s="20"/>
    </row>
    <row r="21" spans="1:7" x14ac:dyDescent="0.3">
      <c r="A21" s="97" t="s">
        <v>64</v>
      </c>
      <c r="B21" s="104"/>
      <c r="C21" s="105"/>
      <c r="D21" s="5"/>
      <c r="E21" s="19"/>
      <c r="F21" s="20"/>
    </row>
    <row r="22" spans="1:7" x14ac:dyDescent="0.3">
      <c r="A22" s="102"/>
      <c r="B22" s="103"/>
      <c r="C22" s="119">
        <f>SUM(C17:C21)</f>
        <v>428800</v>
      </c>
      <c r="D22" s="5"/>
      <c r="E22" s="5"/>
      <c r="F22" s="47"/>
      <c r="G22" s="6"/>
    </row>
    <row r="23" spans="1:7" x14ac:dyDescent="0.3">
      <c r="A23" s="40" t="s">
        <v>14</v>
      </c>
      <c r="B23" s="41"/>
      <c r="C23" s="120">
        <f>+C22+C16</f>
        <v>527887.44999999995</v>
      </c>
      <c r="D23" s="5"/>
      <c r="E23" s="19"/>
      <c r="F23" s="20"/>
    </row>
    <row r="24" spans="1:7" ht="14.25" customHeight="1" x14ac:dyDescent="0.3">
      <c r="A24" s="60" t="s">
        <v>27</v>
      </c>
      <c r="B24" s="73"/>
      <c r="C24" s="74"/>
      <c r="E24" s="19"/>
      <c r="F24" s="20"/>
    </row>
    <row r="25" spans="1:7" hidden="1" x14ac:dyDescent="0.3">
      <c r="A25" s="22" t="s">
        <v>27</v>
      </c>
    </row>
    <row r="26" spans="1:7" hidden="1" x14ac:dyDescent="0.3">
      <c r="A26" s="37"/>
      <c r="B26" s="28"/>
      <c r="C26" s="46"/>
      <c r="F26" s="6"/>
    </row>
    <row r="27" spans="1:7" hidden="1" x14ac:dyDescent="0.3">
      <c r="A27" s="44"/>
      <c r="B27" s="43"/>
      <c r="C27" s="45">
        <v>0</v>
      </c>
      <c r="F27" s="6"/>
    </row>
    <row r="28" spans="1:7" hidden="1" x14ac:dyDescent="0.3">
      <c r="A28" s="52"/>
      <c r="B28" s="53"/>
      <c r="C28" s="45">
        <v>0</v>
      </c>
      <c r="F28" s="6"/>
    </row>
    <row r="29" spans="1:7" x14ac:dyDescent="0.3">
      <c r="A29" s="69"/>
      <c r="B29" s="70"/>
      <c r="C29" s="72"/>
      <c r="F29" s="6"/>
    </row>
    <row r="30" spans="1:7" x14ac:dyDescent="0.3">
      <c r="A30" s="69"/>
      <c r="B30" s="76"/>
      <c r="C30" s="77"/>
      <c r="F30" s="6"/>
    </row>
    <row r="31" spans="1:7" x14ac:dyDescent="0.3">
      <c r="A31" s="69"/>
      <c r="B31" s="75"/>
      <c r="C31" s="72">
        <v>0</v>
      </c>
      <c r="F31" s="6"/>
    </row>
    <row r="32" spans="1:7" x14ac:dyDescent="0.3">
      <c r="A32" s="54" t="s">
        <v>25</v>
      </c>
      <c r="B32" s="55"/>
      <c r="C32" s="56">
        <f>SUM(C27:C31)</f>
        <v>0</v>
      </c>
    </row>
    <row r="33" spans="1:6" x14ac:dyDescent="0.3">
      <c r="A33" t="s">
        <v>59</v>
      </c>
      <c r="C33" s="122">
        <f>C23-C21</f>
        <v>527887.44999999995</v>
      </c>
      <c r="F33" s="6"/>
    </row>
    <row r="34" spans="1:6" x14ac:dyDescent="0.3">
      <c r="A34" s="5" t="s">
        <v>54</v>
      </c>
      <c r="C34" s="123">
        <f>+C23</f>
        <v>527887.44999999995</v>
      </c>
      <c r="E34" s="100"/>
      <c r="F34" s="6"/>
    </row>
    <row r="35" spans="1:6" x14ac:dyDescent="0.3">
      <c r="A35" s="54" t="s">
        <v>15</v>
      </c>
      <c r="B35" s="55"/>
      <c r="C35" s="124">
        <f>C33</f>
        <v>527887.44999999995</v>
      </c>
      <c r="E35" s="16"/>
    </row>
    <row r="40" spans="1:6" x14ac:dyDescent="0.3">
      <c r="D40" s="6"/>
    </row>
    <row r="41" spans="1:6" x14ac:dyDescent="0.3">
      <c r="D41" s="16"/>
      <c r="E41" s="16"/>
    </row>
    <row r="42" spans="1:6" x14ac:dyDescent="0.3">
      <c r="D42" s="16"/>
      <c r="E42" s="16"/>
    </row>
    <row r="43" spans="1:6" x14ac:dyDescent="0.3">
      <c r="D43" s="16"/>
    </row>
    <row r="44" spans="1:6" x14ac:dyDescent="0.3">
      <c r="D44" s="16"/>
    </row>
    <row r="56" spans="1:3" x14ac:dyDescent="0.3">
      <c r="A56" s="19"/>
      <c r="B56" s="18"/>
      <c r="C56" s="20"/>
    </row>
    <row r="57" spans="1:3" x14ac:dyDescent="0.3">
      <c r="A57" s="18"/>
      <c r="B57" s="18"/>
      <c r="C57" s="18"/>
    </row>
    <row r="58" spans="1:3" x14ac:dyDescent="0.3">
      <c r="A58" s="18"/>
      <c r="B58" s="18"/>
      <c r="C58" s="18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</sheetData>
  <mergeCells count="3">
    <mergeCell ref="E11:F11"/>
    <mergeCell ref="A20:B20"/>
    <mergeCell ref="A19:B19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527887.44999999995</v>
      </c>
      <c r="L1" s="27"/>
    </row>
    <row r="2" spans="1:12" ht="15" thickBot="1" x14ac:dyDescent="0.35">
      <c r="A2" s="63" t="str">
        <f>'detalle y gastos'!E7</f>
        <v>Liquidacion mes de MAYO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763291.22235669894</v>
      </c>
      <c r="F5" s="127">
        <v>0</v>
      </c>
      <c r="G5" s="58">
        <f>E5-F5</f>
        <v>763291.22235669894</v>
      </c>
      <c r="H5" s="61">
        <f>IF(G5&gt;0,G5*8.4%,0)</f>
        <v>64116.462677962714</v>
      </c>
      <c r="I5" s="15">
        <v>0</v>
      </c>
      <c r="J5" s="31">
        <f>K1*D5</f>
        <v>79816.582439999998</v>
      </c>
      <c r="K5" s="15">
        <f>K2*D5</f>
        <v>0</v>
      </c>
      <c r="L5" s="32">
        <f>J5+K5+H5+G5</f>
        <v>907224.26747466158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-93253.367885999964</v>
      </c>
      <c r="F6" s="127">
        <v>0</v>
      </c>
      <c r="G6" s="58">
        <f t="shared" ref="G6:G8" si="0">E6-F6</f>
        <v>-93253.367885999964</v>
      </c>
      <c r="H6" s="61">
        <f t="shared" ref="H6:H10" si="1">IF(G6&gt;0,G6*8.4%,0)</f>
        <v>0</v>
      </c>
      <c r="I6" s="15">
        <v>0</v>
      </c>
      <c r="J6" s="31">
        <f>K1*D6</f>
        <v>82825.540905000002</v>
      </c>
      <c r="K6" s="15">
        <f>K2*D6</f>
        <v>0</v>
      </c>
      <c r="L6" s="32">
        <f>J6+K6+H6+G6</f>
        <v>-10427.826980999962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58856.970046000009</v>
      </c>
      <c r="F7" s="127">
        <v>0</v>
      </c>
      <c r="G7" s="58">
        <f t="shared" si="0"/>
        <v>58856.970046000009</v>
      </c>
      <c r="H7" s="61">
        <f t="shared" si="1"/>
        <v>4943.9854838640013</v>
      </c>
      <c r="I7" s="15">
        <v>0</v>
      </c>
      <c r="J7" s="31">
        <f>K1*D7</f>
        <v>83511.79458999999</v>
      </c>
      <c r="K7" s="15">
        <f>K2*D7</f>
        <v>0</v>
      </c>
      <c r="L7" s="32">
        <f t="shared" ref="L7:L9" si="2">J7+K7+H7+G7</f>
        <v>147312.75011986401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73664.222940000007</v>
      </c>
      <c r="F8" s="127">
        <v>0</v>
      </c>
      <c r="G8" s="58">
        <f t="shared" si="0"/>
        <v>73664.222940000007</v>
      </c>
      <c r="H8" s="61">
        <f t="shared" si="1"/>
        <v>6187.7947269600008</v>
      </c>
      <c r="I8" s="15">
        <v>0</v>
      </c>
      <c r="J8" s="31">
        <f>K1*D8</f>
        <v>104521.7151</v>
      </c>
      <c r="K8" s="15">
        <f>K2*D8</f>
        <v>0</v>
      </c>
      <c r="L8" s="32">
        <f t="shared" si="2"/>
        <v>184373.73276695999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59229.011576000004</v>
      </c>
      <c r="F9" s="127">
        <v>0</v>
      </c>
      <c r="G9" s="58">
        <f>E9-F9</f>
        <v>59229.011576000004</v>
      </c>
      <c r="H9" s="61">
        <f t="shared" si="1"/>
        <v>4975.2369723840011</v>
      </c>
      <c r="I9" s="15">
        <v>0</v>
      </c>
      <c r="J9" s="31">
        <f>K1*D9</f>
        <v>84039.68204</v>
      </c>
      <c r="K9" s="15">
        <f>K2*D9</f>
        <v>0</v>
      </c>
      <c r="L9" s="32">
        <f t="shared" si="2"/>
        <v>148243.93058838398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65630.66008999999</v>
      </c>
      <c r="F10" s="127">
        <v>0</v>
      </c>
      <c r="G10" s="58">
        <f>E10-F10</f>
        <v>65630.66008999999</v>
      </c>
      <c r="H10" s="61">
        <f t="shared" si="1"/>
        <v>5512.9754475599993</v>
      </c>
      <c r="I10" s="15">
        <v>0</v>
      </c>
      <c r="J10" s="31">
        <f>K1*D10</f>
        <v>93172.134924999991</v>
      </c>
      <c r="K10" s="15">
        <f>K2*D10</f>
        <v>0</v>
      </c>
      <c r="L10" s="32">
        <f>J10+K10+H10+G10</f>
        <v>164315.77046256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927418.719122699</v>
      </c>
      <c r="F11" s="35">
        <f>SUM(F5:F10)</f>
        <v>0</v>
      </c>
      <c r="G11" s="42">
        <f>SUM(G5:G10)</f>
        <v>927418.719122699</v>
      </c>
      <c r="H11" s="42">
        <f t="shared" ref="H11:K11" si="4">SUM(H5:H10)</f>
        <v>85736.455308730714</v>
      </c>
      <c r="I11" s="11">
        <f t="shared" si="4"/>
        <v>0</v>
      </c>
      <c r="J11" s="39">
        <f t="shared" si="4"/>
        <v>527887.44999999995</v>
      </c>
      <c r="K11" s="39">
        <f t="shared" si="4"/>
        <v>0</v>
      </c>
      <c r="L11" s="42">
        <f>SUM(L5:L10)</f>
        <v>1541042.6244314297</v>
      </c>
    </row>
    <row r="12" spans="1:12" ht="51.75" hidden="1" customHeight="1" x14ac:dyDescent="0.3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06" t="s">
        <v>65</v>
      </c>
      <c r="B1" s="107"/>
      <c r="C1" s="107"/>
      <c r="D1" s="108"/>
      <c r="E1" s="109"/>
      <c r="F1" s="108"/>
      <c r="G1" s="135">
        <v>4500000</v>
      </c>
      <c r="H1" s="135"/>
      <c r="I1" s="110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34"/>
      <c r="B11" s="134"/>
      <c r="C11" s="134"/>
      <c r="D11" s="134"/>
      <c r="E11" s="134"/>
      <c r="F11" s="134"/>
      <c r="G11" s="134"/>
      <c r="H11" s="134"/>
      <c r="I11" s="134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8671875" defaultRowHeight="14.4" x14ac:dyDescent="0.3"/>
  <cols>
    <col min="3" max="3" width="13.109375" customWidth="1"/>
  </cols>
  <sheetData>
    <row r="1" spans="1:7" ht="18.600000000000001" thickBot="1" x14ac:dyDescent="0.4">
      <c r="A1" s="141" t="s">
        <v>27</v>
      </c>
      <c r="B1" s="142"/>
      <c r="C1" s="142"/>
      <c r="D1" s="142"/>
      <c r="E1" s="143"/>
      <c r="F1" s="78"/>
      <c r="G1" s="78"/>
    </row>
    <row r="2" spans="1:7" ht="15" thickBot="1" x14ac:dyDescent="0.35">
      <c r="A2" s="144" t="s">
        <v>55</v>
      </c>
      <c r="B2" s="145"/>
      <c r="C2" s="146"/>
      <c r="D2" s="147">
        <v>565</v>
      </c>
      <c r="E2" s="148"/>
      <c r="F2" s="79"/>
      <c r="G2" s="79"/>
    </row>
    <row r="3" spans="1:7" ht="15" thickTop="1" x14ac:dyDescent="0.3">
      <c r="A3" s="149" t="s">
        <v>0</v>
      </c>
      <c r="B3" s="149" t="s">
        <v>1</v>
      </c>
      <c r="C3" s="149" t="s">
        <v>2</v>
      </c>
      <c r="D3" s="151" t="s">
        <v>6</v>
      </c>
      <c r="E3" s="136" t="s">
        <v>56</v>
      </c>
      <c r="F3" s="136" t="s">
        <v>57</v>
      </c>
      <c r="G3" s="136" t="s">
        <v>50</v>
      </c>
    </row>
    <row r="4" spans="1:7" ht="15" thickBot="1" x14ac:dyDescent="0.35">
      <c r="A4" s="150"/>
      <c r="B4" s="150"/>
      <c r="C4" s="150"/>
      <c r="D4" s="152"/>
      <c r="E4" s="137"/>
      <c r="F4" s="137"/>
      <c r="G4" s="137"/>
    </row>
    <row r="5" spans="1:7" ht="15.6" thickTop="1" thickBot="1" x14ac:dyDescent="0.35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35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35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5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35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35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6" thickTop="1" thickBot="1" x14ac:dyDescent="0.35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5.6" thickTop="1" thickBot="1" x14ac:dyDescent="0.35">
      <c r="A12" s="138"/>
      <c r="B12" s="139"/>
      <c r="C12" s="139"/>
      <c r="D12" s="139"/>
      <c r="E12" s="140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2026-06-22T14:00:22Z</cp:lastPrinted>
  <dcterms:created xsi:type="dcterms:W3CDTF">2020-12-10T00:27:53Z</dcterms:created>
  <dcterms:modified xsi:type="dcterms:W3CDTF">2026-06-22T14:00:34Z</dcterms:modified>
</cp:coreProperties>
</file>