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Z PEÑA\Marzo\"/>
    </mc:Choice>
  </mc:AlternateContent>
  <xr:revisionPtr revIDLastSave="0" documentId="13_ncr:1_{1F9F4042-71EA-46E3-A135-2D1E72DD1E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F9" i="1" l="1"/>
  <c r="F6" i="1" l="1"/>
  <c r="F7" i="1"/>
  <c r="F10" i="1"/>
  <c r="F8" i="1"/>
  <c r="C24" i="3" l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5" i="3"/>
  <c r="C35" i="3" l="1"/>
  <c r="C37" i="3" s="1"/>
  <c r="A2" i="1"/>
  <c r="C36" i="3" l="1"/>
  <c r="C34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<sst xmlns="http://schemas.openxmlformats.org/spreadsheetml/2006/main" count="125" uniqueCount="77">
  <si>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</si>
  <si>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</si>
  <si>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</si>
  <si>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</si>
  <si>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</si>
  <si>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</si>
  <si>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</si>
  <si>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</si>
  <si>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</si>
  <si>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</si>
  <si>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</si>
  <si>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</si>
  <si>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</si>
  <si>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</si>
  <si>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</si>
  <si>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</si>
  <si>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</si>
  <si>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</si>
  <si>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</si>
  <si>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</si>
  <si>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</si>
  <si>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</si>
  <si>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</si>
  <si>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</si>
  <si>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</si>
  <si>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</si>
  <si>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</si>
  <si>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</si>
  <si>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</si>
  <si>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</si>
  <si>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</si>
  <si>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</si>
  <si>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</si>
  <si>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</si>
  <si>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</si>
  <si>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</si>
  <si>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</si>
  <si>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</si>
  <si>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</si>
  <si>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</si>
  <si>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</si>
  <si>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</si>
  <si>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</si>
  <si>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</si>
  <si>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</si>
  <si>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</si>
  <si>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</si>
  <si>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</si>
  <si>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</si>
  <si>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</si>
  <si>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</si>
  <si>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</si>
  <si>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</si>
  <si>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</si>
  <si>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</si>
  <si>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</si>
  <si>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</si>
  <si>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</si>
  <si>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</si>
  <si>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</si>
  <si>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</si>
  <si>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</si>
  <si>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</si>
  <si>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</si>
  <si>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</si>
  <si>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</si>
  <si>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</si>
  <si>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</si>
  <si>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</si>
  <si>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</si>
  <si>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Federacion Patronal - Sra. Nancy - Poliza 9200959</t>
  </si>
  <si>
    <t>Subidos en En3r0</t>
  </si>
  <si>
    <t>Liquidacion mes de MARZO</t>
  </si>
  <si>
    <t xml:space="preserve">Período MARZO </t>
  </si>
  <si>
    <t xml:space="preserve">  </t>
  </si>
  <si>
    <t xml:space="preserve">ADMA - Contactor modular Bipolar </t>
  </si>
  <si>
    <t>Destapacion - Forlini 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</si>
</sst>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workbookViewId="0">
      <selection activeCell="C25" sqref="C25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8" x14ac:dyDescent="0.3">
      <c r="B1" t="s">
        <v>63</v>
      </c>
    </row>
    <row r="2" spans="1:8" x14ac:dyDescent="0.3">
      <c r="B2" t="s">
        <v>20</v>
      </c>
      <c r="C2" s="97" t="s">
        <v>62</v>
      </c>
    </row>
    <row r="3" spans="1:8" x14ac:dyDescent="0.3">
      <c r="B3" t="s">
        <v>11</v>
      </c>
    </row>
    <row r="4" spans="1:8" x14ac:dyDescent="0.3">
      <c r="B4" s="4" t="s">
        <v>8</v>
      </c>
    </row>
    <row r="5" spans="1:8" ht="8.25" customHeight="1" x14ac:dyDescent="0.3">
      <c r="A5" s="3"/>
      <c r="B5" s="23"/>
      <c r="C5" s="3"/>
    </row>
    <row r="6" spans="1:8" x14ac:dyDescent="0.3">
      <c r="D6" s="28"/>
      <c r="E6" s="28" t="s">
        <v>74</v>
      </c>
      <c r="F6" s="28"/>
    </row>
    <row r="7" spans="1:8" x14ac:dyDescent="0.3">
      <c r="A7" s="24" t="s">
        <v>43</v>
      </c>
      <c r="B7" s="24"/>
      <c r="C7" s="59"/>
      <c r="D7" s="59"/>
      <c r="E7" s="24" t="s">
        <v>72</v>
      </c>
      <c r="F7" s="98"/>
    </row>
    <row r="8" spans="1:8" x14ac:dyDescent="0.3">
      <c r="A8" s="3"/>
      <c r="B8" s="3"/>
      <c r="C8" s="3"/>
      <c r="D8" s="3"/>
      <c r="E8" s="3"/>
      <c r="F8" s="3"/>
    </row>
    <row r="10" spans="1:8" x14ac:dyDescent="0.3">
      <c r="A10" s="22" t="s">
        <v>13</v>
      </c>
    </row>
    <row r="11" spans="1:8" ht="15" thickBot="1" x14ac:dyDescent="0.35">
      <c r="A11" s="101" t="s">
        <v>12</v>
      </c>
      <c r="B11" s="97"/>
      <c r="C11" s="12"/>
      <c r="D11" s="5"/>
      <c r="E11" s="128" t="s">
        <v>24</v>
      </c>
      <c r="F11" s="128"/>
    </row>
    <row r="12" spans="1:8" x14ac:dyDescent="0.3">
      <c r="A12" s="99"/>
      <c r="B12" s="99"/>
      <c r="C12" s="105"/>
      <c r="D12" s="5"/>
      <c r="E12" s="48" t="s">
        <v>48</v>
      </c>
      <c r="F12" s="121">
        <v>1870625.3392361405</v>
      </c>
    </row>
    <row r="13" spans="1:8" x14ac:dyDescent="0.3">
      <c r="A13" s="97" t="s">
        <v>64</v>
      </c>
      <c r="B13" s="97" t="s">
        <v>65</v>
      </c>
      <c r="C13" s="105">
        <v>37185.11</v>
      </c>
      <c r="D13" s="36"/>
      <c r="E13" s="49" t="s">
        <v>9</v>
      </c>
      <c r="F13" s="50">
        <f>'prorrateo '!F11</f>
        <v>312200</v>
      </c>
    </row>
    <row r="14" spans="1:8" x14ac:dyDescent="0.3">
      <c r="A14" s="99" t="s">
        <v>26</v>
      </c>
      <c r="B14" s="99" t="s">
        <v>61</v>
      </c>
      <c r="C14" s="105">
        <v>42663.94</v>
      </c>
      <c r="D14" s="5"/>
      <c r="E14" s="49" t="s">
        <v>22</v>
      </c>
      <c r="F14" s="50">
        <f>-(C37)</f>
        <v>-372041.53</v>
      </c>
    </row>
    <row r="15" spans="1:8" x14ac:dyDescent="0.3">
      <c r="A15" s="97" t="s">
        <v>21</v>
      </c>
      <c r="B15" s="97" t="s">
        <v>66</v>
      </c>
      <c r="C15" s="71">
        <v>35000</v>
      </c>
      <c r="D15" s="5"/>
      <c r="E15" s="49"/>
      <c r="F15" s="50"/>
    </row>
    <row r="16" spans="1:8" x14ac:dyDescent="0.3">
      <c r="A16" s="99" t="s">
        <v>70</v>
      </c>
      <c r="B16" s="97"/>
      <c r="C16" s="71">
        <v>10568</v>
      </c>
      <c r="D16" s="5"/>
      <c r="E16" s="49"/>
      <c r="F16" s="50"/>
      <c r="H16" t="s">
        <v>71</v>
      </c>
    </row>
    <row r="17" spans="1:7" ht="15" thickBot="1" x14ac:dyDescent="0.35">
      <c r="A17" s="102"/>
      <c r="B17" s="103"/>
      <c r="C17" s="125">
        <f>SUM(C12:C16)</f>
        <v>125417.05</v>
      </c>
      <c r="E17" s="51" t="s">
        <v>49</v>
      </c>
      <c r="F17" s="118">
        <f>SUM(F12:F15)</f>
        <v>1810783.8092361402</v>
      </c>
    </row>
    <row r="18" spans="1:7" x14ac:dyDescent="0.3">
      <c r="A18" s="101" t="s">
        <v>23</v>
      </c>
      <c r="B18" s="97"/>
      <c r="C18" s="126"/>
      <c r="D18" s="5"/>
      <c r="E18" s="19"/>
      <c r="F18" s="20"/>
    </row>
    <row r="19" spans="1:7" ht="15" customHeight="1" x14ac:dyDescent="0.3">
      <c r="A19" s="97" t="s">
        <v>42</v>
      </c>
      <c r="B19" s="104" t="s">
        <v>73</v>
      </c>
      <c r="C19" s="71">
        <v>88800</v>
      </c>
      <c r="D19" s="5"/>
      <c r="E19" s="19"/>
      <c r="F19" s="20"/>
    </row>
    <row r="20" spans="1:7" ht="15" customHeight="1" x14ac:dyDescent="0.3">
      <c r="A20" s="97" t="s">
        <v>75</v>
      </c>
      <c r="B20" s="104"/>
      <c r="C20" s="71">
        <v>37824.480000000003</v>
      </c>
      <c r="D20" s="5"/>
      <c r="E20" s="19"/>
      <c r="F20" s="20"/>
    </row>
    <row r="21" spans="1:7" ht="15" customHeight="1" x14ac:dyDescent="0.3">
      <c r="A21" s="97" t="s">
        <v>76</v>
      </c>
      <c r="B21" s="104"/>
      <c r="C21" s="71">
        <v>120000</v>
      </c>
      <c r="D21" s="5"/>
      <c r="E21" s="19"/>
      <c r="F21" s="20"/>
    </row>
    <row r="22" spans="1:7" ht="15" customHeight="1" x14ac:dyDescent="0.3">
      <c r="A22" s="97" t="s">
        <v>68</v>
      </c>
      <c r="B22" s="104"/>
      <c r="C22" s="105">
        <v>0</v>
      </c>
      <c r="D22" s="5"/>
      <c r="E22" s="19"/>
      <c r="F22" s="20"/>
    </row>
    <row r="23" spans="1:7" x14ac:dyDescent="0.3">
      <c r="A23" s="97" t="s">
        <v>67</v>
      </c>
      <c r="B23" s="104"/>
      <c r="C23" s="105"/>
      <c r="D23" s="5"/>
      <c r="E23" s="19"/>
      <c r="F23" s="20"/>
    </row>
    <row r="24" spans="1:7" x14ac:dyDescent="0.3">
      <c r="A24" s="102"/>
      <c r="B24" s="103"/>
      <c r="C24" s="119">
        <f>SUM(C18:C23)</f>
        <v>246624.48</v>
      </c>
      <c r="D24" s="5"/>
      <c r="E24" s="5"/>
      <c r="F24" s="47"/>
      <c r="G24" s="6"/>
    </row>
    <row r="25" spans="1:7" x14ac:dyDescent="0.3">
      <c r="A25" s="40" t="s">
        <v>14</v>
      </c>
      <c r="B25" s="41"/>
      <c r="C25" s="120">
        <f>+C24+C17</f>
        <v>372041.53</v>
      </c>
      <c r="D25" s="5"/>
      <c r="E25" s="19"/>
      <c r="F25" s="20"/>
    </row>
    <row r="26" spans="1:7" ht="14.25" customHeight="1" x14ac:dyDescent="0.3">
      <c r="A26" s="60" t="s">
        <v>27</v>
      </c>
      <c r="B26" s="73"/>
      <c r="C26" s="74"/>
      <c r="E26" s="19"/>
      <c r="F26" s="20"/>
    </row>
    <row r="27" spans="1:7" hidden="1" x14ac:dyDescent="0.3">
      <c r="A27" s="22" t="s">
        <v>27</v>
      </c>
    </row>
    <row r="28" spans="1:7" hidden="1" x14ac:dyDescent="0.3">
      <c r="A28" s="37"/>
      <c r="B28" s="28"/>
      <c r="C28" s="46"/>
      <c r="F28" s="6"/>
    </row>
    <row r="29" spans="1:7" hidden="1" x14ac:dyDescent="0.3">
      <c r="A29" s="44"/>
      <c r="B29" s="43"/>
      <c r="C29" s="45">
        <v>0</v>
      </c>
      <c r="F29" s="6"/>
    </row>
    <row r="30" spans="1:7" hidden="1" x14ac:dyDescent="0.3">
      <c r="A30" s="52"/>
      <c r="B30" s="53"/>
      <c r="C30" s="45">
        <v>0</v>
      </c>
      <c r="F30" s="6"/>
    </row>
    <row r="31" spans="1:7" x14ac:dyDescent="0.3">
      <c r="A31" s="69"/>
      <c r="B31" s="70"/>
      <c r="C31" s="72"/>
      <c r="F31" s="6"/>
    </row>
    <row r="32" spans="1:7" x14ac:dyDescent="0.3">
      <c r="A32" s="69"/>
      <c r="B32" s="76"/>
      <c r="C32" s="77"/>
      <c r="F32" s="6"/>
    </row>
    <row r="33" spans="1:6" x14ac:dyDescent="0.3">
      <c r="A33" s="69"/>
      <c r="B33" s="75"/>
      <c r="C33" s="72">
        <v>0</v>
      </c>
      <c r="F33" s="6"/>
    </row>
    <row r="34" spans="1:6" x14ac:dyDescent="0.3">
      <c r="A34" s="54" t="s">
        <v>25</v>
      </c>
      <c r="B34" s="55"/>
      <c r="C34" s="56">
        <f>SUM(C29:C33)</f>
        <v>0</v>
      </c>
    </row>
    <row r="35" spans="1:6" x14ac:dyDescent="0.3">
      <c r="A35" t="s">
        <v>59</v>
      </c>
      <c r="C35" s="122">
        <f>C25-C23</f>
        <v>372041.53</v>
      </c>
      <c r="F35" s="6"/>
    </row>
    <row r="36" spans="1:6" x14ac:dyDescent="0.3">
      <c r="A36" s="5" t="s">
        <v>54</v>
      </c>
      <c r="C36" s="123">
        <f>+C25</f>
        <v>372041.53</v>
      </c>
      <c r="E36" s="100"/>
      <c r="F36" s="6"/>
    </row>
    <row r="37" spans="1:6" x14ac:dyDescent="0.3">
      <c r="A37" s="54" t="s">
        <v>15</v>
      </c>
      <c r="B37" s="55"/>
      <c r="C37" s="124">
        <f>C35</f>
        <v>372041.53</v>
      </c>
      <c r="E37" s="16"/>
    </row>
    <row r="42" spans="1:6" x14ac:dyDescent="0.3">
      <c r="D42" s="6"/>
    </row>
    <row r="43" spans="1:6" x14ac:dyDescent="0.3">
      <c r="D43" s="16"/>
      <c r="E43" s="16"/>
    </row>
    <row r="44" spans="1:6" x14ac:dyDescent="0.3">
      <c r="D44" s="16"/>
      <c r="E44" s="16"/>
    </row>
    <row r="45" spans="1:6" x14ac:dyDescent="0.3">
      <c r="D45" s="16"/>
    </row>
    <row r="46" spans="1:6" x14ac:dyDescent="0.3">
      <c r="D46" s="16"/>
    </row>
    <row r="58" spans="1:3" x14ac:dyDescent="0.3">
      <c r="A58" s="19"/>
      <c r="B58" s="18"/>
      <c r="C58" s="20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  <row r="64" spans="1:3" x14ac:dyDescent="0.3">
      <c r="A64" s="18"/>
      <c r="B64" s="18"/>
      <c r="C64" s="18"/>
    </row>
    <row r="65" spans="1:3" x14ac:dyDescent="0.3">
      <c r="A65" s="18"/>
      <c r="B65" s="18"/>
      <c r="C65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372041.53</v>
      </c>
      <c r="L1" s="27"/>
    </row>
    <row r="2" spans="1:12" ht="15" thickBot="1" x14ac:dyDescent="0.35">
      <c r="A2" s="63" t="str">
        <f>'detalle y gastos'!E7</f>
        <v>Liquidacion mes de MARZO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649812.63754278515</v>
      </c>
      <c r="F5" s="127">
        <v>100000</v>
      </c>
      <c r="G5" s="58">
        <f>E5-F5</f>
        <v>549812.63754278515</v>
      </c>
      <c r="H5" s="61">
        <f>IF(G5&gt;0,G5*8.4%,0)</f>
        <v>46184.261553593955</v>
      </c>
      <c r="I5" s="15">
        <v>0</v>
      </c>
      <c r="J5" s="31">
        <f>K1*D5</f>
        <v>56252.679336000001</v>
      </c>
      <c r="K5" s="15">
        <f>K2*D5</f>
        <v>0</v>
      </c>
      <c r="L5" s="32">
        <f>J5+K5+H5+G5</f>
        <v>652249.57843237906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39225</v>
      </c>
      <c r="F6" s="127">
        <f>E6</f>
        <v>39225</v>
      </c>
      <c r="G6" s="58">
        <f t="shared" ref="G6:G8" si="0">E6-F6</f>
        <v>0</v>
      </c>
      <c r="H6" s="61">
        <f t="shared" ref="H6:H10" si="1">IF(G6&gt;0,G6*8.4%,0)</f>
        <v>0</v>
      </c>
      <c r="I6" s="15">
        <v>0</v>
      </c>
      <c r="J6" s="31">
        <f>K1*D6</f>
        <v>58373.316057000011</v>
      </c>
      <c r="K6" s="15">
        <f>K2*D6</f>
        <v>0</v>
      </c>
      <c r="L6" s="32">
        <f>J6+K6+H6+G6</f>
        <v>58373.316057000011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39550</v>
      </c>
      <c r="F7" s="127">
        <f>E7</f>
        <v>39550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58856.970046000009</v>
      </c>
      <c r="K7" s="15">
        <f>K2*D7</f>
        <v>0</v>
      </c>
      <c r="L7" s="32">
        <f t="shared" ref="L7:L9" si="2">J7+K7+H7+G7</f>
        <v>58856.970046000009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49500</v>
      </c>
      <c r="F8" s="127">
        <f>E8</f>
        <v>49500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73664.222940000007</v>
      </c>
      <c r="K8" s="15">
        <f>K2*D8</f>
        <v>0</v>
      </c>
      <c r="L8" s="32">
        <f t="shared" si="2"/>
        <v>73664.222940000007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39800</v>
      </c>
      <c r="F9" s="127">
        <f>E9</f>
        <v>39800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59229.011576000004</v>
      </c>
      <c r="K9" s="15">
        <f>K2*D9</f>
        <v>0</v>
      </c>
      <c r="L9" s="32">
        <f t="shared" si="2"/>
        <v>59229.011576000004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44125</v>
      </c>
      <c r="F10" s="127">
        <f>E10</f>
        <v>44125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65665.330044999995</v>
      </c>
      <c r="K10" s="15">
        <f>K2*D10</f>
        <v>0</v>
      </c>
      <c r="L10" s="32">
        <f>J10+K10+H10+G10</f>
        <v>65665.330044999995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862012.63754278515</v>
      </c>
      <c r="F11" s="35">
        <f>SUM(F5:F10)</f>
        <v>312200</v>
      </c>
      <c r="G11" s="42">
        <f>SUM(G5:G10)</f>
        <v>549812.63754278515</v>
      </c>
      <c r="H11" s="42">
        <f t="shared" ref="H11:K11" si="4">SUM(H5:H10)</f>
        <v>46184.261553593955</v>
      </c>
      <c r="I11" s="11">
        <f t="shared" si="4"/>
        <v>0</v>
      </c>
      <c r="J11" s="39">
        <f t="shared" si="4"/>
        <v>372041.53</v>
      </c>
      <c r="K11" s="39">
        <f t="shared" si="4"/>
        <v>0</v>
      </c>
      <c r="L11" s="42">
        <f>SUM(L5:L10)</f>
        <v>968038.42909637897</v>
      </c>
    </row>
    <row r="12" spans="1:12" ht="51.75" hidden="1" customHeight="1" x14ac:dyDescent="0.3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69</v>
      </c>
      <c r="B1" s="107"/>
      <c r="C1" s="107"/>
      <c r="D1" s="108"/>
      <c r="E1" s="109"/>
      <c r="F1" s="108"/>
      <c r="G1" s="130">
        <v>4500000</v>
      </c>
      <c r="H1" s="130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29"/>
      <c r="B11" s="129"/>
      <c r="C11" s="129"/>
      <c r="D11" s="129"/>
      <c r="E11" s="129"/>
      <c r="F11" s="129"/>
      <c r="G11" s="129"/>
      <c r="H11" s="129"/>
      <c r="I11" s="129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8671875" defaultRowHeight="14.4" x14ac:dyDescent="0.3"/>
  <cols>
    <col min="3" max="3" width="13.109375" customWidth="1"/>
  </cols>
  <sheetData>
    <row r="1" spans="1:7" ht="18.600000000000001" thickBot="1" x14ac:dyDescent="0.4">
      <c r="A1" s="136" t="s">
        <v>27</v>
      </c>
      <c r="B1" s="137"/>
      <c r="C1" s="137"/>
      <c r="D1" s="137"/>
      <c r="E1" s="138"/>
      <c r="F1" s="78"/>
      <c r="G1" s="78"/>
    </row>
    <row r="2" spans="1:7" ht="15" thickBot="1" x14ac:dyDescent="0.35">
      <c r="A2" s="139" t="s">
        <v>55</v>
      </c>
      <c r="B2" s="140"/>
      <c r="C2" s="141"/>
      <c r="D2" s="142">
        <v>565</v>
      </c>
      <c r="E2" s="143"/>
      <c r="F2" s="79"/>
      <c r="G2" s="79"/>
    </row>
    <row r="3" spans="1:7" ht="15" thickTop="1" x14ac:dyDescent="0.3">
      <c r="A3" s="144" t="s">
        <v>0</v>
      </c>
      <c r="B3" s="144" t="s">
        <v>1</v>
      </c>
      <c r="C3" s="144" t="s">
        <v>2</v>
      </c>
      <c r="D3" s="146" t="s">
        <v>6</v>
      </c>
      <c r="E3" s="131" t="s">
        <v>56</v>
      </c>
      <c r="F3" s="131" t="s">
        <v>57</v>
      </c>
      <c r="G3" s="131" t="s">
        <v>50</v>
      </c>
    </row>
    <row r="4" spans="1:7" ht="15" thickBot="1" x14ac:dyDescent="0.35">
      <c r="A4" s="145"/>
      <c r="B4" s="145"/>
      <c r="C4" s="145"/>
      <c r="D4" s="147"/>
      <c r="E4" s="132"/>
      <c r="F4" s="132"/>
      <c r="G4" s="132"/>
    </row>
    <row r="5" spans="1:7" ht="15.6" thickTop="1" thickBot="1" x14ac:dyDescent="0.35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6" thickTop="1" thickBot="1" x14ac:dyDescent="0.35">
      <c r="A12" s="133"/>
      <c r="B12" s="134"/>
      <c r="C12" s="134"/>
      <c r="D12" s="134"/>
      <c r="E12" s="135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2026-04-02T22:27:05Z</cp:lastPrinted>
  <dcterms:created xsi:type="dcterms:W3CDTF">2020-12-10T00:27:53Z</dcterms:created>
  <dcterms:modified xsi:type="dcterms:W3CDTF">2026-04-02T22:27:10Z</dcterms:modified>
</cp:coreProperties>
</file>