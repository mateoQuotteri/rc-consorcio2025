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DRAGO\Marzo\"/>
    </mc:Choice>
  </mc:AlternateContent>
  <xr:revisionPtr revIDLastSave="0" documentId="13_ncr:1_{2D94C26D-67BD-4402-9C97-34C3D5F635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gastos'!$A$1:$C$48</definedName>
    <definedName name="_xlnm.Print_Area" localSheetId="1">'prorrateo '!$A$1:$M$32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F6" i="1"/>
  <c r="F9" i="1"/>
  <c r="F7" i="1"/>
  <c r="C24" i="3"/>
  <c r="C29" i="3" l="1"/>
  <c r="E12" i="4"/>
  <c r="C37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4" i="3" s="1"/>
  <c r="C53" i="3"/>
  <c r="G13" i="4" l="1"/>
  <c r="G1" i="1" l="1"/>
  <c r="J13" i="1" l="1"/>
  <c r="K5" i="1"/>
  <c r="C22" i="3" l="1"/>
  <c r="C30" i="3" s="1"/>
  <c r="C45" i="3"/>
  <c r="A2" i="1" l="1"/>
  <c r="I13" i="4" l="1"/>
  <c r="J13" i="4"/>
  <c r="C46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3" i="3"/>
  <c r="C47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9" i="3" l="1"/>
</calcChain>
</file>

<file path=xl/sharedStrings.xml><?xml version="1.0" encoding="utf-8"?>
<sst xmlns="http://schemas.openxmlformats.org/spreadsheetml/2006/main" count="131" uniqueCount="92">
  <si>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</si>
  <si>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</si>
  <si>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</si>
  <si>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</si>
  <si>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</si>
  <si>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</si>
  <si>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</si>
  <si>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</si>
  <si>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</si>
  <si>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</si>
  <si>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</si>
  <si>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</si>
  <si>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</si>
  <si>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</si>
  <si>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</si>
  <si>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</si>
  <si>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</si>
  <si>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</si>
  <si>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</si>
  <si>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</si>
  <si>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</si>
  <si>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</si>
  <si>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</si>
  <si>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</si>
  <si>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</si>
  <si>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</si>
  <si>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</si>
  <si>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</si>
  <si>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</si>
  <si>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</si>
  <si>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</si>
  <si>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</si>
  <si>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</si>
  <si>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</si>
  <si>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</si>
  <si>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</si>
  <si>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</si>
  <si>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</si>
  <si>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</si>
  <si>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</si>
  <si>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</si>
  <si>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</si>
  <si>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</si>
  <si>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</si>
  <si>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</si>
  <si>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</si>
  <si>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</si>
  <si>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</si>
  <si>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</si>
  <si>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</si>
  <si>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</si>
  <si>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</si>
  <si>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</si>
  <si>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</si>
  <si>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</si>
  <si>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</si>
  <si>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</si>
  <si>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</si>
  <si>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</si>
  <si>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</si>
  <si>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</si>
  <si>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</si>
  <si>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</si>
  <si>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</si>
  <si>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</si>
  <si>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</si>
  <si>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</si>
  <si>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</si>
  <si>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</si>
  <si>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</si>
  <si>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</si>
  <si>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</si>
  <si>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</si>
  <si>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</si>
  <si>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</si>
  <si>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</si>
  <si>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</si>
  <si>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</si>
  <si>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</si>
  <si>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</si>
  <si>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</si>
  <si>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</si>
  <si>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</si>
  <si>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Alterini Guido - Mantenimiento de Jardin</t>
  </si>
  <si>
    <t xml:space="preserve">Sueldo Sra. Gisela </t>
  </si>
  <si>
    <t>Seguro Sra. Gisela - Provisiorio</t>
  </si>
  <si>
    <t>AUMENTADOS EN 3n3r0 2026</t>
  </si>
  <si>
    <t>Fumigacion - Sr. Nicolas</t>
  </si>
  <si>
    <t>LIQUIDACIÓN EXPENSAS MARZO 2025</t>
  </si>
  <si>
    <t>Período MARZO 2025</t>
  </si>
  <si>
    <t>Vto. 17/04</t>
  </si>
  <si>
    <t>No llego Fac.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</si>
</sst>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1" fillId="6" borderId="1" xfId="2" applyFont="1" applyFill="1" applyBorder="1"/>
    <xf numFmtId="164" fontId="11" fillId="0" borderId="1" xfId="2" applyFont="1" applyBorder="1" applyAlignment="1">
      <alignment horizontal="center"/>
    </xf>
    <xf numFmtId="164" fontId="11" fillId="6" borderId="1" xfId="2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7"/>
  <sheetViews>
    <sheetView topLeftCell="A13" workbookViewId="0">
      <selection activeCell="C16" sqref="C16:C27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61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88</v>
      </c>
      <c r="C7" s="23" t="s">
        <v>90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126"/>
    </row>
    <row r="17" spans="1:8" ht="14.25" customHeight="1" x14ac:dyDescent="0.25">
      <c r="A17" s="46" t="s">
        <v>49</v>
      </c>
      <c r="B17" s="54" t="s">
        <v>71</v>
      </c>
      <c r="C17" s="125">
        <v>48091.199999999997</v>
      </c>
      <c r="D17" s="5"/>
      <c r="E17" s="12"/>
    </row>
    <row r="18" spans="1:8" x14ac:dyDescent="0.25">
      <c r="A18" s="46" t="s">
        <v>85</v>
      </c>
      <c r="B18" s="55"/>
      <c r="C18" s="125">
        <v>5842.51</v>
      </c>
      <c r="D18" s="38"/>
      <c r="E18" s="12"/>
    </row>
    <row r="19" spans="1:8" x14ac:dyDescent="0.25">
      <c r="A19" s="46" t="s">
        <v>42</v>
      </c>
      <c r="B19" s="56" t="s">
        <v>63</v>
      </c>
      <c r="C19" s="125">
        <v>23720.97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27">
        <v>200669.44</v>
      </c>
      <c r="D20" s="38"/>
      <c r="F20" s="12"/>
      <c r="H20" s="86"/>
    </row>
    <row r="21" spans="1:8" x14ac:dyDescent="0.25">
      <c r="A21" s="46" t="s">
        <v>32</v>
      </c>
      <c r="B21" s="56" t="s">
        <v>62</v>
      </c>
      <c r="C21" s="125">
        <v>57191</v>
      </c>
      <c r="D21" s="5"/>
      <c r="E21" s="12"/>
      <c r="H21" t="s">
        <v>86</v>
      </c>
    </row>
    <row r="22" spans="1:8" x14ac:dyDescent="0.25">
      <c r="A22" s="57"/>
      <c r="B22" s="58"/>
      <c r="C22" s="42">
        <f>SUM(C17:C21)</f>
        <v>335515.12</v>
      </c>
      <c r="E22" s="86"/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84</v>
      </c>
      <c r="B24" s="59" t="s">
        <v>89</v>
      </c>
      <c r="C24" s="125">
        <f>71883+71883*20%</f>
        <v>86259.6</v>
      </c>
      <c r="F24" s="18"/>
    </row>
    <row r="25" spans="1:8" ht="15.75" x14ac:dyDescent="0.25">
      <c r="A25" s="46" t="s">
        <v>87</v>
      </c>
      <c r="B25" s="59" t="s">
        <v>91</v>
      </c>
      <c r="C25" s="125">
        <v>0</v>
      </c>
      <c r="F25" s="18"/>
    </row>
    <row r="26" spans="1:8" ht="15.75" x14ac:dyDescent="0.25">
      <c r="A26" s="46" t="s">
        <v>83</v>
      </c>
      <c r="B26" s="59"/>
      <c r="C26" s="125">
        <v>80000</v>
      </c>
      <c r="F26" s="18"/>
    </row>
    <row r="27" spans="1:8" ht="15.75" x14ac:dyDescent="0.25">
      <c r="A27" s="46" t="s">
        <v>81</v>
      </c>
      <c r="B27" s="59"/>
      <c r="C27" s="125">
        <v>0</v>
      </c>
      <c r="F27" s="18"/>
    </row>
    <row r="28" spans="1:8" ht="15.75" x14ac:dyDescent="0.25">
      <c r="A28" s="46" t="s">
        <v>66</v>
      </c>
      <c r="B28" s="56"/>
      <c r="C28" s="52"/>
      <c r="D28" s="5"/>
      <c r="E28" s="12"/>
      <c r="F28" s="18"/>
    </row>
    <row r="29" spans="1:8" ht="15.75" x14ac:dyDescent="0.25">
      <c r="A29" s="57"/>
      <c r="B29" s="58"/>
      <c r="C29" s="42">
        <f>SUM(C23:C28)</f>
        <v>166259.6</v>
      </c>
      <c r="F29" s="18"/>
    </row>
    <row r="30" spans="1:8" ht="15.75" x14ac:dyDescent="0.25">
      <c r="A30" s="49" t="s">
        <v>65</v>
      </c>
      <c r="B30" s="49"/>
      <c r="C30" s="60">
        <f>+C29+C22</f>
        <v>501774.72</v>
      </c>
      <c r="F30" s="18"/>
    </row>
    <row r="31" spans="1:8" ht="15.75" x14ac:dyDescent="0.25">
      <c r="C31" s="43"/>
      <c r="F31" s="18"/>
    </row>
    <row r="32" spans="1:8" ht="15.75" x14ac:dyDescent="0.25">
      <c r="A32" s="19" t="s">
        <v>43</v>
      </c>
      <c r="C32" s="43"/>
      <c r="F32" s="18"/>
    </row>
    <row r="33" spans="1:6" ht="15.75" x14ac:dyDescent="0.25">
      <c r="A33" s="106"/>
      <c r="B33" s="107"/>
      <c r="C33" s="100"/>
      <c r="F33" s="18"/>
    </row>
    <row r="34" spans="1:6" ht="15.75" x14ac:dyDescent="0.25">
      <c r="A34" s="104"/>
      <c r="B34" s="46"/>
      <c r="C34" s="51"/>
      <c r="F34" s="18"/>
    </row>
    <row r="35" spans="1:6" ht="15.75" x14ac:dyDescent="0.25">
      <c r="A35" s="46"/>
      <c r="B35" s="46"/>
      <c r="C35" s="52"/>
      <c r="F35" s="18"/>
    </row>
    <row r="36" spans="1:6" ht="15.75" x14ac:dyDescent="0.25">
      <c r="C36" s="44"/>
      <c r="F36" s="18"/>
    </row>
    <row r="37" spans="1:6" x14ac:dyDescent="0.25">
      <c r="A37" s="19" t="s">
        <v>39</v>
      </c>
      <c r="B37" s="19"/>
      <c r="C37" s="20">
        <f>SUM(C33:C36)</f>
        <v>0</v>
      </c>
      <c r="E37" s="12"/>
    </row>
    <row r="39" spans="1:6" x14ac:dyDescent="0.25">
      <c r="A39" s="29" t="s">
        <v>14</v>
      </c>
      <c r="B39" s="29"/>
      <c r="C39" s="30">
        <f>+C37+C30</f>
        <v>501774.72</v>
      </c>
    </row>
    <row r="41" spans="1:6" x14ac:dyDescent="0.25">
      <c r="A41" s="5" t="s">
        <v>34</v>
      </c>
    </row>
    <row r="42" spans="1:6" x14ac:dyDescent="0.25">
      <c r="A42" s="31" t="s">
        <v>9</v>
      </c>
      <c r="B42" s="28"/>
      <c r="C42" s="33">
        <v>-244667.59247391066</v>
      </c>
      <c r="D42" s="6"/>
      <c r="E42" s="6"/>
    </row>
    <row r="43" spans="1:6" x14ac:dyDescent="0.25">
      <c r="A43" t="s">
        <v>8</v>
      </c>
      <c r="C43" s="27">
        <f>'prorrateo '!F13</f>
        <v>473591.13520000002</v>
      </c>
      <c r="D43" s="12"/>
      <c r="E43" s="12"/>
    </row>
    <row r="44" spans="1:6" x14ac:dyDescent="0.25">
      <c r="A44" t="s">
        <v>80</v>
      </c>
      <c r="C44" s="105">
        <f>extraordinarias!E13</f>
        <v>0</v>
      </c>
      <c r="D44" s="12"/>
      <c r="E44" s="12"/>
    </row>
    <row r="45" spans="1:6" x14ac:dyDescent="0.25">
      <c r="A45" t="s">
        <v>73</v>
      </c>
      <c r="C45" s="105">
        <f>-C37</f>
        <v>0</v>
      </c>
      <c r="D45" s="12"/>
      <c r="E45" s="12"/>
    </row>
    <row r="46" spans="1:6" x14ac:dyDescent="0.25">
      <c r="A46" t="s">
        <v>64</v>
      </c>
      <c r="C46" s="61">
        <f>-(C30-C28)</f>
        <v>-501774.72</v>
      </c>
    </row>
    <row r="47" spans="1:6" x14ac:dyDescent="0.25">
      <c r="A47" s="31" t="s">
        <v>15</v>
      </c>
      <c r="B47" s="28"/>
      <c r="C47" s="33">
        <f>SUM(C42:C46)</f>
        <v>-272851.17727391061</v>
      </c>
      <c r="D47" s="6"/>
    </row>
    <row r="48" spans="1:6" x14ac:dyDescent="0.25">
      <c r="A48" s="15"/>
      <c r="B48" s="14"/>
      <c r="C48" s="16"/>
    </row>
    <row r="49" spans="1:6" x14ac:dyDescent="0.25">
      <c r="A49" s="15"/>
      <c r="B49" s="14"/>
      <c r="C49" s="16"/>
      <c r="F49" s="62"/>
    </row>
    <row r="50" spans="1:6" ht="2.25" customHeight="1" x14ac:dyDescent="0.25">
      <c r="A50" s="15"/>
      <c r="B50" s="14"/>
      <c r="C50" s="16"/>
    </row>
    <row r="51" spans="1:6" ht="15.75" hidden="1" x14ac:dyDescent="0.25">
      <c r="A51" s="45" t="s">
        <v>60</v>
      </c>
      <c r="B51" s="64"/>
      <c r="C51" s="65">
        <v>109834.99657000002</v>
      </c>
    </row>
    <row r="52" spans="1:6" hidden="1" x14ac:dyDescent="0.25">
      <c r="A52" s="46"/>
      <c r="B52" s="46"/>
      <c r="C52" s="50"/>
    </row>
    <row r="53" spans="1:6" hidden="1" x14ac:dyDescent="0.25">
      <c r="A53" s="49" t="s">
        <v>4</v>
      </c>
      <c r="B53" s="47"/>
      <c r="C53" s="48">
        <f>SUM(C51:C52)</f>
        <v>109834.99657000002</v>
      </c>
    </row>
    <row r="54" spans="1:6" x14ac:dyDescent="0.25">
      <c r="A54" s="14"/>
      <c r="B54" s="14"/>
      <c r="C54" s="14"/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</sheetData>
  <mergeCells count="1">
    <mergeCell ref="A33:B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E1" sqref="E1"/>
    </sheetView>
  </sheetViews>
  <sheetFormatPr baseColWidth="10" defaultColWidth="10.85546875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2" width="12.42578125" customWidth="1"/>
    <col min="13" max="13" width="12.42578125" bestFit="1" customWidth="1"/>
    <col min="15" max="15" width="11.42578125" style="17"/>
  </cols>
  <sheetData>
    <row r="1" spans="1:17" ht="15.75" thickBot="1" x14ac:dyDescent="0.3">
      <c r="A1" s="40" t="s">
        <v>47</v>
      </c>
      <c r="E1" s="102">
        <v>501774.72</v>
      </c>
      <c r="G1" t="str">
        <f>'detalle y gastos'!C7</f>
        <v>Vto. 17/04</v>
      </c>
    </row>
    <row r="2" spans="1:17" x14ac:dyDescent="0.25">
      <c r="A2" s="71" t="str">
        <f>'detalle y gastos'!B7</f>
        <v>LIQUIDACIÓN EXPENSAS MARZO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1"/>
      <c r="B3" s="109" t="s">
        <v>1</v>
      </c>
      <c r="C3" s="117" t="s">
        <v>2</v>
      </c>
      <c r="D3" s="118" t="s">
        <v>54</v>
      </c>
      <c r="E3" s="109" t="s">
        <v>16</v>
      </c>
      <c r="F3" s="115" t="s">
        <v>3</v>
      </c>
      <c r="G3" s="117" t="s">
        <v>52</v>
      </c>
      <c r="H3" s="115" t="s">
        <v>44</v>
      </c>
      <c r="I3" s="117" t="s">
        <v>6</v>
      </c>
      <c r="J3" s="119" t="s">
        <v>77</v>
      </c>
      <c r="K3" s="113" t="s">
        <v>67</v>
      </c>
      <c r="L3" s="113" t="s">
        <v>68</v>
      </c>
      <c r="M3" s="113" t="s">
        <v>69</v>
      </c>
    </row>
    <row r="4" spans="1:17" x14ac:dyDescent="0.25">
      <c r="A4" s="112"/>
      <c r="B4" s="110"/>
      <c r="C4" s="117"/>
      <c r="D4" s="118"/>
      <c r="E4" s="110"/>
      <c r="F4" s="116"/>
      <c r="G4" s="117"/>
      <c r="H4" s="116"/>
      <c r="I4" s="117"/>
      <c r="J4" s="119"/>
      <c r="K4" s="114"/>
      <c r="L4" s="114"/>
      <c r="M4" s="114"/>
    </row>
    <row r="5" spans="1:17" x14ac:dyDescent="0.25">
      <c r="A5" s="68">
        <v>1</v>
      </c>
      <c r="B5" s="11" t="s">
        <v>18</v>
      </c>
      <c r="C5" s="41" t="s">
        <v>26</v>
      </c>
      <c r="D5" s="41" t="s">
        <v>58</v>
      </c>
      <c r="E5" s="37">
        <v>65797.136979999981</v>
      </c>
      <c r="F5" s="85">
        <v>66005</v>
      </c>
      <c r="G5" s="37">
        <f>E5-F5</f>
        <v>-207.86302000001888</v>
      </c>
      <c r="H5" s="37">
        <f>IF(G5&gt;0,G5*3%,0)</f>
        <v>0</v>
      </c>
      <c r="I5" s="74">
        <v>0.121</v>
      </c>
      <c r="J5" s="63"/>
      <c r="K5" s="75">
        <f>E1*I5</f>
        <v>60714.741119999991</v>
      </c>
      <c r="L5" s="75">
        <f>E5-F5+H5+K5+J5</f>
        <v>60506.878099999973</v>
      </c>
      <c r="M5" s="76">
        <f>L5+L5*4%</f>
        <v>62927.153223999972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59</v>
      </c>
      <c r="E6" s="37">
        <v>66549.584799999982</v>
      </c>
      <c r="F6" s="85">
        <f>E6</f>
        <v>66549.584799999982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61216.515839999993</v>
      </c>
      <c r="L6" s="75">
        <f t="shared" ref="L6:L12" si="2">E6-F6+H6+K6+J6</f>
        <v>61216.515839999993</v>
      </c>
      <c r="M6" s="76">
        <f t="shared" ref="M6:M12" si="3">L6+L6*4%</f>
        <v>63665.17647359999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70</v>
      </c>
      <c r="E7" s="37">
        <v>63822.142799999994</v>
      </c>
      <c r="F7" s="85">
        <f>E7</f>
        <v>63822.142799999994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58707.642240000001</v>
      </c>
      <c r="L7" s="75">
        <f t="shared" si="2"/>
        <v>58707.642240000001</v>
      </c>
      <c r="M7" s="76">
        <f t="shared" si="3"/>
        <v>61055.947929599999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72</v>
      </c>
      <c r="E8" s="85">
        <v>63822.142799999994</v>
      </c>
      <c r="F8" s="85">
        <v>61201</v>
      </c>
      <c r="G8" s="37">
        <f t="shared" si="0"/>
        <v>2621.1427999999942</v>
      </c>
      <c r="H8" s="37">
        <f t="shared" si="1"/>
        <v>78.634283999999823</v>
      </c>
      <c r="I8" s="74">
        <v>0.11700000000000001</v>
      </c>
      <c r="J8" s="63"/>
      <c r="K8" s="75">
        <f>E1*I8</f>
        <v>58707.642240000001</v>
      </c>
      <c r="L8" s="75">
        <f t="shared" si="2"/>
        <v>61407.419323999995</v>
      </c>
      <c r="M8" s="76">
        <f t="shared" si="3"/>
        <v>63863.716096959994</v>
      </c>
      <c r="N8" t="s">
        <v>82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57</v>
      </c>
      <c r="E9" s="37">
        <v>74731.910799999998</v>
      </c>
      <c r="F9" s="85">
        <f>E9</f>
        <v>74731.910799999998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68743.136639999997</v>
      </c>
      <c r="L9" s="75">
        <f t="shared" si="2"/>
        <v>68743.136639999997</v>
      </c>
      <c r="M9" s="76">
        <f t="shared" si="3"/>
        <v>71492.862105599997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74</v>
      </c>
      <c r="E10" s="37">
        <v>226453.92768934212</v>
      </c>
      <c r="F10" s="85">
        <v>72004.47</v>
      </c>
      <c r="G10" s="37">
        <f t="shared" si="0"/>
        <v>154449.45768934212</v>
      </c>
      <c r="H10" s="37">
        <f t="shared" si="1"/>
        <v>4633.4837306802638</v>
      </c>
      <c r="I10" s="74">
        <v>0.13200000000000001</v>
      </c>
      <c r="J10" s="63"/>
      <c r="K10" s="75">
        <f>E1*I10</f>
        <v>66234.263040000005</v>
      </c>
      <c r="L10" s="75">
        <f t="shared" si="2"/>
        <v>225317.20446002239</v>
      </c>
      <c r="M10" s="76">
        <f t="shared" si="3"/>
        <v>234329.89263842328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56</v>
      </c>
      <c r="E11" s="37">
        <v>69277.026799999992</v>
      </c>
      <c r="F11" s="85"/>
      <c r="G11" s="37">
        <f t="shared" si="0"/>
        <v>69277.026799999992</v>
      </c>
      <c r="H11" s="37">
        <f t="shared" si="1"/>
        <v>2078.3108039999997</v>
      </c>
      <c r="I11" s="74">
        <v>0.127</v>
      </c>
      <c r="J11" s="63"/>
      <c r="K11" s="75">
        <f>E1*I11</f>
        <v>63725.389439999999</v>
      </c>
      <c r="L11" s="75">
        <f t="shared" si="2"/>
        <v>135080.727044</v>
      </c>
      <c r="M11" s="76">
        <f t="shared" si="3"/>
        <v>140483.95612575999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55</v>
      </c>
      <c r="E12" s="37">
        <v>69277.026799999992</v>
      </c>
      <c r="F12" s="85">
        <f>E12</f>
        <v>69277.026799999992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63725.389439999999</v>
      </c>
      <c r="L12" s="75">
        <f t="shared" si="2"/>
        <v>63725.389439999999</v>
      </c>
      <c r="M12" s="76">
        <f t="shared" si="3"/>
        <v>66274.405017600002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699730.89946934208</v>
      </c>
      <c r="F13" s="69">
        <f>SUM(F5:F12)</f>
        <v>473591.13520000002</v>
      </c>
      <c r="G13" s="69"/>
      <c r="H13" s="69">
        <f>SUM(H5:H12)</f>
        <v>6790.4288186802632</v>
      </c>
      <c r="I13" s="70">
        <f t="shared" ref="I13" si="4">SUM(I5:I12)</f>
        <v>1</v>
      </c>
      <c r="J13" s="101">
        <f>SUM(J5:J12)</f>
        <v>0</v>
      </c>
      <c r="K13" s="80">
        <f>SUM(K5:K12)</f>
        <v>501774.72</v>
      </c>
      <c r="L13" s="80">
        <f>SUM(L5:L12)</f>
        <v>734704.9130880225</v>
      </c>
      <c r="M13" s="81">
        <f>SUM(M5:M12)</f>
        <v>764093.10961154324</v>
      </c>
    </row>
    <row r="15" spans="1:17" x14ac:dyDescent="0.25">
      <c r="C15" s="108" t="s">
        <v>78</v>
      </c>
      <c r="D15" s="108"/>
      <c r="E15" s="108"/>
      <c r="F15" s="108"/>
      <c r="G15" s="108"/>
      <c r="H15" s="108"/>
      <c r="I15" s="108"/>
      <c r="J15" s="108"/>
      <c r="K15" s="108"/>
      <c r="L15" s="108"/>
    </row>
    <row r="16" spans="1:17" ht="15" hidden="1" customHeight="1" x14ac:dyDescent="0.25">
      <c r="A16" s="40" t="s">
        <v>48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</row>
    <row r="17" spans="1:13" ht="15" hidden="1" customHeight="1" x14ac:dyDescent="0.25">
      <c r="A17" s="24" t="s">
        <v>50</v>
      </c>
      <c r="B17" s="25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26"/>
    </row>
    <row r="18" spans="1:13" ht="15" hidden="1" customHeight="1" x14ac:dyDescent="0.25">
      <c r="A18" s="2" t="s">
        <v>0</v>
      </c>
      <c r="B18" s="7" t="s">
        <v>1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36" t="s">
        <v>4</v>
      </c>
    </row>
    <row r="19" spans="1:13" ht="15" hidden="1" customHeight="1" x14ac:dyDescent="0.25">
      <c r="A19" s="2"/>
      <c r="B19" s="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35" t="e">
        <f>SUM(M20:M27)</f>
        <v>#REF!</v>
      </c>
    </row>
    <row r="29" spans="1:13" x14ac:dyDescent="0.25">
      <c r="C29" s="108"/>
      <c r="D29" s="108"/>
      <c r="E29" s="108"/>
      <c r="F29" s="108"/>
      <c r="G29" s="108"/>
      <c r="H29" s="108"/>
      <c r="I29" s="108"/>
      <c r="J29" s="108"/>
      <c r="K29" s="108"/>
      <c r="L29" s="108"/>
    </row>
    <row r="30" spans="1:13" x14ac:dyDescent="0.25">
      <c r="C30" s="108"/>
      <c r="D30" s="108"/>
      <c r="E30" s="108"/>
      <c r="F30" s="108"/>
      <c r="G30" s="108"/>
      <c r="H30" s="108"/>
      <c r="I30" s="108"/>
      <c r="J30" s="108"/>
      <c r="K30" s="108"/>
      <c r="L30" s="108"/>
    </row>
    <row r="31" spans="1:13" x14ac:dyDescent="0.25">
      <c r="C31" s="108"/>
      <c r="D31" s="108"/>
      <c r="E31" s="108"/>
      <c r="F31" s="108"/>
      <c r="G31" s="108"/>
      <c r="H31" s="108"/>
      <c r="I31" s="108"/>
      <c r="J31" s="108"/>
      <c r="K31" s="108"/>
      <c r="L31" s="108"/>
    </row>
    <row r="32" spans="1:13" x14ac:dyDescent="0.25">
      <c r="C32" s="108"/>
      <c r="D32" s="108"/>
      <c r="E32" s="108"/>
      <c r="F32" s="108"/>
      <c r="G32" s="108"/>
      <c r="H32" s="108"/>
      <c r="I32" s="108"/>
      <c r="J32" s="108"/>
      <c r="K32" s="108"/>
      <c r="L32" s="108"/>
    </row>
    <row r="39" spans="5:5" x14ac:dyDescent="0.25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5546875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20">
        <v>0</v>
      </c>
      <c r="E1" s="120"/>
      <c r="F1" s="103"/>
      <c r="G1" s="93"/>
      <c r="H1" s="93"/>
      <c r="I1" s="93"/>
      <c r="J1" s="94"/>
      <c r="L1" s="17"/>
    </row>
    <row r="2" spans="1:12" x14ac:dyDescent="0.25">
      <c r="A2" s="95" t="s">
        <v>76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1" t="s">
        <v>0</v>
      </c>
      <c r="B3" s="109" t="s">
        <v>1</v>
      </c>
      <c r="C3" s="109" t="s">
        <v>2</v>
      </c>
      <c r="D3" s="118" t="s">
        <v>9</v>
      </c>
      <c r="E3" s="117" t="s">
        <v>51</v>
      </c>
      <c r="F3" s="109" t="s">
        <v>79</v>
      </c>
      <c r="G3" s="118" t="s">
        <v>44</v>
      </c>
      <c r="H3" s="117" t="s">
        <v>6</v>
      </c>
      <c r="I3" s="124" t="s">
        <v>75</v>
      </c>
      <c r="J3" s="123" t="s">
        <v>53</v>
      </c>
      <c r="L3" s="17"/>
    </row>
    <row r="4" spans="1:12" x14ac:dyDescent="0.25">
      <c r="A4" s="122"/>
      <c r="B4" s="110"/>
      <c r="C4" s="110"/>
      <c r="D4" s="118"/>
      <c r="E4" s="117"/>
      <c r="F4" s="110"/>
      <c r="G4" s="118"/>
      <c r="H4" s="117"/>
      <c r="I4" s="124"/>
      <c r="J4" s="123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2026-04-02T14:05:23Z</cp:lastPrinted>
  <dcterms:created xsi:type="dcterms:W3CDTF">2020-12-10T00:27:53Z</dcterms:created>
  <dcterms:modified xsi:type="dcterms:W3CDTF">2026-04-02T14:05:33Z</dcterms:modified>
</cp:coreProperties>
</file>