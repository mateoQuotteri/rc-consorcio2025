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DRAGO\Mayo\"/>
    </mc:Choice>
  </mc:AlternateContent>
  <xr:revisionPtr revIDLastSave="0" documentId="13_ncr:1_{6D891143-D48A-4BA6-9E3D-165591A8291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gastos'!$A$1:$C$49</definedName>
    <definedName name="_xlnm.Print_Area" localSheetId="1">'prorrateo '!$A$1:$M$32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F7" i="1"/>
  <c r="F10" i="1"/>
  <c r="F12" i="1"/>
  <c r="F9" i="1"/>
  <c r="C20" i="3" l="1"/>
  <c r="F6" i="1"/>
  <c r="F8" i="1"/>
  <c r="C30" i="3" l="1"/>
  <c r="E12" i="4"/>
  <c r="C38" i="3" l="1"/>
  <c r="F6" i="4" l="1"/>
  <c r="G6" i="4" s="1"/>
  <c r="F8" i="4"/>
  <c r="G8" i="4" s="1"/>
  <c r="F9" i="4"/>
  <c r="G9" i="4" s="1"/>
  <c r="F10" i="4"/>
  <c r="G10" i="4" s="1"/>
  <c r="F12" i="4"/>
  <c r="G12" i="4" s="1"/>
  <c r="F5" i="4"/>
  <c r="G5" i="4" s="1"/>
  <c r="E7" i="4"/>
  <c r="F7" i="4" s="1"/>
  <c r="G7" i="4" s="1"/>
  <c r="E11" i="4"/>
  <c r="F11" i="4" s="1"/>
  <c r="G11" i="4" s="1"/>
  <c r="I6" i="4" l="1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5" i="4"/>
  <c r="J5" i="4" s="1"/>
  <c r="E13" i="4"/>
  <c r="C45" i="3" s="1"/>
  <c r="C54" i="3"/>
  <c r="G13" i="4" l="1"/>
  <c r="G1" i="1" l="1"/>
  <c r="J13" i="1" l="1"/>
  <c r="K5" i="1"/>
  <c r="C22" i="3" l="1"/>
  <c r="C31" i="3" s="1"/>
  <c r="C46" i="3"/>
  <c r="A2" i="1" l="1"/>
  <c r="I13" i="4" l="1"/>
  <c r="J13" i="4"/>
  <c r="C47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G12" i="1"/>
  <c r="E13" i="1"/>
  <c r="K13" i="1"/>
  <c r="H12" i="1" l="1"/>
  <c r="L12" i="1" s="1"/>
  <c r="M12" i="1" s="1"/>
  <c r="C44" i="3"/>
  <c r="C48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40" i="3" l="1"/>
</calcChain>
</file>

<file path=xl/sharedStrings.xml><?xml version="1.0" encoding="utf-8"?>
<sst xmlns="http://schemas.openxmlformats.org/spreadsheetml/2006/main" count="129" uniqueCount="90">
  <si>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</si>
  <si>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</si>
  <si>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</si>
  <si>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</si>
  <si>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</si>
  <si>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</si>
  <si>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</si>
  <si>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</si>
  <si>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</si>
  <si>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</si>
  <si>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</si>
  <si>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</si>
  <si>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</si>
  <si>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</si>
  <si>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</si>
  <si>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</si>
  <si>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</si>
  <si>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</si>
  <si>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</si>
  <si>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</si>
  <si>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</si>
  <si>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</si>
  <si>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</si>
  <si>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</si>
  <si>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</si>
  <si>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</si>
  <si>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</si>
  <si>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</si>
  <si>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</si>
  <si>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</si>
  <si>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</si>
  <si>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</si>
  <si>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</si>
  <si>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</si>
  <si>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</si>
  <si>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</si>
  <si>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</si>
  <si>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</si>
  <si>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</si>
  <si>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</si>
  <si>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</si>
  <si>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</si>
  <si>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</si>
  <si>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</si>
  <si>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</si>
  <si>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</si>
  <si>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</si>
  <si>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</si>
  <si>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</si>
  <si>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</si>
  <si>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</si>
  <si>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</si>
  <si>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TOTAL A PAGAR</t>
  </si>
  <si>
    <t>Inquilinos</t>
  </si>
  <si>
    <t>Pamela</t>
  </si>
  <si>
    <t>Lucas</t>
  </si>
  <si>
    <t>Damian</t>
  </si>
  <si>
    <t>Enzo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</si>
  <si>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</si>
  <si>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</si>
  <si>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</si>
  <si>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</si>
  <si>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</si>
  <si>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</si>
  <si>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</si>
  <si>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</si>
  <si>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</si>
  <si>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</si>
  <si>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</si>
  <si>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</si>
  <si>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</si>
  <si>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</si>
  <si>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</si>
  <si>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</si>
  <si>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</si>
  <si>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</si>
  <si>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</si>
  <si>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</si>
  <si>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</si>
  <si>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Articulos de limpieza</t>
  </si>
  <si>
    <t>Agustina</t>
  </si>
  <si>
    <t>AUMENTADOS EN 4BR1L 2026</t>
  </si>
  <si>
    <t>Deuda o saldo a favor</t>
  </si>
  <si>
    <t>Vto. 18/06</t>
  </si>
  <si>
    <t>LIQUIDACIÓN EXPENSAS MAYO 2025</t>
  </si>
  <si>
    <t>Cittadino Jazmin - Cerrajeria Citta - Destrabe llave cilindro 19/05</t>
  </si>
  <si>
    <t>Alterini Guido - Mantenimiento</t>
  </si>
  <si>
    <t>Fumigacion - Sr. Nicolas - Mes anterior</t>
  </si>
  <si>
    <t xml:space="preserve">Seguro Sra. Karina </t>
  </si>
  <si>
    <t xml:space="preserve">Sueldo Sra. Karina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</si>
</sst>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164" fontId="11" fillId="6" borderId="1" xfId="2" applyFont="1" applyFill="1" applyBorder="1"/>
    <xf numFmtId="164" fontId="16" fillId="0" borderId="1" xfId="2" applyFont="1" applyBorder="1" applyAlignment="1">
      <alignment horizontal="center"/>
    </xf>
    <xf numFmtId="164" fontId="11" fillId="6" borderId="1" xfId="2" applyFont="1" applyFill="1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8"/>
  <sheetViews>
    <sheetView topLeftCell="A25" workbookViewId="0">
      <selection activeCell="F42" sqref="A1:F42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17</v>
      </c>
      <c r="C2" t="s">
        <v>59</v>
      </c>
    </row>
    <row r="3" spans="1:3" x14ac:dyDescent="0.25">
      <c r="B3" t="s">
        <v>11</v>
      </c>
    </row>
    <row r="4" spans="1:3" x14ac:dyDescent="0.25">
      <c r="B4" s="4" t="s">
        <v>7</v>
      </c>
    </row>
    <row r="5" spans="1:3" ht="8.25" customHeight="1" x14ac:dyDescent="0.25">
      <c r="A5" s="3"/>
      <c r="B5" s="21"/>
      <c r="C5" s="3"/>
    </row>
    <row r="7" spans="1:3" x14ac:dyDescent="0.25">
      <c r="A7" s="22" t="s">
        <v>35</v>
      </c>
      <c r="B7" s="23" t="s">
        <v>84</v>
      </c>
      <c r="C7" s="23" t="s">
        <v>83</v>
      </c>
    </row>
    <row r="8" spans="1:3" x14ac:dyDescent="0.25">
      <c r="A8" s="3"/>
      <c r="B8" s="3"/>
      <c r="C8" s="3"/>
    </row>
    <row r="10" spans="1:3" x14ac:dyDescent="0.25">
      <c r="A10" s="13" t="s">
        <v>45</v>
      </c>
    </row>
    <row r="11" spans="1:3" x14ac:dyDescent="0.25">
      <c r="A11" t="s">
        <v>37</v>
      </c>
      <c r="B11" t="s">
        <v>40</v>
      </c>
    </row>
    <row r="12" spans="1:3" x14ac:dyDescent="0.25">
      <c r="A12" t="s">
        <v>38</v>
      </c>
      <c r="B12" t="s">
        <v>46</v>
      </c>
    </row>
    <row r="13" spans="1:3" x14ac:dyDescent="0.25">
      <c r="A13" t="s">
        <v>41</v>
      </c>
    </row>
    <row r="15" spans="1:3" x14ac:dyDescent="0.25">
      <c r="A15" s="19" t="s">
        <v>13</v>
      </c>
    </row>
    <row r="16" spans="1:3" x14ac:dyDescent="0.25">
      <c r="A16" s="53" t="s">
        <v>12</v>
      </c>
      <c r="B16" s="46"/>
      <c r="C16" s="107"/>
    </row>
    <row r="17" spans="1:8" ht="14.25" customHeight="1" x14ac:dyDescent="0.25">
      <c r="A17" s="46" t="s">
        <v>49</v>
      </c>
      <c r="B17" s="54" t="s">
        <v>69</v>
      </c>
      <c r="C17" s="106">
        <v>48091.199999999997</v>
      </c>
      <c r="D17" s="5"/>
      <c r="E17" s="12"/>
    </row>
    <row r="18" spans="1:8" x14ac:dyDescent="0.25">
      <c r="A18" s="46" t="s">
        <v>88</v>
      </c>
      <c r="B18" s="55"/>
      <c r="C18" s="106">
        <v>5837.2</v>
      </c>
      <c r="D18" s="38"/>
      <c r="E18" s="12"/>
    </row>
    <row r="19" spans="1:8" x14ac:dyDescent="0.25">
      <c r="A19" s="46" t="s">
        <v>42</v>
      </c>
      <c r="B19" s="56" t="s">
        <v>61</v>
      </c>
      <c r="C19" s="106">
        <v>22832.87</v>
      </c>
      <c r="D19" s="5"/>
      <c r="E19" s="12"/>
      <c r="F19" s="14"/>
      <c r="H19" s="86"/>
    </row>
    <row r="20" spans="1:8" x14ac:dyDescent="0.25">
      <c r="A20" s="46" t="s">
        <v>31</v>
      </c>
      <c r="B20" s="56"/>
      <c r="C20" s="108">
        <f>17457+197644.67</f>
        <v>215101.67</v>
      </c>
      <c r="D20" s="38"/>
      <c r="F20" s="12"/>
      <c r="H20" s="86"/>
    </row>
    <row r="21" spans="1:8" x14ac:dyDescent="0.25">
      <c r="A21" s="46" t="s">
        <v>32</v>
      </c>
      <c r="B21" s="56" t="s">
        <v>60</v>
      </c>
      <c r="C21" s="106">
        <v>60500</v>
      </c>
      <c r="D21" s="5"/>
      <c r="E21" s="12"/>
      <c r="H21" t="s">
        <v>81</v>
      </c>
    </row>
    <row r="22" spans="1:8" x14ac:dyDescent="0.25">
      <c r="A22" s="57"/>
      <c r="B22" s="58"/>
      <c r="C22" s="42">
        <f>SUM(C17:C21)</f>
        <v>352362.94</v>
      </c>
      <c r="E22" s="86"/>
    </row>
    <row r="23" spans="1:8" x14ac:dyDescent="0.25">
      <c r="A23" s="53" t="s">
        <v>33</v>
      </c>
      <c r="B23" s="56"/>
      <c r="C23" s="84"/>
    </row>
    <row r="24" spans="1:8" ht="15.75" x14ac:dyDescent="0.25">
      <c r="A24" s="46" t="s">
        <v>89</v>
      </c>
      <c r="B24" s="59"/>
      <c r="C24" s="106">
        <v>89000</v>
      </c>
      <c r="F24" s="18"/>
    </row>
    <row r="25" spans="1:8" ht="15.75" x14ac:dyDescent="0.25">
      <c r="A25" s="46" t="s">
        <v>87</v>
      </c>
      <c r="B25" s="59"/>
      <c r="C25" s="106">
        <v>57000</v>
      </c>
      <c r="F25" s="18"/>
    </row>
    <row r="26" spans="1:8" ht="15.75" x14ac:dyDescent="0.25">
      <c r="A26" s="46" t="s">
        <v>86</v>
      </c>
      <c r="B26" s="59"/>
      <c r="C26" s="106">
        <v>80000</v>
      </c>
      <c r="F26" s="18"/>
    </row>
    <row r="27" spans="1:8" ht="15.75" x14ac:dyDescent="0.25">
      <c r="A27" s="46" t="s">
        <v>85</v>
      </c>
      <c r="B27" s="59"/>
      <c r="C27" s="106">
        <v>55000</v>
      </c>
      <c r="F27" s="18"/>
    </row>
    <row r="28" spans="1:8" ht="15.75" x14ac:dyDescent="0.25">
      <c r="A28" s="46" t="s">
        <v>79</v>
      </c>
      <c r="B28" s="59"/>
      <c r="C28" s="106">
        <v>0</v>
      </c>
      <c r="F28" s="18"/>
    </row>
    <row r="29" spans="1:8" ht="15.75" x14ac:dyDescent="0.25">
      <c r="A29" s="46" t="s">
        <v>64</v>
      </c>
      <c r="B29" s="56"/>
      <c r="C29" s="52"/>
      <c r="D29" s="5"/>
      <c r="E29" s="12"/>
      <c r="F29" s="18"/>
    </row>
    <row r="30" spans="1:8" ht="15.75" x14ac:dyDescent="0.25">
      <c r="A30" s="57"/>
      <c r="B30" s="58"/>
      <c r="C30" s="42">
        <f>SUM(C23:C29)</f>
        <v>281000</v>
      </c>
      <c r="F30" s="18"/>
    </row>
    <row r="31" spans="1:8" ht="15.75" x14ac:dyDescent="0.25">
      <c r="A31" s="49" t="s">
        <v>63</v>
      </c>
      <c r="B31" s="49"/>
      <c r="C31" s="60">
        <f>+C30+C22</f>
        <v>633362.93999999994</v>
      </c>
      <c r="F31" s="18"/>
    </row>
    <row r="32" spans="1:8" ht="15.75" x14ac:dyDescent="0.25">
      <c r="C32" s="43"/>
      <c r="F32" s="18"/>
    </row>
    <row r="33" spans="1:6" ht="15.75" x14ac:dyDescent="0.25">
      <c r="A33" s="19" t="s">
        <v>43</v>
      </c>
      <c r="C33" s="43"/>
      <c r="F33" s="18"/>
    </row>
    <row r="34" spans="1:6" ht="15.75" x14ac:dyDescent="0.25">
      <c r="A34" s="109"/>
      <c r="B34" s="110"/>
      <c r="C34" s="100"/>
      <c r="F34" s="18"/>
    </row>
    <row r="35" spans="1:6" ht="15.75" x14ac:dyDescent="0.25">
      <c r="A35" s="104"/>
      <c r="B35" s="46"/>
      <c r="C35" s="51"/>
      <c r="F35" s="18"/>
    </row>
    <row r="36" spans="1:6" ht="15.75" x14ac:dyDescent="0.25">
      <c r="A36" s="46"/>
      <c r="B36" s="46"/>
      <c r="C36" s="52"/>
      <c r="F36" s="18"/>
    </row>
    <row r="37" spans="1:6" ht="15.75" x14ac:dyDescent="0.25">
      <c r="C37" s="44"/>
      <c r="F37" s="18"/>
    </row>
    <row r="38" spans="1:6" x14ac:dyDescent="0.25">
      <c r="A38" s="19" t="s">
        <v>39</v>
      </c>
      <c r="B38" s="19"/>
      <c r="C38" s="20">
        <f>SUM(C34:C37)</f>
        <v>0</v>
      </c>
      <c r="E38" s="12"/>
    </row>
    <row r="40" spans="1:6" x14ac:dyDescent="0.25">
      <c r="A40" s="29" t="s">
        <v>14</v>
      </c>
      <c r="B40" s="29"/>
      <c r="C40" s="30">
        <f>+C38+C31</f>
        <v>633362.93999999994</v>
      </c>
    </row>
    <row r="42" spans="1:6" x14ac:dyDescent="0.25">
      <c r="A42" s="5" t="s">
        <v>34</v>
      </c>
    </row>
    <row r="43" spans="1:6" x14ac:dyDescent="0.25">
      <c r="A43" s="31" t="s">
        <v>9</v>
      </c>
      <c r="B43" s="28"/>
      <c r="C43" s="33">
        <v>-199790.02378991072</v>
      </c>
      <c r="D43" s="6"/>
      <c r="E43" s="6"/>
    </row>
    <row r="44" spans="1:6" x14ac:dyDescent="0.25">
      <c r="A44" t="s">
        <v>8</v>
      </c>
      <c r="C44" s="27">
        <f>'prorrateo '!F13</f>
        <v>461234.72936002235</v>
      </c>
      <c r="D44" s="12"/>
      <c r="E44" s="12"/>
    </row>
    <row r="45" spans="1:6" x14ac:dyDescent="0.25">
      <c r="A45" t="s">
        <v>78</v>
      </c>
      <c r="C45" s="105">
        <f>extraordinarias!E13</f>
        <v>0</v>
      </c>
      <c r="D45" s="12"/>
      <c r="E45" s="12"/>
    </row>
    <row r="46" spans="1:6" x14ac:dyDescent="0.25">
      <c r="A46" t="s">
        <v>71</v>
      </c>
      <c r="C46" s="105">
        <f>-C38</f>
        <v>0</v>
      </c>
      <c r="D46" s="12"/>
      <c r="E46" s="12"/>
    </row>
    <row r="47" spans="1:6" x14ac:dyDescent="0.25">
      <c r="A47" t="s">
        <v>62</v>
      </c>
      <c r="C47" s="61">
        <f>-(C31-C29)</f>
        <v>-633362.93999999994</v>
      </c>
    </row>
    <row r="48" spans="1:6" x14ac:dyDescent="0.25">
      <c r="A48" s="31" t="s">
        <v>15</v>
      </c>
      <c r="B48" s="28"/>
      <c r="C48" s="33">
        <f>SUM(C43:C47)</f>
        <v>-371918.23442988831</v>
      </c>
      <c r="D48" s="6"/>
    </row>
    <row r="49" spans="1:6" x14ac:dyDescent="0.25">
      <c r="A49" s="15"/>
      <c r="B49" s="14"/>
      <c r="C49" s="16"/>
    </row>
    <row r="50" spans="1:6" x14ac:dyDescent="0.25">
      <c r="A50" s="15"/>
      <c r="B50" s="14"/>
      <c r="C50" s="16"/>
      <c r="F50" s="62"/>
    </row>
    <row r="51" spans="1:6" ht="2.25" customHeight="1" x14ac:dyDescent="0.25">
      <c r="A51" s="15"/>
      <c r="B51" s="14"/>
      <c r="C51" s="16"/>
    </row>
    <row r="52" spans="1:6" ht="15.75" hidden="1" x14ac:dyDescent="0.25">
      <c r="A52" s="45" t="s">
        <v>58</v>
      </c>
      <c r="B52" s="64"/>
      <c r="C52" s="65">
        <v>109834.99657000002</v>
      </c>
    </row>
    <row r="53" spans="1:6" hidden="1" x14ac:dyDescent="0.25">
      <c r="A53" s="46"/>
      <c r="B53" s="46"/>
      <c r="C53" s="50"/>
    </row>
    <row r="54" spans="1:6" hidden="1" x14ac:dyDescent="0.25">
      <c r="A54" s="49" t="s">
        <v>4</v>
      </c>
      <c r="B54" s="47"/>
      <c r="C54" s="48">
        <f>SUM(C52:C53)</f>
        <v>109834.99657000002</v>
      </c>
    </row>
    <row r="55" spans="1:6" x14ac:dyDescent="0.25">
      <c r="A55" s="14"/>
      <c r="B55" s="14"/>
      <c r="C55" s="14"/>
    </row>
    <row r="56" spans="1:6" x14ac:dyDescent="0.25">
      <c r="A56" s="14"/>
      <c r="B56" s="14"/>
      <c r="C56" s="14"/>
    </row>
    <row r="57" spans="1:6" x14ac:dyDescent="0.25">
      <c r="A57" s="14"/>
      <c r="B57" s="14"/>
      <c r="C57" s="14"/>
    </row>
    <row r="58" spans="1:6" x14ac:dyDescent="0.25">
      <c r="A58" s="14"/>
      <c r="B58" s="14"/>
      <c r="C58" s="14"/>
    </row>
  </sheetData>
  <mergeCells count="1">
    <mergeCell ref="A34:B34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abSelected="1" workbookViewId="0">
      <selection activeCell="F11" sqref="E11:F11"/>
    </sheetView>
  </sheetViews>
  <sheetFormatPr baseColWidth="10" defaultColWidth="10.85546875" defaultRowHeight="15" x14ac:dyDescent="0.25"/>
  <cols>
    <col min="1" max="1" width="5.28515625" style="1" customWidth="1"/>
    <col min="2" max="2" width="8" style="1" customWidth="1"/>
    <col min="3" max="3" width="23.42578125" bestFit="1" customWidth="1"/>
    <col min="4" max="4" width="9.85546875" bestFit="1" customWidth="1"/>
    <col min="5" max="5" width="16.28515625" customWidth="1"/>
    <col min="6" max="6" width="12.42578125" bestFit="1" customWidth="1"/>
    <col min="7" max="7" width="12.42578125" customWidth="1"/>
    <col min="8" max="8" width="9.28515625" bestFit="1" customWidth="1"/>
    <col min="9" max="9" width="10.42578125" customWidth="1"/>
    <col min="10" max="10" width="9.140625" customWidth="1"/>
    <col min="11" max="11" width="12.42578125" customWidth="1"/>
    <col min="12" max="12" width="13.42578125" customWidth="1"/>
    <col min="13" max="13" width="13.28515625" customWidth="1"/>
    <col min="15" max="15" width="11.42578125" style="17"/>
  </cols>
  <sheetData>
    <row r="1" spans="1:17" ht="15.75" thickBot="1" x14ac:dyDescent="0.3">
      <c r="A1" s="40" t="s">
        <v>47</v>
      </c>
      <c r="E1" s="102">
        <v>633362.93999999994</v>
      </c>
      <c r="G1" t="str">
        <f>'detalle y gastos'!C7</f>
        <v>Vto. 18/06</v>
      </c>
    </row>
    <row r="2" spans="1:17" x14ac:dyDescent="0.25">
      <c r="A2" s="71" t="str">
        <f>'detalle y gastos'!B7</f>
        <v>LIQUIDACIÓN EXPENSAS MAYO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25">
      <c r="A3" s="121"/>
      <c r="B3" s="118" t="s">
        <v>1</v>
      </c>
      <c r="C3" s="116" t="s">
        <v>2</v>
      </c>
      <c r="D3" s="115" t="s">
        <v>53</v>
      </c>
      <c r="E3" s="118" t="s">
        <v>16</v>
      </c>
      <c r="F3" s="113" t="s">
        <v>3</v>
      </c>
      <c r="G3" s="115" t="s">
        <v>82</v>
      </c>
      <c r="H3" s="113" t="s">
        <v>44</v>
      </c>
      <c r="I3" s="116" t="s">
        <v>6</v>
      </c>
      <c r="J3" s="117" t="s">
        <v>75</v>
      </c>
      <c r="K3" s="111" t="s">
        <v>65</v>
      </c>
      <c r="L3" s="111" t="s">
        <v>66</v>
      </c>
      <c r="M3" s="111" t="s">
        <v>67</v>
      </c>
    </row>
    <row r="4" spans="1:17" x14ac:dyDescent="0.25">
      <c r="A4" s="122"/>
      <c r="B4" s="119"/>
      <c r="C4" s="116"/>
      <c r="D4" s="115"/>
      <c r="E4" s="119"/>
      <c r="F4" s="114"/>
      <c r="G4" s="115"/>
      <c r="H4" s="114"/>
      <c r="I4" s="116"/>
      <c r="J4" s="117"/>
      <c r="K4" s="112"/>
      <c r="L4" s="112"/>
      <c r="M4" s="112"/>
    </row>
    <row r="5" spans="1:17" x14ac:dyDescent="0.25">
      <c r="A5" s="68">
        <v>1</v>
      </c>
      <c r="B5" s="11" t="s">
        <v>18</v>
      </c>
      <c r="C5" s="41" t="s">
        <v>26</v>
      </c>
      <c r="D5" s="41" t="s">
        <v>56</v>
      </c>
      <c r="E5" s="37">
        <v>64621.710639999968</v>
      </c>
      <c r="F5" s="85">
        <v>64830</v>
      </c>
      <c r="G5" s="37">
        <f>E5-F5</f>
        <v>-208.28936000003159</v>
      </c>
      <c r="H5" s="37">
        <f>IF(G5&gt;0,G5*3%,0)</f>
        <v>0</v>
      </c>
      <c r="I5" s="74">
        <v>0.121</v>
      </c>
      <c r="J5" s="63"/>
      <c r="K5" s="75">
        <f>E1*I5</f>
        <v>76636.915739999997</v>
      </c>
      <c r="L5" s="75">
        <f>E5-F5+H5+K5+J5</f>
        <v>76428.626379999972</v>
      </c>
      <c r="M5" s="76">
        <f>L5+L5*4%</f>
        <v>79485.771435199975</v>
      </c>
    </row>
    <row r="6" spans="1:17" x14ac:dyDescent="0.25">
      <c r="A6" s="68">
        <v>2</v>
      </c>
      <c r="B6" s="11" t="s">
        <v>19</v>
      </c>
      <c r="C6" s="41" t="s">
        <v>27</v>
      </c>
      <c r="D6" s="41" t="s">
        <v>57</v>
      </c>
      <c r="E6" s="37">
        <v>65365.616279999995</v>
      </c>
      <c r="F6" s="85">
        <f>E6</f>
        <v>65365.616279999995</v>
      </c>
      <c r="G6" s="37">
        <f t="shared" ref="G6:G12" si="0">E6-F6</f>
        <v>0</v>
      </c>
      <c r="H6" s="37">
        <f t="shared" ref="H6:H12" si="1">IF(G6&gt;0,G6*3%,0)</f>
        <v>0</v>
      </c>
      <c r="I6" s="74">
        <v>0.122</v>
      </c>
      <c r="J6" s="63"/>
      <c r="K6" s="75">
        <f>E1*I6</f>
        <v>77270.278679999989</v>
      </c>
      <c r="L6" s="75">
        <f t="shared" ref="L6:L12" si="2">E6-F6+H6+K6+J6</f>
        <v>77270.278679999989</v>
      </c>
      <c r="M6" s="76">
        <f t="shared" ref="M6:M12" si="3">L6+L6*4%</f>
        <v>80361.08982719999</v>
      </c>
      <c r="O6" s="83"/>
      <c r="Q6" s="82"/>
    </row>
    <row r="7" spans="1:17" x14ac:dyDescent="0.25">
      <c r="A7" s="68">
        <v>3</v>
      </c>
      <c r="B7" s="11" t="s">
        <v>20</v>
      </c>
      <c r="C7" s="41" t="s">
        <v>28</v>
      </c>
      <c r="D7" s="41" t="s">
        <v>68</v>
      </c>
      <c r="E7" s="85">
        <f>65194.64</f>
        <v>65194.64</v>
      </c>
      <c r="F7" s="85">
        <f>65194.64</f>
        <v>65194.64</v>
      </c>
      <c r="G7" s="37">
        <f t="shared" si="0"/>
        <v>0</v>
      </c>
      <c r="H7" s="37">
        <f t="shared" si="1"/>
        <v>0</v>
      </c>
      <c r="I7" s="74">
        <v>0.11700000000000001</v>
      </c>
      <c r="J7" s="63"/>
      <c r="K7" s="75">
        <f>E1*I7</f>
        <v>74103.46398</v>
      </c>
      <c r="L7" s="75">
        <f t="shared" si="2"/>
        <v>74103.46398</v>
      </c>
      <c r="M7" s="76">
        <f t="shared" si="3"/>
        <v>77067.602539200001</v>
      </c>
    </row>
    <row r="8" spans="1:17" x14ac:dyDescent="0.25">
      <c r="A8" s="68">
        <v>4</v>
      </c>
      <c r="B8" s="11" t="s">
        <v>21</v>
      </c>
      <c r="C8" s="41" t="s">
        <v>29</v>
      </c>
      <c r="D8" s="41" t="s">
        <v>70</v>
      </c>
      <c r="E8" s="85">
        <v>62686.69758</v>
      </c>
      <c r="F8" s="85">
        <f>E8</f>
        <v>62686.69758</v>
      </c>
      <c r="G8" s="37">
        <f t="shared" si="0"/>
        <v>0</v>
      </c>
      <c r="H8" s="37">
        <f t="shared" si="1"/>
        <v>0</v>
      </c>
      <c r="I8" s="74">
        <v>0.11700000000000001</v>
      </c>
      <c r="J8" s="63"/>
      <c r="K8" s="75">
        <f>E1*I8</f>
        <v>74103.46398</v>
      </c>
      <c r="L8" s="75">
        <f t="shared" si="2"/>
        <v>74103.46398</v>
      </c>
      <c r="M8" s="76">
        <f t="shared" si="3"/>
        <v>77067.602539200001</v>
      </c>
      <c r="N8" t="s">
        <v>80</v>
      </c>
    </row>
    <row r="9" spans="1:17" x14ac:dyDescent="0.25">
      <c r="A9" s="68">
        <v>5</v>
      </c>
      <c r="B9" s="11" t="s">
        <v>22</v>
      </c>
      <c r="C9" s="41" t="s">
        <v>26</v>
      </c>
      <c r="D9" s="41" t="s">
        <v>55</v>
      </c>
      <c r="E9" s="37">
        <v>73402.372380000001</v>
      </c>
      <c r="F9" s="85">
        <f>E9</f>
        <v>73402.372380000001</v>
      </c>
      <c r="G9" s="37">
        <f t="shared" si="0"/>
        <v>0</v>
      </c>
      <c r="H9" s="37">
        <f t="shared" si="1"/>
        <v>0</v>
      </c>
      <c r="I9" s="74">
        <v>0.13700000000000001</v>
      </c>
      <c r="J9" s="63"/>
      <c r="K9" s="75">
        <f>E1*I9</f>
        <v>86770.722779999996</v>
      </c>
      <c r="L9" s="75">
        <f t="shared" si="2"/>
        <v>86770.722779999996</v>
      </c>
      <c r="M9" s="76">
        <f t="shared" si="3"/>
        <v>90241.551691200002</v>
      </c>
    </row>
    <row r="10" spans="1:17" x14ac:dyDescent="0.25">
      <c r="A10" s="68">
        <v>6</v>
      </c>
      <c r="B10" s="11" t="s">
        <v>23</v>
      </c>
      <c r="C10" s="41" t="s">
        <v>26</v>
      </c>
      <c r="D10" s="41" t="s">
        <v>72</v>
      </c>
      <c r="E10" s="37">
        <v>61710.868140022387</v>
      </c>
      <c r="F10" s="85">
        <f>E10</f>
        <v>61710.868140022387</v>
      </c>
      <c r="G10" s="37">
        <f t="shared" si="0"/>
        <v>0</v>
      </c>
      <c r="H10" s="37">
        <f t="shared" si="1"/>
        <v>0</v>
      </c>
      <c r="I10" s="74">
        <v>0.13200000000000001</v>
      </c>
      <c r="J10" s="63"/>
      <c r="K10" s="75">
        <f>E1*I10</f>
        <v>83603.908079999994</v>
      </c>
      <c r="L10" s="75">
        <f t="shared" si="2"/>
        <v>83603.908079999994</v>
      </c>
      <c r="M10" s="76">
        <f t="shared" si="3"/>
        <v>86948.064403199998</v>
      </c>
    </row>
    <row r="11" spans="1:17" x14ac:dyDescent="0.25">
      <c r="A11" s="68">
        <v>7</v>
      </c>
      <c r="B11" s="11" t="s">
        <v>24</v>
      </c>
      <c r="C11" s="41" t="s">
        <v>28</v>
      </c>
      <c r="D11" s="41"/>
      <c r="E11" s="37">
        <v>207177.68383532</v>
      </c>
      <c r="F11" s="85"/>
      <c r="G11" s="37">
        <f t="shared" si="0"/>
        <v>207177.68383532</v>
      </c>
      <c r="H11" s="37">
        <f t="shared" si="1"/>
        <v>6215.3305150595997</v>
      </c>
      <c r="I11" s="74">
        <v>0.127</v>
      </c>
      <c r="J11" s="63"/>
      <c r="K11" s="75">
        <f>E1*I11</f>
        <v>80437.093379999991</v>
      </c>
      <c r="L11" s="75">
        <f t="shared" si="2"/>
        <v>293830.10773037962</v>
      </c>
      <c r="M11" s="76">
        <f t="shared" si="3"/>
        <v>305583.31203959481</v>
      </c>
    </row>
    <row r="12" spans="1:17" x14ac:dyDescent="0.25">
      <c r="A12" s="68">
        <v>8</v>
      </c>
      <c r="B12" s="11" t="s">
        <v>25</v>
      </c>
      <c r="C12" s="41" t="s">
        <v>30</v>
      </c>
      <c r="D12" s="41" t="s">
        <v>54</v>
      </c>
      <c r="E12" s="37">
        <v>68044.534979999997</v>
      </c>
      <c r="F12" s="85">
        <f>E12</f>
        <v>68044.534979999997</v>
      </c>
      <c r="G12" s="37">
        <f t="shared" si="0"/>
        <v>0</v>
      </c>
      <c r="H12" s="37">
        <f t="shared" si="1"/>
        <v>0</v>
      </c>
      <c r="I12" s="74">
        <v>0.127</v>
      </c>
      <c r="J12" s="63"/>
      <c r="K12" s="75">
        <f>E1*I12</f>
        <v>80437.093379999991</v>
      </c>
      <c r="L12" s="75">
        <f t="shared" si="2"/>
        <v>80437.093379999991</v>
      </c>
      <c r="M12" s="76">
        <f t="shared" si="3"/>
        <v>83654.577115199994</v>
      </c>
    </row>
    <row r="13" spans="1:17" ht="15.75" thickBot="1" x14ac:dyDescent="0.3">
      <c r="A13" s="77" t="s">
        <v>10</v>
      </c>
      <c r="B13" s="78"/>
      <c r="C13" s="79"/>
      <c r="D13" s="79"/>
      <c r="E13" s="80">
        <f>SUM(E5:E12)</f>
        <v>668204.12383534235</v>
      </c>
      <c r="F13" s="69">
        <f>SUM(F5:F12)</f>
        <v>461234.72936002235</v>
      </c>
      <c r="G13" s="69"/>
      <c r="H13" s="69">
        <f>SUM(H5:H12)</f>
        <v>6215.3305150595997</v>
      </c>
      <c r="I13" s="70">
        <f t="shared" ref="I13" si="4">SUM(I5:I12)</f>
        <v>1</v>
      </c>
      <c r="J13" s="101">
        <f>SUM(J5:J12)</f>
        <v>0</v>
      </c>
      <c r="K13" s="80">
        <f>SUM(K5:K12)</f>
        <v>633362.93999999994</v>
      </c>
      <c r="L13" s="80">
        <f>SUM(L5:L12)</f>
        <v>846547.66499037948</v>
      </c>
      <c r="M13" s="81">
        <f>SUM(M5:M12)</f>
        <v>880409.57158999471</v>
      </c>
    </row>
    <row r="15" spans="1:17" x14ac:dyDescent="0.25">
      <c r="C15" s="120" t="s">
        <v>76</v>
      </c>
      <c r="D15" s="120"/>
      <c r="E15" s="120"/>
      <c r="F15" s="120"/>
      <c r="G15" s="120"/>
      <c r="H15" s="120"/>
      <c r="I15" s="120"/>
      <c r="J15" s="120"/>
      <c r="K15" s="120"/>
      <c r="L15" s="120"/>
    </row>
    <row r="16" spans="1:17" ht="15" hidden="1" customHeight="1" x14ac:dyDescent="0.25">
      <c r="A16" s="40" t="s">
        <v>48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</row>
    <row r="17" spans="1:13" ht="15" hidden="1" customHeight="1" x14ac:dyDescent="0.25">
      <c r="A17" s="24" t="s">
        <v>50</v>
      </c>
      <c r="B17" s="25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26"/>
    </row>
    <row r="18" spans="1:13" ht="15" hidden="1" customHeight="1" x14ac:dyDescent="0.25">
      <c r="A18" s="2" t="s">
        <v>0</v>
      </c>
      <c r="B18" s="7" t="s">
        <v>1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36" t="s">
        <v>4</v>
      </c>
    </row>
    <row r="19" spans="1:13" ht="15" hidden="1" customHeight="1" x14ac:dyDescent="0.25">
      <c r="A19" s="2"/>
      <c r="B19" s="7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32" t="s">
        <v>5</v>
      </c>
    </row>
    <row r="20" spans="1:13" ht="15" hidden="1" customHeight="1" x14ac:dyDescent="0.25">
      <c r="A20" s="10">
        <v>1</v>
      </c>
      <c r="B20" s="11" t="s">
        <v>18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34" t="e">
        <f>+#REF!+H20+K20</f>
        <v>#REF!</v>
      </c>
    </row>
    <row r="21" spans="1:13" ht="15" hidden="1" customHeight="1" x14ac:dyDescent="0.25">
      <c r="A21" s="10">
        <v>2</v>
      </c>
      <c r="B21" s="11" t="s">
        <v>19</v>
      </c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34" t="e">
        <f>+#REF!+H21+K21</f>
        <v>#REF!</v>
      </c>
    </row>
    <row r="22" spans="1:13" ht="15" hidden="1" customHeight="1" x14ac:dyDescent="0.25">
      <c r="A22" s="10">
        <v>3</v>
      </c>
      <c r="B22" s="11" t="s">
        <v>20</v>
      </c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34" t="e">
        <f>+#REF!+H22+K22</f>
        <v>#REF!</v>
      </c>
    </row>
    <row r="23" spans="1:13" ht="15" hidden="1" customHeight="1" x14ac:dyDescent="0.25">
      <c r="A23" s="10">
        <v>4</v>
      </c>
      <c r="B23" s="11" t="s">
        <v>21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34" t="e">
        <f>+#REF!+H23+K23</f>
        <v>#REF!</v>
      </c>
    </row>
    <row r="24" spans="1:13" ht="15" hidden="1" customHeight="1" x14ac:dyDescent="0.25">
      <c r="A24" s="10">
        <v>5</v>
      </c>
      <c r="B24" s="11" t="s">
        <v>22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34" t="e">
        <f>+#REF!+H24+K24</f>
        <v>#REF!</v>
      </c>
    </row>
    <row r="25" spans="1:13" ht="15" hidden="1" customHeight="1" x14ac:dyDescent="0.25">
      <c r="A25" s="10">
        <v>6</v>
      </c>
      <c r="B25" s="11" t="s">
        <v>23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34" t="e">
        <f>+#REF!+H25+K25</f>
        <v>#REF!</v>
      </c>
    </row>
    <row r="26" spans="1:13" ht="15" hidden="1" customHeight="1" x14ac:dyDescent="0.25">
      <c r="A26" s="10">
        <v>7</v>
      </c>
      <c r="B26" s="11" t="s">
        <v>24</v>
      </c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34" t="e">
        <f>+#REF!+H26+K26</f>
        <v>#REF!</v>
      </c>
    </row>
    <row r="27" spans="1:13" ht="15" hidden="1" customHeight="1" x14ac:dyDescent="0.25">
      <c r="A27" s="10">
        <v>8</v>
      </c>
      <c r="B27" s="11" t="s">
        <v>25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34" t="e">
        <f>+#REF!+H27+K27</f>
        <v>#REF!</v>
      </c>
    </row>
    <row r="28" spans="1:13" ht="15.75" hidden="1" customHeight="1" thickBot="1" x14ac:dyDescent="0.3">
      <c r="A28" s="8" t="s">
        <v>10</v>
      </c>
      <c r="B28" s="9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35" t="e">
        <f>SUM(M20:M27)</f>
        <v>#REF!</v>
      </c>
    </row>
    <row r="29" spans="1:13" x14ac:dyDescent="0.25">
      <c r="C29" s="120"/>
      <c r="D29" s="120"/>
      <c r="E29" s="120"/>
      <c r="F29" s="120"/>
      <c r="G29" s="120"/>
      <c r="H29" s="120"/>
      <c r="I29" s="120"/>
      <c r="J29" s="120"/>
      <c r="K29" s="120"/>
      <c r="L29" s="120"/>
    </row>
    <row r="30" spans="1:13" x14ac:dyDescent="0.25">
      <c r="C30" s="120"/>
      <c r="D30" s="120"/>
      <c r="E30" s="120"/>
      <c r="F30" s="120"/>
      <c r="G30" s="120"/>
      <c r="H30" s="120"/>
      <c r="I30" s="120"/>
      <c r="J30" s="120"/>
      <c r="K30" s="120"/>
      <c r="L30" s="120"/>
    </row>
    <row r="31" spans="1:13" x14ac:dyDescent="0.25">
      <c r="C31" s="120"/>
      <c r="D31" s="120"/>
      <c r="E31" s="120"/>
      <c r="F31" s="120"/>
      <c r="G31" s="120"/>
      <c r="H31" s="120"/>
      <c r="I31" s="120"/>
      <c r="J31" s="120"/>
      <c r="K31" s="120"/>
      <c r="L31" s="120"/>
    </row>
    <row r="32" spans="1:13" x14ac:dyDescent="0.25">
      <c r="C32" s="120"/>
      <c r="D32" s="120"/>
      <c r="E32" s="120"/>
      <c r="F32" s="120"/>
      <c r="G32" s="120"/>
      <c r="H32" s="120"/>
      <c r="I32" s="120"/>
      <c r="J32" s="120"/>
      <c r="K32" s="120"/>
      <c r="L32" s="120"/>
    </row>
    <row r="39" spans="5:5" x14ac:dyDescent="0.25">
      <c r="E39" s="39"/>
    </row>
  </sheetData>
  <mergeCells count="14">
    <mergeCell ref="C15:L32"/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ColWidth="10.85546875" defaultRowHeight="15" x14ac:dyDescent="0.25"/>
  <cols>
    <col min="1" max="1" width="6.28515625" customWidth="1"/>
    <col min="3" max="3" width="14.140625" bestFit="1" customWidth="1"/>
    <col min="4" max="4" width="14.28515625" customWidth="1"/>
    <col min="5" max="5" width="13.140625" bestFit="1" customWidth="1"/>
    <col min="6" max="6" width="13.140625" customWidth="1"/>
    <col min="7" max="7" width="18" customWidth="1"/>
    <col min="8" max="8" width="11.140625" customWidth="1"/>
    <col min="9" max="9" width="14.7109375" customWidth="1"/>
    <col min="10" max="10" width="13" customWidth="1"/>
  </cols>
  <sheetData>
    <row r="1" spans="1:12" x14ac:dyDescent="0.25">
      <c r="A1" s="91" t="s">
        <v>48</v>
      </c>
      <c r="B1" s="92"/>
      <c r="C1" s="93"/>
      <c r="D1" s="123">
        <v>0</v>
      </c>
      <c r="E1" s="123"/>
      <c r="F1" s="103"/>
      <c r="G1" s="93"/>
      <c r="H1" s="93"/>
      <c r="I1" s="93"/>
      <c r="J1" s="94"/>
      <c r="L1" s="17"/>
    </row>
    <row r="2" spans="1:12" x14ac:dyDescent="0.25">
      <c r="A2" s="95" t="s">
        <v>74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25">
      <c r="A3" s="124" t="s">
        <v>0</v>
      </c>
      <c r="B3" s="118" t="s">
        <v>1</v>
      </c>
      <c r="C3" s="118" t="s">
        <v>2</v>
      </c>
      <c r="D3" s="115" t="s">
        <v>9</v>
      </c>
      <c r="E3" s="116" t="s">
        <v>51</v>
      </c>
      <c r="F3" s="118" t="s">
        <v>77</v>
      </c>
      <c r="G3" s="115" t="s">
        <v>44</v>
      </c>
      <c r="H3" s="116" t="s">
        <v>6</v>
      </c>
      <c r="I3" s="127" t="s">
        <v>73</v>
      </c>
      <c r="J3" s="126" t="s">
        <v>52</v>
      </c>
      <c r="L3" s="17"/>
    </row>
    <row r="4" spans="1:12" x14ac:dyDescent="0.25">
      <c r="A4" s="125"/>
      <c r="B4" s="119"/>
      <c r="C4" s="119"/>
      <c r="D4" s="115"/>
      <c r="E4" s="116"/>
      <c r="F4" s="119"/>
      <c r="G4" s="115"/>
      <c r="H4" s="116"/>
      <c r="I4" s="127"/>
      <c r="J4" s="126"/>
      <c r="L4" s="17"/>
    </row>
    <row r="5" spans="1:12" ht="30" customHeight="1" x14ac:dyDescent="0.25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25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25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25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25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25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25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25">
      <c r="A12" s="98">
        <v>8</v>
      </c>
      <c r="B12" s="99" t="s">
        <v>25</v>
      </c>
      <c r="C12" s="87" t="s">
        <v>30</v>
      </c>
      <c r="D12" s="75">
        <v>0</v>
      </c>
      <c r="E12" s="75">
        <f>D12</f>
        <v>0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.75" thickBot="1" x14ac:dyDescent="0.3">
      <c r="A13" s="77" t="s">
        <v>10</v>
      </c>
      <c r="B13" s="78"/>
      <c r="C13" s="79"/>
      <c r="D13" s="80">
        <f>SUM(D5:D12)</f>
        <v>693979.22719999996</v>
      </c>
      <c r="E13" s="80">
        <f>SUM(E5:E12)</f>
        <v>0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2026-05-28T17:37:55Z</cp:lastPrinted>
  <dcterms:created xsi:type="dcterms:W3CDTF">2020-12-10T00:27:53Z</dcterms:created>
  <dcterms:modified xsi:type="dcterms:W3CDTF">2026-06-11T20:00:36Z</dcterms:modified>
</cp:coreProperties>
</file>