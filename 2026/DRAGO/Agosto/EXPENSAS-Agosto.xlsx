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DRAGO\Agosto\"/>
    </mc:Choice>
  </mc:AlternateContent>
  <xr:revisionPtr revIDLastSave="0" documentId="13_ncr:1_{26AEEB46-7846-46D2-8AB0-FD7D9269EB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lle y gastos" sheetId="3" r:id="rId1"/>
    <sheet name="prorrateo " sheetId="1" r:id="rId2"/>
    <sheet name="extraordinarias" sheetId="4" r:id="rId3"/>
  </sheets>
  <definedNames>
    <definedName name="_xlnm.Print_Area" localSheetId="0">'detalle y gastos'!$A$1:$C$47</definedName>
    <definedName name="_xlnm.Print_Area" localSheetId="1">'prorrateo '!$A$1:$M$32</definedName>
  </definedNames>
  <calcPr calcId="181029"/>
</workbook>
</file>

<file path=xl/calcChain.xml><?xml version="1.0" encoding="utf-8"?>
<calcChain xmlns="http://schemas.openxmlformats.org/spreadsheetml/2006/main">
  <c r="F10" i="1" l="1"/>
  <c r="F5" i="1"/>
  <c r="F9" i="1"/>
  <c r="F8" i="1"/>
  <c r="C22" i="3" l="1"/>
  <c r="C28" i="3"/>
  <c r="F11" i="1"/>
  <c r="F7" i="1"/>
  <c r="C29" i="3" l="1"/>
  <c r="E12" i="4" l="1"/>
  <c r="C36" i="3" l="1"/>
  <c r="F6" i="4" l="1"/>
  <c r="G6" i="4" s="1"/>
  <c r="F8" i="4"/>
  <c r="G8" i="4" s="1"/>
  <c r="F9" i="4"/>
  <c r="G9" i="4" s="1"/>
  <c r="F10" i="4"/>
  <c r="G10" i="4" s="1"/>
  <c r="F12" i="4"/>
  <c r="G12" i="4" s="1"/>
  <c r="F5" i="4"/>
  <c r="G5" i="4" s="1"/>
  <c r="E7" i="4"/>
  <c r="F7" i="4" s="1"/>
  <c r="G7" i="4" s="1"/>
  <c r="E11" i="4"/>
  <c r="F11" i="4" s="1"/>
  <c r="G11" i="4" s="1"/>
  <c r="I6" i="4" l="1"/>
  <c r="J6" i="4" s="1"/>
  <c r="I7" i="4"/>
  <c r="J7" i="4" s="1"/>
  <c r="I8" i="4"/>
  <c r="J8" i="4" s="1"/>
  <c r="I9" i="4"/>
  <c r="J9" i="4" s="1"/>
  <c r="I10" i="4"/>
  <c r="J10" i="4" s="1"/>
  <c r="I11" i="4"/>
  <c r="J11" i="4" s="1"/>
  <c r="I12" i="4"/>
  <c r="J12" i="4" s="1"/>
  <c r="I5" i="4"/>
  <c r="J5" i="4" s="1"/>
  <c r="E13" i="4"/>
  <c r="C43" i="3" s="1"/>
  <c r="C52" i="3"/>
  <c r="G13" i="4" l="1"/>
  <c r="G1" i="1" l="1"/>
  <c r="J13" i="1" l="1"/>
  <c r="K5" i="1"/>
  <c r="C44" i="3" l="1"/>
  <c r="A2" i="1" l="1"/>
  <c r="I13" i="4" l="1"/>
  <c r="J13" i="4"/>
  <c r="C45" i="3" l="1"/>
  <c r="G7" i="1" l="1"/>
  <c r="H7" i="1" s="1"/>
  <c r="G8" i="1"/>
  <c r="H8" i="1" s="1"/>
  <c r="G9" i="1"/>
  <c r="H9" i="1" s="1"/>
  <c r="G10" i="1"/>
  <c r="H10" i="1" s="1"/>
  <c r="G5" i="1"/>
  <c r="H5" i="1" s="1"/>
  <c r="G11" i="1"/>
  <c r="H11" i="1" s="1"/>
  <c r="L5" i="1" l="1"/>
  <c r="K12" i="1"/>
  <c r="K11" i="1"/>
  <c r="L11" i="1" s="1"/>
  <c r="M11" i="1" s="1"/>
  <c r="K10" i="1"/>
  <c r="L10" i="1" s="1"/>
  <c r="M10" i="1" s="1"/>
  <c r="K9" i="1"/>
  <c r="L9" i="1" s="1"/>
  <c r="M9" i="1" s="1"/>
  <c r="K8" i="1"/>
  <c r="L8" i="1" s="1"/>
  <c r="M8" i="1" s="1"/>
  <c r="K7" i="1"/>
  <c r="L7" i="1" s="1"/>
  <c r="M7" i="1" s="1"/>
  <c r="K6" i="1"/>
  <c r="M5" i="1" l="1"/>
  <c r="F13" i="1"/>
  <c r="G6" i="1"/>
  <c r="H6" i="1" l="1"/>
  <c r="L6" i="1" s="1"/>
  <c r="M6" i="1" s="1"/>
  <c r="G12" i="1"/>
  <c r="E13" i="1"/>
  <c r="K13" i="1"/>
  <c r="H12" i="1" l="1"/>
  <c r="L12" i="1" s="1"/>
  <c r="M12" i="1" s="1"/>
  <c r="C42" i="3"/>
  <c r="C46" i="3" s="1"/>
  <c r="L13" i="1" l="1"/>
  <c r="H13" i="4"/>
  <c r="D13" i="4"/>
  <c r="M22" i="1" l="1"/>
  <c r="M25" i="1"/>
  <c r="M20" i="1"/>
  <c r="M24" i="1"/>
  <c r="M26" i="1"/>
  <c r="M27" i="1"/>
  <c r="M23" i="1"/>
  <c r="M21" i="1"/>
  <c r="M28" i="1" l="1"/>
  <c r="M13" i="1" l="1"/>
  <c r="H13" i="1"/>
  <c r="I13" i="1"/>
  <c r="C38" i="3" l="1"/>
</calcChain>
</file>

<file path=xl/sharedStrings.xml><?xml version="1.0" encoding="utf-8"?>
<sst xmlns="http://schemas.openxmlformats.org/spreadsheetml/2006/main" count="128" uniqueCount="89">
  <si>
    <t>UF</t>
  </si>
  <si>
    <t>Dpto.</t>
  </si>
  <si>
    <t>Propietario</t>
  </si>
  <si>
    <t>Pagos</t>
  </si>
  <si>
    <t>TOTAL</t>
  </si>
  <si>
    <t>EXPENSAS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</si>
  <si>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</si>
  <si>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</si>
  <si>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</si>
  <si>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</si>
  <si>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</si>
  <si>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</si>
  <si>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</si>
  <si>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</si>
  <si>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</si>
  <si>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</si>
  <si>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 xml:space="preserve">Saldo 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</si>
  <si>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</si>
  <si>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</si>
  <si>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</si>
  <si>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</si>
  <si>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</si>
  <si>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</si>
  <si>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</si>
  <si>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</si>
  <si>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</si>
  <si>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</si>
  <si>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</si>
  <si>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</si>
  <si>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</si>
  <si>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</si>
  <si>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</si>
  <si>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RC Adm Cons CANCIANI, Carolina</t>
  </si>
  <si>
    <t>LIMPIEZA / MANTENIMIENTO / GASTOS GENERALES</t>
  </si>
  <si>
    <t>ESTADO FINACIERO</t>
  </si>
  <si>
    <t>EDIFICIO DRAGO 1770 - LANUS</t>
  </si>
  <si>
    <t>EDIFICIO DRAGO 1770</t>
  </si>
  <si>
    <t>EDESUR  0800-333-3787</t>
  </si>
  <si>
    <t>AySA  0800-321-2482</t>
  </si>
  <si>
    <t>TOTAL GASTOS EXTRAORDINARIOS (B)</t>
  </si>
  <si>
    <t>Cliente N°03995038 3 - Medidor N°000174963</t>
  </si>
  <si>
    <t>Metrogas 0800-333-6427</t>
  </si>
  <si>
    <t>EDESUR</t>
  </si>
  <si>
    <t>GASTOS EXTRAORDINARIOS</t>
  </si>
  <si>
    <t>Intereses</t>
  </si>
  <si>
    <t xml:space="preserve">Teléfonos útiles </t>
  </si>
  <si>
    <t>Cuenta de Servicio N° 2523910</t>
  </si>
  <si>
    <t>EXPENSAS ORDINARIAS</t>
  </si>
  <si>
    <t>EXPENSAS EXTRAORDINARIAS</t>
  </si>
  <si>
    <t xml:space="preserve">Seguro Integral </t>
  </si>
  <si>
    <t>Liquidación de mes: JULIO 2022</t>
  </si>
  <si>
    <t>Pago</t>
  </si>
  <si>
    <t>TOTAL A PAGAR</t>
  </si>
  <si>
    <t>Inquilinos</t>
  </si>
  <si>
    <t>Pamela</t>
  </si>
  <si>
    <t>Lucas</t>
  </si>
  <si>
    <t>Damian</t>
  </si>
  <si>
    <t>Enzo</t>
  </si>
  <si>
    <t>CAJA EXTRAORDINARIA</t>
  </si>
  <si>
    <t>MP 1148</t>
  </si>
  <si>
    <t>Honorarios administracion</t>
  </si>
  <si>
    <t>Pago efectivo</t>
  </si>
  <si>
    <t>Egresos por gastos del mes ordinarios</t>
  </si>
  <si>
    <t xml:space="preserve">TOTAL GASTOS ORDINARIOS (A) </t>
  </si>
  <si>
    <t>Expensas ordinarias</t>
  </si>
  <si>
    <t>Expensas 1er Vto</t>
  </si>
  <si>
    <t>Expensas 2do Vto</t>
  </si>
  <si>
    <t>Valeria</t>
  </si>
  <si>
    <t>Mercantil Andina</t>
  </si>
  <si>
    <t>Mauro</t>
  </si>
  <si>
    <t>Egresos extraordinarios</t>
  </si>
  <si>
    <t>Estefania</t>
  </si>
  <si>
    <t>Expensas extr.</t>
  </si>
  <si>
    <t>Liquidación de mes</t>
  </si>
  <si>
    <t>Gasto Particular</t>
  </si>
  <si>
    <t>LAS EXPENSAS SE TRANSFIEREN A UNA CUENTA DE MERCADO PAGO: ALIAS: carolina.canciani CVU: 0000003100080478547818</t>
  </si>
  <si>
    <t>SALDO</t>
  </si>
  <si>
    <t>Ingresos extraordinarios</t>
  </si>
  <si>
    <t>Agustina</t>
  </si>
  <si>
    <t>AUMENTADOS EN 4BR1L 2026</t>
  </si>
  <si>
    <t>Deuda o saldo a favor</t>
  </si>
  <si>
    <t>Alterini Guido - Mantenimiento</t>
  </si>
  <si>
    <t>Fumigacion - Sr. Nicolas - Mes anterior</t>
  </si>
  <si>
    <t xml:space="preserve">Seguro Sra. Karina </t>
  </si>
  <si>
    <t xml:space="preserve">Sueldo Sra. Karina </t>
  </si>
  <si>
    <t xml:space="preserve">Prevision ordinaria </t>
  </si>
  <si>
    <t>Cynthia</t>
  </si>
  <si>
    <t>Vto. 17/09</t>
  </si>
  <si>
    <t>LIQUIDACIÓN EXPENSAS AGOSTO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</si>
</sst>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4" fontId="0" fillId="0" borderId="0" xfId="0" applyNumberFormat="1"/>
    <xf numFmtId="0" fontId="5" fillId="0" borderId="0" xfId="0" applyFon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4" fontId="9" fillId="4" borderId="0" xfId="2" applyFont="1" applyFill="1"/>
    <xf numFmtId="0" fontId="2" fillId="0" borderId="3" xfId="1" applyBorder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4" fontId="9" fillId="4" borderId="10" xfId="2" applyFont="1" applyFill="1" applyBorder="1"/>
    <xf numFmtId="0" fontId="1" fillId="0" borderId="8" xfId="0" applyFont="1" applyBorder="1"/>
    <xf numFmtId="0" fontId="0" fillId="0" borderId="11" xfId="0" applyBorder="1" applyAlignment="1">
      <alignment horizontal="center"/>
    </xf>
    <xf numFmtId="164" fontId="10" fillId="0" borderId="1" xfId="2" applyFont="1" applyBorder="1"/>
    <xf numFmtId="3" fontId="0" fillId="0" borderId="11" xfId="0" applyNumberFormat="1" applyBorder="1"/>
    <xf numFmtId="166" fontId="1" fillId="3" borderId="12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" xfId="0" applyNumberFormat="1" applyBorder="1"/>
    <xf numFmtId="4" fontId="1" fillId="0" borderId="0" xfId="0" applyNumberFormat="1" applyFont="1"/>
    <xf numFmtId="166" fontId="0" fillId="0" borderId="0" xfId="0" applyNumberFormat="1"/>
    <xf numFmtId="0" fontId="1" fillId="0" borderId="0" xfId="0" applyFont="1" applyAlignment="1">
      <alignment horizontal="left"/>
    </xf>
    <xf numFmtId="0" fontId="12" fillId="0" borderId="1" xfId="0" applyFont="1" applyBorder="1" applyAlignment="1">
      <alignment wrapText="1"/>
    </xf>
    <xf numFmtId="164" fontId="10" fillId="2" borderId="1" xfId="2" applyFont="1" applyFill="1" applyBorder="1"/>
    <xf numFmtId="0" fontId="11" fillId="0" borderId="0" xfId="0" applyFont="1"/>
    <xf numFmtId="4" fontId="11" fillId="0" borderId="0" xfId="0" applyNumberFormat="1" applyFont="1"/>
    <xf numFmtId="0" fontId="14" fillId="4" borderId="1" xfId="0" applyFont="1" applyFill="1" applyBorder="1"/>
    <xf numFmtId="0" fontId="0" fillId="0" borderId="1" xfId="0" applyBorder="1"/>
    <xf numFmtId="0" fontId="13" fillId="4" borderId="1" xfId="0" applyFont="1" applyFill="1" applyBorder="1"/>
    <xf numFmtId="164" fontId="13" fillId="4" borderId="1" xfId="2" applyFont="1" applyFill="1" applyBorder="1"/>
    <xf numFmtId="0" fontId="9" fillId="4" borderId="1" xfId="0" applyFont="1" applyFill="1" applyBorder="1"/>
    <xf numFmtId="164" fontId="17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5" fillId="0" borderId="1" xfId="0" applyFont="1" applyBorder="1"/>
    <xf numFmtId="16" fontId="11" fillId="0" borderId="1" xfId="0" applyNumberFormat="1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17" fontId="11" fillId="0" borderId="1" xfId="0" applyNumberFormat="1" applyFont="1" applyBorder="1"/>
    <xf numFmtId="164" fontId="9" fillId="4" borderId="1" xfId="0" applyNumberFormat="1" applyFont="1" applyFill="1" applyBorder="1"/>
    <xf numFmtId="4" fontId="16" fillId="0" borderId="6" xfId="0" applyNumberFormat="1" applyFont="1" applyBorder="1"/>
    <xf numFmtId="44" fontId="0" fillId="0" borderId="0" xfId="0" applyNumberFormat="1"/>
    <xf numFmtId="166" fontId="0" fillId="0" borderId="1" xfId="2" applyNumberFormat="1" applyFont="1" applyBorder="1"/>
    <xf numFmtId="0" fontId="7" fillId="4" borderId="1" xfId="0" applyFont="1" applyFill="1" applyBorder="1"/>
    <xf numFmtId="164" fontId="7" fillId="4" borderId="1" xfId="2" applyFont="1" applyFill="1" applyBorder="1"/>
    <xf numFmtId="0" fontId="0" fillId="2" borderId="14" xfId="0" applyFill="1" applyBorder="1"/>
    <xf numFmtId="0" fontId="0" fillId="2" borderId="15" xfId="0" applyFill="1" applyBorder="1"/>
    <xf numFmtId="0" fontId="0" fillId="0" borderId="16" xfId="0" applyBorder="1" applyAlignment="1">
      <alignment horizontal="center"/>
    </xf>
    <xf numFmtId="3" fontId="1" fillId="3" borderId="17" xfId="2" applyNumberFormat="1" applyFont="1" applyFill="1" applyBorder="1"/>
    <xf numFmtId="4" fontId="1" fillId="3" borderId="17" xfId="0" applyNumberFormat="1" applyFont="1" applyFill="1" applyBorder="1"/>
    <xf numFmtId="0" fontId="1" fillId="2" borderId="18" xfId="0" applyFont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1" fillId="2" borderId="14" xfId="0" applyFont="1" applyFill="1" applyBorder="1"/>
    <xf numFmtId="165" fontId="0" fillId="0" borderId="1" xfId="0" applyNumberFormat="1" applyBorder="1"/>
    <xf numFmtId="164" fontId="0" fillId="0" borderId="1" xfId="2" applyFont="1" applyBorder="1"/>
    <xf numFmtId="164" fontId="0" fillId="0" borderId="19" xfId="2" applyFont="1" applyBorder="1"/>
    <xf numFmtId="0" fontId="1" fillId="3" borderId="20" xfId="0" applyFont="1" applyFill="1" applyBorder="1" applyAlignment="1">
      <alignment horizontal="left"/>
    </xf>
    <xf numFmtId="0" fontId="0" fillId="3" borderId="17" xfId="0" applyFill="1" applyBorder="1" applyAlignment="1">
      <alignment horizontal="center"/>
    </xf>
    <xf numFmtId="0" fontId="0" fillId="3" borderId="17" xfId="0" applyFill="1" applyBorder="1"/>
    <xf numFmtId="166" fontId="1" fillId="3" borderId="17" xfId="2" applyNumberFormat="1" applyFont="1" applyFill="1" applyBorder="1"/>
    <xf numFmtId="166" fontId="1" fillId="3" borderId="21" xfId="2" applyNumberFormat="1" applyFont="1" applyFill="1" applyBorder="1"/>
    <xf numFmtId="43" fontId="0" fillId="0" borderId="0" xfId="0" applyNumberFormat="1"/>
    <xf numFmtId="2" fontId="0" fillId="6" borderId="0" xfId="0" applyNumberFormat="1" applyFill="1"/>
    <xf numFmtId="0" fontId="11" fillId="0" borderId="1" xfId="0" applyFont="1" applyBorder="1" applyAlignment="1">
      <alignment horizontal="center"/>
    </xf>
    <xf numFmtId="3" fontId="11" fillId="0" borderId="1" xfId="0" applyNumberFormat="1" applyFont="1" applyBorder="1"/>
    <xf numFmtId="0" fontId="0" fillId="6" borderId="0" xfId="0" applyFill="1"/>
    <xf numFmtId="0" fontId="3" fillId="0" borderId="1" xfId="0" applyFont="1" applyBorder="1" applyAlignment="1">
      <alignment horizontal="left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164" fontId="4" fillId="0" borderId="1" xfId="2" applyFont="1" applyBorder="1" applyAlignment="1">
      <alignment wrapText="1"/>
    </xf>
    <xf numFmtId="0" fontId="1" fillId="0" borderId="24" xfId="0" applyFont="1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1" fillId="2" borderId="16" xfId="0" applyFont="1" applyFill="1" applyBorder="1" applyAlignment="1">
      <alignment horizontal="left"/>
    </xf>
    <xf numFmtId="0" fontId="0" fillId="2" borderId="19" xfId="0" applyFill="1" applyBorder="1"/>
    <xf numFmtId="164" fontId="10" fillId="6" borderId="19" xfId="2" applyFont="1" applyFill="1" applyBorder="1"/>
    <xf numFmtId="0" fontId="0" fillId="0" borderId="1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11" fillId="0" borderId="1" xfId="2" applyFont="1" applyBorder="1"/>
    <xf numFmtId="3" fontId="1" fillId="3" borderId="17" xfId="0" applyNumberFormat="1" applyFont="1" applyFill="1" applyBorder="1"/>
    <xf numFmtId="164" fontId="0" fillId="0" borderId="0" xfId="2" applyFont="1"/>
    <xf numFmtId="164" fontId="0" fillId="0" borderId="25" xfId="2" applyFont="1" applyBorder="1" applyAlignment="1">
      <alignment horizontal="center"/>
    </xf>
    <xf numFmtId="0" fontId="0" fillId="6" borderId="1" xfId="0" applyFill="1" applyBorder="1"/>
    <xf numFmtId="4" fontId="11" fillId="0" borderId="6" xfId="0" applyNumberFormat="1" applyFont="1" applyBorder="1"/>
    <xf numFmtId="164" fontId="11" fillId="6" borderId="1" xfId="2" applyFont="1" applyFill="1" applyBorder="1"/>
    <xf numFmtId="164" fontId="11" fillId="0" borderId="1" xfId="2" applyFont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18" fillId="7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164" fontId="0" fillId="0" borderId="25" xfId="2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9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164" fontId="16" fillId="6" borderId="1" xfId="2" applyFont="1" applyFill="1" applyBorder="1"/>
    <xf numFmtId="164" fontId="16" fillId="6" borderId="1" xfId="2" applyFont="1" applyFill="1" applyBorder="1" applyAlignment="1">
      <alignment horizontal="right"/>
    </xf>
    <xf numFmtId="164" fontId="16" fillId="6" borderId="1" xfId="2" applyFont="1" applyFill="1" applyBorder="1" applyAlignment="1">
      <alignment horizontal="center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56"/>
  <sheetViews>
    <sheetView tabSelected="1" topLeftCell="A7" workbookViewId="0">
      <selection activeCell="C18" sqref="C18"/>
    </sheetView>
  </sheetViews>
  <sheetFormatPr baseColWidth="10" defaultColWidth="10.88671875" defaultRowHeight="14.4" x14ac:dyDescent="0.3"/>
  <cols>
    <col min="1" max="1" width="38" customWidth="1"/>
    <col min="2" max="2" width="40.33203125" customWidth="1"/>
    <col min="3" max="3" width="16.44140625" customWidth="1"/>
    <col min="4" max="4" width="12.109375" bestFit="1" customWidth="1"/>
    <col min="6" max="6" width="13" bestFit="1" customWidth="1"/>
  </cols>
  <sheetData>
    <row r="2" spans="1:3" x14ac:dyDescent="0.3">
      <c r="B2" t="s">
        <v>17</v>
      </c>
      <c r="C2" t="s">
        <v>59</v>
      </c>
    </row>
    <row r="3" spans="1:3" x14ac:dyDescent="0.3">
      <c r="B3" t="s">
        <v>11</v>
      </c>
    </row>
    <row r="4" spans="1:3" x14ac:dyDescent="0.3">
      <c r="B4" s="4" t="s">
        <v>7</v>
      </c>
    </row>
    <row r="5" spans="1:3" ht="8.25" customHeight="1" x14ac:dyDescent="0.3">
      <c r="A5" s="3"/>
      <c r="B5" s="21"/>
      <c r="C5" s="3"/>
    </row>
    <row r="7" spans="1:3" x14ac:dyDescent="0.3">
      <c r="A7" s="22" t="s">
        <v>35</v>
      </c>
      <c r="B7" s="23" t="s">
        <v>88</v>
      </c>
      <c r="C7" s="23" t="s">
        <v>87</v>
      </c>
    </row>
    <row r="8" spans="1:3" x14ac:dyDescent="0.3">
      <c r="A8" s="3"/>
      <c r="B8" s="3"/>
      <c r="C8" s="3"/>
    </row>
    <row r="10" spans="1:3" x14ac:dyDescent="0.3">
      <c r="A10" s="13" t="s">
        <v>45</v>
      </c>
    </row>
    <row r="11" spans="1:3" x14ac:dyDescent="0.3">
      <c r="A11" t="s">
        <v>37</v>
      </c>
      <c r="B11" t="s">
        <v>40</v>
      </c>
    </row>
    <row r="12" spans="1:3" x14ac:dyDescent="0.3">
      <c r="A12" t="s">
        <v>38</v>
      </c>
      <c r="B12" t="s">
        <v>46</v>
      </c>
    </row>
    <row r="13" spans="1:3" x14ac:dyDescent="0.3">
      <c r="A13" t="s">
        <v>41</v>
      </c>
    </row>
    <row r="15" spans="1:3" x14ac:dyDescent="0.3">
      <c r="A15" s="19" t="s">
        <v>13</v>
      </c>
    </row>
    <row r="16" spans="1:3" x14ac:dyDescent="0.3">
      <c r="A16" s="53" t="s">
        <v>12</v>
      </c>
      <c r="B16" s="46"/>
      <c r="C16" s="107"/>
    </row>
    <row r="17" spans="1:8" ht="14.25" customHeight="1" x14ac:dyDescent="0.3">
      <c r="A17" s="46" t="s">
        <v>49</v>
      </c>
      <c r="B17" s="54" t="s">
        <v>68</v>
      </c>
      <c r="C17" s="127">
        <v>52282.98</v>
      </c>
      <c r="D17" s="5"/>
      <c r="E17" s="12"/>
    </row>
    <row r="18" spans="1:8" x14ac:dyDescent="0.3">
      <c r="A18" s="46" t="s">
        <v>83</v>
      </c>
      <c r="B18" s="55"/>
      <c r="C18" s="129">
        <v>5837.2</v>
      </c>
      <c r="D18" s="38"/>
      <c r="E18" s="12"/>
    </row>
    <row r="19" spans="1:8" x14ac:dyDescent="0.3">
      <c r="A19" s="46" t="s">
        <v>42</v>
      </c>
      <c r="B19" s="56" t="s">
        <v>61</v>
      </c>
      <c r="C19" s="127">
        <v>25822.04</v>
      </c>
      <c r="D19" s="5"/>
      <c r="E19" s="12"/>
      <c r="F19" s="14"/>
      <c r="H19" s="86"/>
    </row>
    <row r="20" spans="1:8" x14ac:dyDescent="0.3">
      <c r="A20" s="46" t="s">
        <v>31</v>
      </c>
      <c r="B20" s="56"/>
      <c r="C20" s="128">
        <v>224922.59</v>
      </c>
      <c r="D20" s="38"/>
      <c r="F20" s="12"/>
      <c r="H20" s="86"/>
    </row>
    <row r="21" spans="1:8" x14ac:dyDescent="0.3">
      <c r="A21" s="46" t="s">
        <v>32</v>
      </c>
      <c r="B21" s="56" t="s">
        <v>60</v>
      </c>
      <c r="C21" s="106">
        <v>60500</v>
      </c>
      <c r="D21" s="5"/>
      <c r="E21" s="12"/>
      <c r="H21" t="s">
        <v>79</v>
      </c>
    </row>
    <row r="22" spans="1:8" x14ac:dyDescent="0.3">
      <c r="A22" s="57"/>
      <c r="B22" s="58"/>
      <c r="C22" s="42">
        <f>SUM(C17:C21)</f>
        <v>369364.81</v>
      </c>
      <c r="E22" s="86"/>
    </row>
    <row r="23" spans="1:8" x14ac:dyDescent="0.3">
      <c r="A23" s="53" t="s">
        <v>33</v>
      </c>
      <c r="B23" s="56"/>
      <c r="C23" s="84"/>
    </row>
    <row r="24" spans="1:8" ht="15.6" x14ac:dyDescent="0.3">
      <c r="A24" s="46" t="s">
        <v>84</v>
      </c>
      <c r="B24" s="59"/>
      <c r="C24" s="106">
        <v>110000</v>
      </c>
      <c r="F24" s="18"/>
    </row>
    <row r="25" spans="1:8" ht="15.6" x14ac:dyDescent="0.3">
      <c r="A25" s="46" t="s">
        <v>82</v>
      </c>
      <c r="B25" s="59"/>
      <c r="C25" s="127">
        <v>60000</v>
      </c>
      <c r="F25" s="18"/>
    </row>
    <row r="26" spans="1:8" ht="15.6" x14ac:dyDescent="0.3">
      <c r="A26" s="46" t="s">
        <v>81</v>
      </c>
      <c r="B26" s="59"/>
      <c r="C26" s="127">
        <v>80000</v>
      </c>
      <c r="F26" s="18"/>
    </row>
    <row r="27" spans="1:8" ht="15.6" x14ac:dyDescent="0.3">
      <c r="A27" s="46" t="s">
        <v>85</v>
      </c>
      <c r="B27" s="56"/>
      <c r="C27" s="52">
        <v>0</v>
      </c>
      <c r="D27" s="5"/>
      <c r="E27" s="12"/>
      <c r="F27" s="18"/>
    </row>
    <row r="28" spans="1:8" ht="15.6" x14ac:dyDescent="0.3">
      <c r="A28" s="57"/>
      <c r="B28" s="58"/>
      <c r="C28" s="42">
        <f>SUM(C23:C27)</f>
        <v>250000</v>
      </c>
      <c r="F28" s="18"/>
    </row>
    <row r="29" spans="1:8" ht="15.6" x14ac:dyDescent="0.3">
      <c r="A29" s="49" t="s">
        <v>63</v>
      </c>
      <c r="B29" s="49"/>
      <c r="C29" s="60">
        <f>+C28+C22</f>
        <v>619364.81000000006</v>
      </c>
      <c r="F29" s="18"/>
    </row>
    <row r="30" spans="1:8" ht="15.6" x14ac:dyDescent="0.3">
      <c r="C30" s="43"/>
      <c r="F30" s="18"/>
    </row>
    <row r="31" spans="1:8" ht="15.6" x14ac:dyDescent="0.3">
      <c r="A31" s="19" t="s">
        <v>43</v>
      </c>
      <c r="C31" s="43"/>
      <c r="F31" s="18"/>
    </row>
    <row r="32" spans="1:8" ht="15.6" x14ac:dyDescent="0.3">
      <c r="A32" s="108"/>
      <c r="B32" s="109"/>
      <c r="C32" s="100"/>
      <c r="F32" s="18"/>
    </row>
    <row r="33" spans="1:6" ht="15.6" x14ac:dyDescent="0.3">
      <c r="A33" s="104"/>
      <c r="B33" s="46"/>
      <c r="C33" s="51"/>
      <c r="F33" s="18"/>
    </row>
    <row r="34" spans="1:6" ht="15.6" x14ac:dyDescent="0.3">
      <c r="A34" s="46"/>
      <c r="B34" s="46"/>
      <c r="C34" s="52"/>
      <c r="F34" s="18"/>
    </row>
    <row r="35" spans="1:6" ht="15.6" x14ac:dyDescent="0.3">
      <c r="C35" s="44"/>
      <c r="F35" s="18"/>
    </row>
    <row r="36" spans="1:6" x14ac:dyDescent="0.3">
      <c r="A36" s="19" t="s">
        <v>39</v>
      </c>
      <c r="B36" s="19"/>
      <c r="C36" s="20">
        <f>SUM(C32:C35)</f>
        <v>0</v>
      </c>
      <c r="E36" s="12"/>
    </row>
    <row r="38" spans="1:6" x14ac:dyDescent="0.3">
      <c r="A38" s="29" t="s">
        <v>14</v>
      </c>
      <c r="B38" s="29"/>
      <c r="C38" s="30">
        <f>+C36+C29</f>
        <v>619364.81000000006</v>
      </c>
    </row>
    <row r="40" spans="1:6" x14ac:dyDescent="0.3">
      <c r="A40" s="5" t="s">
        <v>34</v>
      </c>
    </row>
    <row r="41" spans="1:6" x14ac:dyDescent="0.3">
      <c r="A41" s="31" t="s">
        <v>9</v>
      </c>
      <c r="B41" s="28"/>
      <c r="C41" s="33">
        <v>-254324.32341950876</v>
      </c>
      <c r="D41" s="6"/>
      <c r="E41" s="6"/>
    </row>
    <row r="42" spans="1:6" x14ac:dyDescent="0.3">
      <c r="A42" t="s">
        <v>8</v>
      </c>
      <c r="C42" s="27">
        <f>'prorrateo '!F13</f>
        <v>871707.42226000002</v>
      </c>
      <c r="D42" s="12"/>
      <c r="E42" s="12"/>
    </row>
    <row r="43" spans="1:6" x14ac:dyDescent="0.3">
      <c r="A43" t="s">
        <v>77</v>
      </c>
      <c r="C43" s="105">
        <f>extraordinarias!E13</f>
        <v>0</v>
      </c>
      <c r="D43" s="12"/>
      <c r="E43" s="12"/>
    </row>
    <row r="44" spans="1:6" x14ac:dyDescent="0.3">
      <c r="A44" t="s">
        <v>70</v>
      </c>
      <c r="C44" s="105">
        <f>-C36</f>
        <v>0</v>
      </c>
      <c r="D44" s="12"/>
      <c r="E44" s="12"/>
    </row>
    <row r="45" spans="1:6" x14ac:dyDescent="0.3">
      <c r="A45" t="s">
        <v>62</v>
      </c>
      <c r="C45" s="61">
        <f>-(C29-C27)</f>
        <v>-619364.81000000006</v>
      </c>
    </row>
    <row r="46" spans="1:6" x14ac:dyDescent="0.3">
      <c r="A46" s="31" t="s">
        <v>15</v>
      </c>
      <c r="B46" s="28"/>
      <c r="C46" s="33">
        <f>SUM(C41:C45)</f>
        <v>-1981.7111595087918</v>
      </c>
      <c r="D46" s="6"/>
    </row>
    <row r="47" spans="1:6" x14ac:dyDescent="0.3">
      <c r="A47" s="15"/>
      <c r="B47" s="14"/>
      <c r="C47" s="16"/>
    </row>
    <row r="48" spans="1:6" x14ac:dyDescent="0.3">
      <c r="A48" s="15"/>
      <c r="B48" s="14"/>
      <c r="C48" s="16"/>
      <c r="F48" s="62"/>
    </row>
    <row r="49" spans="1:3" ht="2.25" customHeight="1" x14ac:dyDescent="0.3">
      <c r="A49" s="15"/>
      <c r="B49" s="14"/>
      <c r="C49" s="16"/>
    </row>
    <row r="50" spans="1:3" ht="15.6" hidden="1" x14ac:dyDescent="0.3">
      <c r="A50" s="45" t="s">
        <v>58</v>
      </c>
      <c r="B50" s="64"/>
      <c r="C50" s="65">
        <v>109834.99657000002</v>
      </c>
    </row>
    <row r="51" spans="1:3" hidden="1" x14ac:dyDescent="0.3">
      <c r="A51" s="46"/>
      <c r="B51" s="46"/>
      <c r="C51" s="50"/>
    </row>
    <row r="52" spans="1:3" hidden="1" x14ac:dyDescent="0.3">
      <c r="A52" s="49" t="s">
        <v>4</v>
      </c>
      <c r="B52" s="47"/>
      <c r="C52" s="48">
        <f>SUM(C50:C51)</f>
        <v>109834.99657000002</v>
      </c>
    </row>
    <row r="53" spans="1:3" x14ac:dyDescent="0.3">
      <c r="A53" s="14"/>
      <c r="B53" s="14"/>
      <c r="C53" s="14"/>
    </row>
    <row r="54" spans="1:3" x14ac:dyDescent="0.3">
      <c r="A54" s="14"/>
      <c r="B54" s="14"/>
      <c r="C54" s="14"/>
    </row>
    <row r="55" spans="1:3" x14ac:dyDescent="0.3">
      <c r="A55" s="14"/>
      <c r="B55" s="14"/>
      <c r="C55" s="14"/>
    </row>
    <row r="56" spans="1:3" x14ac:dyDescent="0.3">
      <c r="A56" s="14"/>
      <c r="B56" s="14"/>
      <c r="C56" s="14"/>
    </row>
  </sheetData>
  <mergeCells count="1">
    <mergeCell ref="A32:B32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9"/>
  <sheetViews>
    <sheetView workbookViewId="0">
      <selection activeCell="E1" sqref="E1"/>
    </sheetView>
  </sheetViews>
  <sheetFormatPr baseColWidth="10" defaultColWidth="10.88671875" defaultRowHeight="14.4" x14ac:dyDescent="0.3"/>
  <cols>
    <col min="1" max="1" width="5.33203125" style="1" customWidth="1"/>
    <col min="2" max="2" width="8" style="1" customWidth="1"/>
    <col min="3" max="3" width="23.44140625" bestFit="1" customWidth="1"/>
    <col min="4" max="4" width="9.88671875" bestFit="1" customWidth="1"/>
    <col min="5" max="5" width="16.33203125" customWidth="1"/>
    <col min="6" max="6" width="12.44140625" bestFit="1" customWidth="1"/>
    <col min="7" max="7" width="12.44140625" customWidth="1"/>
    <col min="8" max="8" width="9.33203125" bestFit="1" customWidth="1"/>
    <col min="9" max="9" width="10.44140625" customWidth="1"/>
    <col min="10" max="10" width="9.109375" customWidth="1"/>
    <col min="11" max="11" width="12.44140625" customWidth="1"/>
    <col min="12" max="12" width="13.44140625" customWidth="1"/>
    <col min="13" max="13" width="13.33203125" customWidth="1"/>
    <col min="15" max="15" width="11.44140625" style="17"/>
  </cols>
  <sheetData>
    <row r="1" spans="1:17" ht="15" thickBot="1" x14ac:dyDescent="0.35">
      <c r="A1" s="40" t="s">
        <v>47</v>
      </c>
      <c r="E1" s="102">
        <v>613720.62</v>
      </c>
      <c r="G1" t="str">
        <f>'detalle y gastos'!C7</f>
        <v>Vto. 17/09</v>
      </c>
    </row>
    <row r="2" spans="1:17" x14ac:dyDescent="0.3">
      <c r="A2" s="71" t="str">
        <f>'detalle y gastos'!B7</f>
        <v>LIQUIDACIÓN EXPENSAS AGOSTO 2026</v>
      </c>
      <c r="B2" s="66"/>
      <c r="C2" s="72"/>
      <c r="D2" s="72"/>
      <c r="E2" s="73" t="s">
        <v>36</v>
      </c>
      <c r="F2" s="66"/>
      <c r="G2" s="66"/>
      <c r="H2" s="66"/>
      <c r="I2" s="66"/>
      <c r="J2" s="66"/>
      <c r="K2" s="66"/>
      <c r="L2" s="66"/>
      <c r="M2" s="67"/>
    </row>
    <row r="3" spans="1:17" x14ac:dyDescent="0.3">
      <c r="A3" s="113"/>
      <c r="B3" s="111" t="s">
        <v>1</v>
      </c>
      <c r="C3" s="120" t="s">
        <v>2</v>
      </c>
      <c r="D3" s="119" t="s">
        <v>53</v>
      </c>
      <c r="E3" s="111" t="s">
        <v>16</v>
      </c>
      <c r="F3" s="117" t="s">
        <v>3</v>
      </c>
      <c r="G3" s="119" t="s">
        <v>80</v>
      </c>
      <c r="H3" s="117" t="s">
        <v>44</v>
      </c>
      <c r="I3" s="120" t="s">
        <v>6</v>
      </c>
      <c r="J3" s="121" t="s">
        <v>74</v>
      </c>
      <c r="K3" s="115" t="s">
        <v>64</v>
      </c>
      <c r="L3" s="115" t="s">
        <v>65</v>
      </c>
      <c r="M3" s="115" t="s">
        <v>66</v>
      </c>
    </row>
    <row r="4" spans="1:17" x14ac:dyDescent="0.3">
      <c r="A4" s="114"/>
      <c r="B4" s="112"/>
      <c r="C4" s="120"/>
      <c r="D4" s="119"/>
      <c r="E4" s="112"/>
      <c r="F4" s="118"/>
      <c r="G4" s="119"/>
      <c r="H4" s="118"/>
      <c r="I4" s="120"/>
      <c r="J4" s="121"/>
      <c r="K4" s="116"/>
      <c r="L4" s="116"/>
      <c r="M4" s="116"/>
    </row>
    <row r="5" spans="1:17" x14ac:dyDescent="0.3">
      <c r="A5" s="68">
        <v>1</v>
      </c>
      <c r="B5" s="11" t="s">
        <v>18</v>
      </c>
      <c r="C5" s="41" t="s">
        <v>26</v>
      </c>
      <c r="D5" s="41" t="s">
        <v>56</v>
      </c>
      <c r="E5" s="37">
        <v>118812.06469</v>
      </c>
      <c r="F5" s="85">
        <f>E5</f>
        <v>118812.06469</v>
      </c>
      <c r="G5" s="37">
        <f>E5-F5</f>
        <v>0</v>
      </c>
      <c r="H5" s="37">
        <f>IF(G5&gt;0,G5*3%,0)</f>
        <v>0</v>
      </c>
      <c r="I5" s="74">
        <v>0.121</v>
      </c>
      <c r="J5" s="63"/>
      <c r="K5" s="75">
        <f>E1*I5</f>
        <v>74260.195019999999</v>
      </c>
      <c r="L5" s="75">
        <f>E5-F5+H5+K5+J5</f>
        <v>74260.195019999999</v>
      </c>
      <c r="M5" s="76">
        <f>L5+L5*4%</f>
        <v>77230.602820800006</v>
      </c>
    </row>
    <row r="6" spans="1:17" x14ac:dyDescent="0.3">
      <c r="A6" s="68">
        <v>2</v>
      </c>
      <c r="B6" s="11" t="s">
        <v>19</v>
      </c>
      <c r="C6" s="41" t="s">
        <v>27</v>
      </c>
      <c r="D6" s="41" t="s">
        <v>57</v>
      </c>
      <c r="E6" s="37">
        <v>119793.98258</v>
      </c>
      <c r="F6" s="85">
        <v>0</v>
      </c>
      <c r="G6" s="37">
        <f t="shared" ref="G6:G12" si="0">E6-F6</f>
        <v>119793.98258</v>
      </c>
      <c r="H6" s="37">
        <f t="shared" ref="H6:H12" si="1">IF(G6&gt;0,G6*3%,0)</f>
        <v>3593.8194773999999</v>
      </c>
      <c r="I6" s="74">
        <v>0.122</v>
      </c>
      <c r="J6" s="63"/>
      <c r="K6" s="75">
        <f>E1*I6</f>
        <v>74873.915639999992</v>
      </c>
      <c r="L6" s="75">
        <f t="shared" ref="L6:L12" si="2">E6-F6+H6+K6+J6</f>
        <v>198261.71769739999</v>
      </c>
      <c r="M6" s="76">
        <f t="shared" ref="M6:M12" si="3">L6+L6*4%</f>
        <v>206192.186405296</v>
      </c>
      <c r="O6" s="83"/>
      <c r="Q6" s="82"/>
    </row>
    <row r="7" spans="1:17" x14ac:dyDescent="0.3">
      <c r="A7" s="68">
        <v>3</v>
      </c>
      <c r="B7" s="11" t="s">
        <v>20</v>
      </c>
      <c r="C7" s="41" t="s">
        <v>28</v>
      </c>
      <c r="D7" s="41" t="s">
        <v>67</v>
      </c>
      <c r="E7" s="85">
        <v>119479.77</v>
      </c>
      <c r="F7" s="85">
        <f t="shared" ref="F7:F11" si="4">E7</f>
        <v>119479.77</v>
      </c>
      <c r="G7" s="37">
        <f t="shared" si="0"/>
        <v>0</v>
      </c>
      <c r="H7" s="37">
        <f t="shared" si="1"/>
        <v>0</v>
      </c>
      <c r="I7" s="74">
        <v>0.11700000000000001</v>
      </c>
      <c r="J7" s="63"/>
      <c r="K7" s="75">
        <f>E1*I7</f>
        <v>71805.312539999999</v>
      </c>
      <c r="L7" s="75">
        <f t="shared" si="2"/>
        <v>71805.312539999999</v>
      </c>
      <c r="M7" s="76">
        <f t="shared" si="3"/>
        <v>74677.525041600005</v>
      </c>
    </row>
    <row r="8" spans="1:17" x14ac:dyDescent="0.3">
      <c r="A8" s="68">
        <v>4</v>
      </c>
      <c r="B8" s="11" t="s">
        <v>21</v>
      </c>
      <c r="C8" s="41" t="s">
        <v>29</v>
      </c>
      <c r="D8" s="41" t="s">
        <v>69</v>
      </c>
      <c r="E8" s="85">
        <v>114884.39313000001</v>
      </c>
      <c r="F8" s="85">
        <f>E8</f>
        <v>114884.39313000001</v>
      </c>
      <c r="G8" s="37">
        <f t="shared" si="0"/>
        <v>0</v>
      </c>
      <c r="H8" s="37">
        <f t="shared" si="1"/>
        <v>0</v>
      </c>
      <c r="I8" s="74">
        <v>0.11700000000000001</v>
      </c>
      <c r="J8" s="63"/>
      <c r="K8" s="75">
        <f>E1*I8</f>
        <v>71805.312539999999</v>
      </c>
      <c r="L8" s="75">
        <f t="shared" si="2"/>
        <v>71805.312539999999</v>
      </c>
      <c r="M8" s="76">
        <f t="shared" si="3"/>
        <v>74677.525041600005</v>
      </c>
      <c r="N8" t="s">
        <v>78</v>
      </c>
    </row>
    <row r="9" spans="1:17" x14ac:dyDescent="0.3">
      <c r="A9" s="68">
        <v>5</v>
      </c>
      <c r="B9" s="11" t="s">
        <v>22</v>
      </c>
      <c r="C9" s="41" t="s">
        <v>26</v>
      </c>
      <c r="D9" s="41" t="s">
        <v>55</v>
      </c>
      <c r="E9" s="37">
        <v>134522.75093000001</v>
      </c>
      <c r="F9" s="85">
        <f>E9</f>
        <v>134522.75093000001</v>
      </c>
      <c r="G9" s="37">
        <f t="shared" si="0"/>
        <v>0</v>
      </c>
      <c r="H9" s="37">
        <f t="shared" si="1"/>
        <v>0</v>
      </c>
      <c r="I9" s="74">
        <v>0.13700000000000001</v>
      </c>
      <c r="J9" s="63"/>
      <c r="K9" s="75">
        <f>E1*I9</f>
        <v>84079.72494</v>
      </c>
      <c r="L9" s="75">
        <f t="shared" si="2"/>
        <v>84079.72494</v>
      </c>
      <c r="M9" s="76">
        <f t="shared" si="3"/>
        <v>87442.913937599995</v>
      </c>
    </row>
    <row r="10" spans="1:17" x14ac:dyDescent="0.3">
      <c r="A10" s="68">
        <v>6</v>
      </c>
      <c r="B10" s="11" t="s">
        <v>23</v>
      </c>
      <c r="C10" s="41" t="s">
        <v>26</v>
      </c>
      <c r="D10" s="41" t="s">
        <v>71</v>
      </c>
      <c r="E10" s="37">
        <v>129613.16148000001</v>
      </c>
      <c r="F10" s="85">
        <f>E10</f>
        <v>129613.16148000001</v>
      </c>
      <c r="G10" s="37">
        <f t="shared" si="0"/>
        <v>0</v>
      </c>
      <c r="H10" s="37">
        <f t="shared" si="1"/>
        <v>0</v>
      </c>
      <c r="I10" s="74">
        <v>0.13200000000000001</v>
      </c>
      <c r="J10" s="63"/>
      <c r="K10" s="75">
        <f>E1*I10</f>
        <v>81011.121840000007</v>
      </c>
      <c r="L10" s="75">
        <f t="shared" si="2"/>
        <v>81011.121840000007</v>
      </c>
      <c r="M10" s="76">
        <f t="shared" si="3"/>
        <v>84251.566713600012</v>
      </c>
    </row>
    <row r="11" spans="1:17" x14ac:dyDescent="0.3">
      <c r="A11" s="68">
        <v>7</v>
      </c>
      <c r="B11" s="11" t="s">
        <v>24</v>
      </c>
      <c r="C11" s="41" t="s">
        <v>28</v>
      </c>
      <c r="D11" s="41" t="s">
        <v>86</v>
      </c>
      <c r="E11" s="37">
        <v>124703.57203000001</v>
      </c>
      <c r="F11" s="85">
        <f t="shared" si="4"/>
        <v>124703.57203000001</v>
      </c>
      <c r="G11" s="37">
        <f t="shared" si="0"/>
        <v>0</v>
      </c>
      <c r="H11" s="37">
        <f t="shared" si="1"/>
        <v>0</v>
      </c>
      <c r="I11" s="74">
        <v>0.127</v>
      </c>
      <c r="J11" s="63"/>
      <c r="K11" s="75">
        <f>E1*I11</f>
        <v>77942.51874</v>
      </c>
      <c r="L11" s="75">
        <f t="shared" si="2"/>
        <v>77942.51874</v>
      </c>
      <c r="M11" s="76">
        <f t="shared" si="3"/>
        <v>81060.2194896</v>
      </c>
    </row>
    <row r="12" spans="1:17" x14ac:dyDescent="0.3">
      <c r="A12" s="68">
        <v>8</v>
      </c>
      <c r="B12" s="11" t="s">
        <v>25</v>
      </c>
      <c r="C12" s="41" t="s">
        <v>30</v>
      </c>
      <c r="D12" s="41" t="s">
        <v>54</v>
      </c>
      <c r="E12" s="37">
        <v>129691.71</v>
      </c>
      <c r="F12" s="85">
        <v>129691.71</v>
      </c>
      <c r="G12" s="37">
        <f t="shared" si="0"/>
        <v>0</v>
      </c>
      <c r="H12" s="37">
        <f t="shared" si="1"/>
        <v>0</v>
      </c>
      <c r="I12" s="74">
        <v>0.127</v>
      </c>
      <c r="J12" s="63"/>
      <c r="K12" s="75">
        <f>E1*I12</f>
        <v>77942.51874</v>
      </c>
      <c r="L12" s="75">
        <f t="shared" si="2"/>
        <v>77942.51874</v>
      </c>
      <c r="M12" s="76">
        <f t="shared" si="3"/>
        <v>81060.2194896</v>
      </c>
    </row>
    <row r="13" spans="1:17" ht="15" thickBot="1" x14ac:dyDescent="0.35">
      <c r="A13" s="77" t="s">
        <v>10</v>
      </c>
      <c r="B13" s="78"/>
      <c r="C13" s="79"/>
      <c r="D13" s="79"/>
      <c r="E13" s="80">
        <f>SUM(E5:E12)</f>
        <v>991501.40483999997</v>
      </c>
      <c r="F13" s="69">
        <f>SUM(F5:F12)</f>
        <v>871707.42226000002</v>
      </c>
      <c r="G13" s="69"/>
      <c r="H13" s="69">
        <f>SUM(H5:H12)</f>
        <v>3593.8194773999999</v>
      </c>
      <c r="I13" s="70">
        <f t="shared" ref="I13" si="5">SUM(I5:I12)</f>
        <v>1</v>
      </c>
      <c r="J13" s="101">
        <f>SUM(J5:J12)</f>
        <v>0</v>
      </c>
      <c r="K13" s="80">
        <f>SUM(K5:K12)</f>
        <v>613720.62</v>
      </c>
      <c r="L13" s="80">
        <f>SUM(L5:L12)</f>
        <v>737108.42205739999</v>
      </c>
      <c r="M13" s="81">
        <f>SUM(M5:M12)</f>
        <v>766592.75893969601</v>
      </c>
    </row>
    <row r="15" spans="1:17" x14ac:dyDescent="0.3">
      <c r="C15" s="110" t="s">
        <v>75</v>
      </c>
      <c r="D15" s="110"/>
      <c r="E15" s="110"/>
      <c r="F15" s="110"/>
      <c r="G15" s="110"/>
      <c r="H15" s="110"/>
      <c r="I15" s="110"/>
      <c r="J15" s="110"/>
      <c r="K15" s="110"/>
      <c r="L15" s="110"/>
    </row>
    <row r="16" spans="1:17" ht="15" hidden="1" customHeight="1" x14ac:dyDescent="0.3">
      <c r="A16" s="40" t="s">
        <v>48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</row>
    <row r="17" spans="1:13" ht="15" hidden="1" customHeight="1" x14ac:dyDescent="0.3">
      <c r="A17" s="24" t="s">
        <v>50</v>
      </c>
      <c r="B17" s="25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26"/>
    </row>
    <row r="18" spans="1:13" ht="15" hidden="1" customHeight="1" x14ac:dyDescent="0.3">
      <c r="A18" s="2" t="s">
        <v>0</v>
      </c>
      <c r="B18" s="7" t="s">
        <v>1</v>
      </c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36" t="s">
        <v>4</v>
      </c>
    </row>
    <row r="19" spans="1:13" ht="15" hidden="1" customHeight="1" x14ac:dyDescent="0.3">
      <c r="A19" s="2"/>
      <c r="B19" s="7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32" t="s">
        <v>5</v>
      </c>
    </row>
    <row r="20" spans="1:13" ht="15" hidden="1" customHeight="1" x14ac:dyDescent="0.3">
      <c r="A20" s="10">
        <v>1</v>
      </c>
      <c r="B20" s="11" t="s">
        <v>18</v>
      </c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34" t="e">
        <f>+#REF!+H20+K20</f>
        <v>#REF!</v>
      </c>
    </row>
    <row r="21" spans="1:13" ht="15" hidden="1" customHeight="1" x14ac:dyDescent="0.3">
      <c r="A21" s="10">
        <v>2</v>
      </c>
      <c r="B21" s="11" t="s">
        <v>19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34" t="e">
        <f>+#REF!+H21+K21</f>
        <v>#REF!</v>
      </c>
    </row>
    <row r="22" spans="1:13" ht="15" hidden="1" customHeight="1" x14ac:dyDescent="0.3">
      <c r="A22" s="10">
        <v>3</v>
      </c>
      <c r="B22" s="11" t="s">
        <v>20</v>
      </c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34" t="e">
        <f>+#REF!+H22+K22</f>
        <v>#REF!</v>
      </c>
    </row>
    <row r="23" spans="1:13" ht="15" hidden="1" customHeight="1" x14ac:dyDescent="0.3">
      <c r="A23" s="10">
        <v>4</v>
      </c>
      <c r="B23" s="11" t="s">
        <v>21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34" t="e">
        <f>+#REF!+H23+K23</f>
        <v>#REF!</v>
      </c>
    </row>
    <row r="24" spans="1:13" ht="15" hidden="1" customHeight="1" x14ac:dyDescent="0.3">
      <c r="A24" s="10">
        <v>5</v>
      </c>
      <c r="B24" s="11" t="s">
        <v>22</v>
      </c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34" t="e">
        <f>+#REF!+H24+K24</f>
        <v>#REF!</v>
      </c>
    </row>
    <row r="25" spans="1:13" ht="15" hidden="1" customHeight="1" x14ac:dyDescent="0.3">
      <c r="A25" s="10">
        <v>6</v>
      </c>
      <c r="B25" s="11" t="s">
        <v>23</v>
      </c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34" t="e">
        <f>+#REF!+H25+K25</f>
        <v>#REF!</v>
      </c>
    </row>
    <row r="26" spans="1:13" ht="15" hidden="1" customHeight="1" x14ac:dyDescent="0.3">
      <c r="A26" s="10">
        <v>7</v>
      </c>
      <c r="B26" s="11" t="s">
        <v>24</v>
      </c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34" t="e">
        <f>+#REF!+H26+K26</f>
        <v>#REF!</v>
      </c>
    </row>
    <row r="27" spans="1:13" ht="15" hidden="1" customHeight="1" x14ac:dyDescent="0.3">
      <c r="A27" s="10">
        <v>8</v>
      </c>
      <c r="B27" s="11" t="s">
        <v>25</v>
      </c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34" t="e">
        <f>+#REF!+H27+K27</f>
        <v>#REF!</v>
      </c>
    </row>
    <row r="28" spans="1:13" ht="15.75" hidden="1" customHeight="1" thickBot="1" x14ac:dyDescent="0.35">
      <c r="A28" s="8" t="s">
        <v>10</v>
      </c>
      <c r="B28" s="9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35" t="e">
        <f>SUM(M20:M27)</f>
        <v>#REF!</v>
      </c>
    </row>
    <row r="29" spans="1:13" x14ac:dyDescent="0.3">
      <c r="C29" s="110"/>
      <c r="D29" s="110"/>
      <c r="E29" s="110"/>
      <c r="F29" s="110"/>
      <c r="G29" s="110"/>
      <c r="H29" s="110"/>
      <c r="I29" s="110"/>
      <c r="J29" s="110"/>
      <c r="K29" s="110"/>
      <c r="L29" s="110"/>
    </row>
    <row r="30" spans="1:13" x14ac:dyDescent="0.3">
      <c r="C30" s="110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3" x14ac:dyDescent="0.3">
      <c r="C31" s="110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3" x14ac:dyDescent="0.3">
      <c r="C32" s="110"/>
      <c r="D32" s="110"/>
      <c r="E32" s="110"/>
      <c r="F32" s="110"/>
      <c r="G32" s="110"/>
      <c r="H32" s="110"/>
      <c r="I32" s="110"/>
      <c r="J32" s="110"/>
      <c r="K32" s="110"/>
      <c r="L32" s="110"/>
    </row>
    <row r="39" spans="5:5" x14ac:dyDescent="0.3">
      <c r="E39" s="39"/>
    </row>
  </sheetData>
  <mergeCells count="14">
    <mergeCell ref="M3:M4"/>
    <mergeCell ref="H3:H4"/>
    <mergeCell ref="F3:F4"/>
    <mergeCell ref="G3:G4"/>
    <mergeCell ref="C3:C4"/>
    <mergeCell ref="D3:D4"/>
    <mergeCell ref="J3:J4"/>
    <mergeCell ref="I3:I4"/>
    <mergeCell ref="E3:E4"/>
    <mergeCell ref="C15:L32"/>
    <mergeCell ref="B3:B4"/>
    <mergeCell ref="A3:A4"/>
    <mergeCell ref="K3:K4"/>
    <mergeCell ref="L3:L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zoomScaleNormal="100" workbookViewId="0">
      <selection activeCell="D10" sqref="D9:D10"/>
    </sheetView>
  </sheetViews>
  <sheetFormatPr baseColWidth="10" defaultColWidth="10.88671875" defaultRowHeight="14.4" x14ac:dyDescent="0.3"/>
  <cols>
    <col min="1" max="1" width="6.33203125" customWidth="1"/>
    <col min="3" max="3" width="14.109375" bestFit="1" customWidth="1"/>
    <col min="4" max="4" width="14.33203125" customWidth="1"/>
    <col min="5" max="5" width="13.109375" bestFit="1" customWidth="1"/>
    <col min="6" max="6" width="13.109375" customWidth="1"/>
    <col min="7" max="7" width="18" customWidth="1"/>
    <col min="8" max="8" width="11.109375" customWidth="1"/>
    <col min="9" max="9" width="14.6640625" customWidth="1"/>
    <col min="10" max="10" width="13" customWidth="1"/>
  </cols>
  <sheetData>
    <row r="1" spans="1:12" x14ac:dyDescent="0.3">
      <c r="A1" s="91" t="s">
        <v>48</v>
      </c>
      <c r="B1" s="92"/>
      <c r="C1" s="93"/>
      <c r="D1" s="122">
        <v>0</v>
      </c>
      <c r="E1" s="122"/>
      <c r="F1" s="103"/>
      <c r="G1" s="93"/>
      <c r="H1" s="93"/>
      <c r="I1" s="93"/>
      <c r="J1" s="94"/>
      <c r="L1" s="17"/>
    </row>
    <row r="2" spans="1:12" x14ac:dyDescent="0.3">
      <c r="A2" s="95" t="s">
        <v>73</v>
      </c>
      <c r="B2" s="88"/>
      <c r="C2" s="89"/>
      <c r="D2" s="57" t="s">
        <v>36</v>
      </c>
      <c r="E2" s="88"/>
      <c r="F2" s="88"/>
      <c r="G2" s="88"/>
      <c r="H2" s="88"/>
      <c r="I2" s="88"/>
      <c r="J2" s="96"/>
      <c r="L2" s="17"/>
    </row>
    <row r="3" spans="1:12" x14ac:dyDescent="0.3">
      <c r="A3" s="123" t="s">
        <v>0</v>
      </c>
      <c r="B3" s="111" t="s">
        <v>1</v>
      </c>
      <c r="C3" s="111" t="s">
        <v>2</v>
      </c>
      <c r="D3" s="119" t="s">
        <v>9</v>
      </c>
      <c r="E3" s="120" t="s">
        <v>51</v>
      </c>
      <c r="F3" s="111" t="s">
        <v>76</v>
      </c>
      <c r="G3" s="119" t="s">
        <v>44</v>
      </c>
      <c r="H3" s="120" t="s">
        <v>6</v>
      </c>
      <c r="I3" s="126" t="s">
        <v>72</v>
      </c>
      <c r="J3" s="125" t="s">
        <v>52</v>
      </c>
      <c r="L3" s="17"/>
    </row>
    <row r="4" spans="1:12" x14ac:dyDescent="0.3">
      <c r="A4" s="124"/>
      <c r="B4" s="112"/>
      <c r="C4" s="112"/>
      <c r="D4" s="119"/>
      <c r="E4" s="120"/>
      <c r="F4" s="112"/>
      <c r="G4" s="119"/>
      <c r="H4" s="120"/>
      <c r="I4" s="126"/>
      <c r="J4" s="125"/>
      <c r="L4" s="17"/>
    </row>
    <row r="5" spans="1:12" ht="30" customHeight="1" x14ac:dyDescent="0.3">
      <c r="A5" s="98">
        <v>1</v>
      </c>
      <c r="B5" s="99" t="s">
        <v>18</v>
      </c>
      <c r="C5" s="87" t="s">
        <v>26</v>
      </c>
      <c r="D5" s="75">
        <v>121723.1752</v>
      </c>
      <c r="E5" s="75">
        <v>0</v>
      </c>
      <c r="F5" s="75">
        <f>D5-E5</f>
        <v>121723.1752</v>
      </c>
      <c r="G5" s="90">
        <f>F5*3%</f>
        <v>3651.695256</v>
      </c>
      <c r="H5" s="74">
        <v>0.121</v>
      </c>
      <c r="I5" s="75">
        <f t="shared" ref="I5:I12" si="0">D$1*H5</f>
        <v>0</v>
      </c>
      <c r="J5" s="97">
        <f>+G5+I5+F5</f>
        <v>125374.870456</v>
      </c>
      <c r="L5" s="17"/>
    </row>
    <row r="6" spans="1:12" ht="30" customHeight="1" x14ac:dyDescent="0.3">
      <c r="A6" s="98">
        <v>2</v>
      </c>
      <c r="B6" s="99" t="s">
        <v>19</v>
      </c>
      <c r="C6" s="87" t="s">
        <v>27</v>
      </c>
      <c r="D6" s="75">
        <v>153978.98480000001</v>
      </c>
      <c r="E6" s="75">
        <v>0</v>
      </c>
      <c r="F6" s="75">
        <f t="shared" ref="F6:F12" si="1">D6-E6</f>
        <v>153978.98480000001</v>
      </c>
      <c r="G6" s="90">
        <f t="shared" ref="G6:G12" si="2">F6*3%</f>
        <v>4619.3695440000001</v>
      </c>
      <c r="H6" s="74">
        <v>0.122</v>
      </c>
      <c r="I6" s="75">
        <f t="shared" si="0"/>
        <v>0</v>
      </c>
      <c r="J6" s="97">
        <f t="shared" ref="J6:J12" si="3">+G6+I6+F6</f>
        <v>158598.35434399999</v>
      </c>
      <c r="L6" s="17"/>
    </row>
    <row r="7" spans="1:12" ht="30" customHeight="1" x14ac:dyDescent="0.3">
      <c r="A7" s="98">
        <v>3</v>
      </c>
      <c r="B7" s="99" t="s">
        <v>20</v>
      </c>
      <c r="C7" s="87" t="s">
        <v>28</v>
      </c>
      <c r="D7" s="75">
        <v>0</v>
      </c>
      <c r="E7" s="75">
        <f>D7</f>
        <v>0</v>
      </c>
      <c r="F7" s="75">
        <f t="shared" si="1"/>
        <v>0</v>
      </c>
      <c r="G7" s="90">
        <f t="shared" si="2"/>
        <v>0</v>
      </c>
      <c r="H7" s="74">
        <v>0.11700000000000001</v>
      </c>
      <c r="I7" s="75">
        <f t="shared" si="0"/>
        <v>0</v>
      </c>
      <c r="J7" s="97">
        <f t="shared" si="3"/>
        <v>0</v>
      </c>
      <c r="L7" s="17"/>
    </row>
    <row r="8" spans="1:12" ht="30" customHeight="1" x14ac:dyDescent="0.3">
      <c r="A8" s="98">
        <v>4</v>
      </c>
      <c r="B8" s="99" t="s">
        <v>21</v>
      </c>
      <c r="C8" s="87" t="s">
        <v>29</v>
      </c>
      <c r="D8" s="75">
        <v>147667.72159999999</v>
      </c>
      <c r="E8" s="75">
        <v>0</v>
      </c>
      <c r="F8" s="75">
        <f t="shared" si="1"/>
        <v>147667.72159999999</v>
      </c>
      <c r="G8" s="90">
        <f t="shared" si="2"/>
        <v>4430.0316479999992</v>
      </c>
      <c r="H8" s="74">
        <v>0.11700000000000001</v>
      </c>
      <c r="I8" s="75">
        <f t="shared" si="0"/>
        <v>0</v>
      </c>
      <c r="J8" s="97">
        <f t="shared" si="3"/>
        <v>152097.75324799999</v>
      </c>
      <c r="L8" s="17"/>
    </row>
    <row r="9" spans="1:12" ht="30" customHeight="1" x14ac:dyDescent="0.3">
      <c r="A9" s="98">
        <v>5</v>
      </c>
      <c r="B9" s="99" t="s">
        <v>22</v>
      </c>
      <c r="C9" s="87" t="s">
        <v>26</v>
      </c>
      <c r="D9" s="75">
        <v>137820.42720000003</v>
      </c>
      <c r="E9" s="75">
        <v>0</v>
      </c>
      <c r="F9" s="75">
        <f t="shared" si="1"/>
        <v>137820.42720000003</v>
      </c>
      <c r="G9" s="90">
        <f t="shared" si="2"/>
        <v>4134.6128160000007</v>
      </c>
      <c r="H9" s="74">
        <v>0.13700000000000001</v>
      </c>
      <c r="I9" s="75">
        <f t="shared" si="0"/>
        <v>0</v>
      </c>
      <c r="J9" s="97">
        <f t="shared" si="3"/>
        <v>141955.04001600004</v>
      </c>
      <c r="L9" s="17"/>
    </row>
    <row r="10" spans="1:12" ht="30" customHeight="1" x14ac:dyDescent="0.3">
      <c r="A10" s="98">
        <v>6</v>
      </c>
      <c r="B10" s="99" t="s">
        <v>23</v>
      </c>
      <c r="C10" s="87" t="s">
        <v>26</v>
      </c>
      <c r="D10" s="75">
        <v>132788.9184</v>
      </c>
      <c r="E10" s="75">
        <v>0</v>
      </c>
      <c r="F10" s="75">
        <f t="shared" si="1"/>
        <v>132788.9184</v>
      </c>
      <c r="G10" s="90">
        <f t="shared" si="2"/>
        <v>3983.6675519999999</v>
      </c>
      <c r="H10" s="74">
        <v>0.13200000000000001</v>
      </c>
      <c r="I10" s="75">
        <f t="shared" si="0"/>
        <v>0</v>
      </c>
      <c r="J10" s="97">
        <f t="shared" si="3"/>
        <v>136772.58595199999</v>
      </c>
      <c r="L10" s="17"/>
    </row>
    <row r="11" spans="1:12" ht="30" customHeight="1" x14ac:dyDescent="0.3">
      <c r="A11" s="98">
        <v>7</v>
      </c>
      <c r="B11" s="99" t="s">
        <v>24</v>
      </c>
      <c r="C11" s="87" t="s">
        <v>28</v>
      </c>
      <c r="D11" s="75">
        <v>0</v>
      </c>
      <c r="E11" s="75">
        <f>D11</f>
        <v>0</v>
      </c>
      <c r="F11" s="75">
        <f t="shared" si="1"/>
        <v>0</v>
      </c>
      <c r="G11" s="90">
        <f t="shared" si="2"/>
        <v>0</v>
      </c>
      <c r="H11" s="74">
        <v>0.127</v>
      </c>
      <c r="I11" s="75">
        <f t="shared" si="0"/>
        <v>0</v>
      </c>
      <c r="J11" s="97">
        <f t="shared" si="3"/>
        <v>0</v>
      </c>
      <c r="L11" s="17"/>
    </row>
    <row r="12" spans="1:12" ht="30" customHeight="1" x14ac:dyDescent="0.3">
      <c r="A12" s="98">
        <v>8</v>
      </c>
      <c r="B12" s="99" t="s">
        <v>25</v>
      </c>
      <c r="C12" s="87" t="s">
        <v>30</v>
      </c>
      <c r="D12" s="75">
        <v>0</v>
      </c>
      <c r="E12" s="75">
        <f>D12</f>
        <v>0</v>
      </c>
      <c r="F12" s="75">
        <f t="shared" si="1"/>
        <v>0</v>
      </c>
      <c r="G12" s="90">
        <f t="shared" si="2"/>
        <v>0</v>
      </c>
      <c r="H12" s="74">
        <v>0.127</v>
      </c>
      <c r="I12" s="75">
        <f t="shared" si="0"/>
        <v>0</v>
      </c>
      <c r="J12" s="97">
        <f t="shared" si="3"/>
        <v>0</v>
      </c>
      <c r="L12" s="17"/>
    </row>
    <row r="13" spans="1:12" ht="15" thickBot="1" x14ac:dyDescent="0.35">
      <c r="A13" s="77" t="s">
        <v>10</v>
      </c>
      <c r="B13" s="78"/>
      <c r="C13" s="79"/>
      <c r="D13" s="80">
        <f>SUM(D5:D12)</f>
        <v>693979.22719999996</v>
      </c>
      <c r="E13" s="80">
        <f>SUM(E5:E12)</f>
        <v>0</v>
      </c>
      <c r="F13" s="80"/>
      <c r="G13" s="80">
        <f>SUM(G5:G12)</f>
        <v>20819.376816</v>
      </c>
      <c r="H13" s="70">
        <f t="shared" ref="H13" si="4">SUM(H5:H12)</f>
        <v>1</v>
      </c>
      <c r="I13" s="80">
        <f>SUM(I5:I12)</f>
        <v>0</v>
      </c>
      <c r="J13" s="81">
        <f>SUM(J5:J12)</f>
        <v>714798.60401599994</v>
      </c>
      <c r="L13" s="17"/>
    </row>
  </sheetData>
  <mergeCells count="11">
    <mergeCell ref="D1:E1"/>
    <mergeCell ref="C3:C4"/>
    <mergeCell ref="B3:B4"/>
    <mergeCell ref="A3:A4"/>
    <mergeCell ref="J3:J4"/>
    <mergeCell ref="I3:I4"/>
    <mergeCell ref="F3:F4"/>
    <mergeCell ref="D3:D4"/>
    <mergeCell ref="G3:G4"/>
    <mergeCell ref="H3:H4"/>
    <mergeCell ref="E3:E4"/>
  </mergeCells>
  <pageMargins left="0.7" right="0.7" top="0.75" bottom="0.75" header="0.3" footer="0.3"/>
  <pageSetup paperSize="3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extraordinarias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Mateo Quotteri</cp:lastModifiedBy>
  <cp:lastPrinted>2026-07-31T18:46:59Z</cp:lastPrinted>
  <dcterms:created xsi:type="dcterms:W3CDTF">2020-12-10T00:27:53Z</dcterms:created>
  <dcterms:modified xsi:type="dcterms:W3CDTF">2026-08-26T17:21:55Z</dcterms:modified>
</cp:coreProperties>
</file>