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Junio\"/>
    </mc:Choice>
  </mc:AlternateContent>
  <xr:revisionPtr revIDLastSave="0" documentId="13_ncr:1_{5BFA353E-FFFC-4A67-8AD0-7030591E5575}" xr6:coauthVersionLast="47" xr6:coauthVersionMax="47" xr10:uidLastSave="{00000000-0000-0000-0000-000000000000}"/>
  <bookViews>
    <workbookView xWindow="-120" yWindow="-120" windowWidth="20730" windowHeight="11040" tabRatio="850" activeTab="1"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RESUMEN!$A$1:$E$107</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1" i="1" l="1"/>
  <c r="D58" i="1"/>
  <c r="G23" i="2"/>
  <c r="G31" i="2"/>
  <c r="G19" i="2" l="1"/>
  <c r="G24" i="2"/>
  <c r="G17" i="2"/>
  <c r="G14" i="2"/>
  <c r="G25" i="2"/>
  <c r="D30" i="1" l="1"/>
  <c r="G29" i="2" l="1"/>
  <c r="G27" i="2"/>
  <c r="G18" i="2"/>
  <c r="G11" i="2"/>
  <c r="G28" i="2"/>
  <c r="K19" i="2" l="1"/>
  <c r="E43" i="1" l="1"/>
  <c r="E44" i="1" s="1"/>
  <c r="E55" i="1" l="1"/>
  <c r="E49" i="1"/>
  <c r="M2" i="2" l="1"/>
  <c r="L15" i="2" s="1"/>
  <c r="E45" i="1"/>
  <c r="M12" i="2"/>
  <c r="M13" i="2"/>
  <c r="M14" i="2"/>
  <c r="M15" i="2"/>
  <c r="M16" i="2"/>
  <c r="M17" i="2"/>
  <c r="M18" i="2"/>
  <c r="M19" i="2"/>
  <c r="M20" i="2"/>
  <c r="M21" i="2"/>
  <c r="M22" i="2"/>
  <c r="M23" i="2"/>
  <c r="M24" i="2"/>
  <c r="M25" i="2"/>
  <c r="M26" i="2"/>
  <c r="M27" i="2"/>
  <c r="M28" i="2"/>
  <c r="M29" i="2"/>
  <c r="M30" i="2"/>
  <c r="M31" i="2"/>
  <c r="M32" i="2"/>
  <c r="M33" i="2"/>
  <c r="M34" i="2"/>
  <c r="M35" i="2"/>
  <c r="M11" i="2"/>
  <c r="G32" i="2"/>
  <c r="G35" i="2"/>
  <c r="G26" i="2"/>
  <c r="G33" i="2" l="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8" i="2" l="1"/>
  <c r="B85" i="1" s="1"/>
  <c r="B90" i="1" s="1"/>
  <c r="B97" i="1"/>
  <c r="E39" i="1"/>
  <c r="G39" i="2" l="1"/>
  <c r="E59" i="1"/>
  <c r="E35" i="1" l="1"/>
  <c r="I22" i="2" l="1"/>
  <c r="E71" i="1" l="1"/>
  <c r="E76" i="1" s="1"/>
  <c r="B80" i="1" s="1"/>
  <c r="B94" i="1" l="1"/>
  <c r="B106" i="1"/>
  <c r="B96" i="1" l="1"/>
  <c r="I25" i="2" l="1"/>
  <c r="N10" i="2" l="1"/>
  <c r="E31" i="1" l="1"/>
  <c r="E63"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81" i="1"/>
  <c r="I36" i="2"/>
  <c r="J28" i="2"/>
  <c r="J16" i="2"/>
  <c r="J27" i="2"/>
  <c r="J23" i="2"/>
  <c r="J19" i="2"/>
  <c r="N19" i="2" s="1"/>
  <c r="J15" i="2"/>
  <c r="J24" i="2"/>
  <c r="J12" i="2"/>
  <c r="J26" i="2"/>
  <c r="J22" i="2"/>
  <c r="J18" i="2"/>
  <c r="J14" i="2"/>
  <c r="J20" i="2"/>
  <c r="J25" i="2"/>
  <c r="J21" i="2"/>
  <c r="J17" i="2"/>
  <c r="J13" i="2"/>
  <c r="J11" i="2"/>
  <c r="N11" i="2" l="1"/>
  <c r="J36" i="2"/>
  <c r="P33" i="2"/>
  <c r="N32" i="2"/>
  <c r="O32" i="2" s="1"/>
  <c r="A43" i="1"/>
  <c r="A44"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79" i="1" l="1"/>
  <c r="B93" i="1" s="1"/>
  <c r="B98" i="1" s="1"/>
  <c r="B78" i="1" l="1"/>
</calcChain>
</file>

<file path=xl/sharedStrings.xml><?xml version="1.0" encoding="utf-8"?>
<sst xmlns="http://schemas.openxmlformats.org/spreadsheetml/2006/main" count="201" uniqueCount="137">
  <si>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</si>
  <si>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</si>
  <si>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</si>
  <si>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</si>
  <si>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</si>
  <si>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</si>
  <si>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</si>
  <si>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</si>
  <si>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</si>
  <si>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</si>
  <si>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</si>
  <si>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</si>
  <si>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</si>
  <si>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</si>
  <si>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</si>
  <si>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</si>
  <si>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</si>
  <si>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</si>
  <si>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</si>
  <si>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</si>
  <si>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</si>
  <si>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</si>
  <si>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</si>
  <si>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</si>
  <si>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</si>
  <si>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</si>
  <si>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</si>
  <si>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</si>
  <si>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</si>
  <si>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</si>
  <si>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</si>
  <si>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</si>
  <si>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</si>
  <si>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</si>
  <si>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</si>
  <si>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</si>
  <si>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</si>
  <si>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</si>
  <si>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</si>
  <si>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</si>
  <si>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</si>
  <si>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</si>
  <si>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</si>
  <si>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</si>
  <si>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</si>
  <si>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</si>
  <si>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</si>
  <si>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</si>
  <si>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</si>
  <si>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</si>
  <si>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</si>
  <si>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</si>
  <si>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</si>
  <si>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</si>
  <si>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</si>
  <si>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</si>
  <si>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</si>
  <si>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</si>
  <si>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</si>
  <si>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</si>
  <si>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</si>
  <si>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</si>
  <si>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</si>
  <si>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</si>
  <si>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</si>
  <si>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</si>
  <si>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</si>
  <si>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</si>
  <si>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</si>
  <si>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</si>
  <si>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</si>
  <si>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</si>
  <si>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</si>
  <si>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</si>
  <si>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</si>
  <si>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</si>
  <si>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</si>
  <si>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</si>
  <si>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</si>
  <si>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</si>
  <si>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</si>
  <si>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</si>
  <si>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</si>
  <si>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</si>
  <si>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</si>
  <si>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</si>
  <si>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</si>
  <si>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</si>
  <si>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</si>
  <si>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</si>
  <si>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</si>
  <si>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</si>
  <si>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</si>
  <si>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</si>
  <si>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</si>
  <si>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</si>
  <si>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</si>
  <si>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</si>
  <si>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</si>
  <si>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</si>
  <si>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</si>
  <si>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</si>
  <si>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</si>
  <si>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</si>
  <si>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</si>
  <si>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</si>
  <si>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Abona mediante</t>
  </si>
  <si>
    <t>E</t>
  </si>
  <si>
    <t>Ingreso por pago de expensas</t>
  </si>
  <si>
    <t>Ingreso pago x banco</t>
  </si>
  <si>
    <t>Ingreso pago x efectivo</t>
  </si>
  <si>
    <t>CUIT DEL EDIFICIO: 30710914784</t>
  </si>
  <si>
    <t>Particular</t>
  </si>
  <si>
    <t xml:space="preserve">Contessi - Pago del abono del ascensor  - Mantenimiento </t>
  </si>
  <si>
    <t>Vanesa</t>
  </si>
  <si>
    <t xml:space="preserve">PREVISION EXTRAORDINARIA </t>
  </si>
  <si>
    <t>PREVISION ORDINARIA</t>
  </si>
  <si>
    <t>Gustavo Padron - Sr. Contador</t>
  </si>
  <si>
    <t>Compra de materiales: hierro, cemento, bolsas de arena, bolsas de pieda y alambre de fardo</t>
  </si>
  <si>
    <t>Transf 02/06</t>
  </si>
  <si>
    <t>Transf 05/06</t>
  </si>
  <si>
    <t>Transf 09/06</t>
  </si>
  <si>
    <t>Transf 10/06</t>
  </si>
  <si>
    <t>Debito 12/06</t>
  </si>
  <si>
    <t>Sra. Silvana Suplencia vacaciones</t>
  </si>
  <si>
    <t>Seguro Sra. Silvana</t>
  </si>
  <si>
    <t xml:space="preserve">Compra de lamparas </t>
  </si>
  <si>
    <t xml:space="preserve">Honorarios administracion Junio </t>
  </si>
  <si>
    <t>VTO 17/07</t>
  </si>
  <si>
    <t>MAIL:consorcio2deJUNIO2813.15@gmail.com</t>
  </si>
  <si>
    <t>PERÍODO: JUNIO</t>
  </si>
  <si>
    <t>Sindicatos mes de JUNIO</t>
  </si>
  <si>
    <t>CONSORCIO 2 DE JUNIO 2813/15  -  LIQUIDACIÓN DE GASTOS MAYO 2026</t>
  </si>
  <si>
    <t>Mes de JUNIO + SAC</t>
  </si>
  <si>
    <t>Egreso a fondo comun de inversion</t>
  </si>
  <si>
    <t>Ingreso a fondo comun de inversion</t>
  </si>
  <si>
    <t>Seguros Integral de Consorcio BERKLEY INTERNATIONAL SEGUROS S.A. Poliza N° 13-228546 - LA POLIZA SE DEBITA LOS PRIMEROS DIAS DE 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</si>
</sst>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9">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2" borderId="2" xfId="0" applyFont="1" applyFill="1" applyBorder="1"/>
    <xf numFmtId="0" fontId="18" fillId="0" borderId="2" xfId="1" applyNumberFormat="1" applyFont="1" applyBorder="1"/>
    <xf numFmtId="0" fontId="2" fillId="8" borderId="37" xfId="0" applyFont="1" applyFill="1" applyBorder="1"/>
    <xf numFmtId="0" fontId="2" fillId="8" borderId="38"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8" fillId="0" borderId="36" xfId="1" applyFont="1" applyBorder="1" applyAlignment="1">
      <alignment vertical="center" wrapText="1"/>
    </xf>
    <xf numFmtId="0" fontId="0" fillId="0" borderId="35" xfId="0" applyBorder="1" applyAlignment="1">
      <alignment horizontal="lef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0" fontId="9" fillId="6" borderId="40" xfId="0" applyFont="1" applyFill="1" applyBorder="1"/>
    <xf numFmtId="44" fontId="0" fillId="0" borderId="41" xfId="1" applyFont="1" applyBorder="1"/>
    <xf numFmtId="0" fontId="0" fillId="0" borderId="42" xfId="0" applyBorder="1" applyAlignment="1">
      <alignment vertical="center" wrapText="1"/>
    </xf>
    <xf numFmtId="44" fontId="8" fillId="0" borderId="32" xfId="1" applyFont="1" applyBorder="1" applyAlignment="1">
      <alignment vertical="center" wrapText="1"/>
    </xf>
    <xf numFmtId="0" fontId="0" fillId="0" borderId="43" xfId="0" applyBorder="1" applyAlignment="1">
      <alignment horizontal="left" vertical="center"/>
    </xf>
    <xf numFmtId="0" fontId="2" fillId="12" borderId="9" xfId="0" applyFont="1" applyFill="1" applyBorder="1" applyAlignment="1">
      <alignment horizontal="left" vertical="center" wrapText="1"/>
    </xf>
    <xf numFmtId="44" fontId="2" fillId="12" borderId="13" xfId="1" applyFont="1" applyFill="1" applyBorder="1" applyAlignment="1">
      <alignment horizontal="left" vertic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0" fillId="3" borderId="0" xfId="0" applyFill="1" applyAlignment="1">
      <alignment horizontal="left"/>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165" fontId="15" fillId="0" borderId="1" xfId="0" applyNumberFormat="1" applyFont="1" applyBorder="1"/>
    <xf numFmtId="8" fontId="4" fillId="2" borderId="6" xfId="0" applyNumberFormat="1" applyFont="1" applyFill="1" applyBorder="1"/>
    <xf numFmtId="8" fontId="4" fillId="2" borderId="1" xfId="0" applyNumberFormat="1" applyFont="1" applyFill="1" applyBorder="1" applyAlignment="1">
      <alignment horizontal="right"/>
    </xf>
    <xf numFmtId="44" fontId="4" fillId="2" borderId="2" xfId="1" applyFont="1" applyFill="1" applyBorder="1" applyAlignment="1">
      <alignment horizontal="center" wrapText="1"/>
    </xf>
    <xf numFmtId="44" fontId="4" fillId="2" borderId="3" xfId="1" applyFont="1" applyFill="1" applyBorder="1" applyAlignment="1">
      <alignment horizontal="center" wrapText="1"/>
    </xf>
    <xf numFmtId="44" fontId="4" fillId="4" borderId="0" xfId="1" applyFont="1" applyFill="1"/>
    <xf numFmtId="0" fontId="7" fillId="8" borderId="39" xfId="0"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1"/>
  <sheetViews>
    <sheetView topLeftCell="A50" workbookViewId="0">
      <selection activeCell="E61" sqref="E61"/>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66" t="s">
        <v>129</v>
      </c>
      <c r="C1" s="166"/>
      <c r="D1" s="166"/>
      <c r="E1" s="51"/>
    </row>
    <row r="2" spans="1:5" x14ac:dyDescent="0.25">
      <c r="A2" s="15"/>
      <c r="B2" s="52" t="s">
        <v>22</v>
      </c>
      <c r="C2" s="52"/>
      <c r="D2" s="52"/>
      <c r="E2" s="53"/>
    </row>
    <row r="3" spans="1:5" ht="70.5" customHeight="1" thickBot="1" x14ac:dyDescent="0.3">
      <c r="A3" s="15"/>
      <c r="B3" s="169" t="s">
        <v>95</v>
      </c>
      <c r="C3" s="169"/>
      <c r="D3" s="169"/>
      <c r="E3" s="170"/>
    </row>
    <row r="4" spans="1:5" ht="15.75" thickBot="1" x14ac:dyDescent="0.3">
      <c r="A4" s="18" t="s">
        <v>0</v>
      </c>
      <c r="B4" s="54" t="s">
        <v>31</v>
      </c>
      <c r="C4" s="19"/>
      <c r="D4" s="19"/>
      <c r="E4" s="20"/>
    </row>
    <row r="5" spans="1:5" ht="15.75" thickBot="1" x14ac:dyDescent="0.3">
      <c r="A5" s="15" t="s">
        <v>111</v>
      </c>
      <c r="B5" s="19" t="s">
        <v>130</v>
      </c>
      <c r="C5" s="16"/>
      <c r="D5" s="52" t="s">
        <v>23</v>
      </c>
      <c r="E5" s="17"/>
    </row>
    <row r="6" spans="1:5" ht="15.75" thickBot="1" x14ac:dyDescent="0.3">
      <c r="A6" s="18" t="s">
        <v>132</v>
      </c>
      <c r="B6" s="19"/>
      <c r="C6" s="19"/>
      <c r="D6" s="19" t="s">
        <v>46</v>
      </c>
      <c r="E6" s="20"/>
    </row>
    <row r="8" spans="1:5" x14ac:dyDescent="0.25">
      <c r="B8" s="172" t="s">
        <v>128</v>
      </c>
      <c r="C8" s="172"/>
    </row>
    <row r="9" spans="1:5" x14ac:dyDescent="0.25">
      <c r="B9" s="172"/>
      <c r="C9" s="172"/>
    </row>
    <row r="10" spans="1:5" x14ac:dyDescent="0.25">
      <c r="B10" s="172"/>
      <c r="C10" s="172"/>
    </row>
    <row r="12" spans="1:5" hidden="1" x14ac:dyDescent="0.25"/>
    <row r="13" spans="1:5" ht="15" customHeight="1" x14ac:dyDescent="0.25">
      <c r="A13" s="171" t="s">
        <v>87</v>
      </c>
      <c r="B13" s="171"/>
      <c r="C13" s="171"/>
      <c r="D13" s="171"/>
      <c r="E13" s="171"/>
    </row>
    <row r="14" spans="1:5" ht="15" customHeight="1" x14ac:dyDescent="0.25">
      <c r="A14" s="171"/>
      <c r="B14" s="171"/>
      <c r="C14" s="171"/>
      <c r="D14" s="171"/>
      <c r="E14" s="171"/>
    </row>
    <row r="15" spans="1:5" ht="15" customHeight="1" x14ac:dyDescent="0.25">
      <c r="A15" s="171"/>
      <c r="B15" s="171"/>
      <c r="C15" s="171"/>
      <c r="D15" s="171"/>
      <c r="E15" s="171"/>
    </row>
    <row r="16" spans="1:5" ht="127.15" customHeight="1" x14ac:dyDescent="0.25">
      <c r="A16" s="171"/>
      <c r="B16" s="171"/>
      <c r="C16" s="171"/>
      <c r="D16" s="171"/>
      <c r="E16" s="171"/>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7" t="s">
        <v>27</v>
      </c>
      <c r="B21" s="27"/>
      <c r="C21" s="27"/>
      <c r="D21" s="26"/>
      <c r="E21" s="26"/>
    </row>
    <row r="22" spans="1:7" x14ac:dyDescent="0.25">
      <c r="A22" s="5" t="s">
        <v>88</v>
      </c>
      <c r="B22" s="5" t="s">
        <v>133</v>
      </c>
      <c r="C22" s="5"/>
      <c r="D22" s="139">
        <v>1899703.78</v>
      </c>
      <c r="E22" s="5"/>
    </row>
    <row r="23" spans="1:7" x14ac:dyDescent="0.25">
      <c r="A23" s="5" t="s">
        <v>89</v>
      </c>
      <c r="B23" s="5"/>
      <c r="C23" s="5"/>
      <c r="D23" s="139">
        <v>-470176.69</v>
      </c>
      <c r="E23" s="5"/>
    </row>
    <row r="24" spans="1:7" x14ac:dyDescent="0.25">
      <c r="A24" s="5" t="s">
        <v>90</v>
      </c>
      <c r="B24" s="5"/>
      <c r="C24" s="5"/>
      <c r="D24" s="139">
        <v>0.91</v>
      </c>
      <c r="E24" s="5"/>
    </row>
    <row r="25" spans="1:7" ht="14.25" customHeight="1" x14ac:dyDescent="0.25">
      <c r="A25" s="44" t="s">
        <v>28</v>
      </c>
      <c r="B25" s="44"/>
      <c r="C25" s="44"/>
      <c r="D25" s="140">
        <f>SUM(D22:D24)</f>
        <v>1429528</v>
      </c>
      <c r="E25" s="88"/>
      <c r="G25" s="21"/>
    </row>
    <row r="26" spans="1:7" ht="14.25" hidden="1" customHeight="1" x14ac:dyDescent="0.25">
      <c r="A26" s="5" t="s">
        <v>34</v>
      </c>
      <c r="B26" s="5"/>
      <c r="C26" s="5"/>
      <c r="D26" s="139"/>
      <c r="E26" s="5"/>
    </row>
    <row r="27" spans="1:7" hidden="1" x14ac:dyDescent="0.25">
      <c r="A27" s="23"/>
      <c r="B27" s="5"/>
      <c r="C27" s="5"/>
      <c r="D27" s="139"/>
      <c r="E27" s="5"/>
    </row>
    <row r="28" spans="1:7" hidden="1" x14ac:dyDescent="0.25">
      <c r="A28" s="5"/>
      <c r="B28" s="5"/>
      <c r="C28" s="5"/>
      <c r="D28" s="139"/>
      <c r="E28" s="5"/>
    </row>
    <row r="29" spans="1:7" x14ac:dyDescent="0.25">
      <c r="A29" s="5" t="s">
        <v>124</v>
      </c>
      <c r="B29" s="5"/>
      <c r="C29" s="5"/>
      <c r="D29" s="213">
        <v>184800</v>
      </c>
      <c r="E29" s="5"/>
    </row>
    <row r="30" spans="1:7" x14ac:dyDescent="0.25">
      <c r="A30" s="44" t="s">
        <v>28</v>
      </c>
      <c r="B30" s="44"/>
      <c r="C30" s="44"/>
      <c r="D30" s="141">
        <f>SUM(D26:D29)</f>
        <v>184800</v>
      </c>
      <c r="E30" s="88"/>
    </row>
    <row r="31" spans="1:7" ht="15.75" thickBot="1" x14ac:dyDescent="0.3">
      <c r="A31" s="24" t="s">
        <v>1</v>
      </c>
      <c r="B31" s="24"/>
      <c r="C31" s="24"/>
      <c r="D31" s="142"/>
      <c r="E31" s="89">
        <f>D25+D30</f>
        <v>1614328</v>
      </c>
      <c r="F31" s="21"/>
    </row>
    <row r="32" spans="1:7" x14ac:dyDescent="0.25">
      <c r="A32" s="27" t="s">
        <v>18</v>
      </c>
      <c r="B32" s="27"/>
      <c r="C32" s="27"/>
      <c r="D32" s="143"/>
      <c r="E32" s="90"/>
    </row>
    <row r="33" spans="1:7" ht="15" customHeight="1" x14ac:dyDescent="0.25">
      <c r="A33" s="167" t="s">
        <v>117</v>
      </c>
      <c r="B33" s="168"/>
      <c r="C33" s="41"/>
      <c r="D33" s="139">
        <v>45000</v>
      </c>
      <c r="E33" s="91" t="s">
        <v>120</v>
      </c>
    </row>
    <row r="34" spans="1:7" ht="15" customHeight="1" thickBot="1" x14ac:dyDescent="0.3">
      <c r="A34" s="167"/>
      <c r="B34" s="168"/>
      <c r="C34" s="41"/>
      <c r="D34" s="214"/>
      <c r="E34" s="91"/>
    </row>
    <row r="35" spans="1:7" ht="15.75" thickBot="1" x14ac:dyDescent="0.3">
      <c r="A35" s="24" t="s">
        <v>15</v>
      </c>
      <c r="B35" s="24"/>
      <c r="C35" s="24"/>
      <c r="D35" s="152"/>
      <c r="E35" s="92">
        <f>SUM(D33:D34)</f>
        <v>45000</v>
      </c>
    </row>
    <row r="36" spans="1:7" x14ac:dyDescent="0.25">
      <c r="A36" s="27" t="s">
        <v>25</v>
      </c>
      <c r="B36" s="24"/>
      <c r="C36" s="24"/>
      <c r="D36" s="153"/>
      <c r="E36" s="93"/>
    </row>
    <row r="37" spans="1:7" s="30" customFormat="1" ht="14.25" customHeight="1" x14ac:dyDescent="0.25">
      <c r="A37" s="173" t="s">
        <v>136</v>
      </c>
      <c r="B37" s="174"/>
      <c r="C37" s="42"/>
      <c r="D37" s="215"/>
      <c r="E37" s="164"/>
    </row>
    <row r="38" spans="1:7" ht="42" customHeight="1" x14ac:dyDescent="0.25">
      <c r="A38" s="175"/>
      <c r="B38" s="176"/>
      <c r="C38" s="42"/>
      <c r="D38" s="216"/>
      <c r="E38" s="165"/>
    </row>
    <row r="39" spans="1:7" ht="15.75" thickBot="1" x14ac:dyDescent="0.3">
      <c r="A39" s="24" t="s">
        <v>2</v>
      </c>
      <c r="B39" s="24"/>
      <c r="C39" s="24"/>
      <c r="D39" s="152"/>
      <c r="E39" s="58">
        <f>SUM(D37:D38)</f>
        <v>0</v>
      </c>
    </row>
    <row r="40" spans="1:7" x14ac:dyDescent="0.25">
      <c r="A40" s="27" t="s">
        <v>16</v>
      </c>
      <c r="B40" s="94"/>
      <c r="C40" s="94"/>
      <c r="D40" s="154"/>
      <c r="E40" s="145"/>
    </row>
    <row r="41" spans="1:7" x14ac:dyDescent="0.25">
      <c r="A41" s="5" t="s">
        <v>36</v>
      </c>
      <c r="B41" s="5"/>
      <c r="C41" s="41"/>
      <c r="D41" s="144">
        <v>701906.85</v>
      </c>
      <c r="E41" s="98" t="s">
        <v>121</v>
      </c>
      <c r="G41" s="77"/>
    </row>
    <row r="42" spans="1:7" x14ac:dyDescent="0.25">
      <c r="A42" s="5" t="s">
        <v>131</v>
      </c>
      <c r="B42" s="5" t="s">
        <v>98</v>
      </c>
      <c r="C42" s="5"/>
      <c r="D42" s="144">
        <v>54804.85</v>
      </c>
      <c r="E42" s="98" t="s">
        <v>123</v>
      </c>
    </row>
    <row r="43" spans="1:7" x14ac:dyDescent="0.25">
      <c r="A43" s="5" t="str">
        <f>A42</f>
        <v>Sindicatos mes de JUNIO</v>
      </c>
      <c r="B43" s="5" t="s">
        <v>97</v>
      </c>
      <c r="C43" s="5"/>
      <c r="D43" s="144">
        <v>101643.56</v>
      </c>
      <c r="E43" s="99" t="str">
        <f>E42</f>
        <v>Debito 12/06</v>
      </c>
    </row>
    <row r="44" spans="1:7" x14ac:dyDescent="0.25">
      <c r="A44" s="5" t="str">
        <f>A43</f>
        <v>Sindicatos mes de JUNIO</v>
      </c>
      <c r="B44" s="5" t="s">
        <v>96</v>
      </c>
      <c r="C44" s="5"/>
      <c r="D44" s="144">
        <v>6089.43</v>
      </c>
      <c r="E44" s="100" t="str">
        <f>E43</f>
        <v>Debito 12/06</v>
      </c>
    </row>
    <row r="45" spans="1:7" ht="15" customHeight="1" thickBot="1" x14ac:dyDescent="0.3">
      <c r="A45" s="24" t="s">
        <v>3</v>
      </c>
      <c r="B45" s="94"/>
      <c r="C45" s="94"/>
      <c r="D45" s="155"/>
      <c r="E45" s="58">
        <f>SUM(D41:D44)</f>
        <v>864444.69000000006</v>
      </c>
    </row>
    <row r="46" spans="1:7" x14ac:dyDescent="0.25">
      <c r="A46" s="27" t="s">
        <v>17</v>
      </c>
      <c r="B46" s="94"/>
      <c r="C46" s="94"/>
      <c r="D46" s="154"/>
      <c r="E46" s="145"/>
    </row>
    <row r="47" spans="1:7" ht="14.25" customHeight="1" x14ac:dyDescent="0.25">
      <c r="A47" s="5" t="s">
        <v>91</v>
      </c>
      <c r="B47" s="5"/>
      <c r="C47" s="5"/>
      <c r="D47" s="144">
        <v>371485.85</v>
      </c>
      <c r="E47" s="98" t="s">
        <v>119</v>
      </c>
    </row>
    <row r="48" spans="1:7" ht="14.25" customHeight="1" x14ac:dyDescent="0.25">
      <c r="A48" s="127" t="s">
        <v>92</v>
      </c>
      <c r="B48" s="128"/>
      <c r="C48" s="5"/>
      <c r="D48" s="144">
        <v>355959.47</v>
      </c>
      <c r="E48" s="98" t="s">
        <v>119</v>
      </c>
    </row>
    <row r="49" spans="1:12" ht="15.75" thickBot="1" x14ac:dyDescent="0.3">
      <c r="A49" s="24" t="s">
        <v>4</v>
      </c>
      <c r="B49" s="24"/>
      <c r="C49" s="24"/>
      <c r="D49" s="156"/>
      <c r="E49" s="58">
        <f>SUM(D47:D48)</f>
        <v>727445.32</v>
      </c>
    </row>
    <row r="50" spans="1:12" ht="15" customHeight="1" thickBot="1" x14ac:dyDescent="0.3">
      <c r="A50" s="27"/>
      <c r="B50" s="24"/>
      <c r="C50" s="24"/>
      <c r="D50" s="152"/>
      <c r="E50" s="146"/>
    </row>
    <row r="51" spans="1:12" ht="20.100000000000001" customHeight="1" x14ac:dyDescent="0.25">
      <c r="A51" s="101" t="s">
        <v>94</v>
      </c>
      <c r="B51" s="97"/>
      <c r="C51" s="5"/>
      <c r="D51" s="144">
        <v>17700.11</v>
      </c>
      <c r="E51" s="98" t="s">
        <v>122</v>
      </c>
    </row>
    <row r="52" spans="1:12" ht="20.100000000000001" customHeight="1" x14ac:dyDescent="0.25">
      <c r="A52" s="101" t="s">
        <v>113</v>
      </c>
      <c r="B52" s="97"/>
      <c r="C52" s="5"/>
      <c r="D52" s="144">
        <v>105000</v>
      </c>
      <c r="E52" s="136" t="s">
        <v>120</v>
      </c>
    </row>
    <row r="53" spans="1:12" ht="18.75" customHeight="1" x14ac:dyDescent="0.25">
      <c r="A53" s="177"/>
      <c r="B53" s="178"/>
      <c r="C53" s="5"/>
      <c r="D53" s="144"/>
      <c r="E53" s="136"/>
    </row>
    <row r="54" spans="1:12" ht="20.100000000000001" customHeight="1" x14ac:dyDescent="0.25">
      <c r="A54" s="101"/>
      <c r="B54" s="97"/>
      <c r="C54" s="5"/>
      <c r="D54" s="144"/>
      <c r="E54" s="135"/>
    </row>
    <row r="55" spans="1:12" ht="15.75" thickBot="1" x14ac:dyDescent="0.3">
      <c r="A55" s="24" t="s">
        <v>8</v>
      </c>
      <c r="B55" s="27"/>
      <c r="C55" s="27"/>
      <c r="D55" s="26"/>
      <c r="E55" s="147">
        <f>SUM(D51:D54)</f>
        <v>122700.11</v>
      </c>
    </row>
    <row r="56" spans="1:12" ht="15.75" thickBot="1" x14ac:dyDescent="0.3">
      <c r="A56" s="27" t="s">
        <v>11</v>
      </c>
      <c r="B56" s="49"/>
      <c r="C56" s="24"/>
      <c r="D56" s="142"/>
      <c r="E56" s="95"/>
    </row>
    <row r="57" spans="1:12" x14ac:dyDescent="0.25">
      <c r="A57" s="5" t="s">
        <v>45</v>
      </c>
      <c r="B57" s="5"/>
      <c r="C57" s="5"/>
      <c r="D57" s="144">
        <v>69000</v>
      </c>
      <c r="E57" s="96"/>
    </row>
    <row r="58" spans="1:12" x14ac:dyDescent="0.25">
      <c r="A58" s="5" t="s">
        <v>44</v>
      </c>
      <c r="B58" s="5"/>
      <c r="C58" s="5"/>
      <c r="D58" s="144">
        <f>64674.37+1741</f>
        <v>66415.37</v>
      </c>
      <c r="E58" s="31"/>
    </row>
    <row r="59" spans="1:12" ht="15.75" thickBot="1" x14ac:dyDescent="0.3">
      <c r="A59" s="40" t="s">
        <v>15</v>
      </c>
      <c r="B59" s="40"/>
      <c r="C59" s="40"/>
      <c r="D59" s="63"/>
      <c r="E59" s="58">
        <f>SUM(D57:D58)</f>
        <v>135415.37</v>
      </c>
    </row>
    <row r="60" spans="1:12" ht="15.75" thickBot="1" x14ac:dyDescent="0.3">
      <c r="A60" s="5"/>
      <c r="B60" s="5"/>
      <c r="C60" s="5"/>
      <c r="D60" s="57"/>
      <c r="E60" s="64"/>
    </row>
    <row r="61" spans="1:12" ht="15.75" thickBot="1" x14ac:dyDescent="0.3">
      <c r="A61" s="25" t="s">
        <v>116</v>
      </c>
      <c r="B61" s="25"/>
      <c r="C61" s="25"/>
      <c r="D61" s="65"/>
      <c r="E61" s="66">
        <f>4095718.96-3509333.49</f>
        <v>586385.46999999974</v>
      </c>
    </row>
    <row r="62" spans="1:12" ht="15.75" thickBot="1" x14ac:dyDescent="0.3">
      <c r="A62" s="1"/>
      <c r="D62" s="67"/>
      <c r="E62" s="68"/>
      <c r="F62" s="33"/>
    </row>
    <row r="63" spans="1:12" ht="15.75" thickBot="1" x14ac:dyDescent="0.3">
      <c r="A63" s="3" t="s">
        <v>12</v>
      </c>
      <c r="B63" s="9"/>
      <c r="C63" s="4"/>
      <c r="D63" s="69"/>
      <c r="E63" s="70">
        <f>(SUM(E28:E61))</f>
        <v>4095718.9599999995</v>
      </c>
      <c r="F63" s="87"/>
      <c r="G63" s="33"/>
      <c r="H63" s="77"/>
      <c r="I63" s="77"/>
      <c r="J63" s="77"/>
      <c r="K63" s="77"/>
      <c r="L63" s="77"/>
    </row>
    <row r="64" spans="1:12" x14ac:dyDescent="0.25">
      <c r="D64" s="67"/>
      <c r="E64" s="67"/>
      <c r="H64" s="77"/>
      <c r="I64" s="77"/>
      <c r="J64" s="77"/>
      <c r="K64" s="77"/>
      <c r="L64" s="77"/>
    </row>
    <row r="65" spans="1:8" ht="15.75" thickBot="1" x14ac:dyDescent="0.3">
      <c r="D65" s="67"/>
      <c r="E65" s="67"/>
      <c r="H65" s="102"/>
    </row>
    <row r="66" spans="1:8" x14ac:dyDescent="0.25">
      <c r="A66" s="10" t="s">
        <v>35</v>
      </c>
      <c r="B66" s="11"/>
      <c r="C66" s="12"/>
      <c r="D66" s="71"/>
      <c r="E66" s="72"/>
    </row>
    <row r="67" spans="1:8" ht="15" customHeight="1" x14ac:dyDescent="0.25">
      <c r="A67" s="177"/>
      <c r="B67" s="178"/>
      <c r="C67" s="5"/>
      <c r="D67" s="61"/>
      <c r="E67" s="59"/>
    </row>
    <row r="68" spans="1:8" x14ac:dyDescent="0.25">
      <c r="A68" s="177"/>
      <c r="B68" s="178"/>
      <c r="C68" s="5"/>
      <c r="D68" s="61"/>
      <c r="E68" s="59"/>
    </row>
    <row r="69" spans="1:8" ht="15.75" customHeight="1" x14ac:dyDescent="0.25">
      <c r="A69" s="167"/>
      <c r="B69" s="168"/>
      <c r="C69" s="5"/>
      <c r="D69" s="61"/>
      <c r="E69" s="59"/>
    </row>
    <row r="70" spans="1:8" x14ac:dyDescent="0.25">
      <c r="A70" s="60"/>
      <c r="B70" s="62"/>
      <c r="C70" s="5"/>
      <c r="D70" s="61"/>
      <c r="E70" s="59"/>
    </row>
    <row r="71" spans="1:8" x14ac:dyDescent="0.25">
      <c r="A71" s="38"/>
      <c r="B71" s="37"/>
      <c r="C71" s="37"/>
      <c r="D71" s="217"/>
      <c r="E71" s="45">
        <f>SUM(D67:D70)</f>
        <v>0</v>
      </c>
    </row>
    <row r="72" spans="1:8" ht="15" customHeight="1" thickBot="1" x14ac:dyDescent="0.3">
      <c r="D72" s="67"/>
    </row>
    <row r="73" spans="1:8" ht="15.75" hidden="1" thickBot="1" x14ac:dyDescent="0.3">
      <c r="D73" s="67"/>
    </row>
    <row r="74" spans="1:8" ht="15.75" thickBot="1" x14ac:dyDescent="0.3">
      <c r="A74" s="137" t="s">
        <v>115</v>
      </c>
      <c r="B74" s="138"/>
      <c r="C74" s="138"/>
      <c r="D74" s="218"/>
      <c r="E74" s="148">
        <v>120000</v>
      </c>
    </row>
    <row r="75" spans="1:8" ht="15.75" thickBot="1" x14ac:dyDescent="0.3">
      <c r="D75" s="67"/>
    </row>
    <row r="76" spans="1:8" ht="15.75" thickBot="1" x14ac:dyDescent="0.3">
      <c r="A76" s="3" t="s">
        <v>19</v>
      </c>
      <c r="B76" s="9"/>
      <c r="C76" s="4"/>
      <c r="D76" s="69"/>
      <c r="E76" s="50">
        <f>E71+E74</f>
        <v>120000</v>
      </c>
    </row>
    <row r="77" spans="1:8" ht="15.75" thickBot="1" x14ac:dyDescent="0.3">
      <c r="D77" s="67"/>
    </row>
    <row r="78" spans="1:8" ht="15.75" thickBot="1" x14ac:dyDescent="0.3">
      <c r="A78" s="55" t="s">
        <v>13</v>
      </c>
      <c r="B78" s="56">
        <f>E63</f>
        <v>4095718.9599999995</v>
      </c>
      <c r="D78" s="67"/>
    </row>
    <row r="79" spans="1:8" ht="15.75" thickBot="1" x14ac:dyDescent="0.3">
      <c r="A79" s="55" t="s">
        <v>14</v>
      </c>
      <c r="B79" s="56">
        <f>E63-E61</f>
        <v>3509333.4899999998</v>
      </c>
      <c r="D79" s="67"/>
    </row>
    <row r="80" spans="1:8" ht="15.75" thickBot="1" x14ac:dyDescent="0.3">
      <c r="A80" s="55" t="s">
        <v>20</v>
      </c>
      <c r="B80" s="56">
        <f>E76-E74</f>
        <v>0</v>
      </c>
      <c r="D80" s="67"/>
    </row>
    <row r="81" spans="1:6" ht="15.75" thickBot="1" x14ac:dyDescent="0.3">
      <c r="A81" s="55" t="s">
        <v>32</v>
      </c>
      <c r="B81" s="56">
        <f>E76</f>
        <v>120000</v>
      </c>
      <c r="D81" s="67"/>
    </row>
    <row r="82" spans="1:6" x14ac:dyDescent="0.25">
      <c r="D82" s="67"/>
    </row>
    <row r="83" spans="1:6" ht="15.75" thickBot="1" x14ac:dyDescent="0.3">
      <c r="D83" s="67"/>
    </row>
    <row r="84" spans="1:6" x14ac:dyDescent="0.25">
      <c r="A84" s="157" t="s">
        <v>105</v>
      </c>
      <c r="B84" s="158">
        <v>615184.62</v>
      </c>
      <c r="D84" s="67"/>
    </row>
    <row r="85" spans="1:6" x14ac:dyDescent="0.25">
      <c r="A85" s="129" t="s">
        <v>108</v>
      </c>
      <c r="B85" s="130">
        <f>PRORRATEO!G38</f>
        <v>400000</v>
      </c>
      <c r="C85" s="22"/>
      <c r="D85" s="67"/>
      <c r="E85" s="78"/>
      <c r="F85" s="79"/>
    </row>
    <row r="86" spans="1:6" x14ac:dyDescent="0.25">
      <c r="A86" s="150" t="s">
        <v>125</v>
      </c>
      <c r="B86" s="149">
        <v>-5837</v>
      </c>
      <c r="C86" s="22"/>
      <c r="D86" s="67"/>
      <c r="E86" s="78"/>
      <c r="F86" s="79"/>
    </row>
    <row r="87" spans="1:6" x14ac:dyDescent="0.25">
      <c r="A87" s="161" t="s">
        <v>126</v>
      </c>
      <c r="B87" s="149">
        <v>-16000</v>
      </c>
      <c r="C87" s="22"/>
      <c r="D87" s="67"/>
      <c r="E87" s="78"/>
      <c r="F87" s="79"/>
    </row>
    <row r="88" spans="1:6" x14ac:dyDescent="0.25">
      <c r="A88" s="161" t="s">
        <v>127</v>
      </c>
      <c r="B88" s="149">
        <v>-133100</v>
      </c>
      <c r="C88" s="22"/>
      <c r="D88" s="67"/>
      <c r="E88" s="78"/>
      <c r="F88" s="79"/>
    </row>
    <row r="89" spans="1:6" ht="52.5" customHeight="1" x14ac:dyDescent="0.25">
      <c r="A89" s="159" t="s">
        <v>118</v>
      </c>
      <c r="B89" s="160">
        <v>-130100</v>
      </c>
      <c r="C89" s="128"/>
      <c r="D89" s="67"/>
      <c r="E89" s="78"/>
      <c r="F89" s="79"/>
    </row>
    <row r="90" spans="1:6" ht="15.75" thickBot="1" x14ac:dyDescent="0.3">
      <c r="A90" s="131" t="s">
        <v>37</v>
      </c>
      <c r="B90" s="132">
        <f>SUM(B84:C89)</f>
        <v>730147.62</v>
      </c>
      <c r="C90" s="22"/>
    </row>
    <row r="91" spans="1:6" s="30" customFormat="1" x14ac:dyDescent="0.25">
      <c r="A91"/>
      <c r="B91" s="32"/>
      <c r="C91" s="29"/>
      <c r="D91"/>
    </row>
    <row r="92" spans="1:6" s="30" customFormat="1" x14ac:dyDescent="0.25">
      <c r="A92" s="80" t="s">
        <v>43</v>
      </c>
      <c r="B92" s="81">
        <v>1575550.6</v>
      </c>
      <c r="C92" s="29"/>
      <c r="D92" s="36"/>
    </row>
    <row r="93" spans="1:6" x14ac:dyDescent="0.25">
      <c r="A93" s="42" t="s">
        <v>39</v>
      </c>
      <c r="B93" s="85">
        <f>-B79</f>
        <v>-3509333.4899999998</v>
      </c>
      <c r="E93" s="33"/>
    </row>
    <row r="94" spans="1:6" x14ac:dyDescent="0.25">
      <c r="A94" s="42" t="s">
        <v>40</v>
      </c>
      <c r="B94" s="85">
        <f>-B80</f>
        <v>0</v>
      </c>
    </row>
    <row r="95" spans="1:6" x14ac:dyDescent="0.25">
      <c r="A95" s="42" t="s">
        <v>134</v>
      </c>
      <c r="B95" s="85">
        <v>-1600000</v>
      </c>
    </row>
    <row r="96" spans="1:6" x14ac:dyDescent="0.25">
      <c r="A96" s="42" t="s">
        <v>42</v>
      </c>
      <c r="B96" s="85">
        <f>B106</f>
        <v>0</v>
      </c>
    </row>
    <row r="97" spans="1:13" x14ac:dyDescent="0.25">
      <c r="A97" s="42" t="s">
        <v>41</v>
      </c>
      <c r="B97" s="86">
        <f>PRORRATEO!G37</f>
        <v>3847604.5700000008</v>
      </c>
    </row>
    <row r="98" spans="1:13" ht="15.75" thickBot="1" x14ac:dyDescent="0.3">
      <c r="A98" s="83" t="s">
        <v>37</v>
      </c>
      <c r="B98" s="84">
        <f>SUM(B92:C97)</f>
        <v>313821.6800000011</v>
      </c>
      <c r="D98" s="32"/>
      <c r="E98" s="33"/>
    </row>
    <row r="99" spans="1:13" ht="15.75" thickBot="1" x14ac:dyDescent="0.3">
      <c r="A99" s="82"/>
      <c r="B99" s="82"/>
    </row>
    <row r="100" spans="1:13" ht="15.75" thickBot="1" x14ac:dyDescent="0.3">
      <c r="A100" s="162" t="s">
        <v>135</v>
      </c>
      <c r="B100" s="163">
        <v>1600000</v>
      </c>
    </row>
    <row r="101" spans="1:13" ht="34.5" customHeight="1" x14ac:dyDescent="0.25"/>
    <row r="102" spans="1:13" x14ac:dyDescent="0.25">
      <c r="A102" s="180" t="s">
        <v>26</v>
      </c>
      <c r="B102" s="180"/>
      <c r="C102" s="180"/>
    </row>
    <row r="103" spans="1:13" x14ac:dyDescent="0.25">
      <c r="A103" s="180"/>
      <c r="B103" s="180"/>
      <c r="C103" s="180"/>
    </row>
    <row r="104" spans="1:13" ht="35.25" customHeight="1" x14ac:dyDescent="0.25">
      <c r="A104" s="74"/>
      <c r="B104" s="28"/>
      <c r="C104" s="28">
        <v>40000</v>
      </c>
      <c r="E104" s="87"/>
    </row>
    <row r="105" spans="1:13" ht="27" customHeight="1" x14ac:dyDescent="0.25">
      <c r="A105" s="74"/>
      <c r="B105" s="76"/>
      <c r="C105" s="73"/>
      <c r="D105" s="87"/>
    </row>
    <row r="106" spans="1:13" x14ac:dyDescent="0.25">
      <c r="A106" s="34" t="s">
        <v>8</v>
      </c>
      <c r="B106" s="75">
        <f>SUM(B104:B105)</f>
        <v>0</v>
      </c>
      <c r="C106" s="35"/>
    </row>
    <row r="107" spans="1:13" x14ac:dyDescent="0.25">
      <c r="M107" s="7"/>
    </row>
    <row r="108" spans="1:13" ht="15" customHeight="1" x14ac:dyDescent="0.25">
      <c r="A108" s="179"/>
      <c r="B108" s="179"/>
      <c r="C108" s="179"/>
      <c r="D108" s="179"/>
      <c r="E108" s="179"/>
    </row>
    <row r="109" spans="1:13" x14ac:dyDescent="0.25">
      <c r="A109" s="179"/>
      <c r="B109" s="179"/>
      <c r="C109" s="179"/>
      <c r="D109" s="179"/>
      <c r="E109" s="179"/>
    </row>
    <row r="110" spans="1:13" x14ac:dyDescent="0.25">
      <c r="A110" s="179"/>
      <c r="B110" s="179"/>
      <c r="C110" s="179"/>
      <c r="D110" s="179"/>
      <c r="E110" s="179"/>
    </row>
    <row r="111" spans="1:13" x14ac:dyDescent="0.25">
      <c r="A111" s="179"/>
      <c r="B111" s="179"/>
      <c r="C111" s="179"/>
      <c r="D111" s="179"/>
      <c r="E111" s="179"/>
    </row>
  </sheetData>
  <mergeCells count="15">
    <mergeCell ref="A53:B53"/>
    <mergeCell ref="A108:E111"/>
    <mergeCell ref="A102:C103"/>
    <mergeCell ref="A68:B68"/>
    <mergeCell ref="A67:B67"/>
    <mergeCell ref="A69:B69"/>
    <mergeCell ref="D37:D38"/>
    <mergeCell ref="E37:E38"/>
    <mergeCell ref="B1:D1"/>
    <mergeCell ref="A34:B34"/>
    <mergeCell ref="A33:B33"/>
    <mergeCell ref="B3:E3"/>
    <mergeCell ref="A13:E16"/>
    <mergeCell ref="B8:C10"/>
    <mergeCell ref="A37:B38"/>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tabSelected="1" zoomScaleNormal="100" workbookViewId="0">
      <selection activeCell="A4" sqref="A3:O8"/>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6" width="14.140625" customWidth="1"/>
    <col min="7" max="7" width="13.85546875" customWidth="1"/>
    <col min="8" max="8" width="14" hidden="1" customWidth="1"/>
    <col min="9" max="9" width="10.5703125" customWidth="1"/>
    <col min="10" max="11" width="9.5703125" customWidth="1"/>
    <col min="12" max="13" width="12.42578125" customWidth="1"/>
    <col min="14" max="14" width="14.7109375" customWidth="1"/>
    <col min="15" max="15" width="14.28515625" customWidth="1"/>
    <col min="16" max="16" width="7.28515625" bestFit="1" customWidth="1"/>
    <col min="17" max="17" width="14.28515625" bestFit="1" customWidth="1"/>
    <col min="18" max="18" width="13.5703125" bestFit="1" customWidth="1"/>
  </cols>
  <sheetData>
    <row r="1" spans="1:18" ht="12.6" customHeight="1" x14ac:dyDescent="0.25">
      <c r="A1" s="6"/>
      <c r="B1" s="6"/>
      <c r="C1" s="6"/>
      <c r="D1" s="6"/>
      <c r="E1" s="194"/>
      <c r="F1" s="194"/>
      <c r="G1" s="194"/>
      <c r="H1" s="194"/>
      <c r="I1" s="194"/>
      <c r="J1" s="194"/>
      <c r="K1" s="194"/>
      <c r="L1" s="194"/>
      <c r="M1" s="194"/>
      <c r="N1" s="194"/>
      <c r="O1" s="6"/>
    </row>
    <row r="2" spans="1:18" ht="12.95" customHeight="1" x14ac:dyDescent="0.25">
      <c r="A2" s="6"/>
      <c r="B2" s="6"/>
      <c r="C2" s="6" t="s">
        <v>47</v>
      </c>
      <c r="D2" s="185">
        <v>0</v>
      </c>
      <c r="E2" s="185"/>
      <c r="F2" s="6"/>
      <c r="G2" s="185"/>
      <c r="H2" s="185"/>
      <c r="I2" s="185"/>
      <c r="J2" s="6"/>
      <c r="K2" s="6"/>
      <c r="L2" s="6" t="s">
        <v>103</v>
      </c>
      <c r="M2" s="184">
        <f>Q2</f>
        <v>4095718.96</v>
      </c>
      <c r="N2" s="184"/>
      <c r="O2" s="43"/>
      <c r="P2" s="21"/>
      <c r="Q2">
        <v>4095718.96</v>
      </c>
    </row>
    <row r="3" spans="1:18" ht="12.95" customHeight="1" thickBot="1" x14ac:dyDescent="0.3">
      <c r="A3" s="6"/>
      <c r="B3" s="6"/>
      <c r="C3" s="6"/>
      <c r="D3" s="6"/>
      <c r="E3" s="6"/>
      <c r="F3" s="6"/>
      <c r="G3" s="6"/>
      <c r="H3" s="6"/>
      <c r="I3" s="6"/>
      <c r="J3" s="6"/>
      <c r="K3" s="6"/>
      <c r="L3" s="6"/>
      <c r="M3" s="6"/>
      <c r="N3" s="46"/>
      <c r="O3" s="46"/>
    </row>
    <row r="4" spans="1:18" ht="12.95" customHeight="1" x14ac:dyDescent="0.25">
      <c r="A4" s="200"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201"/>
      <c r="C4" s="201"/>
      <c r="D4" s="201"/>
      <c r="E4" s="201"/>
      <c r="F4" s="201"/>
      <c r="G4" s="201"/>
      <c r="H4" s="201"/>
      <c r="I4" s="201"/>
      <c r="J4" s="201"/>
      <c r="K4" s="201"/>
      <c r="L4" s="201"/>
      <c r="M4" s="201"/>
      <c r="N4" s="201"/>
      <c r="O4" s="202"/>
    </row>
    <row r="5" spans="1:18" ht="12.95" customHeight="1" x14ac:dyDescent="0.25">
      <c r="A5" s="203"/>
      <c r="B5" s="204"/>
      <c r="C5" s="204"/>
      <c r="D5" s="204"/>
      <c r="E5" s="204"/>
      <c r="F5" s="204"/>
      <c r="G5" s="204"/>
      <c r="H5" s="204"/>
      <c r="I5" s="204"/>
      <c r="J5" s="204"/>
      <c r="K5" s="204"/>
      <c r="L5" s="204"/>
      <c r="M5" s="204"/>
      <c r="N5" s="204"/>
      <c r="O5" s="205"/>
    </row>
    <row r="6" spans="1:18" ht="12.95" customHeight="1" x14ac:dyDescent="0.25">
      <c r="A6" s="203"/>
      <c r="B6" s="204"/>
      <c r="C6" s="204"/>
      <c r="D6" s="204"/>
      <c r="E6" s="204"/>
      <c r="F6" s="204"/>
      <c r="G6" s="204"/>
      <c r="H6" s="204"/>
      <c r="I6" s="204"/>
      <c r="J6" s="204"/>
      <c r="K6" s="204"/>
      <c r="L6" s="204"/>
      <c r="M6" s="204"/>
      <c r="N6" s="204"/>
      <c r="O6" s="205"/>
    </row>
    <row r="7" spans="1:18" ht="64.900000000000006" customHeight="1" x14ac:dyDescent="0.25">
      <c r="A7" s="203"/>
      <c r="B7" s="204"/>
      <c r="C7" s="204"/>
      <c r="D7" s="204"/>
      <c r="E7" s="204"/>
      <c r="F7" s="204"/>
      <c r="G7" s="204"/>
      <c r="H7" s="204"/>
      <c r="I7" s="204"/>
      <c r="J7" s="204"/>
      <c r="K7" s="204"/>
      <c r="L7" s="204"/>
      <c r="M7" s="204"/>
      <c r="N7" s="204"/>
      <c r="O7" s="205"/>
    </row>
    <row r="8" spans="1:18" ht="45.75" customHeight="1" thickBot="1" x14ac:dyDescent="0.3">
      <c r="A8" s="206"/>
      <c r="B8" s="207"/>
      <c r="C8" s="207"/>
      <c r="D8" s="207"/>
      <c r="E8" s="207"/>
      <c r="F8" s="207"/>
      <c r="G8" s="207"/>
      <c r="H8" s="207"/>
      <c r="I8" s="207"/>
      <c r="J8" s="207"/>
      <c r="K8" s="207"/>
      <c r="L8" s="207"/>
      <c r="M8" s="207"/>
      <c r="N8" s="207"/>
      <c r="O8" s="208"/>
    </row>
    <row r="9" spans="1:18" x14ac:dyDescent="0.25">
      <c r="A9" s="192" t="s">
        <v>5</v>
      </c>
      <c r="B9" s="186" t="s">
        <v>49</v>
      </c>
      <c r="C9" s="186" t="s">
        <v>6</v>
      </c>
      <c r="D9" s="124"/>
      <c r="E9" s="186" t="s">
        <v>10</v>
      </c>
      <c r="F9" s="192" t="s">
        <v>38</v>
      </c>
      <c r="G9" s="186" t="s">
        <v>7</v>
      </c>
      <c r="H9" s="186" t="s">
        <v>106</v>
      </c>
      <c r="I9" s="196" t="s">
        <v>24</v>
      </c>
      <c r="J9" s="192" t="s">
        <v>33</v>
      </c>
      <c r="K9" s="192" t="s">
        <v>112</v>
      </c>
      <c r="L9" s="192" t="s">
        <v>21</v>
      </c>
      <c r="M9" s="198" t="s">
        <v>48</v>
      </c>
      <c r="N9" s="48" t="s">
        <v>30</v>
      </c>
      <c r="O9" s="210" t="s">
        <v>29</v>
      </c>
    </row>
    <row r="10" spans="1:18" ht="15.75" customHeight="1" x14ac:dyDescent="0.25">
      <c r="A10" s="209"/>
      <c r="B10" s="187"/>
      <c r="C10" s="195"/>
      <c r="D10" s="125"/>
      <c r="E10" s="195"/>
      <c r="F10" s="193"/>
      <c r="G10" s="195"/>
      <c r="H10" s="187"/>
      <c r="I10" s="197"/>
      <c r="J10" s="193"/>
      <c r="K10" s="193"/>
      <c r="L10" s="193"/>
      <c r="M10" s="199"/>
      <c r="N10" s="47" t="str">
        <f>RESUMEN!B8</f>
        <v>VTO 17/07</v>
      </c>
      <c r="O10" s="211"/>
    </row>
    <row r="11" spans="1:18" ht="17.100000000000001" customHeight="1" x14ac:dyDescent="0.25">
      <c r="A11" s="103" t="s">
        <v>51</v>
      </c>
      <c r="B11" s="103" t="s">
        <v>52</v>
      </c>
      <c r="C11" s="103" t="s">
        <v>53</v>
      </c>
      <c r="D11" s="103"/>
      <c r="E11" s="122">
        <v>6.18</v>
      </c>
      <c r="F11" s="105">
        <v>253115.01</v>
      </c>
      <c r="G11" s="151">
        <f>F11</f>
        <v>253115.01</v>
      </c>
      <c r="H11" s="106" t="s">
        <v>54</v>
      </c>
      <c r="I11" s="107">
        <f t="shared" ref="I11:I35" si="0">F11-G11</f>
        <v>0</v>
      </c>
      <c r="J11" s="107">
        <f>IF(I11&gt;0,I11*3%,0)</f>
        <v>0</v>
      </c>
      <c r="K11" s="107"/>
      <c r="L11" s="108">
        <f>M$2*E11/100</f>
        <v>253115.43172799997</v>
      </c>
      <c r="M11" s="109">
        <f>D$2*E11/100</f>
        <v>0</v>
      </c>
      <c r="N11" s="110">
        <f t="shared" ref="N11:N35" si="1">ROUND(SUM(I11:M11),0) + P11</f>
        <v>253115.01</v>
      </c>
      <c r="O11" s="111">
        <f t="shared" ref="O11:O35" si="2">ROUND(N11*3%,0) + N11</f>
        <v>260708.01</v>
      </c>
      <c r="P11" s="33">
        <v>0.01</v>
      </c>
      <c r="Q11" s="33"/>
    </row>
    <row r="12" spans="1:18" ht="17.100000000000001" customHeight="1" x14ac:dyDescent="0.25">
      <c r="A12" s="103" t="s">
        <v>51</v>
      </c>
      <c r="B12" s="103" t="s">
        <v>54</v>
      </c>
      <c r="C12" s="103" t="s">
        <v>55</v>
      </c>
      <c r="D12" s="103" t="s">
        <v>101</v>
      </c>
      <c r="E12" s="122">
        <v>4.33</v>
      </c>
      <c r="F12" s="105">
        <v>172033.02</v>
      </c>
      <c r="G12" s="113">
        <v>177194.02</v>
      </c>
      <c r="H12" s="106" t="s">
        <v>54</v>
      </c>
      <c r="I12" s="107">
        <f t="shared" si="0"/>
        <v>-5161</v>
      </c>
      <c r="J12" s="107">
        <f t="shared" ref="J12:J35" si="3">IF(I12&gt;0,I12*3%,0)</f>
        <v>0</v>
      </c>
      <c r="K12" s="107"/>
      <c r="L12" s="108">
        <f t="shared" ref="L12:L35" si="4">M$2*E12/100</f>
        <v>177344.63096799998</v>
      </c>
      <c r="M12" s="109">
        <f t="shared" ref="M12:M35" si="5">D$2*E12/100</f>
        <v>0</v>
      </c>
      <c r="N12" s="110">
        <f t="shared" si="1"/>
        <v>172184.02</v>
      </c>
      <c r="O12" s="111">
        <f t="shared" si="2"/>
        <v>177350.02</v>
      </c>
      <c r="P12" s="33">
        <f>P11+0.01</f>
        <v>0.02</v>
      </c>
      <c r="Q12" s="33"/>
    </row>
    <row r="13" spans="1:18" ht="17.100000000000001" customHeight="1" x14ac:dyDescent="0.25">
      <c r="A13" s="112" t="s">
        <v>56</v>
      </c>
      <c r="B13" s="112" t="s">
        <v>52</v>
      </c>
      <c r="C13" s="112" t="s">
        <v>57</v>
      </c>
      <c r="D13" s="112"/>
      <c r="E13" s="123">
        <v>6.18</v>
      </c>
      <c r="F13" s="113">
        <v>252358.03</v>
      </c>
      <c r="G13" s="113">
        <v>260000.03</v>
      </c>
      <c r="H13" s="106" t="s">
        <v>54</v>
      </c>
      <c r="I13" s="107">
        <f t="shared" si="0"/>
        <v>-7642</v>
      </c>
      <c r="J13" s="107">
        <f t="shared" si="3"/>
        <v>0</v>
      </c>
      <c r="K13" s="107"/>
      <c r="L13" s="108">
        <f t="shared" si="4"/>
        <v>253115.43172799997</v>
      </c>
      <c r="M13" s="109">
        <f t="shared" si="5"/>
        <v>0</v>
      </c>
      <c r="N13" s="110">
        <f t="shared" si="1"/>
        <v>245473.03</v>
      </c>
      <c r="O13" s="111">
        <f t="shared" si="2"/>
        <v>252837.03</v>
      </c>
      <c r="P13" s="33">
        <f t="shared" ref="P13:P35" si="6">P12+0.01</f>
        <v>0.03</v>
      </c>
      <c r="Q13" s="32"/>
    </row>
    <row r="14" spans="1:18" ht="17.100000000000001" customHeight="1" x14ac:dyDescent="0.25">
      <c r="A14" s="103" t="s">
        <v>56</v>
      </c>
      <c r="B14" s="103" t="s">
        <v>54</v>
      </c>
      <c r="C14" s="103" t="s">
        <v>58</v>
      </c>
      <c r="D14" s="103"/>
      <c r="E14" s="122">
        <v>4.33</v>
      </c>
      <c r="F14" s="105">
        <v>171869.04</v>
      </c>
      <c r="G14" s="113">
        <f>F14</f>
        <v>171869.04</v>
      </c>
      <c r="H14" s="106" t="s">
        <v>54</v>
      </c>
      <c r="I14" s="107">
        <f t="shared" si="0"/>
        <v>0</v>
      </c>
      <c r="J14" s="107">
        <f t="shared" si="3"/>
        <v>0</v>
      </c>
      <c r="K14" s="107"/>
      <c r="L14" s="108">
        <f t="shared" si="4"/>
        <v>177344.63096799998</v>
      </c>
      <c r="M14" s="109">
        <f t="shared" si="5"/>
        <v>0</v>
      </c>
      <c r="N14" s="110">
        <f t="shared" si="1"/>
        <v>177345.04</v>
      </c>
      <c r="O14" s="111">
        <f t="shared" si="2"/>
        <v>182665.04</v>
      </c>
      <c r="P14" s="33">
        <f t="shared" si="6"/>
        <v>0.04</v>
      </c>
      <c r="R14" s="33"/>
    </row>
    <row r="15" spans="1:18" ht="17.100000000000001" customHeight="1" x14ac:dyDescent="0.25">
      <c r="A15" s="103" t="s">
        <v>59</v>
      </c>
      <c r="B15" s="103" t="s">
        <v>52</v>
      </c>
      <c r="C15" s="103" t="s">
        <v>60</v>
      </c>
      <c r="D15" s="103" t="s">
        <v>100</v>
      </c>
      <c r="E15" s="122">
        <v>6.18</v>
      </c>
      <c r="F15" s="105">
        <v>253115.05</v>
      </c>
      <c r="G15" s="113">
        <v>261000</v>
      </c>
      <c r="H15" s="106" t="s">
        <v>54</v>
      </c>
      <c r="I15" s="107">
        <f t="shared" si="0"/>
        <v>-7884.9500000000116</v>
      </c>
      <c r="J15" s="107">
        <f t="shared" si="3"/>
        <v>0</v>
      </c>
      <c r="K15" s="107"/>
      <c r="L15" s="108">
        <f t="shared" si="4"/>
        <v>253115.43172799997</v>
      </c>
      <c r="M15" s="109">
        <f t="shared" si="5"/>
        <v>0</v>
      </c>
      <c r="N15" s="110">
        <f t="shared" si="1"/>
        <v>245230.05</v>
      </c>
      <c r="O15" s="111">
        <f t="shared" si="2"/>
        <v>252587.05</v>
      </c>
      <c r="P15" s="33">
        <f t="shared" si="6"/>
        <v>0.05</v>
      </c>
      <c r="R15" s="33"/>
    </row>
    <row r="16" spans="1:18" ht="17.100000000000001" customHeight="1" x14ac:dyDescent="0.25">
      <c r="A16" s="103" t="s">
        <v>59</v>
      </c>
      <c r="B16" s="103" t="s">
        <v>54</v>
      </c>
      <c r="C16" s="103" t="s">
        <v>61</v>
      </c>
      <c r="D16" s="103"/>
      <c r="E16" s="122">
        <v>4.33</v>
      </c>
      <c r="F16" s="105">
        <v>172029.06</v>
      </c>
      <c r="G16" s="113">
        <v>177190.06</v>
      </c>
      <c r="H16" s="106" t="s">
        <v>54</v>
      </c>
      <c r="I16" s="107">
        <f t="shared" si="0"/>
        <v>-5161</v>
      </c>
      <c r="J16" s="107">
        <f t="shared" si="3"/>
        <v>0</v>
      </c>
      <c r="K16" s="107"/>
      <c r="L16" s="108">
        <f t="shared" si="4"/>
        <v>177344.63096799998</v>
      </c>
      <c r="M16" s="109">
        <f t="shared" si="5"/>
        <v>0</v>
      </c>
      <c r="N16" s="110">
        <f t="shared" si="1"/>
        <v>172184.06</v>
      </c>
      <c r="O16" s="111">
        <f t="shared" si="2"/>
        <v>177350.06</v>
      </c>
      <c r="P16" s="33">
        <f t="shared" si="6"/>
        <v>6.0000000000000005E-2</v>
      </c>
    </row>
    <row r="17" spans="1:16" ht="17.100000000000001" customHeight="1" x14ac:dyDescent="0.25">
      <c r="A17" s="103" t="s">
        <v>62</v>
      </c>
      <c r="B17" s="103" t="s">
        <v>52</v>
      </c>
      <c r="C17" s="103" t="s">
        <v>63</v>
      </c>
      <c r="D17" s="103"/>
      <c r="E17" s="122">
        <v>6.18</v>
      </c>
      <c r="F17" s="105">
        <v>247507.07</v>
      </c>
      <c r="G17" s="113">
        <f>290000-G32</f>
        <v>258339.78</v>
      </c>
      <c r="H17" s="106" t="s">
        <v>54</v>
      </c>
      <c r="I17" s="107">
        <f t="shared" si="0"/>
        <v>-10832.709999999992</v>
      </c>
      <c r="J17" s="107">
        <f t="shared" si="3"/>
        <v>0</v>
      </c>
      <c r="K17" s="107"/>
      <c r="L17" s="108">
        <f t="shared" si="4"/>
        <v>253115.43172799997</v>
      </c>
      <c r="M17" s="109">
        <f t="shared" si="5"/>
        <v>0</v>
      </c>
      <c r="N17" s="110">
        <f t="shared" si="1"/>
        <v>242283.07</v>
      </c>
      <c r="O17" s="111">
        <f t="shared" si="2"/>
        <v>249551.07</v>
      </c>
      <c r="P17" s="33">
        <f t="shared" si="6"/>
        <v>7.0000000000000007E-2</v>
      </c>
    </row>
    <row r="18" spans="1:16" ht="17.100000000000001" customHeight="1" x14ac:dyDescent="0.25">
      <c r="A18" s="103" t="s">
        <v>62</v>
      </c>
      <c r="B18" s="103" t="s">
        <v>54</v>
      </c>
      <c r="C18" s="103" t="s">
        <v>64</v>
      </c>
      <c r="D18" s="103"/>
      <c r="E18" s="122">
        <v>4.33</v>
      </c>
      <c r="F18" s="105">
        <v>177345.08</v>
      </c>
      <c r="G18" s="113">
        <f>F18</f>
        <v>177345.08</v>
      </c>
      <c r="H18" s="106" t="s">
        <v>54</v>
      </c>
      <c r="I18" s="107">
        <f t="shared" si="0"/>
        <v>0</v>
      </c>
      <c r="J18" s="107">
        <f t="shared" si="3"/>
        <v>0</v>
      </c>
      <c r="K18" s="107"/>
      <c r="L18" s="108">
        <f t="shared" si="4"/>
        <v>177344.63096799998</v>
      </c>
      <c r="M18" s="109">
        <f t="shared" si="5"/>
        <v>0</v>
      </c>
      <c r="N18" s="110">
        <f t="shared" si="1"/>
        <v>177345.08</v>
      </c>
      <c r="O18" s="111">
        <f t="shared" si="2"/>
        <v>182665.08</v>
      </c>
      <c r="P18" s="33">
        <f t="shared" si="6"/>
        <v>0.08</v>
      </c>
    </row>
    <row r="19" spans="1:16" ht="17.100000000000001" customHeight="1" x14ac:dyDescent="0.25">
      <c r="A19" s="103" t="s">
        <v>65</v>
      </c>
      <c r="B19" s="103" t="s">
        <v>52</v>
      </c>
      <c r="C19" s="103" t="s">
        <v>66</v>
      </c>
      <c r="D19" s="103"/>
      <c r="E19" s="122">
        <v>6.18</v>
      </c>
      <c r="F19" s="105">
        <v>348548.09</v>
      </c>
      <c r="G19" s="113">
        <f>400000-G33</f>
        <v>368339.78</v>
      </c>
      <c r="H19" s="106" t="s">
        <v>107</v>
      </c>
      <c r="I19" s="107">
        <f t="shared" si="0"/>
        <v>-19791.690000000002</v>
      </c>
      <c r="J19" s="107">
        <f t="shared" si="3"/>
        <v>0</v>
      </c>
      <c r="K19" s="107">
        <f>80000+27000</f>
        <v>107000</v>
      </c>
      <c r="L19" s="108">
        <f t="shared" si="4"/>
        <v>253115.43172799997</v>
      </c>
      <c r="M19" s="109">
        <f t="shared" si="5"/>
        <v>0</v>
      </c>
      <c r="N19" s="110">
        <f>ROUND(SUM(I19:M19),0) + P19</f>
        <v>340324.09</v>
      </c>
      <c r="O19" s="111">
        <f t="shared" si="2"/>
        <v>350534.09</v>
      </c>
      <c r="P19" s="33">
        <f t="shared" si="6"/>
        <v>0.09</v>
      </c>
    </row>
    <row r="20" spans="1:16" ht="17.100000000000001" customHeight="1" x14ac:dyDescent="0.25">
      <c r="A20" s="103" t="s">
        <v>65</v>
      </c>
      <c r="B20" s="103" t="s">
        <v>54</v>
      </c>
      <c r="C20" s="103" t="s">
        <v>67</v>
      </c>
      <c r="D20" s="103"/>
      <c r="E20" s="122">
        <v>4.33</v>
      </c>
      <c r="F20" s="105">
        <v>172203.1</v>
      </c>
      <c r="G20" s="113">
        <v>177369</v>
      </c>
      <c r="H20" s="106" t="s">
        <v>54</v>
      </c>
      <c r="I20" s="107">
        <f t="shared" si="0"/>
        <v>-5165.8999999999942</v>
      </c>
      <c r="J20" s="107">
        <f t="shared" si="3"/>
        <v>0</v>
      </c>
      <c r="K20" s="107"/>
      <c r="L20" s="108">
        <f t="shared" si="4"/>
        <v>177344.63096799998</v>
      </c>
      <c r="M20" s="109">
        <f t="shared" si="5"/>
        <v>0</v>
      </c>
      <c r="N20" s="110">
        <f t="shared" si="1"/>
        <v>172179.1</v>
      </c>
      <c r="O20" s="111">
        <f t="shared" si="2"/>
        <v>177344.1</v>
      </c>
      <c r="P20" s="33">
        <f t="shared" si="6"/>
        <v>9.9999999999999992E-2</v>
      </c>
    </row>
    <row r="21" spans="1:16" ht="17.100000000000001" customHeight="1" x14ac:dyDescent="0.25">
      <c r="A21" s="103" t="s">
        <v>68</v>
      </c>
      <c r="B21" s="103" t="s">
        <v>52</v>
      </c>
      <c r="C21" s="103" t="s">
        <v>69</v>
      </c>
      <c r="D21" s="103" t="s">
        <v>99</v>
      </c>
      <c r="E21" s="122">
        <v>6.18</v>
      </c>
      <c r="F21" s="105">
        <v>253115.11</v>
      </c>
      <c r="G21" s="151">
        <v>260708.11</v>
      </c>
      <c r="H21" s="113" t="s">
        <v>54</v>
      </c>
      <c r="I21" s="212">
        <f t="shared" si="0"/>
        <v>-7593</v>
      </c>
      <c r="J21" s="212">
        <f t="shared" si="3"/>
        <v>0</v>
      </c>
      <c r="K21" s="107"/>
      <c r="L21" s="108">
        <f t="shared" si="4"/>
        <v>253115.43172799997</v>
      </c>
      <c r="M21" s="109">
        <f t="shared" si="5"/>
        <v>0</v>
      </c>
      <c r="N21" s="110">
        <f t="shared" si="1"/>
        <v>245522.11</v>
      </c>
      <c r="O21" s="111">
        <f t="shared" si="2"/>
        <v>252888.11</v>
      </c>
      <c r="P21" s="33">
        <f t="shared" si="6"/>
        <v>0.10999999999999999</v>
      </c>
    </row>
    <row r="22" spans="1:16" ht="17.100000000000001" customHeight="1" x14ac:dyDescent="0.25">
      <c r="A22" s="103" t="s">
        <v>68</v>
      </c>
      <c r="B22" s="103" t="s">
        <v>54</v>
      </c>
      <c r="C22" s="103" t="s">
        <v>70</v>
      </c>
      <c r="D22" s="103"/>
      <c r="E22" s="122">
        <v>4.33</v>
      </c>
      <c r="F22" s="105">
        <v>172061.12</v>
      </c>
      <c r="G22" s="113">
        <v>178000</v>
      </c>
      <c r="H22" s="113" t="s">
        <v>54</v>
      </c>
      <c r="I22" s="212">
        <f t="shared" si="0"/>
        <v>-5938.8800000000047</v>
      </c>
      <c r="J22" s="212">
        <f t="shared" si="3"/>
        <v>0</v>
      </c>
      <c r="K22" s="107"/>
      <c r="L22" s="108">
        <f t="shared" si="4"/>
        <v>177344.63096799998</v>
      </c>
      <c r="M22" s="109">
        <f t="shared" si="5"/>
        <v>0</v>
      </c>
      <c r="N22" s="110">
        <f t="shared" si="1"/>
        <v>171406.12</v>
      </c>
      <c r="O22" s="111">
        <f t="shared" si="2"/>
        <v>176548.12</v>
      </c>
      <c r="P22" s="33">
        <f t="shared" si="6"/>
        <v>0.11999999999999998</v>
      </c>
    </row>
    <row r="23" spans="1:16" ht="17.100000000000001" customHeight="1" x14ac:dyDescent="0.25">
      <c r="A23" s="103" t="s">
        <v>71</v>
      </c>
      <c r="B23" s="103" t="s">
        <v>52</v>
      </c>
      <c r="C23" s="103" t="s">
        <v>72</v>
      </c>
      <c r="D23" s="103" t="s">
        <v>104</v>
      </c>
      <c r="E23" s="122">
        <v>6.18</v>
      </c>
      <c r="F23" s="105">
        <v>260708.13</v>
      </c>
      <c r="G23" s="113">
        <f>F23</f>
        <v>260708.13</v>
      </c>
      <c r="H23" s="113" t="s">
        <v>54</v>
      </c>
      <c r="I23" s="212">
        <f t="shared" si="0"/>
        <v>0</v>
      </c>
      <c r="J23" s="212">
        <f t="shared" si="3"/>
        <v>0</v>
      </c>
      <c r="K23" s="107"/>
      <c r="L23" s="108">
        <f t="shared" si="4"/>
        <v>253115.43172799997</v>
      </c>
      <c r="M23" s="109">
        <f t="shared" si="5"/>
        <v>0</v>
      </c>
      <c r="N23" s="110">
        <f t="shared" si="1"/>
        <v>253115.13</v>
      </c>
      <c r="O23" s="111">
        <f t="shared" si="2"/>
        <v>260708.13</v>
      </c>
      <c r="P23" s="33">
        <f t="shared" si="6"/>
        <v>0.12999999999999998</v>
      </c>
    </row>
    <row r="24" spans="1:16" ht="17.100000000000001" customHeight="1" x14ac:dyDescent="0.25">
      <c r="A24" s="103" t="s">
        <v>71</v>
      </c>
      <c r="B24" s="103" t="s">
        <v>54</v>
      </c>
      <c r="C24" s="103" t="s">
        <v>73</v>
      </c>
      <c r="D24" s="103"/>
      <c r="E24" s="122">
        <v>4.33</v>
      </c>
      <c r="F24" s="105">
        <v>177345.14</v>
      </c>
      <c r="G24" s="113">
        <f>F24</f>
        <v>177345.14</v>
      </c>
      <c r="H24" s="113" t="s">
        <v>54</v>
      </c>
      <c r="I24" s="212">
        <f t="shared" si="0"/>
        <v>0</v>
      </c>
      <c r="J24" s="212">
        <f t="shared" si="3"/>
        <v>0</v>
      </c>
      <c r="K24" s="107"/>
      <c r="L24" s="108">
        <f t="shared" si="4"/>
        <v>177344.63096799998</v>
      </c>
      <c r="M24" s="109">
        <f t="shared" si="5"/>
        <v>0</v>
      </c>
      <c r="N24" s="110">
        <f t="shared" si="1"/>
        <v>177345.14</v>
      </c>
      <c r="O24" s="111">
        <f t="shared" si="2"/>
        <v>182665.14</v>
      </c>
      <c r="P24" s="33">
        <f t="shared" si="6"/>
        <v>0.13999999999999999</v>
      </c>
    </row>
    <row r="25" spans="1:16" ht="17.100000000000001" customHeight="1" x14ac:dyDescent="0.25">
      <c r="A25" s="112" t="s">
        <v>74</v>
      </c>
      <c r="B25" s="112" t="s">
        <v>52</v>
      </c>
      <c r="C25" s="112" t="s">
        <v>75</v>
      </c>
      <c r="D25" s="112"/>
      <c r="E25" s="123">
        <v>6.18</v>
      </c>
      <c r="F25" s="113">
        <v>253116.15</v>
      </c>
      <c r="G25" s="113">
        <f>462120-G26-G35</f>
        <v>253114.58999999997</v>
      </c>
      <c r="H25" s="113" t="s">
        <v>54</v>
      </c>
      <c r="I25" s="212">
        <f t="shared" si="0"/>
        <v>1.5600000000267755</v>
      </c>
      <c r="J25" s="212">
        <f t="shared" si="3"/>
        <v>4.6800000000803262E-2</v>
      </c>
      <c r="K25" s="107"/>
      <c r="L25" s="108">
        <f t="shared" si="4"/>
        <v>253115.43172799997</v>
      </c>
      <c r="M25" s="109">
        <f t="shared" si="5"/>
        <v>0</v>
      </c>
      <c r="N25" s="110">
        <f t="shared" si="1"/>
        <v>253117.15</v>
      </c>
      <c r="O25" s="111">
        <f t="shared" si="2"/>
        <v>260711.15</v>
      </c>
      <c r="P25" s="33">
        <f t="shared" si="6"/>
        <v>0.15</v>
      </c>
    </row>
    <row r="26" spans="1:16" ht="17.100000000000001" customHeight="1" x14ac:dyDescent="0.25">
      <c r="A26" s="103" t="s">
        <v>74</v>
      </c>
      <c r="B26" s="103" t="s">
        <v>54</v>
      </c>
      <c r="C26" s="103" t="s">
        <v>75</v>
      </c>
      <c r="D26" s="103"/>
      <c r="E26" s="122">
        <v>4.33</v>
      </c>
      <c r="F26" s="105">
        <v>177345.16</v>
      </c>
      <c r="G26" s="113">
        <f>F26</f>
        <v>177345.16</v>
      </c>
      <c r="H26" s="113" t="s">
        <v>54</v>
      </c>
      <c r="I26" s="212">
        <f t="shared" si="0"/>
        <v>0</v>
      </c>
      <c r="J26" s="212">
        <f t="shared" si="3"/>
        <v>0</v>
      </c>
      <c r="K26" s="107"/>
      <c r="L26" s="108">
        <f t="shared" si="4"/>
        <v>177344.63096799998</v>
      </c>
      <c r="M26" s="109">
        <f t="shared" si="5"/>
        <v>0</v>
      </c>
      <c r="N26" s="110">
        <f t="shared" si="1"/>
        <v>177345.16</v>
      </c>
      <c r="O26" s="111">
        <f t="shared" si="2"/>
        <v>182665.16</v>
      </c>
      <c r="P26" s="33">
        <f t="shared" si="6"/>
        <v>0.16</v>
      </c>
    </row>
    <row r="27" spans="1:16" ht="17.100000000000001" customHeight="1" x14ac:dyDescent="0.25">
      <c r="A27" s="103" t="s">
        <v>76</v>
      </c>
      <c r="B27" s="103" t="s">
        <v>52</v>
      </c>
      <c r="C27" s="103" t="s">
        <v>77</v>
      </c>
      <c r="D27" s="103" t="s">
        <v>102</v>
      </c>
      <c r="E27" s="122">
        <v>6.18</v>
      </c>
      <c r="F27" s="113">
        <v>253115.17</v>
      </c>
      <c r="G27" s="113">
        <f>F27</f>
        <v>253115.17</v>
      </c>
      <c r="H27" s="113" t="s">
        <v>54</v>
      </c>
      <c r="I27" s="212">
        <f t="shared" si="0"/>
        <v>0</v>
      </c>
      <c r="J27" s="212">
        <f t="shared" si="3"/>
        <v>0</v>
      </c>
      <c r="K27" s="107"/>
      <c r="L27" s="108">
        <f t="shared" si="4"/>
        <v>253115.43172799997</v>
      </c>
      <c r="M27" s="109">
        <f t="shared" si="5"/>
        <v>0</v>
      </c>
      <c r="N27" s="110">
        <f t="shared" si="1"/>
        <v>253115.17</v>
      </c>
      <c r="O27" s="111">
        <f t="shared" si="2"/>
        <v>260708.17</v>
      </c>
      <c r="P27" s="33">
        <f t="shared" si="6"/>
        <v>0.17</v>
      </c>
    </row>
    <row r="28" spans="1:16" ht="17.100000000000001" customHeight="1" x14ac:dyDescent="0.25">
      <c r="A28" s="103" t="s">
        <v>76</v>
      </c>
      <c r="B28" s="103" t="s">
        <v>54</v>
      </c>
      <c r="C28" s="103" t="s">
        <v>78</v>
      </c>
      <c r="D28" s="103"/>
      <c r="E28" s="122">
        <v>4.33</v>
      </c>
      <c r="F28" s="105">
        <v>177345.18</v>
      </c>
      <c r="G28" s="151">
        <f>F28</f>
        <v>177345.18</v>
      </c>
      <c r="H28" s="113" t="s">
        <v>54</v>
      </c>
      <c r="I28" s="212">
        <f t="shared" si="0"/>
        <v>0</v>
      </c>
      <c r="J28" s="212">
        <f t="shared" si="3"/>
        <v>0</v>
      </c>
      <c r="K28" s="107"/>
      <c r="L28" s="108">
        <f t="shared" si="4"/>
        <v>177344.63096799998</v>
      </c>
      <c r="M28" s="109">
        <f t="shared" si="5"/>
        <v>0</v>
      </c>
      <c r="N28" s="110">
        <f t="shared" si="1"/>
        <v>177345.18</v>
      </c>
      <c r="O28" s="111">
        <f t="shared" si="2"/>
        <v>182665.18</v>
      </c>
      <c r="P28" s="33">
        <f t="shared" si="6"/>
        <v>0.18000000000000002</v>
      </c>
    </row>
    <row r="29" spans="1:16" ht="14.45" customHeight="1" x14ac:dyDescent="0.25">
      <c r="A29" s="188" t="s">
        <v>80</v>
      </c>
      <c r="B29" s="189"/>
      <c r="C29" s="103" t="s">
        <v>77</v>
      </c>
      <c r="D29" s="103"/>
      <c r="E29" s="122">
        <v>0.77300000000000002</v>
      </c>
      <c r="F29" s="105">
        <v>31660.19</v>
      </c>
      <c r="G29" s="113">
        <f>F29</f>
        <v>31660.19</v>
      </c>
      <c r="H29" s="113" t="s">
        <v>54</v>
      </c>
      <c r="I29" s="212">
        <f t="shared" si="0"/>
        <v>0</v>
      </c>
      <c r="J29" s="212">
        <f t="shared" si="3"/>
        <v>0</v>
      </c>
      <c r="K29" s="107"/>
      <c r="L29" s="108">
        <f t="shared" si="4"/>
        <v>31659.907560800002</v>
      </c>
      <c r="M29" s="109">
        <f t="shared" si="5"/>
        <v>0</v>
      </c>
      <c r="N29" s="110">
        <f t="shared" si="1"/>
        <v>31660.19</v>
      </c>
      <c r="O29" s="111">
        <f t="shared" si="2"/>
        <v>32610.19</v>
      </c>
      <c r="P29" s="33">
        <f t="shared" si="6"/>
        <v>0.19000000000000003</v>
      </c>
    </row>
    <row r="30" spans="1:16" ht="14.45" customHeight="1" x14ac:dyDescent="0.25">
      <c r="A30" s="188" t="s">
        <v>81</v>
      </c>
      <c r="B30" s="189"/>
      <c r="C30" s="112" t="s">
        <v>57</v>
      </c>
      <c r="D30" s="103"/>
      <c r="E30" s="122">
        <v>0.77300000000000002</v>
      </c>
      <c r="F30" s="114">
        <v>31210.2</v>
      </c>
      <c r="G30" s="151">
        <v>40000.199999999997</v>
      </c>
      <c r="H30" s="113" t="s">
        <v>54</v>
      </c>
      <c r="I30" s="212">
        <f t="shared" si="0"/>
        <v>-8789.9999999999964</v>
      </c>
      <c r="J30" s="212">
        <f t="shared" si="3"/>
        <v>0</v>
      </c>
      <c r="K30" s="107"/>
      <c r="L30" s="108">
        <f t="shared" si="4"/>
        <v>31659.907560800002</v>
      </c>
      <c r="M30" s="109">
        <f t="shared" si="5"/>
        <v>0</v>
      </c>
      <c r="N30" s="110">
        <f t="shared" si="1"/>
        <v>22870.2</v>
      </c>
      <c r="O30" s="111">
        <f t="shared" si="2"/>
        <v>23556.2</v>
      </c>
      <c r="P30" s="33">
        <f t="shared" si="6"/>
        <v>0.20000000000000004</v>
      </c>
    </row>
    <row r="31" spans="1:16" ht="14.45" customHeight="1" x14ac:dyDescent="0.25">
      <c r="A31" s="188" t="s">
        <v>82</v>
      </c>
      <c r="B31" s="189"/>
      <c r="C31" s="115" t="s">
        <v>79</v>
      </c>
      <c r="D31" s="103" t="s">
        <v>104</v>
      </c>
      <c r="E31" s="122">
        <v>0.77300000000000002</v>
      </c>
      <c r="F31" s="114">
        <v>29520.21</v>
      </c>
      <c r="G31" s="151">
        <f>F31</f>
        <v>29520.21</v>
      </c>
      <c r="H31" s="113" t="s">
        <v>54</v>
      </c>
      <c r="I31" s="212">
        <f t="shared" si="0"/>
        <v>0</v>
      </c>
      <c r="J31" s="212">
        <f t="shared" si="3"/>
        <v>0</v>
      </c>
      <c r="K31" s="107"/>
      <c r="L31" s="108">
        <f t="shared" si="4"/>
        <v>31659.907560800002</v>
      </c>
      <c r="M31" s="109">
        <f t="shared" si="5"/>
        <v>0</v>
      </c>
      <c r="N31" s="110">
        <f t="shared" si="1"/>
        <v>31660.21</v>
      </c>
      <c r="O31" s="111">
        <f t="shared" si="2"/>
        <v>32610.21</v>
      </c>
      <c r="P31" s="33">
        <f t="shared" si="6"/>
        <v>0.21000000000000005</v>
      </c>
    </row>
    <row r="32" spans="1:16" ht="14.45" customHeight="1" x14ac:dyDescent="0.25">
      <c r="A32" s="188" t="s">
        <v>83</v>
      </c>
      <c r="B32" s="189"/>
      <c r="C32" s="103" t="s">
        <v>63</v>
      </c>
      <c r="D32" s="103"/>
      <c r="E32" s="122">
        <v>0.77300000000000002</v>
      </c>
      <c r="F32" s="114">
        <v>31660.22</v>
      </c>
      <c r="G32" s="151">
        <f t="shared" ref="G32" si="7">F32</f>
        <v>31660.22</v>
      </c>
      <c r="H32" s="113" t="s">
        <v>54</v>
      </c>
      <c r="I32" s="212">
        <f t="shared" si="0"/>
        <v>0</v>
      </c>
      <c r="J32" s="212">
        <f t="shared" si="3"/>
        <v>0</v>
      </c>
      <c r="K32" s="107"/>
      <c r="L32" s="108">
        <f t="shared" si="4"/>
        <v>31659.907560800002</v>
      </c>
      <c r="M32" s="109">
        <f t="shared" si="5"/>
        <v>0</v>
      </c>
      <c r="N32" s="110">
        <f t="shared" si="1"/>
        <v>31660.22</v>
      </c>
      <c r="O32" s="111">
        <f t="shared" si="2"/>
        <v>32610.22</v>
      </c>
      <c r="P32" s="33">
        <f t="shared" si="6"/>
        <v>0.22000000000000006</v>
      </c>
    </row>
    <row r="33" spans="1:16" ht="14.45" customHeight="1" x14ac:dyDescent="0.25">
      <c r="A33" s="188" t="s">
        <v>84</v>
      </c>
      <c r="B33" s="189"/>
      <c r="C33" s="116" t="s">
        <v>66</v>
      </c>
      <c r="D33" s="116"/>
      <c r="E33" s="122">
        <v>0.77300000000000002</v>
      </c>
      <c r="F33" s="114">
        <v>30682.23</v>
      </c>
      <c r="G33" s="151">
        <f>G32</f>
        <v>31660.22</v>
      </c>
      <c r="H33" s="113" t="s">
        <v>107</v>
      </c>
      <c r="I33" s="212">
        <f t="shared" si="0"/>
        <v>-977.9900000000016</v>
      </c>
      <c r="J33" s="212">
        <f t="shared" si="3"/>
        <v>0</v>
      </c>
      <c r="K33" s="107"/>
      <c r="L33" s="108">
        <f t="shared" si="4"/>
        <v>31659.907560800002</v>
      </c>
      <c r="M33" s="109">
        <f t="shared" si="5"/>
        <v>0</v>
      </c>
      <c r="N33" s="110">
        <f t="shared" si="1"/>
        <v>30682.23</v>
      </c>
      <c r="O33" s="111">
        <f t="shared" si="2"/>
        <v>31602.23</v>
      </c>
      <c r="P33" s="33">
        <f t="shared" si="6"/>
        <v>0.23000000000000007</v>
      </c>
    </row>
    <row r="34" spans="1:16" ht="14.45" customHeight="1" x14ac:dyDescent="0.25">
      <c r="A34" s="188" t="s">
        <v>85</v>
      </c>
      <c r="B34" s="189"/>
      <c r="C34" s="116" t="s">
        <v>69</v>
      </c>
      <c r="D34" s="116" t="s">
        <v>114</v>
      </c>
      <c r="E34" s="122">
        <v>0.77300000000000002</v>
      </c>
      <c r="F34" s="114">
        <v>31245.24</v>
      </c>
      <c r="G34" s="151">
        <v>32000</v>
      </c>
      <c r="H34" s="113" t="s">
        <v>54</v>
      </c>
      <c r="I34" s="212">
        <f t="shared" si="0"/>
        <v>-754.7599999999984</v>
      </c>
      <c r="J34" s="212">
        <f t="shared" si="3"/>
        <v>0</v>
      </c>
      <c r="K34" s="107"/>
      <c r="L34" s="108">
        <f t="shared" si="4"/>
        <v>31659.907560800002</v>
      </c>
      <c r="M34" s="109">
        <f t="shared" si="5"/>
        <v>0</v>
      </c>
      <c r="N34" s="110">
        <f t="shared" si="1"/>
        <v>30905.24</v>
      </c>
      <c r="O34" s="111">
        <f t="shared" si="2"/>
        <v>31832.240000000002</v>
      </c>
      <c r="P34" s="33">
        <f t="shared" si="6"/>
        <v>0.24000000000000007</v>
      </c>
    </row>
    <row r="35" spans="1:16" ht="17.100000000000001" customHeight="1" thickBot="1" x14ac:dyDescent="0.3">
      <c r="A35" s="188" t="s">
        <v>86</v>
      </c>
      <c r="B35" s="189"/>
      <c r="C35" s="116" t="s">
        <v>75</v>
      </c>
      <c r="D35" s="116"/>
      <c r="E35" s="104">
        <v>0.77300000000000002</v>
      </c>
      <c r="F35" s="114">
        <v>31660.25</v>
      </c>
      <c r="G35" s="113">
        <f>F35</f>
        <v>31660.25</v>
      </c>
      <c r="H35" s="113" t="s">
        <v>54</v>
      </c>
      <c r="I35" s="212">
        <f t="shared" si="0"/>
        <v>0</v>
      </c>
      <c r="J35" s="212">
        <f t="shared" si="3"/>
        <v>0</v>
      </c>
      <c r="K35" s="107"/>
      <c r="L35" s="108">
        <f t="shared" si="4"/>
        <v>31659.907560800002</v>
      </c>
      <c r="M35" s="109">
        <f t="shared" si="5"/>
        <v>0</v>
      </c>
      <c r="N35" s="110">
        <f t="shared" si="1"/>
        <v>31660.25</v>
      </c>
      <c r="O35" s="111">
        <f t="shared" si="2"/>
        <v>32610.25</v>
      </c>
      <c r="P35" s="33">
        <f t="shared" si="6"/>
        <v>0.25000000000000006</v>
      </c>
    </row>
    <row r="36" spans="1:16" ht="17.100000000000001" customHeight="1" thickBot="1" x14ac:dyDescent="0.3">
      <c r="A36" s="190" t="s">
        <v>50</v>
      </c>
      <c r="B36" s="190"/>
      <c r="C36" s="191"/>
      <c r="D36" s="126"/>
      <c r="E36" s="117">
        <f t="shared" ref="E36:M36" si="8">SUM(E11:E35)</f>
        <v>100.00099999999993</v>
      </c>
      <c r="F36" s="118">
        <f t="shared" si="8"/>
        <v>4161912.2500000009</v>
      </c>
      <c r="G36" s="119">
        <f t="shared" si="8"/>
        <v>4247604.57</v>
      </c>
      <c r="H36" s="119"/>
      <c r="I36" s="119">
        <f t="shared" si="8"/>
        <v>-85692.319999999978</v>
      </c>
      <c r="J36" s="120">
        <f t="shared" si="8"/>
        <v>4.6800000000803262E-2</v>
      </c>
      <c r="K36" s="120"/>
      <c r="L36" s="120">
        <f t="shared" si="8"/>
        <v>4095759.9171895999</v>
      </c>
      <c r="M36" s="119">
        <f t="shared" si="8"/>
        <v>0</v>
      </c>
      <c r="N36" s="121">
        <f>SUM(N11:N28)</f>
        <v>3905973.7100000004</v>
      </c>
      <c r="O36" s="121">
        <f>SUM(O11:O35)</f>
        <v>4240582.2500000009</v>
      </c>
    </row>
    <row r="37" spans="1:16" ht="22.15" customHeight="1" x14ac:dyDescent="0.25">
      <c r="C37" s="39"/>
      <c r="D37" s="39"/>
      <c r="F37" t="s">
        <v>109</v>
      </c>
      <c r="G37" s="133">
        <f>SUMIF(H11:H35,"B",G11:G35)</f>
        <v>3847604.5700000008</v>
      </c>
    </row>
    <row r="38" spans="1:16" x14ac:dyDescent="0.25">
      <c r="A38" s="181"/>
      <c r="B38" s="181"/>
      <c r="E38" s="182"/>
      <c r="F38" s="183" t="s">
        <v>110</v>
      </c>
      <c r="G38" s="133">
        <f>SUMIF(H11:H35,"E",G11:G35)</f>
        <v>400000</v>
      </c>
    </row>
    <row r="39" spans="1:16" x14ac:dyDescent="0.25">
      <c r="A39" s="181"/>
      <c r="B39" s="181"/>
      <c r="E39" s="182"/>
      <c r="F39" s="183"/>
      <c r="G39" s="134">
        <f>SUM(G37:G38)</f>
        <v>4247604.57</v>
      </c>
    </row>
    <row r="50" spans="1:6" x14ac:dyDescent="0.25">
      <c r="F50">
        <f>SUM(E48:E49)</f>
        <v>0</v>
      </c>
    </row>
    <row r="52" spans="1:6" x14ac:dyDescent="0.25">
      <c r="A52" t="s">
        <v>94</v>
      </c>
    </row>
    <row r="53" spans="1:6" x14ac:dyDescent="0.25">
      <c r="A53" t="s">
        <v>93</v>
      </c>
    </row>
    <row r="54" spans="1:6" x14ac:dyDescent="0.25">
      <c r="F54">
        <f>SUM(E52:E53)</f>
        <v>0</v>
      </c>
    </row>
  </sheetData>
  <mergeCells count="29">
    <mergeCell ref="E1:N1"/>
    <mergeCell ref="J9:J10"/>
    <mergeCell ref="F9:F10"/>
    <mergeCell ref="G9:G10"/>
    <mergeCell ref="I9:I10"/>
    <mergeCell ref="L9:L10"/>
    <mergeCell ref="M9:M10"/>
    <mergeCell ref="A4:O8"/>
    <mergeCell ref="A9:A10"/>
    <mergeCell ref="C9:C10"/>
    <mergeCell ref="E9:E10"/>
    <mergeCell ref="B9:B10"/>
    <mergeCell ref="O9:O10"/>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2026-07-01T16:02:47Z</cp:lastPrinted>
  <dcterms:created xsi:type="dcterms:W3CDTF">2023-09-17T12:29:07Z</dcterms:created>
  <dcterms:modified xsi:type="dcterms:W3CDTF">2026-07-01T16:02:52Z</dcterms:modified>
</cp:coreProperties>
</file>