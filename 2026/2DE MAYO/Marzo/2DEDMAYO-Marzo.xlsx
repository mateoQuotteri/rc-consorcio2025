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C:\Users\Sistema\Desktop\rc-consorcio2025\2026\2DE MAYO\Marzo\"/>
    </mc:Choice>
  </mc:AlternateContent>
  <xr:revisionPtr revIDLastSave="0" documentId="13_ncr:1_{2E3A8F83-554D-4005-AA49-82E7426D5131}" xr6:coauthVersionLast="47" xr6:coauthVersionMax="47" xr10:uidLastSave="{00000000-0000-0000-0000-000000000000}"/>
  <bookViews>
    <workbookView xWindow="-108" yWindow="-108" windowWidth="23256" windowHeight="12576" tabRatio="850" xr2:uid="{00000000-000D-0000-FFFF-FFFF00000000}"/>
  </bookViews>
  <sheets>
    <sheet name="RESUMEN" sheetId="1" r:id="rId1"/>
    <sheet name="PRORRATEO" sheetId="2" r:id="rId2"/>
    <sheet name="ANOTACIONES" sheetId="3" r:id="rId3"/>
  </sheets>
  <definedNames>
    <definedName name="_xlnm.Print_Area" localSheetId="1">PRORRATEO!$A$1:$N$36</definedName>
    <definedName name="_xlnm.Print_Area" localSheetId="0">RESUMEN!$A$1:$E$107</definedName>
  </definedNames>
  <calcPr calcId="181029"/>
</workbook>
</file>

<file path=xl/calcChain.xml><?xml version="1.0" encoding="utf-8"?>
<calcChain xmlns="http://schemas.openxmlformats.org/spreadsheetml/2006/main">
  <c r="D60" i="1" l="1"/>
  <c r="G14" i="2" l="1"/>
  <c r="G37" i="2"/>
  <c r="G20" i="2"/>
  <c r="G24" i="2"/>
  <c r="G11" i="2"/>
  <c r="G28" i="2"/>
  <c r="G38" i="2"/>
  <c r="B87" i="1" s="1"/>
  <c r="B92" i="1" s="1"/>
  <c r="G33" i="2"/>
  <c r="G22" i="2"/>
  <c r="G19" i="2"/>
  <c r="E63" i="1"/>
  <c r="L2" i="2"/>
  <c r="K15" i="2" s="1"/>
  <c r="E47" i="1"/>
  <c r="E57" i="1"/>
  <c r="G23" i="2"/>
  <c r="G31" i="2"/>
  <c r="L12" i="2"/>
  <c r="L13" i="2"/>
  <c r="L14" i="2"/>
  <c r="L15" i="2"/>
  <c r="L16" i="2"/>
  <c r="L17" i="2"/>
  <c r="L18" i="2"/>
  <c r="L19" i="2"/>
  <c r="L20" i="2"/>
  <c r="L21" i="2"/>
  <c r="L22" i="2"/>
  <c r="L23" i="2"/>
  <c r="L24" i="2"/>
  <c r="L25" i="2"/>
  <c r="L26" i="2"/>
  <c r="L27" i="2"/>
  <c r="L28" i="2"/>
  <c r="L29" i="2"/>
  <c r="L30" i="2"/>
  <c r="L31" i="2"/>
  <c r="L32" i="2"/>
  <c r="L33" i="2"/>
  <c r="L34" i="2"/>
  <c r="L35" i="2"/>
  <c r="L11" i="2"/>
  <c r="G29" i="2"/>
  <c r="G27" i="2"/>
  <c r="G30" i="2"/>
  <c r="G13" i="2"/>
  <c r="G18" i="2"/>
  <c r="G12" i="2"/>
  <c r="G32" i="2"/>
  <c r="G17" i="2" s="1"/>
  <c r="G15" i="2"/>
  <c r="G16" i="2"/>
  <c r="G35" i="2"/>
  <c r="G26" i="2"/>
  <c r="G21" i="2"/>
  <c r="E45" i="1"/>
  <c r="E46" i="1" s="1"/>
  <c r="G39" i="2" l="1"/>
  <c r="B98" i="1"/>
  <c r="G25" i="2"/>
  <c r="K33" i="2"/>
  <c r="K25" i="2"/>
  <c r="K17" i="2"/>
  <c r="K11" i="2"/>
  <c r="K28" i="2"/>
  <c r="K20" i="2"/>
  <c r="K16" i="2"/>
  <c r="K34" i="2"/>
  <c r="K30" i="2"/>
  <c r="K26" i="2"/>
  <c r="K22" i="2"/>
  <c r="K18" i="2"/>
  <c r="K14" i="2"/>
  <c r="K29" i="2"/>
  <c r="K21" i="2"/>
  <c r="K13" i="2"/>
  <c r="K32" i="2"/>
  <c r="K24" i="2"/>
  <c r="K12" i="2"/>
  <c r="K35" i="2"/>
  <c r="K31" i="2"/>
  <c r="K27" i="2"/>
  <c r="K23" i="2"/>
  <c r="K19" i="2"/>
  <c r="I29" i="2"/>
  <c r="J29" i="2" s="1"/>
  <c r="I30" i="2"/>
  <c r="J30" i="2" s="1"/>
  <c r="I31" i="2"/>
  <c r="J31" i="2" s="1"/>
  <c r="I32" i="2"/>
  <c r="J32" i="2" s="1"/>
  <c r="I33" i="2"/>
  <c r="J33" i="2" s="1"/>
  <c r="I34" i="2"/>
  <c r="J34" i="2" s="1"/>
  <c r="I35" i="2"/>
  <c r="J35" i="2" s="1"/>
  <c r="F50" i="2"/>
  <c r="E51" i="1"/>
  <c r="F54" i="2"/>
  <c r="D26" i="1"/>
  <c r="A4" i="2"/>
  <c r="E41" i="1" l="1"/>
  <c r="E61" i="1" l="1"/>
  <c r="E37" i="1" l="1"/>
  <c r="I22" i="2" l="1"/>
  <c r="E73" i="1" l="1"/>
  <c r="E78" i="1" s="1"/>
  <c r="B82" i="1" s="1"/>
  <c r="B96" i="1" l="1"/>
  <c r="B106" i="1"/>
  <c r="B97" i="1" l="1"/>
  <c r="I25" i="2" l="1"/>
  <c r="D32" i="1" l="1"/>
  <c r="M10" i="2" l="1"/>
  <c r="E33" i="1" l="1"/>
  <c r="E65" i="1" s="1"/>
  <c r="O12" i="2" l="1"/>
  <c r="O13" i="2" s="1"/>
  <c r="O14" i="2" s="1"/>
  <c r="O15" i="2" s="1"/>
  <c r="O16" i="2" s="1"/>
  <c r="O17" i="2" s="1"/>
  <c r="O18" i="2" s="1"/>
  <c r="O19" i="2" s="1"/>
  <c r="O20" i="2" s="1"/>
  <c r="O21" i="2" s="1"/>
  <c r="O22" i="2" s="1"/>
  <c r="O23" i="2" s="1"/>
  <c r="O24" i="2" s="1"/>
  <c r="O25" i="2" s="1"/>
  <c r="O26" i="2" s="1"/>
  <c r="O27" i="2" s="1"/>
  <c r="O28" i="2" s="1"/>
  <c r="O29" i="2" s="1"/>
  <c r="O30" i="2" l="1"/>
  <c r="M29" i="2"/>
  <c r="N29" i="2" s="1"/>
  <c r="G36" i="2"/>
  <c r="E36" i="2"/>
  <c r="F36" i="2"/>
  <c r="O31" i="2" l="1"/>
  <c r="M30" i="2"/>
  <c r="N30" i="2" s="1"/>
  <c r="I12" i="2"/>
  <c r="I13" i="2"/>
  <c r="I14" i="2"/>
  <c r="I15" i="2"/>
  <c r="I16" i="2"/>
  <c r="I17" i="2"/>
  <c r="I18" i="2"/>
  <c r="I19" i="2"/>
  <c r="I20" i="2"/>
  <c r="I21" i="2"/>
  <c r="I23" i="2"/>
  <c r="I24" i="2"/>
  <c r="I26" i="2"/>
  <c r="I27" i="2"/>
  <c r="I28" i="2"/>
  <c r="I11" i="2"/>
  <c r="O32" i="2" l="1"/>
  <c r="M31" i="2"/>
  <c r="N31" i="2" s="1"/>
  <c r="B83" i="1"/>
  <c r="I36" i="2"/>
  <c r="J28" i="2"/>
  <c r="J16" i="2"/>
  <c r="J27" i="2"/>
  <c r="J23" i="2"/>
  <c r="J19" i="2"/>
  <c r="J15" i="2"/>
  <c r="J24" i="2"/>
  <c r="J12" i="2"/>
  <c r="J26" i="2"/>
  <c r="J22" i="2"/>
  <c r="J18" i="2"/>
  <c r="J14" i="2"/>
  <c r="J20" i="2"/>
  <c r="J25" i="2"/>
  <c r="J21" i="2"/>
  <c r="J17" i="2"/>
  <c r="J13" i="2"/>
  <c r="J11" i="2"/>
  <c r="M11" i="2" l="1"/>
  <c r="J36" i="2"/>
  <c r="O33" i="2"/>
  <c r="M32" i="2"/>
  <c r="N32" i="2" s="1"/>
  <c r="A45" i="1"/>
  <c r="A46" i="1" s="1"/>
  <c r="O34" i="2" l="1"/>
  <c r="M33" i="2"/>
  <c r="N33" i="2" s="1"/>
  <c r="M12" i="2"/>
  <c r="M13" i="2"/>
  <c r="M14" i="2"/>
  <c r="M15" i="2"/>
  <c r="M16" i="2"/>
  <c r="M17" i="2"/>
  <c r="M18" i="2"/>
  <c r="M19" i="2"/>
  <c r="M20" i="2"/>
  <c r="M21" i="2"/>
  <c r="M22" i="2"/>
  <c r="M23" i="2"/>
  <c r="M24" i="2"/>
  <c r="M25" i="2"/>
  <c r="M26" i="2"/>
  <c r="M27" i="2"/>
  <c r="M28" i="2"/>
  <c r="O35" i="2" l="1"/>
  <c r="M35" i="2" s="1"/>
  <c r="N35" i="2" s="1"/>
  <c r="M34" i="2"/>
  <c r="N34" i="2" s="1"/>
  <c r="M36" i="2"/>
  <c r="N28" i="2"/>
  <c r="N24" i="2"/>
  <c r="N20" i="2"/>
  <c r="N16" i="2"/>
  <c r="N12" i="2"/>
  <c r="N11" i="2"/>
  <c r="N27" i="2"/>
  <c r="N23" i="2"/>
  <c r="N19" i="2"/>
  <c r="N15" i="2"/>
  <c r="N26" i="2"/>
  <c r="N22" i="2"/>
  <c r="N18" i="2"/>
  <c r="N14" i="2"/>
  <c r="N25" i="2"/>
  <c r="N21" i="2"/>
  <c r="N17" i="2"/>
  <c r="N13" i="2"/>
  <c r="K36" i="2"/>
  <c r="N36" i="2" l="1"/>
  <c r="L36" i="2" l="1"/>
  <c r="B81" i="1" l="1"/>
  <c r="B95" i="1" l="1"/>
  <c r="B99" i="1" s="1"/>
  <c r="B80" i="1"/>
</calcChain>
</file>

<file path=xl/sharedStrings.xml><?xml version="1.0" encoding="utf-8"?>
<sst xmlns="http://schemas.openxmlformats.org/spreadsheetml/2006/main" count="201" uniqueCount="138">
  <si>
    <t>LIQUIDACION DE EXPENSAS</t>
  </si>
  <si>
    <t>TOTAL SUELDO</t>
  </si>
  <si>
    <t>TOTAL IMPUESTO</t>
  </si>
  <si>
    <t>TOTAL Aportes y Contribuciones - Sindicato</t>
  </si>
  <si>
    <t>TOTAL ABONOS Y SERVICIOS</t>
  </si>
  <si>
    <t>UF</t>
  </si>
  <si>
    <t>Propietario</t>
  </si>
  <si>
    <t xml:space="preserve">Ingreso </t>
  </si>
  <si>
    <t>TOTAL</t>
  </si>
  <si>
    <t>GASTOS ORDINARIOS UNIDADES FUNCIONALES:</t>
  </si>
  <si>
    <t xml:space="preserve"> (%)</t>
  </si>
  <si>
    <t>GASTOS BANCARIOS</t>
  </si>
  <si>
    <t xml:space="preserve">TOTAL ORDINARIOS </t>
  </si>
  <si>
    <t>GASTOS ORDINARIOS + PREVISION :</t>
  </si>
  <si>
    <t>GASTOS ORDINARIOS SIN PREVISION:</t>
  </si>
  <si>
    <t xml:space="preserve">TOTAL </t>
  </si>
  <si>
    <t>APORTES Y CONTRIBUCIONES</t>
  </si>
  <si>
    <t>ABONOS Y SERVICIOS</t>
  </si>
  <si>
    <t>HONORARIOS</t>
  </si>
  <si>
    <t>PREVISION EXTRAORDINARIA</t>
  </si>
  <si>
    <t xml:space="preserve">TOTAL EXTRAORDINARIOS </t>
  </si>
  <si>
    <t>GASTOS EXTRAORDINARIOS SIN PREVISION:</t>
  </si>
  <si>
    <t>Expensas ord.</t>
  </si>
  <si>
    <t>CUIT ADMINISTRACION: 27231256879</t>
  </si>
  <si>
    <t>HORARIOS DE ATENCION: LUNES A VIERNES</t>
  </si>
  <si>
    <t>Deuda o Saldo a favor</t>
  </si>
  <si>
    <t xml:space="preserve">SEGUROS </t>
  </si>
  <si>
    <t>DEPOSITOS NO IDENTIFICADOS</t>
  </si>
  <si>
    <t>HABERES ENCARGADOS</t>
  </si>
  <si>
    <t>Neto</t>
  </si>
  <si>
    <t>Total 2do Vto</t>
  </si>
  <si>
    <t>Total 1er Vto</t>
  </si>
  <si>
    <t>ADMINISTRADORA: CAROLINA CANCIANI MP:1148</t>
  </si>
  <si>
    <t>SAC</t>
  </si>
  <si>
    <t>GASTOS EXTRAORDINARIOS CON PREVISION:</t>
  </si>
  <si>
    <t>Interes 3%</t>
  </si>
  <si>
    <t>Sueldo encargado Balcazza Leonardo</t>
  </si>
  <si>
    <t>GASTOS EXTRAORDINARIOS:</t>
  </si>
  <si>
    <t xml:space="preserve">ARCA </t>
  </si>
  <si>
    <t>CAJA REAL</t>
  </si>
  <si>
    <t xml:space="preserve">Saldo Ord </t>
  </si>
  <si>
    <t xml:space="preserve">PREVISION ORDINARIA </t>
  </si>
  <si>
    <t>Egresos del mes ordinarios</t>
  </si>
  <si>
    <t>Egresos del mes extrordinarios</t>
  </si>
  <si>
    <t>Ingresos</t>
  </si>
  <si>
    <t>Pagos sin identificar</t>
  </si>
  <si>
    <t>SALDO EN BANCO</t>
  </si>
  <si>
    <t>Gastos bancarios</t>
  </si>
  <si>
    <t>Mantenimiento de cuenta</t>
  </si>
  <si>
    <t>10 A 15HS - EMERGENCIAS 24HS</t>
  </si>
  <si>
    <t>Extraordinarios:</t>
  </si>
  <si>
    <t>Expensas extraord.</t>
  </si>
  <si>
    <t>Piso</t>
  </si>
  <si>
    <t>TOTALES</t>
  </si>
  <si>
    <t>1° P.</t>
  </si>
  <si>
    <t>A</t>
  </si>
  <si>
    <t>CHAS Alejandro</t>
  </si>
  <si>
    <t>B</t>
  </si>
  <si>
    <t>PELLEGRINI Cecilia</t>
  </si>
  <si>
    <t>2° P.</t>
  </si>
  <si>
    <t>MAZZUCO M. Gabriela</t>
  </si>
  <si>
    <t>ORREF Cristina</t>
  </si>
  <si>
    <t>3° P.</t>
  </si>
  <si>
    <t>TARANTO / CASTRO</t>
  </si>
  <si>
    <t>PALAVECINO Carina</t>
  </si>
  <si>
    <t>4° P.</t>
  </si>
  <si>
    <t>TOTH Alvaro</t>
  </si>
  <si>
    <t>TARRACINI Norma</t>
  </si>
  <si>
    <t>5° P.</t>
  </si>
  <si>
    <t>ERRAMUSPE Alberto</t>
  </si>
  <si>
    <t>TEJEIRO Pablo</t>
  </si>
  <si>
    <t>6° P.</t>
  </si>
  <si>
    <t>VINCI M. Teresa</t>
  </si>
  <si>
    <t>DOVHUN PODLASKY Nina</t>
  </si>
  <si>
    <t>7° P.</t>
  </si>
  <si>
    <t>MENDEZ Magali / GIL F.</t>
  </si>
  <si>
    <t>HERNANDEZ Antonella</t>
  </si>
  <si>
    <t>8° P.</t>
  </si>
  <si>
    <t>CARDINALE Horacio</t>
  </si>
  <si>
    <t>9° P.</t>
  </si>
  <si>
    <t>SUAREZ Nicolas</t>
  </si>
  <si>
    <t>SOUTO Patricio</t>
  </si>
  <si>
    <t>MENDEZ Mendez / GIL F.</t>
  </si>
  <si>
    <t>Cochera 1</t>
  </si>
  <si>
    <t>Cochera 2</t>
  </si>
  <si>
    <t>Cochera 3</t>
  </si>
  <si>
    <t>Cochera 4</t>
  </si>
  <si>
    <t>Cochera 5</t>
  </si>
  <si>
    <t>Cochera 6</t>
  </si>
  <si>
    <t>Cochera 7</t>
  </si>
  <si>
    <t>Importante para dueños o inquilinos de departamentos o coheras: Queremos recordarles una cuestión importante respecto a los pagos de expensas que ayuda a evitar errores en la imputación de los mismos. El sistema que utilizamos asigna centavos únicos a cada Unidad Funcional (UF), lo cual nos permite identificar automáticamente a qué unidad corresponde cada transferencia. Es decir, cada UF tiene un número específico de centavos que actúa como "identificador". Por ejemplo, si tu UF es la 45, el importe a abonar debería terminar en $...,45. Si tenés más de una unidad (por ejemplo, un departamento y una cochera), cada una tiene su propio código de centavos. En esos casos, te pedimos por favor que realices una transferencia por cada UF, respetando el importe con sus centavos correspondientes. Sabemos que a veces por comodidad se suele enviar todo junto en una sola transferencia, pero esto puede generar confusión o errores en la imputación automática. Realizar los pagos por separado nos permite asegurar que cada importe se asigne correctamente. Agradecemos muchísimo la colaboración para seguir manteniendo todo ordenado. Saludos cordiales.</t>
  </si>
  <si>
    <t>Sueldo Sra. Gomez Blanca Lucia</t>
  </si>
  <si>
    <t>Descuentos</t>
  </si>
  <si>
    <t>Redondeo</t>
  </si>
  <si>
    <t xml:space="preserve">Edesur </t>
  </si>
  <si>
    <t>AySa</t>
  </si>
  <si>
    <t>Pago del abono del ascensor ADS - Mantenimiento</t>
  </si>
  <si>
    <t xml:space="preserve">Personal Flow (internet) para las Camaras de Seguridad </t>
  </si>
  <si>
    <t xml:space="preserve">Seguros Integral de Consorcio BERKLEY INTERNATIONAL SEGUROS S.A. Poliza N° 13-228546 </t>
  </si>
  <si>
    <t>Banco SANTENDER -- Cta.Corr. Pesos N° 054-011139/1 -- CBU: 0720054020000001113918 -- Alias: BALA.EMPATE.MIXTO</t>
  </si>
  <si>
    <t>CUIT DEL EDIFICIO: 30708447966</t>
  </si>
  <si>
    <t xml:space="preserve">Sueldo Sra. Gomez Blanca Lucia - Abonados por administracion saliente </t>
  </si>
  <si>
    <t>Transf 02/02</t>
  </si>
  <si>
    <t>Transf 03/02</t>
  </si>
  <si>
    <t>Transf 04/02</t>
  </si>
  <si>
    <t>Transf 05/02</t>
  </si>
  <si>
    <t>Transf 09/02</t>
  </si>
  <si>
    <t>Honorarios administracion saliente</t>
  </si>
  <si>
    <t>Transf 11/02</t>
  </si>
  <si>
    <t xml:space="preserve"> Sra contadora honorarios - Abonados por administracion saliente</t>
  </si>
  <si>
    <t>Debito 12/02</t>
  </si>
  <si>
    <t>Seracarh</t>
  </si>
  <si>
    <t>Fathery</t>
  </si>
  <si>
    <t>Suther</t>
  </si>
  <si>
    <t>Bruno Francisco Bonanno</t>
  </si>
  <si>
    <t>Gisele Santillan</t>
  </si>
  <si>
    <t>Rojas Alejandro</t>
  </si>
  <si>
    <t>Jose L. Suarez Pena</t>
  </si>
  <si>
    <t>Ordinarios:</t>
  </si>
  <si>
    <t>Matias Roig</t>
  </si>
  <si>
    <t>Caja en efectivo</t>
  </si>
  <si>
    <t>MAIL:consorcio2demayo2813.15@gmail.com</t>
  </si>
  <si>
    <t>Compra de bolsas Sra. Cecilia 5B</t>
  </si>
  <si>
    <t>Mas Limpio - Compra de articulos de limpieza</t>
  </si>
  <si>
    <t>Compra de Pendrive - Entrega administracion</t>
  </si>
  <si>
    <t>Abona mediante</t>
  </si>
  <si>
    <t>E</t>
  </si>
  <si>
    <t>Ingreso por pago de expensas</t>
  </si>
  <si>
    <t>Ingreso pago x banco</t>
  </si>
  <si>
    <t>Ingreso pago x efectivo</t>
  </si>
  <si>
    <t>VTO 17/04</t>
  </si>
  <si>
    <t>PERÍODO: MARZO</t>
  </si>
  <si>
    <t>Sindicatos mes de MARZO</t>
  </si>
  <si>
    <t>CONSORCIO 2 DE MAYO 2813/15  -  LIQUIDACIÓN DE GASTOS febrero 2026</t>
  </si>
  <si>
    <t>Transf 16/03</t>
  </si>
  <si>
    <t>Reparacion de dos camaras fuente 12vcc</t>
  </si>
  <si>
    <t>Transf 11/03</t>
  </si>
  <si>
    <t xml:space="preserve">HL Security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</si>
</sst>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8" formatCode="&quot;$&quot;\ #,##0.00;[Red]\-&quot;$&quot;\ #,##0.00"/>
    <numFmt numFmtId="44" formatCode="_-&quot;$&quot;\ * #,##0.00_-;\-&quot;$&quot;\ * #,##0.00_-;_-&quot;$&quot;\ * &quot;-&quot;??_-;_-@_-"/>
    <numFmt numFmtId="43" formatCode="_-* #,##0.00_-;\-* #,##0.00_-;_-* &quot;-&quot;??_-;_-@_-"/>
    <numFmt numFmtId="164" formatCode="_ &quot;$&quot;\ * #,##0.00_ ;_ &quot;$&quot;\ * \-#,##0.00_ ;_ &quot;$&quot;\ * &quot;-&quot;??_ ;_ @_ "/>
    <numFmt numFmtId="165" formatCode="_-&quot;$&quot;\ * #,##0_-;\-&quot;$&quot;\ * #,##0_-;_-&quot;$&quot;\ * &quot;-&quot;??_-;_-@_-"/>
    <numFmt numFmtId="166" formatCode="_-&quot;$&quot;\ * #,##0.0_-;\-&quot;$&quot;\ * #,##0.0_-;_-&quot;$&quot;\ * &quot;-&quot;??_-;_-@_-"/>
    <numFmt numFmtId="167" formatCode="_-&quot;$&quot;\ * #,##0.0_-;\-&quot;$&quot;\ * #,##0.0_-;_-&quot;$&quot;\ * &quot;-&quot;?_-;_-@_-"/>
    <numFmt numFmtId="168" formatCode="_-[$$-2C0A]\ * #,##0.00_-;\-[$$-2C0A]\ * #,##0.00_-;_-[$$-2C0A]\ * &quot;-&quot;??_-;_-@_-"/>
    <numFmt numFmtId="169" formatCode="0.000"/>
  </numFmts>
  <fonts count="22" x14ac:knownFonts="1">
    <font>
      <sz val="11"/>
      <color theme="1"/>
      <name val="Calibri"/>
      <family val="2"/>
      <scheme val="minor"/>
    </font>
    <font>
      <sz val="11"/>
      <color theme="1"/>
      <name val="Calibri"/>
      <family val="2"/>
      <scheme val="minor"/>
    </font>
    <font>
      <b/>
      <sz val="11"/>
      <color theme="1"/>
      <name val="Calibri"/>
      <family val="2"/>
      <scheme val="minor"/>
    </font>
    <font>
      <sz val="10"/>
      <color theme="1"/>
      <name val="Calibri"/>
      <family val="2"/>
      <scheme val="minor"/>
    </font>
    <font>
      <sz val="11"/>
      <name val="Calibri"/>
      <family val="2"/>
      <scheme val="minor"/>
    </font>
    <font>
      <b/>
      <sz val="10"/>
      <color theme="1"/>
      <name val="Calibri"/>
      <family val="2"/>
      <scheme val="minor"/>
    </font>
    <font>
      <i/>
      <u/>
      <sz val="11"/>
      <color theme="1"/>
      <name val="Calibri"/>
      <family val="2"/>
      <scheme val="minor"/>
    </font>
    <font>
      <b/>
      <sz val="11"/>
      <name val="Calibri"/>
      <family val="2"/>
      <scheme val="minor"/>
    </font>
    <font>
      <sz val="11"/>
      <color rgb="FFFF0000"/>
      <name val="Calibri"/>
      <family val="2"/>
      <scheme val="minor"/>
    </font>
    <font>
      <b/>
      <sz val="11"/>
      <color theme="0"/>
      <name val="Calibri"/>
      <family val="2"/>
      <scheme val="minor"/>
    </font>
    <font>
      <b/>
      <sz val="10"/>
      <name val="Calibri"/>
      <family val="2"/>
      <scheme val="minor"/>
    </font>
    <font>
      <b/>
      <i/>
      <u/>
      <sz val="11"/>
      <name val="Calibri"/>
      <family val="2"/>
      <scheme val="minor"/>
    </font>
    <font>
      <b/>
      <i/>
      <u/>
      <sz val="11"/>
      <color theme="1"/>
      <name val="Calibri"/>
      <family val="2"/>
      <scheme val="minor"/>
    </font>
    <font>
      <sz val="9"/>
      <color theme="1"/>
      <name val="Calibri"/>
      <family val="2"/>
      <scheme val="minor"/>
    </font>
    <font>
      <sz val="8"/>
      <color theme="1"/>
      <name val="Calibri"/>
      <family val="2"/>
      <scheme val="minor"/>
    </font>
    <font>
      <sz val="9"/>
      <name val="Calibri"/>
      <family val="2"/>
      <scheme val="minor"/>
    </font>
    <font>
      <b/>
      <sz val="16"/>
      <color theme="1"/>
      <name val="Calibri"/>
      <family val="2"/>
      <scheme val="minor"/>
    </font>
    <font>
      <b/>
      <i/>
      <sz val="11"/>
      <color theme="1"/>
      <name val="Calibri"/>
      <family val="2"/>
      <scheme val="minor"/>
    </font>
    <font>
      <sz val="10"/>
      <name val="Calibri"/>
      <family val="2"/>
      <scheme val="minor"/>
    </font>
    <font>
      <b/>
      <i/>
      <u/>
      <sz val="10"/>
      <color theme="1"/>
      <name val="Calibri"/>
      <family val="2"/>
      <scheme val="minor"/>
    </font>
    <font>
      <b/>
      <sz val="9"/>
      <color theme="1"/>
      <name val="Calibri"/>
      <family val="2"/>
      <scheme val="minor"/>
    </font>
    <font>
      <sz val="8"/>
      <name val="Calibri"/>
      <family val="2"/>
      <scheme val="minor"/>
    </font>
  </fonts>
  <fills count="12">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theme="3" tint="0.39997558519241921"/>
        <bgColor indexed="64"/>
      </patternFill>
    </fill>
    <fill>
      <patternFill patternType="solid">
        <fgColor rgb="FFFFC000"/>
        <bgColor indexed="64"/>
      </patternFill>
    </fill>
    <fill>
      <patternFill patternType="solid">
        <fgColor theme="1"/>
        <bgColor indexed="64"/>
      </patternFill>
    </fill>
    <fill>
      <patternFill patternType="solid">
        <fgColor theme="4" tint="0.39997558519241921"/>
        <bgColor indexed="64"/>
      </patternFill>
    </fill>
    <fill>
      <patternFill patternType="solid">
        <fgColor theme="2" tint="-0.249977111117893"/>
        <bgColor indexed="64"/>
      </patternFill>
    </fill>
    <fill>
      <patternFill patternType="solid">
        <fgColor rgb="FFFFFF00"/>
        <bgColor indexed="64"/>
      </patternFill>
    </fill>
    <fill>
      <patternFill patternType="solid">
        <fgColor theme="3" tint="0.59999389629810485"/>
        <bgColor indexed="64"/>
      </patternFill>
    </fill>
    <fill>
      <patternFill patternType="solid">
        <fgColor theme="3" tint="0.79998168889431442"/>
        <bgColor indexed="64"/>
      </patternFill>
    </fill>
  </fills>
  <borders count="4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
      <left/>
      <right style="thin">
        <color indexed="64"/>
      </right>
      <top style="thin">
        <color indexed="64"/>
      </top>
      <bottom/>
      <diagonal/>
    </border>
    <border>
      <left style="medium">
        <color indexed="64"/>
      </left>
      <right/>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style="medium">
        <color indexed="64"/>
      </left>
      <right style="thin">
        <color indexed="64"/>
      </right>
      <top style="thin">
        <color indexed="64"/>
      </top>
      <bottom style="thin">
        <color indexed="64"/>
      </bottom>
      <diagonal/>
    </border>
    <border>
      <left/>
      <right style="medium">
        <color indexed="64"/>
      </right>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top/>
      <bottom style="medium">
        <color indexed="64"/>
      </bottom>
      <diagonal/>
    </border>
    <border>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s>
  <cellStyleXfs count="3">
    <xf numFmtId="0" fontId="0" fillId="0" borderId="0"/>
    <xf numFmtId="44" fontId="1" fillId="0" borderId="0" applyFont="0" applyFill="0" applyBorder="0" applyAlignment="0" applyProtection="0"/>
    <xf numFmtId="164" fontId="1" fillId="0" borderId="0" applyFont="0" applyFill="0" applyBorder="0" applyAlignment="0" applyProtection="0"/>
  </cellStyleXfs>
  <cellXfs count="216">
    <xf numFmtId="0" fontId="0" fillId="0" borderId="0" xfId="0"/>
    <xf numFmtId="0" fontId="0" fillId="0" borderId="16" xfId="0" applyBorder="1"/>
    <xf numFmtId="0" fontId="2" fillId="0" borderId="0" xfId="0" applyFont="1"/>
    <xf numFmtId="0" fontId="2" fillId="5" borderId="9" xfId="0" applyFont="1" applyFill="1" applyBorder="1"/>
    <xf numFmtId="0" fontId="2" fillId="5" borderId="10" xfId="0" applyFont="1" applyFill="1" applyBorder="1"/>
    <xf numFmtId="0" fontId="0" fillId="0" borderId="1" xfId="0" applyBorder="1"/>
    <xf numFmtId="0" fontId="0" fillId="3" borderId="0" xfId="0" applyFill="1"/>
    <xf numFmtId="0" fontId="0" fillId="0" borderId="5" xfId="0" applyBorder="1"/>
    <xf numFmtId="0" fontId="0" fillId="5" borderId="12" xfId="0" applyFill="1" applyBorder="1"/>
    <xf numFmtId="10" fontId="2" fillId="5" borderId="10" xfId="0" applyNumberFormat="1" applyFont="1" applyFill="1" applyBorder="1"/>
    <xf numFmtId="0" fontId="2" fillId="5" borderId="14" xfId="0" applyFont="1" applyFill="1" applyBorder="1"/>
    <xf numFmtId="0" fontId="2" fillId="5" borderId="12" xfId="0" applyFont="1" applyFill="1" applyBorder="1"/>
    <xf numFmtId="10" fontId="2" fillId="5" borderId="12" xfId="0" applyNumberFormat="1" applyFont="1" applyFill="1" applyBorder="1"/>
    <xf numFmtId="0" fontId="0" fillId="5" borderId="15" xfId="0" applyFill="1" applyBorder="1"/>
    <xf numFmtId="0" fontId="2" fillId="3" borderId="14" xfId="0" applyFont="1" applyFill="1" applyBorder="1"/>
    <xf numFmtId="0" fontId="2" fillId="3" borderId="16" xfId="0" applyFont="1" applyFill="1" applyBorder="1"/>
    <xf numFmtId="0" fontId="2" fillId="3" borderId="0" xfId="0" applyFont="1" applyFill="1"/>
    <xf numFmtId="0" fontId="2" fillId="3" borderId="17" xfId="0" applyFont="1" applyFill="1" applyBorder="1"/>
    <xf numFmtId="0" fontId="2" fillId="3" borderId="9" xfId="0" applyFont="1" applyFill="1" applyBorder="1"/>
    <xf numFmtId="0" fontId="2" fillId="3" borderId="10" xfId="0" applyFont="1" applyFill="1" applyBorder="1"/>
    <xf numFmtId="0" fontId="2" fillId="3" borderId="11" xfId="0" applyFont="1" applyFill="1" applyBorder="1"/>
    <xf numFmtId="8" fontId="0" fillId="0" borderId="0" xfId="0" applyNumberFormat="1"/>
    <xf numFmtId="4" fontId="5" fillId="0" borderId="0" xfId="0" applyNumberFormat="1" applyFont="1"/>
    <xf numFmtId="0" fontId="6" fillId="0" borderId="1" xfId="0" applyFont="1" applyBorder="1"/>
    <xf numFmtId="0" fontId="2" fillId="4" borderId="1" xfId="0" applyFont="1" applyFill="1" applyBorder="1"/>
    <xf numFmtId="0" fontId="2" fillId="8" borderId="1" xfId="0" applyFont="1" applyFill="1" applyBorder="1"/>
    <xf numFmtId="0" fontId="11" fillId="4" borderId="1" xfId="0" applyFont="1" applyFill="1" applyBorder="1"/>
    <xf numFmtId="0" fontId="12" fillId="4" borderId="1" xfId="0" applyFont="1" applyFill="1" applyBorder="1"/>
    <xf numFmtId="44" fontId="0" fillId="0" borderId="1" xfId="1" applyFont="1" applyBorder="1"/>
    <xf numFmtId="4" fontId="5" fillId="0" borderId="0" xfId="0" applyNumberFormat="1" applyFont="1" applyAlignment="1">
      <alignment wrapText="1"/>
    </xf>
    <xf numFmtId="0" fontId="0" fillId="0" borderId="0" xfId="0" applyAlignment="1">
      <alignment wrapText="1"/>
    </xf>
    <xf numFmtId="44" fontId="3" fillId="2" borderId="1" xfId="1" applyFont="1" applyFill="1" applyBorder="1"/>
    <xf numFmtId="44" fontId="0" fillId="0" borderId="0" xfId="1" applyFont="1"/>
    <xf numFmtId="44" fontId="0" fillId="0" borderId="0" xfId="0" applyNumberFormat="1"/>
    <xf numFmtId="0" fontId="9" fillId="6" borderId="0" xfId="0" applyFont="1" applyFill="1"/>
    <xf numFmtId="44" fontId="9" fillId="6" borderId="0" xfId="1" applyFont="1" applyFill="1"/>
    <xf numFmtId="44" fontId="0" fillId="0" borderId="0" xfId="0" applyNumberFormat="1" applyAlignment="1">
      <alignment wrapText="1"/>
    </xf>
    <xf numFmtId="0" fontId="0" fillId="4" borderId="0" xfId="0" applyFill="1"/>
    <xf numFmtId="0" fontId="2" fillId="4" borderId="0" xfId="0" applyFont="1" applyFill="1"/>
    <xf numFmtId="0" fontId="13" fillId="0" borderId="0" xfId="0" applyFont="1"/>
    <xf numFmtId="0" fontId="2" fillId="4" borderId="3" xfId="0" applyFont="1" applyFill="1" applyBorder="1"/>
    <xf numFmtId="0" fontId="0" fillId="2" borderId="1" xfId="0" applyFill="1" applyBorder="1"/>
    <xf numFmtId="0" fontId="0" fillId="0" borderId="1" xfId="0" applyBorder="1" applyAlignment="1">
      <alignment vertical="center" wrapText="1"/>
    </xf>
    <xf numFmtId="44" fontId="0" fillId="3" borderId="0" xfId="1" applyFont="1" applyFill="1" applyAlignment="1"/>
    <xf numFmtId="0" fontId="17" fillId="10" borderId="1" xfId="0" applyFont="1" applyFill="1" applyBorder="1"/>
    <xf numFmtId="44" fontId="0" fillId="4" borderId="0" xfId="1" applyFont="1" applyFill="1"/>
    <xf numFmtId="44" fontId="0" fillId="3" borderId="0" xfId="1" applyFont="1" applyFill="1" applyBorder="1" applyAlignment="1">
      <alignment vertical="center"/>
    </xf>
    <xf numFmtId="0" fontId="15" fillId="3" borderId="20" xfId="0" applyFont="1" applyFill="1" applyBorder="1" applyAlignment="1">
      <alignment horizontal="center" vertical="center" wrapText="1"/>
    </xf>
    <xf numFmtId="0" fontId="15" fillId="3" borderId="18" xfId="0" applyFont="1" applyFill="1" applyBorder="1" applyAlignment="1">
      <alignment horizontal="center" vertical="center" wrapText="1"/>
    </xf>
    <xf numFmtId="0" fontId="2" fillId="4" borderId="1" xfId="0" applyFont="1" applyFill="1" applyBorder="1" applyAlignment="1">
      <alignment wrapText="1"/>
    </xf>
    <xf numFmtId="44" fontId="5" fillId="5" borderId="11" xfId="0" applyNumberFormat="1" applyFont="1" applyFill="1" applyBorder="1"/>
    <xf numFmtId="0" fontId="5" fillId="3" borderId="15" xfId="0" applyFont="1" applyFill="1" applyBorder="1"/>
    <xf numFmtId="0" fontId="5" fillId="3" borderId="0" xfId="0" applyFont="1" applyFill="1"/>
    <xf numFmtId="0" fontId="5" fillId="3" borderId="17" xfId="0" applyFont="1" applyFill="1" applyBorder="1"/>
    <xf numFmtId="0" fontId="2" fillId="3" borderId="10" xfId="0" applyFont="1" applyFill="1" applyBorder="1" applyAlignment="1">
      <alignment horizontal="left"/>
    </xf>
    <xf numFmtId="0" fontId="5" fillId="7" borderId="9" xfId="0" applyFont="1" applyFill="1" applyBorder="1"/>
    <xf numFmtId="44" fontId="5" fillId="7" borderId="11" xfId="0" applyNumberFormat="1" applyFont="1" applyFill="1" applyBorder="1"/>
    <xf numFmtId="0" fontId="4" fillId="0" borderId="1" xfId="0" applyFont="1" applyBorder="1"/>
    <xf numFmtId="44" fontId="10" fillId="4" borderId="21" xfId="1" applyFont="1" applyFill="1" applyBorder="1"/>
    <xf numFmtId="0" fontId="18" fillId="0" borderId="1" xfId="1" applyNumberFormat="1" applyFont="1" applyBorder="1" applyAlignment="1">
      <alignment horizontal="left"/>
    </xf>
    <xf numFmtId="0" fontId="0" fillId="0" borderId="6" xfId="0" applyBorder="1" applyAlignment="1">
      <alignment horizontal="left" vertical="center" wrapText="1"/>
    </xf>
    <xf numFmtId="44" fontId="4" fillId="2" borderId="6" xfId="1" applyFont="1" applyFill="1" applyBorder="1"/>
    <xf numFmtId="0" fontId="0" fillId="0" borderId="25" xfId="0" applyBorder="1" applyAlignment="1">
      <alignment horizontal="left" vertical="center" wrapText="1"/>
    </xf>
    <xf numFmtId="8" fontId="7" fillId="4" borderId="22" xfId="0" applyNumberFormat="1" applyFont="1" applyFill="1" applyBorder="1"/>
    <xf numFmtId="0" fontId="18" fillId="0" borderId="4" xfId="0" applyFont="1" applyBorder="1"/>
    <xf numFmtId="0" fontId="7" fillId="8" borderId="6" xfId="0" applyFont="1" applyFill="1" applyBorder="1"/>
    <xf numFmtId="44" fontId="10" fillId="8" borderId="13" xfId="1" applyFont="1" applyFill="1" applyBorder="1"/>
    <xf numFmtId="0" fontId="4" fillId="0" borderId="0" xfId="0" applyFont="1"/>
    <xf numFmtId="0" fontId="18" fillId="0" borderId="17" xfId="0" applyFont="1" applyBorder="1"/>
    <xf numFmtId="0" fontId="7" fillId="5" borderId="10" xfId="0" applyFont="1" applyFill="1" applyBorder="1"/>
    <xf numFmtId="44" fontId="10" fillId="5" borderId="11" xfId="0" applyNumberFormat="1" applyFont="1" applyFill="1" applyBorder="1"/>
    <xf numFmtId="0" fontId="4" fillId="5" borderId="12" xfId="0" applyFont="1" applyFill="1" applyBorder="1"/>
    <xf numFmtId="0" fontId="4" fillId="5" borderId="15" xfId="0" applyFont="1" applyFill="1" applyBorder="1"/>
    <xf numFmtId="44" fontId="0" fillId="0" borderId="0" xfId="1" applyFont="1" applyBorder="1"/>
    <xf numFmtId="0" fontId="3" fillId="0" borderId="1" xfId="0" applyFont="1" applyBorder="1" applyAlignment="1">
      <alignment vertical="center" wrapText="1"/>
    </xf>
    <xf numFmtId="44" fontId="9" fillId="6" borderId="0" xfId="0" applyNumberFormat="1" applyFont="1" applyFill="1"/>
    <xf numFmtId="44" fontId="3" fillId="0" borderId="1" xfId="1" applyFont="1" applyBorder="1" applyAlignment="1">
      <alignment vertical="center" wrapText="1"/>
    </xf>
    <xf numFmtId="0" fontId="0" fillId="2" borderId="0" xfId="0" applyFill="1"/>
    <xf numFmtId="166" fontId="0" fillId="0" borderId="0" xfId="0" applyNumberFormat="1"/>
    <xf numFmtId="167" fontId="0" fillId="0" borderId="0" xfId="0" applyNumberFormat="1"/>
    <xf numFmtId="44" fontId="8" fillId="2" borderId="6" xfId="1" applyFont="1" applyFill="1" applyBorder="1"/>
    <xf numFmtId="0" fontId="9" fillId="6" borderId="2" xfId="0" applyFont="1" applyFill="1" applyBorder="1"/>
    <xf numFmtId="44" fontId="0" fillId="0" borderId="2" xfId="1" applyFont="1" applyBorder="1"/>
    <xf numFmtId="0" fontId="0" fillId="0" borderId="0" xfId="0" applyAlignment="1">
      <alignment horizontal="left" vertical="center" wrapText="1"/>
    </xf>
    <xf numFmtId="0" fontId="2" fillId="11" borderId="30" xfId="0" applyFont="1" applyFill="1" applyBorder="1" applyAlignment="1">
      <alignment horizontal="left" vertical="center" wrapText="1"/>
    </xf>
    <xf numFmtId="44" fontId="2" fillId="11" borderId="28" xfId="1" applyFont="1" applyFill="1" applyBorder="1" applyAlignment="1">
      <alignment horizontal="left" vertical="center" wrapText="1"/>
    </xf>
    <xf numFmtId="44" fontId="0" fillId="0" borderId="1" xfId="0" applyNumberFormat="1" applyBorder="1" applyAlignment="1">
      <alignment vertical="center" wrapText="1"/>
    </xf>
    <xf numFmtId="44" fontId="0" fillId="0" borderId="1" xfId="1" applyFont="1" applyBorder="1" applyAlignment="1">
      <alignment vertical="center" wrapText="1"/>
    </xf>
    <xf numFmtId="43" fontId="0" fillId="0" borderId="0" xfId="0" applyNumberFormat="1"/>
    <xf numFmtId="0" fontId="0" fillId="10" borderId="1" xfId="0" applyFill="1" applyBorder="1"/>
    <xf numFmtId="8" fontId="5" fillId="4" borderId="21" xfId="1" applyNumberFormat="1" applyFont="1" applyFill="1" applyBorder="1"/>
    <xf numFmtId="44" fontId="19" fillId="4" borderId="3" xfId="1" applyFont="1" applyFill="1" applyBorder="1"/>
    <xf numFmtId="44" fontId="3" fillId="0" borderId="3" xfId="1" applyFont="1" applyBorder="1" applyAlignment="1">
      <alignment wrapText="1"/>
    </xf>
    <xf numFmtId="8" fontId="5" fillId="4" borderId="13" xfId="1" applyNumberFormat="1" applyFont="1" applyFill="1" applyBorder="1"/>
    <xf numFmtId="44" fontId="5" fillId="4" borderId="1" xfId="1" applyFont="1" applyFill="1" applyBorder="1"/>
    <xf numFmtId="44" fontId="5" fillId="4" borderId="21" xfId="1" applyFont="1" applyFill="1" applyBorder="1"/>
    <xf numFmtId="0" fontId="0" fillId="4" borderId="1" xfId="0" applyFill="1" applyBorder="1"/>
    <xf numFmtId="44" fontId="3" fillId="4" borderId="3" xfId="1" applyFont="1" applyFill="1" applyBorder="1"/>
    <xf numFmtId="44" fontId="5" fillId="4" borderId="13" xfId="1" applyFont="1" applyFill="1" applyBorder="1"/>
    <xf numFmtId="44" fontId="5" fillId="4" borderId="2" xfId="1" applyFont="1" applyFill="1" applyBorder="1"/>
    <xf numFmtId="44" fontId="3" fillId="2" borderId="3" xfId="1" applyFont="1" applyFill="1" applyBorder="1"/>
    <xf numFmtId="0" fontId="0" fillId="0" borderId="7" xfId="0" applyBorder="1" applyAlignment="1">
      <alignment horizontal="left" vertical="center" wrapText="1"/>
    </xf>
    <xf numFmtId="0" fontId="18" fillId="2" borderId="1" xfId="0" applyFont="1" applyFill="1" applyBorder="1"/>
    <xf numFmtId="0" fontId="18" fillId="2" borderId="1" xfId="1" applyNumberFormat="1" applyFont="1" applyFill="1" applyBorder="1" applyAlignment="1"/>
    <xf numFmtId="0" fontId="18" fillId="2" borderId="2" xfId="1" applyNumberFormat="1" applyFont="1" applyFill="1" applyBorder="1" applyAlignment="1"/>
    <xf numFmtId="0" fontId="0" fillId="0" borderId="6" xfId="0" applyBorder="1" applyAlignment="1">
      <alignment horizontal="left" vertical="center"/>
    </xf>
    <xf numFmtId="166" fontId="0" fillId="2" borderId="0" xfId="1" applyNumberFormat="1" applyFont="1" applyFill="1" applyAlignment="1"/>
    <xf numFmtId="8" fontId="0" fillId="2" borderId="1" xfId="0" applyNumberFormat="1" applyFill="1" applyBorder="1"/>
    <xf numFmtId="8" fontId="17" fillId="10" borderId="1" xfId="0" applyNumberFormat="1" applyFont="1" applyFill="1" applyBorder="1"/>
    <xf numFmtId="8" fontId="0" fillId="2" borderId="6" xfId="0" applyNumberFormat="1" applyFill="1" applyBorder="1"/>
    <xf numFmtId="8" fontId="17" fillId="10" borderId="6" xfId="0" applyNumberFormat="1" applyFont="1" applyFill="1" applyBorder="1"/>
    <xf numFmtId="8" fontId="2" fillId="4" borderId="6" xfId="0" applyNumberFormat="1" applyFont="1" applyFill="1" applyBorder="1"/>
    <xf numFmtId="8" fontId="12" fillId="4" borderId="1" xfId="0" applyNumberFormat="1" applyFont="1" applyFill="1" applyBorder="1"/>
    <xf numFmtId="8" fontId="0" fillId="2" borderId="1" xfId="0" applyNumberFormat="1" applyFill="1" applyBorder="1" applyAlignment="1">
      <alignment horizontal="right"/>
    </xf>
    <xf numFmtId="44" fontId="2" fillId="4" borderId="6" xfId="1" applyFont="1" applyFill="1" applyBorder="1"/>
    <xf numFmtId="44" fontId="2" fillId="4" borderId="1" xfId="1" applyFont="1" applyFill="1" applyBorder="1"/>
    <xf numFmtId="44" fontId="0" fillId="4" borderId="1" xfId="1" applyFont="1" applyFill="1" applyBorder="1"/>
    <xf numFmtId="44" fontId="0" fillId="2" borderId="1" xfId="1" applyFont="1" applyFill="1" applyBorder="1"/>
    <xf numFmtId="44" fontId="0" fillId="4" borderId="6" xfId="1" applyFont="1" applyFill="1" applyBorder="1"/>
    <xf numFmtId="44" fontId="2" fillId="4" borderId="6" xfId="1" applyFont="1" applyFill="1" applyBorder="1" applyAlignment="1">
      <alignment horizontal="center"/>
    </xf>
    <xf numFmtId="0" fontId="13" fillId="0" borderId="1" xfId="0" applyFont="1" applyBorder="1"/>
    <xf numFmtId="0" fontId="13" fillId="0" borderId="1" xfId="0" applyFont="1" applyBorder="1" applyAlignment="1">
      <alignment horizontal="center"/>
    </xf>
    <xf numFmtId="44" fontId="15" fillId="0" borderId="1" xfId="1" applyFont="1" applyBorder="1"/>
    <xf numFmtId="44" fontId="13" fillId="2" borderId="1" xfId="1" applyFont="1" applyFill="1" applyBorder="1"/>
    <xf numFmtId="165" fontId="13" fillId="0" borderId="1" xfId="0" applyNumberFormat="1" applyFont="1" applyBorder="1"/>
    <xf numFmtId="165" fontId="13" fillId="0" borderId="1" xfId="1" applyNumberFormat="1" applyFont="1" applyBorder="1"/>
    <xf numFmtId="165" fontId="13" fillId="0" borderId="6" xfId="1" applyNumberFormat="1" applyFont="1" applyBorder="1"/>
    <xf numFmtId="44" fontId="15" fillId="0" borderId="27" xfId="1" applyFont="1" applyBorder="1"/>
    <xf numFmtId="44" fontId="15" fillId="0" borderId="29" xfId="1" applyFont="1" applyBorder="1"/>
    <xf numFmtId="0" fontId="13" fillId="2" borderId="1" xfId="0" applyFont="1" applyFill="1" applyBorder="1"/>
    <xf numFmtId="44" fontId="15" fillId="2" borderId="1" xfId="1" applyFont="1" applyFill="1" applyBorder="1"/>
    <xf numFmtId="166" fontId="13" fillId="2" borderId="1" xfId="1" applyNumberFormat="1" applyFont="1" applyFill="1" applyBorder="1"/>
    <xf numFmtId="44" fontId="15" fillId="0" borderId="2" xfId="1" applyFont="1" applyBorder="1"/>
    <xf numFmtId="44" fontId="15" fillId="2" borderId="2" xfId="1" applyFont="1" applyFill="1" applyBorder="1"/>
    <xf numFmtId="0" fontId="13" fillId="0" borderId="1" xfId="0" applyFont="1" applyBorder="1" applyAlignment="1">
      <alignment vertical="center" wrapText="1"/>
    </xf>
    <xf numFmtId="0" fontId="13" fillId="0" borderId="2" xfId="0" applyFont="1" applyBorder="1"/>
    <xf numFmtId="0" fontId="13" fillId="4" borderId="13" xfId="0" applyFont="1" applyFill="1" applyBorder="1" applyAlignment="1">
      <alignment horizontal="center"/>
    </xf>
    <xf numFmtId="44" fontId="13" fillId="4" borderId="13" xfId="0" applyNumberFormat="1" applyFont="1" applyFill="1" applyBorder="1"/>
    <xf numFmtId="165" fontId="13" fillId="4" borderId="13" xfId="0" applyNumberFormat="1" applyFont="1" applyFill="1" applyBorder="1"/>
    <xf numFmtId="166" fontId="13" fillId="4" borderId="13" xfId="0" applyNumberFormat="1" applyFont="1" applyFill="1" applyBorder="1"/>
    <xf numFmtId="44" fontId="13" fillId="4" borderId="21" xfId="0" applyNumberFormat="1" applyFont="1" applyFill="1" applyBorder="1"/>
    <xf numFmtId="169" fontId="13" fillId="0" borderId="1" xfId="0" applyNumberFormat="1" applyFont="1" applyBorder="1" applyAlignment="1">
      <alignment horizontal="center"/>
    </xf>
    <xf numFmtId="169" fontId="13" fillId="2" borderId="1" xfId="0" applyNumberFormat="1" applyFont="1" applyFill="1" applyBorder="1" applyAlignment="1">
      <alignment horizontal="center"/>
    </xf>
    <xf numFmtId="0" fontId="13" fillId="3" borderId="18" xfId="0" applyFont="1" applyFill="1" applyBorder="1" applyAlignment="1">
      <alignment horizontal="center" vertical="center"/>
    </xf>
    <xf numFmtId="0" fontId="13" fillId="3" borderId="19" xfId="0" applyFont="1" applyFill="1" applyBorder="1" applyAlignment="1">
      <alignment horizontal="center" vertical="center"/>
    </xf>
    <xf numFmtId="0" fontId="20" fillId="4" borderId="28" xfId="0" applyFont="1" applyFill="1" applyBorder="1" applyAlignment="1">
      <alignment horizontal="left"/>
    </xf>
    <xf numFmtId="0" fontId="0" fillId="0" borderId="6" xfId="0" applyBorder="1"/>
    <xf numFmtId="0" fontId="0" fillId="0" borderId="7" xfId="0" applyBorder="1"/>
    <xf numFmtId="0" fontId="0" fillId="0" borderId="27" xfId="0" applyBorder="1" applyAlignment="1">
      <alignment horizontal="left" vertical="center"/>
    </xf>
    <xf numFmtId="44" fontId="0" fillId="0" borderId="32" xfId="1" applyFont="1" applyBorder="1" applyAlignment="1">
      <alignment vertical="center" wrapText="1"/>
    </xf>
    <xf numFmtId="0" fontId="0" fillId="0" borderId="27" xfId="0" applyBorder="1" applyAlignment="1">
      <alignment vertical="center" wrapText="1"/>
    </xf>
    <xf numFmtId="0" fontId="2" fillId="11" borderId="33" xfId="0" applyFont="1" applyFill="1" applyBorder="1" applyAlignment="1">
      <alignment horizontal="left" vertical="center" wrapText="1"/>
    </xf>
    <xf numFmtId="44" fontId="2" fillId="11" borderId="34" xfId="1" applyFont="1" applyFill="1" applyBorder="1" applyAlignment="1">
      <alignment horizontal="left" vertical="center" wrapText="1"/>
    </xf>
    <xf numFmtId="0" fontId="0" fillId="0" borderId="35" xfId="0" applyBorder="1" applyAlignment="1">
      <alignment vertical="center" wrapText="1"/>
    </xf>
    <xf numFmtId="44" fontId="0" fillId="0" borderId="36" xfId="1" applyFont="1" applyBorder="1" applyAlignment="1">
      <alignment vertical="center" wrapText="1"/>
    </xf>
    <xf numFmtId="44" fontId="13" fillId="0" borderId="0" xfId="1" applyFont="1"/>
    <xf numFmtId="44" fontId="3" fillId="0" borderId="0" xfId="0" applyNumberFormat="1" applyFont="1"/>
    <xf numFmtId="0" fontId="18" fillId="2" borderId="2" xfId="0" applyFont="1" applyFill="1" applyBorder="1"/>
    <xf numFmtId="0" fontId="18" fillId="0" borderId="2" xfId="1" applyNumberFormat="1" applyFont="1" applyBorder="1"/>
    <xf numFmtId="44" fontId="13" fillId="8" borderId="13" xfId="1" applyFont="1" applyFill="1" applyBorder="1" applyAlignment="1">
      <alignment vertical="center"/>
    </xf>
    <xf numFmtId="0" fontId="2" fillId="8" borderId="37" xfId="0" applyFont="1" applyFill="1" applyBorder="1"/>
    <xf numFmtId="0" fontId="2" fillId="8" borderId="38" xfId="0" applyFont="1" applyFill="1" applyBorder="1"/>
    <xf numFmtId="0" fontId="2" fillId="8" borderId="39" xfId="0" applyFont="1" applyFill="1" applyBorder="1"/>
    <xf numFmtId="44" fontId="0" fillId="2" borderId="2" xfId="1" applyFont="1" applyFill="1" applyBorder="1" applyAlignment="1">
      <alignment horizontal="center" wrapText="1"/>
    </xf>
    <xf numFmtId="44" fontId="0" fillId="2" borderId="3" xfId="1" applyFont="1" applyFill="1" applyBorder="1" applyAlignment="1">
      <alignment horizontal="center" wrapText="1"/>
    </xf>
    <xf numFmtId="16" fontId="18" fillId="2" borderId="2" xfId="0" applyNumberFormat="1" applyFont="1" applyFill="1" applyBorder="1" applyAlignment="1">
      <alignment horizontal="left"/>
    </xf>
    <xf numFmtId="16" fontId="18" fillId="2" borderId="3" xfId="0" applyNumberFormat="1" applyFont="1" applyFill="1" applyBorder="1" applyAlignment="1">
      <alignment horizontal="left"/>
    </xf>
    <xf numFmtId="0" fontId="5" fillId="3" borderId="12" xfId="0" applyFont="1" applyFill="1" applyBorder="1" applyAlignment="1">
      <alignment horizontal="left" vertical="center" wrapText="1"/>
    </xf>
    <xf numFmtId="0" fontId="2" fillId="9" borderId="0" xfId="0" applyFont="1" applyFill="1" applyAlignment="1">
      <alignment horizontal="center" vertical="center" wrapText="1"/>
    </xf>
    <xf numFmtId="0" fontId="9" fillId="6" borderId="0" xfId="0" applyFont="1" applyFill="1" applyAlignment="1">
      <alignment horizontal="center" vertical="center"/>
    </xf>
    <xf numFmtId="0" fontId="0" fillId="0" borderId="6" xfId="0" applyBorder="1" applyAlignment="1">
      <alignment horizontal="left" vertical="center" wrapText="1"/>
    </xf>
    <xf numFmtId="0" fontId="0" fillId="0" borderId="7" xfId="0" applyBorder="1" applyAlignment="1">
      <alignment horizontal="left" vertical="center" wrapText="1"/>
    </xf>
    <xf numFmtId="0" fontId="0" fillId="2" borderId="6" xfId="0" applyFill="1" applyBorder="1" applyAlignment="1">
      <alignment horizontal="left" vertical="center" wrapText="1"/>
    </xf>
    <xf numFmtId="0" fontId="0" fillId="2" borderId="7" xfId="0" applyFill="1" applyBorder="1" applyAlignment="1">
      <alignment horizontal="left" vertical="center" wrapText="1"/>
    </xf>
    <xf numFmtId="0" fontId="2" fillId="3" borderId="8" xfId="0" applyFont="1" applyFill="1" applyBorder="1" applyAlignment="1">
      <alignment horizontal="left" vertical="center" wrapText="1"/>
    </xf>
    <xf numFmtId="0" fontId="2" fillId="3" borderId="28" xfId="0" applyFont="1" applyFill="1" applyBorder="1" applyAlignment="1">
      <alignment horizontal="left" vertical="center" wrapText="1"/>
    </xf>
    <xf numFmtId="0" fontId="2" fillId="7" borderId="0" xfId="0" applyFont="1" applyFill="1" applyAlignment="1">
      <alignment horizontal="left" vertical="center" wrapText="1"/>
    </xf>
    <xf numFmtId="0" fontId="16" fillId="9" borderId="0" xfId="0" applyFont="1" applyFill="1" applyAlignment="1">
      <alignment horizontal="center" vertical="center"/>
    </xf>
    <xf numFmtId="0" fontId="0" fillId="0" borderId="26" xfId="0" applyBorder="1" applyAlignment="1">
      <alignment horizontal="left" vertical="center" wrapText="1"/>
    </xf>
    <xf numFmtId="0" fontId="0" fillId="0" borderId="23" xfId="0" applyBorder="1" applyAlignment="1">
      <alignment horizontal="left" vertical="center" wrapText="1"/>
    </xf>
    <xf numFmtId="0" fontId="0" fillId="0" borderId="22" xfId="0" applyBorder="1" applyAlignment="1">
      <alignment horizontal="left" vertical="center" wrapText="1"/>
    </xf>
    <xf numFmtId="0" fontId="0" fillId="0" borderId="31" xfId="0" applyBorder="1" applyAlignment="1">
      <alignment horizontal="left" vertical="center" wrapText="1"/>
    </xf>
    <xf numFmtId="0" fontId="0" fillId="3" borderId="0" xfId="0" applyFill="1" applyAlignment="1">
      <alignment horizontal="left"/>
    </xf>
    <xf numFmtId="0" fontId="13" fillId="3" borderId="18" xfId="0" applyFont="1" applyFill="1" applyBorder="1" applyAlignment="1">
      <alignment horizontal="center" vertical="center" wrapText="1"/>
    </xf>
    <xf numFmtId="0" fontId="13" fillId="3" borderId="20" xfId="0" applyFont="1" applyFill="1" applyBorder="1" applyAlignment="1">
      <alignment horizontal="center" vertical="center" wrapText="1"/>
    </xf>
    <xf numFmtId="0" fontId="13" fillId="3" borderId="18" xfId="0" applyFont="1" applyFill="1" applyBorder="1" applyAlignment="1">
      <alignment horizontal="center" vertical="center"/>
    </xf>
    <xf numFmtId="0" fontId="13" fillId="3" borderId="19" xfId="0" applyFont="1" applyFill="1" applyBorder="1" applyAlignment="1">
      <alignment horizontal="center" vertical="center"/>
    </xf>
    <xf numFmtId="0" fontId="14" fillId="3" borderId="18" xfId="0" applyFont="1" applyFill="1" applyBorder="1" applyAlignment="1">
      <alignment horizontal="center" vertical="center" wrapText="1"/>
    </xf>
    <xf numFmtId="0" fontId="14" fillId="3" borderId="20" xfId="0" applyFont="1" applyFill="1" applyBorder="1" applyAlignment="1">
      <alignment horizontal="center" vertical="center" wrapText="1"/>
    </xf>
    <xf numFmtId="0" fontId="13" fillId="3" borderId="14" xfId="0" applyFont="1" applyFill="1" applyBorder="1" applyAlignment="1">
      <alignment horizontal="center" vertical="center" wrapText="1"/>
    </xf>
    <xf numFmtId="0" fontId="13" fillId="3" borderId="24" xfId="0" applyFont="1" applyFill="1" applyBorder="1" applyAlignment="1">
      <alignment horizontal="center" vertical="center" wrapText="1"/>
    </xf>
    <xf numFmtId="0" fontId="2" fillId="9" borderId="14" xfId="0" applyFont="1" applyFill="1" applyBorder="1" applyAlignment="1">
      <alignment horizontal="left" vertical="center" wrapText="1"/>
    </xf>
    <xf numFmtId="0" fontId="2" fillId="9" borderId="12" xfId="0" applyFont="1" applyFill="1" applyBorder="1" applyAlignment="1">
      <alignment horizontal="left" vertical="center" wrapText="1"/>
    </xf>
    <xf numFmtId="0" fontId="2" fillId="9" borderId="15" xfId="0" applyFont="1" applyFill="1" applyBorder="1" applyAlignment="1">
      <alignment horizontal="left" vertical="center" wrapText="1"/>
    </xf>
    <xf numFmtId="0" fontId="2" fillId="9" borderId="16" xfId="0" applyFont="1" applyFill="1" applyBorder="1" applyAlignment="1">
      <alignment horizontal="left" vertical="center" wrapText="1"/>
    </xf>
    <xf numFmtId="0" fontId="2" fillId="9" borderId="0" xfId="0" applyFont="1" applyFill="1" applyAlignment="1">
      <alignment horizontal="left" vertical="center" wrapText="1"/>
    </xf>
    <xf numFmtId="0" fontId="2" fillId="9" borderId="17" xfId="0" applyFont="1" applyFill="1" applyBorder="1" applyAlignment="1">
      <alignment horizontal="left" vertical="center" wrapText="1"/>
    </xf>
    <xf numFmtId="0" fontId="2" fillId="9" borderId="30" xfId="0" applyFont="1" applyFill="1" applyBorder="1" applyAlignment="1">
      <alignment horizontal="left" vertical="center" wrapText="1"/>
    </xf>
    <xf numFmtId="0" fontId="2" fillId="9" borderId="8" xfId="0" applyFont="1" applyFill="1" applyBorder="1" applyAlignment="1">
      <alignment horizontal="left" vertical="center" wrapText="1"/>
    </xf>
    <xf numFmtId="0" fontId="2" fillId="9" borderId="28" xfId="0" applyFont="1" applyFill="1" applyBorder="1" applyAlignment="1">
      <alignment horizontal="left" vertical="center" wrapText="1"/>
    </xf>
    <xf numFmtId="0" fontId="13" fillId="3" borderId="19" xfId="0" applyFont="1" applyFill="1" applyBorder="1" applyAlignment="1">
      <alignment horizontal="center" vertical="center" wrapText="1"/>
    </xf>
    <xf numFmtId="0" fontId="13" fillId="3" borderId="20" xfId="0" applyFont="1" applyFill="1" applyBorder="1" applyAlignment="1">
      <alignment horizontal="center" vertical="center"/>
    </xf>
    <xf numFmtId="0" fontId="15" fillId="3" borderId="18" xfId="0" applyFont="1" applyFill="1" applyBorder="1" applyAlignment="1">
      <alignment horizontal="center" vertical="center" wrapText="1"/>
    </xf>
    <xf numFmtId="0" fontId="15" fillId="3" borderId="19" xfId="0" applyFont="1" applyFill="1" applyBorder="1" applyAlignment="1">
      <alignment horizontal="center" vertical="center" wrapText="1"/>
    </xf>
    <xf numFmtId="0" fontId="0" fillId="0" borderId="0" xfId="0" applyAlignment="1">
      <alignment horizontal="left"/>
    </xf>
    <xf numFmtId="44" fontId="0" fillId="0" borderId="0" xfId="1" applyFont="1" applyAlignment="1">
      <alignment horizontal="center"/>
    </xf>
    <xf numFmtId="0" fontId="0" fillId="0" borderId="0" xfId="0" applyAlignment="1">
      <alignment horizontal="center"/>
    </xf>
    <xf numFmtId="44" fontId="0" fillId="3" borderId="0" xfId="1" applyFont="1" applyFill="1" applyAlignment="1">
      <alignment horizontal="center"/>
    </xf>
    <xf numFmtId="168" fontId="0" fillId="3" borderId="0" xfId="0" applyNumberFormat="1" applyFill="1" applyAlignment="1">
      <alignment horizontal="center"/>
    </xf>
    <xf numFmtId="0" fontId="13" fillId="0" borderId="6" xfId="0" applyFont="1" applyBorder="1"/>
    <xf numFmtId="0" fontId="13" fillId="0" borderId="7" xfId="0" applyFont="1" applyBorder="1"/>
    <xf numFmtId="0" fontId="20" fillId="4" borderId="8" xfId="0" applyFont="1" applyFill="1" applyBorder="1" applyAlignment="1">
      <alignment horizontal="left"/>
    </xf>
    <xf numFmtId="0" fontId="20" fillId="4" borderId="28" xfId="0" applyFont="1" applyFill="1" applyBorder="1" applyAlignment="1">
      <alignment horizontal="left"/>
    </xf>
    <xf numFmtId="44" fontId="8" fillId="2" borderId="1" xfId="1" applyFont="1" applyFill="1" applyBorder="1"/>
    <xf numFmtId="8" fontId="8" fillId="2" borderId="1" xfId="0" applyNumberFormat="1" applyFont="1" applyFill="1" applyBorder="1"/>
    <xf numFmtId="0" fontId="0" fillId="9" borderId="6" xfId="0" applyFill="1" applyBorder="1" applyAlignment="1">
      <alignment horizontal="left" vertical="center"/>
    </xf>
  </cellXfs>
  <cellStyles count="3">
    <cellStyle name="Moneda" xfId="1" builtinId="4"/>
    <cellStyle name="Moneda 2" xfId="2" xr:uid="{00000000-0005-0000-0000-000002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85725</xdr:colOff>
      <xdr:row>0</xdr:row>
      <xdr:rowOff>47625</xdr:rowOff>
    </xdr:from>
    <xdr:to>
      <xdr:col>0</xdr:col>
      <xdr:colOff>2247900</xdr:colOff>
      <xdr:row>2</xdr:row>
      <xdr:rowOff>742950</xdr:rowOff>
    </xdr:to>
    <xdr:pic>
      <xdr:nvPicPr>
        <xdr:cNvPr id="4" name="1 Imagen" descr="C:\Users\Particular\Desktop\NATI\CONSORCIOS RC\WhatsApp Image 2020-12-10 at 14.53.20.jpeg">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5725" y="247650"/>
          <a:ext cx="2162175" cy="1076325"/>
        </a:xfrm>
        <a:prstGeom prst="rect">
          <a:avLst/>
        </a:prstGeom>
        <a:noFill/>
        <a:ln>
          <a:noFill/>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11"/>
  <sheetViews>
    <sheetView tabSelected="1" topLeftCell="A37" workbookViewId="0">
      <selection activeCell="A55" sqref="A55"/>
    </sheetView>
  </sheetViews>
  <sheetFormatPr baseColWidth="10" defaultColWidth="10.88671875" defaultRowHeight="14.4" x14ac:dyDescent="0.3"/>
  <cols>
    <col min="1" max="1" width="37.5546875" customWidth="1"/>
    <col min="2" max="2" width="24.6640625" customWidth="1"/>
    <col min="3" max="3" width="15.88671875" hidden="1" customWidth="1"/>
    <col min="4" max="4" width="21.6640625" customWidth="1"/>
    <col min="5" max="5" width="14.6640625" customWidth="1"/>
    <col min="6" max="6" width="13" bestFit="1" customWidth="1"/>
    <col min="7" max="7" width="14.5546875" bestFit="1" customWidth="1"/>
    <col min="8" max="8" width="12" bestFit="1" customWidth="1"/>
    <col min="11" max="11" width="18" customWidth="1"/>
    <col min="12" max="12" width="18.33203125" customWidth="1"/>
  </cols>
  <sheetData>
    <row r="1" spans="1:5" ht="14.4" customHeight="1" x14ac:dyDescent="0.3">
      <c r="A1" s="14"/>
      <c r="B1" s="167" t="s">
        <v>121</v>
      </c>
      <c r="C1" s="167"/>
      <c r="D1" s="167"/>
      <c r="E1" s="51"/>
    </row>
    <row r="2" spans="1:5" x14ac:dyDescent="0.3">
      <c r="A2" s="15"/>
      <c r="B2" s="52" t="s">
        <v>23</v>
      </c>
      <c r="C2" s="52"/>
      <c r="D2" s="52"/>
      <c r="E2" s="53"/>
    </row>
    <row r="3" spans="1:5" ht="70.5" customHeight="1" thickBot="1" x14ac:dyDescent="0.35">
      <c r="A3" s="15"/>
      <c r="B3" s="174" t="s">
        <v>99</v>
      </c>
      <c r="C3" s="174"/>
      <c r="D3" s="174"/>
      <c r="E3" s="175"/>
    </row>
    <row r="4" spans="1:5" ht="15" thickBot="1" x14ac:dyDescent="0.35">
      <c r="A4" s="18" t="s">
        <v>0</v>
      </c>
      <c r="B4" s="54" t="s">
        <v>32</v>
      </c>
      <c r="C4" s="19"/>
      <c r="D4" s="19"/>
      <c r="E4" s="20"/>
    </row>
    <row r="5" spans="1:5" ht="15" thickBot="1" x14ac:dyDescent="0.35">
      <c r="A5" s="15" t="s">
        <v>100</v>
      </c>
      <c r="B5" s="19" t="s">
        <v>131</v>
      </c>
      <c r="C5" s="16"/>
      <c r="D5" s="52" t="s">
        <v>24</v>
      </c>
      <c r="E5" s="17"/>
    </row>
    <row r="6" spans="1:5" ht="15" thickBot="1" x14ac:dyDescent="0.35">
      <c r="A6" s="18" t="s">
        <v>133</v>
      </c>
      <c r="B6" s="19"/>
      <c r="C6" s="19"/>
      <c r="D6" s="19" t="s">
        <v>49</v>
      </c>
      <c r="E6" s="20"/>
    </row>
    <row r="8" spans="1:5" x14ac:dyDescent="0.3">
      <c r="B8" s="177" t="s">
        <v>130</v>
      </c>
      <c r="C8" s="177"/>
    </row>
    <row r="9" spans="1:5" x14ac:dyDescent="0.3">
      <c r="B9" s="177"/>
      <c r="C9" s="177"/>
    </row>
    <row r="10" spans="1:5" x14ac:dyDescent="0.3">
      <c r="B10" s="177"/>
      <c r="C10" s="177"/>
    </row>
    <row r="12" spans="1:5" hidden="1" x14ac:dyDescent="0.3"/>
    <row r="13" spans="1:5" ht="15" customHeight="1" x14ac:dyDescent="0.3">
      <c r="A13" s="176" t="s">
        <v>90</v>
      </c>
      <c r="B13" s="176"/>
      <c r="C13" s="176"/>
      <c r="D13" s="176"/>
      <c r="E13" s="176"/>
    </row>
    <row r="14" spans="1:5" ht="15" customHeight="1" x14ac:dyDescent="0.3">
      <c r="A14" s="176"/>
      <c r="B14" s="176"/>
      <c r="C14" s="176"/>
      <c r="D14" s="176"/>
      <c r="E14" s="176"/>
    </row>
    <row r="15" spans="1:5" ht="15" customHeight="1" x14ac:dyDescent="0.3">
      <c r="A15" s="176"/>
      <c r="B15" s="176"/>
      <c r="C15" s="176"/>
      <c r="D15" s="176"/>
      <c r="E15" s="176"/>
    </row>
    <row r="16" spans="1:5" ht="127.2" customHeight="1" x14ac:dyDescent="0.3">
      <c r="A16" s="176"/>
      <c r="B16" s="176"/>
      <c r="C16" s="176"/>
      <c r="D16" s="176"/>
      <c r="E16" s="176"/>
    </row>
    <row r="17" spans="1:7" ht="14.25" customHeight="1" thickBot="1" x14ac:dyDescent="0.35"/>
    <row r="18" spans="1:7" hidden="1" x14ac:dyDescent="0.3">
      <c r="A18" s="2"/>
    </row>
    <row r="19" spans="1:7" ht="15" hidden="1" thickBot="1" x14ac:dyDescent="0.35"/>
    <row r="20" spans="1:7" x14ac:dyDescent="0.3">
      <c r="A20" s="10" t="s">
        <v>9</v>
      </c>
      <c r="B20" s="11"/>
      <c r="C20" s="12"/>
      <c r="D20" s="8"/>
      <c r="E20" s="13"/>
    </row>
    <row r="21" spans="1:7" x14ac:dyDescent="0.3">
      <c r="A21" s="27" t="s">
        <v>28</v>
      </c>
      <c r="B21" s="27"/>
      <c r="C21" s="27"/>
      <c r="D21" s="26"/>
      <c r="E21" s="26"/>
    </row>
    <row r="22" spans="1:7" ht="34.5" customHeight="1" x14ac:dyDescent="0.3">
      <c r="A22" s="170" t="s">
        <v>101</v>
      </c>
      <c r="B22" s="171"/>
      <c r="C22" s="5"/>
      <c r="D22" s="107">
        <v>795882</v>
      </c>
      <c r="E22" s="5" t="s">
        <v>102</v>
      </c>
    </row>
    <row r="23" spans="1:7" x14ac:dyDescent="0.3">
      <c r="A23" s="5" t="s">
        <v>91</v>
      </c>
      <c r="B23" s="5"/>
      <c r="C23" s="5"/>
      <c r="D23" s="107"/>
      <c r="E23" s="5"/>
    </row>
    <row r="24" spans="1:7" x14ac:dyDescent="0.3">
      <c r="A24" s="5" t="s">
        <v>92</v>
      </c>
      <c r="B24" s="5"/>
      <c r="C24" s="5"/>
      <c r="D24" s="107"/>
      <c r="E24" s="5"/>
    </row>
    <row r="25" spans="1:7" x14ac:dyDescent="0.3">
      <c r="A25" s="5" t="s">
        <v>93</v>
      </c>
      <c r="B25" s="5"/>
      <c r="C25" s="5"/>
      <c r="D25" s="107"/>
      <c r="E25" s="5"/>
    </row>
    <row r="26" spans="1:7" ht="14.25" customHeight="1" x14ac:dyDescent="0.3">
      <c r="A26" s="44" t="s">
        <v>29</v>
      </c>
      <c r="B26" s="44"/>
      <c r="C26" s="44"/>
      <c r="D26" s="108">
        <f>SUM(D22:D25)</f>
        <v>795882</v>
      </c>
      <c r="E26" s="89"/>
      <c r="G26" s="21"/>
    </row>
    <row r="27" spans="1:7" ht="14.25" hidden="1" customHeight="1" x14ac:dyDescent="0.3">
      <c r="A27" s="5" t="s">
        <v>36</v>
      </c>
      <c r="B27" s="5"/>
      <c r="C27" s="5"/>
      <c r="D27" s="107"/>
      <c r="E27" s="5"/>
    </row>
    <row r="28" spans="1:7" hidden="1" x14ac:dyDescent="0.3">
      <c r="A28" s="23"/>
      <c r="B28" s="5"/>
      <c r="C28" s="5"/>
      <c r="D28" s="107"/>
      <c r="E28" s="5"/>
    </row>
    <row r="29" spans="1:7" hidden="1" x14ac:dyDescent="0.3">
      <c r="A29" s="5"/>
      <c r="B29" s="5"/>
      <c r="C29" s="5"/>
      <c r="D29" s="107"/>
      <c r="E29" s="5"/>
    </row>
    <row r="30" spans="1:7" hidden="1" x14ac:dyDescent="0.3">
      <c r="A30" s="5"/>
      <c r="B30" s="5"/>
      <c r="C30" s="5"/>
      <c r="D30" s="109"/>
      <c r="E30" s="5"/>
    </row>
    <row r="31" spans="1:7" ht="0.75" customHeight="1" x14ac:dyDescent="0.3">
      <c r="A31" s="5" t="s">
        <v>33</v>
      </c>
      <c r="B31" s="5"/>
      <c r="C31" s="5"/>
      <c r="D31" s="109"/>
      <c r="E31" s="5"/>
    </row>
    <row r="32" spans="1:7" hidden="1" x14ac:dyDescent="0.3">
      <c r="A32" s="44" t="s">
        <v>29</v>
      </c>
      <c r="B32" s="44"/>
      <c r="C32" s="44"/>
      <c r="D32" s="110">
        <f>SUM(D27:D31)</f>
        <v>0</v>
      </c>
      <c r="E32" s="89"/>
    </row>
    <row r="33" spans="1:7" ht="15" thickBot="1" x14ac:dyDescent="0.35">
      <c r="A33" s="24" t="s">
        <v>1</v>
      </c>
      <c r="B33" s="24"/>
      <c r="C33" s="24"/>
      <c r="D33" s="111"/>
      <c r="E33" s="90">
        <f>D26+D32</f>
        <v>795882</v>
      </c>
      <c r="F33" s="21"/>
    </row>
    <row r="34" spans="1:7" x14ac:dyDescent="0.3">
      <c r="A34" s="27" t="s">
        <v>18</v>
      </c>
      <c r="B34" s="27"/>
      <c r="C34" s="27"/>
      <c r="D34" s="112"/>
      <c r="E34" s="91"/>
    </row>
    <row r="35" spans="1:7" ht="15" customHeight="1" x14ac:dyDescent="0.3">
      <c r="A35" s="172" t="s">
        <v>109</v>
      </c>
      <c r="B35" s="173"/>
      <c r="C35" s="41"/>
      <c r="D35" s="214">
        <v>45000</v>
      </c>
      <c r="E35" s="92" t="s">
        <v>134</v>
      </c>
    </row>
    <row r="36" spans="1:7" ht="15" customHeight="1" thickBot="1" x14ac:dyDescent="0.35">
      <c r="A36" s="172" t="s">
        <v>107</v>
      </c>
      <c r="B36" s="173"/>
      <c r="C36" s="41"/>
      <c r="D36" s="113">
        <v>100000</v>
      </c>
      <c r="E36" s="92" t="s">
        <v>108</v>
      </c>
    </row>
    <row r="37" spans="1:7" ht="15" thickBot="1" x14ac:dyDescent="0.35">
      <c r="A37" s="24" t="s">
        <v>15</v>
      </c>
      <c r="B37" s="24"/>
      <c r="C37" s="24"/>
      <c r="D37" s="114"/>
      <c r="E37" s="93">
        <f>SUM(D35:D36)</f>
        <v>145000</v>
      </c>
    </row>
    <row r="38" spans="1:7" x14ac:dyDescent="0.3">
      <c r="A38" s="27" t="s">
        <v>26</v>
      </c>
      <c r="B38" s="24"/>
      <c r="C38" s="24"/>
      <c r="D38" s="115"/>
      <c r="E38" s="94"/>
    </row>
    <row r="39" spans="1:7" s="30" customFormat="1" ht="14.25" customHeight="1" x14ac:dyDescent="0.3">
      <c r="A39" s="178" t="s">
        <v>98</v>
      </c>
      <c r="B39" s="179"/>
      <c r="C39" s="42"/>
      <c r="D39" s="163">
        <v>60147</v>
      </c>
      <c r="E39" s="165" t="s">
        <v>104</v>
      </c>
    </row>
    <row r="40" spans="1:7" ht="14.25" customHeight="1" x14ac:dyDescent="0.3">
      <c r="A40" s="180"/>
      <c r="B40" s="181"/>
      <c r="C40" s="42"/>
      <c r="D40" s="164"/>
      <c r="E40" s="166"/>
    </row>
    <row r="41" spans="1:7" ht="15" thickBot="1" x14ac:dyDescent="0.35">
      <c r="A41" s="24" t="s">
        <v>2</v>
      </c>
      <c r="B41" s="24"/>
      <c r="C41" s="24"/>
      <c r="D41" s="114"/>
      <c r="E41" s="95">
        <f>SUM(D39:D40)</f>
        <v>60147</v>
      </c>
    </row>
    <row r="42" spans="1:7" x14ac:dyDescent="0.3">
      <c r="A42" s="27" t="s">
        <v>16</v>
      </c>
      <c r="B42" s="96"/>
      <c r="C42" s="96"/>
      <c r="D42" s="116"/>
      <c r="E42" s="97"/>
    </row>
    <row r="43" spans="1:7" x14ac:dyDescent="0.3">
      <c r="A43" s="5" t="s">
        <v>38</v>
      </c>
      <c r="B43" s="5"/>
      <c r="C43" s="41"/>
      <c r="D43" s="28">
        <v>510495.04</v>
      </c>
      <c r="E43" s="102" t="s">
        <v>106</v>
      </c>
      <c r="G43" s="77"/>
    </row>
    <row r="44" spans="1:7" x14ac:dyDescent="0.3">
      <c r="A44" s="5" t="s">
        <v>132</v>
      </c>
      <c r="B44" s="5" t="s">
        <v>113</v>
      </c>
      <c r="C44" s="5"/>
      <c r="D44" s="117">
        <v>46493.49</v>
      </c>
      <c r="E44" s="102" t="s">
        <v>110</v>
      </c>
    </row>
    <row r="45" spans="1:7" x14ac:dyDescent="0.3">
      <c r="A45" s="5" t="str">
        <f>A44</f>
        <v>Sindicatos mes de MARZO</v>
      </c>
      <c r="B45" s="5" t="s">
        <v>112</v>
      </c>
      <c r="C45" s="5"/>
      <c r="D45" s="117">
        <v>107821.05</v>
      </c>
      <c r="E45" s="103" t="str">
        <f>E44</f>
        <v>Debito 12/02</v>
      </c>
    </row>
    <row r="46" spans="1:7" x14ac:dyDescent="0.3">
      <c r="A46" s="5" t="str">
        <f>A45</f>
        <v>Sindicatos mes de MARZO</v>
      </c>
      <c r="B46" s="5" t="s">
        <v>111</v>
      </c>
      <c r="C46" s="5"/>
      <c r="D46" s="117">
        <v>5165.9399999999996</v>
      </c>
      <c r="E46" s="104" t="str">
        <f>E45</f>
        <v>Debito 12/02</v>
      </c>
    </row>
    <row r="47" spans="1:7" ht="15" customHeight="1" thickBot="1" x14ac:dyDescent="0.35">
      <c r="A47" s="24" t="s">
        <v>3</v>
      </c>
      <c r="B47" s="96"/>
      <c r="C47" s="96"/>
      <c r="D47" s="118"/>
      <c r="E47" s="95">
        <f>SUM(D43:D46)</f>
        <v>669975.52</v>
      </c>
    </row>
    <row r="48" spans="1:7" x14ac:dyDescent="0.3">
      <c r="A48" s="27" t="s">
        <v>17</v>
      </c>
      <c r="B48" s="96"/>
      <c r="C48" s="96"/>
      <c r="D48" s="116"/>
      <c r="E48" s="97"/>
    </row>
    <row r="49" spans="1:6" ht="14.25" customHeight="1" x14ac:dyDescent="0.3">
      <c r="A49" s="5" t="s">
        <v>94</v>
      </c>
      <c r="B49" s="5"/>
      <c r="C49" s="5"/>
      <c r="D49" s="213">
        <v>366555.72</v>
      </c>
      <c r="E49" s="102" t="s">
        <v>105</v>
      </c>
    </row>
    <row r="50" spans="1:6" ht="14.25" customHeight="1" x14ac:dyDescent="0.3">
      <c r="A50" s="146" t="s">
        <v>95</v>
      </c>
      <c r="B50" s="147"/>
      <c r="C50" s="5"/>
      <c r="D50" s="213">
        <v>328525.28000000003</v>
      </c>
      <c r="E50" s="102" t="s">
        <v>103</v>
      </c>
    </row>
    <row r="51" spans="1:6" ht="15" thickBot="1" x14ac:dyDescent="0.35">
      <c r="A51" s="24" t="s">
        <v>4</v>
      </c>
      <c r="B51" s="24"/>
      <c r="C51" s="24"/>
      <c r="D51" s="119"/>
      <c r="E51" s="95">
        <f>SUM(D49:D50)</f>
        <v>695081</v>
      </c>
    </row>
    <row r="52" spans="1:6" ht="15" customHeight="1" thickBot="1" x14ac:dyDescent="0.35">
      <c r="A52" s="27"/>
      <c r="B52" s="24"/>
      <c r="C52" s="24"/>
      <c r="D52" s="114"/>
      <c r="E52" s="98"/>
    </row>
    <row r="53" spans="1:6" ht="20.100000000000001" customHeight="1" x14ac:dyDescent="0.3">
      <c r="A53" s="105" t="s">
        <v>97</v>
      </c>
      <c r="B53" s="101"/>
      <c r="C53" s="5"/>
      <c r="D53" s="117">
        <v>22794.799999999999</v>
      </c>
      <c r="E53" s="102" t="s">
        <v>103</v>
      </c>
    </row>
    <row r="54" spans="1:6" ht="20.100000000000001" customHeight="1" x14ac:dyDescent="0.3">
      <c r="A54" s="105" t="s">
        <v>96</v>
      </c>
      <c r="B54" s="101"/>
      <c r="C54" s="5"/>
      <c r="D54" s="117">
        <v>125300</v>
      </c>
      <c r="E54" s="158" t="s">
        <v>108</v>
      </c>
    </row>
    <row r="55" spans="1:6" ht="20.100000000000001" customHeight="1" x14ac:dyDescent="0.3">
      <c r="A55" s="215" t="s">
        <v>137</v>
      </c>
      <c r="B55" s="101"/>
      <c r="C55" s="5"/>
      <c r="D55" s="213"/>
      <c r="E55" s="157"/>
    </row>
    <row r="56" spans="1:6" ht="20.100000000000001" customHeight="1" x14ac:dyDescent="0.3">
      <c r="A56" s="105" t="s">
        <v>135</v>
      </c>
      <c r="B56" s="101"/>
      <c r="C56" s="5"/>
      <c r="D56" s="213">
        <v>90750</v>
      </c>
      <c r="E56" s="157" t="s">
        <v>136</v>
      </c>
    </row>
    <row r="57" spans="1:6" ht="15" thickBot="1" x14ac:dyDescent="0.35">
      <c r="A57" s="24" t="s">
        <v>8</v>
      </c>
      <c r="B57" s="27"/>
      <c r="C57" s="27"/>
      <c r="D57" s="27"/>
      <c r="E57" s="99">
        <f>SUM(D53:D56)</f>
        <v>238844.79999999999</v>
      </c>
    </row>
    <row r="58" spans="1:6" ht="15" thickBot="1" x14ac:dyDescent="0.35">
      <c r="A58" s="27" t="s">
        <v>11</v>
      </c>
      <c r="B58" s="49"/>
      <c r="C58" s="24"/>
      <c r="D58" s="111"/>
      <c r="E58" s="98"/>
    </row>
    <row r="59" spans="1:6" x14ac:dyDescent="0.3">
      <c r="A59" s="5" t="s">
        <v>48</v>
      </c>
      <c r="B59" s="5"/>
      <c r="C59" s="5"/>
      <c r="D59" s="117">
        <v>57500</v>
      </c>
      <c r="E59" s="100"/>
    </row>
    <row r="60" spans="1:6" x14ac:dyDescent="0.3">
      <c r="A60" s="5" t="s">
        <v>47</v>
      </c>
      <c r="B60" s="5"/>
      <c r="C60" s="5"/>
      <c r="D60" s="117">
        <f>1141+52473.43+10674</f>
        <v>64288.43</v>
      </c>
      <c r="E60" s="31"/>
    </row>
    <row r="61" spans="1:6" ht="15" thickBot="1" x14ac:dyDescent="0.35">
      <c r="A61" s="40" t="s">
        <v>15</v>
      </c>
      <c r="B61" s="40"/>
      <c r="C61" s="40"/>
      <c r="D61" s="63"/>
      <c r="E61" s="58">
        <f>SUM(D59:D60)</f>
        <v>121788.43</v>
      </c>
    </row>
    <row r="62" spans="1:6" ht="15" thickBot="1" x14ac:dyDescent="0.35">
      <c r="A62" s="5"/>
      <c r="B62" s="5"/>
      <c r="C62" s="5"/>
      <c r="D62" s="57"/>
      <c r="E62" s="64"/>
    </row>
    <row r="63" spans="1:6" ht="15" thickBot="1" x14ac:dyDescent="0.35">
      <c r="A63" s="25" t="s">
        <v>41</v>
      </c>
      <c r="B63" s="25"/>
      <c r="C63" s="25"/>
      <c r="D63" s="65"/>
      <c r="E63" s="66">
        <f>3800000-2605611.87</f>
        <v>1194388.1299999999</v>
      </c>
    </row>
    <row r="64" spans="1:6" ht="15" thickBot="1" x14ac:dyDescent="0.35">
      <c r="A64" s="1"/>
      <c r="D64" s="67"/>
      <c r="E64" s="68"/>
      <c r="F64" s="33"/>
    </row>
    <row r="65" spans="1:12" ht="15" thickBot="1" x14ac:dyDescent="0.35">
      <c r="A65" s="3" t="s">
        <v>12</v>
      </c>
      <c r="B65" s="9"/>
      <c r="C65" s="4"/>
      <c r="D65" s="69"/>
      <c r="E65" s="70">
        <f>(SUM(E29:E63))</f>
        <v>3921106.88</v>
      </c>
      <c r="F65" s="88"/>
      <c r="G65" s="33"/>
      <c r="H65" s="77"/>
      <c r="I65" s="77"/>
      <c r="J65" s="77"/>
      <c r="K65" s="77"/>
      <c r="L65" s="77"/>
    </row>
    <row r="66" spans="1:12" x14ac:dyDescent="0.3">
      <c r="D66" s="67"/>
      <c r="E66" s="67"/>
      <c r="H66" s="77"/>
      <c r="I66" s="77"/>
      <c r="J66" s="77"/>
      <c r="K66" s="77"/>
      <c r="L66" s="77"/>
    </row>
    <row r="67" spans="1:12" ht="15" thickBot="1" x14ac:dyDescent="0.35">
      <c r="D67" s="67"/>
      <c r="E67" s="67"/>
      <c r="H67" s="106"/>
    </row>
    <row r="68" spans="1:12" x14ac:dyDescent="0.3">
      <c r="A68" s="10" t="s">
        <v>37</v>
      </c>
      <c r="B68" s="11"/>
      <c r="C68" s="12"/>
      <c r="D68" s="71"/>
      <c r="E68" s="72"/>
    </row>
    <row r="69" spans="1:12" ht="15" customHeight="1" x14ac:dyDescent="0.3">
      <c r="A69" s="170"/>
      <c r="B69" s="171"/>
      <c r="C69" s="5"/>
      <c r="D69" s="80"/>
      <c r="E69" s="59"/>
    </row>
    <row r="70" spans="1:12" x14ac:dyDescent="0.3">
      <c r="A70" s="170"/>
      <c r="B70" s="171"/>
      <c r="C70" s="5"/>
      <c r="D70" s="61"/>
      <c r="E70" s="59"/>
    </row>
    <row r="71" spans="1:12" ht="15.75" customHeight="1" x14ac:dyDescent="0.3">
      <c r="A71" s="172"/>
      <c r="B71" s="173"/>
      <c r="C71" s="5"/>
      <c r="D71" s="61"/>
      <c r="E71" s="59"/>
    </row>
    <row r="72" spans="1:12" x14ac:dyDescent="0.3">
      <c r="A72" s="60"/>
      <c r="B72" s="62"/>
      <c r="C72" s="5"/>
      <c r="D72" s="61"/>
      <c r="E72" s="59"/>
    </row>
    <row r="73" spans="1:12" x14ac:dyDescent="0.3">
      <c r="A73" s="38"/>
      <c r="B73" s="37"/>
      <c r="C73" s="37"/>
      <c r="D73" s="45"/>
      <c r="E73" s="45">
        <f>SUM(D69:D72)</f>
        <v>0</v>
      </c>
    </row>
    <row r="74" spans="1:12" ht="15" customHeight="1" thickBot="1" x14ac:dyDescent="0.35"/>
    <row r="75" spans="1:12" ht="15" hidden="1" thickBot="1" x14ac:dyDescent="0.35"/>
    <row r="76" spans="1:12" ht="15" thickBot="1" x14ac:dyDescent="0.35">
      <c r="A76" s="160" t="s">
        <v>19</v>
      </c>
      <c r="B76" s="161"/>
      <c r="C76" s="161"/>
      <c r="D76" s="162"/>
      <c r="E76" s="159"/>
    </row>
    <row r="77" spans="1:12" ht="15" thickBot="1" x14ac:dyDescent="0.35"/>
    <row r="78" spans="1:12" ht="15" thickBot="1" x14ac:dyDescent="0.35">
      <c r="A78" s="3" t="s">
        <v>20</v>
      </c>
      <c r="B78" s="9"/>
      <c r="C78" s="4"/>
      <c r="D78" s="4"/>
      <c r="E78" s="50">
        <f>E73+E76</f>
        <v>0</v>
      </c>
    </row>
    <row r="79" spans="1:12" ht="15" thickBot="1" x14ac:dyDescent="0.35"/>
    <row r="80" spans="1:12" ht="15" thickBot="1" x14ac:dyDescent="0.35">
      <c r="A80" s="55" t="s">
        <v>13</v>
      </c>
      <c r="B80" s="56">
        <f>E65</f>
        <v>3921106.88</v>
      </c>
    </row>
    <row r="81" spans="1:6" ht="15" thickBot="1" x14ac:dyDescent="0.35">
      <c r="A81" s="55" t="s">
        <v>14</v>
      </c>
      <c r="B81" s="56">
        <f>E65-E63</f>
        <v>2726718.75</v>
      </c>
    </row>
    <row r="82" spans="1:6" ht="15" thickBot="1" x14ac:dyDescent="0.35">
      <c r="A82" s="55" t="s">
        <v>21</v>
      </c>
      <c r="B82" s="56">
        <f>E78-E76</f>
        <v>0</v>
      </c>
    </row>
    <row r="83" spans="1:6" ht="15" thickBot="1" x14ac:dyDescent="0.35">
      <c r="A83" s="55" t="s">
        <v>34</v>
      </c>
      <c r="B83" s="56">
        <f>E78</f>
        <v>0</v>
      </c>
    </row>
    <row r="86" spans="1:6" x14ac:dyDescent="0.3">
      <c r="A86" s="81" t="s">
        <v>120</v>
      </c>
      <c r="B86" s="82">
        <v>0</v>
      </c>
    </row>
    <row r="87" spans="1:6" x14ac:dyDescent="0.3">
      <c r="A87" s="148" t="s">
        <v>127</v>
      </c>
      <c r="B87" s="149">
        <f>PRORRATEO!G38</f>
        <v>519037.4</v>
      </c>
      <c r="C87" s="22"/>
      <c r="D87" s="33"/>
      <c r="E87" s="78"/>
      <c r="F87" s="79"/>
    </row>
    <row r="88" spans="1:6" x14ac:dyDescent="0.3">
      <c r="A88" s="148" t="s">
        <v>122</v>
      </c>
      <c r="B88" s="149">
        <v>-7000</v>
      </c>
      <c r="C88" s="22"/>
      <c r="D88" s="33"/>
      <c r="E88" s="78"/>
      <c r="F88" s="79"/>
    </row>
    <row r="89" spans="1:6" ht="28.8" x14ac:dyDescent="0.3">
      <c r="A89" s="150" t="s">
        <v>124</v>
      </c>
      <c r="B89" s="149">
        <v>-15600</v>
      </c>
      <c r="C89" s="22"/>
      <c r="D89" s="33"/>
      <c r="E89" s="78"/>
      <c r="F89" s="79"/>
    </row>
    <row r="90" spans="1:6" ht="28.8" x14ac:dyDescent="0.3">
      <c r="A90" s="150" t="s">
        <v>123</v>
      </c>
      <c r="B90" s="149">
        <v>-11000</v>
      </c>
      <c r="C90" s="22"/>
      <c r="D90" s="33"/>
      <c r="E90" s="78"/>
      <c r="F90" s="79"/>
    </row>
    <row r="91" spans="1:6" x14ac:dyDescent="0.3">
      <c r="A91" s="153"/>
      <c r="B91" s="154"/>
      <c r="C91" s="22"/>
      <c r="D91" s="33"/>
      <c r="E91" s="78"/>
      <c r="F91" s="79"/>
    </row>
    <row r="92" spans="1:6" ht="15" thickBot="1" x14ac:dyDescent="0.35">
      <c r="A92" s="151" t="s">
        <v>39</v>
      </c>
      <c r="B92" s="152">
        <f>SUM(B86:C91)</f>
        <v>485437.4</v>
      </c>
      <c r="C92" s="22"/>
    </row>
    <row r="93" spans="1:6" s="30" customFormat="1" x14ac:dyDescent="0.3">
      <c r="A93"/>
      <c r="B93" s="32"/>
      <c r="C93" s="29"/>
    </row>
    <row r="94" spans="1:6" s="30" customFormat="1" x14ac:dyDescent="0.3">
      <c r="A94" s="81" t="s">
        <v>46</v>
      </c>
      <c r="B94" s="82">
        <v>133421</v>
      </c>
      <c r="C94" s="29"/>
      <c r="D94" s="36"/>
    </row>
    <row r="95" spans="1:6" x14ac:dyDescent="0.3">
      <c r="A95" s="42" t="s">
        <v>42</v>
      </c>
      <c r="B95" s="86">
        <f>-B81</f>
        <v>-2726718.75</v>
      </c>
    </row>
    <row r="96" spans="1:6" x14ac:dyDescent="0.3">
      <c r="A96" s="42" t="s">
        <v>43</v>
      </c>
      <c r="B96" s="86">
        <f>-B82</f>
        <v>0</v>
      </c>
    </row>
    <row r="97" spans="1:13" x14ac:dyDescent="0.3">
      <c r="A97" s="42" t="s">
        <v>45</v>
      </c>
      <c r="B97" s="86">
        <f>B106</f>
        <v>0</v>
      </c>
    </row>
    <row r="98" spans="1:13" x14ac:dyDescent="0.3">
      <c r="A98" s="42" t="s">
        <v>44</v>
      </c>
      <c r="B98" s="87">
        <f>PRORRATEO!G37</f>
        <v>3841554.4</v>
      </c>
    </row>
    <row r="99" spans="1:13" ht="15" thickBot="1" x14ac:dyDescent="0.35">
      <c r="A99" s="84" t="s">
        <v>39</v>
      </c>
      <c r="B99" s="85">
        <f>SUM(B94:C98)</f>
        <v>1248256.6499999999</v>
      </c>
      <c r="D99" s="32"/>
      <c r="E99" s="33"/>
    </row>
    <row r="100" spans="1:13" x14ac:dyDescent="0.3">
      <c r="A100" s="83"/>
      <c r="B100" s="83"/>
    </row>
    <row r="101" spans="1:13" ht="34.5" customHeight="1" x14ac:dyDescent="0.3"/>
    <row r="102" spans="1:13" x14ac:dyDescent="0.3">
      <c r="A102" s="169" t="s">
        <v>27</v>
      </c>
      <c r="B102" s="169"/>
      <c r="C102" s="169"/>
    </row>
    <row r="103" spans="1:13" x14ac:dyDescent="0.3">
      <c r="A103" s="169"/>
      <c r="B103" s="169"/>
      <c r="C103" s="169"/>
    </row>
    <row r="104" spans="1:13" ht="35.25" customHeight="1" x14ac:dyDescent="0.3">
      <c r="A104" s="74"/>
      <c r="B104" s="28"/>
      <c r="C104" s="28">
        <v>40000</v>
      </c>
      <c r="E104" s="88"/>
    </row>
    <row r="105" spans="1:13" ht="27" customHeight="1" x14ac:dyDescent="0.3">
      <c r="A105" s="74"/>
      <c r="B105" s="76"/>
      <c r="C105" s="73"/>
      <c r="D105" s="88"/>
    </row>
    <row r="106" spans="1:13" x14ac:dyDescent="0.3">
      <c r="A106" s="34" t="s">
        <v>8</v>
      </c>
      <c r="B106" s="75">
        <f>SUM(B104:B105)</f>
        <v>0</v>
      </c>
      <c r="C106" s="35"/>
    </row>
    <row r="107" spans="1:13" x14ac:dyDescent="0.3">
      <c r="M107" s="7"/>
    </row>
    <row r="108" spans="1:13" ht="15" customHeight="1" x14ac:dyDescent="0.3">
      <c r="A108" s="168"/>
      <c r="B108" s="168"/>
      <c r="C108" s="168"/>
      <c r="D108" s="168"/>
      <c r="E108" s="168"/>
    </row>
    <row r="109" spans="1:13" x14ac:dyDescent="0.3">
      <c r="A109" s="168"/>
      <c r="B109" s="168"/>
      <c r="C109" s="168"/>
      <c r="D109" s="168"/>
      <c r="E109" s="168"/>
    </row>
    <row r="110" spans="1:13" x14ac:dyDescent="0.3">
      <c r="A110" s="168"/>
      <c r="B110" s="168"/>
      <c r="C110" s="168"/>
      <c r="D110" s="168"/>
      <c r="E110" s="168"/>
    </row>
    <row r="111" spans="1:13" x14ac:dyDescent="0.3">
      <c r="A111" s="168"/>
      <c r="B111" s="168"/>
      <c r="C111" s="168"/>
      <c r="D111" s="168"/>
      <c r="E111" s="168"/>
    </row>
  </sheetData>
  <mergeCells count="15">
    <mergeCell ref="D39:D40"/>
    <mergeCell ref="E39:E40"/>
    <mergeCell ref="B1:D1"/>
    <mergeCell ref="A108:E111"/>
    <mergeCell ref="A102:C103"/>
    <mergeCell ref="A70:B70"/>
    <mergeCell ref="A69:B69"/>
    <mergeCell ref="A71:B71"/>
    <mergeCell ref="A36:B36"/>
    <mergeCell ref="A35:B35"/>
    <mergeCell ref="B3:E3"/>
    <mergeCell ref="A13:E16"/>
    <mergeCell ref="B8:C10"/>
    <mergeCell ref="A39:B40"/>
    <mergeCell ref="A22:B22"/>
  </mergeCells>
  <pageMargins left="0.25" right="0.25"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54"/>
  <sheetViews>
    <sheetView topLeftCell="A16" zoomScaleNormal="100" workbookViewId="0">
      <selection activeCell="H15" sqref="H15"/>
    </sheetView>
  </sheetViews>
  <sheetFormatPr baseColWidth="10" defaultColWidth="10.88671875" defaultRowHeight="14.4" x14ac:dyDescent="0.3"/>
  <cols>
    <col min="1" max="1" width="4.33203125" customWidth="1"/>
    <col min="2" max="2" width="6.5546875" customWidth="1"/>
    <col min="3" max="3" width="20.44140625" customWidth="1"/>
    <col min="4" max="4" width="22.33203125" customWidth="1"/>
    <col min="5" max="5" width="8.44140625" customWidth="1"/>
    <col min="6" max="7" width="14.109375" customWidth="1"/>
    <col min="8" max="8" width="12.21875" hidden="1" customWidth="1"/>
    <col min="9" max="9" width="10.5546875" customWidth="1"/>
    <col min="10" max="10" width="9.5546875" customWidth="1"/>
    <col min="11" max="12" width="12.44140625" customWidth="1"/>
    <col min="13" max="13" width="14.6640625" customWidth="1"/>
    <col min="14" max="14" width="14.33203125" customWidth="1"/>
    <col min="15" max="15" width="7.33203125" bestFit="1" customWidth="1"/>
    <col min="16" max="16" width="14.33203125" bestFit="1" customWidth="1"/>
    <col min="17" max="17" width="13.5546875" bestFit="1" customWidth="1"/>
  </cols>
  <sheetData>
    <row r="1" spans="1:17" ht="12.6" customHeight="1" x14ac:dyDescent="0.3">
      <c r="A1" s="6"/>
      <c r="B1" s="6"/>
      <c r="C1" s="6"/>
      <c r="D1" s="6"/>
      <c r="E1" s="182"/>
      <c r="F1" s="182"/>
      <c r="G1" s="182"/>
      <c r="H1" s="182"/>
      <c r="I1" s="182"/>
      <c r="J1" s="182"/>
      <c r="K1" s="182"/>
      <c r="L1" s="182"/>
      <c r="M1" s="182"/>
      <c r="N1" s="6"/>
    </row>
    <row r="2" spans="1:17" ht="12.9" customHeight="1" x14ac:dyDescent="0.3">
      <c r="A2" s="6"/>
      <c r="B2" s="6"/>
      <c r="C2" s="6" t="s">
        <v>50</v>
      </c>
      <c r="D2" s="208">
        <v>0</v>
      </c>
      <c r="E2" s="208"/>
      <c r="F2" s="6"/>
      <c r="G2" s="208"/>
      <c r="H2" s="208"/>
      <c r="I2" s="208"/>
      <c r="J2" s="6"/>
      <c r="K2" s="6" t="s">
        <v>118</v>
      </c>
      <c r="L2" s="207">
        <f>P2</f>
        <v>3800000</v>
      </c>
      <c r="M2" s="207"/>
      <c r="N2" s="43"/>
      <c r="O2" s="21"/>
      <c r="P2">
        <v>3800000</v>
      </c>
    </row>
    <row r="3" spans="1:17" ht="12.9" customHeight="1" thickBot="1" x14ac:dyDescent="0.35">
      <c r="A3" s="6"/>
      <c r="B3" s="6"/>
      <c r="C3" s="6"/>
      <c r="D3" s="6"/>
      <c r="E3" s="6"/>
      <c r="F3" s="6"/>
      <c r="G3" s="6"/>
      <c r="H3" s="6"/>
      <c r="I3" s="6"/>
      <c r="J3" s="6"/>
      <c r="K3" s="6"/>
      <c r="L3" s="6"/>
      <c r="M3" s="46"/>
      <c r="N3" s="46"/>
    </row>
    <row r="4" spans="1:17" ht="12.9" customHeight="1" x14ac:dyDescent="0.3">
      <c r="A4" s="191" t="str">
        <f>RESUMEN!A13</f>
        <v>Importante para dueños o inquilinos de departamentos o coheras: Queremos recordarles una cuestión importante respecto a los pagos de expensas que ayuda a evitar errores en la imputación de los mismos. El sistema que utilizamos asigna centavos únicos a cada Unidad Funcional (UF), lo cual nos permite identificar automáticamente a qué unidad corresponde cada transferencia. Es decir, cada UF tiene un número específico de centavos que actúa como "identificador". Por ejemplo, si tu UF es la 45, el importe a abonar debería terminar en $...,45. Si tenés más de una unidad (por ejemplo, un departamento y una cochera), cada una tiene su propio código de centavos. En esos casos, te pedimos por favor que realices una transferencia por cada UF, respetando el importe con sus centavos correspondientes. Sabemos que a veces por comodidad se suele enviar todo junto en una sola transferencia, pero esto puede generar confusión o errores en la imputación automática. Realizar los pagos por separado nos permite asegurar que cada importe se asigne correctamente. Agradecemos muchísimo la colaboración para seguir manteniendo todo ordenado. Saludos cordiales.</v>
      </c>
      <c r="B4" s="192"/>
      <c r="C4" s="192"/>
      <c r="D4" s="192"/>
      <c r="E4" s="192"/>
      <c r="F4" s="192"/>
      <c r="G4" s="192"/>
      <c r="H4" s="192"/>
      <c r="I4" s="192"/>
      <c r="J4" s="192"/>
      <c r="K4" s="192"/>
      <c r="L4" s="192"/>
      <c r="M4" s="192"/>
      <c r="N4" s="193"/>
    </row>
    <row r="5" spans="1:17" ht="12.9" customHeight="1" x14ac:dyDescent="0.3">
      <c r="A5" s="194"/>
      <c r="B5" s="195"/>
      <c r="C5" s="195"/>
      <c r="D5" s="195"/>
      <c r="E5" s="195"/>
      <c r="F5" s="195"/>
      <c r="G5" s="195"/>
      <c r="H5" s="195"/>
      <c r="I5" s="195"/>
      <c r="J5" s="195"/>
      <c r="K5" s="195"/>
      <c r="L5" s="195"/>
      <c r="M5" s="195"/>
      <c r="N5" s="196"/>
    </row>
    <row r="6" spans="1:17" ht="12.9" customHeight="1" x14ac:dyDescent="0.3">
      <c r="A6" s="194"/>
      <c r="B6" s="195"/>
      <c r="C6" s="195"/>
      <c r="D6" s="195"/>
      <c r="E6" s="195"/>
      <c r="F6" s="195"/>
      <c r="G6" s="195"/>
      <c r="H6" s="195"/>
      <c r="I6" s="195"/>
      <c r="J6" s="195"/>
      <c r="K6" s="195"/>
      <c r="L6" s="195"/>
      <c r="M6" s="195"/>
      <c r="N6" s="196"/>
    </row>
    <row r="7" spans="1:17" ht="64.95" customHeight="1" x14ac:dyDescent="0.3">
      <c r="A7" s="194"/>
      <c r="B7" s="195"/>
      <c r="C7" s="195"/>
      <c r="D7" s="195"/>
      <c r="E7" s="195"/>
      <c r="F7" s="195"/>
      <c r="G7" s="195"/>
      <c r="H7" s="195"/>
      <c r="I7" s="195"/>
      <c r="J7" s="195"/>
      <c r="K7" s="195"/>
      <c r="L7" s="195"/>
      <c r="M7" s="195"/>
      <c r="N7" s="196"/>
    </row>
    <row r="8" spans="1:17" ht="45.75" customHeight="1" thickBot="1" x14ac:dyDescent="0.35">
      <c r="A8" s="197"/>
      <c r="B8" s="198"/>
      <c r="C8" s="198"/>
      <c r="D8" s="198"/>
      <c r="E8" s="198"/>
      <c r="F8" s="198"/>
      <c r="G8" s="198"/>
      <c r="H8" s="198"/>
      <c r="I8" s="198"/>
      <c r="J8" s="198"/>
      <c r="K8" s="198"/>
      <c r="L8" s="198"/>
      <c r="M8" s="198"/>
      <c r="N8" s="199"/>
    </row>
    <row r="9" spans="1:17" x14ac:dyDescent="0.3">
      <c r="A9" s="183" t="s">
        <v>5</v>
      </c>
      <c r="B9" s="185" t="s">
        <v>52</v>
      </c>
      <c r="C9" s="185" t="s">
        <v>6</v>
      </c>
      <c r="D9" s="143"/>
      <c r="E9" s="185" t="s">
        <v>10</v>
      </c>
      <c r="F9" s="183" t="s">
        <v>40</v>
      </c>
      <c r="G9" s="185" t="s">
        <v>7</v>
      </c>
      <c r="H9" s="185" t="s">
        <v>125</v>
      </c>
      <c r="I9" s="187" t="s">
        <v>25</v>
      </c>
      <c r="J9" s="183" t="s">
        <v>35</v>
      </c>
      <c r="K9" s="183" t="s">
        <v>22</v>
      </c>
      <c r="L9" s="189" t="s">
        <v>51</v>
      </c>
      <c r="M9" s="48" t="s">
        <v>31</v>
      </c>
      <c r="N9" s="202" t="s">
        <v>30</v>
      </c>
    </row>
    <row r="10" spans="1:17" ht="15.75" customHeight="1" x14ac:dyDescent="0.3">
      <c r="A10" s="200"/>
      <c r="B10" s="201"/>
      <c r="C10" s="186"/>
      <c r="D10" s="144"/>
      <c r="E10" s="186"/>
      <c r="F10" s="184"/>
      <c r="G10" s="186"/>
      <c r="H10" s="201"/>
      <c r="I10" s="188"/>
      <c r="J10" s="184"/>
      <c r="K10" s="184"/>
      <c r="L10" s="190"/>
      <c r="M10" s="47" t="str">
        <f>RESUMEN!B8</f>
        <v>VTO 17/04</v>
      </c>
      <c r="N10" s="203"/>
    </row>
    <row r="11" spans="1:17" ht="17.100000000000001" customHeight="1" x14ac:dyDescent="0.3">
      <c r="A11" s="120" t="s">
        <v>54</v>
      </c>
      <c r="B11" s="120" t="s">
        <v>55</v>
      </c>
      <c r="C11" s="120" t="s">
        <v>56</v>
      </c>
      <c r="D11" s="120"/>
      <c r="E11" s="141">
        <v>6.18</v>
      </c>
      <c r="F11" s="122">
        <v>283765</v>
      </c>
      <c r="G11" s="123">
        <f>F11</f>
        <v>283765</v>
      </c>
      <c r="H11" s="123" t="s">
        <v>57</v>
      </c>
      <c r="I11" s="124">
        <f t="shared" ref="I11:I35" si="0">F11-G11</f>
        <v>0</v>
      </c>
      <c r="J11" s="124">
        <f>IF(I11&gt;0,I11*3%,0)</f>
        <v>0</v>
      </c>
      <c r="K11" s="125">
        <f>L$2*E11/100</f>
        <v>234840</v>
      </c>
      <c r="L11" s="126">
        <f>D$2*E11/100</f>
        <v>0</v>
      </c>
      <c r="M11" s="127">
        <f t="shared" ref="M11:M35" si="1">ROUND(SUM(I11:L11),0) + O11</f>
        <v>234840.01</v>
      </c>
      <c r="N11" s="128">
        <f t="shared" ref="N11:N35" si="2">ROUND(M11*3%,0) + M11</f>
        <v>241885.01</v>
      </c>
      <c r="O11" s="33">
        <v>0.01</v>
      </c>
      <c r="P11" s="33"/>
    </row>
    <row r="12" spans="1:17" ht="17.100000000000001" customHeight="1" x14ac:dyDescent="0.3">
      <c r="A12" s="120" t="s">
        <v>54</v>
      </c>
      <c r="B12" s="120" t="s">
        <v>57</v>
      </c>
      <c r="C12" s="120" t="s">
        <v>58</v>
      </c>
      <c r="D12" s="120" t="s">
        <v>116</v>
      </c>
      <c r="E12" s="141">
        <v>4.33</v>
      </c>
      <c r="F12" s="122">
        <v>198819</v>
      </c>
      <c r="G12" s="123">
        <f>F12</f>
        <v>198819</v>
      </c>
      <c r="H12" s="123" t="s">
        <v>57</v>
      </c>
      <c r="I12" s="124">
        <f t="shared" si="0"/>
        <v>0</v>
      </c>
      <c r="J12" s="124">
        <f t="shared" ref="J12:J35" si="3">IF(I12&gt;0,I12*3%,0)</f>
        <v>0</v>
      </c>
      <c r="K12" s="125">
        <f t="shared" ref="K12:K35" si="4">L$2*E12/100</f>
        <v>164540</v>
      </c>
      <c r="L12" s="126">
        <f t="shared" ref="L12:L35" si="5">D$2*E12/100</f>
        <v>0</v>
      </c>
      <c r="M12" s="127">
        <f t="shared" si="1"/>
        <v>164540.01999999999</v>
      </c>
      <c r="N12" s="128">
        <f t="shared" si="2"/>
        <v>169476.02</v>
      </c>
      <c r="O12" s="33">
        <f>O11+0.01</f>
        <v>0.02</v>
      </c>
      <c r="P12" s="33"/>
    </row>
    <row r="13" spans="1:17" ht="17.100000000000001" customHeight="1" x14ac:dyDescent="0.3">
      <c r="A13" s="129" t="s">
        <v>59</v>
      </c>
      <c r="B13" s="129" t="s">
        <v>55</v>
      </c>
      <c r="C13" s="129" t="s">
        <v>60</v>
      </c>
      <c r="D13" s="129"/>
      <c r="E13" s="142">
        <v>6.18</v>
      </c>
      <c r="F13" s="130">
        <v>277857</v>
      </c>
      <c r="G13" s="123">
        <f>320000-G30</f>
        <v>284515.59999999998</v>
      </c>
      <c r="H13" s="123" t="s">
        <v>57</v>
      </c>
      <c r="I13" s="124">
        <f t="shared" si="0"/>
        <v>-6658.5999999999767</v>
      </c>
      <c r="J13" s="124">
        <f t="shared" si="3"/>
        <v>0</v>
      </c>
      <c r="K13" s="125">
        <f t="shared" si="4"/>
        <v>234840</v>
      </c>
      <c r="L13" s="126">
        <f t="shared" si="5"/>
        <v>0</v>
      </c>
      <c r="M13" s="127">
        <f t="shared" si="1"/>
        <v>228181.03</v>
      </c>
      <c r="N13" s="128">
        <f t="shared" si="2"/>
        <v>235026.03</v>
      </c>
      <c r="O13" s="33">
        <f t="shared" ref="O13:O35" si="6">O12+0.01</f>
        <v>0.03</v>
      </c>
      <c r="P13" s="32"/>
    </row>
    <row r="14" spans="1:17" ht="17.100000000000001" customHeight="1" x14ac:dyDescent="0.3">
      <c r="A14" s="120" t="s">
        <v>59</v>
      </c>
      <c r="B14" s="120" t="s">
        <v>57</v>
      </c>
      <c r="C14" s="120" t="s">
        <v>61</v>
      </c>
      <c r="D14" s="120"/>
      <c r="E14" s="141">
        <v>4.33</v>
      </c>
      <c r="F14" s="122">
        <v>198819</v>
      </c>
      <c r="G14" s="123">
        <f>F14</f>
        <v>198819</v>
      </c>
      <c r="H14" s="123" t="s">
        <v>57</v>
      </c>
      <c r="I14" s="124">
        <f t="shared" si="0"/>
        <v>0</v>
      </c>
      <c r="J14" s="124">
        <f t="shared" si="3"/>
        <v>0</v>
      </c>
      <c r="K14" s="125">
        <f t="shared" si="4"/>
        <v>164540</v>
      </c>
      <c r="L14" s="126">
        <f t="shared" si="5"/>
        <v>0</v>
      </c>
      <c r="M14" s="127">
        <f t="shared" si="1"/>
        <v>164540.04</v>
      </c>
      <c r="N14" s="128">
        <f t="shared" si="2"/>
        <v>169476.04</v>
      </c>
      <c r="O14" s="33">
        <f t="shared" si="6"/>
        <v>0.04</v>
      </c>
      <c r="Q14" s="33"/>
    </row>
    <row r="15" spans="1:17" ht="17.100000000000001" customHeight="1" x14ac:dyDescent="0.3">
      <c r="A15" s="120" t="s">
        <v>62</v>
      </c>
      <c r="B15" s="120" t="s">
        <v>55</v>
      </c>
      <c r="C15" s="120" t="s">
        <v>63</v>
      </c>
      <c r="D15" s="120" t="s">
        <v>115</v>
      </c>
      <c r="E15" s="141">
        <v>6.18</v>
      </c>
      <c r="F15" s="122">
        <v>283765</v>
      </c>
      <c r="G15" s="123">
        <f>F15</f>
        <v>283765</v>
      </c>
      <c r="H15" s="123" t="s">
        <v>57</v>
      </c>
      <c r="I15" s="124">
        <f t="shared" si="0"/>
        <v>0</v>
      </c>
      <c r="J15" s="124">
        <f t="shared" si="3"/>
        <v>0</v>
      </c>
      <c r="K15" s="125">
        <f t="shared" si="4"/>
        <v>234840</v>
      </c>
      <c r="L15" s="126">
        <f t="shared" si="5"/>
        <v>0</v>
      </c>
      <c r="M15" s="127">
        <f t="shared" si="1"/>
        <v>234840.05</v>
      </c>
      <c r="N15" s="128">
        <f t="shared" si="2"/>
        <v>241885.05</v>
      </c>
      <c r="O15" s="33">
        <f t="shared" si="6"/>
        <v>0.05</v>
      </c>
      <c r="Q15" s="33"/>
    </row>
    <row r="16" spans="1:17" ht="17.100000000000001" customHeight="1" x14ac:dyDescent="0.3">
      <c r="A16" s="120" t="s">
        <v>62</v>
      </c>
      <c r="B16" s="120" t="s">
        <v>57</v>
      </c>
      <c r="C16" s="120" t="s">
        <v>64</v>
      </c>
      <c r="D16" s="120"/>
      <c r="E16" s="141">
        <v>4.33</v>
      </c>
      <c r="F16" s="122">
        <v>198806</v>
      </c>
      <c r="G16" s="123">
        <f>F16</f>
        <v>198806</v>
      </c>
      <c r="H16" s="123" t="s">
        <v>57</v>
      </c>
      <c r="I16" s="124">
        <f t="shared" si="0"/>
        <v>0</v>
      </c>
      <c r="J16" s="124">
        <f t="shared" si="3"/>
        <v>0</v>
      </c>
      <c r="K16" s="125">
        <f t="shared" si="4"/>
        <v>164540</v>
      </c>
      <c r="L16" s="126">
        <f t="shared" si="5"/>
        <v>0</v>
      </c>
      <c r="M16" s="127">
        <f t="shared" si="1"/>
        <v>164540.06</v>
      </c>
      <c r="N16" s="128">
        <f t="shared" si="2"/>
        <v>169476.06</v>
      </c>
      <c r="O16" s="33">
        <f t="shared" si="6"/>
        <v>6.0000000000000005E-2</v>
      </c>
    </row>
    <row r="17" spans="1:15" ht="17.100000000000001" customHeight="1" x14ac:dyDescent="0.3">
      <c r="A17" s="120" t="s">
        <v>65</v>
      </c>
      <c r="B17" s="120" t="s">
        <v>55</v>
      </c>
      <c r="C17" s="120" t="s">
        <v>66</v>
      </c>
      <c r="D17" s="120"/>
      <c r="E17" s="141">
        <v>6.18</v>
      </c>
      <c r="F17" s="122">
        <v>285791</v>
      </c>
      <c r="G17" s="123">
        <f>320000-G32</f>
        <v>284515.59999999998</v>
      </c>
      <c r="H17" s="123" t="s">
        <v>57</v>
      </c>
      <c r="I17" s="124">
        <f t="shared" si="0"/>
        <v>1275.4000000000233</v>
      </c>
      <c r="J17" s="124">
        <f t="shared" si="3"/>
        <v>38.262000000000697</v>
      </c>
      <c r="K17" s="125">
        <f t="shared" si="4"/>
        <v>234840</v>
      </c>
      <c r="L17" s="126">
        <f t="shared" si="5"/>
        <v>0</v>
      </c>
      <c r="M17" s="127">
        <f t="shared" si="1"/>
        <v>236154.07</v>
      </c>
      <c r="N17" s="128">
        <f t="shared" si="2"/>
        <v>243239.07</v>
      </c>
      <c r="O17" s="33">
        <f t="shared" si="6"/>
        <v>7.0000000000000007E-2</v>
      </c>
    </row>
    <row r="18" spans="1:15" ht="17.100000000000001" customHeight="1" x14ac:dyDescent="0.3">
      <c r="A18" s="120" t="s">
        <v>65</v>
      </c>
      <c r="B18" s="120" t="s">
        <v>57</v>
      </c>
      <c r="C18" s="120" t="s">
        <v>67</v>
      </c>
      <c r="D18" s="120"/>
      <c r="E18" s="141">
        <v>4.33</v>
      </c>
      <c r="F18" s="122">
        <v>198819</v>
      </c>
      <c r="G18" s="123">
        <f>F18</f>
        <v>198819</v>
      </c>
      <c r="H18" s="123" t="s">
        <v>57</v>
      </c>
      <c r="I18" s="124">
        <f t="shared" si="0"/>
        <v>0</v>
      </c>
      <c r="J18" s="124">
        <f t="shared" si="3"/>
        <v>0</v>
      </c>
      <c r="K18" s="125">
        <f t="shared" si="4"/>
        <v>164540</v>
      </c>
      <c r="L18" s="126">
        <f t="shared" si="5"/>
        <v>0</v>
      </c>
      <c r="M18" s="127">
        <f t="shared" si="1"/>
        <v>164540.07999999999</v>
      </c>
      <c r="N18" s="128">
        <f t="shared" si="2"/>
        <v>169476.08</v>
      </c>
      <c r="O18" s="33">
        <f t="shared" si="6"/>
        <v>0.08</v>
      </c>
    </row>
    <row r="19" spans="1:15" ht="17.100000000000001" customHeight="1" x14ac:dyDescent="0.3">
      <c r="A19" s="120" t="s">
        <v>68</v>
      </c>
      <c r="B19" s="120" t="s">
        <v>55</v>
      </c>
      <c r="C19" s="120" t="s">
        <v>69</v>
      </c>
      <c r="D19" s="120"/>
      <c r="E19" s="141">
        <v>6.18</v>
      </c>
      <c r="F19" s="122">
        <v>284765</v>
      </c>
      <c r="G19" s="123">
        <f>F19</f>
        <v>284765</v>
      </c>
      <c r="H19" s="123" t="s">
        <v>126</v>
      </c>
      <c r="I19" s="124">
        <f t="shared" si="0"/>
        <v>0</v>
      </c>
      <c r="J19" s="124">
        <f t="shared" si="3"/>
        <v>0</v>
      </c>
      <c r="K19" s="125">
        <f t="shared" si="4"/>
        <v>234840</v>
      </c>
      <c r="L19" s="126">
        <f t="shared" si="5"/>
        <v>0</v>
      </c>
      <c r="M19" s="127">
        <f t="shared" si="1"/>
        <v>234840.09</v>
      </c>
      <c r="N19" s="128">
        <f t="shared" si="2"/>
        <v>241885.09</v>
      </c>
      <c r="O19" s="33">
        <f t="shared" si="6"/>
        <v>0.09</v>
      </c>
    </row>
    <row r="20" spans="1:15" ht="17.100000000000001" customHeight="1" x14ac:dyDescent="0.3">
      <c r="A20" s="120" t="s">
        <v>68</v>
      </c>
      <c r="B20" s="120" t="s">
        <v>57</v>
      </c>
      <c r="C20" s="120" t="s">
        <v>70</v>
      </c>
      <c r="D20" s="120"/>
      <c r="E20" s="141">
        <v>4.33</v>
      </c>
      <c r="F20" s="122">
        <v>198858</v>
      </c>
      <c r="G20" s="123">
        <f>F20</f>
        <v>198858</v>
      </c>
      <c r="H20" s="123" t="s">
        <v>57</v>
      </c>
      <c r="I20" s="124">
        <f t="shared" si="0"/>
        <v>0</v>
      </c>
      <c r="J20" s="124">
        <f t="shared" si="3"/>
        <v>0</v>
      </c>
      <c r="K20" s="125">
        <f t="shared" si="4"/>
        <v>164540</v>
      </c>
      <c r="L20" s="126">
        <f t="shared" si="5"/>
        <v>0</v>
      </c>
      <c r="M20" s="127">
        <f t="shared" si="1"/>
        <v>164540.1</v>
      </c>
      <c r="N20" s="128">
        <f t="shared" si="2"/>
        <v>169476.1</v>
      </c>
      <c r="O20" s="33">
        <f t="shared" si="6"/>
        <v>9.9999999999999992E-2</v>
      </c>
    </row>
    <row r="21" spans="1:15" ht="17.100000000000001" customHeight="1" x14ac:dyDescent="0.3">
      <c r="A21" s="120" t="s">
        <v>71</v>
      </c>
      <c r="B21" s="120" t="s">
        <v>55</v>
      </c>
      <c r="C21" s="120" t="s">
        <v>72</v>
      </c>
      <c r="D21" s="120" t="s">
        <v>114</v>
      </c>
      <c r="E21" s="141">
        <v>6.18</v>
      </c>
      <c r="F21" s="122">
        <v>283765</v>
      </c>
      <c r="G21" s="123">
        <f>F21</f>
        <v>283765</v>
      </c>
      <c r="H21" s="123" t="s">
        <v>57</v>
      </c>
      <c r="I21" s="124">
        <f t="shared" si="0"/>
        <v>0</v>
      </c>
      <c r="J21" s="124">
        <f t="shared" si="3"/>
        <v>0</v>
      </c>
      <c r="K21" s="125">
        <f t="shared" si="4"/>
        <v>234840</v>
      </c>
      <c r="L21" s="126">
        <f t="shared" si="5"/>
        <v>0</v>
      </c>
      <c r="M21" s="127">
        <f t="shared" si="1"/>
        <v>234840.11</v>
      </c>
      <c r="N21" s="128">
        <f t="shared" si="2"/>
        <v>241885.11</v>
      </c>
      <c r="O21" s="33">
        <f t="shared" si="6"/>
        <v>0.10999999999999999</v>
      </c>
    </row>
    <row r="22" spans="1:15" ht="17.100000000000001" customHeight="1" x14ac:dyDescent="0.3">
      <c r="A22" s="120" t="s">
        <v>71</v>
      </c>
      <c r="B22" s="120" t="s">
        <v>57</v>
      </c>
      <c r="C22" s="120" t="s">
        <v>73</v>
      </c>
      <c r="D22" s="120"/>
      <c r="E22" s="141">
        <v>4.33</v>
      </c>
      <c r="F22" s="122">
        <v>198788</v>
      </c>
      <c r="G22" s="123">
        <f>F22</f>
        <v>198788</v>
      </c>
      <c r="H22" s="123" t="s">
        <v>126</v>
      </c>
      <c r="I22" s="124">
        <f t="shared" si="0"/>
        <v>0</v>
      </c>
      <c r="J22" s="124">
        <f t="shared" si="3"/>
        <v>0</v>
      </c>
      <c r="K22" s="125">
        <f t="shared" si="4"/>
        <v>164540</v>
      </c>
      <c r="L22" s="126">
        <f t="shared" si="5"/>
        <v>0</v>
      </c>
      <c r="M22" s="127">
        <f t="shared" si="1"/>
        <v>164540.12</v>
      </c>
      <c r="N22" s="128">
        <f t="shared" si="2"/>
        <v>169476.12</v>
      </c>
      <c r="O22" s="33">
        <f t="shared" si="6"/>
        <v>0.11999999999999998</v>
      </c>
    </row>
    <row r="23" spans="1:15" ht="17.100000000000001" customHeight="1" x14ac:dyDescent="0.3">
      <c r="A23" s="120" t="s">
        <v>74</v>
      </c>
      <c r="B23" s="120" t="s">
        <v>55</v>
      </c>
      <c r="C23" s="120" t="s">
        <v>75</v>
      </c>
      <c r="D23" s="120" t="s">
        <v>119</v>
      </c>
      <c r="E23" s="141">
        <v>6.18</v>
      </c>
      <c r="F23" s="122">
        <v>283767</v>
      </c>
      <c r="G23" s="123">
        <f>319251.4-G31</f>
        <v>283767</v>
      </c>
      <c r="H23" s="123" t="s">
        <v>57</v>
      </c>
      <c r="I23" s="124">
        <f t="shared" si="0"/>
        <v>0</v>
      </c>
      <c r="J23" s="124">
        <f t="shared" si="3"/>
        <v>0</v>
      </c>
      <c r="K23" s="125">
        <f t="shared" si="4"/>
        <v>234840</v>
      </c>
      <c r="L23" s="126">
        <f t="shared" si="5"/>
        <v>0</v>
      </c>
      <c r="M23" s="127">
        <f t="shared" si="1"/>
        <v>234840.13</v>
      </c>
      <c r="N23" s="128">
        <f t="shared" si="2"/>
        <v>241885.13</v>
      </c>
      <c r="O23" s="33">
        <f t="shared" si="6"/>
        <v>0.12999999999999998</v>
      </c>
    </row>
    <row r="24" spans="1:15" ht="17.100000000000001" customHeight="1" x14ac:dyDescent="0.3">
      <c r="A24" s="120" t="s">
        <v>74</v>
      </c>
      <c r="B24" s="120" t="s">
        <v>57</v>
      </c>
      <c r="C24" s="120" t="s">
        <v>76</v>
      </c>
      <c r="D24" s="120"/>
      <c r="E24" s="141">
        <v>4.33</v>
      </c>
      <c r="F24" s="122">
        <v>198819</v>
      </c>
      <c r="G24" s="123">
        <f>F24</f>
        <v>198819</v>
      </c>
      <c r="H24" s="123"/>
      <c r="I24" s="124">
        <f t="shared" si="0"/>
        <v>0</v>
      </c>
      <c r="J24" s="124">
        <f t="shared" si="3"/>
        <v>0</v>
      </c>
      <c r="K24" s="125">
        <f t="shared" si="4"/>
        <v>164540</v>
      </c>
      <c r="L24" s="126">
        <f t="shared" si="5"/>
        <v>0</v>
      </c>
      <c r="M24" s="127">
        <f t="shared" si="1"/>
        <v>164540.14000000001</v>
      </c>
      <c r="N24" s="128">
        <f t="shared" si="2"/>
        <v>169476.14</v>
      </c>
      <c r="O24" s="33">
        <f t="shared" si="6"/>
        <v>0.13999999999999999</v>
      </c>
    </row>
    <row r="25" spans="1:15" ht="17.100000000000001" customHeight="1" x14ac:dyDescent="0.3">
      <c r="A25" s="129" t="s">
        <v>77</v>
      </c>
      <c r="B25" s="129" t="s">
        <v>55</v>
      </c>
      <c r="C25" s="129" t="s">
        <v>78</v>
      </c>
      <c r="D25" s="129"/>
      <c r="E25" s="142">
        <v>6.18</v>
      </c>
      <c r="F25" s="130">
        <v>283765</v>
      </c>
      <c r="G25" s="123">
        <f>518068-G26-G35</f>
        <v>283764.59999999998</v>
      </c>
      <c r="H25" s="123" t="s">
        <v>57</v>
      </c>
      <c r="I25" s="124">
        <f t="shared" si="0"/>
        <v>0.40000000002328306</v>
      </c>
      <c r="J25" s="124">
        <f t="shared" si="3"/>
        <v>1.2000000000698492E-2</v>
      </c>
      <c r="K25" s="125">
        <f t="shared" si="4"/>
        <v>234840</v>
      </c>
      <c r="L25" s="126">
        <f t="shared" si="5"/>
        <v>0</v>
      </c>
      <c r="M25" s="127">
        <f t="shared" si="1"/>
        <v>234840.15</v>
      </c>
      <c r="N25" s="128">
        <f t="shared" si="2"/>
        <v>241885.15</v>
      </c>
      <c r="O25" s="33">
        <f t="shared" si="6"/>
        <v>0.15</v>
      </c>
    </row>
    <row r="26" spans="1:15" ht="17.100000000000001" customHeight="1" x14ac:dyDescent="0.3">
      <c r="A26" s="120" t="s">
        <v>77</v>
      </c>
      <c r="B26" s="120" t="s">
        <v>57</v>
      </c>
      <c r="C26" s="120" t="s">
        <v>78</v>
      </c>
      <c r="D26" s="120"/>
      <c r="E26" s="141">
        <v>4.33</v>
      </c>
      <c r="F26" s="122">
        <v>198819</v>
      </c>
      <c r="G26" s="123">
        <f>F26</f>
        <v>198819</v>
      </c>
      <c r="H26" s="123" t="s">
        <v>57</v>
      </c>
      <c r="I26" s="124">
        <f t="shared" si="0"/>
        <v>0</v>
      </c>
      <c r="J26" s="124">
        <f t="shared" si="3"/>
        <v>0</v>
      </c>
      <c r="K26" s="125">
        <f t="shared" si="4"/>
        <v>164540</v>
      </c>
      <c r="L26" s="126">
        <f t="shared" si="5"/>
        <v>0</v>
      </c>
      <c r="M26" s="127">
        <f t="shared" si="1"/>
        <v>164540.16</v>
      </c>
      <c r="N26" s="128">
        <f t="shared" si="2"/>
        <v>169476.16</v>
      </c>
      <c r="O26" s="33">
        <f t="shared" si="6"/>
        <v>0.16</v>
      </c>
    </row>
    <row r="27" spans="1:15" ht="17.100000000000001" customHeight="1" x14ac:dyDescent="0.3">
      <c r="A27" s="120" t="s">
        <v>79</v>
      </c>
      <c r="B27" s="120" t="s">
        <v>55</v>
      </c>
      <c r="C27" s="120" t="s">
        <v>80</v>
      </c>
      <c r="D27" s="120" t="s">
        <v>117</v>
      </c>
      <c r="E27" s="141">
        <v>6.18</v>
      </c>
      <c r="F27" s="130">
        <v>281323</v>
      </c>
      <c r="G27" s="123">
        <f>320000-G29</f>
        <v>284515.59999999998</v>
      </c>
      <c r="H27" s="123" t="s">
        <v>57</v>
      </c>
      <c r="I27" s="124">
        <f t="shared" si="0"/>
        <v>-3192.5999999999767</v>
      </c>
      <c r="J27" s="124">
        <f t="shared" si="3"/>
        <v>0</v>
      </c>
      <c r="K27" s="125">
        <f t="shared" si="4"/>
        <v>234840</v>
      </c>
      <c r="L27" s="126">
        <f t="shared" si="5"/>
        <v>0</v>
      </c>
      <c r="M27" s="127">
        <f t="shared" si="1"/>
        <v>231647.17</v>
      </c>
      <c r="N27" s="128">
        <f t="shared" si="2"/>
        <v>238596.17</v>
      </c>
      <c r="O27" s="33">
        <f t="shared" si="6"/>
        <v>0.17</v>
      </c>
    </row>
    <row r="28" spans="1:15" ht="17.100000000000001" customHeight="1" x14ac:dyDescent="0.3">
      <c r="A28" s="120" t="s">
        <v>79</v>
      </c>
      <c r="B28" s="120" t="s">
        <v>57</v>
      </c>
      <c r="C28" s="120" t="s">
        <v>81</v>
      </c>
      <c r="D28" s="120"/>
      <c r="E28" s="141">
        <v>4.33</v>
      </c>
      <c r="F28" s="122">
        <v>198819</v>
      </c>
      <c r="G28" s="123">
        <f t="shared" ref="G28:G33" si="7">F28</f>
        <v>198819</v>
      </c>
      <c r="H28" s="123" t="s">
        <v>57</v>
      </c>
      <c r="I28" s="124">
        <f t="shared" si="0"/>
        <v>0</v>
      </c>
      <c r="J28" s="124">
        <f t="shared" si="3"/>
        <v>0</v>
      </c>
      <c r="K28" s="125">
        <f t="shared" si="4"/>
        <v>164540</v>
      </c>
      <c r="L28" s="126">
        <f t="shared" si="5"/>
        <v>0</v>
      </c>
      <c r="M28" s="127">
        <f t="shared" si="1"/>
        <v>164540.18</v>
      </c>
      <c r="N28" s="128">
        <f t="shared" si="2"/>
        <v>169476.18</v>
      </c>
      <c r="O28" s="33">
        <f t="shared" si="6"/>
        <v>0.18000000000000002</v>
      </c>
    </row>
    <row r="29" spans="1:15" ht="14.4" customHeight="1" x14ac:dyDescent="0.3">
      <c r="A29" s="209" t="s">
        <v>83</v>
      </c>
      <c r="B29" s="210"/>
      <c r="C29" s="120" t="s">
        <v>80</v>
      </c>
      <c r="D29" s="120"/>
      <c r="E29" s="141">
        <v>0.77300000000000002</v>
      </c>
      <c r="F29" s="122">
        <v>35484.400000000001</v>
      </c>
      <c r="G29" s="131">
        <f t="shared" si="7"/>
        <v>35484.400000000001</v>
      </c>
      <c r="H29" s="123" t="s">
        <v>57</v>
      </c>
      <c r="I29" s="124">
        <f t="shared" si="0"/>
        <v>0</v>
      </c>
      <c r="J29" s="124">
        <f t="shared" si="3"/>
        <v>0</v>
      </c>
      <c r="K29" s="125">
        <f t="shared" si="4"/>
        <v>29374</v>
      </c>
      <c r="L29" s="126">
        <f t="shared" si="5"/>
        <v>0</v>
      </c>
      <c r="M29" s="127">
        <f t="shared" si="1"/>
        <v>29374.19</v>
      </c>
      <c r="N29" s="128">
        <f t="shared" si="2"/>
        <v>30255.19</v>
      </c>
      <c r="O29" s="33">
        <f t="shared" si="6"/>
        <v>0.19000000000000003</v>
      </c>
    </row>
    <row r="30" spans="1:15" ht="14.4" customHeight="1" x14ac:dyDescent="0.3">
      <c r="A30" s="209" t="s">
        <v>84</v>
      </c>
      <c r="B30" s="210"/>
      <c r="C30" s="129" t="s">
        <v>60</v>
      </c>
      <c r="D30" s="120"/>
      <c r="E30" s="141">
        <v>0.77300000000000002</v>
      </c>
      <c r="F30" s="132">
        <v>35484.400000000001</v>
      </c>
      <c r="G30" s="133">
        <f t="shared" si="7"/>
        <v>35484.400000000001</v>
      </c>
      <c r="H30" s="123" t="s">
        <v>57</v>
      </c>
      <c r="I30" s="124">
        <f t="shared" si="0"/>
        <v>0</v>
      </c>
      <c r="J30" s="124">
        <f t="shared" si="3"/>
        <v>0</v>
      </c>
      <c r="K30" s="125">
        <f t="shared" si="4"/>
        <v>29374</v>
      </c>
      <c r="L30" s="126">
        <f t="shared" si="5"/>
        <v>0</v>
      </c>
      <c r="M30" s="127">
        <f t="shared" si="1"/>
        <v>29374.2</v>
      </c>
      <c r="N30" s="128">
        <f t="shared" si="2"/>
        <v>30255.200000000001</v>
      </c>
      <c r="O30" s="33">
        <f t="shared" si="6"/>
        <v>0.20000000000000004</v>
      </c>
    </row>
    <row r="31" spans="1:15" ht="14.4" customHeight="1" x14ac:dyDescent="0.3">
      <c r="A31" s="209" t="s">
        <v>85</v>
      </c>
      <c r="B31" s="210"/>
      <c r="C31" s="134" t="s">
        <v>82</v>
      </c>
      <c r="D31" s="120" t="s">
        <v>119</v>
      </c>
      <c r="E31" s="141">
        <v>0.77300000000000002</v>
      </c>
      <c r="F31" s="132">
        <v>35484.400000000001</v>
      </c>
      <c r="G31" s="133">
        <f t="shared" si="7"/>
        <v>35484.400000000001</v>
      </c>
      <c r="H31" s="123" t="s">
        <v>57</v>
      </c>
      <c r="I31" s="124">
        <f t="shared" si="0"/>
        <v>0</v>
      </c>
      <c r="J31" s="124">
        <f t="shared" si="3"/>
        <v>0</v>
      </c>
      <c r="K31" s="125">
        <f t="shared" si="4"/>
        <v>29374</v>
      </c>
      <c r="L31" s="126">
        <f t="shared" si="5"/>
        <v>0</v>
      </c>
      <c r="M31" s="127">
        <f t="shared" si="1"/>
        <v>29374.21</v>
      </c>
      <c r="N31" s="128">
        <f t="shared" si="2"/>
        <v>30255.21</v>
      </c>
      <c r="O31" s="33">
        <f t="shared" si="6"/>
        <v>0.21000000000000005</v>
      </c>
    </row>
    <row r="32" spans="1:15" ht="14.4" customHeight="1" x14ac:dyDescent="0.3">
      <c r="A32" s="209" t="s">
        <v>86</v>
      </c>
      <c r="B32" s="210"/>
      <c r="C32" s="120" t="s">
        <v>66</v>
      </c>
      <c r="D32" s="120"/>
      <c r="E32" s="141">
        <v>0.77300000000000002</v>
      </c>
      <c r="F32" s="132">
        <v>35484.400000000001</v>
      </c>
      <c r="G32" s="133">
        <f t="shared" si="7"/>
        <v>35484.400000000001</v>
      </c>
      <c r="H32" s="123" t="s">
        <v>57</v>
      </c>
      <c r="I32" s="124">
        <f t="shared" si="0"/>
        <v>0</v>
      </c>
      <c r="J32" s="124">
        <f t="shared" si="3"/>
        <v>0</v>
      </c>
      <c r="K32" s="125">
        <f t="shared" si="4"/>
        <v>29374</v>
      </c>
      <c r="L32" s="126">
        <f t="shared" si="5"/>
        <v>0</v>
      </c>
      <c r="M32" s="127">
        <f t="shared" si="1"/>
        <v>29374.22</v>
      </c>
      <c r="N32" s="128">
        <f t="shared" si="2"/>
        <v>30255.22</v>
      </c>
      <c r="O32" s="33">
        <f t="shared" si="6"/>
        <v>0.22000000000000006</v>
      </c>
    </row>
    <row r="33" spans="1:15" ht="14.4" customHeight="1" x14ac:dyDescent="0.3">
      <c r="A33" s="209" t="s">
        <v>87</v>
      </c>
      <c r="B33" s="210"/>
      <c r="C33" s="135" t="s">
        <v>69</v>
      </c>
      <c r="D33" s="135"/>
      <c r="E33" s="141">
        <v>0.77300000000000002</v>
      </c>
      <c r="F33" s="132">
        <v>35484.400000000001</v>
      </c>
      <c r="G33" s="133">
        <f t="shared" si="7"/>
        <v>35484.400000000001</v>
      </c>
      <c r="H33" s="133" t="s">
        <v>126</v>
      </c>
      <c r="I33" s="124">
        <f t="shared" si="0"/>
        <v>0</v>
      </c>
      <c r="J33" s="124">
        <f t="shared" si="3"/>
        <v>0</v>
      </c>
      <c r="K33" s="125">
        <f t="shared" si="4"/>
        <v>29374</v>
      </c>
      <c r="L33" s="126">
        <f t="shared" si="5"/>
        <v>0</v>
      </c>
      <c r="M33" s="127">
        <f t="shared" si="1"/>
        <v>29374.23</v>
      </c>
      <c r="N33" s="128">
        <f t="shared" si="2"/>
        <v>30255.23</v>
      </c>
      <c r="O33" s="33">
        <f t="shared" si="6"/>
        <v>0.23000000000000007</v>
      </c>
    </row>
    <row r="34" spans="1:15" ht="14.4" customHeight="1" x14ac:dyDescent="0.3">
      <c r="A34" s="209" t="s">
        <v>88</v>
      </c>
      <c r="B34" s="210"/>
      <c r="C34" s="135" t="s">
        <v>72</v>
      </c>
      <c r="D34" s="135"/>
      <c r="E34" s="141">
        <v>0.77300000000000002</v>
      </c>
      <c r="F34" s="132">
        <v>34163.4</v>
      </c>
      <c r="G34" s="133"/>
      <c r="H34" s="133"/>
      <c r="I34" s="124">
        <f t="shared" si="0"/>
        <v>34163.4</v>
      </c>
      <c r="J34" s="124">
        <f t="shared" si="3"/>
        <v>1024.902</v>
      </c>
      <c r="K34" s="125">
        <f t="shared" si="4"/>
        <v>29374</v>
      </c>
      <c r="L34" s="126">
        <f t="shared" si="5"/>
        <v>0</v>
      </c>
      <c r="M34" s="127">
        <f t="shared" si="1"/>
        <v>64562.239999999998</v>
      </c>
      <c r="N34" s="128">
        <f t="shared" si="2"/>
        <v>66499.239999999991</v>
      </c>
      <c r="O34" s="33">
        <f t="shared" si="6"/>
        <v>0.24000000000000007</v>
      </c>
    </row>
    <row r="35" spans="1:15" ht="17.100000000000001" customHeight="1" thickBot="1" x14ac:dyDescent="0.35">
      <c r="A35" s="209" t="s">
        <v>89</v>
      </c>
      <c r="B35" s="210"/>
      <c r="C35" s="135" t="s">
        <v>78</v>
      </c>
      <c r="D35" s="135"/>
      <c r="E35" s="121">
        <v>0.77300000000000002</v>
      </c>
      <c r="F35" s="132">
        <v>35484.400000000001</v>
      </c>
      <c r="G35" s="123">
        <f>F35</f>
        <v>35484.400000000001</v>
      </c>
      <c r="H35" s="123" t="s">
        <v>57</v>
      </c>
      <c r="I35" s="124">
        <f t="shared" si="0"/>
        <v>0</v>
      </c>
      <c r="J35" s="124">
        <f t="shared" si="3"/>
        <v>0</v>
      </c>
      <c r="K35" s="125">
        <f t="shared" si="4"/>
        <v>29374</v>
      </c>
      <c r="L35" s="126">
        <f t="shared" si="5"/>
        <v>0</v>
      </c>
      <c r="M35" s="127">
        <f t="shared" si="1"/>
        <v>29374.25</v>
      </c>
      <c r="N35" s="128">
        <f t="shared" si="2"/>
        <v>30255.25</v>
      </c>
      <c r="O35" s="33">
        <f t="shared" si="6"/>
        <v>0.25000000000000006</v>
      </c>
    </row>
    <row r="36" spans="1:15" ht="17.100000000000001" customHeight="1" thickBot="1" x14ac:dyDescent="0.35">
      <c r="A36" s="211" t="s">
        <v>53</v>
      </c>
      <c r="B36" s="211"/>
      <c r="C36" s="212"/>
      <c r="D36" s="145"/>
      <c r="E36" s="136">
        <f t="shared" ref="E36:L36" si="8">SUM(E11:E35)</f>
        <v>100.00099999999993</v>
      </c>
      <c r="F36" s="137">
        <f t="shared" si="8"/>
        <v>4584998.8000000026</v>
      </c>
      <c r="G36" s="138">
        <f t="shared" si="8"/>
        <v>4559410.8000000026</v>
      </c>
      <c r="H36" s="138"/>
      <c r="I36" s="138">
        <f t="shared" si="8"/>
        <v>25588.000000000095</v>
      </c>
      <c r="J36" s="139">
        <f t="shared" si="8"/>
        <v>1063.1760000000015</v>
      </c>
      <c r="K36" s="139">
        <f t="shared" si="8"/>
        <v>3800038</v>
      </c>
      <c r="L36" s="138">
        <f t="shared" si="8"/>
        <v>0</v>
      </c>
      <c r="M36" s="140">
        <f>SUM(M11:M28)</f>
        <v>3585883.7100000009</v>
      </c>
      <c r="N36" s="140">
        <f>SUM(N11:N35)</f>
        <v>3941487.2500000009</v>
      </c>
    </row>
    <row r="37" spans="1:15" ht="22.2" customHeight="1" x14ac:dyDescent="0.3">
      <c r="C37" s="39"/>
      <c r="D37" s="39"/>
      <c r="F37" t="s">
        <v>128</v>
      </c>
      <c r="G37" s="155">
        <f>SUMIF(H11:H35,"B",G11:G35)</f>
        <v>3841554.4</v>
      </c>
    </row>
    <row r="38" spans="1:15" x14ac:dyDescent="0.3">
      <c r="A38" s="204"/>
      <c r="B38" s="204"/>
      <c r="E38" s="205"/>
      <c r="F38" s="206" t="s">
        <v>129</v>
      </c>
      <c r="G38" s="155">
        <f>SUMIF(H11:H35,"E",G11:G35)</f>
        <v>519037.4</v>
      </c>
    </row>
    <row r="39" spans="1:15" x14ac:dyDescent="0.3">
      <c r="A39" s="204"/>
      <c r="B39" s="204"/>
      <c r="E39" s="205"/>
      <c r="F39" s="206"/>
      <c r="G39" s="156">
        <f>SUM(G37:G38)</f>
        <v>4360591.8</v>
      </c>
    </row>
    <row r="50" spans="1:6" x14ac:dyDescent="0.3">
      <c r="F50">
        <f>SUM(E48:E49)</f>
        <v>0</v>
      </c>
    </row>
    <row r="52" spans="1:6" x14ac:dyDescent="0.3">
      <c r="A52" t="s">
        <v>97</v>
      </c>
    </row>
    <row r="53" spans="1:6" x14ac:dyDescent="0.3">
      <c r="A53" t="s">
        <v>96</v>
      </c>
    </row>
    <row r="54" spans="1:6" x14ac:dyDescent="0.3">
      <c r="F54">
        <f>SUM(E52:E53)</f>
        <v>0</v>
      </c>
    </row>
  </sheetData>
  <mergeCells count="28">
    <mergeCell ref="A38:B39"/>
    <mergeCell ref="E38:E39"/>
    <mergeCell ref="F38:F39"/>
    <mergeCell ref="L2:M2"/>
    <mergeCell ref="G2:I2"/>
    <mergeCell ref="D2:E2"/>
    <mergeCell ref="H9:H10"/>
    <mergeCell ref="A35:B35"/>
    <mergeCell ref="A36:C36"/>
    <mergeCell ref="A33:B33"/>
    <mergeCell ref="A34:B34"/>
    <mergeCell ref="A29:B29"/>
    <mergeCell ref="A30:B30"/>
    <mergeCell ref="A31:B31"/>
    <mergeCell ref="A32:B32"/>
    <mergeCell ref="E1:M1"/>
    <mergeCell ref="J9:J10"/>
    <mergeCell ref="F9:F10"/>
    <mergeCell ref="G9:G10"/>
    <mergeCell ref="I9:I10"/>
    <mergeCell ref="K9:K10"/>
    <mergeCell ref="L9:L10"/>
    <mergeCell ref="A4:N8"/>
    <mergeCell ref="A9:A10"/>
    <mergeCell ref="C9:C10"/>
    <mergeCell ref="E9:E10"/>
    <mergeCell ref="B9:B10"/>
    <mergeCell ref="N9:N10"/>
  </mergeCells>
  <phoneticPr fontId="21" type="noConversion"/>
  <pageMargins left="0.25" right="0.25" top="0.75" bottom="0.75" header="0.3" footer="0.3"/>
  <pageSetup paperSize="3"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123E2-E76E-40B2-9631-974509386176}">
  <dimension ref="A1"/>
  <sheetViews>
    <sheetView workbookViewId="0">
      <selection activeCell="A3" sqref="A3:XFD16"/>
    </sheetView>
  </sheetViews>
  <sheetFormatPr baseColWidth="10" defaultColWidth="10.88671875"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2</vt:i4>
      </vt:variant>
    </vt:vector>
  </HeadingPairs>
  <TitlesOfParts>
    <vt:vector size="5" baseType="lpstr">
      <vt:lpstr>RESUMEN</vt:lpstr>
      <vt:lpstr>PRORRATEO</vt:lpstr>
      <vt:lpstr>ANOTACIONES</vt:lpstr>
      <vt:lpstr>PRORRATEO!Área_de_impresión</vt:lpstr>
      <vt:lpstr>RESUMEN!Área_de_impresión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Sistemax</dc:creator>
  <cp:lastModifiedBy>Mateo Quotteri</cp:lastModifiedBy>
  <cp:lastPrinted>2026-03-09T17:33:16Z</cp:lastPrinted>
  <dcterms:created xsi:type="dcterms:W3CDTF">2023-09-17T12:29:07Z</dcterms:created>
  <dcterms:modified xsi:type="dcterms:W3CDTF">2026-03-26T02:52:22Z</dcterms:modified>
</cp:coreProperties>
</file>