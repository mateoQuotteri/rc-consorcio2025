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Agosto\"/>
    </mc:Choice>
  </mc:AlternateContent>
  <xr:revisionPtr revIDLastSave="0" documentId="13_ncr:1_{AD626F63-B708-4014-BA95-5F2F4D27165D}" xr6:coauthVersionLast="47" xr6:coauthVersionMax="47" xr10:uidLastSave="{00000000-0000-0000-0000-000000000000}"/>
  <bookViews>
    <workbookView xWindow="-120" yWindow="-120" windowWidth="20730" windowHeight="11040" tabRatio="850"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RESUMEN!$A$1:$E$103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6" i="1" l="1"/>
  <c r="B97" i="1"/>
  <c r="D54" i="1" l="1"/>
  <c r="G28" i="2"/>
  <c r="E51" i="1"/>
  <c r="G23" i="2" l="1"/>
  <c r="G31" i="2"/>
  <c r="G19" i="2" l="1"/>
  <c r="G30" i="2"/>
  <c r="G13" i="2" s="1"/>
  <c r="G25" i="2"/>
  <c r="E46" i="1" l="1"/>
  <c r="G16" i="2" l="1"/>
  <c r="G15" i="2"/>
  <c r="G21" i="2"/>
  <c r="G14" i="2" l="1"/>
  <c r="D28" i="1" l="1"/>
  <c r="G29" i="2" l="1"/>
  <c r="G27" i="2"/>
  <c r="G18" i="2"/>
  <c r="G11" i="2"/>
  <c r="E40" i="1" l="1"/>
  <c r="E41" i="1" s="1"/>
  <c r="M2" i="2" l="1"/>
  <c r="L15" i="2" s="1"/>
  <c r="E42" i="1"/>
  <c r="M12" i="2"/>
  <c r="M13" i="2"/>
  <c r="M14" i="2"/>
  <c r="M15" i="2"/>
  <c r="M16" i="2"/>
  <c r="M17" i="2"/>
  <c r="M18" i="2"/>
  <c r="M19" i="2"/>
  <c r="M20" i="2"/>
  <c r="M21" i="2"/>
  <c r="M22" i="2"/>
  <c r="M23" i="2"/>
  <c r="M24" i="2"/>
  <c r="M25" i="2"/>
  <c r="M26" i="2"/>
  <c r="M27" i="2"/>
  <c r="M28" i="2"/>
  <c r="M29" i="2"/>
  <c r="M30" i="2"/>
  <c r="M31" i="2"/>
  <c r="M32" i="2"/>
  <c r="M33" i="2"/>
  <c r="M34" i="2"/>
  <c r="M35" i="2"/>
  <c r="M11" i="2"/>
  <c r="G32" i="2"/>
  <c r="G17" i="2" s="1"/>
  <c r="G35" i="2"/>
  <c r="G26" i="2"/>
  <c r="G33" i="2" l="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1" i="1" s="1"/>
  <c r="B85" i="1" s="1"/>
  <c r="B92" i="1"/>
  <c r="E36" i="1"/>
  <c r="G39" i="2" l="1"/>
  <c r="E55" i="1"/>
  <c r="E32" i="1" l="1"/>
  <c r="I22" i="2" l="1"/>
  <c r="E67" i="1" l="1"/>
  <c r="E72" i="1" s="1"/>
  <c r="B76" i="1" s="1"/>
  <c r="B89" i="1" l="1"/>
  <c r="B102" i="1"/>
  <c r="B91" i="1" l="1"/>
  <c r="I25" i="2" l="1"/>
  <c r="N10" i="2" l="1"/>
  <c r="E29" i="1" l="1"/>
  <c r="E59"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77" i="1"/>
  <c r="I36" i="2"/>
  <c r="J28" i="2"/>
  <c r="J16" i="2"/>
  <c r="J27" i="2"/>
  <c r="J23" i="2"/>
  <c r="J19" i="2"/>
  <c r="N19" i="2" s="1"/>
  <c r="J15" i="2"/>
  <c r="J24" i="2"/>
  <c r="J12" i="2"/>
  <c r="J26" i="2"/>
  <c r="J22" i="2"/>
  <c r="J18" i="2"/>
  <c r="J14" i="2"/>
  <c r="J20" i="2"/>
  <c r="J25" i="2"/>
  <c r="J21" i="2"/>
  <c r="J17" i="2"/>
  <c r="J13" i="2"/>
  <c r="J11" i="2"/>
  <c r="N11" i="2" l="1"/>
  <c r="J36" i="2"/>
  <c r="P33" i="2"/>
  <c r="N32" i="2"/>
  <c r="O32" i="2" s="1"/>
  <c r="A40" i="1"/>
  <c r="A41"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75" i="1" l="1"/>
  <c r="B88" i="1" s="1"/>
  <c r="B93" i="1" s="1"/>
  <c r="B74" i="1" l="1"/>
</calcChain>
</file>

<file path=xl/sharedStrings.xml><?xml version="1.0" encoding="utf-8"?>
<sst xmlns="http://schemas.openxmlformats.org/spreadsheetml/2006/main" count="208" uniqueCount="143">
  <si>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</si>
  <si>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</si>
  <si>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</si>
  <si>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</si>
  <si>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</si>
  <si>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</si>
  <si>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</si>
  <si>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</si>
  <si>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</si>
  <si>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</si>
  <si>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</si>
  <si>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</si>
  <si>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</si>
  <si>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</si>
  <si>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</si>
  <si>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</si>
  <si>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</si>
  <si>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</si>
  <si>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</si>
  <si>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</si>
  <si>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</si>
  <si>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</si>
  <si>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</si>
  <si>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</si>
  <si>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</si>
  <si>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</si>
  <si>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</si>
  <si>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</si>
  <si>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</si>
  <si>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</si>
  <si>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</si>
  <si>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</si>
  <si>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</si>
  <si>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</si>
  <si>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</si>
  <si>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</si>
  <si>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</si>
  <si>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</si>
  <si>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</si>
  <si>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</si>
  <si>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</si>
  <si>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</si>
  <si>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</si>
  <si>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</si>
  <si>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</si>
  <si>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</si>
  <si>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</si>
  <si>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</si>
  <si>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</si>
  <si>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</si>
  <si>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</si>
  <si>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</si>
  <si>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</si>
  <si>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</si>
  <si>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</si>
  <si>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</si>
  <si>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</si>
  <si>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</si>
  <si>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</si>
  <si>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</si>
  <si>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</si>
  <si>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</si>
  <si>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</si>
  <si>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</si>
  <si>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</si>
  <si>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</si>
  <si>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</si>
  <si>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</si>
  <si>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</si>
  <si>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</si>
  <si>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</si>
  <si>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</si>
  <si>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</si>
  <si>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</si>
  <si>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</si>
  <si>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</si>
  <si>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</si>
  <si>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</si>
  <si>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</si>
  <si>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</si>
  <si>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</si>
  <si>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</si>
  <si>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</si>
  <si>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</si>
  <si>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</si>
  <si>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</si>
  <si>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</si>
  <si>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</si>
  <si>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</si>
  <si>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</si>
  <si>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</si>
  <si>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</si>
  <si>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</si>
  <si>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</si>
  <si>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</si>
  <si>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</si>
  <si>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</si>
  <si>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</si>
  <si>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</si>
  <si>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</si>
  <si>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</si>
  <si>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</si>
  <si>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</si>
  <si>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</si>
  <si>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</si>
  <si>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</si>
  <si>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</si>
  <si>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</si>
  <si>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</si>
  <si>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</si>
  <si>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</si>
  <si>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</si>
  <si>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</si>
  <si>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</si>
  <si>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</si>
  <si>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</si>
  <si>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</si>
  <si>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Gustavo Padron - Sr. Contador</t>
  </si>
  <si>
    <t>Contessi - Anticipo: Provision y cambio de polea de traccion a la maquina del ascensor</t>
  </si>
  <si>
    <t>Federacion patronal - Poliza nro. 12354473-0</t>
  </si>
  <si>
    <t>Tenencia FCI</t>
  </si>
  <si>
    <t>Intereses generados</t>
  </si>
  <si>
    <t>VTO 17/09</t>
  </si>
  <si>
    <t>MAIL:consorcio2deAGOSTO2813.15@gmail.com</t>
  </si>
  <si>
    <t>PERÍODO: AGOSTO</t>
  </si>
  <si>
    <t xml:space="preserve">Mes de AGOSTO </t>
  </si>
  <si>
    <t>Sindicatos mes de AGOSTO</t>
  </si>
  <si>
    <t>Honorarios administracion AGOSTO</t>
  </si>
  <si>
    <t>CONSORCIO 2 DE JULIO 2813/15  -  LIQUIDACIÓN DE GASTOS JULIO 2026</t>
  </si>
  <si>
    <t>Transf 04/08</t>
  </si>
  <si>
    <t>Transf 05/08</t>
  </si>
  <si>
    <t>Transf 12/08</t>
  </si>
  <si>
    <t>Debito 10/08</t>
  </si>
  <si>
    <t>Transf 10/08</t>
  </si>
  <si>
    <t>Debito 12/08</t>
  </si>
  <si>
    <t>Reemplazo Sra. Silvana - Vacaciones Sra. Lucia</t>
  </si>
  <si>
    <t>Seguro Sra. Silvana</t>
  </si>
  <si>
    <t>Arreglo de camaras</t>
  </si>
  <si>
    <t xml:space="preserve">Saldo inicial FCI </t>
  </si>
  <si>
    <t>Transf 24/08</t>
  </si>
  <si>
    <t>Transf 31/08</t>
  </si>
  <si>
    <t>Della Maggora</t>
  </si>
  <si>
    <t xml:space="preserve">Caja chicha entregada a Lucia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</si>
</sst>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6">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166" fontId="0" fillId="0" borderId="0" xfId="0" applyNumberFormat="1"/>
    <xf numFmtId="167" fontId="0" fillId="0" borderId="0" xfId="0" applyNumberFormat="1"/>
    <xf numFmtId="0" fontId="9" fillId="6" borderId="2" xfId="0" applyFont="1" applyFill="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0" borderId="2" xfId="1" applyNumberFormat="1" applyFont="1" applyBorder="1"/>
    <xf numFmtId="0" fontId="2" fillId="8" borderId="36" xfId="0" applyFont="1" applyFill="1" applyBorder="1"/>
    <xf numFmtId="0" fontId="2" fillId="8" borderId="37"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8" fillId="0" borderId="35" xfId="1" applyFont="1" applyBorder="1" applyAlignment="1">
      <alignment vertical="center" wrapText="1"/>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0" fontId="9" fillId="6" borderId="39" xfId="0" applyFont="1" applyFill="1" applyBorder="1"/>
    <xf numFmtId="44" fontId="0" fillId="0" borderId="40" xfId="1" applyFont="1" applyBorder="1"/>
    <xf numFmtId="0" fontId="0" fillId="0" borderId="41" xfId="0" applyBorder="1" applyAlignment="1">
      <alignment horizontal="left" vertical="center"/>
    </xf>
    <xf numFmtId="165" fontId="15" fillId="0" borderId="1" xfId="0" applyNumberFormat="1" applyFont="1" applyBorder="1"/>
    <xf numFmtId="44" fontId="4" fillId="4" borderId="0" xfId="1" applyFont="1" applyFill="1"/>
    <xf numFmtId="0" fontId="7" fillId="8" borderId="38" xfId="0" applyFont="1" applyFill="1" applyBorder="1"/>
    <xf numFmtId="44" fontId="8" fillId="0" borderId="1" xfId="0" applyNumberFormat="1" applyFont="1" applyBorder="1" applyAlignment="1">
      <alignment vertical="center" wrapText="1"/>
    </xf>
    <xf numFmtId="44" fontId="2" fillId="12" borderId="18" xfId="1" applyFont="1" applyFill="1" applyBorder="1" applyAlignment="1">
      <alignment horizontal="left" vertical="center" wrapText="1"/>
    </xf>
    <xf numFmtId="44" fontId="2" fillId="12" borderId="21" xfId="1" applyFont="1" applyFill="1" applyBorder="1" applyAlignment="1">
      <alignment horizontal="left" vertical="center" wrapText="1"/>
    </xf>
    <xf numFmtId="0" fontId="2" fillId="2" borderId="27" xfId="0" applyFont="1" applyFill="1" applyBorder="1" applyAlignment="1">
      <alignment horizontal="left" vertical="center" wrapText="1"/>
    </xf>
    <xf numFmtId="44" fontId="2" fillId="2" borderId="32" xfId="1" applyFont="1" applyFill="1" applyBorder="1" applyAlignment="1">
      <alignment horizontal="left" vertical="center" wrapText="1"/>
    </xf>
    <xf numFmtId="0" fontId="2" fillId="12" borderId="18" xfId="0" applyFont="1" applyFill="1" applyBorder="1" applyAlignment="1">
      <alignment horizontal="left" vertical="center" wrapText="1"/>
    </xf>
    <xf numFmtId="0" fontId="2" fillId="12" borderId="21" xfId="0" applyFont="1" applyFill="1" applyBorder="1" applyAlignment="1">
      <alignment horizontal="left" vertic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0" fillId="3" borderId="0" xfId="0" applyFill="1" applyAlignment="1">
      <alignment horizontal="left"/>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44" fontId="2" fillId="0" borderId="2" xfId="1" applyFont="1" applyBorder="1"/>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44" fontId="4" fillId="0" borderId="1" xfId="0" applyNumberFormat="1" applyFont="1" applyBorder="1" applyAlignment="1">
      <alignment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
  <sheetViews>
    <sheetView tabSelected="1" topLeftCell="A14" workbookViewId="0">
      <selection activeCell="B95" sqref="B95"/>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66" t="s">
        <v>123</v>
      </c>
      <c r="C1" s="166"/>
      <c r="D1" s="166"/>
      <c r="E1" s="51"/>
    </row>
    <row r="2" spans="1:5" x14ac:dyDescent="0.25">
      <c r="A2" s="15"/>
      <c r="B2" s="52" t="s">
        <v>22</v>
      </c>
      <c r="C2" s="52"/>
      <c r="D2" s="52"/>
      <c r="E2" s="53"/>
    </row>
    <row r="3" spans="1:5" ht="70.5" customHeight="1" thickBot="1" x14ac:dyDescent="0.3">
      <c r="A3" s="15"/>
      <c r="B3" s="169" t="s">
        <v>95</v>
      </c>
      <c r="C3" s="169"/>
      <c r="D3" s="169"/>
      <c r="E3" s="170"/>
    </row>
    <row r="4" spans="1:5" ht="15.75" thickBot="1" x14ac:dyDescent="0.3">
      <c r="A4" s="18" t="s">
        <v>0</v>
      </c>
      <c r="B4" s="54" t="s">
        <v>31</v>
      </c>
      <c r="C4" s="19"/>
      <c r="D4" s="19"/>
      <c r="E4" s="20"/>
    </row>
    <row r="5" spans="1:5" ht="15.75" thickBot="1" x14ac:dyDescent="0.3">
      <c r="A5" s="15" t="s">
        <v>111</v>
      </c>
      <c r="B5" s="19" t="s">
        <v>124</v>
      </c>
      <c r="C5" s="16"/>
      <c r="D5" s="52" t="s">
        <v>23</v>
      </c>
      <c r="E5" s="17"/>
    </row>
    <row r="6" spans="1:5" ht="15.75" thickBot="1" x14ac:dyDescent="0.3">
      <c r="A6" s="18" t="s">
        <v>128</v>
      </c>
      <c r="B6" s="19"/>
      <c r="C6" s="19"/>
      <c r="D6" s="19" t="s">
        <v>46</v>
      </c>
      <c r="E6" s="20"/>
    </row>
    <row r="8" spans="1:5" x14ac:dyDescent="0.25">
      <c r="B8" s="172" t="s">
        <v>122</v>
      </c>
      <c r="C8" s="172"/>
    </row>
    <row r="9" spans="1:5" x14ac:dyDescent="0.25">
      <c r="B9" s="172"/>
      <c r="C9" s="172"/>
    </row>
    <row r="10" spans="1:5" x14ac:dyDescent="0.25">
      <c r="B10" s="172"/>
      <c r="C10" s="172"/>
    </row>
    <row r="12" spans="1:5" hidden="1" x14ac:dyDescent="0.25"/>
    <row r="13" spans="1:5" ht="15" customHeight="1" x14ac:dyDescent="0.25">
      <c r="A13" s="171" t="s">
        <v>87</v>
      </c>
      <c r="B13" s="171"/>
      <c r="C13" s="171"/>
      <c r="D13" s="171"/>
      <c r="E13" s="171"/>
    </row>
    <row r="14" spans="1:5" ht="15" customHeight="1" x14ac:dyDescent="0.25">
      <c r="A14" s="171"/>
      <c r="B14" s="171"/>
      <c r="C14" s="171"/>
      <c r="D14" s="171"/>
      <c r="E14" s="171"/>
    </row>
    <row r="15" spans="1:5" ht="15" customHeight="1" x14ac:dyDescent="0.25">
      <c r="A15" s="171"/>
      <c r="B15" s="171"/>
      <c r="C15" s="171"/>
      <c r="D15" s="171"/>
      <c r="E15" s="171"/>
    </row>
    <row r="16" spans="1:5" ht="127.15" customHeight="1" x14ac:dyDescent="0.25">
      <c r="A16" s="171"/>
      <c r="B16" s="171"/>
      <c r="C16" s="171"/>
      <c r="D16" s="171"/>
      <c r="E16" s="171"/>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88</v>
      </c>
      <c r="B22" s="5" t="s">
        <v>125</v>
      </c>
      <c r="C22" s="5"/>
      <c r="D22" s="134">
        <v>1506395.81</v>
      </c>
      <c r="E22" s="5" t="s">
        <v>140</v>
      </c>
    </row>
    <row r="23" spans="1:7" x14ac:dyDescent="0.25">
      <c r="A23" s="5" t="s">
        <v>89</v>
      </c>
      <c r="B23" s="5"/>
      <c r="C23" s="5"/>
      <c r="D23" s="134">
        <v>-372832.81</v>
      </c>
      <c r="E23" s="5"/>
    </row>
    <row r="24" spans="1:7" x14ac:dyDescent="0.25">
      <c r="A24" s="5" t="s">
        <v>90</v>
      </c>
      <c r="B24" s="5"/>
      <c r="C24" s="5"/>
      <c r="D24" s="134">
        <v>0</v>
      </c>
      <c r="E24" s="5"/>
    </row>
    <row r="25" spans="1:7" ht="14.25" customHeight="1" x14ac:dyDescent="0.25">
      <c r="A25" s="44" t="s">
        <v>28</v>
      </c>
      <c r="B25" s="44"/>
      <c r="C25" s="44"/>
      <c r="D25" s="135">
        <f>SUM(D22:D24)</f>
        <v>1133563</v>
      </c>
      <c r="E25" s="85"/>
      <c r="G25" s="21"/>
    </row>
    <row r="26" spans="1:7" ht="14.25" hidden="1" customHeight="1" x14ac:dyDescent="0.25">
      <c r="A26" s="5" t="s">
        <v>34</v>
      </c>
      <c r="B26" s="5"/>
      <c r="C26" s="5"/>
      <c r="D26" s="134"/>
      <c r="E26" s="5"/>
    </row>
    <row r="27" spans="1:7" x14ac:dyDescent="0.25">
      <c r="A27" s="23" t="s">
        <v>135</v>
      </c>
      <c r="B27" s="5"/>
      <c r="C27" s="5"/>
      <c r="D27" s="134">
        <v>211200</v>
      </c>
      <c r="E27" s="5" t="s">
        <v>139</v>
      </c>
    </row>
    <row r="28" spans="1:7" x14ac:dyDescent="0.25">
      <c r="A28" s="44" t="s">
        <v>28</v>
      </c>
      <c r="B28" s="44"/>
      <c r="C28" s="44"/>
      <c r="D28" s="136">
        <f>SUM(D26:D27)</f>
        <v>211200</v>
      </c>
      <c r="E28" s="85"/>
    </row>
    <row r="29" spans="1:7" ht="15.75" thickBot="1" x14ac:dyDescent="0.3">
      <c r="A29" s="24" t="s">
        <v>1</v>
      </c>
      <c r="B29" s="24"/>
      <c r="C29" s="24"/>
      <c r="D29" s="137"/>
      <c r="E29" s="86">
        <f>D25+D28</f>
        <v>1344763</v>
      </c>
      <c r="F29" s="21"/>
    </row>
    <row r="30" spans="1:7" x14ac:dyDescent="0.25">
      <c r="A30" s="27" t="s">
        <v>18</v>
      </c>
      <c r="B30" s="27"/>
      <c r="C30" s="27"/>
      <c r="D30" s="138"/>
      <c r="E30" s="87"/>
    </row>
    <row r="31" spans="1:7" ht="15" customHeight="1" thickBot="1" x14ac:dyDescent="0.3">
      <c r="A31" s="167" t="s">
        <v>117</v>
      </c>
      <c r="B31" s="168"/>
      <c r="C31" s="41"/>
      <c r="D31" s="134">
        <v>50000</v>
      </c>
      <c r="E31" s="131" t="s">
        <v>131</v>
      </c>
    </row>
    <row r="32" spans="1:7" ht="15.75" thickBot="1" x14ac:dyDescent="0.3">
      <c r="A32" s="24" t="s">
        <v>15</v>
      </c>
      <c r="B32" s="24"/>
      <c r="C32" s="24"/>
      <c r="D32" s="146"/>
      <c r="E32" s="88">
        <f>SUM(D31:D31)</f>
        <v>50000</v>
      </c>
    </row>
    <row r="33" spans="1:7" x14ac:dyDescent="0.25">
      <c r="A33" s="27" t="s">
        <v>25</v>
      </c>
      <c r="B33" s="24"/>
      <c r="C33" s="24"/>
      <c r="D33" s="147"/>
      <c r="E33" s="89"/>
    </row>
    <row r="34" spans="1:7" s="30" customFormat="1" ht="14.25" customHeight="1" x14ac:dyDescent="0.25">
      <c r="A34" s="173" t="s">
        <v>119</v>
      </c>
      <c r="B34" s="174"/>
      <c r="C34" s="42"/>
      <c r="D34" s="213">
        <v>76880</v>
      </c>
      <c r="E34" s="164" t="s">
        <v>132</v>
      </c>
    </row>
    <row r="35" spans="1:7" ht="42" hidden="1" customHeight="1" x14ac:dyDescent="0.25">
      <c r="A35" s="175"/>
      <c r="B35" s="176"/>
      <c r="C35" s="42"/>
      <c r="D35" s="214"/>
      <c r="E35" s="165"/>
    </row>
    <row r="36" spans="1:7" ht="15.75" thickBot="1" x14ac:dyDescent="0.3">
      <c r="A36" s="24" t="s">
        <v>2</v>
      </c>
      <c r="B36" s="24"/>
      <c r="C36" s="24"/>
      <c r="D36" s="146"/>
      <c r="E36" s="58">
        <f>SUM(D34:D35)</f>
        <v>76880</v>
      </c>
    </row>
    <row r="37" spans="1:7" x14ac:dyDescent="0.25">
      <c r="A37" s="27" t="s">
        <v>16</v>
      </c>
      <c r="B37" s="90"/>
      <c r="C37" s="90"/>
      <c r="D37" s="148"/>
      <c r="E37" s="140"/>
    </row>
    <row r="38" spans="1:7" x14ac:dyDescent="0.25">
      <c r="A38" s="5" t="s">
        <v>36</v>
      </c>
      <c r="B38" s="5"/>
      <c r="C38" s="41"/>
      <c r="D38" s="139">
        <v>779803.79</v>
      </c>
      <c r="E38" s="131" t="s">
        <v>133</v>
      </c>
      <c r="G38" s="75"/>
    </row>
    <row r="39" spans="1:7" x14ac:dyDescent="0.25">
      <c r="A39" s="5" t="s">
        <v>126</v>
      </c>
      <c r="B39" s="5" t="s">
        <v>98</v>
      </c>
      <c r="C39" s="5"/>
      <c r="D39" s="139">
        <v>60879.18</v>
      </c>
      <c r="E39" s="94" t="s">
        <v>134</v>
      </c>
    </row>
    <row r="40" spans="1:7" x14ac:dyDescent="0.25">
      <c r="A40" s="5" t="str">
        <f>A39</f>
        <v>Sindicatos mes de AGOSTO</v>
      </c>
      <c r="B40" s="5" t="s">
        <v>97</v>
      </c>
      <c r="C40" s="5"/>
      <c r="D40" s="139">
        <v>112632.59</v>
      </c>
      <c r="E40" s="95" t="str">
        <f>E39</f>
        <v>Debito 12/08</v>
      </c>
    </row>
    <row r="41" spans="1:7" x14ac:dyDescent="0.25">
      <c r="A41" s="5" t="str">
        <f>A40</f>
        <v>Sindicatos mes de AGOSTO</v>
      </c>
      <c r="B41" s="5" t="s">
        <v>96</v>
      </c>
      <c r="C41" s="5"/>
      <c r="D41" s="139">
        <v>6764.35</v>
      </c>
      <c r="E41" s="96" t="str">
        <f>E40</f>
        <v>Debito 12/08</v>
      </c>
    </row>
    <row r="42" spans="1:7" ht="15" customHeight="1" thickBot="1" x14ac:dyDescent="0.3">
      <c r="A42" s="24" t="s">
        <v>3</v>
      </c>
      <c r="B42" s="90"/>
      <c r="C42" s="90"/>
      <c r="D42" s="149"/>
      <c r="E42" s="58">
        <f>SUM(D38:D41)</f>
        <v>960079.91</v>
      </c>
    </row>
    <row r="43" spans="1:7" x14ac:dyDescent="0.25">
      <c r="A43" s="27" t="s">
        <v>17</v>
      </c>
      <c r="B43" s="90"/>
      <c r="C43" s="90"/>
      <c r="D43" s="148"/>
      <c r="E43" s="140"/>
    </row>
    <row r="44" spans="1:7" ht="14.25" customHeight="1" x14ac:dyDescent="0.25">
      <c r="A44" s="5" t="s">
        <v>91</v>
      </c>
      <c r="B44" s="5"/>
      <c r="C44" s="5"/>
      <c r="D44" s="139">
        <v>439936.38</v>
      </c>
      <c r="E44" s="94" t="s">
        <v>130</v>
      </c>
    </row>
    <row r="45" spans="1:7" ht="14.25" customHeight="1" x14ac:dyDescent="0.25">
      <c r="A45" s="123" t="s">
        <v>92</v>
      </c>
      <c r="B45" s="124"/>
      <c r="C45" s="5"/>
      <c r="D45" s="139">
        <v>390954.3</v>
      </c>
      <c r="E45" s="94" t="s">
        <v>129</v>
      </c>
    </row>
    <row r="46" spans="1:7" ht="15.75" thickBot="1" x14ac:dyDescent="0.3">
      <c r="A46" s="24" t="s">
        <v>4</v>
      </c>
      <c r="B46" s="24"/>
      <c r="C46" s="24"/>
      <c r="D46" s="150"/>
      <c r="E46" s="58">
        <f>SUM(D44:D45)</f>
        <v>830890.67999999993</v>
      </c>
    </row>
    <row r="47" spans="1:7" ht="15" customHeight="1" thickBot="1" x14ac:dyDescent="0.3">
      <c r="A47" s="27"/>
      <c r="B47" s="24"/>
      <c r="C47" s="24"/>
      <c r="D47" s="146"/>
      <c r="E47" s="141"/>
    </row>
    <row r="48" spans="1:7" ht="20.100000000000001" customHeight="1" x14ac:dyDescent="0.25">
      <c r="A48" s="97" t="s">
        <v>94</v>
      </c>
      <c r="B48" s="93"/>
      <c r="C48" s="5"/>
      <c r="D48" s="139">
        <v>20417</v>
      </c>
      <c r="E48" s="94" t="s">
        <v>132</v>
      </c>
    </row>
    <row r="49" spans="1:12" ht="20.100000000000001" customHeight="1" x14ac:dyDescent="0.25">
      <c r="A49" s="97" t="s">
        <v>113</v>
      </c>
      <c r="B49" s="93"/>
      <c r="C49" s="5"/>
      <c r="D49" s="139">
        <v>126000</v>
      </c>
      <c r="E49" s="131" t="s">
        <v>131</v>
      </c>
    </row>
    <row r="50" spans="1:12" ht="34.9" customHeight="1" x14ac:dyDescent="0.25">
      <c r="A50" s="177" t="s">
        <v>118</v>
      </c>
      <c r="B50" s="178"/>
      <c r="C50" s="5"/>
      <c r="D50" s="139">
        <v>833334</v>
      </c>
      <c r="E50" s="131" t="s">
        <v>131</v>
      </c>
    </row>
    <row r="51" spans="1:12" ht="15.75" thickBot="1" x14ac:dyDescent="0.3">
      <c r="A51" s="24" t="s">
        <v>8</v>
      </c>
      <c r="B51" s="27"/>
      <c r="C51" s="27"/>
      <c r="D51" s="26"/>
      <c r="E51" s="142">
        <f>SUM(D48:D50)</f>
        <v>979751</v>
      </c>
    </row>
    <row r="52" spans="1:12" ht="15.75" thickBot="1" x14ac:dyDescent="0.3">
      <c r="A52" s="27" t="s">
        <v>11</v>
      </c>
      <c r="B52" s="49"/>
      <c r="C52" s="24"/>
      <c r="D52" s="137"/>
      <c r="E52" s="91"/>
    </row>
    <row r="53" spans="1:12" x14ac:dyDescent="0.25">
      <c r="A53" s="5" t="s">
        <v>45</v>
      </c>
      <c r="B53" s="5"/>
      <c r="C53" s="5"/>
      <c r="D53" s="139">
        <v>69000</v>
      </c>
      <c r="E53" s="92"/>
    </row>
    <row r="54" spans="1:12" x14ac:dyDescent="0.25">
      <c r="A54" s="5" t="s">
        <v>44</v>
      </c>
      <c r="B54" s="5"/>
      <c r="C54" s="5"/>
      <c r="D54" s="139">
        <f>635+75121.34</f>
        <v>75756.34</v>
      </c>
      <c r="E54" s="31"/>
    </row>
    <row r="55" spans="1:12" ht="15.75" thickBot="1" x14ac:dyDescent="0.3">
      <c r="A55" s="40" t="s">
        <v>15</v>
      </c>
      <c r="B55" s="40"/>
      <c r="C55" s="40"/>
      <c r="D55" s="63"/>
      <c r="E55" s="58">
        <f>SUM(D53:D54)</f>
        <v>144756.34</v>
      </c>
    </row>
    <row r="56" spans="1:12" ht="15.75" thickBot="1" x14ac:dyDescent="0.3">
      <c r="A56" s="5"/>
      <c r="B56" s="5"/>
      <c r="C56" s="5"/>
      <c r="D56" s="57"/>
      <c r="E56" s="64"/>
    </row>
    <row r="57" spans="1:12" ht="15.75" thickBot="1" x14ac:dyDescent="0.3">
      <c r="A57" s="25" t="s">
        <v>116</v>
      </c>
      <c r="B57" s="25"/>
      <c r="C57" s="25"/>
      <c r="D57" s="65"/>
      <c r="E57" s="66">
        <v>0</v>
      </c>
    </row>
    <row r="58" spans="1:12" ht="15.75" thickBot="1" x14ac:dyDescent="0.3">
      <c r="A58" s="1"/>
      <c r="D58" s="67"/>
      <c r="E58" s="68"/>
      <c r="F58" s="33"/>
    </row>
    <row r="59" spans="1:12" ht="15.75" thickBot="1" x14ac:dyDescent="0.3">
      <c r="A59" s="3" t="s">
        <v>12</v>
      </c>
      <c r="B59" s="9"/>
      <c r="C59" s="4"/>
      <c r="D59" s="69"/>
      <c r="E59" s="70">
        <f>(SUM(E28:E57))</f>
        <v>4387120.93</v>
      </c>
      <c r="F59" s="84"/>
      <c r="G59" s="33"/>
      <c r="H59" s="75"/>
      <c r="I59" s="75"/>
      <c r="J59" s="75"/>
      <c r="K59" s="75"/>
      <c r="L59" s="75"/>
    </row>
    <row r="60" spans="1:12" x14ac:dyDescent="0.25">
      <c r="D60" s="67"/>
      <c r="E60" s="67"/>
      <c r="H60" s="75"/>
      <c r="I60" s="75"/>
      <c r="J60" s="75"/>
      <c r="K60" s="75"/>
      <c r="L60" s="75"/>
    </row>
    <row r="61" spans="1:12" ht="15.75" thickBot="1" x14ac:dyDescent="0.3">
      <c r="D61" s="67"/>
      <c r="E61" s="67"/>
      <c r="H61" s="98"/>
    </row>
    <row r="62" spans="1:12" x14ac:dyDescent="0.25">
      <c r="A62" s="10" t="s">
        <v>35</v>
      </c>
      <c r="B62" s="11"/>
      <c r="C62" s="12"/>
      <c r="D62" s="71"/>
      <c r="E62" s="72"/>
    </row>
    <row r="63" spans="1:12" ht="15" customHeight="1" x14ac:dyDescent="0.25">
      <c r="A63" s="177"/>
      <c r="B63" s="178"/>
      <c r="C63" s="5"/>
      <c r="D63" s="61"/>
      <c r="E63" s="59"/>
    </row>
    <row r="64" spans="1:12" x14ac:dyDescent="0.25">
      <c r="A64" s="177"/>
      <c r="B64" s="178"/>
      <c r="C64" s="5"/>
      <c r="D64" s="61"/>
      <c r="E64" s="59"/>
    </row>
    <row r="65" spans="1:5" ht="15.75" customHeight="1" x14ac:dyDescent="0.25">
      <c r="A65" s="167"/>
      <c r="B65" s="168"/>
      <c r="C65" s="5"/>
      <c r="D65" s="61"/>
      <c r="E65" s="59"/>
    </row>
    <row r="66" spans="1:5" x14ac:dyDescent="0.25">
      <c r="A66" s="60"/>
      <c r="B66" s="62"/>
      <c r="C66" s="5"/>
      <c r="D66" s="61"/>
      <c r="E66" s="59"/>
    </row>
    <row r="67" spans="1:5" x14ac:dyDescent="0.25">
      <c r="A67" s="38"/>
      <c r="B67" s="37"/>
      <c r="C67" s="37"/>
      <c r="D67" s="155"/>
      <c r="E67" s="45">
        <f>SUM(D63:D66)</f>
        <v>0</v>
      </c>
    </row>
    <row r="68" spans="1:5" ht="15" customHeight="1" thickBot="1" x14ac:dyDescent="0.3">
      <c r="D68" s="67"/>
    </row>
    <row r="69" spans="1:5" ht="15.75" hidden="1" thickBot="1" x14ac:dyDescent="0.3">
      <c r="D69" s="67"/>
    </row>
    <row r="70" spans="1:5" ht="15.75" thickBot="1" x14ac:dyDescent="0.3">
      <c r="A70" s="132" t="s">
        <v>115</v>
      </c>
      <c r="B70" s="133"/>
      <c r="C70" s="133"/>
      <c r="D70" s="156"/>
      <c r="E70" s="143">
        <v>0</v>
      </c>
    </row>
    <row r="71" spans="1:5" ht="15.75" thickBot="1" x14ac:dyDescent="0.3">
      <c r="D71" s="67"/>
    </row>
    <row r="72" spans="1:5" ht="15.75" thickBot="1" x14ac:dyDescent="0.3">
      <c r="A72" s="3" t="s">
        <v>19</v>
      </c>
      <c r="B72" s="9"/>
      <c r="C72" s="4"/>
      <c r="D72" s="69"/>
      <c r="E72" s="50">
        <f>E67+E70</f>
        <v>0</v>
      </c>
    </row>
    <row r="73" spans="1:5" ht="15.75" thickBot="1" x14ac:dyDescent="0.3">
      <c r="D73" s="67"/>
    </row>
    <row r="74" spans="1:5" ht="15.75" thickBot="1" x14ac:dyDescent="0.3">
      <c r="A74" s="55" t="s">
        <v>13</v>
      </c>
      <c r="B74" s="56">
        <f>E59</f>
        <v>4387120.93</v>
      </c>
      <c r="D74" s="67"/>
    </row>
    <row r="75" spans="1:5" ht="15.75" thickBot="1" x14ac:dyDescent="0.3">
      <c r="A75" s="55" t="s">
        <v>14</v>
      </c>
      <c r="B75" s="56">
        <f>E59-E57</f>
        <v>4387120.93</v>
      </c>
      <c r="D75" s="67"/>
    </row>
    <row r="76" spans="1:5" ht="15.75" thickBot="1" x14ac:dyDescent="0.3">
      <c r="A76" s="55" t="s">
        <v>20</v>
      </c>
      <c r="B76" s="56">
        <f>E72-E70</f>
        <v>0</v>
      </c>
      <c r="D76" s="67"/>
    </row>
    <row r="77" spans="1:5" ht="15.75" thickBot="1" x14ac:dyDescent="0.3">
      <c r="A77" s="55" t="s">
        <v>32</v>
      </c>
      <c r="B77" s="56">
        <f>E72</f>
        <v>0</v>
      </c>
      <c r="D77" s="67"/>
    </row>
    <row r="78" spans="1:5" x14ac:dyDescent="0.25">
      <c r="D78" s="67"/>
    </row>
    <row r="79" spans="1:5" ht="15.75" thickBot="1" x14ac:dyDescent="0.3">
      <c r="D79" s="67"/>
    </row>
    <row r="80" spans="1:5" x14ac:dyDescent="0.25">
      <c r="A80" s="151" t="s">
        <v>105</v>
      </c>
      <c r="B80" s="152">
        <v>162946.62000000011</v>
      </c>
      <c r="D80" s="67"/>
    </row>
    <row r="81" spans="1:6" x14ac:dyDescent="0.25">
      <c r="A81" s="125" t="s">
        <v>108</v>
      </c>
      <c r="B81" s="126">
        <f>PRORRATEO!G38</f>
        <v>226480.31</v>
      </c>
      <c r="C81" s="22"/>
      <c r="D81" s="67"/>
      <c r="E81" s="76"/>
      <c r="F81" s="77"/>
    </row>
    <row r="82" spans="1:6" x14ac:dyDescent="0.25">
      <c r="A82" s="153" t="s">
        <v>136</v>
      </c>
      <c r="B82" s="144">
        <v>-5837</v>
      </c>
      <c r="C82" s="22"/>
      <c r="D82" s="67"/>
      <c r="E82" s="76"/>
      <c r="F82" s="77"/>
    </row>
    <row r="83" spans="1:6" x14ac:dyDescent="0.25">
      <c r="A83" s="153" t="s">
        <v>137</v>
      </c>
      <c r="B83" s="144">
        <v>-150000</v>
      </c>
      <c r="C83" s="22"/>
      <c r="D83" s="67"/>
      <c r="E83" s="76"/>
      <c r="F83" s="77"/>
    </row>
    <row r="84" spans="1:6" x14ac:dyDescent="0.25">
      <c r="A84" s="153" t="s">
        <v>127</v>
      </c>
      <c r="B84" s="144">
        <v>-133100</v>
      </c>
      <c r="C84" s="22"/>
      <c r="D84" s="67"/>
      <c r="E84" s="76"/>
      <c r="F84" s="77"/>
    </row>
    <row r="85" spans="1:6" ht="15.75" thickBot="1" x14ac:dyDescent="0.3">
      <c r="A85" s="127" t="s">
        <v>37</v>
      </c>
      <c r="B85" s="128">
        <f>SUM(B80:C84)</f>
        <v>100489.93000000011</v>
      </c>
      <c r="C85" s="22"/>
    </row>
    <row r="86" spans="1:6" s="30" customFormat="1" x14ac:dyDescent="0.25">
      <c r="A86"/>
      <c r="B86" s="32"/>
      <c r="C86" s="29"/>
      <c r="D86"/>
    </row>
    <row r="87" spans="1:6" s="30" customFormat="1" x14ac:dyDescent="0.25">
      <c r="A87" s="78" t="s">
        <v>43</v>
      </c>
      <c r="B87" s="212">
        <v>479322.8200000017</v>
      </c>
      <c r="C87" s="29"/>
      <c r="D87" s="36"/>
    </row>
    <row r="88" spans="1:6" x14ac:dyDescent="0.25">
      <c r="A88" s="42" t="s">
        <v>39</v>
      </c>
      <c r="B88" s="157">
        <f>-B75</f>
        <v>-4387120.93</v>
      </c>
      <c r="E88" s="33"/>
    </row>
    <row r="89" spans="1:6" x14ac:dyDescent="0.25">
      <c r="A89" s="42" t="s">
        <v>40</v>
      </c>
      <c r="B89" s="82">
        <f>-B76</f>
        <v>0</v>
      </c>
    </row>
    <row r="90" spans="1:6" x14ac:dyDescent="0.25">
      <c r="A90" s="42" t="s">
        <v>142</v>
      </c>
      <c r="B90" s="215">
        <v>80000</v>
      </c>
    </row>
    <row r="91" spans="1:6" x14ac:dyDescent="0.25">
      <c r="A91" s="42" t="s">
        <v>42</v>
      </c>
      <c r="B91" s="82">
        <f>B102</f>
        <v>0</v>
      </c>
    </row>
    <row r="92" spans="1:6" x14ac:dyDescent="0.25">
      <c r="A92" s="42" t="s">
        <v>41</v>
      </c>
      <c r="B92" s="83">
        <f>PRORRATEO!G37</f>
        <v>4254804.3600000013</v>
      </c>
    </row>
    <row r="93" spans="1:6" ht="15.75" thickBot="1" x14ac:dyDescent="0.3">
      <c r="A93" s="80" t="s">
        <v>37</v>
      </c>
      <c r="B93" s="81">
        <f>SUM(B87:C92)</f>
        <v>427006.25000000326</v>
      </c>
      <c r="D93" s="32"/>
      <c r="E93" s="33"/>
    </row>
    <row r="94" spans="1:6" ht="15.75" thickBot="1" x14ac:dyDescent="0.3">
      <c r="A94" s="79"/>
      <c r="B94" s="79"/>
    </row>
    <row r="95" spans="1:6" x14ac:dyDescent="0.25">
      <c r="A95" s="162" t="s">
        <v>138</v>
      </c>
      <c r="B95" s="158">
        <v>872509.82</v>
      </c>
    </row>
    <row r="96" spans="1:6" x14ac:dyDescent="0.25">
      <c r="A96" s="160" t="s">
        <v>121</v>
      </c>
      <c r="B96" s="161">
        <f>885117.96-872509.82</f>
        <v>12608.140000000014</v>
      </c>
    </row>
    <row r="97" spans="1:13" ht="15.75" thickBot="1" x14ac:dyDescent="0.3">
      <c r="A97" s="163" t="s">
        <v>120</v>
      </c>
      <c r="B97" s="159">
        <f>885117.96</f>
        <v>885117.96</v>
      </c>
      <c r="D97" s="33"/>
    </row>
    <row r="98" spans="1:13" ht="34.5" customHeight="1" x14ac:dyDescent="0.25"/>
    <row r="99" spans="1:13" x14ac:dyDescent="0.25">
      <c r="A99" s="180" t="s">
        <v>26</v>
      </c>
      <c r="B99" s="180"/>
      <c r="C99" s="180"/>
    </row>
    <row r="100" spans="1:13" x14ac:dyDescent="0.25">
      <c r="A100" s="180"/>
      <c r="B100" s="180"/>
      <c r="C100" s="180"/>
    </row>
    <row r="101" spans="1:13" ht="35.25" customHeight="1" x14ac:dyDescent="0.25">
      <c r="A101" s="73"/>
      <c r="B101" s="28"/>
      <c r="C101" s="28">
        <v>40000</v>
      </c>
      <c r="E101" s="84"/>
    </row>
    <row r="102" spans="1:13" x14ac:dyDescent="0.25">
      <c r="A102" s="34" t="s">
        <v>8</v>
      </c>
      <c r="B102" s="74">
        <f>SUM(B101:B101)</f>
        <v>0</v>
      </c>
      <c r="C102" s="35"/>
    </row>
    <row r="103" spans="1:13" x14ac:dyDescent="0.25">
      <c r="M103" s="7"/>
    </row>
    <row r="104" spans="1:13" ht="15" customHeight="1" x14ac:dyDescent="0.25">
      <c r="A104" s="179"/>
      <c r="B104" s="179"/>
      <c r="C104" s="179"/>
      <c r="D104" s="179"/>
      <c r="E104" s="179"/>
    </row>
    <row r="105" spans="1:13" x14ac:dyDescent="0.25">
      <c r="A105" s="179"/>
      <c r="B105" s="179"/>
      <c r="C105" s="179"/>
      <c r="D105" s="179"/>
      <c r="E105" s="179"/>
    </row>
    <row r="106" spans="1:13" x14ac:dyDescent="0.25">
      <c r="A106" s="179"/>
      <c r="B106" s="179"/>
      <c r="C106" s="179"/>
      <c r="D106" s="179"/>
      <c r="E106" s="179"/>
    </row>
    <row r="107" spans="1:13" x14ac:dyDescent="0.25">
      <c r="A107" s="179"/>
      <c r="B107" s="179"/>
      <c r="C107" s="179"/>
      <c r="D107" s="179"/>
      <c r="E107" s="179"/>
    </row>
  </sheetData>
  <mergeCells count="14">
    <mergeCell ref="A50:B50"/>
    <mergeCell ref="A104:E107"/>
    <mergeCell ref="A99:C100"/>
    <mergeCell ref="A64:B64"/>
    <mergeCell ref="A63:B63"/>
    <mergeCell ref="A65:B65"/>
    <mergeCell ref="D34:D35"/>
    <mergeCell ref="E34:E35"/>
    <mergeCell ref="B1:D1"/>
    <mergeCell ref="A31:B31"/>
    <mergeCell ref="B3:E3"/>
    <mergeCell ref="A13:E16"/>
    <mergeCell ref="B8:C10"/>
    <mergeCell ref="A34:B35"/>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zoomScaleNormal="100" workbookViewId="0">
      <selection activeCell="K12" sqref="A11:K12"/>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6" width="14.140625" customWidth="1"/>
    <col min="7" max="7" width="13.85546875" customWidth="1"/>
    <col min="8" max="8" width="14" bestFit="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94"/>
      <c r="F1" s="194"/>
      <c r="G1" s="194"/>
      <c r="H1" s="194"/>
      <c r="I1" s="194"/>
      <c r="J1" s="194"/>
      <c r="K1" s="194"/>
      <c r="L1" s="194"/>
      <c r="M1" s="194"/>
      <c r="N1" s="194"/>
      <c r="O1" s="6"/>
    </row>
    <row r="2" spans="1:18" ht="12.95" customHeight="1" x14ac:dyDescent="0.25">
      <c r="A2" s="6"/>
      <c r="B2" s="6"/>
      <c r="C2" s="6" t="s">
        <v>47</v>
      </c>
      <c r="D2" s="185">
        <v>0</v>
      </c>
      <c r="E2" s="185"/>
      <c r="F2" s="6"/>
      <c r="G2" s="185"/>
      <c r="H2" s="185"/>
      <c r="I2" s="185"/>
      <c r="J2" s="6"/>
      <c r="K2" s="6"/>
      <c r="L2" s="6" t="s">
        <v>103</v>
      </c>
      <c r="M2" s="184">
        <f>Q2</f>
        <v>4387120.93</v>
      </c>
      <c r="N2" s="184"/>
      <c r="O2" s="43"/>
      <c r="P2" s="21"/>
      <c r="Q2">
        <v>4387120.93</v>
      </c>
    </row>
    <row r="3" spans="1:18" ht="12.95" customHeight="1" thickBot="1" x14ac:dyDescent="0.3">
      <c r="A3" s="6"/>
      <c r="B3" s="6"/>
      <c r="C3" s="6"/>
      <c r="D3" s="6"/>
      <c r="E3" s="6"/>
      <c r="F3" s="6"/>
      <c r="G3" s="6"/>
      <c r="H3" s="6"/>
      <c r="I3" s="6"/>
      <c r="J3" s="6"/>
      <c r="K3" s="6"/>
      <c r="L3" s="6"/>
      <c r="M3" s="6"/>
      <c r="N3" s="46"/>
      <c r="O3" s="46"/>
    </row>
    <row r="4" spans="1:18" ht="12.95" customHeight="1" x14ac:dyDescent="0.25">
      <c r="A4" s="200"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01"/>
      <c r="C4" s="201"/>
      <c r="D4" s="201"/>
      <c r="E4" s="201"/>
      <c r="F4" s="201"/>
      <c r="G4" s="201"/>
      <c r="H4" s="201"/>
      <c r="I4" s="201"/>
      <c r="J4" s="201"/>
      <c r="K4" s="201"/>
      <c r="L4" s="201"/>
      <c r="M4" s="201"/>
      <c r="N4" s="201"/>
      <c r="O4" s="202"/>
    </row>
    <row r="5" spans="1:18" ht="12.95" customHeight="1" x14ac:dyDescent="0.25">
      <c r="A5" s="203"/>
      <c r="B5" s="204"/>
      <c r="C5" s="204"/>
      <c r="D5" s="204"/>
      <c r="E5" s="204"/>
      <c r="F5" s="204"/>
      <c r="G5" s="204"/>
      <c r="H5" s="204"/>
      <c r="I5" s="204"/>
      <c r="J5" s="204"/>
      <c r="K5" s="204"/>
      <c r="L5" s="204"/>
      <c r="M5" s="204"/>
      <c r="N5" s="204"/>
      <c r="O5" s="205"/>
    </row>
    <row r="6" spans="1:18" ht="12.95" customHeight="1" x14ac:dyDescent="0.25">
      <c r="A6" s="203"/>
      <c r="B6" s="204"/>
      <c r="C6" s="204"/>
      <c r="D6" s="204"/>
      <c r="E6" s="204"/>
      <c r="F6" s="204"/>
      <c r="G6" s="204"/>
      <c r="H6" s="204"/>
      <c r="I6" s="204"/>
      <c r="J6" s="204"/>
      <c r="K6" s="204"/>
      <c r="L6" s="204"/>
      <c r="M6" s="204"/>
      <c r="N6" s="204"/>
      <c r="O6" s="205"/>
    </row>
    <row r="7" spans="1:18" ht="64.900000000000006" customHeight="1" x14ac:dyDescent="0.25">
      <c r="A7" s="203"/>
      <c r="B7" s="204"/>
      <c r="C7" s="204"/>
      <c r="D7" s="204"/>
      <c r="E7" s="204"/>
      <c r="F7" s="204"/>
      <c r="G7" s="204"/>
      <c r="H7" s="204"/>
      <c r="I7" s="204"/>
      <c r="J7" s="204"/>
      <c r="K7" s="204"/>
      <c r="L7" s="204"/>
      <c r="M7" s="204"/>
      <c r="N7" s="204"/>
      <c r="O7" s="205"/>
    </row>
    <row r="8" spans="1:18" ht="45.75" customHeight="1" thickBot="1" x14ac:dyDescent="0.3">
      <c r="A8" s="206"/>
      <c r="B8" s="207"/>
      <c r="C8" s="207"/>
      <c r="D8" s="207"/>
      <c r="E8" s="207"/>
      <c r="F8" s="207"/>
      <c r="G8" s="207"/>
      <c r="H8" s="207"/>
      <c r="I8" s="207"/>
      <c r="J8" s="207"/>
      <c r="K8" s="207"/>
      <c r="L8" s="207"/>
      <c r="M8" s="207"/>
      <c r="N8" s="207"/>
      <c r="O8" s="208"/>
    </row>
    <row r="9" spans="1:18" x14ac:dyDescent="0.25">
      <c r="A9" s="192" t="s">
        <v>5</v>
      </c>
      <c r="B9" s="186" t="s">
        <v>49</v>
      </c>
      <c r="C9" s="186" t="s">
        <v>6</v>
      </c>
      <c r="D9" s="120"/>
      <c r="E9" s="186" t="s">
        <v>10</v>
      </c>
      <c r="F9" s="192" t="s">
        <v>38</v>
      </c>
      <c r="G9" s="186" t="s">
        <v>7</v>
      </c>
      <c r="H9" s="186" t="s">
        <v>106</v>
      </c>
      <c r="I9" s="196" t="s">
        <v>24</v>
      </c>
      <c r="J9" s="192" t="s">
        <v>33</v>
      </c>
      <c r="K9" s="192" t="s">
        <v>112</v>
      </c>
      <c r="L9" s="192" t="s">
        <v>21</v>
      </c>
      <c r="M9" s="198" t="s">
        <v>48</v>
      </c>
      <c r="N9" s="48" t="s">
        <v>30</v>
      </c>
      <c r="O9" s="210" t="s">
        <v>29</v>
      </c>
    </row>
    <row r="10" spans="1:18" ht="15.75" customHeight="1" x14ac:dyDescent="0.25">
      <c r="A10" s="209"/>
      <c r="B10" s="187"/>
      <c r="C10" s="195"/>
      <c r="D10" s="121"/>
      <c r="E10" s="195"/>
      <c r="F10" s="193"/>
      <c r="G10" s="195"/>
      <c r="H10" s="187"/>
      <c r="I10" s="197"/>
      <c r="J10" s="193"/>
      <c r="K10" s="193"/>
      <c r="L10" s="193"/>
      <c r="M10" s="199"/>
      <c r="N10" s="47" t="str">
        <f>RESUMEN!B8</f>
        <v>VTO 17/09</v>
      </c>
      <c r="O10" s="211"/>
    </row>
    <row r="11" spans="1:18" ht="17.100000000000001" customHeight="1" x14ac:dyDescent="0.25">
      <c r="A11" s="99" t="s">
        <v>51</v>
      </c>
      <c r="B11" s="99" t="s">
        <v>52</v>
      </c>
      <c r="C11" s="99" t="s">
        <v>53</v>
      </c>
      <c r="D11" s="99"/>
      <c r="E11" s="118">
        <v>6.18</v>
      </c>
      <c r="F11" s="101">
        <v>286619.01</v>
      </c>
      <c r="G11" s="145">
        <f>F11</f>
        <v>286619.01</v>
      </c>
      <c r="H11" s="102" t="s">
        <v>54</v>
      </c>
      <c r="I11" s="103">
        <f t="shared" ref="I11:I35" si="0">F11-G11</f>
        <v>0</v>
      </c>
      <c r="J11" s="103">
        <f>IF(I11&gt;0,I11*3%,0)</f>
        <v>0</v>
      </c>
      <c r="K11" s="103"/>
      <c r="L11" s="104">
        <f>M$2*E11/100</f>
        <v>271124.07347399998</v>
      </c>
      <c r="M11" s="105">
        <f>D$2*E11/100</f>
        <v>0</v>
      </c>
      <c r="N11" s="106">
        <f t="shared" ref="N11:N35" si="1">ROUND(SUM(I11:M11),0) + P11</f>
        <v>271124.01</v>
      </c>
      <c r="O11" s="107">
        <f t="shared" ref="O11:O35" si="2">ROUND(N11*3%,0) + N11</f>
        <v>279258.01</v>
      </c>
      <c r="P11" s="33">
        <v>0.01</v>
      </c>
      <c r="Q11" s="33"/>
    </row>
    <row r="12" spans="1:18" ht="17.100000000000001" customHeight="1" x14ac:dyDescent="0.25">
      <c r="A12" s="99" t="s">
        <v>51</v>
      </c>
      <c r="B12" s="99" t="s">
        <v>54</v>
      </c>
      <c r="C12" s="99" t="s">
        <v>55</v>
      </c>
      <c r="D12" s="99" t="s">
        <v>101</v>
      </c>
      <c r="E12" s="118">
        <v>4.33</v>
      </c>
      <c r="F12" s="101">
        <v>195652.02</v>
      </c>
      <c r="G12" s="109">
        <v>201522.02</v>
      </c>
      <c r="H12" s="102" t="s">
        <v>54</v>
      </c>
      <c r="I12" s="103">
        <f t="shared" si="0"/>
        <v>-5870</v>
      </c>
      <c r="J12" s="103">
        <f t="shared" ref="J12:J35" si="3">IF(I12&gt;0,I12*3%,0)</f>
        <v>0</v>
      </c>
      <c r="K12" s="103"/>
      <c r="L12" s="104">
        <f t="shared" ref="L12:L35" si="4">M$2*E12/100</f>
        <v>189962.33626899999</v>
      </c>
      <c r="M12" s="105">
        <f t="shared" ref="M12:M35" si="5">D$2*E12/100</f>
        <v>0</v>
      </c>
      <c r="N12" s="106">
        <f t="shared" si="1"/>
        <v>184092.02</v>
      </c>
      <c r="O12" s="107">
        <f t="shared" si="2"/>
        <v>189615.02</v>
      </c>
      <c r="P12" s="33">
        <f>P11+0.01</f>
        <v>0.02</v>
      </c>
      <c r="Q12" s="33"/>
    </row>
    <row r="13" spans="1:18" ht="17.100000000000001" customHeight="1" x14ac:dyDescent="0.25">
      <c r="A13" s="108" t="s">
        <v>56</v>
      </c>
      <c r="B13" s="108" t="s">
        <v>52</v>
      </c>
      <c r="C13" s="108" t="s">
        <v>57</v>
      </c>
      <c r="D13" s="108"/>
      <c r="E13" s="119">
        <v>6.18</v>
      </c>
      <c r="F13" s="109">
        <v>282092.03000000003</v>
      </c>
      <c r="G13" s="109">
        <f>320000-G30</f>
        <v>291278.8</v>
      </c>
      <c r="H13" s="102" t="s">
        <v>54</v>
      </c>
      <c r="I13" s="103">
        <f t="shared" si="0"/>
        <v>-9186.7699999999604</v>
      </c>
      <c r="J13" s="103">
        <f t="shared" si="3"/>
        <v>0</v>
      </c>
      <c r="K13" s="103"/>
      <c r="L13" s="104">
        <f t="shared" si="4"/>
        <v>271124.07347399998</v>
      </c>
      <c r="M13" s="105">
        <f t="shared" si="5"/>
        <v>0</v>
      </c>
      <c r="N13" s="106">
        <f t="shared" si="1"/>
        <v>261937.03</v>
      </c>
      <c r="O13" s="107">
        <f t="shared" si="2"/>
        <v>269795.03000000003</v>
      </c>
      <c r="P13" s="33">
        <f t="shared" ref="P13:P35" si="6">P12+0.01</f>
        <v>0.03</v>
      </c>
      <c r="Q13" s="32"/>
    </row>
    <row r="14" spans="1:18" ht="17.100000000000001" customHeight="1" x14ac:dyDescent="0.25">
      <c r="A14" s="99" t="s">
        <v>56</v>
      </c>
      <c r="B14" s="99" t="s">
        <v>54</v>
      </c>
      <c r="C14" s="99" t="s">
        <v>58</v>
      </c>
      <c r="D14" s="99"/>
      <c r="E14" s="118">
        <v>4.33</v>
      </c>
      <c r="F14" s="101">
        <v>200818.04</v>
      </c>
      <c r="G14" s="109">
        <f>F14</f>
        <v>200818.04</v>
      </c>
      <c r="H14" s="102" t="s">
        <v>54</v>
      </c>
      <c r="I14" s="103">
        <f t="shared" si="0"/>
        <v>0</v>
      </c>
      <c r="J14" s="103">
        <f t="shared" si="3"/>
        <v>0</v>
      </c>
      <c r="K14" s="103"/>
      <c r="L14" s="104">
        <f t="shared" si="4"/>
        <v>189962.33626899999</v>
      </c>
      <c r="M14" s="105">
        <f t="shared" si="5"/>
        <v>0</v>
      </c>
      <c r="N14" s="106">
        <f t="shared" si="1"/>
        <v>189962.04</v>
      </c>
      <c r="O14" s="107">
        <f t="shared" si="2"/>
        <v>195661.04</v>
      </c>
      <c r="P14" s="33">
        <f t="shared" si="6"/>
        <v>0.04</v>
      </c>
      <c r="R14" s="33"/>
    </row>
    <row r="15" spans="1:18" ht="17.100000000000001" customHeight="1" x14ac:dyDescent="0.25">
      <c r="A15" s="99" t="s">
        <v>59</v>
      </c>
      <c r="B15" s="99" t="s">
        <v>52</v>
      </c>
      <c r="C15" s="99" t="s">
        <v>60</v>
      </c>
      <c r="D15" s="99" t="s">
        <v>100</v>
      </c>
      <c r="E15" s="118">
        <v>6.18</v>
      </c>
      <c r="F15" s="101">
        <v>286619.05</v>
      </c>
      <c r="G15" s="109">
        <f>F15</f>
        <v>286619.05</v>
      </c>
      <c r="H15" s="102" t="s">
        <v>54</v>
      </c>
      <c r="I15" s="103">
        <f t="shared" si="0"/>
        <v>0</v>
      </c>
      <c r="J15" s="103">
        <f t="shared" si="3"/>
        <v>0</v>
      </c>
      <c r="K15" s="103"/>
      <c r="L15" s="104">
        <f t="shared" si="4"/>
        <v>271124.07347399998</v>
      </c>
      <c r="M15" s="105">
        <f t="shared" si="5"/>
        <v>0</v>
      </c>
      <c r="N15" s="106">
        <f t="shared" si="1"/>
        <v>271124.05</v>
      </c>
      <c r="O15" s="107">
        <f t="shared" si="2"/>
        <v>279258.05</v>
      </c>
      <c r="P15" s="33">
        <f t="shared" si="6"/>
        <v>0.05</v>
      </c>
      <c r="R15" s="33"/>
    </row>
    <row r="16" spans="1:18" ht="17.100000000000001" customHeight="1" x14ac:dyDescent="0.25">
      <c r="A16" s="99" t="s">
        <v>59</v>
      </c>
      <c r="B16" s="99" t="s">
        <v>54</v>
      </c>
      <c r="C16" s="99" t="s">
        <v>61</v>
      </c>
      <c r="D16" s="99"/>
      <c r="E16" s="118">
        <v>4.33</v>
      </c>
      <c r="F16" s="101">
        <v>200818.06</v>
      </c>
      <c r="G16" s="109">
        <f>F16</f>
        <v>200818.06</v>
      </c>
      <c r="H16" s="102" t="s">
        <v>54</v>
      </c>
      <c r="I16" s="103">
        <f t="shared" si="0"/>
        <v>0</v>
      </c>
      <c r="J16" s="103">
        <f t="shared" si="3"/>
        <v>0</v>
      </c>
      <c r="K16" s="103"/>
      <c r="L16" s="104">
        <f t="shared" si="4"/>
        <v>189962.33626899999</v>
      </c>
      <c r="M16" s="105">
        <f t="shared" si="5"/>
        <v>0</v>
      </c>
      <c r="N16" s="106">
        <f t="shared" si="1"/>
        <v>189962.06</v>
      </c>
      <c r="O16" s="107">
        <f t="shared" si="2"/>
        <v>195661.06</v>
      </c>
      <c r="P16" s="33">
        <f t="shared" si="6"/>
        <v>6.0000000000000005E-2</v>
      </c>
    </row>
    <row r="17" spans="1:17" ht="17.100000000000001" customHeight="1" x14ac:dyDescent="0.25">
      <c r="A17" s="99" t="s">
        <v>62</v>
      </c>
      <c r="B17" s="99" t="s">
        <v>52</v>
      </c>
      <c r="C17" s="99" t="s">
        <v>63</v>
      </c>
      <c r="D17" s="99"/>
      <c r="E17" s="118">
        <v>6.18</v>
      </c>
      <c r="F17" s="101">
        <v>261393.07</v>
      </c>
      <c r="G17" s="109">
        <f>299000-G32</f>
        <v>262072.78</v>
      </c>
      <c r="H17" s="102" t="s">
        <v>54</v>
      </c>
      <c r="I17" s="103">
        <f t="shared" si="0"/>
        <v>-679.70999999999185</v>
      </c>
      <c r="J17" s="103">
        <f t="shared" si="3"/>
        <v>0</v>
      </c>
      <c r="K17" s="103"/>
      <c r="L17" s="104">
        <f t="shared" si="4"/>
        <v>271124.07347399998</v>
      </c>
      <c r="M17" s="105">
        <f t="shared" si="5"/>
        <v>0</v>
      </c>
      <c r="N17" s="106">
        <f t="shared" si="1"/>
        <v>270444.07</v>
      </c>
      <c r="O17" s="107">
        <f t="shared" si="2"/>
        <v>278557.07</v>
      </c>
      <c r="P17" s="33">
        <f t="shared" si="6"/>
        <v>7.0000000000000007E-2</v>
      </c>
    </row>
    <row r="18" spans="1:17" ht="17.100000000000001" customHeight="1" x14ac:dyDescent="0.25">
      <c r="A18" s="99" t="s">
        <v>62</v>
      </c>
      <c r="B18" s="99" t="s">
        <v>54</v>
      </c>
      <c r="C18" s="99" t="s">
        <v>64</v>
      </c>
      <c r="D18" s="99"/>
      <c r="E18" s="118">
        <v>4.33</v>
      </c>
      <c r="F18" s="101">
        <v>200818.08</v>
      </c>
      <c r="G18" s="109">
        <f>F18</f>
        <v>200818.08</v>
      </c>
      <c r="H18" s="102" t="s">
        <v>54</v>
      </c>
      <c r="I18" s="103">
        <f t="shared" si="0"/>
        <v>0</v>
      </c>
      <c r="J18" s="103">
        <f t="shared" si="3"/>
        <v>0</v>
      </c>
      <c r="K18" s="103"/>
      <c r="L18" s="104">
        <f t="shared" si="4"/>
        <v>189962.33626899999</v>
      </c>
      <c r="M18" s="105">
        <f t="shared" si="5"/>
        <v>0</v>
      </c>
      <c r="N18" s="106">
        <f t="shared" si="1"/>
        <v>189962.08</v>
      </c>
      <c r="O18" s="107">
        <f t="shared" si="2"/>
        <v>195661.08</v>
      </c>
      <c r="P18" s="33">
        <f t="shared" si="6"/>
        <v>0.08</v>
      </c>
    </row>
    <row r="19" spans="1:17" ht="17.100000000000001" customHeight="1" x14ac:dyDescent="0.25">
      <c r="A19" s="99" t="s">
        <v>65</v>
      </c>
      <c r="B19" s="99" t="s">
        <v>52</v>
      </c>
      <c r="C19" s="99" t="s">
        <v>66</v>
      </c>
      <c r="D19" s="99"/>
      <c r="E19" s="118">
        <v>6.18</v>
      </c>
      <c r="F19" s="101">
        <v>189553.09</v>
      </c>
      <c r="G19" s="109">
        <f>189553.09</f>
        <v>189553.09</v>
      </c>
      <c r="H19" s="102" t="s">
        <v>107</v>
      </c>
      <c r="I19" s="103">
        <f t="shared" si="0"/>
        <v>0</v>
      </c>
      <c r="J19" s="103">
        <f t="shared" si="3"/>
        <v>0</v>
      </c>
      <c r="K19" s="103"/>
      <c r="L19" s="104">
        <f t="shared" si="4"/>
        <v>271124.07347399998</v>
      </c>
      <c r="M19" s="105">
        <f t="shared" si="5"/>
        <v>0</v>
      </c>
      <c r="N19" s="106">
        <f>ROUND(SUM(I19:M19),0) + P19</f>
        <v>271124.09000000003</v>
      </c>
      <c r="O19" s="107">
        <f t="shared" si="2"/>
        <v>279258.09000000003</v>
      </c>
      <c r="P19" s="33">
        <f t="shared" si="6"/>
        <v>0.09</v>
      </c>
    </row>
    <row r="20" spans="1:17" ht="17.100000000000001" customHeight="1" x14ac:dyDescent="0.25">
      <c r="A20" s="99" t="s">
        <v>65</v>
      </c>
      <c r="B20" s="99" t="s">
        <v>54</v>
      </c>
      <c r="C20" s="99" t="s">
        <v>67</v>
      </c>
      <c r="D20" s="99"/>
      <c r="E20" s="118">
        <v>4.33</v>
      </c>
      <c r="F20" s="101">
        <v>195654.1</v>
      </c>
      <c r="G20" s="109">
        <v>195654</v>
      </c>
      <c r="H20" s="102" t="s">
        <v>54</v>
      </c>
      <c r="I20" s="103">
        <f t="shared" si="0"/>
        <v>0.10000000000582077</v>
      </c>
      <c r="J20" s="103">
        <f t="shared" si="3"/>
        <v>3.000000000174623E-3</v>
      </c>
      <c r="K20" s="103"/>
      <c r="L20" s="104">
        <f t="shared" si="4"/>
        <v>189962.33626899999</v>
      </c>
      <c r="M20" s="105">
        <f t="shared" si="5"/>
        <v>0</v>
      </c>
      <c r="N20" s="106">
        <f t="shared" si="1"/>
        <v>189962.1</v>
      </c>
      <c r="O20" s="107">
        <f t="shared" si="2"/>
        <v>195661.1</v>
      </c>
      <c r="P20" s="33">
        <f t="shared" si="6"/>
        <v>9.9999999999999992E-2</v>
      </c>
      <c r="Q20" t="s">
        <v>141</v>
      </c>
    </row>
    <row r="21" spans="1:17" ht="17.100000000000001" customHeight="1" x14ac:dyDescent="0.25">
      <c r="A21" s="99" t="s">
        <v>68</v>
      </c>
      <c r="B21" s="99" t="s">
        <v>52</v>
      </c>
      <c r="C21" s="99" t="s">
        <v>69</v>
      </c>
      <c r="D21" s="99" t="s">
        <v>99</v>
      </c>
      <c r="E21" s="118">
        <v>6.18</v>
      </c>
      <c r="F21" s="101">
        <v>286619.11</v>
      </c>
      <c r="G21" s="145">
        <f>F21</f>
        <v>286619.11</v>
      </c>
      <c r="H21" s="109" t="s">
        <v>54</v>
      </c>
      <c r="I21" s="154">
        <f t="shared" si="0"/>
        <v>0</v>
      </c>
      <c r="J21" s="154">
        <f t="shared" si="3"/>
        <v>0</v>
      </c>
      <c r="K21" s="103"/>
      <c r="L21" s="104">
        <f t="shared" si="4"/>
        <v>271124.07347399998</v>
      </c>
      <c r="M21" s="105">
        <f t="shared" si="5"/>
        <v>0</v>
      </c>
      <c r="N21" s="106">
        <f t="shared" si="1"/>
        <v>271124.11</v>
      </c>
      <c r="O21" s="107">
        <f t="shared" si="2"/>
        <v>279258.11</v>
      </c>
      <c r="P21" s="33">
        <f t="shared" si="6"/>
        <v>0.10999999999999999</v>
      </c>
    </row>
    <row r="22" spans="1:17" ht="17.100000000000001" customHeight="1" x14ac:dyDescent="0.25">
      <c r="A22" s="99" t="s">
        <v>68</v>
      </c>
      <c r="B22" s="99" t="s">
        <v>54</v>
      </c>
      <c r="C22" s="99" t="s">
        <v>70</v>
      </c>
      <c r="D22" s="99"/>
      <c r="E22" s="118">
        <v>4.33</v>
      </c>
      <c r="F22" s="101">
        <v>195225.12</v>
      </c>
      <c r="G22" s="109">
        <v>202000</v>
      </c>
      <c r="H22" s="109" t="s">
        <v>54</v>
      </c>
      <c r="I22" s="154">
        <f t="shared" si="0"/>
        <v>-6774.8800000000047</v>
      </c>
      <c r="J22" s="154">
        <f t="shared" si="3"/>
        <v>0</v>
      </c>
      <c r="K22" s="103"/>
      <c r="L22" s="104">
        <f t="shared" si="4"/>
        <v>189962.33626899999</v>
      </c>
      <c r="M22" s="105">
        <f t="shared" si="5"/>
        <v>0</v>
      </c>
      <c r="N22" s="106">
        <f t="shared" si="1"/>
        <v>183187.12</v>
      </c>
      <c r="O22" s="107">
        <f t="shared" si="2"/>
        <v>188683.12</v>
      </c>
      <c r="P22" s="33">
        <f t="shared" si="6"/>
        <v>0.11999999999999998</v>
      </c>
    </row>
    <row r="23" spans="1:17" ht="17.100000000000001" customHeight="1" x14ac:dyDescent="0.25">
      <c r="A23" s="99" t="s">
        <v>71</v>
      </c>
      <c r="B23" s="99" t="s">
        <v>52</v>
      </c>
      <c r="C23" s="99" t="s">
        <v>72</v>
      </c>
      <c r="D23" s="99" t="s">
        <v>104</v>
      </c>
      <c r="E23" s="118">
        <v>6.18</v>
      </c>
      <c r="F23" s="101">
        <v>295218.13</v>
      </c>
      <c r="G23" s="109">
        <f>F23</f>
        <v>295218.13</v>
      </c>
      <c r="H23" s="109" t="s">
        <v>54</v>
      </c>
      <c r="I23" s="154">
        <f t="shared" si="0"/>
        <v>0</v>
      </c>
      <c r="J23" s="154">
        <f t="shared" si="3"/>
        <v>0</v>
      </c>
      <c r="K23" s="103"/>
      <c r="L23" s="104">
        <f t="shared" si="4"/>
        <v>271124.07347399998</v>
      </c>
      <c r="M23" s="105">
        <f t="shared" si="5"/>
        <v>0</v>
      </c>
      <c r="N23" s="106">
        <f t="shared" si="1"/>
        <v>271124.13</v>
      </c>
      <c r="O23" s="107">
        <f t="shared" si="2"/>
        <v>279258.13</v>
      </c>
      <c r="P23" s="33">
        <f t="shared" si="6"/>
        <v>0.12999999999999998</v>
      </c>
    </row>
    <row r="24" spans="1:17" ht="17.100000000000001" customHeight="1" x14ac:dyDescent="0.25">
      <c r="A24" s="99" t="s">
        <v>71</v>
      </c>
      <c r="B24" s="99" t="s">
        <v>54</v>
      </c>
      <c r="C24" s="99" t="s">
        <v>73</v>
      </c>
      <c r="D24" s="99"/>
      <c r="E24" s="118">
        <v>4.33</v>
      </c>
      <c r="F24" s="101">
        <v>200818.14</v>
      </c>
      <c r="G24" s="109">
        <v>206843.14</v>
      </c>
      <c r="H24" s="109" t="s">
        <v>54</v>
      </c>
      <c r="I24" s="154">
        <f t="shared" si="0"/>
        <v>-6025</v>
      </c>
      <c r="J24" s="154">
        <f t="shared" si="3"/>
        <v>0</v>
      </c>
      <c r="K24" s="103"/>
      <c r="L24" s="104">
        <f t="shared" si="4"/>
        <v>189962.33626899999</v>
      </c>
      <c r="M24" s="105">
        <f t="shared" si="5"/>
        <v>0</v>
      </c>
      <c r="N24" s="106">
        <f t="shared" si="1"/>
        <v>183937.14</v>
      </c>
      <c r="O24" s="107">
        <f t="shared" si="2"/>
        <v>189455.14</v>
      </c>
      <c r="P24" s="33">
        <f t="shared" si="6"/>
        <v>0.13999999999999999</v>
      </c>
    </row>
    <row r="25" spans="1:17" ht="17.100000000000001" customHeight="1" x14ac:dyDescent="0.25">
      <c r="A25" s="108" t="s">
        <v>74</v>
      </c>
      <c r="B25" s="108" t="s">
        <v>52</v>
      </c>
      <c r="C25" s="108" t="s">
        <v>75</v>
      </c>
      <c r="D25" s="108"/>
      <c r="E25" s="119">
        <v>6.18</v>
      </c>
      <c r="F25" s="109">
        <v>286619.15000000002</v>
      </c>
      <c r="G25" s="109">
        <f>466282.97-G26-G35</f>
        <v>229613.55999999994</v>
      </c>
      <c r="H25" s="109" t="s">
        <v>54</v>
      </c>
      <c r="I25" s="154">
        <f t="shared" si="0"/>
        <v>57005.590000000084</v>
      </c>
      <c r="J25" s="154">
        <f t="shared" si="3"/>
        <v>1710.1677000000025</v>
      </c>
      <c r="K25" s="103"/>
      <c r="L25" s="104">
        <f t="shared" si="4"/>
        <v>271124.07347399998</v>
      </c>
      <c r="M25" s="105">
        <f t="shared" si="5"/>
        <v>0</v>
      </c>
      <c r="N25" s="106">
        <f t="shared" si="1"/>
        <v>329840.15000000002</v>
      </c>
      <c r="O25" s="107">
        <f t="shared" si="2"/>
        <v>339735.15</v>
      </c>
      <c r="P25" s="33">
        <f t="shared" si="6"/>
        <v>0.15</v>
      </c>
    </row>
    <row r="26" spans="1:17" ht="17.100000000000001" customHeight="1" x14ac:dyDescent="0.25">
      <c r="A26" s="99" t="s">
        <v>74</v>
      </c>
      <c r="B26" s="99" t="s">
        <v>54</v>
      </c>
      <c r="C26" s="99" t="s">
        <v>75</v>
      </c>
      <c r="D26" s="99"/>
      <c r="E26" s="118">
        <v>4.33</v>
      </c>
      <c r="F26" s="101">
        <v>200818.16</v>
      </c>
      <c r="G26" s="109">
        <f>F26</f>
        <v>200818.16</v>
      </c>
      <c r="H26" s="109" t="s">
        <v>54</v>
      </c>
      <c r="I26" s="154">
        <f t="shared" si="0"/>
        <v>0</v>
      </c>
      <c r="J26" s="154">
        <f t="shared" si="3"/>
        <v>0</v>
      </c>
      <c r="K26" s="103"/>
      <c r="L26" s="104">
        <f t="shared" si="4"/>
        <v>189962.33626899999</v>
      </c>
      <c r="M26" s="105">
        <f t="shared" si="5"/>
        <v>0</v>
      </c>
      <c r="N26" s="106">
        <f t="shared" si="1"/>
        <v>189962.16</v>
      </c>
      <c r="O26" s="107">
        <f t="shared" si="2"/>
        <v>195661.16</v>
      </c>
      <c r="P26" s="33">
        <f t="shared" si="6"/>
        <v>0.16</v>
      </c>
    </row>
    <row r="27" spans="1:17" ht="17.100000000000001" customHeight="1" x14ac:dyDescent="0.25">
      <c r="A27" s="99" t="s">
        <v>76</v>
      </c>
      <c r="B27" s="99" t="s">
        <v>52</v>
      </c>
      <c r="C27" s="99" t="s">
        <v>77</v>
      </c>
      <c r="D27" s="99" t="s">
        <v>102</v>
      </c>
      <c r="E27" s="118">
        <v>6.18</v>
      </c>
      <c r="F27" s="109">
        <v>286619.17</v>
      </c>
      <c r="G27" s="109">
        <f>F27</f>
        <v>286619.17</v>
      </c>
      <c r="H27" s="109" t="s">
        <v>54</v>
      </c>
      <c r="I27" s="154">
        <f t="shared" si="0"/>
        <v>0</v>
      </c>
      <c r="J27" s="154">
        <f t="shared" si="3"/>
        <v>0</v>
      </c>
      <c r="K27" s="103"/>
      <c r="L27" s="104">
        <f t="shared" si="4"/>
        <v>271124.07347399998</v>
      </c>
      <c r="M27" s="105">
        <f t="shared" si="5"/>
        <v>0</v>
      </c>
      <c r="N27" s="106">
        <f t="shared" si="1"/>
        <v>271124.17</v>
      </c>
      <c r="O27" s="107">
        <f t="shared" si="2"/>
        <v>279258.17</v>
      </c>
      <c r="P27" s="33">
        <f t="shared" si="6"/>
        <v>0.17</v>
      </c>
    </row>
    <row r="28" spans="1:17" ht="17.100000000000001" customHeight="1" x14ac:dyDescent="0.25">
      <c r="A28" s="99" t="s">
        <v>76</v>
      </c>
      <c r="B28" s="99" t="s">
        <v>54</v>
      </c>
      <c r="C28" s="99" t="s">
        <v>78</v>
      </c>
      <c r="D28" s="99"/>
      <c r="E28" s="118">
        <v>4.33</v>
      </c>
      <c r="F28" s="101">
        <v>200818.18</v>
      </c>
      <c r="G28" s="145">
        <f>F28</f>
        <v>200818.18</v>
      </c>
      <c r="H28" s="109" t="s">
        <v>54</v>
      </c>
      <c r="I28" s="154">
        <f t="shared" si="0"/>
        <v>0</v>
      </c>
      <c r="J28" s="154">
        <f t="shared" si="3"/>
        <v>0</v>
      </c>
      <c r="K28" s="103"/>
      <c r="L28" s="104">
        <f t="shared" si="4"/>
        <v>189962.33626899999</v>
      </c>
      <c r="M28" s="105">
        <f t="shared" si="5"/>
        <v>0</v>
      </c>
      <c r="N28" s="106">
        <f t="shared" si="1"/>
        <v>189962.18</v>
      </c>
      <c r="O28" s="107">
        <f t="shared" si="2"/>
        <v>195661.18</v>
      </c>
      <c r="P28" s="33">
        <f t="shared" si="6"/>
        <v>0.18000000000000002</v>
      </c>
    </row>
    <row r="29" spans="1:17" ht="14.45" customHeight="1" x14ac:dyDescent="0.25">
      <c r="A29" s="188" t="s">
        <v>80</v>
      </c>
      <c r="B29" s="189"/>
      <c r="C29" s="99" t="s">
        <v>77</v>
      </c>
      <c r="D29" s="99"/>
      <c r="E29" s="118">
        <v>0.77300000000000002</v>
      </c>
      <c r="F29" s="101">
        <v>35851.19</v>
      </c>
      <c r="G29" s="109">
        <f>F29</f>
        <v>35851.19</v>
      </c>
      <c r="H29" s="109" t="s">
        <v>54</v>
      </c>
      <c r="I29" s="154">
        <f t="shared" si="0"/>
        <v>0</v>
      </c>
      <c r="J29" s="154">
        <f t="shared" si="3"/>
        <v>0</v>
      </c>
      <c r="K29" s="103"/>
      <c r="L29" s="104">
        <f t="shared" si="4"/>
        <v>33912.4447889</v>
      </c>
      <c r="M29" s="105">
        <f t="shared" si="5"/>
        <v>0</v>
      </c>
      <c r="N29" s="106">
        <f t="shared" si="1"/>
        <v>33912.19</v>
      </c>
      <c r="O29" s="107">
        <f t="shared" si="2"/>
        <v>34929.19</v>
      </c>
      <c r="P29" s="33">
        <f t="shared" si="6"/>
        <v>0.19000000000000003</v>
      </c>
    </row>
    <row r="30" spans="1:17" ht="14.45" customHeight="1" x14ac:dyDescent="0.25">
      <c r="A30" s="188" t="s">
        <v>81</v>
      </c>
      <c r="B30" s="189"/>
      <c r="C30" s="108" t="s">
        <v>57</v>
      </c>
      <c r="D30" s="99"/>
      <c r="E30" s="118">
        <v>0.77300000000000002</v>
      </c>
      <c r="F30" s="110">
        <v>28721.200000000001</v>
      </c>
      <c r="G30" s="145">
        <f>F30</f>
        <v>28721.200000000001</v>
      </c>
      <c r="H30" s="109" t="s">
        <v>54</v>
      </c>
      <c r="I30" s="154">
        <f t="shared" si="0"/>
        <v>0</v>
      </c>
      <c r="J30" s="154">
        <f t="shared" si="3"/>
        <v>0</v>
      </c>
      <c r="K30" s="103"/>
      <c r="L30" s="104">
        <f t="shared" si="4"/>
        <v>33912.4447889</v>
      </c>
      <c r="M30" s="105">
        <f t="shared" si="5"/>
        <v>0</v>
      </c>
      <c r="N30" s="106">
        <f t="shared" si="1"/>
        <v>33912.199999999997</v>
      </c>
      <c r="O30" s="107">
        <f t="shared" si="2"/>
        <v>34929.199999999997</v>
      </c>
      <c r="P30" s="33">
        <f t="shared" si="6"/>
        <v>0.20000000000000004</v>
      </c>
    </row>
    <row r="31" spans="1:17" ht="14.45" customHeight="1" x14ac:dyDescent="0.25">
      <c r="A31" s="188" t="s">
        <v>82</v>
      </c>
      <c r="B31" s="189"/>
      <c r="C31" s="111" t="s">
        <v>79</v>
      </c>
      <c r="D31" s="99" t="s">
        <v>104</v>
      </c>
      <c r="E31" s="118">
        <v>0.77300000000000002</v>
      </c>
      <c r="F31" s="110">
        <v>36927.21</v>
      </c>
      <c r="G31" s="145">
        <f>F31</f>
        <v>36927.21</v>
      </c>
      <c r="H31" s="109" t="s">
        <v>54</v>
      </c>
      <c r="I31" s="154">
        <f t="shared" si="0"/>
        <v>0</v>
      </c>
      <c r="J31" s="154">
        <f t="shared" si="3"/>
        <v>0</v>
      </c>
      <c r="K31" s="103"/>
      <c r="L31" s="104">
        <f t="shared" si="4"/>
        <v>33912.4447889</v>
      </c>
      <c r="M31" s="105">
        <f t="shared" si="5"/>
        <v>0</v>
      </c>
      <c r="N31" s="106">
        <f t="shared" si="1"/>
        <v>33912.21</v>
      </c>
      <c r="O31" s="107">
        <f t="shared" si="2"/>
        <v>34929.21</v>
      </c>
      <c r="P31" s="33">
        <f t="shared" si="6"/>
        <v>0.21000000000000005</v>
      </c>
    </row>
    <row r="32" spans="1:17" ht="14.45" customHeight="1" x14ac:dyDescent="0.25">
      <c r="A32" s="188" t="s">
        <v>83</v>
      </c>
      <c r="B32" s="189"/>
      <c r="C32" s="99" t="s">
        <v>63</v>
      </c>
      <c r="D32" s="99"/>
      <c r="E32" s="118">
        <v>0.77300000000000002</v>
      </c>
      <c r="F32" s="110">
        <v>36927.22</v>
      </c>
      <c r="G32" s="145">
        <f t="shared" ref="G32" si="7">F32</f>
        <v>36927.22</v>
      </c>
      <c r="H32" s="109" t="s">
        <v>54</v>
      </c>
      <c r="I32" s="154">
        <f t="shared" si="0"/>
        <v>0</v>
      </c>
      <c r="J32" s="154">
        <f t="shared" si="3"/>
        <v>0</v>
      </c>
      <c r="K32" s="103"/>
      <c r="L32" s="104">
        <f t="shared" si="4"/>
        <v>33912.4447889</v>
      </c>
      <c r="M32" s="105">
        <f t="shared" si="5"/>
        <v>0</v>
      </c>
      <c r="N32" s="106">
        <f t="shared" si="1"/>
        <v>33912.22</v>
      </c>
      <c r="O32" s="107">
        <f t="shared" si="2"/>
        <v>34929.22</v>
      </c>
      <c r="P32" s="33">
        <f t="shared" si="6"/>
        <v>0.22000000000000006</v>
      </c>
    </row>
    <row r="33" spans="1:16" ht="14.45" customHeight="1" x14ac:dyDescent="0.25">
      <c r="A33" s="188" t="s">
        <v>84</v>
      </c>
      <c r="B33" s="189"/>
      <c r="C33" s="112" t="s">
        <v>66</v>
      </c>
      <c r="D33" s="112"/>
      <c r="E33" s="118">
        <v>0.77300000000000002</v>
      </c>
      <c r="F33" s="110">
        <v>33923.230000000003</v>
      </c>
      <c r="G33" s="145">
        <f>G32</f>
        <v>36927.22</v>
      </c>
      <c r="H33" s="109" t="s">
        <v>107</v>
      </c>
      <c r="I33" s="154">
        <f t="shared" si="0"/>
        <v>-3003.989999999998</v>
      </c>
      <c r="J33" s="154">
        <f t="shared" si="3"/>
        <v>0</v>
      </c>
      <c r="K33" s="103"/>
      <c r="L33" s="104">
        <f t="shared" si="4"/>
        <v>33912.4447889</v>
      </c>
      <c r="M33" s="105">
        <f t="shared" si="5"/>
        <v>0</v>
      </c>
      <c r="N33" s="106">
        <f t="shared" si="1"/>
        <v>30908.23</v>
      </c>
      <c r="O33" s="107">
        <f t="shared" si="2"/>
        <v>31835.23</v>
      </c>
      <c r="P33" s="33">
        <f t="shared" si="6"/>
        <v>0.23000000000000007</v>
      </c>
    </row>
    <row r="34" spans="1:16" ht="14.45" customHeight="1" x14ac:dyDescent="0.25">
      <c r="A34" s="188" t="s">
        <v>85</v>
      </c>
      <c r="B34" s="189"/>
      <c r="C34" s="112" t="s">
        <v>69</v>
      </c>
      <c r="D34" s="112" t="s">
        <v>114</v>
      </c>
      <c r="E34" s="118">
        <v>0.77300000000000002</v>
      </c>
      <c r="F34" s="110">
        <v>36829.24</v>
      </c>
      <c r="G34" s="145">
        <v>45757</v>
      </c>
      <c r="H34" s="109" t="s">
        <v>54</v>
      </c>
      <c r="I34" s="154">
        <f t="shared" si="0"/>
        <v>-8927.760000000002</v>
      </c>
      <c r="J34" s="154">
        <f t="shared" si="3"/>
        <v>0</v>
      </c>
      <c r="K34" s="103"/>
      <c r="L34" s="104">
        <f t="shared" si="4"/>
        <v>33912.4447889</v>
      </c>
      <c r="M34" s="105">
        <f t="shared" si="5"/>
        <v>0</v>
      </c>
      <c r="N34" s="106">
        <f t="shared" si="1"/>
        <v>24985.24</v>
      </c>
      <c r="O34" s="107">
        <f t="shared" si="2"/>
        <v>25735.24</v>
      </c>
      <c r="P34" s="33">
        <f t="shared" si="6"/>
        <v>0.24000000000000007</v>
      </c>
    </row>
    <row r="35" spans="1:16" ht="17.100000000000001" customHeight="1" thickBot="1" x14ac:dyDescent="0.3">
      <c r="A35" s="188" t="s">
        <v>86</v>
      </c>
      <c r="B35" s="189"/>
      <c r="C35" s="112" t="s">
        <v>75</v>
      </c>
      <c r="D35" s="112"/>
      <c r="E35" s="100">
        <v>0.77300000000000002</v>
      </c>
      <c r="F35" s="110">
        <v>35851.25</v>
      </c>
      <c r="G35" s="109">
        <f>F35</f>
        <v>35851.25</v>
      </c>
      <c r="H35" s="109" t="s">
        <v>54</v>
      </c>
      <c r="I35" s="154">
        <f t="shared" si="0"/>
        <v>0</v>
      </c>
      <c r="J35" s="154">
        <f t="shared" si="3"/>
        <v>0</v>
      </c>
      <c r="K35" s="103"/>
      <c r="L35" s="104">
        <f t="shared" si="4"/>
        <v>33912.4447889</v>
      </c>
      <c r="M35" s="105">
        <f t="shared" si="5"/>
        <v>0</v>
      </c>
      <c r="N35" s="106">
        <f t="shared" si="1"/>
        <v>33912.25</v>
      </c>
      <c r="O35" s="107">
        <f t="shared" si="2"/>
        <v>34929.25</v>
      </c>
      <c r="P35" s="33">
        <f t="shared" si="6"/>
        <v>0.25000000000000006</v>
      </c>
    </row>
    <row r="36" spans="1:16" ht="17.100000000000001" customHeight="1" thickBot="1" x14ac:dyDescent="0.3">
      <c r="A36" s="190" t="s">
        <v>50</v>
      </c>
      <c r="B36" s="190"/>
      <c r="C36" s="191"/>
      <c r="D36" s="122"/>
      <c r="E36" s="113">
        <f t="shared" ref="E36:M36" si="8">SUM(E11:E35)</f>
        <v>100.00099999999993</v>
      </c>
      <c r="F36" s="114">
        <f t="shared" si="8"/>
        <v>4497822.2500000009</v>
      </c>
      <c r="G36" s="115">
        <f t="shared" si="8"/>
        <v>4481284.67</v>
      </c>
      <c r="H36" s="115"/>
      <c r="I36" s="115">
        <f t="shared" si="8"/>
        <v>16537.580000000133</v>
      </c>
      <c r="J36" s="116">
        <f t="shared" si="8"/>
        <v>1710.1707000000026</v>
      </c>
      <c r="K36" s="116"/>
      <c r="L36" s="116">
        <f t="shared" si="8"/>
        <v>4387164.8012093008</v>
      </c>
      <c r="M36" s="115">
        <f t="shared" si="8"/>
        <v>0</v>
      </c>
      <c r="N36" s="117">
        <f>SUM(N11:N28)</f>
        <v>4179954.7100000004</v>
      </c>
      <c r="O36" s="117">
        <f>SUM(O11:O35)</f>
        <v>4537572.2500000009</v>
      </c>
    </row>
    <row r="37" spans="1:16" ht="22.15" customHeight="1" x14ac:dyDescent="0.25">
      <c r="C37" s="39"/>
      <c r="D37" s="39"/>
      <c r="F37" t="s">
        <v>109</v>
      </c>
      <c r="G37" s="129">
        <f>SUMIF(H11:H35,"B",G11:G35)</f>
        <v>4254804.3600000013</v>
      </c>
    </row>
    <row r="38" spans="1:16" x14ac:dyDescent="0.25">
      <c r="A38" s="181"/>
      <c r="B38" s="181"/>
      <c r="E38" s="182"/>
      <c r="F38" s="183" t="s">
        <v>110</v>
      </c>
      <c r="G38" s="129">
        <f>SUMIF(H11:H35,"E",G11:G35)</f>
        <v>226480.31</v>
      </c>
    </row>
    <row r="39" spans="1:16" x14ac:dyDescent="0.25">
      <c r="A39" s="181"/>
      <c r="B39" s="181"/>
      <c r="E39" s="182"/>
      <c r="F39" s="183"/>
      <c r="G39" s="130">
        <f>SUM(G37:G38)</f>
        <v>4481284.6700000009</v>
      </c>
    </row>
    <row r="50" spans="1:6" x14ac:dyDescent="0.25">
      <c r="F50">
        <f>SUM(E48:E49)</f>
        <v>0</v>
      </c>
    </row>
    <row r="52" spans="1:6" x14ac:dyDescent="0.25">
      <c r="A52" t="s">
        <v>94</v>
      </c>
    </row>
    <row r="53" spans="1:6" x14ac:dyDescent="0.25">
      <c r="A53" t="s">
        <v>93</v>
      </c>
    </row>
    <row r="54" spans="1:6" x14ac:dyDescent="0.25">
      <c r="F54">
        <f>SUM(E52:E53)</f>
        <v>0</v>
      </c>
    </row>
  </sheetData>
  <mergeCells count="29">
    <mergeCell ref="E1:N1"/>
    <mergeCell ref="J9:J10"/>
    <mergeCell ref="F9:F10"/>
    <mergeCell ref="G9:G10"/>
    <mergeCell ref="I9:I10"/>
    <mergeCell ref="L9:L10"/>
    <mergeCell ref="M9:M10"/>
    <mergeCell ref="A4:O8"/>
    <mergeCell ref="A9:A10"/>
    <mergeCell ref="C9:C10"/>
    <mergeCell ref="E9:E10"/>
    <mergeCell ref="B9:B10"/>
    <mergeCell ref="O9:O10"/>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2026-08-03T15:26:20Z</cp:lastPrinted>
  <dcterms:created xsi:type="dcterms:W3CDTF">2023-09-17T12:29:07Z</dcterms:created>
  <dcterms:modified xsi:type="dcterms:W3CDTF">2026-09-02T12:41:29Z</dcterms:modified>
</cp:coreProperties>
</file>