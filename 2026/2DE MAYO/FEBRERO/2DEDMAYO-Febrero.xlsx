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2DE MAYO\FEBRERO\"/>
    </mc:Choice>
  </mc:AlternateContent>
  <xr:revisionPtr revIDLastSave="0" documentId="13_ncr:1_{070B734D-2963-44F9-93D3-5FAE3A9ED2EF}" xr6:coauthVersionLast="47" xr6:coauthVersionMax="47" xr10:uidLastSave="{00000000-0000-0000-0000-000000000000}"/>
  <bookViews>
    <workbookView xWindow="-120" yWindow="-120" windowWidth="20730" windowHeight="11160" tabRatio="850" xr2:uid="{00000000-000D-0000-FFFF-FFFF00000000}"/>
  </bookViews>
  <sheets>
    <sheet name="RESUMEN" sheetId="1" r:id="rId1"/>
    <sheet name="PRORRATEO" sheetId="2" r:id="rId2"/>
    <sheet name="ANOTACIONES" sheetId="3" r:id="rId3"/>
  </sheets>
  <definedNames>
    <definedName name="_xlnm.Print_Area" localSheetId="1">PRORRATEO!$A$1:$M$37</definedName>
    <definedName name="_xlnm.Print_Area" localSheetId="0">RESUMEN!$A$1:$E$101</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1" i="1" l="1"/>
  <c r="K2" i="2"/>
  <c r="J15" i="2" s="1"/>
  <c r="B86" i="1"/>
  <c r="E47" i="1"/>
  <c r="E55" i="1"/>
  <c r="B92" i="1"/>
  <c r="G23" i="2"/>
  <c r="G31" i="2"/>
  <c r="K12" i="2"/>
  <c r="K13" i="2"/>
  <c r="K14" i="2"/>
  <c r="K15" i="2"/>
  <c r="K16" i="2"/>
  <c r="K17" i="2"/>
  <c r="K18" i="2"/>
  <c r="K19" i="2"/>
  <c r="K20" i="2"/>
  <c r="K21" i="2"/>
  <c r="K22" i="2"/>
  <c r="K23" i="2"/>
  <c r="K24" i="2"/>
  <c r="K25" i="2"/>
  <c r="K26" i="2"/>
  <c r="K27" i="2"/>
  <c r="K28" i="2"/>
  <c r="K29" i="2"/>
  <c r="K30" i="2"/>
  <c r="K31" i="2"/>
  <c r="K32" i="2"/>
  <c r="K33" i="2"/>
  <c r="K34" i="2"/>
  <c r="K35" i="2"/>
  <c r="K11" i="2"/>
  <c r="G29" i="2"/>
  <c r="G27" i="2"/>
  <c r="G30" i="2"/>
  <c r="G13" i="2"/>
  <c r="G18" i="2"/>
  <c r="G12" i="2"/>
  <c r="G32" i="2"/>
  <c r="G17" i="2" s="1"/>
  <c r="G15" i="2"/>
  <c r="G16" i="2"/>
  <c r="G35" i="2"/>
  <c r="G25" i="2" s="1"/>
  <c r="G26" i="2"/>
  <c r="G21" i="2"/>
  <c r="E45" i="1"/>
  <c r="E46" i="1" s="1"/>
  <c r="J33" i="2" l="1"/>
  <c r="J25" i="2"/>
  <c r="J17" i="2"/>
  <c r="J11" i="2"/>
  <c r="J28" i="2"/>
  <c r="J20" i="2"/>
  <c r="J16" i="2"/>
  <c r="J34" i="2"/>
  <c r="J30" i="2"/>
  <c r="J26" i="2"/>
  <c r="J22" i="2"/>
  <c r="J18" i="2"/>
  <c r="J14" i="2"/>
  <c r="J29" i="2"/>
  <c r="J21" i="2"/>
  <c r="J13" i="2"/>
  <c r="J32" i="2"/>
  <c r="J24" i="2"/>
  <c r="J12" i="2"/>
  <c r="J35" i="2"/>
  <c r="J31" i="2"/>
  <c r="J27" i="2"/>
  <c r="J23" i="2"/>
  <c r="J19" i="2"/>
  <c r="I34" i="2"/>
  <c r="H29" i="2"/>
  <c r="I29" i="2" s="1"/>
  <c r="H30" i="2"/>
  <c r="I30" i="2" s="1"/>
  <c r="H31" i="2"/>
  <c r="I31" i="2" s="1"/>
  <c r="H32" i="2"/>
  <c r="I32" i="2" s="1"/>
  <c r="H33" i="2"/>
  <c r="I33" i="2" s="1"/>
  <c r="H34" i="2"/>
  <c r="H35" i="2"/>
  <c r="I35" i="2" s="1"/>
  <c r="F50" i="2"/>
  <c r="E51" i="1"/>
  <c r="F54" i="2"/>
  <c r="D26" i="1"/>
  <c r="A4" i="2"/>
  <c r="E41" i="1" l="1"/>
  <c r="E59" i="1" l="1"/>
  <c r="E37" i="1" l="1"/>
  <c r="H22" i="2" l="1"/>
  <c r="E71" i="1" l="1"/>
  <c r="E76" i="1" s="1"/>
  <c r="B80" i="1" s="1"/>
  <c r="B90" i="1" l="1"/>
  <c r="B100" i="1"/>
  <c r="B91" i="1" l="1"/>
  <c r="H25" i="2" l="1"/>
  <c r="D32" i="1" l="1"/>
  <c r="L10" i="2" l="1"/>
  <c r="E33" i="1" l="1"/>
  <c r="E63" i="1" s="1"/>
  <c r="N12" i="2" l="1"/>
  <c r="N13" i="2" s="1"/>
  <c r="N14" i="2" s="1"/>
  <c r="N15" i="2" s="1"/>
  <c r="N16" i="2" s="1"/>
  <c r="N17" i="2" s="1"/>
  <c r="N18" i="2" s="1"/>
  <c r="N19" i="2" s="1"/>
  <c r="N20" i="2" s="1"/>
  <c r="N21" i="2" s="1"/>
  <c r="N22" i="2" s="1"/>
  <c r="N23" i="2" s="1"/>
  <c r="N24" i="2" s="1"/>
  <c r="N25" i="2" s="1"/>
  <c r="N26" i="2" s="1"/>
  <c r="N27" i="2" s="1"/>
  <c r="N28" i="2" s="1"/>
  <c r="N29" i="2" s="1"/>
  <c r="N30" i="2" l="1"/>
  <c r="L29" i="2"/>
  <c r="M29" i="2" s="1"/>
  <c r="G36" i="2"/>
  <c r="E36" i="2"/>
  <c r="F36" i="2"/>
  <c r="N31" i="2" l="1"/>
  <c r="L30" i="2"/>
  <c r="M30" i="2" s="1"/>
  <c r="H12" i="2"/>
  <c r="H13" i="2"/>
  <c r="H14" i="2"/>
  <c r="H15" i="2"/>
  <c r="H16" i="2"/>
  <c r="H17" i="2"/>
  <c r="H18" i="2"/>
  <c r="H19" i="2"/>
  <c r="H20" i="2"/>
  <c r="H21" i="2"/>
  <c r="H23" i="2"/>
  <c r="H24" i="2"/>
  <c r="H26" i="2"/>
  <c r="H27" i="2"/>
  <c r="H28" i="2"/>
  <c r="H11" i="2"/>
  <c r="N32" i="2" l="1"/>
  <c r="L31" i="2"/>
  <c r="M31" i="2" s="1"/>
  <c r="B81" i="1"/>
  <c r="H36" i="2"/>
  <c r="I28" i="2"/>
  <c r="I16" i="2"/>
  <c r="I27" i="2"/>
  <c r="I23" i="2"/>
  <c r="I19" i="2"/>
  <c r="I15" i="2"/>
  <c r="I24" i="2"/>
  <c r="I12" i="2"/>
  <c r="I26" i="2"/>
  <c r="I22" i="2"/>
  <c r="I18" i="2"/>
  <c r="I14" i="2"/>
  <c r="I20" i="2"/>
  <c r="I25" i="2"/>
  <c r="I21" i="2"/>
  <c r="I17" i="2"/>
  <c r="I13" i="2"/>
  <c r="I11" i="2"/>
  <c r="L11" i="2" l="1"/>
  <c r="I36" i="2"/>
  <c r="N33" i="2"/>
  <c r="L32" i="2"/>
  <c r="M32" i="2" s="1"/>
  <c r="A45" i="1"/>
  <c r="A46" i="1" s="1"/>
  <c r="N34" i="2" l="1"/>
  <c r="L33" i="2"/>
  <c r="M33" i="2" s="1"/>
  <c r="L12" i="2"/>
  <c r="L13" i="2"/>
  <c r="L14" i="2"/>
  <c r="L15" i="2"/>
  <c r="L16" i="2"/>
  <c r="L17" i="2"/>
  <c r="L18" i="2"/>
  <c r="L19" i="2"/>
  <c r="L20" i="2"/>
  <c r="L21" i="2"/>
  <c r="L22" i="2"/>
  <c r="L23" i="2"/>
  <c r="L24" i="2"/>
  <c r="L25" i="2"/>
  <c r="L26" i="2"/>
  <c r="L27" i="2"/>
  <c r="L28" i="2"/>
  <c r="N35" i="2" l="1"/>
  <c r="L35" i="2" s="1"/>
  <c r="M35" i="2" s="1"/>
  <c r="L34" i="2"/>
  <c r="M34" i="2" s="1"/>
  <c r="L36" i="2"/>
  <c r="M28" i="2"/>
  <c r="M24" i="2"/>
  <c r="M20" i="2"/>
  <c r="M16" i="2"/>
  <c r="M12" i="2"/>
  <c r="M11" i="2"/>
  <c r="M27" i="2"/>
  <c r="M23" i="2"/>
  <c r="M19" i="2"/>
  <c r="M15" i="2"/>
  <c r="M26" i="2"/>
  <c r="M22" i="2"/>
  <c r="M18" i="2"/>
  <c r="M14" i="2"/>
  <c r="M25" i="2"/>
  <c r="M21" i="2"/>
  <c r="M17" i="2"/>
  <c r="M13" i="2"/>
  <c r="J36" i="2"/>
  <c r="M36" i="2" l="1"/>
  <c r="K36" i="2" l="1"/>
  <c r="B79" i="1" l="1"/>
  <c r="B89" i="1" l="1"/>
  <c r="B93" i="1" s="1"/>
  <c r="B78" i="1"/>
</calcChain>
</file>

<file path=xl/sharedStrings.xml><?xml version="1.0" encoding="utf-8"?>
<sst xmlns="http://schemas.openxmlformats.org/spreadsheetml/2006/main" count="169" uniqueCount="126">
  <si>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</si>
  <si>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</si>
  <si>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</si>
  <si>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</si>
  <si>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</si>
  <si>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</si>
  <si>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</si>
  <si>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</si>
  <si>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</si>
  <si>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</si>
  <si>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</si>
  <si>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</si>
  <si>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</si>
  <si>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</si>
  <si>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</si>
  <si>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</si>
  <si>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</si>
  <si>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</si>
  <si>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</si>
  <si>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PREVISION EXTRAORDINARIA</t>
  </si>
  <si>
    <t xml:space="preserve">TOTAL EXTRAORDINARIOS </t>
  </si>
  <si>
    <t>GASTOS EXTRAORDINARIOS SIN PREVISION:</t>
  </si>
  <si>
    <t>Expensas ord.</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</si>
  <si>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</si>
  <si>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</si>
  <si>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</si>
  <si>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</si>
  <si>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</si>
  <si>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</si>
  <si>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</si>
  <si>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</si>
  <si>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</si>
  <si>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</si>
  <si>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SAC</t>
  </si>
  <si>
    <t>GASTOS EXTRAORDINARIOS CON PREVISION:</t>
  </si>
  <si>
    <t>Interes 3%</t>
  </si>
  <si>
    <t>Sueldo encargado Balcazza Leonardo</t>
  </si>
  <si>
    <t>GASTOS EXTRAORDINARIOS:</t>
  </si>
  <si>
    <t xml:space="preserve">ARCA </t>
  </si>
  <si>
    <t>CAJA REAL</t>
  </si>
  <si>
    <t xml:space="preserve">Saldo Ord </t>
  </si>
  <si>
    <t xml:space="preserve">PREVISION ORDINARIA </t>
  </si>
  <si>
    <t>Egresos del mes ordinarios</t>
  </si>
  <si>
    <t>Egresos del mes extrordinarios</t>
  </si>
  <si>
    <t>Ingresos</t>
  </si>
  <si>
    <t>Pagos sin identificar</t>
  </si>
  <si>
    <t>SALDO EN BANCO</t>
  </si>
  <si>
    <t>Gastos bancarios</t>
  </si>
  <si>
    <t>Mantenimiento de cuenta</t>
  </si>
  <si>
    <t>10 A 15HS - EMERGENCIAS 24HS</t>
  </si>
  <si>
    <t>PERÍODO: FEBRERO</t>
  </si>
  <si>
    <t>Sindicatos mes de FEBRERO</t>
  </si>
  <si>
    <t>Extraordinarios:</t>
  </si>
  <si>
    <t>Expensas extraord.</t>
  </si>
  <si>
    <t>Piso</t>
  </si>
  <si>
    <t>TOTALES</t>
  </si>
  <si>
    <t>1° P.</t>
  </si>
  <si>
    <t>A</t>
  </si>
  <si>
    <t>CHAS Alejandro</t>
  </si>
  <si>
    <t>B</t>
  </si>
  <si>
    <t>PELLEGRINI Cecilia</t>
  </si>
  <si>
    <t>2° P.</t>
  </si>
  <si>
    <t>MAZZUCO M. Gabriela</t>
  </si>
  <si>
    <t>ORREF Cristina</t>
  </si>
  <si>
    <t>3° P.</t>
  </si>
  <si>
    <t>TARANTO / CASTRO</t>
  </si>
  <si>
    <t>PALAVECINO Carina</t>
  </si>
  <si>
    <t>4° P.</t>
  </si>
  <si>
    <t>TOTH Alvaro</t>
  </si>
  <si>
    <t>TARRACINI Norma</t>
  </si>
  <si>
    <t>5° P.</t>
  </si>
  <si>
    <t>ERRAMUSPE Alberto</t>
  </si>
  <si>
    <t>TEJEIRO Pablo</t>
  </si>
  <si>
    <t>6° P.</t>
  </si>
  <si>
    <t>VINCI M. Teresa</t>
  </si>
  <si>
    <t>DOVHUN PODLASKY Nina</t>
  </si>
  <si>
    <t>7° P.</t>
  </si>
  <si>
    <t>MENDEZ Magali / GIL F.</t>
  </si>
  <si>
    <t>HERNANDEZ Antonella</t>
  </si>
  <si>
    <t>8° P.</t>
  </si>
  <si>
    <t>CARDINALE Horacio</t>
  </si>
  <si>
    <t>9° P.</t>
  </si>
  <si>
    <t>SUAREZ Nicolas</t>
  </si>
  <si>
    <t>SOUTO Patricio</t>
  </si>
  <si>
    <t>MENDEZ Mendez / GIL F.</t>
  </si>
  <si>
    <t>Cochera 1</t>
  </si>
  <si>
    <t>Cochera 2</t>
  </si>
  <si>
    <t>Cochera 3</t>
  </si>
  <si>
    <t>Cochera 4</t>
  </si>
  <si>
    <t>Cochera 5</t>
  </si>
  <si>
    <t>Cochera 6</t>
  </si>
  <si>
    <t>Cochera 7</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</si>
  <si>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</si>
  <si>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CONSORCIO 2 DE MAYO 2813/15  -  LIQUIDACIÓN DE GASTOS ENERO 2026</t>
  </si>
  <si>
    <t>Sueldo Sra. Gomez Blanca Lucia</t>
  </si>
  <si>
    <t>Descuentos</t>
  </si>
  <si>
    <t>Redondeo</t>
  </si>
  <si>
    <t xml:space="preserve">Edesur </t>
  </si>
  <si>
    <t>AySa</t>
  </si>
  <si>
    <t>Pago del abono del ascensor ADS - Mantenimiento</t>
  </si>
  <si>
    <t xml:space="preserve">Personal Flow (internet) para las Camaras de Seguridad </t>
  </si>
  <si>
    <t xml:space="preserve">Seguros Integral de Consorcio BERKLEY INTERNATIONAL SEGUROS S.A. Poliza N° 13-228546 </t>
  </si>
  <si>
    <t>Banco SANTENDER -- Cta.Corr. Pesos N° 054-011139/1 -- CBU: 0720054020000001113918 -- Alias: BALA.EMPATE.MIXTO</t>
  </si>
  <si>
    <t>CUIT DEL EDIFICIO: 30708447966</t>
  </si>
  <si>
    <t>VTO 16/03</t>
  </si>
  <si>
    <t xml:space="preserve">Sueldo Sra. Gomez Blanca Lucia - Abonados por administracion saliente </t>
  </si>
  <si>
    <t>Transf 02/02</t>
  </si>
  <si>
    <t>Transf 03/02</t>
  </si>
  <si>
    <t>Transf 04/02</t>
  </si>
  <si>
    <t>Transf 05/02</t>
  </si>
  <si>
    <t>Transf 09/02</t>
  </si>
  <si>
    <t>Honorarios administracion saliente</t>
  </si>
  <si>
    <t>Transf 11/02</t>
  </si>
  <si>
    <t xml:space="preserve"> Sra contadora honorarios - Abonados por administracion saliente</t>
  </si>
  <si>
    <t>Debito 12/02</t>
  </si>
  <si>
    <t>Seracarh</t>
  </si>
  <si>
    <t>Fathery</t>
  </si>
  <si>
    <t>Suther</t>
  </si>
  <si>
    <t>Bruno Francisco Bonanno</t>
  </si>
  <si>
    <t>Gisele Santillan</t>
  </si>
  <si>
    <t>Rojas Alejandro</t>
  </si>
  <si>
    <t>Jose L. Suarez Pena</t>
  </si>
  <si>
    <t>Ordinarios:</t>
  </si>
  <si>
    <t>Matias Roig</t>
  </si>
  <si>
    <t>Caja en efectivo</t>
  </si>
  <si>
    <t>MAIL:consorcio2demayo2813.15@gmail.com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</si>
</sst>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01">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4" fontId="5" fillId="0" borderId="0" xfId="0" applyNumberFormat="1" applyFont="1"/>
    <xf numFmtId="0" fontId="6" fillId="0" borderId="1" xfId="0" applyFont="1" applyBorder="1"/>
    <xf numFmtId="0" fontId="2" fillId="4" borderId="1" xfId="0" applyFont="1" applyFill="1" applyBorder="1"/>
    <xf numFmtId="0" fontId="2" fillId="8" borderId="1" xfId="0" applyFont="1" applyFill="1" applyBorder="1"/>
    <xf numFmtId="0" fontId="2" fillId="8" borderId="6"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44" fontId="13" fillId="8" borderId="8" xfId="1" applyFont="1" applyFill="1" applyBorder="1" applyAlignment="1">
      <alignment vertical="center"/>
    </xf>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0" fillId="2" borderId="0" xfId="0" applyFill="1"/>
    <xf numFmtId="166" fontId="0" fillId="0" borderId="0" xfId="0" applyNumberFormat="1"/>
    <xf numFmtId="167" fontId="0" fillId="0" borderId="0" xfId="0" applyNumberFormat="1"/>
    <xf numFmtId="44" fontId="8" fillId="2" borderId="6" xfId="1" applyFont="1" applyFill="1" applyBorder="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44" fontId="5" fillId="4" borderId="21" xfId="1" applyFont="1" applyFill="1" applyBorder="1"/>
    <xf numFmtId="0" fontId="0" fillId="4" borderId="1" xfId="0" applyFill="1" applyBorder="1"/>
    <xf numFmtId="44" fontId="3" fillId="4" borderId="3" xfId="1" applyFont="1" applyFill="1" applyBorder="1"/>
    <xf numFmtId="44" fontId="5" fillId="4" borderId="13" xfId="1" applyFont="1" applyFill="1" applyBorder="1"/>
    <xf numFmtId="44" fontId="5" fillId="4" borderId="2"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8" fontId="0" fillId="2" borderId="1" xfId="0" applyNumberFormat="1" applyFill="1" applyBorder="1"/>
    <xf numFmtId="8" fontId="17" fillId="10" borderId="1" xfId="0" applyNumberFormat="1" applyFont="1" applyFill="1" applyBorder="1"/>
    <xf numFmtId="8" fontId="0" fillId="2" borderId="6" xfId="0" applyNumberFormat="1" applyFill="1" applyBorder="1"/>
    <xf numFmtId="8" fontId="17" fillId="10" borderId="6" xfId="0" applyNumberFormat="1" applyFont="1" applyFill="1" applyBorder="1"/>
    <xf numFmtId="8" fontId="2" fillId="4" borderId="6" xfId="0" applyNumberFormat="1" applyFont="1" applyFill="1" applyBorder="1"/>
    <xf numFmtId="8" fontId="12" fillId="4" borderId="1" xfId="0" applyNumberFormat="1" applyFont="1" applyFill="1" applyBorder="1"/>
    <xf numFmtId="8" fontId="0" fillId="2" borderId="1" xfId="0" applyNumberFormat="1" applyFill="1" applyBorder="1" applyAlignment="1">
      <alignment horizontal="right"/>
    </xf>
    <xf numFmtId="44" fontId="2" fillId="4" borderId="6" xfId="1" applyFont="1" applyFill="1" applyBorder="1"/>
    <xf numFmtId="44" fontId="2" fillId="4" borderId="1" xfId="1" applyFont="1" applyFill="1" applyBorder="1"/>
    <xf numFmtId="44" fontId="0" fillId="4" borderId="1" xfId="1" applyFont="1" applyFill="1" applyBorder="1"/>
    <xf numFmtId="44" fontId="0" fillId="2" borderId="1" xfId="1" applyFont="1" applyFill="1" applyBorder="1"/>
    <xf numFmtId="44" fontId="0" fillId="4" borderId="6" xfId="1" applyFont="1" applyFill="1" applyBorder="1"/>
    <xf numFmtId="44" fontId="2" fillId="4" borderId="6" xfId="1" applyFont="1" applyFill="1" applyBorder="1" applyAlignment="1">
      <alignment horizontal="center"/>
    </xf>
    <xf numFmtId="0" fontId="13" fillId="0" borderId="1" xfId="0" applyFont="1" applyBorder="1"/>
    <xf numFmtId="0" fontId="13" fillId="0" borderId="1" xfId="0" applyFont="1" applyBorder="1" applyAlignment="1">
      <alignment horizontal="center"/>
    </xf>
    <xf numFmtId="44" fontId="15" fillId="0" borderId="1" xfId="1" applyFont="1" applyBorder="1"/>
    <xf numFmtId="44" fontId="13" fillId="2" borderId="1" xfId="1" applyFont="1" applyFill="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44" fontId="15" fillId="0" borderId="27" xfId="1" applyFont="1" applyBorder="1"/>
    <xf numFmtId="44" fontId="15" fillId="0" borderId="29" xfId="1" applyFont="1" applyBorder="1"/>
    <xf numFmtId="0" fontId="13" fillId="2" borderId="1" xfId="0" applyFont="1" applyFill="1" applyBorder="1"/>
    <xf numFmtId="44" fontId="15" fillId="2" borderId="1" xfId="1" applyFont="1" applyFill="1" applyBorder="1"/>
    <xf numFmtId="166" fontId="13" fillId="2" borderId="1" xfId="1" applyNumberFormat="1" applyFont="1" applyFill="1" applyBorder="1"/>
    <xf numFmtId="44" fontId="15" fillId="0" borderId="2" xfId="1" applyFont="1" applyBorder="1"/>
    <xf numFmtId="44" fontId="15" fillId="2" borderId="2" xfId="1" applyFont="1" applyFill="1" applyBorder="1"/>
    <xf numFmtId="0" fontId="13" fillId="0" borderId="1" xfId="0" applyFont="1" applyBorder="1" applyAlignment="1">
      <alignment vertical="center" wrapText="1"/>
    </xf>
    <xf numFmtId="0" fontId="13" fillId="0" borderId="2" xfId="0"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9" fontId="13" fillId="0" borderId="1" xfId="0" applyNumberFormat="1" applyFont="1" applyBorder="1" applyAlignment="1">
      <alignment horizontal="center"/>
    </xf>
    <xf numFmtId="169" fontId="13" fillId="2" borderId="1" xfId="0" applyNumberFormat="1" applyFont="1" applyFill="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8" xfId="0" applyFont="1" applyFill="1" applyBorder="1" applyAlignment="1">
      <alignment horizontal="left"/>
    </xf>
    <xf numFmtId="0" fontId="0" fillId="0" borderId="6" xfId="0" applyBorder="1"/>
    <xf numFmtId="0" fontId="0" fillId="0" borderId="7" xfId="0" applyBorder="1"/>
    <xf numFmtId="0" fontId="15" fillId="0" borderId="2" xfId="1" applyNumberFormat="1" applyFont="1" applyBorder="1"/>
    <xf numFmtId="44" fontId="0" fillId="2" borderId="2" xfId="1" applyFont="1" applyFill="1" applyBorder="1" applyAlignment="1">
      <alignment horizontal="center" wrapText="1"/>
    </xf>
    <xf numFmtId="44" fontId="0" fillId="2" borderId="3" xfId="1" applyFont="1" applyFill="1" applyBorder="1" applyAlignment="1">
      <alignment horizontal="center" wrapText="1"/>
    </xf>
    <xf numFmtId="0" fontId="5" fillId="3" borderId="12" xfId="0" applyFont="1" applyFill="1"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0" borderId="26"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left"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13" fillId="0" borderId="6" xfId="0" applyFont="1" applyBorder="1"/>
    <xf numFmtId="0" fontId="13" fillId="0" borderId="7" xfId="0" applyFont="1" applyBorder="1"/>
    <xf numFmtId="0" fontId="0" fillId="3" borderId="0" xfId="0" applyFill="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Border="1" applyAlignment="1">
      <alignment horizontal="left" vertical="center" wrapText="1"/>
    </xf>
    <xf numFmtId="0" fontId="2" fillId="9" borderId="17"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xf>
    <xf numFmtId="0" fontId="20" fillId="4" borderId="8" xfId="0" applyFont="1" applyFill="1" applyBorder="1" applyAlignment="1">
      <alignment horizontal="left"/>
    </xf>
    <xf numFmtId="0" fontId="20" fillId="4" borderId="28" xfId="0" applyFont="1" applyFill="1" applyBorder="1" applyAlignment="1">
      <alignment horizontal="left"/>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44" fontId="0" fillId="3" borderId="0" xfId="1" applyFont="1" applyFill="1" applyAlignment="1">
      <alignment horizontal="center"/>
    </xf>
    <xf numFmtId="168" fontId="0" fillId="3" borderId="0" xfId="0" applyNumberFormat="1" applyFill="1" applyAlignment="1">
      <alignment horizont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5"/>
  <sheetViews>
    <sheetView tabSelected="1" topLeftCell="A52" workbookViewId="0">
      <selection activeCell="E61" sqref="E61"/>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45" customHeight="1" x14ac:dyDescent="0.25">
      <c r="A1" s="14"/>
      <c r="B1" s="153" t="s">
        <v>125</v>
      </c>
      <c r="C1" s="153"/>
      <c r="D1" s="153"/>
      <c r="E1" s="52"/>
    </row>
    <row r="2" spans="1:5" x14ac:dyDescent="0.25">
      <c r="A2" s="15"/>
      <c r="B2" s="53" t="s">
        <v>23</v>
      </c>
      <c r="C2" s="53"/>
      <c r="D2" s="53"/>
      <c r="E2" s="54"/>
    </row>
    <row r="3" spans="1:5" ht="70.5" customHeight="1" thickBot="1" x14ac:dyDescent="0.3">
      <c r="A3" s="15"/>
      <c r="B3" s="160" t="s">
        <v>102</v>
      </c>
      <c r="C3" s="160"/>
      <c r="D3" s="160"/>
      <c r="E3" s="161"/>
    </row>
    <row r="4" spans="1:5" ht="15.75" thickBot="1" x14ac:dyDescent="0.3">
      <c r="A4" s="18" t="s">
        <v>0</v>
      </c>
      <c r="B4" s="55" t="s">
        <v>32</v>
      </c>
      <c r="C4" s="19"/>
      <c r="D4" s="19"/>
      <c r="E4" s="20"/>
    </row>
    <row r="5" spans="1:5" ht="15.75" thickBot="1" x14ac:dyDescent="0.3">
      <c r="A5" s="15" t="s">
        <v>103</v>
      </c>
      <c r="B5" s="19" t="s">
        <v>50</v>
      </c>
      <c r="C5" s="16"/>
      <c r="D5" s="53" t="s">
        <v>24</v>
      </c>
      <c r="E5" s="17"/>
    </row>
    <row r="6" spans="1:5" ht="15.75" thickBot="1" x14ac:dyDescent="0.3">
      <c r="A6" s="18" t="s">
        <v>93</v>
      </c>
      <c r="B6" s="19"/>
      <c r="C6" s="19"/>
      <c r="D6" s="19" t="s">
        <v>49</v>
      </c>
      <c r="E6" s="20"/>
    </row>
    <row r="8" spans="1:5" x14ac:dyDescent="0.25">
      <c r="B8" s="163" t="s">
        <v>104</v>
      </c>
      <c r="C8" s="163"/>
    </row>
    <row r="9" spans="1:5" x14ac:dyDescent="0.25">
      <c r="B9" s="163"/>
      <c r="C9" s="163"/>
    </row>
    <row r="10" spans="1:5" x14ac:dyDescent="0.25">
      <c r="B10" s="163"/>
      <c r="C10" s="163"/>
    </row>
    <row r="12" spans="1:5" hidden="1" x14ac:dyDescent="0.25"/>
    <row r="13" spans="1:5" ht="15" customHeight="1" x14ac:dyDescent="0.25">
      <c r="A13" s="162" t="s">
        <v>92</v>
      </c>
      <c r="B13" s="162"/>
      <c r="C13" s="162"/>
      <c r="D13" s="162"/>
      <c r="E13" s="162"/>
    </row>
    <row r="14" spans="1:5" ht="15" customHeight="1" x14ac:dyDescent="0.25">
      <c r="A14" s="162"/>
      <c r="B14" s="162"/>
      <c r="C14" s="162"/>
      <c r="D14" s="162"/>
      <c r="E14" s="162"/>
    </row>
    <row r="15" spans="1:5" ht="15" customHeight="1" x14ac:dyDescent="0.25">
      <c r="A15" s="162"/>
      <c r="B15" s="162"/>
      <c r="C15" s="162"/>
      <c r="D15" s="162"/>
      <c r="E15" s="162"/>
    </row>
    <row r="16" spans="1:5" ht="127.15" customHeight="1" x14ac:dyDescent="0.25">
      <c r="A16" s="162"/>
      <c r="B16" s="162"/>
      <c r="C16" s="162"/>
      <c r="D16" s="162"/>
      <c r="E16" s="162"/>
    </row>
    <row r="17" spans="1:7" ht="14.25" customHeight="1" thickBot="1" x14ac:dyDescent="0.3"/>
    <row r="18" spans="1:7" hidden="1" x14ac:dyDescent="0.25">
      <c r="A18" s="2"/>
    </row>
    <row r="19" spans="1:7" ht="15.75" hidden="1" thickBot="1" x14ac:dyDescent="0.3"/>
    <row r="20" spans="1:7" x14ac:dyDescent="0.25">
      <c r="A20" s="10" t="s">
        <v>9</v>
      </c>
      <c r="B20" s="11"/>
      <c r="C20" s="12"/>
      <c r="D20" s="8"/>
      <c r="E20" s="13"/>
    </row>
    <row r="21" spans="1:7" x14ac:dyDescent="0.25">
      <c r="A21" s="28" t="s">
        <v>28</v>
      </c>
      <c r="B21" s="28"/>
      <c r="C21" s="28"/>
      <c r="D21" s="27"/>
      <c r="E21" s="27"/>
    </row>
    <row r="22" spans="1:7" ht="34.5" customHeight="1" x14ac:dyDescent="0.25">
      <c r="A22" s="156" t="s">
        <v>105</v>
      </c>
      <c r="B22" s="157"/>
      <c r="C22" s="5"/>
      <c r="D22" s="109">
        <v>795882</v>
      </c>
      <c r="E22" s="5" t="s">
        <v>106</v>
      </c>
    </row>
    <row r="23" spans="1:7" x14ac:dyDescent="0.25">
      <c r="A23" s="5" t="s">
        <v>94</v>
      </c>
      <c r="B23" s="5"/>
      <c r="C23" s="5"/>
      <c r="D23" s="109"/>
      <c r="E23" s="5"/>
    </row>
    <row r="24" spans="1:7" x14ac:dyDescent="0.25">
      <c r="A24" s="5" t="s">
        <v>95</v>
      </c>
      <c r="B24" s="5"/>
      <c r="C24" s="5"/>
      <c r="D24" s="109"/>
      <c r="E24" s="5"/>
    </row>
    <row r="25" spans="1:7" x14ac:dyDescent="0.25">
      <c r="A25" s="5" t="s">
        <v>96</v>
      </c>
      <c r="B25" s="5"/>
      <c r="C25" s="5"/>
      <c r="D25" s="109"/>
      <c r="E25" s="5"/>
    </row>
    <row r="26" spans="1:7" ht="14.25" customHeight="1" x14ac:dyDescent="0.25">
      <c r="A26" s="45" t="s">
        <v>29</v>
      </c>
      <c r="B26" s="45"/>
      <c r="C26" s="45"/>
      <c r="D26" s="110">
        <f>SUM(D22:D25)</f>
        <v>795882</v>
      </c>
      <c r="E26" s="91"/>
      <c r="G26" s="21"/>
    </row>
    <row r="27" spans="1:7" ht="14.25" hidden="1" customHeight="1" x14ac:dyDescent="0.25">
      <c r="A27" s="5" t="s">
        <v>36</v>
      </c>
      <c r="B27" s="5"/>
      <c r="C27" s="5"/>
      <c r="D27" s="109"/>
      <c r="E27" s="5"/>
    </row>
    <row r="28" spans="1:7" hidden="1" x14ac:dyDescent="0.25">
      <c r="A28" s="23"/>
      <c r="B28" s="5"/>
      <c r="C28" s="5"/>
      <c r="D28" s="109"/>
      <c r="E28" s="5"/>
    </row>
    <row r="29" spans="1:7" hidden="1" x14ac:dyDescent="0.25">
      <c r="A29" s="5"/>
      <c r="B29" s="5"/>
      <c r="C29" s="5"/>
      <c r="D29" s="109"/>
      <c r="E29" s="5"/>
    </row>
    <row r="30" spans="1:7" hidden="1" x14ac:dyDescent="0.25">
      <c r="A30" s="5"/>
      <c r="B30" s="5"/>
      <c r="C30" s="5"/>
      <c r="D30" s="111"/>
      <c r="E30" s="5"/>
    </row>
    <row r="31" spans="1:7" ht="0.75" customHeight="1" x14ac:dyDescent="0.25">
      <c r="A31" s="5" t="s">
        <v>33</v>
      </c>
      <c r="B31" s="5"/>
      <c r="C31" s="5"/>
      <c r="D31" s="111"/>
      <c r="E31" s="5"/>
    </row>
    <row r="32" spans="1:7" hidden="1" x14ac:dyDescent="0.25">
      <c r="A32" s="45" t="s">
        <v>29</v>
      </c>
      <c r="B32" s="45"/>
      <c r="C32" s="45"/>
      <c r="D32" s="112">
        <f>SUM(D27:D31)</f>
        <v>0</v>
      </c>
      <c r="E32" s="91"/>
    </row>
    <row r="33" spans="1:7" ht="15.75" thickBot="1" x14ac:dyDescent="0.3">
      <c r="A33" s="24" t="s">
        <v>1</v>
      </c>
      <c r="B33" s="24"/>
      <c r="C33" s="24"/>
      <c r="D33" s="113"/>
      <c r="E33" s="92">
        <f>D26+D32</f>
        <v>795882</v>
      </c>
      <c r="F33" s="21"/>
    </row>
    <row r="34" spans="1:7" x14ac:dyDescent="0.25">
      <c r="A34" s="28" t="s">
        <v>18</v>
      </c>
      <c r="B34" s="28"/>
      <c r="C34" s="28"/>
      <c r="D34" s="114"/>
      <c r="E34" s="93"/>
    </row>
    <row r="35" spans="1:7" ht="15" customHeight="1" x14ac:dyDescent="0.25">
      <c r="A35" s="158" t="s">
        <v>113</v>
      </c>
      <c r="B35" s="159"/>
      <c r="C35" s="42"/>
      <c r="D35" s="109">
        <v>35000</v>
      </c>
      <c r="E35" s="94" t="s">
        <v>112</v>
      </c>
    </row>
    <row r="36" spans="1:7" ht="15" customHeight="1" thickBot="1" x14ac:dyDescent="0.3">
      <c r="A36" s="158" t="s">
        <v>111</v>
      </c>
      <c r="B36" s="159"/>
      <c r="C36" s="42"/>
      <c r="D36" s="115">
        <v>100000</v>
      </c>
      <c r="E36" s="94" t="s">
        <v>112</v>
      </c>
    </row>
    <row r="37" spans="1:7" ht="15.75" thickBot="1" x14ac:dyDescent="0.3">
      <c r="A37" s="24" t="s">
        <v>15</v>
      </c>
      <c r="B37" s="24"/>
      <c r="C37" s="24"/>
      <c r="D37" s="116"/>
      <c r="E37" s="95">
        <f>SUM(D35:D36)</f>
        <v>135000</v>
      </c>
    </row>
    <row r="38" spans="1:7" x14ac:dyDescent="0.25">
      <c r="A38" s="28" t="s">
        <v>26</v>
      </c>
      <c r="B38" s="24"/>
      <c r="C38" s="24"/>
      <c r="D38" s="117"/>
      <c r="E38" s="96"/>
    </row>
    <row r="39" spans="1:7" s="31" customFormat="1" ht="14.25" customHeight="1" x14ac:dyDescent="0.25">
      <c r="A39" s="164" t="s">
        <v>101</v>
      </c>
      <c r="B39" s="165"/>
      <c r="C39" s="43"/>
      <c r="D39" s="151">
        <v>60147</v>
      </c>
      <c r="E39" s="197" t="s">
        <v>108</v>
      </c>
    </row>
    <row r="40" spans="1:7" ht="14.25" customHeight="1" x14ac:dyDescent="0.25">
      <c r="A40" s="166"/>
      <c r="B40" s="167"/>
      <c r="C40" s="43"/>
      <c r="D40" s="152"/>
      <c r="E40" s="198"/>
    </row>
    <row r="41" spans="1:7" ht="15.75" thickBot="1" x14ac:dyDescent="0.3">
      <c r="A41" s="24" t="s">
        <v>2</v>
      </c>
      <c r="B41" s="24"/>
      <c r="C41" s="24"/>
      <c r="D41" s="116"/>
      <c r="E41" s="97">
        <f>SUM(D39:D40)</f>
        <v>60147</v>
      </c>
    </row>
    <row r="42" spans="1:7" x14ac:dyDescent="0.25">
      <c r="A42" s="28" t="s">
        <v>16</v>
      </c>
      <c r="B42" s="98"/>
      <c r="C42" s="98"/>
      <c r="D42" s="118"/>
      <c r="E42" s="99"/>
    </row>
    <row r="43" spans="1:7" x14ac:dyDescent="0.25">
      <c r="A43" s="5" t="s">
        <v>38</v>
      </c>
      <c r="B43" s="5"/>
      <c r="C43" s="42"/>
      <c r="D43" s="29">
        <v>510495.04</v>
      </c>
      <c r="E43" s="104" t="s">
        <v>110</v>
      </c>
      <c r="G43" s="79"/>
    </row>
    <row r="44" spans="1:7" x14ac:dyDescent="0.25">
      <c r="A44" s="5" t="s">
        <v>51</v>
      </c>
      <c r="B44" s="5" t="s">
        <v>117</v>
      </c>
      <c r="C44" s="5"/>
      <c r="D44" s="119">
        <v>46493.49</v>
      </c>
      <c r="E44" s="104" t="s">
        <v>114</v>
      </c>
    </row>
    <row r="45" spans="1:7" x14ac:dyDescent="0.25">
      <c r="A45" s="5" t="str">
        <f>A44</f>
        <v>Sindicatos mes de FEBRERO</v>
      </c>
      <c r="B45" s="5" t="s">
        <v>116</v>
      </c>
      <c r="C45" s="5"/>
      <c r="D45" s="119">
        <v>107821.05</v>
      </c>
      <c r="E45" s="105" t="str">
        <f>E44</f>
        <v>Debito 12/02</v>
      </c>
    </row>
    <row r="46" spans="1:7" x14ac:dyDescent="0.25">
      <c r="A46" s="5" t="str">
        <f>A45</f>
        <v>Sindicatos mes de FEBRERO</v>
      </c>
      <c r="B46" s="5" t="s">
        <v>115</v>
      </c>
      <c r="C46" s="5"/>
      <c r="D46" s="119">
        <v>5165.9399999999996</v>
      </c>
      <c r="E46" s="106" t="str">
        <f>E45</f>
        <v>Debito 12/02</v>
      </c>
    </row>
    <row r="47" spans="1:7" ht="15" customHeight="1" thickBot="1" x14ac:dyDescent="0.3">
      <c r="A47" s="24" t="s">
        <v>3</v>
      </c>
      <c r="B47" s="98"/>
      <c r="C47" s="98"/>
      <c r="D47" s="120"/>
      <c r="E47" s="97">
        <f>SUM(D43:D46)</f>
        <v>669975.52</v>
      </c>
    </row>
    <row r="48" spans="1:7" x14ac:dyDescent="0.25">
      <c r="A48" s="28" t="s">
        <v>17</v>
      </c>
      <c r="B48" s="98"/>
      <c r="C48" s="98"/>
      <c r="D48" s="118"/>
      <c r="E48" s="99"/>
    </row>
    <row r="49" spans="1:12" ht="14.25" customHeight="1" x14ac:dyDescent="0.25">
      <c r="A49" s="5" t="s">
        <v>97</v>
      </c>
      <c r="B49" s="5"/>
      <c r="C49" s="5"/>
      <c r="D49" s="119">
        <v>379309.22</v>
      </c>
      <c r="E49" s="104" t="s">
        <v>109</v>
      </c>
    </row>
    <row r="50" spans="1:12" ht="14.25" customHeight="1" x14ac:dyDescent="0.25">
      <c r="A50" s="148" t="s">
        <v>98</v>
      </c>
      <c r="B50" s="149"/>
      <c r="C50" s="5"/>
      <c r="D50" s="119">
        <v>307229.90000000002</v>
      </c>
      <c r="E50" s="104" t="s">
        <v>107</v>
      </c>
    </row>
    <row r="51" spans="1:12" ht="15.75" thickBot="1" x14ac:dyDescent="0.3">
      <c r="A51" s="24" t="s">
        <v>4</v>
      </c>
      <c r="B51" s="24"/>
      <c r="C51" s="24"/>
      <c r="D51" s="121"/>
      <c r="E51" s="97">
        <f>SUM(D49:D50)</f>
        <v>686539.12</v>
      </c>
    </row>
    <row r="52" spans="1:12" ht="15" customHeight="1" thickBot="1" x14ac:dyDescent="0.3">
      <c r="A52" s="28"/>
      <c r="B52" s="24"/>
      <c r="C52" s="24"/>
      <c r="D52" s="116"/>
      <c r="E52" s="100"/>
    </row>
    <row r="53" spans="1:12" ht="20.100000000000001" customHeight="1" x14ac:dyDescent="0.25">
      <c r="A53" s="107" t="s">
        <v>100</v>
      </c>
      <c r="B53" s="103"/>
      <c r="C53" s="5"/>
      <c r="D53" s="119">
        <v>22794.799999999999</v>
      </c>
      <c r="E53" s="104" t="s">
        <v>107</v>
      </c>
    </row>
    <row r="54" spans="1:12" ht="20.100000000000001" customHeight="1" x14ac:dyDescent="0.25">
      <c r="A54" s="107" t="s">
        <v>99</v>
      </c>
      <c r="B54" s="103"/>
      <c r="C54" s="5"/>
      <c r="D54" s="119">
        <v>125300</v>
      </c>
      <c r="E54" s="150" t="s">
        <v>112</v>
      </c>
    </row>
    <row r="55" spans="1:12" ht="15.75" thickBot="1" x14ac:dyDescent="0.3">
      <c r="A55" s="24" t="s">
        <v>8</v>
      </c>
      <c r="B55" s="28"/>
      <c r="C55" s="28"/>
      <c r="D55" s="28"/>
      <c r="E55" s="101">
        <f>SUM(D53:D54)</f>
        <v>148094.79999999999</v>
      </c>
    </row>
    <row r="56" spans="1:12" ht="15.75" thickBot="1" x14ac:dyDescent="0.3">
      <c r="A56" s="28" t="s">
        <v>11</v>
      </c>
      <c r="B56" s="50"/>
      <c r="C56" s="24"/>
      <c r="D56" s="113"/>
      <c r="E56" s="100"/>
    </row>
    <row r="57" spans="1:12" x14ac:dyDescent="0.25">
      <c r="A57" s="5" t="s">
        <v>48</v>
      </c>
      <c r="B57" s="5"/>
      <c r="C57" s="5"/>
      <c r="D57" s="119">
        <v>57500</v>
      </c>
      <c r="E57" s="102"/>
    </row>
    <row r="58" spans="1:12" x14ac:dyDescent="0.25">
      <c r="A58" s="5" t="s">
        <v>47</v>
      </c>
      <c r="B58" s="5"/>
      <c r="C58" s="5"/>
      <c r="D58" s="119">
        <v>52473.43</v>
      </c>
      <c r="E58" s="32"/>
    </row>
    <row r="59" spans="1:12" ht="15.75" thickBot="1" x14ac:dyDescent="0.3">
      <c r="A59" s="41" t="s">
        <v>15</v>
      </c>
      <c r="B59" s="41"/>
      <c r="C59" s="41"/>
      <c r="D59" s="65"/>
      <c r="E59" s="60">
        <f>SUM(D57:D58)</f>
        <v>109973.43</v>
      </c>
    </row>
    <row r="60" spans="1:12" ht="15.75" thickBot="1" x14ac:dyDescent="0.3">
      <c r="A60" s="5"/>
      <c r="B60" s="5"/>
      <c r="C60" s="5"/>
      <c r="D60" s="59"/>
      <c r="E60" s="66"/>
    </row>
    <row r="61" spans="1:12" ht="15.75" thickBot="1" x14ac:dyDescent="0.3">
      <c r="A61" s="25" t="s">
        <v>41</v>
      </c>
      <c r="B61" s="25"/>
      <c r="C61" s="25"/>
      <c r="D61" s="67"/>
      <c r="E61" s="68">
        <f>3800000-2605611.87</f>
        <v>1194388.1299999999</v>
      </c>
    </row>
    <row r="62" spans="1:12" ht="15.75" thickBot="1" x14ac:dyDescent="0.3">
      <c r="A62" s="1"/>
      <c r="D62" s="69"/>
      <c r="E62" s="70"/>
      <c r="F62" s="34"/>
    </row>
    <row r="63" spans="1:12" ht="15.75" thickBot="1" x14ac:dyDescent="0.3">
      <c r="A63" s="3" t="s">
        <v>12</v>
      </c>
      <c r="B63" s="9"/>
      <c r="C63" s="4"/>
      <c r="D63" s="71"/>
      <c r="E63" s="72">
        <f>(SUM(E29:E61))</f>
        <v>3800000</v>
      </c>
      <c r="F63" s="90"/>
      <c r="G63" s="34"/>
      <c r="H63" s="79"/>
      <c r="I63" s="79"/>
      <c r="J63" s="79"/>
      <c r="K63" s="79"/>
      <c r="L63" s="79"/>
    </row>
    <row r="64" spans="1:12" x14ac:dyDescent="0.25">
      <c r="D64" s="69"/>
      <c r="E64" s="69"/>
      <c r="H64" s="79"/>
      <c r="I64" s="79"/>
      <c r="J64" s="79"/>
      <c r="K64" s="79"/>
      <c r="L64" s="79"/>
    </row>
    <row r="65" spans="1:8" ht="15.75" thickBot="1" x14ac:dyDescent="0.3">
      <c r="D65" s="69"/>
      <c r="E65" s="69"/>
      <c r="H65" s="108"/>
    </row>
    <row r="66" spans="1:8" x14ac:dyDescent="0.25">
      <c r="A66" s="10" t="s">
        <v>37</v>
      </c>
      <c r="B66" s="11"/>
      <c r="C66" s="12"/>
      <c r="D66" s="73"/>
      <c r="E66" s="74"/>
    </row>
    <row r="67" spans="1:8" ht="15" customHeight="1" x14ac:dyDescent="0.25">
      <c r="A67" s="156"/>
      <c r="B67" s="157"/>
      <c r="C67" s="5"/>
      <c r="D67" s="82"/>
      <c r="E67" s="61"/>
    </row>
    <row r="68" spans="1:8" x14ac:dyDescent="0.25">
      <c r="A68" s="156"/>
      <c r="B68" s="157"/>
      <c r="C68" s="5"/>
      <c r="D68" s="63"/>
      <c r="E68" s="61"/>
    </row>
    <row r="69" spans="1:8" ht="15.75" customHeight="1" x14ac:dyDescent="0.25">
      <c r="A69" s="158"/>
      <c r="B69" s="159"/>
      <c r="C69" s="5"/>
      <c r="D69" s="63"/>
      <c r="E69" s="61"/>
    </row>
    <row r="70" spans="1:8" x14ac:dyDescent="0.25">
      <c r="A70" s="62"/>
      <c r="B70" s="64"/>
      <c r="C70" s="5"/>
      <c r="D70" s="63"/>
      <c r="E70" s="61"/>
    </row>
    <row r="71" spans="1:8" x14ac:dyDescent="0.25">
      <c r="A71" s="39"/>
      <c r="B71" s="38"/>
      <c r="C71" s="38"/>
      <c r="D71" s="46"/>
      <c r="E71" s="46">
        <f>SUM(D67:D70)</f>
        <v>0</v>
      </c>
    </row>
    <row r="72" spans="1:8" ht="15" customHeight="1" x14ac:dyDescent="0.25"/>
    <row r="73" spans="1:8" ht="15.75" hidden="1" thickBot="1" x14ac:dyDescent="0.3"/>
    <row r="74" spans="1:8" ht="15.75" thickBot="1" x14ac:dyDescent="0.3">
      <c r="A74" s="25" t="s">
        <v>19</v>
      </c>
      <c r="B74" s="25"/>
      <c r="C74" s="25"/>
      <c r="D74" s="26"/>
      <c r="E74" s="58"/>
    </row>
    <row r="75" spans="1:8" ht="15.75" thickBot="1" x14ac:dyDescent="0.3"/>
    <row r="76" spans="1:8" ht="15.75" thickBot="1" x14ac:dyDescent="0.3">
      <c r="A76" s="3" t="s">
        <v>20</v>
      </c>
      <c r="B76" s="9"/>
      <c r="C76" s="4"/>
      <c r="D76" s="4"/>
      <c r="E76" s="51">
        <f>E71+E74</f>
        <v>0</v>
      </c>
    </row>
    <row r="77" spans="1:8" ht="15.75" thickBot="1" x14ac:dyDescent="0.3"/>
    <row r="78" spans="1:8" ht="15.75" thickBot="1" x14ac:dyDescent="0.3">
      <c r="A78" s="56" t="s">
        <v>13</v>
      </c>
      <c r="B78" s="57">
        <f>E63</f>
        <v>3800000</v>
      </c>
    </row>
    <row r="79" spans="1:8" ht="15.75" thickBot="1" x14ac:dyDescent="0.3">
      <c r="A79" s="56" t="s">
        <v>14</v>
      </c>
      <c r="B79" s="57">
        <f>E63-E61</f>
        <v>2605611.87</v>
      </c>
    </row>
    <row r="80" spans="1:8" ht="15.75" thickBot="1" x14ac:dyDescent="0.3">
      <c r="A80" s="56" t="s">
        <v>21</v>
      </c>
      <c r="B80" s="57">
        <f>E76-E74</f>
        <v>0</v>
      </c>
    </row>
    <row r="81" spans="1:6" ht="15.75" thickBot="1" x14ac:dyDescent="0.3">
      <c r="A81" s="56" t="s">
        <v>34</v>
      </c>
      <c r="B81" s="57">
        <f>E76</f>
        <v>0</v>
      </c>
    </row>
    <row r="84" spans="1:6" x14ac:dyDescent="0.25">
      <c r="A84" s="83" t="s">
        <v>124</v>
      </c>
      <c r="B84" s="84">
        <v>0</v>
      </c>
    </row>
    <row r="85" spans="1:6" x14ac:dyDescent="0.25">
      <c r="A85" s="43" t="s">
        <v>44</v>
      </c>
      <c r="B85" s="89">
        <v>502650</v>
      </c>
      <c r="C85" s="22"/>
      <c r="D85" s="34"/>
      <c r="E85" s="80"/>
      <c r="F85" s="81"/>
    </row>
    <row r="86" spans="1:6" ht="15.75" thickBot="1" x14ac:dyDescent="0.3">
      <c r="A86" s="86" t="s">
        <v>39</v>
      </c>
      <c r="B86" s="87">
        <f>SUM(B84:C85)</f>
        <v>502650</v>
      </c>
      <c r="C86" s="22"/>
    </row>
    <row r="87" spans="1:6" s="31" customFormat="1" x14ac:dyDescent="0.25">
      <c r="A87"/>
      <c r="B87" s="33"/>
      <c r="C87" s="30"/>
    </row>
    <row r="88" spans="1:6" s="31" customFormat="1" x14ac:dyDescent="0.25">
      <c r="A88" s="83" t="s">
        <v>46</v>
      </c>
      <c r="B88" s="84">
        <v>321565.45</v>
      </c>
      <c r="C88" s="30"/>
      <c r="D88" s="37"/>
    </row>
    <row r="89" spans="1:6" x14ac:dyDescent="0.25">
      <c r="A89" s="43" t="s">
        <v>42</v>
      </c>
      <c r="B89" s="88">
        <f>-B79</f>
        <v>-2605611.87</v>
      </c>
    </row>
    <row r="90" spans="1:6" x14ac:dyDescent="0.25">
      <c r="A90" s="43" t="s">
        <v>43</v>
      </c>
      <c r="B90" s="88">
        <f>-B80</f>
        <v>0</v>
      </c>
    </row>
    <row r="91" spans="1:6" x14ac:dyDescent="0.25">
      <c r="A91" s="43" t="s">
        <v>45</v>
      </c>
      <c r="B91" s="88">
        <f>B100</f>
        <v>0</v>
      </c>
    </row>
    <row r="92" spans="1:6" x14ac:dyDescent="0.25">
      <c r="A92" s="43" t="s">
        <v>44</v>
      </c>
      <c r="B92" s="89">
        <f>PRORRATEO!G36</f>
        <v>2961293.3999999994</v>
      </c>
    </row>
    <row r="93" spans="1:6" ht="15.75" thickBot="1" x14ac:dyDescent="0.3">
      <c r="A93" s="86" t="s">
        <v>39</v>
      </c>
      <c r="B93" s="87">
        <f>SUM(B88:C92)</f>
        <v>677246.97999999952</v>
      </c>
    </row>
    <row r="94" spans="1:6" x14ac:dyDescent="0.25">
      <c r="A94" s="85"/>
      <c r="B94" s="85"/>
    </row>
    <row r="95" spans="1:6" ht="34.5" customHeight="1" x14ac:dyDescent="0.25"/>
    <row r="96" spans="1:6" x14ac:dyDescent="0.25">
      <c r="A96" s="155" t="s">
        <v>27</v>
      </c>
      <c r="B96" s="155"/>
      <c r="C96" s="155"/>
    </row>
    <row r="97" spans="1:13" x14ac:dyDescent="0.25">
      <c r="A97" s="155"/>
      <c r="B97" s="155"/>
      <c r="C97" s="155"/>
    </row>
    <row r="98" spans="1:13" ht="35.25" customHeight="1" x14ac:dyDescent="0.25">
      <c r="A98" s="76"/>
      <c r="B98" s="29"/>
      <c r="C98" s="29">
        <v>40000</v>
      </c>
      <c r="E98" s="90"/>
    </row>
    <row r="99" spans="1:13" ht="27" customHeight="1" x14ac:dyDescent="0.25">
      <c r="A99" s="76"/>
      <c r="B99" s="78"/>
      <c r="C99" s="75"/>
      <c r="D99" s="90"/>
    </row>
    <row r="100" spans="1:13" x14ac:dyDescent="0.25">
      <c r="A100" s="35" t="s">
        <v>8</v>
      </c>
      <c r="B100" s="77">
        <f>SUM(B98:B99)</f>
        <v>0</v>
      </c>
      <c r="C100" s="36"/>
    </row>
    <row r="101" spans="1:13" x14ac:dyDescent="0.25">
      <c r="M101" s="7"/>
    </row>
    <row r="102" spans="1:13" ht="15" customHeight="1" x14ac:dyDescent="0.25">
      <c r="A102" s="154"/>
      <c r="B102" s="154"/>
      <c r="C102" s="154"/>
      <c r="D102" s="154"/>
      <c r="E102" s="154"/>
    </row>
    <row r="103" spans="1:13" x14ac:dyDescent="0.25">
      <c r="A103" s="154"/>
      <c r="B103" s="154"/>
      <c r="C103" s="154"/>
      <c r="D103" s="154"/>
      <c r="E103" s="154"/>
    </row>
    <row r="104" spans="1:13" x14ac:dyDescent="0.25">
      <c r="A104" s="154"/>
      <c r="B104" s="154"/>
      <c r="C104" s="154"/>
      <c r="D104" s="154"/>
      <c r="E104" s="154"/>
    </row>
    <row r="105" spans="1:13" x14ac:dyDescent="0.25">
      <c r="A105" s="154"/>
      <c r="B105" s="154"/>
      <c r="C105" s="154"/>
      <c r="D105" s="154"/>
      <c r="E105" s="154"/>
    </row>
  </sheetData>
  <mergeCells count="15">
    <mergeCell ref="D39:D40"/>
    <mergeCell ref="E39:E40"/>
    <mergeCell ref="B1:D1"/>
    <mergeCell ref="A102:E105"/>
    <mergeCell ref="A96:C97"/>
    <mergeCell ref="A68:B68"/>
    <mergeCell ref="A67:B67"/>
    <mergeCell ref="A69:B69"/>
    <mergeCell ref="A36:B36"/>
    <mergeCell ref="A35:B35"/>
    <mergeCell ref="B3:E3"/>
    <mergeCell ref="A13:E16"/>
    <mergeCell ref="B8:C10"/>
    <mergeCell ref="A39:B40"/>
    <mergeCell ref="A22:B22"/>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4"/>
  <sheetViews>
    <sheetView topLeftCell="A19" zoomScaleNormal="100" workbookViewId="0">
      <selection activeCell="F12" sqref="F12:L12"/>
    </sheetView>
  </sheetViews>
  <sheetFormatPr baseColWidth="10" defaultColWidth="10.85546875" defaultRowHeight="15" x14ac:dyDescent="0.25"/>
  <cols>
    <col min="1" max="1" width="4.28515625" customWidth="1"/>
    <col min="2" max="2" width="6.5703125" customWidth="1"/>
    <col min="3" max="3" width="20.42578125" customWidth="1"/>
    <col min="4" max="4" width="22.28515625" customWidth="1"/>
    <col min="5" max="5" width="8.42578125" customWidth="1"/>
    <col min="6" max="6" width="14.140625" customWidth="1"/>
    <col min="7" max="7" width="12.28515625" customWidth="1"/>
    <col min="8" max="8" width="10.5703125" customWidth="1"/>
    <col min="9" max="9" width="9.5703125" customWidth="1"/>
    <col min="10" max="11" width="12.42578125" customWidth="1"/>
    <col min="12" max="12" width="14.7109375" customWidth="1"/>
    <col min="13" max="13" width="14.28515625" customWidth="1"/>
    <col min="14" max="14" width="7.28515625" bestFit="1" customWidth="1"/>
    <col min="15" max="15" width="12" bestFit="1" customWidth="1"/>
    <col min="16" max="16" width="13.5703125" bestFit="1" customWidth="1"/>
  </cols>
  <sheetData>
    <row r="1" spans="1:16" ht="12.6" customHeight="1" x14ac:dyDescent="0.25">
      <c r="A1" s="6"/>
      <c r="B1" s="6"/>
      <c r="C1" s="6"/>
      <c r="D1" s="6"/>
      <c r="E1" s="172"/>
      <c r="F1" s="172"/>
      <c r="G1" s="172"/>
      <c r="H1" s="172"/>
      <c r="I1" s="172"/>
      <c r="J1" s="172"/>
      <c r="K1" s="172"/>
      <c r="L1" s="172"/>
      <c r="M1" s="6"/>
    </row>
    <row r="2" spans="1:16" ht="12.95" customHeight="1" x14ac:dyDescent="0.25">
      <c r="A2" s="6"/>
      <c r="B2" s="6"/>
      <c r="C2" s="6" t="s">
        <v>52</v>
      </c>
      <c r="D2" s="200">
        <v>0</v>
      </c>
      <c r="E2" s="200"/>
      <c r="F2" s="6"/>
      <c r="G2" s="200"/>
      <c r="H2" s="200"/>
      <c r="I2" s="6"/>
      <c r="J2" s="6" t="s">
        <v>122</v>
      </c>
      <c r="K2" s="199">
        <f>O2</f>
        <v>3800000</v>
      </c>
      <c r="L2" s="199"/>
      <c r="M2" s="44"/>
      <c r="N2" s="21"/>
      <c r="O2">
        <v>3800000</v>
      </c>
    </row>
    <row r="3" spans="1:16" ht="12.95" customHeight="1" thickBot="1" x14ac:dyDescent="0.3">
      <c r="A3" s="6"/>
      <c r="B3" s="6"/>
      <c r="C3" s="6"/>
      <c r="D3" s="6"/>
      <c r="E3" s="6"/>
      <c r="F3" s="6"/>
      <c r="G3" s="6"/>
      <c r="H3" s="6"/>
      <c r="I3" s="6"/>
      <c r="J3" s="6"/>
      <c r="K3" s="6"/>
      <c r="L3" s="47"/>
      <c r="M3" s="47"/>
    </row>
    <row r="4" spans="1:16" ht="12.95" customHeight="1" x14ac:dyDescent="0.25">
      <c r="A4" s="181"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182"/>
      <c r="C4" s="182"/>
      <c r="D4" s="182"/>
      <c r="E4" s="182"/>
      <c r="F4" s="182"/>
      <c r="G4" s="182"/>
      <c r="H4" s="182"/>
      <c r="I4" s="182"/>
      <c r="J4" s="182"/>
      <c r="K4" s="182"/>
      <c r="L4" s="182"/>
      <c r="M4" s="183"/>
    </row>
    <row r="5" spans="1:16" ht="12.95" customHeight="1" x14ac:dyDescent="0.25">
      <c r="A5" s="184"/>
      <c r="B5" s="185"/>
      <c r="C5" s="185"/>
      <c r="D5" s="185"/>
      <c r="E5" s="185"/>
      <c r="F5" s="185"/>
      <c r="G5" s="185"/>
      <c r="H5" s="185"/>
      <c r="I5" s="185"/>
      <c r="J5" s="185"/>
      <c r="K5" s="185"/>
      <c r="L5" s="185"/>
      <c r="M5" s="186"/>
    </row>
    <row r="6" spans="1:16" ht="12.95" customHeight="1" x14ac:dyDescent="0.25">
      <c r="A6" s="184"/>
      <c r="B6" s="185"/>
      <c r="C6" s="185"/>
      <c r="D6" s="185"/>
      <c r="E6" s="185"/>
      <c r="F6" s="185"/>
      <c r="G6" s="185"/>
      <c r="H6" s="185"/>
      <c r="I6" s="185"/>
      <c r="J6" s="185"/>
      <c r="K6" s="185"/>
      <c r="L6" s="185"/>
      <c r="M6" s="186"/>
    </row>
    <row r="7" spans="1:16" ht="64.900000000000006" customHeight="1" x14ac:dyDescent="0.25">
      <c r="A7" s="184"/>
      <c r="B7" s="185"/>
      <c r="C7" s="185"/>
      <c r="D7" s="185"/>
      <c r="E7" s="185"/>
      <c r="F7" s="185"/>
      <c r="G7" s="185"/>
      <c r="H7" s="185"/>
      <c r="I7" s="185"/>
      <c r="J7" s="185"/>
      <c r="K7" s="185"/>
      <c r="L7" s="185"/>
      <c r="M7" s="186"/>
    </row>
    <row r="8" spans="1:16" ht="45.75" customHeight="1" thickBot="1" x14ac:dyDescent="0.3">
      <c r="A8" s="187"/>
      <c r="B8" s="188"/>
      <c r="C8" s="188"/>
      <c r="D8" s="188"/>
      <c r="E8" s="188"/>
      <c r="F8" s="188"/>
      <c r="G8" s="188"/>
      <c r="H8" s="188"/>
      <c r="I8" s="188"/>
      <c r="J8" s="188"/>
      <c r="K8" s="188"/>
      <c r="L8" s="188"/>
      <c r="M8" s="189"/>
    </row>
    <row r="9" spans="1:16" x14ac:dyDescent="0.25">
      <c r="A9" s="173" t="s">
        <v>5</v>
      </c>
      <c r="B9" s="175" t="s">
        <v>54</v>
      </c>
      <c r="C9" s="175" t="s">
        <v>6</v>
      </c>
      <c r="D9" s="145"/>
      <c r="E9" s="175" t="s">
        <v>10</v>
      </c>
      <c r="F9" s="173" t="s">
        <v>40</v>
      </c>
      <c r="G9" s="175" t="s">
        <v>7</v>
      </c>
      <c r="H9" s="177" t="s">
        <v>25</v>
      </c>
      <c r="I9" s="173" t="s">
        <v>35</v>
      </c>
      <c r="J9" s="173" t="s">
        <v>22</v>
      </c>
      <c r="K9" s="179" t="s">
        <v>53</v>
      </c>
      <c r="L9" s="49" t="s">
        <v>31</v>
      </c>
      <c r="M9" s="168" t="s">
        <v>30</v>
      </c>
    </row>
    <row r="10" spans="1:16" ht="15.75" customHeight="1" x14ac:dyDescent="0.25">
      <c r="A10" s="190"/>
      <c r="B10" s="191"/>
      <c r="C10" s="176"/>
      <c r="D10" s="146"/>
      <c r="E10" s="176"/>
      <c r="F10" s="174"/>
      <c r="G10" s="176"/>
      <c r="H10" s="178"/>
      <c r="I10" s="174"/>
      <c r="J10" s="174"/>
      <c r="K10" s="180"/>
      <c r="L10" s="48" t="str">
        <f>RESUMEN!B8</f>
        <v>VTO 16/03</v>
      </c>
      <c r="M10" s="169"/>
    </row>
    <row r="11" spans="1:16" ht="17.100000000000001" customHeight="1" x14ac:dyDescent="0.25">
      <c r="A11" s="122" t="s">
        <v>56</v>
      </c>
      <c r="B11" s="122" t="s">
        <v>57</v>
      </c>
      <c r="C11" s="122" t="s">
        <v>58</v>
      </c>
      <c r="D11" s="122"/>
      <c r="E11" s="143">
        <v>6.18</v>
      </c>
      <c r="F11" s="124">
        <v>283765</v>
      </c>
      <c r="G11" s="125"/>
      <c r="H11" s="126">
        <f t="shared" ref="H11:H35" si="0">F11-G11</f>
        <v>283765</v>
      </c>
      <c r="I11" s="126">
        <f>IF(H11&gt;0,H11*3%,0)</f>
        <v>8512.9499999999989</v>
      </c>
      <c r="J11" s="127">
        <f>K$2*E11/100</f>
        <v>234840</v>
      </c>
      <c r="K11" s="128">
        <f>D$2*E11/100</f>
        <v>0</v>
      </c>
      <c r="L11" s="129">
        <f t="shared" ref="L11:L35" si="1">ROUND(SUM(H11:K11),0) + N11</f>
        <v>527118.01</v>
      </c>
      <c r="M11" s="130">
        <f t="shared" ref="M11:M35" si="2">ROUND(L11*3%,0) + L11</f>
        <v>542932.01</v>
      </c>
      <c r="N11" s="34">
        <v>0.01</v>
      </c>
    </row>
    <row r="12" spans="1:16" ht="17.100000000000001" customHeight="1" x14ac:dyDescent="0.25">
      <c r="A12" s="122" t="s">
        <v>56</v>
      </c>
      <c r="B12" s="122" t="s">
        <v>59</v>
      </c>
      <c r="C12" s="122" t="s">
        <v>60</v>
      </c>
      <c r="D12" s="122" t="s">
        <v>120</v>
      </c>
      <c r="E12" s="143">
        <v>4.33</v>
      </c>
      <c r="F12" s="124">
        <v>198819</v>
      </c>
      <c r="G12" s="125">
        <f>F12</f>
        <v>198819</v>
      </c>
      <c r="H12" s="126">
        <f t="shared" si="0"/>
        <v>0</v>
      </c>
      <c r="I12" s="126">
        <f t="shared" ref="I12:I35" si="3">IF(H12&gt;0,H12*3%,0)</f>
        <v>0</v>
      </c>
      <c r="J12" s="127">
        <f t="shared" ref="J12:J35" si="4">K$2*E12/100</f>
        <v>164540</v>
      </c>
      <c r="K12" s="128">
        <f t="shared" ref="K12:K35" si="5">D$2*E12/100</f>
        <v>0</v>
      </c>
      <c r="L12" s="129">
        <f t="shared" si="1"/>
        <v>164540.01999999999</v>
      </c>
      <c r="M12" s="130">
        <f t="shared" si="2"/>
        <v>169476.02</v>
      </c>
      <c r="N12" s="34">
        <f>N11+0.01</f>
        <v>0.02</v>
      </c>
      <c r="O12" s="34"/>
    </row>
    <row r="13" spans="1:16" ht="17.100000000000001" customHeight="1" x14ac:dyDescent="0.25">
      <c r="A13" s="131" t="s">
        <v>61</v>
      </c>
      <c r="B13" s="131" t="s">
        <v>57</v>
      </c>
      <c r="C13" s="131" t="s">
        <v>62</v>
      </c>
      <c r="D13" s="131"/>
      <c r="E13" s="144">
        <v>6.18</v>
      </c>
      <c r="F13" s="132">
        <v>277857</v>
      </c>
      <c r="G13" s="125">
        <f>320000-G30</f>
        <v>284515.59999999998</v>
      </c>
      <c r="H13" s="126">
        <f t="shared" si="0"/>
        <v>-6658.5999999999767</v>
      </c>
      <c r="I13" s="126">
        <f t="shared" si="3"/>
        <v>0</v>
      </c>
      <c r="J13" s="127">
        <f t="shared" si="4"/>
        <v>234840</v>
      </c>
      <c r="K13" s="128">
        <f t="shared" si="5"/>
        <v>0</v>
      </c>
      <c r="L13" s="129">
        <f t="shared" si="1"/>
        <v>228181.03</v>
      </c>
      <c r="M13" s="130">
        <f t="shared" si="2"/>
        <v>235026.03</v>
      </c>
      <c r="N13" s="34">
        <f t="shared" ref="N13:N35" si="6">N12+0.01</f>
        <v>0.03</v>
      </c>
    </row>
    <row r="14" spans="1:16" ht="17.100000000000001" customHeight="1" x14ac:dyDescent="0.25">
      <c r="A14" s="122" t="s">
        <v>61</v>
      </c>
      <c r="B14" s="122" t="s">
        <v>59</v>
      </c>
      <c r="C14" s="122" t="s">
        <v>63</v>
      </c>
      <c r="D14" s="122"/>
      <c r="E14" s="143">
        <v>4.33</v>
      </c>
      <c r="F14" s="124">
        <v>198819</v>
      </c>
      <c r="G14" s="125"/>
      <c r="H14" s="126">
        <f t="shared" si="0"/>
        <v>198819</v>
      </c>
      <c r="I14" s="126">
        <f t="shared" si="3"/>
        <v>5964.57</v>
      </c>
      <c r="J14" s="127">
        <f t="shared" si="4"/>
        <v>164540</v>
      </c>
      <c r="K14" s="128">
        <f t="shared" si="5"/>
        <v>0</v>
      </c>
      <c r="L14" s="129">
        <f t="shared" si="1"/>
        <v>369324.04</v>
      </c>
      <c r="M14" s="130">
        <f t="shared" si="2"/>
        <v>380404.04</v>
      </c>
      <c r="N14" s="34">
        <f t="shared" si="6"/>
        <v>0.04</v>
      </c>
      <c r="P14" s="34"/>
    </row>
    <row r="15" spans="1:16" ht="17.100000000000001" customHeight="1" x14ac:dyDescent="0.25">
      <c r="A15" s="122" t="s">
        <v>64</v>
      </c>
      <c r="B15" s="122" t="s">
        <v>57</v>
      </c>
      <c r="C15" s="122" t="s">
        <v>65</v>
      </c>
      <c r="D15" s="122" t="s">
        <v>119</v>
      </c>
      <c r="E15" s="143">
        <v>6.18</v>
      </c>
      <c r="F15" s="124">
        <v>283765</v>
      </c>
      <c r="G15" s="125">
        <f>F15</f>
        <v>283765</v>
      </c>
      <c r="H15" s="126">
        <f t="shared" si="0"/>
        <v>0</v>
      </c>
      <c r="I15" s="126">
        <f t="shared" si="3"/>
        <v>0</v>
      </c>
      <c r="J15" s="127">
        <f t="shared" si="4"/>
        <v>234840</v>
      </c>
      <c r="K15" s="128">
        <f t="shared" si="5"/>
        <v>0</v>
      </c>
      <c r="L15" s="129">
        <f t="shared" si="1"/>
        <v>234840.05</v>
      </c>
      <c r="M15" s="130">
        <f t="shared" si="2"/>
        <v>241885.05</v>
      </c>
      <c r="N15" s="34">
        <f t="shared" si="6"/>
        <v>0.05</v>
      </c>
      <c r="P15" s="34"/>
    </row>
    <row r="16" spans="1:16" ht="17.100000000000001" customHeight="1" x14ac:dyDescent="0.25">
      <c r="A16" s="122" t="s">
        <v>64</v>
      </c>
      <c r="B16" s="122" t="s">
        <v>59</v>
      </c>
      <c r="C16" s="122" t="s">
        <v>66</v>
      </c>
      <c r="D16" s="122"/>
      <c r="E16" s="143">
        <v>4.33</v>
      </c>
      <c r="F16" s="124">
        <v>198806</v>
      </c>
      <c r="G16" s="125">
        <f>F16</f>
        <v>198806</v>
      </c>
      <c r="H16" s="126">
        <f t="shared" si="0"/>
        <v>0</v>
      </c>
      <c r="I16" s="126">
        <f t="shared" si="3"/>
        <v>0</v>
      </c>
      <c r="J16" s="127">
        <f t="shared" si="4"/>
        <v>164540</v>
      </c>
      <c r="K16" s="128">
        <f t="shared" si="5"/>
        <v>0</v>
      </c>
      <c r="L16" s="129">
        <f t="shared" si="1"/>
        <v>164540.06</v>
      </c>
      <c r="M16" s="130">
        <f t="shared" si="2"/>
        <v>169476.06</v>
      </c>
      <c r="N16" s="34">
        <f t="shared" si="6"/>
        <v>6.0000000000000005E-2</v>
      </c>
    </row>
    <row r="17" spans="1:14" ht="17.100000000000001" customHeight="1" x14ac:dyDescent="0.25">
      <c r="A17" s="122" t="s">
        <v>67</v>
      </c>
      <c r="B17" s="122" t="s">
        <v>57</v>
      </c>
      <c r="C17" s="122" t="s">
        <v>68</v>
      </c>
      <c r="D17" s="122"/>
      <c r="E17" s="143">
        <v>6.18</v>
      </c>
      <c r="F17" s="124">
        <v>285791</v>
      </c>
      <c r="G17" s="125">
        <f>320000-G32</f>
        <v>284515.59999999998</v>
      </c>
      <c r="H17" s="126">
        <f t="shared" si="0"/>
        <v>1275.4000000000233</v>
      </c>
      <c r="I17" s="126">
        <f t="shared" si="3"/>
        <v>38.262000000000697</v>
      </c>
      <c r="J17" s="127">
        <f t="shared" si="4"/>
        <v>234840</v>
      </c>
      <c r="K17" s="128">
        <f t="shared" si="5"/>
        <v>0</v>
      </c>
      <c r="L17" s="129">
        <f t="shared" si="1"/>
        <v>236154.07</v>
      </c>
      <c r="M17" s="130">
        <f t="shared" si="2"/>
        <v>243239.07</v>
      </c>
      <c r="N17" s="34">
        <f t="shared" si="6"/>
        <v>7.0000000000000007E-2</v>
      </c>
    </row>
    <row r="18" spans="1:14" ht="17.100000000000001" customHeight="1" x14ac:dyDescent="0.25">
      <c r="A18" s="122" t="s">
        <v>67</v>
      </c>
      <c r="B18" s="122" t="s">
        <v>59</v>
      </c>
      <c r="C18" s="122" t="s">
        <v>69</v>
      </c>
      <c r="D18" s="122"/>
      <c r="E18" s="143">
        <v>4.33</v>
      </c>
      <c r="F18" s="124">
        <v>198819</v>
      </c>
      <c r="G18" s="125">
        <f>F18</f>
        <v>198819</v>
      </c>
      <c r="H18" s="126">
        <f t="shared" si="0"/>
        <v>0</v>
      </c>
      <c r="I18" s="126">
        <f t="shared" si="3"/>
        <v>0</v>
      </c>
      <c r="J18" s="127">
        <f t="shared" si="4"/>
        <v>164540</v>
      </c>
      <c r="K18" s="128">
        <f t="shared" si="5"/>
        <v>0</v>
      </c>
      <c r="L18" s="129">
        <f t="shared" si="1"/>
        <v>164540.07999999999</v>
      </c>
      <c r="M18" s="130">
        <f t="shared" si="2"/>
        <v>169476.08</v>
      </c>
      <c r="N18" s="34">
        <f t="shared" si="6"/>
        <v>0.08</v>
      </c>
    </row>
    <row r="19" spans="1:14" ht="17.100000000000001" customHeight="1" x14ac:dyDescent="0.25">
      <c r="A19" s="122" t="s">
        <v>70</v>
      </c>
      <c r="B19" s="122" t="s">
        <v>57</v>
      </c>
      <c r="C19" s="122" t="s">
        <v>71</v>
      </c>
      <c r="D19" s="122"/>
      <c r="E19" s="143">
        <v>6.18</v>
      </c>
      <c r="F19" s="124">
        <v>284765</v>
      </c>
      <c r="G19" s="125"/>
      <c r="H19" s="126">
        <f t="shared" si="0"/>
        <v>284765</v>
      </c>
      <c r="I19" s="126">
        <f t="shared" si="3"/>
        <v>8542.9499999999989</v>
      </c>
      <c r="J19" s="127">
        <f t="shared" si="4"/>
        <v>234840</v>
      </c>
      <c r="K19" s="128">
        <f t="shared" si="5"/>
        <v>0</v>
      </c>
      <c r="L19" s="129">
        <f t="shared" si="1"/>
        <v>528148.09</v>
      </c>
      <c r="M19" s="130">
        <f t="shared" si="2"/>
        <v>543992.09</v>
      </c>
      <c r="N19" s="34">
        <f t="shared" si="6"/>
        <v>0.09</v>
      </c>
    </row>
    <row r="20" spans="1:14" ht="17.100000000000001" customHeight="1" x14ac:dyDescent="0.25">
      <c r="A20" s="122" t="s">
        <v>70</v>
      </c>
      <c r="B20" s="122" t="s">
        <v>59</v>
      </c>
      <c r="C20" s="122" t="s">
        <v>72</v>
      </c>
      <c r="D20" s="122"/>
      <c r="E20" s="143">
        <v>4.33</v>
      </c>
      <c r="F20" s="124">
        <v>198858</v>
      </c>
      <c r="G20" s="125"/>
      <c r="H20" s="126">
        <f t="shared" si="0"/>
        <v>198858</v>
      </c>
      <c r="I20" s="126">
        <f t="shared" si="3"/>
        <v>5965.74</v>
      </c>
      <c r="J20" s="127">
        <f t="shared" si="4"/>
        <v>164540</v>
      </c>
      <c r="K20" s="128">
        <f t="shared" si="5"/>
        <v>0</v>
      </c>
      <c r="L20" s="129">
        <f t="shared" si="1"/>
        <v>369364.1</v>
      </c>
      <c r="M20" s="130">
        <f t="shared" si="2"/>
        <v>380445.1</v>
      </c>
      <c r="N20" s="34">
        <f t="shared" si="6"/>
        <v>9.9999999999999992E-2</v>
      </c>
    </row>
    <row r="21" spans="1:14" ht="17.100000000000001" customHeight="1" x14ac:dyDescent="0.25">
      <c r="A21" s="122" t="s">
        <v>73</v>
      </c>
      <c r="B21" s="122" t="s">
        <v>57</v>
      </c>
      <c r="C21" s="122" t="s">
        <v>74</v>
      </c>
      <c r="D21" s="122" t="s">
        <v>118</v>
      </c>
      <c r="E21" s="143">
        <v>6.18</v>
      </c>
      <c r="F21" s="124">
        <v>283765</v>
      </c>
      <c r="G21" s="125">
        <f>F21</f>
        <v>283765</v>
      </c>
      <c r="H21" s="126">
        <f t="shared" si="0"/>
        <v>0</v>
      </c>
      <c r="I21" s="126">
        <f t="shared" si="3"/>
        <v>0</v>
      </c>
      <c r="J21" s="127">
        <f t="shared" si="4"/>
        <v>234840</v>
      </c>
      <c r="K21" s="128">
        <f t="shared" si="5"/>
        <v>0</v>
      </c>
      <c r="L21" s="129">
        <f t="shared" si="1"/>
        <v>234840.11</v>
      </c>
      <c r="M21" s="130">
        <f t="shared" si="2"/>
        <v>241885.11</v>
      </c>
      <c r="N21" s="34">
        <f t="shared" si="6"/>
        <v>0.10999999999999999</v>
      </c>
    </row>
    <row r="22" spans="1:14" ht="17.100000000000001" customHeight="1" x14ac:dyDescent="0.25">
      <c r="A22" s="122" t="s">
        <v>73</v>
      </c>
      <c r="B22" s="122" t="s">
        <v>59</v>
      </c>
      <c r="C22" s="122" t="s">
        <v>75</v>
      </c>
      <c r="D22" s="122"/>
      <c r="E22" s="143">
        <v>4.33</v>
      </c>
      <c r="F22" s="124">
        <v>198788</v>
      </c>
      <c r="G22" s="125"/>
      <c r="H22" s="126">
        <f t="shared" si="0"/>
        <v>198788</v>
      </c>
      <c r="I22" s="126">
        <f t="shared" si="3"/>
        <v>5963.6399999999994</v>
      </c>
      <c r="J22" s="127">
        <f t="shared" si="4"/>
        <v>164540</v>
      </c>
      <c r="K22" s="128">
        <f t="shared" si="5"/>
        <v>0</v>
      </c>
      <c r="L22" s="129">
        <f t="shared" si="1"/>
        <v>369292.12</v>
      </c>
      <c r="M22" s="130">
        <f t="shared" si="2"/>
        <v>380371.12</v>
      </c>
      <c r="N22" s="34">
        <f t="shared" si="6"/>
        <v>0.11999999999999998</v>
      </c>
    </row>
    <row r="23" spans="1:14" ht="17.100000000000001" customHeight="1" x14ac:dyDescent="0.25">
      <c r="A23" s="122" t="s">
        <v>76</v>
      </c>
      <c r="B23" s="122" t="s">
        <v>57</v>
      </c>
      <c r="C23" s="122" t="s">
        <v>77</v>
      </c>
      <c r="D23" s="122" t="s">
        <v>123</v>
      </c>
      <c r="E23" s="143">
        <v>6.18</v>
      </c>
      <c r="F23" s="124">
        <v>283767</v>
      </c>
      <c r="G23" s="125">
        <f>319251.4-G31</f>
        <v>283767</v>
      </c>
      <c r="H23" s="126">
        <f t="shared" si="0"/>
        <v>0</v>
      </c>
      <c r="I23" s="126">
        <f t="shared" si="3"/>
        <v>0</v>
      </c>
      <c r="J23" s="127">
        <f t="shared" si="4"/>
        <v>234840</v>
      </c>
      <c r="K23" s="128">
        <f t="shared" si="5"/>
        <v>0</v>
      </c>
      <c r="L23" s="129">
        <f t="shared" si="1"/>
        <v>234840.13</v>
      </c>
      <c r="M23" s="130">
        <f t="shared" si="2"/>
        <v>241885.13</v>
      </c>
      <c r="N23" s="34">
        <f t="shared" si="6"/>
        <v>0.12999999999999998</v>
      </c>
    </row>
    <row r="24" spans="1:14" ht="17.100000000000001" customHeight="1" x14ac:dyDescent="0.25">
      <c r="A24" s="122" t="s">
        <v>76</v>
      </c>
      <c r="B24" s="122" t="s">
        <v>59</v>
      </c>
      <c r="C24" s="122" t="s">
        <v>78</v>
      </c>
      <c r="D24" s="122"/>
      <c r="E24" s="143">
        <v>4.33</v>
      </c>
      <c r="F24" s="124">
        <v>198819</v>
      </c>
      <c r="G24" s="125"/>
      <c r="H24" s="126">
        <f t="shared" si="0"/>
        <v>198819</v>
      </c>
      <c r="I24" s="126">
        <f t="shared" si="3"/>
        <v>5964.57</v>
      </c>
      <c r="J24" s="127">
        <f t="shared" si="4"/>
        <v>164540</v>
      </c>
      <c r="K24" s="128">
        <f t="shared" si="5"/>
        <v>0</v>
      </c>
      <c r="L24" s="129">
        <f t="shared" si="1"/>
        <v>369324.14</v>
      </c>
      <c r="M24" s="130">
        <f t="shared" si="2"/>
        <v>380404.14</v>
      </c>
      <c r="N24" s="34">
        <f t="shared" si="6"/>
        <v>0.13999999999999999</v>
      </c>
    </row>
    <row r="25" spans="1:14" ht="17.100000000000001" customHeight="1" x14ac:dyDescent="0.25">
      <c r="A25" s="131" t="s">
        <v>79</v>
      </c>
      <c r="B25" s="131" t="s">
        <v>57</v>
      </c>
      <c r="C25" s="131" t="s">
        <v>80</v>
      </c>
      <c r="D25" s="131"/>
      <c r="E25" s="144">
        <v>6.18</v>
      </c>
      <c r="F25" s="132">
        <v>283765</v>
      </c>
      <c r="G25" s="125">
        <f>518068-G26-G35</f>
        <v>283764.59999999998</v>
      </c>
      <c r="H25" s="126">
        <f t="shared" si="0"/>
        <v>0.40000000002328306</v>
      </c>
      <c r="I25" s="126">
        <f t="shared" si="3"/>
        <v>1.2000000000698492E-2</v>
      </c>
      <c r="J25" s="127">
        <f t="shared" si="4"/>
        <v>234840</v>
      </c>
      <c r="K25" s="128">
        <f t="shared" si="5"/>
        <v>0</v>
      </c>
      <c r="L25" s="129">
        <f t="shared" si="1"/>
        <v>234840.15</v>
      </c>
      <c r="M25" s="130">
        <f t="shared" si="2"/>
        <v>241885.15</v>
      </c>
      <c r="N25" s="34">
        <f t="shared" si="6"/>
        <v>0.15</v>
      </c>
    </row>
    <row r="26" spans="1:14" ht="17.100000000000001" customHeight="1" x14ac:dyDescent="0.25">
      <c r="A26" s="122" t="s">
        <v>79</v>
      </c>
      <c r="B26" s="122" t="s">
        <v>59</v>
      </c>
      <c r="C26" s="122" t="s">
        <v>80</v>
      </c>
      <c r="D26" s="122"/>
      <c r="E26" s="143">
        <v>4.33</v>
      </c>
      <c r="F26" s="124">
        <v>198819</v>
      </c>
      <c r="G26" s="125">
        <f>F26</f>
        <v>198819</v>
      </c>
      <c r="H26" s="126">
        <f t="shared" si="0"/>
        <v>0</v>
      </c>
      <c r="I26" s="126">
        <f t="shared" si="3"/>
        <v>0</v>
      </c>
      <c r="J26" s="127">
        <f t="shared" si="4"/>
        <v>164540</v>
      </c>
      <c r="K26" s="128">
        <f t="shared" si="5"/>
        <v>0</v>
      </c>
      <c r="L26" s="129">
        <f t="shared" si="1"/>
        <v>164540.16</v>
      </c>
      <c r="M26" s="130">
        <f t="shared" si="2"/>
        <v>169476.16</v>
      </c>
      <c r="N26" s="34">
        <f t="shared" si="6"/>
        <v>0.16</v>
      </c>
    </row>
    <row r="27" spans="1:14" ht="17.100000000000001" customHeight="1" x14ac:dyDescent="0.25">
      <c r="A27" s="122" t="s">
        <v>81</v>
      </c>
      <c r="B27" s="122" t="s">
        <v>57</v>
      </c>
      <c r="C27" s="122" t="s">
        <v>82</v>
      </c>
      <c r="D27" s="122" t="s">
        <v>121</v>
      </c>
      <c r="E27" s="143">
        <v>6.18</v>
      </c>
      <c r="F27" s="132">
        <v>281323</v>
      </c>
      <c r="G27" s="125">
        <f>320000-G29</f>
        <v>284515.59999999998</v>
      </c>
      <c r="H27" s="126">
        <f t="shared" si="0"/>
        <v>-3192.5999999999767</v>
      </c>
      <c r="I27" s="126">
        <f t="shared" si="3"/>
        <v>0</v>
      </c>
      <c r="J27" s="127">
        <f t="shared" si="4"/>
        <v>234840</v>
      </c>
      <c r="K27" s="128">
        <f t="shared" si="5"/>
        <v>0</v>
      </c>
      <c r="L27" s="129">
        <f t="shared" si="1"/>
        <v>231647.17</v>
      </c>
      <c r="M27" s="130">
        <f t="shared" si="2"/>
        <v>238596.17</v>
      </c>
      <c r="N27" s="34">
        <f t="shared" si="6"/>
        <v>0.17</v>
      </c>
    </row>
    <row r="28" spans="1:14" ht="17.100000000000001" customHeight="1" x14ac:dyDescent="0.25">
      <c r="A28" s="122" t="s">
        <v>81</v>
      </c>
      <c r="B28" s="122" t="s">
        <v>59</v>
      </c>
      <c r="C28" s="122" t="s">
        <v>83</v>
      </c>
      <c r="D28" s="122"/>
      <c r="E28" s="143">
        <v>4.33</v>
      </c>
      <c r="F28" s="124">
        <v>198819</v>
      </c>
      <c r="G28" s="125"/>
      <c r="H28" s="126">
        <f t="shared" si="0"/>
        <v>198819</v>
      </c>
      <c r="I28" s="126">
        <f t="shared" si="3"/>
        <v>5964.57</v>
      </c>
      <c r="J28" s="127">
        <f t="shared" si="4"/>
        <v>164540</v>
      </c>
      <c r="K28" s="128">
        <f t="shared" si="5"/>
        <v>0</v>
      </c>
      <c r="L28" s="129">
        <f t="shared" si="1"/>
        <v>369324.18</v>
      </c>
      <c r="M28" s="130">
        <f t="shared" si="2"/>
        <v>380404.18</v>
      </c>
      <c r="N28" s="34">
        <f t="shared" si="6"/>
        <v>0.18000000000000002</v>
      </c>
    </row>
    <row r="29" spans="1:14" ht="14.45" customHeight="1" x14ac:dyDescent="0.25">
      <c r="A29" s="170" t="s">
        <v>85</v>
      </c>
      <c r="B29" s="171"/>
      <c r="C29" s="122" t="s">
        <v>82</v>
      </c>
      <c r="D29" s="122"/>
      <c r="E29" s="143">
        <v>0.77300000000000002</v>
      </c>
      <c r="F29" s="124">
        <v>35484.400000000001</v>
      </c>
      <c r="G29" s="133">
        <f>F29</f>
        <v>35484.400000000001</v>
      </c>
      <c r="H29" s="126">
        <f t="shared" si="0"/>
        <v>0</v>
      </c>
      <c r="I29" s="126">
        <f t="shared" si="3"/>
        <v>0</v>
      </c>
      <c r="J29" s="127">
        <f t="shared" si="4"/>
        <v>29374</v>
      </c>
      <c r="K29" s="128">
        <f t="shared" si="5"/>
        <v>0</v>
      </c>
      <c r="L29" s="129">
        <f t="shared" si="1"/>
        <v>29374.19</v>
      </c>
      <c r="M29" s="130">
        <f t="shared" si="2"/>
        <v>30255.19</v>
      </c>
      <c r="N29" s="34">
        <f t="shared" si="6"/>
        <v>0.19000000000000003</v>
      </c>
    </row>
    <row r="30" spans="1:14" ht="14.45" customHeight="1" x14ac:dyDescent="0.25">
      <c r="A30" s="170" t="s">
        <v>86</v>
      </c>
      <c r="B30" s="171"/>
      <c r="C30" s="131" t="s">
        <v>62</v>
      </c>
      <c r="D30" s="122"/>
      <c r="E30" s="143">
        <v>0.77300000000000002</v>
      </c>
      <c r="F30" s="134">
        <v>35484.400000000001</v>
      </c>
      <c r="G30" s="135">
        <f>F30</f>
        <v>35484.400000000001</v>
      </c>
      <c r="H30" s="126">
        <f t="shared" si="0"/>
        <v>0</v>
      </c>
      <c r="I30" s="126">
        <f t="shared" si="3"/>
        <v>0</v>
      </c>
      <c r="J30" s="127">
        <f t="shared" si="4"/>
        <v>29374</v>
      </c>
      <c r="K30" s="128">
        <f t="shared" si="5"/>
        <v>0</v>
      </c>
      <c r="L30" s="129">
        <f t="shared" si="1"/>
        <v>29374.2</v>
      </c>
      <c r="M30" s="130">
        <f t="shared" si="2"/>
        <v>30255.200000000001</v>
      </c>
      <c r="N30" s="34">
        <f t="shared" si="6"/>
        <v>0.20000000000000004</v>
      </c>
    </row>
    <row r="31" spans="1:14" ht="14.45" customHeight="1" x14ac:dyDescent="0.25">
      <c r="A31" s="170" t="s">
        <v>87</v>
      </c>
      <c r="B31" s="171"/>
      <c r="C31" s="136" t="s">
        <v>84</v>
      </c>
      <c r="D31" s="122" t="s">
        <v>123</v>
      </c>
      <c r="E31" s="143">
        <v>0.77300000000000002</v>
      </c>
      <c r="F31" s="134">
        <v>35484.400000000001</v>
      </c>
      <c r="G31" s="135">
        <f>F31</f>
        <v>35484.400000000001</v>
      </c>
      <c r="H31" s="126">
        <f t="shared" si="0"/>
        <v>0</v>
      </c>
      <c r="I31" s="126">
        <f t="shared" si="3"/>
        <v>0</v>
      </c>
      <c r="J31" s="127">
        <f t="shared" si="4"/>
        <v>29374</v>
      </c>
      <c r="K31" s="128">
        <f t="shared" si="5"/>
        <v>0</v>
      </c>
      <c r="L31" s="129">
        <f t="shared" si="1"/>
        <v>29374.21</v>
      </c>
      <c r="M31" s="130">
        <f t="shared" si="2"/>
        <v>30255.21</v>
      </c>
      <c r="N31" s="34">
        <f t="shared" si="6"/>
        <v>0.21000000000000005</v>
      </c>
    </row>
    <row r="32" spans="1:14" ht="14.45" customHeight="1" x14ac:dyDescent="0.25">
      <c r="A32" s="170" t="s">
        <v>88</v>
      </c>
      <c r="B32" s="171"/>
      <c r="C32" s="122" t="s">
        <v>68</v>
      </c>
      <c r="D32" s="122"/>
      <c r="E32" s="143">
        <v>0.77300000000000002</v>
      </c>
      <c r="F32" s="134">
        <v>35484.400000000001</v>
      </c>
      <c r="G32" s="135">
        <f>F32</f>
        <v>35484.400000000001</v>
      </c>
      <c r="H32" s="126">
        <f t="shared" si="0"/>
        <v>0</v>
      </c>
      <c r="I32" s="126">
        <f t="shared" si="3"/>
        <v>0</v>
      </c>
      <c r="J32" s="127">
        <f t="shared" si="4"/>
        <v>29374</v>
      </c>
      <c r="K32" s="128">
        <f t="shared" si="5"/>
        <v>0</v>
      </c>
      <c r="L32" s="129">
        <f t="shared" si="1"/>
        <v>29374.22</v>
      </c>
      <c r="M32" s="130">
        <f t="shared" si="2"/>
        <v>30255.22</v>
      </c>
      <c r="N32" s="34">
        <f t="shared" si="6"/>
        <v>0.22000000000000006</v>
      </c>
    </row>
    <row r="33" spans="1:14" ht="14.45" customHeight="1" x14ac:dyDescent="0.25">
      <c r="A33" s="170" t="s">
        <v>89</v>
      </c>
      <c r="B33" s="171"/>
      <c r="C33" s="137" t="s">
        <v>71</v>
      </c>
      <c r="D33" s="137"/>
      <c r="E33" s="143">
        <v>0.77300000000000002</v>
      </c>
      <c r="F33" s="134">
        <v>35484.400000000001</v>
      </c>
      <c r="G33" s="135"/>
      <c r="H33" s="126">
        <f t="shared" si="0"/>
        <v>35484.400000000001</v>
      </c>
      <c r="I33" s="126">
        <f t="shared" si="3"/>
        <v>1064.5319999999999</v>
      </c>
      <c r="J33" s="127">
        <f t="shared" si="4"/>
        <v>29374</v>
      </c>
      <c r="K33" s="128">
        <f t="shared" si="5"/>
        <v>0</v>
      </c>
      <c r="L33" s="129">
        <f t="shared" si="1"/>
        <v>65923.23</v>
      </c>
      <c r="M33" s="130">
        <f t="shared" si="2"/>
        <v>67901.23</v>
      </c>
      <c r="N33" s="34">
        <f t="shared" si="6"/>
        <v>0.23000000000000007</v>
      </c>
    </row>
    <row r="34" spans="1:14" ht="14.45" customHeight="1" x14ac:dyDescent="0.25">
      <c r="A34" s="170" t="s">
        <v>90</v>
      </c>
      <c r="B34" s="171"/>
      <c r="C34" s="137" t="s">
        <v>74</v>
      </c>
      <c r="D34" s="137"/>
      <c r="E34" s="143">
        <v>0.77300000000000002</v>
      </c>
      <c r="F34" s="134">
        <v>34163.4</v>
      </c>
      <c r="G34" s="135"/>
      <c r="H34" s="126">
        <f t="shared" si="0"/>
        <v>34163.4</v>
      </c>
      <c r="I34" s="126">
        <f t="shared" si="3"/>
        <v>1024.902</v>
      </c>
      <c r="J34" s="127">
        <f t="shared" si="4"/>
        <v>29374</v>
      </c>
      <c r="K34" s="128">
        <f t="shared" si="5"/>
        <v>0</v>
      </c>
      <c r="L34" s="129">
        <f t="shared" si="1"/>
        <v>64562.239999999998</v>
      </c>
      <c r="M34" s="130">
        <f t="shared" si="2"/>
        <v>66499.239999999991</v>
      </c>
      <c r="N34" s="34">
        <f t="shared" si="6"/>
        <v>0.24000000000000007</v>
      </c>
    </row>
    <row r="35" spans="1:14" ht="17.100000000000001" customHeight="1" thickBot="1" x14ac:dyDescent="0.3">
      <c r="A35" s="170" t="s">
        <v>91</v>
      </c>
      <c r="B35" s="171"/>
      <c r="C35" s="137" t="s">
        <v>80</v>
      </c>
      <c r="D35" s="137"/>
      <c r="E35" s="123">
        <v>0.77300000000000002</v>
      </c>
      <c r="F35" s="134">
        <v>35484.400000000001</v>
      </c>
      <c r="G35" s="125">
        <f>F35</f>
        <v>35484.400000000001</v>
      </c>
      <c r="H35" s="126">
        <f t="shared" si="0"/>
        <v>0</v>
      </c>
      <c r="I35" s="126">
        <f t="shared" si="3"/>
        <v>0</v>
      </c>
      <c r="J35" s="127">
        <f t="shared" si="4"/>
        <v>29374</v>
      </c>
      <c r="K35" s="128">
        <f t="shared" si="5"/>
        <v>0</v>
      </c>
      <c r="L35" s="129">
        <f t="shared" si="1"/>
        <v>29374.25</v>
      </c>
      <c r="M35" s="130">
        <f t="shared" si="2"/>
        <v>30255.25</v>
      </c>
      <c r="N35" s="34">
        <f t="shared" si="6"/>
        <v>0.25000000000000006</v>
      </c>
    </row>
    <row r="36" spans="1:14" ht="17.100000000000001" customHeight="1" thickBot="1" x14ac:dyDescent="0.3">
      <c r="A36" s="192" t="s">
        <v>55</v>
      </c>
      <c r="B36" s="192"/>
      <c r="C36" s="193"/>
      <c r="D36" s="147"/>
      <c r="E36" s="138">
        <f t="shared" ref="E36:K36" si="7">SUM(E11:E35)</f>
        <v>100.00099999999993</v>
      </c>
      <c r="F36" s="139">
        <f t="shared" si="7"/>
        <v>4584998.8000000026</v>
      </c>
      <c r="G36" s="140">
        <f t="shared" si="7"/>
        <v>2961293.3999999994</v>
      </c>
      <c r="H36" s="140">
        <f t="shared" si="7"/>
        <v>1623705.4</v>
      </c>
      <c r="I36" s="141">
        <f t="shared" si="7"/>
        <v>49006.697999999997</v>
      </c>
      <c r="J36" s="141">
        <f t="shared" si="7"/>
        <v>3800038</v>
      </c>
      <c r="K36" s="140">
        <f t="shared" si="7"/>
        <v>0</v>
      </c>
      <c r="L36" s="142">
        <f>SUM(L11:L28)</f>
        <v>5195397.71</v>
      </c>
      <c r="M36" s="142">
        <f>SUM(M11:M35)</f>
        <v>5636935.2500000009</v>
      </c>
    </row>
    <row r="37" spans="1:14" ht="12" customHeight="1" x14ac:dyDescent="0.25">
      <c r="C37" s="40"/>
      <c r="D37" s="40"/>
    </row>
    <row r="38" spans="1:14" x14ac:dyDescent="0.25">
      <c r="A38" s="194"/>
      <c r="B38" s="194"/>
      <c r="E38" s="195"/>
      <c r="F38" s="196"/>
    </row>
    <row r="39" spans="1:14" x14ac:dyDescent="0.25">
      <c r="A39" s="194"/>
      <c r="B39" s="194"/>
      <c r="E39" s="195"/>
      <c r="F39" s="196"/>
    </row>
    <row r="50" spans="1:6" x14ac:dyDescent="0.25">
      <c r="F50">
        <f>SUM(E48:E49)</f>
        <v>0</v>
      </c>
    </row>
    <row r="52" spans="1:6" x14ac:dyDescent="0.25">
      <c r="A52" t="s">
        <v>100</v>
      </c>
    </row>
    <row r="53" spans="1:6" x14ac:dyDescent="0.25">
      <c r="A53" t="s">
        <v>99</v>
      </c>
    </row>
    <row r="54" spans="1:6" x14ac:dyDescent="0.25">
      <c r="F54">
        <f>SUM(E52:E53)</f>
        <v>0</v>
      </c>
    </row>
  </sheetData>
  <mergeCells count="27">
    <mergeCell ref="E38:E39"/>
    <mergeCell ref="F38:F39"/>
    <mergeCell ref="K2:L2"/>
    <mergeCell ref="G2:H2"/>
    <mergeCell ref="D2:E2"/>
    <mergeCell ref="A35:B35"/>
    <mergeCell ref="A36:C36"/>
    <mergeCell ref="A33:B33"/>
    <mergeCell ref="A34:B34"/>
    <mergeCell ref="A38:B39"/>
    <mergeCell ref="E1:L1"/>
    <mergeCell ref="I9:I10"/>
    <mergeCell ref="F9:F10"/>
    <mergeCell ref="G9:G10"/>
    <mergeCell ref="H9:H10"/>
    <mergeCell ref="J9:J10"/>
    <mergeCell ref="K9:K10"/>
    <mergeCell ref="A4:M8"/>
    <mergeCell ref="A9:A10"/>
    <mergeCell ref="C9:C10"/>
    <mergeCell ref="E9:E10"/>
    <mergeCell ref="B9:B10"/>
    <mergeCell ref="M9:M10"/>
    <mergeCell ref="A29:B29"/>
    <mergeCell ref="A30:B30"/>
    <mergeCell ref="A31:B31"/>
    <mergeCell ref="A32:B32"/>
  </mergeCells>
  <phoneticPr fontId="21" type="noConversion"/>
  <pageMargins left="0.25" right="0.25"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2026-02-27T18:54:32Z</cp:lastPrinted>
  <dcterms:created xsi:type="dcterms:W3CDTF">2023-09-17T12:29:07Z</dcterms:created>
  <dcterms:modified xsi:type="dcterms:W3CDTF">2026-03-05T21:42:00Z</dcterms:modified>
</cp:coreProperties>
</file>