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2DE MAYO\Mayo\"/>
    </mc:Choice>
  </mc:AlternateContent>
  <xr:revisionPtr revIDLastSave="0" documentId="13_ncr:1_{812B1304-F231-415F-9910-089A8BA447C7}" xr6:coauthVersionLast="47" xr6:coauthVersionMax="47" xr10:uidLastSave="{00000000-0000-0000-0000-000000000000}"/>
  <bookViews>
    <workbookView xWindow="-108" yWindow="-108" windowWidth="23256" windowHeight="12576" tabRatio="850" xr2:uid="{00000000-000D-0000-FFFF-FFFF00000000}"/>
  </bookViews>
  <sheets>
    <sheet name="RESUMEN" sheetId="1" r:id="rId1"/>
    <sheet name="PRORRATEO" sheetId="2" r:id="rId2"/>
    <sheet name="ANOTACIONES" sheetId="3" r:id="rId3"/>
  </sheets>
  <definedNames>
    <definedName name="_xlnm.Print_Area" localSheetId="1">PRORRATEO!$A$1:$O$36</definedName>
    <definedName name="_xlnm.Print_Area" localSheetId="0">RESUMEN!$A$1:$E$115</definedName>
  </definedNames>
  <calcPr calcId="181029"/>
</workbook>
</file>

<file path=xl/calcChain.xml><?xml version="1.0" encoding="utf-8"?>
<calcChain xmlns="http://schemas.openxmlformats.org/spreadsheetml/2006/main">
  <c r="E70" i="1" l="1"/>
  <c r="D67" i="1"/>
  <c r="G20" i="2"/>
  <c r="G19" i="2"/>
  <c r="G29" i="2"/>
  <c r="G18" i="2"/>
  <c r="G28" i="2"/>
  <c r="G25" i="2"/>
  <c r="G24" i="2"/>
  <c r="K19" i="2"/>
  <c r="E44" i="1" l="1"/>
  <c r="E45" i="1" s="1"/>
  <c r="G23" i="2" l="1"/>
  <c r="E64" i="1"/>
  <c r="E50" i="1"/>
  <c r="G14" i="2" l="1"/>
  <c r="G11" i="2"/>
  <c r="M2" i="2"/>
  <c r="L15" i="2" s="1"/>
  <c r="E46" i="1"/>
  <c r="G31" i="2"/>
  <c r="M12" i="2"/>
  <c r="M13" i="2"/>
  <c r="M14" i="2"/>
  <c r="M15" i="2"/>
  <c r="M16" i="2"/>
  <c r="M17" i="2"/>
  <c r="M18" i="2"/>
  <c r="M19" i="2"/>
  <c r="M20" i="2"/>
  <c r="M21" i="2"/>
  <c r="M22" i="2"/>
  <c r="M23" i="2"/>
  <c r="M24" i="2"/>
  <c r="M25" i="2"/>
  <c r="M26" i="2"/>
  <c r="M27" i="2"/>
  <c r="M28" i="2"/>
  <c r="M29" i="2"/>
  <c r="M30" i="2"/>
  <c r="M31" i="2"/>
  <c r="M32" i="2"/>
  <c r="M33" i="2"/>
  <c r="M34" i="2"/>
  <c r="M35" i="2"/>
  <c r="M11" i="2"/>
  <c r="G32" i="2"/>
  <c r="G17" i="2" s="1"/>
  <c r="G35" i="2"/>
  <c r="G26" i="2"/>
  <c r="G33" i="2" l="1"/>
  <c r="G38" i="2" s="1"/>
  <c r="B94" i="1" s="1"/>
  <c r="B100" i="1" s="1"/>
  <c r="G37" i="2"/>
  <c r="L33" i="2"/>
  <c r="L25" i="2"/>
  <c r="L17" i="2"/>
  <c r="L11" i="2"/>
  <c r="L28" i="2"/>
  <c r="L20" i="2"/>
  <c r="L16" i="2"/>
  <c r="L34" i="2"/>
  <c r="L30" i="2"/>
  <c r="L26" i="2"/>
  <c r="L22" i="2"/>
  <c r="L18" i="2"/>
  <c r="L14" i="2"/>
  <c r="L29" i="2"/>
  <c r="L21" i="2"/>
  <c r="L13" i="2"/>
  <c r="L32" i="2"/>
  <c r="L24" i="2"/>
  <c r="L12" i="2"/>
  <c r="L35" i="2"/>
  <c r="L31" i="2"/>
  <c r="L27" i="2"/>
  <c r="L23" i="2"/>
  <c r="L19" i="2"/>
  <c r="I29" i="2"/>
  <c r="J29" i="2" s="1"/>
  <c r="I30" i="2"/>
  <c r="J30" i="2" s="1"/>
  <c r="I31" i="2"/>
  <c r="J31" i="2" s="1"/>
  <c r="I32" i="2"/>
  <c r="J32" i="2" s="1"/>
  <c r="I33" i="2"/>
  <c r="J33" i="2" s="1"/>
  <c r="I34" i="2"/>
  <c r="J34" i="2" s="1"/>
  <c r="I35" i="2"/>
  <c r="J35" i="2" s="1"/>
  <c r="F50" i="2"/>
  <c r="F54" i="2"/>
  <c r="D25" i="1"/>
  <c r="A4" i="2"/>
  <c r="G39" i="2" l="1"/>
  <c r="B106" i="1"/>
  <c r="E40" i="1"/>
  <c r="E68" i="1" l="1"/>
  <c r="E36" i="1" l="1"/>
  <c r="I22" i="2" l="1"/>
  <c r="E80" i="1" l="1"/>
  <c r="E85" i="1" s="1"/>
  <c r="B89" i="1" s="1"/>
  <c r="B104" i="1" l="1"/>
  <c r="B114" i="1"/>
  <c r="B105" i="1" l="1"/>
  <c r="I25" i="2" l="1"/>
  <c r="D31" i="1" l="1"/>
  <c r="N10" i="2" l="1"/>
  <c r="E32" i="1" l="1"/>
  <c r="E72" i="1" s="1"/>
  <c r="P12" i="2" l="1"/>
  <c r="P13" i="2" s="1"/>
  <c r="P14" i="2" s="1"/>
  <c r="P15" i="2" s="1"/>
  <c r="P16" i="2" s="1"/>
  <c r="P17" i="2" s="1"/>
  <c r="P18" i="2" s="1"/>
  <c r="P19" i="2" s="1"/>
  <c r="P20" i="2" s="1"/>
  <c r="P21" i="2" s="1"/>
  <c r="P22" i="2" s="1"/>
  <c r="P23" i="2" s="1"/>
  <c r="P24" i="2" s="1"/>
  <c r="P25" i="2" s="1"/>
  <c r="P26" i="2" s="1"/>
  <c r="P27" i="2" s="1"/>
  <c r="P28" i="2" s="1"/>
  <c r="P29" i="2" s="1"/>
  <c r="P30" i="2" l="1"/>
  <c r="N29" i="2"/>
  <c r="O29" i="2" s="1"/>
  <c r="G36" i="2"/>
  <c r="E36" i="2"/>
  <c r="F36" i="2"/>
  <c r="P31" i="2" l="1"/>
  <c r="N30" i="2"/>
  <c r="O30" i="2" s="1"/>
  <c r="I12" i="2"/>
  <c r="I13" i="2"/>
  <c r="I14" i="2"/>
  <c r="I15" i="2"/>
  <c r="I16" i="2"/>
  <c r="I17" i="2"/>
  <c r="I18" i="2"/>
  <c r="I19" i="2"/>
  <c r="I20" i="2"/>
  <c r="I21" i="2"/>
  <c r="I23" i="2"/>
  <c r="I24" i="2"/>
  <c r="I26" i="2"/>
  <c r="I27" i="2"/>
  <c r="I28" i="2"/>
  <c r="I11" i="2"/>
  <c r="P32" i="2" l="1"/>
  <c r="N31" i="2"/>
  <c r="O31" i="2" s="1"/>
  <c r="B90" i="1"/>
  <c r="I36" i="2"/>
  <c r="J28" i="2"/>
  <c r="J16" i="2"/>
  <c r="J27" i="2"/>
  <c r="J23" i="2"/>
  <c r="J19" i="2"/>
  <c r="N19" i="2" s="1"/>
  <c r="J15" i="2"/>
  <c r="J24" i="2"/>
  <c r="J12" i="2"/>
  <c r="J26" i="2"/>
  <c r="J22" i="2"/>
  <c r="J18" i="2"/>
  <c r="J14" i="2"/>
  <c r="J20" i="2"/>
  <c r="J25" i="2"/>
  <c r="J21" i="2"/>
  <c r="J17" i="2"/>
  <c r="J13" i="2"/>
  <c r="J11" i="2"/>
  <c r="N11" i="2" l="1"/>
  <c r="J36" i="2"/>
  <c r="P33" i="2"/>
  <c r="N32" i="2"/>
  <c r="O32" i="2" s="1"/>
  <c r="A44" i="1"/>
  <c r="A45" i="1" s="1"/>
  <c r="P34" i="2" l="1"/>
  <c r="N33" i="2"/>
  <c r="O33" i="2" s="1"/>
  <c r="N12" i="2"/>
  <c r="N13" i="2"/>
  <c r="N14" i="2"/>
  <c r="N15" i="2"/>
  <c r="N16" i="2"/>
  <c r="N17" i="2"/>
  <c r="N18" i="2"/>
  <c r="N20" i="2"/>
  <c r="N21" i="2"/>
  <c r="N22" i="2"/>
  <c r="N23" i="2"/>
  <c r="N24" i="2"/>
  <c r="N25" i="2"/>
  <c r="N26" i="2"/>
  <c r="N27" i="2"/>
  <c r="N28" i="2"/>
  <c r="P35" i="2" l="1"/>
  <c r="N35" i="2" s="1"/>
  <c r="O35" i="2" s="1"/>
  <c r="N34" i="2"/>
  <c r="O34" i="2" s="1"/>
  <c r="N36" i="2"/>
  <c r="O28" i="2"/>
  <c r="O24" i="2"/>
  <c r="O20" i="2"/>
  <c r="O16" i="2"/>
  <c r="O12" i="2"/>
  <c r="O11" i="2"/>
  <c r="O27" i="2"/>
  <c r="O23" i="2"/>
  <c r="O19" i="2"/>
  <c r="O15" i="2"/>
  <c r="O26" i="2"/>
  <c r="O22" i="2"/>
  <c r="O18" i="2"/>
  <c r="O14" i="2"/>
  <c r="O25" i="2"/>
  <c r="O21" i="2"/>
  <c r="O17" i="2"/>
  <c r="O13" i="2"/>
  <c r="L36" i="2"/>
  <c r="O36" i="2" l="1"/>
  <c r="M36" i="2" l="1"/>
  <c r="B88" i="1" l="1"/>
  <c r="B103" i="1" s="1"/>
  <c r="B107" i="1" s="1"/>
  <c r="B87" i="1" l="1"/>
</calcChain>
</file>

<file path=xl/sharedStrings.xml><?xml version="1.0" encoding="utf-8"?>
<sst xmlns="http://schemas.openxmlformats.org/spreadsheetml/2006/main" count="218" uniqueCount="149">
  <si>
    <t>LIQUIDACION DE EXPENSAS</t>
  </si>
  <si>
    <t>TOTAL SUELDO</t>
  </si>
  <si>
    <t>TOTAL IMPUESTO</t>
  </si>
  <si>
    <t>TOTAL Aportes y Contribuciones - Sindicato</t>
  </si>
  <si>
    <t>TOTAL ABONOS Y SERVICIOS</t>
  </si>
  <si>
    <t>UF</t>
  </si>
  <si>
    <t>Propietario</t>
  </si>
  <si>
    <t xml:space="preserve">Ingreso </t>
  </si>
  <si>
    <t>TOTAL</t>
  </si>
  <si>
    <t>GASTOS ORDINARIOS UNIDADES FUNCIONALES:</t>
  </si>
  <si>
    <t xml:space="preserve"> (%)</t>
  </si>
  <si>
    <t>GASTOS BANCARIOS</t>
  </si>
  <si>
    <t xml:space="preserve">TOTAL ORDINARIOS </t>
  </si>
  <si>
    <t>GASTOS ORDINARIOS + PREVISION :</t>
  </si>
  <si>
    <t>GASTOS ORDINARIOS SIN PREVISION:</t>
  </si>
  <si>
    <t xml:space="preserve">TOTAL </t>
  </si>
  <si>
    <t>APORTES Y CONTRIBUCIONES</t>
  </si>
  <si>
    <t>ABONOS Y SERVICIOS</t>
  </si>
  <si>
    <t>HONORARIOS</t>
  </si>
  <si>
    <t xml:space="preserve">TOTAL EXTRAORDINARIOS </t>
  </si>
  <si>
    <t>GASTOS EXTRAORDINARIOS SIN PREVISION:</t>
  </si>
  <si>
    <t>Expensas ord.</t>
  </si>
  <si>
    <t>CUIT ADMINISTRACION: 27231256879</t>
  </si>
  <si>
    <t>HORARIOS DE ATENCION: LUNES A VIERNES</t>
  </si>
  <si>
    <t>Deuda o Saldo a favor</t>
  </si>
  <si>
    <t xml:space="preserve">SEGUROS </t>
  </si>
  <si>
    <t>DEPOSITOS NO IDENTIFICADOS</t>
  </si>
  <si>
    <t>HABERES ENCARGADOS</t>
  </si>
  <si>
    <t>Neto</t>
  </si>
  <si>
    <t>Total 2do Vto</t>
  </si>
  <si>
    <t>Total 1er Vto</t>
  </si>
  <si>
    <t>ADMINISTRADORA: CAROLINA CANCIANI MP:1148</t>
  </si>
  <si>
    <t>SAC</t>
  </si>
  <si>
    <t>GASTOS EXTRAORDINARIOS CON PREVISION:</t>
  </si>
  <si>
    <t>Interes 3%</t>
  </si>
  <si>
    <t>Sueldo encargado Balcazza Leonardo</t>
  </si>
  <si>
    <t>GASTOS EXTRAORDINARIOS:</t>
  </si>
  <si>
    <t xml:space="preserve">ARCA </t>
  </si>
  <si>
    <t>CAJA REAL</t>
  </si>
  <si>
    <t xml:space="preserve">Saldo Ord </t>
  </si>
  <si>
    <t>Egresos del mes ordinarios</t>
  </si>
  <si>
    <t>Egresos del mes extrordinarios</t>
  </si>
  <si>
    <t>Ingresos</t>
  </si>
  <si>
    <t>Pagos sin identificar</t>
  </si>
  <si>
    <t>SALDO EN BANCO</t>
  </si>
  <si>
    <t>Gastos bancarios</t>
  </si>
  <si>
    <t>Mantenimiento de cuenta</t>
  </si>
  <si>
    <t>10 A 15HS - EMERGENCIAS 24HS</t>
  </si>
  <si>
    <t>Extraordinarios:</t>
  </si>
  <si>
    <t>Expensas extraord.</t>
  </si>
  <si>
    <t>Piso</t>
  </si>
  <si>
    <t>TOTALES</t>
  </si>
  <si>
    <t>1° P.</t>
  </si>
  <si>
    <t>A</t>
  </si>
  <si>
    <t>CHAS Alejandro</t>
  </si>
  <si>
    <t>B</t>
  </si>
  <si>
    <t>PELLEGRINI Cecilia</t>
  </si>
  <si>
    <t>2° P.</t>
  </si>
  <si>
    <t>MAZZUCO M. Gabriela</t>
  </si>
  <si>
    <t>ORREF Cristina</t>
  </si>
  <si>
    <t>3° P.</t>
  </si>
  <si>
    <t>TARANTO / CASTRO</t>
  </si>
  <si>
    <t>PALAVECINO Carina</t>
  </si>
  <si>
    <t>4° P.</t>
  </si>
  <si>
    <t>TOTH Alvaro</t>
  </si>
  <si>
    <t>TARRACINI Norma</t>
  </si>
  <si>
    <t>5° P.</t>
  </si>
  <si>
    <t>ERRAMUSPE Alberto</t>
  </si>
  <si>
    <t>TEJEIRO Pablo</t>
  </si>
  <si>
    <t>6° P.</t>
  </si>
  <si>
    <t>VINCI M. Teresa</t>
  </si>
  <si>
    <t>DOVHUN PODLASKY Nina</t>
  </si>
  <si>
    <t>7° P.</t>
  </si>
  <si>
    <t>MENDEZ Magali / GIL F.</t>
  </si>
  <si>
    <t>HERNANDEZ Antonella</t>
  </si>
  <si>
    <t>8° P.</t>
  </si>
  <si>
    <t>CARDINALE Horacio</t>
  </si>
  <si>
    <t>9° P.</t>
  </si>
  <si>
    <t>SUAREZ Nicolas</t>
  </si>
  <si>
    <t>SOUTO Patricio</t>
  </si>
  <si>
    <t>MENDEZ Mendez / GIL F.</t>
  </si>
  <si>
    <t>Cochera 1</t>
  </si>
  <si>
    <t>Cochera 2</t>
  </si>
  <si>
    <t>Cochera 3</t>
  </si>
  <si>
    <t>Cochera 4</t>
  </si>
  <si>
    <t>Cochera 5</t>
  </si>
  <si>
    <t>Cochera 6</t>
  </si>
  <si>
    <t>Cochera 7</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</si>
  <si>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</si>
  <si>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Sueldo Sra. Gomez Blanca Lucia</t>
  </si>
  <si>
    <t>Descuentos</t>
  </si>
  <si>
    <t>Redondeo</t>
  </si>
  <si>
    <t xml:space="preserve">Edesur </t>
  </si>
  <si>
    <t>AySa</t>
  </si>
  <si>
    <t>Pago del abono del ascensor ADS - Mantenimiento</t>
  </si>
  <si>
    <t xml:space="preserve">Personal Flow (internet) para las Camaras de Seguridad </t>
  </si>
  <si>
    <t xml:space="preserve">Seguros Integral de Consorcio BERKLEY INTERNATIONAL SEGUROS S.A. Poliza N° 13-228546 </t>
  </si>
  <si>
    <t>Banco SANTENDER -- Cta.Corr. Pesos N° 054-011139/1 -- CBU: 0720054020000001113918 -- Alias: BALA.EMPATE.MIXTO</t>
  </si>
  <si>
    <t>Seracarh</t>
  </si>
  <si>
    <t>Fathery</t>
  </si>
  <si>
    <t>Suther</t>
  </si>
  <si>
    <t>Bruno Francisco Bonanno</t>
  </si>
  <si>
    <t>Gisele Santillan</t>
  </si>
  <si>
    <t>Rojas Alejandro</t>
  </si>
  <si>
    <t>Jose L. Suarez Pena</t>
  </si>
  <si>
    <t>Ordinarios:</t>
  </si>
  <si>
    <t>Matias Roig</t>
  </si>
  <si>
    <t>Caja en efectivo</t>
  </si>
  <si>
    <t>MAIL:consorcio2demayo2813.15@gmail.com</t>
  </si>
  <si>
    <t>Abona mediante</t>
  </si>
  <si>
    <t>E</t>
  </si>
  <si>
    <t>Ingreso por pago de expensas</t>
  </si>
  <si>
    <t>Ingreso pago x banco</t>
  </si>
  <si>
    <t>Ingreso pago x efectivo</t>
  </si>
  <si>
    <t>CUIT DEL EDIFICIO: 30710914784</t>
  </si>
  <si>
    <t>Transf 06/04</t>
  </si>
  <si>
    <t>Debito 13/04</t>
  </si>
  <si>
    <t>Articulos de limpieza - El boliche de Rivero</t>
  </si>
  <si>
    <t>Articulos de limpieza -Mas limpio</t>
  </si>
  <si>
    <t>Andadino - Compra de 3 platos SUM (5A)</t>
  </si>
  <si>
    <t>Particular</t>
  </si>
  <si>
    <t xml:space="preserve">Contessi - Pago del abono del ascensor  - Mantenimiento </t>
  </si>
  <si>
    <t>Transf 21/04</t>
  </si>
  <si>
    <t>ADS - Se adeudaba mantenimiento de ascensores Febrero</t>
  </si>
  <si>
    <t>Vanesa</t>
  </si>
  <si>
    <t xml:space="preserve">PREVISION EXTRAORDINARIA </t>
  </si>
  <si>
    <t>PREVISION ORDINARIA</t>
  </si>
  <si>
    <t>VTO 18/06</t>
  </si>
  <si>
    <t>PERÍODO: MAYO</t>
  </si>
  <si>
    <t>Mes de MAYO</t>
  </si>
  <si>
    <t>Sindicatos mes de MAYO</t>
  </si>
  <si>
    <t>Honorarios administracion MAYO</t>
  </si>
  <si>
    <t>CONSORCIO 2 DE MAYO 2813/15  -  LIQUIDACIÓN DE GASTOS ABRIL 2026</t>
  </si>
  <si>
    <t>ADS - Se adeudaba mantenimiento de ascensores ABRIL</t>
  </si>
  <si>
    <t>ADS - Se adeudaba suministro y colocacion de tubo led ABRIL</t>
  </si>
  <si>
    <t>Honorarios administracion ABRIL</t>
  </si>
  <si>
    <t>Doartero Julio - Reparacion techo del baño</t>
  </si>
  <si>
    <t xml:space="preserve">Honorarios administracion </t>
  </si>
  <si>
    <t xml:space="preserve">MAS Limpio - Articulos de limpieza </t>
  </si>
  <si>
    <t>Transf 19/05</t>
  </si>
  <si>
    <t>Papelera Mayor - Compra de bolsas de consorcio</t>
  </si>
  <si>
    <t>Sucesion de Majic - baranda de acero inoxidable</t>
  </si>
  <si>
    <t>Gustavo Padron - Sr. Contador</t>
  </si>
  <si>
    <t>Transf 07/05</t>
  </si>
  <si>
    <t>Transf 05/05</t>
  </si>
  <si>
    <t>Transf 08/05</t>
  </si>
  <si>
    <t>Andadino - 3 platos para postre de porcelana</t>
  </si>
  <si>
    <t>Servicios Sarcinelli - Trabajos en cambios de sensores de movimientos en palier</t>
  </si>
  <si>
    <t>Transf 12/05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</si>
</sst>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0.000"/>
  </numFmts>
  <fonts count="23"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i/>
      <u/>
      <sz val="11"/>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sz val="8"/>
      <color theme="1"/>
      <name val="Calibri"/>
      <family val="2"/>
      <scheme val="minor"/>
    </font>
    <font>
      <sz val="9"/>
      <name val="Calibri"/>
      <family val="2"/>
      <scheme val="minor"/>
    </font>
    <font>
      <b/>
      <sz val="16"/>
      <color theme="1"/>
      <name val="Calibri"/>
      <family val="2"/>
      <scheme val="minor"/>
    </font>
    <font>
      <b/>
      <i/>
      <sz val="11"/>
      <color theme="1"/>
      <name val="Calibri"/>
      <family val="2"/>
      <scheme val="minor"/>
    </font>
    <font>
      <sz val="10"/>
      <name val="Calibri"/>
      <family val="2"/>
      <scheme val="minor"/>
    </font>
    <font>
      <b/>
      <i/>
      <u/>
      <sz val="10"/>
      <color theme="1"/>
      <name val="Calibri"/>
      <family val="2"/>
      <scheme val="minor"/>
    </font>
    <font>
      <b/>
      <sz val="9"/>
      <color theme="1"/>
      <name val="Calibri"/>
      <family val="2"/>
      <scheme val="minor"/>
    </font>
    <font>
      <sz val="8"/>
      <name val="Calibri"/>
      <family val="2"/>
      <scheme val="minor"/>
    </font>
    <font>
      <b/>
      <i/>
      <sz val="1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3" tint="0.7999816888943144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15">
    <xf numFmtId="0" fontId="0" fillId="0" borderId="0" xfId="0"/>
    <xf numFmtId="0" fontId="0" fillId="0" borderId="16"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4" fontId="5" fillId="0" borderId="0" xfId="0" applyNumberFormat="1" applyFont="1"/>
    <xf numFmtId="0" fontId="6" fillId="0" borderId="1" xfId="0" applyFont="1" applyBorder="1"/>
    <xf numFmtId="0" fontId="2" fillId="4" borderId="1" xfId="0" applyFont="1" applyFill="1" applyBorder="1"/>
    <xf numFmtId="0" fontId="2" fillId="8" borderId="1" xfId="0" applyFont="1" applyFill="1" applyBorder="1"/>
    <xf numFmtId="0" fontId="11" fillId="4" borderId="1" xfId="0" applyFont="1" applyFill="1" applyBorder="1"/>
    <xf numFmtId="0" fontId="12" fillId="4" borderId="1" xfId="0" applyFont="1" applyFill="1" applyBorder="1"/>
    <xf numFmtId="44" fontId="0" fillId="0" borderId="1" xfId="1" applyFont="1" applyBorder="1"/>
    <xf numFmtId="4" fontId="5" fillId="0" borderId="0" xfId="0" applyNumberFormat="1" applyFont="1" applyAlignment="1">
      <alignment wrapText="1"/>
    </xf>
    <xf numFmtId="0" fontId="0" fillId="0" borderId="0" xfId="0" applyAlignment="1">
      <alignment wrapText="1"/>
    </xf>
    <xf numFmtId="44" fontId="3" fillId="2" borderId="1" xfId="1" applyFont="1" applyFill="1" applyBorder="1"/>
    <xf numFmtId="44" fontId="0" fillId="0" borderId="0" xfId="1" applyFont="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0" fontId="0" fillId="0" borderId="1" xfId="0" applyBorder="1" applyAlignment="1">
      <alignment vertical="center" wrapText="1"/>
    </xf>
    <xf numFmtId="44" fontId="0" fillId="3" borderId="0" xfId="1" applyFont="1" applyFill="1" applyAlignment="1"/>
    <xf numFmtId="0" fontId="17" fillId="10" borderId="1" xfId="0" applyFont="1" applyFill="1" applyBorder="1"/>
    <xf numFmtId="44" fontId="0" fillId="4" borderId="0" xfId="1" applyFont="1" applyFill="1"/>
    <xf numFmtId="44" fontId="0" fillId="3" borderId="0" xfId="1" applyFont="1" applyFill="1" applyBorder="1" applyAlignment="1">
      <alignment vertical="center"/>
    </xf>
    <xf numFmtId="0" fontId="15" fillId="3" borderId="20"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2" fillId="4" borderId="1" xfId="0" applyFont="1" applyFill="1" applyBorder="1" applyAlignment="1">
      <alignment wrapText="1"/>
    </xf>
    <xf numFmtId="44" fontId="5" fillId="5" borderId="11" xfId="0" applyNumberFormat="1" applyFont="1" applyFill="1" applyBorder="1"/>
    <xf numFmtId="0" fontId="5" fillId="3" borderId="15" xfId="0" applyFont="1" applyFill="1" applyBorder="1"/>
    <xf numFmtId="0" fontId="5" fillId="3" borderId="0" xfId="0" applyFont="1" applyFill="1"/>
    <xf numFmtId="0" fontId="5" fillId="3" borderId="17" xfId="0" applyFont="1" applyFill="1" applyBorder="1"/>
    <xf numFmtId="0" fontId="2" fillId="3" borderId="10" xfId="0" applyFont="1" applyFill="1" applyBorder="1" applyAlignment="1">
      <alignment horizontal="left"/>
    </xf>
    <xf numFmtId="0" fontId="5" fillId="7" borderId="9" xfId="0" applyFont="1" applyFill="1" applyBorder="1"/>
    <xf numFmtId="44" fontId="5" fillId="7" borderId="11" xfId="0" applyNumberFormat="1" applyFont="1" applyFill="1" applyBorder="1"/>
    <xf numFmtId="0" fontId="4" fillId="0" borderId="1" xfId="0" applyFont="1" applyBorder="1"/>
    <xf numFmtId="44" fontId="10" fillId="4" borderId="21" xfId="1" applyFont="1" applyFill="1" applyBorder="1"/>
    <xf numFmtId="0" fontId="18" fillId="0" borderId="1" xfId="1" applyNumberFormat="1" applyFont="1" applyBorder="1" applyAlignment="1">
      <alignment horizontal="left"/>
    </xf>
    <xf numFmtId="0" fontId="0" fillId="0" borderId="6" xfId="0" applyBorder="1" applyAlignment="1">
      <alignment horizontal="left" vertical="center" wrapText="1"/>
    </xf>
    <xf numFmtId="44" fontId="4" fillId="2" borderId="6" xfId="1" applyFont="1" applyFill="1" applyBorder="1"/>
    <xf numFmtId="0" fontId="0" fillId="0" borderId="25" xfId="0" applyBorder="1" applyAlignment="1">
      <alignment horizontal="left" vertical="center" wrapText="1"/>
    </xf>
    <xf numFmtId="8" fontId="7" fillId="4" borderId="22" xfId="0" applyNumberFormat="1" applyFont="1" applyFill="1" applyBorder="1"/>
    <xf numFmtId="0" fontId="18"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18"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3" fillId="0" borderId="1" xfId="1" applyFont="1" applyBorder="1" applyAlignment="1">
      <alignment vertical="center" wrapText="1"/>
    </xf>
    <xf numFmtId="0" fontId="0" fillId="2" borderId="0" xfId="0" applyFill="1"/>
    <xf numFmtId="166" fontId="0" fillId="0" borderId="0" xfId="0" applyNumberFormat="1"/>
    <xf numFmtId="167" fontId="0" fillId="0" borderId="0" xfId="0" applyNumberFormat="1"/>
    <xf numFmtId="44" fontId="8" fillId="2" borderId="6" xfId="1" applyFont="1" applyFill="1" applyBorder="1"/>
    <xf numFmtId="0" fontId="9" fillId="6" borderId="2" xfId="0" applyFont="1" applyFill="1" applyBorder="1"/>
    <xf numFmtId="44" fontId="0" fillId="0" borderId="2" xfId="1" applyFont="1" applyBorder="1"/>
    <xf numFmtId="0" fontId="0" fillId="0" borderId="0" xfId="0" applyAlignment="1">
      <alignment horizontal="left" vertical="center" wrapText="1"/>
    </xf>
    <xf numFmtId="0" fontId="2" fillId="11" borderId="30" xfId="0" applyFont="1" applyFill="1" applyBorder="1" applyAlignment="1">
      <alignment horizontal="left" vertical="center" wrapText="1"/>
    </xf>
    <xf numFmtId="44" fontId="2" fillId="11" borderId="28" xfId="1" applyFont="1" applyFill="1" applyBorder="1" applyAlignment="1">
      <alignment horizontal="left" vertical="center" wrapText="1"/>
    </xf>
    <xf numFmtId="44" fontId="0" fillId="0" borderId="1" xfId="0" applyNumberFormat="1" applyBorder="1" applyAlignment="1">
      <alignment vertical="center" wrapText="1"/>
    </xf>
    <xf numFmtId="44" fontId="0" fillId="0" borderId="1" xfId="1" applyFont="1" applyBorder="1" applyAlignment="1">
      <alignment vertical="center" wrapText="1"/>
    </xf>
    <xf numFmtId="43" fontId="0" fillId="0" borderId="0" xfId="0" applyNumberFormat="1"/>
    <xf numFmtId="0" fontId="0" fillId="10" borderId="1" xfId="0" applyFill="1" applyBorder="1"/>
    <xf numFmtId="8" fontId="5" fillId="4" borderId="21" xfId="1" applyNumberFormat="1" applyFont="1" applyFill="1" applyBorder="1"/>
    <xf numFmtId="44" fontId="19" fillId="4" borderId="3" xfId="1" applyFont="1" applyFill="1" applyBorder="1"/>
    <xf numFmtId="44" fontId="3" fillId="0" borderId="3" xfId="1" applyFont="1" applyBorder="1" applyAlignment="1">
      <alignment wrapText="1"/>
    </xf>
    <xf numFmtId="8" fontId="5" fillId="4" borderId="13" xfId="1" applyNumberFormat="1" applyFont="1" applyFill="1" applyBorder="1"/>
    <xf numFmtId="44" fontId="5" fillId="4" borderId="1" xfId="1" applyFont="1" applyFill="1" applyBorder="1"/>
    <xf numFmtId="0" fontId="0" fillId="4" borderId="1" xfId="0" applyFill="1" applyBorder="1"/>
    <xf numFmtId="44" fontId="5" fillId="4" borderId="13" xfId="1" applyFont="1" applyFill="1" applyBorder="1"/>
    <xf numFmtId="44" fontId="3" fillId="2" borderId="3" xfId="1" applyFont="1" applyFill="1" applyBorder="1"/>
    <xf numFmtId="0" fontId="0" fillId="0" borderId="7" xfId="0" applyBorder="1" applyAlignment="1">
      <alignment horizontal="left" vertical="center" wrapText="1"/>
    </xf>
    <xf numFmtId="0" fontId="18" fillId="2" borderId="1" xfId="0" applyFont="1" applyFill="1" applyBorder="1"/>
    <xf numFmtId="0" fontId="18" fillId="2" borderId="1" xfId="1" applyNumberFormat="1" applyFont="1" applyFill="1" applyBorder="1" applyAlignment="1"/>
    <xf numFmtId="0" fontId="18" fillId="2" borderId="2" xfId="1" applyNumberFormat="1" applyFont="1" applyFill="1" applyBorder="1" applyAlignment="1"/>
    <xf numFmtId="0" fontId="0" fillId="0" borderId="6" xfId="0" applyBorder="1" applyAlignment="1">
      <alignment horizontal="left" vertical="center"/>
    </xf>
    <xf numFmtId="166" fontId="0" fillId="2" borderId="0" xfId="1" applyNumberFormat="1" applyFont="1" applyFill="1" applyAlignment="1"/>
    <xf numFmtId="0" fontId="13" fillId="0" borderId="1" xfId="0" applyFont="1" applyBorder="1"/>
    <xf numFmtId="0" fontId="13" fillId="0" borderId="1" xfId="0" applyFont="1" applyBorder="1" applyAlignment="1">
      <alignment horizontal="center"/>
    </xf>
    <xf numFmtId="44" fontId="15" fillId="0" borderId="1" xfId="1" applyFont="1" applyBorder="1"/>
    <xf numFmtId="44" fontId="13" fillId="2" borderId="1" xfId="1" applyFont="1" applyFill="1" applyBorder="1"/>
    <xf numFmtId="165" fontId="13" fillId="0" borderId="1" xfId="0" applyNumberFormat="1" applyFont="1" applyBorder="1"/>
    <xf numFmtId="165" fontId="13" fillId="0" borderId="1" xfId="1" applyNumberFormat="1" applyFont="1" applyBorder="1"/>
    <xf numFmtId="165" fontId="13" fillId="0" borderId="6" xfId="1" applyNumberFormat="1" applyFont="1" applyBorder="1"/>
    <xf numFmtId="44" fontId="15" fillId="0" borderId="27" xfId="1" applyFont="1" applyBorder="1"/>
    <xf numFmtId="44" fontId="15" fillId="0" borderId="29" xfId="1" applyFont="1" applyBorder="1"/>
    <xf numFmtId="0" fontId="13" fillId="2" borderId="1" xfId="0" applyFont="1" applyFill="1" applyBorder="1"/>
    <xf numFmtId="44" fontId="15" fillId="2" borderId="1" xfId="1" applyFont="1" applyFill="1" applyBorder="1"/>
    <xf numFmtId="44" fontId="15" fillId="0" borderId="2" xfId="1" applyFont="1" applyBorder="1"/>
    <xf numFmtId="44" fontId="15" fillId="2" borderId="2" xfId="1" applyFont="1" applyFill="1" applyBorder="1"/>
    <xf numFmtId="0" fontId="13" fillId="0" borderId="1" xfId="0" applyFont="1" applyBorder="1" applyAlignment="1">
      <alignment vertical="center" wrapText="1"/>
    </xf>
    <xf numFmtId="0" fontId="13" fillId="0" borderId="2" xfId="0" applyFont="1" applyBorder="1"/>
    <xf numFmtId="0" fontId="13" fillId="4" borderId="13" xfId="0" applyFont="1" applyFill="1" applyBorder="1" applyAlignment="1">
      <alignment horizontal="center"/>
    </xf>
    <xf numFmtId="44" fontId="13" fillId="4" borderId="13" xfId="0" applyNumberFormat="1" applyFont="1" applyFill="1" applyBorder="1"/>
    <xf numFmtId="165" fontId="13" fillId="4" borderId="13" xfId="0" applyNumberFormat="1" applyFont="1" applyFill="1" applyBorder="1"/>
    <xf numFmtId="166" fontId="13" fillId="4" borderId="13" xfId="0" applyNumberFormat="1" applyFont="1" applyFill="1" applyBorder="1"/>
    <xf numFmtId="44" fontId="13" fillId="4" borderId="21" xfId="0" applyNumberFormat="1" applyFont="1" applyFill="1" applyBorder="1"/>
    <xf numFmtId="169" fontId="13" fillId="0" borderId="1" xfId="0" applyNumberFormat="1" applyFont="1" applyBorder="1" applyAlignment="1">
      <alignment horizontal="center"/>
    </xf>
    <xf numFmtId="169" fontId="13" fillId="2" borderId="1" xfId="0" applyNumberFormat="1" applyFont="1" applyFill="1" applyBorder="1" applyAlignment="1">
      <alignment horizont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20" fillId="4" borderId="28" xfId="0" applyFont="1" applyFill="1" applyBorder="1" applyAlignment="1">
      <alignment horizontal="left"/>
    </xf>
    <xf numFmtId="0" fontId="0" fillId="0" borderId="6" xfId="0" applyBorder="1"/>
    <xf numFmtId="0" fontId="0" fillId="0" borderId="7" xfId="0" applyBorder="1"/>
    <xf numFmtId="0" fontId="0" fillId="0" borderId="27" xfId="0" applyBorder="1" applyAlignment="1">
      <alignment horizontal="left" vertical="center"/>
    </xf>
    <xf numFmtId="44" fontId="0" fillId="0" borderId="32" xfId="1" applyFont="1" applyBorder="1" applyAlignment="1">
      <alignment vertical="center" wrapText="1"/>
    </xf>
    <xf numFmtId="0" fontId="2" fillId="11" borderId="33" xfId="0" applyFont="1" applyFill="1" applyBorder="1" applyAlignment="1">
      <alignment horizontal="left" vertical="center" wrapText="1"/>
    </xf>
    <xf numFmtId="44" fontId="2" fillId="11" borderId="34" xfId="1" applyFont="1" applyFill="1" applyBorder="1" applyAlignment="1">
      <alignment horizontal="left" vertical="center" wrapText="1"/>
    </xf>
    <xf numFmtId="44" fontId="13" fillId="0" borderId="0" xfId="1" applyFont="1"/>
    <xf numFmtId="44" fontId="3" fillId="0" borderId="0" xfId="0" applyNumberFormat="1" applyFont="1"/>
    <xf numFmtId="0" fontId="18" fillId="2" borderId="2" xfId="0" applyFont="1" applyFill="1" applyBorder="1"/>
    <xf numFmtId="0" fontId="18" fillId="0" borderId="2" xfId="1" applyNumberFormat="1" applyFont="1" applyBorder="1"/>
    <xf numFmtId="0" fontId="2" fillId="8" borderId="37" xfId="0" applyFont="1" applyFill="1" applyBorder="1"/>
    <xf numFmtId="0" fontId="2" fillId="8" borderId="38" xfId="0" applyFont="1" applyFill="1" applyBorder="1"/>
    <xf numFmtId="0" fontId="2" fillId="8" borderId="39" xfId="0" applyFont="1" applyFill="1" applyBorder="1"/>
    <xf numFmtId="8" fontId="4" fillId="2" borderId="1" xfId="0" applyNumberFormat="1" applyFont="1" applyFill="1" applyBorder="1"/>
    <xf numFmtId="8" fontId="22" fillId="10" borderId="1" xfId="0" applyNumberFormat="1" applyFont="1" applyFill="1" applyBorder="1"/>
    <xf numFmtId="8" fontId="4" fillId="2" borderId="6" xfId="0" applyNumberFormat="1" applyFont="1" applyFill="1" applyBorder="1"/>
    <xf numFmtId="8" fontId="22" fillId="10" borderId="6" xfId="0" applyNumberFormat="1" applyFont="1" applyFill="1" applyBorder="1"/>
    <xf numFmtId="8" fontId="7" fillId="4" borderId="6" xfId="0" applyNumberFormat="1" applyFont="1" applyFill="1" applyBorder="1"/>
    <xf numFmtId="8" fontId="11" fillId="4" borderId="1" xfId="0" applyNumberFormat="1" applyFont="1" applyFill="1" applyBorder="1"/>
    <xf numFmtId="44" fontId="7" fillId="4" borderId="6" xfId="1" applyFont="1" applyFill="1" applyBorder="1"/>
    <xf numFmtId="44" fontId="7" fillId="4" borderId="1" xfId="1" applyFont="1" applyFill="1" applyBorder="1"/>
    <xf numFmtId="44" fontId="4" fillId="4" borderId="1" xfId="1" applyFont="1" applyFill="1" applyBorder="1"/>
    <xf numFmtId="44" fontId="4" fillId="2" borderId="1" xfId="1" applyFont="1" applyFill="1" applyBorder="1"/>
    <xf numFmtId="44" fontId="4" fillId="4" borderId="6" xfId="1" applyFont="1" applyFill="1" applyBorder="1"/>
    <xf numFmtId="44" fontId="7" fillId="4" borderId="6" xfId="1" applyFont="1" applyFill="1" applyBorder="1" applyAlignment="1">
      <alignment horizontal="center"/>
    </xf>
    <xf numFmtId="44" fontId="18" fillId="4" borderId="3" xfId="1" applyFont="1" applyFill="1" applyBorder="1"/>
    <xf numFmtId="44" fontId="10" fillId="4" borderId="13" xfId="1" applyFont="1" applyFill="1" applyBorder="1"/>
    <xf numFmtId="44" fontId="10" fillId="4" borderId="2" xfId="1" applyFont="1" applyFill="1" applyBorder="1"/>
    <xf numFmtId="0" fontId="0" fillId="0" borderId="35" xfId="0" applyBorder="1" applyAlignment="1">
      <alignment horizontal="left" vertical="center" wrapText="1"/>
    </xf>
    <xf numFmtId="44" fontId="20" fillId="8" borderId="13" xfId="1" applyFont="1" applyFill="1" applyBorder="1" applyAlignment="1">
      <alignment vertical="center"/>
    </xf>
    <xf numFmtId="44" fontId="8" fillId="0" borderId="36" xfId="1" applyFont="1" applyBorder="1" applyAlignment="1">
      <alignment vertical="center" wrapText="1"/>
    </xf>
    <xf numFmtId="0" fontId="0" fillId="0" borderId="35" xfId="0" applyBorder="1" applyAlignment="1">
      <alignment horizontal="left" vertical="center"/>
    </xf>
    <xf numFmtId="44" fontId="4" fillId="2" borderId="2" xfId="1" applyFont="1" applyFill="1" applyBorder="1" applyAlignment="1">
      <alignment horizontal="center" wrapText="1"/>
    </xf>
    <xf numFmtId="44" fontId="4" fillId="2" borderId="3" xfId="1" applyFont="1" applyFill="1" applyBorder="1" applyAlignment="1">
      <alignment horizontal="center" wrapText="1"/>
    </xf>
    <xf numFmtId="16" fontId="18" fillId="2" borderId="2" xfId="0" applyNumberFormat="1" applyFont="1" applyFill="1" applyBorder="1" applyAlignment="1">
      <alignment horizontal="left"/>
    </xf>
    <xf numFmtId="16" fontId="18" fillId="2" borderId="3" xfId="0" applyNumberFormat="1" applyFont="1" applyFill="1" applyBorder="1" applyAlignment="1">
      <alignment horizontal="left"/>
    </xf>
    <xf numFmtId="0" fontId="5" fillId="3" borderId="12" xfId="0" applyFont="1" applyFill="1"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28" xfId="0" applyFont="1" applyFill="1" applyBorder="1" applyAlignment="1">
      <alignment horizontal="left" vertical="center" wrapText="1"/>
    </xf>
    <xf numFmtId="0" fontId="2" fillId="7" borderId="0" xfId="0" applyFont="1" applyFill="1" applyAlignment="1">
      <alignment horizontal="left" vertical="center" wrapText="1"/>
    </xf>
    <xf numFmtId="0" fontId="16" fillId="9" borderId="0" xfId="0" applyFont="1" applyFill="1" applyAlignment="1">
      <alignment horizontal="center" vertical="center"/>
    </xf>
    <xf numFmtId="0" fontId="0" fillId="0" borderId="26" xfId="0" applyBorder="1" applyAlignment="1">
      <alignment horizontal="left" vertical="center" wrapText="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0" fillId="0" borderId="31" xfId="0" applyBorder="1" applyAlignment="1">
      <alignment horizontal="left" vertical="center" wrapText="1"/>
    </xf>
    <xf numFmtId="0" fontId="0" fillId="0" borderId="0" xfId="0" applyAlignment="1">
      <alignment horizontal="left"/>
    </xf>
    <xf numFmtId="44" fontId="0" fillId="0" borderId="0" xfId="1" applyFont="1" applyAlignment="1">
      <alignment horizontal="center"/>
    </xf>
    <xf numFmtId="0" fontId="0" fillId="0" borderId="0" xfId="0" applyAlignment="1">
      <alignment horizontal="center"/>
    </xf>
    <xf numFmtId="44" fontId="0" fillId="3" borderId="0" xfId="1" applyFont="1" applyFill="1" applyAlignment="1">
      <alignment horizontal="center"/>
    </xf>
    <xf numFmtId="168" fontId="0" fillId="3" borderId="0" xfId="0" applyNumberFormat="1" applyFill="1" applyAlignment="1">
      <alignment horizontal="center"/>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3" fillId="0" borderId="6" xfId="0" applyFont="1" applyBorder="1"/>
    <xf numFmtId="0" fontId="13" fillId="0" borderId="7" xfId="0" applyFont="1" applyBorder="1"/>
    <xf numFmtId="0" fontId="20" fillId="4" borderId="8" xfId="0" applyFont="1" applyFill="1" applyBorder="1" applyAlignment="1">
      <alignment horizontal="left"/>
    </xf>
    <xf numFmtId="0" fontId="20" fillId="4" borderId="28" xfId="0" applyFont="1" applyFill="1" applyBorder="1" applyAlignment="1">
      <alignment horizontal="left"/>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0" fillId="3" borderId="0" xfId="0" applyFill="1" applyAlignment="1">
      <alignment horizontal="left"/>
    </xf>
    <xf numFmtId="0" fontId="13" fillId="3" borderId="19" xfId="0" applyFont="1" applyFill="1" applyBorder="1" applyAlignment="1">
      <alignment horizontal="center" vertical="center"/>
    </xf>
    <xf numFmtId="0" fontId="14" fillId="3" borderId="18"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4" xfId="0" applyFont="1" applyFill="1" applyBorder="1" applyAlignment="1">
      <alignment horizontal="center" vertical="center" wrapText="1"/>
    </xf>
    <xf numFmtId="0" fontId="2" fillId="9" borderId="14" xfId="0" applyFont="1" applyFill="1" applyBorder="1" applyAlignment="1">
      <alignment horizontal="left" vertical="center" wrapText="1"/>
    </xf>
    <xf numFmtId="0" fontId="2" fillId="9" borderId="12" xfId="0" applyFont="1" applyFill="1" applyBorder="1" applyAlignment="1">
      <alignment horizontal="left" vertical="center" wrapText="1"/>
    </xf>
    <xf numFmtId="0" fontId="2" fillId="9" borderId="15" xfId="0" applyFont="1" applyFill="1" applyBorder="1" applyAlignment="1">
      <alignment horizontal="left" vertical="center" wrapText="1"/>
    </xf>
    <xf numFmtId="0" fontId="2" fillId="9" borderId="16" xfId="0" applyFont="1" applyFill="1" applyBorder="1" applyAlignment="1">
      <alignment horizontal="left" vertical="center" wrapText="1"/>
    </xf>
    <xf numFmtId="0" fontId="2" fillId="9" borderId="0" xfId="0" applyFont="1" applyFill="1" applyAlignment="1">
      <alignment horizontal="left" vertical="center" wrapText="1"/>
    </xf>
    <xf numFmtId="0" fontId="2" fillId="9" borderId="17" xfId="0" applyFont="1" applyFill="1" applyBorder="1" applyAlignment="1">
      <alignment horizontal="left" vertical="center" wrapText="1"/>
    </xf>
    <xf numFmtId="0" fontId="2" fillId="9" borderId="30" xfId="0" applyFont="1" applyFill="1" applyBorder="1" applyAlignment="1">
      <alignment horizontal="left" vertical="center" wrapText="1"/>
    </xf>
    <xf numFmtId="0" fontId="2" fillId="9" borderId="8" xfId="0" applyFont="1" applyFill="1" applyBorder="1" applyAlignment="1">
      <alignment horizontal="left" vertical="center" wrapText="1"/>
    </xf>
    <xf numFmtId="0" fontId="2" fillId="9" borderId="28" xfId="0" applyFont="1" applyFill="1" applyBorder="1" applyAlignment="1">
      <alignment horizontal="left" vertical="center" wrapText="1"/>
    </xf>
    <xf numFmtId="0" fontId="13" fillId="3" borderId="19"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19" xfId="0" applyFont="1" applyFill="1" applyBorder="1" applyAlignment="1">
      <alignment horizontal="center" vertical="center" wrapText="1"/>
    </xf>
    <xf numFmtId="44" fontId="8" fillId="2" borderId="1" xfId="1" applyFont="1" applyFill="1" applyBorder="1"/>
    <xf numFmtId="8" fontId="8" fillId="2" borderId="1" xfId="0" applyNumberFormat="1" applyFont="1" applyFill="1" applyBorder="1" applyAlignment="1">
      <alignment horizontal="right"/>
    </xf>
    <xf numFmtId="8" fontId="8" fillId="2" borderId="1" xfId="0" applyNumberFormat="1" applyFont="1" applyFill="1" applyBorder="1"/>
    <xf numFmtId="44" fontId="8" fillId="0" borderId="1" xfId="1" applyFont="1" applyBorder="1"/>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47625</xdr:rowOff>
    </xdr:from>
    <xdr:to>
      <xdr:col>0</xdr:col>
      <xdr:colOff>2247900</xdr:colOff>
      <xdr:row>2</xdr:row>
      <xdr:rowOff>742950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247650"/>
          <a:ext cx="2162175" cy="107632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9"/>
  <sheetViews>
    <sheetView tabSelected="1" topLeftCell="A36" workbookViewId="0">
      <selection activeCell="D43" sqref="D43:D45"/>
    </sheetView>
  </sheetViews>
  <sheetFormatPr baseColWidth="10" defaultColWidth="10.88671875" defaultRowHeight="14.4" x14ac:dyDescent="0.3"/>
  <cols>
    <col min="1" max="1" width="37.5546875" customWidth="1"/>
    <col min="2" max="2" width="24.6640625" customWidth="1"/>
    <col min="3" max="3" width="15.88671875" hidden="1" customWidth="1"/>
    <col min="4" max="4" width="21.6640625" customWidth="1"/>
    <col min="5" max="5" width="14.6640625" customWidth="1"/>
    <col min="6" max="6" width="13" bestFit="1" customWidth="1"/>
    <col min="7" max="7" width="14.5546875" bestFit="1" customWidth="1"/>
    <col min="8" max="8" width="12" bestFit="1" customWidth="1"/>
    <col min="11" max="11" width="18" customWidth="1"/>
    <col min="12" max="12" width="18.33203125" customWidth="1"/>
  </cols>
  <sheetData>
    <row r="1" spans="1:5" ht="14.4" customHeight="1" x14ac:dyDescent="0.3">
      <c r="A1" s="14"/>
      <c r="B1" s="165" t="s">
        <v>108</v>
      </c>
      <c r="C1" s="165"/>
      <c r="D1" s="165"/>
      <c r="E1" s="51"/>
    </row>
    <row r="2" spans="1:5" x14ac:dyDescent="0.3">
      <c r="A2" s="15"/>
      <c r="B2" s="52" t="s">
        <v>22</v>
      </c>
      <c r="C2" s="52"/>
      <c r="D2" s="52"/>
      <c r="E2" s="53"/>
    </row>
    <row r="3" spans="1:5" ht="70.5" customHeight="1" thickBot="1" x14ac:dyDescent="0.35">
      <c r="A3" s="15"/>
      <c r="B3" s="172" t="s">
        <v>97</v>
      </c>
      <c r="C3" s="172"/>
      <c r="D3" s="172"/>
      <c r="E3" s="173"/>
    </row>
    <row r="4" spans="1:5" ht="15" thickBot="1" x14ac:dyDescent="0.35">
      <c r="A4" s="18" t="s">
        <v>0</v>
      </c>
      <c r="B4" s="54" t="s">
        <v>31</v>
      </c>
      <c r="C4" s="19"/>
      <c r="D4" s="19"/>
      <c r="E4" s="20"/>
    </row>
    <row r="5" spans="1:5" ht="15" thickBot="1" x14ac:dyDescent="0.35">
      <c r="A5" s="15" t="s">
        <v>114</v>
      </c>
      <c r="B5" s="19" t="s">
        <v>128</v>
      </c>
      <c r="C5" s="16"/>
      <c r="D5" s="52" t="s">
        <v>23</v>
      </c>
      <c r="E5" s="17"/>
    </row>
    <row r="6" spans="1:5" ht="15" thickBot="1" x14ac:dyDescent="0.35">
      <c r="A6" s="18" t="s">
        <v>132</v>
      </c>
      <c r="B6" s="19"/>
      <c r="C6" s="19"/>
      <c r="D6" s="19" t="s">
        <v>47</v>
      </c>
      <c r="E6" s="20"/>
    </row>
    <row r="8" spans="1:5" x14ac:dyDescent="0.3">
      <c r="B8" s="175" t="s">
        <v>127</v>
      </c>
      <c r="C8" s="175"/>
    </row>
    <row r="9" spans="1:5" x14ac:dyDescent="0.3">
      <c r="B9" s="175"/>
      <c r="C9" s="175"/>
    </row>
    <row r="10" spans="1:5" x14ac:dyDescent="0.3">
      <c r="B10" s="175"/>
      <c r="C10" s="175"/>
    </row>
    <row r="12" spans="1:5" hidden="1" x14ac:dyDescent="0.3"/>
    <row r="13" spans="1:5" ht="15" customHeight="1" x14ac:dyDescent="0.3">
      <c r="A13" s="174" t="s">
        <v>88</v>
      </c>
      <c r="B13" s="174"/>
      <c r="C13" s="174"/>
      <c r="D13" s="174"/>
      <c r="E13" s="174"/>
    </row>
    <row r="14" spans="1:5" ht="15" customHeight="1" x14ac:dyDescent="0.3">
      <c r="A14" s="174"/>
      <c r="B14" s="174"/>
      <c r="C14" s="174"/>
      <c r="D14" s="174"/>
      <c r="E14" s="174"/>
    </row>
    <row r="15" spans="1:5" ht="15" customHeight="1" x14ac:dyDescent="0.3">
      <c r="A15" s="174"/>
      <c r="B15" s="174"/>
      <c r="C15" s="174"/>
      <c r="D15" s="174"/>
      <c r="E15" s="174"/>
    </row>
    <row r="16" spans="1:5" ht="127.2" customHeight="1" x14ac:dyDescent="0.3">
      <c r="A16" s="174"/>
      <c r="B16" s="174"/>
      <c r="C16" s="174"/>
      <c r="D16" s="174"/>
      <c r="E16" s="174"/>
    </row>
    <row r="17" spans="1:7" ht="14.25" customHeight="1" thickBot="1" x14ac:dyDescent="0.35"/>
    <row r="18" spans="1:7" hidden="1" x14ac:dyDescent="0.3">
      <c r="A18" s="2"/>
    </row>
    <row r="19" spans="1:7" ht="15" hidden="1" thickBot="1" x14ac:dyDescent="0.35"/>
    <row r="20" spans="1:7" x14ac:dyDescent="0.3">
      <c r="A20" s="10" t="s">
        <v>9</v>
      </c>
      <c r="B20" s="11"/>
      <c r="C20" s="12"/>
      <c r="D20" s="8"/>
      <c r="E20" s="13"/>
    </row>
    <row r="21" spans="1:7" x14ac:dyDescent="0.3">
      <c r="A21" s="27" t="s">
        <v>27</v>
      </c>
      <c r="B21" s="27"/>
      <c r="C21" s="27"/>
      <c r="D21" s="26"/>
      <c r="E21" s="26"/>
    </row>
    <row r="22" spans="1:7" x14ac:dyDescent="0.3">
      <c r="A22" s="5" t="s">
        <v>89</v>
      </c>
      <c r="B22" s="5" t="s">
        <v>129</v>
      </c>
      <c r="C22" s="5"/>
      <c r="D22" s="142">
        <v>1122787.6200000001</v>
      </c>
      <c r="E22" s="5"/>
    </row>
    <row r="23" spans="1:7" x14ac:dyDescent="0.3">
      <c r="A23" s="5" t="s">
        <v>90</v>
      </c>
      <c r="B23" s="5"/>
      <c r="C23" s="5"/>
      <c r="D23" s="142">
        <v>-277889.95</v>
      </c>
      <c r="E23" s="5"/>
    </row>
    <row r="24" spans="1:7" x14ac:dyDescent="0.3">
      <c r="A24" s="5" t="s">
        <v>91</v>
      </c>
      <c r="B24" s="5"/>
      <c r="C24" s="5"/>
      <c r="D24" s="142">
        <v>0.33</v>
      </c>
      <c r="E24" s="5"/>
    </row>
    <row r="25" spans="1:7" ht="14.25" customHeight="1" x14ac:dyDescent="0.3">
      <c r="A25" s="44" t="s">
        <v>28</v>
      </c>
      <c r="B25" s="44"/>
      <c r="C25" s="44"/>
      <c r="D25" s="143">
        <f>SUM(D22:D24)</f>
        <v>844898.00000000012</v>
      </c>
      <c r="E25" s="89"/>
      <c r="G25" s="21"/>
    </row>
    <row r="26" spans="1:7" ht="14.25" hidden="1" customHeight="1" x14ac:dyDescent="0.3">
      <c r="A26" s="5" t="s">
        <v>35</v>
      </c>
      <c r="B26" s="5"/>
      <c r="C26" s="5"/>
      <c r="D26" s="142"/>
      <c r="E26" s="5"/>
    </row>
    <row r="27" spans="1:7" hidden="1" x14ac:dyDescent="0.3">
      <c r="A27" s="23"/>
      <c r="B27" s="5"/>
      <c r="C27" s="5"/>
      <c r="D27" s="142"/>
      <c r="E27" s="5"/>
    </row>
    <row r="28" spans="1:7" hidden="1" x14ac:dyDescent="0.3">
      <c r="A28" s="5"/>
      <c r="B28" s="5"/>
      <c r="C28" s="5"/>
      <c r="D28" s="142"/>
      <c r="E28" s="5"/>
    </row>
    <row r="29" spans="1:7" hidden="1" x14ac:dyDescent="0.3">
      <c r="A29" s="5"/>
      <c r="B29" s="5"/>
      <c r="C29" s="5"/>
      <c r="D29" s="144"/>
      <c r="E29" s="5"/>
    </row>
    <row r="30" spans="1:7" ht="0.75" customHeight="1" x14ac:dyDescent="0.3">
      <c r="A30" s="5" t="s">
        <v>32</v>
      </c>
      <c r="B30" s="5"/>
      <c r="C30" s="5"/>
      <c r="D30" s="144"/>
      <c r="E30" s="5"/>
    </row>
    <row r="31" spans="1:7" hidden="1" x14ac:dyDescent="0.3">
      <c r="A31" s="44" t="s">
        <v>28</v>
      </c>
      <c r="B31" s="44"/>
      <c r="C31" s="44"/>
      <c r="D31" s="145">
        <f>SUM(D26:D30)</f>
        <v>0</v>
      </c>
      <c r="E31" s="89"/>
    </row>
    <row r="32" spans="1:7" ht="15" thickBot="1" x14ac:dyDescent="0.35">
      <c r="A32" s="24" t="s">
        <v>1</v>
      </c>
      <c r="B32" s="24"/>
      <c r="C32" s="24"/>
      <c r="D32" s="146"/>
      <c r="E32" s="90">
        <f>D25+D31</f>
        <v>844898.00000000012</v>
      </c>
      <c r="F32" s="21"/>
    </row>
    <row r="33" spans="1:7" x14ac:dyDescent="0.3">
      <c r="A33" s="27" t="s">
        <v>18</v>
      </c>
      <c r="B33" s="27"/>
      <c r="C33" s="27"/>
      <c r="D33" s="147"/>
      <c r="E33" s="91"/>
    </row>
    <row r="34" spans="1:7" ht="15" customHeight="1" x14ac:dyDescent="0.3">
      <c r="A34" s="170" t="s">
        <v>142</v>
      </c>
      <c r="B34" s="171"/>
      <c r="C34" s="41"/>
      <c r="D34" s="213">
        <v>45000</v>
      </c>
      <c r="E34" s="92" t="s">
        <v>143</v>
      </c>
    </row>
    <row r="35" spans="1:7" ht="15" customHeight="1" thickBot="1" x14ac:dyDescent="0.35">
      <c r="A35" s="170" t="s">
        <v>137</v>
      </c>
      <c r="B35" s="171"/>
      <c r="C35" s="41"/>
      <c r="D35" s="212">
        <v>120000</v>
      </c>
      <c r="E35" s="92"/>
    </row>
    <row r="36" spans="1:7" ht="15" thickBot="1" x14ac:dyDescent="0.35">
      <c r="A36" s="24" t="s">
        <v>15</v>
      </c>
      <c r="B36" s="24"/>
      <c r="C36" s="24"/>
      <c r="D36" s="148"/>
      <c r="E36" s="93">
        <f>SUM(D34:D35)</f>
        <v>165000</v>
      </c>
    </row>
    <row r="37" spans="1:7" x14ac:dyDescent="0.3">
      <c r="A37" s="27" t="s">
        <v>25</v>
      </c>
      <c r="B37" s="24"/>
      <c r="C37" s="24"/>
      <c r="D37" s="149"/>
      <c r="E37" s="94"/>
    </row>
    <row r="38" spans="1:7" s="30" customFormat="1" ht="14.25" customHeight="1" x14ac:dyDescent="0.3">
      <c r="A38" s="176" t="s">
        <v>96</v>
      </c>
      <c r="B38" s="177"/>
      <c r="C38" s="42"/>
      <c r="D38" s="161">
        <v>65251.97</v>
      </c>
      <c r="E38" s="163" t="s">
        <v>115</v>
      </c>
    </row>
    <row r="39" spans="1:7" ht="14.25" customHeight="1" x14ac:dyDescent="0.3">
      <c r="A39" s="178"/>
      <c r="B39" s="179"/>
      <c r="C39" s="42"/>
      <c r="D39" s="162"/>
      <c r="E39" s="164"/>
    </row>
    <row r="40" spans="1:7" ht="15" thickBot="1" x14ac:dyDescent="0.35">
      <c r="A40" s="24" t="s">
        <v>2</v>
      </c>
      <c r="B40" s="24"/>
      <c r="C40" s="24"/>
      <c r="D40" s="148"/>
      <c r="E40" s="58">
        <f>SUM(D38:D39)</f>
        <v>65251.97</v>
      </c>
    </row>
    <row r="41" spans="1:7" x14ac:dyDescent="0.3">
      <c r="A41" s="27" t="s">
        <v>16</v>
      </c>
      <c r="B41" s="95"/>
      <c r="C41" s="95"/>
      <c r="D41" s="150"/>
      <c r="E41" s="154"/>
    </row>
    <row r="42" spans="1:7" x14ac:dyDescent="0.3">
      <c r="A42" s="5" t="s">
        <v>37</v>
      </c>
      <c r="B42" s="5"/>
      <c r="C42" s="41"/>
      <c r="D42" s="214">
        <v>646408.72</v>
      </c>
      <c r="E42" s="99" t="s">
        <v>115</v>
      </c>
      <c r="G42" s="77"/>
    </row>
    <row r="43" spans="1:7" x14ac:dyDescent="0.3">
      <c r="A43" s="5" t="s">
        <v>130</v>
      </c>
      <c r="B43" s="5" t="s">
        <v>100</v>
      </c>
      <c r="C43" s="5"/>
      <c r="D43" s="211">
        <v>50525.440000000002</v>
      </c>
      <c r="E43" s="99" t="s">
        <v>116</v>
      </c>
    </row>
    <row r="44" spans="1:7" x14ac:dyDescent="0.3">
      <c r="A44" s="5" t="str">
        <f>A43</f>
        <v>Sindicatos mes de MAYO</v>
      </c>
      <c r="B44" s="5" t="s">
        <v>99</v>
      </c>
      <c r="C44" s="5"/>
      <c r="D44" s="211">
        <v>94598.2</v>
      </c>
      <c r="E44" s="100" t="str">
        <f>E43</f>
        <v>Debito 13/04</v>
      </c>
    </row>
    <row r="45" spans="1:7" x14ac:dyDescent="0.3">
      <c r="A45" s="5" t="str">
        <f>A44</f>
        <v>Sindicatos mes de MAYO</v>
      </c>
      <c r="B45" s="5" t="s">
        <v>98</v>
      </c>
      <c r="C45" s="5"/>
      <c r="D45" s="211">
        <v>5613.94</v>
      </c>
      <c r="E45" s="101" t="str">
        <f>E44</f>
        <v>Debito 13/04</v>
      </c>
    </row>
    <row r="46" spans="1:7" ht="15" customHeight="1" thickBot="1" x14ac:dyDescent="0.35">
      <c r="A46" s="24" t="s">
        <v>3</v>
      </c>
      <c r="B46" s="95"/>
      <c r="C46" s="95"/>
      <c r="D46" s="152"/>
      <c r="E46" s="58">
        <f>SUM(D42:D45)</f>
        <v>797146.29999999981</v>
      </c>
    </row>
    <row r="47" spans="1:7" x14ac:dyDescent="0.3">
      <c r="A47" s="27" t="s">
        <v>17</v>
      </c>
      <c r="B47" s="95"/>
      <c r="C47" s="95"/>
      <c r="D47" s="150"/>
      <c r="E47" s="154"/>
    </row>
    <row r="48" spans="1:7" ht="14.25" customHeight="1" x14ac:dyDescent="0.3">
      <c r="A48" s="5" t="s">
        <v>92</v>
      </c>
      <c r="B48" s="5"/>
      <c r="C48" s="5"/>
      <c r="D48" s="211">
        <v>362202.08</v>
      </c>
      <c r="E48" s="99" t="s">
        <v>144</v>
      </c>
    </row>
    <row r="49" spans="1:7" ht="14.25" customHeight="1" x14ac:dyDescent="0.3">
      <c r="A49" s="129" t="s">
        <v>93</v>
      </c>
      <c r="B49" s="130"/>
      <c r="C49" s="5"/>
      <c r="D49" s="211">
        <v>345591.71</v>
      </c>
      <c r="E49" s="99" t="s">
        <v>115</v>
      </c>
    </row>
    <row r="50" spans="1:7" ht="15" thickBot="1" x14ac:dyDescent="0.35">
      <c r="A50" s="24" t="s">
        <v>4</v>
      </c>
      <c r="B50" s="24"/>
      <c r="C50" s="24"/>
      <c r="D50" s="153"/>
      <c r="E50" s="58">
        <f>SUM(D48:D49)</f>
        <v>707793.79</v>
      </c>
    </row>
    <row r="51" spans="1:7" ht="15" customHeight="1" thickBot="1" x14ac:dyDescent="0.35">
      <c r="A51" s="27"/>
      <c r="B51" s="24"/>
      <c r="C51" s="24"/>
      <c r="D51" s="148"/>
      <c r="E51" s="155"/>
    </row>
    <row r="52" spans="1:7" ht="20.100000000000001" customHeight="1" x14ac:dyDescent="0.3">
      <c r="A52" s="102" t="s">
        <v>95</v>
      </c>
      <c r="B52" s="98"/>
      <c r="C52" s="5"/>
      <c r="D52" s="151">
        <v>24292.79</v>
      </c>
      <c r="E52" s="99" t="s">
        <v>115</v>
      </c>
    </row>
    <row r="53" spans="1:7" ht="20.100000000000001" customHeight="1" x14ac:dyDescent="0.3">
      <c r="A53" s="102" t="s">
        <v>121</v>
      </c>
      <c r="B53" s="98"/>
      <c r="C53" s="5"/>
      <c r="D53" s="211">
        <v>105000</v>
      </c>
      <c r="E53" s="138" t="s">
        <v>145</v>
      </c>
    </row>
    <row r="54" spans="1:7" ht="20.100000000000001" customHeight="1" x14ac:dyDescent="0.3">
      <c r="A54" s="102" t="s">
        <v>123</v>
      </c>
      <c r="B54" s="98"/>
      <c r="C54" s="5"/>
      <c r="D54" s="151">
        <v>125300</v>
      </c>
      <c r="E54" s="138" t="s">
        <v>122</v>
      </c>
    </row>
    <row r="55" spans="1:7" ht="20.100000000000001" customHeight="1" x14ac:dyDescent="0.3">
      <c r="A55" s="102" t="s">
        <v>133</v>
      </c>
      <c r="B55" s="98"/>
      <c r="C55" s="5"/>
      <c r="D55" s="151">
        <v>125300</v>
      </c>
      <c r="E55" s="138" t="s">
        <v>122</v>
      </c>
    </row>
    <row r="56" spans="1:7" ht="20.100000000000001" customHeight="1" x14ac:dyDescent="0.3">
      <c r="A56" s="102" t="s">
        <v>134</v>
      </c>
      <c r="B56" s="98"/>
      <c r="C56" s="5"/>
      <c r="D56" s="151">
        <v>6534</v>
      </c>
      <c r="E56" s="138" t="s">
        <v>122</v>
      </c>
    </row>
    <row r="57" spans="1:7" ht="36.6" customHeight="1" x14ac:dyDescent="0.3">
      <c r="A57" s="168" t="s">
        <v>147</v>
      </c>
      <c r="B57" s="169"/>
      <c r="C57" s="5"/>
      <c r="D57" s="211">
        <v>80700</v>
      </c>
      <c r="E57" s="138" t="s">
        <v>148</v>
      </c>
      <c r="G57" s="33"/>
    </row>
    <row r="58" spans="1:7" ht="20.100000000000001" customHeight="1" x14ac:dyDescent="0.3">
      <c r="A58" s="102" t="s">
        <v>146</v>
      </c>
      <c r="B58" s="98"/>
      <c r="C58" s="5"/>
      <c r="D58" s="211">
        <v>27000</v>
      </c>
      <c r="E58" s="138"/>
    </row>
    <row r="59" spans="1:7" ht="42.75" customHeight="1" x14ac:dyDescent="0.3">
      <c r="A59" s="168" t="s">
        <v>141</v>
      </c>
      <c r="B59" s="169"/>
      <c r="C59" s="5"/>
      <c r="D59" s="211">
        <v>666105</v>
      </c>
      <c r="E59" s="138" t="s">
        <v>139</v>
      </c>
    </row>
    <row r="60" spans="1:7" ht="22.8" customHeight="1" x14ac:dyDescent="0.3">
      <c r="A60" s="168" t="s">
        <v>136</v>
      </c>
      <c r="B60" s="169"/>
      <c r="C60" s="5"/>
      <c r="D60" s="211">
        <v>120000</v>
      </c>
      <c r="E60" s="138" t="s">
        <v>122</v>
      </c>
    </row>
    <row r="61" spans="1:7" ht="20.100000000000001" customHeight="1" x14ac:dyDescent="0.3">
      <c r="A61" s="102" t="s">
        <v>138</v>
      </c>
      <c r="B61" s="98"/>
      <c r="C61" s="5"/>
      <c r="D61" s="211">
        <v>27200</v>
      </c>
      <c r="E61" s="138" t="s">
        <v>139</v>
      </c>
    </row>
    <row r="62" spans="1:7" ht="20.100000000000001" customHeight="1" x14ac:dyDescent="0.3">
      <c r="A62" s="102" t="s">
        <v>140</v>
      </c>
      <c r="B62" s="98"/>
      <c r="C62" s="5"/>
      <c r="D62" s="211">
        <v>11452.78</v>
      </c>
      <c r="E62" s="137"/>
    </row>
    <row r="63" spans="1:7" ht="20.100000000000001" customHeight="1" x14ac:dyDescent="0.3">
      <c r="A63" s="102"/>
      <c r="B63" s="98"/>
      <c r="C63" s="5"/>
      <c r="D63" s="151"/>
      <c r="E63" s="137"/>
    </row>
    <row r="64" spans="1:7" ht="15" thickBot="1" x14ac:dyDescent="0.35">
      <c r="A64" s="24" t="s">
        <v>8</v>
      </c>
      <c r="B64" s="27"/>
      <c r="C64" s="27"/>
      <c r="D64" s="26"/>
      <c r="E64" s="156">
        <f>SUM(D52:D63)</f>
        <v>1318884.57</v>
      </c>
    </row>
    <row r="65" spans="1:12" ht="15" thickBot="1" x14ac:dyDescent="0.35">
      <c r="A65" s="27" t="s">
        <v>11</v>
      </c>
      <c r="B65" s="49"/>
      <c r="C65" s="24"/>
      <c r="D65" s="146"/>
      <c r="E65" s="96"/>
    </row>
    <row r="66" spans="1:12" x14ac:dyDescent="0.3">
      <c r="A66" s="5" t="s">
        <v>46</v>
      </c>
      <c r="B66" s="5"/>
      <c r="C66" s="5"/>
      <c r="D66" s="151">
        <v>57500</v>
      </c>
      <c r="E66" s="97"/>
    </row>
    <row r="67" spans="1:12" x14ac:dyDescent="0.3">
      <c r="A67" s="5" t="s">
        <v>45</v>
      </c>
      <c r="B67" s="5"/>
      <c r="C67" s="5"/>
      <c r="D67" s="151">
        <f>65392.09-0.07</f>
        <v>65392.02</v>
      </c>
      <c r="E67" s="31"/>
    </row>
    <row r="68" spans="1:12" ht="15" thickBot="1" x14ac:dyDescent="0.35">
      <c r="A68" s="40" t="s">
        <v>15</v>
      </c>
      <c r="B68" s="40"/>
      <c r="C68" s="40"/>
      <c r="D68" s="63"/>
      <c r="E68" s="58">
        <f>SUM(D66:D67)</f>
        <v>122892.01999999999</v>
      </c>
    </row>
    <row r="69" spans="1:12" ht="15" thickBot="1" x14ac:dyDescent="0.35">
      <c r="A69" s="5"/>
      <c r="B69" s="5"/>
      <c r="C69" s="5"/>
      <c r="D69" s="57"/>
      <c r="E69" s="64"/>
    </row>
    <row r="70" spans="1:12" ht="15" thickBot="1" x14ac:dyDescent="0.35">
      <c r="A70" s="25" t="s">
        <v>126</v>
      </c>
      <c r="B70" s="25"/>
      <c r="C70" s="25"/>
      <c r="D70" s="65"/>
      <c r="E70" s="66">
        <f>4095718.96-3251841.04</f>
        <v>843877.91999999993</v>
      </c>
    </row>
    <row r="71" spans="1:12" ht="15" thickBot="1" x14ac:dyDescent="0.35">
      <c r="A71" s="1"/>
      <c r="D71" s="67"/>
      <c r="E71" s="68"/>
      <c r="F71" s="33"/>
    </row>
    <row r="72" spans="1:12" ht="15" thickBot="1" x14ac:dyDescent="0.35">
      <c r="A72" s="3" t="s">
        <v>12</v>
      </c>
      <c r="B72" s="9"/>
      <c r="C72" s="4"/>
      <c r="D72" s="69"/>
      <c r="E72" s="70">
        <f>(SUM(E28:E70))</f>
        <v>4865744.57</v>
      </c>
      <c r="F72" s="88"/>
      <c r="G72" s="33"/>
      <c r="H72" s="77"/>
      <c r="I72" s="77"/>
      <c r="J72" s="77"/>
      <c r="K72" s="77"/>
      <c r="L72" s="77"/>
    </row>
    <row r="73" spans="1:12" x14ac:dyDescent="0.3">
      <c r="D73" s="67"/>
      <c r="E73" s="67"/>
      <c r="H73" s="77"/>
      <c r="I73" s="77"/>
      <c r="J73" s="77"/>
      <c r="K73" s="77"/>
      <c r="L73" s="77"/>
    </row>
    <row r="74" spans="1:12" ht="15" thickBot="1" x14ac:dyDescent="0.35">
      <c r="D74" s="67"/>
      <c r="E74" s="67"/>
      <c r="H74" s="103"/>
    </row>
    <row r="75" spans="1:12" x14ac:dyDescent="0.3">
      <c r="A75" s="10" t="s">
        <v>36</v>
      </c>
      <c r="B75" s="11"/>
      <c r="C75" s="12"/>
      <c r="D75" s="71"/>
      <c r="E75" s="72"/>
    </row>
    <row r="76" spans="1:12" ht="15" customHeight="1" x14ac:dyDescent="0.3">
      <c r="A76" s="168"/>
      <c r="B76" s="169"/>
      <c r="C76" s="5"/>
      <c r="D76" s="80"/>
      <c r="E76" s="59"/>
    </row>
    <row r="77" spans="1:12" x14ac:dyDescent="0.3">
      <c r="A77" s="168"/>
      <c r="B77" s="169"/>
      <c r="C77" s="5"/>
      <c r="D77" s="61"/>
      <c r="E77" s="59"/>
    </row>
    <row r="78" spans="1:12" ht="15.75" customHeight="1" x14ac:dyDescent="0.3">
      <c r="A78" s="170"/>
      <c r="B78" s="171"/>
      <c r="C78" s="5"/>
      <c r="D78" s="61"/>
      <c r="E78" s="59"/>
    </row>
    <row r="79" spans="1:12" x14ac:dyDescent="0.3">
      <c r="A79" s="60"/>
      <c r="B79" s="62"/>
      <c r="C79" s="5"/>
      <c r="D79" s="61"/>
      <c r="E79" s="59"/>
    </row>
    <row r="80" spans="1:12" x14ac:dyDescent="0.3">
      <c r="A80" s="38"/>
      <c r="B80" s="37"/>
      <c r="C80" s="37"/>
      <c r="D80" s="45"/>
      <c r="E80" s="45">
        <f>SUM(D76:D79)</f>
        <v>0</v>
      </c>
    </row>
    <row r="81" spans="1:6" ht="15" customHeight="1" thickBot="1" x14ac:dyDescent="0.35"/>
    <row r="82" spans="1:6" ht="15" hidden="1" thickBot="1" x14ac:dyDescent="0.35"/>
    <row r="83" spans="1:6" ht="15" thickBot="1" x14ac:dyDescent="0.35">
      <c r="A83" s="139" t="s">
        <v>125</v>
      </c>
      <c r="B83" s="140"/>
      <c r="C83" s="140"/>
      <c r="D83" s="141"/>
      <c r="E83" s="158">
        <v>120000</v>
      </c>
    </row>
    <row r="84" spans="1:6" ht="15" thickBot="1" x14ac:dyDescent="0.35"/>
    <row r="85" spans="1:6" ht="15" thickBot="1" x14ac:dyDescent="0.35">
      <c r="A85" s="3" t="s">
        <v>19</v>
      </c>
      <c r="B85" s="9"/>
      <c r="C85" s="4"/>
      <c r="D85" s="4"/>
      <c r="E85" s="50">
        <f>E80+E83</f>
        <v>120000</v>
      </c>
    </row>
    <row r="86" spans="1:6" ht="15" thickBot="1" x14ac:dyDescent="0.35"/>
    <row r="87" spans="1:6" ht="15" thickBot="1" x14ac:dyDescent="0.35">
      <c r="A87" s="55" t="s">
        <v>13</v>
      </c>
      <c r="B87" s="56">
        <f>E72</f>
        <v>4865744.57</v>
      </c>
    </row>
    <row r="88" spans="1:6" ht="15" thickBot="1" x14ac:dyDescent="0.35">
      <c r="A88" s="55" t="s">
        <v>14</v>
      </c>
      <c r="B88" s="56">
        <f>E72-E70</f>
        <v>4021866.6500000004</v>
      </c>
    </row>
    <row r="89" spans="1:6" ht="15" thickBot="1" x14ac:dyDescent="0.35">
      <c r="A89" s="55" t="s">
        <v>20</v>
      </c>
      <c r="B89" s="56">
        <f>E85-E83</f>
        <v>0</v>
      </c>
    </row>
    <row r="90" spans="1:6" ht="15" thickBot="1" x14ac:dyDescent="0.35">
      <c r="A90" s="55" t="s">
        <v>33</v>
      </c>
      <c r="B90" s="56">
        <f>E85</f>
        <v>120000</v>
      </c>
    </row>
    <row r="93" spans="1:6" x14ac:dyDescent="0.3">
      <c r="A93" s="81" t="s">
        <v>107</v>
      </c>
      <c r="B93" s="82">
        <v>519937.39999999991</v>
      </c>
    </row>
    <row r="94" spans="1:6" x14ac:dyDescent="0.3">
      <c r="A94" s="131" t="s">
        <v>111</v>
      </c>
      <c r="B94" s="132">
        <f>PRORRATEO!G38</f>
        <v>290000</v>
      </c>
      <c r="C94" s="22"/>
      <c r="D94" s="33"/>
      <c r="E94" s="78"/>
      <c r="F94" s="79"/>
    </row>
    <row r="95" spans="1:6" x14ac:dyDescent="0.3">
      <c r="A95" s="160" t="s">
        <v>135</v>
      </c>
      <c r="B95" s="159">
        <v>-120000</v>
      </c>
      <c r="C95" s="22"/>
      <c r="D95" s="33"/>
      <c r="E95" s="78"/>
      <c r="F95" s="79"/>
    </row>
    <row r="96" spans="1:6" x14ac:dyDescent="0.3">
      <c r="A96" s="160" t="s">
        <v>131</v>
      </c>
      <c r="B96" s="159">
        <v>-120000</v>
      </c>
      <c r="C96" s="22"/>
      <c r="D96" s="33"/>
      <c r="E96" s="78"/>
      <c r="F96" s="79"/>
    </row>
    <row r="97" spans="1:6" x14ac:dyDescent="0.3">
      <c r="A97" s="160" t="s">
        <v>119</v>
      </c>
      <c r="B97" s="159">
        <v>-27000</v>
      </c>
      <c r="C97" s="22"/>
      <c r="D97" s="33"/>
      <c r="E97" s="78"/>
      <c r="F97" s="79"/>
    </row>
    <row r="98" spans="1:6" ht="29.25" customHeight="1" x14ac:dyDescent="0.3">
      <c r="A98" s="157" t="s">
        <v>117</v>
      </c>
      <c r="B98" s="159">
        <v>-18000</v>
      </c>
      <c r="C98" s="22"/>
      <c r="D98" s="33"/>
      <c r="E98" s="78"/>
      <c r="F98" s="79"/>
    </row>
    <row r="99" spans="1:6" x14ac:dyDescent="0.3">
      <c r="A99" s="157" t="s">
        <v>118</v>
      </c>
      <c r="B99" s="159">
        <v>-31100</v>
      </c>
      <c r="C99" s="22"/>
      <c r="D99" s="33"/>
      <c r="E99" s="78"/>
      <c r="F99" s="79"/>
    </row>
    <row r="100" spans="1:6" ht="15" thickBot="1" x14ac:dyDescent="0.35">
      <c r="A100" s="133" t="s">
        <v>38</v>
      </c>
      <c r="B100" s="134">
        <f>SUM(B93:C99)</f>
        <v>493837.39999999991</v>
      </c>
      <c r="C100" s="22"/>
    </row>
    <row r="101" spans="1:6" s="30" customFormat="1" x14ac:dyDescent="0.3">
      <c r="A101"/>
      <c r="B101" s="32"/>
      <c r="C101" s="29"/>
    </row>
    <row r="102" spans="1:6" s="30" customFormat="1" x14ac:dyDescent="0.3">
      <c r="A102" s="81" t="s">
        <v>44</v>
      </c>
      <c r="B102" s="82">
        <v>560288.74300000072</v>
      </c>
      <c r="C102" s="29"/>
      <c r="D102" s="36"/>
    </row>
    <row r="103" spans="1:6" x14ac:dyDescent="0.3">
      <c r="A103" s="42" t="s">
        <v>40</v>
      </c>
      <c r="B103" s="86">
        <f>-B88</f>
        <v>-4021866.6500000004</v>
      </c>
    </row>
    <row r="104" spans="1:6" x14ac:dyDescent="0.3">
      <c r="A104" s="42" t="s">
        <v>41</v>
      </c>
      <c r="B104" s="86">
        <f>-B89</f>
        <v>0</v>
      </c>
    </row>
    <row r="105" spans="1:6" x14ac:dyDescent="0.3">
      <c r="A105" s="42" t="s">
        <v>43</v>
      </c>
      <c r="B105" s="86">
        <f>B114</f>
        <v>0</v>
      </c>
    </row>
    <row r="106" spans="1:6" x14ac:dyDescent="0.3">
      <c r="A106" s="42" t="s">
        <v>42</v>
      </c>
      <c r="B106" s="87">
        <f>PRORRATEO!G37</f>
        <v>4007972.100000001</v>
      </c>
    </row>
    <row r="107" spans="1:6" ht="15" thickBot="1" x14ac:dyDescent="0.35">
      <c r="A107" s="84" t="s">
        <v>38</v>
      </c>
      <c r="B107" s="85">
        <f>SUM(B102:C106)</f>
        <v>546394.19300000137</v>
      </c>
      <c r="D107" s="32"/>
      <c r="E107" s="33"/>
    </row>
    <row r="108" spans="1:6" x14ac:dyDescent="0.3">
      <c r="A108" s="83"/>
      <c r="B108" s="83"/>
    </row>
    <row r="109" spans="1:6" ht="34.5" customHeight="1" x14ac:dyDescent="0.3"/>
    <row r="110" spans="1:6" x14ac:dyDescent="0.3">
      <c r="A110" s="167" t="s">
        <v>26</v>
      </c>
      <c r="B110" s="167"/>
      <c r="C110" s="167"/>
    </row>
    <row r="111" spans="1:6" x14ac:dyDescent="0.3">
      <c r="A111" s="167"/>
      <c r="B111" s="167"/>
      <c r="C111" s="167"/>
    </row>
    <row r="112" spans="1:6" ht="35.25" customHeight="1" x14ac:dyDescent="0.3">
      <c r="A112" s="74"/>
      <c r="B112" s="28"/>
      <c r="C112" s="28">
        <v>40000</v>
      </c>
      <c r="E112" s="88"/>
    </row>
    <row r="113" spans="1:13" ht="27" customHeight="1" x14ac:dyDescent="0.3">
      <c r="A113" s="74"/>
      <c r="B113" s="76"/>
      <c r="C113" s="73"/>
      <c r="D113" s="88"/>
    </row>
    <row r="114" spans="1:13" x14ac:dyDescent="0.3">
      <c r="A114" s="34" t="s">
        <v>8</v>
      </c>
      <c r="B114" s="75">
        <f>SUM(B112:B113)</f>
        <v>0</v>
      </c>
      <c r="C114" s="35"/>
    </row>
    <row r="115" spans="1:13" x14ac:dyDescent="0.3">
      <c r="M115" s="7"/>
    </row>
    <row r="116" spans="1:13" ht="15" customHeight="1" x14ac:dyDescent="0.3">
      <c r="A116" s="166"/>
      <c r="B116" s="166"/>
      <c r="C116" s="166"/>
      <c r="D116" s="166"/>
      <c r="E116" s="166"/>
    </row>
    <row r="117" spans="1:13" x14ac:dyDescent="0.3">
      <c r="A117" s="166"/>
      <c r="B117" s="166"/>
      <c r="C117" s="166"/>
      <c r="D117" s="166"/>
      <c r="E117" s="166"/>
    </row>
    <row r="118" spans="1:13" x14ac:dyDescent="0.3">
      <c r="A118" s="166"/>
      <c r="B118" s="166"/>
      <c r="C118" s="166"/>
      <c r="D118" s="166"/>
      <c r="E118" s="166"/>
    </row>
    <row r="119" spans="1:13" x14ac:dyDescent="0.3">
      <c r="A119" s="166"/>
      <c r="B119" s="166"/>
      <c r="C119" s="166"/>
      <c r="D119" s="166"/>
      <c r="E119" s="166"/>
    </row>
  </sheetData>
  <mergeCells count="17">
    <mergeCell ref="A57:B57"/>
    <mergeCell ref="D38:D39"/>
    <mergeCell ref="E38:E39"/>
    <mergeCell ref="B1:D1"/>
    <mergeCell ref="A116:E119"/>
    <mergeCell ref="A110:C111"/>
    <mergeCell ref="A77:B77"/>
    <mergeCell ref="A76:B76"/>
    <mergeCell ref="A78:B78"/>
    <mergeCell ref="A35:B35"/>
    <mergeCell ref="A34:B34"/>
    <mergeCell ref="B3:E3"/>
    <mergeCell ref="A13:E16"/>
    <mergeCell ref="B8:C10"/>
    <mergeCell ref="A38:B39"/>
    <mergeCell ref="A59:B59"/>
    <mergeCell ref="A60:B60"/>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4"/>
  <sheetViews>
    <sheetView zoomScaleNormal="100" workbookViewId="0">
      <selection activeCell="Q2" sqref="Q2"/>
    </sheetView>
  </sheetViews>
  <sheetFormatPr baseColWidth="10" defaultColWidth="10.88671875" defaultRowHeight="14.4" x14ac:dyDescent="0.3"/>
  <cols>
    <col min="1" max="1" width="4.33203125" customWidth="1"/>
    <col min="2" max="2" width="6.5546875" customWidth="1"/>
    <col min="3" max="3" width="20.44140625" customWidth="1"/>
    <col min="4" max="4" width="22.33203125" customWidth="1"/>
    <col min="5" max="5" width="8.44140625" customWidth="1"/>
    <col min="6" max="7" width="14.109375" customWidth="1"/>
    <col min="8" max="8" width="7.33203125" hidden="1" customWidth="1"/>
    <col min="9" max="9" width="10.5546875" customWidth="1"/>
    <col min="10" max="11" width="9.5546875" customWidth="1"/>
    <col min="12" max="13" width="12.44140625" customWidth="1"/>
    <col min="14" max="14" width="14.6640625" customWidth="1"/>
    <col min="15" max="15" width="14.33203125" customWidth="1"/>
    <col min="16" max="16" width="7.33203125" bestFit="1" customWidth="1"/>
    <col min="17" max="17" width="14.33203125" bestFit="1" customWidth="1"/>
    <col min="18" max="18" width="13.5546875" bestFit="1" customWidth="1"/>
  </cols>
  <sheetData>
    <row r="1" spans="1:18" ht="12.6" customHeight="1" x14ac:dyDescent="0.3">
      <c r="A1" s="6"/>
      <c r="B1" s="6"/>
      <c r="C1" s="6"/>
      <c r="D1" s="6"/>
      <c r="E1" s="193"/>
      <c r="F1" s="193"/>
      <c r="G1" s="193"/>
      <c r="H1" s="193"/>
      <c r="I1" s="193"/>
      <c r="J1" s="193"/>
      <c r="K1" s="193"/>
      <c r="L1" s="193"/>
      <c r="M1" s="193"/>
      <c r="N1" s="193"/>
      <c r="O1" s="6"/>
    </row>
    <row r="2" spans="1:18" ht="12.9" customHeight="1" x14ac:dyDescent="0.3">
      <c r="A2" s="6"/>
      <c r="B2" s="6"/>
      <c r="C2" s="6" t="s">
        <v>48</v>
      </c>
      <c r="D2" s="184">
        <v>120000</v>
      </c>
      <c r="E2" s="184"/>
      <c r="F2" s="6"/>
      <c r="G2" s="184"/>
      <c r="H2" s="184"/>
      <c r="I2" s="184"/>
      <c r="J2" s="6"/>
      <c r="K2" s="6"/>
      <c r="L2" s="6" t="s">
        <v>105</v>
      </c>
      <c r="M2" s="183">
        <f>Q2</f>
        <v>4095718.96</v>
      </c>
      <c r="N2" s="183"/>
      <c r="O2" s="43"/>
      <c r="P2" s="21"/>
      <c r="Q2">
        <v>4095718.96</v>
      </c>
    </row>
    <row r="3" spans="1:18" ht="12.9" customHeight="1" thickBot="1" x14ac:dyDescent="0.35">
      <c r="A3" s="6"/>
      <c r="B3" s="6"/>
      <c r="C3" s="6"/>
      <c r="D3" s="6"/>
      <c r="E3" s="6"/>
      <c r="F3" s="6"/>
      <c r="G3" s="6"/>
      <c r="H3" s="6"/>
      <c r="I3" s="6"/>
      <c r="J3" s="6"/>
      <c r="K3" s="6"/>
      <c r="L3" s="6"/>
      <c r="M3" s="6"/>
      <c r="N3" s="46"/>
      <c r="O3" s="46"/>
    </row>
    <row r="4" spans="1:18" ht="12.9" customHeight="1" x14ac:dyDescent="0.3">
      <c r="A4" s="199" t="str">
        <f>RESUMEN!A13</f>
        <v>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v>
      </c>
      <c r="B4" s="200"/>
      <c r="C4" s="200"/>
      <c r="D4" s="200"/>
      <c r="E4" s="200"/>
      <c r="F4" s="200"/>
      <c r="G4" s="200"/>
      <c r="H4" s="200"/>
      <c r="I4" s="200"/>
      <c r="J4" s="200"/>
      <c r="K4" s="200"/>
      <c r="L4" s="200"/>
      <c r="M4" s="200"/>
      <c r="N4" s="200"/>
      <c r="O4" s="201"/>
    </row>
    <row r="5" spans="1:18" ht="12.9" customHeight="1" x14ac:dyDescent="0.3">
      <c r="A5" s="202"/>
      <c r="B5" s="203"/>
      <c r="C5" s="203"/>
      <c r="D5" s="203"/>
      <c r="E5" s="203"/>
      <c r="F5" s="203"/>
      <c r="G5" s="203"/>
      <c r="H5" s="203"/>
      <c r="I5" s="203"/>
      <c r="J5" s="203"/>
      <c r="K5" s="203"/>
      <c r="L5" s="203"/>
      <c r="M5" s="203"/>
      <c r="N5" s="203"/>
      <c r="O5" s="204"/>
    </row>
    <row r="6" spans="1:18" ht="12.9" customHeight="1" x14ac:dyDescent="0.3">
      <c r="A6" s="202"/>
      <c r="B6" s="203"/>
      <c r="C6" s="203"/>
      <c r="D6" s="203"/>
      <c r="E6" s="203"/>
      <c r="F6" s="203"/>
      <c r="G6" s="203"/>
      <c r="H6" s="203"/>
      <c r="I6" s="203"/>
      <c r="J6" s="203"/>
      <c r="K6" s="203"/>
      <c r="L6" s="203"/>
      <c r="M6" s="203"/>
      <c r="N6" s="203"/>
      <c r="O6" s="204"/>
    </row>
    <row r="7" spans="1:18" ht="64.95" customHeight="1" x14ac:dyDescent="0.3">
      <c r="A7" s="202"/>
      <c r="B7" s="203"/>
      <c r="C7" s="203"/>
      <c r="D7" s="203"/>
      <c r="E7" s="203"/>
      <c r="F7" s="203"/>
      <c r="G7" s="203"/>
      <c r="H7" s="203"/>
      <c r="I7" s="203"/>
      <c r="J7" s="203"/>
      <c r="K7" s="203"/>
      <c r="L7" s="203"/>
      <c r="M7" s="203"/>
      <c r="N7" s="203"/>
      <c r="O7" s="204"/>
    </row>
    <row r="8" spans="1:18" ht="45.75" customHeight="1" thickBot="1" x14ac:dyDescent="0.35">
      <c r="A8" s="205"/>
      <c r="B8" s="206"/>
      <c r="C8" s="206"/>
      <c r="D8" s="206"/>
      <c r="E8" s="206"/>
      <c r="F8" s="206"/>
      <c r="G8" s="206"/>
      <c r="H8" s="206"/>
      <c r="I8" s="206"/>
      <c r="J8" s="206"/>
      <c r="K8" s="206"/>
      <c r="L8" s="206"/>
      <c r="M8" s="206"/>
      <c r="N8" s="206"/>
      <c r="O8" s="207"/>
    </row>
    <row r="9" spans="1:18" x14ac:dyDescent="0.3">
      <c r="A9" s="191" t="s">
        <v>5</v>
      </c>
      <c r="B9" s="185" t="s">
        <v>50</v>
      </c>
      <c r="C9" s="185" t="s">
        <v>6</v>
      </c>
      <c r="D9" s="126"/>
      <c r="E9" s="185" t="s">
        <v>10</v>
      </c>
      <c r="F9" s="191" t="s">
        <v>39</v>
      </c>
      <c r="G9" s="185" t="s">
        <v>7</v>
      </c>
      <c r="H9" s="185" t="s">
        <v>109</v>
      </c>
      <c r="I9" s="195" t="s">
        <v>24</v>
      </c>
      <c r="J9" s="191" t="s">
        <v>34</v>
      </c>
      <c r="K9" s="191" t="s">
        <v>120</v>
      </c>
      <c r="L9" s="191" t="s">
        <v>21</v>
      </c>
      <c r="M9" s="197" t="s">
        <v>49</v>
      </c>
      <c r="N9" s="48" t="s">
        <v>30</v>
      </c>
      <c r="O9" s="209" t="s">
        <v>29</v>
      </c>
    </row>
    <row r="10" spans="1:18" ht="15.75" customHeight="1" x14ac:dyDescent="0.3">
      <c r="A10" s="208"/>
      <c r="B10" s="186"/>
      <c r="C10" s="194"/>
      <c r="D10" s="127"/>
      <c r="E10" s="194"/>
      <c r="F10" s="192"/>
      <c r="G10" s="194"/>
      <c r="H10" s="186"/>
      <c r="I10" s="196"/>
      <c r="J10" s="192"/>
      <c r="K10" s="192"/>
      <c r="L10" s="192"/>
      <c r="M10" s="198"/>
      <c r="N10" s="47" t="str">
        <f>RESUMEN!B8</f>
        <v>VTO 18/06</v>
      </c>
      <c r="O10" s="210"/>
    </row>
    <row r="11" spans="1:18" ht="17.100000000000001" customHeight="1" x14ac:dyDescent="0.3">
      <c r="A11" s="104" t="s">
        <v>52</v>
      </c>
      <c r="B11" s="104" t="s">
        <v>53</v>
      </c>
      <c r="C11" s="104" t="s">
        <v>54</v>
      </c>
      <c r="D11" s="104"/>
      <c r="E11" s="124">
        <v>6.18</v>
      </c>
      <c r="F11" s="106">
        <v>260531.01</v>
      </c>
      <c r="G11" s="114">
        <f>F11</f>
        <v>260531.01</v>
      </c>
      <c r="H11" s="107" t="s">
        <v>55</v>
      </c>
      <c r="I11" s="108">
        <f t="shared" ref="I11:I35" si="0">F11-G11</f>
        <v>0</v>
      </c>
      <c r="J11" s="108">
        <f>IF(I11&gt;0,I11*3%,0)</f>
        <v>0</v>
      </c>
      <c r="K11" s="108"/>
      <c r="L11" s="109">
        <f>M$2*E11/100</f>
        <v>253115.43172799997</v>
      </c>
      <c r="M11" s="110">
        <f>D$2*E11/100</f>
        <v>7416</v>
      </c>
      <c r="N11" s="111">
        <f t="shared" ref="N11:N35" si="1">ROUND(SUM(I11:M11),0) + P11</f>
        <v>260531.01</v>
      </c>
      <c r="O11" s="112">
        <f t="shared" ref="O11:O35" si="2">ROUND(N11*3%,0) + N11</f>
        <v>268347.01</v>
      </c>
      <c r="P11" s="33">
        <v>0.01</v>
      </c>
      <c r="Q11" s="33"/>
    </row>
    <row r="12" spans="1:18" ht="17.100000000000001" customHeight="1" x14ac:dyDescent="0.3">
      <c r="A12" s="104" t="s">
        <v>52</v>
      </c>
      <c r="B12" s="104" t="s">
        <v>55</v>
      </c>
      <c r="C12" s="104" t="s">
        <v>56</v>
      </c>
      <c r="D12" s="104" t="s">
        <v>103</v>
      </c>
      <c r="E12" s="124">
        <v>4.33</v>
      </c>
      <c r="F12" s="106">
        <v>182541.02</v>
      </c>
      <c r="G12" s="114">
        <v>188017.02</v>
      </c>
      <c r="H12" s="107" t="s">
        <v>55</v>
      </c>
      <c r="I12" s="108">
        <f t="shared" si="0"/>
        <v>-5476</v>
      </c>
      <c r="J12" s="108">
        <f t="shared" ref="J12:J35" si="3">IF(I12&gt;0,I12*3%,0)</f>
        <v>0</v>
      </c>
      <c r="K12" s="108"/>
      <c r="L12" s="109">
        <f t="shared" ref="L12:L35" si="4">M$2*E12/100</f>
        <v>177344.63096799998</v>
      </c>
      <c r="M12" s="110">
        <f t="shared" ref="M12:M35" si="5">D$2*E12/100</f>
        <v>5196</v>
      </c>
      <c r="N12" s="111">
        <f t="shared" si="1"/>
        <v>177065.02</v>
      </c>
      <c r="O12" s="112">
        <f t="shared" si="2"/>
        <v>182377.02</v>
      </c>
      <c r="P12" s="33">
        <f>P11+0.01</f>
        <v>0.02</v>
      </c>
      <c r="Q12" s="33"/>
    </row>
    <row r="13" spans="1:18" ht="17.100000000000001" customHeight="1" x14ac:dyDescent="0.3">
      <c r="A13" s="113" t="s">
        <v>57</v>
      </c>
      <c r="B13" s="113" t="s">
        <v>53</v>
      </c>
      <c r="C13" s="113" t="s">
        <v>58</v>
      </c>
      <c r="D13" s="113"/>
      <c r="E13" s="125">
        <v>6.18</v>
      </c>
      <c r="F13" s="114">
        <v>258712.03</v>
      </c>
      <c r="G13" s="114">
        <v>270000.03000000003</v>
      </c>
      <c r="H13" s="107" t="s">
        <v>55</v>
      </c>
      <c r="I13" s="108">
        <f t="shared" si="0"/>
        <v>-11288.000000000029</v>
      </c>
      <c r="J13" s="108">
        <f t="shared" si="3"/>
        <v>0</v>
      </c>
      <c r="K13" s="108"/>
      <c r="L13" s="109">
        <f t="shared" si="4"/>
        <v>253115.43172799997</v>
      </c>
      <c r="M13" s="110">
        <f t="shared" si="5"/>
        <v>7416</v>
      </c>
      <c r="N13" s="111">
        <f t="shared" si="1"/>
        <v>249243.03</v>
      </c>
      <c r="O13" s="112">
        <f t="shared" si="2"/>
        <v>256720.03</v>
      </c>
      <c r="P13" s="33">
        <f t="shared" ref="P13:P35" si="6">P12+0.01</f>
        <v>0.03</v>
      </c>
      <c r="Q13" s="32"/>
    </row>
    <row r="14" spans="1:18" ht="17.100000000000001" customHeight="1" x14ac:dyDescent="0.3">
      <c r="A14" s="104" t="s">
        <v>57</v>
      </c>
      <c r="B14" s="104" t="s">
        <v>55</v>
      </c>
      <c r="C14" s="104" t="s">
        <v>59</v>
      </c>
      <c r="D14" s="104"/>
      <c r="E14" s="124">
        <v>4.33</v>
      </c>
      <c r="F14" s="106">
        <v>182541.04</v>
      </c>
      <c r="G14" s="114">
        <f>F14</f>
        <v>182541.04</v>
      </c>
      <c r="H14" s="107" t="s">
        <v>55</v>
      </c>
      <c r="I14" s="108">
        <f t="shared" si="0"/>
        <v>0</v>
      </c>
      <c r="J14" s="108">
        <f t="shared" si="3"/>
        <v>0</v>
      </c>
      <c r="K14" s="108"/>
      <c r="L14" s="109">
        <f t="shared" si="4"/>
        <v>177344.63096799998</v>
      </c>
      <c r="M14" s="110">
        <f t="shared" si="5"/>
        <v>5196</v>
      </c>
      <c r="N14" s="111">
        <f t="shared" si="1"/>
        <v>182541.04</v>
      </c>
      <c r="O14" s="112">
        <f t="shared" si="2"/>
        <v>188017.04</v>
      </c>
      <c r="P14" s="33">
        <f t="shared" si="6"/>
        <v>0.04</v>
      </c>
      <c r="R14" s="33"/>
    </row>
    <row r="15" spans="1:18" ht="17.100000000000001" customHeight="1" x14ac:dyDescent="0.3">
      <c r="A15" s="104" t="s">
        <v>60</v>
      </c>
      <c r="B15" s="104" t="s">
        <v>53</v>
      </c>
      <c r="C15" s="104" t="s">
        <v>61</v>
      </c>
      <c r="D15" s="104" t="s">
        <v>102</v>
      </c>
      <c r="E15" s="124">
        <v>6.18</v>
      </c>
      <c r="F15" s="106">
        <v>260531.05</v>
      </c>
      <c r="G15" s="114">
        <v>253115.05</v>
      </c>
      <c r="H15" s="107" t="s">
        <v>55</v>
      </c>
      <c r="I15" s="108">
        <f t="shared" si="0"/>
        <v>7416</v>
      </c>
      <c r="J15" s="108">
        <f t="shared" si="3"/>
        <v>222.48</v>
      </c>
      <c r="K15" s="108"/>
      <c r="L15" s="109">
        <f t="shared" si="4"/>
        <v>253115.43172799997</v>
      </c>
      <c r="M15" s="110">
        <f t="shared" si="5"/>
        <v>7416</v>
      </c>
      <c r="N15" s="111">
        <f t="shared" si="1"/>
        <v>268170.05</v>
      </c>
      <c r="O15" s="112">
        <f t="shared" si="2"/>
        <v>276215.05</v>
      </c>
      <c r="P15" s="33">
        <f t="shared" si="6"/>
        <v>0.05</v>
      </c>
      <c r="R15" s="33"/>
    </row>
    <row r="16" spans="1:18" ht="17.100000000000001" customHeight="1" x14ac:dyDescent="0.3">
      <c r="A16" s="104" t="s">
        <v>60</v>
      </c>
      <c r="B16" s="104" t="s">
        <v>55</v>
      </c>
      <c r="C16" s="104" t="s">
        <v>62</v>
      </c>
      <c r="D16" s="104"/>
      <c r="E16" s="124">
        <v>4.33</v>
      </c>
      <c r="F16" s="106">
        <v>177605.06</v>
      </c>
      <c r="G16" s="114">
        <v>182933.06</v>
      </c>
      <c r="H16" s="107" t="s">
        <v>55</v>
      </c>
      <c r="I16" s="108">
        <f t="shared" si="0"/>
        <v>-5328</v>
      </c>
      <c r="J16" s="108">
        <f t="shared" si="3"/>
        <v>0</v>
      </c>
      <c r="K16" s="108"/>
      <c r="L16" s="109">
        <f t="shared" si="4"/>
        <v>177344.63096799998</v>
      </c>
      <c r="M16" s="110">
        <f t="shared" si="5"/>
        <v>5196</v>
      </c>
      <c r="N16" s="111">
        <f t="shared" si="1"/>
        <v>177213.06</v>
      </c>
      <c r="O16" s="112">
        <f t="shared" si="2"/>
        <v>182529.06</v>
      </c>
      <c r="P16" s="33">
        <f t="shared" si="6"/>
        <v>6.0000000000000005E-2</v>
      </c>
    </row>
    <row r="17" spans="1:16" ht="17.100000000000001" customHeight="1" x14ac:dyDescent="0.3">
      <c r="A17" s="104" t="s">
        <v>63</v>
      </c>
      <c r="B17" s="104" t="s">
        <v>53</v>
      </c>
      <c r="C17" s="104" t="s">
        <v>64</v>
      </c>
      <c r="D17" s="104"/>
      <c r="E17" s="124">
        <v>6.18</v>
      </c>
      <c r="F17" s="106">
        <v>268348.07</v>
      </c>
      <c r="G17" s="114">
        <f>290000-G32</f>
        <v>256433.78</v>
      </c>
      <c r="H17" s="107" t="s">
        <v>55</v>
      </c>
      <c r="I17" s="108">
        <f t="shared" si="0"/>
        <v>11914.290000000008</v>
      </c>
      <c r="J17" s="108">
        <f t="shared" si="3"/>
        <v>357.42870000000022</v>
      </c>
      <c r="K17" s="108"/>
      <c r="L17" s="109">
        <f t="shared" si="4"/>
        <v>253115.43172799997</v>
      </c>
      <c r="M17" s="110">
        <f t="shared" si="5"/>
        <v>7416</v>
      </c>
      <c r="N17" s="111">
        <f t="shared" si="1"/>
        <v>272803.07</v>
      </c>
      <c r="O17" s="112">
        <f t="shared" si="2"/>
        <v>280987.07</v>
      </c>
      <c r="P17" s="33">
        <f t="shared" si="6"/>
        <v>7.0000000000000007E-2</v>
      </c>
    </row>
    <row r="18" spans="1:16" ht="17.100000000000001" customHeight="1" x14ac:dyDescent="0.3">
      <c r="A18" s="104" t="s">
        <v>63</v>
      </c>
      <c r="B18" s="104" t="s">
        <v>55</v>
      </c>
      <c r="C18" s="104" t="s">
        <v>65</v>
      </c>
      <c r="D18" s="104"/>
      <c r="E18" s="124">
        <v>4.33</v>
      </c>
      <c r="F18" s="106">
        <v>177605.08</v>
      </c>
      <c r="G18" s="114">
        <f>182933.08</f>
        <v>182933.08</v>
      </c>
      <c r="H18" s="107" t="s">
        <v>55</v>
      </c>
      <c r="I18" s="108">
        <f t="shared" si="0"/>
        <v>-5328</v>
      </c>
      <c r="J18" s="108">
        <f t="shared" si="3"/>
        <v>0</v>
      </c>
      <c r="K18" s="108"/>
      <c r="L18" s="109">
        <f t="shared" si="4"/>
        <v>177344.63096799998</v>
      </c>
      <c r="M18" s="110">
        <f t="shared" si="5"/>
        <v>5196</v>
      </c>
      <c r="N18" s="111">
        <f t="shared" si="1"/>
        <v>177213.08</v>
      </c>
      <c r="O18" s="112">
        <f t="shared" si="2"/>
        <v>182529.08</v>
      </c>
      <c r="P18" s="33">
        <f t="shared" si="6"/>
        <v>0.08</v>
      </c>
    </row>
    <row r="19" spans="1:16" ht="17.100000000000001" customHeight="1" x14ac:dyDescent="0.3">
      <c r="A19" s="104" t="s">
        <v>66</v>
      </c>
      <c r="B19" s="104" t="s">
        <v>53</v>
      </c>
      <c r="C19" s="104" t="s">
        <v>67</v>
      </c>
      <c r="D19" s="104"/>
      <c r="E19" s="124">
        <v>6.18</v>
      </c>
      <c r="F19" s="106">
        <v>244746.09</v>
      </c>
      <c r="G19" s="114">
        <f>290000-G33</f>
        <v>256433.78</v>
      </c>
      <c r="H19" s="107" t="s">
        <v>110</v>
      </c>
      <c r="I19" s="108">
        <f t="shared" si="0"/>
        <v>-11687.690000000002</v>
      </c>
      <c r="J19" s="108">
        <f t="shared" si="3"/>
        <v>0</v>
      </c>
      <c r="K19" s="108">
        <f>80000+27000</f>
        <v>107000</v>
      </c>
      <c r="L19" s="109">
        <f t="shared" si="4"/>
        <v>253115.43172799997</v>
      </c>
      <c r="M19" s="110">
        <f t="shared" si="5"/>
        <v>7416</v>
      </c>
      <c r="N19" s="111">
        <f>ROUND(SUM(I19:M19),0) + P19</f>
        <v>355844.09</v>
      </c>
      <c r="O19" s="112">
        <f t="shared" si="2"/>
        <v>366519.09</v>
      </c>
      <c r="P19" s="33">
        <f t="shared" si="6"/>
        <v>0.09</v>
      </c>
    </row>
    <row r="20" spans="1:16" ht="17.100000000000001" customHeight="1" x14ac:dyDescent="0.3">
      <c r="A20" s="104" t="s">
        <v>66</v>
      </c>
      <c r="B20" s="104" t="s">
        <v>55</v>
      </c>
      <c r="C20" s="104" t="s">
        <v>68</v>
      </c>
      <c r="D20" s="104"/>
      <c r="E20" s="124">
        <v>4.33</v>
      </c>
      <c r="F20" s="106">
        <v>182393.1</v>
      </c>
      <c r="G20" s="114">
        <f>F20+RESUMEN!D58</f>
        <v>209393.1</v>
      </c>
      <c r="H20" s="107" t="s">
        <v>55</v>
      </c>
      <c r="I20" s="108">
        <f t="shared" si="0"/>
        <v>-27000</v>
      </c>
      <c r="J20" s="108">
        <f t="shared" si="3"/>
        <v>0</v>
      </c>
      <c r="K20" s="108"/>
      <c r="L20" s="109">
        <f t="shared" si="4"/>
        <v>177344.63096799998</v>
      </c>
      <c r="M20" s="110">
        <f t="shared" si="5"/>
        <v>5196</v>
      </c>
      <c r="N20" s="111">
        <f t="shared" si="1"/>
        <v>155541.1</v>
      </c>
      <c r="O20" s="112">
        <f t="shared" si="2"/>
        <v>160207.1</v>
      </c>
      <c r="P20" s="33">
        <f t="shared" si="6"/>
        <v>9.9999999999999992E-2</v>
      </c>
    </row>
    <row r="21" spans="1:16" ht="17.100000000000001" customHeight="1" x14ac:dyDescent="0.3">
      <c r="A21" s="104" t="s">
        <v>69</v>
      </c>
      <c r="B21" s="104" t="s">
        <v>53</v>
      </c>
      <c r="C21" s="104" t="s">
        <v>70</v>
      </c>
      <c r="D21" s="104" t="s">
        <v>101</v>
      </c>
      <c r="E21" s="124">
        <v>6.18</v>
      </c>
      <c r="F21" s="106">
        <v>253486.11</v>
      </c>
      <c r="G21" s="114">
        <v>261091.11</v>
      </c>
      <c r="H21" s="107" t="s">
        <v>55</v>
      </c>
      <c r="I21" s="108">
        <f t="shared" si="0"/>
        <v>-7605</v>
      </c>
      <c r="J21" s="108">
        <f t="shared" si="3"/>
        <v>0</v>
      </c>
      <c r="K21" s="108"/>
      <c r="L21" s="109">
        <f t="shared" si="4"/>
        <v>253115.43172799997</v>
      </c>
      <c r="M21" s="110">
        <f t="shared" si="5"/>
        <v>7416</v>
      </c>
      <c r="N21" s="111">
        <f t="shared" si="1"/>
        <v>252926.11</v>
      </c>
      <c r="O21" s="112">
        <f t="shared" si="2"/>
        <v>260514.11</v>
      </c>
      <c r="P21" s="33">
        <f t="shared" si="6"/>
        <v>0.10999999999999999</v>
      </c>
    </row>
    <row r="22" spans="1:16" ht="17.100000000000001" customHeight="1" x14ac:dyDescent="0.3">
      <c r="A22" s="104" t="s">
        <v>69</v>
      </c>
      <c r="B22" s="104" t="s">
        <v>55</v>
      </c>
      <c r="C22" s="104" t="s">
        <v>71</v>
      </c>
      <c r="D22" s="104"/>
      <c r="E22" s="124">
        <v>4.33</v>
      </c>
      <c r="F22" s="106">
        <v>182582.12</v>
      </c>
      <c r="G22" s="114">
        <v>189000</v>
      </c>
      <c r="H22" s="107" t="s">
        <v>55</v>
      </c>
      <c r="I22" s="108">
        <f t="shared" si="0"/>
        <v>-6417.8800000000047</v>
      </c>
      <c r="J22" s="108">
        <f t="shared" si="3"/>
        <v>0</v>
      </c>
      <c r="K22" s="108"/>
      <c r="L22" s="109">
        <f t="shared" si="4"/>
        <v>177344.63096799998</v>
      </c>
      <c r="M22" s="110">
        <f t="shared" si="5"/>
        <v>5196</v>
      </c>
      <c r="N22" s="111">
        <f t="shared" si="1"/>
        <v>176123.12</v>
      </c>
      <c r="O22" s="112">
        <f t="shared" si="2"/>
        <v>181407.12</v>
      </c>
      <c r="P22" s="33">
        <f t="shared" si="6"/>
        <v>0.11999999999999998</v>
      </c>
    </row>
    <row r="23" spans="1:16" ht="17.100000000000001" customHeight="1" x14ac:dyDescent="0.3">
      <c r="A23" s="104" t="s">
        <v>72</v>
      </c>
      <c r="B23" s="104" t="s">
        <v>53</v>
      </c>
      <c r="C23" s="104" t="s">
        <v>73</v>
      </c>
      <c r="D23" s="104" t="s">
        <v>106</v>
      </c>
      <c r="E23" s="124">
        <v>6.18</v>
      </c>
      <c r="F23" s="106">
        <v>260531.13</v>
      </c>
      <c r="G23" s="114">
        <f>F23</f>
        <v>260531.13</v>
      </c>
      <c r="H23" s="107" t="s">
        <v>55</v>
      </c>
      <c r="I23" s="108">
        <f t="shared" si="0"/>
        <v>0</v>
      </c>
      <c r="J23" s="108">
        <f t="shared" si="3"/>
        <v>0</v>
      </c>
      <c r="K23" s="108"/>
      <c r="L23" s="109">
        <f t="shared" si="4"/>
        <v>253115.43172799997</v>
      </c>
      <c r="M23" s="110">
        <f t="shared" si="5"/>
        <v>7416</v>
      </c>
      <c r="N23" s="111">
        <f t="shared" si="1"/>
        <v>260531.13</v>
      </c>
      <c r="O23" s="112">
        <f t="shared" si="2"/>
        <v>268347.13</v>
      </c>
      <c r="P23" s="33">
        <f t="shared" si="6"/>
        <v>0.12999999999999998</v>
      </c>
    </row>
    <row r="24" spans="1:16" ht="17.100000000000001" customHeight="1" x14ac:dyDescent="0.3">
      <c r="A24" s="104" t="s">
        <v>72</v>
      </c>
      <c r="B24" s="104" t="s">
        <v>55</v>
      </c>
      <c r="C24" s="104" t="s">
        <v>74</v>
      </c>
      <c r="D24" s="104"/>
      <c r="E24" s="124">
        <v>4.33</v>
      </c>
      <c r="F24" s="106">
        <v>177605.14</v>
      </c>
      <c r="G24" s="114">
        <f>F24</f>
        <v>177605.14</v>
      </c>
      <c r="H24" s="107" t="s">
        <v>55</v>
      </c>
      <c r="I24" s="108">
        <f t="shared" si="0"/>
        <v>0</v>
      </c>
      <c r="J24" s="108">
        <f t="shared" si="3"/>
        <v>0</v>
      </c>
      <c r="K24" s="108"/>
      <c r="L24" s="109">
        <f t="shared" si="4"/>
        <v>177344.63096799998</v>
      </c>
      <c r="M24" s="110">
        <f t="shared" si="5"/>
        <v>5196</v>
      </c>
      <c r="N24" s="111">
        <f t="shared" si="1"/>
        <v>182541.14</v>
      </c>
      <c r="O24" s="112">
        <f t="shared" si="2"/>
        <v>188017.14</v>
      </c>
      <c r="P24" s="33">
        <f t="shared" si="6"/>
        <v>0.13999999999999999</v>
      </c>
    </row>
    <row r="25" spans="1:16" ht="17.100000000000001" customHeight="1" x14ac:dyDescent="0.3">
      <c r="A25" s="113" t="s">
        <v>75</v>
      </c>
      <c r="B25" s="113" t="s">
        <v>53</v>
      </c>
      <c r="C25" s="113" t="s">
        <v>76</v>
      </c>
      <c r="D25" s="113"/>
      <c r="E25" s="125">
        <v>6.18</v>
      </c>
      <c r="F25" s="114">
        <v>247669.15</v>
      </c>
      <c r="G25" s="114">
        <f>464798.38-G26-G35</f>
        <v>249668.96999999997</v>
      </c>
      <c r="H25" s="107" t="s">
        <v>55</v>
      </c>
      <c r="I25" s="108">
        <f t="shared" si="0"/>
        <v>-1999.8199999999779</v>
      </c>
      <c r="J25" s="108">
        <f t="shared" si="3"/>
        <v>0</v>
      </c>
      <c r="K25" s="108"/>
      <c r="L25" s="109">
        <f t="shared" si="4"/>
        <v>253115.43172799997</v>
      </c>
      <c r="M25" s="110">
        <f t="shared" si="5"/>
        <v>7416</v>
      </c>
      <c r="N25" s="111">
        <f t="shared" si="1"/>
        <v>258532.15</v>
      </c>
      <c r="O25" s="112">
        <f t="shared" si="2"/>
        <v>266288.15000000002</v>
      </c>
      <c r="P25" s="33">
        <f t="shared" si="6"/>
        <v>0.15</v>
      </c>
    </row>
    <row r="26" spans="1:16" ht="17.100000000000001" customHeight="1" x14ac:dyDescent="0.3">
      <c r="A26" s="104" t="s">
        <v>75</v>
      </c>
      <c r="B26" s="104" t="s">
        <v>55</v>
      </c>
      <c r="C26" s="104" t="s">
        <v>76</v>
      </c>
      <c r="D26" s="104"/>
      <c r="E26" s="124">
        <v>4.33</v>
      </c>
      <c r="F26" s="106">
        <v>182541.16</v>
      </c>
      <c r="G26" s="114">
        <f>F26</f>
        <v>182541.16</v>
      </c>
      <c r="H26" s="107" t="s">
        <v>55</v>
      </c>
      <c r="I26" s="108">
        <f t="shared" si="0"/>
        <v>0</v>
      </c>
      <c r="J26" s="108">
        <f t="shared" si="3"/>
        <v>0</v>
      </c>
      <c r="K26" s="108"/>
      <c r="L26" s="109">
        <f t="shared" si="4"/>
        <v>177344.63096799998</v>
      </c>
      <c r="M26" s="110">
        <f t="shared" si="5"/>
        <v>5196</v>
      </c>
      <c r="N26" s="111">
        <f t="shared" si="1"/>
        <v>182541.16</v>
      </c>
      <c r="O26" s="112">
        <f t="shared" si="2"/>
        <v>188017.16</v>
      </c>
      <c r="P26" s="33">
        <f t="shared" si="6"/>
        <v>0.16</v>
      </c>
    </row>
    <row r="27" spans="1:16" ht="17.100000000000001" customHeight="1" x14ac:dyDescent="0.3">
      <c r="A27" s="104" t="s">
        <v>77</v>
      </c>
      <c r="B27" s="104" t="s">
        <v>53</v>
      </c>
      <c r="C27" s="104" t="s">
        <v>78</v>
      </c>
      <c r="D27" s="104" t="s">
        <v>104</v>
      </c>
      <c r="E27" s="124">
        <v>6.18</v>
      </c>
      <c r="F27" s="114">
        <v>253582.17</v>
      </c>
      <c r="G27" s="114">
        <v>253582.17</v>
      </c>
      <c r="H27" s="107" t="s">
        <v>55</v>
      </c>
      <c r="I27" s="108">
        <f t="shared" si="0"/>
        <v>0</v>
      </c>
      <c r="J27" s="108">
        <f t="shared" si="3"/>
        <v>0</v>
      </c>
      <c r="K27" s="108"/>
      <c r="L27" s="109">
        <f t="shared" si="4"/>
        <v>253115.43172799997</v>
      </c>
      <c r="M27" s="110">
        <f t="shared" si="5"/>
        <v>7416</v>
      </c>
      <c r="N27" s="111">
        <f t="shared" si="1"/>
        <v>260531.17</v>
      </c>
      <c r="O27" s="112">
        <f t="shared" si="2"/>
        <v>268347.17000000004</v>
      </c>
      <c r="P27" s="33">
        <f t="shared" si="6"/>
        <v>0.17</v>
      </c>
    </row>
    <row r="28" spans="1:16" ht="17.100000000000001" customHeight="1" x14ac:dyDescent="0.3">
      <c r="A28" s="104" t="s">
        <v>77</v>
      </c>
      <c r="B28" s="104" t="s">
        <v>55</v>
      </c>
      <c r="C28" s="104" t="s">
        <v>79</v>
      </c>
      <c r="D28" s="104"/>
      <c r="E28" s="124">
        <v>4.33</v>
      </c>
      <c r="F28" s="106">
        <v>177605.18</v>
      </c>
      <c r="G28" s="114">
        <f>F28</f>
        <v>177605.18</v>
      </c>
      <c r="H28" s="107" t="s">
        <v>55</v>
      </c>
      <c r="I28" s="108">
        <f t="shared" si="0"/>
        <v>0</v>
      </c>
      <c r="J28" s="108">
        <f t="shared" si="3"/>
        <v>0</v>
      </c>
      <c r="K28" s="108"/>
      <c r="L28" s="109">
        <f t="shared" si="4"/>
        <v>177344.63096799998</v>
      </c>
      <c r="M28" s="110">
        <f t="shared" si="5"/>
        <v>5196</v>
      </c>
      <c r="N28" s="111">
        <f t="shared" si="1"/>
        <v>182541.18</v>
      </c>
      <c r="O28" s="112">
        <f t="shared" si="2"/>
        <v>188017.18</v>
      </c>
      <c r="P28" s="33">
        <f t="shared" si="6"/>
        <v>0.18000000000000002</v>
      </c>
    </row>
    <row r="29" spans="1:16" ht="14.4" customHeight="1" x14ac:dyDescent="0.3">
      <c r="A29" s="187" t="s">
        <v>81</v>
      </c>
      <c r="B29" s="188"/>
      <c r="C29" s="104" t="s">
        <v>78</v>
      </c>
      <c r="D29" s="104"/>
      <c r="E29" s="124">
        <v>0.77300000000000002</v>
      </c>
      <c r="F29" s="106">
        <v>31707.19</v>
      </c>
      <c r="G29" s="114">
        <f>F29</f>
        <v>31707.19</v>
      </c>
      <c r="H29" s="107" t="s">
        <v>55</v>
      </c>
      <c r="I29" s="108">
        <f t="shared" si="0"/>
        <v>0</v>
      </c>
      <c r="J29" s="108">
        <f t="shared" si="3"/>
        <v>0</v>
      </c>
      <c r="K29" s="108"/>
      <c r="L29" s="109">
        <f t="shared" si="4"/>
        <v>31659.907560800002</v>
      </c>
      <c r="M29" s="110">
        <f t="shared" si="5"/>
        <v>927.6</v>
      </c>
      <c r="N29" s="111">
        <f t="shared" si="1"/>
        <v>32588.19</v>
      </c>
      <c r="O29" s="112">
        <f t="shared" si="2"/>
        <v>33566.19</v>
      </c>
      <c r="P29" s="33">
        <f t="shared" si="6"/>
        <v>0.19000000000000003</v>
      </c>
    </row>
    <row r="30" spans="1:16" ht="14.4" customHeight="1" x14ac:dyDescent="0.3">
      <c r="A30" s="187" t="s">
        <v>82</v>
      </c>
      <c r="B30" s="188"/>
      <c r="C30" s="113" t="s">
        <v>58</v>
      </c>
      <c r="D30" s="104"/>
      <c r="E30" s="124">
        <v>0.77300000000000002</v>
      </c>
      <c r="F30" s="115">
        <v>31962.2</v>
      </c>
      <c r="G30" s="116">
        <v>40000.199999999997</v>
      </c>
      <c r="H30" s="107" t="s">
        <v>55</v>
      </c>
      <c r="I30" s="108">
        <f t="shared" si="0"/>
        <v>-8037.9999999999964</v>
      </c>
      <c r="J30" s="108">
        <f t="shared" si="3"/>
        <v>0</v>
      </c>
      <c r="K30" s="108"/>
      <c r="L30" s="109">
        <f t="shared" si="4"/>
        <v>31659.907560800002</v>
      </c>
      <c r="M30" s="110">
        <f t="shared" si="5"/>
        <v>927.6</v>
      </c>
      <c r="N30" s="111">
        <f t="shared" si="1"/>
        <v>24550.2</v>
      </c>
      <c r="O30" s="112">
        <f t="shared" si="2"/>
        <v>25287.200000000001</v>
      </c>
      <c r="P30" s="33">
        <f t="shared" si="6"/>
        <v>0.20000000000000004</v>
      </c>
    </row>
    <row r="31" spans="1:16" ht="14.4" customHeight="1" x14ac:dyDescent="0.3">
      <c r="A31" s="187" t="s">
        <v>83</v>
      </c>
      <c r="B31" s="188"/>
      <c r="C31" s="117" t="s">
        <v>80</v>
      </c>
      <c r="D31" s="104" t="s">
        <v>106</v>
      </c>
      <c r="E31" s="124">
        <v>0.77300000000000002</v>
      </c>
      <c r="F31" s="115">
        <v>32588.21</v>
      </c>
      <c r="G31" s="116">
        <f t="shared" ref="G31:G32" si="7">F31</f>
        <v>32588.21</v>
      </c>
      <c r="H31" s="107" t="s">
        <v>55</v>
      </c>
      <c r="I31" s="108">
        <f t="shared" si="0"/>
        <v>0</v>
      </c>
      <c r="J31" s="108">
        <f t="shared" si="3"/>
        <v>0</v>
      </c>
      <c r="K31" s="108"/>
      <c r="L31" s="109">
        <f t="shared" si="4"/>
        <v>31659.907560800002</v>
      </c>
      <c r="M31" s="110">
        <f t="shared" si="5"/>
        <v>927.6</v>
      </c>
      <c r="N31" s="111">
        <f t="shared" si="1"/>
        <v>32588.21</v>
      </c>
      <c r="O31" s="112">
        <f t="shared" si="2"/>
        <v>33566.21</v>
      </c>
      <c r="P31" s="33">
        <f t="shared" si="6"/>
        <v>0.21000000000000005</v>
      </c>
    </row>
    <row r="32" spans="1:16" ht="14.4" customHeight="1" x14ac:dyDescent="0.3">
      <c r="A32" s="187" t="s">
        <v>84</v>
      </c>
      <c r="B32" s="188"/>
      <c r="C32" s="104" t="s">
        <v>64</v>
      </c>
      <c r="D32" s="104"/>
      <c r="E32" s="124">
        <v>0.77300000000000002</v>
      </c>
      <c r="F32" s="115">
        <v>33566.22</v>
      </c>
      <c r="G32" s="116">
        <f t="shared" si="7"/>
        <v>33566.22</v>
      </c>
      <c r="H32" s="107" t="s">
        <v>55</v>
      </c>
      <c r="I32" s="108">
        <f t="shared" si="0"/>
        <v>0</v>
      </c>
      <c r="J32" s="108">
        <f t="shared" si="3"/>
        <v>0</v>
      </c>
      <c r="K32" s="108"/>
      <c r="L32" s="109">
        <f t="shared" si="4"/>
        <v>31659.907560800002</v>
      </c>
      <c r="M32" s="110">
        <f t="shared" si="5"/>
        <v>927.6</v>
      </c>
      <c r="N32" s="111">
        <f t="shared" si="1"/>
        <v>32588.22</v>
      </c>
      <c r="O32" s="112">
        <f t="shared" si="2"/>
        <v>33566.22</v>
      </c>
      <c r="P32" s="33">
        <f t="shared" si="6"/>
        <v>0.22000000000000006</v>
      </c>
    </row>
    <row r="33" spans="1:16" ht="14.4" customHeight="1" x14ac:dyDescent="0.3">
      <c r="A33" s="187" t="s">
        <v>85</v>
      </c>
      <c r="B33" s="188"/>
      <c r="C33" s="118" t="s">
        <v>67</v>
      </c>
      <c r="D33" s="118"/>
      <c r="E33" s="124">
        <v>0.77300000000000002</v>
      </c>
      <c r="F33" s="115">
        <v>32588.23</v>
      </c>
      <c r="G33" s="116">
        <f>G32</f>
        <v>33566.22</v>
      </c>
      <c r="H33" s="107" t="s">
        <v>110</v>
      </c>
      <c r="I33" s="108">
        <f t="shared" si="0"/>
        <v>-977.9900000000016</v>
      </c>
      <c r="J33" s="108">
        <f t="shared" si="3"/>
        <v>0</v>
      </c>
      <c r="K33" s="108"/>
      <c r="L33" s="109">
        <f t="shared" si="4"/>
        <v>31659.907560800002</v>
      </c>
      <c r="M33" s="110">
        <f t="shared" si="5"/>
        <v>927.6</v>
      </c>
      <c r="N33" s="111">
        <f t="shared" si="1"/>
        <v>31610.23</v>
      </c>
      <c r="O33" s="112">
        <f t="shared" si="2"/>
        <v>32558.23</v>
      </c>
      <c r="P33" s="33">
        <f t="shared" si="6"/>
        <v>0.23000000000000007</v>
      </c>
    </row>
    <row r="34" spans="1:16" ht="14.4" customHeight="1" x14ac:dyDescent="0.3">
      <c r="A34" s="187" t="s">
        <v>86</v>
      </c>
      <c r="B34" s="188"/>
      <c r="C34" s="118" t="s">
        <v>70</v>
      </c>
      <c r="D34" s="118" t="s">
        <v>124</v>
      </c>
      <c r="E34" s="124">
        <v>0.77300000000000002</v>
      </c>
      <c r="F34" s="115">
        <v>99087.24</v>
      </c>
      <c r="G34" s="116">
        <v>100000</v>
      </c>
      <c r="H34" s="107" t="s">
        <v>55</v>
      </c>
      <c r="I34" s="108">
        <f t="shared" si="0"/>
        <v>-912.75999999999476</v>
      </c>
      <c r="J34" s="108">
        <f t="shared" si="3"/>
        <v>0</v>
      </c>
      <c r="K34" s="108"/>
      <c r="L34" s="109">
        <f t="shared" si="4"/>
        <v>31659.907560800002</v>
      </c>
      <c r="M34" s="110">
        <f t="shared" si="5"/>
        <v>927.6</v>
      </c>
      <c r="N34" s="111">
        <f t="shared" si="1"/>
        <v>31675.24</v>
      </c>
      <c r="O34" s="112">
        <f t="shared" si="2"/>
        <v>32625.24</v>
      </c>
      <c r="P34" s="33">
        <f t="shared" si="6"/>
        <v>0.24000000000000007</v>
      </c>
    </row>
    <row r="35" spans="1:16" ht="17.100000000000001" customHeight="1" thickBot="1" x14ac:dyDescent="0.35">
      <c r="A35" s="187" t="s">
        <v>87</v>
      </c>
      <c r="B35" s="188"/>
      <c r="C35" s="118" t="s">
        <v>76</v>
      </c>
      <c r="D35" s="118"/>
      <c r="E35" s="105">
        <v>0.77300000000000002</v>
      </c>
      <c r="F35" s="115">
        <v>32588.25</v>
      </c>
      <c r="G35" s="114">
        <f>F35</f>
        <v>32588.25</v>
      </c>
      <c r="H35" s="107" t="s">
        <v>55</v>
      </c>
      <c r="I35" s="108">
        <f t="shared" si="0"/>
        <v>0</v>
      </c>
      <c r="J35" s="108">
        <f t="shared" si="3"/>
        <v>0</v>
      </c>
      <c r="K35" s="108"/>
      <c r="L35" s="109">
        <f t="shared" si="4"/>
        <v>31659.907560800002</v>
      </c>
      <c r="M35" s="110">
        <f t="shared" si="5"/>
        <v>927.6</v>
      </c>
      <c r="N35" s="111">
        <f t="shared" si="1"/>
        <v>32588.25</v>
      </c>
      <c r="O35" s="112">
        <f t="shared" si="2"/>
        <v>33566.25</v>
      </c>
      <c r="P35" s="33">
        <f t="shared" si="6"/>
        <v>0.25000000000000006</v>
      </c>
    </row>
    <row r="36" spans="1:16" ht="17.100000000000001" customHeight="1" thickBot="1" x14ac:dyDescent="0.35">
      <c r="A36" s="189" t="s">
        <v>51</v>
      </c>
      <c r="B36" s="189"/>
      <c r="C36" s="190"/>
      <c r="D36" s="128"/>
      <c r="E36" s="119">
        <f t="shared" ref="E36:M36" si="8">SUM(E11:E35)</f>
        <v>100.00099999999993</v>
      </c>
      <c r="F36" s="120">
        <f t="shared" si="8"/>
        <v>4225243.2500000009</v>
      </c>
      <c r="G36" s="121">
        <f t="shared" si="8"/>
        <v>4297972.1000000006</v>
      </c>
      <c r="H36" s="121"/>
      <c r="I36" s="121">
        <f t="shared" si="8"/>
        <v>-72728.850000000006</v>
      </c>
      <c r="J36" s="122">
        <f t="shared" si="8"/>
        <v>579.90870000000018</v>
      </c>
      <c r="K36" s="122"/>
      <c r="L36" s="122">
        <f t="shared" si="8"/>
        <v>4095759.9171895999</v>
      </c>
      <c r="M36" s="121">
        <f t="shared" si="8"/>
        <v>120001.20000000004</v>
      </c>
      <c r="N36" s="123">
        <f>SUM(N11:N28)</f>
        <v>4032431.7100000004</v>
      </c>
      <c r="O36" s="123">
        <f>SUM(O11:O35)</f>
        <v>4378138.2500000009</v>
      </c>
    </row>
    <row r="37" spans="1:16" ht="22.2" customHeight="1" x14ac:dyDescent="0.3">
      <c r="C37" s="39"/>
      <c r="D37" s="39"/>
      <c r="F37" t="s">
        <v>112</v>
      </c>
      <c r="G37" s="135">
        <f>SUMIF(H11:H35,"B",G11:G35)</f>
        <v>4007972.100000001</v>
      </c>
    </row>
    <row r="38" spans="1:16" x14ac:dyDescent="0.3">
      <c r="A38" s="180"/>
      <c r="B38" s="180"/>
      <c r="E38" s="181"/>
      <c r="F38" s="182" t="s">
        <v>113</v>
      </c>
      <c r="G38" s="135">
        <f>SUMIF(H11:H35,"E",G11:G35)</f>
        <v>290000</v>
      </c>
    </row>
    <row r="39" spans="1:16" x14ac:dyDescent="0.3">
      <c r="A39" s="180"/>
      <c r="B39" s="180"/>
      <c r="E39" s="181"/>
      <c r="F39" s="182"/>
      <c r="G39" s="136">
        <f>SUM(G37:G38)</f>
        <v>4297972.1000000015</v>
      </c>
    </row>
    <row r="50" spans="1:6" x14ac:dyDescent="0.3">
      <c r="F50">
        <f>SUM(E48:E49)</f>
        <v>0</v>
      </c>
    </row>
    <row r="52" spans="1:6" x14ac:dyDescent="0.3">
      <c r="A52" t="s">
        <v>95</v>
      </c>
    </row>
    <row r="53" spans="1:6" x14ac:dyDescent="0.3">
      <c r="A53" t="s">
        <v>94</v>
      </c>
    </row>
    <row r="54" spans="1:6" x14ac:dyDescent="0.3">
      <c r="F54">
        <f>SUM(E52:E53)</f>
        <v>0</v>
      </c>
    </row>
  </sheetData>
  <mergeCells count="29">
    <mergeCell ref="E1:N1"/>
    <mergeCell ref="J9:J10"/>
    <mergeCell ref="F9:F10"/>
    <mergeCell ref="G9:G10"/>
    <mergeCell ref="I9:I10"/>
    <mergeCell ref="L9:L10"/>
    <mergeCell ref="M9:M10"/>
    <mergeCell ref="A4:O8"/>
    <mergeCell ref="A9:A10"/>
    <mergeCell ref="C9:C10"/>
    <mergeCell ref="E9:E10"/>
    <mergeCell ref="B9:B10"/>
    <mergeCell ref="O9:O10"/>
    <mergeCell ref="A38:B39"/>
    <mergeCell ref="E38:E39"/>
    <mergeCell ref="F38:F39"/>
    <mergeCell ref="M2:N2"/>
    <mergeCell ref="G2:I2"/>
    <mergeCell ref="D2:E2"/>
    <mergeCell ref="H9:H10"/>
    <mergeCell ref="A35:B35"/>
    <mergeCell ref="A36:C36"/>
    <mergeCell ref="A33:B33"/>
    <mergeCell ref="A34:B34"/>
    <mergeCell ref="A29:B29"/>
    <mergeCell ref="A30:B30"/>
    <mergeCell ref="A31:B31"/>
    <mergeCell ref="A32:B32"/>
    <mergeCell ref="K9:K10"/>
  </mergeCells>
  <phoneticPr fontId="21" type="noConversion"/>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123E2-E76E-40B2-9631-974509386176}">
  <dimension ref="A1"/>
  <sheetViews>
    <sheetView workbookViewId="0">
      <selection activeCell="A3" sqref="A3:XFD16"/>
    </sheetView>
  </sheetViews>
  <sheetFormatPr baseColWidth="10" defaultColWidth="10.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Mateo Quotteri</cp:lastModifiedBy>
  <cp:lastPrinted>2026-05-01T17:20:06Z</cp:lastPrinted>
  <dcterms:created xsi:type="dcterms:W3CDTF">2023-09-17T12:29:07Z</dcterms:created>
  <dcterms:modified xsi:type="dcterms:W3CDTF">2026-05-26T16:54:55Z</dcterms:modified>
</cp:coreProperties>
</file>