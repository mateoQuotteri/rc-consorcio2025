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lio\"/>
    </mc:Choice>
  </mc:AlternateContent>
  <xr:revisionPtr revIDLastSave="0" documentId="13_ncr:1_{158EB0E9-9084-4777-AD9C-496D2BC4C1AE}" xr6:coauthVersionLast="47" xr6:coauthVersionMax="47" xr10:uidLastSave="{00000000-0000-0000-0000-000000000000}"/>
  <bookViews>
    <workbookView xWindow="-120" yWindow="-120" windowWidth="20730" windowHeight="11040"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2" i="5" l="1"/>
  <c r="I15" i="5" s="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9" i="5"/>
  <c r="F46" i="5"/>
  <c r="F31" i="5"/>
  <c r="F92" i="5"/>
  <c r="F58" i="4"/>
  <c r="F58" i="5"/>
  <c r="F51" i="4"/>
  <c r="F51" i="5"/>
  <c r="F96" i="5"/>
  <c r="F110" i="5"/>
  <c r="F59" i="5"/>
  <c r="F111" i="5"/>
  <c r="F108" i="5"/>
  <c r="F48" i="5"/>
  <c r="F76" i="5"/>
  <c r="F69" i="5"/>
  <c r="D83" i="4" l="1"/>
  <c r="F54" i="5" l="1"/>
  <c r="F44" i="5"/>
  <c r="F27" i="5"/>
  <c r="F102" i="5"/>
  <c r="F21" i="5"/>
  <c r="F30" i="5"/>
  <c r="F113" i="5"/>
  <c r="F63" i="5"/>
  <c r="F103" i="5"/>
  <c r="F87" i="5"/>
  <c r="F41" i="5"/>
  <c r="F36" i="5"/>
  <c r="F22" i="5"/>
  <c r="F49" i="5"/>
  <c r="F71" i="5"/>
  <c r="F75" i="5"/>
  <c r="F109" i="5"/>
  <c r="F45" i="5"/>
  <c r="F86" i="5"/>
  <c r="E74" i="4"/>
  <c r="E33" i="4" l="1"/>
  <c r="F112" i="5" l="1"/>
  <c r="F35" i="5"/>
  <c r="F53" i="5"/>
  <c r="F95" i="5"/>
  <c r="F47" i="5"/>
  <c r="F85" i="5"/>
  <c r="F29" i="5"/>
  <c r="F25" i="5"/>
  <c r="F104" i="5"/>
  <c r="F101" i="5"/>
  <c r="F17" i="5"/>
  <c r="F97" i="5"/>
  <c r="F32" i="5"/>
  <c r="F91" i="5"/>
  <c r="E35" i="4"/>
  <c r="F77" i="5" l="1"/>
  <c r="I24" i="5" l="1"/>
  <c r="F116" i="5"/>
  <c r="F67" i="5"/>
  <c r="F37" i="5" l="1"/>
  <c r="F117" i="5"/>
  <c r="F18" i="5"/>
  <c r="F50" i="5"/>
  <c r="F65" i="5"/>
  <c r="E45" i="4" l="1"/>
  <c r="G94" i="5" l="1"/>
  <c r="B144" i="4" l="1"/>
  <c r="F93" i="5" l="1"/>
  <c r="F15" i="5"/>
  <c r="E25" i="4" l="1"/>
  <c r="E81" i="4" l="1"/>
  <c r="E41" i="4"/>
  <c r="E53" i="4"/>
  <c r="F62" i="5"/>
  <c r="F72" i="5" l="1"/>
  <c r="N14" i="5" l="1"/>
  <c r="I108" i="5"/>
  <c r="E39" i="4" l="1"/>
  <c r="E38" i="4"/>
  <c r="F66" i="5"/>
  <c r="F119" i="5" s="1"/>
  <c r="E85" i="4" l="1"/>
  <c r="E89"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H52" i="5" s="1"/>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N15" i="5" s="1"/>
  <c r="B133" i="4"/>
  <c r="E97" i="4"/>
  <c r="E102" i="4" s="1"/>
  <c r="B106" i="4" s="1"/>
  <c r="H108" i="5" l="1"/>
  <c r="H57" i="5"/>
  <c r="H64" i="5"/>
  <c r="H114" i="5"/>
  <c r="H95" i="5"/>
  <c r="H94" i="5"/>
  <c r="P17" i="5"/>
  <c r="N17" i="5" s="1"/>
  <c r="H97" i="5"/>
  <c r="H98" i="5"/>
  <c r="H28" i="5"/>
  <c r="H38" i="5"/>
  <c r="H116" i="5"/>
  <c r="H24" i="5"/>
  <c r="B105" i="4"/>
  <c r="B132" i="4" s="1"/>
  <c r="I119" i="5"/>
  <c r="J119" i="5"/>
  <c r="H16" i="5"/>
  <c r="N16" i="5" s="1"/>
  <c r="B107" i="4"/>
  <c r="O17" i="5" l="1"/>
  <c r="P18" i="5"/>
  <c r="N18" i="5" s="1"/>
  <c r="B104" i="4"/>
  <c r="G15" i="5"/>
  <c r="B134" i="4"/>
  <c r="B137" i="4" s="1"/>
  <c r="O16" i="5"/>
  <c r="O18" i="5" l="1"/>
  <c r="P19" i="5"/>
  <c r="N19" i="5" s="1"/>
  <c r="G119" i="5"/>
  <c r="H15" i="5"/>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<sst xmlns="http://schemas.openxmlformats.org/spreadsheetml/2006/main" count="298" uniqueCount="268">
  <si>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</si>
  <si>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</si>
  <si>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</si>
  <si>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</si>
  <si>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</si>
  <si>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</si>
  <si>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</si>
  <si>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</si>
  <si>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</si>
  <si>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</si>
  <si>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</si>
  <si>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</si>
  <si>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</si>
  <si>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</si>
  <si>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</si>
  <si>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</si>
  <si>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</si>
  <si>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</si>
  <si>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</si>
  <si>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</si>
  <si>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</si>
  <si>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</si>
  <si>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</si>
  <si>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</si>
  <si>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</si>
  <si>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</si>
  <si>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</si>
  <si>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</si>
  <si>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</si>
  <si>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</si>
  <si>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</si>
  <si>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</si>
  <si>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</si>
  <si>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</si>
  <si>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</si>
  <si>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</si>
  <si>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</si>
  <si>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</si>
  <si>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</si>
  <si>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</si>
  <si>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</si>
  <si>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</si>
  <si>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</si>
  <si>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</si>
  <si>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</si>
  <si>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</si>
  <si>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</si>
  <si>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</si>
  <si>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</si>
  <si>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</si>
  <si>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</si>
  <si>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</si>
  <si>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</si>
  <si>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</si>
  <si>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</si>
  <si>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</si>
  <si>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</si>
  <si>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</si>
  <si>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</si>
  <si>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</si>
  <si>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</si>
  <si>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</si>
  <si>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</si>
  <si>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</si>
  <si>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</si>
  <si>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</si>
  <si>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</si>
  <si>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</si>
  <si>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</si>
  <si>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</si>
  <si>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</si>
  <si>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</si>
  <si>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</si>
  <si>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</si>
  <si>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</si>
  <si>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</si>
  <si>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</si>
  <si>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</si>
  <si>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</si>
  <si>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</si>
  <si>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</si>
  <si>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</si>
  <si>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</si>
  <si>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</si>
  <si>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</si>
  <si>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</si>
  <si>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</si>
  <si>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</si>
  <si>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</si>
  <si>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</si>
  <si>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</si>
  <si>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</si>
  <si>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</si>
  <si>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</si>
  <si>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</si>
  <si>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</si>
  <si>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</si>
  <si>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</si>
  <si>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</si>
  <si>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</si>
  <si>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</si>
  <si>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</si>
  <si>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</si>
  <si>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</si>
  <si>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</si>
  <si>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</si>
  <si>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</si>
  <si>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</si>
  <si>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</si>
  <si>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</si>
  <si>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</si>
  <si>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</si>
  <si>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</si>
  <si>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</si>
  <si>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</si>
  <si>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</si>
  <si>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</si>
  <si>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</si>
  <si>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</si>
  <si>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</si>
  <si>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</si>
  <si>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</si>
  <si>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</si>
  <si>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</si>
  <si>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</si>
  <si>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</si>
  <si>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</si>
  <si>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</si>
  <si>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</si>
  <si>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</si>
  <si>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</si>
  <si>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</si>
  <si>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</si>
  <si>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</si>
  <si>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</si>
  <si>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</si>
  <si>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</si>
  <si>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</si>
  <si>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</si>
  <si>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</si>
  <si>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</si>
  <si>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</si>
  <si>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</si>
  <si>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</si>
  <si>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</si>
  <si>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</si>
  <si>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</si>
  <si>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</si>
  <si>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</si>
  <si>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</si>
  <si>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</si>
  <si>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</si>
  <si>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</si>
  <si>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</si>
  <si>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</si>
  <si>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</si>
  <si>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</si>
  <si>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</si>
  <si>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</si>
  <si>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</si>
  <si>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</si>
  <si>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</si>
  <si>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</si>
  <si>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</si>
  <si>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</si>
  <si>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</si>
  <si>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</si>
  <si>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</si>
  <si>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</si>
  <si>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</si>
  <si>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</si>
  <si>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</si>
  <si>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</si>
  <si>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</si>
  <si>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</si>
  <si>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</si>
  <si>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</si>
  <si>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</si>
  <si>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</si>
  <si>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</si>
  <si>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</si>
  <si>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</si>
  <si>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</si>
  <si>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</si>
  <si>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</si>
  <si>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</si>
  <si>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</si>
  <si>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Ramon Troncoso</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</si>
  <si>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</si>
  <si>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</si>
  <si>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</si>
  <si>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</si>
  <si>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</si>
  <si>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</si>
  <si>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</si>
  <si>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</si>
  <si>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</si>
  <si>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</si>
  <si>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</si>
  <si>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</si>
  <si>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</si>
  <si>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</si>
  <si>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</si>
  <si>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</si>
  <si>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</si>
  <si>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</si>
  <si>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</si>
  <si>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</si>
  <si>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InOut Control - Comando control y camaras - JUNIO</t>
  </si>
  <si>
    <t>Cuello Natalia - Desobstruccion lavadero 9C</t>
  </si>
  <si>
    <t>Cuello Natalia - Desobstruccion lavadero 9D</t>
  </si>
  <si>
    <t>Cuello Natalia - Desobstruccion lavadero 6D</t>
  </si>
  <si>
    <t>Efectivo</t>
  </si>
  <si>
    <t>Total 1er</t>
  </si>
  <si>
    <t>Josua Guillermo</t>
  </si>
  <si>
    <t>Macarena Crespo nueva inquilina - Sandra noemi crespo -  En Junio abono la segunda cuota de 3 de $135.000 - Consta de 3 cuotas de 135.000 + expensas en curso - Gustavo escobar es quien paga el pla de pagos</t>
  </si>
  <si>
    <t>El en mes de Junio debia abonar la 3er cuota de 3</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</si>
  <si>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</si>
  <si>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</si>
  <si>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</si>
  <si>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Deposito 220.000 el 21/07 uf 46 Italia</t>
  </si>
  <si>
    <t>VTO 17/08</t>
  </si>
  <si>
    <t>PERÍODO: JULIO</t>
  </si>
  <si>
    <t>InOut Control - Comando control y camaras - JULIO</t>
  </si>
  <si>
    <t>Honorarios administracion - Se adeuda mes de JULIO</t>
  </si>
  <si>
    <t>Gustavo Padron -  Sr. Contador - JULIO</t>
  </si>
  <si>
    <t>Casa ruan - Compra de materiales</t>
  </si>
  <si>
    <t>Transf 13/07</t>
  </si>
  <si>
    <t xml:space="preserve">Suarez Agustin Ignacio - MAYO </t>
  </si>
  <si>
    <t>Transf 10/07</t>
  </si>
  <si>
    <t>Cuello Natalia - Desobstruccion lavadero 11A</t>
  </si>
  <si>
    <t>Transf 21/07</t>
  </si>
  <si>
    <t>Transf 23/07</t>
  </si>
  <si>
    <t>Transf 06/07</t>
  </si>
  <si>
    <t>Debito 13/07</t>
  </si>
  <si>
    <t>Correo Argentino - Envio 2 cartas documentos - Edificio lindero : situacion raices de arbol</t>
  </si>
  <si>
    <t>Suarez Agustin Ignacio - JUNIO - Se adeuda JULIO</t>
  </si>
  <si>
    <r>
      <t>Oscar Colmeiro / Cordoba Matias -</t>
    </r>
    <r>
      <rPr>
        <b/>
        <sz val="11"/>
        <color theme="1"/>
        <rFont val="Calibri"/>
        <family val="2"/>
        <scheme val="minor"/>
      </rPr>
      <t xml:space="preserve"> A cuenta</t>
    </r>
    <r>
      <rPr>
        <sz val="11"/>
        <color theme="1"/>
        <rFont val="Calibri"/>
        <family val="2"/>
        <scheme val="minor"/>
      </rPr>
      <t xml:space="preserve"> de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t>
    </r>
  </si>
  <si>
    <t>En Juli0 2026 suben a $781.000</t>
  </si>
  <si>
    <t>Grafica Tauge - Fotocopias BYN</t>
  </si>
  <si>
    <t>Galvan Zaffalon - Compra de materiales para modificacion de cañeria entrada de agua con By pass</t>
  </si>
  <si>
    <t>Transf 14/7</t>
  </si>
  <si>
    <t>Suplencia Sra. Silvana</t>
  </si>
  <si>
    <t>Feriado</t>
  </si>
  <si>
    <t>Transf 15/07</t>
  </si>
  <si>
    <t>Seguro Sra. Silvana</t>
  </si>
  <si>
    <t>Transf 16/07</t>
  </si>
  <si>
    <t>Cuello Natalia - Desobstruccion emergencia de columna en baño en 2D</t>
  </si>
  <si>
    <t>Romnatti carlos - Digitalizacion de reglamento entregado por el gestor</t>
  </si>
  <si>
    <t>Transf 30/07</t>
  </si>
  <si>
    <t>Ascensores Lema - Pago material placa ascensores</t>
  </si>
  <si>
    <t>Gastos bancarios - Santander</t>
  </si>
  <si>
    <t>Mantenimiento de cuenta - Banco Credicop + Gastos bancarios</t>
  </si>
  <si>
    <t>ARCA - Plan de pago - Cuota 46/60</t>
  </si>
  <si>
    <t>ARCA VEP - No se abona (explicacion en el cuerpo de expensas)</t>
  </si>
  <si>
    <t>Maria Lorenzo - Transferencia 07/07</t>
  </si>
  <si>
    <t>Daniela Dominguez</t>
  </si>
  <si>
    <t xml:space="preserve">El en les de Julio abono la 4ta cuota de 7 </t>
  </si>
  <si>
    <t>Cedeno Yormelyth - Transferencia 10/07</t>
  </si>
  <si>
    <t>Scarpato Gabriela - Transferencia 12/07</t>
  </si>
  <si>
    <t>Deposito ya identificado mes anterior</t>
  </si>
  <si>
    <t>Punitorios mal cobrados</t>
  </si>
  <si>
    <t xml:space="preserve">En julio abona la 4ta cuota de 10 - Consta de 10 Cuotas de $165.000 + expensas en curso </t>
  </si>
  <si>
    <t xml:space="preserve">En julio abona la 4ta cuota de 24 - Consta de 24 cuotas de $33.000 + expensas en curso </t>
  </si>
  <si>
    <t>En julio abono la cuota 7 de 24</t>
  </si>
  <si>
    <t>Gasto UF 85 - Revisión de llave de paso: Se verificó la llave de paso de la columna 12-C, constatándose que se encontraba cerrada debido a un corte de agua previo y que no había sido reabierta al restablecerse el servicio.</t>
  </si>
  <si>
    <t>AYSA</t>
  </si>
  <si>
    <t>AYSA: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</si>
</sst>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3"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s>
  <borders count="4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00">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6" fillId="4" borderId="10" xfId="0" applyFont="1" applyFill="1" applyBorder="1"/>
    <xf numFmtId="0" fontId="16" fillId="4" borderId="9" xfId="0" applyFont="1" applyFill="1" applyBorder="1" applyAlignment="1">
      <alignment vertical="center" wrapText="1"/>
    </xf>
    <xf numFmtId="0" fontId="11" fillId="2" borderId="9" xfId="0" applyFont="1" applyFill="1" applyBorder="1" applyAlignment="1">
      <alignment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4" borderId="9" xfId="0" applyFont="1" applyFill="1" applyBorder="1" applyAlignment="1">
      <alignment wrapText="1"/>
    </xf>
    <xf numFmtId="0" fontId="16" fillId="4" borderId="9" xfId="0" applyFont="1" applyFill="1" applyBorder="1" applyAlignment="1">
      <alignment horizontal="center"/>
    </xf>
    <xf numFmtId="44" fontId="17" fillId="4" borderId="9" xfId="1" applyFont="1" applyFill="1" applyBorder="1"/>
    <xf numFmtId="167" fontId="16" fillId="4" borderId="9" xfId="0" applyNumberFormat="1" applyFont="1" applyFill="1" applyBorder="1"/>
    <xf numFmtId="167" fontId="16" fillId="4" borderId="9" xfId="1" applyNumberFormat="1" applyFont="1" applyFill="1" applyBorder="1"/>
    <xf numFmtId="167" fontId="16" fillId="4" borderId="23" xfId="1" applyNumberFormat="1" applyFont="1" applyFill="1" applyBorder="1"/>
    <xf numFmtId="44" fontId="17" fillId="4" borderId="24" xfId="1" applyFont="1" applyFill="1" applyBorder="1"/>
    <xf numFmtId="44" fontId="17" fillId="4" borderId="31" xfId="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0" borderId="0" xfId="0" applyFont="1"/>
    <xf numFmtId="0" fontId="22" fillId="0" borderId="0" xfId="0" applyFont="1"/>
    <xf numFmtId="44" fontId="22" fillId="0" borderId="0" xfId="0" applyNumberFormat="1" applyFont="1"/>
    <xf numFmtId="0" fontId="16" fillId="11" borderId="10" xfId="0" applyFont="1" applyFill="1" applyBorder="1"/>
    <xf numFmtId="0" fontId="16" fillId="11" borderId="9" xfId="0" applyFont="1" applyFill="1" applyBorder="1" applyAlignment="1">
      <alignment vertical="center" wrapText="1"/>
    </xf>
    <xf numFmtId="0" fontId="16" fillId="11" borderId="9" xfId="0" applyFont="1" applyFill="1" applyBorder="1" applyAlignment="1">
      <alignment wrapText="1"/>
    </xf>
    <xf numFmtId="0" fontId="16" fillId="11" borderId="9" xfId="0" applyFont="1" applyFill="1" applyBorder="1" applyAlignment="1">
      <alignment horizontal="center"/>
    </xf>
    <xf numFmtId="44" fontId="17" fillId="11" borderId="9" xfId="1" applyFont="1" applyFill="1" applyBorder="1"/>
    <xf numFmtId="167" fontId="16" fillId="11" borderId="9" xfId="0" applyNumberFormat="1" applyFont="1" applyFill="1" applyBorder="1"/>
    <xf numFmtId="167" fontId="16" fillId="11" borderId="9" xfId="1" applyNumberFormat="1" applyFont="1" applyFill="1" applyBorder="1"/>
    <xf numFmtId="167" fontId="16" fillId="11" borderId="23" xfId="1" applyNumberFormat="1" applyFont="1" applyFill="1" applyBorder="1"/>
    <xf numFmtId="44" fontId="17" fillId="11" borderId="24" xfId="1" applyFont="1" applyFill="1" applyBorder="1"/>
    <xf numFmtId="44" fontId="17" fillId="11" borderId="31" xfId="1" applyFont="1" applyFill="1" applyBorder="1"/>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2" xfId="1" applyFont="1" applyFill="1" applyBorder="1"/>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5"/>
  <sheetViews>
    <sheetView tabSelected="1" topLeftCell="A95" zoomScaleNormal="100" workbookViewId="0">
      <selection activeCell="E100" sqref="E100"/>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16.28515625" customWidth="1"/>
    <col min="11" max="11" width="18" customWidth="1"/>
    <col min="12" max="12" width="18.28515625" customWidth="1"/>
  </cols>
  <sheetData>
    <row r="1" spans="1:5" ht="18.75" customHeight="1" x14ac:dyDescent="0.25">
      <c r="A1" s="1"/>
      <c r="B1" s="237" t="s">
        <v>146</v>
      </c>
      <c r="C1" s="237"/>
      <c r="D1" s="237"/>
      <c r="E1" s="238"/>
    </row>
    <row r="2" spans="1:5" x14ac:dyDescent="0.25">
      <c r="A2" s="2"/>
      <c r="B2" s="9" t="s">
        <v>148</v>
      </c>
      <c r="C2" s="3"/>
      <c r="D2" s="3"/>
      <c r="E2" s="4"/>
    </row>
    <row r="3" spans="1:5" ht="51.6" customHeight="1" thickBot="1" x14ac:dyDescent="0.3">
      <c r="A3" s="2"/>
      <c r="B3" s="243" t="s">
        <v>188</v>
      </c>
      <c r="C3" s="243"/>
      <c r="D3" s="243"/>
      <c r="E3" s="244"/>
    </row>
    <row r="4" spans="1:5" ht="15.75" thickBot="1" x14ac:dyDescent="0.3">
      <c r="A4" s="5" t="s">
        <v>100</v>
      </c>
      <c r="B4" s="6" t="s">
        <v>101</v>
      </c>
      <c r="C4" s="7"/>
      <c r="D4" s="7"/>
      <c r="E4" s="8"/>
    </row>
    <row r="5" spans="1:5" ht="15.75" thickBot="1" x14ac:dyDescent="0.3">
      <c r="A5" s="2" t="s">
        <v>147</v>
      </c>
      <c r="B5" s="7" t="s">
        <v>222</v>
      </c>
      <c r="C5" s="9"/>
      <c r="D5" s="3" t="s">
        <v>102</v>
      </c>
      <c r="E5" s="10"/>
    </row>
    <row r="6" spans="1:5" ht="16.149999999999999" customHeight="1" thickBot="1" x14ac:dyDescent="0.3">
      <c r="A6" s="90" t="s">
        <v>137</v>
      </c>
      <c r="B6" s="7"/>
      <c r="C6" s="7"/>
      <c r="D6" s="7" t="s">
        <v>173</v>
      </c>
      <c r="E6" s="8"/>
    </row>
    <row r="8" spans="1:5" x14ac:dyDescent="0.25">
      <c r="A8" s="48"/>
      <c r="B8" s="245" t="s">
        <v>221</v>
      </c>
      <c r="C8" s="245"/>
      <c r="D8" s="48"/>
      <c r="E8" s="48"/>
    </row>
    <row r="9" spans="1:5" x14ac:dyDescent="0.25">
      <c r="A9" s="48"/>
      <c r="B9" s="245"/>
      <c r="C9" s="245"/>
      <c r="D9" s="48"/>
      <c r="E9" s="48"/>
    </row>
    <row r="10" spans="1:5" x14ac:dyDescent="0.25">
      <c r="A10" s="48"/>
      <c r="B10" s="245"/>
      <c r="C10" s="245"/>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46" t="s">
        <v>103</v>
      </c>
      <c r="B13" s="246"/>
      <c r="C13" s="246"/>
      <c r="D13" s="246"/>
      <c r="E13" s="246"/>
    </row>
    <row r="14" spans="1:5" ht="15" customHeight="1" x14ac:dyDescent="0.25">
      <c r="A14" s="246"/>
      <c r="B14" s="246"/>
      <c r="C14" s="246"/>
      <c r="D14" s="246"/>
      <c r="E14" s="246"/>
    </row>
    <row r="15" spans="1:5" ht="15" customHeight="1" x14ac:dyDescent="0.25">
      <c r="A15" s="246"/>
      <c r="B15" s="246"/>
      <c r="C15" s="246"/>
      <c r="D15" s="246"/>
      <c r="E15" s="246"/>
    </row>
    <row r="16" spans="1:5" ht="53.25" customHeight="1" x14ac:dyDescent="0.25">
      <c r="A16" s="246"/>
      <c r="B16" s="246"/>
      <c r="C16" s="246"/>
      <c r="D16" s="246"/>
      <c r="E16" s="246"/>
    </row>
    <row r="17" spans="1:8" ht="14.25" customHeight="1" thickBot="1" x14ac:dyDescent="0.3">
      <c r="A17" s="48"/>
      <c r="B17" s="48"/>
      <c r="C17" s="48"/>
      <c r="D17" s="48"/>
      <c r="E17" s="48"/>
    </row>
    <row r="18" spans="1:8" ht="15.75" hidden="1" thickBot="1" x14ac:dyDescent="0.3">
      <c r="A18" s="177"/>
      <c r="B18" s="48"/>
      <c r="C18" s="48"/>
      <c r="D18" s="48"/>
      <c r="E18" s="48"/>
    </row>
    <row r="19" spans="1:8" ht="15.75" hidden="1" thickBot="1" x14ac:dyDescent="0.3">
      <c r="A19" s="48"/>
      <c r="B19" s="48"/>
      <c r="C19" s="48"/>
      <c r="D19" s="48"/>
      <c r="E19" s="48"/>
    </row>
    <row r="20" spans="1:8" x14ac:dyDescent="0.25">
      <c r="A20" s="178" t="s">
        <v>104</v>
      </c>
      <c r="B20" s="179"/>
      <c r="C20" s="180"/>
      <c r="D20" s="58"/>
      <c r="E20" s="59"/>
    </row>
    <row r="21" spans="1:8" x14ac:dyDescent="0.25">
      <c r="A21" s="36" t="s">
        <v>138</v>
      </c>
      <c r="B21" s="36"/>
      <c r="C21" s="36"/>
      <c r="D21" s="117"/>
      <c r="E21" s="151"/>
    </row>
    <row r="22" spans="1:8" ht="15" customHeight="1" x14ac:dyDescent="0.25">
      <c r="A22" s="239" t="s">
        <v>161</v>
      </c>
      <c r="B22" s="240"/>
      <c r="C22" s="181"/>
      <c r="D22" s="182">
        <v>2337709.7000000002</v>
      </c>
      <c r="E22" s="152"/>
      <c r="H22" s="19"/>
    </row>
    <row r="23" spans="1:8" ht="15" customHeight="1" x14ac:dyDescent="0.25">
      <c r="A23" s="239" t="s">
        <v>162</v>
      </c>
      <c r="B23" s="240"/>
      <c r="C23" s="181"/>
      <c r="D23" s="182">
        <v>-508451.7</v>
      </c>
      <c r="E23" s="20"/>
      <c r="H23" s="19"/>
    </row>
    <row r="24" spans="1:8" ht="13.5" customHeight="1" x14ac:dyDescent="0.25">
      <c r="A24" s="239" t="s">
        <v>1</v>
      </c>
      <c r="B24" s="240"/>
      <c r="C24" s="181"/>
      <c r="D24" s="183">
        <v>0</v>
      </c>
      <c r="E24" s="20">
        <v>248436.1</v>
      </c>
      <c r="F24" s="219">
        <v>241200.1</v>
      </c>
      <c r="H24" s="19"/>
    </row>
    <row r="25" spans="1:8" x14ac:dyDescent="0.25">
      <c r="A25" s="184" t="s">
        <v>105</v>
      </c>
      <c r="B25" s="184"/>
      <c r="C25" s="184"/>
      <c r="D25" s="22"/>
      <c r="E25" s="153">
        <f>SUM(D22:D24)</f>
        <v>1829258.0000000002</v>
      </c>
    </row>
    <row r="26" spans="1:8" hidden="1" x14ac:dyDescent="0.25">
      <c r="A26" s="184" t="s">
        <v>176</v>
      </c>
      <c r="B26" s="184"/>
      <c r="C26" s="184"/>
      <c r="D26" s="22"/>
      <c r="E26" s="154"/>
    </row>
    <row r="27" spans="1:8" hidden="1" x14ac:dyDescent="0.25">
      <c r="A27" s="181"/>
      <c r="B27" s="181"/>
      <c r="C27" s="181"/>
      <c r="D27" s="35"/>
      <c r="E27" s="167"/>
    </row>
    <row r="28" spans="1:8" hidden="1" x14ac:dyDescent="0.25">
      <c r="A28" s="181"/>
      <c r="B28" s="181"/>
      <c r="C28" s="181"/>
      <c r="D28" s="35"/>
      <c r="E28" s="167"/>
    </row>
    <row r="29" spans="1:8" ht="0.75" customHeight="1" x14ac:dyDescent="0.25">
      <c r="A29" s="181"/>
      <c r="B29" s="181"/>
      <c r="C29" s="181"/>
      <c r="D29" s="35"/>
      <c r="E29" s="167"/>
    </row>
    <row r="30" spans="1:8" hidden="1" x14ac:dyDescent="0.25">
      <c r="A30" s="181"/>
      <c r="B30" s="181"/>
      <c r="C30" s="181"/>
      <c r="D30" s="35"/>
      <c r="E30" s="155"/>
    </row>
    <row r="31" spans="1:8" x14ac:dyDescent="0.25">
      <c r="A31" s="181" t="s">
        <v>242</v>
      </c>
      <c r="B31" s="181" t="s">
        <v>243</v>
      </c>
      <c r="C31" s="181"/>
      <c r="D31" s="35">
        <v>125000</v>
      </c>
      <c r="E31" s="155" t="s">
        <v>244</v>
      </c>
    </row>
    <row r="32" spans="1:8" x14ac:dyDescent="0.25">
      <c r="A32" s="181" t="s">
        <v>245</v>
      </c>
      <c r="B32" s="181"/>
      <c r="C32" s="181"/>
      <c r="D32" s="35">
        <v>5087</v>
      </c>
      <c r="E32" s="155" t="s">
        <v>244</v>
      </c>
    </row>
    <row r="33" spans="1:7" x14ac:dyDescent="0.25">
      <c r="A33" s="184" t="s">
        <v>105</v>
      </c>
      <c r="B33" s="185"/>
      <c r="C33" s="185"/>
      <c r="D33" s="107"/>
      <c r="E33" s="156">
        <f>SUM(D29:D32)</f>
        <v>130087</v>
      </c>
    </row>
    <row r="34" spans="1:7" x14ac:dyDescent="0.25">
      <c r="A34" s="36" t="s">
        <v>139</v>
      </c>
      <c r="B34" s="184"/>
      <c r="C34" s="184"/>
      <c r="D34" s="22"/>
      <c r="E34" s="154"/>
    </row>
    <row r="35" spans="1:7" x14ac:dyDescent="0.25">
      <c r="A35" s="181" t="s">
        <v>253</v>
      </c>
      <c r="B35" s="186"/>
      <c r="C35" s="186"/>
      <c r="D35" s="35">
        <v>12214.52</v>
      </c>
      <c r="E35" s="155" t="str">
        <f>E37</f>
        <v>Debito 13/07</v>
      </c>
      <c r="G35" s="66"/>
    </row>
    <row r="36" spans="1:7" x14ac:dyDescent="0.25">
      <c r="A36" s="181" t="s">
        <v>254</v>
      </c>
      <c r="B36" s="186"/>
      <c r="C36" s="186"/>
      <c r="D36" s="35">
        <v>0</v>
      </c>
      <c r="E36" s="155"/>
      <c r="G36" s="66"/>
    </row>
    <row r="37" spans="1:7" x14ac:dyDescent="0.25">
      <c r="A37" s="181" t="s">
        <v>141</v>
      </c>
      <c r="B37" s="186"/>
      <c r="C37" s="186"/>
      <c r="D37" s="35">
        <v>292530.53999999998</v>
      </c>
      <c r="E37" s="155" t="s">
        <v>234</v>
      </c>
      <c r="G37" s="66"/>
    </row>
    <row r="38" spans="1:7" x14ac:dyDescent="0.25">
      <c r="A38" s="181" t="s">
        <v>143</v>
      </c>
      <c r="B38" s="186"/>
      <c r="C38" s="186"/>
      <c r="D38" s="35">
        <v>152234.67000000001</v>
      </c>
      <c r="E38" s="155" t="str">
        <f>E37</f>
        <v>Debito 13/07</v>
      </c>
      <c r="G38" s="50"/>
    </row>
    <row r="39" spans="1:7" x14ac:dyDescent="0.25">
      <c r="A39" s="181" t="s">
        <v>142</v>
      </c>
      <c r="B39" s="186"/>
      <c r="C39" s="186"/>
      <c r="D39" s="35">
        <v>16914.96</v>
      </c>
      <c r="E39" s="155" t="str">
        <f>E37</f>
        <v>Debito 13/07</v>
      </c>
    </row>
    <row r="40" spans="1:7" x14ac:dyDescent="0.25">
      <c r="A40" s="181" t="s">
        <v>149</v>
      </c>
      <c r="B40" s="186"/>
      <c r="C40" s="186"/>
      <c r="D40" s="35"/>
      <c r="E40" s="155"/>
    </row>
    <row r="41" spans="1:7" ht="12.75" customHeight="1" x14ac:dyDescent="0.25">
      <c r="A41" s="184" t="s">
        <v>140</v>
      </c>
      <c r="B41" s="184"/>
      <c r="C41" s="184"/>
      <c r="D41" s="22"/>
      <c r="E41" s="41">
        <f>SUM(D35:D40)</f>
        <v>473894.69</v>
      </c>
    </row>
    <row r="42" spans="1:7" x14ac:dyDescent="0.25">
      <c r="A42" s="14" t="s">
        <v>106</v>
      </c>
      <c r="B42" s="21"/>
      <c r="C42" s="21"/>
      <c r="D42" s="23"/>
      <c r="E42" s="156"/>
    </row>
    <row r="43" spans="1:7" ht="26.25" customHeight="1" x14ac:dyDescent="0.25">
      <c r="A43" s="247" t="s">
        <v>183</v>
      </c>
      <c r="B43" s="248"/>
      <c r="C43" s="26"/>
      <c r="D43" s="231">
        <v>7805</v>
      </c>
      <c r="E43" s="20" t="s">
        <v>184</v>
      </c>
    </row>
    <row r="44" spans="1:7" ht="26.25" customHeight="1" x14ac:dyDescent="0.25">
      <c r="A44" s="247" t="s">
        <v>185</v>
      </c>
      <c r="B44" s="248"/>
      <c r="C44" s="26"/>
      <c r="D44" s="231">
        <v>213891</v>
      </c>
      <c r="E44" s="20" t="s">
        <v>184</v>
      </c>
    </row>
    <row r="45" spans="1:7" x14ac:dyDescent="0.25">
      <c r="A45" s="21" t="s">
        <v>107</v>
      </c>
      <c r="B45" s="21"/>
      <c r="C45" s="21"/>
      <c r="D45" s="22"/>
      <c r="E45" s="41">
        <f>SUM(D43:D44)</f>
        <v>221696</v>
      </c>
    </row>
    <row r="46" spans="1:7" x14ac:dyDescent="0.25">
      <c r="A46" s="14" t="s">
        <v>108</v>
      </c>
      <c r="B46" s="27"/>
      <c r="C46" s="27"/>
      <c r="D46" s="28"/>
      <c r="E46" s="157"/>
    </row>
    <row r="47" spans="1:7" ht="15.75" customHeight="1" x14ac:dyDescent="0.25">
      <c r="A47" s="29" t="s">
        <v>109</v>
      </c>
      <c r="B47" s="29" t="s">
        <v>168</v>
      </c>
      <c r="C47" s="29"/>
      <c r="D47" s="30">
        <v>1390852.75</v>
      </c>
      <c r="E47" s="118" t="s">
        <v>227</v>
      </c>
    </row>
    <row r="48" spans="1:7" ht="14.25" customHeight="1" x14ac:dyDescent="0.25">
      <c r="A48" s="29" t="s">
        <v>109</v>
      </c>
      <c r="B48" s="29" t="s">
        <v>170</v>
      </c>
      <c r="C48" s="29"/>
      <c r="D48" s="30">
        <v>36242.83</v>
      </c>
      <c r="E48" s="191" t="s">
        <v>212</v>
      </c>
    </row>
    <row r="49" spans="1:6" ht="14.25" customHeight="1" x14ac:dyDescent="0.25">
      <c r="A49" s="29" t="s">
        <v>177</v>
      </c>
      <c r="B49" s="29" t="s">
        <v>169</v>
      </c>
      <c r="C49" s="29"/>
      <c r="D49" s="30">
        <v>0</v>
      </c>
      <c r="E49" s="20"/>
    </row>
    <row r="50" spans="1:6" x14ac:dyDescent="0.25">
      <c r="A50" s="29" t="s">
        <v>178</v>
      </c>
      <c r="B50" s="31"/>
      <c r="C50" s="29"/>
      <c r="D50" s="30">
        <v>0</v>
      </c>
      <c r="E50" s="20"/>
    </row>
    <row r="51" spans="1:6" x14ac:dyDescent="0.25">
      <c r="A51" s="247" t="s">
        <v>110</v>
      </c>
      <c r="B51" s="248"/>
      <c r="C51" s="29"/>
      <c r="D51" s="30">
        <v>5946930.7699999996</v>
      </c>
      <c r="E51" s="118" t="s">
        <v>233</v>
      </c>
      <c r="F51">
        <f>132000+148000+3942</f>
        <v>283942</v>
      </c>
    </row>
    <row r="52" spans="1:6" x14ac:dyDescent="0.25">
      <c r="A52" s="32" t="s">
        <v>111</v>
      </c>
      <c r="B52" s="25"/>
      <c r="C52" s="29"/>
      <c r="D52" s="30"/>
      <c r="E52" s="20"/>
    </row>
    <row r="53" spans="1:6" ht="15.75" thickBot="1" x14ac:dyDescent="0.3">
      <c r="A53" s="21" t="s">
        <v>112</v>
      </c>
      <c r="B53" s="21"/>
      <c r="C53" s="21"/>
      <c r="D53" s="33"/>
      <c r="E53" s="158">
        <f>SUM(D47:D52)</f>
        <v>7374026.3499999996</v>
      </c>
    </row>
    <row r="54" spans="1:6" ht="15" customHeight="1" thickBot="1" x14ac:dyDescent="0.3">
      <c r="A54" s="14"/>
      <c r="B54" s="21"/>
      <c r="C54" s="21"/>
      <c r="D54" s="22"/>
      <c r="E54" s="159"/>
    </row>
    <row r="55" spans="1:6" ht="21.95" customHeight="1" x14ac:dyDescent="0.25">
      <c r="A55" s="241" t="s">
        <v>164</v>
      </c>
      <c r="B55" s="242"/>
      <c r="C55" s="29"/>
      <c r="D55" s="30">
        <v>285000</v>
      </c>
      <c r="E55" s="166" t="s">
        <v>229</v>
      </c>
    </row>
    <row r="56" spans="1:6" ht="26.25" customHeight="1" x14ac:dyDescent="0.25">
      <c r="A56" s="241" t="s">
        <v>250</v>
      </c>
      <c r="B56" s="242"/>
      <c r="C56" s="29"/>
      <c r="D56" s="30">
        <v>280000</v>
      </c>
      <c r="E56" s="166" t="s">
        <v>249</v>
      </c>
    </row>
    <row r="57" spans="1:6" ht="186.75" customHeight="1" x14ac:dyDescent="0.25">
      <c r="A57" s="241" t="s">
        <v>237</v>
      </c>
      <c r="B57" s="242"/>
      <c r="C57" s="29"/>
      <c r="D57" s="30">
        <v>1400000</v>
      </c>
      <c r="E57" s="166"/>
      <c r="F57" s="50"/>
    </row>
    <row r="58" spans="1:6" ht="20.25" customHeight="1" x14ac:dyDescent="0.25">
      <c r="A58" s="92" t="s">
        <v>226</v>
      </c>
      <c r="B58" s="17"/>
      <c r="C58" s="29"/>
      <c r="D58" s="30">
        <v>841000</v>
      </c>
      <c r="E58" s="166" t="s">
        <v>244</v>
      </c>
      <c r="F58" s="50">
        <f>39911.44+109035.44</f>
        <v>148946.88</v>
      </c>
    </row>
    <row r="59" spans="1:6" ht="35.25" customHeight="1" x14ac:dyDescent="0.25">
      <c r="A59" s="241" t="s">
        <v>240</v>
      </c>
      <c r="B59" s="242"/>
      <c r="C59" s="29"/>
      <c r="D59" s="30">
        <v>687000</v>
      </c>
      <c r="E59" s="34" t="s">
        <v>241</v>
      </c>
      <c r="F59" s="50"/>
    </row>
    <row r="60" spans="1:6" ht="15" customHeight="1" x14ac:dyDescent="0.25">
      <c r="A60" s="216" t="s">
        <v>217</v>
      </c>
      <c r="B60" s="217"/>
      <c r="C60" s="29"/>
      <c r="D60" s="30">
        <v>6990</v>
      </c>
      <c r="E60" s="34"/>
      <c r="F60" s="220"/>
    </row>
    <row r="61" spans="1:6" ht="17.25" customHeight="1" x14ac:dyDescent="0.25">
      <c r="A61" s="92" t="s">
        <v>210</v>
      </c>
      <c r="B61" s="17"/>
      <c r="C61" s="29"/>
      <c r="D61" s="30">
        <v>31400</v>
      </c>
      <c r="E61" s="34" t="s">
        <v>246</v>
      </c>
      <c r="F61" s="50"/>
    </row>
    <row r="62" spans="1:6" ht="17.25" customHeight="1" x14ac:dyDescent="0.25">
      <c r="A62" s="92" t="s">
        <v>230</v>
      </c>
      <c r="B62" s="17"/>
      <c r="C62" s="29"/>
      <c r="D62" s="30">
        <v>31400</v>
      </c>
      <c r="E62" s="34" t="s">
        <v>246</v>
      </c>
      <c r="F62" s="50"/>
    </row>
    <row r="63" spans="1:6" ht="17.25" customHeight="1" x14ac:dyDescent="0.25">
      <c r="A63" s="92" t="s">
        <v>209</v>
      </c>
      <c r="B63" s="17"/>
      <c r="C63" s="29"/>
      <c r="D63" s="30">
        <v>31400</v>
      </c>
      <c r="E63" s="34" t="s">
        <v>246</v>
      </c>
      <c r="F63" s="50"/>
    </row>
    <row r="64" spans="1:6" ht="17.25" customHeight="1" x14ac:dyDescent="0.25">
      <c r="A64" s="92" t="s">
        <v>211</v>
      </c>
      <c r="B64" s="17"/>
      <c r="C64" s="29"/>
      <c r="D64" s="30">
        <v>31400</v>
      </c>
      <c r="E64" s="34" t="s">
        <v>246</v>
      </c>
      <c r="F64" s="50"/>
    </row>
    <row r="65" spans="1:7" ht="17.25" customHeight="1" x14ac:dyDescent="0.25">
      <c r="A65" s="92" t="s">
        <v>209</v>
      </c>
      <c r="B65" s="17"/>
      <c r="C65" s="29"/>
      <c r="D65" s="30">
        <v>31400</v>
      </c>
      <c r="E65" s="34" t="s">
        <v>231</v>
      </c>
      <c r="F65" s="50"/>
    </row>
    <row r="66" spans="1:7" ht="32.25" customHeight="1" x14ac:dyDescent="0.25">
      <c r="A66" s="241" t="s">
        <v>247</v>
      </c>
      <c r="B66" s="242"/>
      <c r="C66" s="29"/>
      <c r="D66" s="30">
        <v>138600</v>
      </c>
      <c r="E66" s="34" t="s">
        <v>231</v>
      </c>
      <c r="F66" s="50"/>
    </row>
    <row r="67" spans="1:7" ht="21.95" customHeight="1" x14ac:dyDescent="0.25">
      <c r="A67" s="92" t="s">
        <v>228</v>
      </c>
      <c r="B67" s="17"/>
      <c r="C67" s="29"/>
      <c r="D67" s="30">
        <v>145600</v>
      </c>
      <c r="E67" s="166" t="s">
        <v>227</v>
      </c>
      <c r="F67" s="50"/>
    </row>
    <row r="68" spans="1:7" ht="21.95" customHeight="1" x14ac:dyDescent="0.25">
      <c r="A68" s="92" t="s">
        <v>236</v>
      </c>
      <c r="B68" s="17"/>
      <c r="C68" s="29"/>
      <c r="D68" s="30">
        <v>152250</v>
      </c>
      <c r="E68" s="166" t="s">
        <v>227</v>
      </c>
      <c r="F68" s="50"/>
    </row>
    <row r="69" spans="1:7" ht="21.95" customHeight="1" x14ac:dyDescent="0.25">
      <c r="A69" s="92" t="s">
        <v>239</v>
      </c>
      <c r="B69" s="17"/>
      <c r="C69" s="29"/>
      <c r="D69" s="30">
        <v>7500</v>
      </c>
      <c r="E69" s="166" t="s">
        <v>212</v>
      </c>
      <c r="F69" s="50"/>
    </row>
    <row r="70" spans="1:7" ht="66" customHeight="1" x14ac:dyDescent="0.25">
      <c r="A70" s="241" t="s">
        <v>265</v>
      </c>
      <c r="B70" s="242"/>
      <c r="C70" s="29"/>
      <c r="D70" s="30">
        <v>85000</v>
      </c>
      <c r="E70" s="166"/>
      <c r="F70" s="50"/>
    </row>
    <row r="71" spans="1:7" ht="21.95" customHeight="1" x14ac:dyDescent="0.25">
      <c r="A71" s="92" t="s">
        <v>200</v>
      </c>
      <c r="B71" s="17"/>
      <c r="C71" s="29"/>
      <c r="D71" s="30">
        <v>405300</v>
      </c>
      <c r="E71" s="166" t="s">
        <v>249</v>
      </c>
      <c r="F71" s="50"/>
    </row>
    <row r="72" spans="1:7" ht="21.95" customHeight="1" x14ac:dyDescent="0.25">
      <c r="A72" s="241" t="s">
        <v>208</v>
      </c>
      <c r="B72" s="242"/>
      <c r="C72" s="29"/>
      <c r="D72" s="30">
        <v>124611.12</v>
      </c>
      <c r="E72" s="166" t="s">
        <v>227</v>
      </c>
      <c r="F72" s="50"/>
    </row>
    <row r="73" spans="1:7" ht="21.95" customHeight="1" x14ac:dyDescent="0.25">
      <c r="A73" s="241" t="s">
        <v>223</v>
      </c>
      <c r="B73" s="242"/>
      <c r="C73" s="29"/>
      <c r="D73" s="30">
        <v>124611.12</v>
      </c>
      <c r="E73" s="166" t="s">
        <v>227</v>
      </c>
      <c r="F73" s="50"/>
    </row>
    <row r="74" spans="1:7" x14ac:dyDescent="0.25">
      <c r="A74" s="21" t="s">
        <v>0</v>
      </c>
      <c r="B74" s="14"/>
      <c r="C74" s="14"/>
      <c r="D74" s="36"/>
      <c r="E74" s="41">
        <f>SUM(D55:D73)</f>
        <v>4840462.24</v>
      </c>
    </row>
    <row r="75" spans="1:7" x14ac:dyDescent="0.25">
      <c r="A75" s="14" t="s">
        <v>113</v>
      </c>
      <c r="B75" s="14"/>
      <c r="C75" s="14"/>
      <c r="D75" s="15"/>
      <c r="E75" s="151"/>
    </row>
    <row r="76" spans="1:7" ht="15.75" customHeight="1" x14ac:dyDescent="0.25">
      <c r="A76" s="241" t="s">
        <v>224</v>
      </c>
      <c r="B76" s="242"/>
      <c r="C76" s="18"/>
      <c r="D76" s="232">
        <v>650000</v>
      </c>
      <c r="E76" s="166" t="s">
        <v>227</v>
      </c>
      <c r="G76" t="s">
        <v>238</v>
      </c>
    </row>
    <row r="77" spans="1:7" ht="29.25" customHeight="1" x14ac:dyDescent="0.25">
      <c r="A77" s="241" t="s">
        <v>235</v>
      </c>
      <c r="B77" s="242"/>
      <c r="C77" s="18"/>
      <c r="D77" s="233">
        <v>50000</v>
      </c>
      <c r="E77" s="166" t="s">
        <v>227</v>
      </c>
    </row>
    <row r="78" spans="1:7" ht="15.75" customHeight="1" x14ac:dyDescent="0.25">
      <c r="A78" s="16" t="s">
        <v>163</v>
      </c>
      <c r="B78" s="17"/>
      <c r="C78" s="18"/>
      <c r="D78" s="233">
        <v>250000</v>
      </c>
      <c r="E78" s="166" t="s">
        <v>227</v>
      </c>
    </row>
    <row r="79" spans="1:7" ht="15.75" customHeight="1" x14ac:dyDescent="0.25">
      <c r="A79" s="92" t="s">
        <v>248</v>
      </c>
      <c r="B79" s="17"/>
      <c r="C79" s="18"/>
      <c r="D79" s="233">
        <v>484217.8</v>
      </c>
      <c r="E79" s="166" t="s">
        <v>232</v>
      </c>
    </row>
    <row r="80" spans="1:7" ht="15.75" customHeight="1" x14ac:dyDescent="0.25">
      <c r="A80" s="92" t="s">
        <v>225</v>
      </c>
      <c r="B80" s="17"/>
      <c r="C80" s="18"/>
      <c r="D80" s="233">
        <v>50000</v>
      </c>
      <c r="E80" s="166" t="s">
        <v>227</v>
      </c>
    </row>
    <row r="81" spans="1:8" x14ac:dyDescent="0.25">
      <c r="A81" s="21" t="s">
        <v>105</v>
      </c>
      <c r="B81" s="21"/>
      <c r="C81" s="21"/>
      <c r="D81" s="22"/>
      <c r="E81" s="153">
        <f>SUM(D76:D80)</f>
        <v>1484217.8</v>
      </c>
    </row>
    <row r="82" spans="1:8" x14ac:dyDescent="0.25">
      <c r="A82" s="14" t="s">
        <v>114</v>
      </c>
      <c r="B82" s="37"/>
      <c r="C82" s="21"/>
      <c r="D82" s="38"/>
      <c r="E82" s="41"/>
    </row>
    <row r="83" spans="1:8" x14ac:dyDescent="0.25">
      <c r="A83" s="29" t="s">
        <v>252</v>
      </c>
      <c r="B83" s="91"/>
      <c r="C83" s="91"/>
      <c r="D83" s="234">
        <f>44612.24+65000-12214.52</f>
        <v>97397.719999999987</v>
      </c>
      <c r="E83" s="160"/>
    </row>
    <row r="84" spans="1:8" ht="13.5" customHeight="1" x14ac:dyDescent="0.25">
      <c r="A84" s="247" t="s">
        <v>251</v>
      </c>
      <c r="B84" s="248"/>
      <c r="C84" s="91"/>
      <c r="D84" s="234">
        <v>225591.15</v>
      </c>
      <c r="E84" s="160"/>
    </row>
    <row r="85" spans="1:8" x14ac:dyDescent="0.25">
      <c r="A85" s="39" t="s">
        <v>105</v>
      </c>
      <c r="B85" s="39"/>
      <c r="C85" s="39"/>
      <c r="D85" s="40"/>
      <c r="E85" s="41">
        <f>SUM(D83:D84)</f>
        <v>322988.87</v>
      </c>
    </row>
    <row r="86" spans="1:8" x14ac:dyDescent="0.25">
      <c r="A86" s="29"/>
      <c r="B86" s="29"/>
      <c r="C86" s="29"/>
      <c r="D86" s="42"/>
      <c r="E86" s="43"/>
    </row>
    <row r="87" spans="1:8" x14ac:dyDescent="0.25">
      <c r="A87" s="44" t="s">
        <v>115</v>
      </c>
      <c r="B87" s="44"/>
      <c r="C87" s="44"/>
      <c r="D87" s="45"/>
      <c r="E87" s="46">
        <v>1500000</v>
      </c>
    </row>
    <row r="88" spans="1:8" ht="15.75" thickBot="1" x14ac:dyDescent="0.3">
      <c r="A88" s="47"/>
      <c r="D88" s="48"/>
      <c r="E88" s="49"/>
      <c r="F88" s="50"/>
    </row>
    <row r="89" spans="1:8" ht="15.75" thickBot="1" x14ac:dyDescent="0.3">
      <c r="A89" s="51" t="s">
        <v>116</v>
      </c>
      <c r="B89" s="52"/>
      <c r="C89" s="53"/>
      <c r="D89" s="54"/>
      <c r="E89" s="55">
        <f>(SUM(E21:E87))</f>
        <v>18425067.050000001</v>
      </c>
      <c r="F89" s="56"/>
      <c r="G89" s="50"/>
    </row>
    <row r="90" spans="1:8" x14ac:dyDescent="0.25">
      <c r="D90" s="48"/>
      <c r="E90" s="48"/>
    </row>
    <row r="91" spans="1:8" ht="15.75" thickBot="1" x14ac:dyDescent="0.3">
      <c r="D91" s="48"/>
      <c r="E91" s="48"/>
      <c r="H91" s="57"/>
    </row>
    <row r="92" spans="1:8" x14ac:dyDescent="0.25">
      <c r="A92" s="11" t="s">
        <v>117</v>
      </c>
      <c r="B92" s="12"/>
      <c r="C92" s="13"/>
      <c r="D92" s="58"/>
      <c r="E92" s="59"/>
    </row>
    <row r="93" spans="1:8" ht="16.5" customHeight="1" x14ac:dyDescent="0.25">
      <c r="A93" s="253"/>
      <c r="B93" s="253"/>
      <c r="C93" s="31"/>
      <c r="D93" s="249"/>
      <c r="E93" s="251"/>
    </row>
    <row r="94" spans="1:8" ht="1.5" hidden="1" customHeight="1" x14ac:dyDescent="0.25">
      <c r="A94" s="253"/>
      <c r="B94" s="253"/>
      <c r="C94" s="31"/>
      <c r="D94" s="250"/>
      <c r="E94" s="252"/>
    </row>
    <row r="95" spans="1:8" ht="15.75" customHeight="1" x14ac:dyDescent="0.25">
      <c r="A95" s="29"/>
      <c r="B95" s="29"/>
      <c r="D95" s="42"/>
      <c r="E95" s="42"/>
    </row>
    <row r="96" spans="1:8" x14ac:dyDescent="0.25">
      <c r="A96" s="24"/>
      <c r="B96" s="61"/>
      <c r="C96" s="29"/>
      <c r="D96" s="35"/>
      <c r="E96" s="60"/>
    </row>
    <row r="97" spans="1:5" x14ac:dyDescent="0.25">
      <c r="A97" s="62" t="s">
        <v>145</v>
      </c>
      <c r="B97" s="63"/>
      <c r="C97" s="63"/>
      <c r="D97" s="116"/>
      <c r="E97" s="161">
        <f>SUM(D93:D96)</f>
        <v>0</v>
      </c>
    </row>
    <row r="98" spans="1:5" ht="15" customHeight="1" x14ac:dyDescent="0.25">
      <c r="D98" s="48"/>
      <c r="E98" s="48"/>
    </row>
    <row r="99" spans="1:5" hidden="1" x14ac:dyDescent="0.25">
      <c r="D99" s="48"/>
      <c r="E99" s="48"/>
    </row>
    <row r="100" spans="1:5" x14ac:dyDescent="0.25">
      <c r="A100" s="44" t="s">
        <v>118</v>
      </c>
      <c r="B100" s="44"/>
      <c r="C100" s="44"/>
      <c r="D100" s="45"/>
      <c r="E100" s="165">
        <v>4500000</v>
      </c>
    </row>
    <row r="101" spans="1:5" ht="15.75" thickBot="1" x14ac:dyDescent="0.3">
      <c r="D101" s="48"/>
      <c r="E101" s="48"/>
    </row>
    <row r="102" spans="1:5" ht="15.75" thickBot="1" x14ac:dyDescent="0.3">
      <c r="A102" s="51" t="s">
        <v>119</v>
      </c>
      <c r="B102" s="52"/>
      <c r="C102" s="53"/>
      <c r="D102" s="54"/>
      <c r="E102" s="55">
        <f>E97+E100</f>
        <v>4500000</v>
      </c>
    </row>
    <row r="103" spans="1:5" ht="15.75" thickBot="1" x14ac:dyDescent="0.3">
      <c r="D103" s="48"/>
      <c r="E103" s="48"/>
    </row>
    <row r="104" spans="1:5" ht="15.75" thickBot="1" x14ac:dyDescent="0.3">
      <c r="A104" s="64" t="s">
        <v>120</v>
      </c>
      <c r="B104" s="65">
        <f>E89</f>
        <v>18425067.050000001</v>
      </c>
      <c r="D104" s="48"/>
      <c r="E104" s="48"/>
    </row>
    <row r="105" spans="1:5" ht="15.75" thickBot="1" x14ac:dyDescent="0.3">
      <c r="A105" s="64" t="s">
        <v>121</v>
      </c>
      <c r="B105" s="65">
        <f>E89-E87</f>
        <v>16925067.050000001</v>
      </c>
      <c r="D105" s="48"/>
      <c r="E105" s="48"/>
    </row>
    <row r="106" spans="1:5" ht="15.75" thickBot="1" x14ac:dyDescent="0.3">
      <c r="A106" s="64" t="s">
        <v>122</v>
      </c>
      <c r="B106" s="65">
        <f>E102-E100</f>
        <v>0</v>
      </c>
      <c r="D106" s="48"/>
      <c r="E106" s="48"/>
    </row>
    <row r="107" spans="1:5" ht="15.75" thickBot="1" x14ac:dyDescent="0.3">
      <c r="A107" s="64" t="s">
        <v>123</v>
      </c>
      <c r="B107" s="65">
        <f>E102</f>
        <v>4500000</v>
      </c>
      <c r="D107" s="48"/>
      <c r="E107" s="48"/>
    </row>
    <row r="108" spans="1:5" x14ac:dyDescent="0.25">
      <c r="D108" s="48"/>
      <c r="E108" s="48"/>
    </row>
    <row r="109" spans="1:5" x14ac:dyDescent="0.25">
      <c r="D109" s="48"/>
      <c r="E109" s="48"/>
    </row>
    <row r="110" spans="1:5" ht="15" customHeight="1" x14ac:dyDescent="0.25">
      <c r="A110" s="236" t="s">
        <v>172</v>
      </c>
      <c r="B110" s="236"/>
      <c r="D110" s="48"/>
      <c r="E110" s="48"/>
    </row>
    <row r="111" spans="1:5" ht="15" customHeight="1" x14ac:dyDescent="0.25">
      <c r="A111" s="236"/>
      <c r="B111" s="236"/>
      <c r="D111" s="48"/>
      <c r="E111" s="48"/>
    </row>
    <row r="112" spans="1:5" ht="15" customHeight="1" x14ac:dyDescent="0.25">
      <c r="A112" s="236"/>
      <c r="B112" s="236"/>
      <c r="D112" s="48"/>
      <c r="E112" s="48"/>
    </row>
    <row r="113" spans="1:6" x14ac:dyDescent="0.25">
      <c r="D113" s="48"/>
      <c r="E113" s="48"/>
    </row>
    <row r="114" spans="1:6" ht="15" customHeight="1" x14ac:dyDescent="0.25">
      <c r="A114" s="236" t="s">
        <v>199</v>
      </c>
      <c r="B114" s="236"/>
      <c r="D114" s="48"/>
      <c r="E114" s="48"/>
    </row>
    <row r="115" spans="1:6" ht="15" customHeight="1" x14ac:dyDescent="0.25">
      <c r="A115" s="236"/>
      <c r="B115" s="236"/>
      <c r="D115" s="48"/>
      <c r="E115" s="48"/>
    </row>
    <row r="116" spans="1:6" ht="15" customHeight="1" x14ac:dyDescent="0.25">
      <c r="A116" s="236"/>
      <c r="B116" s="236"/>
      <c r="D116" s="48"/>
      <c r="E116" s="48"/>
    </row>
    <row r="117" spans="1:6" ht="15.75" customHeight="1" x14ac:dyDescent="0.25">
      <c r="D117" s="48"/>
      <c r="E117" s="48"/>
      <c r="F117" s="219"/>
    </row>
    <row r="118" spans="1:6" ht="15.75" customHeight="1" x14ac:dyDescent="0.25">
      <c r="A118" s="236" t="s">
        <v>179</v>
      </c>
      <c r="B118" s="236"/>
      <c r="D118" s="48"/>
      <c r="E118" s="48"/>
    </row>
    <row r="119" spans="1:6" ht="15.75" customHeight="1" x14ac:dyDescent="0.25">
      <c r="A119" s="236"/>
      <c r="B119" s="236"/>
      <c r="D119" s="48"/>
      <c r="E119" s="48"/>
    </row>
    <row r="120" spans="1:6" ht="15.75" customHeight="1" x14ac:dyDescent="0.25">
      <c r="A120" s="236"/>
      <c r="B120" s="236"/>
      <c r="D120" s="48"/>
      <c r="E120" s="48"/>
    </row>
    <row r="121" spans="1:6" ht="14.45" customHeight="1" x14ac:dyDescent="0.25">
      <c r="D121" s="48"/>
      <c r="E121" s="48"/>
    </row>
    <row r="122" spans="1:6" ht="14.45" customHeight="1" x14ac:dyDescent="0.25">
      <c r="A122" s="236" t="s">
        <v>182</v>
      </c>
      <c r="B122" s="236"/>
      <c r="D122" s="48"/>
      <c r="E122" s="48"/>
    </row>
    <row r="123" spans="1:6" ht="14.45" customHeight="1" x14ac:dyDescent="0.25">
      <c r="A123" s="236"/>
      <c r="B123" s="236"/>
      <c r="D123" s="48"/>
      <c r="E123" s="48"/>
    </row>
    <row r="124" spans="1:6" ht="14.45" customHeight="1" x14ac:dyDescent="0.25">
      <c r="A124" s="236"/>
      <c r="B124" s="236"/>
      <c r="D124" s="48"/>
      <c r="E124" s="48"/>
    </row>
    <row r="125" spans="1:6" ht="14.45" customHeight="1" x14ac:dyDescent="0.25">
      <c r="D125" s="48"/>
      <c r="E125" s="48"/>
    </row>
    <row r="126" spans="1:6" ht="14.45" customHeight="1" x14ac:dyDescent="0.25">
      <c r="A126" s="236" t="s">
        <v>181</v>
      </c>
      <c r="B126" s="236"/>
      <c r="D126" s="48"/>
      <c r="E126" s="48"/>
    </row>
    <row r="127" spans="1:6" ht="14.45" customHeight="1" x14ac:dyDescent="0.25">
      <c r="A127" s="236"/>
      <c r="B127" s="236"/>
      <c r="D127" s="48"/>
      <c r="E127" s="48"/>
    </row>
    <row r="128" spans="1:6" x14ac:dyDescent="0.25">
      <c r="A128" s="236"/>
      <c r="B128" s="236"/>
      <c r="D128" s="48"/>
      <c r="E128" s="48"/>
    </row>
    <row r="129" spans="1:6" x14ac:dyDescent="0.25">
      <c r="D129" s="48"/>
      <c r="E129" s="48"/>
    </row>
    <row r="130" spans="1:6" s="68" customFormat="1" x14ac:dyDescent="0.25">
      <c r="A130"/>
      <c r="B130" s="66"/>
      <c r="C130" s="67"/>
      <c r="D130" s="162"/>
      <c r="E130" s="162"/>
    </row>
    <row r="131" spans="1:6" s="68" customFormat="1" ht="15.75" customHeight="1" x14ac:dyDescent="0.25">
      <c r="A131" s="168" t="s">
        <v>189</v>
      </c>
      <c r="B131" s="69">
        <v>1631378.049999997</v>
      </c>
      <c r="C131" s="67"/>
      <c r="D131" s="163"/>
      <c r="E131" s="163"/>
    </row>
    <row r="132" spans="1:6" x14ac:dyDescent="0.25">
      <c r="A132" s="26" t="s">
        <v>144</v>
      </c>
      <c r="B132" s="70">
        <f>-B105-B106</f>
        <v>-16925067.050000001</v>
      </c>
      <c r="D132" s="48"/>
      <c r="E132" s="48"/>
    </row>
    <row r="133" spans="1:6" x14ac:dyDescent="0.25">
      <c r="A133" s="26" t="s">
        <v>124</v>
      </c>
      <c r="B133" s="70">
        <f>B144</f>
        <v>728000</v>
      </c>
      <c r="D133" s="48"/>
      <c r="E133" s="48"/>
      <c r="F133" s="66"/>
    </row>
    <row r="134" spans="1:6" x14ac:dyDescent="0.25">
      <c r="A134" s="26" t="s">
        <v>2</v>
      </c>
      <c r="B134" s="71">
        <f>PRORRATEO!F119</f>
        <v>15858930.739999998</v>
      </c>
      <c r="D134" s="48"/>
      <c r="E134" s="48"/>
      <c r="F134" s="66"/>
    </row>
    <row r="135" spans="1:6" x14ac:dyDescent="0.25">
      <c r="A135" s="26" t="s">
        <v>261</v>
      </c>
      <c r="B135" s="146">
        <v>-3942</v>
      </c>
      <c r="D135" s="48"/>
      <c r="E135" s="48"/>
      <c r="F135" s="66"/>
    </row>
    <row r="136" spans="1:6" x14ac:dyDescent="0.25">
      <c r="A136" s="26" t="s">
        <v>260</v>
      </c>
      <c r="B136" s="146">
        <v>-132000</v>
      </c>
      <c r="D136" s="48"/>
      <c r="E136" s="48"/>
      <c r="F136" s="66"/>
    </row>
    <row r="137" spans="1:6" ht="15.75" thickBot="1" x14ac:dyDescent="0.3">
      <c r="A137" s="72" t="s">
        <v>160</v>
      </c>
      <c r="B137" s="73">
        <f>SUM(B131:C136)</f>
        <v>1157299.7399999946</v>
      </c>
      <c r="D137" s="66"/>
      <c r="E137" s="50"/>
      <c r="F137" s="50"/>
    </row>
    <row r="138" spans="1:6" ht="34.5" customHeight="1" x14ac:dyDescent="0.25"/>
    <row r="139" spans="1:6" x14ac:dyDescent="0.25">
      <c r="A139" s="235" t="s">
        <v>125</v>
      </c>
      <c r="B139" s="235"/>
      <c r="C139" s="235"/>
    </row>
    <row r="140" spans="1:6" x14ac:dyDescent="0.25">
      <c r="A140" s="235"/>
      <c r="B140" s="235"/>
      <c r="C140" s="235"/>
    </row>
    <row r="141" spans="1:6" ht="27" customHeight="1" x14ac:dyDescent="0.25">
      <c r="A141" s="74" t="s">
        <v>255</v>
      </c>
      <c r="B141" s="115">
        <v>200000</v>
      </c>
      <c r="C141" s="75"/>
      <c r="D141" s="56"/>
    </row>
    <row r="142" spans="1:6" ht="27" customHeight="1" x14ac:dyDescent="0.25">
      <c r="A142" s="74" t="s">
        <v>258</v>
      </c>
      <c r="B142" s="115">
        <v>320000</v>
      </c>
      <c r="C142" s="75"/>
      <c r="D142" s="56"/>
    </row>
    <row r="143" spans="1:6" ht="27" customHeight="1" x14ac:dyDescent="0.25">
      <c r="A143" s="74" t="s">
        <v>259</v>
      </c>
      <c r="B143" s="115">
        <v>208000</v>
      </c>
      <c r="C143" s="75"/>
      <c r="D143" s="56"/>
    </row>
    <row r="144" spans="1:6" x14ac:dyDescent="0.25">
      <c r="A144" s="76" t="s">
        <v>0</v>
      </c>
      <c r="B144" s="77">
        <f>SUM(B141:B143)</f>
        <v>728000</v>
      </c>
      <c r="C144" s="78"/>
    </row>
    <row r="145" spans="13:13" x14ac:dyDescent="0.25">
      <c r="M145" s="79"/>
    </row>
  </sheetData>
  <mergeCells count="30">
    <mergeCell ref="D93:D94"/>
    <mergeCell ref="E93:E94"/>
    <mergeCell ref="A84:B84"/>
    <mergeCell ref="A77:B77"/>
    <mergeCell ref="A66:B66"/>
    <mergeCell ref="A73:B73"/>
    <mergeCell ref="A93:B94"/>
    <mergeCell ref="A70:B70"/>
    <mergeCell ref="B1:E1"/>
    <mergeCell ref="A24:B24"/>
    <mergeCell ref="A76:B76"/>
    <mergeCell ref="B3:E3"/>
    <mergeCell ref="B8:C10"/>
    <mergeCell ref="A13:E16"/>
    <mergeCell ref="A22:B22"/>
    <mergeCell ref="A23:B23"/>
    <mergeCell ref="A51:B51"/>
    <mergeCell ref="A43:B43"/>
    <mergeCell ref="A44:B44"/>
    <mergeCell ref="A55:B55"/>
    <mergeCell ref="A57:B57"/>
    <mergeCell ref="A59:B59"/>
    <mergeCell ref="A56:B56"/>
    <mergeCell ref="A72:B72"/>
    <mergeCell ref="A139:C140"/>
    <mergeCell ref="A114:B116"/>
    <mergeCell ref="A126:B128"/>
    <mergeCell ref="A122:B124"/>
    <mergeCell ref="A110:B112"/>
    <mergeCell ref="A118:B12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10" zoomScaleNormal="100" workbookViewId="0">
      <selection activeCell="N18" sqref="N18"/>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1" width="16.28515625" customWidth="1"/>
    <col min="12" max="12" width="12.28515625" customWidth="1"/>
    <col min="13" max="13" width="16.140625" customWidth="1"/>
    <col min="14" max="14" width="14.7109375" customWidth="1"/>
    <col min="15" max="15" width="14.28515625" customWidth="1"/>
    <col min="16" max="16" width="7.28515625" bestFit="1" customWidth="1"/>
    <col min="17" max="17" width="12" bestFit="1" customWidth="1"/>
    <col min="18" max="18" width="13" bestFit="1" customWidth="1"/>
  </cols>
  <sheetData>
    <row r="1" spans="1:17" ht="12.95" customHeight="1" x14ac:dyDescent="0.25">
      <c r="A1" s="93"/>
      <c r="B1" s="94"/>
      <c r="C1" s="94"/>
      <c r="D1" s="269"/>
      <c r="E1" s="269"/>
      <c r="F1" s="269"/>
      <c r="G1" s="269"/>
      <c r="H1" s="269"/>
      <c r="I1" s="269"/>
      <c r="J1" s="269"/>
      <c r="K1" s="269"/>
      <c r="L1" s="269"/>
      <c r="M1" s="269"/>
      <c r="N1" s="269"/>
      <c r="O1" s="95"/>
    </row>
    <row r="2" spans="1:17" ht="12.95" customHeight="1" x14ac:dyDescent="0.25">
      <c r="A2" s="96"/>
      <c r="B2" s="97"/>
      <c r="C2" s="98"/>
      <c r="D2" s="98" t="s">
        <v>126</v>
      </c>
      <c r="E2" s="291">
        <v>4500000</v>
      </c>
      <c r="F2" s="291"/>
      <c r="G2" s="98"/>
      <c r="H2" s="98"/>
      <c r="I2" s="98" t="s">
        <v>127</v>
      </c>
      <c r="J2" s="99">
        <f>15000000-M2+1500000</f>
        <v>10553069.23</v>
      </c>
      <c r="K2" s="99"/>
      <c r="L2" s="99" t="s">
        <v>267</v>
      </c>
      <c r="M2" s="99">
        <v>5946930.7699999996</v>
      </c>
      <c r="N2" s="100"/>
      <c r="O2" s="101"/>
      <c r="P2" s="80"/>
      <c r="Q2">
        <v>13312274.1</v>
      </c>
    </row>
    <row r="3" spans="1:17" ht="12.95" customHeight="1" thickBot="1" x14ac:dyDescent="0.3">
      <c r="A3" s="102"/>
      <c r="B3" s="103"/>
      <c r="C3" s="103"/>
      <c r="D3" s="103"/>
      <c r="E3" s="103"/>
      <c r="F3" s="104"/>
      <c r="G3" s="103"/>
      <c r="H3" s="103"/>
      <c r="I3" s="103"/>
      <c r="J3" s="103"/>
      <c r="K3" s="103"/>
      <c r="L3" s="103"/>
      <c r="M3" s="103"/>
      <c r="N3" s="105"/>
      <c r="O3" s="106"/>
      <c r="P3" s="80"/>
    </row>
    <row r="4" spans="1:17" ht="12.95" customHeight="1" x14ac:dyDescent="0.25">
      <c r="A4" s="270" t="s">
        <v>159</v>
      </c>
      <c r="B4" s="271"/>
      <c r="C4" s="271"/>
      <c r="D4" s="271"/>
      <c r="E4" s="271"/>
      <c r="F4" s="271"/>
      <c r="G4" s="271"/>
      <c r="H4" s="271"/>
      <c r="I4" s="271"/>
      <c r="J4" s="271"/>
      <c r="K4" s="271"/>
      <c r="L4" s="271"/>
      <c r="M4" s="271"/>
      <c r="N4" s="271"/>
      <c r="O4" s="272"/>
      <c r="P4" s="80"/>
    </row>
    <row r="5" spans="1:17" ht="12.95" customHeight="1" x14ac:dyDescent="0.25">
      <c r="A5" s="273"/>
      <c r="B5" s="274"/>
      <c r="C5" s="274"/>
      <c r="D5" s="274"/>
      <c r="E5" s="274"/>
      <c r="F5" s="274"/>
      <c r="G5" s="274"/>
      <c r="H5" s="274"/>
      <c r="I5" s="274"/>
      <c r="J5" s="274"/>
      <c r="K5" s="274"/>
      <c r="L5" s="274"/>
      <c r="M5" s="274"/>
      <c r="N5" s="274"/>
      <c r="O5" s="275"/>
      <c r="P5" s="80"/>
    </row>
    <row r="6" spans="1:17" ht="12.95" customHeight="1" x14ac:dyDescent="0.25">
      <c r="A6" s="273"/>
      <c r="B6" s="274"/>
      <c r="C6" s="274"/>
      <c r="D6" s="274"/>
      <c r="E6" s="274"/>
      <c r="F6" s="274"/>
      <c r="G6" s="274"/>
      <c r="H6" s="274"/>
      <c r="I6" s="274"/>
      <c r="J6" s="274"/>
      <c r="K6" s="274"/>
      <c r="L6" s="274"/>
      <c r="M6" s="274"/>
      <c r="N6" s="274"/>
      <c r="O6" s="275"/>
      <c r="P6" s="80"/>
    </row>
    <row r="7" spans="1:17" ht="12.95" customHeight="1" x14ac:dyDescent="0.25">
      <c r="A7" s="273"/>
      <c r="B7" s="274"/>
      <c r="C7" s="274"/>
      <c r="D7" s="274"/>
      <c r="E7" s="274"/>
      <c r="F7" s="274"/>
      <c r="G7" s="274"/>
      <c r="H7" s="274"/>
      <c r="I7" s="274"/>
      <c r="J7" s="274"/>
      <c r="K7" s="274"/>
      <c r="L7" s="274"/>
      <c r="M7" s="274"/>
      <c r="N7" s="274"/>
      <c r="O7" s="275"/>
      <c r="P7" s="80"/>
    </row>
    <row r="8" spans="1:17" ht="192" customHeight="1" thickBot="1" x14ac:dyDescent="0.3">
      <c r="A8" s="276"/>
      <c r="B8" s="277"/>
      <c r="C8" s="277"/>
      <c r="D8" s="277"/>
      <c r="E8" s="277"/>
      <c r="F8" s="277"/>
      <c r="G8" s="277"/>
      <c r="H8" s="277"/>
      <c r="I8" s="277"/>
      <c r="J8" s="277"/>
      <c r="K8" s="277"/>
      <c r="L8" s="277"/>
      <c r="M8" s="277"/>
      <c r="N8" s="277"/>
      <c r="O8" s="278"/>
    </row>
    <row r="9" spans="1:17" ht="48" customHeight="1" thickBot="1" x14ac:dyDescent="0.3">
      <c r="A9" s="285" t="s">
        <v>157</v>
      </c>
      <c r="B9" s="286"/>
      <c r="C9" s="286"/>
      <c r="D9" s="286"/>
      <c r="E9" s="286"/>
      <c r="F9" s="286"/>
      <c r="G9" s="286"/>
      <c r="H9" s="286"/>
      <c r="I9" s="286"/>
      <c r="J9" s="286"/>
      <c r="K9" s="286"/>
      <c r="L9" s="286"/>
      <c r="M9" s="286"/>
      <c r="N9" s="286"/>
      <c r="O9" s="287"/>
    </row>
    <row r="10" spans="1:17" ht="59.25" customHeight="1" thickBot="1" x14ac:dyDescent="0.3">
      <c r="A10" s="258" t="s">
        <v>218</v>
      </c>
      <c r="B10" s="259"/>
      <c r="C10" s="259"/>
      <c r="D10" s="259"/>
      <c r="E10" s="259"/>
      <c r="F10" s="259"/>
      <c r="G10" s="259"/>
      <c r="H10" s="259"/>
      <c r="I10" s="259"/>
      <c r="J10" s="259"/>
      <c r="K10" s="259"/>
      <c r="L10" s="259"/>
      <c r="M10" s="259"/>
      <c r="N10" s="259"/>
      <c r="O10" s="260"/>
    </row>
    <row r="11" spans="1:17" ht="59.25" customHeight="1" thickBot="1" x14ac:dyDescent="0.3">
      <c r="A11" s="261" t="s">
        <v>219</v>
      </c>
      <c r="B11" s="262"/>
      <c r="C11" s="262"/>
      <c r="D11" s="262"/>
      <c r="E11" s="262"/>
      <c r="F11" s="262"/>
      <c r="G11" s="262"/>
      <c r="H11" s="262"/>
      <c r="I11" s="262"/>
      <c r="J11" s="262"/>
      <c r="K11" s="262"/>
      <c r="L11" s="262"/>
      <c r="M11" s="262"/>
      <c r="N11" s="262"/>
      <c r="O11" s="263"/>
    </row>
    <row r="12" spans="1:17" ht="48" customHeight="1" thickBot="1" x14ac:dyDescent="0.3">
      <c r="A12" s="288" t="s">
        <v>158</v>
      </c>
      <c r="B12" s="289"/>
      <c r="C12" s="289"/>
      <c r="D12" s="289"/>
      <c r="E12" s="289"/>
      <c r="F12" s="289"/>
      <c r="G12" s="289"/>
      <c r="H12" s="289"/>
      <c r="I12" s="289"/>
      <c r="J12" s="289"/>
      <c r="K12" s="289"/>
      <c r="L12" s="289"/>
      <c r="M12" s="289"/>
      <c r="N12" s="289"/>
      <c r="O12" s="290"/>
    </row>
    <row r="13" spans="1:17" x14ac:dyDescent="0.25">
      <c r="A13" s="279" t="s">
        <v>128</v>
      </c>
      <c r="B13" s="281" t="s">
        <v>129</v>
      </c>
      <c r="C13" s="281" t="s">
        <v>130</v>
      </c>
      <c r="D13" s="281" t="s">
        <v>131</v>
      </c>
      <c r="E13" s="256" t="s">
        <v>132</v>
      </c>
      <c r="F13" s="281" t="s">
        <v>133</v>
      </c>
      <c r="G13" s="283" t="s">
        <v>134</v>
      </c>
      <c r="H13" s="256" t="s">
        <v>135</v>
      </c>
      <c r="I13" s="256" t="s">
        <v>127</v>
      </c>
      <c r="J13" s="256" t="s">
        <v>126</v>
      </c>
      <c r="K13" s="266" t="s">
        <v>266</v>
      </c>
      <c r="L13" s="292" t="s">
        <v>174</v>
      </c>
      <c r="M13" s="254" t="s">
        <v>180</v>
      </c>
      <c r="N13" s="143" t="s">
        <v>213</v>
      </c>
      <c r="O13" s="264" t="s">
        <v>136</v>
      </c>
    </row>
    <row r="14" spans="1:17" ht="15.75" customHeight="1" x14ac:dyDescent="0.25">
      <c r="A14" s="280"/>
      <c r="B14" s="282"/>
      <c r="C14" s="282"/>
      <c r="D14" s="282"/>
      <c r="E14" s="257"/>
      <c r="F14" s="282"/>
      <c r="G14" s="284"/>
      <c r="H14" s="257"/>
      <c r="I14" s="257"/>
      <c r="J14" s="257"/>
      <c r="K14" s="267"/>
      <c r="L14" s="293"/>
      <c r="M14" s="255"/>
      <c r="N14" s="144" t="str">
        <f>RESUMEN!B8</f>
        <v>VTO 17/08</v>
      </c>
      <c r="O14" s="265"/>
    </row>
    <row r="15" spans="1:17" ht="17.100000000000001" customHeight="1" x14ac:dyDescent="0.25">
      <c r="A15" s="129">
        <v>1</v>
      </c>
      <c r="B15" s="81" t="s">
        <v>3</v>
      </c>
      <c r="C15" s="81"/>
      <c r="D15" s="82">
        <v>1.37</v>
      </c>
      <c r="E15" s="83">
        <v>246600.01</v>
      </c>
      <c r="F15" s="84">
        <f>E15</f>
        <v>246600.01</v>
      </c>
      <c r="G15" s="85">
        <f t="shared" ref="G15:G78" si="0">E15-F15</f>
        <v>0</v>
      </c>
      <c r="H15" s="85">
        <f>IF(G15&gt;0,G15*3%,0)</f>
        <v>0</v>
      </c>
      <c r="I15" s="125">
        <f>J$2*D15/100</f>
        <v>144577.04845100001</v>
      </c>
      <c r="J15" s="125">
        <f t="shared" ref="J15:J46" si="1">E$2*D15/100</f>
        <v>61650.000000000007</v>
      </c>
      <c r="K15" s="125">
        <f>M$2*D15/100</f>
        <v>81472.951549000005</v>
      </c>
      <c r="L15" s="125"/>
      <c r="M15" s="147"/>
      <c r="N15" s="86">
        <f>ROUND(SUM(G15:M15),0) + P15</f>
        <v>287700.01</v>
      </c>
      <c r="O15" s="139">
        <f t="shared" ref="O15:O35" si="2">ROUND(N15*3%,0) + N15</f>
        <v>296331.01</v>
      </c>
      <c r="P15" s="50">
        <v>0.01</v>
      </c>
    </row>
    <row r="16" spans="1:17" ht="17.100000000000001" customHeight="1" x14ac:dyDescent="0.25">
      <c r="A16" s="187">
        <v>2</v>
      </c>
      <c r="B16" s="207" t="s">
        <v>4</v>
      </c>
      <c r="C16" s="208"/>
      <c r="D16" s="209">
        <v>1.18</v>
      </c>
      <c r="E16" s="210">
        <v>3823811.02</v>
      </c>
      <c r="F16" s="210"/>
      <c r="G16" s="211">
        <f t="shared" si="0"/>
        <v>3823811.02</v>
      </c>
      <c r="H16" s="211">
        <f t="shared" ref="H16:H79" si="3">IF(G16&gt;0,G16*3%,0)</f>
        <v>114714.3306</v>
      </c>
      <c r="I16" s="212">
        <f t="shared" ref="I16:I46" si="4">J$2*D16/100</f>
        <v>124526.21691399999</v>
      </c>
      <c r="J16" s="212">
        <f t="shared" si="1"/>
        <v>53100</v>
      </c>
      <c r="K16" s="212">
        <f t="shared" ref="K16:K79" si="5">M$2*D16/100</f>
        <v>70173.783085999996</v>
      </c>
      <c r="L16" s="212"/>
      <c r="M16" s="213"/>
      <c r="N16" s="214">
        <f>ROUND(SUM(G16:M16),0) + P16</f>
        <v>4186325.02</v>
      </c>
      <c r="O16" s="215">
        <f t="shared" si="2"/>
        <v>4311915.0199999996</v>
      </c>
      <c r="P16" s="50">
        <f>P15+0.01</f>
        <v>0.02</v>
      </c>
      <c r="Q16" t="s">
        <v>166</v>
      </c>
    </row>
    <row r="17" spans="1:16" ht="17.100000000000001" customHeight="1" x14ac:dyDescent="0.25">
      <c r="A17" s="129">
        <v>3</v>
      </c>
      <c r="B17" s="81" t="s">
        <v>5</v>
      </c>
      <c r="C17" s="87"/>
      <c r="D17" s="82">
        <v>0.74</v>
      </c>
      <c r="E17" s="83">
        <v>133200.03</v>
      </c>
      <c r="F17" s="84">
        <f>E17</f>
        <v>133200.03</v>
      </c>
      <c r="G17" s="85">
        <f t="shared" si="0"/>
        <v>0</v>
      </c>
      <c r="H17" s="85">
        <f t="shared" si="3"/>
        <v>0</v>
      </c>
      <c r="I17" s="125">
        <f t="shared" si="4"/>
        <v>78092.712302</v>
      </c>
      <c r="J17" s="125">
        <f t="shared" si="1"/>
        <v>33300</v>
      </c>
      <c r="K17" s="125">
        <f t="shared" si="5"/>
        <v>44007.287698</v>
      </c>
      <c r="L17" s="125"/>
      <c r="M17" s="147"/>
      <c r="N17" s="86">
        <f t="shared" ref="N17:N80" si="6">ROUND(SUM(G17:M17),0) + P17</f>
        <v>155400.03</v>
      </c>
      <c r="O17" s="139">
        <f t="shared" si="2"/>
        <v>160062.03</v>
      </c>
      <c r="P17" s="50">
        <f t="shared" ref="P17:P32" si="7">P16+0.01</f>
        <v>0.03</v>
      </c>
    </row>
    <row r="18" spans="1:16" ht="17.100000000000001" customHeight="1" x14ac:dyDescent="0.25">
      <c r="A18" s="130">
        <v>4</v>
      </c>
      <c r="B18" s="108" t="s">
        <v>6</v>
      </c>
      <c r="C18" s="113"/>
      <c r="D18" s="110">
        <v>1.47</v>
      </c>
      <c r="E18" s="84">
        <v>264600.03999999998</v>
      </c>
      <c r="F18" s="84">
        <f>E18</f>
        <v>264600.03999999998</v>
      </c>
      <c r="G18" s="111">
        <f t="shared" si="0"/>
        <v>0</v>
      </c>
      <c r="H18" s="111">
        <f t="shared" si="3"/>
        <v>0</v>
      </c>
      <c r="I18" s="126">
        <f t="shared" si="4"/>
        <v>155130.117681</v>
      </c>
      <c r="J18" s="126">
        <f t="shared" si="1"/>
        <v>66150</v>
      </c>
      <c r="K18" s="125">
        <f t="shared" si="5"/>
        <v>87419.882318999997</v>
      </c>
      <c r="L18" s="126"/>
      <c r="M18" s="148"/>
      <c r="N18" s="86">
        <f t="shared" si="6"/>
        <v>308700.03999999998</v>
      </c>
      <c r="O18" s="140">
        <f t="shared" si="2"/>
        <v>317961.03999999998</v>
      </c>
      <c r="P18" s="50">
        <f t="shared" si="7"/>
        <v>0.04</v>
      </c>
    </row>
    <row r="19" spans="1:16" ht="17.100000000000001" customHeight="1" x14ac:dyDescent="0.25">
      <c r="A19" s="129">
        <v>5</v>
      </c>
      <c r="B19" s="81" t="s">
        <v>7</v>
      </c>
      <c r="C19" s="81"/>
      <c r="D19" s="82">
        <v>1.1200000000000001</v>
      </c>
      <c r="E19" s="84">
        <v>196060.05</v>
      </c>
      <c r="F19" s="84">
        <v>201942.01</v>
      </c>
      <c r="G19" s="85">
        <f t="shared" si="0"/>
        <v>-5881.960000000021</v>
      </c>
      <c r="H19" s="85">
        <f t="shared" si="3"/>
        <v>0</v>
      </c>
      <c r="I19" s="125">
        <f t="shared" si="4"/>
        <v>118194.37537600001</v>
      </c>
      <c r="J19" s="125">
        <f t="shared" si="1"/>
        <v>50400.000000000007</v>
      </c>
      <c r="K19" s="125">
        <f t="shared" si="5"/>
        <v>66605.624624000004</v>
      </c>
      <c r="L19" s="125"/>
      <c r="M19" s="147"/>
      <c r="N19" s="86">
        <f t="shared" si="6"/>
        <v>229318.05</v>
      </c>
      <c r="O19" s="139">
        <f t="shared" si="2"/>
        <v>236198.05</v>
      </c>
      <c r="P19" s="50">
        <f t="shared" si="7"/>
        <v>0.05</v>
      </c>
    </row>
    <row r="20" spans="1:16" ht="17.100000000000001" customHeight="1" x14ac:dyDescent="0.25">
      <c r="A20" s="129">
        <v>6</v>
      </c>
      <c r="B20" s="81" t="s">
        <v>8</v>
      </c>
      <c r="C20" s="81"/>
      <c r="D20" s="82">
        <v>1.35</v>
      </c>
      <c r="E20" s="83">
        <v>241582.06</v>
      </c>
      <c r="F20" s="84">
        <v>242000.06</v>
      </c>
      <c r="G20" s="85">
        <f t="shared" si="0"/>
        <v>-418</v>
      </c>
      <c r="H20" s="85">
        <f t="shared" si="3"/>
        <v>0</v>
      </c>
      <c r="I20" s="125">
        <f t="shared" si="4"/>
        <v>142466.43460500002</v>
      </c>
      <c r="J20" s="125">
        <f t="shared" si="1"/>
        <v>60750</v>
      </c>
      <c r="K20" s="125">
        <f t="shared" si="5"/>
        <v>80283.565394999998</v>
      </c>
      <c r="L20" s="125"/>
      <c r="M20" s="147"/>
      <c r="N20" s="86">
        <f t="shared" si="6"/>
        <v>283082.06</v>
      </c>
      <c r="O20" s="139">
        <f t="shared" si="2"/>
        <v>291574.06</v>
      </c>
      <c r="P20" s="50">
        <f t="shared" si="7"/>
        <v>6.0000000000000005E-2</v>
      </c>
    </row>
    <row r="21" spans="1:16" ht="17.100000000000001" customHeight="1" x14ac:dyDescent="0.25">
      <c r="A21" s="129">
        <v>7</v>
      </c>
      <c r="B21" s="81" t="s">
        <v>9</v>
      </c>
      <c r="C21" s="81"/>
      <c r="D21" s="82">
        <v>1.1200000000000001</v>
      </c>
      <c r="E21" s="83">
        <v>201600.07</v>
      </c>
      <c r="F21" s="84">
        <f>E21</f>
        <v>201600.07</v>
      </c>
      <c r="G21" s="85">
        <f t="shared" si="0"/>
        <v>0</v>
      </c>
      <c r="H21" s="85">
        <f t="shared" si="3"/>
        <v>0</v>
      </c>
      <c r="I21" s="125">
        <f t="shared" si="4"/>
        <v>118194.37537600001</v>
      </c>
      <c r="J21" s="125">
        <f t="shared" si="1"/>
        <v>50400.000000000007</v>
      </c>
      <c r="K21" s="125">
        <f t="shared" si="5"/>
        <v>66605.624624000004</v>
      </c>
      <c r="L21" s="125"/>
      <c r="M21" s="147"/>
      <c r="N21" s="86">
        <f t="shared" si="6"/>
        <v>235200.07</v>
      </c>
      <c r="O21" s="139">
        <f t="shared" si="2"/>
        <v>242256.07</v>
      </c>
      <c r="P21" s="50">
        <f t="shared" si="7"/>
        <v>7.0000000000000007E-2</v>
      </c>
    </row>
    <row r="22" spans="1:16" ht="17.100000000000001" customHeight="1" x14ac:dyDescent="0.25">
      <c r="A22" s="129">
        <v>8</v>
      </c>
      <c r="B22" s="81" t="s">
        <v>10</v>
      </c>
      <c r="C22" s="87"/>
      <c r="D22" s="82">
        <v>0.82</v>
      </c>
      <c r="E22" s="83">
        <v>147600.07999999999</v>
      </c>
      <c r="F22" s="84">
        <f>E22</f>
        <v>147600.07999999999</v>
      </c>
      <c r="G22" s="85">
        <f t="shared" si="0"/>
        <v>0</v>
      </c>
      <c r="H22" s="85">
        <f t="shared" si="3"/>
        <v>0</v>
      </c>
      <c r="I22" s="125">
        <f t="shared" si="4"/>
        <v>86535.167686000001</v>
      </c>
      <c r="J22" s="125">
        <f t="shared" si="1"/>
        <v>36900</v>
      </c>
      <c r="K22" s="125">
        <f t="shared" si="5"/>
        <v>48764.832313999992</v>
      </c>
      <c r="L22" s="125"/>
      <c r="M22" s="147"/>
      <c r="N22" s="86">
        <f t="shared" si="6"/>
        <v>172200.08</v>
      </c>
      <c r="O22" s="139">
        <f t="shared" si="2"/>
        <v>177366.08</v>
      </c>
      <c r="P22" s="50">
        <f t="shared" si="7"/>
        <v>0.08</v>
      </c>
    </row>
    <row r="23" spans="1:16" ht="17.100000000000001" customHeight="1" x14ac:dyDescent="0.25">
      <c r="A23" s="129">
        <v>9</v>
      </c>
      <c r="B23" s="81" t="s">
        <v>11</v>
      </c>
      <c r="C23" s="87"/>
      <c r="D23" s="82">
        <v>0.82</v>
      </c>
      <c r="E23" s="83">
        <v>143660.09</v>
      </c>
      <c r="F23" s="84">
        <v>147970.09</v>
      </c>
      <c r="G23" s="85">
        <f t="shared" si="0"/>
        <v>-4310</v>
      </c>
      <c r="H23" s="85">
        <f t="shared" si="3"/>
        <v>0</v>
      </c>
      <c r="I23" s="125">
        <f t="shared" si="4"/>
        <v>86535.167686000001</v>
      </c>
      <c r="J23" s="125">
        <f t="shared" si="1"/>
        <v>36900</v>
      </c>
      <c r="K23" s="125">
        <f t="shared" si="5"/>
        <v>48764.832313999992</v>
      </c>
      <c r="L23" s="125"/>
      <c r="M23" s="147"/>
      <c r="N23" s="86">
        <f t="shared" si="6"/>
        <v>167890.09</v>
      </c>
      <c r="O23" s="139">
        <f t="shared" si="2"/>
        <v>172927.09</v>
      </c>
      <c r="P23" s="50">
        <f t="shared" si="7"/>
        <v>0.09</v>
      </c>
    </row>
    <row r="24" spans="1:16" ht="17.100000000000001" customHeight="1" x14ac:dyDescent="0.25">
      <c r="A24" s="129">
        <v>10</v>
      </c>
      <c r="B24" s="81" t="s">
        <v>12</v>
      </c>
      <c r="C24" s="87"/>
      <c r="D24" s="82">
        <v>1.34</v>
      </c>
      <c r="E24" s="83">
        <v>248436.1</v>
      </c>
      <c r="F24" s="84">
        <v>241200.1</v>
      </c>
      <c r="G24" s="85">
        <f t="shared" si="0"/>
        <v>7236</v>
      </c>
      <c r="H24" s="85">
        <f t="shared" si="3"/>
        <v>217.07999999999998</v>
      </c>
      <c r="I24" s="125">
        <f t="shared" si="4"/>
        <v>141411.12768200002</v>
      </c>
      <c r="J24" s="125">
        <f t="shared" si="1"/>
        <v>60300</v>
      </c>
      <c r="K24" s="125">
        <f t="shared" si="5"/>
        <v>79688.872318000009</v>
      </c>
      <c r="L24" s="125"/>
      <c r="M24" s="147"/>
      <c r="N24" s="86">
        <f t="shared" si="6"/>
        <v>288853.09999999998</v>
      </c>
      <c r="O24" s="139">
        <f t="shared" si="2"/>
        <v>297519.09999999998</v>
      </c>
      <c r="P24" s="50">
        <f t="shared" si="7"/>
        <v>9.9999999999999992E-2</v>
      </c>
    </row>
    <row r="25" spans="1:16" ht="17.100000000000001" customHeight="1" x14ac:dyDescent="0.25">
      <c r="A25" s="129">
        <v>11</v>
      </c>
      <c r="B25" s="81" t="s">
        <v>13</v>
      </c>
      <c r="C25" s="87"/>
      <c r="D25" s="82">
        <v>1.1200000000000001</v>
      </c>
      <c r="E25" s="83">
        <v>201600.11</v>
      </c>
      <c r="F25" s="84">
        <f>E25</f>
        <v>201600.11</v>
      </c>
      <c r="G25" s="85">
        <f t="shared" si="0"/>
        <v>0</v>
      </c>
      <c r="H25" s="85">
        <f t="shared" si="3"/>
        <v>0</v>
      </c>
      <c r="I25" s="125">
        <f t="shared" si="4"/>
        <v>118194.37537600001</v>
      </c>
      <c r="J25" s="125">
        <f t="shared" si="1"/>
        <v>50400.000000000007</v>
      </c>
      <c r="K25" s="125">
        <f t="shared" si="5"/>
        <v>66605.624624000004</v>
      </c>
      <c r="L25" s="125"/>
      <c r="M25" s="147"/>
      <c r="N25" s="86">
        <f t="shared" si="6"/>
        <v>235200.11</v>
      </c>
      <c r="O25" s="139">
        <f t="shared" si="2"/>
        <v>242256.11</v>
      </c>
      <c r="P25" s="50">
        <f t="shared" si="7"/>
        <v>0.10999999999999999</v>
      </c>
    </row>
    <row r="26" spans="1:16" ht="17.25" customHeight="1" x14ac:dyDescent="0.25">
      <c r="A26" s="187">
        <v>12</v>
      </c>
      <c r="B26" s="207" t="s">
        <v>14</v>
      </c>
      <c r="C26" s="208"/>
      <c r="D26" s="209">
        <v>1.17</v>
      </c>
      <c r="E26" s="210">
        <v>4819091.12</v>
      </c>
      <c r="F26" s="210">
        <v>0</v>
      </c>
      <c r="G26" s="211">
        <f t="shared" si="0"/>
        <v>4819091.12</v>
      </c>
      <c r="H26" s="211">
        <f t="shared" si="3"/>
        <v>144572.73360000001</v>
      </c>
      <c r="I26" s="212">
        <f t="shared" si="4"/>
        <v>123470.90999099999</v>
      </c>
      <c r="J26" s="212">
        <f t="shared" si="1"/>
        <v>52650</v>
      </c>
      <c r="K26" s="212">
        <f t="shared" si="5"/>
        <v>69579.090008999992</v>
      </c>
      <c r="L26" s="212"/>
      <c r="M26" s="213"/>
      <c r="N26" s="214">
        <f t="shared" si="6"/>
        <v>5209364.12</v>
      </c>
      <c r="O26" s="215">
        <f t="shared" si="2"/>
        <v>5365645.12</v>
      </c>
      <c r="P26" s="50">
        <f t="shared" si="7"/>
        <v>0.11999999999999998</v>
      </c>
    </row>
    <row r="27" spans="1:16" ht="17.100000000000001" customHeight="1" x14ac:dyDescent="0.25">
      <c r="A27" s="129">
        <v>13</v>
      </c>
      <c r="B27" s="81" t="s">
        <v>15</v>
      </c>
      <c r="C27" s="87"/>
      <c r="D27" s="82">
        <v>1.35</v>
      </c>
      <c r="E27" s="83">
        <v>243000.13</v>
      </c>
      <c r="F27" s="84">
        <f>E27</f>
        <v>243000.13</v>
      </c>
      <c r="G27" s="85">
        <f t="shared" si="0"/>
        <v>0</v>
      </c>
      <c r="H27" s="85">
        <f t="shared" si="3"/>
        <v>0</v>
      </c>
      <c r="I27" s="125">
        <f t="shared" si="4"/>
        <v>142466.43460500002</v>
      </c>
      <c r="J27" s="125">
        <f t="shared" si="1"/>
        <v>60750</v>
      </c>
      <c r="K27" s="125">
        <f t="shared" si="5"/>
        <v>80283.565394999998</v>
      </c>
      <c r="L27" s="125"/>
      <c r="M27" s="147"/>
      <c r="N27" s="86">
        <f t="shared" si="6"/>
        <v>283500.13</v>
      </c>
      <c r="O27" s="139">
        <f t="shared" si="2"/>
        <v>292005.13</v>
      </c>
      <c r="P27" s="50">
        <f t="shared" si="7"/>
        <v>0.12999999999999998</v>
      </c>
    </row>
    <row r="28" spans="1:16" ht="17.100000000000001" customHeight="1" x14ac:dyDescent="0.25">
      <c r="A28" s="129">
        <v>14</v>
      </c>
      <c r="B28" s="81" t="s">
        <v>16</v>
      </c>
      <c r="C28" s="87"/>
      <c r="D28" s="82">
        <v>1.1200000000000001</v>
      </c>
      <c r="E28" s="83">
        <v>591280.14</v>
      </c>
      <c r="F28" s="84"/>
      <c r="G28" s="85">
        <f t="shared" si="0"/>
        <v>591280.14</v>
      </c>
      <c r="H28" s="85">
        <f t="shared" si="3"/>
        <v>17738.404200000001</v>
      </c>
      <c r="I28" s="125">
        <f t="shared" si="4"/>
        <v>118194.37537600001</v>
      </c>
      <c r="J28" s="125">
        <f t="shared" si="1"/>
        <v>50400.000000000007</v>
      </c>
      <c r="K28" s="125">
        <f t="shared" si="5"/>
        <v>66605.624624000004</v>
      </c>
      <c r="L28" s="125"/>
      <c r="M28" s="147"/>
      <c r="N28" s="86">
        <f t="shared" si="6"/>
        <v>844219.14</v>
      </c>
      <c r="O28" s="139">
        <f t="shared" si="2"/>
        <v>869546.14</v>
      </c>
      <c r="P28" s="50">
        <f t="shared" si="7"/>
        <v>0.13999999999999999</v>
      </c>
    </row>
    <row r="29" spans="1:16" ht="17.100000000000001" customHeight="1" x14ac:dyDescent="0.25">
      <c r="A29" s="130">
        <v>15</v>
      </c>
      <c r="B29" s="108" t="s">
        <v>17</v>
      </c>
      <c r="C29" s="113"/>
      <c r="D29" s="110">
        <v>0.82</v>
      </c>
      <c r="E29" s="84">
        <v>152028.15</v>
      </c>
      <c r="F29" s="84">
        <f>E29</f>
        <v>152028.15</v>
      </c>
      <c r="G29" s="85">
        <f t="shared" si="0"/>
        <v>0</v>
      </c>
      <c r="H29" s="85">
        <f t="shared" si="3"/>
        <v>0</v>
      </c>
      <c r="I29" s="125">
        <f t="shared" si="4"/>
        <v>86535.167686000001</v>
      </c>
      <c r="J29" s="125">
        <f t="shared" si="1"/>
        <v>36900</v>
      </c>
      <c r="K29" s="125">
        <f t="shared" si="5"/>
        <v>48764.832313999992</v>
      </c>
      <c r="L29" s="125"/>
      <c r="M29" s="147"/>
      <c r="N29" s="86">
        <f t="shared" si="6"/>
        <v>172200.15</v>
      </c>
      <c r="O29" s="139">
        <f t="shared" si="2"/>
        <v>177366.15</v>
      </c>
      <c r="P29" s="50">
        <f t="shared" si="7"/>
        <v>0.15</v>
      </c>
    </row>
    <row r="30" spans="1:16" ht="17.100000000000001" customHeight="1" x14ac:dyDescent="0.25">
      <c r="A30" s="129">
        <v>16</v>
      </c>
      <c r="B30" s="81" t="s">
        <v>18</v>
      </c>
      <c r="C30" s="81"/>
      <c r="D30" s="82">
        <v>0.82</v>
      </c>
      <c r="E30" s="83">
        <v>147600.16</v>
      </c>
      <c r="F30" s="84">
        <f>E30</f>
        <v>147600.16</v>
      </c>
      <c r="G30" s="85">
        <f t="shared" si="0"/>
        <v>0</v>
      </c>
      <c r="H30" s="85">
        <f t="shared" si="3"/>
        <v>0</v>
      </c>
      <c r="I30" s="125">
        <f t="shared" si="4"/>
        <v>86535.167686000001</v>
      </c>
      <c r="J30" s="125">
        <f t="shared" si="1"/>
        <v>36900</v>
      </c>
      <c r="K30" s="125">
        <f t="shared" si="5"/>
        <v>48764.832313999992</v>
      </c>
      <c r="L30" s="125"/>
      <c r="M30" s="147"/>
      <c r="N30" s="86">
        <f t="shared" si="6"/>
        <v>172200.16</v>
      </c>
      <c r="O30" s="139">
        <f t="shared" si="2"/>
        <v>177366.16</v>
      </c>
      <c r="P30" s="50">
        <f t="shared" si="7"/>
        <v>0.16</v>
      </c>
    </row>
    <row r="31" spans="1:16" ht="17.100000000000001" customHeight="1" x14ac:dyDescent="0.25">
      <c r="A31" s="129">
        <v>17</v>
      </c>
      <c r="B31" s="81" t="s">
        <v>19</v>
      </c>
      <c r="C31" s="87"/>
      <c r="D31" s="82">
        <v>1.34</v>
      </c>
      <c r="E31" s="83">
        <v>313104.17</v>
      </c>
      <c r="F31" s="84">
        <f>E31</f>
        <v>313104.17</v>
      </c>
      <c r="G31" s="85">
        <f t="shared" si="0"/>
        <v>0</v>
      </c>
      <c r="H31" s="85">
        <f t="shared" si="3"/>
        <v>0</v>
      </c>
      <c r="I31" s="125">
        <f t="shared" si="4"/>
        <v>141411.12768200002</v>
      </c>
      <c r="J31" s="125">
        <f t="shared" si="1"/>
        <v>60300</v>
      </c>
      <c r="K31" s="125">
        <f t="shared" si="5"/>
        <v>79688.872318000009</v>
      </c>
      <c r="L31" s="125"/>
      <c r="M31" s="147"/>
      <c r="N31" s="86">
        <f t="shared" si="6"/>
        <v>281400.17</v>
      </c>
      <c r="O31" s="139">
        <f t="shared" si="2"/>
        <v>289842.17</v>
      </c>
      <c r="P31" s="50">
        <f t="shared" si="7"/>
        <v>0.17</v>
      </c>
    </row>
    <row r="32" spans="1:16" ht="17.100000000000001" customHeight="1" x14ac:dyDescent="0.25">
      <c r="A32" s="130">
        <v>18</v>
      </c>
      <c r="B32" s="108" t="s">
        <v>20</v>
      </c>
      <c r="C32" s="109"/>
      <c r="D32" s="110">
        <v>1.1200000000000001</v>
      </c>
      <c r="E32" s="84">
        <v>201600.18</v>
      </c>
      <c r="F32" s="84">
        <f>E32</f>
        <v>201600.18</v>
      </c>
      <c r="G32" s="111">
        <f t="shared" si="0"/>
        <v>0</v>
      </c>
      <c r="H32" s="111">
        <f t="shared" si="3"/>
        <v>0</v>
      </c>
      <c r="I32" s="126">
        <f t="shared" si="4"/>
        <v>118194.37537600001</v>
      </c>
      <c r="J32" s="126">
        <f t="shared" si="1"/>
        <v>50400.000000000007</v>
      </c>
      <c r="K32" s="125">
        <f t="shared" si="5"/>
        <v>66605.624624000004</v>
      </c>
      <c r="L32" s="126"/>
      <c r="M32" s="148"/>
      <c r="N32" s="86">
        <f t="shared" si="6"/>
        <v>235200.18</v>
      </c>
      <c r="O32" s="140">
        <f t="shared" si="2"/>
        <v>242256.18</v>
      </c>
      <c r="P32" s="50">
        <f t="shared" si="7"/>
        <v>0.18000000000000002</v>
      </c>
    </row>
    <row r="33" spans="1:17" x14ac:dyDescent="0.25">
      <c r="A33" s="130">
        <v>19</v>
      </c>
      <c r="B33" s="108" t="s">
        <v>21</v>
      </c>
      <c r="C33" s="87"/>
      <c r="D33" s="82">
        <v>1.17</v>
      </c>
      <c r="E33" s="83">
        <v>176820.19</v>
      </c>
      <c r="F33" s="84">
        <v>210600.19</v>
      </c>
      <c r="G33" s="85">
        <f t="shared" si="0"/>
        <v>-33780</v>
      </c>
      <c r="H33" s="85">
        <f t="shared" si="3"/>
        <v>0</v>
      </c>
      <c r="I33" s="125">
        <f t="shared" si="4"/>
        <v>123470.90999099999</v>
      </c>
      <c r="J33" s="125">
        <f t="shared" si="1"/>
        <v>52650</v>
      </c>
      <c r="K33" s="125">
        <f t="shared" si="5"/>
        <v>69579.090008999992</v>
      </c>
      <c r="L33" s="125"/>
      <c r="M33" s="147"/>
      <c r="N33" s="86">
        <f t="shared" si="6"/>
        <v>211920.19</v>
      </c>
      <c r="O33" s="139">
        <f t="shared" si="2"/>
        <v>218278.19</v>
      </c>
      <c r="P33" s="50">
        <f>P32+0.01</f>
        <v>0.19000000000000003</v>
      </c>
      <c r="Q33" t="s">
        <v>155</v>
      </c>
    </row>
    <row r="34" spans="1:17" x14ac:dyDescent="0.25">
      <c r="A34" s="131">
        <v>20</v>
      </c>
      <c r="B34" s="127" t="s">
        <v>22</v>
      </c>
      <c r="C34" s="120"/>
      <c r="D34" s="121">
        <v>1.35</v>
      </c>
      <c r="E34" s="122">
        <v>1145438.2</v>
      </c>
      <c r="F34" s="122">
        <v>352600</v>
      </c>
      <c r="G34" s="123">
        <f t="shared" si="0"/>
        <v>792838.2</v>
      </c>
      <c r="H34" s="123"/>
      <c r="I34" s="128">
        <f t="shared" si="4"/>
        <v>142466.43460500002</v>
      </c>
      <c r="J34" s="128">
        <f t="shared" si="1"/>
        <v>60750</v>
      </c>
      <c r="K34" s="128">
        <f t="shared" si="5"/>
        <v>80283.565394999998</v>
      </c>
      <c r="L34" s="128"/>
      <c r="M34" s="149">
        <v>123300</v>
      </c>
      <c r="N34" s="124">
        <f t="shared" si="6"/>
        <v>1199638.2</v>
      </c>
      <c r="O34" s="141">
        <f t="shared" si="2"/>
        <v>1235627.2</v>
      </c>
      <c r="P34" s="50">
        <f t="shared" ref="P34:P97" si="8">P33+0.01</f>
        <v>0.20000000000000004</v>
      </c>
      <c r="Q34" t="s">
        <v>264</v>
      </c>
    </row>
    <row r="35" spans="1:17" x14ac:dyDescent="0.25">
      <c r="A35" s="130">
        <v>21</v>
      </c>
      <c r="B35" s="114" t="s">
        <v>23</v>
      </c>
      <c r="C35" s="113"/>
      <c r="D35" s="110">
        <v>1.1200000000000001</v>
      </c>
      <c r="E35" s="84">
        <v>201600.21</v>
      </c>
      <c r="F35" s="84">
        <f>E35</f>
        <v>201600.21</v>
      </c>
      <c r="G35" s="111">
        <f t="shared" si="0"/>
        <v>0</v>
      </c>
      <c r="H35" s="111">
        <f t="shared" si="3"/>
        <v>0</v>
      </c>
      <c r="I35" s="126">
        <f t="shared" si="4"/>
        <v>118194.37537600001</v>
      </c>
      <c r="J35" s="126">
        <f t="shared" si="1"/>
        <v>50400.000000000007</v>
      </c>
      <c r="K35" s="125">
        <f t="shared" si="5"/>
        <v>66605.624624000004</v>
      </c>
      <c r="L35" s="126"/>
      <c r="M35" s="148"/>
      <c r="N35" s="86">
        <f t="shared" si="6"/>
        <v>235200.21</v>
      </c>
      <c r="O35" s="140">
        <f t="shared" si="2"/>
        <v>242256.21</v>
      </c>
      <c r="P35" s="50">
        <f t="shared" si="8"/>
        <v>0.21000000000000005</v>
      </c>
    </row>
    <row r="36" spans="1:17" x14ac:dyDescent="0.25">
      <c r="A36" s="130">
        <f>A35+1</f>
        <v>22</v>
      </c>
      <c r="B36" s="114" t="s">
        <v>175</v>
      </c>
      <c r="C36" s="87"/>
      <c r="D36" s="82">
        <v>0.82</v>
      </c>
      <c r="E36" s="83">
        <v>147600.22</v>
      </c>
      <c r="F36" s="84">
        <f>E36</f>
        <v>147600.22</v>
      </c>
      <c r="G36" s="85">
        <f t="shared" si="0"/>
        <v>0</v>
      </c>
      <c r="H36" s="85">
        <f t="shared" si="3"/>
        <v>0</v>
      </c>
      <c r="I36" s="125">
        <f t="shared" si="4"/>
        <v>86535.167686000001</v>
      </c>
      <c r="J36" s="125">
        <f t="shared" si="1"/>
        <v>36900</v>
      </c>
      <c r="K36" s="125">
        <f t="shared" si="5"/>
        <v>48764.832313999992</v>
      </c>
      <c r="L36" s="125"/>
      <c r="M36" s="147"/>
      <c r="N36" s="86">
        <f t="shared" si="6"/>
        <v>172200.22</v>
      </c>
      <c r="O36" s="139">
        <f t="shared" ref="O36:O99" si="9">ROUND(N36*3%,0) + N36</f>
        <v>177366.22</v>
      </c>
      <c r="P36" s="50">
        <f t="shared" si="8"/>
        <v>0.22000000000000006</v>
      </c>
    </row>
    <row r="37" spans="1:17" x14ac:dyDescent="0.25">
      <c r="A37" s="129">
        <f t="shared" ref="A37:A100" si="10">A36+1</f>
        <v>23</v>
      </c>
      <c r="B37" s="88" t="s">
        <v>24</v>
      </c>
      <c r="C37" s="87"/>
      <c r="D37" s="82">
        <v>0.82</v>
      </c>
      <c r="E37" s="83">
        <v>147600.23000000001</v>
      </c>
      <c r="F37" s="84">
        <f>E37</f>
        <v>147600.23000000001</v>
      </c>
      <c r="G37" s="85">
        <f t="shared" si="0"/>
        <v>0</v>
      </c>
      <c r="H37" s="85">
        <f t="shared" si="3"/>
        <v>0</v>
      </c>
      <c r="I37" s="125">
        <f t="shared" si="4"/>
        <v>86535.167686000001</v>
      </c>
      <c r="J37" s="125">
        <f t="shared" si="1"/>
        <v>36900</v>
      </c>
      <c r="K37" s="125">
        <f t="shared" si="5"/>
        <v>48764.832313999992</v>
      </c>
      <c r="L37" s="125"/>
      <c r="M37" s="147"/>
      <c r="N37" s="86">
        <f t="shared" si="6"/>
        <v>172200.23</v>
      </c>
      <c r="O37" s="139">
        <f t="shared" si="9"/>
        <v>177366.23</v>
      </c>
      <c r="P37" s="50">
        <f t="shared" si="8"/>
        <v>0.23000000000000007</v>
      </c>
    </row>
    <row r="38" spans="1:17" x14ac:dyDescent="0.25">
      <c r="A38" s="129">
        <f t="shared" si="10"/>
        <v>24</v>
      </c>
      <c r="B38" s="88" t="s">
        <v>25</v>
      </c>
      <c r="C38" s="87"/>
      <c r="D38" s="82">
        <v>1.34</v>
      </c>
      <c r="E38" s="83">
        <v>475529.24</v>
      </c>
      <c r="F38" s="84">
        <v>234329.34</v>
      </c>
      <c r="G38" s="85">
        <f t="shared" si="0"/>
        <v>241199.9</v>
      </c>
      <c r="H38" s="85">
        <f t="shared" si="3"/>
        <v>7235.9969999999994</v>
      </c>
      <c r="I38" s="125">
        <f t="shared" si="4"/>
        <v>141411.12768200002</v>
      </c>
      <c r="J38" s="125">
        <f t="shared" si="1"/>
        <v>60300</v>
      </c>
      <c r="K38" s="125">
        <f t="shared" si="5"/>
        <v>79688.872318000009</v>
      </c>
      <c r="L38" s="125"/>
      <c r="M38" s="147"/>
      <c r="N38" s="86">
        <f t="shared" si="6"/>
        <v>529836.24</v>
      </c>
      <c r="O38" s="139">
        <f t="shared" si="9"/>
        <v>545731.24</v>
      </c>
      <c r="P38" s="50">
        <f t="shared" si="8"/>
        <v>0.24000000000000007</v>
      </c>
    </row>
    <row r="39" spans="1:17" x14ac:dyDescent="0.25">
      <c r="A39" s="129">
        <f t="shared" si="10"/>
        <v>25</v>
      </c>
      <c r="B39" s="88" t="s">
        <v>26</v>
      </c>
      <c r="C39" s="87"/>
      <c r="D39" s="82">
        <v>1.1200000000000001</v>
      </c>
      <c r="E39" s="83">
        <v>201600.25</v>
      </c>
      <c r="F39" s="84">
        <v>0</v>
      </c>
      <c r="G39" s="85">
        <f t="shared" si="0"/>
        <v>201600.25</v>
      </c>
      <c r="H39" s="85">
        <f t="shared" si="3"/>
        <v>6048.0074999999997</v>
      </c>
      <c r="I39" s="125">
        <f t="shared" si="4"/>
        <v>118194.37537600001</v>
      </c>
      <c r="J39" s="125">
        <f t="shared" si="1"/>
        <v>50400.000000000007</v>
      </c>
      <c r="K39" s="125">
        <f t="shared" si="5"/>
        <v>66605.624624000004</v>
      </c>
      <c r="L39" s="125"/>
      <c r="M39" s="147"/>
      <c r="N39" s="86">
        <f t="shared" si="6"/>
        <v>442848.25</v>
      </c>
      <c r="O39" s="139">
        <f t="shared" si="9"/>
        <v>456133.25</v>
      </c>
      <c r="P39" s="50">
        <f t="shared" si="8"/>
        <v>0.25000000000000006</v>
      </c>
    </row>
    <row r="40" spans="1:17" x14ac:dyDescent="0.25">
      <c r="A40" s="129">
        <f t="shared" si="10"/>
        <v>26</v>
      </c>
      <c r="B40" s="88" t="s">
        <v>27</v>
      </c>
      <c r="C40" s="87"/>
      <c r="D40" s="82">
        <v>1.17</v>
      </c>
      <c r="E40" s="83">
        <v>210600.26</v>
      </c>
      <c r="F40" s="84">
        <v>0</v>
      </c>
      <c r="G40" s="85">
        <f t="shared" si="0"/>
        <v>210600.26</v>
      </c>
      <c r="H40" s="85">
        <f t="shared" si="3"/>
        <v>6318.0078000000003</v>
      </c>
      <c r="I40" s="125">
        <f t="shared" si="4"/>
        <v>123470.90999099999</v>
      </c>
      <c r="J40" s="125">
        <f t="shared" si="1"/>
        <v>52650</v>
      </c>
      <c r="K40" s="125">
        <f t="shared" si="5"/>
        <v>69579.090008999992</v>
      </c>
      <c r="L40" s="125"/>
      <c r="M40" s="147"/>
      <c r="N40" s="86">
        <f t="shared" si="6"/>
        <v>462618.26</v>
      </c>
      <c r="O40" s="139">
        <f t="shared" si="9"/>
        <v>476497.26</v>
      </c>
      <c r="P40" s="50">
        <f t="shared" si="8"/>
        <v>0.26000000000000006</v>
      </c>
    </row>
    <row r="41" spans="1:17" x14ac:dyDescent="0.25">
      <c r="A41" s="129">
        <f t="shared" si="10"/>
        <v>27</v>
      </c>
      <c r="B41" s="88" t="s">
        <v>28</v>
      </c>
      <c r="C41" s="87"/>
      <c r="D41" s="82">
        <v>1.35</v>
      </c>
      <c r="E41" s="83">
        <v>243000.27</v>
      </c>
      <c r="F41" s="84">
        <f t="shared" ref="F41" si="11">E41</f>
        <v>243000.27</v>
      </c>
      <c r="G41" s="85">
        <f t="shared" si="0"/>
        <v>0</v>
      </c>
      <c r="H41" s="85">
        <f t="shared" si="3"/>
        <v>0</v>
      </c>
      <c r="I41" s="125">
        <f t="shared" si="4"/>
        <v>142466.43460500002</v>
      </c>
      <c r="J41" s="125">
        <f t="shared" si="1"/>
        <v>60750</v>
      </c>
      <c r="K41" s="125">
        <f t="shared" si="5"/>
        <v>80283.565394999998</v>
      </c>
      <c r="L41" s="125"/>
      <c r="M41" s="147"/>
      <c r="N41" s="86">
        <f t="shared" si="6"/>
        <v>283500.27</v>
      </c>
      <c r="O41" s="139">
        <f t="shared" si="9"/>
        <v>292005.27</v>
      </c>
      <c r="P41" s="50">
        <f t="shared" si="8"/>
        <v>0.27000000000000007</v>
      </c>
    </row>
    <row r="42" spans="1:17" x14ac:dyDescent="0.25">
      <c r="A42" s="129">
        <f t="shared" si="10"/>
        <v>28</v>
      </c>
      <c r="B42" s="88" t="s">
        <v>29</v>
      </c>
      <c r="C42" s="87"/>
      <c r="D42" s="82">
        <v>1.1200000000000001</v>
      </c>
      <c r="E42" s="83">
        <v>777788.28</v>
      </c>
      <c r="F42" s="84"/>
      <c r="G42" s="85">
        <f t="shared" si="0"/>
        <v>777788.28</v>
      </c>
      <c r="H42" s="85">
        <f t="shared" si="3"/>
        <v>23333.648399999998</v>
      </c>
      <c r="I42" s="125">
        <f t="shared" si="4"/>
        <v>118194.37537600001</v>
      </c>
      <c r="J42" s="125">
        <f t="shared" si="1"/>
        <v>50400.000000000007</v>
      </c>
      <c r="K42" s="125">
        <f t="shared" si="5"/>
        <v>66605.624624000004</v>
      </c>
      <c r="L42" s="125"/>
      <c r="M42" s="147"/>
      <c r="N42" s="86">
        <f t="shared" si="6"/>
        <v>1036322.28</v>
      </c>
      <c r="O42" s="139">
        <f t="shared" si="9"/>
        <v>1067412.28</v>
      </c>
      <c r="P42" s="50">
        <f t="shared" si="8"/>
        <v>0.28000000000000008</v>
      </c>
    </row>
    <row r="43" spans="1:17" x14ac:dyDescent="0.25">
      <c r="A43" s="130">
        <f t="shared" si="10"/>
        <v>29</v>
      </c>
      <c r="B43" s="114" t="s">
        <v>30</v>
      </c>
      <c r="C43" s="113"/>
      <c r="D43" s="110">
        <v>0.82</v>
      </c>
      <c r="E43" s="84">
        <v>143423.29</v>
      </c>
      <c r="F43" s="84">
        <v>147726.29</v>
      </c>
      <c r="G43" s="111">
        <f t="shared" si="0"/>
        <v>-4303</v>
      </c>
      <c r="H43" s="111">
        <f t="shared" si="3"/>
        <v>0</v>
      </c>
      <c r="I43" s="126">
        <f t="shared" si="4"/>
        <v>86535.167686000001</v>
      </c>
      <c r="J43" s="126">
        <f t="shared" si="1"/>
        <v>36900</v>
      </c>
      <c r="K43" s="125">
        <f t="shared" si="5"/>
        <v>48764.832313999992</v>
      </c>
      <c r="L43" s="126"/>
      <c r="M43" s="148"/>
      <c r="N43" s="86">
        <f t="shared" si="6"/>
        <v>167897.29</v>
      </c>
      <c r="O43" s="140">
        <f t="shared" si="9"/>
        <v>172934.29</v>
      </c>
      <c r="P43" s="50">
        <f t="shared" si="8"/>
        <v>0.29000000000000009</v>
      </c>
      <c r="Q43" t="s">
        <v>150</v>
      </c>
    </row>
    <row r="44" spans="1:17" x14ac:dyDescent="0.25">
      <c r="A44" s="130">
        <f t="shared" si="10"/>
        <v>30</v>
      </c>
      <c r="B44" s="114" t="s">
        <v>31</v>
      </c>
      <c r="C44" s="113"/>
      <c r="D44" s="110">
        <v>0.82</v>
      </c>
      <c r="E44" s="84">
        <v>147600.29999999999</v>
      </c>
      <c r="F44" s="84">
        <f>E44</f>
        <v>147600.29999999999</v>
      </c>
      <c r="G44" s="111">
        <f t="shared" si="0"/>
        <v>0</v>
      </c>
      <c r="H44" s="111">
        <f t="shared" si="3"/>
        <v>0</v>
      </c>
      <c r="I44" s="126">
        <f t="shared" si="4"/>
        <v>86535.167686000001</v>
      </c>
      <c r="J44" s="126">
        <f t="shared" si="1"/>
        <v>36900</v>
      </c>
      <c r="K44" s="125">
        <f t="shared" si="5"/>
        <v>48764.832313999992</v>
      </c>
      <c r="L44" s="126"/>
      <c r="M44" s="148"/>
      <c r="N44" s="112">
        <f t="shared" si="6"/>
        <v>172200.3</v>
      </c>
      <c r="O44" s="140">
        <f t="shared" si="9"/>
        <v>177366.3</v>
      </c>
      <c r="P44" s="50">
        <f t="shared" si="8"/>
        <v>0.3000000000000001</v>
      </c>
    </row>
    <row r="45" spans="1:17" x14ac:dyDescent="0.25">
      <c r="A45" s="129">
        <f t="shared" si="10"/>
        <v>31</v>
      </c>
      <c r="B45" s="88" t="s">
        <v>32</v>
      </c>
      <c r="C45" s="87"/>
      <c r="D45" s="82">
        <v>1.34</v>
      </c>
      <c r="E45" s="83">
        <v>241200.31</v>
      </c>
      <c r="F45" s="84">
        <f>E45</f>
        <v>241200.31</v>
      </c>
      <c r="G45" s="85">
        <f t="shared" si="0"/>
        <v>0</v>
      </c>
      <c r="H45" s="85">
        <f t="shared" si="3"/>
        <v>0</v>
      </c>
      <c r="I45" s="125">
        <f t="shared" si="4"/>
        <v>141411.12768200002</v>
      </c>
      <c r="J45" s="125">
        <f t="shared" si="1"/>
        <v>60300</v>
      </c>
      <c r="K45" s="125">
        <f t="shared" si="5"/>
        <v>79688.872318000009</v>
      </c>
      <c r="L45" s="125"/>
      <c r="M45" s="147"/>
      <c r="N45" s="86">
        <f t="shared" si="6"/>
        <v>281400.31</v>
      </c>
      <c r="O45" s="139">
        <f t="shared" si="9"/>
        <v>289842.31</v>
      </c>
      <c r="P45" s="50">
        <f t="shared" si="8"/>
        <v>0.31000000000000011</v>
      </c>
    </row>
    <row r="46" spans="1:17" x14ac:dyDescent="0.25">
      <c r="A46" s="129">
        <f t="shared" si="10"/>
        <v>32</v>
      </c>
      <c r="B46" s="88" t="s">
        <v>33</v>
      </c>
      <c r="C46" s="87"/>
      <c r="D46" s="82">
        <v>1.1200000000000001</v>
      </c>
      <c r="E46" s="83">
        <v>562457.31999999995</v>
      </c>
      <c r="F46" s="84">
        <f>300000.32+140000.32</f>
        <v>440000.64</v>
      </c>
      <c r="G46" s="85">
        <f t="shared" si="0"/>
        <v>122456.67999999993</v>
      </c>
      <c r="H46" s="85">
        <f t="shared" si="3"/>
        <v>3673.7003999999979</v>
      </c>
      <c r="I46" s="125">
        <f t="shared" si="4"/>
        <v>118194.37537600001</v>
      </c>
      <c r="J46" s="125">
        <f t="shared" si="1"/>
        <v>50400.000000000007</v>
      </c>
      <c r="K46" s="125">
        <f t="shared" si="5"/>
        <v>66605.624624000004</v>
      </c>
      <c r="L46" s="125"/>
      <c r="M46" s="147"/>
      <c r="N46" s="86">
        <f t="shared" si="6"/>
        <v>361330.32</v>
      </c>
      <c r="O46" s="139">
        <f t="shared" si="9"/>
        <v>372170.32</v>
      </c>
      <c r="P46" s="50">
        <f t="shared" si="8"/>
        <v>0.32000000000000012</v>
      </c>
    </row>
    <row r="47" spans="1:17" x14ac:dyDescent="0.25">
      <c r="A47" s="131">
        <f t="shared" si="10"/>
        <v>33</v>
      </c>
      <c r="B47" s="119" t="s">
        <v>34</v>
      </c>
      <c r="C47" s="120"/>
      <c r="D47" s="121">
        <v>1.17</v>
      </c>
      <c r="E47" s="122">
        <v>380600.33</v>
      </c>
      <c r="F47" s="122">
        <f>E47</f>
        <v>380600.33</v>
      </c>
      <c r="G47" s="123">
        <f t="shared" si="0"/>
        <v>0</v>
      </c>
      <c r="H47" s="123"/>
      <c r="I47" s="128">
        <f t="shared" ref="I47:I78" si="12">J$2*D47/100</f>
        <v>123470.90999099999</v>
      </c>
      <c r="J47" s="128">
        <f t="shared" ref="J47:J78" si="13">E$2*D47/100</f>
        <v>52650</v>
      </c>
      <c r="K47" s="128">
        <f t="shared" si="5"/>
        <v>69579.090008999992</v>
      </c>
      <c r="L47" s="128"/>
      <c r="M47" s="149">
        <v>170000</v>
      </c>
      <c r="N47" s="124">
        <f t="shared" si="6"/>
        <v>415700.33</v>
      </c>
      <c r="O47" s="141">
        <f t="shared" si="9"/>
        <v>428171.33</v>
      </c>
      <c r="P47" s="50">
        <f t="shared" si="8"/>
        <v>0.33000000000000013</v>
      </c>
      <c r="Q47" t="s">
        <v>257</v>
      </c>
    </row>
    <row r="48" spans="1:17" x14ac:dyDescent="0.25">
      <c r="A48" s="129">
        <f t="shared" si="10"/>
        <v>34</v>
      </c>
      <c r="B48" s="88" t="s">
        <v>35</v>
      </c>
      <c r="C48" s="87"/>
      <c r="D48" s="82">
        <v>1.35</v>
      </c>
      <c r="E48" s="83">
        <v>243000.34</v>
      </c>
      <c r="F48" s="84">
        <f>E48</f>
        <v>243000.34</v>
      </c>
      <c r="G48" s="85">
        <f t="shared" si="0"/>
        <v>0</v>
      </c>
      <c r="H48" s="85">
        <f t="shared" si="3"/>
        <v>0</v>
      </c>
      <c r="I48" s="125">
        <f t="shared" si="12"/>
        <v>142466.43460500002</v>
      </c>
      <c r="J48" s="125">
        <f t="shared" si="13"/>
        <v>60750</v>
      </c>
      <c r="K48" s="125">
        <f t="shared" si="5"/>
        <v>80283.565394999998</v>
      </c>
      <c r="L48" s="125"/>
      <c r="M48" s="147"/>
      <c r="N48" s="86">
        <f t="shared" si="6"/>
        <v>283500.34000000003</v>
      </c>
      <c r="O48" s="139">
        <f t="shared" si="9"/>
        <v>292005.34000000003</v>
      </c>
      <c r="P48" s="50">
        <f t="shared" si="8"/>
        <v>0.34000000000000014</v>
      </c>
    </row>
    <row r="49" spans="1:17" x14ac:dyDescent="0.25">
      <c r="A49" s="192">
        <f t="shared" si="10"/>
        <v>35</v>
      </c>
      <c r="B49" s="193" t="s">
        <v>36</v>
      </c>
      <c r="C49" s="194"/>
      <c r="D49" s="195">
        <v>1.1200000000000001</v>
      </c>
      <c r="E49" s="84">
        <v>201600.35</v>
      </c>
      <c r="F49" s="84">
        <f>E49</f>
        <v>201600.35</v>
      </c>
      <c r="G49" s="196">
        <f t="shared" si="0"/>
        <v>0</v>
      </c>
      <c r="H49" s="196">
        <f t="shared" si="3"/>
        <v>0</v>
      </c>
      <c r="I49" s="197">
        <f t="shared" si="12"/>
        <v>118194.37537600001</v>
      </c>
      <c r="J49" s="197">
        <f t="shared" si="13"/>
        <v>50400.000000000007</v>
      </c>
      <c r="K49" s="125">
        <f t="shared" si="5"/>
        <v>66605.624624000004</v>
      </c>
      <c r="L49" s="197"/>
      <c r="M49" s="198"/>
      <c r="N49" s="112">
        <f t="shared" si="6"/>
        <v>235200.35</v>
      </c>
      <c r="O49" s="140">
        <f t="shared" si="9"/>
        <v>242256.35</v>
      </c>
      <c r="P49" s="50">
        <f t="shared" si="8"/>
        <v>0.35000000000000014</v>
      </c>
      <c r="Q49" t="s">
        <v>152</v>
      </c>
    </row>
    <row r="50" spans="1:17" x14ac:dyDescent="0.25">
      <c r="A50" s="129">
        <f t="shared" si="10"/>
        <v>36</v>
      </c>
      <c r="B50" s="88" t="s">
        <v>37</v>
      </c>
      <c r="C50" s="87"/>
      <c r="D50" s="82">
        <v>0.82</v>
      </c>
      <c r="E50" s="83">
        <v>147600.35999999999</v>
      </c>
      <c r="F50" s="84">
        <f>E50</f>
        <v>147600.35999999999</v>
      </c>
      <c r="G50" s="85">
        <f t="shared" si="0"/>
        <v>0</v>
      </c>
      <c r="H50" s="85">
        <f t="shared" si="3"/>
        <v>0</v>
      </c>
      <c r="I50" s="125">
        <f t="shared" si="12"/>
        <v>86535.167686000001</v>
      </c>
      <c r="J50" s="125">
        <f t="shared" si="13"/>
        <v>36900</v>
      </c>
      <c r="K50" s="125">
        <f t="shared" si="5"/>
        <v>48764.832313999992</v>
      </c>
      <c r="L50" s="125"/>
      <c r="M50" s="147"/>
      <c r="N50" s="86">
        <f t="shared" si="6"/>
        <v>172200.36</v>
      </c>
      <c r="O50" s="139">
        <f t="shared" si="9"/>
        <v>177366.36</v>
      </c>
      <c r="P50" s="50">
        <f t="shared" si="8"/>
        <v>0.36000000000000015</v>
      </c>
      <c r="Q50" t="s">
        <v>156</v>
      </c>
    </row>
    <row r="51" spans="1:17" x14ac:dyDescent="0.25">
      <c r="A51" s="129">
        <f t="shared" si="10"/>
        <v>37</v>
      </c>
      <c r="B51" s="88" t="s">
        <v>38</v>
      </c>
      <c r="C51" s="87"/>
      <c r="D51" s="82">
        <v>0.82</v>
      </c>
      <c r="E51" s="84">
        <v>282942.37</v>
      </c>
      <c r="F51" s="84">
        <f>132000+148000+3942</f>
        <v>283942</v>
      </c>
      <c r="G51" s="85">
        <f t="shared" si="0"/>
        <v>-999.63000000000466</v>
      </c>
      <c r="H51" s="85">
        <f t="shared" si="3"/>
        <v>0</v>
      </c>
      <c r="I51" s="125">
        <f t="shared" si="12"/>
        <v>86535.167686000001</v>
      </c>
      <c r="J51" s="125">
        <f t="shared" si="13"/>
        <v>36900</v>
      </c>
      <c r="K51" s="125">
        <f t="shared" si="5"/>
        <v>48764.832313999992</v>
      </c>
      <c r="L51" s="125"/>
      <c r="M51" s="147"/>
      <c r="N51" s="86">
        <f t="shared" si="6"/>
        <v>171200.37</v>
      </c>
      <c r="O51" s="139">
        <f t="shared" si="9"/>
        <v>176336.37</v>
      </c>
      <c r="P51" s="50">
        <f t="shared" si="8"/>
        <v>0.37000000000000016</v>
      </c>
      <c r="Q51" t="s">
        <v>202</v>
      </c>
    </row>
    <row r="52" spans="1:17" x14ac:dyDescent="0.25">
      <c r="A52" s="129">
        <f t="shared" si="10"/>
        <v>38</v>
      </c>
      <c r="B52" s="88" t="s">
        <v>39</v>
      </c>
      <c r="C52" s="87"/>
      <c r="D52" s="82">
        <v>1.34</v>
      </c>
      <c r="E52" s="83">
        <v>749172.38</v>
      </c>
      <c r="F52" s="84"/>
      <c r="G52" s="85">
        <f t="shared" si="0"/>
        <v>749172.38</v>
      </c>
      <c r="H52" s="85">
        <f t="shared" si="3"/>
        <v>22475.171399999999</v>
      </c>
      <c r="I52" s="125">
        <f t="shared" si="12"/>
        <v>141411.12768200002</v>
      </c>
      <c r="J52" s="125">
        <f t="shared" si="13"/>
        <v>60300</v>
      </c>
      <c r="K52" s="125">
        <f t="shared" si="5"/>
        <v>79688.872318000009</v>
      </c>
      <c r="L52" s="125"/>
      <c r="M52" s="147"/>
      <c r="N52" s="86">
        <f t="shared" si="6"/>
        <v>1053048.3799999999</v>
      </c>
      <c r="O52" s="139">
        <f t="shared" si="9"/>
        <v>1084639.3799999999</v>
      </c>
      <c r="P52" s="50">
        <f t="shared" si="8"/>
        <v>0.38000000000000017</v>
      </c>
      <c r="Q52" t="s">
        <v>187</v>
      </c>
    </row>
    <row r="53" spans="1:17" x14ac:dyDescent="0.25">
      <c r="A53" s="129">
        <f t="shared" si="10"/>
        <v>39</v>
      </c>
      <c r="B53" s="88" t="s">
        <v>40</v>
      </c>
      <c r="C53" s="87"/>
      <c r="D53" s="82">
        <v>1.1200000000000001</v>
      </c>
      <c r="E53" s="83">
        <v>201600.39</v>
      </c>
      <c r="F53" s="84">
        <f>E53</f>
        <v>201600.39</v>
      </c>
      <c r="G53" s="85">
        <f t="shared" si="0"/>
        <v>0</v>
      </c>
      <c r="H53" s="85">
        <f t="shared" si="3"/>
        <v>0</v>
      </c>
      <c r="I53" s="125">
        <f t="shared" si="12"/>
        <v>118194.37537600001</v>
      </c>
      <c r="J53" s="125">
        <f t="shared" si="13"/>
        <v>50400.000000000007</v>
      </c>
      <c r="K53" s="125">
        <f t="shared" si="5"/>
        <v>66605.624624000004</v>
      </c>
      <c r="L53" s="125"/>
      <c r="M53" s="147"/>
      <c r="N53" s="86">
        <f t="shared" si="6"/>
        <v>235200.39</v>
      </c>
      <c r="O53" s="139">
        <f t="shared" si="9"/>
        <v>242256.39</v>
      </c>
      <c r="P53" s="50">
        <f t="shared" si="8"/>
        <v>0.39000000000000018</v>
      </c>
    </row>
    <row r="54" spans="1:17" x14ac:dyDescent="0.25">
      <c r="A54" s="129">
        <f t="shared" si="10"/>
        <v>40</v>
      </c>
      <c r="B54" s="88" t="s">
        <v>41</v>
      </c>
      <c r="C54" s="87"/>
      <c r="D54" s="82">
        <v>1.17</v>
      </c>
      <c r="E54" s="83">
        <v>216918.39999999999</v>
      </c>
      <c r="F54" s="84">
        <f>E54</f>
        <v>216918.39999999999</v>
      </c>
      <c r="G54" s="85">
        <f t="shared" si="0"/>
        <v>0</v>
      </c>
      <c r="H54" s="85">
        <f t="shared" si="3"/>
        <v>0</v>
      </c>
      <c r="I54" s="125">
        <f t="shared" si="12"/>
        <v>123470.90999099999</v>
      </c>
      <c r="J54" s="125">
        <f t="shared" si="13"/>
        <v>52650</v>
      </c>
      <c r="K54" s="125">
        <f t="shared" si="5"/>
        <v>69579.090008999992</v>
      </c>
      <c r="L54" s="125"/>
      <c r="M54" s="147"/>
      <c r="N54" s="86">
        <f t="shared" si="6"/>
        <v>245700.4</v>
      </c>
      <c r="O54" s="139">
        <f t="shared" si="9"/>
        <v>253071.4</v>
      </c>
      <c r="P54" s="50">
        <f t="shared" si="8"/>
        <v>0.40000000000000019</v>
      </c>
    </row>
    <row r="55" spans="1:17" x14ac:dyDescent="0.25">
      <c r="A55" s="129">
        <f t="shared" si="10"/>
        <v>41</v>
      </c>
      <c r="B55" s="88" t="s">
        <v>42</v>
      </c>
      <c r="C55" s="87"/>
      <c r="D55" s="82">
        <v>1.35</v>
      </c>
      <c r="E55" s="83">
        <v>245768.41</v>
      </c>
      <c r="F55" s="84">
        <v>253141.41</v>
      </c>
      <c r="G55" s="85">
        <f t="shared" si="0"/>
        <v>-7373</v>
      </c>
      <c r="H55" s="85">
        <f t="shared" si="3"/>
        <v>0</v>
      </c>
      <c r="I55" s="125">
        <f t="shared" si="12"/>
        <v>142466.43460500002</v>
      </c>
      <c r="J55" s="125">
        <f t="shared" si="13"/>
        <v>60750</v>
      </c>
      <c r="K55" s="125">
        <f t="shared" si="5"/>
        <v>80283.565394999998</v>
      </c>
      <c r="L55" s="125"/>
      <c r="M55" s="147"/>
      <c r="N55" s="86">
        <f t="shared" si="6"/>
        <v>276127.40999999997</v>
      </c>
      <c r="O55" s="139">
        <f t="shared" si="9"/>
        <v>284411.40999999997</v>
      </c>
      <c r="P55" s="50">
        <f t="shared" si="8"/>
        <v>0.4100000000000002</v>
      </c>
    </row>
    <row r="56" spans="1:17" x14ac:dyDescent="0.25">
      <c r="A56" s="131">
        <f t="shared" si="10"/>
        <v>42</v>
      </c>
      <c r="B56" s="119" t="s">
        <v>43</v>
      </c>
      <c r="C56" s="120"/>
      <c r="D56" s="121">
        <v>1.1200000000000001</v>
      </c>
      <c r="E56" s="122">
        <v>241638.42</v>
      </c>
      <c r="F56" s="122">
        <v>234600.42</v>
      </c>
      <c r="G56" s="123">
        <f t="shared" si="0"/>
        <v>7038</v>
      </c>
      <c r="H56" s="123"/>
      <c r="I56" s="128">
        <f t="shared" si="12"/>
        <v>118194.37537600001</v>
      </c>
      <c r="J56" s="128">
        <f t="shared" si="13"/>
        <v>50400.000000000007</v>
      </c>
      <c r="K56" s="128">
        <f t="shared" si="5"/>
        <v>66605.624624000004</v>
      </c>
      <c r="L56" s="128"/>
      <c r="M56" s="149">
        <v>33000</v>
      </c>
      <c r="N56" s="124">
        <f t="shared" si="6"/>
        <v>275238.42</v>
      </c>
      <c r="O56" s="141">
        <f t="shared" si="9"/>
        <v>283495.42</v>
      </c>
      <c r="P56" s="50">
        <f t="shared" si="8"/>
        <v>0.42000000000000021</v>
      </c>
      <c r="Q56" t="s">
        <v>263</v>
      </c>
    </row>
    <row r="57" spans="1:17" x14ac:dyDescent="0.25">
      <c r="A57" s="131">
        <f t="shared" si="10"/>
        <v>43</v>
      </c>
      <c r="B57" s="119" t="s">
        <v>99</v>
      </c>
      <c r="C57" s="120"/>
      <c r="D57" s="121">
        <v>0.82</v>
      </c>
      <c r="E57" s="164">
        <v>756600.43</v>
      </c>
      <c r="F57" s="122">
        <v>447600.43</v>
      </c>
      <c r="G57" s="123">
        <f t="shared" si="0"/>
        <v>309000.00000000006</v>
      </c>
      <c r="H57" s="123">
        <f t="shared" si="3"/>
        <v>9270.0000000000018</v>
      </c>
      <c r="I57" s="128">
        <f t="shared" si="12"/>
        <v>86535.167686000001</v>
      </c>
      <c r="J57" s="128">
        <f t="shared" si="13"/>
        <v>36900</v>
      </c>
      <c r="K57" s="128">
        <f t="shared" si="5"/>
        <v>48764.832313999992</v>
      </c>
      <c r="L57" s="128"/>
      <c r="M57" s="149">
        <v>300000</v>
      </c>
      <c r="N57" s="124">
        <f>ROUND(SUM(G57:M57),0) + P57</f>
        <v>790470.43</v>
      </c>
      <c r="O57" s="141">
        <f t="shared" si="9"/>
        <v>814184.43</v>
      </c>
      <c r="P57" s="50">
        <f t="shared" si="8"/>
        <v>0.43000000000000022</v>
      </c>
      <c r="Q57" t="s">
        <v>216</v>
      </c>
    </row>
    <row r="58" spans="1:17" x14ac:dyDescent="0.25">
      <c r="A58" s="130">
        <f t="shared" si="10"/>
        <v>44</v>
      </c>
      <c r="B58" s="114" t="s">
        <v>44</v>
      </c>
      <c r="C58" s="113"/>
      <c r="D58" s="110">
        <v>0.82</v>
      </c>
      <c r="E58" s="83">
        <v>105859.44</v>
      </c>
      <c r="F58" s="84">
        <f>39911.44+109035.44</f>
        <v>148946.88</v>
      </c>
      <c r="G58" s="85">
        <f t="shared" si="0"/>
        <v>-43087.44</v>
      </c>
      <c r="H58" s="85">
        <f t="shared" si="3"/>
        <v>0</v>
      </c>
      <c r="I58" s="125">
        <f t="shared" si="12"/>
        <v>86535.167686000001</v>
      </c>
      <c r="J58" s="125">
        <f t="shared" si="13"/>
        <v>36900</v>
      </c>
      <c r="K58" s="125">
        <f t="shared" si="5"/>
        <v>48764.832313999992</v>
      </c>
      <c r="L58" s="125"/>
      <c r="M58" s="147"/>
      <c r="N58" s="86">
        <f t="shared" si="6"/>
        <v>129113.44</v>
      </c>
      <c r="O58" s="139">
        <f t="shared" si="9"/>
        <v>132986.44</v>
      </c>
      <c r="P58" s="50">
        <f t="shared" si="8"/>
        <v>0.44000000000000022</v>
      </c>
      <c r="Q58" t="s">
        <v>214</v>
      </c>
    </row>
    <row r="59" spans="1:17" x14ac:dyDescent="0.25">
      <c r="A59" s="130">
        <f t="shared" si="10"/>
        <v>45</v>
      </c>
      <c r="B59" s="114" t="s">
        <v>206</v>
      </c>
      <c r="C59" s="113"/>
      <c r="D59" s="110">
        <v>1.34</v>
      </c>
      <c r="E59" s="83">
        <v>241200.45</v>
      </c>
      <c r="F59" s="84">
        <f>E59</f>
        <v>241200.45</v>
      </c>
      <c r="G59" s="85">
        <f t="shared" si="0"/>
        <v>0</v>
      </c>
      <c r="H59" s="85">
        <f t="shared" si="3"/>
        <v>0</v>
      </c>
      <c r="I59" s="125">
        <f t="shared" si="12"/>
        <v>141411.12768200002</v>
      </c>
      <c r="J59" s="125">
        <f t="shared" si="13"/>
        <v>60300</v>
      </c>
      <c r="K59" s="125">
        <f t="shared" si="5"/>
        <v>79688.872318000009</v>
      </c>
      <c r="L59" s="125"/>
      <c r="M59" s="147"/>
      <c r="N59" s="86">
        <f t="shared" si="6"/>
        <v>281400.45</v>
      </c>
      <c r="O59" s="139">
        <f t="shared" si="9"/>
        <v>289842.45</v>
      </c>
      <c r="P59" s="50">
        <f t="shared" si="8"/>
        <v>0.45000000000000023</v>
      </c>
    </row>
    <row r="60" spans="1:17" x14ac:dyDescent="0.25">
      <c r="A60" s="130">
        <f t="shared" si="10"/>
        <v>46</v>
      </c>
      <c r="B60" s="114" t="s">
        <v>45</v>
      </c>
      <c r="C60" s="113"/>
      <c r="D60" s="110">
        <v>1.1200000000000001</v>
      </c>
      <c r="E60" s="83">
        <v>227951.46</v>
      </c>
      <c r="F60" s="84">
        <v>220000</v>
      </c>
      <c r="G60" s="85">
        <f t="shared" si="0"/>
        <v>7951.4599999999919</v>
      </c>
      <c r="H60" s="85">
        <f t="shared" si="3"/>
        <v>238.54379999999975</v>
      </c>
      <c r="I60" s="125">
        <f t="shared" si="12"/>
        <v>118194.37537600001</v>
      </c>
      <c r="J60" s="125">
        <f t="shared" si="13"/>
        <v>50400.000000000007</v>
      </c>
      <c r="K60" s="125">
        <f t="shared" si="5"/>
        <v>66605.624624000004</v>
      </c>
      <c r="L60" s="125"/>
      <c r="M60" s="147"/>
      <c r="N60" s="86">
        <f t="shared" si="6"/>
        <v>243390.46</v>
      </c>
      <c r="O60" s="139">
        <f t="shared" si="9"/>
        <v>250692.46</v>
      </c>
      <c r="P60" s="50">
        <f t="shared" si="8"/>
        <v>0.46000000000000024</v>
      </c>
      <c r="Q60" t="s">
        <v>151</v>
      </c>
    </row>
    <row r="61" spans="1:17" x14ac:dyDescent="0.25">
      <c r="A61" s="131">
        <f t="shared" si="10"/>
        <v>47</v>
      </c>
      <c r="B61" s="119" t="s">
        <v>46</v>
      </c>
      <c r="C61" s="120"/>
      <c r="D61" s="121">
        <v>1.17</v>
      </c>
      <c r="E61" s="122">
        <v>735095.47</v>
      </c>
      <c r="F61" s="122">
        <v>0</v>
      </c>
      <c r="G61" s="123">
        <f t="shared" si="0"/>
        <v>735095.47</v>
      </c>
      <c r="H61" s="123"/>
      <c r="I61" s="128">
        <f t="shared" si="12"/>
        <v>123470.90999099999</v>
      </c>
      <c r="J61" s="128">
        <f t="shared" si="13"/>
        <v>52650</v>
      </c>
      <c r="K61" s="128">
        <f t="shared" si="5"/>
        <v>69579.090008999992</v>
      </c>
      <c r="L61" s="128"/>
      <c r="M61" s="149">
        <v>135000</v>
      </c>
      <c r="N61" s="124">
        <f t="shared" si="6"/>
        <v>1115795.47</v>
      </c>
      <c r="O61" s="141">
        <f t="shared" si="9"/>
        <v>1149269.47</v>
      </c>
      <c r="P61" s="50">
        <f t="shared" si="8"/>
        <v>0.47000000000000025</v>
      </c>
      <c r="Q61" t="s">
        <v>215</v>
      </c>
    </row>
    <row r="62" spans="1:17" x14ac:dyDescent="0.25">
      <c r="A62" s="221">
        <f t="shared" si="10"/>
        <v>48</v>
      </c>
      <c r="B62" s="222" t="s">
        <v>47</v>
      </c>
      <c r="C62" s="223"/>
      <c r="D62" s="224">
        <v>1.35</v>
      </c>
      <c r="E62" s="225">
        <v>250290.48</v>
      </c>
      <c r="F62" s="225">
        <f t="shared" ref="F62:F67" si="14">E62</f>
        <v>250290.48</v>
      </c>
      <c r="G62" s="226">
        <f t="shared" si="0"/>
        <v>0</v>
      </c>
      <c r="H62" s="226">
        <f t="shared" si="3"/>
        <v>0</v>
      </c>
      <c r="I62" s="227">
        <f t="shared" si="12"/>
        <v>142466.43460500002</v>
      </c>
      <c r="J62" s="227">
        <f t="shared" si="13"/>
        <v>60750</v>
      </c>
      <c r="K62" s="227">
        <f t="shared" si="5"/>
        <v>80283.565394999998</v>
      </c>
      <c r="L62" s="227"/>
      <c r="M62" s="228"/>
      <c r="N62" s="229">
        <f t="shared" si="6"/>
        <v>283500.48</v>
      </c>
      <c r="O62" s="230">
        <f t="shared" si="9"/>
        <v>292005.48</v>
      </c>
      <c r="P62" s="50">
        <f t="shared" si="8"/>
        <v>0.48000000000000026</v>
      </c>
      <c r="Q62" t="s">
        <v>153</v>
      </c>
    </row>
    <row r="63" spans="1:17" x14ac:dyDescent="0.25">
      <c r="A63" s="130">
        <f t="shared" si="10"/>
        <v>49</v>
      </c>
      <c r="B63" s="114" t="s">
        <v>48</v>
      </c>
      <c r="C63" s="113"/>
      <c r="D63" s="110">
        <v>1.1200000000000001</v>
      </c>
      <c r="E63" s="83">
        <v>201600.49</v>
      </c>
      <c r="F63" s="84">
        <f>E63</f>
        <v>201600.49</v>
      </c>
      <c r="G63" s="85">
        <f t="shared" si="0"/>
        <v>0</v>
      </c>
      <c r="H63" s="85">
        <f t="shared" si="3"/>
        <v>0</v>
      </c>
      <c r="I63" s="125">
        <f t="shared" si="12"/>
        <v>118194.37537600001</v>
      </c>
      <c r="J63" s="125">
        <f t="shared" si="13"/>
        <v>50400.000000000007</v>
      </c>
      <c r="K63" s="125">
        <f t="shared" si="5"/>
        <v>66605.624624000004</v>
      </c>
      <c r="L63" s="125"/>
      <c r="M63" s="147"/>
      <c r="N63" s="86">
        <f t="shared" si="6"/>
        <v>235200.49</v>
      </c>
      <c r="O63" s="139">
        <f t="shared" si="9"/>
        <v>242256.49</v>
      </c>
      <c r="P63" s="50">
        <f t="shared" si="8"/>
        <v>0.49000000000000027</v>
      </c>
    </row>
    <row r="64" spans="1:17" x14ac:dyDescent="0.25">
      <c r="A64" s="130">
        <f t="shared" si="10"/>
        <v>50</v>
      </c>
      <c r="B64" s="114" t="s">
        <v>49</v>
      </c>
      <c r="C64" s="113"/>
      <c r="D64" s="110">
        <v>0.82</v>
      </c>
      <c r="E64" s="83">
        <v>147600.5</v>
      </c>
      <c r="F64" s="84">
        <v>0</v>
      </c>
      <c r="G64" s="85">
        <f t="shared" si="0"/>
        <v>147600.5</v>
      </c>
      <c r="H64" s="85">
        <f t="shared" si="3"/>
        <v>4428.0149999999994</v>
      </c>
      <c r="I64" s="125">
        <f t="shared" si="12"/>
        <v>86535.167686000001</v>
      </c>
      <c r="J64" s="125">
        <f t="shared" si="13"/>
        <v>36900</v>
      </c>
      <c r="K64" s="125">
        <f t="shared" si="5"/>
        <v>48764.832313999992</v>
      </c>
      <c r="L64" s="125"/>
      <c r="M64" s="147"/>
      <c r="N64" s="86">
        <f t="shared" si="6"/>
        <v>324229.5</v>
      </c>
      <c r="O64" s="139">
        <f t="shared" si="9"/>
        <v>333956.5</v>
      </c>
      <c r="P64" s="50">
        <f t="shared" si="8"/>
        <v>0.50000000000000022</v>
      </c>
    </row>
    <row r="65" spans="1:17" x14ac:dyDescent="0.25">
      <c r="A65" s="130">
        <f t="shared" si="10"/>
        <v>51</v>
      </c>
      <c r="B65" s="114" t="s">
        <v>50</v>
      </c>
      <c r="C65" s="113"/>
      <c r="D65" s="110">
        <v>0.82</v>
      </c>
      <c r="E65" s="83">
        <v>147600.51</v>
      </c>
      <c r="F65" s="84">
        <f t="shared" si="14"/>
        <v>147600.51</v>
      </c>
      <c r="G65" s="85">
        <f t="shared" si="0"/>
        <v>0</v>
      </c>
      <c r="H65" s="85">
        <f t="shared" si="3"/>
        <v>0</v>
      </c>
      <c r="I65" s="125">
        <f t="shared" si="12"/>
        <v>86535.167686000001</v>
      </c>
      <c r="J65" s="125">
        <f t="shared" si="13"/>
        <v>36900</v>
      </c>
      <c r="K65" s="125">
        <f t="shared" si="5"/>
        <v>48764.832313999992</v>
      </c>
      <c r="L65" s="125"/>
      <c r="M65" s="147"/>
      <c r="N65" s="86">
        <f t="shared" si="6"/>
        <v>172200.51</v>
      </c>
      <c r="O65" s="139">
        <f t="shared" si="9"/>
        <v>177366.51</v>
      </c>
      <c r="P65" s="50">
        <f t="shared" si="8"/>
        <v>0.51000000000000023</v>
      </c>
    </row>
    <row r="66" spans="1:17" x14ac:dyDescent="0.25">
      <c r="A66" s="130">
        <f t="shared" si="10"/>
        <v>52</v>
      </c>
      <c r="B66" s="114" t="s">
        <v>51</v>
      </c>
      <c r="C66" s="113"/>
      <c r="D66" s="110">
        <v>1.34</v>
      </c>
      <c r="E66" s="83">
        <v>241200.52</v>
      </c>
      <c r="F66" s="84">
        <f t="shared" si="14"/>
        <v>241200.52</v>
      </c>
      <c r="G66" s="85">
        <f t="shared" si="0"/>
        <v>0</v>
      </c>
      <c r="H66" s="85">
        <f t="shared" si="3"/>
        <v>0</v>
      </c>
      <c r="I66" s="125">
        <f t="shared" si="12"/>
        <v>141411.12768200002</v>
      </c>
      <c r="J66" s="125">
        <f t="shared" si="13"/>
        <v>60300</v>
      </c>
      <c r="K66" s="125">
        <f t="shared" si="5"/>
        <v>79688.872318000009</v>
      </c>
      <c r="L66" s="125"/>
      <c r="M66" s="147"/>
      <c r="N66" s="86">
        <f t="shared" si="6"/>
        <v>281400.52</v>
      </c>
      <c r="O66" s="139">
        <f t="shared" si="9"/>
        <v>289842.52</v>
      </c>
      <c r="P66" s="50">
        <f t="shared" si="8"/>
        <v>0.52000000000000024</v>
      </c>
    </row>
    <row r="67" spans="1:17" x14ac:dyDescent="0.25">
      <c r="A67" s="130">
        <f t="shared" si="10"/>
        <v>53</v>
      </c>
      <c r="B67" s="114" t="s">
        <v>52</v>
      </c>
      <c r="C67" s="113"/>
      <c r="D67" s="110">
        <v>1.1200000000000001</v>
      </c>
      <c r="E67" s="84">
        <v>207648.53</v>
      </c>
      <c r="F67" s="84">
        <f t="shared" si="14"/>
        <v>207648.53</v>
      </c>
      <c r="G67" s="85">
        <f t="shared" si="0"/>
        <v>0</v>
      </c>
      <c r="H67" s="85">
        <f t="shared" si="3"/>
        <v>0</v>
      </c>
      <c r="I67" s="125">
        <f t="shared" si="12"/>
        <v>118194.37537600001</v>
      </c>
      <c r="J67" s="125">
        <f t="shared" si="13"/>
        <v>50400.000000000007</v>
      </c>
      <c r="K67" s="125">
        <f t="shared" si="5"/>
        <v>66605.624624000004</v>
      </c>
      <c r="L67" s="125"/>
      <c r="M67" s="147"/>
      <c r="N67" s="86">
        <f t="shared" si="6"/>
        <v>235200.53</v>
      </c>
      <c r="O67" s="139">
        <f t="shared" si="9"/>
        <v>242256.53</v>
      </c>
      <c r="P67" s="50">
        <f t="shared" si="8"/>
        <v>0.53000000000000025</v>
      </c>
    </row>
    <row r="68" spans="1:17" x14ac:dyDescent="0.25">
      <c r="A68" s="130">
        <f t="shared" si="10"/>
        <v>54</v>
      </c>
      <c r="B68" s="114" t="s">
        <v>53</v>
      </c>
      <c r="C68" s="113"/>
      <c r="D68" s="110">
        <v>1.17</v>
      </c>
      <c r="E68" s="83">
        <v>204641.54</v>
      </c>
      <c r="F68" s="84">
        <v>210780.54</v>
      </c>
      <c r="G68" s="85">
        <f t="shared" si="0"/>
        <v>-6139</v>
      </c>
      <c r="H68" s="85">
        <f t="shared" si="3"/>
        <v>0</v>
      </c>
      <c r="I68" s="125">
        <f t="shared" si="12"/>
        <v>123470.90999099999</v>
      </c>
      <c r="J68" s="125">
        <f t="shared" si="13"/>
        <v>52650</v>
      </c>
      <c r="K68" s="125">
        <f t="shared" si="5"/>
        <v>69579.090008999992</v>
      </c>
      <c r="L68" s="125"/>
      <c r="M68" s="147"/>
      <c r="N68" s="86">
        <f t="shared" si="6"/>
        <v>239561.54</v>
      </c>
      <c r="O68" s="139">
        <f t="shared" si="9"/>
        <v>246748.54</v>
      </c>
      <c r="P68" s="50">
        <f t="shared" si="8"/>
        <v>0.54000000000000026</v>
      </c>
    </row>
    <row r="69" spans="1:17" x14ac:dyDescent="0.25">
      <c r="A69" s="130">
        <f t="shared" si="10"/>
        <v>55</v>
      </c>
      <c r="B69" s="114" t="s">
        <v>54</v>
      </c>
      <c r="C69" s="113"/>
      <c r="D69" s="110">
        <v>1.35</v>
      </c>
      <c r="E69" s="83">
        <v>236124.55</v>
      </c>
      <c r="F69" s="84">
        <f>E69</f>
        <v>236124.55</v>
      </c>
      <c r="G69" s="85">
        <f t="shared" si="0"/>
        <v>0</v>
      </c>
      <c r="H69" s="85">
        <f t="shared" si="3"/>
        <v>0</v>
      </c>
      <c r="I69" s="125">
        <f t="shared" si="12"/>
        <v>142466.43460500002</v>
      </c>
      <c r="J69" s="125">
        <f t="shared" si="13"/>
        <v>60750</v>
      </c>
      <c r="K69" s="125">
        <f t="shared" si="5"/>
        <v>80283.565394999998</v>
      </c>
      <c r="L69" s="125"/>
      <c r="M69" s="147"/>
      <c r="N69" s="86">
        <f t="shared" si="6"/>
        <v>283500.55</v>
      </c>
      <c r="O69" s="139">
        <f t="shared" si="9"/>
        <v>292005.55</v>
      </c>
      <c r="P69" s="50">
        <f t="shared" si="8"/>
        <v>0.55000000000000027</v>
      </c>
    </row>
    <row r="70" spans="1:17" x14ac:dyDescent="0.25">
      <c r="A70" s="130">
        <f t="shared" si="10"/>
        <v>56</v>
      </c>
      <c r="B70" s="114" t="s">
        <v>55</v>
      </c>
      <c r="C70" s="113"/>
      <c r="D70" s="110">
        <v>1.1200000000000001</v>
      </c>
      <c r="E70" s="83">
        <v>519542.56</v>
      </c>
      <c r="F70" s="84">
        <v>0</v>
      </c>
      <c r="G70" s="85">
        <f t="shared" si="0"/>
        <v>519542.56</v>
      </c>
      <c r="H70" s="85">
        <f t="shared" si="3"/>
        <v>15586.2768</v>
      </c>
      <c r="I70" s="125">
        <f t="shared" si="12"/>
        <v>118194.37537600001</v>
      </c>
      <c r="J70" s="125">
        <f t="shared" si="13"/>
        <v>50400.000000000007</v>
      </c>
      <c r="K70" s="125">
        <f t="shared" si="5"/>
        <v>66605.624624000004</v>
      </c>
      <c r="L70" s="125"/>
      <c r="M70" s="147"/>
      <c r="N70" s="86">
        <f t="shared" si="6"/>
        <v>770329.56</v>
      </c>
      <c r="O70" s="139">
        <f t="shared" si="9"/>
        <v>793439.56</v>
      </c>
      <c r="P70" s="50">
        <f t="shared" si="8"/>
        <v>0.56000000000000028</v>
      </c>
    </row>
    <row r="71" spans="1:17" x14ac:dyDescent="0.25">
      <c r="A71" s="130">
        <f t="shared" si="10"/>
        <v>57</v>
      </c>
      <c r="B71" s="114" t="s">
        <v>56</v>
      </c>
      <c r="C71" s="113"/>
      <c r="D71" s="110">
        <v>0.82</v>
      </c>
      <c r="E71" s="83">
        <v>147600.57</v>
      </c>
      <c r="F71" s="84">
        <f>E71</f>
        <v>147600.57</v>
      </c>
      <c r="G71" s="85">
        <f t="shared" si="0"/>
        <v>0</v>
      </c>
      <c r="H71" s="85">
        <f t="shared" si="3"/>
        <v>0</v>
      </c>
      <c r="I71" s="125">
        <f t="shared" si="12"/>
        <v>86535.167686000001</v>
      </c>
      <c r="J71" s="125">
        <f t="shared" si="13"/>
        <v>36900</v>
      </c>
      <c r="K71" s="125">
        <f t="shared" si="5"/>
        <v>48764.832313999992</v>
      </c>
      <c r="L71" s="125"/>
      <c r="M71" s="147"/>
      <c r="N71" s="86">
        <f t="shared" si="6"/>
        <v>172200.57</v>
      </c>
      <c r="O71" s="139">
        <f t="shared" si="9"/>
        <v>177366.57</v>
      </c>
      <c r="P71" s="50">
        <f t="shared" si="8"/>
        <v>0.57000000000000028</v>
      </c>
      <c r="Q71" t="s">
        <v>256</v>
      </c>
    </row>
    <row r="72" spans="1:17" x14ac:dyDescent="0.25">
      <c r="A72" s="130">
        <f t="shared" si="10"/>
        <v>58</v>
      </c>
      <c r="B72" s="114" t="s">
        <v>57</v>
      </c>
      <c r="C72" s="113"/>
      <c r="D72" s="110">
        <v>0.82</v>
      </c>
      <c r="E72" s="83">
        <v>147600.57999999999</v>
      </c>
      <c r="F72" s="84">
        <f t="shared" ref="F72" si="15">E72</f>
        <v>147600.57999999999</v>
      </c>
      <c r="G72" s="85">
        <f t="shared" si="0"/>
        <v>0</v>
      </c>
      <c r="H72" s="85">
        <f t="shared" si="3"/>
        <v>0</v>
      </c>
      <c r="I72" s="125">
        <f t="shared" si="12"/>
        <v>86535.167686000001</v>
      </c>
      <c r="J72" s="125">
        <f t="shared" si="13"/>
        <v>36900</v>
      </c>
      <c r="K72" s="125">
        <f t="shared" si="5"/>
        <v>48764.832313999992</v>
      </c>
      <c r="L72" s="125"/>
      <c r="M72" s="147"/>
      <c r="N72" s="86">
        <f t="shared" si="6"/>
        <v>172200.58</v>
      </c>
      <c r="O72" s="139">
        <f t="shared" si="9"/>
        <v>177366.58</v>
      </c>
      <c r="P72" s="50">
        <f t="shared" si="8"/>
        <v>0.58000000000000029</v>
      </c>
      <c r="Q72" t="s">
        <v>205</v>
      </c>
    </row>
    <row r="73" spans="1:17" x14ac:dyDescent="0.25">
      <c r="A73" s="130">
        <f t="shared" si="10"/>
        <v>59</v>
      </c>
      <c r="B73" s="114" t="s">
        <v>58</v>
      </c>
      <c r="C73" s="113"/>
      <c r="D73" s="110">
        <v>1.34</v>
      </c>
      <c r="E73" s="84">
        <v>234375.59</v>
      </c>
      <c r="F73" s="84">
        <v>241406.59</v>
      </c>
      <c r="G73" s="111">
        <f t="shared" si="0"/>
        <v>-7031</v>
      </c>
      <c r="H73" s="111">
        <f t="shared" si="3"/>
        <v>0</v>
      </c>
      <c r="I73" s="126">
        <f t="shared" si="12"/>
        <v>141411.12768200002</v>
      </c>
      <c r="J73" s="126">
        <f t="shared" si="13"/>
        <v>60300</v>
      </c>
      <c r="K73" s="125">
        <f t="shared" si="5"/>
        <v>79688.872318000009</v>
      </c>
      <c r="L73" s="126"/>
      <c r="M73" s="148"/>
      <c r="N73" s="86">
        <f t="shared" si="6"/>
        <v>274369.59000000003</v>
      </c>
      <c r="O73" s="140">
        <f t="shared" si="9"/>
        <v>282600.59000000003</v>
      </c>
      <c r="P73" s="50">
        <f t="shared" si="8"/>
        <v>0.5900000000000003</v>
      </c>
    </row>
    <row r="74" spans="1:17" x14ac:dyDescent="0.25">
      <c r="A74" s="130">
        <f t="shared" si="10"/>
        <v>60</v>
      </c>
      <c r="B74" s="114" t="s">
        <v>59</v>
      </c>
      <c r="C74" s="113"/>
      <c r="D74" s="110">
        <v>1.1200000000000001</v>
      </c>
      <c r="E74" s="83">
        <v>196055.6</v>
      </c>
      <c r="F74" s="84">
        <v>201937.6</v>
      </c>
      <c r="G74" s="85">
        <f t="shared" si="0"/>
        <v>-5882</v>
      </c>
      <c r="H74" s="85">
        <f t="shared" si="3"/>
        <v>0</v>
      </c>
      <c r="I74" s="125">
        <f t="shared" si="12"/>
        <v>118194.37537600001</v>
      </c>
      <c r="J74" s="125">
        <f t="shared" si="13"/>
        <v>50400.000000000007</v>
      </c>
      <c r="K74" s="125">
        <f t="shared" si="5"/>
        <v>66605.624624000004</v>
      </c>
      <c r="L74" s="125"/>
      <c r="M74" s="147"/>
      <c r="N74" s="86">
        <f t="shared" si="6"/>
        <v>229318.6</v>
      </c>
      <c r="O74" s="139">
        <f t="shared" si="9"/>
        <v>236198.6</v>
      </c>
      <c r="P74" s="50">
        <f t="shared" si="8"/>
        <v>0.60000000000000031</v>
      </c>
    </row>
    <row r="75" spans="1:17" x14ac:dyDescent="0.25">
      <c r="A75" s="130">
        <f t="shared" si="10"/>
        <v>61</v>
      </c>
      <c r="B75" s="114" t="s">
        <v>60</v>
      </c>
      <c r="C75" s="113"/>
      <c r="D75" s="110">
        <v>1.17</v>
      </c>
      <c r="E75" s="83">
        <v>210600.61</v>
      </c>
      <c r="F75" s="84">
        <f>E75</f>
        <v>210600.61</v>
      </c>
      <c r="G75" s="85">
        <f t="shared" si="0"/>
        <v>0</v>
      </c>
      <c r="H75" s="85">
        <f t="shared" si="3"/>
        <v>0</v>
      </c>
      <c r="I75" s="125">
        <f t="shared" si="12"/>
        <v>123470.90999099999</v>
      </c>
      <c r="J75" s="125">
        <f t="shared" si="13"/>
        <v>52650</v>
      </c>
      <c r="K75" s="125">
        <f t="shared" si="5"/>
        <v>69579.090008999992</v>
      </c>
      <c r="L75" s="125"/>
      <c r="M75" s="147"/>
      <c r="N75" s="86">
        <f t="shared" si="6"/>
        <v>245700.61</v>
      </c>
      <c r="O75" s="139">
        <f t="shared" si="9"/>
        <v>253071.61</v>
      </c>
      <c r="P75" s="50">
        <f t="shared" si="8"/>
        <v>0.61000000000000032</v>
      </c>
    </row>
    <row r="76" spans="1:17" x14ac:dyDescent="0.25">
      <c r="A76" s="130">
        <f t="shared" si="10"/>
        <v>62</v>
      </c>
      <c r="B76" s="114" t="s">
        <v>61</v>
      </c>
      <c r="C76" s="113"/>
      <c r="D76" s="110">
        <v>1.35</v>
      </c>
      <c r="E76" s="83">
        <v>236124.62</v>
      </c>
      <c r="F76" s="84">
        <f>E76</f>
        <v>236124.62</v>
      </c>
      <c r="G76" s="85">
        <f t="shared" si="0"/>
        <v>0</v>
      </c>
      <c r="H76" s="85">
        <f t="shared" si="3"/>
        <v>0</v>
      </c>
      <c r="I76" s="125">
        <f t="shared" si="12"/>
        <v>142466.43460500002</v>
      </c>
      <c r="J76" s="125">
        <f t="shared" si="13"/>
        <v>60750</v>
      </c>
      <c r="K76" s="125">
        <f t="shared" si="5"/>
        <v>80283.565394999998</v>
      </c>
      <c r="L76" s="125"/>
      <c r="M76" s="147"/>
      <c r="N76" s="86">
        <f t="shared" si="6"/>
        <v>283500.62</v>
      </c>
      <c r="O76" s="139">
        <f t="shared" si="9"/>
        <v>292005.62</v>
      </c>
      <c r="P76" s="50">
        <f t="shared" si="8"/>
        <v>0.62000000000000033</v>
      </c>
    </row>
    <row r="77" spans="1:17" x14ac:dyDescent="0.25">
      <c r="A77" s="130">
        <f t="shared" si="10"/>
        <v>63</v>
      </c>
      <c r="B77" s="114" t="s">
        <v>62</v>
      </c>
      <c r="C77" s="113"/>
      <c r="D77" s="110">
        <v>1.1200000000000001</v>
      </c>
      <c r="E77" s="83">
        <v>201600.63</v>
      </c>
      <c r="F77" s="84">
        <f>E77</f>
        <v>201600.63</v>
      </c>
      <c r="G77" s="85">
        <f t="shared" si="0"/>
        <v>0</v>
      </c>
      <c r="H77" s="85">
        <f t="shared" si="3"/>
        <v>0</v>
      </c>
      <c r="I77" s="125">
        <f t="shared" si="12"/>
        <v>118194.37537600001</v>
      </c>
      <c r="J77" s="125">
        <f t="shared" si="13"/>
        <v>50400.000000000007</v>
      </c>
      <c r="K77" s="125">
        <f t="shared" si="5"/>
        <v>66605.624624000004</v>
      </c>
      <c r="L77" s="125"/>
      <c r="M77" s="147"/>
      <c r="N77" s="86">
        <f t="shared" si="6"/>
        <v>235200.63</v>
      </c>
      <c r="O77" s="139">
        <f t="shared" si="9"/>
        <v>242256.63</v>
      </c>
      <c r="P77" s="50">
        <f t="shared" si="8"/>
        <v>0.63000000000000034</v>
      </c>
      <c r="Q77" t="s">
        <v>198</v>
      </c>
    </row>
    <row r="78" spans="1:17" x14ac:dyDescent="0.25">
      <c r="A78" s="130">
        <f t="shared" si="10"/>
        <v>64</v>
      </c>
      <c r="B78" s="114" t="s">
        <v>63</v>
      </c>
      <c r="C78" s="113"/>
      <c r="D78" s="110">
        <v>0.82</v>
      </c>
      <c r="E78" s="83">
        <v>143450.64000000001</v>
      </c>
      <c r="F78" s="84">
        <v>147754.64000000001</v>
      </c>
      <c r="G78" s="85">
        <f t="shared" si="0"/>
        <v>-4304</v>
      </c>
      <c r="H78" s="85">
        <f t="shared" si="3"/>
        <v>0</v>
      </c>
      <c r="I78" s="125">
        <f t="shared" si="12"/>
        <v>86535.167686000001</v>
      </c>
      <c r="J78" s="125">
        <f t="shared" si="13"/>
        <v>36900</v>
      </c>
      <c r="K78" s="125">
        <f t="shared" si="5"/>
        <v>48764.832313999992</v>
      </c>
      <c r="L78" s="125"/>
      <c r="M78" s="147"/>
      <c r="N78" s="86">
        <f t="shared" si="6"/>
        <v>167896.64</v>
      </c>
      <c r="O78" s="139">
        <f t="shared" si="9"/>
        <v>172933.64</v>
      </c>
      <c r="P78" s="50">
        <f t="shared" si="8"/>
        <v>0.64000000000000035</v>
      </c>
    </row>
    <row r="79" spans="1:17" x14ac:dyDescent="0.25">
      <c r="A79" s="130">
        <f t="shared" si="10"/>
        <v>65</v>
      </c>
      <c r="B79" s="114" t="s">
        <v>64</v>
      </c>
      <c r="C79" s="113"/>
      <c r="D79" s="110">
        <v>0.82</v>
      </c>
      <c r="E79" s="84">
        <v>546922.65</v>
      </c>
      <c r="F79" s="176">
        <v>0</v>
      </c>
      <c r="G79" s="111">
        <f t="shared" ref="G79:G117" si="16">E79-F79</f>
        <v>546922.65</v>
      </c>
      <c r="H79" s="111">
        <f t="shared" si="3"/>
        <v>16407.679499999998</v>
      </c>
      <c r="I79" s="126">
        <f t="shared" ref="I79:I110" si="17">J$2*D79/100</f>
        <v>86535.167686000001</v>
      </c>
      <c r="J79" s="126">
        <f t="shared" ref="J79:J110" si="18">E$2*D79/100</f>
        <v>36900</v>
      </c>
      <c r="K79" s="125">
        <f t="shared" si="5"/>
        <v>48764.832313999992</v>
      </c>
      <c r="L79" s="126"/>
      <c r="M79" s="148"/>
      <c r="N79" s="86">
        <f t="shared" si="6"/>
        <v>735530.65</v>
      </c>
      <c r="O79" s="140">
        <f t="shared" si="9"/>
        <v>757596.65</v>
      </c>
      <c r="P79" s="50">
        <f t="shared" si="8"/>
        <v>0.65000000000000036</v>
      </c>
      <c r="Q79" t="s">
        <v>171</v>
      </c>
    </row>
    <row r="80" spans="1:17" x14ac:dyDescent="0.25">
      <c r="A80" s="130">
        <f t="shared" si="10"/>
        <v>66</v>
      </c>
      <c r="B80" s="114" t="s">
        <v>65</v>
      </c>
      <c r="C80" s="113"/>
      <c r="D80" s="110">
        <v>1.34</v>
      </c>
      <c r="E80" s="84">
        <v>588494.66</v>
      </c>
      <c r="F80" s="84">
        <v>0</v>
      </c>
      <c r="G80" s="111">
        <f t="shared" si="16"/>
        <v>588494.66</v>
      </c>
      <c r="H80" s="111">
        <f t="shared" ref="H80:H117" si="19">IF(G80&gt;0,G80*3%,0)</f>
        <v>17654.839800000002</v>
      </c>
      <c r="I80" s="126">
        <f t="shared" si="17"/>
        <v>141411.12768200002</v>
      </c>
      <c r="J80" s="126">
        <f t="shared" si="18"/>
        <v>60300</v>
      </c>
      <c r="K80" s="125">
        <f t="shared" ref="K80:K117" si="20">M$2*D80/100</f>
        <v>79688.872318000009</v>
      </c>
      <c r="L80" s="126"/>
      <c r="M80" s="148"/>
      <c r="N80" s="112">
        <f t="shared" si="6"/>
        <v>887549.66</v>
      </c>
      <c r="O80" s="140">
        <f t="shared" si="9"/>
        <v>914175.66</v>
      </c>
      <c r="P80" s="50">
        <f t="shared" si="8"/>
        <v>0.66000000000000036</v>
      </c>
    </row>
    <row r="81" spans="1:17" x14ac:dyDescent="0.25">
      <c r="A81" s="130">
        <f t="shared" si="10"/>
        <v>67</v>
      </c>
      <c r="B81" s="114" t="s">
        <v>66</v>
      </c>
      <c r="C81" s="87"/>
      <c r="D81" s="82">
        <v>1.1200000000000001</v>
      </c>
      <c r="E81" s="83">
        <v>195895.67</v>
      </c>
      <c r="F81" s="84">
        <v>0</v>
      </c>
      <c r="G81" s="85">
        <f t="shared" si="16"/>
        <v>195895.67</v>
      </c>
      <c r="H81" s="85">
        <f t="shared" si="19"/>
        <v>5876.8701000000001</v>
      </c>
      <c r="I81" s="125">
        <f t="shared" si="17"/>
        <v>118194.37537600001</v>
      </c>
      <c r="J81" s="125">
        <f t="shared" si="18"/>
        <v>50400.000000000007</v>
      </c>
      <c r="K81" s="125">
        <f t="shared" si="20"/>
        <v>66605.624624000004</v>
      </c>
      <c r="L81" s="125"/>
      <c r="M81" s="147"/>
      <c r="N81" s="86">
        <f t="shared" ref="N81:N117" si="21">ROUND(SUM(G81:M81),0) + P81</f>
        <v>436973.67</v>
      </c>
      <c r="O81" s="139">
        <f t="shared" si="9"/>
        <v>450082.67</v>
      </c>
      <c r="P81" s="50">
        <f t="shared" si="8"/>
        <v>0.67000000000000037</v>
      </c>
    </row>
    <row r="82" spans="1:17" x14ac:dyDescent="0.25">
      <c r="A82" s="187">
        <f t="shared" si="10"/>
        <v>68</v>
      </c>
      <c r="B82" s="188" t="s">
        <v>67</v>
      </c>
      <c r="C82" s="208"/>
      <c r="D82" s="209">
        <v>1.17</v>
      </c>
      <c r="E82" s="210">
        <v>7338190.6799999997</v>
      </c>
      <c r="F82" s="210">
        <v>0</v>
      </c>
      <c r="G82" s="211">
        <f t="shared" si="16"/>
        <v>7338190.6799999997</v>
      </c>
      <c r="H82" s="211">
        <f t="shared" si="19"/>
        <v>220145.72039999999</v>
      </c>
      <c r="I82" s="212">
        <f t="shared" si="17"/>
        <v>123470.90999099999</v>
      </c>
      <c r="J82" s="212">
        <f t="shared" si="18"/>
        <v>52650</v>
      </c>
      <c r="K82" s="212">
        <f t="shared" si="20"/>
        <v>69579.090008999992</v>
      </c>
      <c r="L82" s="212">
        <v>95000</v>
      </c>
      <c r="M82" s="213"/>
      <c r="N82" s="214">
        <f t="shared" si="21"/>
        <v>7899036.6799999997</v>
      </c>
      <c r="O82" s="215">
        <f t="shared" si="9"/>
        <v>8136007.6799999997</v>
      </c>
      <c r="P82" s="50">
        <f t="shared" si="8"/>
        <v>0.68000000000000038</v>
      </c>
    </row>
    <row r="83" spans="1:17" x14ac:dyDescent="0.25">
      <c r="A83" s="130">
        <f t="shared" si="10"/>
        <v>69</v>
      </c>
      <c r="B83" s="114" t="s">
        <v>68</v>
      </c>
      <c r="C83" s="87"/>
      <c r="D83" s="82">
        <v>1.35</v>
      </c>
      <c r="E83" s="83">
        <v>242119.69</v>
      </c>
      <c r="F83" s="84">
        <v>242200</v>
      </c>
      <c r="G83" s="85">
        <f t="shared" si="16"/>
        <v>-80.309999999997672</v>
      </c>
      <c r="H83" s="85">
        <f t="shared" si="19"/>
        <v>0</v>
      </c>
      <c r="I83" s="125">
        <f t="shared" si="17"/>
        <v>142466.43460500002</v>
      </c>
      <c r="J83" s="125">
        <f t="shared" si="18"/>
        <v>60750</v>
      </c>
      <c r="K83" s="125">
        <f t="shared" si="20"/>
        <v>80283.565394999998</v>
      </c>
      <c r="L83" s="125" t="s">
        <v>201</v>
      </c>
      <c r="M83" s="147"/>
      <c r="N83" s="86">
        <f t="shared" si="21"/>
        <v>283420.69</v>
      </c>
      <c r="O83" s="139">
        <f t="shared" si="9"/>
        <v>291923.69</v>
      </c>
      <c r="P83" s="50">
        <f t="shared" si="8"/>
        <v>0.69000000000000039</v>
      </c>
    </row>
    <row r="84" spans="1:17" x14ac:dyDescent="0.25">
      <c r="A84" s="130">
        <f t="shared" si="10"/>
        <v>70</v>
      </c>
      <c r="B84" s="114" t="s">
        <v>69</v>
      </c>
      <c r="C84" s="113"/>
      <c r="D84" s="110">
        <v>1.1200000000000001</v>
      </c>
      <c r="E84" s="84">
        <v>201600.7</v>
      </c>
      <c r="F84" s="84">
        <v>0</v>
      </c>
      <c r="G84" s="111">
        <f t="shared" si="16"/>
        <v>201600.7</v>
      </c>
      <c r="H84" s="111">
        <f t="shared" si="19"/>
        <v>6048.0209999999997</v>
      </c>
      <c r="I84" s="126">
        <f t="shared" si="17"/>
        <v>118194.37537600001</v>
      </c>
      <c r="J84" s="126">
        <f t="shared" si="18"/>
        <v>50400.000000000007</v>
      </c>
      <c r="K84" s="125">
        <f t="shared" si="20"/>
        <v>66605.624624000004</v>
      </c>
      <c r="L84" s="126"/>
      <c r="M84" s="148"/>
      <c r="N84" s="86">
        <f t="shared" si="21"/>
        <v>442849.7</v>
      </c>
      <c r="O84" s="140">
        <f t="shared" si="9"/>
        <v>456134.7</v>
      </c>
      <c r="P84" s="50">
        <f t="shared" si="8"/>
        <v>0.7000000000000004</v>
      </c>
      <c r="Q84" t="s">
        <v>167</v>
      </c>
    </row>
    <row r="85" spans="1:17" x14ac:dyDescent="0.25">
      <c r="A85" s="130">
        <f t="shared" si="10"/>
        <v>71</v>
      </c>
      <c r="B85" s="114" t="s">
        <v>70</v>
      </c>
      <c r="C85" s="87"/>
      <c r="D85" s="82">
        <v>0.82</v>
      </c>
      <c r="E85" s="83">
        <v>147600.71</v>
      </c>
      <c r="F85" s="84">
        <f>E85</f>
        <v>147600.71</v>
      </c>
      <c r="G85" s="85">
        <f t="shared" si="16"/>
        <v>0</v>
      </c>
      <c r="H85" s="85">
        <f t="shared" si="19"/>
        <v>0</v>
      </c>
      <c r="I85" s="125">
        <f t="shared" si="17"/>
        <v>86535.167686000001</v>
      </c>
      <c r="J85" s="125">
        <f t="shared" si="18"/>
        <v>36900</v>
      </c>
      <c r="K85" s="125">
        <f t="shared" si="20"/>
        <v>48764.832313999992</v>
      </c>
      <c r="L85" s="125"/>
      <c r="M85" s="147"/>
      <c r="N85" s="86">
        <f t="shared" si="21"/>
        <v>172200.71</v>
      </c>
      <c r="O85" s="139">
        <f t="shared" si="9"/>
        <v>177366.71</v>
      </c>
      <c r="P85" s="50">
        <f t="shared" si="8"/>
        <v>0.71000000000000041</v>
      </c>
    </row>
    <row r="86" spans="1:17" x14ac:dyDescent="0.25">
      <c r="A86" s="130">
        <f t="shared" si="10"/>
        <v>72</v>
      </c>
      <c r="B86" s="114" t="s">
        <v>71</v>
      </c>
      <c r="C86" s="87"/>
      <c r="D86" s="82">
        <v>0.82</v>
      </c>
      <c r="E86" s="83">
        <v>147600.72</v>
      </c>
      <c r="F86" s="84">
        <f>E86</f>
        <v>147600.72</v>
      </c>
      <c r="G86" s="85">
        <f t="shared" si="16"/>
        <v>0</v>
      </c>
      <c r="H86" s="85">
        <f t="shared" si="19"/>
        <v>0</v>
      </c>
      <c r="I86" s="125">
        <f t="shared" si="17"/>
        <v>86535.167686000001</v>
      </c>
      <c r="J86" s="125">
        <f t="shared" si="18"/>
        <v>36900</v>
      </c>
      <c r="K86" s="125">
        <f t="shared" si="20"/>
        <v>48764.832313999992</v>
      </c>
      <c r="L86" s="125"/>
      <c r="M86" s="147"/>
      <c r="N86" s="86">
        <f t="shared" si="21"/>
        <v>172200.72</v>
      </c>
      <c r="O86" s="139">
        <f t="shared" si="9"/>
        <v>177366.72</v>
      </c>
      <c r="P86" s="50">
        <f t="shared" si="8"/>
        <v>0.72000000000000042</v>
      </c>
    </row>
    <row r="87" spans="1:17" x14ac:dyDescent="0.25">
      <c r="A87" s="130">
        <f t="shared" si="10"/>
        <v>73</v>
      </c>
      <c r="B87" s="114" t="s">
        <v>72</v>
      </c>
      <c r="C87" s="87"/>
      <c r="D87" s="82">
        <v>1.34</v>
      </c>
      <c r="E87" s="83">
        <v>248434.73</v>
      </c>
      <c r="F87" s="84">
        <f>E87</f>
        <v>248434.73</v>
      </c>
      <c r="G87" s="85">
        <f t="shared" si="16"/>
        <v>0</v>
      </c>
      <c r="H87" s="85">
        <f t="shared" si="19"/>
        <v>0</v>
      </c>
      <c r="I87" s="125">
        <f t="shared" si="17"/>
        <v>141411.12768200002</v>
      </c>
      <c r="J87" s="125">
        <f t="shared" si="18"/>
        <v>60300</v>
      </c>
      <c r="K87" s="125">
        <f t="shared" si="20"/>
        <v>79688.872318000009</v>
      </c>
      <c r="L87" s="125"/>
      <c r="M87" s="147"/>
      <c r="N87" s="86">
        <f t="shared" si="21"/>
        <v>281400.73</v>
      </c>
      <c r="O87" s="139">
        <f t="shared" si="9"/>
        <v>289842.73</v>
      </c>
      <c r="P87" s="50">
        <f t="shared" si="8"/>
        <v>0.73000000000000043</v>
      </c>
    </row>
    <row r="88" spans="1:17" x14ac:dyDescent="0.25">
      <c r="A88" s="129">
        <f t="shared" si="10"/>
        <v>74</v>
      </c>
      <c r="B88" s="88" t="s">
        <v>73</v>
      </c>
      <c r="C88" s="87"/>
      <c r="D88" s="82">
        <v>1.1200000000000001</v>
      </c>
      <c r="E88" s="83">
        <v>1129429.74</v>
      </c>
      <c r="F88" s="84">
        <v>0</v>
      </c>
      <c r="G88" s="85">
        <f t="shared" si="16"/>
        <v>1129429.74</v>
      </c>
      <c r="H88" s="85">
        <f t="shared" si="19"/>
        <v>33882.892200000002</v>
      </c>
      <c r="I88" s="125">
        <f t="shared" si="17"/>
        <v>118194.37537600001</v>
      </c>
      <c r="J88" s="125">
        <f t="shared" si="18"/>
        <v>50400.000000000007</v>
      </c>
      <c r="K88" s="125">
        <f t="shared" si="20"/>
        <v>66605.624624000004</v>
      </c>
      <c r="L88" s="125"/>
      <c r="M88" s="147"/>
      <c r="N88" s="86">
        <f t="shared" si="21"/>
        <v>1398513.74</v>
      </c>
      <c r="O88" s="139">
        <f t="shared" si="9"/>
        <v>1440468.74</v>
      </c>
      <c r="P88" s="50">
        <f t="shared" si="8"/>
        <v>0.74000000000000044</v>
      </c>
    </row>
    <row r="89" spans="1:17" x14ac:dyDescent="0.25">
      <c r="A89" s="129">
        <f t="shared" si="10"/>
        <v>75</v>
      </c>
      <c r="B89" s="88" t="s">
        <v>74</v>
      </c>
      <c r="C89" s="87"/>
      <c r="D89" s="82">
        <v>1.17</v>
      </c>
      <c r="E89" s="83">
        <v>210600.75</v>
      </c>
      <c r="F89" s="84">
        <v>216918.75</v>
      </c>
      <c r="G89" s="85">
        <f t="shared" si="16"/>
        <v>-6318</v>
      </c>
      <c r="H89" s="85">
        <f t="shared" si="19"/>
        <v>0</v>
      </c>
      <c r="I89" s="125">
        <f t="shared" si="17"/>
        <v>123470.90999099999</v>
      </c>
      <c r="J89" s="125">
        <f t="shared" si="18"/>
        <v>52650</v>
      </c>
      <c r="K89" s="125">
        <f t="shared" si="20"/>
        <v>69579.090008999992</v>
      </c>
      <c r="L89" s="125"/>
      <c r="M89" s="147"/>
      <c r="N89" s="86">
        <f t="shared" si="21"/>
        <v>239382.75</v>
      </c>
      <c r="O89" s="139">
        <f t="shared" si="9"/>
        <v>246563.75</v>
      </c>
      <c r="P89" s="50">
        <f t="shared" si="8"/>
        <v>0.75000000000000044</v>
      </c>
    </row>
    <row r="90" spans="1:17" x14ac:dyDescent="0.25">
      <c r="A90" s="189">
        <f t="shared" si="10"/>
        <v>76</v>
      </c>
      <c r="B90" s="190" t="s">
        <v>75</v>
      </c>
      <c r="C90" s="199"/>
      <c r="D90" s="200">
        <v>1.35</v>
      </c>
      <c r="E90" s="201">
        <v>250290.76</v>
      </c>
      <c r="F90" s="201">
        <v>243000.76</v>
      </c>
      <c r="G90" s="202">
        <f t="shared" si="16"/>
        <v>7290</v>
      </c>
      <c r="H90" s="202">
        <f t="shared" si="19"/>
        <v>218.7</v>
      </c>
      <c r="I90" s="203">
        <f t="shared" si="17"/>
        <v>142466.43460500002</v>
      </c>
      <c r="J90" s="203">
        <f t="shared" si="18"/>
        <v>60750</v>
      </c>
      <c r="K90" s="203">
        <f t="shared" si="20"/>
        <v>80283.565394999998</v>
      </c>
      <c r="L90" s="203"/>
      <c r="M90" s="204"/>
      <c r="N90" s="205">
        <f t="shared" si="21"/>
        <v>291009.76</v>
      </c>
      <c r="O90" s="206">
        <f t="shared" si="9"/>
        <v>299739.76</v>
      </c>
      <c r="P90" s="50">
        <f t="shared" si="8"/>
        <v>0.76000000000000045</v>
      </c>
    </row>
    <row r="91" spans="1:17" x14ac:dyDescent="0.25">
      <c r="A91" s="129">
        <f t="shared" si="10"/>
        <v>77</v>
      </c>
      <c r="B91" s="88" t="s">
        <v>76</v>
      </c>
      <c r="C91" s="87"/>
      <c r="D91" s="82">
        <v>1.1200000000000001</v>
      </c>
      <c r="E91" s="83">
        <v>201600.77</v>
      </c>
      <c r="F91" s="84">
        <f>E91</f>
        <v>201600.77</v>
      </c>
      <c r="G91" s="85">
        <f t="shared" si="16"/>
        <v>0</v>
      </c>
      <c r="H91" s="85">
        <f t="shared" si="19"/>
        <v>0</v>
      </c>
      <c r="I91" s="125">
        <f t="shared" si="17"/>
        <v>118194.37537600001</v>
      </c>
      <c r="J91" s="125">
        <f t="shared" si="18"/>
        <v>50400.000000000007</v>
      </c>
      <c r="K91" s="125">
        <f t="shared" si="20"/>
        <v>66605.624624000004</v>
      </c>
      <c r="L91" s="125"/>
      <c r="M91" s="147"/>
      <c r="N91" s="86">
        <f t="shared" si="21"/>
        <v>235200.77</v>
      </c>
      <c r="O91" s="139">
        <f t="shared" si="9"/>
        <v>242256.77</v>
      </c>
      <c r="P91" s="50">
        <f t="shared" si="8"/>
        <v>0.77000000000000046</v>
      </c>
    </row>
    <row r="92" spans="1:17" x14ac:dyDescent="0.25">
      <c r="A92" s="131">
        <f t="shared" si="10"/>
        <v>78</v>
      </c>
      <c r="B92" s="119" t="s">
        <v>77</v>
      </c>
      <c r="C92" s="120"/>
      <c r="D92" s="121">
        <v>0.82</v>
      </c>
      <c r="E92" s="122">
        <v>321978.78000000003</v>
      </c>
      <c r="F92" s="122">
        <f>E92</f>
        <v>321978.78000000003</v>
      </c>
      <c r="G92" s="123">
        <f t="shared" si="16"/>
        <v>0</v>
      </c>
      <c r="H92" s="123"/>
      <c r="I92" s="128">
        <f t="shared" si="17"/>
        <v>86535.167686000001</v>
      </c>
      <c r="J92" s="128">
        <f t="shared" si="18"/>
        <v>36900</v>
      </c>
      <c r="K92" s="128">
        <f t="shared" si="20"/>
        <v>48764.832313999992</v>
      </c>
      <c r="L92" s="128"/>
      <c r="M92" s="149">
        <v>165000</v>
      </c>
      <c r="N92" s="124">
        <f t="shared" si="21"/>
        <v>337200.78</v>
      </c>
      <c r="O92" s="141">
        <f t="shared" si="9"/>
        <v>347316.78</v>
      </c>
      <c r="P92" s="50">
        <f t="shared" si="8"/>
        <v>0.78000000000000047</v>
      </c>
      <c r="Q92" t="s">
        <v>262</v>
      </c>
    </row>
    <row r="93" spans="1:17" x14ac:dyDescent="0.25">
      <c r="A93" s="129">
        <f t="shared" si="10"/>
        <v>79</v>
      </c>
      <c r="B93" s="88" t="s">
        <v>203</v>
      </c>
      <c r="C93" s="87"/>
      <c r="D93" s="82">
        <v>0.82</v>
      </c>
      <c r="E93" s="83">
        <v>147600.79</v>
      </c>
      <c r="F93" s="84">
        <f>E93</f>
        <v>147600.79</v>
      </c>
      <c r="G93" s="85">
        <f t="shared" si="16"/>
        <v>0</v>
      </c>
      <c r="H93" s="85">
        <f t="shared" si="19"/>
        <v>0</v>
      </c>
      <c r="I93" s="125">
        <f t="shared" si="17"/>
        <v>86535.167686000001</v>
      </c>
      <c r="J93" s="125">
        <f t="shared" si="18"/>
        <v>36900</v>
      </c>
      <c r="K93" s="125">
        <f t="shared" si="20"/>
        <v>48764.832313999992</v>
      </c>
      <c r="L93" s="125"/>
      <c r="M93" s="147"/>
      <c r="N93" s="86">
        <f t="shared" si="21"/>
        <v>172200.79</v>
      </c>
      <c r="O93" s="139">
        <f t="shared" si="9"/>
        <v>177366.79</v>
      </c>
      <c r="P93" s="50">
        <f t="shared" si="8"/>
        <v>0.79000000000000048</v>
      </c>
      <c r="Q93" t="s">
        <v>204</v>
      </c>
    </row>
    <row r="94" spans="1:17" x14ac:dyDescent="0.25">
      <c r="A94" s="130">
        <f t="shared" si="10"/>
        <v>80</v>
      </c>
      <c r="B94" s="114" t="s">
        <v>78</v>
      </c>
      <c r="C94" s="113"/>
      <c r="D94" s="110">
        <v>1.34</v>
      </c>
      <c r="E94" s="84">
        <v>241200.8</v>
      </c>
      <c r="F94" s="84">
        <v>248438.8</v>
      </c>
      <c r="G94" s="85">
        <f>E94-F94</f>
        <v>-7238</v>
      </c>
      <c r="H94" s="85">
        <f t="shared" si="19"/>
        <v>0</v>
      </c>
      <c r="I94" s="125">
        <f t="shared" si="17"/>
        <v>141411.12768200002</v>
      </c>
      <c r="J94" s="125">
        <f t="shared" si="18"/>
        <v>60300</v>
      </c>
      <c r="K94" s="125">
        <f t="shared" si="20"/>
        <v>79688.872318000009</v>
      </c>
      <c r="L94" s="125"/>
      <c r="M94" s="147"/>
      <c r="N94" s="86">
        <f t="shared" si="21"/>
        <v>274162.8</v>
      </c>
      <c r="O94" s="139">
        <f t="shared" si="9"/>
        <v>282387.8</v>
      </c>
      <c r="P94" s="50">
        <f t="shared" si="8"/>
        <v>0.80000000000000049</v>
      </c>
    </row>
    <row r="95" spans="1:17" x14ac:dyDescent="0.25">
      <c r="A95" s="130">
        <f t="shared" si="10"/>
        <v>81</v>
      </c>
      <c r="B95" s="114" t="s">
        <v>79</v>
      </c>
      <c r="C95" s="113"/>
      <c r="D95" s="110">
        <v>1.1200000000000001</v>
      </c>
      <c r="E95" s="84">
        <v>201600.81</v>
      </c>
      <c r="F95" s="84">
        <f>E95</f>
        <v>201600.81</v>
      </c>
      <c r="G95" s="111">
        <f t="shared" si="16"/>
        <v>0</v>
      </c>
      <c r="H95" s="111">
        <f t="shared" si="19"/>
        <v>0</v>
      </c>
      <c r="I95" s="126">
        <f t="shared" si="17"/>
        <v>118194.37537600001</v>
      </c>
      <c r="J95" s="126">
        <f t="shared" si="18"/>
        <v>50400.000000000007</v>
      </c>
      <c r="K95" s="125">
        <f t="shared" si="20"/>
        <v>66605.624624000004</v>
      </c>
      <c r="L95" s="126"/>
      <c r="M95" s="148"/>
      <c r="N95" s="112">
        <f t="shared" si="21"/>
        <v>235200.81</v>
      </c>
      <c r="O95" s="140">
        <f t="shared" si="9"/>
        <v>242256.81</v>
      </c>
      <c r="P95" s="50">
        <f t="shared" si="8"/>
        <v>0.8100000000000005</v>
      </c>
      <c r="Q95" t="s">
        <v>207</v>
      </c>
    </row>
    <row r="96" spans="1:17" x14ac:dyDescent="0.25">
      <c r="A96" s="130">
        <f t="shared" si="10"/>
        <v>82</v>
      </c>
      <c r="B96" s="114" t="s">
        <v>80</v>
      </c>
      <c r="C96" s="87"/>
      <c r="D96" s="82">
        <v>1.17</v>
      </c>
      <c r="E96" s="83">
        <v>195738.82</v>
      </c>
      <c r="F96" s="84">
        <f>E96</f>
        <v>195738.82</v>
      </c>
      <c r="G96" s="85">
        <f t="shared" si="16"/>
        <v>0</v>
      </c>
      <c r="H96" s="85">
        <f t="shared" si="19"/>
        <v>0</v>
      </c>
      <c r="I96" s="125">
        <f t="shared" si="17"/>
        <v>123470.90999099999</v>
      </c>
      <c r="J96" s="125">
        <f t="shared" si="18"/>
        <v>52650</v>
      </c>
      <c r="K96" s="125">
        <f t="shared" si="20"/>
        <v>69579.090008999992</v>
      </c>
      <c r="L96" s="125"/>
      <c r="M96" s="147"/>
      <c r="N96" s="86">
        <f t="shared" si="21"/>
        <v>245700.82</v>
      </c>
      <c r="O96" s="139">
        <f t="shared" si="9"/>
        <v>253071.82</v>
      </c>
      <c r="P96" s="50">
        <f t="shared" si="8"/>
        <v>0.82000000000000051</v>
      </c>
    </row>
    <row r="97" spans="1:17" x14ac:dyDescent="0.25">
      <c r="A97" s="130">
        <f t="shared" si="10"/>
        <v>83</v>
      </c>
      <c r="B97" s="114" t="s">
        <v>81</v>
      </c>
      <c r="C97" s="113"/>
      <c r="D97" s="110">
        <v>1.35</v>
      </c>
      <c r="E97" s="84">
        <v>243000.83</v>
      </c>
      <c r="F97" s="84">
        <f>E97</f>
        <v>243000.83</v>
      </c>
      <c r="G97" s="85">
        <f t="shared" si="16"/>
        <v>0</v>
      </c>
      <c r="H97" s="85">
        <f t="shared" si="19"/>
        <v>0</v>
      </c>
      <c r="I97" s="125">
        <f t="shared" si="17"/>
        <v>142466.43460500002</v>
      </c>
      <c r="J97" s="125">
        <f t="shared" si="18"/>
        <v>60750</v>
      </c>
      <c r="K97" s="125">
        <f t="shared" si="20"/>
        <v>80283.565394999998</v>
      </c>
      <c r="L97" s="125"/>
      <c r="M97" s="147"/>
      <c r="N97" s="86">
        <f t="shared" si="21"/>
        <v>283500.83</v>
      </c>
      <c r="O97" s="139">
        <f t="shared" si="9"/>
        <v>292005.83</v>
      </c>
      <c r="P97" s="50">
        <f t="shared" si="8"/>
        <v>0.83000000000000052</v>
      </c>
    </row>
    <row r="98" spans="1:17" x14ac:dyDescent="0.25">
      <c r="A98" s="130">
        <f t="shared" si="10"/>
        <v>84</v>
      </c>
      <c r="B98" s="114" t="s">
        <v>82</v>
      </c>
      <c r="C98" s="113"/>
      <c r="D98" s="110">
        <v>1.1200000000000001</v>
      </c>
      <c r="E98" s="84">
        <v>-61935.16</v>
      </c>
      <c r="F98" s="84"/>
      <c r="G98" s="85">
        <f t="shared" si="16"/>
        <v>-61935.16</v>
      </c>
      <c r="H98" s="85">
        <f t="shared" si="19"/>
        <v>0</v>
      </c>
      <c r="I98" s="125">
        <f t="shared" si="17"/>
        <v>118194.37537600001</v>
      </c>
      <c r="J98" s="125">
        <f t="shared" si="18"/>
        <v>50400.000000000007</v>
      </c>
      <c r="K98" s="125">
        <f t="shared" si="20"/>
        <v>66605.624624000004</v>
      </c>
      <c r="L98" s="125"/>
      <c r="M98" s="147"/>
      <c r="N98" s="86">
        <f t="shared" si="21"/>
        <v>173265.84</v>
      </c>
      <c r="O98" s="139">
        <f t="shared" si="9"/>
        <v>178463.84</v>
      </c>
      <c r="P98" s="50">
        <f t="shared" ref="P98:P117" si="22">P97+0.01</f>
        <v>0.84000000000000052</v>
      </c>
    </row>
    <row r="99" spans="1:17" x14ac:dyDescent="0.25">
      <c r="A99" s="129">
        <f t="shared" si="10"/>
        <v>85</v>
      </c>
      <c r="B99" s="88" t="s">
        <v>83</v>
      </c>
      <c r="C99" s="87"/>
      <c r="D99" s="82">
        <v>0.82</v>
      </c>
      <c r="E99" s="83">
        <v>147600.85</v>
      </c>
      <c r="F99" s="84">
        <f>62600.85+85000</f>
        <v>147600.85</v>
      </c>
      <c r="G99" s="85">
        <f t="shared" si="16"/>
        <v>0</v>
      </c>
      <c r="H99" s="85">
        <f t="shared" si="19"/>
        <v>0</v>
      </c>
      <c r="I99" s="125">
        <f t="shared" si="17"/>
        <v>86535.167686000001</v>
      </c>
      <c r="J99" s="125">
        <f t="shared" si="18"/>
        <v>36900</v>
      </c>
      <c r="K99" s="125">
        <f t="shared" si="20"/>
        <v>48764.832313999992</v>
      </c>
      <c r="L99" s="125"/>
      <c r="M99" s="147"/>
      <c r="N99" s="86">
        <f t="shared" si="21"/>
        <v>172200.85</v>
      </c>
      <c r="O99" s="139">
        <f t="shared" si="9"/>
        <v>177366.85</v>
      </c>
      <c r="P99" s="50">
        <f t="shared" si="22"/>
        <v>0.85000000000000053</v>
      </c>
    </row>
    <row r="100" spans="1:17" x14ac:dyDescent="0.25">
      <c r="A100" s="130">
        <f t="shared" si="10"/>
        <v>86</v>
      </c>
      <c r="B100" s="114" t="s">
        <v>84</v>
      </c>
      <c r="C100" s="113"/>
      <c r="D100" s="110">
        <v>0.82</v>
      </c>
      <c r="E100" s="84">
        <v>147600.85999999999</v>
      </c>
      <c r="F100" s="84">
        <v>152028.85999999999</v>
      </c>
      <c r="G100" s="111">
        <f t="shared" si="16"/>
        <v>-4428</v>
      </c>
      <c r="H100" s="111">
        <f t="shared" si="19"/>
        <v>0</v>
      </c>
      <c r="I100" s="126">
        <f t="shared" si="17"/>
        <v>86535.167686000001</v>
      </c>
      <c r="J100" s="126">
        <f t="shared" si="18"/>
        <v>36900</v>
      </c>
      <c r="K100" s="125">
        <f t="shared" si="20"/>
        <v>48764.832313999992</v>
      </c>
      <c r="L100" s="126"/>
      <c r="M100" s="148"/>
      <c r="N100" s="112">
        <f t="shared" si="21"/>
        <v>167772.86</v>
      </c>
      <c r="O100" s="140">
        <f t="shared" ref="O100:O117" si="23">ROUND(N100*3%,0) + N100</f>
        <v>172805.86</v>
      </c>
      <c r="P100" s="50">
        <f t="shared" si="22"/>
        <v>0.86000000000000054</v>
      </c>
    </row>
    <row r="101" spans="1:17" x14ac:dyDescent="0.25">
      <c r="A101" s="129">
        <f t="shared" ref="A101:A117" si="24">A100+1</f>
        <v>87</v>
      </c>
      <c r="B101" s="88" t="s">
        <v>85</v>
      </c>
      <c r="C101" s="87"/>
      <c r="D101" s="82">
        <v>1.34</v>
      </c>
      <c r="E101" s="83">
        <v>241200.87</v>
      </c>
      <c r="F101" s="84">
        <f t="shared" ref="F101:F104" si="25">E101</f>
        <v>241200.87</v>
      </c>
      <c r="G101" s="85">
        <f t="shared" si="16"/>
        <v>0</v>
      </c>
      <c r="H101" s="85">
        <f t="shared" si="19"/>
        <v>0</v>
      </c>
      <c r="I101" s="125">
        <f t="shared" si="17"/>
        <v>141411.12768200002</v>
      </c>
      <c r="J101" s="125">
        <f t="shared" si="18"/>
        <v>60300</v>
      </c>
      <c r="K101" s="125">
        <f t="shared" si="20"/>
        <v>79688.872318000009</v>
      </c>
      <c r="L101" s="125"/>
      <c r="M101" s="147"/>
      <c r="N101" s="86">
        <f t="shared" si="21"/>
        <v>281400.87</v>
      </c>
      <c r="O101" s="139">
        <f t="shared" si="23"/>
        <v>289842.87</v>
      </c>
      <c r="P101" s="50">
        <f t="shared" si="22"/>
        <v>0.87000000000000055</v>
      </c>
    </row>
    <row r="102" spans="1:17" x14ac:dyDescent="0.25">
      <c r="A102" s="129">
        <f t="shared" si="24"/>
        <v>88</v>
      </c>
      <c r="B102" s="88" t="s">
        <v>86</v>
      </c>
      <c r="C102" s="87"/>
      <c r="D102" s="82">
        <v>1.1200000000000001</v>
      </c>
      <c r="E102" s="83">
        <v>201600.88</v>
      </c>
      <c r="F102" s="84">
        <f>E102</f>
        <v>201600.88</v>
      </c>
      <c r="G102" s="85">
        <f t="shared" si="16"/>
        <v>0</v>
      </c>
      <c r="H102" s="85">
        <f t="shared" si="19"/>
        <v>0</v>
      </c>
      <c r="I102" s="125">
        <f t="shared" si="17"/>
        <v>118194.37537600001</v>
      </c>
      <c r="J102" s="125">
        <f t="shared" si="18"/>
        <v>50400.000000000007</v>
      </c>
      <c r="K102" s="125">
        <f t="shared" si="20"/>
        <v>66605.624624000004</v>
      </c>
      <c r="L102" s="125"/>
      <c r="M102" s="147"/>
      <c r="N102" s="86">
        <f t="shared" si="21"/>
        <v>235200.88</v>
      </c>
      <c r="O102" s="139">
        <f t="shared" si="23"/>
        <v>242256.88</v>
      </c>
      <c r="P102" s="50">
        <f t="shared" si="22"/>
        <v>0.88000000000000056</v>
      </c>
    </row>
    <row r="103" spans="1:17" x14ac:dyDescent="0.25">
      <c r="A103" s="129">
        <f t="shared" si="24"/>
        <v>89</v>
      </c>
      <c r="B103" s="88" t="s">
        <v>87</v>
      </c>
      <c r="C103" s="87"/>
      <c r="D103" s="82">
        <v>1.17</v>
      </c>
      <c r="E103" s="83">
        <v>210600.89</v>
      </c>
      <c r="F103" s="84">
        <f>E103</f>
        <v>210600.89</v>
      </c>
      <c r="G103" s="85">
        <f t="shared" si="16"/>
        <v>0</v>
      </c>
      <c r="H103" s="85">
        <f t="shared" si="19"/>
        <v>0</v>
      </c>
      <c r="I103" s="125">
        <f t="shared" si="17"/>
        <v>123470.90999099999</v>
      </c>
      <c r="J103" s="125">
        <f t="shared" si="18"/>
        <v>52650</v>
      </c>
      <c r="K103" s="125">
        <f t="shared" si="20"/>
        <v>69579.090008999992</v>
      </c>
      <c r="L103" s="125"/>
      <c r="M103" s="147"/>
      <c r="N103" s="86">
        <f t="shared" si="21"/>
        <v>245700.89</v>
      </c>
      <c r="O103" s="139">
        <f t="shared" si="23"/>
        <v>253071.89</v>
      </c>
      <c r="P103" s="50">
        <f t="shared" si="22"/>
        <v>0.89000000000000057</v>
      </c>
    </row>
    <row r="104" spans="1:17" x14ac:dyDescent="0.25">
      <c r="A104" s="129">
        <f t="shared" si="24"/>
        <v>90</v>
      </c>
      <c r="B104" s="88" t="s">
        <v>88</v>
      </c>
      <c r="C104" s="87"/>
      <c r="D104" s="82">
        <v>0.1</v>
      </c>
      <c r="E104" s="83">
        <v>18000.900000000001</v>
      </c>
      <c r="F104" s="84">
        <f t="shared" si="25"/>
        <v>18000.900000000001</v>
      </c>
      <c r="G104" s="85">
        <f t="shared" si="16"/>
        <v>0</v>
      </c>
      <c r="H104" s="85">
        <f t="shared" si="19"/>
        <v>0</v>
      </c>
      <c r="I104" s="125">
        <f t="shared" si="17"/>
        <v>10553.069230000001</v>
      </c>
      <c r="J104" s="125">
        <f t="shared" si="18"/>
        <v>4500</v>
      </c>
      <c r="K104" s="125">
        <f t="shared" si="20"/>
        <v>5946.930769999999</v>
      </c>
      <c r="L104" s="125"/>
      <c r="M104" s="147"/>
      <c r="N104" s="86">
        <f t="shared" si="21"/>
        <v>21000.9</v>
      </c>
      <c r="O104" s="139">
        <f t="shared" si="23"/>
        <v>21630.9</v>
      </c>
      <c r="P104" s="50">
        <f t="shared" si="22"/>
        <v>0.90000000000000058</v>
      </c>
    </row>
    <row r="105" spans="1:17" x14ac:dyDescent="0.25">
      <c r="A105" s="129">
        <f t="shared" si="24"/>
        <v>91</v>
      </c>
      <c r="B105" s="88" t="s">
        <v>89</v>
      </c>
      <c r="C105" s="87"/>
      <c r="D105" s="82">
        <v>0.1</v>
      </c>
      <c r="E105" s="83">
        <v>34985.910000000003</v>
      </c>
      <c r="F105" s="84">
        <v>34490.910000000003</v>
      </c>
      <c r="G105" s="85">
        <f t="shared" si="16"/>
        <v>495</v>
      </c>
      <c r="H105" s="85">
        <f t="shared" si="19"/>
        <v>14.85</v>
      </c>
      <c r="I105" s="125">
        <f t="shared" si="17"/>
        <v>10553.069230000001</v>
      </c>
      <c r="J105" s="125">
        <f t="shared" si="18"/>
        <v>4500</v>
      </c>
      <c r="K105" s="125">
        <f t="shared" si="20"/>
        <v>5946.930769999999</v>
      </c>
      <c r="L105" s="125"/>
      <c r="M105" s="147"/>
      <c r="N105" s="86">
        <f t="shared" si="21"/>
        <v>21510.91</v>
      </c>
      <c r="O105" s="139">
        <f t="shared" si="23"/>
        <v>22155.91</v>
      </c>
      <c r="P105" s="50">
        <f t="shared" si="22"/>
        <v>0.91000000000000059</v>
      </c>
    </row>
    <row r="106" spans="1:17" x14ac:dyDescent="0.25">
      <c r="A106" s="129">
        <f t="shared" si="24"/>
        <v>92</v>
      </c>
      <c r="B106" s="88" t="s">
        <v>90</v>
      </c>
      <c r="C106" s="87"/>
      <c r="D106" s="82">
        <v>0.1</v>
      </c>
      <c r="E106" s="83">
        <v>17505.919999999998</v>
      </c>
      <c r="F106" s="84">
        <v>18030.919999999998</v>
      </c>
      <c r="G106" s="85">
        <f t="shared" si="16"/>
        <v>-525</v>
      </c>
      <c r="H106" s="85">
        <f t="shared" si="19"/>
        <v>0</v>
      </c>
      <c r="I106" s="125">
        <f t="shared" si="17"/>
        <v>10553.069230000001</v>
      </c>
      <c r="J106" s="125">
        <f t="shared" si="18"/>
        <v>4500</v>
      </c>
      <c r="K106" s="125">
        <f t="shared" si="20"/>
        <v>5946.930769999999</v>
      </c>
      <c r="L106" s="125"/>
      <c r="M106" s="147"/>
      <c r="N106" s="86">
        <f t="shared" si="21"/>
        <v>20475.919999999998</v>
      </c>
      <c r="O106" s="139">
        <f t="shared" si="23"/>
        <v>21089.919999999998</v>
      </c>
      <c r="P106" s="50">
        <f t="shared" si="22"/>
        <v>0.9200000000000006</v>
      </c>
    </row>
    <row r="107" spans="1:17" x14ac:dyDescent="0.25">
      <c r="A107" s="130">
        <f t="shared" si="24"/>
        <v>93</v>
      </c>
      <c r="B107" s="114" t="s">
        <v>91</v>
      </c>
      <c r="C107" s="113"/>
      <c r="D107" s="110">
        <v>0.1</v>
      </c>
      <c r="E107" s="84">
        <v>17491.93</v>
      </c>
      <c r="F107" s="84">
        <v>18016.93</v>
      </c>
      <c r="G107" s="111">
        <f t="shared" si="16"/>
        <v>-525</v>
      </c>
      <c r="H107" s="111">
        <f t="shared" si="19"/>
        <v>0</v>
      </c>
      <c r="I107" s="126">
        <f t="shared" si="17"/>
        <v>10553.069230000001</v>
      </c>
      <c r="J107" s="126">
        <f t="shared" si="18"/>
        <v>4500</v>
      </c>
      <c r="K107" s="125">
        <f t="shared" si="20"/>
        <v>5946.930769999999</v>
      </c>
      <c r="L107" s="126"/>
      <c r="M107" s="148"/>
      <c r="N107" s="86">
        <f t="shared" si="21"/>
        <v>20475.93</v>
      </c>
      <c r="O107" s="140">
        <f t="shared" si="23"/>
        <v>21089.93</v>
      </c>
      <c r="P107" s="50">
        <f t="shared" si="22"/>
        <v>0.9300000000000006</v>
      </c>
    </row>
    <row r="108" spans="1:17" x14ac:dyDescent="0.25">
      <c r="A108" s="130">
        <f t="shared" si="24"/>
        <v>94</v>
      </c>
      <c r="B108" s="114" t="s">
        <v>92</v>
      </c>
      <c r="C108" s="113"/>
      <c r="D108" s="110">
        <v>0.1</v>
      </c>
      <c r="E108" s="84">
        <v>18000.939999999999</v>
      </c>
      <c r="F108" s="84">
        <f t="shared" ref="F108:F113" si="26">E108</f>
        <v>18000.939999999999</v>
      </c>
      <c r="G108" s="111">
        <f t="shared" si="16"/>
        <v>0</v>
      </c>
      <c r="H108" s="111">
        <f t="shared" si="19"/>
        <v>0</v>
      </c>
      <c r="I108" s="126">
        <f>J$2*D108/100</f>
        <v>10553.069230000001</v>
      </c>
      <c r="J108" s="126">
        <f t="shared" si="18"/>
        <v>4500</v>
      </c>
      <c r="K108" s="125">
        <f t="shared" si="20"/>
        <v>5946.930769999999</v>
      </c>
      <c r="L108" s="126"/>
      <c r="M108" s="148"/>
      <c r="N108" s="86">
        <f t="shared" si="21"/>
        <v>21000.94</v>
      </c>
      <c r="O108" s="140">
        <f t="shared" si="23"/>
        <v>21630.94</v>
      </c>
      <c r="P108" s="50">
        <f t="shared" si="22"/>
        <v>0.94000000000000061</v>
      </c>
    </row>
    <row r="109" spans="1:17" ht="24" customHeight="1" x14ac:dyDescent="0.25">
      <c r="A109" s="130">
        <f t="shared" si="24"/>
        <v>95</v>
      </c>
      <c r="B109" s="114" t="s">
        <v>165</v>
      </c>
      <c r="C109" s="113"/>
      <c r="D109" s="110">
        <v>0.1</v>
      </c>
      <c r="E109" s="84">
        <v>18000.95</v>
      </c>
      <c r="F109" s="84">
        <f t="shared" si="26"/>
        <v>18000.95</v>
      </c>
      <c r="G109" s="111">
        <f t="shared" si="16"/>
        <v>0</v>
      </c>
      <c r="H109" s="111">
        <f t="shared" si="19"/>
        <v>0</v>
      </c>
      <c r="I109" s="126">
        <f t="shared" si="17"/>
        <v>10553.069230000001</v>
      </c>
      <c r="J109" s="126">
        <f t="shared" si="18"/>
        <v>4500</v>
      </c>
      <c r="K109" s="125">
        <f t="shared" si="20"/>
        <v>5946.930769999999</v>
      </c>
      <c r="L109" s="126"/>
      <c r="M109" s="148"/>
      <c r="N109" s="86">
        <f t="shared" si="21"/>
        <v>21000.95</v>
      </c>
      <c r="O109" s="140">
        <f t="shared" si="23"/>
        <v>21630.95</v>
      </c>
      <c r="P109" s="50">
        <f t="shared" si="22"/>
        <v>0.95000000000000062</v>
      </c>
    </row>
    <row r="110" spans="1:17" x14ac:dyDescent="0.25">
      <c r="A110" s="130">
        <f t="shared" si="24"/>
        <v>96</v>
      </c>
      <c r="B110" s="114" t="s">
        <v>92</v>
      </c>
      <c r="C110" s="113"/>
      <c r="D110" s="110">
        <v>0.1</v>
      </c>
      <c r="E110" s="84">
        <v>17491.96</v>
      </c>
      <c r="F110" s="84">
        <f t="shared" si="26"/>
        <v>17491.96</v>
      </c>
      <c r="G110" s="111">
        <f t="shared" si="16"/>
        <v>0</v>
      </c>
      <c r="H110" s="111">
        <f t="shared" si="19"/>
        <v>0</v>
      </c>
      <c r="I110" s="126">
        <f t="shared" si="17"/>
        <v>10553.069230000001</v>
      </c>
      <c r="J110" s="126">
        <f t="shared" si="18"/>
        <v>4500</v>
      </c>
      <c r="K110" s="125">
        <f t="shared" si="20"/>
        <v>5946.930769999999</v>
      </c>
      <c r="L110" s="126"/>
      <c r="M110" s="148"/>
      <c r="N110" s="86">
        <f t="shared" si="21"/>
        <v>21000.959999999999</v>
      </c>
      <c r="O110" s="140">
        <f t="shared" si="23"/>
        <v>21630.959999999999</v>
      </c>
      <c r="P110" s="50">
        <f t="shared" si="22"/>
        <v>0.96000000000000063</v>
      </c>
      <c r="Q110" t="s">
        <v>154</v>
      </c>
    </row>
    <row r="111" spans="1:17" x14ac:dyDescent="0.25">
      <c r="A111" s="130">
        <f t="shared" si="24"/>
        <v>97</v>
      </c>
      <c r="B111" s="114" t="s">
        <v>93</v>
      </c>
      <c r="C111" s="113"/>
      <c r="D111" s="110">
        <v>0.1</v>
      </c>
      <c r="E111" s="84">
        <v>18000.97</v>
      </c>
      <c r="F111" s="84">
        <f t="shared" si="26"/>
        <v>18000.97</v>
      </c>
      <c r="G111" s="111">
        <f t="shared" si="16"/>
        <v>0</v>
      </c>
      <c r="H111" s="111">
        <f t="shared" si="19"/>
        <v>0</v>
      </c>
      <c r="I111" s="126">
        <f t="shared" ref="I111:I117" si="27">J$2*D111/100</f>
        <v>10553.069230000001</v>
      </c>
      <c r="J111" s="126">
        <f t="shared" ref="J111:J117" si="28">E$2*D111/100</f>
        <v>4500</v>
      </c>
      <c r="K111" s="125">
        <f t="shared" si="20"/>
        <v>5946.930769999999</v>
      </c>
      <c r="L111" s="126"/>
      <c r="M111" s="148"/>
      <c r="N111" s="86">
        <f t="shared" si="21"/>
        <v>21000.97</v>
      </c>
      <c r="O111" s="140">
        <f t="shared" si="23"/>
        <v>21630.97</v>
      </c>
      <c r="P111" s="50">
        <f t="shared" si="22"/>
        <v>0.97000000000000064</v>
      </c>
    </row>
    <row r="112" spans="1:17" x14ac:dyDescent="0.25">
      <c r="A112" s="130">
        <f t="shared" si="24"/>
        <v>98</v>
      </c>
      <c r="B112" s="114" t="s">
        <v>94</v>
      </c>
      <c r="C112" s="113"/>
      <c r="D112" s="110">
        <v>0.1</v>
      </c>
      <c r="E112" s="84">
        <v>18000.98</v>
      </c>
      <c r="F112" s="84">
        <f t="shared" si="26"/>
        <v>18000.98</v>
      </c>
      <c r="G112" s="111">
        <f t="shared" si="16"/>
        <v>0</v>
      </c>
      <c r="H112" s="111">
        <f t="shared" si="19"/>
        <v>0</v>
      </c>
      <c r="I112" s="126">
        <f t="shared" si="27"/>
        <v>10553.069230000001</v>
      </c>
      <c r="J112" s="126">
        <f t="shared" si="28"/>
        <v>4500</v>
      </c>
      <c r="K112" s="125">
        <f t="shared" si="20"/>
        <v>5946.930769999999</v>
      </c>
      <c r="L112" s="126"/>
      <c r="M112" s="148"/>
      <c r="N112" s="86">
        <f t="shared" si="21"/>
        <v>21000.98</v>
      </c>
      <c r="O112" s="140">
        <f t="shared" si="23"/>
        <v>21630.98</v>
      </c>
      <c r="P112" s="50">
        <f t="shared" si="22"/>
        <v>0.98000000000000065</v>
      </c>
    </row>
    <row r="113" spans="1:16" x14ac:dyDescent="0.25">
      <c r="A113" s="130">
        <f t="shared" si="24"/>
        <v>99</v>
      </c>
      <c r="B113" s="114" t="s">
        <v>95</v>
      </c>
      <c r="C113" s="113"/>
      <c r="D113" s="110">
        <v>0.1</v>
      </c>
      <c r="E113" s="84">
        <v>18000.990000000002</v>
      </c>
      <c r="F113" s="84">
        <f t="shared" si="26"/>
        <v>18000.990000000002</v>
      </c>
      <c r="G113" s="111">
        <f t="shared" si="16"/>
        <v>0</v>
      </c>
      <c r="H113" s="111">
        <f t="shared" si="19"/>
        <v>0</v>
      </c>
      <c r="I113" s="126">
        <f t="shared" si="27"/>
        <v>10553.069230000001</v>
      </c>
      <c r="J113" s="126">
        <f t="shared" si="28"/>
        <v>4500</v>
      </c>
      <c r="K113" s="125">
        <f t="shared" si="20"/>
        <v>5946.930769999999</v>
      </c>
      <c r="L113" s="126"/>
      <c r="M113" s="148"/>
      <c r="N113" s="86">
        <f t="shared" si="21"/>
        <v>21000.99</v>
      </c>
      <c r="O113" s="140">
        <f t="shared" si="23"/>
        <v>21630.99</v>
      </c>
      <c r="P113" s="50">
        <f t="shared" si="22"/>
        <v>0.99000000000000066</v>
      </c>
    </row>
    <row r="114" spans="1:16" x14ac:dyDescent="0.25">
      <c r="A114" s="130">
        <f t="shared" si="24"/>
        <v>100</v>
      </c>
      <c r="B114" s="114" t="s">
        <v>96</v>
      </c>
      <c r="C114" s="113"/>
      <c r="D114" s="110">
        <v>0.1</v>
      </c>
      <c r="E114" s="84">
        <v>52795</v>
      </c>
      <c r="F114" s="84"/>
      <c r="G114" s="111">
        <f t="shared" si="16"/>
        <v>52795</v>
      </c>
      <c r="H114" s="111">
        <f t="shared" si="19"/>
        <v>1583.85</v>
      </c>
      <c r="I114" s="126">
        <f t="shared" si="27"/>
        <v>10553.069230000001</v>
      </c>
      <c r="J114" s="126">
        <f t="shared" si="28"/>
        <v>4500</v>
      </c>
      <c r="K114" s="125">
        <f t="shared" si="20"/>
        <v>5946.930769999999</v>
      </c>
      <c r="L114" s="126"/>
      <c r="M114" s="148"/>
      <c r="N114" s="86">
        <f t="shared" si="21"/>
        <v>75380</v>
      </c>
      <c r="O114" s="140">
        <f t="shared" si="23"/>
        <v>77641</v>
      </c>
      <c r="P114" s="50">
        <f t="shared" si="22"/>
        <v>1.0000000000000007</v>
      </c>
    </row>
    <row r="115" spans="1:16" x14ac:dyDescent="0.25">
      <c r="A115" s="130">
        <f t="shared" si="24"/>
        <v>101</v>
      </c>
      <c r="B115" s="108" t="s">
        <v>97</v>
      </c>
      <c r="C115" s="113"/>
      <c r="D115" s="110">
        <v>0.1</v>
      </c>
      <c r="E115" s="84">
        <v>17493.009999999998</v>
      </c>
      <c r="F115" s="84">
        <v>18018.009999999998</v>
      </c>
      <c r="G115" s="111">
        <f t="shared" si="16"/>
        <v>-525</v>
      </c>
      <c r="H115" s="111">
        <f t="shared" si="19"/>
        <v>0</v>
      </c>
      <c r="I115" s="126">
        <f t="shared" si="27"/>
        <v>10553.069230000001</v>
      </c>
      <c r="J115" s="126">
        <f t="shared" si="28"/>
        <v>4500</v>
      </c>
      <c r="K115" s="125">
        <f t="shared" si="20"/>
        <v>5946.930769999999</v>
      </c>
      <c r="L115" s="126"/>
      <c r="M115" s="148"/>
      <c r="N115" s="86">
        <f t="shared" si="21"/>
        <v>20476.009999999998</v>
      </c>
      <c r="O115" s="140">
        <f t="shared" si="23"/>
        <v>21090.01</v>
      </c>
      <c r="P115" s="50">
        <f t="shared" si="22"/>
        <v>1.0100000000000007</v>
      </c>
    </row>
    <row r="116" spans="1:16" x14ac:dyDescent="0.25">
      <c r="A116" s="130">
        <f t="shared" si="24"/>
        <v>102</v>
      </c>
      <c r="B116" s="108" t="s">
        <v>98</v>
      </c>
      <c r="C116" s="113"/>
      <c r="D116" s="110">
        <v>0.1</v>
      </c>
      <c r="E116" s="84">
        <v>18001.02</v>
      </c>
      <c r="F116" s="84">
        <f>E116</f>
        <v>18001.02</v>
      </c>
      <c r="G116" s="111">
        <f t="shared" si="16"/>
        <v>0</v>
      </c>
      <c r="H116" s="111">
        <f t="shared" si="19"/>
        <v>0</v>
      </c>
      <c r="I116" s="126">
        <f t="shared" si="27"/>
        <v>10553.069230000001</v>
      </c>
      <c r="J116" s="126">
        <f t="shared" si="28"/>
        <v>4500</v>
      </c>
      <c r="K116" s="125">
        <f t="shared" si="20"/>
        <v>5946.930769999999</v>
      </c>
      <c r="L116" s="126"/>
      <c r="M116" s="148"/>
      <c r="N116" s="86">
        <f t="shared" si="21"/>
        <v>21001.02</v>
      </c>
      <c r="O116" s="140">
        <f t="shared" si="23"/>
        <v>21631.02</v>
      </c>
      <c r="P116" s="50">
        <f t="shared" si="22"/>
        <v>1.0200000000000007</v>
      </c>
    </row>
    <row r="117" spans="1:16" x14ac:dyDescent="0.25">
      <c r="A117" s="130">
        <f t="shared" si="24"/>
        <v>103</v>
      </c>
      <c r="B117" s="114" t="s">
        <v>186</v>
      </c>
      <c r="C117" s="113"/>
      <c r="D117" s="110">
        <v>0.1</v>
      </c>
      <c r="E117" s="84">
        <v>18001.03</v>
      </c>
      <c r="F117" s="84">
        <f>E117</f>
        <v>18001.03</v>
      </c>
      <c r="G117" s="111">
        <f t="shared" si="16"/>
        <v>0</v>
      </c>
      <c r="H117" s="111">
        <f t="shared" si="19"/>
        <v>0</v>
      </c>
      <c r="I117" s="126">
        <f t="shared" si="27"/>
        <v>10553.069230000001</v>
      </c>
      <c r="J117" s="126">
        <f t="shared" si="28"/>
        <v>4500</v>
      </c>
      <c r="K117" s="125">
        <f t="shared" si="20"/>
        <v>5946.930769999999</v>
      </c>
      <c r="L117" s="126"/>
      <c r="M117" s="148"/>
      <c r="N117" s="86">
        <f t="shared" si="21"/>
        <v>21001.03</v>
      </c>
      <c r="O117" s="140">
        <f t="shared" si="23"/>
        <v>21631.03</v>
      </c>
      <c r="P117" s="50">
        <f t="shared" si="22"/>
        <v>1.0300000000000007</v>
      </c>
    </row>
    <row r="118" spans="1:16" x14ac:dyDescent="0.25">
      <c r="A118" s="130"/>
      <c r="B118" s="108"/>
      <c r="C118" s="113"/>
      <c r="D118" s="110"/>
      <c r="E118" s="84"/>
      <c r="F118" s="84"/>
      <c r="G118" s="111"/>
      <c r="H118" s="111"/>
      <c r="I118" s="126"/>
      <c r="J118" s="126"/>
      <c r="K118" s="126"/>
      <c r="L118" s="126"/>
      <c r="M118" s="148"/>
      <c r="N118" s="112"/>
      <c r="O118" s="140"/>
      <c r="P118" s="50"/>
    </row>
    <row r="119" spans="1:16" ht="17.100000000000001" customHeight="1" thickBot="1" x14ac:dyDescent="0.3">
      <c r="A119" s="132"/>
      <c r="B119" s="133"/>
      <c r="C119" s="133"/>
      <c r="D119" s="134">
        <f t="shared" ref="D119:O119" si="29">SUM(D15:D118)</f>
        <v>100.15999999999993</v>
      </c>
      <c r="E119" s="135">
        <f t="shared" si="29"/>
        <v>39778263.560000002</v>
      </c>
      <c r="F119" s="136">
        <f>SUM(F15:F118)</f>
        <v>15858930.739999998</v>
      </c>
      <c r="G119" s="136">
        <f t="shared" si="29"/>
        <v>23919332.82</v>
      </c>
      <c r="H119" s="136">
        <f t="shared" si="29"/>
        <v>677683.33949999989</v>
      </c>
      <c r="I119" s="137">
        <f t="shared" si="29"/>
        <v>10569954.140767993</v>
      </c>
      <c r="J119" s="136">
        <f t="shared" si="29"/>
        <v>4507200</v>
      </c>
      <c r="K119" s="138"/>
      <c r="L119" s="138"/>
      <c r="M119" s="150"/>
      <c r="N119" s="145">
        <f t="shared" si="29"/>
        <v>46651970.56000001</v>
      </c>
      <c r="O119" s="142">
        <f t="shared" si="29"/>
        <v>48051527.560000002</v>
      </c>
    </row>
    <row r="120" spans="1:16" ht="12.75" customHeight="1" x14ac:dyDescent="0.25">
      <c r="B120" s="89"/>
      <c r="C120" s="89"/>
    </row>
    <row r="121" spans="1:16" hidden="1" x14ac:dyDescent="0.25"/>
    <row r="122" spans="1:16" ht="9" customHeight="1" x14ac:dyDescent="0.25">
      <c r="B122" s="268" t="s">
        <v>103</v>
      </c>
      <c r="C122" s="268"/>
      <c r="D122" s="268"/>
      <c r="E122" s="268"/>
      <c r="F122" s="268"/>
      <c r="G122" s="268"/>
      <c r="H122" s="268"/>
      <c r="I122" s="268"/>
      <c r="J122" s="268"/>
      <c r="K122" s="268"/>
      <c r="L122" s="268"/>
      <c r="M122" s="268"/>
      <c r="N122" s="268"/>
    </row>
    <row r="123" spans="1:16" ht="12" hidden="1" customHeight="1" x14ac:dyDescent="0.25">
      <c r="B123" s="268"/>
      <c r="C123" s="268"/>
      <c r="D123" s="268"/>
      <c r="E123" s="268"/>
      <c r="F123" s="268"/>
      <c r="G123" s="268"/>
      <c r="H123" s="268"/>
      <c r="I123" s="268"/>
      <c r="J123" s="268"/>
      <c r="K123" s="268"/>
      <c r="L123" s="268"/>
      <c r="M123" s="268"/>
      <c r="N123" s="268"/>
    </row>
    <row r="124" spans="1:16" ht="12" hidden="1" customHeight="1" x14ac:dyDescent="0.25">
      <c r="B124" s="268"/>
      <c r="C124" s="268"/>
      <c r="D124" s="268"/>
      <c r="E124" s="268"/>
      <c r="F124" s="268"/>
      <c r="G124" s="268"/>
      <c r="H124" s="268"/>
      <c r="I124" s="268"/>
      <c r="J124" s="268"/>
      <c r="K124" s="268"/>
      <c r="L124" s="268"/>
      <c r="M124" s="268"/>
      <c r="N124" s="268"/>
    </row>
    <row r="125" spans="1:16" ht="12" hidden="1" customHeight="1" x14ac:dyDescent="0.25">
      <c r="B125" s="268"/>
      <c r="C125" s="268"/>
      <c r="D125" s="268"/>
      <c r="E125" s="268"/>
      <c r="F125" s="268"/>
      <c r="G125" s="268"/>
      <c r="H125" s="268"/>
      <c r="I125" s="268"/>
      <c r="J125" s="268"/>
      <c r="K125" s="268"/>
      <c r="L125" s="268"/>
      <c r="M125" s="268"/>
      <c r="N125" s="268"/>
    </row>
    <row r="126" spans="1:16" ht="12" hidden="1" customHeight="1" x14ac:dyDescent="0.25">
      <c r="B126" s="268"/>
      <c r="C126" s="268"/>
      <c r="D126" s="268"/>
      <c r="E126" s="268"/>
      <c r="F126" s="268"/>
      <c r="G126" s="268"/>
      <c r="H126" s="268"/>
      <c r="I126" s="268"/>
      <c r="J126" s="268"/>
      <c r="K126" s="268"/>
      <c r="L126" s="268"/>
      <c r="M126" s="268"/>
      <c r="N126" s="268"/>
    </row>
    <row r="127" spans="1:16" ht="67.5" customHeight="1" x14ac:dyDescent="0.25">
      <c r="B127" s="268"/>
      <c r="C127" s="268"/>
      <c r="D127" s="268"/>
      <c r="E127" s="268"/>
      <c r="F127" s="268"/>
      <c r="G127" s="268"/>
      <c r="H127" s="268"/>
      <c r="I127" s="268"/>
      <c r="J127" s="268"/>
      <c r="K127" s="268"/>
      <c r="L127" s="268"/>
      <c r="M127" s="268"/>
      <c r="N127" s="268"/>
    </row>
    <row r="130" spans="1:2" x14ac:dyDescent="0.25">
      <c r="B130">
        <v>1631378.049999997</v>
      </c>
    </row>
    <row r="134" spans="1:2" x14ac:dyDescent="0.25">
      <c r="A134" t="s">
        <v>261</v>
      </c>
      <c r="B134" s="218">
        <v>-3942</v>
      </c>
    </row>
    <row r="135" spans="1:2" x14ac:dyDescent="0.25">
      <c r="A135" t="s">
        <v>260</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9"/>
  <sheetViews>
    <sheetView zoomScaleNormal="100" workbookViewId="0">
      <selection activeCell="B25" sqref="B25"/>
    </sheetView>
  </sheetViews>
  <sheetFormatPr baseColWidth="10" defaultColWidth="10.85546875" defaultRowHeight="15" x14ac:dyDescent="0.25"/>
  <cols>
    <col min="3" max="3" width="12.7109375" bestFit="1" customWidth="1"/>
    <col min="9" max="9" width="13" bestFit="1" customWidth="1"/>
  </cols>
  <sheetData>
    <row r="3" spans="3:14" ht="15.75" thickBot="1" x14ac:dyDescent="0.3">
      <c r="C3" s="19"/>
    </row>
    <row r="4" spans="3:14" ht="13.15" customHeight="1" x14ac:dyDescent="0.25">
      <c r="C4" s="172" t="s">
        <v>190</v>
      </c>
      <c r="D4" s="173">
        <v>1</v>
      </c>
      <c r="E4" s="169"/>
      <c r="F4" s="169"/>
      <c r="G4" s="169"/>
      <c r="H4" s="169"/>
      <c r="I4" s="169"/>
      <c r="J4" s="170"/>
      <c r="K4" s="19"/>
      <c r="L4" s="19"/>
    </row>
    <row r="5" spans="3:14" ht="14.45" customHeight="1" x14ac:dyDescent="0.25">
      <c r="C5" s="174" t="s">
        <v>191</v>
      </c>
      <c r="D5" s="175"/>
      <c r="E5" t="s">
        <v>192</v>
      </c>
      <c r="G5" t="s">
        <v>193</v>
      </c>
      <c r="J5" s="171"/>
      <c r="K5" s="19"/>
      <c r="L5" s="19"/>
      <c r="M5" s="19"/>
      <c r="N5" s="19"/>
    </row>
    <row r="6" spans="3:14" x14ac:dyDescent="0.25">
      <c r="C6" s="174" t="s">
        <v>194</v>
      </c>
      <c r="D6" s="175" t="s">
        <v>195</v>
      </c>
      <c r="E6" t="s">
        <v>196</v>
      </c>
      <c r="G6" t="s">
        <v>128</v>
      </c>
      <c r="H6">
        <v>46</v>
      </c>
      <c r="J6" s="171"/>
      <c r="K6" s="19"/>
      <c r="L6" s="19"/>
      <c r="M6" s="19"/>
      <c r="N6" s="19"/>
    </row>
    <row r="7" spans="3:14" ht="15.75" thickBot="1" x14ac:dyDescent="0.3">
      <c r="C7" s="47" t="s">
        <v>197</v>
      </c>
      <c r="J7" s="171"/>
      <c r="K7" s="19"/>
      <c r="L7" s="19"/>
      <c r="M7" s="19"/>
      <c r="N7" s="19"/>
    </row>
    <row r="8" spans="3:14" x14ac:dyDescent="0.25">
      <c r="C8" s="294" t="s">
        <v>220</v>
      </c>
      <c r="D8" s="295"/>
      <c r="E8" s="295"/>
      <c r="F8" s="295"/>
      <c r="G8" s="295"/>
      <c r="H8" s="295"/>
      <c r="I8" s="295"/>
      <c r="J8" s="296"/>
      <c r="K8" s="19"/>
      <c r="L8" s="19"/>
      <c r="M8" s="19"/>
      <c r="N8" s="19"/>
    </row>
    <row r="9" spans="3:14" ht="15.75" thickBot="1" x14ac:dyDescent="0.3">
      <c r="C9" s="297"/>
      <c r="D9" s="298"/>
      <c r="E9" s="298"/>
      <c r="F9" s="298"/>
      <c r="G9" s="298"/>
      <c r="H9" s="298"/>
      <c r="I9" s="298"/>
      <c r="J9" s="299"/>
      <c r="K9" s="19"/>
      <c r="L9" s="19"/>
      <c r="M9" s="19"/>
      <c r="N9" s="19"/>
    </row>
  </sheetData>
  <mergeCells count="1">
    <mergeCell ref="C8:J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2026-08-05T17:19:22Z</cp:lastPrinted>
  <dcterms:created xsi:type="dcterms:W3CDTF">2016-01-12T20:02:43Z</dcterms:created>
  <dcterms:modified xsi:type="dcterms:W3CDTF">2026-08-05T17:19:29Z</dcterms:modified>
</cp:coreProperties>
</file>