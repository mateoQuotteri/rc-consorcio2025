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Sistemax\Desktop\rc-consorcio2025\2026\ITALIA\Julio\"/>
    </mc:Choice>
  </mc:AlternateContent>
  <xr:revisionPtr revIDLastSave="0" documentId="13_ncr:1_{CE229E11-CF48-4432-B110-1F4AB0B46D05}" xr6:coauthVersionLast="47" xr6:coauthVersionMax="47" xr10:uidLastSave="{00000000-0000-0000-0000-000000000000}"/>
  <bookViews>
    <workbookView xWindow="-120" yWindow="-120" windowWidth="20730" windowHeight="11040" xr2:uid="{00000000-000D-0000-FFFF-FFFF00000000}"/>
  </bookViews>
  <sheets>
    <sheet name="RESUMEN" sheetId="4" r:id="rId1"/>
    <sheet name="PRORRATEO" sheetId="5" r:id="rId2"/>
    <sheet name="ANOTACIONES" sheetId="6" r:id="rId3"/>
  </sheets>
  <definedNames>
    <definedName name="_xlnm.Print_Area" localSheetId="1">PRORRATEO!$A$1:$N$127</definedName>
    <definedName name="_xlnm.Print_Area" localSheetId="0">RESUMEN!$A$1:$E$141</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82" i="4" l="1"/>
  <c r="F119" i="5" l="1"/>
  <c r="F100" i="5"/>
  <c r="F84" i="5"/>
  <c r="F43" i="5"/>
  <c r="F39" i="5"/>
  <c r="F58" i="5"/>
  <c r="F92" i="5"/>
  <c r="F54" i="5"/>
  <c r="F44" i="5"/>
  <c r="F89" i="5"/>
  <c r="F111" i="5"/>
  <c r="F27" i="5"/>
  <c r="F102" i="5"/>
  <c r="F64" i="5"/>
  <c r="F48" i="5"/>
  <c r="F21" i="5"/>
  <c r="F30" i="5"/>
  <c r="F57" i="5"/>
  <c r="F113" i="5"/>
  <c r="F63" i="5"/>
  <c r="F103" i="5"/>
  <c r="F87" i="5"/>
  <c r="F41" i="5"/>
  <c r="F36" i="5"/>
  <c r="F22" i="5"/>
  <c r="F49" i="5"/>
  <c r="F71" i="5"/>
  <c r="F75" i="5"/>
  <c r="F109" i="5"/>
  <c r="F45" i="5"/>
  <c r="F86" i="5"/>
  <c r="E73" i="4"/>
  <c r="E33" i="4" l="1"/>
  <c r="F40" i="5" l="1"/>
  <c r="F56" i="5"/>
  <c r="F112" i="5" l="1"/>
  <c r="F35" i="5"/>
  <c r="F53" i="5"/>
  <c r="F95" i="5"/>
  <c r="F47" i="5"/>
  <c r="F85" i="5"/>
  <c r="F29" i="5"/>
  <c r="F94" i="5"/>
  <c r="F25" i="5"/>
  <c r="F104" i="5"/>
  <c r="F101" i="5"/>
  <c r="F99" i="5"/>
  <c r="F17" i="5"/>
  <c r="F97" i="5"/>
  <c r="F32" i="5"/>
  <c r="F91" i="5"/>
  <c r="E35" i="4"/>
  <c r="F77" i="5" l="1"/>
  <c r="I24" i="5" l="1"/>
  <c r="F116" i="5"/>
  <c r="F67" i="5"/>
  <c r="F37" i="5" l="1"/>
  <c r="F117" i="5"/>
  <c r="F18" i="5"/>
  <c r="F90" i="5"/>
  <c r="F50" i="5"/>
  <c r="F65" i="5"/>
  <c r="E45" i="4" l="1"/>
  <c r="G94" i="5" l="1"/>
  <c r="B141" i="4" l="1"/>
  <c r="F93" i="5" l="1"/>
  <c r="F15" i="5"/>
  <c r="F59" i="5"/>
  <c r="F108" i="5" l="1"/>
  <c r="E25" i="4" l="1"/>
  <c r="E80" i="4" l="1"/>
  <c r="E41" i="4"/>
  <c r="E53" i="4"/>
  <c r="F62" i="5"/>
  <c r="F72" i="5" l="1"/>
  <c r="M14" i="5" l="1"/>
  <c r="I108" i="5"/>
  <c r="E39" i="4" l="1"/>
  <c r="E38" i="4"/>
  <c r="F66" i="5"/>
  <c r="E84" i="4" l="1"/>
  <c r="E88" i="4" s="1"/>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9" i="5"/>
  <c r="I110" i="5"/>
  <c r="I111" i="5"/>
  <c r="I112" i="5"/>
  <c r="I113" i="5"/>
  <c r="I114" i="5"/>
  <c r="I115" i="5"/>
  <c r="I116" i="5"/>
  <c r="I117" i="5"/>
  <c r="G36" i="5"/>
  <c r="H36" i="5" s="1"/>
  <c r="G37" i="5"/>
  <c r="H37" i="5" s="1"/>
  <c r="G38" i="5"/>
  <c r="G39" i="5"/>
  <c r="H39" i="5" s="1"/>
  <c r="G40" i="5"/>
  <c r="H40" i="5" s="1"/>
  <c r="G41" i="5"/>
  <c r="H41" i="5" s="1"/>
  <c r="G42" i="5"/>
  <c r="H42" i="5" s="1"/>
  <c r="G43" i="5"/>
  <c r="H43" i="5" s="1"/>
  <c r="G44" i="5"/>
  <c r="H44" i="5" s="1"/>
  <c r="G45" i="5"/>
  <c r="H45" i="5" s="1"/>
  <c r="G46" i="5"/>
  <c r="H46" i="5" s="1"/>
  <c r="G47" i="5"/>
  <c r="G48" i="5"/>
  <c r="H48" i="5" s="1"/>
  <c r="G49" i="5"/>
  <c r="H49" i="5" s="1"/>
  <c r="G50" i="5"/>
  <c r="H50" i="5" s="1"/>
  <c r="G51" i="5"/>
  <c r="H51" i="5" s="1"/>
  <c r="G52" i="5"/>
  <c r="H52" i="5" s="1"/>
  <c r="G53" i="5"/>
  <c r="H53" i="5" s="1"/>
  <c r="G54" i="5"/>
  <c r="H54" i="5" s="1"/>
  <c r="G55" i="5"/>
  <c r="H55" i="5" s="1"/>
  <c r="G56" i="5"/>
  <c r="G57" i="5"/>
  <c r="G58" i="5"/>
  <c r="H58" i="5" s="1"/>
  <c r="G59" i="5"/>
  <c r="H59" i="5" s="1"/>
  <c r="G60" i="5"/>
  <c r="H60" i="5" s="1"/>
  <c r="G61" i="5"/>
  <c r="G62" i="5"/>
  <c r="H62" i="5" s="1"/>
  <c r="G63" i="5"/>
  <c r="H63" i="5" s="1"/>
  <c r="G64" i="5"/>
  <c r="G65" i="5"/>
  <c r="H65" i="5" s="1"/>
  <c r="G66" i="5"/>
  <c r="H66" i="5" s="1"/>
  <c r="G67" i="5"/>
  <c r="H67" i="5" s="1"/>
  <c r="G68" i="5"/>
  <c r="H68" i="5" s="1"/>
  <c r="G69" i="5"/>
  <c r="H69" i="5" s="1"/>
  <c r="G70" i="5"/>
  <c r="H70" i="5" s="1"/>
  <c r="G71" i="5"/>
  <c r="H71" i="5" s="1"/>
  <c r="G72" i="5"/>
  <c r="H72" i="5" s="1"/>
  <c r="G73" i="5"/>
  <c r="H73" i="5" s="1"/>
  <c r="G74" i="5"/>
  <c r="H74" i="5" s="1"/>
  <c r="G75" i="5"/>
  <c r="H75" i="5" s="1"/>
  <c r="G76" i="5"/>
  <c r="H76" i="5" s="1"/>
  <c r="G77" i="5"/>
  <c r="H77" i="5" s="1"/>
  <c r="G78" i="5"/>
  <c r="H78" i="5" s="1"/>
  <c r="G79" i="5"/>
  <c r="H79" i="5" s="1"/>
  <c r="G80" i="5"/>
  <c r="H80" i="5" s="1"/>
  <c r="G81" i="5"/>
  <c r="H81" i="5" s="1"/>
  <c r="G82" i="5"/>
  <c r="H82" i="5" s="1"/>
  <c r="G83" i="5"/>
  <c r="H83" i="5" s="1"/>
  <c r="G84" i="5"/>
  <c r="H84" i="5" s="1"/>
  <c r="G85" i="5"/>
  <c r="H85" i="5" s="1"/>
  <c r="G86" i="5"/>
  <c r="H86" i="5" s="1"/>
  <c r="G87" i="5"/>
  <c r="H87" i="5" s="1"/>
  <c r="G88" i="5"/>
  <c r="H88" i="5" s="1"/>
  <c r="G89" i="5"/>
  <c r="H89" i="5" s="1"/>
  <c r="G90" i="5"/>
  <c r="H90" i="5" s="1"/>
  <c r="G91" i="5"/>
  <c r="H91" i="5" s="1"/>
  <c r="G92" i="5"/>
  <c r="G93" i="5"/>
  <c r="H93" i="5" s="1"/>
  <c r="G95" i="5"/>
  <c r="G96" i="5"/>
  <c r="H96" i="5" s="1"/>
  <c r="G97" i="5"/>
  <c r="G98" i="5"/>
  <c r="G99" i="5"/>
  <c r="H99" i="5" s="1"/>
  <c r="G100" i="5"/>
  <c r="H100" i="5" s="1"/>
  <c r="G101" i="5"/>
  <c r="H101" i="5" s="1"/>
  <c r="G102" i="5"/>
  <c r="H102" i="5" s="1"/>
  <c r="G103" i="5"/>
  <c r="H103" i="5" s="1"/>
  <c r="G104" i="5"/>
  <c r="H104" i="5" s="1"/>
  <c r="G105" i="5"/>
  <c r="H105" i="5" s="1"/>
  <c r="G106" i="5"/>
  <c r="H106" i="5" s="1"/>
  <c r="G107" i="5"/>
  <c r="H107" i="5" s="1"/>
  <c r="G108" i="5"/>
  <c r="G109" i="5"/>
  <c r="H109" i="5" s="1"/>
  <c r="G110" i="5"/>
  <c r="H110" i="5" s="1"/>
  <c r="G111" i="5"/>
  <c r="H111" i="5" s="1"/>
  <c r="G112" i="5"/>
  <c r="H112" i="5" s="1"/>
  <c r="G113" i="5"/>
  <c r="H113" i="5" s="1"/>
  <c r="G114" i="5"/>
  <c r="G115" i="5"/>
  <c r="H115" i="5" s="1"/>
  <c r="G116" i="5"/>
  <c r="G117" i="5"/>
  <c r="H117" i="5" s="1"/>
  <c r="E119" i="5"/>
  <c r="D119" i="5"/>
  <c r="A36" i="5"/>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A116" i="5" s="1"/>
  <c r="A117" i="5" s="1"/>
  <c r="G25" i="5"/>
  <c r="H25" i="5" s="1"/>
  <c r="J35" i="5"/>
  <c r="I35" i="5"/>
  <c r="G35" i="5"/>
  <c r="H35" i="5" s="1"/>
  <c r="J34" i="5"/>
  <c r="I34" i="5"/>
  <c r="G34" i="5"/>
  <c r="J33" i="5"/>
  <c r="I33" i="5"/>
  <c r="G33" i="5"/>
  <c r="H33" i="5" s="1"/>
  <c r="J32" i="5"/>
  <c r="I32" i="5"/>
  <c r="G32" i="5"/>
  <c r="H32" i="5" s="1"/>
  <c r="J31" i="5"/>
  <c r="I31" i="5"/>
  <c r="G31" i="5"/>
  <c r="H31" i="5" s="1"/>
  <c r="J30" i="5"/>
  <c r="I30" i="5"/>
  <c r="G30" i="5"/>
  <c r="H30" i="5" s="1"/>
  <c r="J29" i="5"/>
  <c r="I29" i="5"/>
  <c r="G29" i="5"/>
  <c r="H29" i="5" s="1"/>
  <c r="J28" i="5"/>
  <c r="I28" i="5"/>
  <c r="G28" i="5"/>
  <c r="J27" i="5"/>
  <c r="I27" i="5"/>
  <c r="G27" i="5"/>
  <c r="H27" i="5" s="1"/>
  <c r="J26" i="5"/>
  <c r="I26" i="5"/>
  <c r="G26" i="5"/>
  <c r="H26" i="5" s="1"/>
  <c r="J25" i="5"/>
  <c r="I25" i="5"/>
  <c r="J24" i="5"/>
  <c r="G24" i="5"/>
  <c r="J23" i="5"/>
  <c r="I23" i="5"/>
  <c r="G23" i="5"/>
  <c r="H23" i="5" s="1"/>
  <c r="J22" i="5"/>
  <c r="I22" i="5"/>
  <c r="G22" i="5"/>
  <c r="H22" i="5" s="1"/>
  <c r="J21" i="5"/>
  <c r="I21" i="5"/>
  <c r="G21" i="5"/>
  <c r="H21" i="5" s="1"/>
  <c r="J20" i="5"/>
  <c r="I20" i="5"/>
  <c r="G20" i="5"/>
  <c r="H20" i="5" s="1"/>
  <c r="J19" i="5"/>
  <c r="I19" i="5"/>
  <c r="G19" i="5"/>
  <c r="H19" i="5" s="1"/>
  <c r="J18" i="5"/>
  <c r="I18" i="5"/>
  <c r="G18" i="5"/>
  <c r="H18" i="5" s="1"/>
  <c r="J17" i="5"/>
  <c r="I17" i="5"/>
  <c r="G17" i="5"/>
  <c r="H17" i="5" s="1"/>
  <c r="O16" i="5"/>
  <c r="J16" i="5"/>
  <c r="I16" i="5"/>
  <c r="G16" i="5"/>
  <c r="J15" i="5"/>
  <c r="I15" i="5"/>
  <c r="B132" i="4"/>
  <c r="E96" i="4"/>
  <c r="E101" i="4" s="1"/>
  <c r="B105" i="4" s="1"/>
  <c r="H108" i="5" l="1"/>
  <c r="H57" i="5"/>
  <c r="H64" i="5"/>
  <c r="H114" i="5"/>
  <c r="H95" i="5"/>
  <c r="H94" i="5"/>
  <c r="O17" i="5"/>
  <c r="M17" i="5" s="1"/>
  <c r="H97" i="5"/>
  <c r="H98" i="5"/>
  <c r="H28" i="5"/>
  <c r="H38" i="5"/>
  <c r="H116" i="5"/>
  <c r="H24" i="5"/>
  <c r="B104" i="4"/>
  <c r="B131" i="4" s="1"/>
  <c r="I119" i="5"/>
  <c r="J119" i="5"/>
  <c r="H16" i="5"/>
  <c r="M16" i="5" s="1"/>
  <c r="B106" i="4"/>
  <c r="N17" i="5" l="1"/>
  <c r="O18" i="5"/>
  <c r="M18" i="5" s="1"/>
  <c r="B103" i="4"/>
  <c r="G15" i="5"/>
  <c r="B133" i="4"/>
  <c r="B135" i="4" s="1"/>
  <c r="N16" i="5"/>
  <c r="N18" i="5" l="1"/>
  <c r="O19" i="5"/>
  <c r="M19" i="5" s="1"/>
  <c r="G119" i="5"/>
  <c r="H15" i="5"/>
  <c r="M15" i="5" s="1"/>
  <c r="N19" i="5" l="1"/>
  <c r="O20" i="5"/>
  <c r="M20" i="5" s="1"/>
  <c r="H119" i="5"/>
  <c r="N15" i="5"/>
  <c r="N20" i="5" l="1"/>
  <c r="O21" i="5"/>
  <c r="M21" i="5" s="1"/>
  <c r="N21" i="5" l="1"/>
  <c r="O22" i="5"/>
  <c r="M22" i="5" s="1"/>
  <c r="N22" i="5" l="1"/>
  <c r="O23" i="5"/>
  <c r="M23" i="5" s="1"/>
  <c r="N23" i="5" l="1"/>
  <c r="O24" i="5"/>
  <c r="M24" i="5" s="1"/>
  <c r="N24" i="5" l="1"/>
  <c r="O25" i="5"/>
  <c r="M25" i="5" s="1"/>
  <c r="N25" i="5" l="1"/>
  <c r="O26" i="5"/>
  <c r="M26" i="5" s="1"/>
  <c r="N26" i="5" l="1"/>
  <c r="O27" i="5"/>
  <c r="M27" i="5" s="1"/>
  <c r="N27" i="5" l="1"/>
  <c r="O28" i="5"/>
  <c r="M28" i="5" s="1"/>
  <c r="N28" i="5" l="1"/>
  <c r="O29" i="5"/>
  <c r="M29" i="5" s="1"/>
  <c r="N29" i="5" l="1"/>
  <c r="O30" i="5"/>
  <c r="M30" i="5" s="1"/>
  <c r="N30" i="5" l="1"/>
  <c r="O31" i="5"/>
  <c r="M31" i="5" s="1"/>
  <c r="N31" i="5" l="1"/>
  <c r="O32" i="5"/>
  <c r="M32" i="5" s="1"/>
  <c r="N32" i="5" l="1"/>
  <c r="O33" i="5"/>
  <c r="M33" i="5" s="1"/>
  <c r="N33" i="5" l="1"/>
  <c r="O34" i="5"/>
  <c r="M34" i="5" s="1"/>
  <c r="N34" i="5" l="1"/>
  <c r="O35" i="5"/>
  <c r="M35" i="5" s="1"/>
  <c r="N35" i="5" l="1"/>
  <c r="O36" i="5"/>
  <c r="M36" i="5" s="1"/>
  <c r="N36" i="5" l="1"/>
  <c r="O37" i="5"/>
  <c r="M37" i="5" s="1"/>
  <c r="N37" i="5" l="1"/>
  <c r="O38" i="5"/>
  <c r="M38" i="5" s="1"/>
  <c r="N38" i="5" l="1"/>
  <c r="O39" i="5"/>
  <c r="M39" i="5" s="1"/>
  <c r="N39" i="5" l="1"/>
  <c r="O40" i="5"/>
  <c r="M40" i="5" s="1"/>
  <c r="N40" i="5" l="1"/>
  <c r="O41" i="5"/>
  <c r="M41" i="5" s="1"/>
  <c r="N41" i="5" l="1"/>
  <c r="O42" i="5"/>
  <c r="M42" i="5" s="1"/>
  <c r="N42" i="5" l="1"/>
  <c r="O43" i="5"/>
  <c r="M43" i="5" s="1"/>
  <c r="N43" i="5" l="1"/>
  <c r="O44" i="5"/>
  <c r="M44" i="5" s="1"/>
  <c r="N44" i="5" l="1"/>
  <c r="O45" i="5"/>
  <c r="M45" i="5" s="1"/>
  <c r="N45" i="5" l="1"/>
  <c r="O46" i="5"/>
  <c r="M46" i="5" s="1"/>
  <c r="N46" i="5" l="1"/>
  <c r="O47" i="5"/>
  <c r="M47" i="5" s="1"/>
  <c r="N47" i="5" l="1"/>
  <c r="O48" i="5"/>
  <c r="M48" i="5" s="1"/>
  <c r="N48" i="5" l="1"/>
  <c r="O49" i="5"/>
  <c r="M49" i="5" s="1"/>
  <c r="N49" i="5" l="1"/>
  <c r="O50" i="5"/>
  <c r="M50" i="5" s="1"/>
  <c r="N50" i="5" l="1"/>
  <c r="O51" i="5"/>
  <c r="M51" i="5" s="1"/>
  <c r="N51" i="5" l="1"/>
  <c r="O52" i="5"/>
  <c r="M52" i="5" s="1"/>
  <c r="N52" i="5" l="1"/>
  <c r="O53" i="5"/>
  <c r="M53" i="5" s="1"/>
  <c r="N53" i="5" l="1"/>
  <c r="O54" i="5"/>
  <c r="M54" i="5" s="1"/>
  <c r="N54" i="5" l="1"/>
  <c r="O55" i="5"/>
  <c r="M55" i="5" s="1"/>
  <c r="N55" i="5" l="1"/>
  <c r="O56" i="5"/>
  <c r="M56" i="5" s="1"/>
  <c r="N56" i="5" l="1"/>
  <c r="O57" i="5"/>
  <c r="M57" i="5" s="1"/>
  <c r="N57" i="5" l="1"/>
  <c r="O58" i="5"/>
  <c r="M58" i="5" s="1"/>
  <c r="N58" i="5" l="1"/>
  <c r="O59" i="5"/>
  <c r="M59" i="5" s="1"/>
  <c r="N59" i="5" l="1"/>
  <c r="O60" i="5"/>
  <c r="M60" i="5" s="1"/>
  <c r="N60" i="5" l="1"/>
  <c r="O61" i="5"/>
  <c r="M61" i="5" s="1"/>
  <c r="N61" i="5" l="1"/>
  <c r="O62" i="5"/>
  <c r="M62" i="5" s="1"/>
  <c r="N62" i="5" l="1"/>
  <c r="O63" i="5"/>
  <c r="M63" i="5" s="1"/>
  <c r="N63" i="5" l="1"/>
  <c r="O64" i="5"/>
  <c r="M64" i="5" s="1"/>
  <c r="N64" i="5" l="1"/>
  <c r="O65" i="5"/>
  <c r="M65" i="5" s="1"/>
  <c r="N65" i="5" l="1"/>
  <c r="O66" i="5"/>
  <c r="M66" i="5" s="1"/>
  <c r="N66" i="5" l="1"/>
  <c r="O67" i="5"/>
  <c r="M67" i="5" s="1"/>
  <c r="N67" i="5" l="1"/>
  <c r="O68" i="5"/>
  <c r="M68" i="5" s="1"/>
  <c r="N68" i="5" l="1"/>
  <c r="O69" i="5"/>
  <c r="M69" i="5" s="1"/>
  <c r="N69" i="5" l="1"/>
  <c r="O70" i="5"/>
  <c r="M70" i="5" s="1"/>
  <c r="N70" i="5" l="1"/>
  <c r="O71" i="5"/>
  <c r="M71" i="5" s="1"/>
  <c r="N71" i="5" l="1"/>
  <c r="O72" i="5"/>
  <c r="M72" i="5" s="1"/>
  <c r="N72" i="5" l="1"/>
  <c r="O73" i="5"/>
  <c r="M73" i="5" s="1"/>
  <c r="N73" i="5" l="1"/>
  <c r="O74" i="5"/>
  <c r="M74" i="5" s="1"/>
  <c r="N74" i="5" l="1"/>
  <c r="O75" i="5"/>
  <c r="M75" i="5" s="1"/>
  <c r="N75" i="5" l="1"/>
  <c r="O76" i="5"/>
  <c r="M76" i="5" s="1"/>
  <c r="N76" i="5" l="1"/>
  <c r="O77" i="5"/>
  <c r="M77" i="5" s="1"/>
  <c r="N77" i="5" l="1"/>
  <c r="O78" i="5"/>
  <c r="M78" i="5" s="1"/>
  <c r="N78" i="5" l="1"/>
  <c r="O79" i="5"/>
  <c r="M79" i="5" s="1"/>
  <c r="N79" i="5" l="1"/>
  <c r="O80" i="5"/>
  <c r="M80" i="5" s="1"/>
  <c r="N80" i="5" l="1"/>
  <c r="O81" i="5"/>
  <c r="M81" i="5" s="1"/>
  <c r="N81" i="5" l="1"/>
  <c r="O82" i="5"/>
  <c r="M82" i="5" s="1"/>
  <c r="N82" i="5" l="1"/>
  <c r="O83" i="5"/>
  <c r="M83" i="5" s="1"/>
  <c r="N83" i="5" l="1"/>
  <c r="O84" i="5"/>
  <c r="M84" i="5" s="1"/>
  <c r="N84" i="5" l="1"/>
  <c r="O85" i="5"/>
  <c r="M85" i="5" s="1"/>
  <c r="N85" i="5" l="1"/>
  <c r="O86" i="5"/>
  <c r="M86" i="5" s="1"/>
  <c r="N86" i="5" l="1"/>
  <c r="O87" i="5"/>
  <c r="M87" i="5" s="1"/>
  <c r="N87" i="5" l="1"/>
  <c r="O88" i="5"/>
  <c r="M88" i="5" s="1"/>
  <c r="N88" i="5" l="1"/>
  <c r="O89" i="5"/>
  <c r="M89" i="5" s="1"/>
  <c r="N89" i="5" l="1"/>
  <c r="O90" i="5"/>
  <c r="M90" i="5" s="1"/>
  <c r="N90" i="5" l="1"/>
  <c r="O91" i="5"/>
  <c r="M91" i="5" s="1"/>
  <c r="N91" i="5" l="1"/>
  <c r="O92" i="5"/>
  <c r="M92" i="5" s="1"/>
  <c r="N92" i="5" l="1"/>
  <c r="O93" i="5"/>
  <c r="M93" i="5" s="1"/>
  <c r="N93" i="5" l="1"/>
  <c r="O94" i="5"/>
  <c r="M94" i="5" s="1"/>
  <c r="N94" i="5" l="1"/>
  <c r="O95" i="5"/>
  <c r="M95" i="5" s="1"/>
  <c r="N95" i="5" l="1"/>
  <c r="O96" i="5"/>
  <c r="M96" i="5" s="1"/>
  <c r="N96" i="5" l="1"/>
  <c r="O97" i="5"/>
  <c r="M97" i="5" s="1"/>
  <c r="N97" i="5" l="1"/>
  <c r="O98" i="5"/>
  <c r="M98" i="5" s="1"/>
  <c r="N98" i="5" l="1"/>
  <c r="O99" i="5"/>
  <c r="M99" i="5" s="1"/>
  <c r="N99" i="5" l="1"/>
  <c r="O100" i="5"/>
  <c r="M100" i="5" s="1"/>
  <c r="N100" i="5" l="1"/>
  <c r="O101" i="5"/>
  <c r="M101" i="5" s="1"/>
  <c r="N101" i="5" l="1"/>
  <c r="O102" i="5"/>
  <c r="M102" i="5" s="1"/>
  <c r="N102" i="5" l="1"/>
  <c r="O103" i="5"/>
  <c r="M103" i="5" s="1"/>
  <c r="N103" i="5" l="1"/>
  <c r="O104" i="5"/>
  <c r="M104" i="5" s="1"/>
  <c r="N104" i="5" l="1"/>
  <c r="O105" i="5"/>
  <c r="M105" i="5" s="1"/>
  <c r="N105" i="5" l="1"/>
  <c r="O106" i="5"/>
  <c r="M106" i="5" s="1"/>
  <c r="N106" i="5" l="1"/>
  <c r="O107" i="5"/>
  <c r="M107" i="5" s="1"/>
  <c r="N107" i="5" l="1"/>
  <c r="O108" i="5"/>
  <c r="M108" i="5" s="1"/>
  <c r="N108" i="5" l="1"/>
  <c r="O109" i="5"/>
  <c r="M109" i="5" s="1"/>
  <c r="N109" i="5" l="1"/>
  <c r="O110" i="5"/>
  <c r="M110" i="5" s="1"/>
  <c r="N110" i="5" l="1"/>
  <c r="O111" i="5"/>
  <c r="M111" i="5" s="1"/>
  <c r="N111" i="5" l="1"/>
  <c r="O112" i="5"/>
  <c r="M112" i="5" s="1"/>
  <c r="N112" i="5" l="1"/>
  <c r="O113" i="5"/>
  <c r="M113" i="5" s="1"/>
  <c r="N113" i="5" l="1"/>
  <c r="O114" i="5"/>
  <c r="M114" i="5" s="1"/>
  <c r="N114" i="5" l="1"/>
  <c r="O115" i="5"/>
  <c r="M115" i="5" s="1"/>
  <c r="N115" i="5" l="1"/>
  <c r="O116" i="5"/>
  <c r="M116" i="5" s="1"/>
  <c r="O117" i="5" l="1"/>
  <c r="M117" i="5" l="1"/>
  <c r="N117" i="5" s="1"/>
  <c r="N116" i="5"/>
  <c r="M119" i="5"/>
  <c r="N119" i="5" l="1"/>
</calcChain>
</file>

<file path=xl/sharedStrings.xml><?xml version="1.0" encoding="utf-8"?>
<sst xmlns="http://schemas.openxmlformats.org/spreadsheetml/2006/main" count="290" uniqueCount="262">
  <si>
    <t>TOTAL</t>
  </si>
  <si>
    <t>Redondeo</t>
  </si>
  <si>
    <t>Ingresos</t>
  </si>
  <si>
    <t>PB - A POLICHISO RAMOS</t>
  </si>
  <si>
    <t>PB - B BATTISTA OMAR R.</t>
  </si>
  <si>
    <t>PB - C DIDIER OLGA</t>
  </si>
  <si>
    <t>PB - D XHARDEZ MARIA A.</t>
  </si>
  <si>
    <t>PB - E BRANDAN OSVALDO</t>
  </si>
  <si>
    <t>1 A VEGA RICARDO</t>
  </si>
  <si>
    <t>1 B ASTARITA SUSANA L.</t>
  </si>
  <si>
    <t>1 C GUGLIELMINI ANA M.</t>
  </si>
  <si>
    <t>1 D SCARPATI LORENA P.</t>
  </si>
  <si>
    <t>1 E BAZAN JOSE</t>
  </si>
  <si>
    <t>1 F KRAJCIR ERNESTO</t>
  </si>
  <si>
    <t>1 G AGOSTINI ALONSO</t>
  </si>
  <si>
    <t>2 A LORENA ELIZABETH CASSERO</t>
  </si>
  <si>
    <t>2 B BOQUETE ALFREDO</t>
  </si>
  <si>
    <t>2 C DESIMONE ROBERTO</t>
  </si>
  <si>
    <t>2 D KERULIS SILVIA</t>
  </si>
  <si>
    <t>2 E GARCIA SILVIA</t>
  </si>
  <si>
    <t>2 F LOPEZ MERCEDES R.</t>
  </si>
  <si>
    <t>2 G MENDEZ JORGE O.</t>
  </si>
  <si>
    <t>3 A POLLIO RICARDO</t>
  </si>
  <si>
    <t>3 B WASZNIEWSKI G.</t>
  </si>
  <si>
    <t xml:space="preserve">3 D GARCIA MANUELA </t>
  </si>
  <si>
    <t>3 E LASTIRI DANIELA</t>
  </si>
  <si>
    <t>3 F LOPEZ ESTEBAN</t>
  </si>
  <si>
    <t>3 G FONDACARO FEDERICO</t>
  </si>
  <si>
    <t>4 A FERNANDEZ LUCAS M.</t>
  </si>
  <si>
    <t>4 B FRIDMAN J. Y SRA.</t>
  </si>
  <si>
    <t>4 C FERREIRA DE SOUSA</t>
  </si>
  <si>
    <t>4 D DIAZ PETRONA A.</t>
  </si>
  <si>
    <t>4 E XHARDEZ MARIA E.</t>
  </si>
  <si>
    <t>4 F WASINGER ADRIANA B.</t>
  </si>
  <si>
    <t>4 G OLIVERA LORENZO</t>
  </si>
  <si>
    <t>5 A EL FASAH JORGE</t>
  </si>
  <si>
    <t>5 B DAMONTE ANDREA</t>
  </si>
  <si>
    <t>5 C LOPEZ MARCEL MABEL</t>
  </si>
  <si>
    <t>5 D BANFI SILVIA R.</t>
  </si>
  <si>
    <t>5 E BUCETA M. ARACELI</t>
  </si>
  <si>
    <t>5 F BARABALLE OSCAR</t>
  </si>
  <si>
    <t>5 G IRAZABAL SUEIRO</t>
  </si>
  <si>
    <t>6 A MILLEFANTI CARINA</t>
  </si>
  <si>
    <t>6 B SETTE HORACIO Y SRA.</t>
  </si>
  <si>
    <t>6 D BALBIN BEATRIZ DE</t>
  </si>
  <si>
    <t>6 F KUZIEMSKI ANGELICA</t>
  </si>
  <si>
    <t>6 G TULIPANI ANGELICA</t>
  </si>
  <si>
    <t>7 A OLIVERA JORGE</t>
  </si>
  <si>
    <t>7 B GASCON PAOLA V.</t>
  </si>
  <si>
    <t>7 C CASTALDI GUSTAVO</t>
  </si>
  <si>
    <t>7 D SCUNIO HECTOR F.</t>
  </si>
  <si>
    <t>7 E RODRIGUEZ FERNANDO</t>
  </si>
  <si>
    <t>7 F MAONE OSVALDO</t>
  </si>
  <si>
    <t>7 G MORALES MIRIAM M.</t>
  </si>
  <si>
    <t>8 A SANTOS PASCUAL</t>
  </si>
  <si>
    <t>8 B FANELLI EDITH</t>
  </si>
  <si>
    <t>8 C KRUK ANA MARIA</t>
  </si>
  <si>
    <t>8 D RIOS ELIDA</t>
  </si>
  <si>
    <t>8 E ALEJO HORACIO</t>
  </si>
  <si>
    <t>8 F BOSSETTI CARLOS E.</t>
  </si>
  <si>
    <t>8 G DE MATO Y SORRENTI</t>
  </si>
  <si>
    <t>9 A SANTOS CARDOZO</t>
  </si>
  <si>
    <t>9 B BELIZAN RUBEN OMAR</t>
  </si>
  <si>
    <t>9 C LOMBARDO MARIA DEL</t>
  </si>
  <si>
    <t>9 D CALVIÑO LUCAS</t>
  </si>
  <si>
    <t>9 E NOE FRANCISCO N.</t>
  </si>
  <si>
    <t>9 F DE MOGLIONI LORENZO</t>
  </si>
  <si>
    <t>9 G MOLINA AMANDA</t>
  </si>
  <si>
    <t>10 A CARBAJALES JOSE</t>
  </si>
  <si>
    <t>10 B RAMOS ALBERTO</t>
  </si>
  <si>
    <t>10 C NANI DEL VALLE J.</t>
  </si>
  <si>
    <t>10 D DE ALBA MARIA L.</t>
  </si>
  <si>
    <t>10 E LANZILLOTA DIEGO J.</t>
  </si>
  <si>
    <t>10 F PEDROUZO JORGE LUIS</t>
  </si>
  <si>
    <t>10 G FANELLI EDITH</t>
  </si>
  <si>
    <t>11 A LEOPARDI A.</t>
  </si>
  <si>
    <t>11 B VILARDO LILIANA</t>
  </si>
  <si>
    <t>11 C LODICO HORACIO</t>
  </si>
  <si>
    <t>11 E MIRAGAYA JORGE OMAR</t>
  </si>
  <si>
    <t>11 F ANTUNEZ RUBEN DANIEL</t>
  </si>
  <si>
    <t>11 G POLONI JOSE</t>
  </si>
  <si>
    <t>12 A TORRES G. ZULLY</t>
  </si>
  <si>
    <t>12 B BALLESTEROS SENCIO</t>
  </si>
  <si>
    <t>12 C SABHA DANIEL</t>
  </si>
  <si>
    <t>12 D LANNI KARINA PAOLA</t>
  </si>
  <si>
    <t>12 E DAVILA JUAN</t>
  </si>
  <si>
    <t>12 F SUC. DE F. CAMPOS</t>
  </si>
  <si>
    <t>12 G NOSACH SERGIO</t>
  </si>
  <si>
    <t>12 E COCHERA F. DAVILA JUAN</t>
  </si>
  <si>
    <t>11 G COCHERA N. POLONI JOSE</t>
  </si>
  <si>
    <t>11 A COCHERA E LEOPARDI A.</t>
  </si>
  <si>
    <t>8 E COCHERA G. ALEJO HORACIO</t>
  </si>
  <si>
    <t>5 C COCHERA L. LOPEZ MARCELO</t>
  </si>
  <si>
    <t>4 B COCHERA FRIDMAN J. Y SRA.</t>
  </si>
  <si>
    <t>3 B COCHERA WASZNIEWSKI G.</t>
  </si>
  <si>
    <t>7 B COCHERA C. GASCON P. V.</t>
  </si>
  <si>
    <t>2 G COCHERA MENDEZ JORGE O.</t>
  </si>
  <si>
    <t>2 C COCHERA J. ALEJO HORACIO</t>
  </si>
  <si>
    <t>1 E COCHERA H. BAZAN JOSE</t>
  </si>
  <si>
    <t>6 C LEOBONO MIRIAM G,</t>
  </si>
  <si>
    <t>LIQUIDACION DE EXPENSAS</t>
  </si>
  <si>
    <t>ADMINISTRADORA: CAROLINA CANCIANI MP:1148</t>
  </si>
  <si>
    <t>HORARIOS DE ATENCION: LUNES A VIERNES</t>
  </si>
  <si>
    <t>ESTIMADOS PROPIETARIOS E INQUILINOS: POR FAVOR LOS QUE ABONAN EN PRIMER VENCIMIENTO ABONEN EL MONTO DE PRIMER VENCIMIENTO, ASI AGILIZAN LA LIQUIDACION, RESPETEN LOS CENTAVOS CORRESPONDIENTES A LA UNIDAD FUNCIONAL. ES DE CARÁCTER OBLIGATORIO INFORMAR VIA MAIL LAS EXPENSAS. PORFAVOR RESPETAR LOS CENTAVOS AL ABONAR.</t>
  </si>
  <si>
    <t>GASTOS A - UNIDADES FUNCIONALES:</t>
  </si>
  <si>
    <t xml:space="preserve">TOTAL </t>
  </si>
  <si>
    <t xml:space="preserve">SEGUROS </t>
  </si>
  <si>
    <t>TOTAL IMPUESTO</t>
  </si>
  <si>
    <t>ABONOS Y SERVICIOS</t>
  </si>
  <si>
    <t>Edesur</t>
  </si>
  <si>
    <t>AySa</t>
  </si>
  <si>
    <t>Servicio de interet Claro</t>
  </si>
  <si>
    <t>TOTAL ABONOS Y SERVICIOS</t>
  </si>
  <si>
    <t>HONORARIOS</t>
  </si>
  <si>
    <t>GASTOS BANCARIOS</t>
  </si>
  <si>
    <t>PREVISION GASTOS A</t>
  </si>
  <si>
    <t>TOTAL GASTOS A</t>
  </si>
  <si>
    <t>GASTOS B:</t>
  </si>
  <si>
    <t>PREVISION GASTOS B</t>
  </si>
  <si>
    <t>TOTAL GASTOS B:</t>
  </si>
  <si>
    <t>GASTOS A + PREVISION (A) :</t>
  </si>
  <si>
    <t>GASTOS A SIN PREVISION:</t>
  </si>
  <si>
    <t>GASTOS B SIN PREVISION:</t>
  </si>
  <si>
    <t>GASTOS B CON PREVISION (B):</t>
  </si>
  <si>
    <t>Pagos sin identificar</t>
  </si>
  <si>
    <t>DEPOSITOS NO IDENTIFICADOS</t>
  </si>
  <si>
    <t>Gastos B</t>
  </si>
  <si>
    <t>Gastos A</t>
  </si>
  <si>
    <t>UF</t>
  </si>
  <si>
    <t>Propietario</t>
  </si>
  <si>
    <t>Inquilinos</t>
  </si>
  <si>
    <t xml:space="preserve"> (%)</t>
  </si>
  <si>
    <t xml:space="preserve">Saldo Ord </t>
  </si>
  <si>
    <t xml:space="preserve">Ingreso </t>
  </si>
  <si>
    <t>Deuda o Saldo a favor</t>
  </si>
  <si>
    <t>Interes 3%</t>
  </si>
  <si>
    <t>Total 2do Vto</t>
  </si>
  <si>
    <t xml:space="preserve">CONS. DE PROP. ITALIA 2156                                                                                                                                                                    
</t>
  </si>
  <si>
    <t xml:space="preserve">Cesar Alberto Britez - CUIL 20-23524002-6 </t>
  </si>
  <si>
    <t>IMPUESTOS</t>
  </si>
  <si>
    <t>TOTAL IMPUESTOS</t>
  </si>
  <si>
    <t>Sindicato - Suther</t>
  </si>
  <si>
    <t>Sindicato - Fathery</t>
  </si>
  <si>
    <t>Sindicato - Seracarh</t>
  </si>
  <si>
    <t xml:space="preserve">Egresos del mes </t>
  </si>
  <si>
    <t>TOTAL GASTOS B</t>
  </si>
  <si>
    <t xml:space="preserve">MAIL: italia2156rc@gmail.com
</t>
  </si>
  <si>
    <t>CUIT DEL EDIFICIO: 30-56229064-4</t>
  </si>
  <si>
    <t>CUIT ADMINISTRACION:  27-23125687-9</t>
  </si>
  <si>
    <t>Municipalidad de avellaneda</t>
  </si>
  <si>
    <t>Silvana Valeria Arredondo</t>
  </si>
  <si>
    <t>Deposita  - Angelica Kuziemski</t>
  </si>
  <si>
    <t>Cartegena Silvia jaqueline</t>
  </si>
  <si>
    <t>Olivera Martin Sebastian</t>
  </si>
  <si>
    <t>Matias Ragmilevich</t>
  </si>
  <si>
    <t>Tiene la cochera uf 100</t>
  </si>
  <si>
    <t>Paola Massielainy</t>
  </si>
  <si>
    <t>QUIENES ESTAN COLOREADOS DE COLOR VIOLETA NO ESTAN RESPETANDO LOS CENTAVOS AL ABONAR</t>
  </si>
  <si>
    <t>QUIENES ESTAN EN COLOR ROSADO POSEEN UN PLAN DE PAGOS VIGENTE</t>
  </si>
  <si>
    <t>¡IMPORTANTE!                                                                                                                                                                                                                                                                                                                                                                    Al momento de registrar los pagos de expensas de las distintas Unidades Funcionales, consideramos importante aclarar el siguiente procedimiento, a fin de evitar confusiones en la imputación de los mismos.
El sistema que utilizamos asigna centavos únicos a cada Unidad Funcional (UF), los cuales funcionan como un identificador automático para reconocer a qué Unidad Funcional corresponde cada transferencia.
Es decir, cada Unidad Funcional tiene asignado un número específico de centavos que debe respetarse al momento de realizar el pago.
Ejemplo: Si la Unidad Funcional es la N.º 45, el importe a abonar deberá finalizar en $,45.
En caso de poseer más de una Unidad Funcional, cada una contará con su propio código de centavos. En estas situaciones, solicitamos realizar una transferencia individual por cada UF, respetando el importe y los centavos correspondientes a cada una.
Entendemos que, por una cuestión de practicidad, a veces se opta por realizar una única transferencia, pero esto puede generar errores o demoras en la imputación automática de los pagos. La separación de los mismos nos permite llevar un control ordenado y preciso.
Por lo expuesto, solicitamos encarecidamente que, a partir de ahora, todas las transferencias se realicen respetando los centavos asignados a la Unidad Funcional correspondiente, a fin de asegurar su correcta imputación.
Agradecemos desde ya su colaboración y comprensión.
Muchas gracias.</t>
  </si>
  <si>
    <t xml:space="preserve">CAJA DE BANCOS </t>
  </si>
  <si>
    <t>Haberes</t>
  </si>
  <si>
    <t>Descuentos</t>
  </si>
  <si>
    <t>Sra. Abogada Lorena Ferreiro - Honorarios</t>
  </si>
  <si>
    <t>Abono ascensor - Lema Ascensores - Mantenimiento</t>
  </si>
  <si>
    <t>4 E COCHERA XHARDEZ MARIA EUGENIA</t>
  </si>
  <si>
    <t>AYALA GASTON</t>
  </si>
  <si>
    <t>Silvana Valeria Arredondo - Braian Brito</t>
  </si>
  <si>
    <t>Cliente 4873380</t>
  </si>
  <si>
    <t>Cliente 1295184</t>
  </si>
  <si>
    <t>Cliente 0304290</t>
  </si>
  <si>
    <t>Taiel Alejandro Biscarra / Vizcarra</t>
  </si>
  <si>
    <t xml:space="preserve">Plan de pago de 4G: Consta de 7 cuotas de $170.000 + expensas en curso </t>
  </si>
  <si>
    <t>10 A 15HS - EMERGENCIAS 24HS</t>
  </si>
  <si>
    <t>Gasto particular</t>
  </si>
  <si>
    <t>3 C MAROTTA PABLO</t>
  </si>
  <si>
    <t>REEMPLAZOS</t>
  </si>
  <si>
    <t>Edesur - Porteria</t>
  </si>
  <si>
    <t>Metrogas - Nro. 20065934100 - Porteria</t>
  </si>
  <si>
    <t xml:space="preserve">Plan de pago de 6G: Consta de 3 cuotas de 135.000 + expensas en curso </t>
  </si>
  <si>
    <t>Plan de pago</t>
  </si>
  <si>
    <t xml:space="preserve">Plan de pago de 6C: Consta de 6 cuotas de $300.000 + expensas en curso </t>
  </si>
  <si>
    <t xml:space="preserve">Plan de pago de 6B: Consta de 24 cuotas de $33.000 + expensas en curso </t>
  </si>
  <si>
    <t>Federacion Patronal - Seguro accidentes personales Sr. Cesar</t>
  </si>
  <si>
    <t>Debito aut.</t>
  </si>
  <si>
    <t xml:space="preserve">Federacion Patronal - Seguro consorcio </t>
  </si>
  <si>
    <t>4 E COCHERA MARIA AMELIA XHARDEZ</t>
  </si>
  <si>
    <t>Ramon Troncoso</t>
  </si>
  <si>
    <t>NÚMERO DE CUENTA: Cta. Cte. 039-024105/6 - Alias: italia2156 - CBU:0720039720000002410568</t>
  </si>
  <si>
    <t>Saldo inicial</t>
  </si>
  <si>
    <t xml:space="preserve">ANOTACION </t>
  </si>
  <si>
    <t>FECHA DE LA ANOTACION:</t>
  </si>
  <si>
    <t>0-ene</t>
  </si>
  <si>
    <t>NOMBRE:</t>
  </si>
  <si>
    <t>QUEJA VIA:</t>
  </si>
  <si>
    <t>WHATSAPP</t>
  </si>
  <si>
    <t>MAIL</t>
  </si>
  <si>
    <t>MOTIVO DE LA QUEJA:</t>
  </si>
  <si>
    <t>Gustavo Peker</t>
  </si>
  <si>
    <t xml:space="preserve">Plan de pago de 11C: Consta de 10 Cuotas de $165.000 + expensas en curso </t>
  </si>
  <si>
    <t>Articulos de limpieza</t>
  </si>
  <si>
    <t xml:space="preserve">  </t>
  </si>
  <si>
    <t>En Mayo abono la cuota 6 de 24</t>
  </si>
  <si>
    <t>Horacio (inquilino)</t>
  </si>
  <si>
    <t>11 D ANTUNEZ FRANCISCO</t>
  </si>
  <si>
    <t xml:space="preserve"> Osvaldo </t>
  </si>
  <si>
    <t xml:space="preserve">Inquilino: Ramon </t>
  </si>
  <si>
    <t>6 E DORIN GABRIEL DAVID</t>
  </si>
  <si>
    <t xml:space="preserve">Fernando daniel Minxxo  / Osvaldo </t>
  </si>
  <si>
    <t>InOut Control - Comando control y camaras - JUNIO</t>
  </si>
  <si>
    <t>Quotteri Mateo - Certificacion de deuda de expensas UF 68</t>
  </si>
  <si>
    <t>Cuello Natalia - Desobstruccion lavadero 9C</t>
  </si>
  <si>
    <t>Cuello Natalia - Desobstruccion lavadero 9D</t>
  </si>
  <si>
    <t>Cuello Natalia - Desobstruccion lavadero 6D</t>
  </si>
  <si>
    <t>Efectivo</t>
  </si>
  <si>
    <t>Total 1er</t>
  </si>
  <si>
    <t xml:space="preserve">Jorge Luis Otranto </t>
  </si>
  <si>
    <t xml:space="preserve">El en les de Junio abono la 3er cuota de 7 </t>
  </si>
  <si>
    <t>Josua Guillermo</t>
  </si>
  <si>
    <t>Macarena Crespo nueva inquilina - Sandra noemi crespo -  En Junio abono la segunda cuota de 3 de $135.000 - Consta de 3 cuotas de 135.000 + expensas en curso - Gustavo escobar es quien paga el pla de pagos</t>
  </si>
  <si>
    <t>El en mes de Junio debia abonar la 3er cuota de 3</t>
  </si>
  <si>
    <t>Deposito 16/06</t>
  </si>
  <si>
    <t xml:space="preserve">En Junio abona la tercer cuota de 10 - Consta de 10 Cuotas de $165.000 + expensas en curso </t>
  </si>
  <si>
    <t xml:space="preserve">En junio abona la tercer cuota de 24 - Consta de 24 cuotas de $33.000 + expensas en curso </t>
  </si>
  <si>
    <t>Subscripcion periodico accion</t>
  </si>
  <si>
    <t>QUIENES SE ENCUENTRAN MARCADOS EN COLOR AMARILLO CONTINÚAN ABONANDO SUS EXPENSAS EN LA CUENTA BANCARIA ANTERIOR. LES RECORDAMOS QUE, A PARTIR DEL CAMBIO APROBADO, TODAS LAS EXPENSAS DEBEN DEPOSITARSE EXCLUSIVAMENTE EN LA CUENTA DEL BANCO SANTANDER. POR FAVOR, VERIFIQUEN LOS DATOS BANCARIOS ANTES DE REALIZAR EL PAGO.</t>
  </si>
  <si>
    <t>EN PROCESO DE EJECUCION</t>
  </si>
  <si>
    <t>Deposito 220.000 el 21/07 uf 46 Italia</t>
  </si>
  <si>
    <t>VTO 17/08</t>
  </si>
  <si>
    <t>PERÍODO: JULIO</t>
  </si>
  <si>
    <t>InOut Control - Comando control y camaras - JULIO</t>
  </si>
  <si>
    <t>Honorarios administracion - Se adeuda mes de JULIO</t>
  </si>
  <si>
    <t>Gustavo Padron -  Sr. Contador - JULIO</t>
  </si>
  <si>
    <t>Casa ruan - Compra de materiales</t>
  </si>
  <si>
    <t>Transf 13/07</t>
  </si>
  <si>
    <t xml:space="preserve">Suarez Agustin Ignacio - MAYO </t>
  </si>
  <si>
    <t>Transf 10/07</t>
  </si>
  <si>
    <t>Cuello Natalia - Desobstruccion lavadero 11A</t>
  </si>
  <si>
    <t>Transf 21/07</t>
  </si>
  <si>
    <t>Transf 23/07</t>
  </si>
  <si>
    <t>Transf 06/07</t>
  </si>
  <si>
    <t>Debito 13/07</t>
  </si>
  <si>
    <t>Correo Argentino - Envio 2 cartas documentos - Edificio lindero : situacion raices de arbol</t>
  </si>
  <si>
    <t>Suarez Agustin Ignacio - JUNIO - Se adeuda JULIO</t>
  </si>
  <si>
    <r>
      <t>Oscar Colmeiro / Cordoba Matias -</t>
    </r>
    <r>
      <rPr>
        <b/>
        <sz val="11"/>
        <color theme="1"/>
        <rFont val="Calibri"/>
        <family val="2"/>
        <scheme val="minor"/>
      </rPr>
      <t xml:space="preserve"> A cuenta</t>
    </r>
    <r>
      <rPr>
        <sz val="11"/>
        <color theme="1"/>
        <rFont val="Calibri"/>
        <family val="2"/>
        <scheme val="minor"/>
      </rPr>
      <t xml:space="preserve"> de trabajo de plomeria, albañileria y pintura - 8vo B cambio de desague cocina y lavadero - 8vo f cambio de desague de cocina, lavadero y albañileria - 8vo E cambio de desague de cocina, lavadero y albañileria - 6to c cambio de desague de cocina, lavadero y albañileria + llave de paso - 7mo C cambio de desague de cocina, lavadero y albañileria - 3ro D cambio de desague de cocina, lavadero y albañileria + cambio de cañeria agua fria cocina y lavadero + llaves de paso - 3ro C cambio de desague de cocina, lavadero + Cambio de cañeria agua fria y caliente cocina y lavadero + llaves de paso - 4to D cambio de llaves de paso agua fria y caliente - 1ro C reparacion de llave de paso</t>
    </r>
  </si>
  <si>
    <t>En Juli0 2026 suben a $781.000</t>
  </si>
  <si>
    <t>Grafica Tauge - Fotocopias BYN</t>
  </si>
  <si>
    <t>Galvan Zaffalon - Compra de materiales para modificacion de cañeria entrada de agua con By pass</t>
  </si>
  <si>
    <t>Transf 14/7</t>
  </si>
  <si>
    <t>Suplencia Sra. Silvana</t>
  </si>
  <si>
    <t>Feriado</t>
  </si>
  <si>
    <t>Transf 15/07</t>
  </si>
  <si>
    <t>Seguro Sra. Silvana</t>
  </si>
  <si>
    <t>Transf 16/07</t>
  </si>
  <si>
    <t>Cuello Natalia - Desobstruccion emergencia de columna en baño en 2D</t>
  </si>
  <si>
    <t>Romnatti carlos - Digitalizacion de reglamento entregado por el gestor</t>
  </si>
  <si>
    <t>Transf 30/07</t>
  </si>
  <si>
    <t>Ascensores Lema - Pago material placa ascensores</t>
  </si>
  <si>
    <t>Gastos bancarios - Santander</t>
  </si>
  <si>
    <t>Mantenimiento de cuenta - Banco Credicop + Gastos bancarios</t>
  </si>
  <si>
    <t>ARCA - Plan de pago - Cuota 46/60</t>
  </si>
  <si>
    <t>ARCA VEP - No se abona (explicacion en el cuerpo de expensas)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</si>
</sst>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44" formatCode="_-&quot;$&quot;\ * #,##0.00_-;\-&quot;$&quot;\ * #,##0.00_-;_-&quot;$&quot;\ * &quot;-&quot;??_-;_-@_-"/>
    <numFmt numFmtId="43" formatCode="_-* #,##0.00_-;\-* #,##0.00_-;_-* &quot;-&quot;??_-;_-@_-"/>
    <numFmt numFmtId="164" formatCode="_-&quot;$&quot;\ * #,##0.0_-;\-&quot;$&quot;\ * #,##0.0_-;_-&quot;$&quot;\ * &quot;-&quot;??_-;_-@_-"/>
    <numFmt numFmtId="165" formatCode="_-[$$-2C0A]\ * #,##0.0_-;\-[$$-2C0A]\ * #,##0.0_-;_-[$$-2C0A]\ * &quot;-&quot;??_-;_-@_-"/>
    <numFmt numFmtId="166" formatCode="_-[$$-2C0A]\ * #,##0.00_-;\-[$$-2C0A]\ * #,##0.00_-;_-[$$-2C0A]\ * &quot;-&quot;??_-;_-@_-"/>
    <numFmt numFmtId="167" formatCode="_-&quot;$&quot;\ * #,##0_-;\-&quot;$&quot;\ * #,##0_-;_-&quot;$&quot;\ * &quot;-&quot;??_-;_-@_-"/>
    <numFmt numFmtId="168" formatCode="0.000"/>
  </numFmts>
  <fonts count="22"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b/>
      <sz val="12"/>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i/>
      <u/>
      <sz val="11"/>
      <color theme="1"/>
      <name val="Calibri"/>
      <family val="2"/>
      <scheme val="minor"/>
    </font>
    <font>
      <b/>
      <i/>
      <u/>
      <sz val="11"/>
      <name val="Calibri"/>
      <family val="2"/>
      <scheme val="minor"/>
    </font>
    <font>
      <sz val="11"/>
      <name val="Calibri"/>
      <family val="2"/>
      <scheme val="minor"/>
    </font>
    <font>
      <sz val="10"/>
      <name val="Calibri"/>
      <family val="2"/>
      <scheme val="minor"/>
    </font>
    <font>
      <b/>
      <sz val="11"/>
      <name val="Calibri"/>
      <family val="2"/>
      <scheme val="minor"/>
    </font>
    <font>
      <sz val="9"/>
      <name val="Calibri"/>
      <family val="2"/>
      <scheme val="minor"/>
    </font>
    <font>
      <b/>
      <sz val="10"/>
      <name val="Calibri"/>
      <family val="2"/>
      <scheme val="minor"/>
    </font>
    <font>
      <sz val="9"/>
      <color theme="1"/>
      <name val="Calibri"/>
      <family val="2"/>
      <scheme val="minor"/>
    </font>
    <font>
      <sz val="8"/>
      <color theme="1"/>
      <name val="Calibri"/>
      <family val="2"/>
      <scheme val="minor"/>
    </font>
    <font>
      <sz val="8"/>
      <name val="Calibri"/>
      <family val="2"/>
      <scheme val="minor"/>
    </font>
    <font>
      <sz val="8"/>
      <color theme="0"/>
      <name val="Calibri"/>
      <family val="2"/>
      <scheme val="minor"/>
    </font>
    <font>
      <b/>
      <i/>
      <u/>
      <sz val="10"/>
      <name val="Calibri"/>
      <family val="2"/>
      <scheme val="minor"/>
    </font>
    <font>
      <b/>
      <sz val="16"/>
      <name val="Calibri"/>
      <family val="2"/>
      <scheme val="minor"/>
    </font>
    <font>
      <b/>
      <sz val="12"/>
      <name val="Calibri"/>
      <family val="2"/>
      <scheme val="minor"/>
    </font>
  </fonts>
  <fills count="16">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C000"/>
        <bgColor indexed="64"/>
      </patternFill>
    </fill>
    <fill>
      <patternFill patternType="solid">
        <fgColor theme="3" tint="0.39997558519241921"/>
        <bgColor indexed="64"/>
      </patternFill>
    </fill>
    <fill>
      <patternFill patternType="solid">
        <fgColor theme="2" tint="-0.249977111117893"/>
        <bgColor indexed="64"/>
      </patternFill>
    </fill>
    <fill>
      <patternFill patternType="solid">
        <fgColor theme="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6"/>
        <bgColor indexed="64"/>
      </patternFill>
    </fill>
    <fill>
      <patternFill patternType="solid">
        <fgColor rgb="FFFF0000"/>
        <bgColor indexed="64"/>
      </patternFill>
    </fill>
  </fills>
  <borders count="40">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s>
  <cellStyleXfs count="3">
    <xf numFmtId="0" fontId="0" fillId="0" borderId="0"/>
    <xf numFmtId="44" fontId="5" fillId="0" borderId="0" applyFont="0" applyFill="0" applyBorder="0" applyAlignment="0" applyProtection="0"/>
    <xf numFmtId="43" fontId="5" fillId="0" borderId="0" applyFont="0" applyFill="0" applyBorder="0" applyAlignment="0" applyProtection="0"/>
  </cellStyleXfs>
  <cellXfs count="290">
    <xf numFmtId="0" fontId="0" fillId="0" borderId="0" xfId="0"/>
    <xf numFmtId="0" fontId="1" fillId="3" borderId="18" xfId="0" applyFont="1" applyFill="1" applyBorder="1"/>
    <xf numFmtId="0" fontId="1" fillId="3" borderId="3" xfId="0" applyFont="1" applyFill="1" applyBorder="1"/>
    <xf numFmtId="0" fontId="2" fillId="3" borderId="0" xfId="0" applyFont="1" applyFill="1"/>
    <xf numFmtId="0" fontId="2" fillId="3" borderId="12" xfId="0" applyFont="1" applyFill="1" applyBorder="1"/>
    <xf numFmtId="0" fontId="1" fillId="3" borderId="7" xfId="0" applyFont="1" applyFill="1" applyBorder="1"/>
    <xf numFmtId="0" fontId="1" fillId="3" borderId="8" xfId="0" applyFont="1" applyFill="1" applyBorder="1" applyAlignment="1">
      <alignment horizontal="left"/>
    </xf>
    <xf numFmtId="0" fontId="1" fillId="3" borderId="8" xfId="0" applyFont="1" applyFill="1" applyBorder="1"/>
    <xf numFmtId="0" fontId="1" fillId="3" borderId="6" xfId="0" applyFont="1" applyFill="1" applyBorder="1"/>
    <xf numFmtId="0" fontId="1" fillId="3" borderId="0" xfId="0" applyFont="1" applyFill="1"/>
    <xf numFmtId="0" fontId="1" fillId="3" borderId="12" xfId="0" applyFont="1" applyFill="1" applyBorder="1"/>
    <xf numFmtId="0" fontId="1" fillId="6" borderId="18" xfId="0" applyFont="1" applyFill="1" applyBorder="1"/>
    <xf numFmtId="0" fontId="1" fillId="6" borderId="2" xfId="0" applyFont="1" applyFill="1" applyBorder="1"/>
    <xf numFmtId="10" fontId="1" fillId="6" borderId="2" xfId="0" applyNumberFormat="1" applyFont="1" applyFill="1" applyBorder="1"/>
    <xf numFmtId="0" fontId="8" fillId="7" borderId="9" xfId="0" applyFont="1" applyFill="1" applyBorder="1"/>
    <xf numFmtId="8" fontId="9" fillId="7" borderId="9" xfId="0" applyNumberFormat="1" applyFont="1" applyFill="1" applyBorder="1"/>
    <xf numFmtId="0" fontId="0" fillId="2" borderId="20" xfId="0" applyFill="1" applyBorder="1" applyAlignment="1">
      <alignment horizontal="left" vertical="center" wrapText="1"/>
    </xf>
    <xf numFmtId="0" fontId="0" fillId="2" borderId="21" xfId="0" applyFill="1" applyBorder="1" applyAlignment="1">
      <alignment horizontal="left" vertical="center" wrapText="1"/>
    </xf>
    <xf numFmtId="0" fontId="0" fillId="2" borderId="9" xfId="0" applyFill="1" applyBorder="1"/>
    <xf numFmtId="0" fontId="0" fillId="2" borderId="0" xfId="0" applyFill="1"/>
    <xf numFmtId="0" fontId="11" fillId="2" borderId="9" xfId="0" applyFont="1" applyFill="1" applyBorder="1"/>
    <xf numFmtId="0" fontId="1" fillId="7" borderId="9" xfId="0" applyFont="1" applyFill="1" applyBorder="1"/>
    <xf numFmtId="44" fontId="12" fillId="7" borderId="20" xfId="1" applyFont="1" applyFill="1" applyBorder="1"/>
    <xf numFmtId="44" fontId="12" fillId="7" borderId="9" xfId="1" applyFont="1" applyFill="1" applyBorder="1"/>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9" xfId="0" applyBorder="1" applyAlignment="1">
      <alignment vertical="center" wrapText="1"/>
    </xf>
    <xf numFmtId="0" fontId="0" fillId="7" borderId="9" xfId="0" applyFill="1" applyBorder="1"/>
    <xf numFmtId="44" fontId="10" fillId="7" borderId="9" xfId="1" applyFont="1" applyFill="1" applyBorder="1"/>
    <xf numFmtId="0" fontId="0" fillId="0" borderId="9" xfId="0" applyBorder="1"/>
    <xf numFmtId="44" fontId="10" fillId="2" borderId="9" xfId="1" applyFont="1" applyFill="1" applyBorder="1"/>
    <xf numFmtId="0" fontId="0" fillId="0" borderId="21" xfId="0" applyBorder="1"/>
    <xf numFmtId="0" fontId="0" fillId="0" borderId="20" xfId="0" applyBorder="1" applyAlignment="1">
      <alignment horizontal="left" vertical="center"/>
    </xf>
    <xf numFmtId="44" fontId="12" fillId="7" borderId="20" xfId="1" applyFont="1" applyFill="1" applyBorder="1" applyAlignment="1">
      <alignment horizontal="center"/>
    </xf>
    <xf numFmtId="0" fontId="13" fillId="0" borderId="9" xfId="1" applyNumberFormat="1" applyFont="1" applyBorder="1"/>
    <xf numFmtId="44" fontId="10" fillId="2" borderId="20" xfId="1" applyFont="1" applyFill="1" applyBorder="1"/>
    <xf numFmtId="0" fontId="9" fillId="7" borderId="9" xfId="0" applyFont="1" applyFill="1" applyBorder="1"/>
    <xf numFmtId="0" fontId="1" fillId="7" borderId="9" xfId="0" applyFont="1" applyFill="1" applyBorder="1" applyAlignment="1">
      <alignment wrapText="1"/>
    </xf>
    <xf numFmtId="8" fontId="12" fillId="7" borderId="20" xfId="0" applyNumberFormat="1" applyFont="1" applyFill="1" applyBorder="1"/>
    <xf numFmtId="0" fontId="1" fillId="7" borderId="19" xfId="0" applyFont="1" applyFill="1" applyBorder="1"/>
    <xf numFmtId="8" fontId="12" fillId="7" borderId="22" xfId="0" applyNumberFormat="1" applyFont="1" applyFill="1" applyBorder="1"/>
    <xf numFmtId="44" fontId="14" fillId="7" borderId="9" xfId="1" applyFont="1" applyFill="1" applyBorder="1"/>
    <xf numFmtId="0" fontId="10" fillId="0" borderId="9" xfId="0" applyFont="1" applyBorder="1"/>
    <xf numFmtId="0" fontId="11" fillId="0" borderId="15" xfId="0" applyFont="1" applyBorder="1"/>
    <xf numFmtId="0" fontId="1" fillId="8" borderId="9" xfId="0" applyFont="1" applyFill="1" applyBorder="1"/>
    <xf numFmtId="0" fontId="12" fillId="8" borderId="20" xfId="0" applyFont="1" applyFill="1" applyBorder="1"/>
    <xf numFmtId="44" fontId="14" fillId="8" borderId="9" xfId="1" applyFont="1" applyFill="1" applyBorder="1"/>
    <xf numFmtId="0" fontId="0" fillId="0" borderId="3" xfId="0" applyBorder="1"/>
    <xf numFmtId="0" fontId="10" fillId="0" borderId="0" xfId="0" applyFont="1"/>
    <xf numFmtId="0" fontId="11" fillId="0" borderId="12" xfId="0" applyFont="1" applyBorder="1"/>
    <xf numFmtId="44" fontId="0" fillId="0" borderId="0" xfId="0" applyNumberFormat="1"/>
    <xf numFmtId="0" fontId="1" fillId="6" borderId="7" xfId="0" applyFont="1" applyFill="1" applyBorder="1"/>
    <xf numFmtId="10" fontId="1" fillId="6" borderId="8" xfId="0" applyNumberFormat="1" applyFont="1" applyFill="1" applyBorder="1"/>
    <xf numFmtId="0" fontId="1" fillId="6" borderId="8" xfId="0" applyFont="1" applyFill="1" applyBorder="1"/>
    <xf numFmtId="0" fontId="12" fillId="6" borderId="8" xfId="0" applyFont="1" applyFill="1" applyBorder="1"/>
    <xf numFmtId="44" fontId="14" fillId="6" borderId="6" xfId="0" applyNumberFormat="1" applyFont="1" applyFill="1" applyBorder="1"/>
    <xf numFmtId="43" fontId="0" fillId="0" borderId="0" xfId="0" applyNumberFormat="1"/>
    <xf numFmtId="164" fontId="0" fillId="2" borderId="0" xfId="1" applyNumberFormat="1" applyFont="1" applyFill="1" applyAlignment="1"/>
    <xf numFmtId="0" fontId="10" fillId="6" borderId="2" xfId="0" applyFont="1" applyFill="1" applyBorder="1"/>
    <xf numFmtId="0" fontId="10" fillId="6" borderId="11" xfId="0" applyFont="1" applyFill="1" applyBorder="1"/>
    <xf numFmtId="0" fontId="11" fillId="0" borderId="9" xfId="1" applyNumberFormat="1" applyFont="1" applyBorder="1" applyAlignment="1">
      <alignment horizontal="left"/>
    </xf>
    <xf numFmtId="0" fontId="0" fillId="0" borderId="23" xfId="0" applyBorder="1" applyAlignment="1">
      <alignment horizontal="left" vertical="center" wrapText="1"/>
    </xf>
    <xf numFmtId="0" fontId="1" fillId="7" borderId="0" xfId="0" applyFont="1" applyFill="1"/>
    <xf numFmtId="0" fontId="0" fillId="7" borderId="0" xfId="0" applyFill="1"/>
    <xf numFmtId="0" fontId="2" fillId="5" borderId="7" xfId="0" applyFont="1" applyFill="1" applyBorder="1"/>
    <xf numFmtId="44" fontId="2" fillId="5" borderId="6" xfId="0" applyNumberFormat="1" applyFont="1" applyFill="1" applyBorder="1"/>
    <xf numFmtId="44" fontId="0" fillId="0" borderId="0" xfId="1" applyFont="1"/>
    <xf numFmtId="4" fontId="2" fillId="0" borderId="0" xfId="0" applyNumberFormat="1" applyFont="1" applyAlignment="1">
      <alignment wrapText="1"/>
    </xf>
    <xf numFmtId="0" fontId="0" fillId="0" borderId="0" xfId="0" applyAlignment="1">
      <alignment wrapText="1"/>
    </xf>
    <xf numFmtId="44" fontId="6" fillId="9" borderId="14" xfId="1" applyFont="1" applyFill="1" applyBorder="1"/>
    <xf numFmtId="44" fontId="0" fillId="0" borderId="9" xfId="0" applyNumberFormat="1" applyBorder="1" applyAlignment="1">
      <alignment vertical="center" wrapText="1"/>
    </xf>
    <xf numFmtId="44" fontId="0" fillId="0" borderId="9" xfId="1" applyFont="1" applyBorder="1" applyAlignment="1">
      <alignment vertical="center" wrapText="1"/>
    </xf>
    <xf numFmtId="0" fontId="1" fillId="10" borderId="4" xfId="0" applyFont="1" applyFill="1" applyBorder="1" applyAlignment="1">
      <alignment horizontal="left" vertical="center" wrapText="1"/>
    </xf>
    <xf numFmtId="44" fontId="1" fillId="10" borderId="17" xfId="1" applyFont="1" applyFill="1" applyBorder="1" applyAlignment="1">
      <alignment horizontal="left" vertical="center" wrapText="1"/>
    </xf>
    <xf numFmtId="0" fontId="3" fillId="0" borderId="9" xfId="0" applyFont="1" applyBorder="1" applyAlignment="1">
      <alignment vertical="center" wrapText="1"/>
    </xf>
    <xf numFmtId="44" fontId="0" fillId="0" borderId="0" xfId="1" applyFont="1" applyBorder="1"/>
    <xf numFmtId="0" fontId="6" fillId="9" borderId="0" xfId="0" applyFont="1" applyFill="1"/>
    <xf numFmtId="44" fontId="6" fillId="9" borderId="0" xfId="0" applyNumberFormat="1" applyFont="1" applyFill="1"/>
    <xf numFmtId="44" fontId="6" fillId="9" borderId="0" xfId="1" applyFont="1" applyFill="1"/>
    <xf numFmtId="0" fontId="0" fillId="0" borderId="13" xfId="0" applyBorder="1"/>
    <xf numFmtId="8" fontId="0" fillId="0" borderId="0" xfId="0" applyNumberFormat="1"/>
    <xf numFmtId="0" fontId="16" fillId="0" borderId="9" xfId="0" applyFont="1" applyBorder="1"/>
    <xf numFmtId="0" fontId="16" fillId="0" borderId="9" xfId="0" applyFont="1" applyBorder="1" applyAlignment="1">
      <alignment horizontal="center"/>
    </xf>
    <xf numFmtId="44" fontId="17" fillId="0" borderId="9" xfId="1" applyFont="1" applyBorder="1"/>
    <xf numFmtId="44" fontId="17" fillId="2" borderId="9" xfId="1" applyFont="1" applyFill="1" applyBorder="1"/>
    <xf numFmtId="167" fontId="16" fillId="0" borderId="9" xfId="0" applyNumberFormat="1" applyFont="1" applyBorder="1"/>
    <xf numFmtId="44" fontId="17" fillId="0" borderId="24" xfId="1" applyFont="1" applyBorder="1"/>
    <xf numFmtId="0" fontId="16" fillId="0" borderId="9" xfId="0" applyFont="1" applyBorder="1" applyAlignment="1">
      <alignment wrapText="1"/>
    </xf>
    <xf numFmtId="0" fontId="16" fillId="0" borderId="9" xfId="0" applyFont="1" applyBorder="1" applyAlignment="1">
      <alignment vertical="center" wrapText="1"/>
    </xf>
    <xf numFmtId="0" fontId="15" fillId="0" borderId="0" xfId="0" applyFont="1"/>
    <xf numFmtId="0" fontId="1" fillId="3" borderId="7" xfId="0" applyFont="1" applyFill="1" applyBorder="1" applyAlignment="1">
      <alignment horizontal="left" vertical="top" wrapText="1"/>
    </xf>
    <xf numFmtId="0" fontId="0" fillId="0" borderId="19" xfId="0" applyBorder="1"/>
    <xf numFmtId="0" fontId="0" fillId="2" borderId="20" xfId="0" applyFill="1" applyBorder="1" applyAlignment="1">
      <alignment horizontal="left" vertical="center"/>
    </xf>
    <xf numFmtId="0" fontId="0" fillId="3" borderId="18" xfId="0" applyFill="1" applyBorder="1"/>
    <xf numFmtId="0" fontId="0" fillId="3" borderId="2" xfId="0" applyFill="1" applyBorder="1" applyAlignment="1">
      <alignment horizontal="center"/>
    </xf>
    <xf numFmtId="0" fontId="0" fillId="3" borderId="11" xfId="0" applyFill="1" applyBorder="1"/>
    <xf numFmtId="0" fontId="0" fillId="3" borderId="3" xfId="0" applyFill="1" applyBorder="1"/>
    <xf numFmtId="0" fontId="0" fillId="3" borderId="0" xfId="0" applyFill="1" applyAlignment="1">
      <alignment horizontal="center"/>
    </xf>
    <xf numFmtId="0" fontId="1" fillId="3" borderId="0" xfId="0" applyFont="1" applyFill="1" applyAlignment="1">
      <alignment horizontal="center"/>
    </xf>
    <xf numFmtId="164" fontId="1" fillId="3" borderId="0" xfId="1" applyNumberFormat="1" applyFont="1" applyFill="1" applyBorder="1" applyAlignment="1">
      <alignment horizontal="center"/>
    </xf>
    <xf numFmtId="164" fontId="0" fillId="3" borderId="0" xfId="1" applyNumberFormat="1" applyFont="1" applyFill="1" applyBorder="1" applyAlignment="1">
      <alignment horizontal="center"/>
    </xf>
    <xf numFmtId="44" fontId="0" fillId="3" borderId="12" xfId="1" applyFont="1" applyFill="1" applyBorder="1" applyAlignment="1"/>
    <xf numFmtId="0" fontId="0" fillId="3" borderId="4" xfId="0" applyFill="1" applyBorder="1"/>
    <xf numFmtId="0" fontId="0" fillId="3" borderId="16" xfId="0" applyFill="1" applyBorder="1" applyAlignment="1">
      <alignment horizontal="center"/>
    </xf>
    <xf numFmtId="166" fontId="0" fillId="3" borderId="16" xfId="0" applyNumberFormat="1" applyFill="1" applyBorder="1" applyAlignment="1">
      <alignment horizontal="center"/>
    </xf>
    <xf numFmtId="164" fontId="0" fillId="3" borderId="16" xfId="1" applyNumberFormat="1" applyFont="1" applyFill="1" applyBorder="1" applyAlignment="1">
      <alignment horizontal="center"/>
    </xf>
    <xf numFmtId="44" fontId="0" fillId="3" borderId="17" xfId="1" applyFont="1" applyFill="1" applyBorder="1" applyAlignment="1"/>
    <xf numFmtId="44" fontId="10" fillId="7" borderId="20" xfId="1" applyFont="1" applyFill="1" applyBorder="1"/>
    <xf numFmtId="0" fontId="16" fillId="2" borderId="9" xfId="0" applyFont="1" applyFill="1" applyBorder="1"/>
    <xf numFmtId="0" fontId="18" fillId="2" borderId="9" xfId="0" applyFont="1" applyFill="1" applyBorder="1"/>
    <xf numFmtId="0" fontId="16" fillId="2" borderId="9" xfId="0" applyFont="1" applyFill="1" applyBorder="1" applyAlignment="1">
      <alignment horizontal="center"/>
    </xf>
    <xf numFmtId="167" fontId="16" fillId="2" borderId="9" xfId="0" applyNumberFormat="1" applyFont="1" applyFill="1" applyBorder="1"/>
    <xf numFmtId="44" fontId="17" fillId="2" borderId="24" xfId="1" applyFont="1" applyFill="1" applyBorder="1"/>
    <xf numFmtId="0" fontId="16" fillId="2" borderId="9" xfId="0" applyFont="1" applyFill="1" applyBorder="1" applyAlignment="1">
      <alignment wrapText="1"/>
    </xf>
    <xf numFmtId="0" fontId="16" fillId="2" borderId="9" xfId="0" applyFont="1" applyFill="1" applyBorder="1" applyAlignment="1">
      <alignment vertical="center" wrapText="1"/>
    </xf>
    <xf numFmtId="44" fontId="11" fillId="0" borderId="9" xfId="1" applyFont="1" applyBorder="1" applyAlignment="1">
      <alignment vertical="center" wrapText="1"/>
    </xf>
    <xf numFmtId="44" fontId="10" fillId="7" borderId="0" xfId="1" applyFont="1" applyFill="1"/>
    <xf numFmtId="8" fontId="19" fillId="7" borderId="9" xfId="0" applyNumberFormat="1" applyFont="1" applyFill="1" applyBorder="1"/>
    <xf numFmtId="0" fontId="11" fillId="2" borderId="19" xfId="0" applyFont="1" applyFill="1" applyBorder="1"/>
    <xf numFmtId="0" fontId="16" fillId="13" borderId="9" xfId="0" applyFont="1" applyFill="1" applyBorder="1" applyAlignment="1">
      <alignment vertical="center" wrapText="1"/>
    </xf>
    <xf numFmtId="0" fontId="16" fillId="13" borderId="9" xfId="0" applyFont="1" applyFill="1" applyBorder="1" applyAlignment="1">
      <alignment wrapText="1"/>
    </xf>
    <xf numFmtId="0" fontId="16" fillId="13" borderId="9" xfId="0" applyFont="1" applyFill="1" applyBorder="1" applyAlignment="1">
      <alignment horizontal="center"/>
    </xf>
    <xf numFmtId="44" fontId="17" fillId="13" borderId="9" xfId="1" applyFont="1" applyFill="1" applyBorder="1"/>
    <xf numFmtId="167" fontId="16" fillId="13" borderId="9" xfId="0" applyNumberFormat="1" applyFont="1" applyFill="1" applyBorder="1"/>
    <xf numFmtId="44" fontId="17" fillId="13" borderId="24" xfId="1" applyFont="1" applyFill="1" applyBorder="1"/>
    <xf numFmtId="167" fontId="16" fillId="0" borderId="9" xfId="1" applyNumberFormat="1" applyFont="1" applyBorder="1"/>
    <xf numFmtId="167" fontId="16" fillId="2" borderId="9" xfId="1" applyNumberFormat="1" applyFont="1" applyFill="1" applyBorder="1"/>
    <xf numFmtId="0" fontId="16" fillId="13" borderId="9" xfId="0" applyFont="1" applyFill="1" applyBorder="1"/>
    <xf numFmtId="167" fontId="16" fillId="13" borderId="9" xfId="1" applyNumberFormat="1" applyFont="1" applyFill="1" applyBorder="1"/>
    <xf numFmtId="0" fontId="16" fillId="0" borderId="10" xfId="0" applyFont="1" applyBorder="1"/>
    <xf numFmtId="0" fontId="16" fillId="2" borderId="10" xfId="0" applyFont="1" applyFill="1" applyBorder="1"/>
    <xf numFmtId="0" fontId="16" fillId="13" borderId="10" xfId="0" applyFont="1" applyFill="1" applyBorder="1"/>
    <xf numFmtId="0" fontId="16" fillId="7" borderId="27" xfId="0" applyFont="1" applyFill="1" applyBorder="1"/>
    <xf numFmtId="0" fontId="16" fillId="7" borderId="28" xfId="0" applyFont="1" applyFill="1" applyBorder="1"/>
    <xf numFmtId="168" fontId="16" fillId="7" borderId="28" xfId="0" applyNumberFormat="1" applyFont="1" applyFill="1" applyBorder="1" applyAlignment="1">
      <alignment horizontal="center"/>
    </xf>
    <xf numFmtId="44" fontId="16" fillId="7" borderId="28" xfId="0" applyNumberFormat="1" applyFont="1" applyFill="1" applyBorder="1"/>
    <xf numFmtId="167" fontId="16" fillId="7" borderId="28" xfId="0" applyNumberFormat="1" applyFont="1" applyFill="1" applyBorder="1"/>
    <xf numFmtId="164" fontId="16" fillId="7" borderId="28" xfId="0" applyNumberFormat="1" applyFont="1" applyFill="1" applyBorder="1"/>
    <xf numFmtId="167" fontId="16" fillId="7" borderId="29" xfId="0" applyNumberFormat="1" applyFont="1" applyFill="1" applyBorder="1"/>
    <xf numFmtId="44" fontId="17" fillId="0" borderId="31" xfId="1" applyFont="1" applyBorder="1"/>
    <xf numFmtId="44" fontId="17" fillId="2" borderId="31" xfId="1" applyFont="1" applyFill="1" applyBorder="1"/>
    <xf numFmtId="44" fontId="17" fillId="13" borderId="31" xfId="1" applyFont="1" applyFill="1" applyBorder="1"/>
    <xf numFmtId="44" fontId="16" fillId="7" borderId="32" xfId="0" applyNumberFormat="1" applyFont="1" applyFill="1" applyBorder="1"/>
    <xf numFmtId="0" fontId="13" fillId="3" borderId="33" xfId="0" applyFont="1" applyFill="1" applyBorder="1" applyAlignment="1">
      <alignment horizontal="center" vertical="center" wrapText="1"/>
    </xf>
    <xf numFmtId="0" fontId="13" fillId="3" borderId="24" xfId="0" applyFont="1" applyFill="1" applyBorder="1" applyAlignment="1">
      <alignment horizontal="center" vertical="center" wrapText="1"/>
    </xf>
    <xf numFmtId="44" fontId="16" fillId="7" borderId="34" xfId="0" applyNumberFormat="1" applyFont="1" applyFill="1" applyBorder="1"/>
    <xf numFmtId="44" fontId="7" fillId="0" borderId="9" xfId="1" applyFont="1" applyBorder="1" applyAlignment="1">
      <alignment vertical="center" wrapText="1"/>
    </xf>
    <xf numFmtId="0" fontId="3" fillId="0" borderId="0" xfId="0" applyFont="1" applyAlignment="1">
      <alignment vertical="center" wrapText="1"/>
    </xf>
    <xf numFmtId="167" fontId="16" fillId="0" borderId="23" xfId="1" applyNumberFormat="1" applyFont="1" applyBorder="1"/>
    <xf numFmtId="167" fontId="16" fillId="2" borderId="23" xfId="1" applyNumberFormat="1" applyFont="1" applyFill="1" applyBorder="1"/>
    <xf numFmtId="167" fontId="16" fillId="13" borderId="23" xfId="1" applyNumberFormat="1" applyFont="1" applyFill="1" applyBorder="1"/>
    <xf numFmtId="167" fontId="16" fillId="7" borderId="37" xfId="0" applyNumberFormat="1" applyFont="1" applyFill="1" applyBorder="1"/>
    <xf numFmtId="44" fontId="19" fillId="7" borderId="19" xfId="1" applyFont="1" applyFill="1" applyBorder="1"/>
    <xf numFmtId="44" fontId="11" fillId="0" borderId="9" xfId="1" applyFont="1" applyBorder="1" applyAlignment="1">
      <alignment wrapText="1"/>
    </xf>
    <xf numFmtId="8" fontId="14" fillId="7" borderId="9" xfId="1" applyNumberFormat="1" applyFont="1" applyFill="1" applyBorder="1"/>
    <xf numFmtId="8" fontId="14" fillId="7" borderId="19" xfId="1" applyNumberFormat="1" applyFont="1" applyFill="1" applyBorder="1"/>
    <xf numFmtId="8" fontId="11" fillId="2" borderId="19" xfId="1" applyNumberFormat="1" applyFont="1" applyFill="1" applyBorder="1"/>
    <xf numFmtId="44" fontId="14" fillId="7" borderId="19" xfId="1" applyFont="1" applyFill="1" applyBorder="1"/>
    <xf numFmtId="44" fontId="11" fillId="7" borderId="19" xfId="1" applyFont="1" applyFill="1" applyBorder="1"/>
    <xf numFmtId="44" fontId="14" fillId="7" borderId="5" xfId="1" applyFont="1" applyFill="1" applyBorder="1"/>
    <xf numFmtId="44" fontId="14" fillId="7" borderId="1" xfId="1" applyFont="1" applyFill="1" applyBorder="1"/>
    <xf numFmtId="44" fontId="11" fillId="2" borderId="9" xfId="1" applyFont="1" applyFill="1" applyBorder="1"/>
    <xf numFmtId="44" fontId="12" fillId="7" borderId="0" xfId="1" applyFont="1" applyFill="1"/>
    <xf numFmtId="0" fontId="10" fillId="0" borderId="0" xfId="0" applyFont="1" applyAlignment="1">
      <alignment wrapText="1"/>
    </xf>
    <xf numFmtId="44" fontId="10" fillId="0" borderId="0" xfId="0" applyNumberFormat="1" applyFont="1" applyAlignment="1">
      <alignment wrapText="1"/>
    </xf>
    <xf numFmtId="43" fontId="17" fillId="13" borderId="9" xfId="2" applyFont="1" applyFill="1" applyBorder="1"/>
    <xf numFmtId="44" fontId="14" fillId="8" borderId="9" xfId="1" applyFont="1" applyFill="1" applyBorder="1" applyAlignment="1">
      <alignment vertical="center"/>
    </xf>
    <xf numFmtId="44" fontId="13" fillId="0" borderId="9" xfId="1" applyFont="1" applyBorder="1" applyAlignment="1">
      <alignment wrapText="1"/>
    </xf>
    <xf numFmtId="8" fontId="13" fillId="2" borderId="19" xfId="1" applyNumberFormat="1" applyFont="1" applyFill="1" applyBorder="1"/>
    <xf numFmtId="0" fontId="6" fillId="9" borderId="14" xfId="0" applyFont="1" applyFill="1" applyBorder="1" applyAlignment="1">
      <alignment vertical="center" wrapText="1"/>
    </xf>
    <xf numFmtId="0" fontId="0" fillId="0" borderId="2" xfId="0" applyBorder="1"/>
    <xf numFmtId="0" fontId="0" fillId="0" borderId="11" xfId="0" applyBorder="1"/>
    <xf numFmtId="0" fontId="0" fillId="0" borderId="12" xfId="0" applyBorder="1"/>
    <xf numFmtId="0" fontId="0" fillId="14" borderId="18" xfId="0" applyFill="1" applyBorder="1"/>
    <xf numFmtId="0" fontId="0" fillId="14" borderId="2" xfId="0" applyFill="1" applyBorder="1"/>
    <xf numFmtId="0" fontId="0" fillId="14" borderId="3" xfId="0" applyFill="1" applyBorder="1"/>
    <xf numFmtId="0" fontId="0" fillId="14" borderId="0" xfId="0" applyFill="1"/>
    <xf numFmtId="44" fontId="17" fillId="2" borderId="9" xfId="1" applyFont="1" applyFill="1" applyBorder="1" applyAlignment="1">
      <alignment vertical="center" wrapText="1"/>
    </xf>
    <xf numFmtId="0" fontId="12" fillId="0" borderId="0" xfId="0" applyFont="1"/>
    <xf numFmtId="0" fontId="12" fillId="6" borderId="18" xfId="0" applyFont="1" applyFill="1" applyBorder="1"/>
    <xf numFmtId="0" fontId="12" fillId="6" borderId="2" xfId="0" applyFont="1" applyFill="1" applyBorder="1"/>
    <xf numFmtId="10" fontId="12" fillId="6" borderId="2" xfId="0" applyNumberFormat="1" applyFont="1" applyFill="1" applyBorder="1"/>
    <xf numFmtId="0" fontId="10" fillId="2" borderId="9" xfId="0" applyFont="1" applyFill="1" applyBorder="1"/>
    <xf numFmtId="8" fontId="11" fillId="2" borderId="9" xfId="0" applyNumberFormat="1" applyFont="1" applyFill="1" applyBorder="1" applyAlignment="1">
      <alignment horizontal="right"/>
    </xf>
    <xf numFmtId="8" fontId="11" fillId="2" borderId="20" xfId="0" applyNumberFormat="1" applyFont="1" applyFill="1" applyBorder="1" applyAlignment="1">
      <alignment horizontal="right"/>
    </xf>
    <xf numFmtId="0" fontId="12" fillId="7" borderId="9" xfId="0" applyFont="1" applyFill="1" applyBorder="1"/>
    <xf numFmtId="0" fontId="10" fillId="7" borderId="9" xfId="0" applyFont="1" applyFill="1" applyBorder="1"/>
    <xf numFmtId="0" fontId="12" fillId="2" borderId="9" xfId="0" applyFont="1" applyFill="1" applyBorder="1"/>
    <xf numFmtId="0" fontId="16" fillId="15" borderId="10" xfId="0" applyFont="1" applyFill="1" applyBorder="1"/>
    <xf numFmtId="0" fontId="16" fillId="15" borderId="9" xfId="0" applyFont="1" applyFill="1" applyBorder="1" applyAlignment="1">
      <alignment vertical="center" wrapText="1"/>
    </xf>
    <xf numFmtId="0" fontId="16" fillId="4" borderId="10" xfId="0" applyFont="1" applyFill="1" applyBorder="1"/>
    <xf numFmtId="0" fontId="16" fillId="4" borderId="9" xfId="0" applyFont="1" applyFill="1" applyBorder="1" applyAlignment="1">
      <alignment vertical="center" wrapText="1"/>
    </xf>
    <xf numFmtId="0" fontId="11" fillId="2" borderId="9" xfId="0" applyFont="1" applyFill="1" applyBorder="1" applyAlignment="1">
      <alignment wrapText="1"/>
    </xf>
    <xf numFmtId="0" fontId="17" fillId="2" borderId="10" xfId="0" applyFont="1" applyFill="1" applyBorder="1"/>
    <xf numFmtId="0" fontId="17" fillId="2" borderId="9" xfId="0" applyFont="1" applyFill="1" applyBorder="1" applyAlignment="1">
      <alignment vertical="center" wrapText="1"/>
    </xf>
    <xf numFmtId="0" fontId="17" fillId="2" borderId="9" xfId="0" applyFont="1" applyFill="1" applyBorder="1" applyAlignment="1">
      <alignment wrapText="1"/>
    </xf>
    <xf numFmtId="0" fontId="17" fillId="2" borderId="9" xfId="0" applyFont="1" applyFill="1" applyBorder="1" applyAlignment="1">
      <alignment horizontal="center"/>
    </xf>
    <xf numFmtId="167" fontId="17" fillId="2" borderId="9" xfId="0" applyNumberFormat="1" applyFont="1" applyFill="1" applyBorder="1"/>
    <xf numFmtId="167" fontId="17" fillId="2" borderId="9" xfId="1" applyNumberFormat="1" applyFont="1" applyFill="1" applyBorder="1"/>
    <xf numFmtId="167" fontId="17" fillId="2" borderId="23" xfId="1" applyNumberFormat="1" applyFont="1" applyFill="1" applyBorder="1"/>
    <xf numFmtId="0" fontId="16" fillId="4" borderId="9" xfId="0" applyFont="1" applyFill="1" applyBorder="1" applyAlignment="1">
      <alignment wrapText="1"/>
    </xf>
    <xf numFmtId="0" fontId="16" fillId="4" borderId="9" xfId="0" applyFont="1" applyFill="1" applyBorder="1" applyAlignment="1">
      <alignment horizontal="center"/>
    </xf>
    <xf numFmtId="44" fontId="17" fillId="4" borderId="9" xfId="1" applyFont="1" applyFill="1" applyBorder="1"/>
    <xf numFmtId="167" fontId="16" fillId="4" borderId="9" xfId="0" applyNumberFormat="1" applyFont="1" applyFill="1" applyBorder="1"/>
    <xf numFmtId="167" fontId="16" fillId="4" borderId="9" xfId="1" applyNumberFormat="1" applyFont="1" applyFill="1" applyBorder="1"/>
    <xf numFmtId="167" fontId="16" fillId="4" borderId="23" xfId="1" applyNumberFormat="1" applyFont="1" applyFill="1" applyBorder="1"/>
    <xf numFmtId="44" fontId="17" fillId="4" borderId="24" xfId="1" applyFont="1" applyFill="1" applyBorder="1"/>
    <xf numFmtId="44" fontId="17" fillId="4" borderId="31" xfId="1" applyFont="1" applyFill="1" applyBorder="1"/>
    <xf numFmtId="0" fontId="16" fillId="15" borderId="9" xfId="0" applyFont="1" applyFill="1" applyBorder="1"/>
    <xf numFmtId="0" fontId="16" fillId="15" borderId="9" xfId="0" applyFont="1" applyFill="1" applyBorder="1" applyAlignment="1">
      <alignment wrapText="1"/>
    </xf>
    <xf numFmtId="0" fontId="16" fillId="15" borderId="9" xfId="0" applyFont="1" applyFill="1" applyBorder="1" applyAlignment="1">
      <alignment horizontal="center"/>
    </xf>
    <xf numFmtId="44" fontId="17" fillId="15" borderId="9" xfId="1" applyFont="1" applyFill="1" applyBorder="1"/>
    <xf numFmtId="167" fontId="16" fillId="15" borderId="9" xfId="0" applyNumberFormat="1" applyFont="1" applyFill="1" applyBorder="1"/>
    <xf numFmtId="167" fontId="16" fillId="15" borderId="9" xfId="1" applyNumberFormat="1" applyFont="1" applyFill="1" applyBorder="1"/>
    <xf numFmtId="167" fontId="16" fillId="15" borderId="23" xfId="1" applyNumberFormat="1" applyFont="1" applyFill="1" applyBorder="1"/>
    <xf numFmtId="44" fontId="17" fillId="15" borderId="24" xfId="1" applyFont="1" applyFill="1" applyBorder="1"/>
    <xf numFmtId="44" fontId="17" fillId="15" borderId="31" xfId="1" applyFont="1" applyFill="1" applyBorder="1"/>
    <xf numFmtId="0" fontId="16" fillId="14" borderId="10" xfId="0" applyFont="1" applyFill="1" applyBorder="1"/>
    <xf numFmtId="0" fontId="16" fillId="14" borderId="9" xfId="0" applyFont="1" applyFill="1" applyBorder="1" applyAlignment="1">
      <alignment vertical="center" wrapText="1"/>
    </xf>
    <xf numFmtId="0" fontId="0" fillId="2" borderId="20" xfId="0" applyFill="1" applyBorder="1" applyAlignment="1">
      <alignment horizontal="left" vertical="center" wrapText="1"/>
    </xf>
    <xf numFmtId="0" fontId="0" fillId="2" borderId="21" xfId="0" applyFill="1" applyBorder="1" applyAlignment="1">
      <alignment horizontal="left" vertical="center" wrapText="1"/>
    </xf>
    <xf numFmtId="44" fontId="7" fillId="2" borderId="9" xfId="1" applyFont="1" applyFill="1" applyBorder="1"/>
    <xf numFmtId="8" fontId="7" fillId="2" borderId="20" xfId="0" applyNumberFormat="1" applyFont="1" applyFill="1" applyBorder="1" applyAlignment="1">
      <alignment horizontal="right"/>
    </xf>
    <xf numFmtId="44" fontId="7" fillId="2" borderId="20" xfId="1" applyFont="1" applyFill="1" applyBorder="1"/>
    <xf numFmtId="0" fontId="0" fillId="2" borderId="20" xfId="0" applyFill="1" applyBorder="1" applyAlignment="1">
      <alignment horizontal="left" vertical="center" wrapText="1"/>
    </xf>
    <xf numFmtId="0" fontId="0" fillId="2" borderId="21" xfId="0" applyFill="1" applyBorder="1" applyAlignment="1">
      <alignment horizontal="left" vertical="center" wrapText="1"/>
    </xf>
    <xf numFmtId="0" fontId="6" fillId="9" borderId="0" xfId="0" applyFont="1" applyFill="1" applyAlignment="1">
      <alignment horizontal="center" vertical="center"/>
    </xf>
    <xf numFmtId="0" fontId="4" fillId="13" borderId="0" xfId="0" applyFont="1" applyFill="1" applyAlignment="1">
      <alignment horizontal="left" vertical="center" wrapText="1"/>
    </xf>
    <xf numFmtId="0" fontId="1" fillId="3" borderId="2" xfId="0" applyFont="1" applyFill="1" applyBorder="1" applyAlignment="1">
      <alignment horizontal="left" vertical="top" wrapText="1"/>
    </xf>
    <xf numFmtId="0" fontId="1" fillId="3" borderId="11" xfId="0" applyFont="1" applyFill="1" applyBorder="1" applyAlignment="1">
      <alignment horizontal="left" vertical="top" wrapText="1"/>
    </xf>
    <xf numFmtId="0" fontId="10" fillId="2" borderId="20" xfId="0" applyFont="1" applyFill="1" applyBorder="1" applyAlignment="1">
      <alignment horizontal="left" vertical="center" wrapText="1"/>
    </xf>
    <xf numFmtId="0" fontId="10" fillId="2" borderId="21" xfId="0" applyFont="1" applyFill="1" applyBorder="1" applyAlignment="1">
      <alignment horizontal="left" vertical="center" wrapText="1"/>
    </xf>
    <xf numFmtId="0" fontId="1" fillId="3" borderId="16" xfId="0" applyFont="1" applyFill="1" applyBorder="1" applyAlignment="1">
      <alignment horizontal="left" vertical="center" wrapText="1"/>
    </xf>
    <xf numFmtId="0" fontId="1" fillId="3" borderId="17" xfId="0" applyFont="1" applyFill="1" applyBorder="1" applyAlignment="1">
      <alignment horizontal="left" vertical="center" wrapText="1"/>
    </xf>
    <xf numFmtId="0" fontId="20" fillId="4" borderId="0" xfId="0" applyFont="1" applyFill="1" applyAlignment="1">
      <alignment horizontal="center" vertical="center"/>
    </xf>
    <xf numFmtId="0" fontId="21" fillId="5" borderId="0" xfId="0" applyFont="1" applyFill="1" applyAlignment="1">
      <alignment horizontal="center"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9" xfId="0" applyBorder="1" applyAlignment="1">
      <alignment horizontal="left" vertical="center" wrapText="1"/>
    </xf>
    <xf numFmtId="44" fontId="10" fillId="2" borderId="14" xfId="1" applyFont="1" applyFill="1" applyBorder="1" applyAlignment="1">
      <alignment horizontal="center" vertical="center"/>
    </xf>
    <xf numFmtId="44" fontId="10" fillId="2" borderId="19" xfId="1" applyFont="1" applyFill="1" applyBorder="1" applyAlignment="1">
      <alignment horizontal="center" vertical="center"/>
    </xf>
    <xf numFmtId="0" fontId="11" fillId="0" borderId="14" xfId="1" applyNumberFormat="1" applyFont="1" applyBorder="1" applyAlignment="1">
      <alignment horizontal="left" vertical="center"/>
    </xf>
    <xf numFmtId="0" fontId="11" fillId="0" borderId="19" xfId="1" applyNumberFormat="1" applyFont="1" applyBorder="1" applyAlignment="1">
      <alignment horizontal="left" vertical="center"/>
    </xf>
    <xf numFmtId="0" fontId="15" fillId="3" borderId="38" xfId="0" applyFont="1" applyFill="1" applyBorder="1" applyAlignment="1">
      <alignment horizontal="center" vertical="center" wrapText="1"/>
    </xf>
    <xf numFmtId="0" fontId="15" fillId="3" borderId="39" xfId="0" applyFont="1" applyFill="1" applyBorder="1" applyAlignment="1">
      <alignment horizontal="center" vertical="center" wrapText="1"/>
    </xf>
    <xf numFmtId="0" fontId="15" fillId="3" borderId="26"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6" fillId="15" borderId="7" xfId="0" applyFont="1" applyFill="1" applyBorder="1" applyAlignment="1">
      <alignment horizontal="center" vertical="center" wrapText="1"/>
    </xf>
    <xf numFmtId="0" fontId="6" fillId="15" borderId="8" xfId="0" applyFont="1" applyFill="1" applyBorder="1" applyAlignment="1">
      <alignment horizontal="center" vertical="center" wrapText="1"/>
    </xf>
    <xf numFmtId="0" fontId="6" fillId="15" borderId="6" xfId="0" applyFont="1" applyFill="1" applyBorder="1" applyAlignment="1">
      <alignment horizontal="center" vertical="center" wrapText="1"/>
    </xf>
    <xf numFmtId="0" fontId="13" fillId="3" borderId="30" xfId="0" applyFont="1" applyFill="1" applyBorder="1" applyAlignment="1">
      <alignment horizontal="center" vertical="center" wrapText="1"/>
    </xf>
    <xf numFmtId="0" fontId="13" fillId="3" borderId="31" xfId="0" applyFont="1" applyFill="1" applyBorder="1" applyAlignment="1">
      <alignment horizontal="center" vertical="center" wrapText="1"/>
    </xf>
    <xf numFmtId="0" fontId="1" fillId="4" borderId="0" xfId="0" applyFont="1" applyFill="1" applyAlignment="1">
      <alignment horizontal="center" vertical="center" wrapText="1"/>
    </xf>
    <xf numFmtId="0" fontId="0" fillId="3" borderId="2" xfId="0" applyFill="1" applyBorder="1" applyAlignment="1">
      <alignment horizontal="center"/>
    </xf>
    <xf numFmtId="0" fontId="1" fillId="3" borderId="18" xfId="0" applyFont="1" applyFill="1" applyBorder="1" applyAlignment="1">
      <alignment horizontal="left" vertical="center" wrapText="1"/>
    </xf>
    <xf numFmtId="0" fontId="1" fillId="3" borderId="2" xfId="0" applyFont="1" applyFill="1" applyBorder="1" applyAlignment="1">
      <alignment horizontal="left" vertical="center"/>
    </xf>
    <xf numFmtId="0" fontId="1" fillId="3" borderId="11" xfId="0" applyFont="1" applyFill="1" applyBorder="1" applyAlignment="1">
      <alignment horizontal="left" vertical="center"/>
    </xf>
    <xf numFmtId="0" fontId="1" fillId="3" borderId="3" xfId="0" applyFont="1" applyFill="1" applyBorder="1" applyAlignment="1">
      <alignment horizontal="left" vertical="center"/>
    </xf>
    <xf numFmtId="0" fontId="1" fillId="3" borderId="0" xfId="0" applyFont="1" applyFill="1" applyAlignment="1">
      <alignment horizontal="left" vertical="center"/>
    </xf>
    <xf numFmtId="0" fontId="1" fillId="3" borderId="12" xfId="0" applyFont="1" applyFill="1" applyBorder="1" applyAlignment="1">
      <alignment horizontal="left" vertical="center"/>
    </xf>
    <xf numFmtId="0" fontId="1" fillId="3" borderId="4" xfId="0" applyFont="1" applyFill="1" applyBorder="1" applyAlignment="1">
      <alignment horizontal="left" vertical="center"/>
    </xf>
    <xf numFmtId="0" fontId="1" fillId="3" borderId="16" xfId="0" applyFont="1" applyFill="1" applyBorder="1" applyAlignment="1">
      <alignment horizontal="left" vertical="center"/>
    </xf>
    <xf numFmtId="0" fontId="1" fillId="3" borderId="17" xfId="0" applyFont="1" applyFill="1" applyBorder="1" applyAlignment="1">
      <alignment horizontal="left" vertical="center"/>
    </xf>
    <xf numFmtId="0" fontId="15" fillId="3" borderId="25" xfId="0" applyFont="1" applyFill="1" applyBorder="1" applyAlignment="1">
      <alignment horizontal="center" vertical="center"/>
    </xf>
    <xf numFmtId="0" fontId="15" fillId="3" borderId="10" xfId="0" applyFont="1" applyFill="1" applyBorder="1" applyAlignment="1">
      <alignment horizontal="center" vertical="center"/>
    </xf>
    <xf numFmtId="0" fontId="15" fillId="3" borderId="26" xfId="0" applyFont="1" applyFill="1" applyBorder="1" applyAlignment="1">
      <alignment horizontal="center" vertical="center"/>
    </xf>
    <xf numFmtId="0" fontId="15" fillId="3" borderId="9" xfId="0" applyFont="1" applyFill="1" applyBorder="1" applyAlignment="1">
      <alignment horizontal="center" vertical="center"/>
    </xf>
    <xf numFmtId="0" fontId="16" fillId="3" borderId="26" xfId="0" applyFont="1" applyFill="1" applyBorder="1" applyAlignment="1">
      <alignment horizontal="center" vertical="center" wrapText="1"/>
    </xf>
    <xf numFmtId="0" fontId="16" fillId="3" borderId="9" xfId="0" applyFont="1" applyFill="1" applyBorder="1" applyAlignment="1">
      <alignment horizontal="center" vertical="center" wrapText="1"/>
    </xf>
    <xf numFmtId="0" fontId="1" fillId="11" borderId="7" xfId="0" applyFont="1" applyFill="1" applyBorder="1" applyAlignment="1">
      <alignment horizontal="center" vertical="center"/>
    </xf>
    <xf numFmtId="0" fontId="1" fillId="11" borderId="8" xfId="0" applyFont="1" applyFill="1" applyBorder="1" applyAlignment="1">
      <alignment horizontal="center" vertical="center"/>
    </xf>
    <xf numFmtId="0" fontId="1" fillId="11" borderId="6" xfId="0" applyFont="1" applyFill="1" applyBorder="1" applyAlignment="1">
      <alignment horizontal="center" vertical="center"/>
    </xf>
    <xf numFmtId="0" fontId="1" fillId="12" borderId="18" xfId="0" applyFont="1" applyFill="1" applyBorder="1" applyAlignment="1">
      <alignment horizontal="center" vertical="center"/>
    </xf>
    <xf numFmtId="0" fontId="1" fillId="12" borderId="2" xfId="0" applyFont="1" applyFill="1" applyBorder="1" applyAlignment="1">
      <alignment horizontal="center" vertical="center"/>
    </xf>
    <xf numFmtId="0" fontId="1" fillId="12" borderId="11" xfId="0" applyFont="1" applyFill="1" applyBorder="1" applyAlignment="1">
      <alignment horizontal="center" vertical="center"/>
    </xf>
    <xf numFmtId="165" fontId="1" fillId="3" borderId="0" xfId="0" applyNumberFormat="1" applyFont="1" applyFill="1" applyAlignment="1">
      <alignment horizontal="center"/>
    </xf>
    <xf numFmtId="0" fontId="15" fillId="3" borderId="35" xfId="0" applyFont="1" applyFill="1" applyBorder="1" applyAlignment="1">
      <alignment horizontal="center" vertical="center" wrapText="1"/>
    </xf>
    <xf numFmtId="0" fontId="15" fillId="3" borderId="36" xfId="0" applyFont="1" applyFill="1" applyBorder="1" applyAlignment="1">
      <alignment horizontal="center" vertical="center" wrapText="1"/>
    </xf>
    <xf numFmtId="0" fontId="0" fillId="0" borderId="18" xfId="0" applyBorder="1" applyAlignment="1">
      <alignment horizontal="left" vertical="center" wrapText="1"/>
    </xf>
    <xf numFmtId="0" fontId="0" fillId="0" borderId="2" xfId="0" applyBorder="1" applyAlignment="1">
      <alignment horizontal="left" vertical="center" wrapText="1"/>
    </xf>
    <xf numFmtId="0" fontId="0" fillId="0" borderId="11" xfId="0" applyBorder="1" applyAlignment="1">
      <alignment horizontal="left" vertical="center" wrapText="1"/>
    </xf>
    <xf numFmtId="0" fontId="0" fillId="0" borderId="4"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44" fontId="7" fillId="2" borderId="20" xfId="1" applyFont="1" applyFill="1" applyBorder="1" applyAlignment="1"/>
    <xf numFmtId="8" fontId="7" fillId="2" borderId="9" xfId="0" applyNumberFormat="1" applyFont="1" applyFill="1" applyBorder="1" applyAlignment="1">
      <alignment horizontal="right"/>
    </xf>
    <xf numFmtId="44" fontId="7" fillId="2" borderId="22" xfId="1" applyFont="1" applyFill="1" applyBorder="1"/>
  </cellXfs>
  <cellStyles count="3">
    <cellStyle name="Millares" xfId="2" builtinId="3"/>
    <cellStyle name="Moneda" xfId="1" builtinId="4"/>
    <cellStyle name="Normal" xfId="0" builtinId="0"/>
  </cellStyles>
  <dxfs count="0"/>
  <tableStyles count="0" defaultTableStyle="TableStyleMedium9" defaultPivotStyle="PivotStyleLight16"/>
  <colors>
    <mruColors>
      <color rgb="FF74FA84"/>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70485</xdr:colOff>
      <xdr:row>0</xdr:row>
      <xdr:rowOff>70484</xdr:rowOff>
    </xdr:from>
    <xdr:to>
      <xdr:col>0</xdr:col>
      <xdr:colOff>2286000</xdr:colOff>
      <xdr:row>2</xdr:row>
      <xdr:rowOff>542924</xdr:rowOff>
    </xdr:to>
    <xdr:pic>
      <xdr:nvPicPr>
        <xdr:cNvPr id="2" name="1 Imagen" descr="C:\Users\Particular\Desktop\NATI\CONSORCIOS RC\WhatsApp Image 2020-12-10 at 14.53.20.jpeg">
          <a:extLst>
            <a:ext uri="{FF2B5EF4-FFF2-40B4-BE49-F238E27FC236}">
              <a16:creationId xmlns:a16="http://schemas.microsoft.com/office/drawing/2014/main" id="{845E093B-FBED-491B-B562-4A0EE6BB89D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485" y="70484"/>
          <a:ext cx="2215515" cy="90106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3A25D-5161-4141-BE0B-6E37A2A76CA5}">
  <dimension ref="A1:M142"/>
  <sheetViews>
    <sheetView tabSelected="1" topLeftCell="A32" workbookViewId="0">
      <selection activeCell="B37" sqref="B37"/>
    </sheetView>
  </sheetViews>
  <sheetFormatPr baseColWidth="10" defaultColWidth="10.85546875" defaultRowHeight="15" x14ac:dyDescent="0.25"/>
  <cols>
    <col min="1" max="1" width="37.5703125" customWidth="1"/>
    <col min="2" max="2" width="24.7109375" customWidth="1"/>
    <col min="3" max="3" width="15.85546875" hidden="1" customWidth="1"/>
    <col min="4" max="4" width="21.7109375" customWidth="1"/>
    <col min="5" max="5" width="16.7109375" customWidth="1"/>
    <col min="6" max="6" width="15.5703125" bestFit="1" customWidth="1"/>
    <col min="7" max="7" width="14.5703125" bestFit="1" customWidth="1"/>
    <col min="8" max="8" width="12" bestFit="1" customWidth="1"/>
    <col min="10" max="10" width="22.7109375" customWidth="1"/>
    <col min="11" max="11" width="18" customWidth="1"/>
    <col min="12" max="12" width="18.28515625" customWidth="1"/>
  </cols>
  <sheetData>
    <row r="1" spans="1:5" ht="18.75" customHeight="1" x14ac:dyDescent="0.25">
      <c r="A1" s="1"/>
      <c r="B1" s="228" t="s">
        <v>146</v>
      </c>
      <c r="C1" s="228"/>
      <c r="D1" s="228"/>
      <c r="E1" s="229"/>
    </row>
    <row r="2" spans="1:5" x14ac:dyDescent="0.25">
      <c r="A2" s="2"/>
      <c r="B2" s="9" t="s">
        <v>148</v>
      </c>
      <c r="C2" s="3"/>
      <c r="D2" s="3"/>
      <c r="E2" s="4"/>
    </row>
    <row r="3" spans="1:5" ht="51.6" customHeight="1" thickBot="1" x14ac:dyDescent="0.3">
      <c r="A3" s="2"/>
      <c r="B3" s="232" t="s">
        <v>188</v>
      </c>
      <c r="C3" s="232"/>
      <c r="D3" s="232"/>
      <c r="E3" s="233"/>
    </row>
    <row r="4" spans="1:5" ht="15.75" thickBot="1" x14ac:dyDescent="0.3">
      <c r="A4" s="5" t="s">
        <v>100</v>
      </c>
      <c r="B4" s="6" t="s">
        <v>101</v>
      </c>
      <c r="C4" s="7"/>
      <c r="D4" s="7"/>
      <c r="E4" s="8"/>
    </row>
    <row r="5" spans="1:5" ht="15.75" thickBot="1" x14ac:dyDescent="0.3">
      <c r="A5" s="2" t="s">
        <v>147</v>
      </c>
      <c r="B5" s="7" t="s">
        <v>229</v>
      </c>
      <c r="C5" s="9"/>
      <c r="D5" s="3" t="s">
        <v>102</v>
      </c>
      <c r="E5" s="10"/>
    </row>
    <row r="6" spans="1:5" ht="16.149999999999999" customHeight="1" thickBot="1" x14ac:dyDescent="0.3">
      <c r="A6" s="90" t="s">
        <v>137</v>
      </c>
      <c r="B6" s="7"/>
      <c r="C6" s="7"/>
      <c r="D6" s="7" t="s">
        <v>173</v>
      </c>
      <c r="E6" s="8"/>
    </row>
    <row r="8" spans="1:5" x14ac:dyDescent="0.25">
      <c r="A8" s="48"/>
      <c r="B8" s="234" t="s">
        <v>228</v>
      </c>
      <c r="C8" s="234"/>
      <c r="D8" s="48"/>
      <c r="E8" s="48"/>
    </row>
    <row r="9" spans="1:5" x14ac:dyDescent="0.25">
      <c r="A9" s="48"/>
      <c r="B9" s="234"/>
      <c r="C9" s="234"/>
      <c r="D9" s="48"/>
      <c r="E9" s="48"/>
    </row>
    <row r="10" spans="1:5" x14ac:dyDescent="0.25">
      <c r="A10" s="48"/>
      <c r="B10" s="234"/>
      <c r="C10" s="234"/>
      <c r="D10" s="48"/>
      <c r="E10" s="48"/>
    </row>
    <row r="11" spans="1:5" x14ac:dyDescent="0.25">
      <c r="A11" s="48"/>
      <c r="B11" s="48"/>
      <c r="C11" s="48"/>
      <c r="D11" s="48"/>
      <c r="E11" s="48"/>
    </row>
    <row r="12" spans="1:5" hidden="1" x14ac:dyDescent="0.25">
      <c r="A12" s="48"/>
      <c r="B12" s="48"/>
      <c r="C12" s="48"/>
      <c r="D12" s="48"/>
      <c r="E12" s="48"/>
    </row>
    <row r="13" spans="1:5" ht="15" customHeight="1" x14ac:dyDescent="0.25">
      <c r="A13" s="235" t="s">
        <v>103</v>
      </c>
      <c r="B13" s="235"/>
      <c r="C13" s="235"/>
      <c r="D13" s="235"/>
      <c r="E13" s="235"/>
    </row>
    <row r="14" spans="1:5" ht="15" customHeight="1" x14ac:dyDescent="0.25">
      <c r="A14" s="235"/>
      <c r="B14" s="235"/>
      <c r="C14" s="235"/>
      <c r="D14" s="235"/>
      <c r="E14" s="235"/>
    </row>
    <row r="15" spans="1:5" ht="15" customHeight="1" x14ac:dyDescent="0.25">
      <c r="A15" s="235"/>
      <c r="B15" s="235"/>
      <c r="C15" s="235"/>
      <c r="D15" s="235"/>
      <c r="E15" s="235"/>
    </row>
    <row r="16" spans="1:5" ht="53.25" customHeight="1" x14ac:dyDescent="0.25">
      <c r="A16" s="235"/>
      <c r="B16" s="235"/>
      <c r="C16" s="235"/>
      <c r="D16" s="235"/>
      <c r="E16" s="235"/>
    </row>
    <row r="17" spans="1:8" ht="14.25" customHeight="1" thickBot="1" x14ac:dyDescent="0.3">
      <c r="A17" s="48"/>
      <c r="B17" s="48"/>
      <c r="C17" s="48"/>
      <c r="D17" s="48"/>
      <c r="E17" s="48"/>
    </row>
    <row r="18" spans="1:8" ht="15.75" hidden="1" thickBot="1" x14ac:dyDescent="0.3">
      <c r="A18" s="178"/>
      <c r="B18" s="48"/>
      <c r="C18" s="48"/>
      <c r="D18" s="48"/>
      <c r="E18" s="48"/>
    </row>
    <row r="19" spans="1:8" ht="15.75" hidden="1" thickBot="1" x14ac:dyDescent="0.3">
      <c r="A19" s="48"/>
      <c r="B19" s="48"/>
      <c r="C19" s="48"/>
      <c r="D19" s="48"/>
      <c r="E19" s="48"/>
    </row>
    <row r="20" spans="1:8" x14ac:dyDescent="0.25">
      <c r="A20" s="179" t="s">
        <v>104</v>
      </c>
      <c r="B20" s="180"/>
      <c r="C20" s="181"/>
      <c r="D20" s="58"/>
      <c r="E20" s="59"/>
    </row>
    <row r="21" spans="1:8" x14ac:dyDescent="0.25">
      <c r="A21" s="36" t="s">
        <v>138</v>
      </c>
      <c r="B21" s="36"/>
      <c r="C21" s="36"/>
      <c r="D21" s="117"/>
      <c r="E21" s="152"/>
    </row>
    <row r="22" spans="1:8" ht="15" customHeight="1" x14ac:dyDescent="0.25">
      <c r="A22" s="230" t="s">
        <v>161</v>
      </c>
      <c r="B22" s="231"/>
      <c r="C22" s="182"/>
      <c r="D22" s="183">
        <v>2337709.7000000002</v>
      </c>
      <c r="E22" s="153"/>
      <c r="H22" s="19"/>
    </row>
    <row r="23" spans="1:8" ht="15" customHeight="1" x14ac:dyDescent="0.25">
      <c r="A23" s="230" t="s">
        <v>162</v>
      </c>
      <c r="B23" s="231"/>
      <c r="C23" s="182"/>
      <c r="D23" s="183">
        <v>-508451.7</v>
      </c>
      <c r="E23" s="20"/>
      <c r="H23" s="19"/>
    </row>
    <row r="24" spans="1:8" ht="13.5" customHeight="1" x14ac:dyDescent="0.25">
      <c r="A24" s="230" t="s">
        <v>1</v>
      </c>
      <c r="B24" s="231"/>
      <c r="C24" s="182"/>
      <c r="D24" s="184">
        <v>0</v>
      </c>
      <c r="E24" s="20"/>
      <c r="H24" s="19"/>
    </row>
    <row r="25" spans="1:8" x14ac:dyDescent="0.25">
      <c r="A25" s="185" t="s">
        <v>105</v>
      </c>
      <c r="B25" s="185"/>
      <c r="C25" s="185"/>
      <c r="D25" s="22"/>
      <c r="E25" s="154">
        <f>SUM(D22:D24)</f>
        <v>1829258.0000000002</v>
      </c>
    </row>
    <row r="26" spans="1:8" hidden="1" x14ac:dyDescent="0.25">
      <c r="A26" s="185" t="s">
        <v>176</v>
      </c>
      <c r="B26" s="185"/>
      <c r="C26" s="185"/>
      <c r="D26" s="22"/>
      <c r="E26" s="155"/>
    </row>
    <row r="27" spans="1:8" hidden="1" x14ac:dyDescent="0.25">
      <c r="A27" s="182"/>
      <c r="B27" s="182"/>
      <c r="C27" s="182"/>
      <c r="D27" s="35"/>
      <c r="E27" s="168"/>
    </row>
    <row r="28" spans="1:8" hidden="1" x14ac:dyDescent="0.25">
      <c r="A28" s="182"/>
      <c r="B28" s="182"/>
      <c r="C28" s="182"/>
      <c r="D28" s="35"/>
      <c r="E28" s="168"/>
    </row>
    <row r="29" spans="1:8" ht="0.75" customHeight="1" x14ac:dyDescent="0.25">
      <c r="A29" s="182"/>
      <c r="B29" s="182"/>
      <c r="C29" s="182"/>
      <c r="D29" s="35"/>
      <c r="E29" s="168"/>
    </row>
    <row r="30" spans="1:8" hidden="1" x14ac:dyDescent="0.25">
      <c r="A30" s="182"/>
      <c r="B30" s="182"/>
      <c r="C30" s="182"/>
      <c r="D30" s="35"/>
      <c r="E30" s="156"/>
    </row>
    <row r="31" spans="1:8" x14ac:dyDescent="0.25">
      <c r="A31" s="182" t="s">
        <v>249</v>
      </c>
      <c r="B31" s="182" t="s">
        <v>250</v>
      </c>
      <c r="C31" s="182"/>
      <c r="D31" s="223">
        <v>125000</v>
      </c>
      <c r="E31" s="156" t="s">
        <v>251</v>
      </c>
    </row>
    <row r="32" spans="1:8" x14ac:dyDescent="0.25">
      <c r="A32" s="182" t="s">
        <v>252</v>
      </c>
      <c r="B32" s="182"/>
      <c r="C32" s="182"/>
      <c r="D32" s="223">
        <v>5087</v>
      </c>
      <c r="E32" s="156" t="s">
        <v>251</v>
      </c>
    </row>
    <row r="33" spans="1:7" x14ac:dyDescent="0.25">
      <c r="A33" s="185" t="s">
        <v>105</v>
      </c>
      <c r="B33" s="186"/>
      <c r="C33" s="186"/>
      <c r="D33" s="107"/>
      <c r="E33" s="157">
        <f>SUM(D29:D32)</f>
        <v>130087</v>
      </c>
    </row>
    <row r="34" spans="1:7" x14ac:dyDescent="0.25">
      <c r="A34" s="36" t="s">
        <v>139</v>
      </c>
      <c r="B34" s="185"/>
      <c r="C34" s="185"/>
      <c r="D34" s="22"/>
      <c r="E34" s="155"/>
    </row>
    <row r="35" spans="1:7" x14ac:dyDescent="0.25">
      <c r="A35" s="182" t="s">
        <v>260</v>
      </c>
      <c r="B35" s="187"/>
      <c r="C35" s="187"/>
      <c r="D35" s="223">
        <v>12214.52</v>
      </c>
      <c r="E35" s="156" t="str">
        <f>E37</f>
        <v>Debito 13/07</v>
      </c>
      <c r="G35" s="66"/>
    </row>
    <row r="36" spans="1:7" x14ac:dyDescent="0.25">
      <c r="A36" s="182" t="s">
        <v>261</v>
      </c>
      <c r="B36" s="187"/>
      <c r="C36" s="187"/>
      <c r="D36" s="35">
        <v>0</v>
      </c>
      <c r="E36" s="156"/>
      <c r="G36" s="66"/>
    </row>
    <row r="37" spans="1:7" x14ac:dyDescent="0.25">
      <c r="A37" s="182" t="s">
        <v>141</v>
      </c>
      <c r="B37" s="187"/>
      <c r="C37" s="187"/>
      <c r="D37" s="223">
        <v>292530.53999999998</v>
      </c>
      <c r="E37" s="156" t="s">
        <v>241</v>
      </c>
      <c r="G37" s="66"/>
    </row>
    <row r="38" spans="1:7" x14ac:dyDescent="0.25">
      <c r="A38" s="182" t="s">
        <v>143</v>
      </c>
      <c r="B38" s="187"/>
      <c r="C38" s="187"/>
      <c r="D38" s="223">
        <v>152234.67000000001</v>
      </c>
      <c r="E38" s="156" t="str">
        <f>E37</f>
        <v>Debito 13/07</v>
      </c>
      <c r="G38" s="50"/>
    </row>
    <row r="39" spans="1:7" x14ac:dyDescent="0.25">
      <c r="A39" s="182" t="s">
        <v>142</v>
      </c>
      <c r="B39" s="187"/>
      <c r="C39" s="187"/>
      <c r="D39" s="223">
        <v>16914.96</v>
      </c>
      <c r="E39" s="156" t="str">
        <f>E37</f>
        <v>Debito 13/07</v>
      </c>
    </row>
    <row r="40" spans="1:7" x14ac:dyDescent="0.25">
      <c r="A40" s="182" t="s">
        <v>149</v>
      </c>
      <c r="B40" s="187"/>
      <c r="C40" s="187"/>
      <c r="D40" s="35"/>
      <c r="E40" s="156"/>
    </row>
    <row r="41" spans="1:7" ht="12.75" customHeight="1" x14ac:dyDescent="0.25">
      <c r="A41" s="185" t="s">
        <v>140</v>
      </c>
      <c r="B41" s="185"/>
      <c r="C41" s="185"/>
      <c r="D41" s="22"/>
      <c r="E41" s="41">
        <f>SUM(D35:D40)</f>
        <v>473894.69</v>
      </c>
    </row>
    <row r="42" spans="1:7" x14ac:dyDescent="0.25">
      <c r="A42" s="14" t="s">
        <v>106</v>
      </c>
      <c r="B42" s="21"/>
      <c r="C42" s="21"/>
      <c r="D42" s="23"/>
      <c r="E42" s="157"/>
    </row>
    <row r="43" spans="1:7" ht="26.25" customHeight="1" x14ac:dyDescent="0.25">
      <c r="A43" s="236" t="s">
        <v>183</v>
      </c>
      <c r="B43" s="237"/>
      <c r="C43" s="26"/>
      <c r="D43" s="287">
        <v>7805</v>
      </c>
      <c r="E43" s="20" t="s">
        <v>184</v>
      </c>
    </row>
    <row r="44" spans="1:7" ht="26.25" customHeight="1" x14ac:dyDescent="0.25">
      <c r="A44" s="236" t="s">
        <v>185</v>
      </c>
      <c r="B44" s="237"/>
      <c r="C44" s="26"/>
      <c r="D44" s="287">
        <v>213891</v>
      </c>
      <c r="E44" s="20" t="s">
        <v>184</v>
      </c>
    </row>
    <row r="45" spans="1:7" x14ac:dyDescent="0.25">
      <c r="A45" s="21" t="s">
        <v>107</v>
      </c>
      <c r="B45" s="21"/>
      <c r="C45" s="21"/>
      <c r="D45" s="22"/>
      <c r="E45" s="41">
        <f>SUM(D43:D44)</f>
        <v>221696</v>
      </c>
    </row>
    <row r="46" spans="1:7" x14ac:dyDescent="0.25">
      <c r="A46" s="14" t="s">
        <v>108</v>
      </c>
      <c r="B46" s="27"/>
      <c r="C46" s="27"/>
      <c r="D46" s="28"/>
      <c r="E46" s="158"/>
    </row>
    <row r="47" spans="1:7" ht="15.75" customHeight="1" x14ac:dyDescent="0.25">
      <c r="A47" s="29" t="s">
        <v>109</v>
      </c>
      <c r="B47" s="29" t="s">
        <v>168</v>
      </c>
      <c r="C47" s="29"/>
      <c r="D47" s="221">
        <v>1390852.75</v>
      </c>
      <c r="E47" s="118" t="s">
        <v>234</v>
      </c>
    </row>
    <row r="48" spans="1:7" ht="14.25" customHeight="1" x14ac:dyDescent="0.25">
      <c r="A48" s="29" t="s">
        <v>109</v>
      </c>
      <c r="B48" s="29" t="s">
        <v>170</v>
      </c>
      <c r="C48" s="29"/>
      <c r="D48" s="221">
        <v>36242.83</v>
      </c>
      <c r="E48" s="192" t="s">
        <v>214</v>
      </c>
    </row>
    <row r="49" spans="1:6" ht="14.25" customHeight="1" x14ac:dyDescent="0.25">
      <c r="A49" s="29" t="s">
        <v>177</v>
      </c>
      <c r="B49" s="29" t="s">
        <v>169</v>
      </c>
      <c r="C49" s="29"/>
      <c r="D49" s="30">
        <v>0</v>
      </c>
      <c r="E49" s="20"/>
    </row>
    <row r="50" spans="1:6" x14ac:dyDescent="0.25">
      <c r="A50" s="29" t="s">
        <v>178</v>
      </c>
      <c r="B50" s="31"/>
      <c r="C50" s="29"/>
      <c r="D50" s="30">
        <v>0</v>
      </c>
      <c r="E50" s="20"/>
    </row>
    <row r="51" spans="1:6" x14ac:dyDescent="0.25">
      <c r="A51" s="236" t="s">
        <v>110</v>
      </c>
      <c r="B51" s="237"/>
      <c r="C51" s="29"/>
      <c r="D51" s="221">
        <v>5946930.7699999996</v>
      </c>
      <c r="E51" s="118" t="s">
        <v>240</v>
      </c>
    </row>
    <row r="52" spans="1:6" x14ac:dyDescent="0.25">
      <c r="A52" s="32" t="s">
        <v>111</v>
      </c>
      <c r="B52" s="25"/>
      <c r="C52" s="29"/>
      <c r="D52" s="30"/>
      <c r="E52" s="20"/>
    </row>
    <row r="53" spans="1:6" ht="15.75" thickBot="1" x14ac:dyDescent="0.3">
      <c r="A53" s="21" t="s">
        <v>112</v>
      </c>
      <c r="B53" s="21"/>
      <c r="C53" s="21"/>
      <c r="D53" s="33"/>
      <c r="E53" s="159">
        <f>SUM(D47:D52)</f>
        <v>7374026.3499999996</v>
      </c>
    </row>
    <row r="54" spans="1:6" ht="15" customHeight="1" thickBot="1" x14ac:dyDescent="0.3">
      <c r="A54" s="14"/>
      <c r="B54" s="21"/>
      <c r="C54" s="21"/>
      <c r="D54" s="22"/>
      <c r="E54" s="160"/>
    </row>
    <row r="55" spans="1:6" ht="21.95" customHeight="1" x14ac:dyDescent="0.25">
      <c r="A55" s="224" t="s">
        <v>164</v>
      </c>
      <c r="B55" s="225"/>
      <c r="C55" s="29"/>
      <c r="D55" s="221">
        <v>285000</v>
      </c>
      <c r="E55" s="167" t="s">
        <v>236</v>
      </c>
    </row>
    <row r="56" spans="1:6" ht="26.25" customHeight="1" x14ac:dyDescent="0.25">
      <c r="A56" s="224" t="s">
        <v>257</v>
      </c>
      <c r="B56" s="225"/>
      <c r="C56" s="29"/>
      <c r="D56" s="221">
        <v>280000</v>
      </c>
      <c r="E56" s="167" t="s">
        <v>256</v>
      </c>
    </row>
    <row r="57" spans="1:6" ht="186.75" customHeight="1" x14ac:dyDescent="0.25">
      <c r="A57" s="224" t="s">
        <v>244</v>
      </c>
      <c r="B57" s="225"/>
      <c r="C57" s="29"/>
      <c r="D57" s="221">
        <v>1400000</v>
      </c>
      <c r="E57" s="167"/>
      <c r="F57" s="50"/>
    </row>
    <row r="58" spans="1:6" ht="20.25" customHeight="1" x14ac:dyDescent="0.25">
      <c r="A58" s="92" t="s">
        <v>233</v>
      </c>
      <c r="B58" s="17"/>
      <c r="C58" s="29"/>
      <c r="D58" s="221">
        <v>841000</v>
      </c>
      <c r="E58" s="167" t="s">
        <v>251</v>
      </c>
      <c r="F58" s="50"/>
    </row>
    <row r="59" spans="1:6" ht="35.25" customHeight="1" x14ac:dyDescent="0.25">
      <c r="A59" s="224" t="s">
        <v>247</v>
      </c>
      <c r="B59" s="225"/>
      <c r="C59" s="29"/>
      <c r="D59" s="221">
        <v>687000</v>
      </c>
      <c r="E59" s="34" t="s">
        <v>248</v>
      </c>
      <c r="F59" s="50"/>
    </row>
    <row r="60" spans="1:6" ht="15" customHeight="1" x14ac:dyDescent="0.25">
      <c r="A60" s="219" t="s">
        <v>224</v>
      </c>
      <c r="B60" s="220"/>
      <c r="C60" s="29"/>
      <c r="D60" s="221">
        <v>6990</v>
      </c>
      <c r="E60" s="34"/>
      <c r="F60" s="50"/>
    </row>
    <row r="61" spans="1:6" ht="17.25" customHeight="1" x14ac:dyDescent="0.25">
      <c r="A61" s="92" t="s">
        <v>212</v>
      </c>
      <c r="B61" s="17"/>
      <c r="C61" s="29"/>
      <c r="D61" s="221">
        <v>31400</v>
      </c>
      <c r="E61" s="34" t="s">
        <v>253</v>
      </c>
      <c r="F61" s="50"/>
    </row>
    <row r="62" spans="1:6" ht="17.25" customHeight="1" x14ac:dyDescent="0.25">
      <c r="A62" s="92" t="s">
        <v>237</v>
      </c>
      <c r="B62" s="17"/>
      <c r="C62" s="29"/>
      <c r="D62" s="221">
        <v>31400</v>
      </c>
      <c r="E62" s="34" t="s">
        <v>253</v>
      </c>
      <c r="F62" s="50"/>
    </row>
    <row r="63" spans="1:6" ht="17.25" customHeight="1" x14ac:dyDescent="0.25">
      <c r="A63" s="92" t="s">
        <v>211</v>
      </c>
      <c r="B63" s="17"/>
      <c r="C63" s="29"/>
      <c r="D63" s="221">
        <v>31400</v>
      </c>
      <c r="E63" s="34" t="s">
        <v>253</v>
      </c>
      <c r="F63" s="50"/>
    </row>
    <row r="64" spans="1:6" ht="17.25" customHeight="1" x14ac:dyDescent="0.25">
      <c r="A64" s="92" t="s">
        <v>213</v>
      </c>
      <c r="B64" s="17"/>
      <c r="C64" s="29"/>
      <c r="D64" s="221">
        <v>31400</v>
      </c>
      <c r="E64" s="34" t="s">
        <v>253</v>
      </c>
      <c r="F64" s="50"/>
    </row>
    <row r="65" spans="1:7" ht="17.25" customHeight="1" x14ac:dyDescent="0.25">
      <c r="A65" s="92" t="s">
        <v>211</v>
      </c>
      <c r="B65" s="17"/>
      <c r="C65" s="29"/>
      <c r="D65" s="221">
        <v>31400</v>
      </c>
      <c r="E65" s="34" t="s">
        <v>238</v>
      </c>
      <c r="F65" s="50"/>
    </row>
    <row r="66" spans="1:7" ht="32.25" customHeight="1" x14ac:dyDescent="0.25">
      <c r="A66" s="224" t="s">
        <v>254</v>
      </c>
      <c r="B66" s="225"/>
      <c r="C66" s="29"/>
      <c r="D66" s="221">
        <v>138600</v>
      </c>
      <c r="E66" s="34" t="s">
        <v>238</v>
      </c>
      <c r="F66" s="50"/>
    </row>
    <row r="67" spans="1:7" ht="21.95" customHeight="1" x14ac:dyDescent="0.25">
      <c r="A67" s="92" t="s">
        <v>235</v>
      </c>
      <c r="B67" s="17"/>
      <c r="C67" s="29"/>
      <c r="D67" s="221">
        <v>145600</v>
      </c>
      <c r="E67" s="167" t="s">
        <v>234</v>
      </c>
      <c r="F67" s="50"/>
    </row>
    <row r="68" spans="1:7" ht="21.95" customHeight="1" x14ac:dyDescent="0.25">
      <c r="A68" s="92" t="s">
        <v>243</v>
      </c>
      <c r="B68" s="17"/>
      <c r="C68" s="29"/>
      <c r="D68" s="221">
        <v>152250</v>
      </c>
      <c r="E68" s="167" t="s">
        <v>234</v>
      </c>
      <c r="F68" s="50"/>
    </row>
    <row r="69" spans="1:7" ht="21.95" customHeight="1" x14ac:dyDescent="0.25">
      <c r="A69" s="92" t="s">
        <v>246</v>
      </c>
      <c r="B69" s="17"/>
      <c r="C69" s="29"/>
      <c r="D69" s="221">
        <v>7500</v>
      </c>
      <c r="E69" s="167" t="s">
        <v>214</v>
      </c>
      <c r="F69" s="50"/>
    </row>
    <row r="70" spans="1:7" ht="21.95" customHeight="1" x14ac:dyDescent="0.25">
      <c r="A70" s="92" t="s">
        <v>200</v>
      </c>
      <c r="B70" s="17"/>
      <c r="C70" s="29"/>
      <c r="D70" s="221">
        <v>405300</v>
      </c>
      <c r="E70" s="167" t="s">
        <v>256</v>
      </c>
      <c r="F70" s="50"/>
    </row>
    <row r="71" spans="1:7" ht="21.95" customHeight="1" x14ac:dyDescent="0.25">
      <c r="A71" s="224" t="s">
        <v>209</v>
      </c>
      <c r="B71" s="225"/>
      <c r="C71" s="29"/>
      <c r="D71" s="221">
        <v>124611.12</v>
      </c>
      <c r="E71" s="167" t="s">
        <v>234</v>
      </c>
      <c r="F71" s="50"/>
    </row>
    <row r="72" spans="1:7" ht="21.95" customHeight="1" x14ac:dyDescent="0.25">
      <c r="A72" s="224" t="s">
        <v>230</v>
      </c>
      <c r="B72" s="225"/>
      <c r="C72" s="29"/>
      <c r="D72" s="221">
        <v>124611.12</v>
      </c>
      <c r="E72" s="167" t="s">
        <v>234</v>
      </c>
      <c r="F72" s="50"/>
    </row>
    <row r="73" spans="1:7" x14ac:dyDescent="0.25">
      <c r="A73" s="21" t="s">
        <v>0</v>
      </c>
      <c r="B73" s="14"/>
      <c r="C73" s="14"/>
      <c r="D73" s="36"/>
      <c r="E73" s="41">
        <f>SUM(D55:D72)</f>
        <v>4755462.24</v>
      </c>
    </row>
    <row r="74" spans="1:7" x14ac:dyDescent="0.25">
      <c r="A74" s="14" t="s">
        <v>113</v>
      </c>
      <c r="B74" s="14"/>
      <c r="C74" s="14"/>
      <c r="D74" s="15"/>
      <c r="E74" s="152"/>
    </row>
    <row r="75" spans="1:7" ht="15.75" customHeight="1" x14ac:dyDescent="0.25">
      <c r="A75" s="224" t="s">
        <v>231</v>
      </c>
      <c r="B75" s="225"/>
      <c r="C75" s="18"/>
      <c r="D75" s="288">
        <v>650000</v>
      </c>
      <c r="E75" s="167" t="s">
        <v>234</v>
      </c>
      <c r="G75" t="s">
        <v>245</v>
      </c>
    </row>
    <row r="76" spans="1:7" ht="29.25" customHeight="1" x14ac:dyDescent="0.25">
      <c r="A76" s="224" t="s">
        <v>242</v>
      </c>
      <c r="B76" s="225"/>
      <c r="C76" s="18"/>
      <c r="D76" s="222">
        <v>50000</v>
      </c>
      <c r="E76" s="167" t="s">
        <v>234</v>
      </c>
    </row>
    <row r="77" spans="1:7" ht="15.75" customHeight="1" x14ac:dyDescent="0.25">
      <c r="A77" s="16" t="s">
        <v>163</v>
      </c>
      <c r="B77" s="17"/>
      <c r="C77" s="18"/>
      <c r="D77" s="222">
        <v>250000</v>
      </c>
      <c r="E77" s="167" t="s">
        <v>234</v>
      </c>
    </row>
    <row r="78" spans="1:7" ht="15.75" customHeight="1" x14ac:dyDescent="0.25">
      <c r="A78" s="92" t="s">
        <v>255</v>
      </c>
      <c r="B78" s="17"/>
      <c r="C78" s="18"/>
      <c r="D78" s="222">
        <v>484217.8</v>
      </c>
      <c r="E78" s="167" t="s">
        <v>239</v>
      </c>
    </row>
    <row r="79" spans="1:7" ht="15.75" customHeight="1" x14ac:dyDescent="0.25">
      <c r="A79" s="92" t="s">
        <v>232</v>
      </c>
      <c r="B79" s="17"/>
      <c r="C79" s="18"/>
      <c r="D79" s="222">
        <v>50000</v>
      </c>
      <c r="E79" s="167" t="s">
        <v>234</v>
      </c>
    </row>
    <row r="80" spans="1:7" x14ac:dyDescent="0.25">
      <c r="A80" s="21" t="s">
        <v>105</v>
      </c>
      <c r="B80" s="21"/>
      <c r="C80" s="21"/>
      <c r="D80" s="22"/>
      <c r="E80" s="154">
        <f>SUM(D75:D79)</f>
        <v>1484217.8</v>
      </c>
    </row>
    <row r="81" spans="1:8" x14ac:dyDescent="0.25">
      <c r="A81" s="14" t="s">
        <v>114</v>
      </c>
      <c r="B81" s="37"/>
      <c r="C81" s="21"/>
      <c r="D81" s="38"/>
      <c r="E81" s="41"/>
    </row>
    <row r="82" spans="1:8" x14ac:dyDescent="0.25">
      <c r="A82" s="29" t="s">
        <v>259</v>
      </c>
      <c r="B82" s="91"/>
      <c r="C82" s="91"/>
      <c r="D82" s="289">
        <f>44612.24+65000-12214.52</f>
        <v>97397.719999999987</v>
      </c>
      <c r="E82" s="161"/>
    </row>
    <row r="83" spans="1:8" ht="13.5" customHeight="1" x14ac:dyDescent="0.25">
      <c r="A83" s="236" t="s">
        <v>258</v>
      </c>
      <c r="B83" s="237"/>
      <c r="C83" s="91"/>
      <c r="D83" s="289">
        <v>225591.15</v>
      </c>
      <c r="E83" s="161"/>
    </row>
    <row r="84" spans="1:8" x14ac:dyDescent="0.25">
      <c r="A84" s="39" t="s">
        <v>105</v>
      </c>
      <c r="B84" s="39"/>
      <c r="C84" s="39"/>
      <c r="D84" s="40"/>
      <c r="E84" s="41">
        <f>SUM(D82:D83)</f>
        <v>322988.87</v>
      </c>
    </row>
    <row r="85" spans="1:8" x14ac:dyDescent="0.25">
      <c r="A85" s="29"/>
      <c r="B85" s="29"/>
      <c r="C85" s="29"/>
      <c r="D85" s="42"/>
      <c r="E85" s="43"/>
    </row>
    <row r="86" spans="1:8" x14ac:dyDescent="0.25">
      <c r="A86" s="44" t="s">
        <v>115</v>
      </c>
      <c r="B86" s="44"/>
      <c r="C86" s="44"/>
      <c r="D86" s="45"/>
      <c r="E86" s="46"/>
    </row>
    <row r="87" spans="1:8" ht="15.75" thickBot="1" x14ac:dyDescent="0.3">
      <c r="A87" s="47"/>
      <c r="D87" s="48"/>
      <c r="E87" s="49"/>
      <c r="F87" s="50"/>
    </row>
    <row r="88" spans="1:8" ht="15.75" thickBot="1" x14ac:dyDescent="0.3">
      <c r="A88" s="51" t="s">
        <v>116</v>
      </c>
      <c r="B88" s="52"/>
      <c r="C88" s="53"/>
      <c r="D88" s="54"/>
      <c r="E88" s="55">
        <f>(SUM(E21:E86))</f>
        <v>16591630.949999999</v>
      </c>
      <c r="F88" s="56"/>
      <c r="G88" s="50"/>
    </row>
    <row r="89" spans="1:8" x14ac:dyDescent="0.25">
      <c r="D89" s="48"/>
      <c r="E89" s="48"/>
    </row>
    <row r="90" spans="1:8" ht="15.75" thickBot="1" x14ac:dyDescent="0.3">
      <c r="D90" s="48"/>
      <c r="E90" s="48"/>
      <c r="H90" s="57"/>
    </row>
    <row r="91" spans="1:8" x14ac:dyDescent="0.25">
      <c r="A91" s="11" t="s">
        <v>117</v>
      </c>
      <c r="B91" s="12"/>
      <c r="C91" s="13"/>
      <c r="D91" s="58"/>
      <c r="E91" s="59"/>
    </row>
    <row r="92" spans="1:8" ht="16.5" customHeight="1" x14ac:dyDescent="0.25">
      <c r="A92" s="238"/>
      <c r="B92" s="238"/>
      <c r="C92" s="31"/>
      <c r="D92" s="239"/>
      <c r="E92" s="241"/>
    </row>
    <row r="93" spans="1:8" ht="1.5" hidden="1" customHeight="1" x14ac:dyDescent="0.25">
      <c r="A93" s="238"/>
      <c r="B93" s="238"/>
      <c r="C93" s="31"/>
      <c r="D93" s="240"/>
      <c r="E93" s="242"/>
    </row>
    <row r="94" spans="1:8" ht="15.75" customHeight="1" x14ac:dyDescent="0.25">
      <c r="A94" s="29"/>
      <c r="B94" s="29"/>
      <c r="D94" s="42"/>
      <c r="E94" s="42"/>
    </row>
    <row r="95" spans="1:8" x14ac:dyDescent="0.25">
      <c r="A95" s="24"/>
      <c r="B95" s="61"/>
      <c r="C95" s="29"/>
      <c r="D95" s="35"/>
      <c r="E95" s="60"/>
    </row>
    <row r="96" spans="1:8" x14ac:dyDescent="0.25">
      <c r="A96" s="62" t="s">
        <v>145</v>
      </c>
      <c r="B96" s="63"/>
      <c r="C96" s="63"/>
      <c r="D96" s="116"/>
      <c r="E96" s="162">
        <f>SUM(D92:D95)</f>
        <v>0</v>
      </c>
    </row>
    <row r="97" spans="1:5" ht="15" customHeight="1" x14ac:dyDescent="0.25">
      <c r="D97" s="48"/>
      <c r="E97" s="48"/>
    </row>
    <row r="98" spans="1:5" hidden="1" x14ac:dyDescent="0.25">
      <c r="D98" s="48"/>
      <c r="E98" s="48"/>
    </row>
    <row r="99" spans="1:5" x14ac:dyDescent="0.25">
      <c r="A99" s="44" t="s">
        <v>118</v>
      </c>
      <c r="B99" s="44"/>
      <c r="C99" s="44"/>
      <c r="D99" s="45"/>
      <c r="E99" s="166">
        <v>3000000</v>
      </c>
    </row>
    <row r="100" spans="1:5" ht="15.75" thickBot="1" x14ac:dyDescent="0.3">
      <c r="D100" s="48"/>
      <c r="E100" s="48"/>
    </row>
    <row r="101" spans="1:5" ht="15.75" thickBot="1" x14ac:dyDescent="0.3">
      <c r="A101" s="51" t="s">
        <v>119</v>
      </c>
      <c r="B101" s="52"/>
      <c r="C101" s="53"/>
      <c r="D101" s="54"/>
      <c r="E101" s="55">
        <f>E96+E99</f>
        <v>3000000</v>
      </c>
    </row>
    <row r="102" spans="1:5" ht="15.75" thickBot="1" x14ac:dyDescent="0.3">
      <c r="D102" s="48"/>
      <c r="E102" s="48"/>
    </row>
    <row r="103" spans="1:5" ht="15.75" thickBot="1" x14ac:dyDescent="0.3">
      <c r="A103" s="64" t="s">
        <v>120</v>
      </c>
      <c r="B103" s="65">
        <f>E88</f>
        <v>16591630.949999999</v>
      </c>
      <c r="D103" s="48"/>
      <c r="E103" s="48"/>
    </row>
    <row r="104" spans="1:5" ht="15.75" thickBot="1" x14ac:dyDescent="0.3">
      <c r="A104" s="64" t="s">
        <v>121</v>
      </c>
      <c r="B104" s="65">
        <f>E88-E86</f>
        <v>16591630.949999999</v>
      </c>
      <c r="D104" s="48"/>
      <c r="E104" s="48"/>
    </row>
    <row r="105" spans="1:5" ht="15.75" thickBot="1" x14ac:dyDescent="0.3">
      <c r="A105" s="64" t="s">
        <v>122</v>
      </c>
      <c r="B105" s="65">
        <f>E101-E99</f>
        <v>0</v>
      </c>
      <c r="D105" s="48"/>
      <c r="E105" s="48"/>
    </row>
    <row r="106" spans="1:5" ht="15.75" thickBot="1" x14ac:dyDescent="0.3">
      <c r="A106" s="64" t="s">
        <v>123</v>
      </c>
      <c r="B106" s="65">
        <f>E101</f>
        <v>3000000</v>
      </c>
      <c r="D106" s="48"/>
      <c r="E106" s="48"/>
    </row>
    <row r="107" spans="1:5" x14ac:dyDescent="0.25">
      <c r="D107" s="48"/>
      <c r="E107" s="48"/>
    </row>
    <row r="108" spans="1:5" x14ac:dyDescent="0.25">
      <c r="D108" s="48"/>
      <c r="E108" s="48"/>
    </row>
    <row r="109" spans="1:5" ht="15" customHeight="1" x14ac:dyDescent="0.25">
      <c r="A109" s="227" t="s">
        <v>172</v>
      </c>
      <c r="B109" s="227"/>
      <c r="D109" s="48"/>
      <c r="E109" s="48"/>
    </row>
    <row r="110" spans="1:5" ht="15" customHeight="1" x14ac:dyDescent="0.25">
      <c r="A110" s="227"/>
      <c r="B110" s="227"/>
      <c r="D110" s="48"/>
      <c r="E110" s="48"/>
    </row>
    <row r="111" spans="1:5" ht="15" customHeight="1" x14ac:dyDescent="0.25">
      <c r="A111" s="227"/>
      <c r="B111" s="227"/>
      <c r="D111" s="48"/>
      <c r="E111" s="48"/>
    </row>
    <row r="112" spans="1:5" x14ac:dyDescent="0.25">
      <c r="D112" s="48"/>
      <c r="E112" s="48"/>
    </row>
    <row r="113" spans="1:5" ht="15" customHeight="1" x14ac:dyDescent="0.25">
      <c r="A113" s="227" t="s">
        <v>199</v>
      </c>
      <c r="B113" s="227"/>
      <c r="D113" s="48"/>
      <c r="E113" s="48"/>
    </row>
    <row r="114" spans="1:5" ht="15" customHeight="1" x14ac:dyDescent="0.25">
      <c r="A114" s="227"/>
      <c r="B114" s="227"/>
      <c r="D114" s="48"/>
      <c r="E114" s="48"/>
    </row>
    <row r="115" spans="1:5" ht="15" customHeight="1" x14ac:dyDescent="0.25">
      <c r="A115" s="227"/>
      <c r="B115" s="227"/>
      <c r="D115" s="48"/>
      <c r="E115" s="48"/>
    </row>
    <row r="116" spans="1:5" ht="15.75" customHeight="1" x14ac:dyDescent="0.25">
      <c r="D116" s="48"/>
      <c r="E116" s="48"/>
    </row>
    <row r="117" spans="1:5" ht="15.75" customHeight="1" x14ac:dyDescent="0.25">
      <c r="A117" s="227" t="s">
        <v>179</v>
      </c>
      <c r="B117" s="227"/>
      <c r="D117" s="48"/>
      <c r="E117" s="48"/>
    </row>
    <row r="118" spans="1:5" ht="15.75" customHeight="1" x14ac:dyDescent="0.25">
      <c r="A118" s="227"/>
      <c r="B118" s="227"/>
      <c r="D118" s="48"/>
      <c r="E118" s="48"/>
    </row>
    <row r="119" spans="1:5" ht="15.75" customHeight="1" x14ac:dyDescent="0.25">
      <c r="A119" s="227"/>
      <c r="B119" s="227"/>
      <c r="D119" s="48"/>
      <c r="E119" s="48"/>
    </row>
    <row r="120" spans="1:5" ht="14.45" customHeight="1" x14ac:dyDescent="0.25">
      <c r="D120" s="48"/>
      <c r="E120" s="48"/>
    </row>
    <row r="121" spans="1:5" ht="14.45" customHeight="1" x14ac:dyDescent="0.25">
      <c r="A121" s="227" t="s">
        <v>182</v>
      </c>
      <c r="B121" s="227"/>
      <c r="D121" s="48"/>
      <c r="E121" s="48"/>
    </row>
    <row r="122" spans="1:5" ht="14.45" customHeight="1" x14ac:dyDescent="0.25">
      <c r="A122" s="227"/>
      <c r="B122" s="227"/>
      <c r="D122" s="48"/>
      <c r="E122" s="48"/>
    </row>
    <row r="123" spans="1:5" ht="14.45" customHeight="1" x14ac:dyDescent="0.25">
      <c r="A123" s="227"/>
      <c r="B123" s="227"/>
      <c r="D123" s="48"/>
      <c r="E123" s="48"/>
    </row>
    <row r="124" spans="1:5" ht="14.45" customHeight="1" x14ac:dyDescent="0.25">
      <c r="D124" s="48"/>
      <c r="E124" s="48"/>
    </row>
    <row r="125" spans="1:5" ht="14.45" customHeight="1" x14ac:dyDescent="0.25">
      <c r="A125" s="227" t="s">
        <v>181</v>
      </c>
      <c r="B125" s="227"/>
      <c r="D125" s="48"/>
      <c r="E125" s="48"/>
    </row>
    <row r="126" spans="1:5" ht="14.45" customHeight="1" x14ac:dyDescent="0.25">
      <c r="A126" s="227"/>
      <c r="B126" s="227"/>
      <c r="D126" s="48"/>
      <c r="E126" s="48"/>
    </row>
    <row r="127" spans="1:5" x14ac:dyDescent="0.25">
      <c r="A127" s="227"/>
      <c r="B127" s="227"/>
      <c r="D127" s="48"/>
      <c r="E127" s="48"/>
    </row>
    <row r="128" spans="1:5" x14ac:dyDescent="0.25">
      <c r="D128" s="48"/>
      <c r="E128" s="48"/>
    </row>
    <row r="129" spans="1:13" s="68" customFormat="1" x14ac:dyDescent="0.25">
      <c r="A129"/>
      <c r="B129" s="66"/>
      <c r="C129" s="67"/>
      <c r="D129" s="163"/>
      <c r="E129" s="163"/>
    </row>
    <row r="130" spans="1:13" s="68" customFormat="1" ht="15.75" customHeight="1" x14ac:dyDescent="0.25">
      <c r="A130" s="169" t="s">
        <v>189</v>
      </c>
      <c r="B130" s="69">
        <v>-668629.54</v>
      </c>
      <c r="C130" s="67"/>
      <c r="D130" s="164"/>
      <c r="E130" s="164"/>
    </row>
    <row r="131" spans="1:13" x14ac:dyDescent="0.25">
      <c r="A131" s="26" t="s">
        <v>144</v>
      </c>
      <c r="B131" s="70">
        <f>-B104-B105</f>
        <v>-16591630.949999999</v>
      </c>
      <c r="D131" s="48"/>
      <c r="E131" s="48"/>
    </row>
    <row r="132" spans="1:13" x14ac:dyDescent="0.25">
      <c r="A132" s="26" t="s">
        <v>124</v>
      </c>
      <c r="B132" s="70">
        <f>B141</f>
        <v>432000</v>
      </c>
      <c r="D132" s="48"/>
      <c r="E132" s="48"/>
      <c r="F132" s="66"/>
    </row>
    <row r="133" spans="1:13" x14ac:dyDescent="0.25">
      <c r="A133" s="26" t="s">
        <v>2</v>
      </c>
      <c r="B133" s="71">
        <f>PRORRATEO!F119</f>
        <v>16631233.519999996</v>
      </c>
      <c r="D133" s="48"/>
      <c r="E133" s="48"/>
      <c r="F133" s="66"/>
    </row>
    <row r="134" spans="1:13" ht="30" x14ac:dyDescent="0.25">
      <c r="A134" s="26" t="s">
        <v>210</v>
      </c>
      <c r="B134" s="146">
        <v>-95000</v>
      </c>
      <c r="D134" s="48"/>
      <c r="E134" s="48"/>
      <c r="F134" s="66"/>
    </row>
    <row r="135" spans="1:13" ht="15.75" thickBot="1" x14ac:dyDescent="0.3">
      <c r="A135" s="72" t="s">
        <v>160</v>
      </c>
      <c r="B135" s="73">
        <f>SUM(B130:C134)</f>
        <v>-292026.97000000253</v>
      </c>
      <c r="D135" s="66"/>
      <c r="E135" s="50"/>
      <c r="F135" s="50"/>
    </row>
    <row r="136" spans="1:13" ht="34.5" customHeight="1" x14ac:dyDescent="0.25"/>
    <row r="137" spans="1:13" x14ac:dyDescent="0.25">
      <c r="A137" s="226" t="s">
        <v>125</v>
      </c>
      <c r="B137" s="226"/>
      <c r="C137" s="226"/>
    </row>
    <row r="138" spans="1:13" x14ac:dyDescent="0.25">
      <c r="A138" s="226"/>
      <c r="B138" s="226"/>
      <c r="C138" s="226"/>
    </row>
    <row r="139" spans="1:13" ht="27" customHeight="1" x14ac:dyDescent="0.25">
      <c r="A139" s="74" t="s">
        <v>216</v>
      </c>
      <c r="B139" s="115">
        <v>300000</v>
      </c>
      <c r="C139" s="75"/>
      <c r="D139" s="56"/>
    </row>
    <row r="140" spans="1:13" ht="27" customHeight="1" x14ac:dyDescent="0.25">
      <c r="A140" s="147" t="s">
        <v>221</v>
      </c>
      <c r="B140" s="115">
        <v>132000</v>
      </c>
      <c r="C140" s="75"/>
      <c r="D140" s="56"/>
    </row>
    <row r="141" spans="1:13" x14ac:dyDescent="0.25">
      <c r="A141" s="76" t="s">
        <v>0</v>
      </c>
      <c r="B141" s="77">
        <f>SUM(B139:B140)</f>
        <v>432000</v>
      </c>
      <c r="C141" s="78"/>
    </row>
    <row r="142" spans="1:13" x14ac:dyDescent="0.25">
      <c r="M142" s="79"/>
    </row>
  </sheetData>
  <mergeCells count="29">
    <mergeCell ref="D92:D93"/>
    <mergeCell ref="E92:E93"/>
    <mergeCell ref="A83:B83"/>
    <mergeCell ref="A76:B76"/>
    <mergeCell ref="A66:B66"/>
    <mergeCell ref="B1:E1"/>
    <mergeCell ref="A24:B24"/>
    <mergeCell ref="A75:B75"/>
    <mergeCell ref="B3:E3"/>
    <mergeCell ref="B8:C10"/>
    <mergeCell ref="A13:E16"/>
    <mergeCell ref="A22:B22"/>
    <mergeCell ref="A23:B23"/>
    <mergeCell ref="A51:B51"/>
    <mergeCell ref="A43:B43"/>
    <mergeCell ref="A44:B44"/>
    <mergeCell ref="A55:B55"/>
    <mergeCell ref="A57:B57"/>
    <mergeCell ref="A59:B59"/>
    <mergeCell ref="A56:B56"/>
    <mergeCell ref="A71:B71"/>
    <mergeCell ref="A137:C138"/>
    <mergeCell ref="A113:B115"/>
    <mergeCell ref="A125:B127"/>
    <mergeCell ref="A121:B123"/>
    <mergeCell ref="A109:B111"/>
    <mergeCell ref="A117:B119"/>
    <mergeCell ref="A72:B72"/>
    <mergeCell ref="A92:B93"/>
  </mergeCells>
  <pageMargins left="0.23622047244094491" right="0.23622047244094491" top="0.74803149606299213" bottom="0.74803149606299213" header="0.31496062992125984" footer="0.31496062992125984"/>
  <pageSetup paperSize="5" scale="9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DB7A7-09F4-49CF-B824-70F15C1FF525}">
  <dimension ref="A1:P127"/>
  <sheetViews>
    <sheetView topLeftCell="A13" zoomScaleNormal="100" workbookViewId="0">
      <selection activeCell="A60" sqref="A60:B60"/>
    </sheetView>
  </sheetViews>
  <sheetFormatPr baseColWidth="10" defaultColWidth="10.85546875" defaultRowHeight="15" x14ac:dyDescent="0.25"/>
  <cols>
    <col min="1" max="1" width="4.28515625" customWidth="1"/>
    <col min="2" max="2" width="25.5703125" customWidth="1"/>
    <col min="3" max="3" width="0.140625" customWidth="1"/>
    <col min="4" max="4" width="8.42578125" customWidth="1"/>
    <col min="5" max="5" width="14.140625" customWidth="1"/>
    <col min="6" max="6" width="12.28515625" customWidth="1"/>
    <col min="7" max="7" width="10.5703125" customWidth="1"/>
    <col min="8" max="8" width="9.5703125" customWidth="1"/>
    <col min="9" max="9" width="12.42578125" customWidth="1"/>
    <col min="10" max="10" width="14.42578125" customWidth="1"/>
    <col min="11" max="12" width="12.28515625" customWidth="1"/>
    <col min="13" max="13" width="14.7109375" customWidth="1"/>
    <col min="14" max="14" width="14.28515625" customWidth="1"/>
    <col min="15" max="15" width="7.28515625" bestFit="1" customWidth="1"/>
    <col min="16" max="16" width="12" bestFit="1" customWidth="1"/>
    <col min="17" max="17" width="13" bestFit="1" customWidth="1"/>
  </cols>
  <sheetData>
    <row r="1" spans="1:16" ht="12.95" customHeight="1" x14ac:dyDescent="0.25">
      <c r="A1" s="93"/>
      <c r="B1" s="94"/>
      <c r="C1" s="94"/>
      <c r="D1" s="256"/>
      <c r="E1" s="256"/>
      <c r="F1" s="256"/>
      <c r="G1" s="256"/>
      <c r="H1" s="256"/>
      <c r="I1" s="256"/>
      <c r="J1" s="256"/>
      <c r="K1" s="256"/>
      <c r="L1" s="256"/>
      <c r="M1" s="256"/>
      <c r="N1" s="95"/>
    </row>
    <row r="2" spans="1:16" ht="12.95" customHeight="1" x14ac:dyDescent="0.25">
      <c r="A2" s="96"/>
      <c r="B2" s="97"/>
      <c r="C2" s="98"/>
      <c r="D2" s="98" t="s">
        <v>126</v>
      </c>
      <c r="E2" s="278">
        <v>3000000</v>
      </c>
      <c r="F2" s="278"/>
      <c r="G2" s="98"/>
      <c r="H2" s="98"/>
      <c r="I2" s="98" t="s">
        <v>127</v>
      </c>
      <c r="J2" s="99">
        <v>15000000</v>
      </c>
      <c r="K2" s="99"/>
      <c r="L2" s="99"/>
      <c r="M2" s="100"/>
      <c r="N2" s="101"/>
      <c r="O2" s="80"/>
      <c r="P2">
        <v>13312274.1</v>
      </c>
    </row>
    <row r="3" spans="1:16" ht="12.95" customHeight="1" thickBot="1" x14ac:dyDescent="0.3">
      <c r="A3" s="102"/>
      <c r="B3" s="103"/>
      <c r="C3" s="103"/>
      <c r="D3" s="103"/>
      <c r="E3" s="103"/>
      <c r="F3" s="104"/>
      <c r="G3" s="103"/>
      <c r="H3" s="103"/>
      <c r="I3" s="103"/>
      <c r="J3" s="103"/>
      <c r="K3" s="103"/>
      <c r="L3" s="103"/>
      <c r="M3" s="105"/>
      <c r="N3" s="106"/>
      <c r="O3" s="80"/>
    </row>
    <row r="4" spans="1:16" ht="12.95" customHeight="1" x14ac:dyDescent="0.25">
      <c r="A4" s="257" t="s">
        <v>159</v>
      </c>
      <c r="B4" s="258"/>
      <c r="C4" s="258"/>
      <c r="D4" s="258"/>
      <c r="E4" s="258"/>
      <c r="F4" s="258"/>
      <c r="G4" s="258"/>
      <c r="H4" s="258"/>
      <c r="I4" s="258"/>
      <c r="J4" s="258"/>
      <c r="K4" s="258"/>
      <c r="L4" s="258"/>
      <c r="M4" s="258"/>
      <c r="N4" s="259"/>
      <c r="O4" s="80"/>
    </row>
    <row r="5" spans="1:16" ht="12.95" customHeight="1" x14ac:dyDescent="0.25">
      <c r="A5" s="260"/>
      <c r="B5" s="261"/>
      <c r="C5" s="261"/>
      <c r="D5" s="261"/>
      <c r="E5" s="261"/>
      <c r="F5" s="261"/>
      <c r="G5" s="261"/>
      <c r="H5" s="261"/>
      <c r="I5" s="261"/>
      <c r="J5" s="261"/>
      <c r="K5" s="261"/>
      <c r="L5" s="261"/>
      <c r="M5" s="261"/>
      <c r="N5" s="262"/>
      <c r="O5" s="80"/>
    </row>
    <row r="6" spans="1:16" ht="12.95" customHeight="1" x14ac:dyDescent="0.25">
      <c r="A6" s="260"/>
      <c r="B6" s="261"/>
      <c r="C6" s="261"/>
      <c r="D6" s="261"/>
      <c r="E6" s="261"/>
      <c r="F6" s="261"/>
      <c r="G6" s="261"/>
      <c r="H6" s="261"/>
      <c r="I6" s="261"/>
      <c r="J6" s="261"/>
      <c r="K6" s="261"/>
      <c r="L6" s="261"/>
      <c r="M6" s="261"/>
      <c r="N6" s="262"/>
      <c r="O6" s="80"/>
    </row>
    <row r="7" spans="1:16" ht="12.95" customHeight="1" x14ac:dyDescent="0.25">
      <c r="A7" s="260"/>
      <c r="B7" s="261"/>
      <c r="C7" s="261"/>
      <c r="D7" s="261"/>
      <c r="E7" s="261"/>
      <c r="F7" s="261"/>
      <c r="G7" s="261"/>
      <c r="H7" s="261"/>
      <c r="I7" s="261"/>
      <c r="J7" s="261"/>
      <c r="K7" s="261"/>
      <c r="L7" s="261"/>
      <c r="M7" s="261"/>
      <c r="N7" s="262"/>
      <c r="O7" s="80"/>
    </row>
    <row r="8" spans="1:16" ht="192" customHeight="1" thickBot="1" x14ac:dyDescent="0.3">
      <c r="A8" s="263"/>
      <c r="B8" s="264"/>
      <c r="C8" s="264"/>
      <c r="D8" s="264"/>
      <c r="E8" s="264"/>
      <c r="F8" s="264"/>
      <c r="G8" s="264"/>
      <c r="H8" s="264"/>
      <c r="I8" s="264"/>
      <c r="J8" s="264"/>
      <c r="K8" s="264"/>
      <c r="L8" s="264"/>
      <c r="M8" s="264"/>
      <c r="N8" s="265"/>
    </row>
    <row r="9" spans="1:16" ht="48" customHeight="1" thickBot="1" x14ac:dyDescent="0.3">
      <c r="A9" s="272" t="s">
        <v>157</v>
      </c>
      <c r="B9" s="273"/>
      <c r="C9" s="273"/>
      <c r="D9" s="273"/>
      <c r="E9" s="273"/>
      <c r="F9" s="273"/>
      <c r="G9" s="273"/>
      <c r="H9" s="273"/>
      <c r="I9" s="273"/>
      <c r="J9" s="273"/>
      <c r="K9" s="273"/>
      <c r="L9" s="273"/>
      <c r="M9" s="273"/>
      <c r="N9" s="274"/>
    </row>
    <row r="10" spans="1:16" ht="59.25" customHeight="1" thickBot="1" x14ac:dyDescent="0.3">
      <c r="A10" s="247" t="s">
        <v>225</v>
      </c>
      <c r="B10" s="248"/>
      <c r="C10" s="248"/>
      <c r="D10" s="248"/>
      <c r="E10" s="248"/>
      <c r="F10" s="248"/>
      <c r="G10" s="248"/>
      <c r="H10" s="248"/>
      <c r="I10" s="248"/>
      <c r="J10" s="248"/>
      <c r="K10" s="248"/>
      <c r="L10" s="248"/>
      <c r="M10" s="248"/>
      <c r="N10" s="249"/>
    </row>
    <row r="11" spans="1:16" ht="59.25" customHeight="1" thickBot="1" x14ac:dyDescent="0.3">
      <c r="A11" s="250" t="s">
        <v>226</v>
      </c>
      <c r="B11" s="251"/>
      <c r="C11" s="251"/>
      <c r="D11" s="251"/>
      <c r="E11" s="251"/>
      <c r="F11" s="251"/>
      <c r="G11" s="251"/>
      <c r="H11" s="251"/>
      <c r="I11" s="251"/>
      <c r="J11" s="251"/>
      <c r="K11" s="251"/>
      <c r="L11" s="251"/>
      <c r="M11" s="251"/>
      <c r="N11" s="252"/>
    </row>
    <row r="12" spans="1:16" ht="48" customHeight="1" thickBot="1" x14ac:dyDescent="0.3">
      <c r="A12" s="275" t="s">
        <v>158</v>
      </c>
      <c r="B12" s="276"/>
      <c r="C12" s="276"/>
      <c r="D12" s="276"/>
      <c r="E12" s="276"/>
      <c r="F12" s="276"/>
      <c r="G12" s="276"/>
      <c r="H12" s="276"/>
      <c r="I12" s="276"/>
      <c r="J12" s="276"/>
      <c r="K12" s="276"/>
      <c r="L12" s="276"/>
      <c r="M12" s="276"/>
      <c r="N12" s="277"/>
    </row>
    <row r="13" spans="1:16" x14ac:dyDescent="0.25">
      <c r="A13" s="266" t="s">
        <v>128</v>
      </c>
      <c r="B13" s="268" t="s">
        <v>129</v>
      </c>
      <c r="C13" s="268" t="s">
        <v>130</v>
      </c>
      <c r="D13" s="268" t="s">
        <v>131</v>
      </c>
      <c r="E13" s="245" t="s">
        <v>132</v>
      </c>
      <c r="F13" s="268" t="s">
        <v>133</v>
      </c>
      <c r="G13" s="270" t="s">
        <v>134</v>
      </c>
      <c r="H13" s="245" t="s">
        <v>135</v>
      </c>
      <c r="I13" s="245" t="s">
        <v>127</v>
      </c>
      <c r="J13" s="245" t="s">
        <v>126</v>
      </c>
      <c r="K13" s="279" t="s">
        <v>174</v>
      </c>
      <c r="L13" s="243" t="s">
        <v>180</v>
      </c>
      <c r="M13" s="143" t="s">
        <v>215</v>
      </c>
      <c r="N13" s="253" t="s">
        <v>136</v>
      </c>
    </row>
    <row r="14" spans="1:16" ht="15.75" customHeight="1" x14ac:dyDescent="0.25">
      <c r="A14" s="267"/>
      <c r="B14" s="269"/>
      <c r="C14" s="269"/>
      <c r="D14" s="269"/>
      <c r="E14" s="246"/>
      <c r="F14" s="269"/>
      <c r="G14" s="271"/>
      <c r="H14" s="246"/>
      <c r="I14" s="246"/>
      <c r="J14" s="246"/>
      <c r="K14" s="280"/>
      <c r="L14" s="244"/>
      <c r="M14" s="144" t="str">
        <f>RESUMEN!B8</f>
        <v>VTO 17/08</v>
      </c>
      <c r="N14" s="254"/>
    </row>
    <row r="15" spans="1:16" ht="17.100000000000001" customHeight="1" x14ac:dyDescent="0.25">
      <c r="A15" s="129">
        <v>1</v>
      </c>
      <c r="B15" s="81" t="s">
        <v>3</v>
      </c>
      <c r="C15" s="81"/>
      <c r="D15" s="82">
        <v>1.37</v>
      </c>
      <c r="E15" s="83">
        <v>232597.01</v>
      </c>
      <c r="F15" s="84">
        <f>E15</f>
        <v>232597.01</v>
      </c>
      <c r="G15" s="85">
        <f t="shared" ref="G15:G78" si="0">E15-F15</f>
        <v>0</v>
      </c>
      <c r="H15" s="85">
        <f>IF(G15&gt;0,G15*3%,0)</f>
        <v>0</v>
      </c>
      <c r="I15" s="125">
        <f t="shared" ref="I15:I46" si="1">J$2*D15/100</f>
        <v>205500</v>
      </c>
      <c r="J15" s="125">
        <f t="shared" ref="J15:J46" si="2">E$2*D15/100</f>
        <v>41100.000000000007</v>
      </c>
      <c r="K15" s="125"/>
      <c r="L15" s="148"/>
      <c r="M15" s="86">
        <f>ROUND(SUM(G15:L15),0) + O15</f>
        <v>246600.01</v>
      </c>
      <c r="N15" s="139">
        <f t="shared" ref="N15:N35" si="3">ROUND(M15*3%,0) + M15</f>
        <v>253998.01</v>
      </c>
      <c r="O15" s="50">
        <v>0.01</v>
      </c>
    </row>
    <row r="16" spans="1:16" ht="17.100000000000001" customHeight="1" x14ac:dyDescent="0.25">
      <c r="A16" s="188">
        <v>2</v>
      </c>
      <c r="B16" s="208" t="s">
        <v>4</v>
      </c>
      <c r="C16" s="209"/>
      <c r="D16" s="210">
        <v>1.18</v>
      </c>
      <c r="E16" s="211">
        <v>3506224.02</v>
      </c>
      <c r="F16" s="211"/>
      <c r="G16" s="212">
        <f t="shared" si="0"/>
        <v>3506224.02</v>
      </c>
      <c r="H16" s="212">
        <f t="shared" ref="H16:H79" si="4">IF(G16&gt;0,G16*3%,0)</f>
        <v>105186.7206</v>
      </c>
      <c r="I16" s="213">
        <f t="shared" si="1"/>
        <v>177000</v>
      </c>
      <c r="J16" s="213">
        <f t="shared" si="2"/>
        <v>35400</v>
      </c>
      <c r="K16" s="213"/>
      <c r="L16" s="214"/>
      <c r="M16" s="215">
        <f>ROUND(SUM(G16:L16),0) + O16</f>
        <v>3823811.02</v>
      </c>
      <c r="N16" s="216">
        <f t="shared" si="3"/>
        <v>3938525.02</v>
      </c>
      <c r="O16" s="50">
        <f>O15+0.01</f>
        <v>0.02</v>
      </c>
      <c r="P16" t="s">
        <v>166</v>
      </c>
    </row>
    <row r="17" spans="1:15" ht="17.100000000000001" customHeight="1" x14ac:dyDescent="0.25">
      <c r="A17" s="129">
        <v>3</v>
      </c>
      <c r="B17" s="81" t="s">
        <v>5</v>
      </c>
      <c r="C17" s="87"/>
      <c r="D17" s="82">
        <v>0.74</v>
      </c>
      <c r="E17" s="83">
        <v>125636.03</v>
      </c>
      <c r="F17" s="84">
        <f>E17</f>
        <v>125636.03</v>
      </c>
      <c r="G17" s="85">
        <f t="shared" si="0"/>
        <v>0</v>
      </c>
      <c r="H17" s="85">
        <f t="shared" si="4"/>
        <v>0</v>
      </c>
      <c r="I17" s="125">
        <f t="shared" si="1"/>
        <v>111000</v>
      </c>
      <c r="J17" s="125">
        <f t="shared" si="2"/>
        <v>22200</v>
      </c>
      <c r="K17" s="125"/>
      <c r="L17" s="148"/>
      <c r="M17" s="86">
        <f t="shared" ref="M17:M80" si="5">ROUND(SUM(G17:L17),0) + O17</f>
        <v>133200.03</v>
      </c>
      <c r="N17" s="139">
        <f t="shared" si="3"/>
        <v>137196.03</v>
      </c>
      <c r="O17" s="50">
        <f t="shared" ref="O17:O32" si="6">O16+0.01</f>
        <v>0.03</v>
      </c>
    </row>
    <row r="18" spans="1:15" ht="17.100000000000001" customHeight="1" x14ac:dyDescent="0.25">
      <c r="A18" s="130">
        <v>4</v>
      </c>
      <c r="B18" s="108" t="s">
        <v>6</v>
      </c>
      <c r="C18" s="113"/>
      <c r="D18" s="110">
        <v>1.47</v>
      </c>
      <c r="E18" s="84">
        <v>249575.04000000001</v>
      </c>
      <c r="F18" s="84">
        <f>E18</f>
        <v>249575.04000000001</v>
      </c>
      <c r="G18" s="111">
        <f t="shared" si="0"/>
        <v>0</v>
      </c>
      <c r="H18" s="111">
        <f t="shared" si="4"/>
        <v>0</v>
      </c>
      <c r="I18" s="126">
        <f t="shared" si="1"/>
        <v>220500</v>
      </c>
      <c r="J18" s="126">
        <f t="shared" si="2"/>
        <v>44100</v>
      </c>
      <c r="K18" s="126"/>
      <c r="L18" s="149"/>
      <c r="M18" s="86">
        <f t="shared" si="5"/>
        <v>264600.03999999998</v>
      </c>
      <c r="N18" s="140">
        <f t="shared" si="3"/>
        <v>272538.03999999998</v>
      </c>
      <c r="O18" s="50">
        <f t="shared" si="6"/>
        <v>0.04</v>
      </c>
    </row>
    <row r="19" spans="1:15" ht="17.100000000000001" customHeight="1" x14ac:dyDescent="0.25">
      <c r="A19" s="129">
        <v>5</v>
      </c>
      <c r="B19" s="81" t="s">
        <v>7</v>
      </c>
      <c r="C19" s="81"/>
      <c r="D19" s="82">
        <v>1.1200000000000001</v>
      </c>
      <c r="E19" s="84">
        <v>184671.05</v>
      </c>
      <c r="F19" s="84">
        <v>190211.05</v>
      </c>
      <c r="G19" s="85">
        <f t="shared" si="0"/>
        <v>-5540</v>
      </c>
      <c r="H19" s="85">
        <f t="shared" si="4"/>
        <v>0</v>
      </c>
      <c r="I19" s="125">
        <f t="shared" si="1"/>
        <v>168000</v>
      </c>
      <c r="J19" s="125">
        <f t="shared" si="2"/>
        <v>33600.000000000007</v>
      </c>
      <c r="K19" s="125"/>
      <c r="L19" s="148"/>
      <c r="M19" s="86">
        <f t="shared" si="5"/>
        <v>196060.05</v>
      </c>
      <c r="N19" s="139">
        <f t="shared" si="3"/>
        <v>201942.05</v>
      </c>
      <c r="O19" s="50">
        <f t="shared" si="6"/>
        <v>0.05</v>
      </c>
    </row>
    <row r="20" spans="1:15" ht="17.100000000000001" customHeight="1" x14ac:dyDescent="0.25">
      <c r="A20" s="129">
        <v>6</v>
      </c>
      <c r="B20" s="81" t="s">
        <v>8</v>
      </c>
      <c r="C20" s="81"/>
      <c r="D20" s="82">
        <v>1.35</v>
      </c>
      <c r="E20" s="83">
        <v>228582.06</v>
      </c>
      <c r="F20" s="84">
        <v>230000</v>
      </c>
      <c r="G20" s="85">
        <f t="shared" si="0"/>
        <v>-1417.9400000000023</v>
      </c>
      <c r="H20" s="85">
        <f t="shared" si="4"/>
        <v>0</v>
      </c>
      <c r="I20" s="125">
        <f t="shared" si="1"/>
        <v>202500</v>
      </c>
      <c r="J20" s="125">
        <f t="shared" si="2"/>
        <v>40500.000000000007</v>
      </c>
      <c r="K20" s="125"/>
      <c r="L20" s="148"/>
      <c r="M20" s="86">
        <f t="shared" si="5"/>
        <v>241582.06</v>
      </c>
      <c r="N20" s="139">
        <f t="shared" si="3"/>
        <v>248829.06</v>
      </c>
      <c r="O20" s="50">
        <f t="shared" si="6"/>
        <v>6.0000000000000005E-2</v>
      </c>
    </row>
    <row r="21" spans="1:15" ht="17.100000000000001" customHeight="1" x14ac:dyDescent="0.25">
      <c r="A21" s="129">
        <v>7</v>
      </c>
      <c r="B21" s="81" t="s">
        <v>9</v>
      </c>
      <c r="C21" s="81"/>
      <c r="D21" s="82">
        <v>1.1200000000000001</v>
      </c>
      <c r="E21" s="83">
        <v>190152.07</v>
      </c>
      <c r="F21" s="84">
        <f>E21</f>
        <v>190152.07</v>
      </c>
      <c r="G21" s="85">
        <f t="shared" si="0"/>
        <v>0</v>
      </c>
      <c r="H21" s="85">
        <f t="shared" si="4"/>
        <v>0</v>
      </c>
      <c r="I21" s="125">
        <f t="shared" si="1"/>
        <v>168000</v>
      </c>
      <c r="J21" s="125">
        <f t="shared" si="2"/>
        <v>33600.000000000007</v>
      </c>
      <c r="K21" s="125"/>
      <c r="L21" s="148"/>
      <c r="M21" s="86">
        <f t="shared" si="5"/>
        <v>201600.07</v>
      </c>
      <c r="N21" s="139">
        <f t="shared" si="3"/>
        <v>207648.07</v>
      </c>
      <c r="O21" s="50">
        <f t="shared" si="6"/>
        <v>7.0000000000000007E-2</v>
      </c>
    </row>
    <row r="22" spans="1:15" ht="17.100000000000001" customHeight="1" x14ac:dyDescent="0.25">
      <c r="A22" s="129">
        <v>8</v>
      </c>
      <c r="B22" s="81" t="s">
        <v>10</v>
      </c>
      <c r="C22" s="87"/>
      <c r="D22" s="82">
        <v>0.82</v>
      </c>
      <c r="E22" s="83">
        <v>135322.07999999999</v>
      </c>
      <c r="F22" s="84">
        <f>E22</f>
        <v>135322.07999999999</v>
      </c>
      <c r="G22" s="85">
        <f t="shared" si="0"/>
        <v>0</v>
      </c>
      <c r="H22" s="85">
        <f t="shared" si="4"/>
        <v>0</v>
      </c>
      <c r="I22" s="125">
        <f t="shared" si="1"/>
        <v>123000</v>
      </c>
      <c r="J22" s="125">
        <f t="shared" si="2"/>
        <v>24600</v>
      </c>
      <c r="K22" s="125"/>
      <c r="L22" s="148"/>
      <c r="M22" s="86">
        <f t="shared" si="5"/>
        <v>147600.07999999999</v>
      </c>
      <c r="N22" s="139">
        <f t="shared" si="3"/>
        <v>152028.07999999999</v>
      </c>
      <c r="O22" s="50">
        <f t="shared" si="6"/>
        <v>0.08</v>
      </c>
    </row>
    <row r="23" spans="1:15" ht="17.100000000000001" customHeight="1" x14ac:dyDescent="0.25">
      <c r="A23" s="129">
        <v>9</v>
      </c>
      <c r="B23" s="81" t="s">
        <v>11</v>
      </c>
      <c r="C23" s="87"/>
      <c r="D23" s="82">
        <v>0.82</v>
      </c>
      <c r="E23" s="83">
        <v>131345.09</v>
      </c>
      <c r="F23" s="84">
        <v>135285.09</v>
      </c>
      <c r="G23" s="85">
        <f t="shared" si="0"/>
        <v>-3940</v>
      </c>
      <c r="H23" s="85">
        <f t="shared" si="4"/>
        <v>0</v>
      </c>
      <c r="I23" s="125">
        <f t="shared" si="1"/>
        <v>123000</v>
      </c>
      <c r="J23" s="125">
        <f t="shared" si="2"/>
        <v>24600</v>
      </c>
      <c r="K23" s="125"/>
      <c r="L23" s="148"/>
      <c r="M23" s="86">
        <f t="shared" si="5"/>
        <v>143660.09</v>
      </c>
      <c r="N23" s="139">
        <f t="shared" si="3"/>
        <v>147970.09</v>
      </c>
      <c r="O23" s="50">
        <f t="shared" si="6"/>
        <v>0.09</v>
      </c>
    </row>
    <row r="24" spans="1:15" ht="17.100000000000001" customHeight="1" x14ac:dyDescent="0.25">
      <c r="A24" s="129">
        <v>10</v>
      </c>
      <c r="B24" s="81" t="s">
        <v>12</v>
      </c>
      <c r="C24" s="87"/>
      <c r="D24" s="82">
        <v>1.34</v>
      </c>
      <c r="E24" s="83">
        <v>227504.1</v>
      </c>
      <c r="F24" s="84">
        <v>227504.1</v>
      </c>
      <c r="G24" s="85">
        <f t="shared" si="0"/>
        <v>0</v>
      </c>
      <c r="H24" s="85">
        <f t="shared" si="4"/>
        <v>0</v>
      </c>
      <c r="I24" s="125">
        <f t="shared" si="1"/>
        <v>201000</v>
      </c>
      <c r="J24" s="125">
        <f t="shared" si="2"/>
        <v>40200.000000000007</v>
      </c>
      <c r="K24" s="125"/>
      <c r="L24" s="148"/>
      <c r="M24" s="86">
        <f t="shared" si="5"/>
        <v>241200.1</v>
      </c>
      <c r="N24" s="139">
        <f t="shared" si="3"/>
        <v>248436.1</v>
      </c>
      <c r="O24" s="50">
        <f t="shared" si="6"/>
        <v>9.9999999999999992E-2</v>
      </c>
    </row>
    <row r="25" spans="1:15" ht="17.100000000000001" customHeight="1" x14ac:dyDescent="0.25">
      <c r="A25" s="129">
        <v>11</v>
      </c>
      <c r="B25" s="81" t="s">
        <v>13</v>
      </c>
      <c r="C25" s="87"/>
      <c r="D25" s="82">
        <v>1.1200000000000001</v>
      </c>
      <c r="E25" s="83">
        <v>190152.11</v>
      </c>
      <c r="F25" s="84">
        <f>E25</f>
        <v>190152.11</v>
      </c>
      <c r="G25" s="85">
        <f t="shared" si="0"/>
        <v>0</v>
      </c>
      <c r="H25" s="85">
        <f t="shared" si="4"/>
        <v>0</v>
      </c>
      <c r="I25" s="125">
        <f t="shared" si="1"/>
        <v>168000</v>
      </c>
      <c r="J25" s="125">
        <f t="shared" si="2"/>
        <v>33600.000000000007</v>
      </c>
      <c r="K25" s="125"/>
      <c r="L25" s="148"/>
      <c r="M25" s="86">
        <f t="shared" si="5"/>
        <v>201600.11</v>
      </c>
      <c r="N25" s="139">
        <f t="shared" si="3"/>
        <v>207648.11</v>
      </c>
      <c r="O25" s="50">
        <f t="shared" si="6"/>
        <v>0.10999999999999999</v>
      </c>
    </row>
    <row r="26" spans="1:15" ht="17.25" customHeight="1" x14ac:dyDescent="0.25">
      <c r="A26" s="188">
        <v>12</v>
      </c>
      <c r="B26" s="208" t="s">
        <v>14</v>
      </c>
      <c r="C26" s="209"/>
      <c r="D26" s="210">
        <v>1.17</v>
      </c>
      <c r="E26" s="211">
        <v>4474263.12</v>
      </c>
      <c r="F26" s="211">
        <v>0</v>
      </c>
      <c r="G26" s="212">
        <f t="shared" si="0"/>
        <v>4474263.12</v>
      </c>
      <c r="H26" s="212">
        <f t="shared" si="4"/>
        <v>134227.89360000001</v>
      </c>
      <c r="I26" s="213">
        <f t="shared" si="1"/>
        <v>175500</v>
      </c>
      <c r="J26" s="213">
        <f t="shared" si="2"/>
        <v>35100</v>
      </c>
      <c r="K26" s="213"/>
      <c r="L26" s="214"/>
      <c r="M26" s="215">
        <f t="shared" si="5"/>
        <v>4819091.12</v>
      </c>
      <c r="N26" s="216">
        <f t="shared" si="3"/>
        <v>4963664.12</v>
      </c>
      <c r="O26" s="50">
        <f t="shared" si="6"/>
        <v>0.11999999999999998</v>
      </c>
    </row>
    <row r="27" spans="1:15" ht="17.100000000000001" customHeight="1" x14ac:dyDescent="0.25">
      <c r="A27" s="129">
        <v>13</v>
      </c>
      <c r="B27" s="81" t="s">
        <v>15</v>
      </c>
      <c r="C27" s="87"/>
      <c r="D27" s="82">
        <v>1.35</v>
      </c>
      <c r="E27" s="83">
        <v>229201.13</v>
      </c>
      <c r="F27" s="84">
        <f>E27</f>
        <v>229201.13</v>
      </c>
      <c r="G27" s="85">
        <f t="shared" si="0"/>
        <v>0</v>
      </c>
      <c r="H27" s="85">
        <f t="shared" si="4"/>
        <v>0</v>
      </c>
      <c r="I27" s="125">
        <f t="shared" si="1"/>
        <v>202500</v>
      </c>
      <c r="J27" s="125">
        <f t="shared" si="2"/>
        <v>40500.000000000007</v>
      </c>
      <c r="K27" s="125"/>
      <c r="L27" s="148"/>
      <c r="M27" s="86">
        <f t="shared" si="5"/>
        <v>243000.13</v>
      </c>
      <c r="N27" s="139">
        <f t="shared" si="3"/>
        <v>250290.13</v>
      </c>
      <c r="O27" s="50">
        <f t="shared" si="6"/>
        <v>0.12999999999999998</v>
      </c>
    </row>
    <row r="28" spans="1:15" ht="17.100000000000001" customHeight="1" x14ac:dyDescent="0.25">
      <c r="A28" s="129">
        <v>14</v>
      </c>
      <c r="B28" s="81" t="s">
        <v>16</v>
      </c>
      <c r="C28" s="87"/>
      <c r="D28" s="82">
        <v>1.1200000000000001</v>
      </c>
      <c r="E28" s="83">
        <v>378330.14</v>
      </c>
      <c r="F28" s="84"/>
      <c r="G28" s="85">
        <f t="shared" si="0"/>
        <v>378330.14</v>
      </c>
      <c r="H28" s="85">
        <f t="shared" si="4"/>
        <v>11349.904200000001</v>
      </c>
      <c r="I28" s="125">
        <f t="shared" si="1"/>
        <v>168000</v>
      </c>
      <c r="J28" s="125">
        <f t="shared" si="2"/>
        <v>33600.000000000007</v>
      </c>
      <c r="K28" s="125"/>
      <c r="L28" s="148"/>
      <c r="M28" s="86">
        <f t="shared" si="5"/>
        <v>591280.14</v>
      </c>
      <c r="N28" s="139">
        <f t="shared" si="3"/>
        <v>609018.14</v>
      </c>
      <c r="O28" s="50">
        <f t="shared" si="6"/>
        <v>0.13999999999999999</v>
      </c>
    </row>
    <row r="29" spans="1:15" ht="17.100000000000001" customHeight="1" x14ac:dyDescent="0.25">
      <c r="A29" s="130">
        <v>15</v>
      </c>
      <c r="B29" s="108" t="s">
        <v>17</v>
      </c>
      <c r="C29" s="113"/>
      <c r="D29" s="110">
        <v>0.82</v>
      </c>
      <c r="E29" s="84">
        <v>139219.15</v>
      </c>
      <c r="F29" s="84">
        <f>E29</f>
        <v>139219.15</v>
      </c>
      <c r="G29" s="85">
        <f t="shared" si="0"/>
        <v>0</v>
      </c>
      <c r="H29" s="85">
        <f t="shared" si="4"/>
        <v>0</v>
      </c>
      <c r="I29" s="125">
        <f t="shared" si="1"/>
        <v>123000</v>
      </c>
      <c r="J29" s="125">
        <f t="shared" si="2"/>
        <v>24600</v>
      </c>
      <c r="K29" s="125"/>
      <c r="L29" s="148"/>
      <c r="M29" s="86">
        <f t="shared" si="5"/>
        <v>147600.15</v>
      </c>
      <c r="N29" s="139">
        <f t="shared" si="3"/>
        <v>152028.15</v>
      </c>
      <c r="O29" s="50">
        <f t="shared" si="6"/>
        <v>0.15</v>
      </c>
    </row>
    <row r="30" spans="1:15" ht="17.100000000000001" customHeight="1" x14ac:dyDescent="0.25">
      <c r="A30" s="129">
        <v>16</v>
      </c>
      <c r="B30" s="81" t="s">
        <v>18</v>
      </c>
      <c r="C30" s="81"/>
      <c r="D30" s="82">
        <v>0.82</v>
      </c>
      <c r="E30" s="83">
        <v>139219.16</v>
      </c>
      <c r="F30" s="84">
        <f>E30</f>
        <v>139219.16</v>
      </c>
      <c r="G30" s="85">
        <f t="shared" si="0"/>
        <v>0</v>
      </c>
      <c r="H30" s="85">
        <f t="shared" si="4"/>
        <v>0</v>
      </c>
      <c r="I30" s="125">
        <f t="shared" si="1"/>
        <v>123000</v>
      </c>
      <c r="J30" s="125">
        <f t="shared" si="2"/>
        <v>24600</v>
      </c>
      <c r="K30" s="125"/>
      <c r="L30" s="148"/>
      <c r="M30" s="86">
        <f t="shared" si="5"/>
        <v>147600.16</v>
      </c>
      <c r="N30" s="139">
        <f t="shared" si="3"/>
        <v>152028.16</v>
      </c>
      <c r="O30" s="50">
        <f t="shared" si="6"/>
        <v>0.16</v>
      </c>
    </row>
    <row r="31" spans="1:15" ht="17.100000000000001" customHeight="1" x14ac:dyDescent="0.25">
      <c r="A31" s="129">
        <v>17</v>
      </c>
      <c r="B31" s="81" t="s">
        <v>19</v>
      </c>
      <c r="C31" s="87"/>
      <c r="D31" s="82">
        <v>1.34</v>
      </c>
      <c r="E31" s="83">
        <v>234329.17</v>
      </c>
      <c r="F31" s="84">
        <v>173374.17</v>
      </c>
      <c r="G31" s="85">
        <f t="shared" si="0"/>
        <v>60955</v>
      </c>
      <c r="H31" s="85">
        <f t="shared" si="4"/>
        <v>1828.6499999999999</v>
      </c>
      <c r="I31" s="125">
        <f t="shared" si="1"/>
        <v>201000</v>
      </c>
      <c r="J31" s="125">
        <f t="shared" si="2"/>
        <v>40200.000000000007</v>
      </c>
      <c r="K31" s="125"/>
      <c r="L31" s="148"/>
      <c r="M31" s="86">
        <f t="shared" si="5"/>
        <v>303984.17</v>
      </c>
      <c r="N31" s="139">
        <f t="shared" si="3"/>
        <v>313104.17</v>
      </c>
      <c r="O31" s="50">
        <f t="shared" si="6"/>
        <v>0.17</v>
      </c>
    </row>
    <row r="32" spans="1:15" ht="17.100000000000001" customHeight="1" x14ac:dyDescent="0.25">
      <c r="A32" s="130">
        <v>18</v>
      </c>
      <c r="B32" s="108" t="s">
        <v>20</v>
      </c>
      <c r="C32" s="109"/>
      <c r="D32" s="110">
        <v>1.1200000000000001</v>
      </c>
      <c r="E32" s="84">
        <v>190152.18</v>
      </c>
      <c r="F32" s="84">
        <f>E32</f>
        <v>190152.18</v>
      </c>
      <c r="G32" s="111">
        <f t="shared" si="0"/>
        <v>0</v>
      </c>
      <c r="H32" s="111">
        <f t="shared" si="4"/>
        <v>0</v>
      </c>
      <c r="I32" s="126">
        <f t="shared" si="1"/>
        <v>168000</v>
      </c>
      <c r="J32" s="126">
        <f t="shared" si="2"/>
        <v>33600.000000000007</v>
      </c>
      <c r="K32" s="126"/>
      <c r="L32" s="149"/>
      <c r="M32" s="86">
        <f t="shared" si="5"/>
        <v>201600.18</v>
      </c>
      <c r="N32" s="140">
        <f t="shared" si="3"/>
        <v>207648.18</v>
      </c>
      <c r="O32" s="50">
        <f t="shared" si="6"/>
        <v>0.18000000000000002</v>
      </c>
    </row>
    <row r="33" spans="1:16" x14ac:dyDescent="0.25">
      <c r="A33" s="130">
        <v>19</v>
      </c>
      <c r="B33" s="108" t="s">
        <v>21</v>
      </c>
      <c r="C33" s="87"/>
      <c r="D33" s="82">
        <v>1.17</v>
      </c>
      <c r="E33" s="83">
        <v>395221.19</v>
      </c>
      <c r="F33" s="84">
        <v>429001.19</v>
      </c>
      <c r="G33" s="85">
        <f t="shared" si="0"/>
        <v>-33780</v>
      </c>
      <c r="H33" s="85">
        <f t="shared" si="4"/>
        <v>0</v>
      </c>
      <c r="I33" s="125">
        <f t="shared" si="1"/>
        <v>175500</v>
      </c>
      <c r="J33" s="125">
        <f t="shared" si="2"/>
        <v>35100</v>
      </c>
      <c r="K33" s="125"/>
      <c r="L33" s="148"/>
      <c r="M33" s="86">
        <f t="shared" si="5"/>
        <v>176820.19</v>
      </c>
      <c r="N33" s="139">
        <f t="shared" si="3"/>
        <v>182125.19</v>
      </c>
      <c r="O33" s="50">
        <f>O32+0.01</f>
        <v>0.19000000000000003</v>
      </c>
      <c r="P33" t="s">
        <v>155</v>
      </c>
    </row>
    <row r="34" spans="1:16" x14ac:dyDescent="0.25">
      <c r="A34" s="131">
        <v>20</v>
      </c>
      <c r="B34" s="127" t="s">
        <v>22</v>
      </c>
      <c r="C34" s="120"/>
      <c r="D34" s="121">
        <v>1.35</v>
      </c>
      <c r="E34" s="122">
        <v>779138.2</v>
      </c>
      <c r="F34" s="122">
        <v>0</v>
      </c>
      <c r="G34" s="123">
        <f t="shared" si="0"/>
        <v>779138.2</v>
      </c>
      <c r="H34" s="123"/>
      <c r="I34" s="128">
        <f t="shared" si="1"/>
        <v>202500</v>
      </c>
      <c r="J34" s="128">
        <f t="shared" si="2"/>
        <v>40500.000000000007</v>
      </c>
      <c r="K34" s="128"/>
      <c r="L34" s="150">
        <v>123300</v>
      </c>
      <c r="M34" s="124">
        <f t="shared" si="5"/>
        <v>1145438.2</v>
      </c>
      <c r="N34" s="141">
        <f t="shared" si="3"/>
        <v>1179801.2</v>
      </c>
      <c r="O34" s="50">
        <f t="shared" ref="O34:O97" si="7">O33+0.01</f>
        <v>0.20000000000000004</v>
      </c>
      <c r="P34" t="s">
        <v>202</v>
      </c>
    </row>
    <row r="35" spans="1:16" x14ac:dyDescent="0.25">
      <c r="A35" s="130">
        <v>21</v>
      </c>
      <c r="B35" s="114" t="s">
        <v>23</v>
      </c>
      <c r="C35" s="113"/>
      <c r="D35" s="110">
        <v>1.1200000000000001</v>
      </c>
      <c r="E35" s="84">
        <v>190152.21</v>
      </c>
      <c r="F35" s="84">
        <f>E35</f>
        <v>190152.21</v>
      </c>
      <c r="G35" s="111">
        <f t="shared" si="0"/>
        <v>0</v>
      </c>
      <c r="H35" s="111">
        <f t="shared" si="4"/>
        <v>0</v>
      </c>
      <c r="I35" s="126">
        <f t="shared" si="1"/>
        <v>168000</v>
      </c>
      <c r="J35" s="126">
        <f t="shared" si="2"/>
        <v>33600.000000000007</v>
      </c>
      <c r="K35" s="126"/>
      <c r="L35" s="149"/>
      <c r="M35" s="86">
        <f t="shared" si="5"/>
        <v>201600.21</v>
      </c>
      <c r="N35" s="140">
        <f t="shared" si="3"/>
        <v>207648.21</v>
      </c>
      <c r="O35" s="50">
        <f t="shared" si="7"/>
        <v>0.21000000000000005</v>
      </c>
    </row>
    <row r="36" spans="1:16" x14ac:dyDescent="0.25">
      <c r="A36" s="130">
        <f>A35+1</f>
        <v>22</v>
      </c>
      <c r="B36" s="114" t="s">
        <v>175</v>
      </c>
      <c r="C36" s="87"/>
      <c r="D36" s="82">
        <v>0.82</v>
      </c>
      <c r="E36" s="83">
        <v>139219.22</v>
      </c>
      <c r="F36" s="84">
        <f>E36</f>
        <v>139219.22</v>
      </c>
      <c r="G36" s="85">
        <f t="shared" si="0"/>
        <v>0</v>
      </c>
      <c r="H36" s="85">
        <f t="shared" si="4"/>
        <v>0</v>
      </c>
      <c r="I36" s="125">
        <f t="shared" si="1"/>
        <v>123000</v>
      </c>
      <c r="J36" s="125">
        <f t="shared" si="2"/>
        <v>24600</v>
      </c>
      <c r="K36" s="125"/>
      <c r="L36" s="148"/>
      <c r="M36" s="86">
        <f t="shared" si="5"/>
        <v>147600.22</v>
      </c>
      <c r="N36" s="139">
        <f t="shared" ref="N36:N99" si="8">ROUND(M36*3%,0) + M36</f>
        <v>152028.22</v>
      </c>
      <c r="O36" s="50">
        <f t="shared" si="7"/>
        <v>0.22000000000000006</v>
      </c>
    </row>
    <row r="37" spans="1:16" x14ac:dyDescent="0.25">
      <c r="A37" s="129">
        <f t="shared" ref="A37:A100" si="9">A36+1</f>
        <v>23</v>
      </c>
      <c r="B37" s="88" t="s">
        <v>24</v>
      </c>
      <c r="C37" s="87"/>
      <c r="D37" s="82">
        <v>0.82</v>
      </c>
      <c r="E37" s="83">
        <v>139219.23000000001</v>
      </c>
      <c r="F37" s="84">
        <f>E37</f>
        <v>139219.23000000001</v>
      </c>
      <c r="G37" s="85">
        <f t="shared" si="0"/>
        <v>0</v>
      </c>
      <c r="H37" s="85">
        <f t="shared" si="4"/>
        <v>0</v>
      </c>
      <c r="I37" s="125">
        <f t="shared" si="1"/>
        <v>123000</v>
      </c>
      <c r="J37" s="125">
        <f t="shared" si="2"/>
        <v>24600</v>
      </c>
      <c r="K37" s="125"/>
      <c r="L37" s="148"/>
      <c r="M37" s="86">
        <f t="shared" si="5"/>
        <v>147600.23000000001</v>
      </c>
      <c r="N37" s="139">
        <f t="shared" si="8"/>
        <v>152028.23000000001</v>
      </c>
      <c r="O37" s="50">
        <f t="shared" si="7"/>
        <v>0.23000000000000007</v>
      </c>
    </row>
    <row r="38" spans="1:16" x14ac:dyDescent="0.25">
      <c r="A38" s="129">
        <f t="shared" si="9"/>
        <v>24</v>
      </c>
      <c r="B38" s="88" t="s">
        <v>25</v>
      </c>
      <c r="C38" s="87"/>
      <c r="D38" s="82">
        <v>1.34</v>
      </c>
      <c r="E38" s="83">
        <v>227504.24</v>
      </c>
      <c r="F38" s="84">
        <v>0</v>
      </c>
      <c r="G38" s="85">
        <f t="shared" si="0"/>
        <v>227504.24</v>
      </c>
      <c r="H38" s="85">
        <f t="shared" si="4"/>
        <v>6825.1271999999999</v>
      </c>
      <c r="I38" s="125">
        <f t="shared" si="1"/>
        <v>201000</v>
      </c>
      <c r="J38" s="125">
        <f t="shared" si="2"/>
        <v>40200.000000000007</v>
      </c>
      <c r="K38" s="125"/>
      <c r="L38" s="148"/>
      <c r="M38" s="86">
        <f t="shared" si="5"/>
        <v>475529.24</v>
      </c>
      <c r="N38" s="139">
        <f t="shared" si="8"/>
        <v>489795.24</v>
      </c>
      <c r="O38" s="50">
        <f t="shared" si="7"/>
        <v>0.24000000000000007</v>
      </c>
    </row>
    <row r="39" spans="1:16" x14ac:dyDescent="0.25">
      <c r="A39" s="129">
        <f t="shared" si="9"/>
        <v>25</v>
      </c>
      <c r="B39" s="88" t="s">
        <v>26</v>
      </c>
      <c r="C39" s="87"/>
      <c r="D39" s="82">
        <v>1.1200000000000001</v>
      </c>
      <c r="E39" s="83">
        <v>946232.25</v>
      </c>
      <c r="F39" s="84">
        <f>600000+346232.25</f>
        <v>946232.25</v>
      </c>
      <c r="G39" s="85">
        <f t="shared" si="0"/>
        <v>0</v>
      </c>
      <c r="H39" s="85">
        <f t="shared" si="4"/>
        <v>0</v>
      </c>
      <c r="I39" s="125">
        <f t="shared" si="1"/>
        <v>168000</v>
      </c>
      <c r="J39" s="125">
        <f t="shared" si="2"/>
        <v>33600.000000000007</v>
      </c>
      <c r="K39" s="125"/>
      <c r="L39" s="148"/>
      <c r="M39" s="86">
        <f t="shared" si="5"/>
        <v>201600.25</v>
      </c>
      <c r="N39" s="139">
        <f t="shared" si="8"/>
        <v>207648.25</v>
      </c>
      <c r="O39" s="50">
        <f t="shared" si="7"/>
        <v>0.25000000000000006</v>
      </c>
    </row>
    <row r="40" spans="1:16" x14ac:dyDescent="0.25">
      <c r="A40" s="129">
        <f t="shared" si="9"/>
        <v>26</v>
      </c>
      <c r="B40" s="88" t="s">
        <v>27</v>
      </c>
      <c r="C40" s="87"/>
      <c r="D40" s="82">
        <v>1.17</v>
      </c>
      <c r="E40" s="83">
        <v>204600.26</v>
      </c>
      <c r="F40" s="84">
        <f>E40</f>
        <v>204600.26</v>
      </c>
      <c r="G40" s="85">
        <f t="shared" si="0"/>
        <v>0</v>
      </c>
      <c r="H40" s="85">
        <f t="shared" si="4"/>
        <v>0</v>
      </c>
      <c r="I40" s="125">
        <f t="shared" si="1"/>
        <v>175500</v>
      </c>
      <c r="J40" s="125">
        <f t="shared" si="2"/>
        <v>35100</v>
      </c>
      <c r="K40" s="125"/>
      <c r="L40" s="148"/>
      <c r="M40" s="86">
        <f t="shared" si="5"/>
        <v>210600.26</v>
      </c>
      <c r="N40" s="139">
        <f t="shared" si="8"/>
        <v>216918.26</v>
      </c>
      <c r="O40" s="50">
        <f t="shared" si="7"/>
        <v>0.26000000000000006</v>
      </c>
    </row>
    <row r="41" spans="1:16" x14ac:dyDescent="0.25">
      <c r="A41" s="129">
        <f t="shared" si="9"/>
        <v>27</v>
      </c>
      <c r="B41" s="88" t="s">
        <v>28</v>
      </c>
      <c r="C41" s="87"/>
      <c r="D41" s="82">
        <v>1.35</v>
      </c>
      <c r="E41" s="83">
        <v>229201.27</v>
      </c>
      <c r="F41" s="84">
        <f t="shared" ref="F41" si="10">E41</f>
        <v>229201.27</v>
      </c>
      <c r="G41" s="85">
        <f t="shared" si="0"/>
        <v>0</v>
      </c>
      <c r="H41" s="85">
        <f t="shared" si="4"/>
        <v>0</v>
      </c>
      <c r="I41" s="125">
        <f t="shared" si="1"/>
        <v>202500</v>
      </c>
      <c r="J41" s="125">
        <f t="shared" si="2"/>
        <v>40500.000000000007</v>
      </c>
      <c r="K41" s="125"/>
      <c r="L41" s="148"/>
      <c r="M41" s="86">
        <f t="shared" si="5"/>
        <v>243000.27</v>
      </c>
      <c r="N41" s="139">
        <f t="shared" si="8"/>
        <v>250290.27</v>
      </c>
      <c r="O41" s="50">
        <f t="shared" si="7"/>
        <v>0.27000000000000007</v>
      </c>
    </row>
    <row r="42" spans="1:16" x14ac:dyDescent="0.25">
      <c r="A42" s="129">
        <f t="shared" si="9"/>
        <v>28</v>
      </c>
      <c r="B42" s="88" t="s">
        <v>29</v>
      </c>
      <c r="C42" s="87"/>
      <c r="D42" s="82">
        <v>1.1200000000000001</v>
      </c>
      <c r="E42" s="83">
        <v>559406.28</v>
      </c>
      <c r="F42" s="84"/>
      <c r="G42" s="85">
        <f t="shared" si="0"/>
        <v>559406.28</v>
      </c>
      <c r="H42" s="85">
        <f t="shared" si="4"/>
        <v>16782.188399999999</v>
      </c>
      <c r="I42" s="125">
        <f t="shared" si="1"/>
        <v>168000</v>
      </c>
      <c r="J42" s="125">
        <f t="shared" si="2"/>
        <v>33600.000000000007</v>
      </c>
      <c r="K42" s="125"/>
      <c r="L42" s="148"/>
      <c r="M42" s="86">
        <f t="shared" si="5"/>
        <v>777788.28</v>
      </c>
      <c r="N42" s="139">
        <f t="shared" si="8"/>
        <v>801122.28</v>
      </c>
      <c r="O42" s="50">
        <f t="shared" si="7"/>
        <v>0.28000000000000008</v>
      </c>
    </row>
    <row r="43" spans="1:16" x14ac:dyDescent="0.25">
      <c r="A43" s="130">
        <f t="shared" si="9"/>
        <v>29</v>
      </c>
      <c r="B43" s="114" t="s">
        <v>30</v>
      </c>
      <c r="C43" s="113"/>
      <c r="D43" s="110">
        <v>0.82</v>
      </c>
      <c r="E43" s="84">
        <v>139219.29</v>
      </c>
      <c r="F43" s="84">
        <f>143396.29</f>
        <v>143396.29</v>
      </c>
      <c r="G43" s="111">
        <f t="shared" si="0"/>
        <v>-4177</v>
      </c>
      <c r="H43" s="111">
        <f t="shared" si="4"/>
        <v>0</v>
      </c>
      <c r="I43" s="126">
        <f t="shared" si="1"/>
        <v>123000</v>
      </c>
      <c r="J43" s="126">
        <f t="shared" si="2"/>
        <v>24600</v>
      </c>
      <c r="K43" s="126"/>
      <c r="L43" s="149"/>
      <c r="M43" s="86">
        <f t="shared" si="5"/>
        <v>143423.29</v>
      </c>
      <c r="N43" s="140">
        <f t="shared" si="8"/>
        <v>147726.29</v>
      </c>
      <c r="O43" s="50">
        <f t="shared" si="7"/>
        <v>0.29000000000000009</v>
      </c>
      <c r="P43" t="s">
        <v>150</v>
      </c>
    </row>
    <row r="44" spans="1:16" x14ac:dyDescent="0.25">
      <c r="A44" s="130">
        <f t="shared" si="9"/>
        <v>30</v>
      </c>
      <c r="B44" s="114" t="s">
        <v>31</v>
      </c>
      <c r="C44" s="113"/>
      <c r="D44" s="110">
        <v>0.82</v>
      </c>
      <c r="E44" s="84">
        <v>135322.29999999999</v>
      </c>
      <c r="F44" s="84">
        <f>E44</f>
        <v>135322.29999999999</v>
      </c>
      <c r="G44" s="111">
        <f t="shared" si="0"/>
        <v>0</v>
      </c>
      <c r="H44" s="111">
        <f t="shared" si="4"/>
        <v>0</v>
      </c>
      <c r="I44" s="126">
        <f t="shared" si="1"/>
        <v>123000</v>
      </c>
      <c r="J44" s="126">
        <f t="shared" si="2"/>
        <v>24600</v>
      </c>
      <c r="K44" s="126"/>
      <c r="L44" s="149"/>
      <c r="M44" s="112">
        <f t="shared" si="5"/>
        <v>147600.29999999999</v>
      </c>
      <c r="N44" s="140">
        <f t="shared" si="8"/>
        <v>152028.29999999999</v>
      </c>
      <c r="O44" s="50">
        <f t="shared" si="7"/>
        <v>0.3000000000000001</v>
      </c>
    </row>
    <row r="45" spans="1:16" x14ac:dyDescent="0.25">
      <c r="A45" s="129">
        <f t="shared" si="9"/>
        <v>31</v>
      </c>
      <c r="B45" s="88" t="s">
        <v>32</v>
      </c>
      <c r="C45" s="87"/>
      <c r="D45" s="82">
        <v>1.34</v>
      </c>
      <c r="E45" s="83">
        <v>227504.31</v>
      </c>
      <c r="F45" s="84">
        <f>E45</f>
        <v>227504.31</v>
      </c>
      <c r="G45" s="85">
        <f t="shared" si="0"/>
        <v>0</v>
      </c>
      <c r="H45" s="85">
        <f t="shared" si="4"/>
        <v>0</v>
      </c>
      <c r="I45" s="125">
        <f t="shared" si="1"/>
        <v>201000</v>
      </c>
      <c r="J45" s="125">
        <f t="shared" si="2"/>
        <v>40200.000000000007</v>
      </c>
      <c r="K45" s="125"/>
      <c r="L45" s="148"/>
      <c r="M45" s="86">
        <f t="shared" si="5"/>
        <v>241200.31</v>
      </c>
      <c r="N45" s="139">
        <f t="shared" si="8"/>
        <v>248436.31</v>
      </c>
      <c r="O45" s="50">
        <f t="shared" si="7"/>
        <v>0.31000000000000011</v>
      </c>
    </row>
    <row r="46" spans="1:16" x14ac:dyDescent="0.25">
      <c r="A46" s="129">
        <f t="shared" si="9"/>
        <v>32</v>
      </c>
      <c r="B46" s="88" t="s">
        <v>33</v>
      </c>
      <c r="C46" s="87"/>
      <c r="D46" s="82">
        <v>1.1200000000000001</v>
      </c>
      <c r="E46" s="83">
        <v>350346.32</v>
      </c>
      <c r="F46" s="84">
        <v>0</v>
      </c>
      <c r="G46" s="85">
        <f t="shared" si="0"/>
        <v>350346.32</v>
      </c>
      <c r="H46" s="85">
        <f t="shared" si="4"/>
        <v>10510.3896</v>
      </c>
      <c r="I46" s="125">
        <f t="shared" si="1"/>
        <v>168000</v>
      </c>
      <c r="J46" s="125">
        <f t="shared" si="2"/>
        <v>33600.000000000007</v>
      </c>
      <c r="K46" s="125"/>
      <c r="L46" s="148"/>
      <c r="M46" s="86">
        <f t="shared" si="5"/>
        <v>562457.31999999995</v>
      </c>
      <c r="N46" s="139">
        <f t="shared" si="8"/>
        <v>579331.31999999995</v>
      </c>
      <c r="O46" s="50">
        <f t="shared" si="7"/>
        <v>0.32000000000000012</v>
      </c>
    </row>
    <row r="47" spans="1:16" x14ac:dyDescent="0.25">
      <c r="A47" s="131">
        <f t="shared" si="9"/>
        <v>33</v>
      </c>
      <c r="B47" s="119" t="s">
        <v>34</v>
      </c>
      <c r="C47" s="120"/>
      <c r="D47" s="121">
        <v>1.17</v>
      </c>
      <c r="E47" s="122">
        <v>368641.33</v>
      </c>
      <c r="F47" s="122">
        <f>E47</f>
        <v>368641.33</v>
      </c>
      <c r="G47" s="123">
        <f t="shared" si="0"/>
        <v>0</v>
      </c>
      <c r="H47" s="123"/>
      <c r="I47" s="128">
        <f t="shared" ref="I47:I78" si="11">J$2*D47/100</f>
        <v>175500</v>
      </c>
      <c r="J47" s="128">
        <f t="shared" ref="J47:J78" si="12">E$2*D47/100</f>
        <v>35100</v>
      </c>
      <c r="K47" s="128"/>
      <c r="L47" s="150">
        <v>170000</v>
      </c>
      <c r="M47" s="124">
        <f t="shared" si="5"/>
        <v>380600.33</v>
      </c>
      <c r="N47" s="141">
        <f t="shared" si="8"/>
        <v>392018.33</v>
      </c>
      <c r="O47" s="50">
        <f t="shared" si="7"/>
        <v>0.33000000000000013</v>
      </c>
      <c r="P47" t="s">
        <v>217</v>
      </c>
    </row>
    <row r="48" spans="1:16" x14ac:dyDescent="0.25">
      <c r="A48" s="129">
        <f t="shared" si="9"/>
        <v>34</v>
      </c>
      <c r="B48" s="88" t="s">
        <v>35</v>
      </c>
      <c r="C48" s="87"/>
      <c r="D48" s="82">
        <v>1.35</v>
      </c>
      <c r="E48" s="83">
        <v>229201.34</v>
      </c>
      <c r="F48" s="84">
        <f>E48</f>
        <v>229201.34</v>
      </c>
      <c r="G48" s="85">
        <f t="shared" si="0"/>
        <v>0</v>
      </c>
      <c r="H48" s="85">
        <f t="shared" si="4"/>
        <v>0</v>
      </c>
      <c r="I48" s="125">
        <f t="shared" si="11"/>
        <v>202500</v>
      </c>
      <c r="J48" s="125">
        <f t="shared" si="12"/>
        <v>40500.000000000007</v>
      </c>
      <c r="K48" s="125"/>
      <c r="L48" s="148"/>
      <c r="M48" s="86">
        <f t="shared" si="5"/>
        <v>243000.34</v>
      </c>
      <c r="N48" s="139">
        <f t="shared" si="8"/>
        <v>250290.34</v>
      </c>
      <c r="O48" s="50">
        <f t="shared" si="7"/>
        <v>0.34000000000000014</v>
      </c>
    </row>
    <row r="49" spans="1:16" x14ac:dyDescent="0.25">
      <c r="A49" s="193">
        <f t="shared" si="9"/>
        <v>35</v>
      </c>
      <c r="B49" s="194" t="s">
        <v>36</v>
      </c>
      <c r="C49" s="195"/>
      <c r="D49" s="196">
        <v>1.1200000000000001</v>
      </c>
      <c r="E49" s="84">
        <v>183314.35</v>
      </c>
      <c r="F49" s="84">
        <f>E49</f>
        <v>183314.35</v>
      </c>
      <c r="G49" s="197">
        <f t="shared" si="0"/>
        <v>0</v>
      </c>
      <c r="H49" s="197">
        <f t="shared" si="4"/>
        <v>0</v>
      </c>
      <c r="I49" s="198">
        <f t="shared" si="11"/>
        <v>168000</v>
      </c>
      <c r="J49" s="198">
        <f t="shared" si="12"/>
        <v>33600.000000000007</v>
      </c>
      <c r="K49" s="198"/>
      <c r="L49" s="199"/>
      <c r="M49" s="112">
        <f t="shared" si="5"/>
        <v>201600.35</v>
      </c>
      <c r="N49" s="140">
        <f t="shared" si="8"/>
        <v>207648.35</v>
      </c>
      <c r="O49" s="50">
        <f t="shared" si="7"/>
        <v>0.35000000000000014</v>
      </c>
      <c r="P49" t="s">
        <v>152</v>
      </c>
    </row>
    <row r="50" spans="1:16" x14ac:dyDescent="0.25">
      <c r="A50" s="129">
        <f t="shared" si="9"/>
        <v>36</v>
      </c>
      <c r="B50" s="88" t="s">
        <v>37</v>
      </c>
      <c r="C50" s="87"/>
      <c r="D50" s="82">
        <v>0.82</v>
      </c>
      <c r="E50" s="83">
        <v>139219.35999999999</v>
      </c>
      <c r="F50" s="84">
        <f>E50</f>
        <v>139219.35999999999</v>
      </c>
      <c r="G50" s="85">
        <f t="shared" si="0"/>
        <v>0</v>
      </c>
      <c r="H50" s="85">
        <f t="shared" si="4"/>
        <v>0</v>
      </c>
      <c r="I50" s="125">
        <f t="shared" si="11"/>
        <v>123000</v>
      </c>
      <c r="J50" s="125">
        <f t="shared" si="12"/>
        <v>24600</v>
      </c>
      <c r="K50" s="125"/>
      <c r="L50" s="148"/>
      <c r="M50" s="86">
        <f t="shared" si="5"/>
        <v>147600.35999999999</v>
      </c>
      <c r="N50" s="139">
        <f t="shared" si="8"/>
        <v>152028.35999999999</v>
      </c>
      <c r="O50" s="50">
        <f t="shared" si="7"/>
        <v>0.36000000000000015</v>
      </c>
      <c r="P50" t="s">
        <v>156</v>
      </c>
    </row>
    <row r="51" spans="1:16" x14ac:dyDescent="0.25">
      <c r="A51" s="129">
        <f t="shared" si="9"/>
        <v>37</v>
      </c>
      <c r="B51" s="88" t="s">
        <v>38</v>
      </c>
      <c r="C51" s="87"/>
      <c r="D51" s="82">
        <v>0.82</v>
      </c>
      <c r="E51" s="84">
        <v>131400.37</v>
      </c>
      <c r="F51" s="84">
        <v>0</v>
      </c>
      <c r="G51" s="85">
        <f t="shared" si="0"/>
        <v>131400.37</v>
      </c>
      <c r="H51" s="85">
        <f t="shared" si="4"/>
        <v>3942.0110999999997</v>
      </c>
      <c r="I51" s="125">
        <f t="shared" si="11"/>
        <v>123000</v>
      </c>
      <c r="J51" s="125">
        <f t="shared" si="12"/>
        <v>24600</v>
      </c>
      <c r="K51" s="125"/>
      <c r="L51" s="148"/>
      <c r="M51" s="86">
        <f t="shared" si="5"/>
        <v>282942.37</v>
      </c>
      <c r="N51" s="139">
        <f t="shared" si="8"/>
        <v>291430.37</v>
      </c>
      <c r="O51" s="50">
        <f t="shared" si="7"/>
        <v>0.37000000000000016</v>
      </c>
      <c r="P51" t="s">
        <v>203</v>
      </c>
    </row>
    <row r="52" spans="1:16" x14ac:dyDescent="0.25">
      <c r="A52" s="129">
        <f t="shared" si="9"/>
        <v>38</v>
      </c>
      <c r="B52" s="88" t="s">
        <v>39</v>
      </c>
      <c r="C52" s="87"/>
      <c r="D52" s="82">
        <v>1.34</v>
      </c>
      <c r="E52" s="83">
        <v>493176.38</v>
      </c>
      <c r="F52" s="84"/>
      <c r="G52" s="85">
        <f t="shared" si="0"/>
        <v>493176.38</v>
      </c>
      <c r="H52" s="85">
        <f t="shared" si="4"/>
        <v>14795.2914</v>
      </c>
      <c r="I52" s="125">
        <f t="shared" si="11"/>
        <v>201000</v>
      </c>
      <c r="J52" s="125">
        <f t="shared" si="12"/>
        <v>40200.000000000007</v>
      </c>
      <c r="K52" s="125"/>
      <c r="L52" s="148"/>
      <c r="M52" s="86">
        <f t="shared" si="5"/>
        <v>749172.38</v>
      </c>
      <c r="N52" s="139">
        <f t="shared" si="8"/>
        <v>771647.38</v>
      </c>
      <c r="O52" s="50">
        <f t="shared" si="7"/>
        <v>0.38000000000000017</v>
      </c>
      <c r="P52" t="s">
        <v>187</v>
      </c>
    </row>
    <row r="53" spans="1:16" x14ac:dyDescent="0.25">
      <c r="A53" s="129">
        <f t="shared" si="9"/>
        <v>39</v>
      </c>
      <c r="B53" s="88" t="s">
        <v>40</v>
      </c>
      <c r="C53" s="87"/>
      <c r="D53" s="82">
        <v>1.1200000000000001</v>
      </c>
      <c r="E53" s="83">
        <v>190152.39</v>
      </c>
      <c r="F53" s="84">
        <f>E53</f>
        <v>190152.39</v>
      </c>
      <c r="G53" s="85">
        <f t="shared" si="0"/>
        <v>0</v>
      </c>
      <c r="H53" s="85">
        <f t="shared" si="4"/>
        <v>0</v>
      </c>
      <c r="I53" s="125">
        <f t="shared" si="11"/>
        <v>168000</v>
      </c>
      <c r="J53" s="125">
        <f t="shared" si="12"/>
        <v>33600.000000000007</v>
      </c>
      <c r="K53" s="125"/>
      <c r="L53" s="148"/>
      <c r="M53" s="86">
        <f t="shared" si="5"/>
        <v>201600.39</v>
      </c>
      <c r="N53" s="139">
        <f t="shared" si="8"/>
        <v>207648.39</v>
      </c>
      <c r="O53" s="50">
        <f t="shared" si="7"/>
        <v>0.39000000000000018</v>
      </c>
    </row>
    <row r="54" spans="1:16" x14ac:dyDescent="0.25">
      <c r="A54" s="129">
        <f t="shared" si="9"/>
        <v>40</v>
      </c>
      <c r="B54" s="88" t="s">
        <v>41</v>
      </c>
      <c r="C54" s="87"/>
      <c r="D54" s="82">
        <v>1.17</v>
      </c>
      <c r="E54" s="83">
        <v>395221.4</v>
      </c>
      <c r="F54" s="84">
        <f>E54</f>
        <v>395221.4</v>
      </c>
      <c r="G54" s="85">
        <f t="shared" si="0"/>
        <v>0</v>
      </c>
      <c r="H54" s="85">
        <f t="shared" si="4"/>
        <v>0</v>
      </c>
      <c r="I54" s="125">
        <f t="shared" si="11"/>
        <v>175500</v>
      </c>
      <c r="J54" s="125">
        <f t="shared" si="12"/>
        <v>35100</v>
      </c>
      <c r="K54" s="125"/>
      <c r="L54" s="148"/>
      <c r="M54" s="86">
        <f t="shared" si="5"/>
        <v>210600.4</v>
      </c>
      <c r="N54" s="139">
        <f t="shared" si="8"/>
        <v>216918.39999999999</v>
      </c>
      <c r="O54" s="50">
        <f t="shared" si="7"/>
        <v>0.40000000000000019</v>
      </c>
    </row>
    <row r="55" spans="1:16" x14ac:dyDescent="0.25">
      <c r="A55" s="129">
        <f t="shared" si="9"/>
        <v>41</v>
      </c>
      <c r="B55" s="88" t="s">
        <v>42</v>
      </c>
      <c r="C55" s="87"/>
      <c r="D55" s="82">
        <v>1.35</v>
      </c>
      <c r="E55" s="83">
        <v>244116.41</v>
      </c>
      <c r="F55" s="84">
        <v>241429.41</v>
      </c>
      <c r="G55" s="85">
        <f t="shared" si="0"/>
        <v>2687</v>
      </c>
      <c r="H55" s="85">
        <f t="shared" si="4"/>
        <v>80.61</v>
      </c>
      <c r="I55" s="125">
        <f t="shared" si="11"/>
        <v>202500</v>
      </c>
      <c r="J55" s="125">
        <f t="shared" si="12"/>
        <v>40500.000000000007</v>
      </c>
      <c r="K55" s="125"/>
      <c r="L55" s="148"/>
      <c r="M55" s="86">
        <f t="shared" si="5"/>
        <v>245768.41</v>
      </c>
      <c r="N55" s="139">
        <f t="shared" si="8"/>
        <v>253141.41</v>
      </c>
      <c r="O55" s="50">
        <f t="shared" si="7"/>
        <v>0.4100000000000002</v>
      </c>
    </row>
    <row r="56" spans="1:16" x14ac:dyDescent="0.25">
      <c r="A56" s="131">
        <f t="shared" si="9"/>
        <v>42</v>
      </c>
      <c r="B56" s="119" t="s">
        <v>43</v>
      </c>
      <c r="C56" s="120"/>
      <c r="D56" s="121">
        <v>1.1200000000000001</v>
      </c>
      <c r="E56" s="122">
        <v>223152.42</v>
      </c>
      <c r="F56" s="122">
        <f>E56</f>
        <v>223152.42</v>
      </c>
      <c r="G56" s="123">
        <f t="shared" si="0"/>
        <v>0</v>
      </c>
      <c r="H56" s="123"/>
      <c r="I56" s="128">
        <f t="shared" si="11"/>
        <v>168000</v>
      </c>
      <c r="J56" s="128">
        <f t="shared" si="12"/>
        <v>33600.000000000007</v>
      </c>
      <c r="K56" s="128"/>
      <c r="L56" s="150">
        <v>33000</v>
      </c>
      <c r="M56" s="124">
        <f t="shared" si="5"/>
        <v>234600.42</v>
      </c>
      <c r="N56" s="141">
        <f t="shared" si="8"/>
        <v>241638.42</v>
      </c>
      <c r="O56" s="50">
        <f t="shared" si="7"/>
        <v>0.42000000000000021</v>
      </c>
      <c r="P56" t="s">
        <v>223</v>
      </c>
    </row>
    <row r="57" spans="1:16" x14ac:dyDescent="0.25">
      <c r="A57" s="131">
        <f t="shared" si="9"/>
        <v>43</v>
      </c>
      <c r="B57" s="119" t="s">
        <v>99</v>
      </c>
      <c r="C57" s="120"/>
      <c r="D57" s="121">
        <v>0.82</v>
      </c>
      <c r="E57" s="165">
        <v>439219.43</v>
      </c>
      <c r="F57" s="122">
        <f>139219.43</f>
        <v>139219.43</v>
      </c>
      <c r="G57" s="123">
        <f t="shared" si="0"/>
        <v>300000</v>
      </c>
      <c r="H57" s="123">
        <f t="shared" si="4"/>
        <v>9000</v>
      </c>
      <c r="I57" s="128">
        <f t="shared" si="11"/>
        <v>123000</v>
      </c>
      <c r="J57" s="128">
        <f t="shared" si="12"/>
        <v>24600</v>
      </c>
      <c r="K57" s="128"/>
      <c r="L57" s="150">
        <v>300000</v>
      </c>
      <c r="M57" s="124">
        <f>ROUND(SUM(G57:L57),0) + O57</f>
        <v>756600.43</v>
      </c>
      <c r="N57" s="141">
        <f t="shared" si="8"/>
        <v>779298.43</v>
      </c>
      <c r="O57" s="50">
        <f t="shared" si="7"/>
        <v>0.43000000000000022</v>
      </c>
      <c r="P57" t="s">
        <v>220</v>
      </c>
    </row>
    <row r="58" spans="1:16" x14ac:dyDescent="0.25">
      <c r="A58" s="130">
        <f t="shared" si="9"/>
        <v>44</v>
      </c>
      <c r="B58" s="114" t="s">
        <v>44</v>
      </c>
      <c r="C58" s="113"/>
      <c r="D58" s="110">
        <v>0.82</v>
      </c>
      <c r="E58" s="83">
        <v>97371.44</v>
      </c>
      <c r="F58" s="84">
        <f>38820+100292.44</f>
        <v>139112.44</v>
      </c>
      <c r="G58" s="85">
        <f t="shared" si="0"/>
        <v>-41741</v>
      </c>
      <c r="H58" s="85">
        <f t="shared" si="4"/>
        <v>0</v>
      </c>
      <c r="I58" s="125">
        <f t="shared" si="11"/>
        <v>123000</v>
      </c>
      <c r="J58" s="125">
        <f t="shared" si="12"/>
        <v>24600</v>
      </c>
      <c r="K58" s="125"/>
      <c r="L58" s="148"/>
      <c r="M58" s="86">
        <f t="shared" si="5"/>
        <v>105859.44</v>
      </c>
      <c r="N58" s="139">
        <f t="shared" si="8"/>
        <v>109035.44</v>
      </c>
      <c r="O58" s="50">
        <f t="shared" si="7"/>
        <v>0.44000000000000022</v>
      </c>
      <c r="P58" t="s">
        <v>218</v>
      </c>
    </row>
    <row r="59" spans="1:16" x14ac:dyDescent="0.25">
      <c r="A59" s="130">
        <f t="shared" si="9"/>
        <v>45</v>
      </c>
      <c r="B59" s="114" t="s">
        <v>207</v>
      </c>
      <c r="C59" s="113"/>
      <c r="D59" s="110">
        <v>1.34</v>
      </c>
      <c r="E59" s="83">
        <v>227504.45</v>
      </c>
      <c r="F59" s="84">
        <f>E59</f>
        <v>227504.45</v>
      </c>
      <c r="G59" s="85">
        <f t="shared" si="0"/>
        <v>0</v>
      </c>
      <c r="H59" s="85">
        <f t="shared" si="4"/>
        <v>0</v>
      </c>
      <c r="I59" s="125">
        <f t="shared" si="11"/>
        <v>201000</v>
      </c>
      <c r="J59" s="125">
        <f t="shared" si="12"/>
        <v>40200.000000000007</v>
      </c>
      <c r="K59" s="125"/>
      <c r="L59" s="148"/>
      <c r="M59" s="86">
        <f t="shared" si="5"/>
        <v>241200.45</v>
      </c>
      <c r="N59" s="139">
        <f t="shared" si="8"/>
        <v>248436.45</v>
      </c>
      <c r="O59" s="50">
        <f t="shared" si="7"/>
        <v>0.45000000000000023</v>
      </c>
    </row>
    <row r="60" spans="1:16" x14ac:dyDescent="0.25">
      <c r="A60" s="217">
        <f t="shared" si="9"/>
        <v>46</v>
      </c>
      <c r="B60" s="218" t="s">
        <v>45</v>
      </c>
      <c r="C60" s="113"/>
      <c r="D60" s="110">
        <v>1.1200000000000001</v>
      </c>
      <c r="E60" s="83">
        <v>239137.46</v>
      </c>
      <c r="F60" s="84">
        <v>220000</v>
      </c>
      <c r="G60" s="85">
        <f t="shared" si="0"/>
        <v>19137.459999999992</v>
      </c>
      <c r="H60" s="85">
        <f t="shared" si="4"/>
        <v>574.12379999999973</v>
      </c>
      <c r="I60" s="125">
        <f t="shared" si="11"/>
        <v>168000</v>
      </c>
      <c r="J60" s="125">
        <f t="shared" si="12"/>
        <v>33600.000000000007</v>
      </c>
      <c r="K60" s="125"/>
      <c r="L60" s="148"/>
      <c r="M60" s="86">
        <f t="shared" si="5"/>
        <v>221312.46</v>
      </c>
      <c r="N60" s="139">
        <f t="shared" si="8"/>
        <v>227951.46</v>
      </c>
      <c r="O60" s="50">
        <f t="shared" si="7"/>
        <v>0.46000000000000024</v>
      </c>
      <c r="P60" t="s">
        <v>151</v>
      </c>
    </row>
    <row r="61" spans="1:16" x14ac:dyDescent="0.25">
      <c r="A61" s="131">
        <f t="shared" si="9"/>
        <v>47</v>
      </c>
      <c r="B61" s="119" t="s">
        <v>46</v>
      </c>
      <c r="C61" s="120"/>
      <c r="D61" s="121">
        <v>1.17</v>
      </c>
      <c r="E61" s="122">
        <v>524495.47</v>
      </c>
      <c r="F61" s="122">
        <v>135000</v>
      </c>
      <c r="G61" s="123">
        <f t="shared" si="0"/>
        <v>389495.47</v>
      </c>
      <c r="H61" s="123"/>
      <c r="I61" s="128">
        <f t="shared" si="11"/>
        <v>175500</v>
      </c>
      <c r="J61" s="128">
        <f t="shared" si="12"/>
        <v>35100</v>
      </c>
      <c r="K61" s="128"/>
      <c r="L61" s="150">
        <v>135000</v>
      </c>
      <c r="M61" s="124">
        <f t="shared" si="5"/>
        <v>735095.47</v>
      </c>
      <c r="N61" s="141">
        <f t="shared" si="8"/>
        <v>757148.47</v>
      </c>
      <c r="O61" s="50">
        <f t="shared" si="7"/>
        <v>0.47000000000000025</v>
      </c>
      <c r="P61" t="s">
        <v>219</v>
      </c>
    </row>
    <row r="62" spans="1:16" x14ac:dyDescent="0.25">
      <c r="A62" s="130">
        <f t="shared" si="9"/>
        <v>48</v>
      </c>
      <c r="B62" s="114" t="s">
        <v>47</v>
      </c>
      <c r="C62" s="113"/>
      <c r="D62" s="110">
        <v>1.35</v>
      </c>
      <c r="E62" s="84">
        <v>236077.48</v>
      </c>
      <c r="F62" s="84">
        <f t="shared" ref="F62:F67" si="13">E62</f>
        <v>236077.48</v>
      </c>
      <c r="G62" s="111">
        <f t="shared" si="0"/>
        <v>0</v>
      </c>
      <c r="H62" s="111">
        <f t="shared" si="4"/>
        <v>0</v>
      </c>
      <c r="I62" s="126">
        <f t="shared" si="11"/>
        <v>202500</v>
      </c>
      <c r="J62" s="126">
        <f t="shared" si="12"/>
        <v>40500.000000000007</v>
      </c>
      <c r="K62" s="126"/>
      <c r="L62" s="149"/>
      <c r="M62" s="86">
        <f t="shared" si="5"/>
        <v>243000.48</v>
      </c>
      <c r="N62" s="140">
        <f t="shared" si="8"/>
        <v>250290.48</v>
      </c>
      <c r="O62" s="50">
        <f t="shared" si="7"/>
        <v>0.48000000000000026</v>
      </c>
      <c r="P62" t="s">
        <v>153</v>
      </c>
    </row>
    <row r="63" spans="1:16" x14ac:dyDescent="0.25">
      <c r="A63" s="130">
        <f t="shared" si="9"/>
        <v>49</v>
      </c>
      <c r="B63" s="114" t="s">
        <v>48</v>
      </c>
      <c r="C63" s="113"/>
      <c r="D63" s="110">
        <v>1.1200000000000001</v>
      </c>
      <c r="E63" s="83">
        <v>190152.49</v>
      </c>
      <c r="F63" s="84">
        <f>E63</f>
        <v>190152.49</v>
      </c>
      <c r="G63" s="85">
        <f t="shared" si="0"/>
        <v>0</v>
      </c>
      <c r="H63" s="85">
        <f t="shared" si="4"/>
        <v>0</v>
      </c>
      <c r="I63" s="125">
        <f t="shared" si="11"/>
        <v>168000</v>
      </c>
      <c r="J63" s="125">
        <f t="shared" si="12"/>
        <v>33600.000000000007</v>
      </c>
      <c r="K63" s="125"/>
      <c r="L63" s="148"/>
      <c r="M63" s="86">
        <f t="shared" si="5"/>
        <v>201600.49</v>
      </c>
      <c r="N63" s="139">
        <f t="shared" si="8"/>
        <v>207648.49</v>
      </c>
      <c r="O63" s="50">
        <f t="shared" si="7"/>
        <v>0.49000000000000027</v>
      </c>
    </row>
    <row r="64" spans="1:16" x14ac:dyDescent="0.25">
      <c r="A64" s="130">
        <f t="shared" si="9"/>
        <v>50</v>
      </c>
      <c r="B64" s="114" t="s">
        <v>49</v>
      </c>
      <c r="C64" s="113"/>
      <c r="D64" s="110">
        <v>0.82</v>
      </c>
      <c r="E64" s="83">
        <v>276993.5</v>
      </c>
      <c r="F64" s="84">
        <f>E64</f>
        <v>276993.5</v>
      </c>
      <c r="G64" s="85">
        <f t="shared" si="0"/>
        <v>0</v>
      </c>
      <c r="H64" s="85">
        <f t="shared" si="4"/>
        <v>0</v>
      </c>
      <c r="I64" s="125">
        <f t="shared" si="11"/>
        <v>123000</v>
      </c>
      <c r="J64" s="125">
        <f t="shared" si="12"/>
        <v>24600</v>
      </c>
      <c r="K64" s="125"/>
      <c r="L64" s="148"/>
      <c r="M64" s="86">
        <f t="shared" si="5"/>
        <v>147600.5</v>
      </c>
      <c r="N64" s="139">
        <f t="shared" si="8"/>
        <v>152028.5</v>
      </c>
      <c r="O64" s="50">
        <f t="shared" si="7"/>
        <v>0.50000000000000022</v>
      </c>
    </row>
    <row r="65" spans="1:16" x14ac:dyDescent="0.25">
      <c r="A65" s="130">
        <f t="shared" si="9"/>
        <v>51</v>
      </c>
      <c r="B65" s="114" t="s">
        <v>50</v>
      </c>
      <c r="C65" s="113"/>
      <c r="D65" s="110">
        <v>0.82</v>
      </c>
      <c r="E65" s="83">
        <v>139219.51</v>
      </c>
      <c r="F65" s="84">
        <f t="shared" si="13"/>
        <v>139219.51</v>
      </c>
      <c r="G65" s="85">
        <f t="shared" si="0"/>
        <v>0</v>
      </c>
      <c r="H65" s="85">
        <f t="shared" si="4"/>
        <v>0</v>
      </c>
      <c r="I65" s="125">
        <f t="shared" si="11"/>
        <v>123000</v>
      </c>
      <c r="J65" s="125">
        <f t="shared" si="12"/>
        <v>24600</v>
      </c>
      <c r="K65" s="125"/>
      <c r="L65" s="148"/>
      <c r="M65" s="86">
        <f t="shared" si="5"/>
        <v>147600.51</v>
      </c>
      <c r="N65" s="139">
        <f t="shared" si="8"/>
        <v>152028.51</v>
      </c>
      <c r="O65" s="50">
        <f t="shared" si="7"/>
        <v>0.51000000000000023</v>
      </c>
    </row>
    <row r="66" spans="1:16" x14ac:dyDescent="0.25">
      <c r="A66" s="130">
        <f t="shared" si="9"/>
        <v>52</v>
      </c>
      <c r="B66" s="114" t="s">
        <v>51</v>
      </c>
      <c r="C66" s="113"/>
      <c r="D66" s="110">
        <v>1.34</v>
      </c>
      <c r="E66" s="83">
        <v>227504.52</v>
      </c>
      <c r="F66" s="84">
        <f t="shared" si="13"/>
        <v>227504.52</v>
      </c>
      <c r="G66" s="85">
        <f t="shared" si="0"/>
        <v>0</v>
      </c>
      <c r="H66" s="85">
        <f t="shared" si="4"/>
        <v>0</v>
      </c>
      <c r="I66" s="125">
        <f t="shared" si="11"/>
        <v>201000</v>
      </c>
      <c r="J66" s="125">
        <f t="shared" si="12"/>
        <v>40200.000000000007</v>
      </c>
      <c r="K66" s="125"/>
      <c r="L66" s="148"/>
      <c r="M66" s="86">
        <f t="shared" si="5"/>
        <v>241200.52</v>
      </c>
      <c r="N66" s="139">
        <f t="shared" si="8"/>
        <v>248436.52</v>
      </c>
      <c r="O66" s="50">
        <f t="shared" si="7"/>
        <v>0.52000000000000024</v>
      </c>
    </row>
    <row r="67" spans="1:16" x14ac:dyDescent="0.25">
      <c r="A67" s="130">
        <f t="shared" si="9"/>
        <v>53</v>
      </c>
      <c r="B67" s="114" t="s">
        <v>52</v>
      </c>
      <c r="C67" s="113"/>
      <c r="D67" s="110">
        <v>1.1200000000000001</v>
      </c>
      <c r="E67" s="84">
        <v>195857.53</v>
      </c>
      <c r="F67" s="84">
        <f t="shared" si="13"/>
        <v>195857.53</v>
      </c>
      <c r="G67" s="85">
        <f t="shared" si="0"/>
        <v>0</v>
      </c>
      <c r="H67" s="85">
        <f t="shared" si="4"/>
        <v>0</v>
      </c>
      <c r="I67" s="125">
        <f t="shared" si="11"/>
        <v>168000</v>
      </c>
      <c r="J67" s="125">
        <f t="shared" si="12"/>
        <v>33600.000000000007</v>
      </c>
      <c r="K67" s="125"/>
      <c r="L67" s="148"/>
      <c r="M67" s="86">
        <f t="shared" si="5"/>
        <v>201600.53</v>
      </c>
      <c r="N67" s="139">
        <f t="shared" si="8"/>
        <v>207648.53</v>
      </c>
      <c r="O67" s="50">
        <f t="shared" si="7"/>
        <v>0.53000000000000025</v>
      </c>
    </row>
    <row r="68" spans="1:16" x14ac:dyDescent="0.25">
      <c r="A68" s="130">
        <f t="shared" si="9"/>
        <v>54</v>
      </c>
      <c r="B68" s="114" t="s">
        <v>53</v>
      </c>
      <c r="C68" s="113"/>
      <c r="D68" s="110">
        <v>1.17</v>
      </c>
      <c r="E68" s="83">
        <v>198641.54</v>
      </c>
      <c r="F68" s="84">
        <v>204600.54</v>
      </c>
      <c r="G68" s="85">
        <f t="shared" si="0"/>
        <v>-5959</v>
      </c>
      <c r="H68" s="85">
        <f t="shared" si="4"/>
        <v>0</v>
      </c>
      <c r="I68" s="125">
        <f t="shared" si="11"/>
        <v>175500</v>
      </c>
      <c r="J68" s="125">
        <f t="shared" si="12"/>
        <v>35100</v>
      </c>
      <c r="K68" s="125"/>
      <c r="L68" s="148"/>
      <c r="M68" s="86">
        <f t="shared" si="5"/>
        <v>204641.54</v>
      </c>
      <c r="N68" s="139">
        <f t="shared" si="8"/>
        <v>210780.54</v>
      </c>
      <c r="O68" s="50">
        <f t="shared" si="7"/>
        <v>0.54000000000000026</v>
      </c>
    </row>
    <row r="69" spans="1:16" x14ac:dyDescent="0.25">
      <c r="A69" s="130">
        <f t="shared" si="9"/>
        <v>55</v>
      </c>
      <c r="B69" s="114" t="s">
        <v>54</v>
      </c>
      <c r="C69" s="113"/>
      <c r="D69" s="110">
        <v>1.35</v>
      </c>
      <c r="E69" s="83">
        <v>229201.55</v>
      </c>
      <c r="F69" s="84">
        <v>236077.55</v>
      </c>
      <c r="G69" s="85">
        <f t="shared" si="0"/>
        <v>-6876</v>
      </c>
      <c r="H69" s="85">
        <f t="shared" si="4"/>
        <v>0</v>
      </c>
      <c r="I69" s="125">
        <f t="shared" si="11"/>
        <v>202500</v>
      </c>
      <c r="J69" s="125">
        <f t="shared" si="12"/>
        <v>40500.000000000007</v>
      </c>
      <c r="K69" s="125"/>
      <c r="L69" s="148"/>
      <c r="M69" s="86">
        <f t="shared" si="5"/>
        <v>236124.55</v>
      </c>
      <c r="N69" s="139">
        <f t="shared" si="8"/>
        <v>243208.55</v>
      </c>
      <c r="O69" s="50">
        <f t="shared" si="7"/>
        <v>0.55000000000000027</v>
      </c>
    </row>
    <row r="70" spans="1:16" x14ac:dyDescent="0.25">
      <c r="A70" s="130">
        <f t="shared" si="9"/>
        <v>56</v>
      </c>
      <c r="B70" s="114" t="s">
        <v>55</v>
      </c>
      <c r="C70" s="113"/>
      <c r="D70" s="110">
        <v>1.1200000000000001</v>
      </c>
      <c r="E70" s="83">
        <v>508681.56</v>
      </c>
      <c r="F70" s="84">
        <v>200000</v>
      </c>
      <c r="G70" s="85">
        <f t="shared" si="0"/>
        <v>308681.56</v>
      </c>
      <c r="H70" s="85">
        <f t="shared" si="4"/>
        <v>9260.4467999999997</v>
      </c>
      <c r="I70" s="125">
        <f t="shared" si="11"/>
        <v>168000</v>
      </c>
      <c r="J70" s="125">
        <f t="shared" si="12"/>
        <v>33600.000000000007</v>
      </c>
      <c r="K70" s="125"/>
      <c r="L70" s="148"/>
      <c r="M70" s="86">
        <f t="shared" si="5"/>
        <v>519542.56</v>
      </c>
      <c r="N70" s="139">
        <f t="shared" si="8"/>
        <v>535128.56000000006</v>
      </c>
      <c r="O70" s="50">
        <f t="shared" si="7"/>
        <v>0.56000000000000028</v>
      </c>
    </row>
    <row r="71" spans="1:16" x14ac:dyDescent="0.25">
      <c r="A71" s="130">
        <f t="shared" si="9"/>
        <v>57</v>
      </c>
      <c r="B71" s="114" t="s">
        <v>56</v>
      </c>
      <c r="C71" s="113"/>
      <c r="D71" s="110">
        <v>0.82</v>
      </c>
      <c r="E71" s="83">
        <v>125933.57</v>
      </c>
      <c r="F71" s="84">
        <f>E71</f>
        <v>125933.57</v>
      </c>
      <c r="G71" s="85">
        <f t="shared" si="0"/>
        <v>0</v>
      </c>
      <c r="H71" s="85">
        <f t="shared" si="4"/>
        <v>0</v>
      </c>
      <c r="I71" s="125">
        <f t="shared" si="11"/>
        <v>123000</v>
      </c>
      <c r="J71" s="125">
        <f t="shared" si="12"/>
        <v>24600</v>
      </c>
      <c r="K71" s="125"/>
      <c r="L71" s="148"/>
      <c r="M71" s="86">
        <f t="shared" si="5"/>
        <v>147600.57</v>
      </c>
      <c r="N71" s="139">
        <f t="shared" si="8"/>
        <v>152028.57</v>
      </c>
      <c r="O71" s="50">
        <f t="shared" si="7"/>
        <v>0.57000000000000028</v>
      </c>
    </row>
    <row r="72" spans="1:16" x14ac:dyDescent="0.25">
      <c r="A72" s="130">
        <f t="shared" si="9"/>
        <v>58</v>
      </c>
      <c r="B72" s="114" t="s">
        <v>57</v>
      </c>
      <c r="C72" s="113"/>
      <c r="D72" s="110">
        <v>0.82</v>
      </c>
      <c r="E72" s="83">
        <v>139219.57999999999</v>
      </c>
      <c r="F72" s="84">
        <f t="shared" ref="F72" si="14">E72</f>
        <v>139219.57999999999</v>
      </c>
      <c r="G72" s="85">
        <f t="shared" si="0"/>
        <v>0</v>
      </c>
      <c r="H72" s="85">
        <f t="shared" si="4"/>
        <v>0</v>
      </c>
      <c r="I72" s="125">
        <f t="shared" si="11"/>
        <v>123000</v>
      </c>
      <c r="J72" s="125">
        <f t="shared" si="12"/>
        <v>24600</v>
      </c>
      <c r="K72" s="125"/>
      <c r="L72" s="148"/>
      <c r="M72" s="86">
        <f t="shared" si="5"/>
        <v>147600.57999999999</v>
      </c>
      <c r="N72" s="139">
        <f t="shared" si="8"/>
        <v>152028.57999999999</v>
      </c>
      <c r="O72" s="50">
        <f t="shared" si="7"/>
        <v>0.58000000000000029</v>
      </c>
      <c r="P72" t="s">
        <v>206</v>
      </c>
    </row>
    <row r="73" spans="1:16" x14ac:dyDescent="0.25">
      <c r="A73" s="130">
        <f t="shared" si="9"/>
        <v>59</v>
      </c>
      <c r="B73" s="114" t="s">
        <v>58</v>
      </c>
      <c r="C73" s="113"/>
      <c r="D73" s="110">
        <v>1.34</v>
      </c>
      <c r="E73" s="84">
        <v>227504.59</v>
      </c>
      <c r="F73" s="84">
        <v>234329.59</v>
      </c>
      <c r="G73" s="111">
        <f t="shared" si="0"/>
        <v>-6825</v>
      </c>
      <c r="H73" s="111">
        <f t="shared" si="4"/>
        <v>0</v>
      </c>
      <c r="I73" s="126">
        <f t="shared" si="11"/>
        <v>201000</v>
      </c>
      <c r="J73" s="126">
        <f t="shared" si="12"/>
        <v>40200.000000000007</v>
      </c>
      <c r="K73" s="126"/>
      <c r="L73" s="149"/>
      <c r="M73" s="86">
        <f t="shared" si="5"/>
        <v>234375.59</v>
      </c>
      <c r="N73" s="140">
        <f t="shared" si="8"/>
        <v>241406.59</v>
      </c>
      <c r="O73" s="50">
        <f t="shared" si="7"/>
        <v>0.5900000000000003</v>
      </c>
    </row>
    <row r="74" spans="1:16" x14ac:dyDescent="0.25">
      <c r="A74" s="130">
        <f t="shared" si="9"/>
        <v>60</v>
      </c>
      <c r="B74" s="114" t="s">
        <v>59</v>
      </c>
      <c r="C74" s="113"/>
      <c r="D74" s="110">
        <v>1.1200000000000001</v>
      </c>
      <c r="E74" s="83">
        <v>184825.60000000001</v>
      </c>
      <c r="F74" s="84">
        <v>190370.6</v>
      </c>
      <c r="G74" s="85">
        <f t="shared" si="0"/>
        <v>-5545</v>
      </c>
      <c r="H74" s="85">
        <f t="shared" si="4"/>
        <v>0</v>
      </c>
      <c r="I74" s="125">
        <f t="shared" si="11"/>
        <v>168000</v>
      </c>
      <c r="J74" s="125">
        <f t="shared" si="12"/>
        <v>33600.000000000007</v>
      </c>
      <c r="K74" s="125"/>
      <c r="L74" s="148"/>
      <c r="M74" s="86">
        <f t="shared" si="5"/>
        <v>196055.6</v>
      </c>
      <c r="N74" s="139">
        <f t="shared" si="8"/>
        <v>201937.6</v>
      </c>
      <c r="O74" s="50">
        <f t="shared" si="7"/>
        <v>0.60000000000000031</v>
      </c>
    </row>
    <row r="75" spans="1:16" x14ac:dyDescent="0.25">
      <c r="A75" s="130">
        <f t="shared" si="9"/>
        <v>61</v>
      </c>
      <c r="B75" s="114" t="s">
        <v>60</v>
      </c>
      <c r="C75" s="113"/>
      <c r="D75" s="110">
        <v>1.17</v>
      </c>
      <c r="E75" s="83">
        <v>198641.61</v>
      </c>
      <c r="F75" s="84">
        <f>E75</f>
        <v>198641.61</v>
      </c>
      <c r="G75" s="85">
        <f t="shared" si="0"/>
        <v>0</v>
      </c>
      <c r="H75" s="85">
        <f t="shared" si="4"/>
        <v>0</v>
      </c>
      <c r="I75" s="125">
        <f t="shared" si="11"/>
        <v>175500</v>
      </c>
      <c r="J75" s="125">
        <f t="shared" si="12"/>
        <v>35100</v>
      </c>
      <c r="K75" s="125"/>
      <c r="L75" s="148"/>
      <c r="M75" s="86">
        <f t="shared" si="5"/>
        <v>210600.61</v>
      </c>
      <c r="N75" s="139">
        <f t="shared" si="8"/>
        <v>216918.61</v>
      </c>
      <c r="O75" s="50">
        <f t="shared" si="7"/>
        <v>0.61000000000000032</v>
      </c>
    </row>
    <row r="76" spans="1:16" x14ac:dyDescent="0.25">
      <c r="A76" s="130">
        <f t="shared" si="9"/>
        <v>62</v>
      </c>
      <c r="B76" s="114" t="s">
        <v>61</v>
      </c>
      <c r="C76" s="113"/>
      <c r="D76" s="110">
        <v>1.35</v>
      </c>
      <c r="E76" s="83">
        <v>229201.62</v>
      </c>
      <c r="F76" s="84">
        <v>236077.62</v>
      </c>
      <c r="G76" s="85">
        <f t="shared" si="0"/>
        <v>-6876</v>
      </c>
      <c r="H76" s="85">
        <f t="shared" si="4"/>
        <v>0</v>
      </c>
      <c r="I76" s="125">
        <f t="shared" si="11"/>
        <v>202500</v>
      </c>
      <c r="J76" s="125">
        <f t="shared" si="12"/>
        <v>40500.000000000007</v>
      </c>
      <c r="K76" s="125"/>
      <c r="L76" s="148"/>
      <c r="M76" s="86">
        <f t="shared" si="5"/>
        <v>236124.62</v>
      </c>
      <c r="N76" s="139">
        <f t="shared" si="8"/>
        <v>243208.62</v>
      </c>
      <c r="O76" s="50">
        <f t="shared" si="7"/>
        <v>0.62000000000000033</v>
      </c>
    </row>
    <row r="77" spans="1:16" x14ac:dyDescent="0.25">
      <c r="A77" s="130">
        <f t="shared" si="9"/>
        <v>63</v>
      </c>
      <c r="B77" s="114" t="s">
        <v>62</v>
      </c>
      <c r="C77" s="113"/>
      <c r="D77" s="110">
        <v>1.1200000000000001</v>
      </c>
      <c r="E77" s="83">
        <v>190152.63</v>
      </c>
      <c r="F77" s="84">
        <f>E77</f>
        <v>190152.63</v>
      </c>
      <c r="G77" s="85">
        <f t="shared" si="0"/>
        <v>0</v>
      </c>
      <c r="H77" s="85">
        <f t="shared" si="4"/>
        <v>0</v>
      </c>
      <c r="I77" s="125">
        <f t="shared" si="11"/>
        <v>168000</v>
      </c>
      <c r="J77" s="125">
        <f t="shared" si="12"/>
        <v>33600.000000000007</v>
      </c>
      <c r="K77" s="125"/>
      <c r="L77" s="148"/>
      <c r="M77" s="86">
        <f t="shared" si="5"/>
        <v>201600.63</v>
      </c>
      <c r="N77" s="139">
        <f t="shared" si="8"/>
        <v>207648.63</v>
      </c>
      <c r="O77" s="50">
        <f t="shared" si="7"/>
        <v>0.63000000000000034</v>
      </c>
      <c r="P77" t="s">
        <v>198</v>
      </c>
    </row>
    <row r="78" spans="1:16" x14ac:dyDescent="0.25">
      <c r="A78" s="130">
        <f t="shared" si="9"/>
        <v>64</v>
      </c>
      <c r="B78" s="114" t="s">
        <v>63</v>
      </c>
      <c r="C78" s="113"/>
      <c r="D78" s="110">
        <v>0.82</v>
      </c>
      <c r="E78" s="83">
        <v>139219.64000000001</v>
      </c>
      <c r="F78" s="84">
        <v>143369.44</v>
      </c>
      <c r="G78" s="85">
        <f t="shared" si="0"/>
        <v>-4149.7999999999884</v>
      </c>
      <c r="H78" s="85">
        <f t="shared" si="4"/>
        <v>0</v>
      </c>
      <c r="I78" s="125">
        <f t="shared" si="11"/>
        <v>123000</v>
      </c>
      <c r="J78" s="125">
        <f t="shared" si="12"/>
        <v>24600</v>
      </c>
      <c r="K78" s="125"/>
      <c r="L78" s="148"/>
      <c r="M78" s="86">
        <f t="shared" si="5"/>
        <v>143450.64000000001</v>
      </c>
      <c r="N78" s="139">
        <f t="shared" si="8"/>
        <v>147754.64000000001</v>
      </c>
      <c r="O78" s="50">
        <f t="shared" si="7"/>
        <v>0.64000000000000035</v>
      </c>
    </row>
    <row r="79" spans="1:16" x14ac:dyDescent="0.25">
      <c r="A79" s="130">
        <f t="shared" si="9"/>
        <v>65</v>
      </c>
      <c r="B79" s="114" t="s">
        <v>64</v>
      </c>
      <c r="C79" s="113"/>
      <c r="D79" s="110">
        <v>0.82</v>
      </c>
      <c r="E79" s="84">
        <v>907691.65</v>
      </c>
      <c r="F79" s="177">
        <v>520000</v>
      </c>
      <c r="G79" s="111">
        <f t="shared" ref="G79:G117" si="15">E79-F79</f>
        <v>387691.65</v>
      </c>
      <c r="H79" s="111">
        <f t="shared" si="4"/>
        <v>11630.7495</v>
      </c>
      <c r="I79" s="126">
        <f t="shared" ref="I79:I110" si="16">J$2*D79/100</f>
        <v>123000</v>
      </c>
      <c r="J79" s="126">
        <f t="shared" ref="J79:J110" si="17">E$2*D79/100</f>
        <v>24600</v>
      </c>
      <c r="K79" s="126"/>
      <c r="L79" s="149"/>
      <c r="M79" s="86">
        <f t="shared" si="5"/>
        <v>546922.65</v>
      </c>
      <c r="N79" s="140">
        <f t="shared" si="8"/>
        <v>563330.65</v>
      </c>
      <c r="O79" s="50">
        <f t="shared" si="7"/>
        <v>0.65000000000000036</v>
      </c>
      <c r="P79" t="s">
        <v>171</v>
      </c>
    </row>
    <row r="80" spans="1:16" x14ac:dyDescent="0.25">
      <c r="A80" s="190">
        <f t="shared" si="9"/>
        <v>66</v>
      </c>
      <c r="B80" s="191" t="s">
        <v>65</v>
      </c>
      <c r="C80" s="200"/>
      <c r="D80" s="201">
        <v>1.34</v>
      </c>
      <c r="E80" s="202">
        <v>538997.66</v>
      </c>
      <c r="F80" s="202">
        <v>201818.66</v>
      </c>
      <c r="G80" s="203">
        <f t="shared" si="15"/>
        <v>337179</v>
      </c>
      <c r="H80" s="203">
        <f t="shared" ref="H80:H117" si="18">IF(G80&gt;0,G80*3%,0)</f>
        <v>10115.369999999999</v>
      </c>
      <c r="I80" s="204">
        <f t="shared" si="16"/>
        <v>201000</v>
      </c>
      <c r="J80" s="204">
        <f t="shared" si="17"/>
        <v>40200.000000000007</v>
      </c>
      <c r="K80" s="204"/>
      <c r="L80" s="205"/>
      <c r="M80" s="206">
        <f t="shared" si="5"/>
        <v>588494.66</v>
      </c>
      <c r="N80" s="207">
        <f t="shared" si="8"/>
        <v>606149.66</v>
      </c>
      <c r="O80" s="50">
        <f t="shared" si="7"/>
        <v>0.66000000000000036</v>
      </c>
    </row>
    <row r="81" spans="1:16" x14ac:dyDescent="0.25">
      <c r="A81" s="130">
        <f t="shared" si="9"/>
        <v>67</v>
      </c>
      <c r="B81" s="114" t="s">
        <v>66</v>
      </c>
      <c r="C81" s="87"/>
      <c r="D81" s="82">
        <v>1.1200000000000001</v>
      </c>
      <c r="E81" s="83">
        <v>190152.67</v>
      </c>
      <c r="F81" s="84">
        <v>195857.67</v>
      </c>
      <c r="G81" s="85">
        <f t="shared" si="15"/>
        <v>-5705</v>
      </c>
      <c r="H81" s="85">
        <f t="shared" si="18"/>
        <v>0</v>
      </c>
      <c r="I81" s="125">
        <f t="shared" si="16"/>
        <v>168000</v>
      </c>
      <c r="J81" s="125">
        <f t="shared" si="17"/>
        <v>33600.000000000007</v>
      </c>
      <c r="K81" s="125"/>
      <c r="L81" s="148"/>
      <c r="M81" s="86">
        <f t="shared" ref="M81:M117" si="19">ROUND(SUM(G81:L81),0) + O81</f>
        <v>195895.67</v>
      </c>
      <c r="N81" s="139">
        <f t="shared" si="8"/>
        <v>201772.67</v>
      </c>
      <c r="O81" s="50">
        <f t="shared" si="7"/>
        <v>0.67000000000000037</v>
      </c>
    </row>
    <row r="82" spans="1:16" x14ac:dyDescent="0.25">
      <c r="A82" s="188">
        <f t="shared" si="9"/>
        <v>68</v>
      </c>
      <c r="B82" s="189" t="s">
        <v>67</v>
      </c>
      <c r="C82" s="209"/>
      <c r="D82" s="210">
        <v>1.17</v>
      </c>
      <c r="E82" s="211">
        <v>6827757.6799999997</v>
      </c>
      <c r="F82" s="211">
        <v>0</v>
      </c>
      <c r="G82" s="212">
        <f t="shared" si="15"/>
        <v>6827757.6799999997</v>
      </c>
      <c r="H82" s="212">
        <f t="shared" si="18"/>
        <v>204832.73039999997</v>
      </c>
      <c r="I82" s="213">
        <f t="shared" si="16"/>
        <v>175500</v>
      </c>
      <c r="J82" s="213">
        <f t="shared" si="17"/>
        <v>35100</v>
      </c>
      <c r="K82" s="213">
        <v>95000</v>
      </c>
      <c r="L82" s="214"/>
      <c r="M82" s="215">
        <f t="shared" si="19"/>
        <v>7338190.6799999997</v>
      </c>
      <c r="N82" s="216">
        <f t="shared" si="8"/>
        <v>7558336.6799999997</v>
      </c>
      <c r="O82" s="50">
        <f t="shared" si="7"/>
        <v>0.68000000000000038</v>
      </c>
    </row>
    <row r="83" spans="1:16" x14ac:dyDescent="0.25">
      <c r="A83" s="130">
        <f t="shared" si="9"/>
        <v>69</v>
      </c>
      <c r="B83" s="114" t="s">
        <v>68</v>
      </c>
      <c r="C83" s="87"/>
      <c r="D83" s="82">
        <v>1.35</v>
      </c>
      <c r="E83" s="83">
        <v>229118.69</v>
      </c>
      <c r="F83" s="84">
        <v>230000</v>
      </c>
      <c r="G83" s="85">
        <f t="shared" si="15"/>
        <v>-881.30999999999767</v>
      </c>
      <c r="H83" s="85">
        <f t="shared" si="18"/>
        <v>0</v>
      </c>
      <c r="I83" s="125">
        <f t="shared" si="16"/>
        <v>202500</v>
      </c>
      <c r="J83" s="125">
        <f t="shared" si="17"/>
        <v>40500.000000000007</v>
      </c>
      <c r="K83" s="125" t="s">
        <v>201</v>
      </c>
      <c r="L83" s="148"/>
      <c r="M83" s="86">
        <f t="shared" si="19"/>
        <v>242119.69</v>
      </c>
      <c r="N83" s="139">
        <f t="shared" si="8"/>
        <v>249383.69</v>
      </c>
      <c r="O83" s="50">
        <f t="shared" si="7"/>
        <v>0.69000000000000039</v>
      </c>
    </row>
    <row r="84" spans="1:16" x14ac:dyDescent="0.25">
      <c r="A84" s="130">
        <f t="shared" si="9"/>
        <v>70</v>
      </c>
      <c r="B84" s="114" t="s">
        <v>69</v>
      </c>
      <c r="C84" s="113"/>
      <c r="D84" s="110">
        <v>1.1200000000000001</v>
      </c>
      <c r="E84" s="84">
        <v>197799.7</v>
      </c>
      <c r="F84" s="84">
        <f>E84</f>
        <v>197799.7</v>
      </c>
      <c r="G84" s="111">
        <f t="shared" si="15"/>
        <v>0</v>
      </c>
      <c r="H84" s="111">
        <f t="shared" si="18"/>
        <v>0</v>
      </c>
      <c r="I84" s="126">
        <f t="shared" si="16"/>
        <v>168000</v>
      </c>
      <c r="J84" s="126">
        <f t="shared" si="17"/>
        <v>33600.000000000007</v>
      </c>
      <c r="K84" s="126"/>
      <c r="L84" s="149"/>
      <c r="M84" s="86">
        <f t="shared" si="19"/>
        <v>201600.7</v>
      </c>
      <c r="N84" s="140">
        <f t="shared" si="8"/>
        <v>207648.7</v>
      </c>
      <c r="O84" s="50">
        <f t="shared" si="7"/>
        <v>0.7000000000000004</v>
      </c>
      <c r="P84" t="s">
        <v>167</v>
      </c>
    </row>
    <row r="85" spans="1:16" x14ac:dyDescent="0.25">
      <c r="A85" s="130">
        <f t="shared" si="9"/>
        <v>71</v>
      </c>
      <c r="B85" s="114" t="s">
        <v>70</v>
      </c>
      <c r="C85" s="87"/>
      <c r="D85" s="82">
        <v>0.82</v>
      </c>
      <c r="E85" s="83">
        <v>139219.71</v>
      </c>
      <c r="F85" s="84">
        <f>E85</f>
        <v>139219.71</v>
      </c>
      <c r="G85" s="85">
        <f t="shared" si="15"/>
        <v>0</v>
      </c>
      <c r="H85" s="85">
        <f t="shared" si="18"/>
        <v>0</v>
      </c>
      <c r="I85" s="125">
        <f t="shared" si="16"/>
        <v>123000</v>
      </c>
      <c r="J85" s="125">
        <f t="shared" si="17"/>
        <v>24600</v>
      </c>
      <c r="K85" s="125"/>
      <c r="L85" s="148"/>
      <c r="M85" s="86">
        <f t="shared" si="19"/>
        <v>147600.71</v>
      </c>
      <c r="N85" s="139">
        <f t="shared" si="8"/>
        <v>152028.71</v>
      </c>
      <c r="O85" s="50">
        <f t="shared" si="7"/>
        <v>0.71000000000000041</v>
      </c>
    </row>
    <row r="86" spans="1:16" x14ac:dyDescent="0.25">
      <c r="A86" s="130">
        <f t="shared" si="9"/>
        <v>72</v>
      </c>
      <c r="B86" s="114" t="s">
        <v>71</v>
      </c>
      <c r="C86" s="87"/>
      <c r="D86" s="82">
        <v>0.82</v>
      </c>
      <c r="E86" s="83">
        <v>139219.72</v>
      </c>
      <c r="F86" s="84">
        <f>E86</f>
        <v>139219.72</v>
      </c>
      <c r="G86" s="85">
        <f t="shared" si="15"/>
        <v>0</v>
      </c>
      <c r="H86" s="85">
        <f t="shared" si="18"/>
        <v>0</v>
      </c>
      <c r="I86" s="125">
        <f t="shared" si="16"/>
        <v>123000</v>
      </c>
      <c r="J86" s="125">
        <f t="shared" si="17"/>
        <v>24600</v>
      </c>
      <c r="K86" s="125"/>
      <c r="L86" s="148"/>
      <c r="M86" s="86">
        <f t="shared" si="19"/>
        <v>147600.72</v>
      </c>
      <c r="N86" s="139">
        <f t="shared" si="8"/>
        <v>152028.72</v>
      </c>
      <c r="O86" s="50">
        <f t="shared" si="7"/>
        <v>0.72000000000000042</v>
      </c>
    </row>
    <row r="87" spans="1:16" x14ac:dyDescent="0.25">
      <c r="A87" s="130">
        <f t="shared" si="9"/>
        <v>73</v>
      </c>
      <c r="B87" s="114" t="s">
        <v>72</v>
      </c>
      <c r="C87" s="87"/>
      <c r="D87" s="82">
        <v>1.34</v>
      </c>
      <c r="E87" s="83">
        <v>227504.73</v>
      </c>
      <c r="F87" s="84">
        <f>E87</f>
        <v>227504.73</v>
      </c>
      <c r="G87" s="85">
        <f t="shared" si="15"/>
        <v>0</v>
      </c>
      <c r="H87" s="85">
        <f t="shared" si="18"/>
        <v>0</v>
      </c>
      <c r="I87" s="125">
        <f t="shared" si="16"/>
        <v>201000</v>
      </c>
      <c r="J87" s="125">
        <f t="shared" si="17"/>
        <v>40200.000000000007</v>
      </c>
      <c r="K87" s="125"/>
      <c r="L87" s="148"/>
      <c r="M87" s="86">
        <f t="shared" si="19"/>
        <v>241200.73</v>
      </c>
      <c r="N87" s="139">
        <f t="shared" si="8"/>
        <v>248436.73</v>
      </c>
      <c r="O87" s="50">
        <f t="shared" si="7"/>
        <v>0.73000000000000043</v>
      </c>
    </row>
    <row r="88" spans="1:16" x14ac:dyDescent="0.25">
      <c r="A88" s="129">
        <f t="shared" si="9"/>
        <v>74</v>
      </c>
      <c r="B88" s="88" t="s">
        <v>73</v>
      </c>
      <c r="C88" s="87"/>
      <c r="D88" s="82">
        <v>1.1200000000000001</v>
      </c>
      <c r="E88" s="83">
        <v>900804.74</v>
      </c>
      <c r="F88" s="84">
        <v>0</v>
      </c>
      <c r="G88" s="85">
        <f t="shared" si="15"/>
        <v>900804.74</v>
      </c>
      <c r="H88" s="85">
        <f t="shared" si="18"/>
        <v>27024.142199999998</v>
      </c>
      <c r="I88" s="125">
        <f t="shared" si="16"/>
        <v>168000</v>
      </c>
      <c r="J88" s="125">
        <f t="shared" si="17"/>
        <v>33600.000000000007</v>
      </c>
      <c r="K88" s="125"/>
      <c r="L88" s="148"/>
      <c r="M88" s="86">
        <f t="shared" si="19"/>
        <v>1129429.74</v>
      </c>
      <c r="N88" s="139">
        <f t="shared" si="8"/>
        <v>1163312.74</v>
      </c>
      <c r="O88" s="50">
        <f t="shared" si="7"/>
        <v>0.74000000000000044</v>
      </c>
    </row>
    <row r="89" spans="1:16" x14ac:dyDescent="0.25">
      <c r="A89" s="129">
        <f t="shared" si="9"/>
        <v>75</v>
      </c>
      <c r="B89" s="88" t="s">
        <v>74</v>
      </c>
      <c r="C89" s="87"/>
      <c r="D89" s="82">
        <v>1.17</v>
      </c>
      <c r="E89" s="83">
        <v>193080.75</v>
      </c>
      <c r="F89" s="84">
        <f>E89</f>
        <v>193080.75</v>
      </c>
      <c r="G89" s="85">
        <f t="shared" si="15"/>
        <v>0</v>
      </c>
      <c r="H89" s="85">
        <f t="shared" si="18"/>
        <v>0</v>
      </c>
      <c r="I89" s="125">
        <f t="shared" si="16"/>
        <v>175500</v>
      </c>
      <c r="J89" s="125">
        <f t="shared" si="17"/>
        <v>35100</v>
      </c>
      <c r="K89" s="125"/>
      <c r="L89" s="148"/>
      <c r="M89" s="86">
        <f t="shared" si="19"/>
        <v>210600.75</v>
      </c>
      <c r="N89" s="139">
        <f t="shared" si="8"/>
        <v>216918.75</v>
      </c>
      <c r="O89" s="50">
        <f t="shared" si="7"/>
        <v>0.75000000000000044</v>
      </c>
    </row>
    <row r="90" spans="1:16" x14ac:dyDescent="0.25">
      <c r="A90" s="129">
        <f t="shared" si="9"/>
        <v>76</v>
      </c>
      <c r="B90" s="88" t="s">
        <v>75</v>
      </c>
      <c r="C90" s="87"/>
      <c r="D90" s="82">
        <v>1.35</v>
      </c>
      <c r="E90" s="83">
        <v>229201.76</v>
      </c>
      <c r="F90" s="84">
        <f>E90</f>
        <v>229201.76</v>
      </c>
      <c r="G90" s="85">
        <f t="shared" si="15"/>
        <v>0</v>
      </c>
      <c r="H90" s="85">
        <f t="shared" si="18"/>
        <v>0</v>
      </c>
      <c r="I90" s="125">
        <f t="shared" si="16"/>
        <v>202500</v>
      </c>
      <c r="J90" s="125">
        <f t="shared" si="17"/>
        <v>40500.000000000007</v>
      </c>
      <c r="K90" s="125"/>
      <c r="L90" s="148"/>
      <c r="M90" s="86">
        <f t="shared" si="19"/>
        <v>243000.76</v>
      </c>
      <c r="N90" s="139">
        <f t="shared" si="8"/>
        <v>250290.76</v>
      </c>
      <c r="O90" s="50">
        <f t="shared" si="7"/>
        <v>0.76000000000000045</v>
      </c>
    </row>
    <row r="91" spans="1:16" x14ac:dyDescent="0.25">
      <c r="A91" s="129">
        <f t="shared" si="9"/>
        <v>77</v>
      </c>
      <c r="B91" s="88" t="s">
        <v>76</v>
      </c>
      <c r="C91" s="87"/>
      <c r="D91" s="82">
        <v>1.1200000000000001</v>
      </c>
      <c r="E91" s="83">
        <v>190152.77</v>
      </c>
      <c r="F91" s="84">
        <f>E91</f>
        <v>190152.77</v>
      </c>
      <c r="G91" s="85">
        <f t="shared" si="15"/>
        <v>0</v>
      </c>
      <c r="H91" s="85">
        <f t="shared" si="18"/>
        <v>0</v>
      </c>
      <c r="I91" s="125">
        <f t="shared" si="16"/>
        <v>168000</v>
      </c>
      <c r="J91" s="125">
        <f t="shared" si="17"/>
        <v>33600.000000000007</v>
      </c>
      <c r="K91" s="125"/>
      <c r="L91" s="148"/>
      <c r="M91" s="86">
        <f t="shared" si="19"/>
        <v>201600.77</v>
      </c>
      <c r="N91" s="139">
        <f t="shared" si="8"/>
        <v>207648.77</v>
      </c>
      <c r="O91" s="50">
        <f t="shared" si="7"/>
        <v>0.77000000000000046</v>
      </c>
    </row>
    <row r="92" spans="1:16" x14ac:dyDescent="0.25">
      <c r="A92" s="131">
        <f t="shared" si="9"/>
        <v>78</v>
      </c>
      <c r="B92" s="119" t="s">
        <v>77</v>
      </c>
      <c r="C92" s="120"/>
      <c r="D92" s="121">
        <v>0.82</v>
      </c>
      <c r="E92" s="122">
        <v>308396.78000000003</v>
      </c>
      <c r="F92" s="122">
        <f>308396.78</f>
        <v>308396.78000000003</v>
      </c>
      <c r="G92" s="123">
        <f t="shared" si="15"/>
        <v>0</v>
      </c>
      <c r="H92" s="123"/>
      <c r="I92" s="128">
        <f t="shared" si="16"/>
        <v>123000</v>
      </c>
      <c r="J92" s="128">
        <f t="shared" si="17"/>
        <v>24600</v>
      </c>
      <c r="K92" s="128"/>
      <c r="L92" s="150">
        <v>165000</v>
      </c>
      <c r="M92" s="124">
        <f t="shared" si="19"/>
        <v>312600.78000000003</v>
      </c>
      <c r="N92" s="141">
        <f t="shared" si="8"/>
        <v>321978.78000000003</v>
      </c>
      <c r="O92" s="50">
        <f t="shared" si="7"/>
        <v>0.78000000000000047</v>
      </c>
      <c r="P92" t="s">
        <v>222</v>
      </c>
    </row>
    <row r="93" spans="1:16" x14ac:dyDescent="0.25">
      <c r="A93" s="129">
        <f t="shared" si="9"/>
        <v>79</v>
      </c>
      <c r="B93" s="88" t="s">
        <v>204</v>
      </c>
      <c r="C93" s="87"/>
      <c r="D93" s="82">
        <v>0.82</v>
      </c>
      <c r="E93" s="83">
        <v>139219.79</v>
      </c>
      <c r="F93" s="84">
        <f>E93</f>
        <v>139219.79</v>
      </c>
      <c r="G93" s="85">
        <f t="shared" si="15"/>
        <v>0</v>
      </c>
      <c r="H93" s="85">
        <f t="shared" si="18"/>
        <v>0</v>
      </c>
      <c r="I93" s="125">
        <f t="shared" si="16"/>
        <v>123000</v>
      </c>
      <c r="J93" s="125">
        <f t="shared" si="17"/>
        <v>24600</v>
      </c>
      <c r="K93" s="125"/>
      <c r="L93" s="148"/>
      <c r="M93" s="86">
        <f t="shared" si="19"/>
        <v>147600.79</v>
      </c>
      <c r="N93" s="139">
        <f t="shared" si="8"/>
        <v>152028.79</v>
      </c>
      <c r="O93" s="50">
        <f t="shared" si="7"/>
        <v>0.79000000000000048</v>
      </c>
      <c r="P93" t="s">
        <v>205</v>
      </c>
    </row>
    <row r="94" spans="1:16" x14ac:dyDescent="0.25">
      <c r="A94" s="130">
        <f t="shared" si="9"/>
        <v>80</v>
      </c>
      <c r="B94" s="114" t="s">
        <v>78</v>
      </c>
      <c r="C94" s="113"/>
      <c r="D94" s="110">
        <v>1.34</v>
      </c>
      <c r="E94" s="84">
        <v>227504.8</v>
      </c>
      <c r="F94" s="84">
        <f>E94</f>
        <v>227504.8</v>
      </c>
      <c r="G94" s="85">
        <f>E94-F94</f>
        <v>0</v>
      </c>
      <c r="H94" s="85">
        <f t="shared" si="18"/>
        <v>0</v>
      </c>
      <c r="I94" s="125">
        <f t="shared" si="16"/>
        <v>201000</v>
      </c>
      <c r="J94" s="125">
        <f t="shared" si="17"/>
        <v>40200.000000000007</v>
      </c>
      <c r="K94" s="125"/>
      <c r="L94" s="148"/>
      <c r="M94" s="86">
        <f t="shared" si="19"/>
        <v>241200.8</v>
      </c>
      <c r="N94" s="139">
        <f t="shared" si="8"/>
        <v>248436.8</v>
      </c>
      <c r="O94" s="50">
        <f t="shared" si="7"/>
        <v>0.80000000000000049</v>
      </c>
    </row>
    <row r="95" spans="1:16" x14ac:dyDescent="0.25">
      <c r="A95" s="130">
        <f t="shared" si="9"/>
        <v>81</v>
      </c>
      <c r="B95" s="114" t="s">
        <v>79</v>
      </c>
      <c r="C95" s="113"/>
      <c r="D95" s="110">
        <v>1.1200000000000001</v>
      </c>
      <c r="E95" s="84">
        <v>190152.81</v>
      </c>
      <c r="F95" s="84">
        <f>E95</f>
        <v>190152.81</v>
      </c>
      <c r="G95" s="111">
        <f t="shared" si="15"/>
        <v>0</v>
      </c>
      <c r="H95" s="111">
        <f t="shared" si="18"/>
        <v>0</v>
      </c>
      <c r="I95" s="126">
        <f t="shared" si="16"/>
        <v>168000</v>
      </c>
      <c r="J95" s="126">
        <f t="shared" si="17"/>
        <v>33600.000000000007</v>
      </c>
      <c r="K95" s="126"/>
      <c r="L95" s="149"/>
      <c r="M95" s="112">
        <f t="shared" si="19"/>
        <v>201600.81</v>
      </c>
      <c r="N95" s="140">
        <f t="shared" si="8"/>
        <v>207648.81</v>
      </c>
      <c r="O95" s="50">
        <f t="shared" si="7"/>
        <v>0.8100000000000005</v>
      </c>
      <c r="P95" t="s">
        <v>208</v>
      </c>
    </row>
    <row r="96" spans="1:16" x14ac:dyDescent="0.25">
      <c r="A96" s="130">
        <f t="shared" si="9"/>
        <v>82</v>
      </c>
      <c r="B96" s="114" t="s">
        <v>80</v>
      </c>
      <c r="C96" s="87"/>
      <c r="D96" s="82">
        <v>1.17</v>
      </c>
      <c r="E96" s="83">
        <v>200825.82</v>
      </c>
      <c r="F96" s="84">
        <v>215688.11</v>
      </c>
      <c r="G96" s="85">
        <f t="shared" si="15"/>
        <v>-14862.289999999979</v>
      </c>
      <c r="H96" s="85">
        <f t="shared" si="18"/>
        <v>0</v>
      </c>
      <c r="I96" s="125">
        <f t="shared" si="16"/>
        <v>175500</v>
      </c>
      <c r="J96" s="125">
        <f t="shared" si="17"/>
        <v>35100</v>
      </c>
      <c r="K96" s="125"/>
      <c r="L96" s="148"/>
      <c r="M96" s="86">
        <f t="shared" si="19"/>
        <v>195738.82</v>
      </c>
      <c r="N96" s="139">
        <f t="shared" si="8"/>
        <v>201610.82</v>
      </c>
      <c r="O96" s="50">
        <f t="shared" si="7"/>
        <v>0.82000000000000051</v>
      </c>
    </row>
    <row r="97" spans="1:16" x14ac:dyDescent="0.25">
      <c r="A97" s="130">
        <f t="shared" si="9"/>
        <v>83</v>
      </c>
      <c r="B97" s="114" t="s">
        <v>81</v>
      </c>
      <c r="C97" s="113"/>
      <c r="D97" s="110">
        <v>1.35</v>
      </c>
      <c r="E97" s="84">
        <v>229201.83</v>
      </c>
      <c r="F97" s="84">
        <f>E97</f>
        <v>229201.83</v>
      </c>
      <c r="G97" s="85">
        <f t="shared" si="15"/>
        <v>0</v>
      </c>
      <c r="H97" s="85">
        <f t="shared" si="18"/>
        <v>0</v>
      </c>
      <c r="I97" s="125">
        <f t="shared" si="16"/>
        <v>202500</v>
      </c>
      <c r="J97" s="125">
        <f t="shared" si="17"/>
        <v>40500.000000000007</v>
      </c>
      <c r="K97" s="125"/>
      <c r="L97" s="148"/>
      <c r="M97" s="86">
        <f t="shared" si="19"/>
        <v>243000.83</v>
      </c>
      <c r="N97" s="139">
        <f t="shared" si="8"/>
        <v>250290.83</v>
      </c>
      <c r="O97" s="50">
        <f t="shared" si="7"/>
        <v>0.83000000000000052</v>
      </c>
    </row>
    <row r="98" spans="1:16" x14ac:dyDescent="0.25">
      <c r="A98" s="130">
        <f t="shared" si="9"/>
        <v>84</v>
      </c>
      <c r="B98" s="114" t="s">
        <v>82</v>
      </c>
      <c r="C98" s="113"/>
      <c r="D98" s="110">
        <v>1.1200000000000001</v>
      </c>
      <c r="E98" s="84">
        <v>-263536.15999999997</v>
      </c>
      <c r="F98" s="84"/>
      <c r="G98" s="85">
        <f t="shared" si="15"/>
        <v>-263536.15999999997</v>
      </c>
      <c r="H98" s="85">
        <f t="shared" si="18"/>
        <v>0</v>
      </c>
      <c r="I98" s="125">
        <f t="shared" si="16"/>
        <v>168000</v>
      </c>
      <c r="J98" s="125">
        <f t="shared" si="17"/>
        <v>33600.000000000007</v>
      </c>
      <c r="K98" s="125"/>
      <c r="L98" s="148"/>
      <c r="M98" s="86">
        <f t="shared" si="19"/>
        <v>-61935.16</v>
      </c>
      <c r="N98" s="139">
        <f t="shared" si="8"/>
        <v>-63793.16</v>
      </c>
      <c r="O98" s="50">
        <f t="shared" ref="O98:O117" si="20">O97+0.01</f>
        <v>0.84000000000000052</v>
      </c>
    </row>
    <row r="99" spans="1:16" x14ac:dyDescent="0.25">
      <c r="A99" s="129">
        <f t="shared" si="9"/>
        <v>85</v>
      </c>
      <c r="B99" s="88" t="s">
        <v>83</v>
      </c>
      <c r="C99" s="87"/>
      <c r="D99" s="82">
        <v>0.82</v>
      </c>
      <c r="E99" s="83">
        <v>139219.85</v>
      </c>
      <c r="F99" s="84">
        <f t="shared" ref="F99:F104" si="21">E99</f>
        <v>139219.85</v>
      </c>
      <c r="G99" s="85">
        <f t="shared" si="15"/>
        <v>0</v>
      </c>
      <c r="H99" s="85">
        <f t="shared" si="18"/>
        <v>0</v>
      </c>
      <c r="I99" s="125">
        <f t="shared" si="16"/>
        <v>123000</v>
      </c>
      <c r="J99" s="125">
        <f t="shared" si="17"/>
        <v>24600</v>
      </c>
      <c r="K99" s="125"/>
      <c r="L99" s="148"/>
      <c r="M99" s="86">
        <f t="shared" si="19"/>
        <v>147600.85</v>
      </c>
      <c r="N99" s="139">
        <f t="shared" si="8"/>
        <v>152028.85</v>
      </c>
      <c r="O99" s="50">
        <f t="shared" si="20"/>
        <v>0.85000000000000053</v>
      </c>
    </row>
    <row r="100" spans="1:16" x14ac:dyDescent="0.25">
      <c r="A100" s="190">
        <f t="shared" si="9"/>
        <v>86</v>
      </c>
      <c r="B100" s="191" t="s">
        <v>84</v>
      </c>
      <c r="C100" s="200"/>
      <c r="D100" s="201">
        <v>0.82</v>
      </c>
      <c r="E100" s="202">
        <v>139219.85999999999</v>
      </c>
      <c r="F100" s="202">
        <f>E100</f>
        <v>139219.85999999999</v>
      </c>
      <c r="G100" s="203">
        <f t="shared" si="15"/>
        <v>0</v>
      </c>
      <c r="H100" s="203">
        <f t="shared" si="18"/>
        <v>0</v>
      </c>
      <c r="I100" s="204">
        <f t="shared" si="16"/>
        <v>123000</v>
      </c>
      <c r="J100" s="204">
        <f t="shared" si="17"/>
        <v>24600</v>
      </c>
      <c r="K100" s="204"/>
      <c r="L100" s="205"/>
      <c r="M100" s="206">
        <f t="shared" si="19"/>
        <v>147600.85999999999</v>
      </c>
      <c r="N100" s="207">
        <f t="shared" ref="N100:N117" si="22">ROUND(M100*3%,0) + M100</f>
        <v>152028.85999999999</v>
      </c>
      <c r="O100" s="50">
        <f t="shared" si="20"/>
        <v>0.86000000000000054</v>
      </c>
    </row>
    <row r="101" spans="1:16" x14ac:dyDescent="0.25">
      <c r="A101" s="129">
        <f t="shared" ref="A101:A117" si="23">A100+1</f>
        <v>87</v>
      </c>
      <c r="B101" s="88" t="s">
        <v>85</v>
      </c>
      <c r="C101" s="87"/>
      <c r="D101" s="82">
        <v>1.34</v>
      </c>
      <c r="E101" s="83">
        <v>227504.87</v>
      </c>
      <c r="F101" s="84">
        <f t="shared" si="21"/>
        <v>227504.87</v>
      </c>
      <c r="G101" s="85">
        <f t="shared" si="15"/>
        <v>0</v>
      </c>
      <c r="H101" s="85">
        <f t="shared" si="18"/>
        <v>0</v>
      </c>
      <c r="I101" s="125">
        <f t="shared" si="16"/>
        <v>201000</v>
      </c>
      <c r="J101" s="125">
        <f t="shared" si="17"/>
        <v>40200.000000000007</v>
      </c>
      <c r="K101" s="125"/>
      <c r="L101" s="148"/>
      <c r="M101" s="86">
        <f t="shared" si="19"/>
        <v>241200.87</v>
      </c>
      <c r="N101" s="139">
        <f t="shared" si="22"/>
        <v>248436.87</v>
      </c>
      <c r="O101" s="50">
        <f t="shared" si="20"/>
        <v>0.87000000000000055</v>
      </c>
    </row>
    <row r="102" spans="1:16" x14ac:dyDescent="0.25">
      <c r="A102" s="129">
        <f t="shared" si="23"/>
        <v>88</v>
      </c>
      <c r="B102" s="88" t="s">
        <v>86</v>
      </c>
      <c r="C102" s="87"/>
      <c r="D102" s="82">
        <v>1.1200000000000001</v>
      </c>
      <c r="E102" s="83">
        <v>190152.88</v>
      </c>
      <c r="F102" s="84">
        <f>E102</f>
        <v>190152.88</v>
      </c>
      <c r="G102" s="85">
        <f t="shared" si="15"/>
        <v>0</v>
      </c>
      <c r="H102" s="85">
        <f t="shared" si="18"/>
        <v>0</v>
      </c>
      <c r="I102" s="125">
        <f t="shared" si="16"/>
        <v>168000</v>
      </c>
      <c r="J102" s="125">
        <f t="shared" si="17"/>
        <v>33600.000000000007</v>
      </c>
      <c r="K102" s="125"/>
      <c r="L102" s="148"/>
      <c r="M102" s="86">
        <f t="shared" si="19"/>
        <v>201600.88</v>
      </c>
      <c r="N102" s="139">
        <f t="shared" si="22"/>
        <v>207648.88</v>
      </c>
      <c r="O102" s="50">
        <f t="shared" si="20"/>
        <v>0.88000000000000056</v>
      </c>
    </row>
    <row r="103" spans="1:16" x14ac:dyDescent="0.25">
      <c r="A103" s="129">
        <f t="shared" si="23"/>
        <v>89</v>
      </c>
      <c r="B103" s="88" t="s">
        <v>87</v>
      </c>
      <c r="C103" s="87"/>
      <c r="D103" s="82">
        <v>1.17</v>
      </c>
      <c r="E103" s="83">
        <v>198641.89</v>
      </c>
      <c r="F103" s="84">
        <f>E103</f>
        <v>198641.89</v>
      </c>
      <c r="G103" s="85">
        <f t="shared" si="15"/>
        <v>0</v>
      </c>
      <c r="H103" s="85">
        <f t="shared" si="18"/>
        <v>0</v>
      </c>
      <c r="I103" s="125">
        <f t="shared" si="16"/>
        <v>175500</v>
      </c>
      <c r="J103" s="125">
        <f t="shared" si="17"/>
        <v>35100</v>
      </c>
      <c r="K103" s="125"/>
      <c r="L103" s="148"/>
      <c r="M103" s="86">
        <f t="shared" si="19"/>
        <v>210600.89</v>
      </c>
      <c r="N103" s="139">
        <f t="shared" si="22"/>
        <v>216918.89</v>
      </c>
      <c r="O103" s="50">
        <f t="shared" si="20"/>
        <v>0.89000000000000057</v>
      </c>
    </row>
    <row r="104" spans="1:16" x14ac:dyDescent="0.25">
      <c r="A104" s="129">
        <f t="shared" si="23"/>
        <v>90</v>
      </c>
      <c r="B104" s="88" t="s">
        <v>88</v>
      </c>
      <c r="C104" s="87"/>
      <c r="D104" s="82">
        <v>0.1</v>
      </c>
      <c r="E104" s="83">
        <v>16978.900000000001</v>
      </c>
      <c r="F104" s="84">
        <f t="shared" si="21"/>
        <v>16978.900000000001</v>
      </c>
      <c r="G104" s="85">
        <f t="shared" si="15"/>
        <v>0</v>
      </c>
      <c r="H104" s="85">
        <f t="shared" si="18"/>
        <v>0</v>
      </c>
      <c r="I104" s="125">
        <f t="shared" si="16"/>
        <v>15000</v>
      </c>
      <c r="J104" s="125">
        <f t="shared" si="17"/>
        <v>3000</v>
      </c>
      <c r="K104" s="125"/>
      <c r="L104" s="148"/>
      <c r="M104" s="86">
        <f t="shared" si="19"/>
        <v>18000.900000000001</v>
      </c>
      <c r="N104" s="139">
        <f t="shared" si="22"/>
        <v>18540.900000000001</v>
      </c>
      <c r="O104" s="50">
        <f t="shared" si="20"/>
        <v>0.90000000000000058</v>
      </c>
    </row>
    <row r="105" spans="1:16" x14ac:dyDescent="0.25">
      <c r="A105" s="129">
        <f t="shared" si="23"/>
        <v>91</v>
      </c>
      <c r="B105" s="88" t="s">
        <v>89</v>
      </c>
      <c r="C105" s="87"/>
      <c r="D105" s="82">
        <v>0.1</v>
      </c>
      <c r="E105" s="83">
        <v>16489.91</v>
      </c>
      <c r="F105" s="84">
        <v>0</v>
      </c>
      <c r="G105" s="85">
        <f t="shared" si="15"/>
        <v>16489.91</v>
      </c>
      <c r="H105" s="85">
        <f t="shared" si="18"/>
        <v>494.69729999999998</v>
      </c>
      <c r="I105" s="125">
        <f t="shared" si="16"/>
        <v>15000</v>
      </c>
      <c r="J105" s="125">
        <f t="shared" si="17"/>
        <v>3000</v>
      </c>
      <c r="K105" s="125"/>
      <c r="L105" s="148"/>
      <c r="M105" s="86">
        <f t="shared" si="19"/>
        <v>34985.910000000003</v>
      </c>
      <c r="N105" s="139">
        <f t="shared" si="22"/>
        <v>36035.910000000003</v>
      </c>
      <c r="O105" s="50">
        <f t="shared" si="20"/>
        <v>0.91000000000000059</v>
      </c>
    </row>
    <row r="106" spans="1:16" x14ac:dyDescent="0.25">
      <c r="A106" s="129">
        <f t="shared" si="23"/>
        <v>92</v>
      </c>
      <c r="B106" s="88" t="s">
        <v>90</v>
      </c>
      <c r="C106" s="87"/>
      <c r="D106" s="82">
        <v>0.1</v>
      </c>
      <c r="E106" s="83">
        <v>16489.919999999998</v>
      </c>
      <c r="F106" s="84">
        <v>16984.919999999998</v>
      </c>
      <c r="G106" s="85">
        <f t="shared" si="15"/>
        <v>-495</v>
      </c>
      <c r="H106" s="85">
        <f t="shared" si="18"/>
        <v>0</v>
      </c>
      <c r="I106" s="125">
        <f t="shared" si="16"/>
        <v>15000</v>
      </c>
      <c r="J106" s="125">
        <f t="shared" si="17"/>
        <v>3000</v>
      </c>
      <c r="K106" s="125"/>
      <c r="L106" s="148"/>
      <c r="M106" s="86">
        <f t="shared" si="19"/>
        <v>17505.919999999998</v>
      </c>
      <c r="N106" s="139">
        <f t="shared" si="22"/>
        <v>18030.919999999998</v>
      </c>
      <c r="O106" s="50">
        <f t="shared" si="20"/>
        <v>0.9200000000000006</v>
      </c>
    </row>
    <row r="107" spans="1:16" x14ac:dyDescent="0.25">
      <c r="A107" s="130">
        <f t="shared" si="23"/>
        <v>93</v>
      </c>
      <c r="B107" s="114" t="s">
        <v>91</v>
      </c>
      <c r="C107" s="113"/>
      <c r="D107" s="110">
        <v>0.1</v>
      </c>
      <c r="E107" s="84">
        <v>16978.93</v>
      </c>
      <c r="F107" s="84">
        <v>17487.93</v>
      </c>
      <c r="G107" s="111">
        <f t="shared" si="15"/>
        <v>-509</v>
      </c>
      <c r="H107" s="111">
        <f t="shared" si="18"/>
        <v>0</v>
      </c>
      <c r="I107" s="126">
        <f t="shared" si="16"/>
        <v>15000</v>
      </c>
      <c r="J107" s="126">
        <f t="shared" si="17"/>
        <v>3000</v>
      </c>
      <c r="K107" s="126"/>
      <c r="L107" s="149"/>
      <c r="M107" s="86">
        <f t="shared" si="19"/>
        <v>17491.93</v>
      </c>
      <c r="N107" s="140">
        <f t="shared" si="22"/>
        <v>18016.93</v>
      </c>
      <c r="O107" s="50">
        <f t="shared" si="20"/>
        <v>0.9300000000000006</v>
      </c>
    </row>
    <row r="108" spans="1:16" x14ac:dyDescent="0.25">
      <c r="A108" s="130">
        <f t="shared" si="23"/>
        <v>94</v>
      </c>
      <c r="B108" s="114" t="s">
        <v>92</v>
      </c>
      <c r="C108" s="113"/>
      <c r="D108" s="110">
        <v>0.1</v>
      </c>
      <c r="E108" s="84">
        <v>16978.939999999999</v>
      </c>
      <c r="F108" s="84">
        <f>E108</f>
        <v>16978.939999999999</v>
      </c>
      <c r="G108" s="111">
        <f t="shared" si="15"/>
        <v>0</v>
      </c>
      <c r="H108" s="111">
        <f t="shared" si="18"/>
        <v>0</v>
      </c>
      <c r="I108" s="126">
        <f>J$2*D108/100</f>
        <v>15000</v>
      </c>
      <c r="J108" s="126">
        <f t="shared" si="17"/>
        <v>3000</v>
      </c>
      <c r="K108" s="126"/>
      <c r="L108" s="149"/>
      <c r="M108" s="86">
        <f t="shared" si="19"/>
        <v>18000.939999999999</v>
      </c>
      <c r="N108" s="140">
        <f t="shared" si="22"/>
        <v>18540.939999999999</v>
      </c>
      <c r="O108" s="50">
        <f t="shared" si="20"/>
        <v>0.94000000000000061</v>
      </c>
    </row>
    <row r="109" spans="1:16" ht="24" customHeight="1" x14ac:dyDescent="0.25">
      <c r="A109" s="130">
        <f t="shared" si="23"/>
        <v>95</v>
      </c>
      <c r="B109" s="114" t="s">
        <v>165</v>
      </c>
      <c r="C109" s="113"/>
      <c r="D109" s="110">
        <v>0.1</v>
      </c>
      <c r="E109" s="84">
        <v>16978.95</v>
      </c>
      <c r="F109" s="84">
        <f>E109</f>
        <v>16978.95</v>
      </c>
      <c r="G109" s="111">
        <f t="shared" si="15"/>
        <v>0</v>
      </c>
      <c r="H109" s="111">
        <f t="shared" si="18"/>
        <v>0</v>
      </c>
      <c r="I109" s="126">
        <f t="shared" si="16"/>
        <v>15000</v>
      </c>
      <c r="J109" s="126">
        <f t="shared" si="17"/>
        <v>3000</v>
      </c>
      <c r="K109" s="126"/>
      <c r="L109" s="149"/>
      <c r="M109" s="86">
        <f t="shared" si="19"/>
        <v>18000.95</v>
      </c>
      <c r="N109" s="140">
        <f t="shared" si="22"/>
        <v>18540.95</v>
      </c>
      <c r="O109" s="50">
        <f t="shared" si="20"/>
        <v>0.95000000000000062</v>
      </c>
    </row>
    <row r="110" spans="1:16" x14ac:dyDescent="0.25">
      <c r="A110" s="130">
        <f t="shared" si="23"/>
        <v>96</v>
      </c>
      <c r="B110" s="114" t="s">
        <v>92</v>
      </c>
      <c r="C110" s="113"/>
      <c r="D110" s="110">
        <v>0.1</v>
      </c>
      <c r="E110" s="84">
        <v>16978.96</v>
      </c>
      <c r="F110" s="84">
        <v>17487.96</v>
      </c>
      <c r="G110" s="111">
        <f t="shared" si="15"/>
        <v>-509</v>
      </c>
      <c r="H110" s="111">
        <f t="shared" si="18"/>
        <v>0</v>
      </c>
      <c r="I110" s="126">
        <f t="shared" si="16"/>
        <v>15000</v>
      </c>
      <c r="J110" s="126">
        <f t="shared" si="17"/>
        <v>3000</v>
      </c>
      <c r="K110" s="126"/>
      <c r="L110" s="149"/>
      <c r="M110" s="86">
        <f t="shared" si="19"/>
        <v>17491.96</v>
      </c>
      <c r="N110" s="140">
        <f t="shared" si="22"/>
        <v>18016.96</v>
      </c>
      <c r="O110" s="50">
        <f t="shared" si="20"/>
        <v>0.96000000000000063</v>
      </c>
      <c r="P110" t="s">
        <v>154</v>
      </c>
    </row>
    <row r="111" spans="1:16" x14ac:dyDescent="0.25">
      <c r="A111" s="130">
        <f t="shared" si="23"/>
        <v>97</v>
      </c>
      <c r="B111" s="114" t="s">
        <v>93</v>
      </c>
      <c r="C111" s="113"/>
      <c r="D111" s="110">
        <v>0.1</v>
      </c>
      <c r="E111" s="84">
        <v>16978.97</v>
      </c>
      <c r="F111" s="84">
        <f>E111</f>
        <v>16978.97</v>
      </c>
      <c r="G111" s="111">
        <f t="shared" si="15"/>
        <v>0</v>
      </c>
      <c r="H111" s="111">
        <f t="shared" si="18"/>
        <v>0</v>
      </c>
      <c r="I111" s="126">
        <f t="shared" ref="I111:I117" si="24">J$2*D111/100</f>
        <v>15000</v>
      </c>
      <c r="J111" s="126">
        <f t="shared" ref="J111:J117" si="25">E$2*D111/100</f>
        <v>3000</v>
      </c>
      <c r="K111" s="126"/>
      <c r="L111" s="149"/>
      <c r="M111" s="86">
        <f t="shared" si="19"/>
        <v>18000.97</v>
      </c>
      <c r="N111" s="140">
        <f t="shared" si="22"/>
        <v>18540.97</v>
      </c>
      <c r="O111" s="50">
        <f t="shared" si="20"/>
        <v>0.97000000000000064</v>
      </c>
    </row>
    <row r="112" spans="1:16" x14ac:dyDescent="0.25">
      <c r="A112" s="130">
        <f t="shared" si="23"/>
        <v>98</v>
      </c>
      <c r="B112" s="114" t="s">
        <v>94</v>
      </c>
      <c r="C112" s="113"/>
      <c r="D112" s="110">
        <v>0.1</v>
      </c>
      <c r="E112" s="84">
        <v>16978.98</v>
      </c>
      <c r="F112" s="84">
        <f>E112</f>
        <v>16978.98</v>
      </c>
      <c r="G112" s="111">
        <f t="shared" si="15"/>
        <v>0</v>
      </c>
      <c r="H112" s="111">
        <f t="shared" si="18"/>
        <v>0</v>
      </c>
      <c r="I112" s="126">
        <f t="shared" si="24"/>
        <v>15000</v>
      </c>
      <c r="J112" s="126">
        <f t="shared" si="25"/>
        <v>3000</v>
      </c>
      <c r="K112" s="126"/>
      <c r="L112" s="149"/>
      <c r="M112" s="86">
        <f t="shared" si="19"/>
        <v>18000.98</v>
      </c>
      <c r="N112" s="140">
        <f t="shared" si="22"/>
        <v>18540.98</v>
      </c>
      <c r="O112" s="50">
        <f t="shared" si="20"/>
        <v>0.98000000000000065</v>
      </c>
    </row>
    <row r="113" spans="1:15" x14ac:dyDescent="0.25">
      <c r="A113" s="130">
        <f t="shared" si="23"/>
        <v>99</v>
      </c>
      <c r="B113" s="114" t="s">
        <v>95</v>
      </c>
      <c r="C113" s="113"/>
      <c r="D113" s="110">
        <v>0.1</v>
      </c>
      <c r="E113" s="84">
        <v>16978.990000000002</v>
      </c>
      <c r="F113" s="84">
        <f>E113</f>
        <v>16978.990000000002</v>
      </c>
      <c r="G113" s="111">
        <f t="shared" si="15"/>
        <v>0</v>
      </c>
      <c r="H113" s="111">
        <f t="shared" si="18"/>
        <v>0</v>
      </c>
      <c r="I113" s="126">
        <f t="shared" si="24"/>
        <v>15000</v>
      </c>
      <c r="J113" s="126">
        <f t="shared" si="25"/>
        <v>3000</v>
      </c>
      <c r="K113" s="126"/>
      <c r="L113" s="149"/>
      <c r="M113" s="86">
        <f t="shared" si="19"/>
        <v>18000.990000000002</v>
      </c>
      <c r="N113" s="140">
        <f t="shared" si="22"/>
        <v>18540.990000000002</v>
      </c>
      <c r="O113" s="50">
        <f t="shared" si="20"/>
        <v>0.99000000000000066</v>
      </c>
    </row>
    <row r="114" spans="1:15" x14ac:dyDescent="0.25">
      <c r="A114" s="130">
        <f t="shared" si="23"/>
        <v>100</v>
      </c>
      <c r="B114" s="114" t="s">
        <v>96</v>
      </c>
      <c r="C114" s="113"/>
      <c r="D114" s="110">
        <v>0.1</v>
      </c>
      <c r="E114" s="84">
        <v>33781</v>
      </c>
      <c r="F114" s="84"/>
      <c r="G114" s="111">
        <f t="shared" si="15"/>
        <v>33781</v>
      </c>
      <c r="H114" s="111">
        <f t="shared" si="18"/>
        <v>1013.43</v>
      </c>
      <c r="I114" s="126">
        <f t="shared" si="24"/>
        <v>15000</v>
      </c>
      <c r="J114" s="126">
        <f t="shared" si="25"/>
        <v>3000</v>
      </c>
      <c r="K114" s="126"/>
      <c r="L114" s="149"/>
      <c r="M114" s="86">
        <f t="shared" si="19"/>
        <v>52795</v>
      </c>
      <c r="N114" s="140">
        <f t="shared" si="22"/>
        <v>54379</v>
      </c>
      <c r="O114" s="50">
        <f t="shared" si="20"/>
        <v>1.0000000000000007</v>
      </c>
    </row>
    <row r="115" spans="1:15" x14ac:dyDescent="0.25">
      <c r="A115" s="130">
        <f t="shared" si="23"/>
        <v>101</v>
      </c>
      <c r="B115" s="108" t="s">
        <v>97</v>
      </c>
      <c r="C115" s="113"/>
      <c r="D115" s="110">
        <v>0.1</v>
      </c>
      <c r="E115" s="84">
        <v>16979.009999999998</v>
      </c>
      <c r="F115" s="84">
        <v>17487.009999999998</v>
      </c>
      <c r="G115" s="111">
        <f t="shared" si="15"/>
        <v>-508</v>
      </c>
      <c r="H115" s="111">
        <f t="shared" si="18"/>
        <v>0</v>
      </c>
      <c r="I115" s="126">
        <f t="shared" si="24"/>
        <v>15000</v>
      </c>
      <c r="J115" s="126">
        <f t="shared" si="25"/>
        <v>3000</v>
      </c>
      <c r="K115" s="126"/>
      <c r="L115" s="149"/>
      <c r="M115" s="86">
        <f t="shared" si="19"/>
        <v>17493.009999999998</v>
      </c>
      <c r="N115" s="140">
        <f t="shared" si="22"/>
        <v>18018.009999999998</v>
      </c>
      <c r="O115" s="50">
        <f t="shared" si="20"/>
        <v>1.0100000000000007</v>
      </c>
    </row>
    <row r="116" spans="1:15" x14ac:dyDescent="0.25">
      <c r="A116" s="130">
        <f t="shared" si="23"/>
        <v>102</v>
      </c>
      <c r="B116" s="108" t="s">
        <v>98</v>
      </c>
      <c r="C116" s="113"/>
      <c r="D116" s="110">
        <v>0.1</v>
      </c>
      <c r="E116" s="84">
        <v>16979.02</v>
      </c>
      <c r="F116" s="84">
        <f>E116</f>
        <v>16979.02</v>
      </c>
      <c r="G116" s="111">
        <f t="shared" si="15"/>
        <v>0</v>
      </c>
      <c r="H116" s="111">
        <f t="shared" si="18"/>
        <v>0</v>
      </c>
      <c r="I116" s="126">
        <f t="shared" si="24"/>
        <v>15000</v>
      </c>
      <c r="J116" s="126">
        <f t="shared" si="25"/>
        <v>3000</v>
      </c>
      <c r="K116" s="126"/>
      <c r="L116" s="149"/>
      <c r="M116" s="86">
        <f t="shared" si="19"/>
        <v>18001.02</v>
      </c>
      <c r="N116" s="140">
        <f t="shared" si="22"/>
        <v>18541.02</v>
      </c>
      <c r="O116" s="50">
        <f t="shared" si="20"/>
        <v>1.0200000000000007</v>
      </c>
    </row>
    <row r="117" spans="1:15" x14ac:dyDescent="0.25">
      <c r="A117" s="130">
        <f t="shared" si="23"/>
        <v>103</v>
      </c>
      <c r="B117" s="114" t="s">
        <v>186</v>
      </c>
      <c r="C117" s="113"/>
      <c r="D117" s="110">
        <v>0.1</v>
      </c>
      <c r="E117" s="84">
        <v>16979.03</v>
      </c>
      <c r="F117" s="84">
        <f>E117</f>
        <v>16979.03</v>
      </c>
      <c r="G117" s="111">
        <f t="shared" si="15"/>
        <v>0</v>
      </c>
      <c r="H117" s="111">
        <f t="shared" si="18"/>
        <v>0</v>
      </c>
      <c r="I117" s="126">
        <f t="shared" si="24"/>
        <v>15000</v>
      </c>
      <c r="J117" s="126">
        <f t="shared" si="25"/>
        <v>3000</v>
      </c>
      <c r="K117" s="126"/>
      <c r="L117" s="149"/>
      <c r="M117" s="86">
        <f t="shared" si="19"/>
        <v>18001.03</v>
      </c>
      <c r="N117" s="140">
        <f t="shared" si="22"/>
        <v>18541.03</v>
      </c>
      <c r="O117" s="50">
        <f t="shared" si="20"/>
        <v>1.0300000000000007</v>
      </c>
    </row>
    <row r="118" spans="1:15" x14ac:dyDescent="0.25">
      <c r="A118" s="130"/>
      <c r="B118" s="108"/>
      <c r="C118" s="113"/>
      <c r="D118" s="110"/>
      <c r="E118" s="84"/>
      <c r="F118" s="84"/>
      <c r="G118" s="111"/>
      <c r="H118" s="111"/>
      <c r="I118" s="126"/>
      <c r="J118" s="126"/>
      <c r="K118" s="126"/>
      <c r="L118" s="149"/>
      <c r="M118" s="112"/>
      <c r="N118" s="140"/>
      <c r="O118" s="50"/>
    </row>
    <row r="119" spans="1:15" ht="17.100000000000001" customHeight="1" thickBot="1" x14ac:dyDescent="0.3">
      <c r="A119" s="132"/>
      <c r="B119" s="133"/>
      <c r="C119" s="133"/>
      <c r="D119" s="134">
        <f t="shared" ref="D119:N119" si="26">SUM(D15:D118)</f>
        <v>100.15999999999993</v>
      </c>
      <c r="E119" s="135">
        <f t="shared" si="26"/>
        <v>36701850.560000002</v>
      </c>
      <c r="F119" s="136">
        <f>SUM(F15:F118)</f>
        <v>16631233.519999996</v>
      </c>
      <c r="G119" s="136">
        <f t="shared" si="26"/>
        <v>20070617.039999999</v>
      </c>
      <c r="H119" s="136">
        <f t="shared" si="26"/>
        <v>579474.47609999997</v>
      </c>
      <c r="I119" s="137">
        <f t="shared" si="26"/>
        <v>15024000</v>
      </c>
      <c r="J119" s="136">
        <f t="shared" si="26"/>
        <v>3004800</v>
      </c>
      <c r="K119" s="138"/>
      <c r="L119" s="151"/>
      <c r="M119" s="145">
        <f t="shared" si="26"/>
        <v>39700244.560000002</v>
      </c>
      <c r="N119" s="142">
        <f t="shared" si="26"/>
        <v>40891254.560000002</v>
      </c>
    </row>
    <row r="120" spans="1:15" ht="12.75" customHeight="1" x14ac:dyDescent="0.25">
      <c r="B120" s="89"/>
      <c r="C120" s="89"/>
    </row>
    <row r="121" spans="1:15" hidden="1" x14ac:dyDescent="0.25"/>
    <row r="122" spans="1:15" ht="9" customHeight="1" x14ac:dyDescent="0.25">
      <c r="B122" s="255" t="s">
        <v>103</v>
      </c>
      <c r="C122" s="255"/>
      <c r="D122" s="255"/>
      <c r="E122" s="255"/>
      <c r="F122" s="255"/>
      <c r="G122" s="255"/>
      <c r="H122" s="255"/>
      <c r="I122" s="255"/>
      <c r="J122" s="255"/>
      <c r="K122" s="255"/>
      <c r="L122" s="255"/>
      <c r="M122" s="255"/>
    </row>
    <row r="123" spans="1:15" ht="12" hidden="1" customHeight="1" x14ac:dyDescent="0.25">
      <c r="B123" s="255"/>
      <c r="C123" s="255"/>
      <c r="D123" s="255"/>
      <c r="E123" s="255"/>
      <c r="F123" s="255"/>
      <c r="G123" s="255"/>
      <c r="H123" s="255"/>
      <c r="I123" s="255"/>
      <c r="J123" s="255"/>
      <c r="K123" s="255"/>
      <c r="L123" s="255"/>
      <c r="M123" s="255"/>
    </row>
    <row r="124" spans="1:15" ht="12" hidden="1" customHeight="1" x14ac:dyDescent="0.25">
      <c r="B124" s="255"/>
      <c r="C124" s="255"/>
      <c r="D124" s="255"/>
      <c r="E124" s="255"/>
      <c r="F124" s="255"/>
      <c r="G124" s="255"/>
      <c r="H124" s="255"/>
      <c r="I124" s="255"/>
      <c r="J124" s="255"/>
      <c r="K124" s="255"/>
      <c r="L124" s="255"/>
      <c r="M124" s="255"/>
    </row>
    <row r="125" spans="1:15" ht="12" hidden="1" customHeight="1" x14ac:dyDescent="0.25">
      <c r="B125" s="255"/>
      <c r="C125" s="255"/>
      <c r="D125" s="255"/>
      <c r="E125" s="255"/>
      <c r="F125" s="255"/>
      <c r="G125" s="255"/>
      <c r="H125" s="255"/>
      <c r="I125" s="255"/>
      <c r="J125" s="255"/>
      <c r="K125" s="255"/>
      <c r="L125" s="255"/>
      <c r="M125" s="255"/>
    </row>
    <row r="126" spans="1:15" ht="12" hidden="1" customHeight="1" x14ac:dyDescent="0.25">
      <c r="B126" s="255"/>
      <c r="C126" s="255"/>
      <c r="D126" s="255"/>
      <c r="E126" s="255"/>
      <c r="F126" s="255"/>
      <c r="G126" s="255"/>
      <c r="H126" s="255"/>
      <c r="I126" s="255"/>
      <c r="J126" s="255"/>
      <c r="K126" s="255"/>
      <c r="L126" s="255"/>
      <c r="M126" s="255"/>
    </row>
    <row r="127" spans="1:15" ht="67.5" customHeight="1" x14ac:dyDescent="0.25">
      <c r="B127" s="255"/>
      <c r="C127" s="255"/>
      <c r="D127" s="255"/>
      <c r="E127" s="255"/>
      <c r="F127" s="255"/>
      <c r="G127" s="255"/>
      <c r="H127" s="255"/>
      <c r="I127" s="255"/>
      <c r="J127" s="255"/>
      <c r="K127" s="255"/>
      <c r="L127" s="255"/>
      <c r="M127" s="255"/>
    </row>
  </sheetData>
  <mergeCells count="21">
    <mergeCell ref="B122:M127"/>
    <mergeCell ref="D1:M1"/>
    <mergeCell ref="A4:N8"/>
    <mergeCell ref="A13:A14"/>
    <mergeCell ref="B13:B14"/>
    <mergeCell ref="C13:C14"/>
    <mergeCell ref="D13:D14"/>
    <mergeCell ref="E13:E14"/>
    <mergeCell ref="F13:F14"/>
    <mergeCell ref="G13:G14"/>
    <mergeCell ref="H13:H14"/>
    <mergeCell ref="A9:N9"/>
    <mergeCell ref="A12:N12"/>
    <mergeCell ref="E2:F2"/>
    <mergeCell ref="I13:I14"/>
    <mergeCell ref="K13:K14"/>
    <mergeCell ref="L13:L14"/>
    <mergeCell ref="J13:J14"/>
    <mergeCell ref="A10:N10"/>
    <mergeCell ref="A11:N11"/>
    <mergeCell ref="N13:N14"/>
  </mergeCells>
  <pageMargins left="0.23622047244094491" right="0.23622047244094491" top="0.74803149606299213" bottom="0.74803149606299213" header="0.31496062992125984" footer="0.31496062992125984"/>
  <pageSetup paperSize="3" scale="8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35F41-74CB-4294-A7A2-EC3C67574818}">
  <dimension ref="C3:N9"/>
  <sheetViews>
    <sheetView zoomScaleNormal="100" workbookViewId="0">
      <selection activeCell="B25" sqref="B25"/>
    </sheetView>
  </sheetViews>
  <sheetFormatPr baseColWidth="10" defaultColWidth="10.85546875" defaultRowHeight="15" x14ac:dyDescent="0.25"/>
  <cols>
    <col min="3" max="3" width="12.7109375" bestFit="1" customWidth="1"/>
    <col min="9" max="9" width="13" bestFit="1" customWidth="1"/>
  </cols>
  <sheetData>
    <row r="3" spans="3:14" ht="15.75" thickBot="1" x14ac:dyDescent="0.3">
      <c r="C3" s="19"/>
    </row>
    <row r="4" spans="3:14" ht="13.15" customHeight="1" x14ac:dyDescent="0.25">
      <c r="C4" s="173" t="s">
        <v>190</v>
      </c>
      <c r="D4" s="174">
        <v>1</v>
      </c>
      <c r="E4" s="170"/>
      <c r="F4" s="170"/>
      <c r="G4" s="170"/>
      <c r="H4" s="170"/>
      <c r="I4" s="170"/>
      <c r="J4" s="171"/>
      <c r="K4" s="19"/>
      <c r="L4" s="19"/>
    </row>
    <row r="5" spans="3:14" ht="14.45" customHeight="1" x14ac:dyDescent="0.25">
      <c r="C5" s="175" t="s">
        <v>191</v>
      </c>
      <c r="D5" s="176"/>
      <c r="E5" t="s">
        <v>192</v>
      </c>
      <c r="G5" t="s">
        <v>193</v>
      </c>
      <c r="J5" s="172"/>
      <c r="K5" s="19"/>
      <c r="L5" s="19"/>
      <c r="M5" s="19"/>
      <c r="N5" s="19"/>
    </row>
    <row r="6" spans="3:14" x14ac:dyDescent="0.25">
      <c r="C6" s="175" t="s">
        <v>194</v>
      </c>
      <c r="D6" s="176" t="s">
        <v>195</v>
      </c>
      <c r="E6" t="s">
        <v>196</v>
      </c>
      <c r="G6" t="s">
        <v>128</v>
      </c>
      <c r="H6">
        <v>46</v>
      </c>
      <c r="J6" s="172"/>
      <c r="K6" s="19"/>
      <c r="L6" s="19"/>
      <c r="M6" s="19"/>
      <c r="N6" s="19"/>
    </row>
    <row r="7" spans="3:14" ht="15.75" thickBot="1" x14ac:dyDescent="0.3">
      <c r="C7" s="47" t="s">
        <v>197</v>
      </c>
      <c r="J7" s="172"/>
      <c r="K7" s="19"/>
      <c r="L7" s="19"/>
      <c r="M7" s="19"/>
      <c r="N7" s="19"/>
    </row>
    <row r="8" spans="3:14" x14ac:dyDescent="0.25">
      <c r="C8" s="281" t="s">
        <v>227</v>
      </c>
      <c r="D8" s="282"/>
      <c r="E8" s="282"/>
      <c r="F8" s="282"/>
      <c r="G8" s="282"/>
      <c r="H8" s="282"/>
      <c r="I8" s="282"/>
      <c r="J8" s="283"/>
      <c r="K8" s="19"/>
      <c r="L8" s="19"/>
      <c r="M8" s="19"/>
      <c r="N8" s="19"/>
    </row>
    <row r="9" spans="3:14" ht="15.75" thickBot="1" x14ac:dyDescent="0.3">
      <c r="C9" s="284"/>
      <c r="D9" s="285"/>
      <c r="E9" s="285"/>
      <c r="F9" s="285"/>
      <c r="G9" s="285"/>
      <c r="H9" s="285"/>
      <c r="I9" s="285"/>
      <c r="J9" s="286"/>
      <c r="K9" s="19"/>
      <c r="L9" s="19"/>
      <c r="M9" s="19"/>
      <c r="N9" s="19"/>
    </row>
  </sheetData>
  <mergeCells count="1">
    <mergeCell ref="C8:J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Sistemax</cp:lastModifiedBy>
  <cp:lastPrinted>2026-07-03T16:23:16Z</cp:lastPrinted>
  <dcterms:created xsi:type="dcterms:W3CDTF">2016-01-12T20:02:43Z</dcterms:created>
  <dcterms:modified xsi:type="dcterms:W3CDTF">2026-08-04T13:40:26Z</dcterms:modified>
</cp:coreProperties>
</file>