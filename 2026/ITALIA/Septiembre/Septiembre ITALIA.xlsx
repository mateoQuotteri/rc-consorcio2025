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ITALIA\Septiembre\"/>
    </mc:Choice>
  </mc:AlternateContent>
  <xr:revisionPtr revIDLastSave="0" documentId="13_ncr:1_{32E69BBF-0E95-427C-A90D-65BCBDEB77EE}" xr6:coauthVersionLast="47" xr6:coauthVersionMax="47" xr10:uidLastSave="{00000000-0000-0000-0000-000000000000}"/>
  <bookViews>
    <workbookView xWindow="-108" yWindow="-108" windowWidth="23256" windowHeight="12576" activeTab="1" xr2:uid="{00000000-000D-0000-FFFF-FFFF00000000}"/>
  </bookViews>
  <sheets>
    <sheet name="RESUMEN" sheetId="4" r:id="rId1"/>
    <sheet name="PRORRATEO" sheetId="5" r:id="rId2"/>
    <sheet name="ANOTACIONES" sheetId="6" r:id="rId3"/>
  </sheets>
  <definedNames>
    <definedName name="_xlnm.Print_Area" localSheetId="1">PRORRATEO!$A$1:$O$127</definedName>
    <definedName name="_xlnm.Print_Area" localSheetId="0">RESUMEN!$A$1:$E$174</definedName>
  </definedNames>
  <calcPr calcId="181029"/>
</workbook>
</file>

<file path=xl/calcChain.xml><?xml version="1.0" encoding="utf-8"?>
<calcChain xmlns="http://schemas.openxmlformats.org/spreadsheetml/2006/main">
  <c r="B165" i="4" l="1"/>
  <c r="F62" i="5" l="1"/>
  <c r="F40" i="5"/>
  <c r="D29" i="4"/>
  <c r="D25" i="4"/>
  <c r="B162" i="4"/>
  <c r="F56" i="5"/>
  <c r="F81" i="5"/>
  <c r="E29" i="4" l="1"/>
  <c r="F88" i="5"/>
  <c r="F46" i="5"/>
  <c r="F53" i="5"/>
  <c r="F105" i="5"/>
  <c r="F96" i="5"/>
  <c r="F17" i="5"/>
  <c r="F65" i="5"/>
  <c r="F55" i="5"/>
  <c r="F93" i="5"/>
  <c r="F58" i="5"/>
  <c r="F33" i="5"/>
  <c r="F38" i="5"/>
  <c r="F74" i="5"/>
  <c r="F72" i="5"/>
  <c r="F42" i="5"/>
  <c r="F73" i="5"/>
  <c r="E37" i="4" l="1"/>
  <c r="E49" i="4"/>
  <c r="E54" i="4"/>
  <c r="E63" i="4"/>
  <c r="E84" i="4"/>
  <c r="D66" i="4" l="1"/>
  <c r="E78" i="4" s="1"/>
  <c r="D86" i="4"/>
  <c r="E88" i="4" s="1"/>
  <c r="F112" i="5" l="1"/>
  <c r="F35" i="5"/>
  <c r="F90" i="5"/>
  <c r="F24" i="5"/>
  <c r="F94" i="5"/>
  <c r="F43" i="5"/>
  <c r="F107" i="5"/>
  <c r="F115" i="5"/>
  <c r="F75" i="5"/>
  <c r="F15" i="5"/>
  <c r="F100" i="5"/>
  <c r="F104" i="5"/>
  <c r="F101" i="5"/>
  <c r="F91" i="5"/>
  <c r="F97" i="5"/>
  <c r="F32" i="5"/>
  <c r="F110" i="5"/>
  <c r="F25" i="5"/>
  <c r="F99" i="5"/>
  <c r="I15" i="5" l="1"/>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5" i="5"/>
  <c r="F92" i="5"/>
  <c r="F59" i="5"/>
  <c r="F111" i="5"/>
  <c r="F108" i="5"/>
  <c r="F48" i="5"/>
  <c r="F76" i="5"/>
  <c r="F69" i="5"/>
  <c r="F44" i="5" l="1"/>
  <c r="F27" i="5"/>
  <c r="F102" i="5"/>
  <c r="F21" i="5"/>
  <c r="F30" i="5"/>
  <c r="F113" i="5"/>
  <c r="F63" i="5"/>
  <c r="F103" i="5"/>
  <c r="F41" i="5"/>
  <c r="F36" i="5"/>
  <c r="F22" i="5"/>
  <c r="F49" i="5"/>
  <c r="F71" i="5"/>
  <c r="F109" i="5"/>
  <c r="F45" i="5"/>
  <c r="F86" i="5"/>
  <c r="F95" i="5" l="1"/>
  <c r="F47" i="5"/>
  <c r="F85" i="5"/>
  <c r="F29" i="5"/>
  <c r="F77" i="5" l="1"/>
  <c r="I24" i="5" l="1"/>
  <c r="F116" i="5"/>
  <c r="F67" i="5"/>
  <c r="F37" i="5" l="1"/>
  <c r="F117" i="5"/>
  <c r="F18" i="5"/>
  <c r="F50" i="5"/>
  <c r="G94" i="5" l="1"/>
  <c r="B174" i="4" l="1"/>
  <c r="N14" i="5" l="1"/>
  <c r="I108" i="5"/>
  <c r="E47" i="4" l="1"/>
  <c r="E46" i="4"/>
  <c r="F66" i="5"/>
  <c r="F119" i="5" s="1"/>
  <c r="E92" i="4" l="1"/>
  <c r="G92" i="4" s="1"/>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9" i="5"/>
  <c r="I110" i="5"/>
  <c r="I111" i="5"/>
  <c r="I112" i="5"/>
  <c r="I113" i="5"/>
  <c r="I114" i="5"/>
  <c r="I115" i="5"/>
  <c r="I116" i="5"/>
  <c r="I117" i="5"/>
  <c r="G36" i="5"/>
  <c r="H36" i="5" s="1"/>
  <c r="G37" i="5"/>
  <c r="H37" i="5" s="1"/>
  <c r="G38" i="5"/>
  <c r="G39" i="5"/>
  <c r="H39" i="5" s="1"/>
  <c r="G40" i="5"/>
  <c r="H40" i="5" s="1"/>
  <c r="G41" i="5"/>
  <c r="H41" i="5" s="1"/>
  <c r="G42" i="5"/>
  <c r="H42" i="5" s="1"/>
  <c r="G43" i="5"/>
  <c r="H43" i="5" s="1"/>
  <c r="G44" i="5"/>
  <c r="H44" i="5" s="1"/>
  <c r="G45" i="5"/>
  <c r="H45" i="5" s="1"/>
  <c r="G46" i="5"/>
  <c r="H46" i="5" s="1"/>
  <c r="G47" i="5"/>
  <c r="G48" i="5"/>
  <c r="H48" i="5" s="1"/>
  <c r="G49" i="5"/>
  <c r="H49" i="5" s="1"/>
  <c r="G50" i="5"/>
  <c r="H50" i="5" s="1"/>
  <c r="G51" i="5"/>
  <c r="H51" i="5" s="1"/>
  <c r="G52" i="5"/>
  <c r="G53" i="5"/>
  <c r="H53" i="5" s="1"/>
  <c r="G54" i="5"/>
  <c r="H54" i="5" s="1"/>
  <c r="G55" i="5"/>
  <c r="H55" i="5" s="1"/>
  <c r="G56" i="5"/>
  <c r="H56" i="5" s="1"/>
  <c r="G57" i="5"/>
  <c r="G58" i="5"/>
  <c r="H58" i="5" s="1"/>
  <c r="G59" i="5"/>
  <c r="H59" i="5" s="1"/>
  <c r="G60" i="5"/>
  <c r="H60" i="5" s="1"/>
  <c r="G61" i="5"/>
  <c r="G62" i="5"/>
  <c r="H62" i="5" s="1"/>
  <c r="G63" i="5"/>
  <c r="H63" i="5" s="1"/>
  <c r="G64" i="5"/>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G89" i="5"/>
  <c r="H89" i="5" s="1"/>
  <c r="G90" i="5"/>
  <c r="H90" i="5" s="1"/>
  <c r="G91" i="5"/>
  <c r="H91" i="5" s="1"/>
  <c r="G92" i="5"/>
  <c r="G93" i="5"/>
  <c r="H93" i="5" s="1"/>
  <c r="G95" i="5"/>
  <c r="G96" i="5"/>
  <c r="H96" i="5" s="1"/>
  <c r="G97" i="5"/>
  <c r="G98" i="5"/>
  <c r="G99" i="5"/>
  <c r="H99" i="5" s="1"/>
  <c r="G100" i="5"/>
  <c r="H100" i="5" s="1"/>
  <c r="G101" i="5"/>
  <c r="H101" i="5" s="1"/>
  <c r="G102" i="5"/>
  <c r="H102" i="5" s="1"/>
  <c r="G103" i="5"/>
  <c r="H103" i="5" s="1"/>
  <c r="G104" i="5"/>
  <c r="H104" i="5" s="1"/>
  <c r="G105" i="5"/>
  <c r="H105" i="5" s="1"/>
  <c r="G106" i="5"/>
  <c r="H106" i="5" s="1"/>
  <c r="G107" i="5"/>
  <c r="H107" i="5" s="1"/>
  <c r="G108" i="5"/>
  <c r="G109" i="5"/>
  <c r="H109" i="5" s="1"/>
  <c r="G110" i="5"/>
  <c r="H110" i="5" s="1"/>
  <c r="G111" i="5"/>
  <c r="H111" i="5" s="1"/>
  <c r="G112" i="5"/>
  <c r="H112" i="5" s="1"/>
  <c r="G113" i="5"/>
  <c r="H113" i="5" s="1"/>
  <c r="G114" i="5"/>
  <c r="G115" i="5"/>
  <c r="H115" i="5" s="1"/>
  <c r="G116" i="5"/>
  <c r="G117" i="5"/>
  <c r="H117" i="5" s="1"/>
  <c r="E119" i="5"/>
  <c r="D119" i="5"/>
  <c r="A36" i="5"/>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G25" i="5"/>
  <c r="H25" i="5" s="1"/>
  <c r="J35" i="5"/>
  <c r="I35" i="5"/>
  <c r="G35" i="5"/>
  <c r="H35" i="5" s="1"/>
  <c r="J34" i="5"/>
  <c r="I34" i="5"/>
  <c r="G34" i="5"/>
  <c r="J33" i="5"/>
  <c r="I33" i="5"/>
  <c r="G33" i="5"/>
  <c r="H33" i="5" s="1"/>
  <c r="J32" i="5"/>
  <c r="I32" i="5"/>
  <c r="G32" i="5"/>
  <c r="H32" i="5" s="1"/>
  <c r="J31" i="5"/>
  <c r="I31" i="5"/>
  <c r="G31" i="5"/>
  <c r="H31" i="5" s="1"/>
  <c r="J30" i="5"/>
  <c r="I30" i="5"/>
  <c r="G30" i="5"/>
  <c r="H30" i="5" s="1"/>
  <c r="J29" i="5"/>
  <c r="I29" i="5"/>
  <c r="G29" i="5"/>
  <c r="H29" i="5" s="1"/>
  <c r="J28" i="5"/>
  <c r="I28" i="5"/>
  <c r="G28" i="5"/>
  <c r="J27" i="5"/>
  <c r="I27" i="5"/>
  <c r="G27" i="5"/>
  <c r="H27" i="5" s="1"/>
  <c r="J26" i="5"/>
  <c r="I26" i="5"/>
  <c r="G26" i="5"/>
  <c r="H26" i="5" s="1"/>
  <c r="J25" i="5"/>
  <c r="I25" i="5"/>
  <c r="J24" i="5"/>
  <c r="G24" i="5"/>
  <c r="J23" i="5"/>
  <c r="I23" i="5"/>
  <c r="G23" i="5"/>
  <c r="H23" i="5" s="1"/>
  <c r="J22" i="5"/>
  <c r="I22" i="5"/>
  <c r="G22" i="5"/>
  <c r="H22" i="5" s="1"/>
  <c r="J21" i="5"/>
  <c r="I21" i="5"/>
  <c r="G21" i="5"/>
  <c r="H21" i="5" s="1"/>
  <c r="J20" i="5"/>
  <c r="I20" i="5"/>
  <c r="G20" i="5"/>
  <c r="H20" i="5" s="1"/>
  <c r="J19" i="5"/>
  <c r="I19" i="5"/>
  <c r="G19" i="5"/>
  <c r="H19" i="5" s="1"/>
  <c r="J18" i="5"/>
  <c r="I18" i="5"/>
  <c r="G18" i="5"/>
  <c r="H18" i="5" s="1"/>
  <c r="J17" i="5"/>
  <c r="I17" i="5"/>
  <c r="G17" i="5"/>
  <c r="H17" i="5" s="1"/>
  <c r="P16" i="5"/>
  <c r="J16" i="5"/>
  <c r="I16" i="5"/>
  <c r="G16" i="5"/>
  <c r="J15" i="5"/>
  <c r="B144" i="4"/>
  <c r="E100" i="4"/>
  <c r="E105" i="4" s="1"/>
  <c r="B109" i="4" s="1"/>
  <c r="H108" i="5" l="1"/>
  <c r="H57" i="5"/>
  <c r="H64" i="5"/>
  <c r="H114" i="5"/>
  <c r="H95" i="5"/>
  <c r="H94" i="5"/>
  <c r="P17" i="5"/>
  <c r="N17" i="5" s="1"/>
  <c r="H97" i="5"/>
  <c r="H98" i="5"/>
  <c r="H28" i="5"/>
  <c r="H38" i="5"/>
  <c r="H116" i="5"/>
  <c r="H24" i="5"/>
  <c r="B108" i="4"/>
  <c r="B143" i="4" s="1"/>
  <c r="I119" i="5"/>
  <c r="J119" i="5"/>
  <c r="H16" i="5"/>
  <c r="N16" i="5" s="1"/>
  <c r="B110" i="4"/>
  <c r="O17" i="5" l="1"/>
  <c r="P18" i="5"/>
  <c r="N18" i="5" s="1"/>
  <c r="B107" i="4"/>
  <c r="G15" i="5"/>
  <c r="B145" i="4"/>
  <c r="B150" i="4" s="1"/>
  <c r="O16" i="5"/>
  <c r="O18" i="5" l="1"/>
  <c r="P19" i="5"/>
  <c r="N19" i="5" s="1"/>
  <c r="G119" i="5"/>
  <c r="H15" i="5"/>
  <c r="N15" i="5" s="1"/>
  <c r="O19" i="5" l="1"/>
  <c r="P20" i="5"/>
  <c r="N20" i="5" s="1"/>
  <c r="H119" i="5"/>
  <c r="O15" i="5"/>
  <c r="O20" i="5" l="1"/>
  <c r="P21" i="5"/>
  <c r="N21" i="5" s="1"/>
  <c r="O21" i="5" l="1"/>
  <c r="P22" i="5"/>
  <c r="N22" i="5" s="1"/>
  <c r="O22" i="5" l="1"/>
  <c r="P23" i="5"/>
  <c r="N23" i="5" s="1"/>
  <c r="O23" i="5" l="1"/>
  <c r="P24" i="5"/>
  <c r="N24" i="5" s="1"/>
  <c r="O24" i="5" l="1"/>
  <c r="P25" i="5"/>
  <c r="N25" i="5" s="1"/>
  <c r="O25" i="5" l="1"/>
  <c r="P26" i="5"/>
  <c r="N26" i="5" s="1"/>
  <c r="O26" i="5" l="1"/>
  <c r="P27" i="5"/>
  <c r="N27" i="5" s="1"/>
  <c r="O27" i="5" l="1"/>
  <c r="P28" i="5"/>
  <c r="N28" i="5" s="1"/>
  <c r="O28" i="5" l="1"/>
  <c r="P29" i="5"/>
  <c r="N29" i="5" s="1"/>
  <c r="O29" i="5" l="1"/>
  <c r="P30" i="5"/>
  <c r="N30" i="5" s="1"/>
  <c r="O30" i="5" l="1"/>
  <c r="P31" i="5"/>
  <c r="N31" i="5" s="1"/>
  <c r="O31" i="5" l="1"/>
  <c r="P32" i="5"/>
  <c r="N32" i="5" s="1"/>
  <c r="O32" i="5" l="1"/>
  <c r="P33" i="5"/>
  <c r="N33" i="5" s="1"/>
  <c r="O33" i="5" l="1"/>
  <c r="P34" i="5"/>
  <c r="N34" i="5" s="1"/>
  <c r="O34" i="5" l="1"/>
  <c r="P35" i="5"/>
  <c r="N35" i="5" s="1"/>
  <c r="O35" i="5" l="1"/>
  <c r="P36" i="5"/>
  <c r="N36" i="5" s="1"/>
  <c r="O36" i="5" l="1"/>
  <c r="P37" i="5"/>
  <c r="N37" i="5" s="1"/>
  <c r="O37" i="5" l="1"/>
  <c r="P38" i="5"/>
  <c r="N38" i="5" s="1"/>
  <c r="O38" i="5" l="1"/>
  <c r="P39" i="5"/>
  <c r="N39" i="5" s="1"/>
  <c r="O39" i="5" l="1"/>
  <c r="P40" i="5"/>
  <c r="N40" i="5" s="1"/>
  <c r="O40" i="5" l="1"/>
  <c r="P41" i="5"/>
  <c r="N41" i="5" s="1"/>
  <c r="O41" i="5" l="1"/>
  <c r="P42" i="5"/>
  <c r="N42" i="5" s="1"/>
  <c r="O42" i="5" l="1"/>
  <c r="P43" i="5"/>
  <c r="N43" i="5" s="1"/>
  <c r="O43" i="5" l="1"/>
  <c r="P44" i="5"/>
  <c r="N44" i="5" s="1"/>
  <c r="O44" i="5" l="1"/>
  <c r="P45" i="5"/>
  <c r="N45" i="5" s="1"/>
  <c r="O45" i="5" l="1"/>
  <c r="P46" i="5"/>
  <c r="N46" i="5" s="1"/>
  <c r="O46" i="5" l="1"/>
  <c r="P47" i="5"/>
  <c r="N47" i="5" s="1"/>
  <c r="O47" i="5" l="1"/>
  <c r="P48" i="5"/>
  <c r="N48" i="5" s="1"/>
  <c r="O48" i="5" l="1"/>
  <c r="P49" i="5"/>
  <c r="N49" i="5" s="1"/>
  <c r="O49" i="5" l="1"/>
  <c r="P50" i="5"/>
  <c r="N50" i="5" s="1"/>
  <c r="O50" i="5" l="1"/>
  <c r="P51" i="5"/>
  <c r="N51" i="5" s="1"/>
  <c r="O51" i="5" l="1"/>
  <c r="P52" i="5"/>
  <c r="N52" i="5" s="1"/>
  <c r="O52" i="5" l="1"/>
  <c r="P53" i="5"/>
  <c r="N53" i="5" s="1"/>
  <c r="O53" i="5" l="1"/>
  <c r="P54" i="5"/>
  <c r="N54" i="5" s="1"/>
  <c r="O54" i="5" l="1"/>
  <c r="P55" i="5"/>
  <c r="N55" i="5" s="1"/>
  <c r="O55" i="5" l="1"/>
  <c r="P56" i="5"/>
  <c r="N56" i="5" s="1"/>
  <c r="O56" i="5" l="1"/>
  <c r="P57" i="5"/>
  <c r="N57" i="5" s="1"/>
  <c r="O57" i="5" l="1"/>
  <c r="P58" i="5"/>
  <c r="N58" i="5" s="1"/>
  <c r="O58" i="5" l="1"/>
  <c r="P59" i="5"/>
  <c r="N59" i="5" s="1"/>
  <c r="O59" i="5" l="1"/>
  <c r="P60" i="5"/>
  <c r="N60" i="5" s="1"/>
  <c r="O60" i="5" l="1"/>
  <c r="P61" i="5"/>
  <c r="N61" i="5" s="1"/>
  <c r="O61" i="5" l="1"/>
  <c r="P62" i="5"/>
  <c r="N62" i="5" s="1"/>
  <c r="O62" i="5" l="1"/>
  <c r="P63" i="5"/>
  <c r="N63" i="5" s="1"/>
  <c r="O63" i="5" l="1"/>
  <c r="P64" i="5"/>
  <c r="N64" i="5" s="1"/>
  <c r="O64" i="5" l="1"/>
  <c r="P65" i="5"/>
  <c r="N65" i="5" s="1"/>
  <c r="O65" i="5" l="1"/>
  <c r="P66" i="5"/>
  <c r="N66" i="5" s="1"/>
  <c r="O66" i="5" l="1"/>
  <c r="P67" i="5"/>
  <c r="N67" i="5" s="1"/>
  <c r="O67" i="5" l="1"/>
  <c r="P68" i="5"/>
  <c r="N68" i="5" s="1"/>
  <c r="O68" i="5" l="1"/>
  <c r="P69" i="5"/>
  <c r="N69" i="5" s="1"/>
  <c r="O69" i="5" l="1"/>
  <c r="P70" i="5"/>
  <c r="N70" i="5" s="1"/>
  <c r="O70" i="5" l="1"/>
  <c r="P71" i="5"/>
  <c r="N71" i="5" s="1"/>
  <c r="O71" i="5" l="1"/>
  <c r="P72" i="5"/>
  <c r="N72" i="5" s="1"/>
  <c r="O72" i="5" l="1"/>
  <c r="P73" i="5"/>
  <c r="N73" i="5" s="1"/>
  <c r="O73" i="5" l="1"/>
  <c r="P74" i="5"/>
  <c r="N74" i="5" s="1"/>
  <c r="O74" i="5" l="1"/>
  <c r="P75" i="5"/>
  <c r="N75" i="5" s="1"/>
  <c r="O75" i="5" l="1"/>
  <c r="P76" i="5"/>
  <c r="N76" i="5" s="1"/>
  <c r="O76" i="5" l="1"/>
  <c r="P77" i="5"/>
  <c r="N77" i="5" s="1"/>
  <c r="O77" i="5" l="1"/>
  <c r="P78" i="5"/>
  <c r="N78" i="5" s="1"/>
  <c r="O78" i="5" l="1"/>
  <c r="P79" i="5"/>
  <c r="N79" i="5" s="1"/>
  <c r="O79" i="5" l="1"/>
  <c r="P80" i="5"/>
  <c r="N80" i="5" s="1"/>
  <c r="O80" i="5" l="1"/>
  <c r="P81" i="5"/>
  <c r="N81" i="5" s="1"/>
  <c r="O81" i="5" l="1"/>
  <c r="P82" i="5"/>
  <c r="N82" i="5" s="1"/>
  <c r="O82" i="5" l="1"/>
  <c r="P83" i="5"/>
  <c r="N83" i="5" s="1"/>
  <c r="O83" i="5" l="1"/>
  <c r="P84" i="5"/>
  <c r="N84" i="5" s="1"/>
  <c r="O84" i="5" l="1"/>
  <c r="P85" i="5"/>
  <c r="N85" i="5" s="1"/>
  <c r="O85" i="5" l="1"/>
  <c r="P86" i="5"/>
  <c r="N86" i="5" s="1"/>
  <c r="O86" i="5" l="1"/>
  <c r="P87" i="5"/>
  <c r="N87" i="5" s="1"/>
  <c r="O87" i="5" l="1"/>
  <c r="P88" i="5"/>
  <c r="N88" i="5" s="1"/>
  <c r="O88" i="5" l="1"/>
  <c r="P89" i="5"/>
  <c r="N89" i="5" s="1"/>
  <c r="O89" i="5" l="1"/>
  <c r="P90" i="5"/>
  <c r="N90" i="5" s="1"/>
  <c r="O90" i="5" l="1"/>
  <c r="P91" i="5"/>
  <c r="N91" i="5" s="1"/>
  <c r="O91" i="5" l="1"/>
  <c r="P92" i="5"/>
  <c r="N92" i="5" s="1"/>
  <c r="O92" i="5" l="1"/>
  <c r="P93" i="5"/>
  <c r="N93" i="5" s="1"/>
  <c r="O93" i="5" l="1"/>
  <c r="P94" i="5"/>
  <c r="N94" i="5" s="1"/>
  <c r="O94" i="5" l="1"/>
  <c r="P95" i="5"/>
  <c r="N95" i="5" s="1"/>
  <c r="O95" i="5" l="1"/>
  <c r="P96" i="5"/>
  <c r="N96" i="5" s="1"/>
  <c r="O96" i="5" l="1"/>
  <c r="P97" i="5"/>
  <c r="N97" i="5" s="1"/>
  <c r="O97" i="5" l="1"/>
  <c r="P98" i="5"/>
  <c r="N98" i="5" s="1"/>
  <c r="O98" i="5" l="1"/>
  <c r="P99" i="5"/>
  <c r="N99" i="5" s="1"/>
  <c r="O99" i="5" l="1"/>
  <c r="P100" i="5"/>
  <c r="N100" i="5" s="1"/>
  <c r="O100" i="5" l="1"/>
  <c r="P101" i="5"/>
  <c r="N101" i="5" s="1"/>
  <c r="O101" i="5" l="1"/>
  <c r="P102" i="5"/>
  <c r="N102" i="5" s="1"/>
  <c r="O102" i="5" l="1"/>
  <c r="P103" i="5"/>
  <c r="N103" i="5" s="1"/>
  <c r="O103" i="5" l="1"/>
  <c r="P104" i="5"/>
  <c r="N104" i="5" s="1"/>
  <c r="O104" i="5" l="1"/>
  <c r="P105" i="5"/>
  <c r="N105" i="5" s="1"/>
  <c r="O105" i="5" l="1"/>
  <c r="P106" i="5"/>
  <c r="N106" i="5" s="1"/>
  <c r="O106" i="5" l="1"/>
  <c r="P107" i="5"/>
  <c r="N107" i="5" s="1"/>
  <c r="O107" i="5" l="1"/>
  <c r="P108" i="5"/>
  <c r="N108" i="5" s="1"/>
  <c r="O108" i="5" l="1"/>
  <c r="P109" i="5"/>
  <c r="N109" i="5" s="1"/>
  <c r="O109" i="5" l="1"/>
  <c r="P110" i="5"/>
  <c r="N110" i="5" s="1"/>
  <c r="O110" i="5" l="1"/>
  <c r="P111" i="5"/>
  <c r="N111" i="5" s="1"/>
  <c r="O111" i="5" l="1"/>
  <c r="P112" i="5"/>
  <c r="N112" i="5" s="1"/>
  <c r="O112" i="5" l="1"/>
  <c r="P113" i="5"/>
  <c r="N113" i="5" s="1"/>
  <c r="O113" i="5" l="1"/>
  <c r="P114" i="5"/>
  <c r="N114" i="5" s="1"/>
  <c r="O114" i="5" l="1"/>
  <c r="P115" i="5"/>
  <c r="N115" i="5" s="1"/>
  <c r="O115" i="5" l="1"/>
  <c r="P116" i="5"/>
  <c r="N116" i="5" s="1"/>
  <c r="P117" i="5" l="1"/>
  <c r="N117" i="5" l="1"/>
  <c r="O117" i="5" s="1"/>
  <c r="O116" i="5"/>
  <c r="N119" i="5"/>
  <c r="O119" i="5" l="1"/>
</calcChain>
</file>

<file path=xl/sharedStrings.xml><?xml version="1.0" encoding="utf-8"?>
<sst xmlns="http://schemas.openxmlformats.org/spreadsheetml/2006/main" count="353" uniqueCount="292">
  <si>
    <t>TOTAL</t>
  </si>
  <si>
    <t>Redondeo</t>
  </si>
  <si>
    <t>Ingresos</t>
  </si>
  <si>
    <t>PB - A POLICHISO RAMOS</t>
  </si>
  <si>
    <t>PB - B BATTISTA OMAR R.</t>
  </si>
  <si>
    <t>PB - C DIDIER OLGA</t>
  </si>
  <si>
    <t>PB - D XHARDEZ MARIA A.</t>
  </si>
  <si>
    <t>PB - E BRANDAN OSVALDO</t>
  </si>
  <si>
    <t>1 A VEGA RICARDO</t>
  </si>
  <si>
    <t>1 B ASTARITA SUSANA L.</t>
  </si>
  <si>
    <t>1 C GUGLIELMINI ANA M.</t>
  </si>
  <si>
    <t>1 D SCARPATI LORENA P.</t>
  </si>
  <si>
    <t>1 E BAZAN JOSE</t>
  </si>
  <si>
    <t>1 F KRAJCIR ERNESTO</t>
  </si>
  <si>
    <t>1 G AGOSTINI ALONSO</t>
  </si>
  <si>
    <t>2 A LORENA ELIZABETH CASSERO</t>
  </si>
  <si>
    <t>2 B BOQUETE ALFREDO</t>
  </si>
  <si>
    <t>2 C DESIMONE ROBERTO</t>
  </si>
  <si>
    <t>2 D KERULIS SILVIA</t>
  </si>
  <si>
    <t>2 E GARCIA SILVIA</t>
  </si>
  <si>
    <t>2 F LOPEZ MERCEDES R.</t>
  </si>
  <si>
    <t>2 G MENDEZ JORGE O.</t>
  </si>
  <si>
    <t>3 A POLLIO RICARDO</t>
  </si>
  <si>
    <t>3 B WASZNIEWSKI G.</t>
  </si>
  <si>
    <t xml:space="preserve">3 D GARCIA MANUELA </t>
  </si>
  <si>
    <t>3 E LASTIRI DANIELA</t>
  </si>
  <si>
    <t>3 F LOPEZ ESTEBAN</t>
  </si>
  <si>
    <t>3 G FONDACARO FEDERICO</t>
  </si>
  <si>
    <t>4 A FERNANDEZ LUCAS M.</t>
  </si>
  <si>
    <t>4 B FRIDMAN J. Y SRA.</t>
  </si>
  <si>
    <t>4 C FERREIRA DE SOUSA</t>
  </si>
  <si>
    <t>4 D DIAZ PETRONA A.</t>
  </si>
  <si>
    <t>4 E XHARDEZ MARIA E.</t>
  </si>
  <si>
    <t>4 F WASINGER ADRIANA B.</t>
  </si>
  <si>
    <t>4 G OLIVERA LORENZO</t>
  </si>
  <si>
    <t>5 A EL FASAH JORGE</t>
  </si>
  <si>
    <t>5 B DAMONTE ANDREA</t>
  </si>
  <si>
    <t>5 C LOPEZ MARCEL MABEL</t>
  </si>
  <si>
    <t>5 D BANFI SILVIA R.</t>
  </si>
  <si>
    <t>5 E BUCETA M. ARACELI</t>
  </si>
  <si>
    <t>5 F BARABALLE OSCAR</t>
  </si>
  <si>
    <t>5 G IRAZABAL SUEIRO</t>
  </si>
  <si>
    <t>6 A MILLEFANTI CARINA</t>
  </si>
  <si>
    <t>6 B SETTE HORACIO Y SRA.</t>
  </si>
  <si>
    <t>6 D BALBIN BEATRIZ DE</t>
  </si>
  <si>
    <t>6 F KUZIEMSKI ANGELICA</t>
  </si>
  <si>
    <t>6 G TULIPANI ANGELICA</t>
  </si>
  <si>
    <t>7 A OLIVERA JORGE</t>
  </si>
  <si>
    <t>7 B GASCON PAOLA V.</t>
  </si>
  <si>
    <t>7 C CASTALDI GUSTAVO</t>
  </si>
  <si>
    <t>7 D SCUNIO HECTOR F.</t>
  </si>
  <si>
    <t>7 E RODRIGUEZ FERNANDO</t>
  </si>
  <si>
    <t>7 F MAONE OSVALDO</t>
  </si>
  <si>
    <t>7 G MORALES MIRIAM M.</t>
  </si>
  <si>
    <t>8 A SANTOS PASCUAL</t>
  </si>
  <si>
    <t>8 B FANELLI EDITH</t>
  </si>
  <si>
    <t>8 C KRUK ANA MARIA</t>
  </si>
  <si>
    <t>8 D RIOS ELIDA</t>
  </si>
  <si>
    <t>8 E ALEJO HORACIO</t>
  </si>
  <si>
    <t>8 F BOSSETTI CARLOS E.</t>
  </si>
  <si>
    <t>8 G DE MATO Y SORRENTI</t>
  </si>
  <si>
    <t>9 A SANTOS CARDOZO</t>
  </si>
  <si>
    <t>9 B BELIZAN RUBEN OMAR</t>
  </si>
  <si>
    <t>9 C LOMBARDO MARIA DEL</t>
  </si>
  <si>
    <t>9 D CALVIÑO LUCAS</t>
  </si>
  <si>
    <t>9 E NOE FRANCISCO N.</t>
  </si>
  <si>
    <t>9 F DE MOGLIONI LORENZO</t>
  </si>
  <si>
    <t>9 G MOLINA AMANDA</t>
  </si>
  <si>
    <t>10 A CARBAJALES JOSE</t>
  </si>
  <si>
    <t>10 B RAMOS ALBERTO</t>
  </si>
  <si>
    <t>10 C NANI DEL VALLE J.</t>
  </si>
  <si>
    <t>10 D DE ALBA MARIA L.</t>
  </si>
  <si>
    <t>10 E LANZILLOTA DIEGO J.</t>
  </si>
  <si>
    <t>10 F PEDROUZO JORGE LUIS</t>
  </si>
  <si>
    <t>10 G FANELLI EDITH</t>
  </si>
  <si>
    <t>11 A LEOPARDI A.</t>
  </si>
  <si>
    <t>11 B VILARDO LILIANA</t>
  </si>
  <si>
    <t>11 C LODICO HORACIO</t>
  </si>
  <si>
    <t>11 E MIRAGAYA JORGE OMAR</t>
  </si>
  <si>
    <t>11 F ANTUNEZ RUBEN DANIEL</t>
  </si>
  <si>
    <t>11 G POLONI JOSE</t>
  </si>
  <si>
    <t>12 A TORRES G. ZULLY</t>
  </si>
  <si>
    <t>12 B BALLESTEROS SENCIO</t>
  </si>
  <si>
    <t>12 C SABHA DANIEL</t>
  </si>
  <si>
    <t>12 D LANNI KARINA PAOLA</t>
  </si>
  <si>
    <t>12 E DAVILA JUAN</t>
  </si>
  <si>
    <t>12 F SUC. DE F. CAMPOS</t>
  </si>
  <si>
    <t>12 G NOSACH SERGIO</t>
  </si>
  <si>
    <t>12 E COCHERA F. DAVILA JUAN</t>
  </si>
  <si>
    <t>11 G COCHERA N. POLONI JOSE</t>
  </si>
  <si>
    <t>11 A COCHERA E LEOPARDI A.</t>
  </si>
  <si>
    <t>8 E COCHERA G. ALEJO HORACIO</t>
  </si>
  <si>
    <t>5 C COCHERA L. LOPEZ MARCELO</t>
  </si>
  <si>
    <t>4 B COCHERA FRIDMAN J. Y SRA.</t>
  </si>
  <si>
    <t>3 B COCHERA WASZNIEWSKI G.</t>
  </si>
  <si>
    <t>7 B COCHERA C. GASCON P. V.</t>
  </si>
  <si>
    <t>2 G COCHERA MENDEZ JORGE O.</t>
  </si>
  <si>
    <t>2 C COCHERA J. ALEJO HORACIO</t>
  </si>
  <si>
    <t>1 E COCHERA H. BAZAN JOSE</t>
  </si>
  <si>
    <t>6 C LEOBONO MIRIAM G,</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</si>
  <si>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</si>
  <si>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</si>
  <si>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</si>
  <si>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</si>
  <si>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</si>
  <si>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</si>
  <si>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</si>
  <si>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</si>
  <si>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</si>
  <si>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Edesur</t>
  </si>
  <si>
    <t>Servicio de interet Claro</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</si>
  <si>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</si>
  <si>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</si>
  <si>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</si>
  <si>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</si>
  <si>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</si>
  <si>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</si>
  <si>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</si>
  <si>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</si>
  <si>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</si>
  <si>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</si>
  <si>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</si>
  <si>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</si>
  <si>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</si>
  <si>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</si>
  <si>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</si>
  <si>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</si>
  <si>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</si>
  <si>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</si>
  <si>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</si>
  <si>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</si>
  <si>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</si>
  <si>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</si>
  <si>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</si>
  <si>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</si>
  <si>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2do Vto</t>
  </si>
  <si>
    <t xml:space="preserve">CONS. DE PROP. ITALIA 2156                                                                                                                                                                    
</t>
  </si>
  <si>
    <t xml:space="preserve">Cesar Alberto Britez - CUIL 20-23524002-6 </t>
  </si>
  <si>
    <t>IMPUESTOS</t>
  </si>
  <si>
    <t>TOTAL IMPUESTOS</t>
  </si>
  <si>
    <t>Sindicato - Suther</t>
  </si>
  <si>
    <t>Sindicato - Fathery</t>
  </si>
  <si>
    <t>Sindicato - Seracarh</t>
  </si>
  <si>
    <t xml:space="preserve">Egresos del mes </t>
  </si>
  <si>
    <t>TOTAL GASTOS B</t>
  </si>
  <si>
    <t xml:space="preserve">MAIL: italia2156rc@gmail.com
</t>
  </si>
  <si>
    <t>CUIT DEL EDIFICIO: 30-56229064-4</t>
  </si>
  <si>
    <t>CUIT ADMINISTRACION:  27-23125687-9</t>
  </si>
  <si>
    <t>Municipalidad de avellaneda</t>
  </si>
  <si>
    <t>Silvana Valeria Arredondo</t>
  </si>
  <si>
    <t>Deposita  - Angelica Kuziemski</t>
  </si>
  <si>
    <t>Cartegena Silvia jaqueline</t>
  </si>
  <si>
    <t>Olivera Martin Sebastian</t>
  </si>
  <si>
    <t>Matias Ragmilevich</t>
  </si>
  <si>
    <t>Tiene la cochera uf 100</t>
  </si>
  <si>
    <t>Paola Massielainy</t>
  </si>
  <si>
    <t>QUIENES ESTAN COLOREADOS DE COLOR VIOLETA NO ESTAN RESPETANDO LOS CENTAVOS AL ABONAR</t>
  </si>
  <si>
    <t>QUIENES ESTAN EN COLOR ROSADO POSEEN UN PLAN DE PAGOS VIGENTE</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</si>
  <si>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</si>
  <si>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 xml:space="preserve">CAJA DE BANCOS </t>
  </si>
  <si>
    <t>Haberes</t>
  </si>
  <si>
    <t>Descuentos</t>
  </si>
  <si>
    <t>Sra. Abogada Lorena Ferreiro - Honorarios</t>
  </si>
  <si>
    <t>Abono ascensor - Lema Ascensores - Mantenimiento</t>
  </si>
  <si>
    <t>4 E COCHERA XHARDEZ MARIA EUGENIA</t>
  </si>
  <si>
    <t>AYALA GASTON</t>
  </si>
  <si>
    <t>Silvana Valeria Arredondo - Braian Brito</t>
  </si>
  <si>
    <t>Cliente 4873380</t>
  </si>
  <si>
    <t>Cliente 1295184</t>
  </si>
  <si>
    <t>Cliente 0304290</t>
  </si>
  <si>
    <t>Taiel Alejandro Biscarra / Vizcarra</t>
  </si>
  <si>
    <t xml:space="preserve">Plan de pago de 4G: Consta de 7 cuotas de $170.000 + expensas en curso </t>
  </si>
  <si>
    <t>10 A 15HS - EMERGENCIAS 24HS</t>
  </si>
  <si>
    <t>Gasto particular</t>
  </si>
  <si>
    <t>3 C MAROTTA PABLO</t>
  </si>
  <si>
    <t>REEMPLAZOS</t>
  </si>
  <si>
    <t>Edesur - Porteria</t>
  </si>
  <si>
    <t>Metrogas - Nro. 20065934100 - Porteria</t>
  </si>
  <si>
    <t xml:space="preserve">Plan de pago de 6G: Consta de 3 cuotas de 135.000 + expensas en curso </t>
  </si>
  <si>
    <t>Plan de pago</t>
  </si>
  <si>
    <t xml:space="preserve">Plan de pago de 6C: Consta de 6 cuotas de $300.000 + expensas en curso </t>
  </si>
  <si>
    <t xml:space="preserve">Plan de pago de 6B: Consta de 24 cuotas de $33.000 + expensas en curso </t>
  </si>
  <si>
    <t>Federacion Patronal - Seguro accidentes personales Sr. Cesar</t>
  </si>
  <si>
    <t>Debito aut.</t>
  </si>
  <si>
    <t xml:space="preserve">Federacion Patronal - Seguro consorcio </t>
  </si>
  <si>
    <t>4 E COCHERA MARIA AMELIA XHARDEZ</t>
  </si>
  <si>
    <t>NÚMERO DE CUENTA: Cta. Cte. 039-024105/6 - Alias: italia2156 - CBU:0720039720000002410568</t>
  </si>
  <si>
    <t>Saldo inicial</t>
  </si>
  <si>
    <t xml:space="preserve">ANOTACION </t>
  </si>
  <si>
    <t>FECHA DE LA ANOTACION:</t>
  </si>
  <si>
    <t>0-ene</t>
  </si>
  <si>
    <t>NOMBRE:</t>
  </si>
  <si>
    <t>QUEJA VIA:</t>
  </si>
  <si>
    <t>WHATSAPP</t>
  </si>
  <si>
    <t>MAIL</t>
  </si>
  <si>
    <t>MOTIVO DE LA QUEJA:</t>
  </si>
  <si>
    <t>Gustavo Peker</t>
  </si>
  <si>
    <t xml:space="preserve">Plan de pago de 11C: Consta de 10 Cuotas de $165.000 + expensas en curso </t>
  </si>
  <si>
    <t>Articulos de limpieza</t>
  </si>
  <si>
    <t xml:space="preserve">  </t>
  </si>
  <si>
    <t>Horacio (inquilino)</t>
  </si>
  <si>
    <t>11 D ANTUNEZ FRANCISCO</t>
  </si>
  <si>
    <t xml:space="preserve"> Osvaldo </t>
  </si>
  <si>
    <t xml:space="preserve">Inquilino: Ramon </t>
  </si>
  <si>
    <t>6 E DORIN GABRIEL DAVID</t>
  </si>
  <si>
    <t xml:space="preserve">Fernando daniel Minxxo  / Osvaldo </t>
  </si>
  <si>
    <t>Total 1er</t>
  </si>
  <si>
    <t>Josua Guillermo</t>
  </si>
  <si>
    <t>Macarena Crespo nueva inquilina - Sandra noemi crespo -  En Junio abono la segunda cuota de 3 de $135.000 - Consta de 3 cuotas de 135.000 + expensas en curso - Gustavo escobar es quien paga el pla de pagos</t>
  </si>
  <si>
    <t>Subscripcion periodico accion</t>
  </si>
  <si>
    <t>QUIENES SE ENCUENTRAN MARCADOS EN COLOR AMARILLO CONTINÚAN ABONANDO SUS EXPENSAS EN LA CUENTA BANCARIA ANTERIOR. LES RECORDAMOS QUE, A PARTIR DEL CAMBIO APROBADO, TODAS LAS EXPENSAS DEBEN DEPOSITARSE EXCLUSIVAMENTE EN LA CUENTA DEL BANCO SANTANDER. POR FAVOR, VERIFIQUEN LOS DATOS BANCARIOS ANTES DE REALIZAR EL PAGO.</t>
  </si>
  <si>
    <t>EN PROCESO DE EJECUCION</t>
  </si>
  <si>
    <t>En Juli0 2026 suben a $781.000</t>
  </si>
  <si>
    <t>Gastos bancarios - Santander</t>
  </si>
  <si>
    <t>Daniela Dominguez</t>
  </si>
  <si>
    <t>Deposito ya identificado mes anterior</t>
  </si>
  <si>
    <t>Punitorios mal cobrados</t>
  </si>
  <si>
    <t>AYSA</t>
  </si>
  <si>
    <t>AYSA:</t>
  </si>
  <si>
    <t>Plan de pago 5E: Consta de 6 cuotas mensuales de $190.000 + expensas en curso</t>
  </si>
  <si>
    <t>Plan de pago 10F: Cosnsta de 9 cuotas mensuales de $130.000 + expensas en curso</t>
  </si>
  <si>
    <t>Alexis Florentino</t>
  </si>
  <si>
    <t xml:space="preserve">Jorge Luis Otranto </t>
  </si>
  <si>
    <t>ARCA - Plan de pago - Cuota 47/60</t>
  </si>
  <si>
    <t>Intereses</t>
  </si>
  <si>
    <t>FCI - SALDO INICIAL</t>
  </si>
  <si>
    <t>VTO 16/10</t>
  </si>
  <si>
    <t>PERÍODO: SEPTIEMBRE</t>
  </si>
  <si>
    <t>InOut Control - Comando control y camaras - SEPTIEMBRE</t>
  </si>
  <si>
    <t>Honorarios administracion - Se adeuda mes de SEPTIEMBRE</t>
  </si>
  <si>
    <t>Gustavo Padron -  Sr. Contador - SEPTIEMBRE</t>
  </si>
  <si>
    <t>Transf 15/09</t>
  </si>
  <si>
    <t>Transf 02/09</t>
  </si>
  <si>
    <t>Transf 11/09</t>
  </si>
  <si>
    <t>Suarez Agustin Ignacio - SEPTIEMBRE - Desinsectacion</t>
  </si>
  <si>
    <t>Transf 07/09</t>
  </si>
  <si>
    <t>Transf 05/09</t>
  </si>
  <si>
    <t>Grafica Tauge - Fotocopias Byn</t>
  </si>
  <si>
    <t>Bayeto Gabriela Paola - Aporte notarial sellos, protocolo, testimonio e impresión de fotografias - Honorarios de acta de constatacion</t>
  </si>
  <si>
    <t>Transf 09/09</t>
  </si>
  <si>
    <t>Abono ascensor - Lema Ascensores - Cerradura ascensores: compra y cambios de cerraduras</t>
  </si>
  <si>
    <t>ARCA VEP - Mes 9</t>
  </si>
  <si>
    <t>ARCA VEP - Pagos atrasados ART</t>
  </si>
  <si>
    <t>ARCA VEP - Punitorios periodos 2022/23</t>
  </si>
  <si>
    <t>Envio carta documento correo Argentino</t>
  </si>
  <si>
    <t>Transf 10/09</t>
  </si>
  <si>
    <t>Debito 14/09</t>
  </si>
  <si>
    <t>Sra Silvana - Reemplazo del Sr. Encargado</t>
  </si>
  <si>
    <t>Seguro Sra. Silvana</t>
  </si>
  <si>
    <t>Transf 14/09</t>
  </si>
  <si>
    <t>Efectivo</t>
  </si>
  <si>
    <r>
      <t>Oscar Colmeiro / Cordoba Matias -</t>
    </r>
    <r>
      <rPr>
        <b/>
        <sz val="11"/>
        <color theme="1"/>
        <rFont val="Calibri"/>
        <family val="2"/>
        <scheme val="minor"/>
      </rPr>
      <t xml:space="preserve"> </t>
    </r>
    <r>
      <rPr>
        <sz val="11"/>
        <color theme="1"/>
        <rFont val="Calibri"/>
        <family val="2"/>
        <scheme val="minor"/>
      </rPr>
      <t xml:space="preserve"> Trabajo de plomeria, albañileria y pintura - 8vo B cambio de desague cocina y lavadero - 8vo f cambio de desague de cocina, lavadero y albañileria - 8vo E cambio de desague de cocina, lavadero y albañileria - 6to c cambio de desague de cocina, lavadero y albañileria + llave de paso - 7mo C cambio de desague de cocina, lavadero y albañileria - 3ro D cambio de desague de cocina, lavadero y albañileria + cambio de cañeria agua fria cocina y lavadero + llaves de paso - 3ro C cambio de desague de cocina, lavadero + Cambio de cañeria agua fria y caliente cocina y lavadero + llaves de paso - 4to D cambio de llaves de paso agua fria y caliente - 1ro C reparacion de llave de paso - Resta abonar $7.200.000</t>
    </r>
  </si>
  <si>
    <t>Transf 28/09</t>
  </si>
  <si>
    <t>Federacion Patronal - Seguro accidentes personales Sr. Cristian</t>
  </si>
  <si>
    <t>Transf 21/09</t>
  </si>
  <si>
    <t>Cuello Natalia - Desobstruccion columna cocina en 1A</t>
  </si>
  <si>
    <t>Transf 24/09</t>
  </si>
  <si>
    <t>Cuello Natalia - Desobstruccion colectora cloacal</t>
  </si>
  <si>
    <t>Cuello Natalia - Desobstruccion camara septica</t>
  </si>
  <si>
    <t>AySa - Fc. 0111B26388563A</t>
  </si>
  <si>
    <r>
      <t xml:space="preserve">Mantenimiento de cuenta - Banco Credicop + Gastos bancarios - </t>
    </r>
    <r>
      <rPr>
        <b/>
        <u/>
        <sz val="11"/>
        <color theme="1"/>
        <rFont val="Calibri"/>
        <family val="2"/>
        <scheme val="minor"/>
      </rPr>
      <t>Ultimo mes: cierre de cuenta</t>
    </r>
  </si>
  <si>
    <t xml:space="preserve">El en mes de septiembre abono la 6ta cuota de 7 </t>
  </si>
  <si>
    <t xml:space="preserve">En Septiembre paga la 2da cuota de 9 cuotas de $130.000 </t>
  </si>
  <si>
    <t xml:space="preserve">En Septiembre abona la 6ta cuota de 10 - Consta de 10 Cuotas de $165.000 + expensas en curso </t>
  </si>
  <si>
    <t>Deposito ya identificado (07/07)</t>
  </si>
  <si>
    <t xml:space="preserve">SE LE DEBE COBRAR SIEMPR EN PRIMER VTO . - En Septiembre abona la 6ta cuota de 24 - Consta de 24 cuotas de $33.000 + expensas en curso </t>
  </si>
  <si>
    <t>En Septiembre abono la cuota 9 de 24</t>
  </si>
  <si>
    <t xml:space="preserve">Caja Cocheras </t>
  </si>
  <si>
    <t>Saldo final</t>
  </si>
  <si>
    <t>Comodato porteria - Mes de septiembre</t>
  </si>
  <si>
    <t>AySa - Fc. 0111B22611040</t>
  </si>
  <si>
    <t>Se crea una caja destinada exclusivamente a la gestión de los fondos correspondientes al arreglo del techado de las cocheras.
La misma contará mensualmente con el ingreso proveniente del alquiler o comodato de la portería. La caja se inicia con dicho ingreso, abonado en efectivo, quedando los fondos afectados exclusivamente a los gastos relacionados con la reparación y mantenimiento del techado de las cocheras.</t>
  </si>
  <si>
    <t>Cristian Marcelo Del Pezzo - CUIL 20-24184416-2</t>
  </si>
  <si>
    <t>Cuello Natalia - Desobstruccion columna baño y de inodoro inodoro UF 4G</t>
  </si>
  <si>
    <t>4G : Desobstruccion columna baño y de inodoro inodoro UF 4G</t>
  </si>
  <si>
    <t>Destapaciones Roman -Destapación de cloaca desde cámara hacia la salida, y destapación de rejilla del baño de PB, correspondiente a la cámara cloacal. Servicio solicitado de urgencia el día domingo.</t>
  </si>
  <si>
    <t>Transf 29/09</t>
  </si>
  <si>
    <t>Ramon Troncoso -  En septiembre paga la 1er cuota de 6 - Consta de 6 cuotas mensuales de $190.000 + expensas en curso</t>
  </si>
  <si>
    <t xml:space="preserve">ARCA VEP </t>
  </si>
  <si>
    <t>Transf 16/09</t>
  </si>
  <si>
    <t>SALDO FINAL</t>
  </si>
  <si>
    <t>UF 43</t>
  </si>
  <si>
    <t>UF 43 Transfirio 194.389,43 (12/10 o habil siguiente)  + 186.313  el 14/10</t>
  </si>
  <si>
    <t>11C</t>
  </si>
  <si>
    <t>Jeremy Naguel</t>
  </si>
  <si>
    <t xml:space="preserve"> Jeremy Nahuel: Imputarle $255.000 a favor, correspondientes al excedente abonado en las cuotas del plan de pago de abril, mayo y junio ($85.000 por mes). Aplicar el descuento sobre los $359.889,78 de octubre, dejando un saldo de $104.889,78. El propietario ya fue notificado.</t>
  </si>
  <si>
    <t>8B</t>
  </si>
  <si>
    <t>El 8B dice que esta al dia y que "hablo con romina"</t>
  </si>
  <si>
    <t>10A</t>
  </si>
  <si>
    <t>Deposito 316.500 el 09/10 UF 10A</t>
  </si>
  <si>
    <t>4D</t>
  </si>
  <si>
    <t>Transfirio $4.689 el 17/10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</si>
</sst>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6"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
      <b/>
      <sz val="16"/>
      <name val="Calibri"/>
      <family val="2"/>
      <scheme val="minor"/>
    </font>
    <font>
      <b/>
      <sz val="12"/>
      <name val="Calibri"/>
      <family val="2"/>
      <scheme val="minor"/>
    </font>
    <font>
      <sz val="8"/>
      <color rgb="FFFF0000"/>
      <name val="Calibri"/>
      <family val="2"/>
      <scheme val="minor"/>
    </font>
    <font>
      <u/>
      <sz val="11"/>
      <name val="Calibri"/>
      <family val="2"/>
      <scheme val="minor"/>
    </font>
    <font>
      <b/>
      <u/>
      <sz val="11"/>
      <color theme="1"/>
      <name val="Calibri"/>
      <family val="2"/>
      <scheme val="minor"/>
    </font>
    <font>
      <sz val="11"/>
      <color theme="0"/>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0000"/>
        <bgColor indexed="64"/>
      </patternFill>
    </fill>
    <fill>
      <patternFill patternType="solid">
        <fgColor theme="7"/>
        <bgColor indexed="64"/>
      </patternFill>
    </fill>
    <fill>
      <patternFill patternType="solid">
        <fgColor rgb="FF00FF00"/>
        <bgColor indexed="64"/>
      </patternFill>
    </fill>
    <fill>
      <patternFill patternType="solid">
        <fgColor rgb="FF0070C0"/>
        <bgColor indexed="64"/>
      </patternFill>
    </fill>
    <fill>
      <patternFill patternType="solid">
        <fgColor theme="5"/>
        <bgColor indexed="64"/>
      </patternFill>
    </fill>
  </fills>
  <borders count="4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s>
  <cellStyleXfs count="3">
    <xf numFmtId="0" fontId="0" fillId="0" borderId="0"/>
    <xf numFmtId="44" fontId="5" fillId="0" borderId="0" applyFont="0" applyFill="0" applyBorder="0" applyAlignment="0" applyProtection="0"/>
    <xf numFmtId="43" fontId="5" fillId="0" borderId="0" applyFont="0" applyFill="0" applyBorder="0" applyAlignment="0" applyProtection="0"/>
  </cellStyleXfs>
  <cellXfs count="315">
    <xf numFmtId="0" fontId="0" fillId="0" borderId="0" xfId="0"/>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8" fillId="7" borderId="9" xfId="0" applyFont="1" applyFill="1" applyBorder="1"/>
    <xf numFmtId="8" fontId="9" fillId="7" borderId="9" xfId="0" applyNumberFormat="1" applyFont="1" applyFill="1" applyBorder="1"/>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2" borderId="9" xfId="0" applyFill="1" applyBorder="1"/>
    <xf numFmtId="0" fontId="0" fillId="2" borderId="0" xfId="0" applyFill="1"/>
    <xf numFmtId="0" fontId="11" fillId="2" borderId="9" xfId="0" applyFont="1" applyFill="1" applyBorder="1"/>
    <xf numFmtId="0" fontId="1" fillId="7" borderId="9" xfId="0" applyFont="1" applyFill="1" applyBorder="1"/>
    <xf numFmtId="44" fontId="12" fillId="7" borderId="20" xfId="1" applyFont="1" applyFill="1" applyBorder="1"/>
    <xf numFmtId="44" fontId="12" fillId="7" borderId="9" xfId="1" applyFont="1" applyFill="1" applyBorder="1"/>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vertical="center" wrapText="1"/>
    </xf>
    <xf numFmtId="0" fontId="0" fillId="7" borderId="9" xfId="0" applyFill="1" applyBorder="1"/>
    <xf numFmtId="44" fontId="10" fillId="7" borderId="9" xfId="1" applyFont="1" applyFill="1" applyBorder="1"/>
    <xf numFmtId="0" fontId="0" fillId="0" borderId="9" xfId="0" applyBorder="1"/>
    <xf numFmtId="44" fontId="10" fillId="2" borderId="9" xfId="1" applyFont="1" applyFill="1" applyBorder="1"/>
    <xf numFmtId="0" fontId="0" fillId="0" borderId="21" xfId="0" applyBorder="1"/>
    <xf numFmtId="0" fontId="0" fillId="0" borderId="20" xfId="0" applyBorder="1" applyAlignment="1">
      <alignment horizontal="left" vertical="center"/>
    </xf>
    <xf numFmtId="44" fontId="12" fillId="7" borderId="20" xfId="1" applyFont="1" applyFill="1" applyBorder="1" applyAlignment="1">
      <alignment horizontal="center"/>
    </xf>
    <xf numFmtId="0" fontId="13" fillId="0" borderId="9" xfId="1" applyNumberFormat="1" applyFont="1" applyBorder="1"/>
    <xf numFmtId="44" fontId="10" fillId="2" borderId="20" xfId="1" applyFont="1" applyFill="1" applyBorder="1"/>
    <xf numFmtId="0" fontId="9" fillId="7" borderId="9" xfId="0" applyFont="1" applyFill="1" applyBorder="1"/>
    <xf numFmtId="0" fontId="1" fillId="7" borderId="9" xfId="0" applyFont="1" applyFill="1" applyBorder="1" applyAlignment="1">
      <alignment wrapText="1"/>
    </xf>
    <xf numFmtId="8" fontId="12" fillId="7" borderId="20" xfId="0" applyNumberFormat="1" applyFont="1" applyFill="1" applyBorder="1"/>
    <xf numFmtId="0" fontId="1" fillId="7" borderId="19" xfId="0" applyFont="1" applyFill="1" applyBorder="1"/>
    <xf numFmtId="8" fontId="12" fillId="7" borderId="22" xfId="0" applyNumberFormat="1" applyFont="1" applyFill="1" applyBorder="1"/>
    <xf numFmtId="44" fontId="14" fillId="7" borderId="9" xfId="1" applyFont="1" applyFill="1" applyBorder="1"/>
    <xf numFmtId="0" fontId="10" fillId="0" borderId="9" xfId="0" applyFont="1" applyBorder="1"/>
    <xf numFmtId="0" fontId="11" fillId="0" borderId="15" xfId="0" applyFont="1" applyBorder="1"/>
    <xf numFmtId="0" fontId="1" fillId="8" borderId="9" xfId="0" applyFont="1" applyFill="1" applyBorder="1"/>
    <xf numFmtId="0" fontId="12" fillId="8" borderId="20" xfId="0" applyFont="1" applyFill="1" applyBorder="1"/>
    <xf numFmtId="44" fontId="14" fillId="8" borderId="9" xfId="1" applyFont="1" applyFill="1" applyBorder="1"/>
    <xf numFmtId="0" fontId="0" fillId="0" borderId="3" xfId="0" applyBorder="1"/>
    <xf numFmtId="0" fontId="10" fillId="0" borderId="0" xfId="0" applyFont="1"/>
    <xf numFmtId="0" fontId="11" fillId="0" borderId="12" xfId="0" applyFont="1" applyBorder="1"/>
    <xf numFmtId="44" fontId="0" fillId="0" borderId="0" xfId="0" applyNumberFormat="1"/>
    <xf numFmtId="0" fontId="1" fillId="6" borderId="7" xfId="0" applyFont="1" applyFill="1" applyBorder="1"/>
    <xf numFmtId="10" fontId="1" fillId="6" borderId="8" xfId="0" applyNumberFormat="1" applyFont="1" applyFill="1" applyBorder="1"/>
    <xf numFmtId="0" fontId="1" fillId="6" borderId="8" xfId="0" applyFont="1" applyFill="1" applyBorder="1"/>
    <xf numFmtId="0" fontId="12" fillId="6" borderId="8" xfId="0" applyFont="1" applyFill="1" applyBorder="1"/>
    <xf numFmtId="44" fontId="14" fillId="6" borderId="6" xfId="0" applyNumberFormat="1" applyFont="1" applyFill="1" applyBorder="1"/>
    <xf numFmtId="43" fontId="0" fillId="0" borderId="0" xfId="0" applyNumberFormat="1"/>
    <xf numFmtId="164" fontId="0" fillId="2" borderId="0" xfId="1" applyNumberFormat="1" applyFont="1" applyFill="1" applyAlignment="1"/>
    <xf numFmtId="0" fontId="10" fillId="6" borderId="2" xfId="0" applyFont="1" applyFill="1" applyBorder="1"/>
    <xf numFmtId="0" fontId="10" fillId="6" borderId="11" xfId="0" applyFont="1" applyFill="1" applyBorder="1"/>
    <xf numFmtId="0" fontId="11" fillId="0" borderId="9" xfId="1" applyNumberFormat="1" applyFont="1" applyBorder="1" applyAlignment="1">
      <alignment horizontal="left"/>
    </xf>
    <xf numFmtId="0" fontId="0" fillId="0" borderId="23" xfId="0" applyBorder="1" applyAlignment="1">
      <alignment horizontal="left" vertical="center" wrapText="1"/>
    </xf>
    <xf numFmtId="0" fontId="1" fillId="7" borderId="0" xfId="0" applyFont="1" applyFill="1"/>
    <xf numFmtId="0" fontId="0" fillId="7" borderId="0" xfId="0" applyFill="1"/>
    <xf numFmtId="0" fontId="2" fillId="5" borderId="7" xfId="0" applyFont="1" applyFill="1" applyBorder="1"/>
    <xf numFmtId="44" fontId="2" fillId="5" borderId="6" xfId="0" applyNumberFormat="1" applyFont="1" applyFill="1" applyBorder="1"/>
    <xf numFmtId="44" fontId="0" fillId="0" borderId="0" xfId="1" applyFont="1"/>
    <xf numFmtId="4" fontId="2" fillId="0" borderId="0" xfId="0" applyNumberFormat="1" applyFont="1" applyAlignment="1">
      <alignment wrapText="1"/>
    </xf>
    <xf numFmtId="0" fontId="0" fillId="0" borderId="0" xfId="0" applyAlignment="1">
      <alignment wrapText="1"/>
    </xf>
    <xf numFmtId="0" fontId="3" fillId="0" borderId="9" xfId="0" applyFont="1" applyBorder="1" applyAlignment="1">
      <alignment vertical="center" wrapText="1"/>
    </xf>
    <xf numFmtId="44" fontId="0" fillId="0" borderId="0" xfId="1" applyFont="1" applyBorder="1"/>
    <xf numFmtId="0" fontId="6" fillId="9" borderId="0" xfId="0" applyFont="1" applyFill="1"/>
    <xf numFmtId="44" fontId="6" fillId="9" borderId="0" xfId="0" applyNumberFormat="1" applyFont="1" applyFill="1"/>
    <xf numFmtId="44" fontId="6" fillId="9" borderId="0" xfId="1" applyFont="1" applyFill="1"/>
    <xf numFmtId="0" fontId="0" fillId="0" borderId="13" xfId="0" applyBorder="1"/>
    <xf numFmtId="8" fontId="0" fillId="0" borderId="0" xfId="0" applyNumberFormat="1"/>
    <xf numFmtId="0" fontId="16" fillId="0" borderId="9" xfId="0" applyFont="1" applyBorder="1"/>
    <xf numFmtId="0" fontId="16" fillId="0" borderId="9" xfId="0" applyFont="1" applyBorder="1" applyAlignment="1">
      <alignment horizontal="center"/>
    </xf>
    <xf numFmtId="44" fontId="17" fillId="0" borderId="9" xfId="1" applyFont="1" applyBorder="1"/>
    <xf numFmtId="44" fontId="17" fillId="2" borderId="9" xfId="1" applyFont="1" applyFill="1" applyBorder="1"/>
    <xf numFmtId="167" fontId="16" fillId="0" borderId="9" xfId="0" applyNumberFormat="1" applyFont="1" applyBorder="1"/>
    <xf numFmtId="44" fontId="17" fillId="0" borderId="24" xfId="1" applyFont="1" applyBorder="1"/>
    <xf numFmtId="0" fontId="16" fillId="0" borderId="9" xfId="0" applyFont="1" applyBorder="1" applyAlignment="1">
      <alignment wrapText="1"/>
    </xf>
    <xf numFmtId="0" fontId="16" fillId="0" borderId="9" xfId="0" applyFont="1" applyBorder="1" applyAlignment="1">
      <alignment vertical="center" wrapText="1"/>
    </xf>
    <xf numFmtId="0" fontId="15" fillId="0" borderId="0" xfId="0" applyFont="1"/>
    <xf numFmtId="0" fontId="1" fillId="3" borderId="7" xfId="0" applyFont="1" applyFill="1" applyBorder="1" applyAlignment="1">
      <alignment horizontal="left" vertical="top" wrapText="1"/>
    </xf>
    <xf numFmtId="0" fontId="0" fillId="0" borderId="19" xfId="0" applyBorder="1"/>
    <xf numFmtId="0" fontId="0" fillId="2" borderId="20" xfId="0" applyFill="1" applyBorder="1" applyAlignment="1">
      <alignment horizontal="left" vertical="center"/>
    </xf>
    <xf numFmtId="0" fontId="0" fillId="3" borderId="18" xfId="0" applyFill="1" applyBorder="1"/>
    <xf numFmtId="0" fontId="0" fillId="3" borderId="2" xfId="0" applyFill="1" applyBorder="1" applyAlignment="1">
      <alignment horizontal="center"/>
    </xf>
    <xf numFmtId="0" fontId="0" fillId="3" borderId="11" xfId="0" applyFill="1" applyBorder="1"/>
    <xf numFmtId="0" fontId="0" fillId="3" borderId="3" xfId="0" applyFill="1" applyBorder="1"/>
    <xf numFmtId="0" fontId="0" fillId="3" borderId="0" xfId="0" applyFill="1" applyAlignment="1">
      <alignment horizontal="center"/>
    </xf>
    <xf numFmtId="0" fontId="1" fillId="3" borderId="0" xfId="0" applyFont="1" applyFill="1" applyAlignment="1">
      <alignment horizontal="center"/>
    </xf>
    <xf numFmtId="164" fontId="1" fillId="3" borderId="0" xfId="1" applyNumberFormat="1" applyFont="1" applyFill="1" applyBorder="1" applyAlignment="1">
      <alignment horizontal="center"/>
    </xf>
    <xf numFmtId="164" fontId="0" fillId="3" borderId="0" xfId="1" applyNumberFormat="1" applyFont="1" applyFill="1" applyBorder="1" applyAlignment="1">
      <alignment horizontal="center"/>
    </xf>
    <xf numFmtId="44" fontId="0" fillId="3" borderId="12" xfId="1" applyFont="1" applyFill="1" applyBorder="1" applyAlignment="1"/>
    <xf numFmtId="0" fontId="0" fillId="3" borderId="4" xfId="0" applyFill="1" applyBorder="1"/>
    <xf numFmtId="0" fontId="0" fillId="3" borderId="16" xfId="0" applyFill="1" applyBorder="1" applyAlignment="1">
      <alignment horizontal="center"/>
    </xf>
    <xf numFmtId="166" fontId="0" fillId="3" borderId="16" xfId="0" applyNumberFormat="1" applyFill="1" applyBorder="1" applyAlignment="1">
      <alignment horizontal="center"/>
    </xf>
    <xf numFmtId="164" fontId="0" fillId="3" borderId="16" xfId="1" applyNumberFormat="1" applyFont="1" applyFill="1" applyBorder="1" applyAlignment="1">
      <alignment horizontal="center"/>
    </xf>
    <xf numFmtId="44" fontId="0" fillId="3" borderId="17" xfId="1" applyFont="1" applyFill="1" applyBorder="1" applyAlignment="1"/>
    <xf numFmtId="44" fontId="10" fillId="7" borderId="20" xfId="1" applyFont="1" applyFill="1" applyBorder="1"/>
    <xf numFmtId="0" fontId="16" fillId="2" borderId="9" xfId="0" applyFont="1" applyFill="1" applyBorder="1"/>
    <xf numFmtId="0" fontId="18" fillId="2" borderId="9" xfId="0" applyFont="1" applyFill="1" applyBorder="1"/>
    <xf numFmtId="0" fontId="16" fillId="2" borderId="9" xfId="0" applyFont="1" applyFill="1" applyBorder="1" applyAlignment="1">
      <alignment horizontal="center"/>
    </xf>
    <xf numFmtId="167" fontId="16" fillId="2" borderId="9" xfId="0" applyNumberFormat="1" applyFont="1" applyFill="1" applyBorder="1"/>
    <xf numFmtId="44" fontId="17" fillId="2" borderId="24" xfId="1" applyFont="1" applyFill="1" applyBorder="1"/>
    <xf numFmtId="0" fontId="16" fillId="2" borderId="9" xfId="0" applyFont="1" applyFill="1" applyBorder="1" applyAlignment="1">
      <alignment wrapText="1"/>
    </xf>
    <xf numFmtId="0" fontId="16" fillId="2" borderId="9" xfId="0" applyFont="1" applyFill="1" applyBorder="1" applyAlignment="1">
      <alignment vertical="center" wrapText="1"/>
    </xf>
    <xf numFmtId="44" fontId="11" fillId="0" borderId="9" xfId="1" applyFont="1" applyBorder="1" applyAlignment="1">
      <alignment vertical="center" wrapText="1"/>
    </xf>
    <xf numFmtId="44" fontId="10" fillId="7" borderId="0" xfId="1" applyFont="1" applyFill="1"/>
    <xf numFmtId="8" fontId="19" fillId="7" borderId="9" xfId="0" applyNumberFormat="1" applyFont="1" applyFill="1" applyBorder="1"/>
    <xf numFmtId="0" fontId="11" fillId="2" borderId="19" xfId="0" applyFont="1" applyFill="1" applyBorder="1"/>
    <xf numFmtId="0" fontId="16" fillId="13" borderId="9" xfId="0" applyFont="1" applyFill="1" applyBorder="1" applyAlignment="1">
      <alignment vertical="center" wrapText="1"/>
    </xf>
    <xf numFmtId="0" fontId="16" fillId="13" borderId="9" xfId="0" applyFont="1" applyFill="1" applyBorder="1" applyAlignment="1">
      <alignment wrapText="1"/>
    </xf>
    <xf numFmtId="0" fontId="16" fillId="13" borderId="9" xfId="0" applyFont="1" applyFill="1" applyBorder="1" applyAlignment="1">
      <alignment horizontal="center"/>
    </xf>
    <xf numFmtId="44" fontId="17" fillId="13" borderId="9" xfId="1" applyFont="1" applyFill="1" applyBorder="1"/>
    <xf numFmtId="167" fontId="16" fillId="13" borderId="9" xfId="0" applyNumberFormat="1" applyFont="1" applyFill="1" applyBorder="1"/>
    <xf numFmtId="44" fontId="17" fillId="13" borderId="24" xfId="1" applyFont="1" applyFill="1" applyBorder="1"/>
    <xf numFmtId="167" fontId="16" fillId="0" borderId="9" xfId="1" applyNumberFormat="1" applyFont="1" applyBorder="1"/>
    <xf numFmtId="167" fontId="16" fillId="2" borderId="9" xfId="1" applyNumberFormat="1" applyFont="1" applyFill="1" applyBorder="1"/>
    <xf numFmtId="0" fontId="16" fillId="13" borderId="9" xfId="0" applyFont="1" applyFill="1" applyBorder="1"/>
    <xf numFmtId="167" fontId="16" fillId="13" borderId="9" xfId="1" applyNumberFormat="1" applyFont="1" applyFill="1" applyBorder="1"/>
    <xf numFmtId="0" fontId="16" fillId="0" borderId="10" xfId="0" applyFont="1" applyBorder="1"/>
    <xf numFmtId="0" fontId="16" fillId="2" borderId="10" xfId="0" applyFont="1" applyFill="1" applyBorder="1"/>
    <xf numFmtId="0" fontId="16" fillId="13" borderId="10" xfId="0" applyFont="1" applyFill="1" applyBorder="1"/>
    <xf numFmtId="0" fontId="16" fillId="7" borderId="27" xfId="0" applyFont="1" applyFill="1" applyBorder="1"/>
    <xf numFmtId="0" fontId="16" fillId="7" borderId="28" xfId="0" applyFont="1" applyFill="1" applyBorder="1"/>
    <xf numFmtId="168" fontId="16" fillId="7" borderId="28" xfId="0" applyNumberFormat="1" applyFont="1" applyFill="1" applyBorder="1" applyAlignment="1">
      <alignment horizontal="center"/>
    </xf>
    <xf numFmtId="44" fontId="16" fillId="7" borderId="28" xfId="0" applyNumberFormat="1" applyFont="1" applyFill="1" applyBorder="1"/>
    <xf numFmtId="167" fontId="16" fillId="7" borderId="28" xfId="0" applyNumberFormat="1" applyFont="1" applyFill="1" applyBorder="1"/>
    <xf numFmtId="164" fontId="16" fillId="7" borderId="28" xfId="0" applyNumberFormat="1" applyFont="1" applyFill="1" applyBorder="1"/>
    <xf numFmtId="167" fontId="16" fillId="7" borderId="29" xfId="0" applyNumberFormat="1" applyFont="1" applyFill="1" applyBorder="1"/>
    <xf numFmtId="44" fontId="17" fillId="0" borderId="31" xfId="1" applyFont="1" applyBorder="1"/>
    <xf numFmtId="44" fontId="17" fillId="2" borderId="31" xfId="1" applyFont="1" applyFill="1" applyBorder="1"/>
    <xf numFmtId="44" fontId="17" fillId="13" borderId="31" xfId="1" applyFont="1" applyFill="1" applyBorder="1"/>
    <xf numFmtId="44" fontId="16" fillId="7" borderId="32" xfId="0" applyNumberFormat="1" applyFont="1" applyFill="1" applyBorder="1"/>
    <xf numFmtId="0" fontId="13" fillId="3" borderId="33" xfId="0" applyFont="1" applyFill="1" applyBorder="1" applyAlignment="1">
      <alignment horizontal="center" vertical="center" wrapText="1"/>
    </xf>
    <xf numFmtId="0" fontId="13" fillId="3" borderId="24" xfId="0" applyFont="1" applyFill="1" applyBorder="1" applyAlignment="1">
      <alignment horizontal="center" vertical="center" wrapText="1"/>
    </xf>
    <xf numFmtId="44" fontId="16" fillId="7" borderId="34" xfId="0" applyNumberFormat="1" applyFont="1" applyFill="1" applyBorder="1"/>
    <xf numFmtId="167" fontId="16" fillId="0" borderId="23" xfId="1" applyNumberFormat="1" applyFont="1" applyBorder="1"/>
    <xf numFmtId="167" fontId="16" fillId="2" borderId="23" xfId="1" applyNumberFormat="1" applyFont="1" applyFill="1" applyBorder="1"/>
    <xf numFmtId="167" fontId="16" fillId="13" borderId="23" xfId="1" applyNumberFormat="1" applyFont="1" applyFill="1" applyBorder="1"/>
    <xf numFmtId="167" fontId="16" fillId="7" borderId="37" xfId="0" applyNumberFormat="1" applyFont="1" applyFill="1" applyBorder="1"/>
    <xf numFmtId="44" fontId="19" fillId="7" borderId="19" xfId="1" applyFont="1" applyFill="1" applyBorder="1"/>
    <xf numFmtId="44" fontId="11" fillId="0" borderId="9" xfId="1" applyFont="1" applyBorder="1" applyAlignment="1">
      <alignment wrapText="1"/>
    </xf>
    <xf numFmtId="8" fontId="14" fillId="7" borderId="9" xfId="1" applyNumberFormat="1" applyFont="1" applyFill="1" applyBorder="1"/>
    <xf numFmtId="8" fontId="14" fillId="7" borderId="19" xfId="1" applyNumberFormat="1" applyFont="1" applyFill="1" applyBorder="1"/>
    <xf numFmtId="8" fontId="11" fillId="2" borderId="19" xfId="1" applyNumberFormat="1" applyFont="1" applyFill="1" applyBorder="1"/>
    <xf numFmtId="44" fontId="14" fillId="7" borderId="19" xfId="1" applyFont="1" applyFill="1" applyBorder="1"/>
    <xf numFmtId="44" fontId="11" fillId="7" borderId="19" xfId="1" applyFont="1" applyFill="1" applyBorder="1"/>
    <xf numFmtId="44" fontId="14" fillId="7" borderId="5" xfId="1" applyFont="1" applyFill="1" applyBorder="1"/>
    <xf numFmtId="44" fontId="14" fillId="7" borderId="1" xfId="1" applyFont="1" applyFill="1" applyBorder="1"/>
    <xf numFmtId="44" fontId="11" fillId="2" borderId="9" xfId="1" applyFont="1" applyFill="1" applyBorder="1"/>
    <xf numFmtId="44" fontId="12" fillId="7" borderId="0" xfId="1" applyFont="1" applyFill="1"/>
    <xf numFmtId="0" fontId="10" fillId="0" borderId="0" xfId="0" applyFont="1" applyAlignment="1">
      <alignment wrapText="1"/>
    </xf>
    <xf numFmtId="44" fontId="10" fillId="0" borderId="0" xfId="0" applyNumberFormat="1" applyFont="1" applyAlignment="1">
      <alignment wrapText="1"/>
    </xf>
    <xf numFmtId="44" fontId="14" fillId="8" borderId="9" xfId="1" applyFont="1" applyFill="1" applyBorder="1" applyAlignment="1">
      <alignment vertical="center"/>
    </xf>
    <xf numFmtId="44" fontId="13" fillId="0" borderId="9" xfId="1" applyFont="1" applyBorder="1" applyAlignment="1">
      <alignment wrapText="1"/>
    </xf>
    <xf numFmtId="8" fontId="13" fillId="2" borderId="19" xfId="1" applyNumberFormat="1" applyFont="1" applyFill="1" applyBorder="1"/>
    <xf numFmtId="0" fontId="0" fillId="0" borderId="2" xfId="0" applyBorder="1"/>
    <xf numFmtId="0" fontId="0" fillId="0" borderId="11" xfId="0" applyBorder="1"/>
    <xf numFmtId="0" fontId="0" fillId="0" borderId="12" xfId="0" applyBorder="1"/>
    <xf numFmtId="0" fontId="12" fillId="0" borderId="0" xfId="0" applyFont="1"/>
    <xf numFmtId="0" fontId="12" fillId="6" borderId="18" xfId="0" applyFont="1" applyFill="1" applyBorder="1"/>
    <xf numFmtId="0" fontId="12" fillId="6" borderId="2" xfId="0" applyFont="1" applyFill="1" applyBorder="1"/>
    <xf numFmtId="10" fontId="12" fillId="6" borderId="2" xfId="0" applyNumberFormat="1" applyFont="1" applyFill="1" applyBorder="1"/>
    <xf numFmtId="0" fontId="10" fillId="2" borderId="9" xfId="0" applyFont="1" applyFill="1" applyBorder="1"/>
    <xf numFmtId="8" fontId="11" fillId="2" borderId="9" xfId="0" applyNumberFormat="1" applyFont="1" applyFill="1" applyBorder="1" applyAlignment="1">
      <alignment horizontal="right"/>
    </xf>
    <xf numFmtId="8" fontId="11" fillId="2" borderId="20" xfId="0" applyNumberFormat="1" applyFont="1" applyFill="1" applyBorder="1" applyAlignment="1">
      <alignment horizontal="right"/>
    </xf>
    <xf numFmtId="0" fontId="12" fillId="7" borderId="9" xfId="0" applyFont="1" applyFill="1" applyBorder="1"/>
    <xf numFmtId="0" fontId="10" fillId="7" borderId="9" xfId="0" applyFont="1" applyFill="1" applyBorder="1"/>
    <xf numFmtId="0" fontId="12" fillId="2" borderId="9" xfId="0" applyFont="1" applyFill="1" applyBorder="1"/>
    <xf numFmtId="0" fontId="16" fillId="14" borderId="10" xfId="0" applyFont="1" applyFill="1" applyBorder="1"/>
    <xf numFmtId="0" fontId="16" fillId="14" borderId="9" xfId="0" applyFont="1" applyFill="1" applyBorder="1" applyAlignment="1">
      <alignment vertical="center" wrapText="1"/>
    </xf>
    <xf numFmtId="0" fontId="17" fillId="2" borderId="10" xfId="0" applyFont="1" applyFill="1" applyBorder="1"/>
    <xf numFmtId="0" fontId="17" fillId="2" borderId="9" xfId="0" applyFont="1" applyFill="1" applyBorder="1" applyAlignment="1">
      <alignment vertical="center" wrapText="1"/>
    </xf>
    <xf numFmtId="0" fontId="17" fillId="2" borderId="9" xfId="0" applyFont="1" applyFill="1" applyBorder="1" applyAlignment="1">
      <alignment wrapText="1"/>
    </xf>
    <xf numFmtId="0" fontId="17" fillId="2" borderId="9" xfId="0" applyFont="1" applyFill="1" applyBorder="1" applyAlignment="1">
      <alignment horizontal="center"/>
    </xf>
    <xf numFmtId="167" fontId="17" fillId="2" borderId="9" xfId="0" applyNumberFormat="1" applyFont="1" applyFill="1" applyBorder="1"/>
    <xf numFmtId="167" fontId="17" fillId="2" borderId="9" xfId="1" applyNumberFormat="1" applyFont="1" applyFill="1" applyBorder="1"/>
    <xf numFmtId="167" fontId="17" fillId="2" borderId="23" xfId="1" applyNumberFormat="1" applyFont="1" applyFill="1" applyBorder="1"/>
    <xf numFmtId="0" fontId="16" fillId="14" borderId="9" xfId="0" applyFont="1" applyFill="1" applyBorder="1"/>
    <xf numFmtId="0" fontId="16" fillId="14" borderId="9" xfId="0" applyFont="1" applyFill="1" applyBorder="1" applyAlignment="1">
      <alignment wrapText="1"/>
    </xf>
    <xf numFmtId="0" fontId="16" fillId="14" borderId="9" xfId="0" applyFont="1" applyFill="1" applyBorder="1" applyAlignment="1">
      <alignment horizontal="center"/>
    </xf>
    <xf numFmtId="44" fontId="17" fillId="14" borderId="9" xfId="1" applyFont="1" applyFill="1" applyBorder="1"/>
    <xf numFmtId="167" fontId="16" fillId="14" borderId="9" xfId="0" applyNumberFormat="1" applyFont="1" applyFill="1" applyBorder="1"/>
    <xf numFmtId="167" fontId="16" fillId="14" borderId="9" xfId="1" applyNumberFormat="1" applyFont="1" applyFill="1" applyBorder="1"/>
    <xf numFmtId="167" fontId="16" fillId="14" borderId="23" xfId="1" applyNumberFormat="1" applyFont="1" applyFill="1" applyBorder="1"/>
    <xf numFmtId="44" fontId="17" fillId="14" borderId="24" xfId="1" applyFont="1" applyFill="1" applyBorder="1"/>
    <xf numFmtId="44" fontId="17" fillId="14" borderId="31" xfId="1" applyFont="1" applyFill="1" applyBorder="1"/>
    <xf numFmtId="0" fontId="7" fillId="0" borderId="0" xfId="0" applyFont="1"/>
    <xf numFmtId="0" fontId="22" fillId="0" borderId="0" xfId="0" applyFont="1"/>
    <xf numFmtId="44" fontId="22" fillId="0" borderId="0" xfId="0" applyNumberFormat="1" applyFont="1"/>
    <xf numFmtId="0" fontId="0" fillId="15" borderId="18" xfId="0" applyFill="1" applyBorder="1"/>
    <xf numFmtId="0" fontId="0" fillId="15" borderId="2" xfId="0" applyFill="1" applyBorder="1"/>
    <xf numFmtId="0" fontId="0" fillId="15" borderId="3" xfId="0" applyFill="1" applyBorder="1"/>
    <xf numFmtId="0" fontId="0" fillId="15" borderId="0" xfId="0" applyFill="1"/>
    <xf numFmtId="43" fontId="17" fillId="2" borderId="9" xfId="2" applyFont="1" applyFill="1" applyBorder="1"/>
    <xf numFmtId="0" fontId="1" fillId="10" borderId="7" xfId="0" applyFont="1" applyFill="1" applyBorder="1" applyAlignment="1">
      <alignment horizontal="left" vertical="center" wrapText="1"/>
    </xf>
    <xf numFmtId="44" fontId="1" fillId="10" borderId="6" xfId="1" applyFont="1" applyFill="1" applyBorder="1" applyAlignment="1">
      <alignment horizontal="left" vertical="center" wrapText="1"/>
    </xf>
    <xf numFmtId="0" fontId="6" fillId="9" borderId="41" xfId="0" applyFont="1" applyFill="1" applyBorder="1" applyAlignment="1">
      <alignment vertical="center" wrapText="1"/>
    </xf>
    <xf numFmtId="44" fontId="6" fillId="9" borderId="35" xfId="1" applyFont="1" applyFill="1" applyBorder="1"/>
    <xf numFmtId="0" fontId="0" fillId="0" borderId="10" xfId="0" applyBorder="1" applyAlignment="1">
      <alignment vertical="center" wrapText="1"/>
    </xf>
    <xf numFmtId="44" fontId="7" fillId="0" borderId="42" xfId="0" applyNumberFormat="1" applyFont="1" applyBorder="1" applyAlignment="1">
      <alignment vertical="center" wrapText="1"/>
    </xf>
    <xf numFmtId="44" fontId="0" fillId="0" borderId="42" xfId="0" applyNumberFormat="1" applyBorder="1" applyAlignment="1">
      <alignment vertical="center" wrapText="1"/>
    </xf>
    <xf numFmtId="44" fontId="0" fillId="0" borderId="42" xfId="1" applyFont="1" applyBorder="1" applyAlignment="1">
      <alignment vertical="center" wrapText="1"/>
    </xf>
    <xf numFmtId="0" fontId="0" fillId="0" borderId="3" xfId="0" applyBorder="1" applyAlignment="1">
      <alignment vertical="center" wrapText="1"/>
    </xf>
    <xf numFmtId="44" fontId="10" fillId="0" borderId="12" xfId="0" applyNumberFormat="1" applyFont="1" applyBorder="1" applyAlignment="1">
      <alignment vertical="center" wrapText="1"/>
    </xf>
    <xf numFmtId="44" fontId="10" fillId="2" borderId="22" xfId="1" applyFont="1" applyFill="1" applyBorder="1"/>
    <xf numFmtId="44" fontId="10" fillId="0" borderId="0" xfId="1" applyFont="1"/>
    <xf numFmtId="43" fontId="10" fillId="0" borderId="0" xfId="0" applyNumberFormat="1" applyFont="1"/>
    <xf numFmtId="167" fontId="17" fillId="7" borderId="28" xfId="0" applyNumberFormat="1" applyFont="1" applyFill="1" applyBorder="1"/>
    <xf numFmtId="44" fontId="7" fillId="2" borderId="20" xfId="1" applyFont="1" applyFill="1" applyBorder="1"/>
    <xf numFmtId="0" fontId="23" fillId="2" borderId="9" xfId="0" applyFont="1" applyFill="1" applyBorder="1"/>
    <xf numFmtId="8" fontId="12" fillId="7" borderId="20" xfId="1" applyNumberFormat="1" applyFont="1" applyFill="1" applyBorder="1"/>
    <xf numFmtId="4" fontId="25" fillId="9" borderId="0" xfId="0" applyNumberFormat="1" applyFont="1" applyFill="1"/>
    <xf numFmtId="44" fontId="17" fillId="2" borderId="9" xfId="1" applyFont="1" applyFill="1" applyBorder="1" applyAlignment="1">
      <alignment vertical="center" wrapText="1"/>
    </xf>
    <xf numFmtId="44" fontId="10" fillId="2" borderId="20" xfId="1" applyFont="1" applyFill="1" applyBorder="1" applyAlignment="1"/>
    <xf numFmtId="8" fontId="10" fillId="2" borderId="9" xfId="0" applyNumberFormat="1" applyFont="1" applyFill="1" applyBorder="1" applyAlignment="1">
      <alignment horizontal="right"/>
    </xf>
    <xf numFmtId="8" fontId="10" fillId="2" borderId="20" xfId="0" applyNumberFormat="1" applyFont="1" applyFill="1" applyBorder="1" applyAlignment="1">
      <alignment horizontal="right"/>
    </xf>
    <xf numFmtId="44" fontId="7" fillId="2" borderId="42" xfId="1" applyFont="1" applyFill="1" applyBorder="1" applyAlignment="1">
      <alignment vertical="center" wrapText="1"/>
    </xf>
    <xf numFmtId="0" fontId="16" fillId="15" borderId="10" xfId="0" applyFont="1" applyFill="1" applyBorder="1"/>
    <xf numFmtId="0" fontId="16" fillId="15" borderId="9" xfId="0" applyFont="1" applyFill="1" applyBorder="1" applyAlignment="1">
      <alignment vertical="center" wrapText="1"/>
    </xf>
    <xf numFmtId="0" fontId="0" fillId="16" borderId="0" xfId="0" applyFill="1"/>
    <xf numFmtId="0" fontId="0" fillId="16" borderId="18" xfId="0" applyFill="1" applyBorder="1"/>
    <xf numFmtId="0" fontId="0" fillId="16" borderId="2" xfId="0" applyFill="1" applyBorder="1"/>
    <xf numFmtId="0" fontId="0" fillId="16" borderId="3" xfId="0" applyFill="1" applyBorder="1"/>
    <xf numFmtId="0" fontId="16" fillId="16" borderId="10" xfId="0" applyFont="1" applyFill="1" applyBorder="1"/>
    <xf numFmtId="0" fontId="16" fillId="16" borderId="9" xfId="0" applyFont="1" applyFill="1" applyBorder="1" applyAlignment="1">
      <alignment vertical="center" wrapText="1"/>
    </xf>
    <xf numFmtId="0" fontId="0" fillId="6" borderId="18" xfId="0" applyFill="1" applyBorder="1"/>
    <xf numFmtId="0" fontId="0" fillId="6" borderId="2" xfId="0" applyFill="1" applyBorder="1"/>
    <xf numFmtId="0" fontId="0" fillId="6" borderId="3" xfId="0" applyFill="1" applyBorder="1"/>
    <xf numFmtId="0" fontId="0" fillId="6" borderId="0" xfId="0" applyFill="1"/>
    <xf numFmtId="0" fontId="16" fillId="17" borderId="10" xfId="0" applyFont="1" applyFill="1" applyBorder="1"/>
    <xf numFmtId="0" fontId="16" fillId="17" borderId="9" xfId="0" applyFont="1" applyFill="1" applyBorder="1" applyAlignment="1">
      <alignment vertical="center" wrapText="1"/>
    </xf>
    <xf numFmtId="0" fontId="0" fillId="17" borderId="18" xfId="0" applyFill="1" applyBorder="1"/>
    <xf numFmtId="0" fontId="0" fillId="17" borderId="2" xfId="0" applyFill="1" applyBorder="1"/>
    <xf numFmtId="0" fontId="0" fillId="17" borderId="3" xfId="0" applyFill="1" applyBorder="1"/>
    <xf numFmtId="0" fontId="0" fillId="17" borderId="0" xfId="0" applyFill="1"/>
    <xf numFmtId="0" fontId="16" fillId="6" borderId="10" xfId="0" applyFont="1" applyFill="1" applyBorder="1"/>
    <xf numFmtId="0" fontId="16" fillId="6" borderId="9" xfId="0" applyFont="1" applyFill="1" applyBorder="1" applyAlignment="1">
      <alignment vertical="center" wrapText="1"/>
    </xf>
    <xf numFmtId="0" fontId="10" fillId="2" borderId="20" xfId="0" applyFont="1" applyFill="1" applyBorder="1" applyAlignment="1">
      <alignment horizontal="left" vertical="center" wrapText="1"/>
    </xf>
    <xf numFmtId="0" fontId="10" fillId="2" borderId="21" xfId="0" applyFont="1" applyFill="1" applyBorder="1" applyAlignment="1">
      <alignment horizontal="left" vertical="center"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6" fillId="9" borderId="0" xfId="0" applyFont="1" applyFill="1" applyAlignment="1">
      <alignment horizontal="center" vertical="center"/>
    </xf>
    <xf numFmtId="0" fontId="4" fillId="13" borderId="0" xfId="0" applyFont="1" applyFill="1" applyAlignment="1">
      <alignment horizontal="left" vertical="center" wrapText="1"/>
    </xf>
    <xf numFmtId="0" fontId="1" fillId="3" borderId="0" xfId="0" applyFont="1" applyFill="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20" fillId="4" borderId="0" xfId="0" applyFont="1" applyFill="1" applyAlignment="1">
      <alignment horizontal="center" vertical="center"/>
    </xf>
    <xf numFmtId="0" fontId="21" fillId="5" borderId="0" xfId="0" applyFont="1" applyFill="1" applyAlignment="1">
      <alignment horizontal="center" vertical="center" wrapText="1"/>
    </xf>
    <xf numFmtId="44" fontId="10" fillId="2" borderId="14" xfId="1" applyFont="1" applyFill="1" applyBorder="1" applyAlignment="1">
      <alignment horizontal="center" vertical="center"/>
    </xf>
    <xf numFmtId="44" fontId="10" fillId="2" borderId="19" xfId="1" applyFont="1" applyFill="1" applyBorder="1" applyAlignment="1">
      <alignment horizontal="center" vertical="center"/>
    </xf>
    <xf numFmtId="0" fontId="11" fillId="0" borderId="14" xfId="1" applyNumberFormat="1" applyFont="1" applyBorder="1" applyAlignment="1">
      <alignment horizontal="left" vertical="center"/>
    </xf>
    <xf numFmtId="0" fontId="11" fillId="0" borderId="19" xfId="1" applyNumberFormat="1" applyFont="1" applyBorder="1" applyAlignment="1">
      <alignment horizontal="left" vertical="center"/>
    </xf>
    <xf numFmtId="0" fontId="0" fillId="0" borderId="9" xfId="0" applyBorder="1" applyAlignment="1">
      <alignment horizontal="left" vertical="center" wrapText="1"/>
    </xf>
    <xf numFmtId="0" fontId="15" fillId="3" borderId="38" xfId="0" applyFont="1" applyFill="1" applyBorder="1" applyAlignment="1">
      <alignment horizontal="center" vertical="center" wrapText="1"/>
    </xf>
    <xf numFmtId="0" fontId="15" fillId="3" borderId="39" xfId="0" applyFont="1" applyFill="1" applyBorder="1" applyAlignment="1">
      <alignment horizontal="center" vertical="center" wrapText="1"/>
    </xf>
    <xf numFmtId="0" fontId="15" fillId="3" borderId="26"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6" fillId="14" borderId="7" xfId="0" applyFont="1" applyFill="1" applyBorder="1" applyAlignment="1">
      <alignment horizontal="center" vertical="center" wrapText="1"/>
    </xf>
    <xf numFmtId="0" fontId="6" fillId="14" borderId="8" xfId="0" applyFont="1" applyFill="1" applyBorder="1" applyAlignment="1">
      <alignment horizontal="center" vertical="center" wrapText="1"/>
    </xf>
    <xf numFmtId="0" fontId="6" fillId="14" borderId="6" xfId="0" applyFont="1" applyFill="1" applyBorder="1" applyAlignment="1">
      <alignment horizontal="center" vertical="center" wrapText="1"/>
    </xf>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5" fillId="3" borderId="40"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1" fillId="4" borderId="0" xfId="0" applyFont="1" applyFill="1" applyAlignment="1">
      <alignment horizontal="center" vertical="center" wrapText="1"/>
    </xf>
    <xf numFmtId="0" fontId="0" fillId="3" borderId="2" xfId="0" applyFill="1" applyBorder="1" applyAlignment="1">
      <alignment horizontal="center"/>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5" fillId="3" borderId="25"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26" xfId="0" applyFont="1" applyFill="1" applyBorder="1" applyAlignment="1">
      <alignment horizontal="center" vertical="center"/>
    </xf>
    <xf numFmtId="0" fontId="15" fillId="3" borderId="9" xfId="0" applyFont="1" applyFill="1" applyBorder="1" applyAlignment="1">
      <alignment horizontal="center" vertical="center"/>
    </xf>
    <xf numFmtId="0" fontId="16" fillId="3" borderId="26"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 fillId="12" borderId="18"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11" xfId="0" applyFont="1" applyFill="1" applyBorder="1" applyAlignment="1">
      <alignment horizontal="center" vertical="center"/>
    </xf>
    <xf numFmtId="165" fontId="1" fillId="3" borderId="0" xfId="0" applyNumberFormat="1" applyFont="1" applyFill="1" applyAlignment="1">
      <alignment horizontal="center"/>
    </xf>
    <xf numFmtId="0" fontId="15" fillId="3" borderId="35" xfId="0" applyFont="1" applyFill="1" applyBorder="1" applyAlignment="1">
      <alignment horizontal="center" vertical="center" wrapText="1"/>
    </xf>
    <xf numFmtId="0" fontId="15" fillId="3" borderId="36" xfId="0" applyFont="1" applyFill="1" applyBorder="1" applyAlignment="1">
      <alignment horizontal="center" vertical="center" wrapText="1"/>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16" fillId="18" borderId="10" xfId="0" applyFont="1" applyFill="1" applyBorder="1"/>
    <xf numFmtId="0" fontId="16" fillId="18" borderId="9" xfId="0" applyFont="1" applyFill="1" applyBorder="1" applyAlignment="1">
      <alignment vertical="center" wrapText="1"/>
    </xf>
    <xf numFmtId="0" fontId="0" fillId="18" borderId="18" xfId="0" applyFill="1" applyBorder="1"/>
    <xf numFmtId="0" fontId="0" fillId="18" borderId="2" xfId="0" applyFill="1" applyBorder="1"/>
    <xf numFmtId="0" fontId="0" fillId="18" borderId="3" xfId="0" applyFill="1" applyBorder="1"/>
    <xf numFmtId="0" fontId="0" fillId="18" borderId="0" xfId="0" applyFill="1"/>
  </cellXfs>
  <cellStyles count="3">
    <cellStyle name="Millares" xfId="2" builtinId="3"/>
    <cellStyle name="Moneda" xfId="1" builtinId="4"/>
    <cellStyle name="Normal" xfId="0" builtinId="0"/>
  </cellStyles>
  <dxfs count="0"/>
  <tableStyles count="0" defaultTableStyle="TableStyleMedium9" defaultPivotStyle="PivotStyleLight16"/>
  <colors>
    <mruColors>
      <color rgb="FF00FF00"/>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75"/>
  <sheetViews>
    <sheetView topLeftCell="A142" zoomScaleNormal="100" workbookViewId="0">
      <selection activeCell="B149" sqref="B146:B149"/>
    </sheetView>
  </sheetViews>
  <sheetFormatPr baseColWidth="10" defaultColWidth="10.88671875" defaultRowHeight="14.4" x14ac:dyDescent="0.3"/>
  <cols>
    <col min="1" max="1" width="37.5546875" customWidth="1"/>
    <col min="2" max="2" width="24.6640625" customWidth="1"/>
    <col min="3" max="3" width="15.88671875" hidden="1" customWidth="1"/>
    <col min="4" max="4" width="21.6640625" customWidth="1"/>
    <col min="5" max="5" width="16.6640625" customWidth="1"/>
    <col min="6" max="7" width="15.5546875" bestFit="1" customWidth="1"/>
    <col min="8" max="8" width="12" bestFit="1" customWidth="1"/>
    <col min="10" max="10" width="16.33203125" customWidth="1"/>
    <col min="11" max="11" width="18" customWidth="1"/>
    <col min="12" max="12" width="18.33203125" customWidth="1"/>
  </cols>
  <sheetData>
    <row r="1" spans="1:5" ht="18.75" customHeight="1" x14ac:dyDescent="0.3">
      <c r="A1" s="1"/>
      <c r="B1" s="252" t="s">
        <v>145</v>
      </c>
      <c r="C1" s="252"/>
      <c r="D1" s="252"/>
      <c r="E1" s="253"/>
    </row>
    <row r="2" spans="1:5" x14ac:dyDescent="0.3">
      <c r="A2" s="2"/>
      <c r="B2" s="9" t="s">
        <v>147</v>
      </c>
      <c r="C2" s="3"/>
      <c r="D2" s="3"/>
      <c r="E2" s="4"/>
    </row>
    <row r="3" spans="1:5" ht="51.6" customHeight="1" thickBot="1" x14ac:dyDescent="0.35">
      <c r="A3" s="2"/>
      <c r="B3" s="254" t="s">
        <v>186</v>
      </c>
      <c r="C3" s="254"/>
      <c r="D3" s="254"/>
      <c r="E3" s="255"/>
    </row>
    <row r="4" spans="1:5" ht="15" thickBot="1" x14ac:dyDescent="0.35">
      <c r="A4" s="5" t="s">
        <v>100</v>
      </c>
      <c r="B4" s="6" t="s">
        <v>101</v>
      </c>
      <c r="C4" s="7"/>
      <c r="D4" s="7"/>
      <c r="E4" s="8"/>
    </row>
    <row r="5" spans="1:5" ht="15" thickBot="1" x14ac:dyDescent="0.35">
      <c r="A5" s="2" t="s">
        <v>146</v>
      </c>
      <c r="B5" s="7" t="s">
        <v>227</v>
      </c>
      <c r="C5" s="9"/>
      <c r="D5" s="3" t="s">
        <v>102</v>
      </c>
      <c r="E5" s="10"/>
    </row>
    <row r="6" spans="1:5" ht="16.2" customHeight="1" thickBot="1" x14ac:dyDescent="0.35">
      <c r="A6" s="85" t="s">
        <v>136</v>
      </c>
      <c r="B6" s="7"/>
      <c r="C6" s="7"/>
      <c r="D6" s="7" t="s">
        <v>172</v>
      </c>
      <c r="E6" s="8"/>
    </row>
    <row r="8" spans="1:5" x14ac:dyDescent="0.3">
      <c r="A8" s="48"/>
      <c r="B8" s="256" t="s">
        <v>226</v>
      </c>
      <c r="C8" s="256"/>
      <c r="D8" s="48"/>
      <c r="E8" s="48"/>
    </row>
    <row r="9" spans="1:5" x14ac:dyDescent="0.3">
      <c r="A9" s="48"/>
      <c r="B9" s="256"/>
      <c r="C9" s="256"/>
      <c r="D9" s="48"/>
      <c r="E9" s="48"/>
    </row>
    <row r="10" spans="1:5" x14ac:dyDescent="0.3">
      <c r="A10" s="48"/>
      <c r="B10" s="256"/>
      <c r="C10" s="256"/>
      <c r="D10" s="48"/>
      <c r="E10" s="48"/>
    </row>
    <row r="11" spans="1:5" x14ac:dyDescent="0.3">
      <c r="A11" s="48"/>
      <c r="B11" s="48"/>
      <c r="C11" s="48"/>
      <c r="D11" s="48"/>
      <c r="E11" s="48"/>
    </row>
    <row r="12" spans="1:5" hidden="1" x14ac:dyDescent="0.3">
      <c r="A12" s="48"/>
      <c r="B12" s="48"/>
      <c r="C12" s="48"/>
      <c r="D12" s="48"/>
      <c r="E12" s="48"/>
    </row>
    <row r="13" spans="1:5" ht="15" customHeight="1" x14ac:dyDescent="0.3">
      <c r="A13" s="257" t="s">
        <v>103</v>
      </c>
      <c r="B13" s="257"/>
      <c r="C13" s="257"/>
      <c r="D13" s="257"/>
      <c r="E13" s="257"/>
    </row>
    <row r="14" spans="1:5" ht="15" customHeight="1" x14ac:dyDescent="0.3">
      <c r="A14" s="257"/>
      <c r="B14" s="257"/>
      <c r="C14" s="257"/>
      <c r="D14" s="257"/>
      <c r="E14" s="257"/>
    </row>
    <row r="15" spans="1:5" ht="15" customHeight="1" x14ac:dyDescent="0.3">
      <c r="A15" s="257"/>
      <c r="B15" s="257"/>
      <c r="C15" s="257"/>
      <c r="D15" s="257"/>
      <c r="E15" s="257"/>
    </row>
    <row r="16" spans="1:5" ht="53.25" customHeight="1" x14ac:dyDescent="0.3">
      <c r="A16" s="257"/>
      <c r="B16" s="257"/>
      <c r="C16" s="257"/>
      <c r="D16" s="257"/>
      <c r="E16" s="257"/>
    </row>
    <row r="17" spans="1:8" ht="14.25" customHeight="1" thickBot="1" x14ac:dyDescent="0.35">
      <c r="A17" s="48"/>
      <c r="B17" s="48"/>
      <c r="C17" s="48"/>
      <c r="D17" s="48"/>
      <c r="E17" s="48"/>
    </row>
    <row r="18" spans="1:8" ht="15" hidden="1" thickBot="1" x14ac:dyDescent="0.35">
      <c r="A18" s="164"/>
      <c r="B18" s="48"/>
      <c r="C18" s="48"/>
      <c r="D18" s="48"/>
      <c r="E18" s="48"/>
    </row>
    <row r="19" spans="1:8" ht="15" hidden="1" thickBot="1" x14ac:dyDescent="0.35">
      <c r="A19" s="48"/>
      <c r="B19" s="48"/>
      <c r="C19" s="48"/>
      <c r="D19" s="48"/>
      <c r="E19" s="48"/>
    </row>
    <row r="20" spans="1:8" x14ac:dyDescent="0.3">
      <c r="A20" s="165" t="s">
        <v>104</v>
      </c>
      <c r="B20" s="166"/>
      <c r="C20" s="167"/>
      <c r="D20" s="58"/>
      <c r="E20" s="59"/>
    </row>
    <row r="21" spans="1:8" x14ac:dyDescent="0.3">
      <c r="A21" s="36" t="s">
        <v>137</v>
      </c>
      <c r="B21" s="36"/>
      <c r="C21" s="36"/>
      <c r="D21" s="112"/>
      <c r="E21" s="145"/>
    </row>
    <row r="22" spans="1:8" ht="15" customHeight="1" x14ac:dyDescent="0.3">
      <c r="A22" s="243" t="s">
        <v>160</v>
      </c>
      <c r="B22" s="244"/>
      <c r="C22" s="168"/>
      <c r="D22" s="169">
        <v>2427661.11</v>
      </c>
      <c r="E22" s="146"/>
      <c r="H22" s="19"/>
    </row>
    <row r="23" spans="1:8" ht="15" customHeight="1" x14ac:dyDescent="0.3">
      <c r="A23" s="243" t="s">
        <v>161</v>
      </c>
      <c r="B23" s="244"/>
      <c r="C23" s="168"/>
      <c r="D23" s="169">
        <v>-528016.11</v>
      </c>
      <c r="E23" s="20"/>
      <c r="H23" s="19"/>
    </row>
    <row r="24" spans="1:8" ht="13.5" customHeight="1" x14ac:dyDescent="0.3">
      <c r="A24" s="243" t="s">
        <v>1</v>
      </c>
      <c r="B24" s="244"/>
      <c r="C24" s="168"/>
      <c r="D24" s="170">
        <v>0</v>
      </c>
      <c r="E24" s="20"/>
      <c r="F24" s="193"/>
      <c r="H24" s="19"/>
    </row>
    <row r="25" spans="1:8" ht="13.5" customHeight="1" x14ac:dyDescent="0.3">
      <c r="A25" s="36" t="s">
        <v>272</v>
      </c>
      <c r="B25" s="36"/>
      <c r="C25" s="36"/>
      <c r="D25" s="112">
        <f>SUM(D22:D24)</f>
        <v>1899645</v>
      </c>
      <c r="E25" s="145"/>
      <c r="F25" s="193"/>
      <c r="H25" s="19"/>
    </row>
    <row r="26" spans="1:8" ht="13.5" customHeight="1" x14ac:dyDescent="0.3">
      <c r="A26" s="243" t="s">
        <v>160</v>
      </c>
      <c r="B26" s="244"/>
      <c r="C26" s="168"/>
      <c r="D26" s="170">
        <v>1136835.6499999999</v>
      </c>
      <c r="E26" s="20"/>
      <c r="F26" s="193"/>
      <c r="H26" s="19"/>
    </row>
    <row r="27" spans="1:8" ht="13.5" customHeight="1" x14ac:dyDescent="0.3">
      <c r="A27" s="243" t="s">
        <v>161</v>
      </c>
      <c r="B27" s="244"/>
      <c r="C27" s="168"/>
      <c r="D27" s="170">
        <v>-281366.65000000002</v>
      </c>
      <c r="E27" s="20"/>
      <c r="F27" s="193"/>
      <c r="H27" s="19"/>
    </row>
    <row r="28" spans="1:8" ht="13.5" customHeight="1" x14ac:dyDescent="0.3">
      <c r="A28" s="243" t="s">
        <v>1</v>
      </c>
      <c r="B28" s="244"/>
      <c r="C28" s="168"/>
      <c r="D28" s="170">
        <v>0</v>
      </c>
      <c r="E28" s="20"/>
      <c r="F28" s="193"/>
      <c r="H28" s="19"/>
    </row>
    <row r="29" spans="1:8" x14ac:dyDescent="0.3">
      <c r="A29" s="171" t="s">
        <v>105</v>
      </c>
      <c r="B29" s="171"/>
      <c r="C29" s="171"/>
      <c r="D29" s="216">
        <f>SUM(D26:D28)</f>
        <v>855468.99999999988</v>
      </c>
      <c r="E29" s="147">
        <f>D25+D29</f>
        <v>2755114</v>
      </c>
      <c r="G29" s="75"/>
    </row>
    <row r="30" spans="1:8" hidden="1" x14ac:dyDescent="0.3">
      <c r="A30" s="171" t="s">
        <v>175</v>
      </c>
      <c r="B30" s="171"/>
      <c r="C30" s="171"/>
      <c r="D30" s="22"/>
      <c r="E30" s="148"/>
    </row>
    <row r="31" spans="1:8" hidden="1" x14ac:dyDescent="0.3">
      <c r="A31" s="168"/>
      <c r="B31" s="168"/>
      <c r="C31" s="168"/>
      <c r="D31" s="35"/>
      <c r="E31" s="160"/>
    </row>
    <row r="32" spans="1:8" hidden="1" x14ac:dyDescent="0.3">
      <c r="A32" s="168"/>
      <c r="B32" s="168"/>
      <c r="C32" s="168"/>
      <c r="D32" s="35"/>
      <c r="E32" s="160"/>
    </row>
    <row r="33" spans="1:7" ht="0.75" customHeight="1" x14ac:dyDescent="0.3">
      <c r="A33" s="168"/>
      <c r="B33" s="168"/>
      <c r="C33" s="168"/>
      <c r="D33" s="35"/>
      <c r="E33" s="160"/>
    </row>
    <row r="34" spans="1:7" x14ac:dyDescent="0.3">
      <c r="A34" s="215" t="s">
        <v>247</v>
      </c>
      <c r="B34" s="168"/>
      <c r="C34" s="168"/>
      <c r="D34" s="35">
        <v>237600</v>
      </c>
      <c r="E34" s="149" t="s">
        <v>249</v>
      </c>
    </row>
    <row r="35" spans="1:7" x14ac:dyDescent="0.3">
      <c r="A35" s="168" t="s">
        <v>248</v>
      </c>
      <c r="B35" s="168"/>
      <c r="C35" s="168"/>
      <c r="D35" s="35">
        <v>13000</v>
      </c>
      <c r="E35" s="149" t="s">
        <v>250</v>
      </c>
    </row>
    <row r="36" spans="1:7" x14ac:dyDescent="0.3">
      <c r="A36" s="168"/>
      <c r="B36" s="168"/>
      <c r="C36" s="168"/>
      <c r="D36" s="35"/>
      <c r="E36" s="149"/>
    </row>
    <row r="37" spans="1:7" x14ac:dyDescent="0.3">
      <c r="A37" s="171" t="s">
        <v>105</v>
      </c>
      <c r="B37" s="172"/>
      <c r="C37" s="172"/>
      <c r="D37" s="102"/>
      <c r="E37" s="150">
        <f>SUM(D33:D36)</f>
        <v>250600</v>
      </c>
    </row>
    <row r="38" spans="1:7" x14ac:dyDescent="0.3">
      <c r="A38" s="36" t="s">
        <v>138</v>
      </c>
      <c r="B38" s="171"/>
      <c r="C38" s="171"/>
      <c r="D38" s="22"/>
      <c r="E38" s="148"/>
    </row>
    <row r="39" spans="1:7" x14ac:dyDescent="0.3">
      <c r="A39" s="168" t="s">
        <v>223</v>
      </c>
      <c r="B39" s="173"/>
      <c r="C39" s="173"/>
      <c r="D39" s="35">
        <v>11886</v>
      </c>
      <c r="E39" s="149" t="s">
        <v>279</v>
      </c>
      <c r="G39" s="66"/>
    </row>
    <row r="40" spans="1:7" x14ac:dyDescent="0.3">
      <c r="A40" s="168" t="s">
        <v>241</v>
      </c>
      <c r="B40" s="173"/>
      <c r="C40" s="173"/>
      <c r="D40" s="35">
        <v>1061960.04</v>
      </c>
      <c r="E40" s="149" t="s">
        <v>235</v>
      </c>
      <c r="G40" s="66"/>
    </row>
    <row r="41" spans="1:7" x14ac:dyDescent="0.3">
      <c r="A41" s="168" t="s">
        <v>278</v>
      </c>
      <c r="B41" s="173"/>
      <c r="C41" s="173"/>
      <c r="D41" s="35">
        <v>392020.44</v>
      </c>
      <c r="E41" s="149"/>
      <c r="F41" s="214"/>
      <c r="G41" s="66"/>
    </row>
    <row r="42" spans="1:7" x14ac:dyDescent="0.3">
      <c r="A42" s="168" t="s">
        <v>242</v>
      </c>
      <c r="B42" s="173"/>
      <c r="C42" s="173"/>
      <c r="D42" s="35">
        <v>506489.49</v>
      </c>
      <c r="E42" s="149"/>
      <c r="G42" s="66"/>
    </row>
    <row r="43" spans="1:7" x14ac:dyDescent="0.3">
      <c r="A43" s="168" t="s">
        <v>243</v>
      </c>
      <c r="B43" s="173"/>
      <c r="C43" s="173"/>
      <c r="D43" s="35">
        <v>115902.14</v>
      </c>
      <c r="E43" s="149"/>
      <c r="G43" s="66"/>
    </row>
    <row r="44" spans="1:7" x14ac:dyDescent="0.3">
      <c r="A44" s="168" t="s">
        <v>243</v>
      </c>
      <c r="B44" s="173"/>
      <c r="C44" s="173"/>
      <c r="D44" s="35">
        <v>61640.3</v>
      </c>
      <c r="E44" s="149"/>
      <c r="G44" s="66"/>
    </row>
    <row r="45" spans="1:7" x14ac:dyDescent="0.3">
      <c r="A45" s="168" t="s">
        <v>140</v>
      </c>
      <c r="B45" s="173"/>
      <c r="C45" s="173"/>
      <c r="D45" s="35">
        <v>207318.45</v>
      </c>
      <c r="E45" s="149" t="s">
        <v>246</v>
      </c>
      <c r="G45" s="66"/>
    </row>
    <row r="46" spans="1:7" x14ac:dyDescent="0.3">
      <c r="A46" s="168" t="s">
        <v>142</v>
      </c>
      <c r="B46" s="173"/>
      <c r="C46" s="173"/>
      <c r="D46" s="35">
        <v>108684.32</v>
      </c>
      <c r="E46" s="149" t="str">
        <f>E45</f>
        <v>Debito 14/09</v>
      </c>
      <c r="G46" s="50"/>
    </row>
    <row r="47" spans="1:7" x14ac:dyDescent="0.3">
      <c r="A47" s="168" t="s">
        <v>141</v>
      </c>
      <c r="B47" s="173"/>
      <c r="C47" s="173"/>
      <c r="D47" s="35">
        <v>12076.04</v>
      </c>
      <c r="E47" s="149" t="str">
        <f>E45</f>
        <v>Debito 14/09</v>
      </c>
    </row>
    <row r="48" spans="1:7" x14ac:dyDescent="0.3">
      <c r="A48" s="168" t="s">
        <v>148</v>
      </c>
      <c r="B48" s="173"/>
      <c r="C48" s="173"/>
      <c r="D48" s="35"/>
      <c r="E48" s="149"/>
    </row>
    <row r="49" spans="1:6" ht="12.75" customHeight="1" x14ac:dyDescent="0.3">
      <c r="A49" s="171" t="s">
        <v>139</v>
      </c>
      <c r="B49" s="171"/>
      <c r="C49" s="171"/>
      <c r="D49" s="22"/>
      <c r="E49" s="41">
        <f>SUM(D39:D48)</f>
        <v>2477977.2199999997</v>
      </c>
    </row>
    <row r="50" spans="1:6" x14ac:dyDescent="0.3">
      <c r="A50" s="14" t="s">
        <v>106</v>
      </c>
      <c r="B50" s="21"/>
      <c r="C50" s="21"/>
      <c r="D50" s="23"/>
      <c r="E50" s="150"/>
    </row>
    <row r="51" spans="1:6" ht="26.25" customHeight="1" x14ac:dyDescent="0.3">
      <c r="A51" s="247" t="s">
        <v>182</v>
      </c>
      <c r="B51" s="248"/>
      <c r="C51" s="26"/>
      <c r="D51" s="219">
        <v>7805</v>
      </c>
      <c r="E51" s="20" t="s">
        <v>183</v>
      </c>
    </row>
    <row r="52" spans="1:6" ht="26.25" customHeight="1" x14ac:dyDescent="0.3">
      <c r="A52" s="247" t="s">
        <v>253</v>
      </c>
      <c r="B52" s="248"/>
      <c r="C52" s="26"/>
      <c r="D52" s="219">
        <v>7129</v>
      </c>
      <c r="E52" s="20" t="s">
        <v>183</v>
      </c>
    </row>
    <row r="53" spans="1:6" ht="26.25" customHeight="1" x14ac:dyDescent="0.3">
      <c r="A53" s="247" t="s">
        <v>184</v>
      </c>
      <c r="B53" s="248"/>
      <c r="C53" s="26"/>
      <c r="D53" s="219">
        <v>213891</v>
      </c>
      <c r="E53" s="20" t="s">
        <v>183</v>
      </c>
    </row>
    <row r="54" spans="1:6" x14ac:dyDescent="0.3">
      <c r="A54" s="21" t="s">
        <v>107</v>
      </c>
      <c r="B54" s="21"/>
      <c r="C54" s="21"/>
      <c r="D54" s="22"/>
      <c r="E54" s="41">
        <f>SUM(D51:D53)</f>
        <v>228825</v>
      </c>
    </row>
    <row r="55" spans="1:6" x14ac:dyDescent="0.3">
      <c r="A55" s="14" t="s">
        <v>108</v>
      </c>
      <c r="B55" s="27"/>
      <c r="C55" s="27"/>
      <c r="D55" s="28"/>
      <c r="E55" s="151"/>
    </row>
    <row r="56" spans="1:6" ht="15.75" customHeight="1" x14ac:dyDescent="0.3">
      <c r="A56" s="29" t="s">
        <v>109</v>
      </c>
      <c r="B56" s="29" t="s">
        <v>167</v>
      </c>
      <c r="C56" s="29"/>
      <c r="D56" s="30">
        <v>635896.65</v>
      </c>
      <c r="E56" s="113" t="s">
        <v>236</v>
      </c>
    </row>
    <row r="57" spans="1:6" ht="14.25" customHeight="1" x14ac:dyDescent="0.3">
      <c r="A57" s="29" t="s">
        <v>109</v>
      </c>
      <c r="B57" s="29" t="s">
        <v>169</v>
      </c>
      <c r="C57" s="29"/>
      <c r="D57" s="30">
        <v>35000.639999999999</v>
      </c>
      <c r="E57" s="113" t="s">
        <v>236</v>
      </c>
    </row>
    <row r="58" spans="1:6" ht="14.25" customHeight="1" x14ac:dyDescent="0.3">
      <c r="A58" s="29" t="s">
        <v>176</v>
      </c>
      <c r="B58" s="29" t="s">
        <v>168</v>
      </c>
      <c r="C58" s="29"/>
      <c r="D58" s="30">
        <v>0</v>
      </c>
      <c r="E58" s="20"/>
    </row>
    <row r="59" spans="1:6" x14ac:dyDescent="0.3">
      <c r="A59" s="29" t="s">
        <v>177</v>
      </c>
      <c r="B59" s="31"/>
      <c r="C59" s="29"/>
      <c r="D59" s="30">
        <v>0</v>
      </c>
      <c r="E59" s="20"/>
    </row>
    <row r="60" spans="1:6" x14ac:dyDescent="0.3">
      <c r="A60" s="245" t="s">
        <v>270</v>
      </c>
      <c r="B60" s="246"/>
      <c r="C60" s="29"/>
      <c r="D60" s="30">
        <v>5778358.5099999998</v>
      </c>
      <c r="E60" s="113" t="s">
        <v>245</v>
      </c>
    </row>
    <row r="61" spans="1:6" x14ac:dyDescent="0.3">
      <c r="A61" s="247" t="s">
        <v>259</v>
      </c>
      <c r="B61" s="248"/>
      <c r="C61" s="29"/>
      <c r="D61" s="30">
        <v>4488639.75</v>
      </c>
      <c r="E61" s="113" t="s">
        <v>254</v>
      </c>
      <c r="F61" s="50"/>
    </row>
    <row r="62" spans="1:6" x14ac:dyDescent="0.3">
      <c r="A62" s="32" t="s">
        <v>110</v>
      </c>
      <c r="B62" s="25"/>
      <c r="C62" s="29"/>
      <c r="D62" s="30"/>
      <c r="E62" s="20"/>
    </row>
    <row r="63" spans="1:6" ht="15" thickBot="1" x14ac:dyDescent="0.35">
      <c r="A63" s="21" t="s">
        <v>111</v>
      </c>
      <c r="B63" s="21"/>
      <c r="C63" s="21"/>
      <c r="D63" s="33"/>
      <c r="E63" s="152">
        <f>SUM(D56:D62)</f>
        <v>10937895.550000001</v>
      </c>
    </row>
    <row r="64" spans="1:6" ht="15" customHeight="1" thickBot="1" x14ac:dyDescent="0.35">
      <c r="A64" s="14"/>
      <c r="B64" s="21"/>
      <c r="C64" s="21"/>
      <c r="D64" s="22"/>
      <c r="E64" s="153"/>
    </row>
    <row r="65" spans="1:7" ht="21.9" customHeight="1" x14ac:dyDescent="0.3">
      <c r="A65" s="245" t="s">
        <v>163</v>
      </c>
      <c r="B65" s="246"/>
      <c r="C65" s="29"/>
      <c r="D65" s="30">
        <v>285000</v>
      </c>
      <c r="E65" s="159" t="s">
        <v>239</v>
      </c>
    </row>
    <row r="66" spans="1:7" ht="39.75" customHeight="1" x14ac:dyDescent="0.3">
      <c r="A66" s="245" t="s">
        <v>240</v>
      </c>
      <c r="B66" s="246"/>
      <c r="C66" s="29"/>
      <c r="D66" s="30">
        <f>430000+430000*15%</f>
        <v>494500</v>
      </c>
      <c r="E66" s="159" t="s">
        <v>232</v>
      </c>
    </row>
    <row r="67" spans="1:7" ht="186.75" customHeight="1" x14ac:dyDescent="0.3">
      <c r="A67" s="245" t="s">
        <v>251</v>
      </c>
      <c r="B67" s="246"/>
      <c r="C67" s="29"/>
      <c r="D67" s="30">
        <v>2800000</v>
      </c>
      <c r="E67" s="159" t="s">
        <v>231</v>
      </c>
      <c r="F67" s="50"/>
    </row>
    <row r="68" spans="1:7" ht="15" customHeight="1" x14ac:dyDescent="0.3">
      <c r="A68" s="16" t="s">
        <v>209</v>
      </c>
      <c r="B68" s="17"/>
      <c r="C68" s="29"/>
      <c r="D68" s="30">
        <v>6990</v>
      </c>
      <c r="E68" s="34"/>
      <c r="F68" s="194"/>
    </row>
    <row r="69" spans="1:7" ht="24.75" customHeight="1" x14ac:dyDescent="0.3">
      <c r="A69" s="245" t="s">
        <v>258</v>
      </c>
      <c r="B69" s="246"/>
      <c r="C69" s="29"/>
      <c r="D69" s="30">
        <v>140000</v>
      </c>
      <c r="E69" s="34" t="s">
        <v>256</v>
      </c>
      <c r="F69" s="50"/>
    </row>
    <row r="70" spans="1:7" ht="21.6" customHeight="1" x14ac:dyDescent="0.3">
      <c r="A70" s="245" t="s">
        <v>255</v>
      </c>
      <c r="B70" s="246"/>
      <c r="C70" s="29"/>
      <c r="D70" s="30">
        <v>31400</v>
      </c>
      <c r="E70" s="34" t="s">
        <v>256</v>
      </c>
      <c r="F70" s="50"/>
    </row>
    <row r="71" spans="1:7" ht="21.6" customHeight="1" x14ac:dyDescent="0.3">
      <c r="A71" s="245" t="s">
        <v>257</v>
      </c>
      <c r="B71" s="246"/>
      <c r="C71" s="29"/>
      <c r="D71" s="30">
        <v>140000</v>
      </c>
      <c r="E71" s="34" t="s">
        <v>256</v>
      </c>
      <c r="F71" s="50"/>
    </row>
    <row r="72" spans="1:7" ht="34.5" customHeight="1" x14ac:dyDescent="0.3">
      <c r="A72" s="245" t="s">
        <v>273</v>
      </c>
      <c r="B72" s="246"/>
      <c r="C72" s="29"/>
      <c r="D72" s="30">
        <v>42400</v>
      </c>
      <c r="E72" s="34" t="s">
        <v>252</v>
      </c>
      <c r="F72" s="50"/>
    </row>
    <row r="73" spans="1:7" ht="24" customHeight="1" x14ac:dyDescent="0.3">
      <c r="A73" s="245" t="s">
        <v>237</v>
      </c>
      <c r="B73" s="246"/>
      <c r="C73" s="29"/>
      <c r="D73" s="30">
        <v>9000</v>
      </c>
      <c r="E73" s="159" t="s">
        <v>250</v>
      </c>
      <c r="F73" s="50"/>
    </row>
    <row r="74" spans="1:7" ht="21.9" customHeight="1" x14ac:dyDescent="0.3">
      <c r="A74" s="87" t="s">
        <v>234</v>
      </c>
      <c r="B74" s="17"/>
      <c r="C74" s="29"/>
      <c r="D74" s="30">
        <v>158400</v>
      </c>
      <c r="E74" s="159" t="s">
        <v>233</v>
      </c>
      <c r="F74" s="50"/>
    </row>
    <row r="75" spans="1:7" ht="57" customHeight="1" x14ac:dyDescent="0.3">
      <c r="A75" s="245" t="s">
        <v>275</v>
      </c>
      <c r="B75" s="246"/>
      <c r="C75" s="29"/>
      <c r="D75" s="30">
        <v>215000</v>
      </c>
      <c r="E75" s="159" t="s">
        <v>276</v>
      </c>
      <c r="F75" s="50"/>
    </row>
    <row r="76" spans="1:7" ht="21.9" customHeight="1" x14ac:dyDescent="0.3">
      <c r="A76" s="87" t="s">
        <v>198</v>
      </c>
      <c r="B76" s="17"/>
      <c r="C76" s="29"/>
      <c r="D76" s="30">
        <v>0</v>
      </c>
      <c r="E76" s="159"/>
      <c r="F76" s="50"/>
    </row>
    <row r="77" spans="1:7" ht="21.9" customHeight="1" x14ac:dyDescent="0.3">
      <c r="A77" s="245" t="s">
        <v>228</v>
      </c>
      <c r="B77" s="246"/>
      <c r="C77" s="29"/>
      <c r="D77" s="30">
        <v>0</v>
      </c>
      <c r="E77" s="159"/>
      <c r="F77" s="50"/>
    </row>
    <row r="78" spans="1:7" x14ac:dyDescent="0.3">
      <c r="A78" s="21" t="s">
        <v>0</v>
      </c>
      <c r="B78" s="14"/>
      <c r="C78" s="14"/>
      <c r="D78" s="36"/>
      <c r="E78" s="41">
        <f>SUM(D65:D77)</f>
        <v>4322690</v>
      </c>
    </row>
    <row r="79" spans="1:7" x14ac:dyDescent="0.3">
      <c r="A79" s="14" t="s">
        <v>112</v>
      </c>
      <c r="B79" s="14"/>
      <c r="C79" s="14"/>
      <c r="D79" s="15"/>
      <c r="E79" s="145"/>
    </row>
    <row r="80" spans="1:7" ht="15.75" customHeight="1" x14ac:dyDescent="0.3">
      <c r="A80" s="245" t="s">
        <v>229</v>
      </c>
      <c r="B80" s="246"/>
      <c r="C80" s="18"/>
      <c r="D80" s="220">
        <v>781000</v>
      </c>
      <c r="E80" s="159" t="s">
        <v>235</v>
      </c>
      <c r="G80" t="s">
        <v>212</v>
      </c>
    </row>
    <row r="81" spans="1:8" ht="36.75" customHeight="1" x14ac:dyDescent="0.3">
      <c r="A81" s="245" t="s">
        <v>238</v>
      </c>
      <c r="B81" s="246"/>
      <c r="C81" s="18"/>
      <c r="D81" s="221">
        <v>630000</v>
      </c>
      <c r="E81" s="159" t="s">
        <v>235</v>
      </c>
    </row>
    <row r="82" spans="1:8" ht="15.75" customHeight="1" x14ac:dyDescent="0.3">
      <c r="A82" s="16" t="s">
        <v>162</v>
      </c>
      <c r="B82" s="17"/>
      <c r="C82" s="18"/>
      <c r="D82" s="221">
        <v>250000</v>
      </c>
      <c r="E82" s="159" t="s">
        <v>233</v>
      </c>
    </row>
    <row r="83" spans="1:8" ht="15.75" customHeight="1" x14ac:dyDescent="0.3">
      <c r="A83" s="87" t="s">
        <v>230</v>
      </c>
      <c r="B83" s="17"/>
      <c r="C83" s="18"/>
      <c r="D83" s="221">
        <v>50000</v>
      </c>
      <c r="E83" s="159" t="s">
        <v>252</v>
      </c>
    </row>
    <row r="84" spans="1:8" x14ac:dyDescent="0.3">
      <c r="A84" s="21" t="s">
        <v>105</v>
      </c>
      <c r="B84" s="21"/>
      <c r="C84" s="21"/>
      <c r="D84" s="22"/>
      <c r="E84" s="147">
        <f>SUM(D80:D83)</f>
        <v>1711000</v>
      </c>
    </row>
    <row r="85" spans="1:8" x14ac:dyDescent="0.3">
      <c r="A85" s="14" t="s">
        <v>113</v>
      </c>
      <c r="B85" s="37"/>
      <c r="C85" s="21"/>
      <c r="D85" s="38"/>
      <c r="E85" s="41"/>
    </row>
    <row r="86" spans="1:8" ht="42" customHeight="1" x14ac:dyDescent="0.3">
      <c r="A86" s="247" t="s">
        <v>260</v>
      </c>
      <c r="B86" s="248"/>
      <c r="C86" s="86"/>
      <c r="D86" s="210">
        <f>65000+29590.38</f>
        <v>94590.38</v>
      </c>
      <c r="E86" s="154"/>
    </row>
    <row r="87" spans="1:8" ht="23.25" customHeight="1" x14ac:dyDescent="0.3">
      <c r="A87" s="247" t="s">
        <v>213</v>
      </c>
      <c r="B87" s="248"/>
      <c r="C87" s="86"/>
      <c r="D87" s="210">
        <v>305996.14</v>
      </c>
      <c r="E87" s="154"/>
    </row>
    <row r="88" spans="1:8" x14ac:dyDescent="0.3">
      <c r="A88" s="39" t="s">
        <v>105</v>
      </c>
      <c r="B88" s="39"/>
      <c r="C88" s="39"/>
      <c r="D88" s="40"/>
      <c r="E88" s="41">
        <f>SUM(D86:D87)</f>
        <v>400586.52</v>
      </c>
    </row>
    <row r="89" spans="1:8" x14ac:dyDescent="0.3">
      <c r="A89" s="29"/>
      <c r="B89" s="29"/>
      <c r="C89" s="29"/>
      <c r="D89" s="42"/>
      <c r="E89" s="43"/>
    </row>
    <row r="90" spans="1:8" x14ac:dyDescent="0.3">
      <c r="A90" s="44" t="s">
        <v>114</v>
      </c>
      <c r="B90" s="44"/>
      <c r="C90" s="44"/>
      <c r="D90" s="45"/>
      <c r="E90" s="46">
        <v>0</v>
      </c>
    </row>
    <row r="91" spans="1:8" ht="15" thickBot="1" x14ac:dyDescent="0.35">
      <c r="A91" s="47"/>
      <c r="D91" s="48"/>
      <c r="E91" s="49"/>
      <c r="F91" s="50"/>
    </row>
    <row r="92" spans="1:8" ht="15" thickBot="1" x14ac:dyDescent="0.35">
      <c r="A92" s="51" t="s">
        <v>115</v>
      </c>
      <c r="B92" s="52"/>
      <c r="C92" s="53"/>
      <c r="D92" s="54"/>
      <c r="E92" s="55">
        <f>(SUM(E21:E90))</f>
        <v>23084688.289999999</v>
      </c>
      <c r="F92" s="56">
        <v>10266998.26</v>
      </c>
      <c r="G92" s="50">
        <f>E92-F92</f>
        <v>12817690.029999999</v>
      </c>
    </row>
    <row r="93" spans="1:8" x14ac:dyDescent="0.3">
      <c r="D93" s="48"/>
      <c r="E93" s="48"/>
    </row>
    <row r="94" spans="1:8" ht="15" thickBot="1" x14ac:dyDescent="0.35">
      <c r="D94" s="48"/>
      <c r="E94" s="48"/>
      <c r="H94" s="57"/>
    </row>
    <row r="95" spans="1:8" x14ac:dyDescent="0.3">
      <c r="A95" s="11" t="s">
        <v>116</v>
      </c>
      <c r="B95" s="12"/>
      <c r="C95" s="13"/>
      <c r="D95" s="58"/>
      <c r="E95" s="59"/>
    </row>
    <row r="96" spans="1:8" ht="16.5" customHeight="1" x14ac:dyDescent="0.3">
      <c r="A96" s="262"/>
      <c r="B96" s="262"/>
      <c r="C96" s="31"/>
      <c r="D96" s="258"/>
      <c r="E96" s="260"/>
    </row>
    <row r="97" spans="1:5" ht="1.5" hidden="1" customHeight="1" x14ac:dyDescent="0.3">
      <c r="A97" s="262"/>
      <c r="B97" s="262"/>
      <c r="C97" s="31"/>
      <c r="D97" s="259"/>
      <c r="E97" s="261"/>
    </row>
    <row r="98" spans="1:5" ht="15.75" customHeight="1" x14ac:dyDescent="0.3">
      <c r="A98" s="29"/>
      <c r="B98" s="29"/>
      <c r="D98" s="42"/>
      <c r="E98" s="42"/>
    </row>
    <row r="99" spans="1:5" x14ac:dyDescent="0.3">
      <c r="A99" s="24"/>
      <c r="B99" s="61"/>
      <c r="C99" s="29"/>
      <c r="D99" s="35"/>
      <c r="E99" s="60"/>
    </row>
    <row r="100" spans="1:5" x14ac:dyDescent="0.3">
      <c r="A100" s="62" t="s">
        <v>144</v>
      </c>
      <c r="B100" s="63"/>
      <c r="C100" s="63"/>
      <c r="D100" s="111"/>
      <c r="E100" s="155">
        <f>SUM(D96:D99)</f>
        <v>0</v>
      </c>
    </row>
    <row r="101" spans="1:5" ht="15" customHeight="1" x14ac:dyDescent="0.3">
      <c r="D101" s="48"/>
      <c r="E101" s="48"/>
    </row>
    <row r="102" spans="1:5" hidden="1" x14ac:dyDescent="0.3">
      <c r="D102" s="48"/>
      <c r="E102" s="48"/>
    </row>
    <row r="103" spans="1:5" x14ac:dyDescent="0.3">
      <c r="A103" s="44" t="s">
        <v>117</v>
      </c>
      <c r="B103" s="44"/>
      <c r="C103" s="44"/>
      <c r="D103" s="45"/>
      <c r="E103" s="158">
        <v>4500000</v>
      </c>
    </row>
    <row r="104" spans="1:5" ht="15" thickBot="1" x14ac:dyDescent="0.35">
      <c r="D104" s="48"/>
      <c r="E104" s="48"/>
    </row>
    <row r="105" spans="1:5" ht="15" thickBot="1" x14ac:dyDescent="0.35">
      <c r="A105" s="51" t="s">
        <v>118</v>
      </c>
      <c r="B105" s="52"/>
      <c r="C105" s="53"/>
      <c r="D105" s="54"/>
      <c r="E105" s="55">
        <f>E100+E103</f>
        <v>4500000</v>
      </c>
    </row>
    <row r="106" spans="1:5" ht="15" thickBot="1" x14ac:dyDescent="0.35">
      <c r="D106" s="48"/>
      <c r="E106" s="48"/>
    </row>
    <row r="107" spans="1:5" ht="15" thickBot="1" x14ac:dyDescent="0.35">
      <c r="A107" s="64" t="s">
        <v>119</v>
      </c>
      <c r="B107" s="65">
        <f>E92</f>
        <v>23084688.289999999</v>
      </c>
      <c r="D107" s="48"/>
      <c r="E107" s="48"/>
    </row>
    <row r="108" spans="1:5" ht="15" thickBot="1" x14ac:dyDescent="0.35">
      <c r="A108" s="64" t="s">
        <v>120</v>
      </c>
      <c r="B108" s="65">
        <f>E92-E90</f>
        <v>23084688.289999999</v>
      </c>
      <c r="D108" s="48"/>
      <c r="E108" s="48"/>
    </row>
    <row r="109" spans="1:5" ht="15" thickBot="1" x14ac:dyDescent="0.35">
      <c r="A109" s="64" t="s">
        <v>121</v>
      </c>
      <c r="B109" s="65">
        <f>E105-E103</f>
        <v>0</v>
      </c>
      <c r="D109" s="48"/>
      <c r="E109" s="48"/>
    </row>
    <row r="110" spans="1:5" ht="15" thickBot="1" x14ac:dyDescent="0.35">
      <c r="A110" s="64" t="s">
        <v>122</v>
      </c>
      <c r="B110" s="65">
        <f>E105</f>
        <v>4500000</v>
      </c>
      <c r="D110" s="48"/>
      <c r="E110" s="48"/>
    </row>
    <row r="111" spans="1:5" x14ac:dyDescent="0.3">
      <c r="D111" s="48"/>
      <c r="E111" s="48"/>
    </row>
    <row r="112" spans="1:5" x14ac:dyDescent="0.3">
      <c r="D112" s="48"/>
      <c r="E112" s="48"/>
    </row>
    <row r="113" spans="1:6" ht="15" customHeight="1" x14ac:dyDescent="0.3">
      <c r="A113" s="250" t="s">
        <v>171</v>
      </c>
      <c r="B113" s="250"/>
      <c r="D113" s="48"/>
      <c r="E113" s="48"/>
    </row>
    <row r="114" spans="1:6" ht="15" customHeight="1" x14ac:dyDescent="0.3">
      <c r="A114" s="250"/>
      <c r="B114" s="250"/>
      <c r="D114" s="48"/>
      <c r="E114" s="48"/>
    </row>
    <row r="115" spans="1:6" ht="15" customHeight="1" x14ac:dyDescent="0.3">
      <c r="A115" s="250"/>
      <c r="B115" s="250"/>
      <c r="D115" s="48"/>
      <c r="E115" s="48"/>
    </row>
    <row r="116" spans="1:6" x14ac:dyDescent="0.3">
      <c r="D116" s="48"/>
      <c r="E116" s="48"/>
    </row>
    <row r="117" spans="1:6" x14ac:dyDescent="0.3">
      <c r="A117" s="250" t="s">
        <v>219</v>
      </c>
      <c r="B117" s="250"/>
      <c r="D117" s="48"/>
      <c r="E117" s="48"/>
    </row>
    <row r="118" spans="1:6" x14ac:dyDescent="0.3">
      <c r="A118" s="250"/>
      <c r="B118" s="250"/>
      <c r="D118" s="48"/>
      <c r="E118" s="48"/>
    </row>
    <row r="119" spans="1:6" x14ac:dyDescent="0.3">
      <c r="A119" s="250"/>
      <c r="B119" s="250"/>
      <c r="D119" s="48"/>
      <c r="E119" s="48"/>
    </row>
    <row r="120" spans="1:6" x14ac:dyDescent="0.3">
      <c r="D120" s="48"/>
      <c r="E120" s="48"/>
    </row>
    <row r="121" spans="1:6" x14ac:dyDescent="0.3">
      <c r="A121" s="250" t="s">
        <v>220</v>
      </c>
      <c r="B121" s="250"/>
      <c r="D121" s="48"/>
      <c r="E121" s="48"/>
    </row>
    <row r="122" spans="1:6" x14ac:dyDescent="0.3">
      <c r="A122" s="250"/>
      <c r="B122" s="250"/>
      <c r="D122" s="48"/>
      <c r="E122" s="48"/>
    </row>
    <row r="123" spans="1:6" x14ac:dyDescent="0.3">
      <c r="A123" s="250"/>
      <c r="B123" s="250"/>
      <c r="D123" s="48"/>
      <c r="E123" s="48"/>
    </row>
    <row r="124" spans="1:6" x14ac:dyDescent="0.3">
      <c r="D124" s="48"/>
      <c r="E124" s="48"/>
    </row>
    <row r="125" spans="1:6" ht="15" customHeight="1" x14ac:dyDescent="0.3">
      <c r="A125" s="250" t="s">
        <v>197</v>
      </c>
      <c r="B125" s="250"/>
      <c r="D125" s="48"/>
      <c r="E125" s="48"/>
    </row>
    <row r="126" spans="1:6" ht="15" customHeight="1" x14ac:dyDescent="0.3">
      <c r="A126" s="250"/>
      <c r="B126" s="250"/>
      <c r="D126" s="48"/>
      <c r="E126" s="48"/>
    </row>
    <row r="127" spans="1:6" ht="15" customHeight="1" x14ac:dyDescent="0.3">
      <c r="A127" s="250"/>
      <c r="B127" s="250"/>
      <c r="D127" s="48"/>
      <c r="E127" s="48"/>
    </row>
    <row r="128" spans="1:6" ht="15.75" customHeight="1" x14ac:dyDescent="0.3">
      <c r="D128" s="48"/>
      <c r="E128" s="48"/>
      <c r="F128" s="193"/>
    </row>
    <row r="129" spans="1:6" ht="15.75" customHeight="1" x14ac:dyDescent="0.3">
      <c r="A129" s="250" t="s">
        <v>178</v>
      </c>
      <c r="B129" s="250"/>
      <c r="D129" s="48"/>
      <c r="E129" s="48"/>
    </row>
    <row r="130" spans="1:6" ht="15.75" customHeight="1" x14ac:dyDescent="0.3">
      <c r="A130" s="250"/>
      <c r="B130" s="250"/>
      <c r="D130" s="48"/>
      <c r="E130" s="48"/>
    </row>
    <row r="131" spans="1:6" ht="15.75" customHeight="1" x14ac:dyDescent="0.3">
      <c r="A131" s="250"/>
      <c r="B131" s="250"/>
      <c r="D131" s="48"/>
      <c r="E131" s="48"/>
    </row>
    <row r="132" spans="1:6" ht="14.4" customHeight="1" x14ac:dyDescent="0.3">
      <c r="D132" s="48"/>
      <c r="E132" s="48"/>
    </row>
    <row r="133" spans="1:6" ht="14.4" customHeight="1" x14ac:dyDescent="0.3">
      <c r="A133" s="250" t="s">
        <v>181</v>
      </c>
      <c r="B133" s="250"/>
      <c r="D133" s="48"/>
      <c r="E133" s="48"/>
    </row>
    <row r="134" spans="1:6" ht="14.4" customHeight="1" x14ac:dyDescent="0.3">
      <c r="A134" s="250"/>
      <c r="B134" s="250"/>
      <c r="D134" s="48"/>
      <c r="E134" s="48"/>
    </row>
    <row r="135" spans="1:6" ht="14.4" customHeight="1" x14ac:dyDescent="0.3">
      <c r="A135" s="250"/>
      <c r="B135" s="250"/>
      <c r="D135" s="48"/>
      <c r="E135" s="48"/>
    </row>
    <row r="136" spans="1:6" ht="14.4" customHeight="1" x14ac:dyDescent="0.3">
      <c r="D136" s="48"/>
      <c r="E136" s="48"/>
    </row>
    <row r="137" spans="1:6" ht="14.4" customHeight="1" x14ac:dyDescent="0.3">
      <c r="A137" s="250" t="s">
        <v>180</v>
      </c>
      <c r="B137" s="250"/>
      <c r="D137" s="48"/>
      <c r="E137" s="48"/>
    </row>
    <row r="138" spans="1:6" ht="14.4" customHeight="1" x14ac:dyDescent="0.3">
      <c r="A138" s="250"/>
      <c r="B138" s="250"/>
      <c r="D138" s="48"/>
      <c r="E138" s="48"/>
    </row>
    <row r="139" spans="1:6" x14ac:dyDescent="0.3">
      <c r="A139" s="250"/>
      <c r="B139" s="250"/>
      <c r="D139" s="48"/>
      <c r="E139" s="48"/>
    </row>
    <row r="140" spans="1:6" x14ac:dyDescent="0.3">
      <c r="D140" s="48"/>
      <c r="E140" s="48"/>
    </row>
    <row r="141" spans="1:6" s="68" customFormat="1" ht="15" thickBot="1" x14ac:dyDescent="0.35">
      <c r="A141"/>
      <c r="B141" s="66"/>
      <c r="C141" s="67"/>
      <c r="D141" s="156"/>
      <c r="E141" s="156"/>
    </row>
    <row r="142" spans="1:6" s="68" customFormat="1" ht="15.75" customHeight="1" x14ac:dyDescent="0.3">
      <c r="A142" s="202" t="s">
        <v>187</v>
      </c>
      <c r="B142" s="217">
        <v>1544535.81</v>
      </c>
      <c r="C142" s="67"/>
      <c r="D142" s="157"/>
      <c r="E142" s="157"/>
    </row>
    <row r="143" spans="1:6" x14ac:dyDescent="0.3">
      <c r="A143" s="204" t="s">
        <v>143</v>
      </c>
      <c r="B143" s="205">
        <f>-B108-B109</f>
        <v>-23084688.289999999</v>
      </c>
      <c r="D143" s="48"/>
      <c r="E143" s="48"/>
    </row>
    <row r="144" spans="1:6" x14ac:dyDescent="0.3">
      <c r="A144" s="204" t="s">
        <v>123</v>
      </c>
      <c r="B144" s="206">
        <f>B174</f>
        <v>0</v>
      </c>
      <c r="D144" s="48"/>
      <c r="E144" s="48"/>
      <c r="F144" s="66"/>
    </row>
    <row r="145" spans="1:6" x14ac:dyDescent="0.3">
      <c r="A145" s="204" t="s">
        <v>2</v>
      </c>
      <c r="B145" s="207">
        <f>PRORRATEO!F119</f>
        <v>20030676.670000002</v>
      </c>
      <c r="D145" s="48"/>
      <c r="E145" s="48"/>
      <c r="F145" s="66"/>
    </row>
    <row r="146" spans="1:6" ht="28.8" x14ac:dyDescent="0.3">
      <c r="A146" s="204" t="s">
        <v>274</v>
      </c>
      <c r="B146" s="222">
        <v>-140000</v>
      </c>
      <c r="D146" s="48"/>
      <c r="E146" s="48"/>
      <c r="F146" s="66"/>
    </row>
    <row r="147" spans="1:6" x14ac:dyDescent="0.3">
      <c r="A147" s="204" t="s">
        <v>244</v>
      </c>
      <c r="B147" s="222">
        <v>-24000</v>
      </c>
      <c r="D147" s="48"/>
      <c r="E147" s="48"/>
      <c r="F147" s="66"/>
    </row>
    <row r="148" spans="1:6" x14ac:dyDescent="0.3">
      <c r="A148" s="204" t="s">
        <v>264</v>
      </c>
      <c r="B148" s="222">
        <v>-200000</v>
      </c>
      <c r="D148" s="48"/>
      <c r="E148" s="48"/>
      <c r="F148" s="66"/>
    </row>
    <row r="149" spans="1:6" ht="15" thickBot="1" x14ac:dyDescent="0.35">
      <c r="A149" s="204" t="s">
        <v>216</v>
      </c>
      <c r="B149" s="222">
        <v>-5877</v>
      </c>
      <c r="D149" s="48"/>
      <c r="E149" s="48"/>
      <c r="F149" s="66"/>
    </row>
    <row r="150" spans="1:6" ht="15" thickBot="1" x14ac:dyDescent="0.35">
      <c r="A150" s="200" t="s">
        <v>159</v>
      </c>
      <c r="B150" s="201">
        <f>SUM(B142:C149)</f>
        <v>-1879352.8099999987</v>
      </c>
      <c r="D150" s="211"/>
      <c r="E150" s="50"/>
      <c r="F150" s="50"/>
    </row>
    <row r="151" spans="1:6" ht="17.100000000000001" customHeight="1" x14ac:dyDescent="0.3">
      <c r="D151" s="48"/>
    </row>
    <row r="152" spans="1:6" ht="17.100000000000001" customHeight="1" x14ac:dyDescent="0.3">
      <c r="A152" s="251" t="s">
        <v>271</v>
      </c>
      <c r="B152" s="251"/>
      <c r="C152" s="251"/>
      <c r="D152" s="251"/>
    </row>
    <row r="153" spans="1:6" ht="17.100000000000001" customHeight="1" x14ac:dyDescent="0.3">
      <c r="A153" s="251"/>
      <c r="B153" s="251"/>
      <c r="C153" s="251"/>
      <c r="D153" s="251"/>
    </row>
    <row r="154" spans="1:6" ht="17.100000000000001" customHeight="1" x14ac:dyDescent="0.3">
      <c r="A154" s="251"/>
      <c r="B154" s="251"/>
      <c r="C154" s="251"/>
      <c r="D154" s="251"/>
    </row>
    <row r="155" spans="1:6" ht="17.100000000000001" customHeight="1" x14ac:dyDescent="0.3">
      <c r="A155" s="251"/>
      <c r="B155" s="251"/>
      <c r="C155" s="251"/>
      <c r="D155" s="251"/>
    </row>
    <row r="156" spans="1:6" ht="17.100000000000001" customHeight="1" x14ac:dyDescent="0.3">
      <c r="A156" s="251"/>
      <c r="B156" s="251"/>
      <c r="C156" s="251"/>
      <c r="D156" s="251"/>
    </row>
    <row r="157" spans="1:6" ht="17.100000000000001" customHeight="1" x14ac:dyDescent="0.3">
      <c r="A157" s="251"/>
      <c r="B157" s="251"/>
      <c r="C157" s="251"/>
      <c r="D157" s="251"/>
    </row>
    <row r="158" spans="1:6" ht="17.100000000000001" customHeight="1" x14ac:dyDescent="0.3">
      <c r="A158" s="251"/>
      <c r="B158" s="251"/>
      <c r="C158" s="251"/>
      <c r="D158" s="251"/>
    </row>
    <row r="159" spans="1:6" ht="17.100000000000001" customHeight="1" thickBot="1" x14ac:dyDescent="0.35">
      <c r="D159" s="48"/>
    </row>
    <row r="160" spans="1:6" ht="17.100000000000001" customHeight="1" x14ac:dyDescent="0.3">
      <c r="A160" s="202" t="s">
        <v>267</v>
      </c>
      <c r="B160" s="203">
        <v>0</v>
      </c>
      <c r="D160" s="48"/>
    </row>
    <row r="161" spans="1:13" ht="17.100000000000001" customHeight="1" thickBot="1" x14ac:dyDescent="0.35">
      <c r="A161" s="204" t="s">
        <v>269</v>
      </c>
      <c r="B161" s="207">
        <v>320000</v>
      </c>
      <c r="D161" s="48"/>
    </row>
    <row r="162" spans="1:13" ht="17.100000000000001" customHeight="1" thickBot="1" x14ac:dyDescent="0.35">
      <c r="A162" s="200" t="s">
        <v>268</v>
      </c>
      <c r="B162" s="201">
        <f>SUM(B160:C161)</f>
        <v>320000</v>
      </c>
      <c r="D162" s="48"/>
    </row>
    <row r="163" spans="1:13" ht="17.100000000000001" customHeight="1" thickBot="1" x14ac:dyDescent="0.35">
      <c r="D163" s="48"/>
    </row>
    <row r="164" spans="1:13" ht="15" customHeight="1" x14ac:dyDescent="0.3">
      <c r="A164" s="202" t="s">
        <v>225</v>
      </c>
      <c r="B164" s="217">
        <v>1506421.54</v>
      </c>
      <c r="D164" s="48"/>
    </row>
    <row r="165" spans="1:13" ht="15" customHeight="1" thickBot="1" x14ac:dyDescent="0.35">
      <c r="A165" s="208" t="s">
        <v>224</v>
      </c>
      <c r="B165" s="209">
        <f>B166-B164</f>
        <v>23256.959999999963</v>
      </c>
      <c r="D165" s="48"/>
    </row>
    <row r="166" spans="1:13" ht="15" customHeight="1" thickBot="1" x14ac:dyDescent="0.35">
      <c r="A166" s="200" t="s">
        <v>280</v>
      </c>
      <c r="B166" s="201">
        <v>1529678.5</v>
      </c>
      <c r="D166" s="48"/>
    </row>
    <row r="167" spans="1:13" ht="15" customHeight="1" x14ac:dyDescent="0.3">
      <c r="D167" s="48"/>
    </row>
    <row r="168" spans="1:13" ht="15" customHeight="1" x14ac:dyDescent="0.3">
      <c r="D168" s="48"/>
    </row>
    <row r="169" spans="1:13" x14ac:dyDescent="0.3">
      <c r="A169" s="249" t="s">
        <v>124</v>
      </c>
      <c r="B169" s="249"/>
      <c r="C169" s="249"/>
      <c r="D169" s="48"/>
    </row>
    <row r="170" spans="1:13" x14ac:dyDescent="0.3">
      <c r="A170" s="249"/>
      <c r="B170" s="249"/>
      <c r="C170" s="249"/>
      <c r="D170" s="48"/>
    </row>
    <row r="171" spans="1:13" ht="27" customHeight="1" x14ac:dyDescent="0.3">
      <c r="A171" s="69"/>
      <c r="B171" s="110"/>
      <c r="C171" s="70"/>
      <c r="D171" s="212"/>
    </row>
    <row r="172" spans="1:13" ht="27" customHeight="1" x14ac:dyDescent="0.3">
      <c r="A172" s="69"/>
      <c r="B172" s="110"/>
      <c r="C172" s="70"/>
      <c r="D172" s="212"/>
    </row>
    <row r="173" spans="1:13" ht="27" customHeight="1" x14ac:dyDescent="0.3">
      <c r="A173" s="69"/>
      <c r="B173" s="110"/>
      <c r="C173" s="70"/>
      <c r="D173" s="56"/>
    </row>
    <row r="174" spans="1:13" x14ac:dyDescent="0.3">
      <c r="A174" s="71" t="s">
        <v>0</v>
      </c>
      <c r="B174" s="72">
        <f>SUM(B171:B173)</f>
        <v>0</v>
      </c>
      <c r="C174" s="73"/>
    </row>
    <row r="175" spans="1:13" x14ac:dyDescent="0.3">
      <c r="M175" s="74"/>
    </row>
  </sheetData>
  <mergeCells count="41">
    <mergeCell ref="D96:D97"/>
    <mergeCell ref="E96:E97"/>
    <mergeCell ref="A87:B87"/>
    <mergeCell ref="A70:B70"/>
    <mergeCell ref="A77:B77"/>
    <mergeCell ref="A96:B97"/>
    <mergeCell ref="A81:B81"/>
    <mergeCell ref="A86:B86"/>
    <mergeCell ref="B1:E1"/>
    <mergeCell ref="A24:B24"/>
    <mergeCell ref="A80:B80"/>
    <mergeCell ref="B3:E3"/>
    <mergeCell ref="B8:C10"/>
    <mergeCell ref="A13:E16"/>
    <mergeCell ref="A22:B22"/>
    <mergeCell ref="A23:B23"/>
    <mergeCell ref="A60:B60"/>
    <mergeCell ref="A51:B51"/>
    <mergeCell ref="A53:B53"/>
    <mergeCell ref="A65:B65"/>
    <mergeCell ref="A67:B67"/>
    <mergeCell ref="A66:B66"/>
    <mergeCell ref="A73:B73"/>
    <mergeCell ref="A52:B52"/>
    <mergeCell ref="A169:C170"/>
    <mergeCell ref="A125:B127"/>
    <mergeCell ref="A137:B139"/>
    <mergeCell ref="A133:B135"/>
    <mergeCell ref="A113:B115"/>
    <mergeCell ref="A129:B131"/>
    <mergeCell ref="A117:B119"/>
    <mergeCell ref="A121:B123"/>
    <mergeCell ref="A152:D158"/>
    <mergeCell ref="A26:B26"/>
    <mergeCell ref="A27:B27"/>
    <mergeCell ref="A28:B28"/>
    <mergeCell ref="A72:B72"/>
    <mergeCell ref="A75:B75"/>
    <mergeCell ref="A61:B61"/>
    <mergeCell ref="A71:B71"/>
    <mergeCell ref="A69:B69"/>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Q135"/>
  <sheetViews>
    <sheetView tabSelected="1" topLeftCell="A32" zoomScaleNormal="100" workbookViewId="0">
      <selection activeCell="A44" sqref="A44:B44"/>
    </sheetView>
  </sheetViews>
  <sheetFormatPr baseColWidth="10" defaultColWidth="10.88671875" defaultRowHeight="14.4" x14ac:dyDescent="0.3"/>
  <cols>
    <col min="1" max="1" width="4.33203125" customWidth="1"/>
    <col min="2" max="2" width="25.5546875" customWidth="1"/>
    <col min="3" max="3" width="0.109375" customWidth="1"/>
    <col min="4" max="4" width="8.44140625" customWidth="1"/>
    <col min="5" max="5" width="14.109375" customWidth="1"/>
    <col min="6" max="6" width="12.33203125" customWidth="1"/>
    <col min="7" max="7" width="10.5546875" customWidth="1"/>
    <col min="8" max="8" width="9.5546875" customWidth="1"/>
    <col min="9" max="9" width="12.44140625" customWidth="1"/>
    <col min="10" max="11" width="16.33203125" customWidth="1"/>
    <col min="12" max="12" width="12.33203125" customWidth="1"/>
    <col min="13" max="13" width="16.109375" customWidth="1"/>
    <col min="14" max="14" width="14.6640625" customWidth="1"/>
    <col min="15" max="15" width="14.33203125" customWidth="1"/>
    <col min="16" max="16" width="7.33203125" bestFit="1" customWidth="1"/>
    <col min="17" max="17" width="12" bestFit="1" customWidth="1"/>
    <col min="18" max="18" width="13" bestFit="1" customWidth="1"/>
  </cols>
  <sheetData>
    <row r="1" spans="1:17" ht="12.9" customHeight="1" x14ac:dyDescent="0.3">
      <c r="A1" s="88"/>
      <c r="B1" s="89"/>
      <c r="C1" s="89"/>
      <c r="D1" s="278"/>
      <c r="E1" s="278"/>
      <c r="F1" s="278"/>
      <c r="G1" s="278"/>
      <c r="H1" s="278"/>
      <c r="I1" s="278"/>
      <c r="J1" s="278"/>
      <c r="K1" s="278"/>
      <c r="L1" s="278"/>
      <c r="M1" s="278"/>
      <c r="N1" s="278"/>
      <c r="O1" s="90"/>
    </row>
    <row r="2" spans="1:17" ht="12.9" customHeight="1" x14ac:dyDescent="0.3">
      <c r="A2" s="91"/>
      <c r="B2" s="92"/>
      <c r="C2" s="93"/>
      <c r="D2" s="93" t="s">
        <v>125</v>
      </c>
      <c r="E2" s="300">
        <v>4500000</v>
      </c>
      <c r="F2" s="300"/>
      <c r="G2" s="93"/>
      <c r="H2" s="93"/>
      <c r="I2" s="93" t="s">
        <v>126</v>
      </c>
      <c r="J2" s="94">
        <v>9000000</v>
      </c>
      <c r="K2" s="94"/>
      <c r="L2" s="94" t="s">
        <v>218</v>
      </c>
      <c r="M2" s="94">
        <v>10266998.26</v>
      </c>
      <c r="N2" s="95"/>
      <c r="O2" s="96"/>
      <c r="P2" s="75"/>
      <c r="Q2">
        <v>13312274.1</v>
      </c>
    </row>
    <row r="3" spans="1:17" ht="12.9" customHeight="1" thickBot="1" x14ac:dyDescent="0.35">
      <c r="A3" s="97"/>
      <c r="B3" s="98"/>
      <c r="C3" s="98"/>
      <c r="D3" s="98"/>
      <c r="E3" s="98"/>
      <c r="F3" s="99"/>
      <c r="G3" s="98"/>
      <c r="H3" s="98"/>
      <c r="I3" s="98"/>
      <c r="J3" s="98"/>
      <c r="K3" s="98"/>
      <c r="L3" s="98"/>
      <c r="M3" s="98"/>
      <c r="N3" s="100"/>
      <c r="O3" s="101"/>
      <c r="P3" s="75"/>
    </row>
    <row r="4" spans="1:17" ht="12.9" customHeight="1" x14ac:dyDescent="0.3">
      <c r="A4" s="279" t="s">
        <v>158</v>
      </c>
      <c r="B4" s="280"/>
      <c r="C4" s="280"/>
      <c r="D4" s="280"/>
      <c r="E4" s="280"/>
      <c r="F4" s="280"/>
      <c r="G4" s="280"/>
      <c r="H4" s="280"/>
      <c r="I4" s="280"/>
      <c r="J4" s="280"/>
      <c r="K4" s="280"/>
      <c r="L4" s="280"/>
      <c r="M4" s="280"/>
      <c r="N4" s="280"/>
      <c r="O4" s="281"/>
      <c r="P4" s="75"/>
    </row>
    <row r="5" spans="1:17" ht="12.9" customHeight="1" x14ac:dyDescent="0.3">
      <c r="A5" s="282"/>
      <c r="B5" s="283"/>
      <c r="C5" s="283"/>
      <c r="D5" s="283"/>
      <c r="E5" s="283"/>
      <c r="F5" s="283"/>
      <c r="G5" s="283"/>
      <c r="H5" s="283"/>
      <c r="I5" s="283"/>
      <c r="J5" s="283"/>
      <c r="K5" s="283"/>
      <c r="L5" s="283"/>
      <c r="M5" s="283"/>
      <c r="N5" s="283"/>
      <c r="O5" s="284"/>
      <c r="P5" s="75"/>
    </row>
    <row r="6" spans="1:17" ht="12.9" customHeight="1" x14ac:dyDescent="0.3">
      <c r="A6" s="282"/>
      <c r="B6" s="283"/>
      <c r="C6" s="283"/>
      <c r="D6" s="283"/>
      <c r="E6" s="283"/>
      <c r="F6" s="283"/>
      <c r="G6" s="283"/>
      <c r="H6" s="283"/>
      <c r="I6" s="283"/>
      <c r="J6" s="283"/>
      <c r="K6" s="283"/>
      <c r="L6" s="283"/>
      <c r="M6" s="283"/>
      <c r="N6" s="283"/>
      <c r="O6" s="284"/>
      <c r="P6" s="75"/>
    </row>
    <row r="7" spans="1:17" ht="12.9" customHeight="1" x14ac:dyDescent="0.3">
      <c r="A7" s="282"/>
      <c r="B7" s="283"/>
      <c r="C7" s="283"/>
      <c r="D7" s="283"/>
      <c r="E7" s="283"/>
      <c r="F7" s="283"/>
      <c r="G7" s="283"/>
      <c r="H7" s="283"/>
      <c r="I7" s="283"/>
      <c r="J7" s="283"/>
      <c r="K7" s="283"/>
      <c r="L7" s="283"/>
      <c r="M7" s="283"/>
      <c r="N7" s="283"/>
      <c r="O7" s="284"/>
      <c r="P7" s="75"/>
    </row>
    <row r="8" spans="1:17" ht="192" customHeight="1" thickBot="1" x14ac:dyDescent="0.35">
      <c r="A8" s="285"/>
      <c r="B8" s="286"/>
      <c r="C8" s="286"/>
      <c r="D8" s="286"/>
      <c r="E8" s="286"/>
      <c r="F8" s="286"/>
      <c r="G8" s="286"/>
      <c r="H8" s="286"/>
      <c r="I8" s="286"/>
      <c r="J8" s="286"/>
      <c r="K8" s="286"/>
      <c r="L8" s="286"/>
      <c r="M8" s="286"/>
      <c r="N8" s="286"/>
      <c r="O8" s="287"/>
    </row>
    <row r="9" spans="1:17" ht="48" customHeight="1" thickBot="1" x14ac:dyDescent="0.35">
      <c r="A9" s="294" t="s">
        <v>156</v>
      </c>
      <c r="B9" s="295"/>
      <c r="C9" s="295"/>
      <c r="D9" s="295"/>
      <c r="E9" s="295"/>
      <c r="F9" s="295"/>
      <c r="G9" s="295"/>
      <c r="H9" s="295"/>
      <c r="I9" s="295"/>
      <c r="J9" s="295"/>
      <c r="K9" s="295"/>
      <c r="L9" s="295"/>
      <c r="M9" s="295"/>
      <c r="N9" s="295"/>
      <c r="O9" s="296"/>
    </row>
    <row r="10" spans="1:17" ht="59.25" customHeight="1" thickBot="1" x14ac:dyDescent="0.35">
      <c r="A10" s="267" t="s">
        <v>210</v>
      </c>
      <c r="B10" s="268"/>
      <c r="C10" s="268"/>
      <c r="D10" s="268"/>
      <c r="E10" s="268"/>
      <c r="F10" s="268"/>
      <c r="G10" s="268"/>
      <c r="H10" s="268"/>
      <c r="I10" s="268"/>
      <c r="J10" s="268"/>
      <c r="K10" s="268"/>
      <c r="L10" s="268"/>
      <c r="M10" s="268"/>
      <c r="N10" s="268"/>
      <c r="O10" s="269"/>
    </row>
    <row r="11" spans="1:17" ht="59.25" customHeight="1" thickBot="1" x14ac:dyDescent="0.35">
      <c r="A11" s="270" t="s">
        <v>211</v>
      </c>
      <c r="B11" s="271"/>
      <c r="C11" s="271"/>
      <c r="D11" s="271"/>
      <c r="E11" s="271"/>
      <c r="F11" s="271"/>
      <c r="G11" s="271"/>
      <c r="H11" s="271"/>
      <c r="I11" s="271"/>
      <c r="J11" s="271"/>
      <c r="K11" s="271"/>
      <c r="L11" s="271"/>
      <c r="M11" s="271"/>
      <c r="N11" s="271"/>
      <c r="O11" s="272"/>
    </row>
    <row r="12" spans="1:17" ht="48" customHeight="1" thickBot="1" x14ac:dyDescent="0.35">
      <c r="A12" s="297" t="s">
        <v>157</v>
      </c>
      <c r="B12" s="298"/>
      <c r="C12" s="298"/>
      <c r="D12" s="298"/>
      <c r="E12" s="298"/>
      <c r="F12" s="298"/>
      <c r="G12" s="298"/>
      <c r="H12" s="298"/>
      <c r="I12" s="298"/>
      <c r="J12" s="298"/>
      <c r="K12" s="298"/>
      <c r="L12" s="298"/>
      <c r="M12" s="298"/>
      <c r="N12" s="298"/>
      <c r="O12" s="299"/>
    </row>
    <row r="13" spans="1:17" x14ac:dyDescent="0.3">
      <c r="A13" s="288" t="s">
        <v>127</v>
      </c>
      <c r="B13" s="290" t="s">
        <v>128</v>
      </c>
      <c r="C13" s="290" t="s">
        <v>129</v>
      </c>
      <c r="D13" s="290" t="s">
        <v>130</v>
      </c>
      <c r="E13" s="265" t="s">
        <v>131</v>
      </c>
      <c r="F13" s="290" t="s">
        <v>132</v>
      </c>
      <c r="G13" s="292" t="s">
        <v>133</v>
      </c>
      <c r="H13" s="265" t="s">
        <v>134</v>
      </c>
      <c r="I13" s="265" t="s">
        <v>126</v>
      </c>
      <c r="J13" s="265" t="s">
        <v>125</v>
      </c>
      <c r="K13" s="275" t="s">
        <v>217</v>
      </c>
      <c r="L13" s="301" t="s">
        <v>173</v>
      </c>
      <c r="M13" s="263" t="s">
        <v>179</v>
      </c>
      <c r="N13" s="138" t="s">
        <v>206</v>
      </c>
      <c r="O13" s="273" t="s">
        <v>135</v>
      </c>
    </row>
    <row r="14" spans="1:17" ht="15.75" customHeight="1" x14ac:dyDescent="0.3">
      <c r="A14" s="289"/>
      <c r="B14" s="291"/>
      <c r="C14" s="291"/>
      <c r="D14" s="291"/>
      <c r="E14" s="266"/>
      <c r="F14" s="291"/>
      <c r="G14" s="293"/>
      <c r="H14" s="266"/>
      <c r="I14" s="266"/>
      <c r="J14" s="266"/>
      <c r="K14" s="276"/>
      <c r="L14" s="302"/>
      <c r="M14" s="264"/>
      <c r="N14" s="139" t="str">
        <f>RESUMEN!B8</f>
        <v>VTO 16/10</v>
      </c>
      <c r="O14" s="274"/>
    </row>
    <row r="15" spans="1:17" ht="17.100000000000001" customHeight="1" x14ac:dyDescent="0.3">
      <c r="A15" s="124">
        <v>1</v>
      </c>
      <c r="B15" s="76" t="s">
        <v>3</v>
      </c>
      <c r="C15" s="76"/>
      <c r="D15" s="77">
        <v>1.37</v>
      </c>
      <c r="E15" s="78">
        <v>301400.01</v>
      </c>
      <c r="F15" s="79">
        <f>E15</f>
        <v>301400.01</v>
      </c>
      <c r="G15" s="80">
        <f t="shared" ref="G15:G78" si="0">E15-F15</f>
        <v>0</v>
      </c>
      <c r="H15" s="80">
        <f>IF(G15&gt;0,G15*3%,0)</f>
        <v>0</v>
      </c>
      <c r="I15" s="120">
        <f>J$2*D15/100</f>
        <v>123300.00000000001</v>
      </c>
      <c r="J15" s="120">
        <f t="shared" ref="J15:J46" si="1">E$2*D15/100</f>
        <v>61650.000000000007</v>
      </c>
      <c r="K15" s="120">
        <f>M$2*D15/100</f>
        <v>140657.876162</v>
      </c>
      <c r="L15" s="120"/>
      <c r="M15" s="141"/>
      <c r="N15" s="81">
        <f>ROUND(SUM(G15:M15),0) + P15</f>
        <v>325608.01</v>
      </c>
      <c r="O15" s="134">
        <f t="shared" ref="O15:O35" si="2">ROUND(N15*3%,0) + N15</f>
        <v>335376.01</v>
      </c>
      <c r="P15" s="50">
        <v>0.01</v>
      </c>
    </row>
    <row r="16" spans="1:17" ht="17.100000000000001" customHeight="1" x14ac:dyDescent="0.3">
      <c r="A16" s="174">
        <v>2</v>
      </c>
      <c r="B16" s="183" t="s">
        <v>4</v>
      </c>
      <c r="C16" s="184"/>
      <c r="D16" s="185">
        <v>1.18</v>
      </c>
      <c r="E16" s="186">
        <v>4571515.0199999996</v>
      </c>
      <c r="F16" s="186"/>
      <c r="G16" s="187">
        <f t="shared" si="0"/>
        <v>4571515.0199999996</v>
      </c>
      <c r="H16" s="187">
        <f t="shared" ref="H16:H79" si="3">IF(G16&gt;0,G16*3%,0)</f>
        <v>137145.45059999998</v>
      </c>
      <c r="I16" s="188">
        <f t="shared" ref="I16:I46" si="4">J$2*D16/100</f>
        <v>106200</v>
      </c>
      <c r="J16" s="188">
        <f t="shared" si="1"/>
        <v>53100</v>
      </c>
      <c r="K16" s="188">
        <f t="shared" ref="K16:K79" si="5">M$2*D16/100</f>
        <v>121150.579468</v>
      </c>
      <c r="L16" s="188"/>
      <c r="M16" s="189"/>
      <c r="N16" s="190">
        <f>ROUND(SUM(G16:M16),0) + P16</f>
        <v>4989111.0199999996</v>
      </c>
      <c r="O16" s="191">
        <f t="shared" si="2"/>
        <v>5138784.0199999996</v>
      </c>
      <c r="P16" s="50">
        <f>P15+0.01</f>
        <v>0.02</v>
      </c>
      <c r="Q16" t="s">
        <v>165</v>
      </c>
    </row>
    <row r="17" spans="1:16" ht="17.100000000000001" customHeight="1" x14ac:dyDescent="0.3">
      <c r="A17" s="125">
        <v>3</v>
      </c>
      <c r="B17" s="103" t="s">
        <v>5</v>
      </c>
      <c r="C17" s="108"/>
      <c r="D17" s="105">
        <v>0.74</v>
      </c>
      <c r="E17" s="78">
        <v>162800.03</v>
      </c>
      <c r="F17" s="79">
        <f>162000+800.03</f>
        <v>162800.03</v>
      </c>
      <c r="G17" s="80">
        <f t="shared" si="0"/>
        <v>0</v>
      </c>
      <c r="H17" s="80">
        <f t="shared" si="3"/>
        <v>0</v>
      </c>
      <c r="I17" s="120">
        <f t="shared" si="4"/>
        <v>66600</v>
      </c>
      <c r="J17" s="120">
        <f t="shared" si="1"/>
        <v>33300</v>
      </c>
      <c r="K17" s="120">
        <f t="shared" si="5"/>
        <v>75975.787123999995</v>
      </c>
      <c r="L17" s="120"/>
      <c r="M17" s="141"/>
      <c r="N17" s="81">
        <f t="shared" ref="N17:N80" si="6">ROUND(SUM(G17:M17),0) + P17</f>
        <v>175876.03</v>
      </c>
      <c r="O17" s="134">
        <f t="shared" si="2"/>
        <v>181152.03</v>
      </c>
      <c r="P17" s="50">
        <f t="shared" ref="P17:P32" si="7">P16+0.01</f>
        <v>0.03</v>
      </c>
    </row>
    <row r="18" spans="1:16" ht="17.100000000000001" customHeight="1" x14ac:dyDescent="0.3">
      <c r="A18" s="125">
        <v>4</v>
      </c>
      <c r="B18" s="103" t="s">
        <v>6</v>
      </c>
      <c r="C18" s="108"/>
      <c r="D18" s="105">
        <v>1.47</v>
      </c>
      <c r="E18" s="79">
        <v>323400.03999999998</v>
      </c>
      <c r="F18" s="79">
        <f>E18</f>
        <v>323400.03999999998</v>
      </c>
      <c r="G18" s="106">
        <f t="shared" si="0"/>
        <v>0</v>
      </c>
      <c r="H18" s="106">
        <f t="shared" si="3"/>
        <v>0</v>
      </c>
      <c r="I18" s="121">
        <f t="shared" si="4"/>
        <v>132300</v>
      </c>
      <c r="J18" s="121">
        <f t="shared" si="1"/>
        <v>66150</v>
      </c>
      <c r="K18" s="120">
        <f t="shared" si="5"/>
        <v>150924.87442199999</v>
      </c>
      <c r="L18" s="121"/>
      <c r="M18" s="142"/>
      <c r="N18" s="81">
        <f t="shared" si="6"/>
        <v>349375.04</v>
      </c>
      <c r="O18" s="135">
        <f t="shared" si="2"/>
        <v>359856.04</v>
      </c>
      <c r="P18" s="50">
        <f t="shared" si="7"/>
        <v>0.04</v>
      </c>
    </row>
    <row r="19" spans="1:16" ht="17.100000000000001" customHeight="1" x14ac:dyDescent="0.3">
      <c r="A19" s="125">
        <v>5</v>
      </c>
      <c r="B19" s="103" t="s">
        <v>7</v>
      </c>
      <c r="C19" s="103"/>
      <c r="D19" s="105">
        <v>1.1200000000000001</v>
      </c>
      <c r="E19" s="79">
        <v>239520.05</v>
      </c>
      <c r="F19" s="79">
        <v>246706.05</v>
      </c>
      <c r="G19" s="80">
        <f t="shared" si="0"/>
        <v>-7186</v>
      </c>
      <c r="H19" s="80">
        <f t="shared" si="3"/>
        <v>0</v>
      </c>
      <c r="I19" s="120">
        <f t="shared" si="4"/>
        <v>100800.00000000001</v>
      </c>
      <c r="J19" s="120">
        <f t="shared" si="1"/>
        <v>50400.000000000007</v>
      </c>
      <c r="K19" s="120">
        <f t="shared" si="5"/>
        <v>114990.380512</v>
      </c>
      <c r="L19" s="120"/>
      <c r="M19" s="141"/>
      <c r="N19" s="81">
        <f t="shared" si="6"/>
        <v>259004.05</v>
      </c>
      <c r="O19" s="134">
        <f t="shared" si="2"/>
        <v>266774.05</v>
      </c>
      <c r="P19" s="50">
        <f t="shared" si="7"/>
        <v>0.05</v>
      </c>
    </row>
    <row r="20" spans="1:16" ht="17.100000000000001" customHeight="1" x14ac:dyDescent="0.3">
      <c r="A20" s="125">
        <v>6</v>
      </c>
      <c r="B20" s="103" t="s">
        <v>8</v>
      </c>
      <c r="C20" s="103"/>
      <c r="D20" s="105">
        <v>1.35</v>
      </c>
      <c r="E20" s="78">
        <v>296082.06</v>
      </c>
      <c r="F20" s="79">
        <v>307000</v>
      </c>
      <c r="G20" s="80">
        <f t="shared" si="0"/>
        <v>-10917.940000000002</v>
      </c>
      <c r="H20" s="80">
        <f t="shared" si="3"/>
        <v>0</v>
      </c>
      <c r="I20" s="120">
        <f t="shared" si="4"/>
        <v>121500</v>
      </c>
      <c r="J20" s="120">
        <f t="shared" si="1"/>
        <v>60750</v>
      </c>
      <c r="K20" s="120">
        <f t="shared" si="5"/>
        <v>138604.47651000001</v>
      </c>
      <c r="L20" s="120"/>
      <c r="M20" s="141"/>
      <c r="N20" s="81">
        <f t="shared" si="6"/>
        <v>309937.06</v>
      </c>
      <c r="O20" s="134">
        <f t="shared" si="2"/>
        <v>319235.06</v>
      </c>
      <c r="P20" s="50">
        <f t="shared" si="7"/>
        <v>6.0000000000000005E-2</v>
      </c>
    </row>
    <row r="21" spans="1:16" ht="17.100000000000001" customHeight="1" x14ac:dyDescent="0.3">
      <c r="A21" s="125">
        <v>7</v>
      </c>
      <c r="B21" s="103" t="s">
        <v>9</v>
      </c>
      <c r="C21" s="103"/>
      <c r="D21" s="105">
        <v>1.1200000000000001</v>
      </c>
      <c r="E21" s="78">
        <v>246400.07</v>
      </c>
      <c r="F21" s="79">
        <f>E21</f>
        <v>246400.07</v>
      </c>
      <c r="G21" s="80">
        <f t="shared" si="0"/>
        <v>0</v>
      </c>
      <c r="H21" s="80">
        <f t="shared" si="3"/>
        <v>0</v>
      </c>
      <c r="I21" s="120">
        <f t="shared" si="4"/>
        <v>100800.00000000001</v>
      </c>
      <c r="J21" s="120">
        <f t="shared" si="1"/>
        <v>50400.000000000007</v>
      </c>
      <c r="K21" s="120">
        <f t="shared" si="5"/>
        <v>114990.380512</v>
      </c>
      <c r="L21" s="120"/>
      <c r="M21" s="141"/>
      <c r="N21" s="81">
        <f t="shared" si="6"/>
        <v>266190.07</v>
      </c>
      <c r="O21" s="134">
        <f t="shared" si="2"/>
        <v>274176.07</v>
      </c>
      <c r="P21" s="50">
        <f t="shared" si="7"/>
        <v>7.0000000000000007E-2</v>
      </c>
    </row>
    <row r="22" spans="1:16" ht="17.100000000000001" customHeight="1" x14ac:dyDescent="0.3">
      <c r="A22" s="125">
        <v>8</v>
      </c>
      <c r="B22" s="103" t="s">
        <v>10</v>
      </c>
      <c r="C22" s="108"/>
      <c r="D22" s="105">
        <v>0.82</v>
      </c>
      <c r="E22" s="78">
        <v>180400.08</v>
      </c>
      <c r="F22" s="79">
        <f>E22</f>
        <v>180400.08</v>
      </c>
      <c r="G22" s="80">
        <f t="shared" si="0"/>
        <v>0</v>
      </c>
      <c r="H22" s="80">
        <f t="shared" si="3"/>
        <v>0</v>
      </c>
      <c r="I22" s="120">
        <f t="shared" si="4"/>
        <v>73800</v>
      </c>
      <c r="J22" s="120">
        <f t="shared" si="1"/>
        <v>36900</v>
      </c>
      <c r="K22" s="120">
        <f t="shared" si="5"/>
        <v>84189.385731999981</v>
      </c>
      <c r="L22" s="120"/>
      <c r="M22" s="141"/>
      <c r="N22" s="81">
        <f t="shared" si="6"/>
        <v>194889.08</v>
      </c>
      <c r="O22" s="134">
        <f t="shared" si="2"/>
        <v>200736.08</v>
      </c>
      <c r="P22" s="50">
        <f t="shared" si="7"/>
        <v>0.08</v>
      </c>
    </row>
    <row r="23" spans="1:16" ht="17.100000000000001" customHeight="1" x14ac:dyDescent="0.3">
      <c r="A23" s="124">
        <v>9</v>
      </c>
      <c r="B23" s="76" t="s">
        <v>11</v>
      </c>
      <c r="C23" s="82"/>
      <c r="D23" s="77">
        <v>0.82</v>
      </c>
      <c r="E23" s="78">
        <v>175363.09</v>
      </c>
      <c r="F23" s="79">
        <v>180624.09</v>
      </c>
      <c r="G23" s="80">
        <f t="shared" si="0"/>
        <v>-5261</v>
      </c>
      <c r="H23" s="80">
        <f t="shared" si="3"/>
        <v>0</v>
      </c>
      <c r="I23" s="120">
        <f t="shared" si="4"/>
        <v>73800</v>
      </c>
      <c r="J23" s="120">
        <f t="shared" si="1"/>
        <v>36900</v>
      </c>
      <c r="K23" s="120">
        <f t="shared" si="5"/>
        <v>84189.385731999981</v>
      </c>
      <c r="L23" s="120"/>
      <c r="M23" s="141"/>
      <c r="N23" s="81">
        <f t="shared" si="6"/>
        <v>189628.09</v>
      </c>
      <c r="O23" s="134">
        <f t="shared" si="2"/>
        <v>195317.09</v>
      </c>
      <c r="P23" s="50">
        <f t="shared" si="7"/>
        <v>0.09</v>
      </c>
    </row>
    <row r="24" spans="1:16" ht="17.100000000000001" customHeight="1" x14ac:dyDescent="0.3">
      <c r="A24" s="124">
        <v>10</v>
      </c>
      <c r="B24" s="76" t="s">
        <v>12</v>
      </c>
      <c r="C24" s="82"/>
      <c r="D24" s="77">
        <v>1.34</v>
      </c>
      <c r="E24" s="78">
        <v>294800.09999999998</v>
      </c>
      <c r="F24" s="79">
        <f>E24</f>
        <v>294800.09999999998</v>
      </c>
      <c r="G24" s="80">
        <f t="shared" si="0"/>
        <v>0</v>
      </c>
      <c r="H24" s="80">
        <f t="shared" si="3"/>
        <v>0</v>
      </c>
      <c r="I24" s="120">
        <f t="shared" si="4"/>
        <v>120600</v>
      </c>
      <c r="J24" s="120">
        <f t="shared" si="1"/>
        <v>60300</v>
      </c>
      <c r="K24" s="120">
        <f t="shared" si="5"/>
        <v>137577.77668400001</v>
      </c>
      <c r="L24" s="120"/>
      <c r="M24" s="141"/>
      <c r="N24" s="81">
        <f t="shared" si="6"/>
        <v>318478.09999999998</v>
      </c>
      <c r="O24" s="134">
        <f t="shared" si="2"/>
        <v>328032.09999999998</v>
      </c>
      <c r="P24" s="50">
        <f t="shared" si="7"/>
        <v>9.9999999999999992E-2</v>
      </c>
    </row>
    <row r="25" spans="1:16" ht="17.100000000000001" customHeight="1" x14ac:dyDescent="0.3">
      <c r="A25" s="124">
        <v>11</v>
      </c>
      <c r="B25" s="76" t="s">
        <v>13</v>
      </c>
      <c r="C25" s="82"/>
      <c r="D25" s="77">
        <v>1.1200000000000001</v>
      </c>
      <c r="E25" s="78">
        <v>246400.11</v>
      </c>
      <c r="F25" s="79">
        <f>E25</f>
        <v>246400.11</v>
      </c>
      <c r="G25" s="80">
        <f t="shared" si="0"/>
        <v>0</v>
      </c>
      <c r="H25" s="80">
        <f t="shared" si="3"/>
        <v>0</v>
      </c>
      <c r="I25" s="120">
        <f t="shared" si="4"/>
        <v>100800.00000000001</v>
      </c>
      <c r="J25" s="120">
        <f t="shared" si="1"/>
        <v>50400.000000000007</v>
      </c>
      <c r="K25" s="120">
        <f t="shared" si="5"/>
        <v>114990.380512</v>
      </c>
      <c r="L25" s="120"/>
      <c r="M25" s="141"/>
      <c r="N25" s="81">
        <f t="shared" si="6"/>
        <v>266190.11</v>
      </c>
      <c r="O25" s="134">
        <f t="shared" si="2"/>
        <v>274176.11</v>
      </c>
      <c r="P25" s="50">
        <f t="shared" si="7"/>
        <v>0.10999999999999999</v>
      </c>
    </row>
    <row r="26" spans="1:16" ht="17.25" customHeight="1" x14ac:dyDescent="0.3">
      <c r="A26" s="174">
        <v>12</v>
      </c>
      <c r="B26" s="183" t="s">
        <v>14</v>
      </c>
      <c r="C26" s="184"/>
      <c r="D26" s="185">
        <v>1.17</v>
      </c>
      <c r="E26" s="186">
        <v>5623045.1200000001</v>
      </c>
      <c r="F26" s="186">
        <v>0</v>
      </c>
      <c r="G26" s="187">
        <f t="shared" si="0"/>
        <v>5623045.1200000001</v>
      </c>
      <c r="H26" s="187">
        <f t="shared" si="3"/>
        <v>168691.3536</v>
      </c>
      <c r="I26" s="188">
        <f t="shared" si="4"/>
        <v>105300</v>
      </c>
      <c r="J26" s="188">
        <f t="shared" si="1"/>
        <v>52650</v>
      </c>
      <c r="K26" s="188">
        <f t="shared" si="5"/>
        <v>120123.879642</v>
      </c>
      <c r="L26" s="188"/>
      <c r="M26" s="189"/>
      <c r="N26" s="190">
        <f t="shared" si="6"/>
        <v>6069810.1200000001</v>
      </c>
      <c r="O26" s="191">
        <f t="shared" si="2"/>
        <v>6251904.1200000001</v>
      </c>
      <c r="P26" s="50">
        <f t="shared" si="7"/>
        <v>0.11999999999999998</v>
      </c>
    </row>
    <row r="27" spans="1:16" ht="17.100000000000001" customHeight="1" x14ac:dyDescent="0.3">
      <c r="A27" s="124">
        <v>13</v>
      </c>
      <c r="B27" s="76" t="s">
        <v>15</v>
      </c>
      <c r="C27" s="82"/>
      <c r="D27" s="77">
        <v>1.35</v>
      </c>
      <c r="E27" s="78">
        <v>297000.13</v>
      </c>
      <c r="F27" s="79">
        <f>E27</f>
        <v>297000.13</v>
      </c>
      <c r="G27" s="80">
        <f t="shared" si="0"/>
        <v>0</v>
      </c>
      <c r="H27" s="80">
        <f t="shared" si="3"/>
        <v>0</v>
      </c>
      <c r="I27" s="120">
        <f t="shared" si="4"/>
        <v>121500</v>
      </c>
      <c r="J27" s="120">
        <f t="shared" si="1"/>
        <v>60750</v>
      </c>
      <c r="K27" s="120">
        <f t="shared" si="5"/>
        <v>138604.47651000001</v>
      </c>
      <c r="L27" s="120"/>
      <c r="M27" s="141"/>
      <c r="N27" s="81">
        <f t="shared" si="6"/>
        <v>320854.13</v>
      </c>
      <c r="O27" s="134">
        <f t="shared" si="2"/>
        <v>330480.13</v>
      </c>
      <c r="P27" s="50">
        <f t="shared" si="7"/>
        <v>0.12999999999999998</v>
      </c>
    </row>
    <row r="28" spans="1:16" ht="17.100000000000001" customHeight="1" x14ac:dyDescent="0.3">
      <c r="A28" s="124">
        <v>14</v>
      </c>
      <c r="B28" s="76" t="s">
        <v>16</v>
      </c>
      <c r="C28" s="82"/>
      <c r="D28" s="77">
        <v>1.1200000000000001</v>
      </c>
      <c r="E28" s="78">
        <v>1115946.1399999999</v>
      </c>
      <c r="F28" s="79"/>
      <c r="G28" s="80">
        <f t="shared" si="0"/>
        <v>1115946.1399999999</v>
      </c>
      <c r="H28" s="80">
        <f t="shared" si="3"/>
        <v>33478.384199999993</v>
      </c>
      <c r="I28" s="120">
        <f t="shared" si="4"/>
        <v>100800.00000000001</v>
      </c>
      <c r="J28" s="120">
        <f t="shared" si="1"/>
        <v>50400.000000000007</v>
      </c>
      <c r="K28" s="120">
        <f t="shared" si="5"/>
        <v>114990.380512</v>
      </c>
      <c r="L28" s="120"/>
      <c r="M28" s="141"/>
      <c r="N28" s="81">
        <f t="shared" si="6"/>
        <v>1415615.14</v>
      </c>
      <c r="O28" s="134">
        <f t="shared" si="2"/>
        <v>1458083.14</v>
      </c>
      <c r="P28" s="50">
        <f t="shared" si="7"/>
        <v>0.13999999999999999</v>
      </c>
    </row>
    <row r="29" spans="1:16" ht="17.100000000000001" customHeight="1" x14ac:dyDescent="0.3">
      <c r="A29" s="125">
        <v>15</v>
      </c>
      <c r="B29" s="103" t="s">
        <v>17</v>
      </c>
      <c r="C29" s="108"/>
      <c r="D29" s="105">
        <v>0.82</v>
      </c>
      <c r="E29" s="79">
        <v>180400.15</v>
      </c>
      <c r="F29" s="79">
        <f>E29</f>
        <v>180400.15</v>
      </c>
      <c r="G29" s="80">
        <f t="shared" si="0"/>
        <v>0</v>
      </c>
      <c r="H29" s="80">
        <f t="shared" si="3"/>
        <v>0</v>
      </c>
      <c r="I29" s="120">
        <f t="shared" si="4"/>
        <v>73800</v>
      </c>
      <c r="J29" s="120">
        <f t="shared" si="1"/>
        <v>36900</v>
      </c>
      <c r="K29" s="120">
        <f t="shared" si="5"/>
        <v>84189.385731999981</v>
      </c>
      <c r="L29" s="120"/>
      <c r="M29" s="141"/>
      <c r="N29" s="81">
        <f t="shared" si="6"/>
        <v>194889.15</v>
      </c>
      <c r="O29" s="134">
        <f t="shared" si="2"/>
        <v>200736.15</v>
      </c>
      <c r="P29" s="50">
        <f t="shared" si="7"/>
        <v>0.15</v>
      </c>
    </row>
    <row r="30" spans="1:16" ht="17.100000000000001" customHeight="1" x14ac:dyDescent="0.3">
      <c r="A30" s="124">
        <v>16</v>
      </c>
      <c r="B30" s="76" t="s">
        <v>18</v>
      </c>
      <c r="C30" s="76"/>
      <c r="D30" s="77">
        <v>0.82</v>
      </c>
      <c r="E30" s="78">
        <v>180400.16</v>
      </c>
      <c r="F30" s="79">
        <f>E30</f>
        <v>180400.16</v>
      </c>
      <c r="G30" s="80">
        <f t="shared" si="0"/>
        <v>0</v>
      </c>
      <c r="H30" s="80">
        <f t="shared" si="3"/>
        <v>0</v>
      </c>
      <c r="I30" s="120">
        <f t="shared" si="4"/>
        <v>73800</v>
      </c>
      <c r="J30" s="120">
        <f t="shared" si="1"/>
        <v>36900</v>
      </c>
      <c r="K30" s="120">
        <f t="shared" si="5"/>
        <v>84189.385731999981</v>
      </c>
      <c r="L30" s="120"/>
      <c r="M30" s="141"/>
      <c r="N30" s="81">
        <f t="shared" si="6"/>
        <v>194889.16</v>
      </c>
      <c r="O30" s="134">
        <f t="shared" si="2"/>
        <v>200736.16</v>
      </c>
      <c r="P30" s="50">
        <f t="shared" si="7"/>
        <v>0.16</v>
      </c>
    </row>
    <row r="31" spans="1:16" ht="17.100000000000001" customHeight="1" x14ac:dyDescent="0.3">
      <c r="A31" s="124">
        <v>17</v>
      </c>
      <c r="B31" s="76" t="s">
        <v>19</v>
      </c>
      <c r="C31" s="82"/>
      <c r="D31" s="77">
        <v>1.34</v>
      </c>
      <c r="E31" s="78">
        <v>385467.17</v>
      </c>
      <c r="F31" s="79"/>
      <c r="G31" s="80">
        <f t="shared" si="0"/>
        <v>385467.17</v>
      </c>
      <c r="H31" s="80">
        <f t="shared" si="3"/>
        <v>11564.015099999999</v>
      </c>
      <c r="I31" s="120">
        <f t="shared" si="4"/>
        <v>120600</v>
      </c>
      <c r="J31" s="120">
        <f t="shared" si="1"/>
        <v>60300</v>
      </c>
      <c r="K31" s="120">
        <f t="shared" si="5"/>
        <v>137577.77668400001</v>
      </c>
      <c r="L31" s="120"/>
      <c r="M31" s="141"/>
      <c r="N31" s="81">
        <f t="shared" si="6"/>
        <v>715509.17</v>
      </c>
      <c r="O31" s="134">
        <f t="shared" si="2"/>
        <v>736974.17</v>
      </c>
      <c r="P31" s="50">
        <f t="shared" si="7"/>
        <v>0.17</v>
      </c>
    </row>
    <row r="32" spans="1:16" ht="17.100000000000001" customHeight="1" x14ac:dyDescent="0.3">
      <c r="A32" s="125">
        <v>18</v>
      </c>
      <c r="B32" s="103" t="s">
        <v>20</v>
      </c>
      <c r="C32" s="104"/>
      <c r="D32" s="105">
        <v>1.1200000000000001</v>
      </c>
      <c r="E32" s="79">
        <v>246400.18</v>
      </c>
      <c r="F32" s="79">
        <f>E32</f>
        <v>246400.18</v>
      </c>
      <c r="G32" s="106">
        <f t="shared" si="0"/>
        <v>0</v>
      </c>
      <c r="H32" s="106">
        <f t="shared" si="3"/>
        <v>0</v>
      </c>
      <c r="I32" s="121">
        <f t="shared" si="4"/>
        <v>100800.00000000001</v>
      </c>
      <c r="J32" s="121">
        <f t="shared" si="1"/>
        <v>50400.000000000007</v>
      </c>
      <c r="K32" s="120">
        <f t="shared" si="5"/>
        <v>114990.380512</v>
      </c>
      <c r="L32" s="121"/>
      <c r="M32" s="142"/>
      <c r="N32" s="81">
        <f t="shared" si="6"/>
        <v>266190.18</v>
      </c>
      <c r="O32" s="135">
        <f t="shared" si="2"/>
        <v>274176.18</v>
      </c>
      <c r="P32" s="50">
        <f t="shared" si="7"/>
        <v>0.18000000000000002</v>
      </c>
    </row>
    <row r="33" spans="1:17" x14ac:dyDescent="0.3">
      <c r="A33" s="125">
        <v>19</v>
      </c>
      <c r="B33" s="103" t="s">
        <v>21</v>
      </c>
      <c r="C33" s="82"/>
      <c r="D33" s="77">
        <v>1.17</v>
      </c>
      <c r="E33" s="78">
        <v>223620.19</v>
      </c>
      <c r="F33" s="79">
        <f>E33</f>
        <v>223620.19</v>
      </c>
      <c r="G33" s="80">
        <f t="shared" si="0"/>
        <v>0</v>
      </c>
      <c r="H33" s="80">
        <f t="shared" si="3"/>
        <v>0</v>
      </c>
      <c r="I33" s="120">
        <f t="shared" si="4"/>
        <v>105300</v>
      </c>
      <c r="J33" s="120">
        <f t="shared" si="1"/>
        <v>52650</v>
      </c>
      <c r="K33" s="120">
        <f t="shared" si="5"/>
        <v>120123.879642</v>
      </c>
      <c r="L33" s="120"/>
      <c r="M33" s="141"/>
      <c r="N33" s="81">
        <f t="shared" si="6"/>
        <v>278074.19</v>
      </c>
      <c r="O33" s="134">
        <f t="shared" si="2"/>
        <v>286416.19</v>
      </c>
      <c r="P33" s="50">
        <f>P32+0.01</f>
        <v>0.19000000000000003</v>
      </c>
      <c r="Q33" t="s">
        <v>154</v>
      </c>
    </row>
    <row r="34" spans="1:17" x14ac:dyDescent="0.3">
      <c r="A34" s="126">
        <v>20</v>
      </c>
      <c r="B34" s="122" t="s">
        <v>22</v>
      </c>
      <c r="C34" s="115"/>
      <c r="D34" s="116">
        <v>1.35</v>
      </c>
      <c r="E34" s="117">
        <v>1250638.2</v>
      </c>
      <c r="F34" s="117">
        <v>366300</v>
      </c>
      <c r="G34" s="118">
        <f t="shared" si="0"/>
        <v>884338.2</v>
      </c>
      <c r="H34" s="118"/>
      <c r="I34" s="123">
        <f t="shared" si="4"/>
        <v>121500</v>
      </c>
      <c r="J34" s="123">
        <f t="shared" si="1"/>
        <v>60750</v>
      </c>
      <c r="K34" s="123">
        <f t="shared" si="5"/>
        <v>138604.47651000001</v>
      </c>
      <c r="L34" s="123"/>
      <c r="M34" s="143">
        <v>123300</v>
      </c>
      <c r="N34" s="119">
        <f t="shared" si="6"/>
        <v>1328493.2</v>
      </c>
      <c r="O34" s="136">
        <f t="shared" si="2"/>
        <v>1368348.2</v>
      </c>
      <c r="P34" s="50">
        <f t="shared" ref="P34:P97" si="8">P33+0.01</f>
        <v>0.20000000000000004</v>
      </c>
      <c r="Q34" t="s">
        <v>266</v>
      </c>
    </row>
    <row r="35" spans="1:17" x14ac:dyDescent="0.3">
      <c r="A35" s="125">
        <v>21</v>
      </c>
      <c r="B35" s="109" t="s">
        <v>23</v>
      </c>
      <c r="C35" s="108"/>
      <c r="D35" s="105">
        <v>1.1200000000000001</v>
      </c>
      <c r="E35" s="79">
        <v>246400.21</v>
      </c>
      <c r="F35" s="79">
        <f>E35</f>
        <v>246400.21</v>
      </c>
      <c r="G35" s="106">
        <f t="shared" si="0"/>
        <v>0</v>
      </c>
      <c r="H35" s="106">
        <f t="shared" si="3"/>
        <v>0</v>
      </c>
      <c r="I35" s="121">
        <f t="shared" si="4"/>
        <v>100800.00000000001</v>
      </c>
      <c r="J35" s="121">
        <f t="shared" si="1"/>
        <v>50400.000000000007</v>
      </c>
      <c r="K35" s="120">
        <f t="shared" si="5"/>
        <v>114990.380512</v>
      </c>
      <c r="L35" s="121"/>
      <c r="M35" s="142"/>
      <c r="N35" s="81">
        <f t="shared" si="6"/>
        <v>266190.21000000002</v>
      </c>
      <c r="O35" s="135">
        <f t="shared" si="2"/>
        <v>274176.21000000002</v>
      </c>
      <c r="P35" s="50">
        <f t="shared" si="8"/>
        <v>0.21000000000000005</v>
      </c>
    </row>
    <row r="36" spans="1:17" x14ac:dyDescent="0.3">
      <c r="A36" s="125">
        <f>A35+1</f>
        <v>22</v>
      </c>
      <c r="B36" s="109" t="s">
        <v>174</v>
      </c>
      <c r="C36" s="82"/>
      <c r="D36" s="77">
        <v>0.82</v>
      </c>
      <c r="E36" s="78">
        <v>180400.22</v>
      </c>
      <c r="F36" s="79">
        <f>E36</f>
        <v>180400.22</v>
      </c>
      <c r="G36" s="80">
        <f t="shared" si="0"/>
        <v>0</v>
      </c>
      <c r="H36" s="80">
        <f t="shared" si="3"/>
        <v>0</v>
      </c>
      <c r="I36" s="120">
        <f t="shared" si="4"/>
        <v>73800</v>
      </c>
      <c r="J36" s="120">
        <f t="shared" si="1"/>
        <v>36900</v>
      </c>
      <c r="K36" s="120">
        <f t="shared" si="5"/>
        <v>84189.385731999981</v>
      </c>
      <c r="L36" s="120"/>
      <c r="M36" s="141"/>
      <c r="N36" s="81">
        <f t="shared" si="6"/>
        <v>194889.22</v>
      </c>
      <c r="O36" s="134">
        <f t="shared" ref="O36:O99" si="9">ROUND(N36*3%,0) + N36</f>
        <v>200736.22</v>
      </c>
      <c r="P36" s="50">
        <f t="shared" si="8"/>
        <v>0.22000000000000006</v>
      </c>
    </row>
    <row r="37" spans="1:17" x14ac:dyDescent="0.3">
      <c r="A37" s="124">
        <f t="shared" ref="A37:A100" si="10">A36+1</f>
        <v>23</v>
      </c>
      <c r="B37" s="83" t="s">
        <v>24</v>
      </c>
      <c r="C37" s="82"/>
      <c r="D37" s="77">
        <v>0.82</v>
      </c>
      <c r="E37" s="78">
        <v>180400.23</v>
      </c>
      <c r="F37" s="79">
        <f>E37</f>
        <v>180400.23</v>
      </c>
      <c r="G37" s="80">
        <f t="shared" si="0"/>
        <v>0</v>
      </c>
      <c r="H37" s="80">
        <f t="shared" si="3"/>
        <v>0</v>
      </c>
      <c r="I37" s="120">
        <f t="shared" si="4"/>
        <v>73800</v>
      </c>
      <c r="J37" s="120">
        <f t="shared" si="1"/>
        <v>36900</v>
      </c>
      <c r="K37" s="120">
        <f t="shared" si="5"/>
        <v>84189.385731999981</v>
      </c>
      <c r="L37" s="120"/>
      <c r="M37" s="141"/>
      <c r="N37" s="81">
        <f t="shared" si="6"/>
        <v>194889.23</v>
      </c>
      <c r="O37" s="134">
        <f t="shared" si="9"/>
        <v>200736.23</v>
      </c>
      <c r="P37" s="50">
        <f t="shared" si="8"/>
        <v>0.23000000000000007</v>
      </c>
    </row>
    <row r="38" spans="1:17" x14ac:dyDescent="0.3">
      <c r="A38" s="124">
        <f t="shared" si="10"/>
        <v>24</v>
      </c>
      <c r="B38" s="83" t="s">
        <v>25</v>
      </c>
      <c r="C38" s="82"/>
      <c r="D38" s="77">
        <v>1.34</v>
      </c>
      <c r="E38" s="78">
        <v>294800.24</v>
      </c>
      <c r="F38" s="79">
        <f>E38</f>
        <v>294800.24</v>
      </c>
      <c r="G38" s="80">
        <f t="shared" si="0"/>
        <v>0</v>
      </c>
      <c r="H38" s="80">
        <f t="shared" si="3"/>
        <v>0</v>
      </c>
      <c r="I38" s="120">
        <f t="shared" si="4"/>
        <v>120600</v>
      </c>
      <c r="J38" s="120">
        <f t="shared" si="1"/>
        <v>60300</v>
      </c>
      <c r="K38" s="120">
        <f t="shared" si="5"/>
        <v>137577.77668400001</v>
      </c>
      <c r="L38" s="120"/>
      <c r="M38" s="141"/>
      <c r="N38" s="81">
        <f t="shared" si="6"/>
        <v>318478.24</v>
      </c>
      <c r="O38" s="134">
        <f t="shared" si="9"/>
        <v>328032.24</v>
      </c>
      <c r="P38" s="50">
        <f t="shared" si="8"/>
        <v>0.24000000000000007</v>
      </c>
    </row>
    <row r="39" spans="1:17" x14ac:dyDescent="0.3">
      <c r="A39" s="124">
        <f t="shared" si="10"/>
        <v>25</v>
      </c>
      <c r="B39" s="83" t="s">
        <v>26</v>
      </c>
      <c r="C39" s="82"/>
      <c r="D39" s="77">
        <v>1.1200000000000001</v>
      </c>
      <c r="E39" s="78">
        <v>488450.25</v>
      </c>
      <c r="F39" s="79"/>
      <c r="G39" s="80">
        <f t="shared" si="0"/>
        <v>488450.25</v>
      </c>
      <c r="H39" s="80">
        <f t="shared" si="3"/>
        <v>14653.5075</v>
      </c>
      <c r="I39" s="120">
        <f t="shared" si="4"/>
        <v>100800.00000000001</v>
      </c>
      <c r="J39" s="120">
        <f t="shared" si="1"/>
        <v>50400.000000000007</v>
      </c>
      <c r="K39" s="120">
        <f t="shared" si="5"/>
        <v>114990.380512</v>
      </c>
      <c r="L39" s="120"/>
      <c r="M39" s="141"/>
      <c r="N39" s="81">
        <f t="shared" si="6"/>
        <v>769294.25</v>
      </c>
      <c r="O39" s="134">
        <f t="shared" si="9"/>
        <v>792373.25</v>
      </c>
      <c r="P39" s="50">
        <f t="shared" si="8"/>
        <v>0.25000000000000006</v>
      </c>
    </row>
    <row r="40" spans="1:17" x14ac:dyDescent="0.3">
      <c r="A40" s="125">
        <f t="shared" si="10"/>
        <v>26</v>
      </c>
      <c r="B40" s="109" t="s">
        <v>27</v>
      </c>
      <c r="C40" s="108"/>
      <c r="D40" s="105">
        <v>1.17</v>
      </c>
      <c r="E40" s="78">
        <v>265122.65999999997</v>
      </c>
      <c r="F40" s="79">
        <f>E40</f>
        <v>265122.65999999997</v>
      </c>
      <c r="G40" s="80">
        <f t="shared" si="0"/>
        <v>0</v>
      </c>
      <c r="H40" s="80">
        <f t="shared" si="3"/>
        <v>0</v>
      </c>
      <c r="I40" s="120">
        <f t="shared" si="4"/>
        <v>105300</v>
      </c>
      <c r="J40" s="120">
        <f t="shared" si="1"/>
        <v>52650</v>
      </c>
      <c r="K40" s="120">
        <f t="shared" si="5"/>
        <v>120123.879642</v>
      </c>
      <c r="L40" s="120"/>
      <c r="M40" s="141"/>
      <c r="N40" s="81">
        <f t="shared" si="6"/>
        <v>278074.26</v>
      </c>
      <c r="O40" s="134">
        <f t="shared" si="9"/>
        <v>286416.26</v>
      </c>
      <c r="P40" s="50">
        <f t="shared" si="8"/>
        <v>0.26000000000000006</v>
      </c>
    </row>
    <row r="41" spans="1:17" x14ac:dyDescent="0.3">
      <c r="A41" s="125">
        <f t="shared" si="10"/>
        <v>27</v>
      </c>
      <c r="B41" s="109" t="s">
        <v>28</v>
      </c>
      <c r="C41" s="108"/>
      <c r="D41" s="105">
        <v>1.35</v>
      </c>
      <c r="E41" s="78">
        <v>297000.27</v>
      </c>
      <c r="F41" s="79">
        <f t="shared" ref="F41" si="11">E41</f>
        <v>297000.27</v>
      </c>
      <c r="G41" s="80">
        <f t="shared" si="0"/>
        <v>0</v>
      </c>
      <c r="H41" s="80">
        <f t="shared" si="3"/>
        <v>0</v>
      </c>
      <c r="I41" s="120">
        <f t="shared" si="4"/>
        <v>121500</v>
      </c>
      <c r="J41" s="120">
        <f t="shared" si="1"/>
        <v>60750</v>
      </c>
      <c r="K41" s="120">
        <f t="shared" si="5"/>
        <v>138604.47651000001</v>
      </c>
      <c r="L41" s="120"/>
      <c r="M41" s="141"/>
      <c r="N41" s="81">
        <f t="shared" si="6"/>
        <v>320854.27</v>
      </c>
      <c r="O41" s="134">
        <f t="shared" si="9"/>
        <v>330480.27</v>
      </c>
      <c r="P41" s="50">
        <f t="shared" si="8"/>
        <v>0.27000000000000007</v>
      </c>
    </row>
    <row r="42" spans="1:17" x14ac:dyDescent="0.3">
      <c r="A42" s="125">
        <f t="shared" si="10"/>
        <v>28</v>
      </c>
      <c r="B42" s="109" t="s">
        <v>29</v>
      </c>
      <c r="C42" s="108"/>
      <c r="D42" s="105">
        <v>1.1200000000000001</v>
      </c>
      <c r="E42" s="78">
        <v>791602.28</v>
      </c>
      <c r="F42" s="79">
        <f>791603</f>
        <v>791603</v>
      </c>
      <c r="G42" s="80">
        <f t="shared" si="0"/>
        <v>-0.71999999997206032</v>
      </c>
      <c r="H42" s="80">
        <f t="shared" si="3"/>
        <v>0</v>
      </c>
      <c r="I42" s="120">
        <f t="shared" si="4"/>
        <v>100800.00000000001</v>
      </c>
      <c r="J42" s="120">
        <f t="shared" si="1"/>
        <v>50400.000000000007</v>
      </c>
      <c r="K42" s="120">
        <f t="shared" si="5"/>
        <v>114990.380512</v>
      </c>
      <c r="L42" s="120"/>
      <c r="M42" s="141"/>
      <c r="N42" s="81">
        <f t="shared" si="6"/>
        <v>266190.28000000003</v>
      </c>
      <c r="O42" s="134">
        <f t="shared" si="9"/>
        <v>274176.28000000003</v>
      </c>
      <c r="P42" s="50">
        <f t="shared" si="8"/>
        <v>0.28000000000000008</v>
      </c>
      <c r="Q42" t="s">
        <v>221</v>
      </c>
    </row>
    <row r="43" spans="1:17" x14ac:dyDescent="0.3">
      <c r="A43" s="125">
        <f t="shared" si="10"/>
        <v>29</v>
      </c>
      <c r="B43" s="109" t="s">
        <v>30</v>
      </c>
      <c r="C43" s="108"/>
      <c r="D43" s="105">
        <v>0.82</v>
      </c>
      <c r="E43" s="79">
        <v>180400.29</v>
      </c>
      <c r="F43" s="79">
        <f t="shared" ref="F43" si="12">E43</f>
        <v>180400.29</v>
      </c>
      <c r="G43" s="106">
        <f t="shared" si="0"/>
        <v>0</v>
      </c>
      <c r="H43" s="106">
        <f t="shared" si="3"/>
        <v>0</v>
      </c>
      <c r="I43" s="121">
        <f t="shared" si="4"/>
        <v>73800</v>
      </c>
      <c r="J43" s="121">
        <f t="shared" si="1"/>
        <v>36900</v>
      </c>
      <c r="K43" s="120">
        <f t="shared" si="5"/>
        <v>84189.385731999981</v>
      </c>
      <c r="L43" s="121"/>
      <c r="M43" s="142"/>
      <c r="N43" s="81">
        <f t="shared" si="6"/>
        <v>194889.29</v>
      </c>
      <c r="O43" s="135">
        <f t="shared" si="9"/>
        <v>200736.29</v>
      </c>
      <c r="P43" s="50">
        <f t="shared" si="8"/>
        <v>0.29000000000000009</v>
      </c>
      <c r="Q43" t="s">
        <v>149</v>
      </c>
    </row>
    <row r="44" spans="1:17" x14ac:dyDescent="0.3">
      <c r="A44" s="309">
        <f t="shared" si="10"/>
        <v>30</v>
      </c>
      <c r="B44" s="310" t="s">
        <v>31</v>
      </c>
      <c r="C44" s="108"/>
      <c r="D44" s="105">
        <v>0.82</v>
      </c>
      <c r="E44" s="79">
        <v>180400.3</v>
      </c>
      <c r="F44" s="79">
        <f>E44</f>
        <v>180400.3</v>
      </c>
      <c r="G44" s="106">
        <f t="shared" si="0"/>
        <v>0</v>
      </c>
      <c r="H44" s="106">
        <f t="shared" si="3"/>
        <v>0</v>
      </c>
      <c r="I44" s="121">
        <f t="shared" si="4"/>
        <v>73800</v>
      </c>
      <c r="J44" s="121">
        <f t="shared" si="1"/>
        <v>36900</v>
      </c>
      <c r="K44" s="120">
        <f t="shared" si="5"/>
        <v>84189.385731999981</v>
      </c>
      <c r="L44" s="121"/>
      <c r="M44" s="142"/>
      <c r="N44" s="107">
        <f t="shared" si="6"/>
        <v>194889.3</v>
      </c>
      <c r="O44" s="135">
        <f t="shared" si="9"/>
        <v>200736.3</v>
      </c>
      <c r="P44" s="50">
        <f t="shared" si="8"/>
        <v>0.3000000000000001</v>
      </c>
    </row>
    <row r="45" spans="1:17" x14ac:dyDescent="0.3">
      <c r="A45" s="124">
        <f t="shared" si="10"/>
        <v>31</v>
      </c>
      <c r="B45" s="83" t="s">
        <v>32</v>
      </c>
      <c r="C45" s="82"/>
      <c r="D45" s="77">
        <v>1.34</v>
      </c>
      <c r="E45" s="78">
        <v>294800.31</v>
      </c>
      <c r="F45" s="79">
        <f>E45</f>
        <v>294800.31</v>
      </c>
      <c r="G45" s="80">
        <f t="shared" si="0"/>
        <v>0</v>
      </c>
      <c r="H45" s="80">
        <f t="shared" si="3"/>
        <v>0</v>
      </c>
      <c r="I45" s="120">
        <f t="shared" si="4"/>
        <v>120600</v>
      </c>
      <c r="J45" s="120">
        <f t="shared" si="1"/>
        <v>60300</v>
      </c>
      <c r="K45" s="120">
        <f t="shared" si="5"/>
        <v>137577.77668400001</v>
      </c>
      <c r="L45" s="120"/>
      <c r="M45" s="141"/>
      <c r="N45" s="81">
        <f t="shared" si="6"/>
        <v>318478.31</v>
      </c>
      <c r="O45" s="134">
        <f t="shared" si="9"/>
        <v>328032.31</v>
      </c>
      <c r="P45" s="50">
        <f t="shared" si="8"/>
        <v>0.31000000000000011</v>
      </c>
    </row>
    <row r="46" spans="1:17" x14ac:dyDescent="0.3">
      <c r="A46" s="124">
        <f t="shared" si="10"/>
        <v>32</v>
      </c>
      <c r="B46" s="83" t="s">
        <v>33</v>
      </c>
      <c r="C46" s="82"/>
      <c r="D46" s="77">
        <v>1.1200000000000001</v>
      </c>
      <c r="E46" s="78">
        <v>246400.32</v>
      </c>
      <c r="F46" s="79">
        <f>46400.32+200000.32</f>
        <v>246400.64000000001</v>
      </c>
      <c r="G46" s="80">
        <f t="shared" si="0"/>
        <v>-0.32000000000698492</v>
      </c>
      <c r="H46" s="80">
        <f t="shared" si="3"/>
        <v>0</v>
      </c>
      <c r="I46" s="120">
        <f t="shared" si="4"/>
        <v>100800.00000000001</v>
      </c>
      <c r="J46" s="120">
        <f t="shared" si="1"/>
        <v>50400.000000000007</v>
      </c>
      <c r="K46" s="120">
        <f t="shared" si="5"/>
        <v>114990.380512</v>
      </c>
      <c r="L46" s="120"/>
      <c r="M46" s="141"/>
      <c r="N46" s="81">
        <f t="shared" si="6"/>
        <v>266190.32</v>
      </c>
      <c r="O46" s="134">
        <f t="shared" si="9"/>
        <v>274176.32</v>
      </c>
      <c r="P46" s="50">
        <f t="shared" si="8"/>
        <v>0.32000000000000012</v>
      </c>
    </row>
    <row r="47" spans="1:17" x14ac:dyDescent="0.3">
      <c r="A47" s="126">
        <f t="shared" si="10"/>
        <v>33</v>
      </c>
      <c r="B47" s="114" t="s">
        <v>34</v>
      </c>
      <c r="C47" s="115"/>
      <c r="D47" s="116">
        <v>1.17</v>
      </c>
      <c r="E47" s="117">
        <v>427400.33</v>
      </c>
      <c r="F47" s="117">
        <f>E47</f>
        <v>427400.33</v>
      </c>
      <c r="G47" s="118">
        <f t="shared" si="0"/>
        <v>0</v>
      </c>
      <c r="H47" s="118"/>
      <c r="I47" s="123">
        <f t="shared" ref="I47:I78" si="13">J$2*D47/100</f>
        <v>105300</v>
      </c>
      <c r="J47" s="123">
        <f t="shared" ref="J47:J78" si="14">E$2*D47/100</f>
        <v>52650</v>
      </c>
      <c r="K47" s="123">
        <f t="shared" si="5"/>
        <v>120123.879642</v>
      </c>
      <c r="L47" s="123">
        <v>140000</v>
      </c>
      <c r="M47" s="143">
        <v>170000</v>
      </c>
      <c r="N47" s="119">
        <f t="shared" si="6"/>
        <v>588074.32999999996</v>
      </c>
      <c r="O47" s="136">
        <f t="shared" si="9"/>
        <v>605716.32999999996</v>
      </c>
      <c r="P47" s="50">
        <f t="shared" si="8"/>
        <v>0.33000000000000013</v>
      </c>
      <c r="Q47" t="s">
        <v>261</v>
      </c>
    </row>
    <row r="48" spans="1:17" x14ac:dyDescent="0.3">
      <c r="A48" s="124">
        <f t="shared" si="10"/>
        <v>34</v>
      </c>
      <c r="B48" s="83" t="s">
        <v>35</v>
      </c>
      <c r="C48" s="82"/>
      <c r="D48" s="77">
        <v>1.35</v>
      </c>
      <c r="E48" s="78">
        <v>297000.34000000003</v>
      </c>
      <c r="F48" s="79">
        <f>E48</f>
        <v>297000.34000000003</v>
      </c>
      <c r="G48" s="80">
        <f t="shared" si="0"/>
        <v>0</v>
      </c>
      <c r="H48" s="80">
        <f t="shared" si="3"/>
        <v>0</v>
      </c>
      <c r="I48" s="120">
        <f t="shared" si="13"/>
        <v>121500</v>
      </c>
      <c r="J48" s="120">
        <f t="shared" si="14"/>
        <v>60750</v>
      </c>
      <c r="K48" s="120">
        <f t="shared" si="5"/>
        <v>138604.47651000001</v>
      </c>
      <c r="L48" s="120"/>
      <c r="M48" s="141"/>
      <c r="N48" s="81">
        <f t="shared" si="6"/>
        <v>320854.34000000003</v>
      </c>
      <c r="O48" s="134">
        <f t="shared" si="9"/>
        <v>330480.34000000003</v>
      </c>
      <c r="P48" s="50">
        <f t="shared" si="8"/>
        <v>0.34000000000000014</v>
      </c>
    </row>
    <row r="49" spans="1:17" x14ac:dyDescent="0.3">
      <c r="A49" s="176">
        <f t="shared" si="10"/>
        <v>35</v>
      </c>
      <c r="B49" s="177" t="s">
        <v>36</v>
      </c>
      <c r="C49" s="178"/>
      <c r="D49" s="179">
        <v>1.1200000000000001</v>
      </c>
      <c r="E49" s="79">
        <v>246400.35</v>
      </c>
      <c r="F49" s="79">
        <f>E49</f>
        <v>246400.35</v>
      </c>
      <c r="G49" s="180">
        <f t="shared" si="0"/>
        <v>0</v>
      </c>
      <c r="H49" s="180">
        <f t="shared" si="3"/>
        <v>0</v>
      </c>
      <c r="I49" s="181">
        <f t="shared" si="13"/>
        <v>100800.00000000001</v>
      </c>
      <c r="J49" s="181">
        <f t="shared" si="14"/>
        <v>50400.000000000007</v>
      </c>
      <c r="K49" s="120">
        <f t="shared" si="5"/>
        <v>114990.380512</v>
      </c>
      <c r="L49" s="181"/>
      <c r="M49" s="182"/>
      <c r="N49" s="107">
        <f t="shared" si="6"/>
        <v>266190.34999999998</v>
      </c>
      <c r="O49" s="135">
        <f t="shared" si="9"/>
        <v>274176.34999999998</v>
      </c>
      <c r="P49" s="50">
        <f t="shared" si="8"/>
        <v>0.35000000000000014</v>
      </c>
      <c r="Q49" t="s">
        <v>151</v>
      </c>
    </row>
    <row r="50" spans="1:17" x14ac:dyDescent="0.3">
      <c r="A50" s="124">
        <f t="shared" si="10"/>
        <v>36</v>
      </c>
      <c r="B50" s="83" t="s">
        <v>37</v>
      </c>
      <c r="C50" s="82"/>
      <c r="D50" s="77">
        <v>0.82</v>
      </c>
      <c r="E50" s="78">
        <v>180400.36</v>
      </c>
      <c r="F50" s="79">
        <f>E50</f>
        <v>180400.36</v>
      </c>
      <c r="G50" s="80">
        <f t="shared" si="0"/>
        <v>0</v>
      </c>
      <c r="H50" s="80">
        <f t="shared" si="3"/>
        <v>0</v>
      </c>
      <c r="I50" s="120">
        <f t="shared" si="13"/>
        <v>73800</v>
      </c>
      <c r="J50" s="120">
        <f t="shared" si="14"/>
        <v>36900</v>
      </c>
      <c r="K50" s="120">
        <f t="shared" si="5"/>
        <v>84189.385731999981</v>
      </c>
      <c r="L50" s="120"/>
      <c r="M50" s="141"/>
      <c r="N50" s="81">
        <f t="shared" si="6"/>
        <v>194889.36</v>
      </c>
      <c r="O50" s="134">
        <f t="shared" si="9"/>
        <v>200736.36</v>
      </c>
      <c r="P50" s="50">
        <f t="shared" si="8"/>
        <v>0.36000000000000015</v>
      </c>
      <c r="Q50" t="s">
        <v>155</v>
      </c>
    </row>
    <row r="51" spans="1:17" x14ac:dyDescent="0.3">
      <c r="A51" s="124">
        <f t="shared" si="10"/>
        <v>37</v>
      </c>
      <c r="B51" s="83" t="s">
        <v>38</v>
      </c>
      <c r="C51" s="82"/>
      <c r="D51" s="77">
        <v>0.82</v>
      </c>
      <c r="E51" s="79">
        <v>193106.37</v>
      </c>
      <c r="F51" s="79"/>
      <c r="G51" s="80">
        <f t="shared" si="0"/>
        <v>193106.37</v>
      </c>
      <c r="H51" s="80">
        <f t="shared" si="3"/>
        <v>5793.1911</v>
      </c>
      <c r="I51" s="120">
        <f t="shared" si="13"/>
        <v>73800</v>
      </c>
      <c r="J51" s="120">
        <f t="shared" si="14"/>
        <v>36900</v>
      </c>
      <c r="K51" s="120">
        <f t="shared" si="5"/>
        <v>84189.385731999981</v>
      </c>
      <c r="L51" s="120"/>
      <c r="M51" s="141"/>
      <c r="N51" s="81">
        <f t="shared" si="6"/>
        <v>393789.37</v>
      </c>
      <c r="O51" s="134">
        <f t="shared" si="9"/>
        <v>405603.37</v>
      </c>
      <c r="P51" s="50">
        <f t="shared" si="8"/>
        <v>0.37000000000000016</v>
      </c>
      <c r="Q51" t="s">
        <v>200</v>
      </c>
    </row>
    <row r="52" spans="1:17" x14ac:dyDescent="0.3">
      <c r="A52" s="126">
        <f t="shared" si="10"/>
        <v>38</v>
      </c>
      <c r="B52" s="114" t="s">
        <v>39</v>
      </c>
      <c r="C52" s="115"/>
      <c r="D52" s="116">
        <v>1.34</v>
      </c>
      <c r="E52" s="117">
        <v>766200.38</v>
      </c>
      <c r="F52" s="117">
        <v>484800</v>
      </c>
      <c r="G52" s="118">
        <f t="shared" si="0"/>
        <v>281400.38</v>
      </c>
      <c r="H52" s="118">
        <v>0</v>
      </c>
      <c r="I52" s="123">
        <f t="shared" si="13"/>
        <v>120600</v>
      </c>
      <c r="J52" s="123">
        <f t="shared" si="14"/>
        <v>60300</v>
      </c>
      <c r="K52" s="123">
        <f t="shared" si="5"/>
        <v>137577.77668400001</v>
      </c>
      <c r="L52" s="123"/>
      <c r="M52" s="143">
        <v>190000</v>
      </c>
      <c r="N52" s="119">
        <f t="shared" si="6"/>
        <v>789878.38</v>
      </c>
      <c r="O52" s="136">
        <f t="shared" si="9"/>
        <v>813574.38</v>
      </c>
      <c r="P52" s="50">
        <f t="shared" si="8"/>
        <v>0.38000000000000017</v>
      </c>
      <c r="Q52" t="s">
        <v>277</v>
      </c>
    </row>
    <row r="53" spans="1:17" x14ac:dyDescent="0.3">
      <c r="A53" s="124">
        <f t="shared" si="10"/>
        <v>39</v>
      </c>
      <c r="B53" s="83" t="s">
        <v>40</v>
      </c>
      <c r="C53" s="82"/>
      <c r="D53" s="77">
        <v>1.1200000000000001</v>
      </c>
      <c r="E53" s="78">
        <v>263704.39</v>
      </c>
      <c r="F53" s="79">
        <f>E53</f>
        <v>263704.39</v>
      </c>
      <c r="G53" s="80">
        <f t="shared" si="0"/>
        <v>0</v>
      </c>
      <c r="H53" s="80">
        <f t="shared" si="3"/>
        <v>0</v>
      </c>
      <c r="I53" s="120">
        <f t="shared" si="13"/>
        <v>100800.00000000001</v>
      </c>
      <c r="J53" s="120">
        <f t="shared" si="14"/>
        <v>50400.000000000007</v>
      </c>
      <c r="K53" s="120">
        <f t="shared" si="5"/>
        <v>114990.380512</v>
      </c>
      <c r="L53" s="120"/>
      <c r="M53" s="141"/>
      <c r="N53" s="81">
        <f t="shared" si="6"/>
        <v>266190.39</v>
      </c>
      <c r="O53" s="134">
        <f t="shared" si="9"/>
        <v>274176.39</v>
      </c>
      <c r="P53" s="50">
        <f t="shared" si="8"/>
        <v>0.39000000000000018</v>
      </c>
    </row>
    <row r="54" spans="1:17" x14ac:dyDescent="0.3">
      <c r="A54" s="124">
        <f t="shared" si="10"/>
        <v>40</v>
      </c>
      <c r="B54" s="83" t="s">
        <v>41</v>
      </c>
      <c r="C54" s="82"/>
      <c r="D54" s="77">
        <v>1.17</v>
      </c>
      <c r="E54" s="78">
        <v>257400.4</v>
      </c>
      <c r="F54" s="79"/>
      <c r="G54" s="80">
        <f t="shared" si="0"/>
        <v>257400.4</v>
      </c>
      <c r="H54" s="80">
        <f t="shared" si="3"/>
        <v>7722.0119999999997</v>
      </c>
      <c r="I54" s="120">
        <f t="shared" si="13"/>
        <v>105300</v>
      </c>
      <c r="J54" s="120">
        <f t="shared" si="14"/>
        <v>52650</v>
      </c>
      <c r="K54" s="120">
        <f t="shared" si="5"/>
        <v>120123.879642</v>
      </c>
      <c r="L54" s="120"/>
      <c r="M54" s="141"/>
      <c r="N54" s="81">
        <f t="shared" si="6"/>
        <v>543196.4</v>
      </c>
      <c r="O54" s="134">
        <f t="shared" si="9"/>
        <v>559492.4</v>
      </c>
      <c r="P54" s="50">
        <f t="shared" si="8"/>
        <v>0.40000000000000019</v>
      </c>
    </row>
    <row r="55" spans="1:17" x14ac:dyDescent="0.3">
      <c r="A55" s="124">
        <f t="shared" si="10"/>
        <v>41</v>
      </c>
      <c r="B55" s="83" t="s">
        <v>42</v>
      </c>
      <c r="C55" s="82"/>
      <c r="D55" s="77">
        <v>1.35</v>
      </c>
      <c r="E55" s="78">
        <v>297000.40999999997</v>
      </c>
      <c r="F55" s="79">
        <f>E55</f>
        <v>297000.40999999997</v>
      </c>
      <c r="G55" s="80">
        <f t="shared" si="0"/>
        <v>0</v>
      </c>
      <c r="H55" s="80">
        <f t="shared" si="3"/>
        <v>0</v>
      </c>
      <c r="I55" s="120">
        <f t="shared" si="13"/>
        <v>121500</v>
      </c>
      <c r="J55" s="120">
        <f t="shared" si="14"/>
        <v>60750</v>
      </c>
      <c r="K55" s="120">
        <f t="shared" si="5"/>
        <v>138604.47651000001</v>
      </c>
      <c r="L55" s="120"/>
      <c r="M55" s="141"/>
      <c r="N55" s="81">
        <f t="shared" si="6"/>
        <v>320854.40999999997</v>
      </c>
      <c r="O55" s="134">
        <f t="shared" si="9"/>
        <v>330480.40999999997</v>
      </c>
      <c r="P55" s="50">
        <f t="shared" si="8"/>
        <v>0.4100000000000002</v>
      </c>
    </row>
    <row r="56" spans="1:17" x14ac:dyDescent="0.3">
      <c r="A56" s="126">
        <f t="shared" si="10"/>
        <v>42</v>
      </c>
      <c r="B56" s="114" t="s">
        <v>43</v>
      </c>
      <c r="C56" s="115"/>
      <c r="D56" s="116">
        <v>1.1200000000000001</v>
      </c>
      <c r="E56" s="117">
        <v>279400.42</v>
      </c>
      <c r="F56" s="117">
        <f>E56</f>
        <v>279400.42</v>
      </c>
      <c r="G56" s="118">
        <f t="shared" si="0"/>
        <v>0</v>
      </c>
      <c r="H56" s="118">
        <f t="shared" si="3"/>
        <v>0</v>
      </c>
      <c r="I56" s="123">
        <f t="shared" si="13"/>
        <v>100800.00000000001</v>
      </c>
      <c r="J56" s="123">
        <f t="shared" si="14"/>
        <v>50400.000000000007</v>
      </c>
      <c r="K56" s="123">
        <f t="shared" si="5"/>
        <v>114990.380512</v>
      </c>
      <c r="L56" s="123"/>
      <c r="M56" s="143">
        <v>33000</v>
      </c>
      <c r="N56" s="119">
        <f t="shared" si="6"/>
        <v>299190.42</v>
      </c>
      <c r="O56" s="136">
        <f t="shared" si="9"/>
        <v>308166.42</v>
      </c>
      <c r="P56" s="50">
        <f t="shared" si="8"/>
        <v>0.42000000000000021</v>
      </c>
      <c r="Q56" t="s">
        <v>265</v>
      </c>
    </row>
    <row r="57" spans="1:17" x14ac:dyDescent="0.3">
      <c r="A57" s="223">
        <f t="shared" si="10"/>
        <v>43</v>
      </c>
      <c r="B57" s="224" t="s">
        <v>99</v>
      </c>
      <c r="C57" s="108"/>
      <c r="D57" s="105">
        <v>0.82</v>
      </c>
      <c r="E57" s="199">
        <v>180400.43</v>
      </c>
      <c r="F57" s="79"/>
      <c r="G57" s="106">
        <f t="shared" si="0"/>
        <v>180400.43</v>
      </c>
      <c r="H57" s="106">
        <f t="shared" si="3"/>
        <v>5412.0128999999997</v>
      </c>
      <c r="I57" s="121">
        <f t="shared" si="13"/>
        <v>73800</v>
      </c>
      <c r="J57" s="121">
        <f t="shared" si="14"/>
        <v>36900</v>
      </c>
      <c r="K57" s="121">
        <f t="shared" si="5"/>
        <v>84189.385731999981</v>
      </c>
      <c r="L57" s="121"/>
      <c r="M57" s="142">
        <v>0</v>
      </c>
      <c r="N57" s="107">
        <f>ROUND(SUM(G57:M57),0) + P57</f>
        <v>380702.43</v>
      </c>
      <c r="O57" s="135">
        <f t="shared" si="9"/>
        <v>392123.43</v>
      </c>
      <c r="P57" s="50">
        <f t="shared" si="8"/>
        <v>0.43000000000000022</v>
      </c>
      <c r="Q57" t="s">
        <v>222</v>
      </c>
    </row>
    <row r="58" spans="1:17" x14ac:dyDescent="0.3">
      <c r="A58" s="125">
        <f t="shared" si="10"/>
        <v>44</v>
      </c>
      <c r="B58" s="109" t="s">
        <v>44</v>
      </c>
      <c r="C58" s="108"/>
      <c r="D58" s="105">
        <v>0.82</v>
      </c>
      <c r="E58" s="78">
        <v>139730.44</v>
      </c>
      <c r="F58" s="79">
        <f>E58</f>
        <v>139730.44</v>
      </c>
      <c r="G58" s="80">
        <f t="shared" si="0"/>
        <v>0</v>
      </c>
      <c r="H58" s="80">
        <f t="shared" si="3"/>
        <v>0</v>
      </c>
      <c r="I58" s="120">
        <f t="shared" si="13"/>
        <v>73800</v>
      </c>
      <c r="J58" s="120">
        <f t="shared" si="14"/>
        <v>36900</v>
      </c>
      <c r="K58" s="120">
        <f t="shared" si="5"/>
        <v>84189.385731999981</v>
      </c>
      <c r="L58" s="120"/>
      <c r="M58" s="141"/>
      <c r="N58" s="81">
        <f t="shared" si="6"/>
        <v>194889.44</v>
      </c>
      <c r="O58" s="134">
        <f t="shared" si="9"/>
        <v>200736.44</v>
      </c>
      <c r="P58" s="50">
        <f t="shared" si="8"/>
        <v>0.44000000000000022</v>
      </c>
      <c r="Q58" t="s">
        <v>207</v>
      </c>
    </row>
    <row r="59" spans="1:17" x14ac:dyDescent="0.3">
      <c r="A59" s="125">
        <f t="shared" si="10"/>
        <v>45</v>
      </c>
      <c r="B59" s="109" t="s">
        <v>204</v>
      </c>
      <c r="C59" s="108"/>
      <c r="D59" s="105">
        <v>1.34</v>
      </c>
      <c r="E59" s="78">
        <v>294800.45</v>
      </c>
      <c r="F59" s="79">
        <f>E59</f>
        <v>294800.45</v>
      </c>
      <c r="G59" s="80">
        <f t="shared" si="0"/>
        <v>0</v>
      </c>
      <c r="H59" s="80">
        <f t="shared" si="3"/>
        <v>0</v>
      </c>
      <c r="I59" s="120">
        <f t="shared" si="13"/>
        <v>120600</v>
      </c>
      <c r="J59" s="120">
        <f t="shared" si="14"/>
        <v>60300</v>
      </c>
      <c r="K59" s="120">
        <f t="shared" si="5"/>
        <v>137577.77668400001</v>
      </c>
      <c r="L59" s="120"/>
      <c r="M59" s="141"/>
      <c r="N59" s="81">
        <f t="shared" si="6"/>
        <v>318478.45</v>
      </c>
      <c r="O59" s="134">
        <f t="shared" si="9"/>
        <v>328032.45</v>
      </c>
      <c r="P59" s="50">
        <f t="shared" si="8"/>
        <v>0.45000000000000023</v>
      </c>
    </row>
    <row r="60" spans="1:17" x14ac:dyDescent="0.3">
      <c r="A60" s="125">
        <f t="shared" si="10"/>
        <v>46</v>
      </c>
      <c r="B60" s="109" t="s">
        <v>45</v>
      </c>
      <c r="C60" s="108"/>
      <c r="D60" s="105">
        <v>1.1200000000000001</v>
      </c>
      <c r="E60" s="78">
        <v>270492.46000000002</v>
      </c>
      <c r="F60" s="79">
        <v>250000</v>
      </c>
      <c r="G60" s="80">
        <f t="shared" si="0"/>
        <v>20492.460000000021</v>
      </c>
      <c r="H60" s="80">
        <f t="shared" si="3"/>
        <v>614.77380000000062</v>
      </c>
      <c r="I60" s="120">
        <f t="shared" si="13"/>
        <v>100800.00000000001</v>
      </c>
      <c r="J60" s="120">
        <f t="shared" si="14"/>
        <v>50400.000000000007</v>
      </c>
      <c r="K60" s="120">
        <f t="shared" si="5"/>
        <v>114990.380512</v>
      </c>
      <c r="L60" s="120"/>
      <c r="M60" s="141"/>
      <c r="N60" s="81">
        <f t="shared" si="6"/>
        <v>287298.46000000002</v>
      </c>
      <c r="O60" s="134">
        <f t="shared" si="9"/>
        <v>295917.46000000002</v>
      </c>
      <c r="P60" s="50">
        <f t="shared" si="8"/>
        <v>0.46000000000000024</v>
      </c>
      <c r="Q60" t="s">
        <v>150</v>
      </c>
    </row>
    <row r="61" spans="1:17" x14ac:dyDescent="0.3">
      <c r="A61" s="126">
        <f t="shared" si="10"/>
        <v>47</v>
      </c>
      <c r="B61" s="114" t="s">
        <v>46</v>
      </c>
      <c r="C61" s="115"/>
      <c r="D61" s="116">
        <v>1.17</v>
      </c>
      <c r="E61" s="117">
        <v>1508195.47</v>
      </c>
      <c r="F61" s="117">
        <v>0</v>
      </c>
      <c r="G61" s="118">
        <f t="shared" si="0"/>
        <v>1508195.47</v>
      </c>
      <c r="H61" s="118"/>
      <c r="I61" s="123">
        <f t="shared" si="13"/>
        <v>105300</v>
      </c>
      <c r="J61" s="123">
        <f t="shared" si="14"/>
        <v>52650</v>
      </c>
      <c r="K61" s="123">
        <f t="shared" si="5"/>
        <v>120123.879642</v>
      </c>
      <c r="L61" s="123"/>
      <c r="M61" s="143">
        <v>135000</v>
      </c>
      <c r="N61" s="119">
        <f t="shared" si="6"/>
        <v>1921269.47</v>
      </c>
      <c r="O61" s="136">
        <f t="shared" si="9"/>
        <v>1978907.47</v>
      </c>
      <c r="P61" s="50">
        <f t="shared" si="8"/>
        <v>0.47000000000000025</v>
      </c>
      <c r="Q61" t="s">
        <v>208</v>
      </c>
    </row>
    <row r="62" spans="1:17" x14ac:dyDescent="0.3">
      <c r="A62" s="125">
        <f t="shared" si="10"/>
        <v>48</v>
      </c>
      <c r="B62" s="109" t="s">
        <v>47</v>
      </c>
      <c r="C62" s="108"/>
      <c r="D62" s="105">
        <v>1.35</v>
      </c>
      <c r="E62" s="79">
        <v>305910.48</v>
      </c>
      <c r="F62" s="79">
        <f>E62</f>
        <v>305910.48</v>
      </c>
      <c r="G62" s="106">
        <f t="shared" si="0"/>
        <v>0</v>
      </c>
      <c r="H62" s="106">
        <f t="shared" si="3"/>
        <v>0</v>
      </c>
      <c r="I62" s="121">
        <f t="shared" si="13"/>
        <v>121500</v>
      </c>
      <c r="J62" s="121">
        <f t="shared" si="14"/>
        <v>60750</v>
      </c>
      <c r="K62" s="121">
        <f t="shared" si="5"/>
        <v>138604.47651000001</v>
      </c>
      <c r="L62" s="121"/>
      <c r="M62" s="142"/>
      <c r="N62" s="107">
        <f t="shared" si="6"/>
        <v>320854.48</v>
      </c>
      <c r="O62" s="135">
        <f t="shared" si="9"/>
        <v>330480.48</v>
      </c>
      <c r="P62" s="50">
        <f t="shared" si="8"/>
        <v>0.48000000000000026</v>
      </c>
      <c r="Q62" t="s">
        <v>152</v>
      </c>
    </row>
    <row r="63" spans="1:17" x14ac:dyDescent="0.3">
      <c r="A63" s="125">
        <f t="shared" si="10"/>
        <v>49</v>
      </c>
      <c r="B63" s="109" t="s">
        <v>48</v>
      </c>
      <c r="C63" s="108"/>
      <c r="D63" s="105">
        <v>1.1200000000000001</v>
      </c>
      <c r="E63" s="78">
        <v>246400.49</v>
      </c>
      <c r="F63" s="79">
        <f>E63</f>
        <v>246400.49</v>
      </c>
      <c r="G63" s="80">
        <f t="shared" si="0"/>
        <v>0</v>
      </c>
      <c r="H63" s="80">
        <f t="shared" si="3"/>
        <v>0</v>
      </c>
      <c r="I63" s="120">
        <f t="shared" si="13"/>
        <v>100800.00000000001</v>
      </c>
      <c r="J63" s="120">
        <f t="shared" si="14"/>
        <v>50400.000000000007</v>
      </c>
      <c r="K63" s="120">
        <f t="shared" si="5"/>
        <v>114990.380512</v>
      </c>
      <c r="L63" s="120"/>
      <c r="M63" s="141"/>
      <c r="N63" s="81">
        <f t="shared" si="6"/>
        <v>266190.49</v>
      </c>
      <c r="O63" s="134">
        <f t="shared" si="9"/>
        <v>274176.49</v>
      </c>
      <c r="P63" s="50">
        <f t="shared" si="8"/>
        <v>0.49000000000000027</v>
      </c>
    </row>
    <row r="64" spans="1:17" x14ac:dyDescent="0.3">
      <c r="A64" s="125">
        <f t="shared" si="10"/>
        <v>50</v>
      </c>
      <c r="B64" s="109" t="s">
        <v>49</v>
      </c>
      <c r="C64" s="108"/>
      <c r="D64" s="105">
        <v>0.82</v>
      </c>
      <c r="E64" s="78">
        <v>180400.5</v>
      </c>
      <c r="F64" s="79"/>
      <c r="G64" s="80">
        <f t="shared" si="0"/>
        <v>180400.5</v>
      </c>
      <c r="H64" s="80">
        <f t="shared" si="3"/>
        <v>5412.0149999999994</v>
      </c>
      <c r="I64" s="120">
        <f t="shared" si="13"/>
        <v>73800</v>
      </c>
      <c r="J64" s="120">
        <f t="shared" si="14"/>
        <v>36900</v>
      </c>
      <c r="K64" s="120">
        <f t="shared" si="5"/>
        <v>84189.385731999981</v>
      </c>
      <c r="L64" s="120"/>
      <c r="M64" s="141"/>
      <c r="N64" s="81">
        <f t="shared" si="6"/>
        <v>380702.5</v>
      </c>
      <c r="O64" s="134">
        <f t="shared" si="9"/>
        <v>392123.5</v>
      </c>
      <c r="P64" s="50">
        <f t="shared" si="8"/>
        <v>0.50000000000000022</v>
      </c>
    </row>
    <row r="65" spans="1:17" x14ac:dyDescent="0.3">
      <c r="A65" s="125">
        <f t="shared" si="10"/>
        <v>51</v>
      </c>
      <c r="B65" s="109" t="s">
        <v>50</v>
      </c>
      <c r="C65" s="108"/>
      <c r="D65" s="105">
        <v>0.82</v>
      </c>
      <c r="E65" s="78">
        <v>180400.51</v>
      </c>
      <c r="F65" s="79">
        <f>E65</f>
        <v>180400.51</v>
      </c>
      <c r="G65" s="80">
        <f t="shared" si="0"/>
        <v>0</v>
      </c>
      <c r="H65" s="80">
        <f t="shared" si="3"/>
        <v>0</v>
      </c>
      <c r="I65" s="120">
        <f t="shared" si="13"/>
        <v>73800</v>
      </c>
      <c r="J65" s="120">
        <f t="shared" si="14"/>
        <v>36900</v>
      </c>
      <c r="K65" s="120">
        <f t="shared" si="5"/>
        <v>84189.385731999981</v>
      </c>
      <c r="L65" s="120"/>
      <c r="M65" s="141"/>
      <c r="N65" s="81">
        <f t="shared" si="6"/>
        <v>194889.51</v>
      </c>
      <c r="O65" s="134">
        <f t="shared" si="9"/>
        <v>200736.51</v>
      </c>
      <c r="P65" s="50">
        <f t="shared" si="8"/>
        <v>0.51000000000000023</v>
      </c>
    </row>
    <row r="66" spans="1:17" x14ac:dyDescent="0.3">
      <c r="A66" s="125">
        <f t="shared" si="10"/>
        <v>52</v>
      </c>
      <c r="B66" s="109" t="s">
        <v>51</v>
      </c>
      <c r="C66" s="108"/>
      <c r="D66" s="105">
        <v>1.34</v>
      </c>
      <c r="E66" s="78">
        <v>294800.52</v>
      </c>
      <c r="F66" s="79">
        <f t="shared" ref="F66:F67" si="15">E66</f>
        <v>294800.52</v>
      </c>
      <c r="G66" s="80">
        <f t="shared" si="0"/>
        <v>0</v>
      </c>
      <c r="H66" s="80">
        <f t="shared" si="3"/>
        <v>0</v>
      </c>
      <c r="I66" s="120">
        <f t="shared" si="13"/>
        <v>120600</v>
      </c>
      <c r="J66" s="120">
        <f t="shared" si="14"/>
        <v>60300</v>
      </c>
      <c r="K66" s="120">
        <f t="shared" si="5"/>
        <v>137577.77668400001</v>
      </c>
      <c r="L66" s="120"/>
      <c r="M66" s="141"/>
      <c r="N66" s="81">
        <f t="shared" si="6"/>
        <v>318478.52</v>
      </c>
      <c r="O66" s="134">
        <f t="shared" si="9"/>
        <v>328032.52</v>
      </c>
      <c r="P66" s="50">
        <f t="shared" si="8"/>
        <v>0.52000000000000024</v>
      </c>
    </row>
    <row r="67" spans="1:17" x14ac:dyDescent="0.3">
      <c r="A67" s="125">
        <f t="shared" si="10"/>
        <v>53</v>
      </c>
      <c r="B67" s="109" t="s">
        <v>52</v>
      </c>
      <c r="C67" s="108"/>
      <c r="D67" s="105">
        <v>1.1200000000000001</v>
      </c>
      <c r="E67" s="79">
        <v>253792.53</v>
      </c>
      <c r="F67" s="79">
        <f t="shared" si="15"/>
        <v>253792.53</v>
      </c>
      <c r="G67" s="80">
        <f t="shared" si="0"/>
        <v>0</v>
      </c>
      <c r="H67" s="80">
        <f t="shared" si="3"/>
        <v>0</v>
      </c>
      <c r="I67" s="120">
        <f t="shared" si="13"/>
        <v>100800.00000000001</v>
      </c>
      <c r="J67" s="120">
        <f t="shared" si="14"/>
        <v>50400.000000000007</v>
      </c>
      <c r="K67" s="120">
        <f t="shared" si="5"/>
        <v>114990.380512</v>
      </c>
      <c r="L67" s="120"/>
      <c r="M67" s="141"/>
      <c r="N67" s="81">
        <f t="shared" si="6"/>
        <v>266190.53000000003</v>
      </c>
      <c r="O67" s="134">
        <f t="shared" si="9"/>
        <v>274176.53000000003</v>
      </c>
      <c r="P67" s="50">
        <f t="shared" si="8"/>
        <v>0.53000000000000025</v>
      </c>
    </row>
    <row r="68" spans="1:17" x14ac:dyDescent="0.3">
      <c r="A68" s="125">
        <f t="shared" si="10"/>
        <v>54</v>
      </c>
      <c r="B68" s="109" t="s">
        <v>53</v>
      </c>
      <c r="C68" s="108"/>
      <c r="D68" s="105">
        <v>1.17</v>
      </c>
      <c r="E68" s="78">
        <v>257400.54</v>
      </c>
      <c r="F68" s="79">
        <v>265122.53999999998</v>
      </c>
      <c r="G68" s="80">
        <f t="shared" si="0"/>
        <v>-7721.9999999999709</v>
      </c>
      <c r="H68" s="80">
        <f t="shared" si="3"/>
        <v>0</v>
      </c>
      <c r="I68" s="120">
        <f t="shared" si="13"/>
        <v>105300</v>
      </c>
      <c r="J68" s="120">
        <f t="shared" si="14"/>
        <v>52650</v>
      </c>
      <c r="K68" s="120">
        <f t="shared" si="5"/>
        <v>120123.879642</v>
      </c>
      <c r="L68" s="120"/>
      <c r="M68" s="141"/>
      <c r="N68" s="81">
        <f t="shared" si="6"/>
        <v>270352.53999999998</v>
      </c>
      <c r="O68" s="134">
        <f t="shared" si="9"/>
        <v>278463.53999999998</v>
      </c>
      <c r="P68" s="50">
        <f t="shared" si="8"/>
        <v>0.54000000000000026</v>
      </c>
    </row>
    <row r="69" spans="1:17" x14ac:dyDescent="0.3">
      <c r="A69" s="125">
        <f t="shared" si="10"/>
        <v>55</v>
      </c>
      <c r="B69" s="109" t="s">
        <v>54</v>
      </c>
      <c r="C69" s="108"/>
      <c r="D69" s="105">
        <v>1.35</v>
      </c>
      <c r="E69" s="78">
        <v>297000.55</v>
      </c>
      <c r="F69" s="79">
        <f>E69</f>
        <v>297000.55</v>
      </c>
      <c r="G69" s="80">
        <f t="shared" si="0"/>
        <v>0</v>
      </c>
      <c r="H69" s="80">
        <f t="shared" si="3"/>
        <v>0</v>
      </c>
      <c r="I69" s="120">
        <f t="shared" si="13"/>
        <v>121500</v>
      </c>
      <c r="J69" s="120">
        <f t="shared" si="14"/>
        <v>60750</v>
      </c>
      <c r="K69" s="120">
        <f t="shared" si="5"/>
        <v>138604.47651000001</v>
      </c>
      <c r="L69" s="120"/>
      <c r="M69" s="141"/>
      <c r="N69" s="81">
        <f t="shared" si="6"/>
        <v>320854.55</v>
      </c>
      <c r="O69" s="134">
        <f t="shared" si="9"/>
        <v>330480.55</v>
      </c>
      <c r="P69" s="50">
        <f t="shared" si="8"/>
        <v>0.55000000000000027</v>
      </c>
    </row>
    <row r="70" spans="1:17" x14ac:dyDescent="0.3">
      <c r="A70" s="235">
        <f t="shared" si="10"/>
        <v>56</v>
      </c>
      <c r="B70" s="236" t="s">
        <v>55</v>
      </c>
      <c r="C70" s="108"/>
      <c r="D70" s="105">
        <v>1.1200000000000001</v>
      </c>
      <c r="E70" s="78">
        <v>789549.56</v>
      </c>
      <c r="F70" s="79">
        <v>253792.56</v>
      </c>
      <c r="G70" s="80">
        <f t="shared" si="0"/>
        <v>535757</v>
      </c>
      <c r="H70" s="80">
        <f t="shared" si="3"/>
        <v>16072.71</v>
      </c>
      <c r="I70" s="120">
        <f t="shared" si="13"/>
        <v>100800.00000000001</v>
      </c>
      <c r="J70" s="120">
        <f t="shared" si="14"/>
        <v>50400.000000000007</v>
      </c>
      <c r="K70" s="120">
        <f t="shared" si="5"/>
        <v>114990.380512</v>
      </c>
      <c r="L70" s="120"/>
      <c r="M70" s="141"/>
      <c r="N70" s="81">
        <f t="shared" si="6"/>
        <v>818020.56</v>
      </c>
      <c r="O70" s="134">
        <f t="shared" si="9"/>
        <v>842561.56</v>
      </c>
      <c r="P70" s="50">
        <f t="shared" si="8"/>
        <v>0.56000000000000028</v>
      </c>
    </row>
    <row r="71" spans="1:17" x14ac:dyDescent="0.3">
      <c r="A71" s="125">
        <f t="shared" si="10"/>
        <v>57</v>
      </c>
      <c r="B71" s="109" t="s">
        <v>56</v>
      </c>
      <c r="C71" s="108"/>
      <c r="D71" s="105">
        <v>0.82</v>
      </c>
      <c r="E71" s="78">
        <v>180400.57</v>
      </c>
      <c r="F71" s="79">
        <f>E71</f>
        <v>180400.57</v>
      </c>
      <c r="G71" s="80">
        <f t="shared" si="0"/>
        <v>0</v>
      </c>
      <c r="H71" s="80">
        <f t="shared" si="3"/>
        <v>0</v>
      </c>
      <c r="I71" s="120">
        <f t="shared" si="13"/>
        <v>73800</v>
      </c>
      <c r="J71" s="120">
        <f t="shared" si="14"/>
        <v>36900</v>
      </c>
      <c r="K71" s="120">
        <f t="shared" si="5"/>
        <v>84189.385731999981</v>
      </c>
      <c r="L71" s="120"/>
      <c r="M71" s="141"/>
      <c r="N71" s="81">
        <f t="shared" si="6"/>
        <v>194889.57</v>
      </c>
      <c r="O71" s="134">
        <f t="shared" si="9"/>
        <v>200736.57</v>
      </c>
      <c r="P71" s="50">
        <f t="shared" si="8"/>
        <v>0.57000000000000028</v>
      </c>
      <c r="Q71" t="s">
        <v>214</v>
      </c>
    </row>
    <row r="72" spans="1:17" x14ac:dyDescent="0.3">
      <c r="A72" s="125">
        <f t="shared" si="10"/>
        <v>58</v>
      </c>
      <c r="B72" s="109" t="s">
        <v>57</v>
      </c>
      <c r="C72" s="108"/>
      <c r="D72" s="105">
        <v>0.82</v>
      </c>
      <c r="E72" s="78">
        <v>180400.58</v>
      </c>
      <c r="F72" s="79">
        <f t="shared" ref="F72" si="16">E72</f>
        <v>180400.58</v>
      </c>
      <c r="G72" s="80">
        <f t="shared" si="0"/>
        <v>0</v>
      </c>
      <c r="H72" s="80">
        <f t="shared" si="3"/>
        <v>0</v>
      </c>
      <c r="I72" s="120">
        <f t="shared" si="13"/>
        <v>73800</v>
      </c>
      <c r="J72" s="120">
        <f t="shared" si="14"/>
        <v>36900</v>
      </c>
      <c r="K72" s="120">
        <f t="shared" si="5"/>
        <v>84189.385731999981</v>
      </c>
      <c r="L72" s="120"/>
      <c r="M72" s="141"/>
      <c r="N72" s="81">
        <f t="shared" si="6"/>
        <v>194889.58</v>
      </c>
      <c r="O72" s="134">
        <f t="shared" si="9"/>
        <v>200736.58</v>
      </c>
      <c r="P72" s="50">
        <f t="shared" si="8"/>
        <v>0.58000000000000029</v>
      </c>
      <c r="Q72" t="s">
        <v>203</v>
      </c>
    </row>
    <row r="73" spans="1:17" x14ac:dyDescent="0.3">
      <c r="A73" s="125">
        <f t="shared" si="10"/>
        <v>59</v>
      </c>
      <c r="B73" s="109" t="s">
        <v>58</v>
      </c>
      <c r="C73" s="108"/>
      <c r="D73" s="105">
        <v>1.34</v>
      </c>
      <c r="E73" s="79">
        <v>286569.59000000003</v>
      </c>
      <c r="F73" s="79">
        <f>339888.53</f>
        <v>339888.53</v>
      </c>
      <c r="G73" s="106">
        <f t="shared" si="0"/>
        <v>-53318.94</v>
      </c>
      <c r="H73" s="106">
        <f t="shared" si="3"/>
        <v>0</v>
      </c>
      <c r="I73" s="121">
        <f t="shared" si="13"/>
        <v>120600</v>
      </c>
      <c r="J73" s="121">
        <f t="shared" si="14"/>
        <v>60300</v>
      </c>
      <c r="K73" s="120">
        <f t="shared" si="5"/>
        <v>137577.77668400001</v>
      </c>
      <c r="L73" s="121"/>
      <c r="M73" s="142"/>
      <c r="N73" s="81">
        <f t="shared" si="6"/>
        <v>265159.59000000003</v>
      </c>
      <c r="O73" s="135">
        <f t="shared" si="9"/>
        <v>273114.59000000003</v>
      </c>
      <c r="P73" s="50">
        <f t="shared" si="8"/>
        <v>0.5900000000000003</v>
      </c>
    </row>
    <row r="74" spans="1:17" x14ac:dyDescent="0.3">
      <c r="A74" s="125">
        <f t="shared" si="10"/>
        <v>60</v>
      </c>
      <c r="B74" s="109" t="s">
        <v>59</v>
      </c>
      <c r="C74" s="108"/>
      <c r="D74" s="105">
        <v>1.1200000000000001</v>
      </c>
      <c r="E74" s="78">
        <v>239520.6</v>
      </c>
      <c r="F74" s="79">
        <f>E74</f>
        <v>239520.6</v>
      </c>
      <c r="G74" s="80">
        <f t="shared" si="0"/>
        <v>0</v>
      </c>
      <c r="H74" s="80">
        <f t="shared" si="3"/>
        <v>0</v>
      </c>
      <c r="I74" s="120">
        <f t="shared" si="13"/>
        <v>100800.00000000001</v>
      </c>
      <c r="J74" s="120">
        <f t="shared" si="14"/>
        <v>50400.000000000007</v>
      </c>
      <c r="K74" s="120">
        <f t="shared" si="5"/>
        <v>114990.380512</v>
      </c>
      <c r="L74" s="120"/>
      <c r="M74" s="141"/>
      <c r="N74" s="81">
        <f t="shared" si="6"/>
        <v>266190.59999999998</v>
      </c>
      <c r="O74" s="134">
        <f t="shared" si="9"/>
        <v>274176.59999999998</v>
      </c>
      <c r="P74" s="50">
        <f t="shared" si="8"/>
        <v>0.60000000000000031</v>
      </c>
    </row>
    <row r="75" spans="1:17" x14ac:dyDescent="0.3">
      <c r="A75" s="125">
        <f t="shared" si="10"/>
        <v>61</v>
      </c>
      <c r="B75" s="109" t="s">
        <v>60</v>
      </c>
      <c r="C75" s="108"/>
      <c r="D75" s="105">
        <v>1.17</v>
      </c>
      <c r="E75" s="78">
        <v>257400.61</v>
      </c>
      <c r="F75" s="79">
        <f>E75</f>
        <v>257400.61</v>
      </c>
      <c r="G75" s="80">
        <f t="shared" si="0"/>
        <v>0</v>
      </c>
      <c r="H75" s="80">
        <f t="shared" si="3"/>
        <v>0</v>
      </c>
      <c r="I75" s="120">
        <f t="shared" si="13"/>
        <v>105300</v>
      </c>
      <c r="J75" s="120">
        <f t="shared" si="14"/>
        <v>52650</v>
      </c>
      <c r="K75" s="120">
        <f t="shared" si="5"/>
        <v>120123.879642</v>
      </c>
      <c r="L75" s="120"/>
      <c r="M75" s="141"/>
      <c r="N75" s="81">
        <f t="shared" si="6"/>
        <v>278074.61</v>
      </c>
      <c r="O75" s="134">
        <f t="shared" si="9"/>
        <v>286416.61</v>
      </c>
      <c r="P75" s="50">
        <f t="shared" si="8"/>
        <v>0.61000000000000032</v>
      </c>
    </row>
    <row r="76" spans="1:17" x14ac:dyDescent="0.3">
      <c r="A76" s="125">
        <f t="shared" si="10"/>
        <v>62</v>
      </c>
      <c r="B76" s="109" t="s">
        <v>61</v>
      </c>
      <c r="C76" s="108"/>
      <c r="D76" s="105">
        <v>1.35</v>
      </c>
      <c r="E76" s="78">
        <v>297000.62</v>
      </c>
      <c r="F76" s="79">
        <f>E76</f>
        <v>297000.62</v>
      </c>
      <c r="G76" s="80">
        <f t="shared" si="0"/>
        <v>0</v>
      </c>
      <c r="H76" s="80">
        <f t="shared" si="3"/>
        <v>0</v>
      </c>
      <c r="I76" s="120">
        <f t="shared" si="13"/>
        <v>121500</v>
      </c>
      <c r="J76" s="120">
        <f t="shared" si="14"/>
        <v>60750</v>
      </c>
      <c r="K76" s="120">
        <f t="shared" si="5"/>
        <v>138604.47651000001</v>
      </c>
      <c r="L76" s="120"/>
      <c r="M76" s="141"/>
      <c r="N76" s="81">
        <f t="shared" si="6"/>
        <v>320854.62</v>
      </c>
      <c r="O76" s="134">
        <f t="shared" si="9"/>
        <v>330480.62</v>
      </c>
      <c r="P76" s="50">
        <f t="shared" si="8"/>
        <v>0.62000000000000033</v>
      </c>
    </row>
    <row r="77" spans="1:17" x14ac:dyDescent="0.3">
      <c r="A77" s="125">
        <f t="shared" si="10"/>
        <v>63</v>
      </c>
      <c r="B77" s="109" t="s">
        <v>62</v>
      </c>
      <c r="C77" s="108"/>
      <c r="D77" s="105">
        <v>1.1200000000000001</v>
      </c>
      <c r="E77" s="78">
        <v>246400.63</v>
      </c>
      <c r="F77" s="79">
        <f>E77</f>
        <v>246400.63</v>
      </c>
      <c r="G77" s="80">
        <f t="shared" si="0"/>
        <v>0</v>
      </c>
      <c r="H77" s="80">
        <f t="shared" si="3"/>
        <v>0</v>
      </c>
      <c r="I77" s="120">
        <f t="shared" si="13"/>
        <v>100800.00000000001</v>
      </c>
      <c r="J77" s="120">
        <f t="shared" si="14"/>
        <v>50400.000000000007</v>
      </c>
      <c r="K77" s="120">
        <f t="shared" si="5"/>
        <v>114990.380512</v>
      </c>
      <c r="L77" s="120"/>
      <c r="M77" s="141"/>
      <c r="N77" s="81">
        <f t="shared" si="6"/>
        <v>266190.63</v>
      </c>
      <c r="O77" s="134">
        <f t="shared" si="9"/>
        <v>274176.63</v>
      </c>
      <c r="P77" s="50">
        <f t="shared" si="8"/>
        <v>0.63000000000000034</v>
      </c>
      <c r="Q77" t="s">
        <v>196</v>
      </c>
    </row>
    <row r="78" spans="1:17" x14ac:dyDescent="0.3">
      <c r="A78" s="125">
        <f t="shared" si="10"/>
        <v>64</v>
      </c>
      <c r="B78" s="109" t="s">
        <v>63</v>
      </c>
      <c r="C78" s="108"/>
      <c r="D78" s="105">
        <v>0.82</v>
      </c>
      <c r="E78" s="78">
        <v>188261.64</v>
      </c>
      <c r="F78" s="79">
        <v>193909.64</v>
      </c>
      <c r="G78" s="80">
        <f t="shared" si="0"/>
        <v>-5648</v>
      </c>
      <c r="H78" s="80">
        <f t="shared" si="3"/>
        <v>0</v>
      </c>
      <c r="I78" s="120">
        <f t="shared" si="13"/>
        <v>73800</v>
      </c>
      <c r="J78" s="120">
        <f t="shared" si="14"/>
        <v>36900</v>
      </c>
      <c r="K78" s="120">
        <f t="shared" si="5"/>
        <v>84189.385731999981</v>
      </c>
      <c r="L78" s="120"/>
      <c r="M78" s="141"/>
      <c r="N78" s="81">
        <f t="shared" si="6"/>
        <v>189241.64</v>
      </c>
      <c r="O78" s="134">
        <f t="shared" si="9"/>
        <v>194918.64</v>
      </c>
      <c r="P78" s="50">
        <f t="shared" si="8"/>
        <v>0.64000000000000035</v>
      </c>
    </row>
    <row r="79" spans="1:17" x14ac:dyDescent="0.3">
      <c r="A79" s="125">
        <f t="shared" si="10"/>
        <v>65</v>
      </c>
      <c r="B79" s="109" t="s">
        <v>64</v>
      </c>
      <c r="C79" s="108"/>
      <c r="D79" s="105">
        <v>0.82</v>
      </c>
      <c r="E79" s="79">
        <v>424018.65</v>
      </c>
      <c r="F79" s="218">
        <v>280000.65000000002</v>
      </c>
      <c r="G79" s="106">
        <f t="shared" ref="G79:G117" si="17">E79-F79</f>
        <v>144018</v>
      </c>
      <c r="H79" s="106">
        <f t="shared" si="3"/>
        <v>4320.54</v>
      </c>
      <c r="I79" s="121">
        <f t="shared" ref="I79:I110" si="18">J$2*D79/100</f>
        <v>73800</v>
      </c>
      <c r="J79" s="121">
        <f t="shared" ref="J79:J110" si="19">E$2*D79/100</f>
        <v>36900</v>
      </c>
      <c r="K79" s="120">
        <f t="shared" si="5"/>
        <v>84189.385731999981</v>
      </c>
      <c r="L79" s="121"/>
      <c r="M79" s="142"/>
      <c r="N79" s="81">
        <f t="shared" si="6"/>
        <v>343228.65</v>
      </c>
      <c r="O79" s="135">
        <f t="shared" si="9"/>
        <v>353525.65</v>
      </c>
      <c r="P79" s="50">
        <f t="shared" si="8"/>
        <v>0.65000000000000036</v>
      </c>
      <c r="Q79" t="s">
        <v>170</v>
      </c>
    </row>
    <row r="80" spans="1:17" x14ac:dyDescent="0.3">
      <c r="A80" s="125">
        <f t="shared" si="10"/>
        <v>66</v>
      </c>
      <c r="B80" s="109" t="s">
        <v>65</v>
      </c>
      <c r="C80" s="108"/>
      <c r="D80" s="105">
        <v>1.34</v>
      </c>
      <c r="E80" s="79">
        <v>1208976.6599999999</v>
      </c>
      <c r="F80" s="79">
        <v>0</v>
      </c>
      <c r="G80" s="106">
        <f t="shared" si="17"/>
        <v>1208976.6599999999</v>
      </c>
      <c r="H80" s="106">
        <f t="shared" ref="H80:H117" si="20">IF(G80&gt;0,G80*3%,0)</f>
        <v>36269.299799999993</v>
      </c>
      <c r="I80" s="121">
        <f t="shared" si="18"/>
        <v>120600</v>
      </c>
      <c r="J80" s="121">
        <f t="shared" si="19"/>
        <v>60300</v>
      </c>
      <c r="K80" s="120">
        <f t="shared" ref="K80:K117" si="21">M$2*D80/100</f>
        <v>137577.77668400001</v>
      </c>
      <c r="L80" s="121"/>
      <c r="M80" s="142"/>
      <c r="N80" s="107">
        <f t="shared" si="6"/>
        <v>1563724.66</v>
      </c>
      <c r="O80" s="135">
        <f t="shared" si="9"/>
        <v>1610636.66</v>
      </c>
      <c r="P80" s="50">
        <f t="shared" si="8"/>
        <v>0.66000000000000036</v>
      </c>
    </row>
    <row r="81" spans="1:17" x14ac:dyDescent="0.3">
      <c r="A81" s="125">
        <f t="shared" si="10"/>
        <v>67</v>
      </c>
      <c r="B81" s="109" t="s">
        <v>66</v>
      </c>
      <c r="C81" s="108"/>
      <c r="D81" s="105">
        <v>1.1200000000000001</v>
      </c>
      <c r="E81" s="78">
        <v>454185.67</v>
      </c>
      <c r="F81" s="79">
        <f>200000+261811.67+5877</f>
        <v>467688.67000000004</v>
      </c>
      <c r="G81" s="80">
        <f t="shared" si="17"/>
        <v>-13503.000000000058</v>
      </c>
      <c r="H81" s="80">
        <f t="shared" si="20"/>
        <v>0</v>
      </c>
      <c r="I81" s="120">
        <f t="shared" si="18"/>
        <v>100800.00000000001</v>
      </c>
      <c r="J81" s="120">
        <f t="shared" si="19"/>
        <v>50400.000000000007</v>
      </c>
      <c r="K81" s="120">
        <f t="shared" si="21"/>
        <v>114990.380512</v>
      </c>
      <c r="L81" s="120"/>
      <c r="M81" s="141"/>
      <c r="N81" s="81">
        <f t="shared" ref="N81:N117" si="22">ROUND(SUM(G81:M81),0) + P81</f>
        <v>252687.67</v>
      </c>
      <c r="O81" s="134">
        <f t="shared" si="9"/>
        <v>260268.67</v>
      </c>
      <c r="P81" s="50">
        <f t="shared" si="8"/>
        <v>0.67000000000000037</v>
      </c>
    </row>
    <row r="82" spans="1:17" x14ac:dyDescent="0.3">
      <c r="A82" s="174">
        <f t="shared" si="10"/>
        <v>68</v>
      </c>
      <c r="B82" s="175" t="s">
        <v>67</v>
      </c>
      <c r="C82" s="184"/>
      <c r="D82" s="185">
        <v>1.17</v>
      </c>
      <c r="E82" s="186">
        <v>8488408.6799999997</v>
      </c>
      <c r="F82" s="186">
        <v>0</v>
      </c>
      <c r="G82" s="187">
        <f t="shared" si="17"/>
        <v>8488408.6799999997</v>
      </c>
      <c r="H82" s="187">
        <f t="shared" si="20"/>
        <v>254652.26039999997</v>
      </c>
      <c r="I82" s="188">
        <f t="shared" si="18"/>
        <v>105300</v>
      </c>
      <c r="J82" s="188">
        <f t="shared" si="19"/>
        <v>52650</v>
      </c>
      <c r="K82" s="188">
        <f t="shared" si="21"/>
        <v>120123.879642</v>
      </c>
      <c r="L82" s="188">
        <v>95000</v>
      </c>
      <c r="M82" s="189"/>
      <c r="N82" s="190">
        <f t="shared" si="22"/>
        <v>9116135.6799999997</v>
      </c>
      <c r="O82" s="191">
        <f t="shared" si="9"/>
        <v>9389619.6799999997</v>
      </c>
      <c r="P82" s="50">
        <f t="shared" si="8"/>
        <v>0.68000000000000038</v>
      </c>
    </row>
    <row r="83" spans="1:17" x14ac:dyDescent="0.3">
      <c r="A83" s="241">
        <f t="shared" si="10"/>
        <v>69</v>
      </c>
      <c r="B83" s="242" t="s">
        <v>68</v>
      </c>
      <c r="C83" s="108"/>
      <c r="D83" s="105">
        <v>1.35</v>
      </c>
      <c r="E83" s="78">
        <v>295421.69</v>
      </c>
      <c r="F83" s="79">
        <v>300000</v>
      </c>
      <c r="G83" s="80">
        <f t="shared" si="17"/>
        <v>-4578.3099999999977</v>
      </c>
      <c r="H83" s="80">
        <f t="shared" si="20"/>
        <v>0</v>
      </c>
      <c r="I83" s="120">
        <f t="shared" si="18"/>
        <v>121500</v>
      </c>
      <c r="J83" s="120">
        <f t="shared" si="19"/>
        <v>60750</v>
      </c>
      <c r="K83" s="120">
        <f t="shared" si="21"/>
        <v>138604.47651000001</v>
      </c>
      <c r="L83" s="120" t="s">
        <v>199</v>
      </c>
      <c r="M83" s="141"/>
      <c r="N83" s="81">
        <f t="shared" si="22"/>
        <v>316276.69</v>
      </c>
      <c r="O83" s="134">
        <f t="shared" si="9"/>
        <v>325764.69</v>
      </c>
      <c r="P83" s="50">
        <f t="shared" si="8"/>
        <v>0.69000000000000039</v>
      </c>
    </row>
    <row r="84" spans="1:17" x14ac:dyDescent="0.3">
      <c r="A84" s="125">
        <f t="shared" si="10"/>
        <v>70</v>
      </c>
      <c r="B84" s="109" t="s">
        <v>69</v>
      </c>
      <c r="C84" s="108"/>
      <c r="D84" s="105">
        <v>1.1200000000000001</v>
      </c>
      <c r="E84" s="79">
        <v>650623.69999999995</v>
      </c>
      <c r="F84" s="79"/>
      <c r="G84" s="106">
        <f t="shared" si="17"/>
        <v>650623.69999999995</v>
      </c>
      <c r="H84" s="106">
        <f t="shared" si="20"/>
        <v>19518.710999999999</v>
      </c>
      <c r="I84" s="121">
        <f t="shared" si="18"/>
        <v>100800.00000000001</v>
      </c>
      <c r="J84" s="121">
        <f t="shared" si="19"/>
        <v>50400.000000000007</v>
      </c>
      <c r="K84" s="120">
        <f t="shared" si="21"/>
        <v>114990.380512</v>
      </c>
      <c r="L84" s="121"/>
      <c r="M84" s="142"/>
      <c r="N84" s="81">
        <f t="shared" si="22"/>
        <v>936333.7</v>
      </c>
      <c r="O84" s="135">
        <f t="shared" si="9"/>
        <v>964423.7</v>
      </c>
      <c r="P84" s="50">
        <f t="shared" si="8"/>
        <v>0.7000000000000004</v>
      </c>
      <c r="Q84" t="s">
        <v>166</v>
      </c>
    </row>
    <row r="85" spans="1:17" x14ac:dyDescent="0.3">
      <c r="A85" s="125">
        <f t="shared" si="10"/>
        <v>71</v>
      </c>
      <c r="B85" s="109" t="s">
        <v>70</v>
      </c>
      <c r="C85" s="108"/>
      <c r="D85" s="105">
        <v>0.82</v>
      </c>
      <c r="E85" s="78">
        <v>180400.71</v>
      </c>
      <c r="F85" s="79">
        <f>E85</f>
        <v>180400.71</v>
      </c>
      <c r="G85" s="80">
        <f t="shared" si="17"/>
        <v>0</v>
      </c>
      <c r="H85" s="80">
        <f t="shared" si="20"/>
        <v>0</v>
      </c>
      <c r="I85" s="120">
        <f t="shared" si="18"/>
        <v>73800</v>
      </c>
      <c r="J85" s="120">
        <f t="shared" si="19"/>
        <v>36900</v>
      </c>
      <c r="K85" s="120">
        <f t="shared" si="21"/>
        <v>84189.385731999981</v>
      </c>
      <c r="L85" s="120"/>
      <c r="M85" s="141"/>
      <c r="N85" s="81">
        <f t="shared" si="22"/>
        <v>194889.71</v>
      </c>
      <c r="O85" s="134">
        <f t="shared" si="9"/>
        <v>200736.71</v>
      </c>
      <c r="P85" s="50">
        <f t="shared" si="8"/>
        <v>0.71000000000000041</v>
      </c>
    </row>
    <row r="86" spans="1:17" x14ac:dyDescent="0.3">
      <c r="A86" s="125">
        <f t="shared" si="10"/>
        <v>72</v>
      </c>
      <c r="B86" s="109" t="s">
        <v>71</v>
      </c>
      <c r="C86" s="82"/>
      <c r="D86" s="77">
        <v>0.82</v>
      </c>
      <c r="E86" s="78">
        <v>180400.72</v>
      </c>
      <c r="F86" s="79">
        <f>E86</f>
        <v>180400.72</v>
      </c>
      <c r="G86" s="80">
        <f t="shared" si="17"/>
        <v>0</v>
      </c>
      <c r="H86" s="80">
        <f t="shared" si="20"/>
        <v>0</v>
      </c>
      <c r="I86" s="120">
        <f t="shared" si="18"/>
        <v>73800</v>
      </c>
      <c r="J86" s="120">
        <f t="shared" si="19"/>
        <v>36900</v>
      </c>
      <c r="K86" s="120">
        <f t="shared" si="21"/>
        <v>84189.385731999981</v>
      </c>
      <c r="L86" s="120"/>
      <c r="M86" s="141"/>
      <c r="N86" s="81">
        <f t="shared" si="22"/>
        <v>194889.72</v>
      </c>
      <c r="O86" s="134">
        <f t="shared" si="9"/>
        <v>200736.72</v>
      </c>
      <c r="P86" s="50">
        <f t="shared" si="8"/>
        <v>0.72000000000000042</v>
      </c>
    </row>
    <row r="87" spans="1:17" x14ac:dyDescent="0.3">
      <c r="A87" s="125">
        <f t="shared" si="10"/>
        <v>73</v>
      </c>
      <c r="B87" s="109" t="s">
        <v>72</v>
      </c>
      <c r="C87" s="82"/>
      <c r="D87" s="77">
        <v>1.34</v>
      </c>
      <c r="E87" s="78">
        <v>294800.73</v>
      </c>
      <c r="F87" s="79"/>
      <c r="G87" s="80">
        <f t="shared" si="17"/>
        <v>294800.73</v>
      </c>
      <c r="H87" s="80">
        <f t="shared" si="20"/>
        <v>8844.0218999999997</v>
      </c>
      <c r="I87" s="120">
        <f t="shared" si="18"/>
        <v>120600</v>
      </c>
      <c r="J87" s="120">
        <f t="shared" si="19"/>
        <v>60300</v>
      </c>
      <c r="K87" s="120">
        <f t="shared" si="21"/>
        <v>137577.77668400001</v>
      </c>
      <c r="L87" s="120"/>
      <c r="M87" s="141"/>
      <c r="N87" s="81">
        <f t="shared" si="22"/>
        <v>622123.73</v>
      </c>
      <c r="O87" s="134">
        <f t="shared" si="9"/>
        <v>640787.73</v>
      </c>
      <c r="P87" s="50">
        <f t="shared" si="8"/>
        <v>0.73000000000000043</v>
      </c>
    </row>
    <row r="88" spans="1:17" x14ac:dyDescent="0.3">
      <c r="A88" s="126">
        <f t="shared" si="10"/>
        <v>74</v>
      </c>
      <c r="B88" s="114" t="s">
        <v>73</v>
      </c>
      <c r="C88" s="82"/>
      <c r="D88" s="116">
        <v>1.1200000000000001</v>
      </c>
      <c r="E88" s="117">
        <v>376400.74</v>
      </c>
      <c r="F88" s="117">
        <f>E88</f>
        <v>376400.74</v>
      </c>
      <c r="G88" s="118">
        <f t="shared" si="17"/>
        <v>0</v>
      </c>
      <c r="H88" s="118">
        <v>0</v>
      </c>
      <c r="I88" s="123">
        <f t="shared" si="18"/>
        <v>100800.00000000001</v>
      </c>
      <c r="J88" s="123">
        <f t="shared" si="19"/>
        <v>50400.000000000007</v>
      </c>
      <c r="K88" s="123">
        <f t="shared" si="21"/>
        <v>114990.380512</v>
      </c>
      <c r="L88" s="123"/>
      <c r="M88" s="143">
        <v>130000</v>
      </c>
      <c r="N88" s="119">
        <f t="shared" si="22"/>
        <v>396190.74</v>
      </c>
      <c r="O88" s="136">
        <f t="shared" si="9"/>
        <v>408076.74</v>
      </c>
      <c r="P88" s="50">
        <f t="shared" si="8"/>
        <v>0.74000000000000044</v>
      </c>
      <c r="Q88" t="s">
        <v>262</v>
      </c>
    </row>
    <row r="89" spans="1:17" x14ac:dyDescent="0.3">
      <c r="A89" s="124">
        <f t="shared" si="10"/>
        <v>75</v>
      </c>
      <c r="B89" s="83" t="s">
        <v>74</v>
      </c>
      <c r="C89" s="82"/>
      <c r="D89" s="77">
        <v>1.17</v>
      </c>
      <c r="E89" s="78">
        <v>250219.75</v>
      </c>
      <c r="F89" s="79">
        <v>257726.75</v>
      </c>
      <c r="G89" s="80">
        <f t="shared" si="17"/>
        <v>-7507</v>
      </c>
      <c r="H89" s="80">
        <f t="shared" si="20"/>
        <v>0</v>
      </c>
      <c r="I89" s="120">
        <f t="shared" si="18"/>
        <v>105300</v>
      </c>
      <c r="J89" s="120">
        <f t="shared" si="19"/>
        <v>52650</v>
      </c>
      <c r="K89" s="120">
        <f t="shared" si="21"/>
        <v>120123.879642</v>
      </c>
      <c r="L89" s="120"/>
      <c r="M89" s="141"/>
      <c r="N89" s="81">
        <f t="shared" si="22"/>
        <v>270567.75</v>
      </c>
      <c r="O89" s="134">
        <f t="shared" si="9"/>
        <v>278684.75</v>
      </c>
      <c r="P89" s="50">
        <f t="shared" si="8"/>
        <v>0.75000000000000044</v>
      </c>
    </row>
    <row r="90" spans="1:17" x14ac:dyDescent="0.3">
      <c r="A90" s="125">
        <f t="shared" si="10"/>
        <v>76</v>
      </c>
      <c r="B90" s="109" t="s">
        <v>75</v>
      </c>
      <c r="C90" s="108"/>
      <c r="D90" s="105">
        <v>1.35</v>
      </c>
      <c r="E90" s="79">
        <v>297000.76</v>
      </c>
      <c r="F90" s="79">
        <f t="shared" ref="F90:F96" si="23">E90</f>
        <v>297000.76</v>
      </c>
      <c r="G90" s="106">
        <f t="shared" si="17"/>
        <v>0</v>
      </c>
      <c r="H90" s="106">
        <f t="shared" si="20"/>
        <v>0</v>
      </c>
      <c r="I90" s="121">
        <f t="shared" si="18"/>
        <v>121500</v>
      </c>
      <c r="J90" s="121">
        <f t="shared" si="19"/>
        <v>60750</v>
      </c>
      <c r="K90" s="121">
        <f t="shared" si="21"/>
        <v>138604.47651000001</v>
      </c>
      <c r="L90" s="121"/>
      <c r="M90" s="142"/>
      <c r="N90" s="107">
        <f t="shared" si="22"/>
        <v>320854.76</v>
      </c>
      <c r="O90" s="135">
        <f t="shared" si="9"/>
        <v>330480.76</v>
      </c>
      <c r="P90" s="50">
        <f t="shared" si="8"/>
        <v>0.76000000000000045</v>
      </c>
    </row>
    <row r="91" spans="1:17" x14ac:dyDescent="0.3">
      <c r="A91" s="124">
        <f t="shared" si="10"/>
        <v>77</v>
      </c>
      <c r="B91" s="83" t="s">
        <v>76</v>
      </c>
      <c r="C91" s="82"/>
      <c r="D91" s="77">
        <v>1.1200000000000001</v>
      </c>
      <c r="E91" s="78">
        <v>246400.77</v>
      </c>
      <c r="F91" s="79">
        <f t="shared" si="23"/>
        <v>246400.77</v>
      </c>
      <c r="G91" s="80">
        <f t="shared" si="17"/>
        <v>0</v>
      </c>
      <c r="H91" s="80">
        <f t="shared" si="20"/>
        <v>0</v>
      </c>
      <c r="I91" s="120">
        <f t="shared" si="18"/>
        <v>100800.00000000001</v>
      </c>
      <c r="J91" s="120">
        <f t="shared" si="19"/>
        <v>50400.000000000007</v>
      </c>
      <c r="K91" s="120">
        <f t="shared" si="21"/>
        <v>114990.380512</v>
      </c>
      <c r="L91" s="120"/>
      <c r="M91" s="141"/>
      <c r="N91" s="81">
        <f t="shared" si="22"/>
        <v>266190.77</v>
      </c>
      <c r="O91" s="134">
        <f t="shared" si="9"/>
        <v>274176.77</v>
      </c>
      <c r="P91" s="50">
        <f t="shared" si="8"/>
        <v>0.77000000000000046</v>
      </c>
    </row>
    <row r="92" spans="1:17" x14ac:dyDescent="0.3">
      <c r="A92" s="229">
        <f t="shared" si="10"/>
        <v>78</v>
      </c>
      <c r="B92" s="230" t="s">
        <v>77</v>
      </c>
      <c r="C92" s="115"/>
      <c r="D92" s="116">
        <v>0.82</v>
      </c>
      <c r="E92" s="117">
        <v>355762.78</v>
      </c>
      <c r="F92" s="117">
        <f t="shared" si="23"/>
        <v>355762.78</v>
      </c>
      <c r="G92" s="118">
        <f t="shared" si="17"/>
        <v>0</v>
      </c>
      <c r="H92" s="118"/>
      <c r="I92" s="123">
        <f t="shared" si="18"/>
        <v>73800</v>
      </c>
      <c r="J92" s="123">
        <f t="shared" si="19"/>
        <v>36900</v>
      </c>
      <c r="K92" s="123">
        <f t="shared" si="21"/>
        <v>84189.385731999981</v>
      </c>
      <c r="L92" s="123"/>
      <c r="M92" s="143">
        <v>165000</v>
      </c>
      <c r="N92" s="119">
        <f t="shared" si="22"/>
        <v>359889.78</v>
      </c>
      <c r="O92" s="136">
        <f t="shared" si="9"/>
        <v>370686.78</v>
      </c>
      <c r="P92" s="50">
        <f t="shared" si="8"/>
        <v>0.78000000000000047</v>
      </c>
      <c r="Q92" t="s">
        <v>263</v>
      </c>
    </row>
    <row r="93" spans="1:17" x14ac:dyDescent="0.3">
      <c r="A93" s="124">
        <f t="shared" si="10"/>
        <v>79</v>
      </c>
      <c r="B93" s="83" t="s">
        <v>201</v>
      </c>
      <c r="C93" s="82"/>
      <c r="D93" s="77">
        <v>0.82</v>
      </c>
      <c r="E93" s="78">
        <v>193069.79</v>
      </c>
      <c r="F93" s="79">
        <f t="shared" si="23"/>
        <v>193069.79</v>
      </c>
      <c r="G93" s="80">
        <f t="shared" si="17"/>
        <v>0</v>
      </c>
      <c r="H93" s="80">
        <f t="shared" si="20"/>
        <v>0</v>
      </c>
      <c r="I93" s="120">
        <f t="shared" si="18"/>
        <v>73800</v>
      </c>
      <c r="J93" s="120">
        <f t="shared" si="19"/>
        <v>36900</v>
      </c>
      <c r="K93" s="120">
        <f t="shared" si="21"/>
        <v>84189.385731999981</v>
      </c>
      <c r="L93" s="120"/>
      <c r="M93" s="141"/>
      <c r="N93" s="81">
        <f t="shared" si="22"/>
        <v>194889.79</v>
      </c>
      <c r="O93" s="134">
        <f t="shared" si="9"/>
        <v>200736.79</v>
      </c>
      <c r="P93" s="50">
        <f t="shared" si="8"/>
        <v>0.79000000000000048</v>
      </c>
      <c r="Q93" t="s">
        <v>202</v>
      </c>
    </row>
    <row r="94" spans="1:17" x14ac:dyDescent="0.3">
      <c r="A94" s="125">
        <f t="shared" si="10"/>
        <v>80</v>
      </c>
      <c r="B94" s="109" t="s">
        <v>78</v>
      </c>
      <c r="C94" s="108"/>
      <c r="D94" s="105">
        <v>1.34</v>
      </c>
      <c r="E94" s="79">
        <v>294800.8</v>
      </c>
      <c r="F94" s="79">
        <f t="shared" si="23"/>
        <v>294800.8</v>
      </c>
      <c r="G94" s="80">
        <f>E94-F94</f>
        <v>0</v>
      </c>
      <c r="H94" s="80">
        <f t="shared" si="20"/>
        <v>0</v>
      </c>
      <c r="I94" s="120">
        <f t="shared" si="18"/>
        <v>120600</v>
      </c>
      <c r="J94" s="120">
        <f t="shared" si="19"/>
        <v>60300</v>
      </c>
      <c r="K94" s="120">
        <f t="shared" si="21"/>
        <v>137577.77668400001</v>
      </c>
      <c r="L94" s="120"/>
      <c r="M94" s="141"/>
      <c r="N94" s="81">
        <f t="shared" si="22"/>
        <v>318478.8</v>
      </c>
      <c r="O94" s="134">
        <f t="shared" si="9"/>
        <v>328032.8</v>
      </c>
      <c r="P94" s="50">
        <f t="shared" si="8"/>
        <v>0.80000000000000049</v>
      </c>
    </row>
    <row r="95" spans="1:17" x14ac:dyDescent="0.3">
      <c r="A95" s="125">
        <f t="shared" si="10"/>
        <v>81</v>
      </c>
      <c r="B95" s="109" t="s">
        <v>79</v>
      </c>
      <c r="C95" s="108"/>
      <c r="D95" s="105">
        <v>1.1200000000000001</v>
      </c>
      <c r="E95" s="79">
        <v>246400.81</v>
      </c>
      <c r="F95" s="79">
        <f t="shared" si="23"/>
        <v>246400.81</v>
      </c>
      <c r="G95" s="106">
        <f t="shared" si="17"/>
        <v>0</v>
      </c>
      <c r="H95" s="106">
        <f t="shared" si="20"/>
        <v>0</v>
      </c>
      <c r="I95" s="121">
        <f t="shared" si="18"/>
        <v>100800.00000000001</v>
      </c>
      <c r="J95" s="121">
        <f t="shared" si="19"/>
        <v>50400.000000000007</v>
      </c>
      <c r="K95" s="120">
        <f t="shared" si="21"/>
        <v>114990.380512</v>
      </c>
      <c r="L95" s="121"/>
      <c r="M95" s="142"/>
      <c r="N95" s="107">
        <f t="shared" si="22"/>
        <v>266190.81</v>
      </c>
      <c r="O95" s="135">
        <f t="shared" si="9"/>
        <v>274176.81</v>
      </c>
      <c r="P95" s="50">
        <f t="shared" si="8"/>
        <v>0.8100000000000005</v>
      </c>
      <c r="Q95" t="s">
        <v>205</v>
      </c>
    </row>
    <row r="96" spans="1:17" x14ac:dyDescent="0.3">
      <c r="A96" s="125">
        <f t="shared" si="10"/>
        <v>82</v>
      </c>
      <c r="B96" s="109" t="s">
        <v>80</v>
      </c>
      <c r="C96" s="82"/>
      <c r="D96" s="77">
        <v>1.17</v>
      </c>
      <c r="E96" s="78">
        <v>276018.82</v>
      </c>
      <c r="F96" s="79">
        <f t="shared" si="23"/>
        <v>276018.82</v>
      </c>
      <c r="G96" s="80">
        <f t="shared" si="17"/>
        <v>0</v>
      </c>
      <c r="H96" s="80">
        <f t="shared" si="20"/>
        <v>0</v>
      </c>
      <c r="I96" s="120">
        <f t="shared" si="18"/>
        <v>105300</v>
      </c>
      <c r="J96" s="120">
        <f t="shared" si="19"/>
        <v>52650</v>
      </c>
      <c r="K96" s="120">
        <f t="shared" si="21"/>
        <v>120123.879642</v>
      </c>
      <c r="L96" s="120"/>
      <c r="M96" s="141"/>
      <c r="N96" s="81">
        <f t="shared" si="22"/>
        <v>278074.82</v>
      </c>
      <c r="O96" s="134">
        <f t="shared" si="9"/>
        <v>286416.82</v>
      </c>
      <c r="P96" s="50">
        <f t="shared" si="8"/>
        <v>0.82000000000000051</v>
      </c>
    </row>
    <row r="97" spans="1:17" x14ac:dyDescent="0.3">
      <c r="A97" s="125">
        <f t="shared" si="10"/>
        <v>83</v>
      </c>
      <c r="B97" s="109" t="s">
        <v>81</v>
      </c>
      <c r="C97" s="108"/>
      <c r="D97" s="105">
        <v>1.35</v>
      </c>
      <c r="E97" s="79">
        <v>297000.83</v>
      </c>
      <c r="F97" s="79">
        <f t="shared" ref="F97:F104" si="24">E97</f>
        <v>297000.83</v>
      </c>
      <c r="G97" s="80">
        <f t="shared" si="17"/>
        <v>0</v>
      </c>
      <c r="H97" s="80">
        <f t="shared" si="20"/>
        <v>0</v>
      </c>
      <c r="I97" s="120">
        <f t="shared" si="18"/>
        <v>121500</v>
      </c>
      <c r="J97" s="120">
        <f t="shared" si="19"/>
        <v>60750</v>
      </c>
      <c r="K97" s="120">
        <f t="shared" si="21"/>
        <v>138604.47651000001</v>
      </c>
      <c r="L97" s="120"/>
      <c r="M97" s="141"/>
      <c r="N97" s="81">
        <f t="shared" si="22"/>
        <v>320854.83</v>
      </c>
      <c r="O97" s="134">
        <f t="shared" si="9"/>
        <v>330480.83</v>
      </c>
      <c r="P97" s="50">
        <f t="shared" si="8"/>
        <v>0.83000000000000052</v>
      </c>
    </row>
    <row r="98" spans="1:17" x14ac:dyDescent="0.3">
      <c r="A98" s="125">
        <f t="shared" si="10"/>
        <v>84</v>
      </c>
      <c r="B98" s="109" t="s">
        <v>82</v>
      </c>
      <c r="C98" s="108"/>
      <c r="D98" s="105">
        <v>1.1200000000000001</v>
      </c>
      <c r="E98" s="79">
        <v>246400.84</v>
      </c>
      <c r="F98" s="79"/>
      <c r="G98" s="80">
        <f t="shared" si="17"/>
        <v>246400.84</v>
      </c>
      <c r="H98" s="80">
        <f t="shared" si="20"/>
        <v>7392.0252</v>
      </c>
      <c r="I98" s="120">
        <f t="shared" si="18"/>
        <v>100800.00000000001</v>
      </c>
      <c r="J98" s="120">
        <f t="shared" si="19"/>
        <v>50400.000000000007</v>
      </c>
      <c r="K98" s="120">
        <f t="shared" si="21"/>
        <v>114990.380512</v>
      </c>
      <c r="L98" s="120"/>
      <c r="M98" s="141"/>
      <c r="N98" s="81">
        <f t="shared" si="22"/>
        <v>519983.84</v>
      </c>
      <c r="O98" s="134">
        <f t="shared" si="9"/>
        <v>535583.84000000008</v>
      </c>
      <c r="P98" s="50">
        <f t="shared" ref="P98:P117" si="25">P97+0.01</f>
        <v>0.84000000000000052</v>
      </c>
    </row>
    <row r="99" spans="1:17" x14ac:dyDescent="0.3">
      <c r="A99" s="124">
        <f t="shared" si="10"/>
        <v>85</v>
      </c>
      <c r="B99" s="83" t="s">
        <v>83</v>
      </c>
      <c r="C99" s="82"/>
      <c r="D99" s="77">
        <v>0.82</v>
      </c>
      <c r="E99" s="78">
        <v>180400.85</v>
      </c>
      <c r="F99" s="79">
        <f t="shared" si="24"/>
        <v>180400.85</v>
      </c>
      <c r="G99" s="80">
        <f t="shared" si="17"/>
        <v>0</v>
      </c>
      <c r="H99" s="80">
        <f t="shared" si="20"/>
        <v>0</v>
      </c>
      <c r="I99" s="120">
        <f t="shared" si="18"/>
        <v>73800</v>
      </c>
      <c r="J99" s="120">
        <f t="shared" si="19"/>
        <v>36900</v>
      </c>
      <c r="K99" s="120">
        <f t="shared" si="21"/>
        <v>84189.385731999981</v>
      </c>
      <c r="L99" s="120"/>
      <c r="M99" s="141"/>
      <c r="N99" s="81">
        <f t="shared" si="22"/>
        <v>194889.85</v>
      </c>
      <c r="O99" s="134">
        <f t="shared" si="9"/>
        <v>200736.85</v>
      </c>
      <c r="P99" s="50">
        <f t="shared" si="25"/>
        <v>0.85000000000000053</v>
      </c>
    </row>
    <row r="100" spans="1:17" x14ac:dyDescent="0.3">
      <c r="A100" s="125">
        <f t="shared" si="10"/>
        <v>86</v>
      </c>
      <c r="B100" s="109" t="s">
        <v>84</v>
      </c>
      <c r="C100" s="108"/>
      <c r="D100" s="105">
        <v>0.82</v>
      </c>
      <c r="E100" s="79">
        <v>180400.86</v>
      </c>
      <c r="F100" s="79">
        <f t="shared" si="24"/>
        <v>180400.86</v>
      </c>
      <c r="G100" s="106">
        <f t="shared" si="17"/>
        <v>0</v>
      </c>
      <c r="H100" s="106">
        <f t="shared" si="20"/>
        <v>0</v>
      </c>
      <c r="I100" s="121">
        <f t="shared" si="18"/>
        <v>73800</v>
      </c>
      <c r="J100" s="121">
        <f t="shared" si="19"/>
        <v>36900</v>
      </c>
      <c r="K100" s="120">
        <f t="shared" si="21"/>
        <v>84189.385731999981</v>
      </c>
      <c r="L100" s="121"/>
      <c r="M100" s="142"/>
      <c r="N100" s="107">
        <f t="shared" si="22"/>
        <v>194889.86</v>
      </c>
      <c r="O100" s="135">
        <f t="shared" ref="O100:O117" si="26">ROUND(N100*3%,0) + N100</f>
        <v>200736.86</v>
      </c>
      <c r="P100" s="50">
        <f t="shared" si="25"/>
        <v>0.86000000000000054</v>
      </c>
    </row>
    <row r="101" spans="1:17" x14ac:dyDescent="0.3">
      <c r="A101" s="124">
        <f t="shared" ref="A101:A117" si="27">A100+1</f>
        <v>87</v>
      </c>
      <c r="B101" s="83" t="s">
        <v>85</v>
      </c>
      <c r="C101" s="82"/>
      <c r="D101" s="77">
        <v>1.34</v>
      </c>
      <c r="E101" s="78">
        <v>294800.87</v>
      </c>
      <c r="F101" s="79">
        <f t="shared" si="24"/>
        <v>294800.87</v>
      </c>
      <c r="G101" s="80">
        <f t="shared" si="17"/>
        <v>0</v>
      </c>
      <c r="H101" s="80">
        <f t="shared" si="20"/>
        <v>0</v>
      </c>
      <c r="I101" s="120">
        <f t="shared" si="18"/>
        <v>120600</v>
      </c>
      <c r="J101" s="120">
        <f t="shared" si="19"/>
        <v>60300</v>
      </c>
      <c r="K101" s="120">
        <f t="shared" si="21"/>
        <v>137577.77668400001</v>
      </c>
      <c r="L101" s="120"/>
      <c r="M101" s="141"/>
      <c r="N101" s="81">
        <f t="shared" si="22"/>
        <v>318478.87</v>
      </c>
      <c r="O101" s="134">
        <f t="shared" si="26"/>
        <v>328032.87</v>
      </c>
      <c r="P101" s="50">
        <f t="shared" si="25"/>
        <v>0.87000000000000055</v>
      </c>
    </row>
    <row r="102" spans="1:17" x14ac:dyDescent="0.3">
      <c r="A102" s="124">
        <f t="shared" si="27"/>
        <v>88</v>
      </c>
      <c r="B102" s="83" t="s">
        <v>86</v>
      </c>
      <c r="C102" s="82"/>
      <c r="D102" s="77">
        <v>1.1200000000000001</v>
      </c>
      <c r="E102" s="78">
        <v>246400.88</v>
      </c>
      <c r="F102" s="79">
        <f t="shared" si="24"/>
        <v>246400.88</v>
      </c>
      <c r="G102" s="80">
        <f t="shared" si="17"/>
        <v>0</v>
      </c>
      <c r="H102" s="80">
        <f t="shared" si="20"/>
        <v>0</v>
      </c>
      <c r="I102" s="120">
        <f t="shared" si="18"/>
        <v>100800.00000000001</v>
      </c>
      <c r="J102" s="120">
        <f t="shared" si="19"/>
        <v>50400.000000000007</v>
      </c>
      <c r="K102" s="120">
        <f t="shared" si="21"/>
        <v>114990.380512</v>
      </c>
      <c r="L102" s="120"/>
      <c r="M102" s="141"/>
      <c r="N102" s="81">
        <f t="shared" si="22"/>
        <v>266190.88</v>
      </c>
      <c r="O102" s="134">
        <f t="shared" si="26"/>
        <v>274176.88</v>
      </c>
      <c r="P102" s="50">
        <f t="shared" si="25"/>
        <v>0.88000000000000056</v>
      </c>
    </row>
    <row r="103" spans="1:17" x14ac:dyDescent="0.3">
      <c r="A103" s="124">
        <f t="shared" si="27"/>
        <v>89</v>
      </c>
      <c r="B103" s="83" t="s">
        <v>87</v>
      </c>
      <c r="C103" s="82"/>
      <c r="D103" s="77">
        <v>1.17</v>
      </c>
      <c r="E103" s="78">
        <v>257400.89</v>
      </c>
      <c r="F103" s="79">
        <f t="shared" si="24"/>
        <v>257400.89</v>
      </c>
      <c r="G103" s="80">
        <f t="shared" si="17"/>
        <v>0</v>
      </c>
      <c r="H103" s="80">
        <f t="shared" si="20"/>
        <v>0</v>
      </c>
      <c r="I103" s="120">
        <f t="shared" si="18"/>
        <v>105300</v>
      </c>
      <c r="J103" s="120">
        <f t="shared" si="19"/>
        <v>52650</v>
      </c>
      <c r="K103" s="120">
        <f t="shared" si="21"/>
        <v>120123.879642</v>
      </c>
      <c r="L103" s="120"/>
      <c r="M103" s="141"/>
      <c r="N103" s="81">
        <f t="shared" si="22"/>
        <v>278074.89</v>
      </c>
      <c r="O103" s="134">
        <f t="shared" si="26"/>
        <v>286416.89</v>
      </c>
      <c r="P103" s="50">
        <f t="shared" si="25"/>
        <v>0.89000000000000057</v>
      </c>
    </row>
    <row r="104" spans="1:17" x14ac:dyDescent="0.3">
      <c r="A104" s="124">
        <f t="shared" si="27"/>
        <v>90</v>
      </c>
      <c r="B104" s="83" t="s">
        <v>88</v>
      </c>
      <c r="C104" s="82"/>
      <c r="D104" s="77">
        <v>0.1</v>
      </c>
      <c r="E104" s="78">
        <v>22000.9</v>
      </c>
      <c r="F104" s="79">
        <f t="shared" si="24"/>
        <v>22000.9</v>
      </c>
      <c r="G104" s="80">
        <f t="shared" si="17"/>
        <v>0</v>
      </c>
      <c r="H104" s="80">
        <f t="shared" si="20"/>
        <v>0</v>
      </c>
      <c r="I104" s="120">
        <f t="shared" si="18"/>
        <v>9000</v>
      </c>
      <c r="J104" s="120">
        <f t="shared" si="19"/>
        <v>4500</v>
      </c>
      <c r="K104" s="120">
        <f t="shared" si="21"/>
        <v>10266.99826</v>
      </c>
      <c r="L104" s="120"/>
      <c r="M104" s="141"/>
      <c r="N104" s="81">
        <f t="shared" si="22"/>
        <v>23767.9</v>
      </c>
      <c r="O104" s="134">
        <f t="shared" si="26"/>
        <v>24480.9</v>
      </c>
      <c r="P104" s="50">
        <f t="shared" si="25"/>
        <v>0.90000000000000058</v>
      </c>
    </row>
    <row r="105" spans="1:17" x14ac:dyDescent="0.3">
      <c r="A105" s="124">
        <f t="shared" si="27"/>
        <v>91</v>
      </c>
      <c r="B105" s="83" t="s">
        <v>89</v>
      </c>
      <c r="C105" s="82"/>
      <c r="D105" s="77">
        <v>0.1</v>
      </c>
      <c r="E105" s="78">
        <v>23591.91</v>
      </c>
      <c r="F105" s="79">
        <f>E105</f>
        <v>23591.91</v>
      </c>
      <c r="G105" s="80">
        <f t="shared" si="17"/>
        <v>0</v>
      </c>
      <c r="H105" s="80">
        <f t="shared" si="20"/>
        <v>0</v>
      </c>
      <c r="I105" s="120">
        <f t="shared" si="18"/>
        <v>9000</v>
      </c>
      <c r="J105" s="120">
        <f t="shared" si="19"/>
        <v>4500</v>
      </c>
      <c r="K105" s="120">
        <f t="shared" si="21"/>
        <v>10266.99826</v>
      </c>
      <c r="L105" s="120"/>
      <c r="M105" s="141"/>
      <c r="N105" s="81">
        <f t="shared" si="22"/>
        <v>23767.91</v>
      </c>
      <c r="O105" s="134">
        <f t="shared" si="26"/>
        <v>24480.91</v>
      </c>
      <c r="P105" s="50">
        <f t="shared" si="25"/>
        <v>0.91000000000000059</v>
      </c>
    </row>
    <row r="106" spans="1:17" x14ac:dyDescent="0.3">
      <c r="A106" s="124">
        <f t="shared" si="27"/>
        <v>92</v>
      </c>
      <c r="B106" s="83" t="s">
        <v>90</v>
      </c>
      <c r="C106" s="82"/>
      <c r="D106" s="77">
        <v>0.1</v>
      </c>
      <c r="E106" s="78">
        <v>21394.92</v>
      </c>
      <c r="F106" s="79">
        <v>22036.92</v>
      </c>
      <c r="G106" s="80">
        <f t="shared" si="17"/>
        <v>-642</v>
      </c>
      <c r="H106" s="80">
        <f t="shared" si="20"/>
        <v>0</v>
      </c>
      <c r="I106" s="120">
        <f t="shared" si="18"/>
        <v>9000</v>
      </c>
      <c r="J106" s="120">
        <f t="shared" si="19"/>
        <v>4500</v>
      </c>
      <c r="K106" s="120">
        <f t="shared" si="21"/>
        <v>10266.99826</v>
      </c>
      <c r="L106" s="120"/>
      <c r="M106" s="141"/>
      <c r="N106" s="81">
        <f t="shared" si="22"/>
        <v>23125.919999999998</v>
      </c>
      <c r="O106" s="134">
        <f t="shared" si="26"/>
        <v>23819.919999999998</v>
      </c>
      <c r="P106" s="50">
        <f t="shared" si="25"/>
        <v>0.9200000000000006</v>
      </c>
    </row>
    <row r="107" spans="1:17" x14ac:dyDescent="0.3">
      <c r="A107" s="125">
        <f t="shared" si="27"/>
        <v>93</v>
      </c>
      <c r="B107" s="109" t="s">
        <v>91</v>
      </c>
      <c r="C107" s="108"/>
      <c r="D107" s="105">
        <v>0.1</v>
      </c>
      <c r="E107" s="79">
        <v>22000.93</v>
      </c>
      <c r="F107" s="79">
        <f>E107</f>
        <v>22000.93</v>
      </c>
      <c r="G107" s="106">
        <f t="shared" si="17"/>
        <v>0</v>
      </c>
      <c r="H107" s="106">
        <f t="shared" si="20"/>
        <v>0</v>
      </c>
      <c r="I107" s="121">
        <f t="shared" si="18"/>
        <v>9000</v>
      </c>
      <c r="J107" s="121">
        <f t="shared" si="19"/>
        <v>4500</v>
      </c>
      <c r="K107" s="120">
        <f t="shared" si="21"/>
        <v>10266.99826</v>
      </c>
      <c r="L107" s="121"/>
      <c r="M107" s="142"/>
      <c r="N107" s="81">
        <f t="shared" si="22"/>
        <v>23767.93</v>
      </c>
      <c r="O107" s="135">
        <f t="shared" si="26"/>
        <v>24480.93</v>
      </c>
      <c r="P107" s="50">
        <f t="shared" si="25"/>
        <v>0.9300000000000006</v>
      </c>
    </row>
    <row r="108" spans="1:17" x14ac:dyDescent="0.3">
      <c r="A108" s="125">
        <f t="shared" si="27"/>
        <v>94</v>
      </c>
      <c r="B108" s="109" t="s">
        <v>92</v>
      </c>
      <c r="C108" s="108"/>
      <c r="D108" s="105">
        <v>0.1</v>
      </c>
      <c r="E108" s="79">
        <v>22000.94</v>
      </c>
      <c r="F108" s="79">
        <f t="shared" ref="F108:F113" si="28">E108</f>
        <v>22000.94</v>
      </c>
      <c r="G108" s="106">
        <f t="shared" si="17"/>
        <v>0</v>
      </c>
      <c r="H108" s="106">
        <f t="shared" si="20"/>
        <v>0</v>
      </c>
      <c r="I108" s="121">
        <f>J$2*D108/100</f>
        <v>9000</v>
      </c>
      <c r="J108" s="121">
        <f t="shared" si="19"/>
        <v>4500</v>
      </c>
      <c r="K108" s="120">
        <f t="shared" si="21"/>
        <v>10266.99826</v>
      </c>
      <c r="L108" s="121"/>
      <c r="M108" s="142"/>
      <c r="N108" s="81">
        <f t="shared" si="22"/>
        <v>23767.94</v>
      </c>
      <c r="O108" s="135">
        <f t="shared" si="26"/>
        <v>24480.94</v>
      </c>
      <c r="P108" s="50">
        <f t="shared" si="25"/>
        <v>0.94000000000000061</v>
      </c>
    </row>
    <row r="109" spans="1:17" ht="24" customHeight="1" x14ac:dyDescent="0.3">
      <c r="A109" s="125">
        <f t="shared" si="27"/>
        <v>95</v>
      </c>
      <c r="B109" s="109" t="s">
        <v>164</v>
      </c>
      <c r="C109" s="108"/>
      <c r="D109" s="105">
        <v>0.1</v>
      </c>
      <c r="E109" s="79">
        <v>22000.95</v>
      </c>
      <c r="F109" s="79">
        <f t="shared" si="28"/>
        <v>22000.95</v>
      </c>
      <c r="G109" s="106">
        <f t="shared" si="17"/>
        <v>0</v>
      </c>
      <c r="H109" s="106">
        <f t="shared" si="20"/>
        <v>0</v>
      </c>
      <c r="I109" s="121">
        <f t="shared" si="18"/>
        <v>9000</v>
      </c>
      <c r="J109" s="121">
        <f t="shared" si="19"/>
        <v>4500</v>
      </c>
      <c r="K109" s="120">
        <f t="shared" si="21"/>
        <v>10266.99826</v>
      </c>
      <c r="L109" s="121"/>
      <c r="M109" s="142"/>
      <c r="N109" s="81">
        <f t="shared" si="22"/>
        <v>23767.95</v>
      </c>
      <c r="O109" s="135">
        <f t="shared" si="26"/>
        <v>24480.95</v>
      </c>
      <c r="P109" s="50">
        <f t="shared" si="25"/>
        <v>0.95000000000000062</v>
      </c>
    </row>
    <row r="110" spans="1:17" x14ac:dyDescent="0.3">
      <c r="A110" s="125">
        <f t="shared" si="27"/>
        <v>96</v>
      </c>
      <c r="B110" s="109" t="s">
        <v>92</v>
      </c>
      <c r="C110" s="108"/>
      <c r="D110" s="105">
        <v>0.1</v>
      </c>
      <c r="E110" s="79">
        <v>22000.959999999999</v>
      </c>
      <c r="F110" s="79">
        <f>E110</f>
        <v>22000.959999999999</v>
      </c>
      <c r="G110" s="106">
        <f t="shared" si="17"/>
        <v>0</v>
      </c>
      <c r="H110" s="106">
        <f t="shared" si="20"/>
        <v>0</v>
      </c>
      <c r="I110" s="121">
        <f t="shared" si="18"/>
        <v>9000</v>
      </c>
      <c r="J110" s="121">
        <f t="shared" si="19"/>
        <v>4500</v>
      </c>
      <c r="K110" s="120">
        <f t="shared" si="21"/>
        <v>10266.99826</v>
      </c>
      <c r="L110" s="121"/>
      <c r="M110" s="142"/>
      <c r="N110" s="81">
        <f t="shared" si="22"/>
        <v>23767.96</v>
      </c>
      <c r="O110" s="135">
        <f t="shared" si="26"/>
        <v>24480.959999999999</v>
      </c>
      <c r="P110" s="50">
        <f t="shared" si="25"/>
        <v>0.96000000000000063</v>
      </c>
      <c r="Q110" t="s">
        <v>153</v>
      </c>
    </row>
    <row r="111" spans="1:17" x14ac:dyDescent="0.3">
      <c r="A111" s="125">
        <f t="shared" si="27"/>
        <v>97</v>
      </c>
      <c r="B111" s="109" t="s">
        <v>93</v>
      </c>
      <c r="C111" s="108"/>
      <c r="D111" s="105">
        <v>0.1</v>
      </c>
      <c r="E111" s="79">
        <v>22000.97</v>
      </c>
      <c r="F111" s="79">
        <f t="shared" si="28"/>
        <v>22000.97</v>
      </c>
      <c r="G111" s="106">
        <f t="shared" si="17"/>
        <v>0</v>
      </c>
      <c r="H111" s="106">
        <f t="shared" si="20"/>
        <v>0</v>
      </c>
      <c r="I111" s="121">
        <f t="shared" ref="I111:I117" si="29">J$2*D111/100</f>
        <v>9000</v>
      </c>
      <c r="J111" s="121">
        <f t="shared" ref="J111:J117" si="30">E$2*D111/100</f>
        <v>4500</v>
      </c>
      <c r="K111" s="120">
        <f t="shared" si="21"/>
        <v>10266.99826</v>
      </c>
      <c r="L111" s="121"/>
      <c r="M111" s="142"/>
      <c r="N111" s="81">
        <f t="shared" si="22"/>
        <v>23767.97</v>
      </c>
      <c r="O111" s="135">
        <f t="shared" si="26"/>
        <v>24480.97</v>
      </c>
      <c r="P111" s="50">
        <f t="shared" si="25"/>
        <v>0.97000000000000064</v>
      </c>
    </row>
    <row r="112" spans="1:17" x14ac:dyDescent="0.3">
      <c r="A112" s="125">
        <f t="shared" si="27"/>
        <v>98</v>
      </c>
      <c r="B112" s="109" t="s">
        <v>94</v>
      </c>
      <c r="C112" s="108"/>
      <c r="D112" s="105">
        <v>0.1</v>
      </c>
      <c r="E112" s="79">
        <v>22000.98</v>
      </c>
      <c r="F112" s="79">
        <f>E112</f>
        <v>22000.98</v>
      </c>
      <c r="G112" s="106">
        <f t="shared" si="17"/>
        <v>0</v>
      </c>
      <c r="H112" s="106">
        <f t="shared" si="20"/>
        <v>0</v>
      </c>
      <c r="I112" s="121">
        <f t="shared" si="29"/>
        <v>9000</v>
      </c>
      <c r="J112" s="121">
        <f t="shared" si="30"/>
        <v>4500</v>
      </c>
      <c r="K112" s="120">
        <f t="shared" si="21"/>
        <v>10266.99826</v>
      </c>
      <c r="L112" s="121"/>
      <c r="M112" s="142"/>
      <c r="N112" s="81">
        <f t="shared" si="22"/>
        <v>23767.98</v>
      </c>
      <c r="O112" s="135">
        <f t="shared" si="26"/>
        <v>24480.98</v>
      </c>
      <c r="P112" s="50">
        <f t="shared" si="25"/>
        <v>0.98000000000000065</v>
      </c>
    </row>
    <row r="113" spans="1:16" x14ac:dyDescent="0.3">
      <c r="A113" s="125">
        <f t="shared" si="27"/>
        <v>99</v>
      </c>
      <c r="B113" s="109" t="s">
        <v>95</v>
      </c>
      <c r="C113" s="108"/>
      <c r="D113" s="105">
        <v>0.1</v>
      </c>
      <c r="E113" s="79">
        <v>22000.99</v>
      </c>
      <c r="F113" s="79">
        <f t="shared" si="28"/>
        <v>22000.99</v>
      </c>
      <c r="G113" s="106">
        <f t="shared" si="17"/>
        <v>0</v>
      </c>
      <c r="H113" s="106">
        <f t="shared" si="20"/>
        <v>0</v>
      </c>
      <c r="I113" s="121">
        <f t="shared" si="29"/>
        <v>9000</v>
      </c>
      <c r="J113" s="121">
        <f t="shared" si="30"/>
        <v>4500</v>
      </c>
      <c r="K113" s="120">
        <f t="shared" si="21"/>
        <v>10266.99826</v>
      </c>
      <c r="L113" s="121"/>
      <c r="M113" s="142"/>
      <c r="N113" s="81">
        <f t="shared" si="22"/>
        <v>23767.99</v>
      </c>
      <c r="O113" s="135">
        <f t="shared" si="26"/>
        <v>24480.99</v>
      </c>
      <c r="P113" s="50">
        <f t="shared" si="25"/>
        <v>0.99000000000000066</v>
      </c>
    </row>
    <row r="114" spans="1:16" x14ac:dyDescent="0.3">
      <c r="A114" s="125">
        <f t="shared" si="27"/>
        <v>100</v>
      </c>
      <c r="B114" s="109" t="s">
        <v>96</v>
      </c>
      <c r="C114" s="108"/>
      <c r="D114" s="105">
        <v>0.1</v>
      </c>
      <c r="E114" s="79">
        <v>-4806</v>
      </c>
      <c r="F114" s="79"/>
      <c r="G114" s="106">
        <f t="shared" si="17"/>
        <v>-4806</v>
      </c>
      <c r="H114" s="106">
        <f t="shared" si="20"/>
        <v>0</v>
      </c>
      <c r="I114" s="121">
        <f t="shared" si="29"/>
        <v>9000</v>
      </c>
      <c r="J114" s="121">
        <f t="shared" si="30"/>
        <v>4500</v>
      </c>
      <c r="K114" s="120">
        <f t="shared" si="21"/>
        <v>10266.99826</v>
      </c>
      <c r="L114" s="121"/>
      <c r="M114" s="142"/>
      <c r="N114" s="81">
        <f t="shared" si="22"/>
        <v>18962</v>
      </c>
      <c r="O114" s="135">
        <f t="shared" si="26"/>
        <v>19531</v>
      </c>
      <c r="P114" s="50">
        <f t="shared" si="25"/>
        <v>1.0000000000000007</v>
      </c>
    </row>
    <row r="115" spans="1:16" x14ac:dyDescent="0.3">
      <c r="A115" s="125">
        <f t="shared" si="27"/>
        <v>101</v>
      </c>
      <c r="B115" s="103" t="s">
        <v>97</v>
      </c>
      <c r="C115" s="108"/>
      <c r="D115" s="105">
        <v>0.1</v>
      </c>
      <c r="E115" s="79">
        <v>22001.01</v>
      </c>
      <c r="F115" s="79">
        <f>E115</f>
        <v>22001.01</v>
      </c>
      <c r="G115" s="106">
        <f t="shared" si="17"/>
        <v>0</v>
      </c>
      <c r="H115" s="106">
        <f t="shared" si="20"/>
        <v>0</v>
      </c>
      <c r="I115" s="121">
        <f t="shared" si="29"/>
        <v>9000</v>
      </c>
      <c r="J115" s="121">
        <f t="shared" si="30"/>
        <v>4500</v>
      </c>
      <c r="K115" s="120">
        <f t="shared" si="21"/>
        <v>10266.99826</v>
      </c>
      <c r="L115" s="121"/>
      <c r="M115" s="142"/>
      <c r="N115" s="81">
        <f t="shared" si="22"/>
        <v>23768.01</v>
      </c>
      <c r="O115" s="135">
        <f t="shared" si="26"/>
        <v>24481.01</v>
      </c>
      <c r="P115" s="50">
        <f t="shared" si="25"/>
        <v>1.0100000000000007</v>
      </c>
    </row>
    <row r="116" spans="1:16" x14ac:dyDescent="0.3">
      <c r="A116" s="125">
        <f t="shared" si="27"/>
        <v>102</v>
      </c>
      <c r="B116" s="103" t="s">
        <v>98</v>
      </c>
      <c r="C116" s="108"/>
      <c r="D116" s="105">
        <v>0.1</v>
      </c>
      <c r="E116" s="79">
        <v>22001.02</v>
      </c>
      <c r="F116" s="79">
        <f>E116</f>
        <v>22001.02</v>
      </c>
      <c r="G116" s="106">
        <f t="shared" si="17"/>
        <v>0</v>
      </c>
      <c r="H116" s="106">
        <f t="shared" si="20"/>
        <v>0</v>
      </c>
      <c r="I116" s="121">
        <f t="shared" si="29"/>
        <v>9000</v>
      </c>
      <c r="J116" s="121">
        <f t="shared" si="30"/>
        <v>4500</v>
      </c>
      <c r="K116" s="120">
        <f t="shared" si="21"/>
        <v>10266.99826</v>
      </c>
      <c r="L116" s="121"/>
      <c r="M116" s="142"/>
      <c r="N116" s="81">
        <f t="shared" si="22"/>
        <v>23768.02</v>
      </c>
      <c r="O116" s="135">
        <f t="shared" si="26"/>
        <v>24481.02</v>
      </c>
      <c r="P116" s="50">
        <f t="shared" si="25"/>
        <v>1.0200000000000007</v>
      </c>
    </row>
    <row r="117" spans="1:16" x14ac:dyDescent="0.3">
      <c r="A117" s="125">
        <f t="shared" si="27"/>
        <v>103</v>
      </c>
      <c r="B117" s="109" t="s">
        <v>185</v>
      </c>
      <c r="C117" s="108"/>
      <c r="D117" s="105">
        <v>0.1</v>
      </c>
      <c r="E117" s="79">
        <v>22001.03</v>
      </c>
      <c r="F117" s="79">
        <f>E117</f>
        <v>22001.03</v>
      </c>
      <c r="G117" s="106">
        <f t="shared" si="17"/>
        <v>0</v>
      </c>
      <c r="H117" s="106">
        <f t="shared" si="20"/>
        <v>0</v>
      </c>
      <c r="I117" s="121">
        <f t="shared" si="29"/>
        <v>9000</v>
      </c>
      <c r="J117" s="121">
        <f t="shared" si="30"/>
        <v>4500</v>
      </c>
      <c r="K117" s="120">
        <f t="shared" si="21"/>
        <v>10266.99826</v>
      </c>
      <c r="L117" s="121"/>
      <c r="M117" s="142"/>
      <c r="N117" s="81">
        <f t="shared" si="22"/>
        <v>23768.03</v>
      </c>
      <c r="O117" s="135">
        <f t="shared" si="26"/>
        <v>24481.03</v>
      </c>
      <c r="P117" s="50">
        <f t="shared" si="25"/>
        <v>1.0300000000000007</v>
      </c>
    </row>
    <row r="118" spans="1:16" x14ac:dyDescent="0.3">
      <c r="A118" s="125"/>
      <c r="B118" s="103"/>
      <c r="C118" s="108"/>
      <c r="D118" s="105"/>
      <c r="E118" s="79"/>
      <c r="F118" s="79"/>
      <c r="G118" s="106"/>
      <c r="H118" s="106"/>
      <c r="I118" s="121"/>
      <c r="J118" s="121"/>
      <c r="K118" s="121"/>
      <c r="L118" s="121"/>
      <c r="M118" s="142"/>
      <c r="N118" s="107"/>
      <c r="O118" s="135"/>
      <c r="P118" s="50"/>
    </row>
    <row r="119" spans="1:16" ht="17.100000000000001" customHeight="1" thickBot="1" x14ac:dyDescent="0.35">
      <c r="A119" s="127"/>
      <c r="B119" s="128"/>
      <c r="C119" s="128"/>
      <c r="D119" s="129">
        <f t="shared" ref="D119:O119" si="31">SUM(D15:D118)</f>
        <v>100.15999999999993</v>
      </c>
      <c r="E119" s="130">
        <f t="shared" si="31"/>
        <v>47168728.960000001</v>
      </c>
      <c r="F119" s="213">
        <f>SUM(F15:F118)</f>
        <v>20030676.670000002</v>
      </c>
      <c r="G119" s="131">
        <f t="shared" si="31"/>
        <v>27138052.289999999</v>
      </c>
      <c r="H119" s="131">
        <f t="shared" si="31"/>
        <v>737556.28410000005</v>
      </c>
      <c r="I119" s="132">
        <f t="shared" si="31"/>
        <v>9014400</v>
      </c>
      <c r="J119" s="131">
        <f t="shared" si="31"/>
        <v>4507200</v>
      </c>
      <c r="K119" s="133"/>
      <c r="L119" s="133"/>
      <c r="M119" s="144"/>
      <c r="N119" s="140">
        <f t="shared" si="31"/>
        <v>52861973.560000002</v>
      </c>
      <c r="O119" s="137">
        <f t="shared" si="31"/>
        <v>54447842.560000002</v>
      </c>
    </row>
    <row r="120" spans="1:16" ht="12.75" customHeight="1" x14ac:dyDescent="0.3">
      <c r="B120" s="84"/>
      <c r="C120" s="84"/>
    </row>
    <row r="121" spans="1:16" hidden="1" x14ac:dyDescent="0.3"/>
    <row r="122" spans="1:16" ht="9" customHeight="1" x14ac:dyDescent="0.3">
      <c r="B122" s="277" t="s">
        <v>103</v>
      </c>
      <c r="C122" s="277"/>
      <c r="D122" s="277"/>
      <c r="E122" s="277"/>
      <c r="F122" s="277"/>
      <c r="G122" s="277"/>
      <c r="H122" s="277"/>
      <c r="I122" s="277"/>
      <c r="J122" s="277"/>
      <c r="K122" s="277"/>
      <c r="L122" s="277"/>
      <c r="M122" s="277"/>
      <c r="N122" s="277"/>
    </row>
    <row r="123" spans="1:16" ht="12" hidden="1" customHeight="1" x14ac:dyDescent="0.3">
      <c r="B123" s="277"/>
      <c r="C123" s="277"/>
      <c r="D123" s="277"/>
      <c r="E123" s="277"/>
      <c r="F123" s="277"/>
      <c r="G123" s="277"/>
      <c r="H123" s="277"/>
      <c r="I123" s="277"/>
      <c r="J123" s="277"/>
      <c r="K123" s="277"/>
      <c r="L123" s="277"/>
      <c r="M123" s="277"/>
      <c r="N123" s="277"/>
    </row>
    <row r="124" spans="1:16" ht="12" hidden="1" customHeight="1" x14ac:dyDescent="0.3">
      <c r="B124" s="277"/>
      <c r="C124" s="277"/>
      <c r="D124" s="277"/>
      <c r="E124" s="277"/>
      <c r="F124" s="277"/>
      <c r="G124" s="277"/>
      <c r="H124" s="277"/>
      <c r="I124" s="277"/>
      <c r="J124" s="277"/>
      <c r="K124" s="277"/>
      <c r="L124" s="277"/>
      <c r="M124" s="277"/>
      <c r="N124" s="277"/>
    </row>
    <row r="125" spans="1:16" ht="12" hidden="1" customHeight="1" x14ac:dyDescent="0.3">
      <c r="B125" s="277"/>
      <c r="C125" s="277"/>
      <c r="D125" s="277"/>
      <c r="E125" s="277"/>
      <c r="F125" s="277"/>
      <c r="G125" s="277"/>
      <c r="H125" s="277"/>
      <c r="I125" s="277"/>
      <c r="J125" s="277"/>
      <c r="K125" s="277"/>
      <c r="L125" s="277"/>
      <c r="M125" s="277"/>
      <c r="N125" s="277"/>
    </row>
    <row r="126" spans="1:16" ht="12" hidden="1" customHeight="1" x14ac:dyDescent="0.3">
      <c r="B126" s="277"/>
      <c r="C126" s="277"/>
      <c r="D126" s="277"/>
      <c r="E126" s="277"/>
      <c r="F126" s="277"/>
      <c r="G126" s="277"/>
      <c r="H126" s="277"/>
      <c r="I126" s="277"/>
      <c r="J126" s="277"/>
      <c r="K126" s="277"/>
      <c r="L126" s="277"/>
      <c r="M126" s="277"/>
      <c r="N126" s="277"/>
    </row>
    <row r="127" spans="1:16" ht="67.5" customHeight="1" x14ac:dyDescent="0.3">
      <c r="B127" s="277"/>
      <c r="C127" s="277"/>
      <c r="D127" s="277"/>
      <c r="E127" s="277"/>
      <c r="F127" s="277"/>
      <c r="G127" s="277"/>
      <c r="H127" s="277"/>
      <c r="I127" s="277"/>
      <c r="J127" s="277"/>
      <c r="K127" s="277"/>
      <c r="L127" s="277"/>
      <c r="M127" s="277"/>
      <c r="N127" s="277"/>
    </row>
    <row r="130" spans="1:2" x14ac:dyDescent="0.3">
      <c r="B130">
        <v>1631378.049999997</v>
      </c>
    </row>
    <row r="134" spans="1:2" x14ac:dyDescent="0.3">
      <c r="A134" t="s">
        <v>216</v>
      </c>
      <c r="B134" s="192">
        <v>-3942</v>
      </c>
    </row>
    <row r="135" spans="1:2" x14ac:dyDescent="0.3">
      <c r="A135" t="s">
        <v>215</v>
      </c>
      <c r="B135">
        <v>-132000</v>
      </c>
    </row>
  </sheetData>
  <mergeCells count="22">
    <mergeCell ref="B122:N127"/>
    <mergeCell ref="D1:N1"/>
    <mergeCell ref="A4:O8"/>
    <mergeCell ref="A13:A14"/>
    <mergeCell ref="B13:B14"/>
    <mergeCell ref="C13:C14"/>
    <mergeCell ref="D13:D14"/>
    <mergeCell ref="E13:E14"/>
    <mergeCell ref="F13:F14"/>
    <mergeCell ref="G13:G14"/>
    <mergeCell ref="H13:H14"/>
    <mergeCell ref="A9:O9"/>
    <mergeCell ref="A12:O12"/>
    <mergeCell ref="E2:F2"/>
    <mergeCell ref="I13:I14"/>
    <mergeCell ref="L13:L14"/>
    <mergeCell ref="M13:M14"/>
    <mergeCell ref="J13:J14"/>
    <mergeCell ref="A10:O10"/>
    <mergeCell ref="A11:O11"/>
    <mergeCell ref="O13:O14"/>
    <mergeCell ref="K13:K14"/>
  </mergeCells>
  <pageMargins left="0.23622047244094491" right="0.23622047244094491" top="0.74803149606299213" bottom="0.74803149606299213" header="0.31496062992125984" footer="0.31496062992125984"/>
  <pageSetup scale="7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3:N41"/>
  <sheetViews>
    <sheetView topLeftCell="A18" zoomScaleNormal="100" workbookViewId="0">
      <selection activeCell="C42" sqref="C42"/>
    </sheetView>
  </sheetViews>
  <sheetFormatPr baseColWidth="10" defaultColWidth="10.88671875" defaultRowHeight="14.4" x14ac:dyDescent="0.3"/>
  <cols>
    <col min="3" max="3" width="12.6640625" bestFit="1" customWidth="1"/>
    <col min="9" max="9" width="13" bestFit="1" customWidth="1"/>
  </cols>
  <sheetData>
    <row r="3" spans="3:14" ht="15" thickBot="1" x14ac:dyDescent="0.35">
      <c r="C3" s="19"/>
    </row>
    <row r="4" spans="3:14" ht="13.2" customHeight="1" x14ac:dyDescent="0.3">
      <c r="C4" s="195" t="s">
        <v>188</v>
      </c>
      <c r="D4" s="196">
        <v>1</v>
      </c>
      <c r="E4" s="161"/>
      <c r="F4" s="161"/>
      <c r="G4" s="161"/>
      <c r="H4" s="161"/>
      <c r="I4" s="161"/>
      <c r="J4" s="162"/>
      <c r="K4" s="19"/>
      <c r="L4" s="19"/>
      <c r="M4" s="19"/>
    </row>
    <row r="5" spans="3:14" ht="14.4" customHeight="1" x14ac:dyDescent="0.3">
      <c r="C5" s="197" t="s">
        <v>189</v>
      </c>
      <c r="D5" s="198"/>
      <c r="E5" t="s">
        <v>190</v>
      </c>
      <c r="G5" t="s">
        <v>191</v>
      </c>
      <c r="J5" s="163"/>
      <c r="K5" s="19"/>
      <c r="L5" s="19"/>
      <c r="M5" s="19"/>
      <c r="N5" s="19"/>
    </row>
    <row r="6" spans="3:14" x14ac:dyDescent="0.3">
      <c r="C6" s="197" t="s">
        <v>192</v>
      </c>
      <c r="D6" s="198" t="s">
        <v>193</v>
      </c>
      <c r="E6" t="s">
        <v>194</v>
      </c>
      <c r="G6" t="s">
        <v>127</v>
      </c>
      <c r="H6" t="s">
        <v>281</v>
      </c>
      <c r="J6" s="163"/>
      <c r="K6" s="19"/>
      <c r="L6" s="19"/>
      <c r="M6" s="19"/>
      <c r="N6" s="19"/>
    </row>
    <row r="7" spans="3:14" ht="15" thickBot="1" x14ac:dyDescent="0.35">
      <c r="C7" s="47" t="s">
        <v>195</v>
      </c>
      <c r="J7" s="163"/>
      <c r="K7" s="19"/>
      <c r="L7" s="19"/>
      <c r="M7" s="19"/>
      <c r="N7" s="19"/>
    </row>
    <row r="8" spans="3:14" x14ac:dyDescent="0.3">
      <c r="C8" s="303" t="s">
        <v>282</v>
      </c>
      <c r="D8" s="304"/>
      <c r="E8" s="304"/>
      <c r="F8" s="304"/>
      <c r="G8" s="304"/>
      <c r="H8" s="304"/>
      <c r="I8" s="304"/>
      <c r="J8" s="305"/>
      <c r="K8" s="19"/>
      <c r="L8" s="19"/>
      <c r="M8" s="19"/>
      <c r="N8" s="19"/>
    </row>
    <row r="9" spans="3:14" ht="15" thickBot="1" x14ac:dyDescent="0.35">
      <c r="C9" s="306"/>
      <c r="D9" s="307"/>
      <c r="E9" s="307"/>
      <c r="F9" s="307"/>
      <c r="G9" s="307"/>
      <c r="H9" s="307"/>
      <c r="I9" s="307"/>
      <c r="J9" s="308"/>
      <c r="K9" s="19"/>
      <c r="L9" s="19"/>
      <c r="M9" s="19"/>
      <c r="N9" s="19"/>
    </row>
    <row r="10" spans="3:14" x14ac:dyDescent="0.3">
      <c r="K10" s="19"/>
      <c r="L10" s="19"/>
      <c r="M10" s="19"/>
    </row>
    <row r="11" spans="3:14" ht="15" thickBot="1" x14ac:dyDescent="0.35">
      <c r="C11" s="225"/>
      <c r="D11" s="225"/>
    </row>
    <row r="12" spans="3:14" x14ac:dyDescent="0.3">
      <c r="C12" s="226" t="s">
        <v>188</v>
      </c>
      <c r="D12" s="227">
        <v>1</v>
      </c>
      <c r="E12" s="161"/>
      <c r="F12" s="161"/>
      <c r="G12" s="161"/>
      <c r="H12" s="161"/>
      <c r="I12" s="161"/>
      <c r="J12" s="162"/>
    </row>
    <row r="13" spans="3:14" x14ac:dyDescent="0.3">
      <c r="C13" s="228" t="s">
        <v>189</v>
      </c>
      <c r="D13" s="225"/>
      <c r="E13" t="s">
        <v>190</v>
      </c>
      <c r="G13" t="s">
        <v>191</v>
      </c>
      <c r="H13" t="s">
        <v>284</v>
      </c>
      <c r="J13" s="163"/>
    </row>
    <row r="14" spans="3:14" x14ac:dyDescent="0.3">
      <c r="C14" s="228" t="s">
        <v>192</v>
      </c>
      <c r="D14" s="225" t="s">
        <v>193</v>
      </c>
      <c r="E14" t="s">
        <v>194</v>
      </c>
      <c r="G14" t="s">
        <v>127</v>
      </c>
      <c r="H14" t="s">
        <v>283</v>
      </c>
      <c r="J14" s="163"/>
    </row>
    <row r="15" spans="3:14" ht="15" thickBot="1" x14ac:dyDescent="0.35">
      <c r="C15" s="47" t="s">
        <v>195</v>
      </c>
      <c r="J15" s="163"/>
    </row>
    <row r="16" spans="3:14" x14ac:dyDescent="0.3">
      <c r="C16" s="303" t="s">
        <v>285</v>
      </c>
      <c r="D16" s="304"/>
      <c r="E16" s="304"/>
      <c r="F16" s="304"/>
      <c r="G16" s="304"/>
      <c r="H16" s="304"/>
      <c r="I16" s="304"/>
      <c r="J16" s="305"/>
    </row>
    <row r="17" spans="3:10" ht="53.4" customHeight="1" thickBot="1" x14ac:dyDescent="0.35">
      <c r="C17" s="306"/>
      <c r="D17" s="307"/>
      <c r="E17" s="307"/>
      <c r="F17" s="307"/>
      <c r="G17" s="307"/>
      <c r="H17" s="307"/>
      <c r="I17" s="307"/>
      <c r="J17" s="308"/>
    </row>
    <row r="19" spans="3:10" ht="15" thickBot="1" x14ac:dyDescent="0.35"/>
    <row r="20" spans="3:10" x14ac:dyDescent="0.3">
      <c r="C20" s="231" t="s">
        <v>188</v>
      </c>
      <c r="D20" s="232">
        <v>1</v>
      </c>
      <c r="E20" s="161"/>
      <c r="F20" s="161"/>
      <c r="G20" s="161"/>
      <c r="H20" s="161"/>
      <c r="I20" s="161"/>
      <c r="J20" s="162"/>
    </row>
    <row r="21" spans="3:10" x14ac:dyDescent="0.3">
      <c r="C21" s="233" t="s">
        <v>189</v>
      </c>
      <c r="D21" s="234"/>
      <c r="E21" t="s">
        <v>190</v>
      </c>
      <c r="G21" t="s">
        <v>191</v>
      </c>
      <c r="J21" s="163"/>
    </row>
    <row r="22" spans="3:10" x14ac:dyDescent="0.3">
      <c r="C22" s="233" t="s">
        <v>192</v>
      </c>
      <c r="D22" s="234" t="s">
        <v>193</v>
      </c>
      <c r="E22" t="s">
        <v>194</v>
      </c>
      <c r="G22" t="s">
        <v>127</v>
      </c>
      <c r="H22" t="s">
        <v>288</v>
      </c>
      <c r="J22" s="163"/>
    </row>
    <row r="23" spans="3:10" ht="15" thickBot="1" x14ac:dyDescent="0.35">
      <c r="C23" s="47" t="s">
        <v>195</v>
      </c>
      <c r="J23" s="163"/>
    </row>
    <row r="24" spans="3:10" x14ac:dyDescent="0.3">
      <c r="C24" s="303" t="s">
        <v>289</v>
      </c>
      <c r="D24" s="304"/>
      <c r="E24" s="304"/>
      <c r="F24" s="304"/>
      <c r="G24" s="304"/>
      <c r="H24" s="304"/>
      <c r="I24" s="304"/>
      <c r="J24" s="305"/>
    </row>
    <row r="25" spans="3:10" ht="15" thickBot="1" x14ac:dyDescent="0.35">
      <c r="C25" s="306"/>
      <c r="D25" s="307"/>
      <c r="E25" s="307"/>
      <c r="F25" s="307"/>
      <c r="G25" s="307"/>
      <c r="H25" s="307"/>
      <c r="I25" s="307"/>
      <c r="J25" s="308"/>
    </row>
    <row r="27" spans="3:10" ht="15" thickBot="1" x14ac:dyDescent="0.35"/>
    <row r="28" spans="3:10" x14ac:dyDescent="0.3">
      <c r="C28" s="237" t="s">
        <v>188</v>
      </c>
      <c r="D28" s="238">
        <v>1</v>
      </c>
      <c r="E28" s="161"/>
      <c r="F28" s="161"/>
      <c r="G28" s="161"/>
      <c r="H28" s="161"/>
      <c r="I28" s="161"/>
      <c r="J28" s="162"/>
    </row>
    <row r="29" spans="3:10" x14ac:dyDescent="0.3">
      <c r="C29" s="239" t="s">
        <v>189</v>
      </c>
      <c r="D29" s="240"/>
      <c r="E29" t="s">
        <v>190</v>
      </c>
      <c r="G29" t="s">
        <v>191</v>
      </c>
      <c r="J29" s="163"/>
    </row>
    <row r="30" spans="3:10" x14ac:dyDescent="0.3">
      <c r="C30" s="239" t="s">
        <v>192</v>
      </c>
      <c r="D30" s="240" t="s">
        <v>193</v>
      </c>
      <c r="E30" t="s">
        <v>194</v>
      </c>
      <c r="G30" t="s">
        <v>127</v>
      </c>
      <c r="H30" t="s">
        <v>286</v>
      </c>
      <c r="J30" s="163"/>
    </row>
    <row r="31" spans="3:10" ht="15" thickBot="1" x14ac:dyDescent="0.35">
      <c r="C31" s="239" t="s">
        <v>195</v>
      </c>
      <c r="D31" s="240"/>
      <c r="J31" s="163"/>
    </row>
    <row r="32" spans="3:10" x14ac:dyDescent="0.3">
      <c r="C32" s="303" t="s">
        <v>287</v>
      </c>
      <c r="D32" s="304"/>
      <c r="E32" s="304"/>
      <c r="F32" s="304"/>
      <c r="G32" s="304"/>
      <c r="H32" s="304"/>
      <c r="I32" s="304"/>
      <c r="J32" s="305"/>
    </row>
    <row r="33" spans="3:10" ht="15" thickBot="1" x14ac:dyDescent="0.35">
      <c r="C33" s="306"/>
      <c r="D33" s="307"/>
      <c r="E33" s="307"/>
      <c r="F33" s="307"/>
      <c r="G33" s="307"/>
      <c r="H33" s="307"/>
      <c r="I33" s="307"/>
      <c r="J33" s="308"/>
    </row>
    <row r="35" spans="3:10" ht="15" thickBot="1" x14ac:dyDescent="0.35"/>
    <row r="36" spans="3:10" x14ac:dyDescent="0.3">
      <c r="C36" s="311" t="s">
        <v>188</v>
      </c>
      <c r="D36" s="312">
        <v>1</v>
      </c>
      <c r="E36" s="161"/>
      <c r="F36" s="161"/>
      <c r="G36" s="161"/>
      <c r="H36" s="161"/>
      <c r="I36" s="161"/>
      <c r="J36" s="162"/>
    </row>
    <row r="37" spans="3:10" x14ac:dyDescent="0.3">
      <c r="C37" s="313" t="s">
        <v>189</v>
      </c>
      <c r="D37" s="314"/>
      <c r="E37" t="s">
        <v>190</v>
      </c>
      <c r="G37" t="s">
        <v>191</v>
      </c>
      <c r="J37" s="163"/>
    </row>
    <row r="38" spans="3:10" x14ac:dyDescent="0.3">
      <c r="C38" s="313" t="s">
        <v>192</v>
      </c>
      <c r="D38" s="314" t="s">
        <v>193</v>
      </c>
      <c r="E38" t="s">
        <v>194</v>
      </c>
      <c r="G38" t="s">
        <v>127</v>
      </c>
      <c r="H38" t="s">
        <v>290</v>
      </c>
      <c r="J38" s="163"/>
    </row>
    <row r="39" spans="3:10" ht="15" thickBot="1" x14ac:dyDescent="0.35">
      <c r="C39" s="313" t="s">
        <v>195</v>
      </c>
      <c r="D39" s="314"/>
      <c r="J39" s="163"/>
    </row>
    <row r="40" spans="3:10" x14ac:dyDescent="0.3">
      <c r="C40" s="303" t="s">
        <v>291</v>
      </c>
      <c r="D40" s="304"/>
      <c r="E40" s="304"/>
      <c r="F40" s="304"/>
      <c r="G40" s="304"/>
      <c r="H40" s="304"/>
      <c r="I40" s="304"/>
      <c r="J40" s="305"/>
    </row>
    <row r="41" spans="3:10" ht="15" thickBot="1" x14ac:dyDescent="0.35">
      <c r="C41" s="306"/>
      <c r="D41" s="307"/>
      <c r="E41" s="307"/>
      <c r="F41" s="307"/>
      <c r="G41" s="307"/>
      <c r="H41" s="307"/>
      <c r="I41" s="307"/>
      <c r="J41" s="308"/>
    </row>
  </sheetData>
  <mergeCells count="5">
    <mergeCell ref="C8:J9"/>
    <mergeCell ref="C16:J17"/>
    <mergeCell ref="C24:J25"/>
    <mergeCell ref="C32:J33"/>
    <mergeCell ref="C40:J4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Mateo Quotteri</cp:lastModifiedBy>
  <cp:lastPrinted>2026-10-02T20:22:13Z</cp:lastPrinted>
  <dcterms:created xsi:type="dcterms:W3CDTF">2016-01-12T20:02:43Z</dcterms:created>
  <dcterms:modified xsi:type="dcterms:W3CDTF">2026-10-19T15:53:18Z</dcterms:modified>
</cp:coreProperties>
</file>