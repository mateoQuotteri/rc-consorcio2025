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24226"/>
  <mc:AlternateContent xmlns:mc="http://schemas.openxmlformats.org/markup-compatibility/2006">
    <mc:Choice Requires="x15">
      <x15ac:absPath xmlns:x15ac="http://schemas.microsoft.com/office/spreadsheetml/2010/11/ac" url="C:\Users\Sistema\Desktop\rc-consorcio2025\2026\ITALIA\Abril\"/>
    </mc:Choice>
  </mc:AlternateContent>
  <xr:revisionPtr revIDLastSave="0" documentId="13_ncr:1_{FB4B4D96-9B6A-4D93-A989-A4C31886C146}" xr6:coauthVersionLast="47" xr6:coauthVersionMax="47" xr10:uidLastSave="{00000000-0000-0000-0000-000000000000}"/>
  <bookViews>
    <workbookView xWindow="-108" yWindow="-108" windowWidth="23256" windowHeight="12576" xr2:uid="{00000000-000D-0000-FFFF-FFFF00000000}"/>
  </bookViews>
  <sheets>
    <sheet name="RESUMEN" sheetId="4" r:id="rId1"/>
    <sheet name="PRORRATEO" sheetId="5" r:id="rId2"/>
    <sheet name="ANOTACIONES" sheetId="6" r:id="rId3"/>
  </sheets>
  <definedNames>
    <definedName name="_xlnm.Print_Area" localSheetId="1">PRORRATEO!$A$1:$N$125</definedName>
    <definedName name="_xlnm.Print_Area" localSheetId="0">RESUMEN!$A$1:$E$140</definedName>
  </definedNames>
  <calcPr calcId="181029"/>
</workbook>
</file>

<file path=xl/calcChain.xml><?xml version="1.0" encoding="utf-8"?>
<calcChain xmlns="http://schemas.openxmlformats.org/spreadsheetml/2006/main">
  <c r="D36" i="6" l="1"/>
  <c r="F75" i="5"/>
  <c r="D28" i="6"/>
  <c r="D20" i="6"/>
  <c r="D12" i="6"/>
  <c r="F83" i="5"/>
  <c r="F82" i="5" l="1"/>
  <c r="J2" i="5"/>
  <c r="F114" i="5"/>
  <c r="F22" i="5"/>
  <c r="F96" i="5"/>
  <c r="F65" i="5"/>
  <c r="F103" i="5"/>
  <c r="F56" i="5"/>
  <c r="F90" i="5"/>
  <c r="F92" i="5"/>
  <c r="F17" i="5"/>
  <c r="F50" i="5"/>
  <c r="F79" i="5"/>
  <c r="F31" i="5" l="1"/>
  <c r="F112" i="5"/>
  <c r="F47" i="5"/>
  <c r="F26" i="5"/>
  <c r="F53" i="5"/>
  <c r="F61" i="5"/>
  <c r="F62" i="5"/>
  <c r="F25" i="5"/>
  <c r="F66" i="5"/>
  <c r="F98" i="5"/>
  <c r="F84" i="5"/>
  <c r="F35" i="5"/>
  <c r="F115" i="5"/>
  <c r="F16" i="5"/>
  <c r="F104" i="5"/>
  <c r="F88" i="5"/>
  <c r="F48" i="5"/>
  <c r="F63" i="5"/>
  <c r="F28" i="5"/>
  <c r="F85" i="5"/>
  <c r="F95" i="5"/>
  <c r="F38" i="5"/>
  <c r="E43" i="4" l="1"/>
  <c r="D57" i="4"/>
  <c r="G92" i="5" l="1"/>
  <c r="F55" i="5" l="1"/>
  <c r="B140" i="4" l="1"/>
  <c r="F54" i="5" l="1"/>
  <c r="F110" i="5"/>
  <c r="F91" i="5"/>
  <c r="F27" i="5"/>
  <c r="F45" i="5"/>
  <c r="F41" i="5"/>
  <c r="F30" i="5"/>
  <c r="F73" i="5"/>
  <c r="F13" i="5"/>
  <c r="F15" i="5"/>
  <c r="F102" i="5"/>
  <c r="F99" i="5"/>
  <c r="F57" i="5"/>
  <c r="F81" i="5"/>
  <c r="F97" i="5"/>
  <c r="F107" i="5"/>
  <c r="F43" i="5"/>
  <c r="E31" i="4" l="1"/>
  <c r="F36" i="5" l="1"/>
  <c r="F29" i="5" l="1"/>
  <c r="F39" i="5"/>
  <c r="F106" i="5"/>
  <c r="F100" i="5"/>
  <c r="E25" i="4" l="1"/>
  <c r="E77" i="4" l="1"/>
  <c r="E39" i="4"/>
  <c r="E51" i="4"/>
  <c r="F60" i="5"/>
  <c r="F33" i="5"/>
  <c r="F70" i="5" l="1"/>
  <c r="F101" i="5"/>
  <c r="E71" i="4"/>
  <c r="M12" i="5" l="1"/>
  <c r="F23" i="5"/>
  <c r="F46" i="5"/>
  <c r="F19" i="5"/>
  <c r="F109" i="5"/>
  <c r="I106" i="5"/>
  <c r="F94" i="5"/>
  <c r="E37" i="4" l="1"/>
  <c r="E36" i="4"/>
  <c r="F64" i="5"/>
  <c r="F117" i="5" l="1"/>
  <c r="E81" i="4"/>
  <c r="J34" i="5"/>
  <c r="J35" i="5"/>
  <c r="J36" i="5"/>
  <c r="J37" i="5"/>
  <c r="J38" i="5"/>
  <c r="J39" i="5"/>
  <c r="J40" i="5"/>
  <c r="J41" i="5"/>
  <c r="J42" i="5"/>
  <c r="J43" i="5"/>
  <c r="J44" i="5"/>
  <c r="J45" i="5"/>
  <c r="J46" i="5"/>
  <c r="J47" i="5"/>
  <c r="J48" i="5"/>
  <c r="J49" i="5"/>
  <c r="J50" i="5"/>
  <c r="J51" i="5"/>
  <c r="J52" i="5"/>
  <c r="J53" i="5"/>
  <c r="J54" i="5"/>
  <c r="J55" i="5"/>
  <c r="J56" i="5"/>
  <c r="J57" i="5"/>
  <c r="J58" i="5"/>
  <c r="J59" i="5"/>
  <c r="J60" i="5"/>
  <c r="J61" i="5"/>
  <c r="J62" i="5"/>
  <c r="J63" i="5"/>
  <c r="J64" i="5"/>
  <c r="J65" i="5"/>
  <c r="J66" i="5"/>
  <c r="J67" i="5"/>
  <c r="J68" i="5"/>
  <c r="J69" i="5"/>
  <c r="J70" i="5"/>
  <c r="J71" i="5"/>
  <c r="J72" i="5"/>
  <c r="J73" i="5"/>
  <c r="J74" i="5"/>
  <c r="J75" i="5"/>
  <c r="J76" i="5"/>
  <c r="J77" i="5"/>
  <c r="J78" i="5"/>
  <c r="J79" i="5"/>
  <c r="J80" i="5"/>
  <c r="J81" i="5"/>
  <c r="J82" i="5"/>
  <c r="J83" i="5"/>
  <c r="J84" i="5"/>
  <c r="J85" i="5"/>
  <c r="J86" i="5"/>
  <c r="J87" i="5"/>
  <c r="J88" i="5"/>
  <c r="J89" i="5"/>
  <c r="J90" i="5"/>
  <c r="J91" i="5"/>
  <c r="J92" i="5"/>
  <c r="J93" i="5"/>
  <c r="J94" i="5"/>
  <c r="J95" i="5"/>
  <c r="J96" i="5"/>
  <c r="J97" i="5"/>
  <c r="J98" i="5"/>
  <c r="J99" i="5"/>
  <c r="J100" i="5"/>
  <c r="J101" i="5"/>
  <c r="J102" i="5"/>
  <c r="J103" i="5"/>
  <c r="J104" i="5"/>
  <c r="J105" i="5"/>
  <c r="J106" i="5"/>
  <c r="J107" i="5"/>
  <c r="J108" i="5"/>
  <c r="J109" i="5"/>
  <c r="J110" i="5"/>
  <c r="J111" i="5"/>
  <c r="J112" i="5"/>
  <c r="J113" i="5"/>
  <c r="J114" i="5"/>
  <c r="J115" i="5"/>
  <c r="I34" i="5"/>
  <c r="I35" i="5"/>
  <c r="I36" i="5"/>
  <c r="I37" i="5"/>
  <c r="I38" i="5"/>
  <c r="I39" i="5"/>
  <c r="I40" i="5"/>
  <c r="I41" i="5"/>
  <c r="I42" i="5"/>
  <c r="I43" i="5"/>
  <c r="I44" i="5"/>
  <c r="I45" i="5"/>
  <c r="I46" i="5"/>
  <c r="I47" i="5"/>
  <c r="I48" i="5"/>
  <c r="I49" i="5"/>
  <c r="I50" i="5"/>
  <c r="I51" i="5"/>
  <c r="I52" i="5"/>
  <c r="I53" i="5"/>
  <c r="I54" i="5"/>
  <c r="I55" i="5"/>
  <c r="I56" i="5"/>
  <c r="I57" i="5"/>
  <c r="I58" i="5"/>
  <c r="I59" i="5"/>
  <c r="I60" i="5"/>
  <c r="I61" i="5"/>
  <c r="I62" i="5"/>
  <c r="I63" i="5"/>
  <c r="I64" i="5"/>
  <c r="I65" i="5"/>
  <c r="I66" i="5"/>
  <c r="I67" i="5"/>
  <c r="I68" i="5"/>
  <c r="I69" i="5"/>
  <c r="I70" i="5"/>
  <c r="I71" i="5"/>
  <c r="I72" i="5"/>
  <c r="I73" i="5"/>
  <c r="I74" i="5"/>
  <c r="I75" i="5"/>
  <c r="I76" i="5"/>
  <c r="I77" i="5"/>
  <c r="I78" i="5"/>
  <c r="I79" i="5"/>
  <c r="I80" i="5"/>
  <c r="I81" i="5"/>
  <c r="I82" i="5"/>
  <c r="I83" i="5"/>
  <c r="I84" i="5"/>
  <c r="I85" i="5"/>
  <c r="I86" i="5"/>
  <c r="I87" i="5"/>
  <c r="I88" i="5"/>
  <c r="I89" i="5"/>
  <c r="I90" i="5"/>
  <c r="I91" i="5"/>
  <c r="I92" i="5"/>
  <c r="I93" i="5"/>
  <c r="I94" i="5"/>
  <c r="I95" i="5"/>
  <c r="I96" i="5"/>
  <c r="I97" i="5"/>
  <c r="I98" i="5"/>
  <c r="I99" i="5"/>
  <c r="I100" i="5"/>
  <c r="I101" i="5"/>
  <c r="I102" i="5"/>
  <c r="I103" i="5"/>
  <c r="I104" i="5"/>
  <c r="I105" i="5"/>
  <c r="I107" i="5"/>
  <c r="I108" i="5"/>
  <c r="I109" i="5"/>
  <c r="I110" i="5"/>
  <c r="I111" i="5"/>
  <c r="I112" i="5"/>
  <c r="I113" i="5"/>
  <c r="I114" i="5"/>
  <c r="I115" i="5"/>
  <c r="G34" i="5"/>
  <c r="H34" i="5" s="1"/>
  <c r="G35" i="5"/>
  <c r="H35" i="5" s="1"/>
  <c r="G36" i="5"/>
  <c r="G37" i="5"/>
  <c r="H37" i="5" s="1"/>
  <c r="G38" i="5"/>
  <c r="H38" i="5" s="1"/>
  <c r="G39" i="5"/>
  <c r="H39" i="5" s="1"/>
  <c r="G40" i="5"/>
  <c r="H40" i="5" s="1"/>
  <c r="G41" i="5"/>
  <c r="H41" i="5" s="1"/>
  <c r="G42" i="5"/>
  <c r="H42" i="5" s="1"/>
  <c r="G43" i="5"/>
  <c r="H43" i="5" s="1"/>
  <c r="G44" i="5"/>
  <c r="H44" i="5" s="1"/>
  <c r="G45" i="5"/>
  <c r="G46" i="5"/>
  <c r="H46" i="5" s="1"/>
  <c r="G47" i="5"/>
  <c r="H47" i="5" s="1"/>
  <c r="G48" i="5"/>
  <c r="H48" i="5" s="1"/>
  <c r="G49" i="5"/>
  <c r="H49" i="5" s="1"/>
  <c r="G50" i="5"/>
  <c r="H50" i="5" s="1"/>
  <c r="G51" i="5"/>
  <c r="H51" i="5" s="1"/>
  <c r="G52" i="5"/>
  <c r="H52" i="5" s="1"/>
  <c r="G53" i="5"/>
  <c r="H53" i="5" s="1"/>
  <c r="G54" i="5"/>
  <c r="G55" i="5"/>
  <c r="G56" i="5"/>
  <c r="H56" i="5" s="1"/>
  <c r="G57" i="5"/>
  <c r="H57" i="5" s="1"/>
  <c r="G58" i="5"/>
  <c r="H58" i="5" s="1"/>
  <c r="G59" i="5"/>
  <c r="G60" i="5"/>
  <c r="H60" i="5" s="1"/>
  <c r="G61" i="5"/>
  <c r="H61" i="5" s="1"/>
  <c r="G62" i="5"/>
  <c r="G63" i="5"/>
  <c r="H63" i="5" s="1"/>
  <c r="G64" i="5"/>
  <c r="H64" i="5" s="1"/>
  <c r="G65" i="5"/>
  <c r="H65" i="5" s="1"/>
  <c r="G66" i="5"/>
  <c r="H66" i="5" s="1"/>
  <c r="G67" i="5"/>
  <c r="H67" i="5" s="1"/>
  <c r="G68" i="5"/>
  <c r="H68" i="5" s="1"/>
  <c r="G69" i="5"/>
  <c r="H69" i="5" s="1"/>
  <c r="G70" i="5"/>
  <c r="H70" i="5" s="1"/>
  <c r="G71" i="5"/>
  <c r="H71" i="5" s="1"/>
  <c r="G72" i="5"/>
  <c r="H72" i="5" s="1"/>
  <c r="G73" i="5"/>
  <c r="H73" i="5" s="1"/>
  <c r="G74" i="5"/>
  <c r="H74" i="5" s="1"/>
  <c r="G75" i="5"/>
  <c r="H75" i="5" s="1"/>
  <c r="G76" i="5"/>
  <c r="H76" i="5" s="1"/>
  <c r="G77" i="5"/>
  <c r="H77" i="5" s="1"/>
  <c r="G78" i="5"/>
  <c r="H78" i="5" s="1"/>
  <c r="G79" i="5"/>
  <c r="H79" i="5" s="1"/>
  <c r="G80" i="5"/>
  <c r="H80" i="5" s="1"/>
  <c r="G81" i="5"/>
  <c r="H81" i="5" s="1"/>
  <c r="G82" i="5"/>
  <c r="H82" i="5" s="1"/>
  <c r="G83" i="5"/>
  <c r="H83" i="5" s="1"/>
  <c r="G84" i="5"/>
  <c r="H84" i="5" s="1"/>
  <c r="G85" i="5"/>
  <c r="H85" i="5" s="1"/>
  <c r="G86" i="5"/>
  <c r="H86" i="5" s="1"/>
  <c r="G87" i="5"/>
  <c r="H87" i="5" s="1"/>
  <c r="G88" i="5"/>
  <c r="H88" i="5" s="1"/>
  <c r="G89" i="5"/>
  <c r="H89" i="5" s="1"/>
  <c r="G90" i="5"/>
  <c r="G91" i="5"/>
  <c r="H91" i="5" s="1"/>
  <c r="G93" i="5"/>
  <c r="G94" i="5"/>
  <c r="H94" i="5" s="1"/>
  <c r="G95" i="5"/>
  <c r="G96" i="5"/>
  <c r="G97" i="5"/>
  <c r="H97" i="5" s="1"/>
  <c r="G98" i="5"/>
  <c r="H98" i="5" s="1"/>
  <c r="G99" i="5"/>
  <c r="H99" i="5" s="1"/>
  <c r="G100" i="5"/>
  <c r="H100" i="5" s="1"/>
  <c r="G101" i="5"/>
  <c r="H101" i="5" s="1"/>
  <c r="G102" i="5"/>
  <c r="H102" i="5" s="1"/>
  <c r="G103" i="5"/>
  <c r="H103" i="5" s="1"/>
  <c r="G104" i="5"/>
  <c r="H104" i="5" s="1"/>
  <c r="G105" i="5"/>
  <c r="H105" i="5" s="1"/>
  <c r="G106" i="5"/>
  <c r="G107" i="5"/>
  <c r="H107" i="5" s="1"/>
  <c r="G108" i="5"/>
  <c r="H108" i="5" s="1"/>
  <c r="G109" i="5"/>
  <c r="H109" i="5" s="1"/>
  <c r="G110" i="5"/>
  <c r="H110" i="5" s="1"/>
  <c r="G111" i="5"/>
  <c r="H111" i="5" s="1"/>
  <c r="G112" i="5"/>
  <c r="G113" i="5"/>
  <c r="H113" i="5" s="1"/>
  <c r="G114" i="5"/>
  <c r="G115" i="5"/>
  <c r="H115" i="5" s="1"/>
  <c r="E117" i="5"/>
  <c r="D117" i="5"/>
  <c r="A34" i="5"/>
  <c r="A35" i="5" s="1"/>
  <c r="A36" i="5" s="1"/>
  <c r="A37" i="5" s="1"/>
  <c r="A38" i="5" s="1"/>
  <c r="A39" i="5" s="1"/>
  <c r="A40" i="5" s="1"/>
  <c r="A41" i="5" s="1"/>
  <c r="A42" i="5" s="1"/>
  <c r="A43" i="5" s="1"/>
  <c r="A44" i="5" s="1"/>
  <c r="A45" i="5" s="1"/>
  <c r="A46" i="5" s="1"/>
  <c r="A47" i="5" s="1"/>
  <c r="A48" i="5" s="1"/>
  <c r="A49" i="5" s="1"/>
  <c r="A50" i="5" s="1"/>
  <c r="A51" i="5" s="1"/>
  <c r="A52" i="5" s="1"/>
  <c r="A53" i="5" s="1"/>
  <c r="A54" i="5" s="1"/>
  <c r="A55" i="5" s="1"/>
  <c r="A56" i="5" s="1"/>
  <c r="A57" i="5" s="1"/>
  <c r="A58" i="5" s="1"/>
  <c r="A59" i="5" s="1"/>
  <c r="A60" i="5" s="1"/>
  <c r="A61" i="5" s="1"/>
  <c r="A62" i="5" s="1"/>
  <c r="A63" i="5" s="1"/>
  <c r="A64" i="5" s="1"/>
  <c r="A65" i="5" s="1"/>
  <c r="A66" i="5" s="1"/>
  <c r="A67" i="5" s="1"/>
  <c r="A68" i="5" s="1"/>
  <c r="A69" i="5" s="1"/>
  <c r="A70" i="5" s="1"/>
  <c r="A71" i="5" s="1"/>
  <c r="A72" i="5" s="1"/>
  <c r="A73" i="5" s="1"/>
  <c r="A74" i="5" s="1"/>
  <c r="A75" i="5" s="1"/>
  <c r="A76" i="5" s="1"/>
  <c r="A77" i="5" s="1"/>
  <c r="A78" i="5" s="1"/>
  <c r="A79" i="5" s="1"/>
  <c r="A80" i="5" s="1"/>
  <c r="A81" i="5" s="1"/>
  <c r="A82" i="5" s="1"/>
  <c r="A83" i="5" s="1"/>
  <c r="A84" i="5" s="1"/>
  <c r="A85" i="5" s="1"/>
  <c r="A86" i="5" s="1"/>
  <c r="A87" i="5" s="1"/>
  <c r="A88" i="5" s="1"/>
  <c r="A89" i="5" s="1"/>
  <c r="A90" i="5" s="1"/>
  <c r="A91" i="5" s="1"/>
  <c r="A92" i="5" s="1"/>
  <c r="A93" i="5" s="1"/>
  <c r="A94" i="5" s="1"/>
  <c r="A95" i="5" s="1"/>
  <c r="A96" i="5" s="1"/>
  <c r="A97" i="5" s="1"/>
  <c r="A98" i="5" s="1"/>
  <c r="A99" i="5" s="1"/>
  <c r="A100" i="5" s="1"/>
  <c r="A101" i="5" s="1"/>
  <c r="A102" i="5" s="1"/>
  <c r="A103" i="5" s="1"/>
  <c r="A104" i="5" s="1"/>
  <c r="A105" i="5" s="1"/>
  <c r="A106" i="5" s="1"/>
  <c r="A107" i="5" s="1"/>
  <c r="A108" i="5" s="1"/>
  <c r="A109" i="5" s="1"/>
  <c r="A110" i="5" s="1"/>
  <c r="A111" i="5" s="1"/>
  <c r="A112" i="5" s="1"/>
  <c r="A113" i="5" s="1"/>
  <c r="A114" i="5" s="1"/>
  <c r="A115" i="5" s="1"/>
  <c r="G23" i="5"/>
  <c r="H23" i="5" s="1"/>
  <c r="J33" i="5"/>
  <c r="I33" i="5"/>
  <c r="M33" i="5" s="1"/>
  <c r="G33" i="5"/>
  <c r="H33" i="5" s="1"/>
  <c r="J32" i="5"/>
  <c r="I32" i="5"/>
  <c r="G32" i="5"/>
  <c r="J31" i="5"/>
  <c r="I31" i="5"/>
  <c r="G31" i="5"/>
  <c r="H31" i="5" s="1"/>
  <c r="J30" i="5"/>
  <c r="I30" i="5"/>
  <c r="G30" i="5"/>
  <c r="H30" i="5" s="1"/>
  <c r="J29" i="5"/>
  <c r="I29" i="5"/>
  <c r="G29" i="5"/>
  <c r="H29" i="5" s="1"/>
  <c r="J28" i="5"/>
  <c r="I28" i="5"/>
  <c r="G28" i="5"/>
  <c r="H28" i="5" s="1"/>
  <c r="J27" i="5"/>
  <c r="I27" i="5"/>
  <c r="G27" i="5"/>
  <c r="H27" i="5" s="1"/>
  <c r="J26" i="5"/>
  <c r="I26" i="5"/>
  <c r="G26" i="5"/>
  <c r="J25" i="5"/>
  <c r="I25" i="5"/>
  <c r="G25" i="5"/>
  <c r="H25" i="5" s="1"/>
  <c r="J24" i="5"/>
  <c r="I24" i="5"/>
  <c r="G24" i="5"/>
  <c r="H24" i="5" s="1"/>
  <c r="J23" i="5"/>
  <c r="I23" i="5"/>
  <c r="M23" i="5" s="1"/>
  <c r="J22" i="5"/>
  <c r="I22" i="5"/>
  <c r="G22" i="5"/>
  <c r="J21" i="5"/>
  <c r="I21" i="5"/>
  <c r="G21" i="5"/>
  <c r="H21" i="5" s="1"/>
  <c r="J20" i="5"/>
  <c r="I20" i="5"/>
  <c r="G20" i="5"/>
  <c r="H20" i="5" s="1"/>
  <c r="J19" i="5"/>
  <c r="I19" i="5"/>
  <c r="G19" i="5"/>
  <c r="H19" i="5" s="1"/>
  <c r="J18" i="5"/>
  <c r="I18" i="5"/>
  <c r="G18" i="5"/>
  <c r="H18" i="5" s="1"/>
  <c r="J17" i="5"/>
  <c r="I17" i="5"/>
  <c r="G17" i="5"/>
  <c r="H17" i="5" s="1"/>
  <c r="J16" i="5"/>
  <c r="I16" i="5"/>
  <c r="G16" i="5"/>
  <c r="H16" i="5" s="1"/>
  <c r="J15" i="5"/>
  <c r="I15" i="5"/>
  <c r="G15" i="5"/>
  <c r="H15" i="5" s="1"/>
  <c r="O14" i="5"/>
  <c r="J14" i="5"/>
  <c r="I14" i="5"/>
  <c r="G14" i="5"/>
  <c r="J13" i="5"/>
  <c r="I13" i="5"/>
  <c r="B129" i="4"/>
  <c r="E93" i="4"/>
  <c r="E98" i="4" s="1"/>
  <c r="B102" i="4" s="1"/>
  <c r="M29" i="5" l="1"/>
  <c r="M25" i="5"/>
  <c r="M16" i="5"/>
  <c r="M20" i="5"/>
  <c r="M18" i="5"/>
  <c r="M110" i="5"/>
  <c r="M105" i="5"/>
  <c r="M101" i="5"/>
  <c r="M97" i="5"/>
  <c r="M89" i="5"/>
  <c r="M85" i="5"/>
  <c r="M81" i="5"/>
  <c r="M77" i="5"/>
  <c r="M73" i="5"/>
  <c r="M69" i="5"/>
  <c r="M65" i="5"/>
  <c r="M61" i="5"/>
  <c r="M57" i="5"/>
  <c r="M53" i="5"/>
  <c r="M49" i="5"/>
  <c r="M45" i="5"/>
  <c r="M41" i="5"/>
  <c r="M37" i="5"/>
  <c r="M17" i="5"/>
  <c r="M21" i="5"/>
  <c r="M24" i="5"/>
  <c r="M28" i="5"/>
  <c r="M32" i="5"/>
  <c r="M113" i="5"/>
  <c r="M109" i="5"/>
  <c r="M104" i="5"/>
  <c r="M100" i="5"/>
  <c r="M88" i="5"/>
  <c r="M84" i="5"/>
  <c r="M80" i="5"/>
  <c r="M76" i="5"/>
  <c r="M72" i="5"/>
  <c r="M68" i="5"/>
  <c r="M64" i="5"/>
  <c r="M60" i="5"/>
  <c r="M56" i="5"/>
  <c r="M52" i="5"/>
  <c r="M48" i="5"/>
  <c r="M44" i="5"/>
  <c r="M40" i="5"/>
  <c r="M27" i="5"/>
  <c r="M108" i="5"/>
  <c r="M103" i="5"/>
  <c r="M99" i="5"/>
  <c r="M91" i="5"/>
  <c r="M87" i="5"/>
  <c r="M83" i="5"/>
  <c r="M79" i="5"/>
  <c r="M75" i="5"/>
  <c r="M71" i="5"/>
  <c r="M67" i="5"/>
  <c r="M63" i="5"/>
  <c r="M59" i="5"/>
  <c r="M51" i="5"/>
  <c r="M47" i="5"/>
  <c r="M43" i="5"/>
  <c r="M39" i="5"/>
  <c r="M35" i="5"/>
  <c r="M15" i="5"/>
  <c r="M19" i="5"/>
  <c r="M30" i="5"/>
  <c r="H106" i="5"/>
  <c r="M106" i="5"/>
  <c r="M115" i="5"/>
  <c r="M111" i="5"/>
  <c r="M107" i="5"/>
  <c r="M102" i="5"/>
  <c r="M98" i="5"/>
  <c r="M94" i="5"/>
  <c r="M90" i="5"/>
  <c r="M86" i="5"/>
  <c r="M82" i="5"/>
  <c r="M78" i="5"/>
  <c r="M74" i="5"/>
  <c r="M70" i="5"/>
  <c r="M66" i="5"/>
  <c r="M58" i="5"/>
  <c r="M54" i="5"/>
  <c r="M50" i="5"/>
  <c r="M46" i="5"/>
  <c r="M42" i="5"/>
  <c r="M38" i="5"/>
  <c r="M34" i="5"/>
  <c r="M31" i="5"/>
  <c r="H55" i="5"/>
  <c r="M55" i="5" s="1"/>
  <c r="H62" i="5"/>
  <c r="M62" i="5" s="1"/>
  <c r="H112" i="5"/>
  <c r="M112" i="5" s="1"/>
  <c r="H93" i="5"/>
  <c r="M93" i="5" s="1"/>
  <c r="H92" i="5"/>
  <c r="M92" i="5" s="1"/>
  <c r="O15" i="5"/>
  <c r="H95" i="5"/>
  <c r="M95" i="5" s="1"/>
  <c r="H96" i="5"/>
  <c r="M96" i="5" s="1"/>
  <c r="H26" i="5"/>
  <c r="M26" i="5" s="1"/>
  <c r="H36" i="5"/>
  <c r="M36" i="5" s="1"/>
  <c r="H114" i="5"/>
  <c r="M114" i="5" s="1"/>
  <c r="H22" i="5"/>
  <c r="M22" i="5" s="1"/>
  <c r="E85" i="4"/>
  <c r="B101" i="4" s="1"/>
  <c r="B128" i="4" s="1"/>
  <c r="I117" i="5"/>
  <c r="J117" i="5"/>
  <c r="H14" i="5"/>
  <c r="M14" i="5" s="1"/>
  <c r="B103" i="4"/>
  <c r="N15" i="5" l="1"/>
  <c r="O16" i="5"/>
  <c r="B100" i="4"/>
  <c r="G13" i="5"/>
  <c r="B130" i="4"/>
  <c r="B134" i="4" s="1"/>
  <c r="N14" i="5"/>
  <c r="N16" i="5" l="1"/>
  <c r="O17" i="5"/>
  <c r="G117" i="5"/>
  <c r="H13" i="5"/>
  <c r="M13" i="5" s="1"/>
  <c r="N17" i="5" l="1"/>
  <c r="O18" i="5"/>
  <c r="H117" i="5"/>
  <c r="N13" i="5"/>
  <c r="N18" i="5" l="1"/>
  <c r="O19" i="5"/>
  <c r="N19" i="5" l="1"/>
  <c r="O20" i="5"/>
  <c r="N20" i="5" l="1"/>
  <c r="O21" i="5"/>
  <c r="N21" i="5" l="1"/>
  <c r="O22" i="5"/>
  <c r="N22" i="5" l="1"/>
  <c r="O23" i="5"/>
  <c r="N23" i="5" l="1"/>
  <c r="O24" i="5"/>
  <c r="N24" i="5" l="1"/>
  <c r="O25" i="5"/>
  <c r="N25" i="5" l="1"/>
  <c r="O26" i="5"/>
  <c r="N26" i="5" l="1"/>
  <c r="O27" i="5"/>
  <c r="N27" i="5" l="1"/>
  <c r="O28" i="5"/>
  <c r="N28" i="5" l="1"/>
  <c r="O29" i="5"/>
  <c r="N29" i="5" l="1"/>
  <c r="O30" i="5"/>
  <c r="N30" i="5" l="1"/>
  <c r="O31" i="5"/>
  <c r="N31" i="5" l="1"/>
  <c r="O32" i="5"/>
  <c r="N32" i="5" l="1"/>
  <c r="O33" i="5"/>
  <c r="N33" i="5" l="1"/>
  <c r="O34" i="5"/>
  <c r="N34" i="5" l="1"/>
  <c r="O35" i="5"/>
  <c r="N35" i="5" l="1"/>
  <c r="O36" i="5"/>
  <c r="N36" i="5" l="1"/>
  <c r="O37" i="5"/>
  <c r="N37" i="5" l="1"/>
  <c r="O38" i="5"/>
  <c r="N38" i="5" l="1"/>
  <c r="O39" i="5"/>
  <c r="N39" i="5" l="1"/>
  <c r="O40" i="5"/>
  <c r="N40" i="5" l="1"/>
  <c r="O41" i="5"/>
  <c r="N41" i="5" l="1"/>
  <c r="O42" i="5"/>
  <c r="N42" i="5" l="1"/>
  <c r="O43" i="5"/>
  <c r="N43" i="5" l="1"/>
  <c r="O44" i="5"/>
  <c r="N44" i="5" l="1"/>
  <c r="O45" i="5"/>
  <c r="N45" i="5" l="1"/>
  <c r="O46" i="5"/>
  <c r="N46" i="5" l="1"/>
  <c r="O47" i="5"/>
  <c r="N47" i="5" l="1"/>
  <c r="O48" i="5"/>
  <c r="N48" i="5" l="1"/>
  <c r="O49" i="5"/>
  <c r="N49" i="5" l="1"/>
  <c r="O50" i="5"/>
  <c r="N50" i="5" l="1"/>
  <c r="O51" i="5"/>
  <c r="N51" i="5" l="1"/>
  <c r="O52" i="5"/>
  <c r="N52" i="5" l="1"/>
  <c r="O53" i="5"/>
  <c r="N53" i="5" l="1"/>
  <c r="O54" i="5"/>
  <c r="N54" i="5" l="1"/>
  <c r="O55" i="5"/>
  <c r="N55" i="5" l="1"/>
  <c r="O56" i="5"/>
  <c r="N56" i="5" l="1"/>
  <c r="O57" i="5"/>
  <c r="N57" i="5" l="1"/>
  <c r="O58" i="5"/>
  <c r="N58" i="5" l="1"/>
  <c r="O59" i="5"/>
  <c r="N59" i="5" l="1"/>
  <c r="O60" i="5"/>
  <c r="N60" i="5" l="1"/>
  <c r="O61" i="5"/>
  <c r="N61" i="5" l="1"/>
  <c r="O62" i="5"/>
  <c r="N62" i="5" l="1"/>
  <c r="O63" i="5"/>
  <c r="N63" i="5" l="1"/>
  <c r="O64" i="5"/>
  <c r="N64" i="5" l="1"/>
  <c r="O65" i="5"/>
  <c r="N65" i="5" l="1"/>
  <c r="O66" i="5"/>
  <c r="N66" i="5" l="1"/>
  <c r="O67" i="5"/>
  <c r="N67" i="5" l="1"/>
  <c r="O68" i="5"/>
  <c r="N68" i="5" l="1"/>
  <c r="O69" i="5"/>
  <c r="N69" i="5" l="1"/>
  <c r="O70" i="5"/>
  <c r="N70" i="5" l="1"/>
  <c r="O71" i="5"/>
  <c r="N71" i="5" l="1"/>
  <c r="O72" i="5"/>
  <c r="N72" i="5" l="1"/>
  <c r="O73" i="5"/>
  <c r="N73" i="5" l="1"/>
  <c r="O74" i="5"/>
  <c r="N74" i="5" l="1"/>
  <c r="O75" i="5"/>
  <c r="N75" i="5" l="1"/>
  <c r="O76" i="5"/>
  <c r="N76" i="5" l="1"/>
  <c r="O77" i="5"/>
  <c r="N77" i="5" l="1"/>
  <c r="O78" i="5"/>
  <c r="N78" i="5" l="1"/>
  <c r="O79" i="5"/>
  <c r="N79" i="5" l="1"/>
  <c r="O80" i="5"/>
  <c r="N80" i="5" l="1"/>
  <c r="O81" i="5"/>
  <c r="N81" i="5" l="1"/>
  <c r="O82" i="5"/>
  <c r="N82" i="5" l="1"/>
  <c r="O83" i="5"/>
  <c r="N83" i="5" l="1"/>
  <c r="O84" i="5"/>
  <c r="N84" i="5" l="1"/>
  <c r="O85" i="5"/>
  <c r="N85" i="5" l="1"/>
  <c r="O86" i="5"/>
  <c r="N86" i="5" l="1"/>
  <c r="O87" i="5"/>
  <c r="N87" i="5" l="1"/>
  <c r="O88" i="5"/>
  <c r="N88" i="5" l="1"/>
  <c r="O89" i="5"/>
  <c r="N89" i="5" l="1"/>
  <c r="O90" i="5"/>
  <c r="N90" i="5" l="1"/>
  <c r="O91" i="5"/>
  <c r="N91" i="5" l="1"/>
  <c r="O92" i="5"/>
  <c r="N92" i="5" l="1"/>
  <c r="O93" i="5"/>
  <c r="N93" i="5" l="1"/>
  <c r="O94" i="5"/>
  <c r="N94" i="5" l="1"/>
  <c r="O95" i="5"/>
  <c r="N95" i="5" l="1"/>
  <c r="O96" i="5"/>
  <c r="N96" i="5" l="1"/>
  <c r="O97" i="5"/>
  <c r="N97" i="5" l="1"/>
  <c r="O98" i="5"/>
  <c r="N98" i="5" l="1"/>
  <c r="O99" i="5"/>
  <c r="N99" i="5" l="1"/>
  <c r="O100" i="5"/>
  <c r="N100" i="5" l="1"/>
  <c r="O101" i="5"/>
  <c r="N101" i="5" l="1"/>
  <c r="O102" i="5"/>
  <c r="N102" i="5" l="1"/>
  <c r="O103" i="5"/>
  <c r="N103" i="5" l="1"/>
  <c r="O104" i="5"/>
  <c r="N104" i="5" l="1"/>
  <c r="O105" i="5"/>
  <c r="N105" i="5" l="1"/>
  <c r="O106" i="5"/>
  <c r="N106" i="5" l="1"/>
  <c r="O107" i="5"/>
  <c r="N107" i="5" l="1"/>
  <c r="O108" i="5"/>
  <c r="N108" i="5" l="1"/>
  <c r="O109" i="5"/>
  <c r="N109" i="5" l="1"/>
  <c r="O110" i="5"/>
  <c r="N110" i="5" l="1"/>
  <c r="O111" i="5"/>
  <c r="N111" i="5" l="1"/>
  <c r="O112" i="5"/>
  <c r="N112" i="5" l="1"/>
  <c r="O113" i="5"/>
  <c r="N113" i="5" l="1"/>
  <c r="O114" i="5"/>
  <c r="O115" i="5" l="1"/>
  <c r="N115" i="5" s="1"/>
  <c r="N114" i="5" l="1"/>
  <c r="N117" i="5" s="1"/>
  <c r="M117" i="5"/>
</calcChain>
</file>

<file path=xl/sharedStrings.xml><?xml version="1.0" encoding="utf-8"?>
<sst xmlns="http://schemas.openxmlformats.org/spreadsheetml/2006/main" count="338" uniqueCount="278">
  <si>
    <t>TOTAL</t>
  </si>
  <si>
    <t>Redondeo</t>
  </si>
  <si>
    <t>Ingresos</t>
  </si>
  <si>
    <t>PB - A POLICHISO RAMOS</t>
  </si>
  <si>
    <t>PB - B BATTISTA OMAR R.</t>
  </si>
  <si>
    <t>PB - C DIDIER OLGA</t>
  </si>
  <si>
    <t>PB - D XHARDEZ MARIA A.</t>
  </si>
  <si>
    <t>PB - E BRANDAN OSVALDO</t>
  </si>
  <si>
    <t>1 A VEGA RICARDO</t>
  </si>
  <si>
    <t>1 B ASTARITA SUSANA L.</t>
  </si>
  <si>
    <t>1 C GUGLIELMINI ANA M.</t>
  </si>
  <si>
    <t>1 D SCARPATI LORENA P.</t>
  </si>
  <si>
    <t>1 E BAZAN JOSE</t>
  </si>
  <si>
    <t>1 F KRAJCIR ERNESTO</t>
  </si>
  <si>
    <t>1 G AGOSTINI ALONSO</t>
  </si>
  <si>
    <t>2 A LORENA ELIZABETH CASSERO</t>
  </si>
  <si>
    <t>2 B BOQUETE ALFREDO</t>
  </si>
  <si>
    <t>2 C DESIMONE ROBERTO</t>
  </si>
  <si>
    <t>2 D KERULIS SILVIA</t>
  </si>
  <si>
    <t>2 E GARCIA SILVIA</t>
  </si>
  <si>
    <t>2 F LOPEZ MERCEDES R.</t>
  </si>
  <si>
    <t>2 G MENDEZ JORGE O.</t>
  </si>
  <si>
    <t>3 A POLLIO RICARDO</t>
  </si>
  <si>
    <t>3 B WASZNIEWSKI G.</t>
  </si>
  <si>
    <t xml:space="preserve">3 D GARCIA MANUELA </t>
  </si>
  <si>
    <t>3 E LASTIRI DANIELA</t>
  </si>
  <si>
    <t>3 F LOPEZ ESTEBAN</t>
  </si>
  <si>
    <t>3 G FONDACARO FEDERICO</t>
  </si>
  <si>
    <t>4 A FERNANDEZ LUCAS M.</t>
  </si>
  <si>
    <t>4 B FRIDMAN J. Y SRA.</t>
  </si>
  <si>
    <t>4 C FERREIRA DE SOUSA</t>
  </si>
  <si>
    <t>4 D DIAZ PETRONA A.</t>
  </si>
  <si>
    <t>4 E XHARDEZ MARIA E.</t>
  </si>
  <si>
    <t>4 F WASINGER ADRIANA B.</t>
  </si>
  <si>
    <t>4 G OLIVERA LORENZO</t>
  </si>
  <si>
    <t>5 A EL FASAH JORGE</t>
  </si>
  <si>
    <t>5 B DAMONTE ANDREA</t>
  </si>
  <si>
    <t>5 C LOPEZ MARCEL MABEL</t>
  </si>
  <si>
    <t>5 D BANFI SILVIA R.</t>
  </si>
  <si>
    <t>5 E BUCETA M. ARACELI</t>
  </si>
  <si>
    <t>5 F BARABALLE OSCAR</t>
  </si>
  <si>
    <t>5 G IRAZABAL SUEIRO</t>
  </si>
  <si>
    <t>6 A MILLEFANTI CARINA</t>
  </si>
  <si>
    <t>6 B SETTE HORACIO Y SRA.</t>
  </si>
  <si>
    <t>6 D BALBIN BEATRIZ DE</t>
  </si>
  <si>
    <t>6 E LEVY JORGE OSVALDO</t>
  </si>
  <si>
    <t>6 F KUZIEMSKI ANGELICA</t>
  </si>
  <si>
    <t>6 G TULIPANI ANGELICA</t>
  </si>
  <si>
    <t>7 A OLIVERA JORGE</t>
  </si>
  <si>
    <t>7 B GASCON PAOLA V.</t>
  </si>
  <si>
    <t>7 C CASTALDI GUSTAVO</t>
  </si>
  <si>
    <t>7 D SCUNIO HECTOR F.</t>
  </si>
  <si>
    <t>7 E RODRIGUEZ FERNANDO</t>
  </si>
  <si>
    <t>7 F MAONE OSVALDO</t>
  </si>
  <si>
    <t>7 G MORALES MIRIAM M.</t>
  </si>
  <si>
    <t>8 A SANTOS PASCUAL</t>
  </si>
  <si>
    <t>8 B FANELLI EDITH</t>
  </si>
  <si>
    <t>8 C KRUK ANA MARIA</t>
  </si>
  <si>
    <t>8 D RIOS ELIDA</t>
  </si>
  <si>
    <t>8 E ALEJO HORACIO</t>
  </si>
  <si>
    <t>8 F BOSSETTI CARLOS E.</t>
  </si>
  <si>
    <t>8 G DE MATO Y SORRENTI</t>
  </si>
  <si>
    <t>9 A SANTOS CARDOZO</t>
  </si>
  <si>
    <t>9 B BELIZAN RUBEN OMAR</t>
  </si>
  <si>
    <t>9 C LOMBARDO MARIA DEL</t>
  </si>
  <si>
    <t>9 D CALVIÑO LUCAS</t>
  </si>
  <si>
    <t>9 E NOE FRANCISCO N.</t>
  </si>
  <si>
    <t>9 F DE MOGLIONI LORENZO</t>
  </si>
  <si>
    <t>9 G MOLINA AMANDA</t>
  </si>
  <si>
    <t>10 A CARBAJALES JOSE</t>
  </si>
  <si>
    <t>10 B RAMOS ALBERTO</t>
  </si>
  <si>
    <t>10 C NANI DEL VALLE J.</t>
  </si>
  <si>
    <t>10 D DE ALBA MARIA L.</t>
  </si>
  <si>
    <t>10 E LANZILLOTA DIEGO J.</t>
  </si>
  <si>
    <t>10 F PEDROUZO JORGE LUIS</t>
  </si>
  <si>
    <t>10 G FANELLI EDITH</t>
  </si>
  <si>
    <t>11 A LEOPARDI A.</t>
  </si>
  <si>
    <t>11 B VILARDO LILIANA</t>
  </si>
  <si>
    <t>11 C LODICO HORACIO</t>
  </si>
  <si>
    <t>11 D ANTUNEZ RUBEN</t>
  </si>
  <si>
    <t>11 E MIRAGAYA JORGE OMAR</t>
  </si>
  <si>
    <t>11 F ANTUNEZ RUBEN DANIEL</t>
  </si>
  <si>
    <t>11 G POLONI JOSE</t>
  </si>
  <si>
    <t>12 A TORRES G. ZULLY</t>
  </si>
  <si>
    <t>12 B BALLESTEROS SENCIO</t>
  </si>
  <si>
    <t>12 C SABHA DANIEL</t>
  </si>
  <si>
    <t>12 D LANNI KARINA PAOLA</t>
  </si>
  <si>
    <t>12 E DAVILA JUAN</t>
  </si>
  <si>
    <t>12 F SUC. DE F. CAMPOS</t>
  </si>
  <si>
    <t>12 G NOSACH SERGIO</t>
  </si>
  <si>
    <t>12 E COCHERA F. DAVILA JUAN</t>
  </si>
  <si>
    <t>11 G COCHERA N. POLONI JOSE</t>
  </si>
  <si>
    <t>11 A COCHERA E LEOPARDI A.</t>
  </si>
  <si>
    <t>8 E COCHERA G. ALEJO HORACIO</t>
  </si>
  <si>
    <t>5 C COCHERA L. LOPEZ MARCELO</t>
  </si>
  <si>
    <t>4 B COCHERA FRIDMAN J. Y SRA.</t>
  </si>
  <si>
    <t>3 B COCHERA WASZNIEWSKI G.</t>
  </si>
  <si>
    <t>7 B COCHERA C. GASCON P. V.</t>
  </si>
  <si>
    <t>2 G COCHERA MENDEZ JORGE O.</t>
  </si>
  <si>
    <t>2 C COCHERA J. ALEJO HORACIO</t>
  </si>
  <si>
    <t>1 E COCHERA H. BAZAN JOSE</t>
  </si>
  <si>
    <t>6 C LEOBONO MIRIAM G,</t>
  </si>
  <si>
    <t>LIQUIDACION DE EXPENSAS</t>
  </si>
  <si>
    <t>ADMINISTRADORA: CAROLINA CANCIANI MP:1148</t>
  </si>
  <si>
    <t>HORARIOS DE ATENCION: LUNES A VIERNES</t>
  </si>
  <si>
    <t>ESTIMADOS PROPIETARIOS E INQUILINOS: POR FAVOR LOS QUE ABONAN EN PRIMER VENCIMIENTO ABONEN EL MONTO DE PRIMER VENCIMIENTO, ASI AGILIZAN LA LIQUIDACION, RESPETEN LOS CENTAVOS CORRESPONDIENTES A LA UNIDAD FUNCIONAL. ES DE CARÁCTER OBLIGATORIO INFORMAR VIA MAIL LAS EXPENSAS. PORFAVOR RESPETAR LOS CENTAVOS AL ABONAR.</t>
  </si>
  <si>
    <t>GASTOS A - UNIDADES FUNCIONALES:</t>
  </si>
  <si>
    <t xml:space="preserve">TOTAL </t>
  </si>
  <si>
    <t xml:space="preserve">SEGUROS </t>
  </si>
  <si>
    <t>TOTAL IMPUESTO</t>
  </si>
  <si>
    <t>ABONOS Y SERVICIOS</t>
  </si>
  <si>
    <t>Edesur</t>
  </si>
  <si>
    <t>AySa</t>
  </si>
  <si>
    <t>Servicio de interet Claro</t>
  </si>
  <si>
    <t>TOTAL ABONOS Y SERVICIOS</t>
  </si>
  <si>
    <t>HONORARIOS</t>
  </si>
  <si>
    <t>GASTOS BANCARIOS</t>
  </si>
  <si>
    <t>PREVISION GASTOS A</t>
  </si>
  <si>
    <t>TOTAL GASTOS A</t>
  </si>
  <si>
    <t>GASTOS B:</t>
  </si>
  <si>
    <t>PREVISION GASTOS B</t>
  </si>
  <si>
    <t>TOTAL GASTOS B:</t>
  </si>
  <si>
    <t>GASTOS A + PREVISION (A) :</t>
  </si>
  <si>
    <t>GASTOS A SIN PREVISION:</t>
  </si>
  <si>
    <t>GASTOS B SIN PREVISION:</t>
  </si>
  <si>
    <t>GASTOS B CON PREVISION (B):</t>
  </si>
  <si>
    <t>Pagos sin identificar</t>
  </si>
  <si>
    <t>DEPOSITOS NO IDENTIFICADOS</t>
  </si>
  <si>
    <t>Gastos B</t>
  </si>
  <si>
    <t>Gastos A</t>
  </si>
  <si>
    <t>UF</t>
  </si>
  <si>
    <t>Propietario</t>
  </si>
  <si>
    <t>Inquilinos</t>
  </si>
  <si>
    <t xml:space="preserve"> (%)</t>
  </si>
  <si>
    <t xml:space="preserve">Saldo Ord </t>
  </si>
  <si>
    <t xml:space="preserve">Ingreso </t>
  </si>
  <si>
    <t>Deuda o Saldo a favor</t>
  </si>
  <si>
    <t>Interes 3%</t>
  </si>
  <si>
    <t>Total 1er Vto</t>
  </si>
  <si>
    <t>Total 2do Vto</t>
  </si>
  <si>
    <t xml:space="preserve">CONS. DE PROP. ITALIA 2156                                                                                                                                                                    
</t>
  </si>
  <si>
    <t xml:space="preserve">Cesar Alberto Britez - CUIL 20-23524002-6 </t>
  </si>
  <si>
    <t>IMPUESTOS</t>
  </si>
  <si>
    <t>TOTAL IMPUESTOS</t>
  </si>
  <si>
    <t>Sindicato - Suther</t>
  </si>
  <si>
    <t>Sindicato - Fathery</t>
  </si>
  <si>
    <t>Sindicato - Seracarh</t>
  </si>
  <si>
    <t xml:space="preserve">Egresos del mes </t>
  </si>
  <si>
    <t>TOTAL GASTOS B</t>
  </si>
  <si>
    <t xml:space="preserve">MAIL: italia2156rc@gmail.com
</t>
  </si>
  <si>
    <t>CUIT DEL EDIFICIO: 30-56229064-4</t>
  </si>
  <si>
    <t>CUIT ADMINISTRACION:  27-23125687-9</t>
  </si>
  <si>
    <t>Mantenimiento de cuenta - Banco Credicop</t>
  </si>
  <si>
    <t>Gastos bancarios - Credicop</t>
  </si>
  <si>
    <t>ARCA VEP</t>
  </si>
  <si>
    <t>Municipalidad de avellaneda</t>
  </si>
  <si>
    <t>Silvana Valeria Arredondo</t>
  </si>
  <si>
    <t>Deposita  - Angelica Kuziemski</t>
  </si>
  <si>
    <t>Cartegena Silvia jaqueline</t>
  </si>
  <si>
    <t>Olivera Martin Sebastian</t>
  </si>
  <si>
    <t>Matias Ragmilevich</t>
  </si>
  <si>
    <t>Tiene la cochera uf 100</t>
  </si>
  <si>
    <t>Paola Massielainy</t>
  </si>
  <si>
    <t>QUIENES ESTAN COLOREADOS DE COLOR VIOLETA NO ESTAN RESPETANDO LOS CENTAVOS AL ABONAR</t>
  </si>
  <si>
    <t>QUIENES ESTAN EN COLOR ROSADO POSEEN UN PLAN DE PAGOS VIGENTE</t>
  </si>
  <si>
    <t>¡IMPORTANTE!                                                                                                                                                                                                                                                                                                                                                                    Al momento de registrar los pagos de expensas de las distintas Unidades Funcionales, consideramos importante aclarar el siguiente procedimiento, a fin de evitar confusiones en la imputación de los mismos.
El sistema que utilizamos asigna centavos únicos a cada Unidad Funcional (UF), los cuales funcionan como un identificador automático para reconocer a qué Unidad Funcional corresponde cada transferencia.
Es decir, cada Unidad Funcional tiene asignado un número específico de centavos que debe respetarse al momento de realizar el pago.
Ejemplo: Si la Unidad Funcional es la N.º 45, el importe a abonar deberá finalizar en $,45.
En caso de poseer más de una Unidad Funcional, cada una contará con su propio código de centavos. En estas situaciones, solicitamos realizar una transferencia individual por cada UF, respetando el importe y los centavos correspondientes a cada una.
Entendemos que, por una cuestión de practicidad, a veces se opta por realizar una única transferencia, pero esto puede generar errores o demoras en la imputación automática de los pagos. La separación de los mismos nos permite llevar un control ordenado y preciso.
Por lo expuesto, solicitamos encarecidamente que, a partir de ahora, todas las transferencias se realicen respetando los centavos asignados a la Unidad Funcional correspondiente, a fin de asegurar su correcta imputación.
Agradecemos desde ya su colaboración y comprensión.
Muchas gracias.</t>
  </si>
  <si>
    <t>Efectivo</t>
  </si>
  <si>
    <t xml:space="preserve">CAJA DE BANCOS </t>
  </si>
  <si>
    <t>Haberes</t>
  </si>
  <si>
    <t>Descuentos</t>
  </si>
  <si>
    <t>Sra. Abogada Lorena Ferreiro - Honorarios</t>
  </si>
  <si>
    <t>Abono ascensor - Lema Ascensores - Mantenimiento</t>
  </si>
  <si>
    <t>4 E COCHERA XHARDEZ MARIA EUGENIA</t>
  </si>
  <si>
    <t>AYALA GASTON</t>
  </si>
  <si>
    <t>Silvana Valeria Arredondo - Braian Brito</t>
  </si>
  <si>
    <t>Honorarios Sra. Gisela</t>
  </si>
  <si>
    <t>Fotocopias - Librería</t>
  </si>
  <si>
    <t>Cliente 4873380</t>
  </si>
  <si>
    <t>Cliente 1295184</t>
  </si>
  <si>
    <t>Cliente 0304290</t>
  </si>
  <si>
    <t>Taiel Alejandro Biscarra / Vizcarra</t>
  </si>
  <si>
    <t>Fernando daniel Minxxo / Jeremy Naguel</t>
  </si>
  <si>
    <t xml:space="preserve">Plan de pago de 4G: Consta de 7 cuotas de $170.000 + expensas en curso </t>
  </si>
  <si>
    <t xml:space="preserve">Plan de pago de 11C: Consta de 11 cuotas de 250.000 + expensas en curso </t>
  </si>
  <si>
    <t>10 A 15HS - EMERGENCIAS 24HS</t>
  </si>
  <si>
    <t>Gasto particular</t>
  </si>
  <si>
    <t>Seguro Sra. Gisela</t>
  </si>
  <si>
    <t>3 C MAROTTA PABLO</t>
  </si>
  <si>
    <t>REEMPLAZOS</t>
  </si>
  <si>
    <t>Sra. Mirta liquidacion ARCA</t>
  </si>
  <si>
    <t>Edesur - Porteria</t>
  </si>
  <si>
    <t>Metrogas - Nro. 20065934100 - Porteria</t>
  </si>
  <si>
    <t xml:space="preserve">Plan de pago de 6G: Consta de 3 cuotas de 135.000 + expensas en curso </t>
  </si>
  <si>
    <t>Plan de pago</t>
  </si>
  <si>
    <t xml:space="preserve">Plan de pago de 6C: Consta de 6 cuotas de $300.000 + expensas en curso </t>
  </si>
  <si>
    <t xml:space="preserve">Plan de pago de 6B: Consta de 24 cuotas de $33.000 + expensas en curso </t>
  </si>
  <si>
    <t>VTO 15/05</t>
  </si>
  <si>
    <t>PERÍODO: ABRIL</t>
  </si>
  <si>
    <t>Suarez Agustin Ignacio - Fumigacion ABRIL</t>
  </si>
  <si>
    <t>Gustavo Padron -  Sr. Contador - ABRIL</t>
  </si>
  <si>
    <t>Transf 21/04</t>
  </si>
  <si>
    <t>Ef 22/04</t>
  </si>
  <si>
    <t>Doartero julio - Cambio de tablero, mano de obra y materiales</t>
  </si>
  <si>
    <t>Transf 10/04</t>
  </si>
  <si>
    <t>Doartero julio  - Cambio de tubo, sector cocheras, mano de obra y materiales</t>
  </si>
  <si>
    <t>Doartero julio - Colocacion de celda fotoelectrica, mano de obra y materiales</t>
  </si>
  <si>
    <t>Transf 02/04</t>
  </si>
  <si>
    <t>Doartero julio - Cambio de cables en sector cocina piso 3E, mano de obra y materiales</t>
  </si>
  <si>
    <t>Transf 08/04</t>
  </si>
  <si>
    <t>Doartero julio - Cambio de tubo en sector de bombas, mano de obra y materiales</t>
  </si>
  <si>
    <t>Transf 08/01</t>
  </si>
  <si>
    <t xml:space="preserve">Honorarios Sr. Cristian Pezzo </t>
  </si>
  <si>
    <t>Transf 01/04</t>
  </si>
  <si>
    <t>Subscripcion Revista Sindical  (Marzo)</t>
  </si>
  <si>
    <t>Transf 07/04</t>
  </si>
  <si>
    <t>Federacion Patronal - Seguro accidentes personales Sr. Cesar</t>
  </si>
  <si>
    <t>Debito aut.</t>
  </si>
  <si>
    <t>Transf 09/04</t>
  </si>
  <si>
    <t>Oscar Colmeiro – Obra de plomería: se realiza el cambio de desagües de cocinas y lavaderos en las unidades E y F de los pisos 7°, 6°, 5°, 4°, 3°, incluyendo además el cambio de bajada y desagües de cocina y lavadero en las unidades E y F del piso 2°, del piso 1° y de Planta Baja, realizándose en todos los casos el mismo tipo de trabajo - Se pudo abonar $2.800.000</t>
  </si>
  <si>
    <t>Feriado semana santa</t>
  </si>
  <si>
    <t>Honorarios administracion - Mes de Marzo - Se adeuda mes de ABRIL</t>
  </si>
  <si>
    <t>Doartero julio - Cambio de tubo en sector de cochera mano de obra y materiales</t>
  </si>
  <si>
    <t>Trabsf 10/04</t>
  </si>
  <si>
    <t>Debito 13/04</t>
  </si>
  <si>
    <t>Transf 13/04</t>
  </si>
  <si>
    <t xml:space="preserve">Federacion Patronal - Seguro consorcio </t>
  </si>
  <si>
    <t>Ascensores Lema - Cinta de freno ascensor medio - Mano de obra y materiales</t>
  </si>
  <si>
    <t>Transf 22/04 y efectivo</t>
  </si>
  <si>
    <t>Debito 27/04</t>
  </si>
  <si>
    <t>Transf 29/04</t>
  </si>
  <si>
    <t>PMC 29/04</t>
  </si>
  <si>
    <t>Cuello Natalia - Desobstruccion columna cocina 10F</t>
  </si>
  <si>
    <t>Cuello Natalia - Desobstruccion columna cocina 6G</t>
  </si>
  <si>
    <t>Cuello Natalia - Desobstruccion columna cocina 11A</t>
  </si>
  <si>
    <t>Fernandez jorge Ruben - Copias de llaves, cerraduras y colocacion - Cambio de cerradura porton cochera y llaves emanadas de cuartos</t>
  </si>
  <si>
    <t>InOut Control - Comando control y camaras - No se abono</t>
  </si>
  <si>
    <t>Ascensores Lema - Ascensor 3: Cambio de polea tensora y regulador de velocidad</t>
  </si>
  <si>
    <t>Transf y Efectivo 07/04</t>
  </si>
  <si>
    <t>4 E COCHERA MARIA AMELIA XHARDEZ</t>
  </si>
  <si>
    <t>Doartero julio - Cambio de cables en sector cocina y comedor piso 7E, mano de obra y materiales - A pagar por piso 8B</t>
  </si>
  <si>
    <t>Deposito ya identificado mes de Diciembre 9F</t>
  </si>
  <si>
    <t xml:space="preserve">El en les de Abril abono la 1er cuota de3 </t>
  </si>
  <si>
    <t xml:space="preserve">El en les de Abril abono la 1er cuota de 7 </t>
  </si>
  <si>
    <t>ARCA - Plan de pago - Cuota 45/60</t>
  </si>
  <si>
    <t>Debito 16/04</t>
  </si>
  <si>
    <t>Ramon Troncoso</t>
  </si>
  <si>
    <t>Deposito ya identificado mes de febrero</t>
  </si>
  <si>
    <t>Deposito ya identificado mes de marzo</t>
  </si>
  <si>
    <t>Deposito ensobrado sin identificar 14/04</t>
  </si>
  <si>
    <t xml:space="preserve">Macarena Crespo nueva inquilina - Sandra noemi crespo -  En abril abono la primer cuota de 3 de $135.000 - Consta de 3 cuotas de 135.000 + expensas en curso </t>
  </si>
  <si>
    <t>Transferencia Quinteros Pablo 16/04</t>
  </si>
  <si>
    <t xml:space="preserve">En abril abona la primer cuota de 11 - Consta de 11 cuotas de 250.000 + expensas en curso </t>
  </si>
  <si>
    <t xml:space="preserve">En abril abona la primer cuota de 24 - Consta de 24 cuotas de $33.000 + expensas en curso </t>
  </si>
  <si>
    <t>NÚMERO DE CUENTA: Cta. Cte. 039-024105/6 - Alias: italia2156 - CBU:0720039720000002410568</t>
  </si>
  <si>
    <t>En abril abono la cuota 5 de 24</t>
  </si>
  <si>
    <t>Saldo inicial</t>
  </si>
  <si>
    <t xml:space="preserve">ANOTACION </t>
  </si>
  <si>
    <t>FECHA DE LA ANOTACION:</t>
  </si>
  <si>
    <t>0-ene</t>
  </si>
  <si>
    <t>NOMBRE:</t>
  </si>
  <si>
    <t>Ferraro jose</t>
  </si>
  <si>
    <t>QUEJA VIA:</t>
  </si>
  <si>
    <t>WHATSAPP</t>
  </si>
  <si>
    <t>MAIL</t>
  </si>
  <si>
    <t>MOTIVO DE LA QUEJA:</t>
  </si>
  <si>
    <t>El 10 C habia abonado en el mes 4 $132.420,71 , le quedaban $3677 pesos a favor y la pusimos impaga - Debe abonar $130.084,71</t>
  </si>
  <si>
    <t>El 10A deposito $220.300 el 08/05</t>
  </si>
  <si>
    <t>10A</t>
  </si>
  <si>
    <t>Cristina_Kruk@hotmail.com</t>
  </si>
  <si>
    <t>Cristina</t>
  </si>
  <si>
    <t>Deposito 15/05 $147.000</t>
  </si>
  <si>
    <t>8C creo</t>
  </si>
  <si>
    <t>Angelica</t>
  </si>
  <si>
    <t>Deposito $160.000 el 19/05 (creo)</t>
  </si>
  <si>
    <t>6F</t>
  </si>
  <si>
    <t>Gustavo Peker</t>
  </si>
  <si>
    <t>9B</t>
  </si>
  <si>
    <t>Abono $180.866,63 el 27/04 y no lo pusimos pago. CHEQUEAR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</si>
</sst>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8" formatCode="&quot;$&quot;\ #,##0.00;[Red]\-&quot;$&quot;\ #,##0.00"/>
    <numFmt numFmtId="44" formatCode="_-&quot;$&quot;\ * #,##0.00_-;\-&quot;$&quot;\ * #,##0.00_-;_-&quot;$&quot;\ * &quot;-&quot;??_-;_-@_-"/>
    <numFmt numFmtId="43" formatCode="_-* #,##0.00_-;\-* #,##0.00_-;_-* &quot;-&quot;??_-;_-@_-"/>
    <numFmt numFmtId="164" formatCode="_-&quot;$&quot;\ * #,##0.0_-;\-&quot;$&quot;\ * #,##0.0_-;_-&quot;$&quot;\ * &quot;-&quot;??_-;_-@_-"/>
    <numFmt numFmtId="165" formatCode="_-[$$-2C0A]\ * #,##0.0_-;\-[$$-2C0A]\ * #,##0.0_-;_-[$$-2C0A]\ * &quot;-&quot;??_-;_-@_-"/>
    <numFmt numFmtId="166" formatCode="_-[$$-2C0A]\ * #,##0.00_-;\-[$$-2C0A]\ * #,##0.00_-;_-[$$-2C0A]\ * &quot;-&quot;??_-;_-@_-"/>
    <numFmt numFmtId="167" formatCode="_-&quot;$&quot;\ * #,##0_-;\-&quot;$&quot;\ * #,##0_-;_-&quot;$&quot;\ * &quot;-&quot;??_-;_-@_-"/>
    <numFmt numFmtId="168" formatCode="0.000"/>
  </numFmts>
  <fonts count="22" x14ac:knownFonts="1">
    <font>
      <sz val="11"/>
      <color theme="1"/>
      <name val="Calibri"/>
      <family val="2"/>
      <scheme val="minor"/>
    </font>
    <font>
      <b/>
      <sz val="11"/>
      <color theme="1"/>
      <name val="Calibri"/>
      <family val="2"/>
      <scheme val="minor"/>
    </font>
    <font>
      <b/>
      <sz val="10"/>
      <color theme="1"/>
      <name val="Calibri"/>
      <family val="2"/>
      <scheme val="minor"/>
    </font>
    <font>
      <sz val="10"/>
      <color theme="1"/>
      <name val="Calibri"/>
      <family val="2"/>
      <scheme val="minor"/>
    </font>
    <font>
      <b/>
      <sz val="12"/>
      <color theme="1"/>
      <name val="Calibri"/>
      <family val="2"/>
      <scheme val="minor"/>
    </font>
    <font>
      <sz val="11"/>
      <color theme="1"/>
      <name val="Calibri"/>
      <family val="2"/>
      <scheme val="minor"/>
    </font>
    <font>
      <b/>
      <sz val="11"/>
      <color theme="0"/>
      <name val="Calibri"/>
      <family val="2"/>
      <scheme val="minor"/>
    </font>
    <font>
      <sz val="11"/>
      <color rgb="FFFF0000"/>
      <name val="Calibri"/>
      <family val="2"/>
      <scheme val="minor"/>
    </font>
    <font>
      <b/>
      <sz val="16"/>
      <color theme="1"/>
      <name val="Calibri"/>
      <family val="2"/>
      <scheme val="minor"/>
    </font>
    <font>
      <b/>
      <i/>
      <u/>
      <sz val="11"/>
      <color theme="1"/>
      <name val="Calibri"/>
      <family val="2"/>
      <scheme val="minor"/>
    </font>
    <font>
      <b/>
      <i/>
      <u/>
      <sz val="11"/>
      <name val="Calibri"/>
      <family val="2"/>
      <scheme val="minor"/>
    </font>
    <font>
      <sz val="11"/>
      <name val="Calibri"/>
      <family val="2"/>
      <scheme val="minor"/>
    </font>
    <font>
      <sz val="10"/>
      <name val="Calibri"/>
      <family val="2"/>
      <scheme val="minor"/>
    </font>
    <font>
      <b/>
      <sz val="11"/>
      <name val="Calibri"/>
      <family val="2"/>
      <scheme val="minor"/>
    </font>
    <font>
      <sz val="9"/>
      <name val="Calibri"/>
      <family val="2"/>
      <scheme val="minor"/>
    </font>
    <font>
      <b/>
      <sz val="10"/>
      <name val="Calibri"/>
      <family val="2"/>
      <scheme val="minor"/>
    </font>
    <font>
      <sz val="9"/>
      <color theme="1"/>
      <name val="Calibri"/>
      <family val="2"/>
      <scheme val="minor"/>
    </font>
    <font>
      <sz val="8"/>
      <color theme="1"/>
      <name val="Calibri"/>
      <family val="2"/>
      <scheme val="minor"/>
    </font>
    <font>
      <sz val="8"/>
      <name val="Calibri"/>
      <family val="2"/>
      <scheme val="minor"/>
    </font>
    <font>
      <sz val="8"/>
      <color theme="0"/>
      <name val="Calibri"/>
      <family val="2"/>
      <scheme val="minor"/>
    </font>
    <font>
      <b/>
      <i/>
      <u/>
      <sz val="10"/>
      <name val="Calibri"/>
      <family val="2"/>
      <scheme val="minor"/>
    </font>
    <font>
      <u/>
      <sz val="11"/>
      <color theme="10"/>
      <name val="Calibri"/>
      <family val="2"/>
      <scheme val="minor"/>
    </font>
  </fonts>
  <fills count="19">
    <fill>
      <patternFill patternType="none"/>
    </fill>
    <fill>
      <patternFill patternType="gray125"/>
    </fill>
    <fill>
      <patternFill patternType="solid">
        <fgColor theme="0"/>
        <bgColor indexed="64"/>
      </patternFill>
    </fill>
    <fill>
      <patternFill patternType="solid">
        <fgColor theme="4" tint="0.59999389629810485"/>
        <bgColor indexed="64"/>
      </patternFill>
    </fill>
    <fill>
      <patternFill patternType="solid">
        <fgColor rgb="FFFFFF00"/>
        <bgColor indexed="64"/>
      </patternFill>
    </fill>
    <fill>
      <patternFill patternType="solid">
        <fgColor theme="4" tint="0.39997558519241921"/>
        <bgColor indexed="64"/>
      </patternFill>
    </fill>
    <fill>
      <patternFill patternType="solid">
        <fgColor rgb="FFFFC000"/>
        <bgColor indexed="64"/>
      </patternFill>
    </fill>
    <fill>
      <patternFill patternType="solid">
        <fgColor theme="3" tint="0.39997558519241921"/>
        <bgColor indexed="64"/>
      </patternFill>
    </fill>
    <fill>
      <patternFill patternType="solid">
        <fgColor theme="2" tint="-0.249977111117893"/>
        <bgColor indexed="64"/>
      </patternFill>
    </fill>
    <fill>
      <patternFill patternType="solid">
        <fgColor theme="1"/>
        <bgColor indexed="64"/>
      </patternFill>
    </fill>
    <fill>
      <patternFill patternType="solid">
        <fgColor theme="3" tint="0.79998168889431442"/>
        <bgColor indexed="64"/>
      </patternFill>
    </fill>
    <fill>
      <patternFill patternType="solid">
        <fgColor theme="7" tint="0.39997558519241921"/>
        <bgColor indexed="64"/>
      </patternFill>
    </fill>
    <fill>
      <patternFill patternType="solid">
        <fgColor theme="9" tint="0.59999389629810485"/>
        <bgColor indexed="64"/>
      </patternFill>
    </fill>
    <fill>
      <patternFill patternType="solid">
        <fgColor theme="9" tint="0.39997558519241921"/>
        <bgColor indexed="64"/>
      </patternFill>
    </fill>
    <fill>
      <patternFill patternType="solid">
        <fgColor theme="7" tint="-0.249977111117893"/>
        <bgColor indexed="64"/>
      </patternFill>
    </fill>
    <fill>
      <patternFill patternType="solid">
        <fgColor theme="6"/>
        <bgColor indexed="64"/>
      </patternFill>
    </fill>
    <fill>
      <patternFill patternType="solid">
        <fgColor theme="5"/>
        <bgColor indexed="64"/>
      </patternFill>
    </fill>
    <fill>
      <patternFill patternType="solid">
        <fgColor theme="4"/>
        <bgColor indexed="64"/>
      </patternFill>
    </fill>
    <fill>
      <patternFill patternType="solid">
        <fgColor theme="2"/>
        <bgColor indexed="64"/>
      </patternFill>
    </fill>
  </fills>
  <borders count="40">
    <border>
      <left/>
      <right/>
      <top/>
      <bottom/>
      <diagonal/>
    </border>
    <border>
      <left style="medium">
        <color indexed="64"/>
      </left>
      <right style="medium">
        <color indexed="64"/>
      </right>
      <top style="medium">
        <color indexed="64"/>
      </top>
      <bottom style="medium">
        <color indexed="64"/>
      </bottom>
      <diagonal/>
    </border>
    <border>
      <left/>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style="medium">
        <color indexed="64"/>
      </right>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right style="medium">
        <color indexed="64"/>
      </right>
      <top style="medium">
        <color indexed="64"/>
      </top>
      <bottom/>
      <diagonal/>
    </border>
    <border>
      <left/>
      <right style="medium">
        <color indexed="64"/>
      </right>
      <top/>
      <bottom/>
      <diagonal/>
    </border>
    <border>
      <left style="thin">
        <color indexed="64"/>
      </left>
      <right/>
      <top/>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right/>
      <top style="thin">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right style="medium">
        <color indexed="64"/>
      </right>
      <top style="medium">
        <color indexed="64"/>
      </top>
      <bottom style="thin">
        <color indexed="64"/>
      </bottom>
      <diagonal/>
    </border>
    <border>
      <left/>
      <right style="medium">
        <color indexed="64"/>
      </right>
      <top style="thin">
        <color indexed="64"/>
      </top>
      <bottom style="thin">
        <color indexed="64"/>
      </bottom>
      <diagonal/>
    </border>
    <border>
      <left/>
      <right style="medium">
        <color indexed="64"/>
      </right>
      <top style="thin">
        <color indexed="64"/>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medium">
        <color indexed="64"/>
      </bottom>
      <diagonal/>
    </border>
    <border>
      <left style="thin">
        <color indexed="64"/>
      </left>
      <right style="medium">
        <color indexed="64"/>
      </right>
      <top style="medium">
        <color indexed="64"/>
      </top>
      <bottom/>
      <diagonal/>
    </border>
    <border>
      <left style="thin">
        <color indexed="64"/>
      </left>
      <right style="medium">
        <color indexed="64"/>
      </right>
      <top/>
      <bottom style="thin">
        <color indexed="64"/>
      </bottom>
      <diagonal/>
    </border>
    <border>
      <left/>
      <right/>
      <top style="thin">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thin">
        <color indexed="64"/>
      </bottom>
      <diagonal/>
    </border>
  </borders>
  <cellStyleXfs count="4">
    <xf numFmtId="0" fontId="0" fillId="0" borderId="0"/>
    <xf numFmtId="44" fontId="5" fillId="0" borderId="0" applyFont="0" applyFill="0" applyBorder="0" applyAlignment="0" applyProtection="0"/>
    <xf numFmtId="43" fontId="5" fillId="0" borderId="0" applyFont="0" applyFill="0" applyBorder="0" applyAlignment="0" applyProtection="0"/>
    <xf numFmtId="0" fontId="21" fillId="0" borderId="0" applyNumberFormat="0" applyFill="0" applyBorder="0" applyAlignment="0" applyProtection="0"/>
  </cellStyleXfs>
  <cellXfs count="290">
    <xf numFmtId="0" fontId="0" fillId="0" borderId="0" xfId="0"/>
    <xf numFmtId="0" fontId="1" fillId="0" borderId="0" xfId="0" applyFont="1"/>
    <xf numFmtId="0" fontId="1" fillId="3" borderId="18" xfId="0" applyFont="1" applyFill="1" applyBorder="1"/>
    <xf numFmtId="0" fontId="1" fillId="3" borderId="3" xfId="0" applyFont="1" applyFill="1" applyBorder="1"/>
    <xf numFmtId="0" fontId="2" fillId="3" borderId="0" xfId="0" applyFont="1" applyFill="1"/>
    <xf numFmtId="0" fontId="2" fillId="3" borderId="12" xfId="0" applyFont="1" applyFill="1" applyBorder="1"/>
    <xf numFmtId="0" fontId="1" fillId="3" borderId="7" xfId="0" applyFont="1" applyFill="1" applyBorder="1"/>
    <xf numFmtId="0" fontId="1" fillId="3" borderId="8" xfId="0" applyFont="1" applyFill="1" applyBorder="1" applyAlignment="1">
      <alignment horizontal="left"/>
    </xf>
    <xf numFmtId="0" fontId="1" fillId="3" borderId="8" xfId="0" applyFont="1" applyFill="1" applyBorder="1"/>
    <xf numFmtId="0" fontId="1" fillId="3" borderId="6" xfId="0" applyFont="1" applyFill="1" applyBorder="1"/>
    <xf numFmtId="0" fontId="1" fillId="3" borderId="0" xfId="0" applyFont="1" applyFill="1"/>
    <xf numFmtId="0" fontId="1" fillId="3" borderId="12" xfId="0" applyFont="1" applyFill="1" applyBorder="1"/>
    <xf numFmtId="0" fontId="1" fillId="6" borderId="18" xfId="0" applyFont="1" applyFill="1" applyBorder="1"/>
    <xf numFmtId="0" fontId="1" fillId="6" borderId="2" xfId="0" applyFont="1" applyFill="1" applyBorder="1"/>
    <xf numFmtId="10" fontId="1" fillId="6" borderId="2" xfId="0" applyNumberFormat="1" applyFont="1" applyFill="1" applyBorder="1"/>
    <xf numFmtId="0" fontId="0" fillId="6" borderId="2" xfId="0" applyFill="1" applyBorder="1"/>
    <xf numFmtId="0" fontId="0" fillId="6" borderId="11" xfId="0" applyFill="1" applyBorder="1"/>
    <xf numFmtId="0" fontId="9" fillId="7" borderId="9" xfId="0" applyFont="1" applyFill="1" applyBorder="1"/>
    <xf numFmtId="8" fontId="10" fillId="7" borderId="9" xfId="0" applyNumberFormat="1" applyFont="1" applyFill="1" applyBorder="1"/>
    <xf numFmtId="0" fontId="0" fillId="2" borderId="20" xfId="0" applyFill="1" applyBorder="1" applyAlignment="1">
      <alignment horizontal="left" vertical="center" wrapText="1"/>
    </xf>
    <xf numFmtId="0" fontId="0" fillId="2" borderId="21" xfId="0" applyFill="1" applyBorder="1" applyAlignment="1">
      <alignment horizontal="left" vertical="center" wrapText="1"/>
    </xf>
    <xf numFmtId="0" fontId="0" fillId="2" borderId="9" xfId="0" applyFill="1" applyBorder="1"/>
    <xf numFmtId="0" fontId="0" fillId="2" borderId="0" xfId="0" applyFill="1"/>
    <xf numFmtId="0" fontId="12" fillId="2" borderId="9" xfId="0" applyFont="1" applyFill="1" applyBorder="1"/>
    <xf numFmtId="0" fontId="1" fillId="7" borderId="9" xfId="0" applyFont="1" applyFill="1" applyBorder="1"/>
    <xf numFmtId="44" fontId="13" fillId="7" borderId="20" xfId="1" applyFont="1" applyFill="1" applyBorder="1"/>
    <xf numFmtId="44" fontId="13" fillId="7" borderId="9" xfId="1" applyFont="1" applyFill="1" applyBorder="1"/>
    <xf numFmtId="0" fontId="0" fillId="0" borderId="20" xfId="0" applyBorder="1" applyAlignment="1">
      <alignment horizontal="left" vertical="center" wrapText="1"/>
    </xf>
    <xf numFmtId="0" fontId="0" fillId="0" borderId="21" xfId="0" applyBorder="1" applyAlignment="1">
      <alignment horizontal="left" vertical="center" wrapText="1"/>
    </xf>
    <xf numFmtId="0" fontId="0" fillId="0" borderId="9" xfId="0" applyBorder="1" applyAlignment="1">
      <alignment vertical="center" wrapText="1"/>
    </xf>
    <xf numFmtId="0" fontId="0" fillId="7" borderId="9" xfId="0" applyFill="1" applyBorder="1"/>
    <xf numFmtId="44" fontId="11" fillId="7" borderId="9" xfId="1" applyFont="1" applyFill="1" applyBorder="1"/>
    <xf numFmtId="0" fontId="0" fillId="0" borderId="9" xfId="0" applyBorder="1"/>
    <xf numFmtId="44" fontId="11" fillId="2" borderId="9" xfId="1" applyFont="1" applyFill="1" applyBorder="1"/>
    <xf numFmtId="0" fontId="0" fillId="0" borderId="21" xfId="0" applyBorder="1"/>
    <xf numFmtId="0" fontId="0" fillId="0" borderId="20" xfId="0" applyBorder="1" applyAlignment="1">
      <alignment horizontal="left" vertical="center"/>
    </xf>
    <xf numFmtId="44" fontId="13" fillId="7" borderId="20" xfId="1" applyFont="1" applyFill="1" applyBorder="1" applyAlignment="1">
      <alignment horizontal="center"/>
    </xf>
    <xf numFmtId="0" fontId="14" fillId="0" borderId="9" xfId="1" applyNumberFormat="1" applyFont="1" applyBorder="1"/>
    <xf numFmtId="44" fontId="11" fillId="2" borderId="20" xfId="1" applyFont="1" applyFill="1" applyBorder="1"/>
    <xf numFmtId="0" fontId="10" fillId="7" borderId="9" xfId="0" applyFont="1" applyFill="1" applyBorder="1"/>
    <xf numFmtId="0" fontId="1" fillId="7" borderId="9" xfId="0" applyFont="1" applyFill="1" applyBorder="1" applyAlignment="1">
      <alignment wrapText="1"/>
    </xf>
    <xf numFmtId="8" fontId="13" fillId="7" borderId="20" xfId="0" applyNumberFormat="1" applyFont="1" applyFill="1" applyBorder="1"/>
    <xf numFmtId="0" fontId="1" fillId="7" borderId="19" xfId="0" applyFont="1" applyFill="1" applyBorder="1"/>
    <xf numFmtId="8" fontId="13" fillId="7" borderId="22" xfId="0" applyNumberFormat="1" applyFont="1" applyFill="1" applyBorder="1"/>
    <xf numFmtId="44" fontId="15" fillId="7" borderId="9" xfId="1" applyFont="1" applyFill="1" applyBorder="1"/>
    <xf numFmtId="0" fontId="11" fillId="0" borderId="9" xfId="0" applyFont="1" applyBorder="1"/>
    <xf numFmtId="0" fontId="12" fillId="0" borderId="15" xfId="0" applyFont="1" applyBorder="1"/>
    <xf numFmtId="0" fontId="1" fillId="8" borderId="9" xfId="0" applyFont="1" applyFill="1" applyBorder="1"/>
    <xf numFmtId="0" fontId="13" fillId="8" borderId="20" xfId="0" applyFont="1" applyFill="1" applyBorder="1"/>
    <xf numFmtId="44" fontId="15" fillId="8" borderId="9" xfId="1" applyFont="1" applyFill="1" applyBorder="1"/>
    <xf numFmtId="0" fontId="0" fillId="0" borderId="3" xfId="0" applyBorder="1"/>
    <xf numFmtId="0" fontId="11" fillId="0" borderId="0" xfId="0" applyFont="1"/>
    <xf numFmtId="0" fontId="12" fillId="0" borderId="12" xfId="0" applyFont="1" applyBorder="1"/>
    <xf numFmtId="44" fontId="0" fillId="0" borderId="0" xfId="0" applyNumberFormat="1"/>
    <xf numFmtId="0" fontId="1" fillId="6" borderId="7" xfId="0" applyFont="1" applyFill="1" applyBorder="1"/>
    <xf numFmtId="10" fontId="1" fillId="6" borderId="8" xfId="0" applyNumberFormat="1" applyFont="1" applyFill="1" applyBorder="1"/>
    <xf numFmtId="0" fontId="1" fillId="6" borderId="8" xfId="0" applyFont="1" applyFill="1" applyBorder="1"/>
    <xf numFmtId="0" fontId="13" fillId="6" borderId="8" xfId="0" applyFont="1" applyFill="1" applyBorder="1"/>
    <xf numFmtId="44" fontId="15" fillId="6" borderId="6" xfId="0" applyNumberFormat="1" applyFont="1" applyFill="1" applyBorder="1"/>
    <xf numFmtId="43" fontId="0" fillId="0" borderId="0" xfId="0" applyNumberFormat="1"/>
    <xf numFmtId="164" fontId="0" fillId="2" borderId="0" xfId="1" applyNumberFormat="1" applyFont="1" applyFill="1" applyAlignment="1"/>
    <xf numFmtId="0" fontId="11" fillId="6" borderId="2" xfId="0" applyFont="1" applyFill="1" applyBorder="1"/>
    <xf numFmtId="0" fontId="11" fillId="6" borderId="11" xfId="0" applyFont="1" applyFill="1" applyBorder="1"/>
    <xf numFmtId="0" fontId="12" fillId="0" borderId="9" xfId="1" applyNumberFormat="1" applyFont="1" applyBorder="1" applyAlignment="1">
      <alignment horizontal="left"/>
    </xf>
    <xf numFmtId="0" fontId="0" fillId="0" borderId="23" xfId="0" applyBorder="1" applyAlignment="1">
      <alignment horizontal="left" vertical="center" wrapText="1"/>
    </xf>
    <xf numFmtId="0" fontId="1" fillId="7" borderId="0" xfId="0" applyFont="1" applyFill="1"/>
    <xf numFmtId="0" fontId="0" fillId="7" borderId="0" xfId="0" applyFill="1"/>
    <xf numFmtId="0" fontId="2" fillId="5" borderId="7" xfId="0" applyFont="1" applyFill="1" applyBorder="1"/>
    <xf numFmtId="44" fontId="2" fillId="5" borderId="6" xfId="0" applyNumberFormat="1" applyFont="1" applyFill="1" applyBorder="1"/>
    <xf numFmtId="44" fontId="0" fillId="0" borderId="0" xfId="1" applyFont="1"/>
    <xf numFmtId="4" fontId="2" fillId="0" borderId="0" xfId="0" applyNumberFormat="1" applyFont="1" applyAlignment="1">
      <alignment wrapText="1"/>
    </xf>
    <xf numFmtId="0" fontId="0" fillId="0" borderId="0" xfId="0" applyAlignment="1">
      <alignment wrapText="1"/>
    </xf>
    <xf numFmtId="44" fontId="6" fillId="9" borderId="14" xfId="1" applyFont="1" applyFill="1" applyBorder="1"/>
    <xf numFmtId="44" fontId="0" fillId="0" borderId="9" xfId="0" applyNumberFormat="1" applyBorder="1" applyAlignment="1">
      <alignment vertical="center" wrapText="1"/>
    </xf>
    <xf numFmtId="44" fontId="0" fillId="0" borderId="9" xfId="1" applyFont="1" applyBorder="1" applyAlignment="1">
      <alignment vertical="center" wrapText="1"/>
    </xf>
    <xf numFmtId="0" fontId="1" fillId="10" borderId="4" xfId="0" applyFont="1" applyFill="1" applyBorder="1" applyAlignment="1">
      <alignment horizontal="left" vertical="center" wrapText="1"/>
    </xf>
    <xf numFmtId="44" fontId="1" fillId="10" borderId="17" xfId="1" applyFont="1" applyFill="1" applyBorder="1" applyAlignment="1">
      <alignment horizontal="left" vertical="center" wrapText="1"/>
    </xf>
    <xf numFmtId="0" fontId="3" fillId="0" borderId="9" xfId="0" applyFont="1" applyBorder="1" applyAlignment="1">
      <alignment vertical="center" wrapText="1"/>
    </xf>
    <xf numFmtId="44" fontId="0" fillId="0" borderId="0" xfId="1" applyFont="1" applyBorder="1"/>
    <xf numFmtId="0" fontId="6" fillId="9" borderId="0" xfId="0" applyFont="1" applyFill="1"/>
    <xf numFmtId="44" fontId="6" fillId="9" borderId="0" xfId="0" applyNumberFormat="1" applyFont="1" applyFill="1"/>
    <xf numFmtId="44" fontId="6" fillId="9" borderId="0" xfId="1" applyFont="1" applyFill="1"/>
    <xf numFmtId="0" fontId="0" fillId="0" borderId="13" xfId="0" applyBorder="1"/>
    <xf numFmtId="8" fontId="0" fillId="0" borderId="0" xfId="0" applyNumberFormat="1"/>
    <xf numFmtId="0" fontId="17" fillId="0" borderId="9" xfId="0" applyFont="1" applyBorder="1"/>
    <xf numFmtId="0" fontId="17" fillId="0" borderId="9" xfId="0" applyFont="1" applyBorder="1" applyAlignment="1">
      <alignment horizontal="center"/>
    </xf>
    <xf numFmtId="44" fontId="18" fillId="0" borderId="9" xfId="1" applyFont="1" applyBorder="1"/>
    <xf numFmtId="44" fontId="18" fillId="2" borderId="9" xfId="1" applyFont="1" applyFill="1" applyBorder="1"/>
    <xf numFmtId="167" fontId="17" fillId="0" borderId="9" xfId="0" applyNumberFormat="1" applyFont="1" applyBorder="1"/>
    <xf numFmtId="44" fontId="18" fillId="0" borderId="24" xfId="1" applyFont="1" applyBorder="1"/>
    <xf numFmtId="0" fontId="17" fillId="0" borderId="9" xfId="0" applyFont="1" applyBorder="1" applyAlignment="1">
      <alignment wrapText="1"/>
    </xf>
    <xf numFmtId="0" fontId="17" fillId="0" borderId="9" xfId="0" applyFont="1" applyBorder="1" applyAlignment="1">
      <alignment vertical="center" wrapText="1"/>
    </xf>
    <xf numFmtId="0" fontId="16" fillId="0" borderId="0" xfId="0" applyFont="1"/>
    <xf numFmtId="0" fontId="1" fillId="3" borderId="7" xfId="0" applyFont="1" applyFill="1" applyBorder="1" applyAlignment="1">
      <alignment horizontal="left" vertical="top" wrapText="1"/>
    </xf>
    <xf numFmtId="0" fontId="1" fillId="2" borderId="9" xfId="0" applyFont="1" applyFill="1" applyBorder="1"/>
    <xf numFmtId="0" fontId="0" fillId="0" borderId="19" xfId="0" applyBorder="1"/>
    <xf numFmtId="0" fontId="17" fillId="11" borderId="9" xfId="0" applyFont="1" applyFill="1" applyBorder="1" applyAlignment="1">
      <alignment horizontal="center"/>
    </xf>
    <xf numFmtId="44" fontId="18" fillId="11" borderId="9" xfId="1" applyFont="1" applyFill="1" applyBorder="1"/>
    <xf numFmtId="167" fontId="17" fillId="11" borderId="9" xfId="0" applyNumberFormat="1" applyFont="1" applyFill="1" applyBorder="1"/>
    <xf numFmtId="44" fontId="18" fillId="11" borderId="24" xfId="1" applyFont="1" applyFill="1" applyBorder="1"/>
    <xf numFmtId="0" fontId="17" fillId="11" borderId="9" xfId="0" applyFont="1" applyFill="1" applyBorder="1" applyAlignment="1">
      <alignment vertical="center" wrapText="1"/>
    </xf>
    <xf numFmtId="0" fontId="17" fillId="11" borderId="9" xfId="0" applyFont="1" applyFill="1" applyBorder="1" applyAlignment="1">
      <alignment wrapText="1"/>
    </xf>
    <xf numFmtId="0" fontId="0" fillId="2" borderId="20" xfId="0" applyFill="1" applyBorder="1" applyAlignment="1">
      <alignment horizontal="left" vertical="center"/>
    </xf>
    <xf numFmtId="0" fontId="0" fillId="3" borderId="18" xfId="0" applyFill="1" applyBorder="1"/>
    <xf numFmtId="0" fontId="0" fillId="3" borderId="2" xfId="0" applyFill="1" applyBorder="1" applyAlignment="1">
      <alignment horizontal="center"/>
    </xf>
    <xf numFmtId="0" fontId="0" fillId="3" borderId="11" xfId="0" applyFill="1" applyBorder="1"/>
    <xf numFmtId="0" fontId="0" fillId="3" borderId="3" xfId="0" applyFill="1" applyBorder="1"/>
    <xf numFmtId="0" fontId="0" fillId="3" borderId="0" xfId="0" applyFill="1" applyAlignment="1">
      <alignment horizontal="center"/>
    </xf>
    <xf numFmtId="0" fontId="1" fillId="3" borderId="0" xfId="0" applyFont="1" applyFill="1" applyAlignment="1">
      <alignment horizontal="center"/>
    </xf>
    <xf numFmtId="164" fontId="1" fillId="3" borderId="0" xfId="1" applyNumberFormat="1" applyFont="1" applyFill="1" applyBorder="1" applyAlignment="1">
      <alignment horizontal="center"/>
    </xf>
    <xf numFmtId="164" fontId="0" fillId="3" borderId="0" xfId="1" applyNumberFormat="1" applyFont="1" applyFill="1" applyBorder="1" applyAlignment="1">
      <alignment horizontal="center"/>
    </xf>
    <xf numFmtId="44" fontId="0" fillId="3" borderId="12" xfId="1" applyFont="1" applyFill="1" applyBorder="1" applyAlignment="1"/>
    <xf numFmtId="0" fontId="0" fillId="3" borderId="4" xfId="0" applyFill="1" applyBorder="1"/>
    <xf numFmtId="0" fontId="0" fillId="3" borderId="16" xfId="0" applyFill="1" applyBorder="1" applyAlignment="1">
      <alignment horizontal="center"/>
    </xf>
    <xf numFmtId="166" fontId="0" fillId="3" borderId="16" xfId="0" applyNumberFormat="1" applyFill="1" applyBorder="1" applyAlignment="1">
      <alignment horizontal="center"/>
    </xf>
    <xf numFmtId="164" fontId="0" fillId="3" borderId="16" xfId="1" applyNumberFormat="1" applyFont="1" applyFill="1" applyBorder="1" applyAlignment="1">
      <alignment horizontal="center"/>
    </xf>
    <xf numFmtId="44" fontId="0" fillId="3" borderId="17" xfId="1" applyFont="1" applyFill="1" applyBorder="1" applyAlignment="1"/>
    <xf numFmtId="44" fontId="11" fillId="7" borderId="20" xfId="1" applyFont="1" applyFill="1" applyBorder="1"/>
    <xf numFmtId="0" fontId="17" fillId="2" borderId="9" xfId="0" applyFont="1" applyFill="1" applyBorder="1"/>
    <xf numFmtId="0" fontId="19" fillId="2" borderId="9" xfId="0" applyFont="1" applyFill="1" applyBorder="1"/>
    <xf numFmtId="0" fontId="17" fillId="2" borderId="9" xfId="0" applyFont="1" applyFill="1" applyBorder="1" applyAlignment="1">
      <alignment horizontal="center"/>
    </xf>
    <xf numFmtId="167" fontId="17" fillId="2" borderId="9" xfId="0" applyNumberFormat="1" applyFont="1" applyFill="1" applyBorder="1"/>
    <xf numFmtId="44" fontId="18" fillId="2" borderId="24" xfId="1" applyFont="1" applyFill="1" applyBorder="1"/>
    <xf numFmtId="0" fontId="17" fillId="2" borderId="9" xfId="0" applyFont="1" applyFill="1" applyBorder="1" applyAlignment="1">
      <alignment wrapText="1"/>
    </xf>
    <xf numFmtId="0" fontId="17" fillId="2" borderId="9" xfId="0" applyFont="1" applyFill="1" applyBorder="1" applyAlignment="1">
      <alignment vertical="center" wrapText="1"/>
    </xf>
    <xf numFmtId="44" fontId="12" fillId="0" borderId="9" xfId="1" applyFont="1" applyBorder="1" applyAlignment="1">
      <alignment vertical="center" wrapText="1"/>
    </xf>
    <xf numFmtId="0" fontId="14" fillId="0" borderId="9" xfId="1" applyNumberFormat="1" applyFont="1" applyBorder="1" applyAlignment="1">
      <alignment wrapText="1"/>
    </xf>
    <xf numFmtId="44" fontId="11" fillId="7" borderId="0" xfId="1" applyFont="1" applyFill="1"/>
    <xf numFmtId="8" fontId="20" fillId="7" borderId="9" xfId="0" applyNumberFormat="1" applyFont="1" applyFill="1" applyBorder="1"/>
    <xf numFmtId="0" fontId="12" fillId="2" borderId="19" xfId="0" applyFont="1" applyFill="1" applyBorder="1"/>
    <xf numFmtId="0" fontId="17" fillId="13" borderId="9" xfId="0" applyFont="1" applyFill="1" applyBorder="1" applyAlignment="1">
      <alignment vertical="center" wrapText="1"/>
    </xf>
    <xf numFmtId="0" fontId="17" fillId="13" borderId="9" xfId="0" applyFont="1" applyFill="1" applyBorder="1" applyAlignment="1">
      <alignment wrapText="1"/>
    </xf>
    <xf numFmtId="0" fontId="17" fillId="13" borderId="9" xfId="0" applyFont="1" applyFill="1" applyBorder="1" applyAlignment="1">
      <alignment horizontal="center"/>
    </xf>
    <xf numFmtId="44" fontId="18" fillId="13" borderId="9" xfId="1" applyFont="1" applyFill="1" applyBorder="1"/>
    <xf numFmtId="167" fontId="17" fillId="13" borderId="9" xfId="0" applyNumberFormat="1" applyFont="1" applyFill="1" applyBorder="1"/>
    <xf numFmtId="44" fontId="18" fillId="13" borderId="24" xfId="1" applyFont="1" applyFill="1" applyBorder="1"/>
    <xf numFmtId="0" fontId="17" fillId="11" borderId="9" xfId="0" applyFont="1" applyFill="1" applyBorder="1"/>
    <xf numFmtId="8" fontId="12" fillId="2" borderId="9" xfId="0" applyNumberFormat="1" applyFont="1" applyFill="1" applyBorder="1" applyAlignment="1">
      <alignment horizontal="right"/>
    </xf>
    <xf numFmtId="8" fontId="12" fillId="2" borderId="20" xfId="0" applyNumberFormat="1" applyFont="1" applyFill="1" applyBorder="1" applyAlignment="1">
      <alignment horizontal="right"/>
    </xf>
    <xf numFmtId="44" fontId="11" fillId="2" borderId="20" xfId="1" applyFont="1" applyFill="1" applyBorder="1" applyAlignment="1"/>
    <xf numFmtId="8" fontId="11" fillId="2" borderId="9" xfId="0" applyNumberFormat="1" applyFont="1" applyFill="1" applyBorder="1" applyAlignment="1">
      <alignment horizontal="right"/>
    </xf>
    <xf numFmtId="8" fontId="11" fillId="2" borderId="20" xfId="0" applyNumberFormat="1" applyFont="1" applyFill="1" applyBorder="1" applyAlignment="1">
      <alignment horizontal="right"/>
    </xf>
    <xf numFmtId="44" fontId="11" fillId="2" borderId="22" xfId="1" applyFont="1" applyFill="1" applyBorder="1"/>
    <xf numFmtId="167" fontId="17" fillId="0" borderId="9" xfId="1" applyNumberFormat="1" applyFont="1" applyBorder="1"/>
    <xf numFmtId="167" fontId="17" fillId="11" borderId="9" xfId="1" applyNumberFormat="1" applyFont="1" applyFill="1" applyBorder="1"/>
    <xf numFmtId="167" fontId="17" fillId="2" borderId="9" xfId="1" applyNumberFormat="1" applyFont="1" applyFill="1" applyBorder="1"/>
    <xf numFmtId="0" fontId="17" fillId="13" borderId="9" xfId="0" applyFont="1" applyFill="1" applyBorder="1"/>
    <xf numFmtId="167" fontId="17" fillId="13" borderId="9" xfId="1" applyNumberFormat="1" applyFont="1" applyFill="1" applyBorder="1"/>
    <xf numFmtId="0" fontId="17" fillId="0" borderId="10" xfId="0" applyFont="1" applyBorder="1"/>
    <xf numFmtId="0" fontId="17" fillId="11" borderId="10" xfId="0" applyFont="1" applyFill="1" applyBorder="1"/>
    <xf numFmtId="0" fontId="17" fillId="2" borderId="10" xfId="0" applyFont="1" applyFill="1" applyBorder="1"/>
    <xf numFmtId="0" fontId="17" fillId="13" borderId="10" xfId="0" applyFont="1" applyFill="1" applyBorder="1"/>
    <xf numFmtId="0" fontId="17" fillId="7" borderId="27" xfId="0" applyFont="1" applyFill="1" applyBorder="1"/>
    <xf numFmtId="0" fontId="17" fillId="7" borderId="28" xfId="0" applyFont="1" applyFill="1" applyBorder="1"/>
    <xf numFmtId="168" fontId="17" fillId="7" borderId="28" xfId="0" applyNumberFormat="1" applyFont="1" applyFill="1" applyBorder="1" applyAlignment="1">
      <alignment horizontal="center"/>
    </xf>
    <xf numFmtId="44" fontId="17" fillId="7" borderId="28" xfId="0" applyNumberFormat="1" applyFont="1" applyFill="1" applyBorder="1"/>
    <xf numFmtId="167" fontId="17" fillId="7" borderId="28" xfId="0" applyNumberFormat="1" applyFont="1" applyFill="1" applyBorder="1"/>
    <xf numFmtId="164" fontId="17" fillId="7" borderId="28" xfId="0" applyNumberFormat="1" applyFont="1" applyFill="1" applyBorder="1"/>
    <xf numFmtId="167" fontId="17" fillId="7" borderId="29" xfId="0" applyNumberFormat="1" applyFont="1" applyFill="1" applyBorder="1"/>
    <xf numFmtId="44" fontId="18" fillId="0" borderId="31" xfId="1" applyFont="1" applyBorder="1"/>
    <xf numFmtId="44" fontId="18" fillId="11" borderId="31" xfId="1" applyFont="1" applyFill="1" applyBorder="1"/>
    <xf numFmtId="44" fontId="18" fillId="2" borderId="31" xfId="1" applyFont="1" applyFill="1" applyBorder="1"/>
    <xf numFmtId="44" fontId="18" fillId="13" borderId="31" xfId="1" applyFont="1" applyFill="1" applyBorder="1"/>
    <xf numFmtId="44" fontId="17" fillId="7" borderId="32" xfId="0" applyNumberFormat="1" applyFont="1" applyFill="1" applyBorder="1"/>
    <xf numFmtId="0" fontId="14" fillId="3" borderId="33" xfId="0" applyFont="1" applyFill="1" applyBorder="1" applyAlignment="1">
      <alignment horizontal="center" vertical="center" wrapText="1"/>
    </xf>
    <xf numFmtId="0" fontId="14" fillId="3" borderId="24" xfId="0" applyFont="1" applyFill="1" applyBorder="1" applyAlignment="1">
      <alignment horizontal="center" vertical="center" wrapText="1"/>
    </xf>
    <xf numFmtId="44" fontId="17" fillId="7" borderId="34" xfId="0" applyNumberFormat="1" applyFont="1" applyFill="1" applyBorder="1"/>
    <xf numFmtId="44" fontId="7" fillId="0" borderId="9" xfId="1" applyFont="1" applyBorder="1" applyAlignment="1">
      <alignment vertical="center" wrapText="1"/>
    </xf>
    <xf numFmtId="0" fontId="3" fillId="0" borderId="0" xfId="0" applyFont="1" applyAlignment="1">
      <alignment vertical="center" wrapText="1"/>
    </xf>
    <xf numFmtId="167" fontId="17" fillId="0" borderId="23" xfId="1" applyNumberFormat="1" applyFont="1" applyBorder="1"/>
    <xf numFmtId="167" fontId="17" fillId="11" borderId="23" xfId="1" applyNumberFormat="1" applyFont="1" applyFill="1" applyBorder="1"/>
    <xf numFmtId="167" fontId="17" fillId="2" borderId="23" xfId="1" applyNumberFormat="1" applyFont="1" applyFill="1" applyBorder="1"/>
    <xf numFmtId="167" fontId="17" fillId="13" borderId="23" xfId="1" applyNumberFormat="1" applyFont="1" applyFill="1" applyBorder="1"/>
    <xf numFmtId="167" fontId="17" fillId="7" borderId="37" xfId="0" applyNumberFormat="1" applyFont="1" applyFill="1" applyBorder="1"/>
    <xf numFmtId="44" fontId="18" fillId="2" borderId="9" xfId="1" applyFont="1" applyFill="1" applyBorder="1" applyAlignment="1">
      <alignment vertical="center" wrapText="1"/>
    </xf>
    <xf numFmtId="44" fontId="20" fillId="7" borderId="19" xfId="1" applyFont="1" applyFill="1" applyBorder="1"/>
    <xf numFmtId="44" fontId="12" fillId="0" borderId="9" xfId="1" applyFont="1" applyBorder="1" applyAlignment="1">
      <alignment wrapText="1"/>
    </xf>
    <xf numFmtId="8" fontId="15" fillId="7" borderId="9" xfId="1" applyNumberFormat="1" applyFont="1" applyFill="1" applyBorder="1"/>
    <xf numFmtId="8" fontId="15" fillId="7" borderId="19" xfId="1" applyNumberFormat="1" applyFont="1" applyFill="1" applyBorder="1"/>
    <xf numFmtId="8" fontId="12" fillId="2" borderId="19" xfId="1" applyNumberFormat="1" applyFont="1" applyFill="1" applyBorder="1"/>
    <xf numFmtId="44" fontId="15" fillId="7" borderId="19" xfId="1" applyFont="1" applyFill="1" applyBorder="1"/>
    <xf numFmtId="44" fontId="12" fillId="7" borderId="19" xfId="1" applyFont="1" applyFill="1" applyBorder="1"/>
    <xf numFmtId="44" fontId="15" fillId="7" borderId="5" xfId="1" applyFont="1" applyFill="1" applyBorder="1"/>
    <xf numFmtId="44" fontId="15" fillId="7" borderId="1" xfId="1" applyFont="1" applyFill="1" applyBorder="1"/>
    <xf numFmtId="44" fontId="12" fillId="2" borderId="9" xfId="1" applyFont="1" applyFill="1" applyBorder="1"/>
    <xf numFmtId="44" fontId="13" fillId="7" borderId="0" xfId="1" applyFont="1" applyFill="1"/>
    <xf numFmtId="0" fontId="11" fillId="0" borderId="0" xfId="0" applyFont="1" applyAlignment="1">
      <alignment wrapText="1"/>
    </xf>
    <xf numFmtId="44" fontId="11" fillId="0" borderId="0" xfId="0" applyNumberFormat="1" applyFont="1" applyAlignment="1">
      <alignment wrapText="1"/>
    </xf>
    <xf numFmtId="43" fontId="18" fillId="13" borderId="9" xfId="2" applyFont="1" applyFill="1" applyBorder="1"/>
    <xf numFmtId="44" fontId="15" fillId="8" borderId="9" xfId="1" applyFont="1" applyFill="1" applyBorder="1" applyAlignment="1">
      <alignment vertical="center"/>
    </xf>
    <xf numFmtId="44" fontId="14" fillId="0" borderId="9" xfId="1" applyFont="1" applyBorder="1" applyAlignment="1">
      <alignment wrapText="1"/>
    </xf>
    <xf numFmtId="8" fontId="14" fillId="2" borderId="19" xfId="1" applyNumberFormat="1" applyFont="1" applyFill="1" applyBorder="1"/>
    <xf numFmtId="0" fontId="18" fillId="14" borderId="10" xfId="0" applyFont="1" applyFill="1" applyBorder="1"/>
    <xf numFmtId="0" fontId="18" fillId="14" borderId="9" xfId="0" applyFont="1" applyFill="1" applyBorder="1" applyAlignment="1">
      <alignment vertical="center" wrapText="1"/>
    </xf>
    <xf numFmtId="0" fontId="18" fillId="14" borderId="9" xfId="0" applyFont="1" applyFill="1" applyBorder="1" applyAlignment="1">
      <alignment wrapText="1"/>
    </xf>
    <xf numFmtId="0" fontId="18" fillId="14" borderId="9" xfId="0" applyFont="1" applyFill="1" applyBorder="1" applyAlignment="1">
      <alignment horizontal="center"/>
    </xf>
    <xf numFmtId="44" fontId="18" fillId="14" borderId="9" xfId="1" applyFont="1" applyFill="1" applyBorder="1"/>
    <xf numFmtId="167" fontId="18" fillId="14" borderId="9" xfId="0" applyNumberFormat="1" applyFont="1" applyFill="1" applyBorder="1"/>
    <xf numFmtId="167" fontId="18" fillId="14" borderId="9" xfId="1" applyNumberFormat="1" applyFont="1" applyFill="1" applyBorder="1"/>
    <xf numFmtId="167" fontId="18" fillId="14" borderId="23" xfId="1" applyNumberFormat="1" applyFont="1" applyFill="1" applyBorder="1"/>
    <xf numFmtId="44" fontId="18" fillId="14" borderId="24" xfId="1" applyFont="1" applyFill="1" applyBorder="1"/>
    <xf numFmtId="44" fontId="18" fillId="14" borderId="31" xfId="1" applyFont="1" applyFill="1" applyBorder="1"/>
    <xf numFmtId="0" fontId="17" fillId="14" borderId="10" xfId="0" applyFont="1" applyFill="1" applyBorder="1"/>
    <xf numFmtId="0" fontId="17" fillId="14" borderId="9" xfId="0" applyFont="1" applyFill="1" applyBorder="1" applyAlignment="1">
      <alignment vertical="center" wrapText="1"/>
    </xf>
    <xf numFmtId="0" fontId="17" fillId="14" borderId="9" xfId="0" applyFont="1" applyFill="1" applyBorder="1" applyAlignment="1">
      <alignment wrapText="1"/>
    </xf>
    <xf numFmtId="0" fontId="17" fillId="14" borderId="9" xfId="0" applyFont="1" applyFill="1" applyBorder="1" applyAlignment="1">
      <alignment horizontal="center"/>
    </xf>
    <xf numFmtId="167" fontId="17" fillId="14" borderId="9" xfId="0" applyNumberFormat="1" applyFont="1" applyFill="1" applyBorder="1"/>
    <xf numFmtId="167" fontId="17" fillId="14" borderId="9" xfId="1" applyNumberFormat="1" applyFont="1" applyFill="1" applyBorder="1"/>
    <xf numFmtId="167" fontId="17" fillId="14" borderId="23" xfId="1" applyNumberFormat="1" applyFont="1" applyFill="1" applyBorder="1"/>
    <xf numFmtId="0" fontId="6" fillId="9" borderId="14" xfId="0" applyFont="1" applyFill="1" applyBorder="1" applyAlignment="1">
      <alignment vertical="center" wrapText="1"/>
    </xf>
    <xf numFmtId="0" fontId="0" fillId="0" borderId="2" xfId="0" applyBorder="1"/>
    <xf numFmtId="0" fontId="0" fillId="0" borderId="11" xfId="0" applyBorder="1"/>
    <xf numFmtId="0" fontId="0" fillId="0" borderId="12" xfId="0" applyBorder="1"/>
    <xf numFmtId="0" fontId="17" fillId="15" borderId="10" xfId="0" applyFont="1" applyFill="1" applyBorder="1"/>
    <xf numFmtId="0" fontId="17" fillId="15" borderId="9" xfId="0" applyFont="1" applyFill="1" applyBorder="1" applyAlignment="1">
      <alignment vertical="center" wrapText="1"/>
    </xf>
    <xf numFmtId="0" fontId="0" fillId="15" borderId="18" xfId="0" applyFill="1" applyBorder="1"/>
    <xf numFmtId="0" fontId="0" fillId="15" borderId="2" xfId="0" applyFill="1" applyBorder="1"/>
    <xf numFmtId="0" fontId="0" fillId="15" borderId="3" xfId="0" applyFill="1" applyBorder="1"/>
    <xf numFmtId="0" fontId="0" fillId="15" borderId="0" xfId="0" applyFill="1"/>
    <xf numFmtId="3" fontId="0" fillId="0" borderId="0" xfId="0" applyNumberFormat="1"/>
    <xf numFmtId="0" fontId="0" fillId="16" borderId="18" xfId="0" applyFill="1" applyBorder="1"/>
    <xf numFmtId="0" fontId="0" fillId="16" borderId="2" xfId="0" applyFill="1" applyBorder="1"/>
    <xf numFmtId="0" fontId="0" fillId="16" borderId="3" xfId="0" applyFill="1" applyBorder="1"/>
    <xf numFmtId="0" fontId="0" fillId="16" borderId="0" xfId="0" applyFill="1"/>
    <xf numFmtId="0" fontId="17" fillId="16" borderId="10" xfId="0" applyFont="1" applyFill="1" applyBorder="1"/>
    <xf numFmtId="0" fontId="17" fillId="16" borderId="9" xfId="0" applyFont="1" applyFill="1" applyBorder="1" applyAlignment="1">
      <alignment vertical="center" wrapText="1"/>
    </xf>
    <xf numFmtId="0" fontId="21" fillId="0" borderId="0" xfId="3"/>
    <xf numFmtId="0" fontId="0" fillId="17" borderId="18" xfId="0" applyFill="1" applyBorder="1"/>
    <xf numFmtId="0" fontId="0" fillId="17" borderId="2" xfId="0" applyFill="1" applyBorder="1"/>
    <xf numFmtId="0" fontId="0" fillId="17" borderId="3" xfId="0" applyFill="1" applyBorder="1"/>
    <xf numFmtId="0" fontId="0" fillId="17" borderId="0" xfId="0" applyFill="1"/>
    <xf numFmtId="0" fontId="17" fillId="6" borderId="10" xfId="0" applyFont="1" applyFill="1" applyBorder="1"/>
    <xf numFmtId="0" fontId="17" fillId="6" borderId="9" xfId="0" applyFont="1" applyFill="1" applyBorder="1" applyAlignment="1">
      <alignment vertical="center" wrapText="1"/>
    </xf>
    <xf numFmtId="0" fontId="0" fillId="6" borderId="18" xfId="0" applyFill="1" applyBorder="1"/>
    <xf numFmtId="0" fontId="0" fillId="6" borderId="3" xfId="0" applyFill="1" applyBorder="1"/>
    <xf numFmtId="0" fontId="0" fillId="6" borderId="0" xfId="0" applyFill="1"/>
    <xf numFmtId="0" fontId="1" fillId="3" borderId="2" xfId="0" applyFont="1" applyFill="1" applyBorder="1" applyAlignment="1">
      <alignment horizontal="left" vertical="top" wrapText="1"/>
    </xf>
    <xf numFmtId="0" fontId="1" fillId="3" borderId="11" xfId="0" applyFont="1" applyFill="1" applyBorder="1" applyAlignment="1">
      <alignment horizontal="left" vertical="top" wrapText="1"/>
    </xf>
    <xf numFmtId="0" fontId="0" fillId="2" borderId="20" xfId="0" applyFill="1" applyBorder="1" applyAlignment="1">
      <alignment horizontal="left" vertical="center" wrapText="1"/>
    </xf>
    <xf numFmtId="0" fontId="0" fillId="2" borderId="21" xfId="0" applyFill="1" applyBorder="1" applyAlignment="1">
      <alignment horizontal="left" vertical="center" wrapText="1"/>
    </xf>
    <xf numFmtId="0" fontId="1" fillId="3" borderId="16" xfId="0" applyFont="1" applyFill="1" applyBorder="1" applyAlignment="1">
      <alignment horizontal="left" vertical="center" wrapText="1"/>
    </xf>
    <xf numFmtId="0" fontId="1" fillId="3" borderId="17" xfId="0" applyFont="1" applyFill="1" applyBorder="1" applyAlignment="1">
      <alignment horizontal="left" vertical="center" wrapText="1"/>
    </xf>
    <xf numFmtId="0" fontId="8" fillId="4" borderId="0" xfId="0" applyFont="1" applyFill="1" applyAlignment="1">
      <alignment horizontal="center" vertical="center"/>
    </xf>
    <xf numFmtId="0" fontId="4" fillId="5" borderId="0" xfId="0" applyFont="1" applyFill="1" applyAlignment="1">
      <alignment horizontal="center" vertical="center" wrapText="1"/>
    </xf>
    <xf numFmtId="0" fontId="0" fillId="0" borderId="20" xfId="0" applyBorder="1" applyAlignment="1">
      <alignment horizontal="left" vertical="center" wrapText="1"/>
    </xf>
    <xf numFmtId="0" fontId="0" fillId="0" borderId="21" xfId="0" applyBorder="1" applyAlignment="1">
      <alignment horizontal="left" vertical="center" wrapText="1"/>
    </xf>
    <xf numFmtId="0" fontId="4" fillId="13" borderId="0" xfId="0" applyFont="1" applyFill="1" applyAlignment="1">
      <alignment horizontal="left" vertical="center" wrapText="1"/>
    </xf>
    <xf numFmtId="0" fontId="6" fillId="9" borderId="0" xfId="0" applyFont="1" applyFill="1" applyAlignment="1">
      <alignment horizontal="center" vertical="center"/>
    </xf>
    <xf numFmtId="0" fontId="0" fillId="3" borderId="2" xfId="0" applyFill="1" applyBorder="1" applyAlignment="1">
      <alignment horizontal="center"/>
    </xf>
    <xf numFmtId="0" fontId="1" fillId="3" borderId="18" xfId="0" applyFont="1" applyFill="1" applyBorder="1" applyAlignment="1">
      <alignment horizontal="left" vertical="center" wrapText="1"/>
    </xf>
    <xf numFmtId="0" fontId="1" fillId="3" borderId="2" xfId="0" applyFont="1" applyFill="1" applyBorder="1" applyAlignment="1">
      <alignment horizontal="left" vertical="center"/>
    </xf>
    <xf numFmtId="0" fontId="1" fillId="3" borderId="11" xfId="0" applyFont="1" applyFill="1" applyBorder="1" applyAlignment="1">
      <alignment horizontal="left" vertical="center"/>
    </xf>
    <xf numFmtId="0" fontId="1" fillId="3" borderId="3" xfId="0" applyFont="1" applyFill="1" applyBorder="1" applyAlignment="1">
      <alignment horizontal="left" vertical="center"/>
    </xf>
    <xf numFmtId="0" fontId="1" fillId="3" borderId="0" xfId="0" applyFont="1" applyFill="1" applyAlignment="1">
      <alignment horizontal="left" vertical="center"/>
    </xf>
    <xf numFmtId="0" fontId="1" fillId="3" borderId="12" xfId="0" applyFont="1" applyFill="1" applyBorder="1" applyAlignment="1">
      <alignment horizontal="left" vertical="center"/>
    </xf>
    <xf numFmtId="0" fontId="1" fillId="3" borderId="4" xfId="0" applyFont="1" applyFill="1" applyBorder="1" applyAlignment="1">
      <alignment horizontal="left" vertical="center"/>
    </xf>
    <xf numFmtId="0" fontId="1" fillId="3" borderId="16" xfId="0" applyFont="1" applyFill="1" applyBorder="1" applyAlignment="1">
      <alignment horizontal="left" vertical="center"/>
    </xf>
    <xf numFmtId="0" fontId="1" fillId="3" borderId="17" xfId="0" applyFont="1" applyFill="1" applyBorder="1" applyAlignment="1">
      <alignment horizontal="left" vertical="center"/>
    </xf>
    <xf numFmtId="0" fontId="16" fillId="3" borderId="25" xfId="0" applyFont="1" applyFill="1" applyBorder="1" applyAlignment="1">
      <alignment horizontal="center" vertical="center"/>
    </xf>
    <xf numFmtId="0" fontId="16" fillId="3" borderId="10" xfId="0" applyFont="1" applyFill="1" applyBorder="1" applyAlignment="1">
      <alignment horizontal="center" vertical="center"/>
    </xf>
    <xf numFmtId="0" fontId="16" fillId="3" borderId="26" xfId="0" applyFont="1" applyFill="1" applyBorder="1" applyAlignment="1">
      <alignment horizontal="center" vertical="center"/>
    </xf>
    <xf numFmtId="0" fontId="16" fillId="3" borderId="9" xfId="0" applyFont="1" applyFill="1" applyBorder="1" applyAlignment="1">
      <alignment horizontal="center" vertical="center"/>
    </xf>
    <xf numFmtId="0" fontId="16" fillId="3" borderId="26" xfId="0" applyFont="1" applyFill="1" applyBorder="1" applyAlignment="1">
      <alignment horizontal="center" vertical="center" wrapText="1"/>
    </xf>
    <xf numFmtId="0" fontId="16" fillId="3" borderId="9" xfId="0" applyFont="1" applyFill="1" applyBorder="1" applyAlignment="1">
      <alignment horizontal="center" vertical="center" wrapText="1"/>
    </xf>
    <xf numFmtId="0" fontId="17" fillId="3" borderId="26" xfId="0" applyFont="1" applyFill="1" applyBorder="1" applyAlignment="1">
      <alignment horizontal="center" vertical="center" wrapText="1"/>
    </xf>
    <xf numFmtId="0" fontId="17" fillId="3" borderId="9" xfId="0" applyFont="1" applyFill="1" applyBorder="1" applyAlignment="1">
      <alignment horizontal="center" vertical="center" wrapText="1"/>
    </xf>
    <xf numFmtId="0" fontId="1" fillId="11" borderId="7" xfId="0" applyFont="1" applyFill="1" applyBorder="1" applyAlignment="1">
      <alignment horizontal="center" vertical="center"/>
    </xf>
    <xf numFmtId="0" fontId="1" fillId="11" borderId="8" xfId="0" applyFont="1" applyFill="1" applyBorder="1" applyAlignment="1">
      <alignment horizontal="center" vertical="center"/>
    </xf>
    <xf numFmtId="0" fontId="1" fillId="11" borderId="6" xfId="0" applyFont="1" applyFill="1" applyBorder="1" applyAlignment="1">
      <alignment horizontal="center" vertical="center"/>
    </xf>
    <xf numFmtId="0" fontId="1" fillId="12" borderId="18" xfId="0" applyFont="1" applyFill="1" applyBorder="1" applyAlignment="1">
      <alignment horizontal="center" vertical="center"/>
    </xf>
    <xf numFmtId="0" fontId="1" fillId="12" borderId="2" xfId="0" applyFont="1" applyFill="1" applyBorder="1" applyAlignment="1">
      <alignment horizontal="center" vertical="center"/>
    </xf>
    <xf numFmtId="0" fontId="1" fillId="12" borderId="11" xfId="0" applyFont="1" applyFill="1" applyBorder="1" applyAlignment="1">
      <alignment horizontal="center" vertical="center"/>
    </xf>
    <xf numFmtId="165" fontId="1" fillId="3" borderId="0" xfId="0" applyNumberFormat="1" applyFont="1" applyFill="1" applyAlignment="1">
      <alignment horizontal="center"/>
    </xf>
    <xf numFmtId="0" fontId="16" fillId="3" borderId="35" xfId="0" applyFont="1" applyFill="1" applyBorder="1" applyAlignment="1">
      <alignment horizontal="center" vertical="center" wrapText="1"/>
    </xf>
    <xf numFmtId="0" fontId="16" fillId="3" borderId="36" xfId="0" applyFont="1" applyFill="1" applyBorder="1" applyAlignment="1">
      <alignment horizontal="center" vertical="center" wrapText="1"/>
    </xf>
    <xf numFmtId="0" fontId="16" fillId="3" borderId="38" xfId="0" applyFont="1" applyFill="1" applyBorder="1" applyAlignment="1">
      <alignment horizontal="center" vertical="center" wrapText="1"/>
    </xf>
    <xf numFmtId="0" fontId="16" fillId="3" borderId="39" xfId="0" applyFont="1" applyFill="1" applyBorder="1" applyAlignment="1">
      <alignment horizontal="center" vertical="center" wrapText="1"/>
    </xf>
    <xf numFmtId="0" fontId="14" fillId="3" borderId="30" xfId="0" applyFont="1" applyFill="1" applyBorder="1" applyAlignment="1">
      <alignment horizontal="center" vertical="center" wrapText="1"/>
    </xf>
    <xf numFmtId="0" fontId="14" fillId="3" borderId="31" xfId="0" applyFont="1" applyFill="1" applyBorder="1" applyAlignment="1">
      <alignment horizontal="center" vertical="center" wrapText="1"/>
    </xf>
    <xf numFmtId="0" fontId="1" fillId="4" borderId="0" xfId="0" applyFont="1" applyFill="1" applyAlignment="1">
      <alignment horizontal="center" vertical="center" wrapText="1"/>
    </xf>
    <xf numFmtId="0" fontId="0" fillId="0" borderId="18" xfId="0" applyBorder="1" applyAlignment="1">
      <alignment horizontal="left" vertical="center" wrapText="1"/>
    </xf>
    <xf numFmtId="0" fontId="0" fillId="0" borderId="2" xfId="0" applyBorder="1" applyAlignment="1">
      <alignment horizontal="left" vertical="center" wrapText="1"/>
    </xf>
    <xf numFmtId="0" fontId="0" fillId="0" borderId="11" xfId="0" applyBorder="1" applyAlignment="1">
      <alignment horizontal="left" vertical="center" wrapText="1"/>
    </xf>
    <xf numFmtId="0" fontId="0" fillId="0" borderId="4" xfId="0" applyBorder="1" applyAlignment="1">
      <alignment horizontal="left" vertical="center" wrapText="1"/>
    </xf>
    <xf numFmtId="0" fontId="0" fillId="0" borderId="16" xfId="0" applyBorder="1" applyAlignment="1">
      <alignment horizontal="left" vertical="center" wrapText="1"/>
    </xf>
    <xf numFmtId="0" fontId="0" fillId="0" borderId="17" xfId="0" applyBorder="1" applyAlignment="1">
      <alignment horizontal="left" vertical="center" wrapText="1"/>
    </xf>
    <xf numFmtId="0" fontId="0" fillId="18" borderId="18" xfId="0" applyFill="1" applyBorder="1"/>
    <xf numFmtId="0" fontId="0" fillId="18" borderId="2" xfId="0" applyFill="1" applyBorder="1"/>
    <xf numFmtId="0" fontId="0" fillId="18" borderId="3" xfId="0" applyFill="1" applyBorder="1"/>
    <xf numFmtId="0" fontId="0" fillId="18" borderId="0" xfId="0" applyFill="1"/>
  </cellXfs>
  <cellStyles count="4">
    <cellStyle name="Hipervínculo" xfId="3" builtinId="8"/>
    <cellStyle name="Millares" xfId="2" builtinId="3"/>
    <cellStyle name="Moneda" xfId="1" builtinId="4"/>
    <cellStyle name="Normal" xfId="0" builtinId="0"/>
  </cellStyles>
  <dxfs count="0"/>
  <tableStyles count="0" defaultTableStyle="TableStyleMedium9" defaultPivotStyle="PivotStyleLight16"/>
  <colors>
    <mruColors>
      <color rgb="FFCCCCFF"/>
      <color rgb="FF74FA84"/>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0</xdr:col>
      <xdr:colOff>70485</xdr:colOff>
      <xdr:row>0</xdr:row>
      <xdr:rowOff>70484</xdr:rowOff>
    </xdr:from>
    <xdr:to>
      <xdr:col>0</xdr:col>
      <xdr:colOff>2286000</xdr:colOff>
      <xdr:row>2</xdr:row>
      <xdr:rowOff>542924</xdr:rowOff>
    </xdr:to>
    <xdr:pic>
      <xdr:nvPicPr>
        <xdr:cNvPr id="2" name="1 Imagen" descr="C:\Users\Particular\Desktop\NATI\CONSORCIOS RC\WhatsApp Image 2020-12-10 at 14.53.20.jpeg">
          <a:extLst>
            <a:ext uri="{FF2B5EF4-FFF2-40B4-BE49-F238E27FC236}">
              <a16:creationId xmlns:a16="http://schemas.microsoft.com/office/drawing/2014/main" id="{845E093B-FBED-491B-B562-4A0EE6BB89D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0485" y="70484"/>
          <a:ext cx="2215515" cy="901065"/>
        </a:xfrm>
        <a:prstGeom prst="rect">
          <a:avLst/>
        </a:prstGeom>
        <a:noFill/>
        <a:ln>
          <a:noFill/>
        </a:ln>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hyperlink" Target="mailto:Cristina_Kruk@hotmail.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13A25D-5161-4141-BE0B-6E37A2A76CA5}">
  <dimension ref="A1:M141"/>
  <sheetViews>
    <sheetView tabSelected="1" workbookViewId="0">
      <selection activeCell="B3" sqref="B3:E3"/>
    </sheetView>
  </sheetViews>
  <sheetFormatPr baseColWidth="10" defaultColWidth="10.88671875" defaultRowHeight="14.4" x14ac:dyDescent="0.3"/>
  <cols>
    <col min="1" max="1" width="37.5546875" customWidth="1"/>
    <col min="2" max="2" width="24.6640625" customWidth="1"/>
    <col min="3" max="3" width="15.88671875" hidden="1" customWidth="1"/>
    <col min="4" max="4" width="21.6640625" customWidth="1"/>
    <col min="5" max="5" width="16.6640625" customWidth="1"/>
    <col min="6" max="6" width="15.5546875" bestFit="1" customWidth="1"/>
    <col min="7" max="7" width="14.5546875" bestFit="1" customWidth="1"/>
    <col min="8" max="8" width="12" bestFit="1" customWidth="1"/>
    <col min="10" max="10" width="22.6640625" customWidth="1"/>
    <col min="11" max="11" width="18" customWidth="1"/>
    <col min="12" max="12" width="18.33203125" customWidth="1"/>
  </cols>
  <sheetData>
    <row r="1" spans="1:5" ht="18.75" customHeight="1" x14ac:dyDescent="0.3">
      <c r="A1" s="2"/>
      <c r="B1" s="236" t="s">
        <v>149</v>
      </c>
      <c r="C1" s="236"/>
      <c r="D1" s="236"/>
      <c r="E1" s="237"/>
    </row>
    <row r="2" spans="1:5" x14ac:dyDescent="0.3">
      <c r="A2" s="3"/>
      <c r="B2" s="10" t="s">
        <v>151</v>
      </c>
      <c r="C2" s="4"/>
      <c r="D2" s="4"/>
      <c r="E2" s="5"/>
    </row>
    <row r="3" spans="1:5" ht="51.6" customHeight="1" thickBot="1" x14ac:dyDescent="0.35">
      <c r="A3" s="3"/>
      <c r="B3" s="240" t="s">
        <v>253</v>
      </c>
      <c r="C3" s="240"/>
      <c r="D3" s="240"/>
      <c r="E3" s="241"/>
    </row>
    <row r="4" spans="1:5" ht="15" thickBot="1" x14ac:dyDescent="0.35">
      <c r="A4" s="6" t="s">
        <v>102</v>
      </c>
      <c r="B4" s="7" t="s">
        <v>103</v>
      </c>
      <c r="C4" s="8"/>
      <c r="D4" s="8"/>
      <c r="E4" s="9"/>
    </row>
    <row r="5" spans="1:5" ht="15" thickBot="1" x14ac:dyDescent="0.35">
      <c r="A5" s="3" t="s">
        <v>150</v>
      </c>
      <c r="B5" s="8" t="s">
        <v>197</v>
      </c>
      <c r="C5" s="10"/>
      <c r="D5" s="4" t="s">
        <v>104</v>
      </c>
      <c r="E5" s="11"/>
    </row>
    <row r="6" spans="1:5" ht="16.2" customHeight="1" thickBot="1" x14ac:dyDescent="0.35">
      <c r="A6" s="93" t="s">
        <v>140</v>
      </c>
      <c r="B6" s="8"/>
      <c r="C6" s="8"/>
      <c r="D6" s="8" t="s">
        <v>184</v>
      </c>
      <c r="E6" s="9"/>
    </row>
    <row r="8" spans="1:5" x14ac:dyDescent="0.3">
      <c r="B8" s="242" t="s">
        <v>196</v>
      </c>
      <c r="C8" s="242"/>
    </row>
    <row r="9" spans="1:5" x14ac:dyDescent="0.3">
      <c r="B9" s="242"/>
      <c r="C9" s="242"/>
    </row>
    <row r="10" spans="1:5" x14ac:dyDescent="0.3">
      <c r="B10" s="242"/>
      <c r="C10" s="242"/>
    </row>
    <row r="12" spans="1:5" hidden="1" x14ac:dyDescent="0.3"/>
    <row r="13" spans="1:5" ht="15" customHeight="1" x14ac:dyDescent="0.3">
      <c r="A13" s="243" t="s">
        <v>105</v>
      </c>
      <c r="B13" s="243"/>
      <c r="C13" s="243"/>
      <c r="D13" s="243"/>
      <c r="E13" s="243"/>
    </row>
    <row r="14" spans="1:5" ht="15" customHeight="1" x14ac:dyDescent="0.3">
      <c r="A14" s="243"/>
      <c r="B14" s="243"/>
      <c r="C14" s="243"/>
      <c r="D14" s="243"/>
      <c r="E14" s="243"/>
    </row>
    <row r="15" spans="1:5" ht="15" customHeight="1" x14ac:dyDescent="0.3">
      <c r="A15" s="243"/>
      <c r="B15" s="243"/>
      <c r="C15" s="243"/>
      <c r="D15" s="243"/>
      <c r="E15" s="243"/>
    </row>
    <row r="16" spans="1:5" ht="53.25" customHeight="1" x14ac:dyDescent="0.3">
      <c r="A16" s="243"/>
      <c r="B16" s="243"/>
      <c r="C16" s="243"/>
      <c r="D16" s="243"/>
      <c r="E16" s="243"/>
    </row>
    <row r="17" spans="1:8" ht="14.25" customHeight="1" thickBot="1" x14ac:dyDescent="0.35"/>
    <row r="18" spans="1:8" ht="15" hidden="1" thickBot="1" x14ac:dyDescent="0.35">
      <c r="A18" s="1"/>
    </row>
    <row r="19" spans="1:8" ht="15" hidden="1" thickBot="1" x14ac:dyDescent="0.35"/>
    <row r="20" spans="1:8" x14ac:dyDescent="0.3">
      <c r="A20" s="12" t="s">
        <v>106</v>
      </c>
      <c r="B20" s="13"/>
      <c r="C20" s="14"/>
      <c r="D20" s="15"/>
      <c r="E20" s="16"/>
    </row>
    <row r="21" spans="1:8" x14ac:dyDescent="0.3">
      <c r="A21" s="17" t="s">
        <v>141</v>
      </c>
      <c r="B21" s="17"/>
      <c r="C21" s="17"/>
      <c r="D21" s="128"/>
      <c r="E21" s="175"/>
    </row>
    <row r="22" spans="1:8" ht="15" customHeight="1" x14ac:dyDescent="0.3">
      <c r="A22" s="238" t="s">
        <v>168</v>
      </c>
      <c r="B22" s="239"/>
      <c r="C22" s="21"/>
      <c r="D22" s="137">
        <v>2038208.3</v>
      </c>
      <c r="E22" s="176"/>
      <c r="H22" s="22"/>
    </row>
    <row r="23" spans="1:8" ht="15" customHeight="1" x14ac:dyDescent="0.3">
      <c r="A23" s="238" t="s">
        <v>169</v>
      </c>
      <c r="B23" s="239"/>
      <c r="C23" s="21"/>
      <c r="D23" s="137">
        <v>-443310.3</v>
      </c>
      <c r="E23" s="23"/>
      <c r="H23" s="22"/>
    </row>
    <row r="24" spans="1:8" ht="13.5" customHeight="1" x14ac:dyDescent="0.3">
      <c r="A24" s="238" t="s">
        <v>1</v>
      </c>
      <c r="B24" s="239"/>
      <c r="C24" s="21"/>
      <c r="D24" s="138">
        <v>0</v>
      </c>
      <c r="E24" s="23"/>
      <c r="H24" s="22"/>
    </row>
    <row r="25" spans="1:8" x14ac:dyDescent="0.3">
      <c r="A25" s="24" t="s">
        <v>107</v>
      </c>
      <c r="B25" s="24"/>
      <c r="C25" s="24"/>
      <c r="D25" s="25"/>
      <c r="E25" s="177">
        <f>SUM(D22:D24)</f>
        <v>1594898</v>
      </c>
    </row>
    <row r="26" spans="1:8" x14ac:dyDescent="0.3">
      <c r="A26" s="24" t="s">
        <v>188</v>
      </c>
      <c r="B26" s="24"/>
      <c r="C26" s="24"/>
      <c r="D26" s="25"/>
      <c r="E26" s="178"/>
    </row>
    <row r="27" spans="1:8" x14ac:dyDescent="0.3">
      <c r="A27" s="21" t="s">
        <v>211</v>
      </c>
      <c r="B27" s="21"/>
      <c r="C27" s="21"/>
      <c r="D27" s="38">
        <v>336000</v>
      </c>
      <c r="E27" s="191" t="s">
        <v>212</v>
      </c>
    </row>
    <row r="28" spans="1:8" x14ac:dyDescent="0.3">
      <c r="A28" s="21" t="s">
        <v>213</v>
      </c>
      <c r="B28" s="21"/>
      <c r="C28" s="21"/>
      <c r="D28" s="38">
        <v>3990</v>
      </c>
      <c r="E28" s="191"/>
    </row>
    <row r="29" spans="1:8" x14ac:dyDescent="0.3">
      <c r="A29" s="21" t="s">
        <v>175</v>
      </c>
      <c r="B29" s="21" t="s">
        <v>219</v>
      </c>
      <c r="C29" s="21"/>
      <c r="D29" s="38">
        <v>168000</v>
      </c>
      <c r="E29" s="191" t="s">
        <v>203</v>
      </c>
    </row>
    <row r="30" spans="1:8" x14ac:dyDescent="0.3">
      <c r="A30" s="21" t="s">
        <v>186</v>
      </c>
      <c r="B30" s="21"/>
      <c r="C30" s="21"/>
      <c r="D30" s="38">
        <v>5842.51</v>
      </c>
      <c r="E30" s="179" t="s">
        <v>166</v>
      </c>
    </row>
    <row r="31" spans="1:8" x14ac:dyDescent="0.3">
      <c r="A31" s="24" t="s">
        <v>107</v>
      </c>
      <c r="B31" s="30"/>
      <c r="C31" s="30"/>
      <c r="D31" s="117"/>
      <c r="E31" s="180">
        <f>D27+D30</f>
        <v>341842.51</v>
      </c>
    </row>
    <row r="32" spans="1:8" x14ac:dyDescent="0.3">
      <c r="A32" s="17" t="s">
        <v>142</v>
      </c>
      <c r="B32" s="24"/>
      <c r="C32" s="24"/>
      <c r="D32" s="25"/>
      <c r="E32" s="178"/>
    </row>
    <row r="33" spans="1:5" x14ac:dyDescent="0.3">
      <c r="A33" s="21" t="s">
        <v>243</v>
      </c>
      <c r="B33" s="94"/>
      <c r="C33" s="94"/>
      <c r="D33" s="38">
        <v>12755.13</v>
      </c>
      <c r="E33" s="179" t="s">
        <v>244</v>
      </c>
    </row>
    <row r="34" spans="1:5" x14ac:dyDescent="0.3">
      <c r="A34" s="21" t="s">
        <v>154</v>
      </c>
      <c r="B34" s="94"/>
      <c r="C34" s="94"/>
      <c r="D34" s="38">
        <v>928582.19</v>
      </c>
      <c r="E34" s="179" t="s">
        <v>228</v>
      </c>
    </row>
    <row r="35" spans="1:5" x14ac:dyDescent="0.3">
      <c r="A35" s="21" t="s">
        <v>144</v>
      </c>
      <c r="B35" s="94"/>
      <c r="C35" s="94"/>
      <c r="D35" s="38">
        <v>178550.22</v>
      </c>
      <c r="E35" s="179" t="s">
        <v>223</v>
      </c>
    </row>
    <row r="36" spans="1:5" x14ac:dyDescent="0.3">
      <c r="A36" s="21" t="s">
        <v>146</v>
      </c>
      <c r="B36" s="94"/>
      <c r="C36" s="94"/>
      <c r="D36" s="38">
        <v>94941.85</v>
      </c>
      <c r="E36" s="179" t="str">
        <f>E35</f>
        <v>Debito 13/04</v>
      </c>
    </row>
    <row r="37" spans="1:5" x14ac:dyDescent="0.3">
      <c r="A37" s="21" t="s">
        <v>145</v>
      </c>
      <c r="B37" s="94"/>
      <c r="C37" s="94"/>
      <c r="D37" s="38">
        <v>10549.09</v>
      </c>
      <c r="E37" s="179" t="str">
        <f>E35</f>
        <v>Debito 13/04</v>
      </c>
    </row>
    <row r="38" spans="1:5" x14ac:dyDescent="0.3">
      <c r="A38" s="21" t="s">
        <v>155</v>
      </c>
      <c r="B38" s="94"/>
      <c r="C38" s="94"/>
      <c r="D38" s="38"/>
      <c r="E38" s="179"/>
    </row>
    <row r="39" spans="1:5" ht="12.75" customHeight="1" x14ac:dyDescent="0.3">
      <c r="A39" s="24" t="s">
        <v>143</v>
      </c>
      <c r="B39" s="24"/>
      <c r="C39" s="24"/>
      <c r="D39" s="25"/>
      <c r="E39" s="44">
        <f>SUM(D33:D38)</f>
        <v>1225378.4800000002</v>
      </c>
    </row>
    <row r="40" spans="1:5" x14ac:dyDescent="0.3">
      <c r="A40" s="17" t="s">
        <v>108</v>
      </c>
      <c r="B40" s="24"/>
      <c r="C40" s="24"/>
      <c r="D40" s="26"/>
      <c r="E40" s="180"/>
    </row>
    <row r="41" spans="1:5" ht="26.25" customHeight="1" x14ac:dyDescent="0.3">
      <c r="A41" s="244" t="s">
        <v>215</v>
      </c>
      <c r="B41" s="245"/>
      <c r="C41" s="29"/>
      <c r="D41" s="139">
        <v>7805</v>
      </c>
      <c r="E41" s="23" t="s">
        <v>216</v>
      </c>
    </row>
    <row r="42" spans="1:5" ht="26.25" customHeight="1" x14ac:dyDescent="0.3">
      <c r="A42" s="244" t="s">
        <v>225</v>
      </c>
      <c r="B42" s="245"/>
      <c r="C42" s="29"/>
      <c r="D42" s="139">
        <v>214164</v>
      </c>
      <c r="E42" s="23" t="s">
        <v>216</v>
      </c>
    </row>
    <row r="43" spans="1:5" x14ac:dyDescent="0.3">
      <c r="A43" s="24" t="s">
        <v>109</v>
      </c>
      <c r="B43" s="24"/>
      <c r="C43" s="24"/>
      <c r="D43" s="25"/>
      <c r="E43" s="44">
        <f>SUM(D41:D42)</f>
        <v>221969</v>
      </c>
    </row>
    <row r="44" spans="1:5" x14ac:dyDescent="0.3">
      <c r="A44" s="17" t="s">
        <v>110</v>
      </c>
      <c r="B44" s="30"/>
      <c r="C44" s="30"/>
      <c r="D44" s="31"/>
      <c r="E44" s="181"/>
    </row>
    <row r="45" spans="1:5" ht="14.25" customHeight="1" x14ac:dyDescent="0.3">
      <c r="A45" s="32" t="s">
        <v>111</v>
      </c>
      <c r="B45" s="32" t="s">
        <v>177</v>
      </c>
      <c r="C45" s="32"/>
      <c r="D45" s="33">
        <v>998400.74</v>
      </c>
      <c r="E45" s="23" t="s">
        <v>200</v>
      </c>
    </row>
    <row r="46" spans="1:5" ht="14.25" customHeight="1" x14ac:dyDescent="0.3">
      <c r="A46" s="32" t="s">
        <v>111</v>
      </c>
      <c r="B46" s="32" t="s">
        <v>179</v>
      </c>
      <c r="C46" s="32"/>
      <c r="D46" s="33">
        <v>2467.0500000000002</v>
      </c>
      <c r="E46" s="23" t="s">
        <v>201</v>
      </c>
    </row>
    <row r="47" spans="1:5" ht="14.25" customHeight="1" x14ac:dyDescent="0.3">
      <c r="A47" s="32" t="s">
        <v>190</v>
      </c>
      <c r="B47" s="32" t="s">
        <v>178</v>
      </c>
      <c r="C47" s="32"/>
      <c r="D47" s="33">
        <v>0</v>
      </c>
      <c r="E47" s="23"/>
    </row>
    <row r="48" spans="1:5" x14ac:dyDescent="0.3">
      <c r="A48" s="32" t="s">
        <v>191</v>
      </c>
      <c r="B48" s="34"/>
      <c r="C48" s="32"/>
      <c r="D48" s="33">
        <v>0</v>
      </c>
      <c r="E48" s="23"/>
    </row>
    <row r="49" spans="1:6" x14ac:dyDescent="0.3">
      <c r="A49" s="244" t="s">
        <v>112</v>
      </c>
      <c r="B49" s="245"/>
      <c r="C49" s="32"/>
      <c r="D49" s="33">
        <v>4517309.87</v>
      </c>
      <c r="E49" s="129" t="s">
        <v>230</v>
      </c>
    </row>
    <row r="50" spans="1:6" x14ac:dyDescent="0.3">
      <c r="A50" s="35" t="s">
        <v>113</v>
      </c>
      <c r="B50" s="28"/>
      <c r="C50" s="32"/>
      <c r="D50" s="33"/>
      <c r="E50" s="23"/>
    </row>
    <row r="51" spans="1:6" ht="15" thickBot="1" x14ac:dyDescent="0.35">
      <c r="A51" s="24" t="s">
        <v>114</v>
      </c>
      <c r="B51" s="24"/>
      <c r="C51" s="24"/>
      <c r="D51" s="36"/>
      <c r="E51" s="182">
        <f>SUM(D45:D50)</f>
        <v>5518177.6600000001</v>
      </c>
    </row>
    <row r="52" spans="1:6" ht="15" customHeight="1" thickBot="1" x14ac:dyDescent="0.35">
      <c r="A52" s="17"/>
      <c r="B52" s="24"/>
      <c r="C52" s="24"/>
      <c r="D52" s="25"/>
      <c r="E52" s="183"/>
    </row>
    <row r="53" spans="1:6" ht="21.9" customHeight="1" x14ac:dyDescent="0.3">
      <c r="A53" s="238" t="s">
        <v>171</v>
      </c>
      <c r="B53" s="239"/>
      <c r="C53" s="32"/>
      <c r="D53" s="33">
        <v>285000</v>
      </c>
      <c r="E53" s="37" t="s">
        <v>217</v>
      </c>
    </row>
    <row r="54" spans="1:6" ht="33" customHeight="1" x14ac:dyDescent="0.3">
      <c r="A54" s="238" t="s">
        <v>226</v>
      </c>
      <c r="B54" s="239"/>
      <c r="C54" s="32"/>
      <c r="D54" s="33">
        <v>470000</v>
      </c>
      <c r="E54" s="126" t="s">
        <v>227</v>
      </c>
    </row>
    <row r="55" spans="1:6" ht="33" customHeight="1" x14ac:dyDescent="0.3">
      <c r="A55" s="238" t="s">
        <v>236</v>
      </c>
      <c r="B55" s="239"/>
      <c r="C55" s="32"/>
      <c r="D55" s="33">
        <v>670000</v>
      </c>
      <c r="E55" s="126" t="s">
        <v>237</v>
      </c>
    </row>
    <row r="56" spans="1:6" ht="33.6" customHeight="1" x14ac:dyDescent="0.3">
      <c r="A56" s="238" t="s">
        <v>204</v>
      </c>
      <c r="B56" s="239"/>
      <c r="C56" s="32"/>
      <c r="D56" s="33">
        <v>35000</v>
      </c>
      <c r="E56" s="126" t="s">
        <v>203</v>
      </c>
    </row>
    <row r="57" spans="1:6" ht="21.9" customHeight="1" x14ac:dyDescent="0.3">
      <c r="A57" s="238" t="s">
        <v>202</v>
      </c>
      <c r="B57" s="239"/>
      <c r="C57" s="32"/>
      <c r="D57" s="33">
        <f>710000-380000</f>
        <v>330000</v>
      </c>
      <c r="E57" s="37" t="s">
        <v>200</v>
      </c>
      <c r="F57" s="53"/>
    </row>
    <row r="58" spans="1:6" ht="33" customHeight="1" x14ac:dyDescent="0.3">
      <c r="A58" s="238" t="s">
        <v>209</v>
      </c>
      <c r="B58" s="239"/>
      <c r="C58" s="32"/>
      <c r="D58" s="33">
        <v>35000</v>
      </c>
      <c r="E58" s="37" t="s">
        <v>210</v>
      </c>
      <c r="F58" s="53"/>
    </row>
    <row r="59" spans="1:6" ht="33" customHeight="1" x14ac:dyDescent="0.3">
      <c r="A59" s="238" t="s">
        <v>221</v>
      </c>
      <c r="B59" s="239"/>
      <c r="C59" s="32"/>
      <c r="D59" s="33">
        <v>35000</v>
      </c>
      <c r="E59" s="37" t="s">
        <v>203</v>
      </c>
      <c r="F59" s="53"/>
    </row>
    <row r="60" spans="1:6" ht="34.5" customHeight="1" x14ac:dyDescent="0.3">
      <c r="A60" s="238" t="s">
        <v>239</v>
      </c>
      <c r="B60" s="239"/>
      <c r="C60" s="32"/>
      <c r="D60" s="33">
        <v>320000</v>
      </c>
      <c r="E60" s="37" t="s">
        <v>210</v>
      </c>
      <c r="F60" s="53"/>
    </row>
    <row r="61" spans="1:6" ht="30" customHeight="1" x14ac:dyDescent="0.3">
      <c r="A61" s="238" t="s">
        <v>205</v>
      </c>
      <c r="B61" s="239"/>
      <c r="C61" s="32"/>
      <c r="D61" s="33">
        <v>105000</v>
      </c>
      <c r="E61" s="190" t="s">
        <v>203</v>
      </c>
      <c r="F61" s="53"/>
    </row>
    <row r="62" spans="1:6" ht="30" customHeight="1" x14ac:dyDescent="0.3">
      <c r="A62" s="238" t="s">
        <v>207</v>
      </c>
      <c r="B62" s="239"/>
      <c r="C62" s="32"/>
      <c r="D62" s="33">
        <v>150000</v>
      </c>
      <c r="E62" s="190" t="s">
        <v>208</v>
      </c>
      <c r="F62" s="53"/>
    </row>
    <row r="63" spans="1:6" ht="93.75" customHeight="1" x14ac:dyDescent="0.3">
      <c r="A63" s="238" t="s">
        <v>218</v>
      </c>
      <c r="B63" s="239"/>
      <c r="C63" s="32"/>
      <c r="D63" s="33">
        <v>2800000</v>
      </c>
      <c r="E63" s="190" t="s">
        <v>203</v>
      </c>
      <c r="F63" s="53"/>
    </row>
    <row r="64" spans="1:6" ht="31.95" customHeight="1" x14ac:dyDescent="0.3">
      <c r="A64" s="238" t="s">
        <v>234</v>
      </c>
      <c r="B64" s="239"/>
      <c r="C64" s="32"/>
      <c r="D64" s="33">
        <v>200000</v>
      </c>
      <c r="E64" s="190" t="s">
        <v>206</v>
      </c>
      <c r="F64" s="53"/>
    </row>
    <row r="65" spans="1:6" ht="16.5" customHeight="1" x14ac:dyDescent="0.3">
      <c r="A65" s="19" t="s">
        <v>176</v>
      </c>
      <c r="B65" s="20"/>
      <c r="C65" s="32"/>
      <c r="D65" s="33">
        <v>4000</v>
      </c>
      <c r="E65" s="37" t="s">
        <v>166</v>
      </c>
      <c r="F65" s="53"/>
    </row>
    <row r="66" spans="1:6" ht="17.25" customHeight="1" x14ac:dyDescent="0.3">
      <c r="A66" s="102" t="s">
        <v>231</v>
      </c>
      <c r="B66" s="20"/>
      <c r="C66" s="32"/>
      <c r="D66" s="33">
        <v>31400</v>
      </c>
      <c r="E66" s="37" t="s">
        <v>229</v>
      </c>
      <c r="F66" s="53"/>
    </row>
    <row r="67" spans="1:6" ht="17.25" customHeight="1" x14ac:dyDescent="0.3">
      <c r="A67" s="102" t="s">
        <v>232</v>
      </c>
      <c r="B67" s="20"/>
      <c r="C67" s="32"/>
      <c r="D67" s="33">
        <v>31400</v>
      </c>
      <c r="E67" s="37" t="s">
        <v>229</v>
      </c>
      <c r="F67" s="53"/>
    </row>
    <row r="68" spans="1:6" ht="17.25" customHeight="1" x14ac:dyDescent="0.3">
      <c r="A68" s="102" t="s">
        <v>233</v>
      </c>
      <c r="B68" s="20"/>
      <c r="C68" s="32"/>
      <c r="D68" s="33">
        <v>31400</v>
      </c>
      <c r="E68" s="37" t="s">
        <v>229</v>
      </c>
      <c r="F68" s="53"/>
    </row>
    <row r="69" spans="1:6" ht="21.9" customHeight="1" x14ac:dyDescent="0.3">
      <c r="A69" s="102" t="s">
        <v>198</v>
      </c>
      <c r="B69" s="20"/>
      <c r="C69" s="32"/>
      <c r="D69" s="33">
        <v>141400</v>
      </c>
      <c r="E69" s="190" t="s">
        <v>224</v>
      </c>
      <c r="F69" s="53"/>
    </row>
    <row r="70" spans="1:6" ht="21.9" customHeight="1" x14ac:dyDescent="0.3">
      <c r="A70" s="238" t="s">
        <v>235</v>
      </c>
      <c r="B70" s="239"/>
      <c r="C70" s="32"/>
      <c r="D70" s="33">
        <v>0</v>
      </c>
      <c r="E70" s="190"/>
      <c r="F70" s="53"/>
    </row>
    <row r="71" spans="1:6" x14ac:dyDescent="0.3">
      <c r="A71" s="24" t="s">
        <v>0</v>
      </c>
      <c r="B71" s="17"/>
      <c r="C71" s="17"/>
      <c r="D71" s="39"/>
      <c r="E71" s="44">
        <f>SUM(D53:D70)</f>
        <v>5674600</v>
      </c>
    </row>
    <row r="72" spans="1:6" x14ac:dyDescent="0.3">
      <c r="A72" s="17" t="s">
        <v>115</v>
      </c>
      <c r="B72" s="17"/>
      <c r="C72" s="17"/>
      <c r="D72" s="18"/>
      <c r="E72" s="175"/>
    </row>
    <row r="73" spans="1:6" ht="15.75" customHeight="1" x14ac:dyDescent="0.3">
      <c r="A73" s="238" t="s">
        <v>220</v>
      </c>
      <c r="B73" s="239"/>
      <c r="C73" s="21"/>
      <c r="D73" s="140">
        <v>650000</v>
      </c>
      <c r="E73" s="176" t="s">
        <v>203</v>
      </c>
    </row>
    <row r="74" spans="1:6" ht="15.75" customHeight="1" x14ac:dyDescent="0.3">
      <c r="A74" s="19" t="s">
        <v>189</v>
      </c>
      <c r="B74" s="20"/>
      <c r="C74" s="21"/>
      <c r="D74" s="141">
        <v>100000</v>
      </c>
      <c r="E74" s="176" t="s">
        <v>229</v>
      </c>
    </row>
    <row r="75" spans="1:6" ht="15.75" customHeight="1" x14ac:dyDescent="0.3">
      <c r="A75" s="19" t="s">
        <v>170</v>
      </c>
      <c r="B75" s="20"/>
      <c r="C75" s="21"/>
      <c r="D75" s="141">
        <v>250000</v>
      </c>
      <c r="E75" s="176" t="s">
        <v>222</v>
      </c>
    </row>
    <row r="76" spans="1:6" ht="15.75" customHeight="1" x14ac:dyDescent="0.3">
      <c r="A76" s="102" t="s">
        <v>199</v>
      </c>
      <c r="B76" s="20"/>
      <c r="C76" s="21"/>
      <c r="D76" s="141">
        <v>45000</v>
      </c>
      <c r="E76" s="176" t="s">
        <v>214</v>
      </c>
    </row>
    <row r="77" spans="1:6" x14ac:dyDescent="0.3">
      <c r="A77" s="24" t="s">
        <v>107</v>
      </c>
      <c r="B77" s="24"/>
      <c r="C77" s="24"/>
      <c r="D77" s="25"/>
      <c r="E77" s="177">
        <f>SUM(D73:D76)</f>
        <v>1045000</v>
      </c>
    </row>
    <row r="78" spans="1:6" x14ac:dyDescent="0.3">
      <c r="A78" s="17" t="s">
        <v>116</v>
      </c>
      <c r="B78" s="40"/>
      <c r="C78" s="24"/>
      <c r="D78" s="41"/>
      <c r="E78" s="44"/>
    </row>
    <row r="79" spans="1:6" x14ac:dyDescent="0.3">
      <c r="A79" s="32" t="s">
        <v>152</v>
      </c>
      <c r="B79" s="95"/>
      <c r="C79" s="95"/>
      <c r="D79" s="142">
        <v>52000</v>
      </c>
      <c r="E79" s="184"/>
    </row>
    <row r="80" spans="1:6" x14ac:dyDescent="0.3">
      <c r="A80" s="32" t="s">
        <v>153</v>
      </c>
      <c r="B80" s="95"/>
      <c r="C80" s="95"/>
      <c r="D80" s="142">
        <v>202716.26</v>
      </c>
      <c r="E80" s="184"/>
    </row>
    <row r="81" spans="1:8" x14ac:dyDescent="0.3">
      <c r="A81" s="42" t="s">
        <v>107</v>
      </c>
      <c r="B81" s="42"/>
      <c r="C81" s="42"/>
      <c r="D81" s="43"/>
      <c r="E81" s="44">
        <f>SUM(D79:D80)</f>
        <v>254716.26</v>
      </c>
    </row>
    <row r="82" spans="1:8" x14ac:dyDescent="0.3">
      <c r="A82" s="32"/>
      <c r="B82" s="32"/>
      <c r="C82" s="32"/>
      <c r="D82" s="45"/>
      <c r="E82" s="46"/>
    </row>
    <row r="83" spans="1:8" x14ac:dyDescent="0.3">
      <c r="A83" s="47" t="s">
        <v>117</v>
      </c>
      <c r="B83" s="47"/>
      <c r="C83" s="47"/>
      <c r="D83" s="48"/>
      <c r="E83" s="49"/>
    </row>
    <row r="84" spans="1:8" ht="15" thickBot="1" x14ac:dyDescent="0.35">
      <c r="A84" s="50"/>
      <c r="D84" s="51"/>
      <c r="E84" s="52"/>
      <c r="F84" s="53"/>
    </row>
    <row r="85" spans="1:8" ht="15" thickBot="1" x14ac:dyDescent="0.35">
      <c r="A85" s="54" t="s">
        <v>118</v>
      </c>
      <c r="B85" s="55"/>
      <c r="C85" s="56"/>
      <c r="D85" s="57"/>
      <c r="E85" s="58">
        <f>(SUM(E21:E83))</f>
        <v>15876581.91</v>
      </c>
      <c r="F85" s="59"/>
      <c r="G85" s="53"/>
    </row>
    <row r="86" spans="1:8" x14ac:dyDescent="0.3">
      <c r="D86" s="51"/>
      <c r="E86" s="51"/>
    </row>
    <row r="87" spans="1:8" ht="15" thickBot="1" x14ac:dyDescent="0.35">
      <c r="D87" s="51"/>
      <c r="E87" s="51"/>
      <c r="H87" s="60"/>
    </row>
    <row r="88" spans="1:8" x14ac:dyDescent="0.3">
      <c r="A88" s="12" t="s">
        <v>119</v>
      </c>
      <c r="B88" s="13"/>
      <c r="C88" s="14"/>
      <c r="D88" s="61"/>
      <c r="E88" s="62"/>
    </row>
    <row r="89" spans="1:8" ht="15" customHeight="1" x14ac:dyDescent="0.3">
      <c r="A89" s="27"/>
      <c r="B89" s="28"/>
      <c r="C89" s="32"/>
      <c r="D89" s="38"/>
      <c r="E89" s="63"/>
    </row>
    <row r="90" spans="1:8" ht="15" customHeight="1" x14ac:dyDescent="0.3">
      <c r="A90" s="238"/>
      <c r="B90" s="239"/>
      <c r="C90" s="32"/>
      <c r="D90" s="38"/>
      <c r="E90" s="63"/>
    </row>
    <row r="91" spans="1:8" ht="15.75" customHeight="1" x14ac:dyDescent="0.3">
      <c r="D91" s="45"/>
      <c r="E91" s="45"/>
    </row>
    <row r="92" spans="1:8" x14ac:dyDescent="0.3">
      <c r="A92" s="27"/>
      <c r="B92" s="64"/>
      <c r="C92" s="32"/>
      <c r="D92" s="38"/>
      <c r="E92" s="63"/>
    </row>
    <row r="93" spans="1:8" x14ac:dyDescent="0.3">
      <c r="A93" s="65" t="s">
        <v>148</v>
      </c>
      <c r="B93" s="66"/>
      <c r="C93" s="66"/>
      <c r="D93" s="127"/>
      <c r="E93" s="185">
        <f>SUM(D89:D92)</f>
        <v>0</v>
      </c>
    </row>
    <row r="94" spans="1:8" ht="15" customHeight="1" x14ac:dyDescent="0.3">
      <c r="D94" s="51"/>
      <c r="E94" s="51"/>
    </row>
    <row r="95" spans="1:8" hidden="1" x14ac:dyDescent="0.3">
      <c r="D95" s="51"/>
      <c r="E95" s="51"/>
    </row>
    <row r="96" spans="1:8" x14ac:dyDescent="0.3">
      <c r="A96" s="47" t="s">
        <v>120</v>
      </c>
      <c r="B96" s="47"/>
      <c r="C96" s="47"/>
      <c r="D96" s="48"/>
      <c r="E96" s="189">
        <v>3000000</v>
      </c>
    </row>
    <row r="97" spans="1:5" ht="15" thickBot="1" x14ac:dyDescent="0.35">
      <c r="D97" s="51"/>
      <c r="E97" s="51"/>
    </row>
    <row r="98" spans="1:5" ht="15" thickBot="1" x14ac:dyDescent="0.35">
      <c r="A98" s="54" t="s">
        <v>121</v>
      </c>
      <c r="B98" s="55"/>
      <c r="C98" s="56"/>
      <c r="D98" s="57"/>
      <c r="E98" s="58">
        <f>E93+E96</f>
        <v>3000000</v>
      </c>
    </row>
    <row r="99" spans="1:5" ht="15" thickBot="1" x14ac:dyDescent="0.35">
      <c r="D99" s="51"/>
      <c r="E99" s="51"/>
    </row>
    <row r="100" spans="1:5" ht="15" thickBot="1" x14ac:dyDescent="0.35">
      <c r="A100" s="67" t="s">
        <v>122</v>
      </c>
      <c r="B100" s="68">
        <f>E85</f>
        <v>15876581.91</v>
      </c>
      <c r="D100" s="51"/>
      <c r="E100" s="51"/>
    </row>
    <row r="101" spans="1:5" ht="15" thickBot="1" x14ac:dyDescent="0.35">
      <c r="A101" s="67" t="s">
        <v>123</v>
      </c>
      <c r="B101" s="68">
        <f>E85-E83</f>
        <v>15876581.91</v>
      </c>
      <c r="D101" s="51"/>
      <c r="E101" s="51"/>
    </row>
    <row r="102" spans="1:5" ht="15" thickBot="1" x14ac:dyDescent="0.35">
      <c r="A102" s="67" t="s">
        <v>124</v>
      </c>
      <c r="B102" s="68">
        <f>E98-E96</f>
        <v>0</v>
      </c>
      <c r="D102" s="51"/>
      <c r="E102" s="51"/>
    </row>
    <row r="103" spans="1:5" ht="15" thickBot="1" x14ac:dyDescent="0.35">
      <c r="A103" s="67" t="s">
        <v>125</v>
      </c>
      <c r="B103" s="68">
        <f>E98</f>
        <v>3000000</v>
      </c>
      <c r="D103" s="51"/>
      <c r="E103" s="51"/>
    </row>
    <row r="104" spans="1:5" x14ac:dyDescent="0.3">
      <c r="D104" s="51"/>
      <c r="E104" s="51"/>
    </row>
    <row r="105" spans="1:5" x14ac:dyDescent="0.3">
      <c r="D105" s="51"/>
      <c r="E105" s="51"/>
    </row>
    <row r="106" spans="1:5" ht="15" customHeight="1" x14ac:dyDescent="0.3">
      <c r="A106" s="246" t="s">
        <v>182</v>
      </c>
      <c r="B106" s="246"/>
      <c r="D106" s="51"/>
      <c r="E106" s="51"/>
    </row>
    <row r="107" spans="1:5" ht="15" customHeight="1" x14ac:dyDescent="0.3">
      <c r="A107" s="246"/>
      <c r="B107" s="246"/>
      <c r="D107" s="51"/>
      <c r="E107" s="51"/>
    </row>
    <row r="108" spans="1:5" ht="15" customHeight="1" x14ac:dyDescent="0.3">
      <c r="A108" s="246"/>
      <c r="B108" s="246"/>
      <c r="D108" s="51"/>
      <c r="E108" s="51"/>
    </row>
    <row r="109" spans="1:5" x14ac:dyDescent="0.3">
      <c r="D109" s="51"/>
      <c r="E109" s="51"/>
    </row>
    <row r="110" spans="1:5" ht="15" customHeight="1" x14ac:dyDescent="0.3">
      <c r="A110" s="246" t="s">
        <v>183</v>
      </c>
      <c r="B110" s="246"/>
      <c r="D110" s="51"/>
      <c r="E110" s="51"/>
    </row>
    <row r="111" spans="1:5" ht="15" customHeight="1" x14ac:dyDescent="0.3">
      <c r="A111" s="246"/>
      <c r="B111" s="246"/>
      <c r="D111" s="51"/>
      <c r="E111" s="51"/>
    </row>
    <row r="112" spans="1:5" ht="15" customHeight="1" x14ac:dyDescent="0.3">
      <c r="A112" s="246"/>
      <c r="B112" s="246"/>
      <c r="D112" s="51"/>
      <c r="E112" s="51"/>
    </row>
    <row r="113" spans="1:5" ht="15.75" customHeight="1" x14ac:dyDescent="0.3">
      <c r="D113" s="51"/>
      <c r="E113" s="51"/>
    </row>
    <row r="114" spans="1:5" ht="15.75" customHeight="1" x14ac:dyDescent="0.3">
      <c r="A114" s="246" t="s">
        <v>192</v>
      </c>
      <c r="B114" s="246"/>
      <c r="D114" s="51"/>
      <c r="E114" s="51"/>
    </row>
    <row r="115" spans="1:5" ht="15.75" customHeight="1" x14ac:dyDescent="0.3">
      <c r="A115" s="246"/>
      <c r="B115" s="246"/>
      <c r="D115" s="51"/>
      <c r="E115" s="51"/>
    </row>
    <row r="116" spans="1:5" ht="15.75" customHeight="1" x14ac:dyDescent="0.3">
      <c r="A116" s="246"/>
      <c r="B116" s="246"/>
      <c r="D116" s="51"/>
      <c r="E116" s="51"/>
    </row>
    <row r="117" spans="1:5" ht="14.4" customHeight="1" x14ac:dyDescent="0.3">
      <c r="D117" s="51"/>
      <c r="E117" s="51"/>
    </row>
    <row r="118" spans="1:5" ht="14.4" customHeight="1" x14ac:dyDescent="0.3">
      <c r="A118" s="246" t="s">
        <v>195</v>
      </c>
      <c r="B118" s="246"/>
      <c r="D118" s="51"/>
      <c r="E118" s="51"/>
    </row>
    <row r="119" spans="1:5" ht="14.4" customHeight="1" x14ac:dyDescent="0.3">
      <c r="A119" s="246"/>
      <c r="B119" s="246"/>
      <c r="D119" s="51"/>
      <c r="E119" s="51"/>
    </row>
    <row r="120" spans="1:5" ht="14.4" customHeight="1" x14ac:dyDescent="0.3">
      <c r="A120" s="246"/>
      <c r="B120" s="246"/>
      <c r="D120" s="51"/>
      <c r="E120" s="51"/>
    </row>
    <row r="121" spans="1:5" ht="14.4" customHeight="1" x14ac:dyDescent="0.3">
      <c r="D121" s="51"/>
      <c r="E121" s="51"/>
    </row>
    <row r="122" spans="1:5" ht="14.4" customHeight="1" x14ac:dyDescent="0.3">
      <c r="A122" s="246" t="s">
        <v>194</v>
      </c>
      <c r="B122" s="246"/>
      <c r="D122" s="51"/>
      <c r="E122" s="51"/>
    </row>
    <row r="123" spans="1:5" ht="14.4" customHeight="1" x14ac:dyDescent="0.3">
      <c r="A123" s="246"/>
      <c r="B123" s="246"/>
      <c r="D123" s="51"/>
      <c r="E123" s="51"/>
    </row>
    <row r="124" spans="1:5" x14ac:dyDescent="0.3">
      <c r="A124" s="246"/>
      <c r="B124" s="246"/>
      <c r="D124" s="51"/>
      <c r="E124" s="51"/>
    </row>
    <row r="125" spans="1:5" x14ac:dyDescent="0.3">
      <c r="D125" s="51"/>
      <c r="E125" s="51"/>
    </row>
    <row r="126" spans="1:5" s="71" customFormat="1" x14ac:dyDescent="0.3">
      <c r="A126"/>
      <c r="B126" s="69"/>
      <c r="C126" s="70"/>
      <c r="D126" s="186"/>
      <c r="E126" s="186"/>
    </row>
    <row r="127" spans="1:5" s="71" customFormat="1" ht="15.75" customHeight="1" x14ac:dyDescent="0.3">
      <c r="A127" s="209" t="s">
        <v>255</v>
      </c>
      <c r="B127" s="72">
        <v>-1034822.7662549634</v>
      </c>
      <c r="C127" s="70"/>
      <c r="D127" s="187"/>
      <c r="E127" s="187"/>
    </row>
    <row r="128" spans="1:5" x14ac:dyDescent="0.3">
      <c r="A128" s="29" t="s">
        <v>147</v>
      </c>
      <c r="B128" s="73">
        <f>-B101-B102</f>
        <v>-15876581.91</v>
      </c>
      <c r="D128" s="51"/>
      <c r="E128" s="51"/>
    </row>
    <row r="129" spans="1:13" x14ac:dyDescent="0.3">
      <c r="A129" s="29" t="s">
        <v>126</v>
      </c>
      <c r="B129" s="73">
        <f>B140</f>
        <v>217403</v>
      </c>
      <c r="D129" s="51"/>
      <c r="E129" s="51"/>
      <c r="F129" s="69"/>
    </row>
    <row r="130" spans="1:13" x14ac:dyDescent="0.3">
      <c r="A130" s="29" t="s">
        <v>2</v>
      </c>
      <c r="B130" s="74">
        <f>PRORRATEO!F117</f>
        <v>16721537.399999997</v>
      </c>
      <c r="D130" s="51"/>
      <c r="E130" s="51"/>
      <c r="F130" s="69"/>
    </row>
    <row r="131" spans="1:13" x14ac:dyDescent="0.3">
      <c r="A131" s="29" t="s">
        <v>246</v>
      </c>
      <c r="B131" s="167">
        <v>-195940.3</v>
      </c>
      <c r="D131" s="51"/>
      <c r="E131" s="51"/>
      <c r="F131" s="69"/>
    </row>
    <row r="132" spans="1:13" x14ac:dyDescent="0.3">
      <c r="A132" s="29" t="s">
        <v>247</v>
      </c>
      <c r="B132" s="167">
        <v>-195940.3</v>
      </c>
      <c r="D132" s="51"/>
      <c r="E132" s="51"/>
      <c r="F132" s="69"/>
    </row>
    <row r="133" spans="1:13" ht="40.5" customHeight="1" x14ac:dyDescent="0.3">
      <c r="A133" s="29" t="s">
        <v>240</v>
      </c>
      <c r="B133" s="167">
        <v>-168835</v>
      </c>
      <c r="D133" s="51"/>
      <c r="E133" s="51"/>
      <c r="F133" s="69"/>
    </row>
    <row r="134" spans="1:13" ht="15" thickBot="1" x14ac:dyDescent="0.35">
      <c r="A134" s="75" t="s">
        <v>167</v>
      </c>
      <c r="B134" s="76">
        <f>SUM(B127:C133)</f>
        <v>-533179.87625496869</v>
      </c>
      <c r="D134" s="69"/>
      <c r="E134" s="53"/>
      <c r="F134" s="53"/>
    </row>
    <row r="135" spans="1:13" ht="34.5" customHeight="1" x14ac:dyDescent="0.3"/>
    <row r="136" spans="1:13" x14ac:dyDescent="0.3">
      <c r="A136" s="247" t="s">
        <v>127</v>
      </c>
      <c r="B136" s="247"/>
      <c r="C136" s="247"/>
    </row>
    <row r="137" spans="1:13" x14ac:dyDescent="0.3">
      <c r="A137" s="247"/>
      <c r="B137" s="247"/>
      <c r="C137" s="247"/>
    </row>
    <row r="138" spans="1:13" ht="27" customHeight="1" x14ac:dyDescent="0.3">
      <c r="A138" s="77" t="s">
        <v>248</v>
      </c>
      <c r="B138" s="125">
        <v>130000</v>
      </c>
      <c r="C138" s="78"/>
      <c r="D138" s="59"/>
    </row>
    <row r="139" spans="1:13" ht="27" customHeight="1" x14ac:dyDescent="0.3">
      <c r="A139" s="168" t="s">
        <v>250</v>
      </c>
      <c r="B139" s="125">
        <v>87403</v>
      </c>
      <c r="C139" s="78"/>
      <c r="D139" s="59"/>
    </row>
    <row r="140" spans="1:13" x14ac:dyDescent="0.3">
      <c r="A140" s="79" t="s">
        <v>0</v>
      </c>
      <c r="B140" s="80">
        <f>SUM(B138:B139)</f>
        <v>217403</v>
      </c>
      <c r="C140" s="81"/>
    </row>
    <row r="141" spans="1:13" x14ac:dyDescent="0.3">
      <c r="M141" s="82"/>
    </row>
  </sheetData>
  <mergeCells count="31">
    <mergeCell ref="A114:B116"/>
    <mergeCell ref="A56:B56"/>
    <mergeCell ref="A136:C137"/>
    <mergeCell ref="A53:B53"/>
    <mergeCell ref="A90:B90"/>
    <mergeCell ref="A57:B57"/>
    <mergeCell ref="A64:B64"/>
    <mergeCell ref="A54:B54"/>
    <mergeCell ref="A70:B70"/>
    <mergeCell ref="A106:B108"/>
    <mergeCell ref="A110:B112"/>
    <mergeCell ref="A122:B124"/>
    <mergeCell ref="A118:B120"/>
    <mergeCell ref="A61:B61"/>
    <mergeCell ref="A62:B62"/>
    <mergeCell ref="A55:B55"/>
    <mergeCell ref="B1:E1"/>
    <mergeCell ref="A24:B24"/>
    <mergeCell ref="A73:B73"/>
    <mergeCell ref="B3:E3"/>
    <mergeCell ref="B8:C10"/>
    <mergeCell ref="A13:E16"/>
    <mergeCell ref="A22:B22"/>
    <mergeCell ref="A23:B23"/>
    <mergeCell ref="A49:B49"/>
    <mergeCell ref="A41:B41"/>
    <mergeCell ref="A58:B58"/>
    <mergeCell ref="A60:B60"/>
    <mergeCell ref="A63:B63"/>
    <mergeCell ref="A59:B59"/>
    <mergeCell ref="A42:B42"/>
  </mergeCells>
  <pageMargins left="0.23622047244094491" right="0.23622047244094491" top="0.74803149606299213" bottom="0.74803149606299213" header="0.31496062992125984" footer="0.31496062992125984"/>
  <pageSetup paperSize="5" scale="90"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3DB7A7-09F4-49CF-B824-70F15C1FF525}">
  <dimension ref="A1:P125"/>
  <sheetViews>
    <sheetView zoomScaleNormal="100" workbookViewId="0">
      <selection activeCell="M75" sqref="M75"/>
    </sheetView>
  </sheetViews>
  <sheetFormatPr baseColWidth="10" defaultColWidth="10.88671875" defaultRowHeight="14.4" x14ac:dyDescent="0.3"/>
  <cols>
    <col min="1" max="1" width="4.33203125" customWidth="1"/>
    <col min="2" max="2" width="25.5546875" customWidth="1"/>
    <col min="3" max="3" width="0.109375" customWidth="1"/>
    <col min="4" max="4" width="8.44140625" customWidth="1"/>
    <col min="5" max="5" width="14.109375" customWidth="1"/>
    <col min="6" max="6" width="12.33203125" customWidth="1"/>
    <col min="7" max="7" width="10.5546875" customWidth="1"/>
    <col min="8" max="8" width="9.5546875" customWidth="1"/>
    <col min="9" max="9" width="12.44140625" customWidth="1"/>
    <col min="10" max="10" width="14.44140625" customWidth="1"/>
    <col min="11" max="12" width="12.33203125" customWidth="1"/>
    <col min="13" max="13" width="14.6640625" customWidth="1"/>
    <col min="14" max="14" width="14.33203125" customWidth="1"/>
    <col min="15" max="15" width="7.33203125" bestFit="1" customWidth="1"/>
    <col min="16" max="16" width="12" bestFit="1" customWidth="1"/>
    <col min="17" max="17" width="13" bestFit="1" customWidth="1"/>
  </cols>
  <sheetData>
    <row r="1" spans="1:16" ht="12.9" customHeight="1" x14ac:dyDescent="0.3">
      <c r="A1" s="103"/>
      <c r="B1" s="104"/>
      <c r="C1" s="104"/>
      <c r="D1" s="248"/>
      <c r="E1" s="248"/>
      <c r="F1" s="248"/>
      <c r="G1" s="248"/>
      <c r="H1" s="248"/>
      <c r="I1" s="248"/>
      <c r="J1" s="248"/>
      <c r="K1" s="248"/>
      <c r="L1" s="248"/>
      <c r="M1" s="248"/>
      <c r="N1" s="105"/>
    </row>
    <row r="2" spans="1:16" ht="12.9" customHeight="1" x14ac:dyDescent="0.3">
      <c r="A2" s="106"/>
      <c r="B2" s="107"/>
      <c r="C2" s="108"/>
      <c r="D2" s="108" t="s">
        <v>128</v>
      </c>
      <c r="E2" s="272">
        <v>3000000</v>
      </c>
      <c r="F2" s="272"/>
      <c r="G2" s="108"/>
      <c r="H2" s="108"/>
      <c r="I2" s="108" t="s">
        <v>129</v>
      </c>
      <c r="J2" s="109">
        <f>P2+P2*5%</f>
        <v>13312274.0625</v>
      </c>
      <c r="K2" s="109"/>
      <c r="L2" s="109"/>
      <c r="M2" s="110"/>
      <c r="N2" s="111"/>
      <c r="O2" s="83"/>
      <c r="P2">
        <v>12678356.25</v>
      </c>
    </row>
    <row r="3" spans="1:16" ht="12.9" customHeight="1" thickBot="1" x14ac:dyDescent="0.35">
      <c r="A3" s="112"/>
      <c r="B3" s="113"/>
      <c r="C3" s="113"/>
      <c r="D3" s="113"/>
      <c r="E3" s="113"/>
      <c r="F3" s="114"/>
      <c r="G3" s="113"/>
      <c r="H3" s="113"/>
      <c r="I3" s="113"/>
      <c r="J3" s="113"/>
      <c r="K3" s="113"/>
      <c r="L3" s="113"/>
      <c r="M3" s="115"/>
      <c r="N3" s="116"/>
      <c r="O3" s="83"/>
    </row>
    <row r="4" spans="1:16" ht="12.9" customHeight="1" x14ac:dyDescent="0.3">
      <c r="A4" s="249" t="s">
        <v>165</v>
      </c>
      <c r="B4" s="250"/>
      <c r="C4" s="250"/>
      <c r="D4" s="250"/>
      <c r="E4" s="250"/>
      <c r="F4" s="250"/>
      <c r="G4" s="250"/>
      <c r="H4" s="250"/>
      <c r="I4" s="250"/>
      <c r="J4" s="250"/>
      <c r="K4" s="250"/>
      <c r="L4" s="250"/>
      <c r="M4" s="250"/>
      <c r="N4" s="251"/>
      <c r="O4" s="83"/>
    </row>
    <row r="5" spans="1:16" ht="12.9" customHeight="1" x14ac:dyDescent="0.3">
      <c r="A5" s="252"/>
      <c r="B5" s="253"/>
      <c r="C5" s="253"/>
      <c r="D5" s="253"/>
      <c r="E5" s="253"/>
      <c r="F5" s="253"/>
      <c r="G5" s="253"/>
      <c r="H5" s="253"/>
      <c r="I5" s="253"/>
      <c r="J5" s="253"/>
      <c r="K5" s="253"/>
      <c r="L5" s="253"/>
      <c r="M5" s="253"/>
      <c r="N5" s="254"/>
      <c r="O5" s="83"/>
    </row>
    <row r="6" spans="1:16" ht="12.9" customHeight="1" x14ac:dyDescent="0.3">
      <c r="A6" s="252"/>
      <c r="B6" s="253"/>
      <c r="C6" s="253"/>
      <c r="D6" s="253"/>
      <c r="E6" s="253"/>
      <c r="F6" s="253"/>
      <c r="G6" s="253"/>
      <c r="H6" s="253"/>
      <c r="I6" s="253"/>
      <c r="J6" s="253"/>
      <c r="K6" s="253"/>
      <c r="L6" s="253"/>
      <c r="M6" s="253"/>
      <c r="N6" s="254"/>
      <c r="O6" s="83"/>
    </row>
    <row r="7" spans="1:16" ht="12.9" customHeight="1" x14ac:dyDescent="0.3">
      <c r="A7" s="252"/>
      <c r="B7" s="253"/>
      <c r="C7" s="253"/>
      <c r="D7" s="253"/>
      <c r="E7" s="253"/>
      <c r="F7" s="253"/>
      <c r="G7" s="253"/>
      <c r="H7" s="253"/>
      <c r="I7" s="253"/>
      <c r="J7" s="253"/>
      <c r="K7" s="253"/>
      <c r="L7" s="253"/>
      <c r="M7" s="253"/>
      <c r="N7" s="254"/>
      <c r="O7" s="83"/>
    </row>
    <row r="8" spans="1:16" ht="192" customHeight="1" thickBot="1" x14ac:dyDescent="0.35">
      <c r="A8" s="255"/>
      <c r="B8" s="256"/>
      <c r="C8" s="256"/>
      <c r="D8" s="256"/>
      <c r="E8" s="256"/>
      <c r="F8" s="256"/>
      <c r="G8" s="256"/>
      <c r="H8" s="256"/>
      <c r="I8" s="256"/>
      <c r="J8" s="256"/>
      <c r="K8" s="256"/>
      <c r="L8" s="256"/>
      <c r="M8" s="256"/>
      <c r="N8" s="257"/>
    </row>
    <row r="9" spans="1:16" ht="48" customHeight="1" thickBot="1" x14ac:dyDescent="0.35">
      <c r="A9" s="266" t="s">
        <v>163</v>
      </c>
      <c r="B9" s="267"/>
      <c r="C9" s="267"/>
      <c r="D9" s="267"/>
      <c r="E9" s="267"/>
      <c r="F9" s="267"/>
      <c r="G9" s="267"/>
      <c r="H9" s="267"/>
      <c r="I9" s="267"/>
      <c r="J9" s="267"/>
      <c r="K9" s="267"/>
      <c r="L9" s="267"/>
      <c r="M9" s="267"/>
      <c r="N9" s="268"/>
    </row>
    <row r="10" spans="1:16" ht="48" customHeight="1" thickBot="1" x14ac:dyDescent="0.35">
      <c r="A10" s="269" t="s">
        <v>164</v>
      </c>
      <c r="B10" s="270"/>
      <c r="C10" s="270"/>
      <c r="D10" s="270"/>
      <c r="E10" s="270"/>
      <c r="F10" s="270"/>
      <c r="G10" s="270"/>
      <c r="H10" s="270"/>
      <c r="I10" s="270"/>
      <c r="J10" s="270"/>
      <c r="K10" s="270"/>
      <c r="L10" s="270"/>
      <c r="M10" s="270"/>
      <c r="N10" s="271"/>
    </row>
    <row r="11" spans="1:16" x14ac:dyDescent="0.3">
      <c r="A11" s="258" t="s">
        <v>130</v>
      </c>
      <c r="B11" s="260" t="s">
        <v>131</v>
      </c>
      <c r="C11" s="260" t="s">
        <v>132</v>
      </c>
      <c r="D11" s="260" t="s">
        <v>133</v>
      </c>
      <c r="E11" s="262" t="s">
        <v>134</v>
      </c>
      <c r="F11" s="260" t="s">
        <v>135</v>
      </c>
      <c r="G11" s="264" t="s">
        <v>136</v>
      </c>
      <c r="H11" s="262" t="s">
        <v>137</v>
      </c>
      <c r="I11" s="262" t="s">
        <v>129</v>
      </c>
      <c r="J11" s="262" t="s">
        <v>128</v>
      </c>
      <c r="K11" s="273" t="s">
        <v>185</v>
      </c>
      <c r="L11" s="275" t="s">
        <v>193</v>
      </c>
      <c r="M11" s="164" t="s">
        <v>138</v>
      </c>
      <c r="N11" s="277" t="s">
        <v>139</v>
      </c>
    </row>
    <row r="12" spans="1:16" ht="15.75" customHeight="1" x14ac:dyDescent="0.3">
      <c r="A12" s="259"/>
      <c r="B12" s="261"/>
      <c r="C12" s="261"/>
      <c r="D12" s="261"/>
      <c r="E12" s="263"/>
      <c r="F12" s="261"/>
      <c r="G12" s="265"/>
      <c r="H12" s="263"/>
      <c r="I12" s="263"/>
      <c r="J12" s="263"/>
      <c r="K12" s="274"/>
      <c r="L12" s="276"/>
      <c r="M12" s="165" t="str">
        <f>RESUMEN!B8</f>
        <v>VTO 15/05</v>
      </c>
      <c r="N12" s="278"/>
    </row>
    <row r="13" spans="1:16" ht="17.100000000000001" customHeight="1" x14ac:dyDescent="0.3">
      <c r="A13" s="148">
        <v>1</v>
      </c>
      <c r="B13" s="84" t="s">
        <v>3</v>
      </c>
      <c r="C13" s="84"/>
      <c r="D13" s="85">
        <v>1.37</v>
      </c>
      <c r="E13" s="86">
        <v>214793.01</v>
      </c>
      <c r="F13" s="87">
        <f>E13</f>
        <v>214793.01</v>
      </c>
      <c r="G13" s="88">
        <f t="shared" ref="G13:G76" si="0">E13-F13</f>
        <v>0</v>
      </c>
      <c r="H13" s="88">
        <f>IF(G13&gt;0,G13*3%,0)</f>
        <v>0</v>
      </c>
      <c r="I13" s="143">
        <f t="shared" ref="I13:I44" si="1">J$2*D13/100</f>
        <v>182378.15465625003</v>
      </c>
      <c r="J13" s="143">
        <f t="shared" ref="J13:J44" si="2">E$2*D13/100</f>
        <v>41100.000000000007</v>
      </c>
      <c r="K13" s="143"/>
      <c r="L13" s="169"/>
      <c r="M13" s="89">
        <f>ROUND(SUM(G13:L13),0) + O13</f>
        <v>223478.01</v>
      </c>
      <c r="N13" s="159">
        <f t="shared" ref="N13:N33" si="3">ROUND(M13*3%,0) + M13</f>
        <v>230182.01</v>
      </c>
      <c r="O13" s="53">
        <v>0.01</v>
      </c>
    </row>
    <row r="14" spans="1:16" ht="17.100000000000001" customHeight="1" x14ac:dyDescent="0.3">
      <c r="A14" s="149">
        <v>2</v>
      </c>
      <c r="B14" s="136" t="s">
        <v>4</v>
      </c>
      <c r="C14" s="101"/>
      <c r="D14" s="96">
        <v>1.18</v>
      </c>
      <c r="E14" s="97">
        <v>2972428.02</v>
      </c>
      <c r="F14" s="97">
        <v>43193.21</v>
      </c>
      <c r="G14" s="98">
        <f t="shared" si="0"/>
        <v>2929234.81</v>
      </c>
      <c r="H14" s="98">
        <f t="shared" ref="H14:H77" si="4">IF(G14&gt;0,G14*3%,0)</f>
        <v>87877.044299999994</v>
      </c>
      <c r="I14" s="144">
        <f t="shared" si="1"/>
        <v>157084.83393749999</v>
      </c>
      <c r="J14" s="144">
        <f t="shared" si="2"/>
        <v>35400</v>
      </c>
      <c r="K14" s="144"/>
      <c r="L14" s="170"/>
      <c r="M14" s="99">
        <f>ROUND(SUM(G14:L14),0) + O14</f>
        <v>3209597.02</v>
      </c>
      <c r="N14" s="160">
        <f t="shared" si="3"/>
        <v>3305885.02</v>
      </c>
      <c r="O14" s="53">
        <f>O13+0.01</f>
        <v>0.02</v>
      </c>
      <c r="P14" t="s">
        <v>173</v>
      </c>
    </row>
    <row r="15" spans="1:16" ht="17.100000000000001" customHeight="1" x14ac:dyDescent="0.3">
      <c r="A15" s="148">
        <v>3</v>
      </c>
      <c r="B15" s="84" t="s">
        <v>5</v>
      </c>
      <c r="C15" s="90"/>
      <c r="D15" s="85">
        <v>0.74</v>
      </c>
      <c r="E15" s="86">
        <v>116020.03</v>
      </c>
      <c r="F15" s="87">
        <f>E15</f>
        <v>116020.03</v>
      </c>
      <c r="G15" s="88">
        <f t="shared" si="0"/>
        <v>0</v>
      </c>
      <c r="H15" s="88">
        <f t="shared" si="4"/>
        <v>0</v>
      </c>
      <c r="I15" s="143">
        <f t="shared" si="1"/>
        <v>98510.828062500004</v>
      </c>
      <c r="J15" s="143">
        <f t="shared" si="2"/>
        <v>22200</v>
      </c>
      <c r="K15" s="143"/>
      <c r="L15" s="169"/>
      <c r="M15" s="89">
        <f t="shared" ref="M15:M78" si="5">ROUND(SUM(G15:L15),0) + O15</f>
        <v>120711.03</v>
      </c>
      <c r="N15" s="159">
        <f t="shared" si="3"/>
        <v>124332.03</v>
      </c>
      <c r="O15" s="53">
        <f t="shared" ref="O15:O30" si="6">O14+0.01</f>
        <v>0.03</v>
      </c>
    </row>
    <row r="16" spans="1:16" ht="17.100000000000001" customHeight="1" x14ac:dyDescent="0.3">
      <c r="A16" s="150">
        <v>4</v>
      </c>
      <c r="B16" s="118" t="s">
        <v>6</v>
      </c>
      <c r="C16" s="123"/>
      <c r="D16" s="120">
        <v>1.47</v>
      </c>
      <c r="E16" s="87">
        <v>230472.04</v>
      </c>
      <c r="F16" s="87">
        <f>E16</f>
        <v>230472.04</v>
      </c>
      <c r="G16" s="121">
        <f t="shared" si="0"/>
        <v>0</v>
      </c>
      <c r="H16" s="121">
        <f t="shared" si="4"/>
        <v>0</v>
      </c>
      <c r="I16" s="145">
        <f t="shared" si="1"/>
        <v>195690.42871874999</v>
      </c>
      <c r="J16" s="145">
        <f t="shared" si="2"/>
        <v>44100</v>
      </c>
      <c r="K16" s="145"/>
      <c r="L16" s="171"/>
      <c r="M16" s="89">
        <f t="shared" si="5"/>
        <v>239790.04</v>
      </c>
      <c r="N16" s="161">
        <f t="shared" si="3"/>
        <v>246984.04</v>
      </c>
      <c r="O16" s="53">
        <f t="shared" si="6"/>
        <v>0.04</v>
      </c>
    </row>
    <row r="17" spans="1:16" ht="17.100000000000001" customHeight="1" x14ac:dyDescent="0.3">
      <c r="A17" s="148">
        <v>5</v>
      </c>
      <c r="B17" s="84" t="s">
        <v>7</v>
      </c>
      <c r="C17" s="84"/>
      <c r="D17" s="85">
        <v>1.1200000000000001</v>
      </c>
      <c r="E17" s="87">
        <v>180666.05</v>
      </c>
      <c r="F17" s="87">
        <f>E17</f>
        <v>180666.05</v>
      </c>
      <c r="G17" s="88">
        <f t="shared" si="0"/>
        <v>0</v>
      </c>
      <c r="H17" s="88">
        <f t="shared" si="4"/>
        <v>0</v>
      </c>
      <c r="I17" s="143">
        <f t="shared" si="1"/>
        <v>149097.46950000001</v>
      </c>
      <c r="J17" s="143">
        <f t="shared" si="2"/>
        <v>33600.000000000007</v>
      </c>
      <c r="K17" s="143"/>
      <c r="L17" s="169"/>
      <c r="M17" s="89">
        <f t="shared" si="5"/>
        <v>182697.05</v>
      </c>
      <c r="N17" s="159">
        <f t="shared" si="3"/>
        <v>188178.05</v>
      </c>
      <c r="O17" s="53">
        <f t="shared" si="6"/>
        <v>0.05</v>
      </c>
    </row>
    <row r="18" spans="1:16" ht="17.100000000000001" customHeight="1" x14ac:dyDescent="0.3">
      <c r="A18" s="148">
        <v>6</v>
      </c>
      <c r="B18" s="84" t="s">
        <v>8</v>
      </c>
      <c r="C18" s="84"/>
      <c r="D18" s="85">
        <v>1.35</v>
      </c>
      <c r="E18" s="86">
        <v>205165.06</v>
      </c>
      <c r="F18" s="87">
        <v>206000.06</v>
      </c>
      <c r="G18" s="88">
        <f t="shared" si="0"/>
        <v>-835</v>
      </c>
      <c r="H18" s="88">
        <f t="shared" si="4"/>
        <v>0</v>
      </c>
      <c r="I18" s="143">
        <f t="shared" si="1"/>
        <v>179715.69984374999</v>
      </c>
      <c r="J18" s="143">
        <f t="shared" si="2"/>
        <v>40500.000000000007</v>
      </c>
      <c r="K18" s="143"/>
      <c r="L18" s="169"/>
      <c r="M18" s="89">
        <f t="shared" si="5"/>
        <v>219381.06</v>
      </c>
      <c r="N18" s="159">
        <f t="shared" si="3"/>
        <v>225962.06</v>
      </c>
      <c r="O18" s="53">
        <f t="shared" si="6"/>
        <v>6.0000000000000005E-2</v>
      </c>
    </row>
    <row r="19" spans="1:16" ht="17.100000000000001" customHeight="1" x14ac:dyDescent="0.3">
      <c r="A19" s="148">
        <v>7</v>
      </c>
      <c r="B19" s="84" t="s">
        <v>9</v>
      </c>
      <c r="C19" s="84"/>
      <c r="D19" s="85">
        <v>1.1200000000000001</v>
      </c>
      <c r="E19" s="86">
        <v>175598.07</v>
      </c>
      <c r="F19" s="87">
        <f>E19</f>
        <v>175598.07</v>
      </c>
      <c r="G19" s="88">
        <f t="shared" si="0"/>
        <v>0</v>
      </c>
      <c r="H19" s="88">
        <f t="shared" si="4"/>
        <v>0</v>
      </c>
      <c r="I19" s="143">
        <f t="shared" si="1"/>
        <v>149097.46950000001</v>
      </c>
      <c r="J19" s="143">
        <f t="shared" si="2"/>
        <v>33600.000000000007</v>
      </c>
      <c r="K19" s="143"/>
      <c r="L19" s="169"/>
      <c r="M19" s="89">
        <f t="shared" si="5"/>
        <v>182697.07</v>
      </c>
      <c r="N19" s="159">
        <f t="shared" si="3"/>
        <v>188178.07</v>
      </c>
      <c r="O19" s="53">
        <f t="shared" si="6"/>
        <v>7.0000000000000007E-2</v>
      </c>
    </row>
    <row r="20" spans="1:16" ht="17.100000000000001" customHeight="1" x14ac:dyDescent="0.3">
      <c r="A20" s="148">
        <v>8</v>
      </c>
      <c r="B20" s="84" t="s">
        <v>10</v>
      </c>
      <c r="C20" s="90"/>
      <c r="D20" s="85">
        <v>0.82</v>
      </c>
      <c r="E20" s="86">
        <v>128563.08</v>
      </c>
      <c r="F20" s="87">
        <v>132420.07999999999</v>
      </c>
      <c r="G20" s="88">
        <f t="shared" si="0"/>
        <v>-3856.9999999999854</v>
      </c>
      <c r="H20" s="88">
        <f t="shared" si="4"/>
        <v>0</v>
      </c>
      <c r="I20" s="143">
        <f t="shared" si="1"/>
        <v>109160.64731249999</v>
      </c>
      <c r="J20" s="143">
        <f t="shared" si="2"/>
        <v>24600</v>
      </c>
      <c r="K20" s="143"/>
      <c r="L20" s="169"/>
      <c r="M20" s="89">
        <f t="shared" si="5"/>
        <v>129904.08</v>
      </c>
      <c r="N20" s="159">
        <f t="shared" si="3"/>
        <v>133801.08000000002</v>
      </c>
      <c r="O20" s="53">
        <f t="shared" si="6"/>
        <v>0.08</v>
      </c>
    </row>
    <row r="21" spans="1:16" ht="17.100000000000001" customHeight="1" x14ac:dyDescent="0.3">
      <c r="A21" s="148">
        <v>9</v>
      </c>
      <c r="B21" s="84" t="s">
        <v>11</v>
      </c>
      <c r="C21" s="90"/>
      <c r="D21" s="85">
        <v>0.82</v>
      </c>
      <c r="E21" s="86">
        <v>124963.09</v>
      </c>
      <c r="F21" s="87">
        <v>0</v>
      </c>
      <c r="G21" s="88">
        <f t="shared" si="0"/>
        <v>124963.09</v>
      </c>
      <c r="H21" s="88">
        <f t="shared" si="4"/>
        <v>3748.8926999999999</v>
      </c>
      <c r="I21" s="143">
        <f t="shared" si="1"/>
        <v>109160.64731249999</v>
      </c>
      <c r="J21" s="143">
        <f t="shared" si="2"/>
        <v>24600</v>
      </c>
      <c r="K21" s="143"/>
      <c r="L21" s="169"/>
      <c r="M21" s="89">
        <f t="shared" si="5"/>
        <v>262473.09000000003</v>
      </c>
      <c r="N21" s="159">
        <f t="shared" si="3"/>
        <v>270347.09000000003</v>
      </c>
      <c r="O21" s="53">
        <f t="shared" si="6"/>
        <v>0.09</v>
      </c>
    </row>
    <row r="22" spans="1:16" ht="17.100000000000001" customHeight="1" x14ac:dyDescent="0.3">
      <c r="A22" s="148">
        <v>10</v>
      </c>
      <c r="B22" s="84" t="s">
        <v>12</v>
      </c>
      <c r="C22" s="90"/>
      <c r="D22" s="85">
        <v>1.34</v>
      </c>
      <c r="E22" s="86">
        <v>222822.1</v>
      </c>
      <c r="F22" s="87">
        <f>E22</f>
        <v>222822.1</v>
      </c>
      <c r="G22" s="88">
        <f t="shared" si="0"/>
        <v>0</v>
      </c>
      <c r="H22" s="88">
        <f t="shared" si="4"/>
        <v>0</v>
      </c>
      <c r="I22" s="143">
        <f t="shared" si="1"/>
        <v>178384.47243750002</v>
      </c>
      <c r="J22" s="143">
        <f t="shared" si="2"/>
        <v>40200.000000000007</v>
      </c>
      <c r="K22" s="143"/>
      <c r="L22" s="169"/>
      <c r="M22" s="89">
        <f t="shared" si="5"/>
        <v>218584.1</v>
      </c>
      <c r="N22" s="159">
        <f t="shared" si="3"/>
        <v>225142.1</v>
      </c>
      <c r="O22" s="53">
        <f t="shared" si="6"/>
        <v>9.9999999999999992E-2</v>
      </c>
    </row>
    <row r="23" spans="1:16" ht="17.100000000000001" customHeight="1" x14ac:dyDescent="0.3">
      <c r="A23" s="148">
        <v>11</v>
      </c>
      <c r="B23" s="84" t="s">
        <v>13</v>
      </c>
      <c r="C23" s="90"/>
      <c r="D23" s="85">
        <v>1.1200000000000001</v>
      </c>
      <c r="E23" s="86">
        <v>175598.11</v>
      </c>
      <c r="F23" s="87">
        <f>E23</f>
        <v>175598.11</v>
      </c>
      <c r="G23" s="88">
        <f t="shared" si="0"/>
        <v>0</v>
      </c>
      <c r="H23" s="88">
        <f t="shared" si="4"/>
        <v>0</v>
      </c>
      <c r="I23" s="143">
        <f t="shared" si="1"/>
        <v>149097.46950000001</v>
      </c>
      <c r="J23" s="143">
        <f t="shared" si="2"/>
        <v>33600.000000000007</v>
      </c>
      <c r="K23" s="143"/>
      <c r="L23" s="169"/>
      <c r="M23" s="89">
        <f t="shared" si="5"/>
        <v>182697.11</v>
      </c>
      <c r="N23" s="159">
        <f t="shared" si="3"/>
        <v>188178.11</v>
      </c>
      <c r="O23" s="53">
        <f t="shared" si="6"/>
        <v>0.10999999999999999</v>
      </c>
    </row>
    <row r="24" spans="1:16" ht="17.25" customHeight="1" x14ac:dyDescent="0.3">
      <c r="A24" s="148">
        <v>12</v>
      </c>
      <c r="B24" s="84" t="s">
        <v>14</v>
      </c>
      <c r="C24" s="90"/>
      <c r="D24" s="85">
        <v>1.17</v>
      </c>
      <c r="E24" s="86">
        <v>3844889.12</v>
      </c>
      <c r="F24" s="87">
        <v>0</v>
      </c>
      <c r="G24" s="88">
        <f t="shared" si="0"/>
        <v>3844889.12</v>
      </c>
      <c r="H24" s="88">
        <f t="shared" si="4"/>
        <v>115346.67359999999</v>
      </c>
      <c r="I24" s="143">
        <f t="shared" si="1"/>
        <v>155753.60653125</v>
      </c>
      <c r="J24" s="143">
        <f t="shared" si="2"/>
        <v>35100</v>
      </c>
      <c r="K24" s="143"/>
      <c r="L24" s="169"/>
      <c r="M24" s="89">
        <f t="shared" si="5"/>
        <v>4151089.12</v>
      </c>
      <c r="N24" s="159">
        <f t="shared" si="3"/>
        <v>4275622.12</v>
      </c>
      <c r="O24" s="53">
        <f t="shared" si="6"/>
        <v>0.11999999999999998</v>
      </c>
    </row>
    <row r="25" spans="1:16" ht="17.100000000000001" customHeight="1" x14ac:dyDescent="0.3">
      <c r="A25" s="148">
        <v>13</v>
      </c>
      <c r="B25" s="84" t="s">
        <v>15</v>
      </c>
      <c r="C25" s="90"/>
      <c r="D25" s="85">
        <v>1.35</v>
      </c>
      <c r="E25" s="86">
        <v>211658.13</v>
      </c>
      <c r="F25" s="87">
        <f>E25</f>
        <v>211658.13</v>
      </c>
      <c r="G25" s="88">
        <f t="shared" si="0"/>
        <v>0</v>
      </c>
      <c r="H25" s="88">
        <f t="shared" si="4"/>
        <v>0</v>
      </c>
      <c r="I25" s="143">
        <f t="shared" si="1"/>
        <v>179715.69984374999</v>
      </c>
      <c r="J25" s="143">
        <f t="shared" si="2"/>
        <v>40500.000000000007</v>
      </c>
      <c r="K25" s="143"/>
      <c r="L25" s="169"/>
      <c r="M25" s="89">
        <f t="shared" si="5"/>
        <v>220216.13</v>
      </c>
      <c r="N25" s="159">
        <f t="shared" si="3"/>
        <v>226822.13</v>
      </c>
      <c r="O25" s="53">
        <f t="shared" si="6"/>
        <v>0.12999999999999998</v>
      </c>
    </row>
    <row r="26" spans="1:16" ht="17.100000000000001" customHeight="1" x14ac:dyDescent="0.3">
      <c r="A26" s="148">
        <v>14</v>
      </c>
      <c r="B26" s="84" t="s">
        <v>16</v>
      </c>
      <c r="C26" s="90"/>
      <c r="D26" s="85">
        <v>1.1200000000000001</v>
      </c>
      <c r="E26" s="86">
        <v>349499.14</v>
      </c>
      <c r="F26" s="87">
        <f>175598+173901.14</f>
        <v>349499.14</v>
      </c>
      <c r="G26" s="88">
        <f t="shared" si="0"/>
        <v>0</v>
      </c>
      <c r="H26" s="88">
        <f t="shared" si="4"/>
        <v>0</v>
      </c>
      <c r="I26" s="143">
        <f t="shared" si="1"/>
        <v>149097.46950000001</v>
      </c>
      <c r="J26" s="143">
        <f t="shared" si="2"/>
        <v>33600.000000000007</v>
      </c>
      <c r="K26" s="143"/>
      <c r="L26" s="169"/>
      <c r="M26" s="89">
        <f t="shared" si="5"/>
        <v>182697.14</v>
      </c>
      <c r="N26" s="159">
        <f t="shared" si="3"/>
        <v>188178.14</v>
      </c>
      <c r="O26" s="53">
        <f t="shared" si="6"/>
        <v>0.13999999999999999</v>
      </c>
    </row>
    <row r="27" spans="1:16" ht="17.100000000000001" customHeight="1" x14ac:dyDescent="0.3">
      <c r="A27" s="150">
        <v>15</v>
      </c>
      <c r="B27" s="118" t="s">
        <v>17</v>
      </c>
      <c r="C27" s="123"/>
      <c r="D27" s="120">
        <v>0.82</v>
      </c>
      <c r="E27" s="87">
        <v>128563.15</v>
      </c>
      <c r="F27" s="87">
        <f>E27</f>
        <v>128563.15</v>
      </c>
      <c r="G27" s="88">
        <f t="shared" si="0"/>
        <v>0</v>
      </c>
      <c r="H27" s="88">
        <f t="shared" si="4"/>
        <v>0</v>
      </c>
      <c r="I27" s="143">
        <f t="shared" si="1"/>
        <v>109160.64731249999</v>
      </c>
      <c r="J27" s="143">
        <f t="shared" si="2"/>
        <v>24600</v>
      </c>
      <c r="K27" s="143"/>
      <c r="L27" s="169"/>
      <c r="M27" s="89">
        <f t="shared" si="5"/>
        <v>133761.15</v>
      </c>
      <c r="N27" s="159">
        <f t="shared" si="3"/>
        <v>137774.15</v>
      </c>
      <c r="O27" s="53">
        <f t="shared" si="6"/>
        <v>0.15</v>
      </c>
    </row>
    <row r="28" spans="1:16" ht="17.100000000000001" customHeight="1" x14ac:dyDescent="0.3">
      <c r="A28" s="148">
        <v>16</v>
      </c>
      <c r="B28" s="84" t="s">
        <v>18</v>
      </c>
      <c r="C28" s="84"/>
      <c r="D28" s="85">
        <v>0.82</v>
      </c>
      <c r="E28" s="86">
        <v>347847.16</v>
      </c>
      <c r="F28" s="87">
        <f>E28</f>
        <v>347847.16</v>
      </c>
      <c r="G28" s="88">
        <f t="shared" si="0"/>
        <v>0</v>
      </c>
      <c r="H28" s="88">
        <f t="shared" si="4"/>
        <v>0</v>
      </c>
      <c r="I28" s="143">
        <f t="shared" si="1"/>
        <v>109160.64731249999</v>
      </c>
      <c r="J28" s="143">
        <f t="shared" si="2"/>
        <v>24600</v>
      </c>
      <c r="K28" s="143"/>
      <c r="L28" s="169"/>
      <c r="M28" s="89">
        <f t="shared" si="5"/>
        <v>133761.16</v>
      </c>
      <c r="N28" s="159">
        <f t="shared" si="3"/>
        <v>137774.16</v>
      </c>
      <c r="O28" s="53">
        <f t="shared" si="6"/>
        <v>0.16</v>
      </c>
    </row>
    <row r="29" spans="1:16" ht="17.100000000000001" customHeight="1" x14ac:dyDescent="0.3">
      <c r="A29" s="148">
        <v>17</v>
      </c>
      <c r="B29" s="84" t="s">
        <v>19</v>
      </c>
      <c r="C29" s="90"/>
      <c r="D29" s="85">
        <v>1.34</v>
      </c>
      <c r="E29" s="86">
        <v>216393.17</v>
      </c>
      <c r="F29" s="87">
        <f>E29</f>
        <v>216393.17</v>
      </c>
      <c r="G29" s="88">
        <f t="shared" si="0"/>
        <v>0</v>
      </c>
      <c r="H29" s="88">
        <f t="shared" si="4"/>
        <v>0</v>
      </c>
      <c r="I29" s="143">
        <f t="shared" si="1"/>
        <v>178384.47243750002</v>
      </c>
      <c r="J29" s="143">
        <f t="shared" si="2"/>
        <v>40200.000000000007</v>
      </c>
      <c r="K29" s="143"/>
      <c r="L29" s="169"/>
      <c r="M29" s="89">
        <f t="shared" si="5"/>
        <v>218584.17</v>
      </c>
      <c r="N29" s="159">
        <f t="shared" si="3"/>
        <v>225142.17</v>
      </c>
      <c r="O29" s="53">
        <f t="shared" si="6"/>
        <v>0.17</v>
      </c>
    </row>
    <row r="30" spans="1:16" ht="17.100000000000001" customHeight="1" x14ac:dyDescent="0.3">
      <c r="A30" s="150">
        <v>18</v>
      </c>
      <c r="B30" s="118" t="s">
        <v>20</v>
      </c>
      <c r="C30" s="119"/>
      <c r="D30" s="120">
        <v>1.1200000000000001</v>
      </c>
      <c r="E30" s="87">
        <v>175598.18</v>
      </c>
      <c r="F30" s="87">
        <f>E30</f>
        <v>175598.18</v>
      </c>
      <c r="G30" s="121">
        <f t="shared" si="0"/>
        <v>0</v>
      </c>
      <c r="H30" s="121">
        <f t="shared" si="4"/>
        <v>0</v>
      </c>
      <c r="I30" s="145">
        <f t="shared" si="1"/>
        <v>149097.46950000001</v>
      </c>
      <c r="J30" s="145">
        <f t="shared" si="2"/>
        <v>33600.000000000007</v>
      </c>
      <c r="K30" s="145"/>
      <c r="L30" s="171"/>
      <c r="M30" s="89">
        <f t="shared" si="5"/>
        <v>182697.18</v>
      </c>
      <c r="N30" s="161">
        <f t="shared" si="3"/>
        <v>188178.18</v>
      </c>
      <c r="O30" s="53">
        <f t="shared" si="6"/>
        <v>0.18000000000000002</v>
      </c>
    </row>
    <row r="31" spans="1:16" x14ac:dyDescent="0.3">
      <c r="A31" s="150">
        <v>19</v>
      </c>
      <c r="B31" s="118" t="s">
        <v>21</v>
      </c>
      <c r="C31" s="90"/>
      <c r="D31" s="85">
        <v>1.17</v>
      </c>
      <c r="E31" s="86">
        <v>168363.19</v>
      </c>
      <c r="F31" s="87">
        <f>199115.19-E112+456</f>
        <v>168363.19</v>
      </c>
      <c r="G31" s="88">
        <f t="shared" si="0"/>
        <v>0</v>
      </c>
      <c r="H31" s="88">
        <f t="shared" si="4"/>
        <v>0</v>
      </c>
      <c r="I31" s="143">
        <f t="shared" si="1"/>
        <v>155753.60653125</v>
      </c>
      <c r="J31" s="143">
        <f t="shared" si="2"/>
        <v>35100</v>
      </c>
      <c r="K31" s="143"/>
      <c r="L31" s="169"/>
      <c r="M31" s="89">
        <f t="shared" si="5"/>
        <v>190854.19</v>
      </c>
      <c r="N31" s="159">
        <f t="shared" si="3"/>
        <v>196580.19</v>
      </c>
      <c r="O31" s="53">
        <f>O30+0.01</f>
        <v>0.19000000000000003</v>
      </c>
      <c r="P31" t="s">
        <v>161</v>
      </c>
    </row>
    <row r="32" spans="1:16" x14ac:dyDescent="0.3">
      <c r="A32" s="151">
        <v>20</v>
      </c>
      <c r="B32" s="146" t="s">
        <v>22</v>
      </c>
      <c r="C32" s="131"/>
      <c r="D32" s="132">
        <v>1.35</v>
      </c>
      <c r="E32" s="133">
        <v>748078.2</v>
      </c>
      <c r="F32" s="133">
        <v>330000</v>
      </c>
      <c r="G32" s="134">
        <f t="shared" si="0"/>
        <v>418078.19999999995</v>
      </c>
      <c r="H32" s="134"/>
      <c r="I32" s="147">
        <f t="shared" si="1"/>
        <v>179715.69984374999</v>
      </c>
      <c r="J32" s="147">
        <f t="shared" si="2"/>
        <v>40500.000000000007</v>
      </c>
      <c r="K32" s="147"/>
      <c r="L32" s="172">
        <v>123300</v>
      </c>
      <c r="M32" s="135">
        <f t="shared" si="5"/>
        <v>761594.2</v>
      </c>
      <c r="N32" s="162">
        <f t="shared" si="3"/>
        <v>784442.2</v>
      </c>
      <c r="O32" s="53">
        <f t="shared" ref="O32:O95" si="7">O31+0.01</f>
        <v>0.20000000000000004</v>
      </c>
      <c r="P32" t="s">
        <v>254</v>
      </c>
    </row>
    <row r="33" spans="1:16" x14ac:dyDescent="0.3">
      <c r="A33" s="150">
        <v>21</v>
      </c>
      <c r="B33" s="124" t="s">
        <v>23</v>
      </c>
      <c r="C33" s="123"/>
      <c r="D33" s="120">
        <v>1.1200000000000001</v>
      </c>
      <c r="E33" s="87">
        <v>175598.21</v>
      </c>
      <c r="F33" s="87">
        <f>E33</f>
        <v>175598.21</v>
      </c>
      <c r="G33" s="121">
        <f t="shared" si="0"/>
        <v>0</v>
      </c>
      <c r="H33" s="121">
        <f t="shared" si="4"/>
        <v>0</v>
      </c>
      <c r="I33" s="145">
        <f t="shared" si="1"/>
        <v>149097.46950000001</v>
      </c>
      <c r="J33" s="145">
        <f t="shared" si="2"/>
        <v>33600.000000000007</v>
      </c>
      <c r="K33" s="145"/>
      <c r="L33" s="171"/>
      <c r="M33" s="89">
        <f t="shared" si="5"/>
        <v>182697.21</v>
      </c>
      <c r="N33" s="161">
        <f t="shared" si="3"/>
        <v>188178.21</v>
      </c>
      <c r="O33" s="53">
        <f t="shared" si="7"/>
        <v>0.21000000000000005</v>
      </c>
    </row>
    <row r="34" spans="1:16" x14ac:dyDescent="0.3">
      <c r="A34" s="150">
        <f>A33+1</f>
        <v>22</v>
      </c>
      <c r="B34" s="124" t="s">
        <v>187</v>
      </c>
      <c r="C34" s="90"/>
      <c r="D34" s="85">
        <v>0.82</v>
      </c>
      <c r="E34" s="86">
        <v>124966.22</v>
      </c>
      <c r="F34" s="87">
        <v>130000.22</v>
      </c>
      <c r="G34" s="88">
        <f t="shared" si="0"/>
        <v>-5034</v>
      </c>
      <c r="H34" s="88">
        <f t="shared" si="4"/>
        <v>0</v>
      </c>
      <c r="I34" s="143">
        <f t="shared" si="1"/>
        <v>109160.64731249999</v>
      </c>
      <c r="J34" s="143">
        <f t="shared" si="2"/>
        <v>24600</v>
      </c>
      <c r="K34" s="143"/>
      <c r="L34" s="169"/>
      <c r="M34" s="89">
        <f t="shared" si="5"/>
        <v>128727.22</v>
      </c>
      <c r="N34" s="159">
        <f t="shared" ref="N34:N97" si="8">ROUND(M34*3%,0) + M34</f>
        <v>132589.22</v>
      </c>
      <c r="O34" s="53">
        <f t="shared" si="7"/>
        <v>0.22000000000000006</v>
      </c>
    </row>
    <row r="35" spans="1:16" x14ac:dyDescent="0.3">
      <c r="A35" s="148">
        <f t="shared" ref="A35:A98" si="9">A34+1</f>
        <v>23</v>
      </c>
      <c r="B35" s="91" t="s">
        <v>24</v>
      </c>
      <c r="C35" s="90"/>
      <c r="D35" s="85">
        <v>0.82</v>
      </c>
      <c r="E35" s="86">
        <v>124855.23</v>
      </c>
      <c r="F35" s="87">
        <f>E35</f>
        <v>124855.23</v>
      </c>
      <c r="G35" s="88">
        <f t="shared" si="0"/>
        <v>0</v>
      </c>
      <c r="H35" s="88">
        <f t="shared" si="4"/>
        <v>0</v>
      </c>
      <c r="I35" s="143">
        <f t="shared" si="1"/>
        <v>109160.64731249999</v>
      </c>
      <c r="J35" s="143">
        <f t="shared" si="2"/>
        <v>24600</v>
      </c>
      <c r="K35" s="143"/>
      <c r="L35" s="169"/>
      <c r="M35" s="89">
        <f t="shared" si="5"/>
        <v>133761.23000000001</v>
      </c>
      <c r="N35" s="159">
        <f t="shared" si="8"/>
        <v>137774.23000000001</v>
      </c>
      <c r="O35" s="53">
        <f t="shared" si="7"/>
        <v>0.23000000000000007</v>
      </c>
    </row>
    <row r="36" spans="1:16" x14ac:dyDescent="0.3">
      <c r="A36" s="148">
        <f t="shared" si="9"/>
        <v>24</v>
      </c>
      <c r="B36" s="91" t="s">
        <v>25</v>
      </c>
      <c r="C36" s="90"/>
      <c r="D36" s="85">
        <v>1.34</v>
      </c>
      <c r="E36" s="86">
        <v>216393.24</v>
      </c>
      <c r="F36" s="87">
        <f>E36</f>
        <v>216393.24</v>
      </c>
      <c r="G36" s="88">
        <f t="shared" si="0"/>
        <v>0</v>
      </c>
      <c r="H36" s="88">
        <f t="shared" si="4"/>
        <v>0</v>
      </c>
      <c r="I36" s="143">
        <f t="shared" si="1"/>
        <v>178384.47243750002</v>
      </c>
      <c r="J36" s="143">
        <f t="shared" si="2"/>
        <v>40200.000000000007</v>
      </c>
      <c r="K36" s="143"/>
      <c r="L36" s="169"/>
      <c r="M36" s="89">
        <f t="shared" si="5"/>
        <v>218584.24</v>
      </c>
      <c r="N36" s="159">
        <f t="shared" si="8"/>
        <v>225142.24</v>
      </c>
      <c r="O36" s="53">
        <f t="shared" si="7"/>
        <v>0.24000000000000007</v>
      </c>
    </row>
    <row r="37" spans="1:16" x14ac:dyDescent="0.3">
      <c r="A37" s="148">
        <f t="shared" si="9"/>
        <v>25</v>
      </c>
      <c r="B37" s="91" t="s">
        <v>26</v>
      </c>
      <c r="C37" s="90"/>
      <c r="D37" s="85">
        <v>1.1200000000000001</v>
      </c>
      <c r="E37" s="86">
        <v>509323.25</v>
      </c>
      <c r="F37" s="87"/>
      <c r="G37" s="88">
        <f t="shared" si="0"/>
        <v>509323.25</v>
      </c>
      <c r="H37" s="88">
        <f t="shared" si="4"/>
        <v>15279.6975</v>
      </c>
      <c r="I37" s="143">
        <f t="shared" si="1"/>
        <v>149097.46950000001</v>
      </c>
      <c r="J37" s="143">
        <f t="shared" si="2"/>
        <v>33600.000000000007</v>
      </c>
      <c r="K37" s="143"/>
      <c r="L37" s="169"/>
      <c r="M37" s="89">
        <f t="shared" si="5"/>
        <v>707300.25</v>
      </c>
      <c r="N37" s="159">
        <f t="shared" si="8"/>
        <v>728519.25</v>
      </c>
      <c r="O37" s="53">
        <f t="shared" si="7"/>
        <v>0.25000000000000006</v>
      </c>
    </row>
    <row r="38" spans="1:16" x14ac:dyDescent="0.3">
      <c r="A38" s="148">
        <f t="shared" si="9"/>
        <v>26</v>
      </c>
      <c r="B38" s="91" t="s">
        <v>27</v>
      </c>
      <c r="C38" s="90"/>
      <c r="D38" s="85">
        <v>1.17</v>
      </c>
      <c r="E38" s="86">
        <v>178146.26</v>
      </c>
      <c r="F38" s="87">
        <f>E38</f>
        <v>178146.26</v>
      </c>
      <c r="G38" s="88">
        <f t="shared" si="0"/>
        <v>0</v>
      </c>
      <c r="H38" s="88">
        <f t="shared" si="4"/>
        <v>0</v>
      </c>
      <c r="I38" s="143">
        <f t="shared" si="1"/>
        <v>155753.60653125</v>
      </c>
      <c r="J38" s="143">
        <f t="shared" si="2"/>
        <v>35100</v>
      </c>
      <c r="K38" s="143"/>
      <c r="L38" s="169"/>
      <c r="M38" s="89">
        <f t="shared" si="5"/>
        <v>190854.26</v>
      </c>
      <c r="N38" s="159">
        <f t="shared" si="8"/>
        <v>196580.26</v>
      </c>
      <c r="O38" s="53">
        <f t="shared" si="7"/>
        <v>0.26000000000000006</v>
      </c>
    </row>
    <row r="39" spans="1:16" x14ac:dyDescent="0.3">
      <c r="A39" s="148">
        <f t="shared" si="9"/>
        <v>27</v>
      </c>
      <c r="B39" s="91" t="s">
        <v>28</v>
      </c>
      <c r="C39" s="90"/>
      <c r="D39" s="85">
        <v>1.35</v>
      </c>
      <c r="E39" s="86">
        <v>261658.27</v>
      </c>
      <c r="F39" s="87">
        <f>E39</f>
        <v>261658.27</v>
      </c>
      <c r="G39" s="88">
        <f t="shared" si="0"/>
        <v>0</v>
      </c>
      <c r="H39" s="88">
        <f t="shared" si="4"/>
        <v>0</v>
      </c>
      <c r="I39" s="143">
        <f t="shared" si="1"/>
        <v>179715.69984374999</v>
      </c>
      <c r="J39" s="143">
        <f t="shared" si="2"/>
        <v>40500.000000000007</v>
      </c>
      <c r="K39" s="143">
        <v>50000</v>
      </c>
      <c r="L39" s="169"/>
      <c r="M39" s="89">
        <f t="shared" si="5"/>
        <v>270216.27</v>
      </c>
      <c r="N39" s="159">
        <f t="shared" si="8"/>
        <v>278322.27</v>
      </c>
      <c r="O39" s="53">
        <f t="shared" si="7"/>
        <v>0.27000000000000007</v>
      </c>
    </row>
    <row r="40" spans="1:16" x14ac:dyDescent="0.3">
      <c r="A40" s="148">
        <f t="shared" si="9"/>
        <v>28</v>
      </c>
      <c r="B40" s="91" t="s">
        <v>29</v>
      </c>
      <c r="C40" s="90"/>
      <c r="D40" s="85">
        <v>1.1200000000000001</v>
      </c>
      <c r="E40" s="86">
        <v>170680.28</v>
      </c>
      <c r="F40" s="87"/>
      <c r="G40" s="88">
        <f t="shared" si="0"/>
        <v>170680.28</v>
      </c>
      <c r="H40" s="88">
        <f t="shared" si="4"/>
        <v>5120.4083999999993</v>
      </c>
      <c r="I40" s="143">
        <f t="shared" si="1"/>
        <v>149097.46950000001</v>
      </c>
      <c r="J40" s="143">
        <f t="shared" si="2"/>
        <v>33600.000000000007</v>
      </c>
      <c r="K40" s="143"/>
      <c r="L40" s="169"/>
      <c r="M40" s="89">
        <f t="shared" si="5"/>
        <v>358498.28</v>
      </c>
      <c r="N40" s="159">
        <f t="shared" si="8"/>
        <v>369253.28</v>
      </c>
      <c r="O40" s="53">
        <f t="shared" si="7"/>
        <v>0.28000000000000008</v>
      </c>
    </row>
    <row r="41" spans="1:16" x14ac:dyDescent="0.3">
      <c r="A41" s="150">
        <f t="shared" si="9"/>
        <v>29</v>
      </c>
      <c r="B41" s="124" t="s">
        <v>30</v>
      </c>
      <c r="C41" s="123"/>
      <c r="D41" s="120">
        <v>0.82</v>
      </c>
      <c r="E41" s="87">
        <v>128563.29</v>
      </c>
      <c r="F41" s="87">
        <f>E41</f>
        <v>128563.29</v>
      </c>
      <c r="G41" s="121">
        <f t="shared" si="0"/>
        <v>0</v>
      </c>
      <c r="H41" s="121">
        <f t="shared" si="4"/>
        <v>0</v>
      </c>
      <c r="I41" s="145">
        <f t="shared" si="1"/>
        <v>109160.64731249999</v>
      </c>
      <c r="J41" s="145">
        <f t="shared" si="2"/>
        <v>24600</v>
      </c>
      <c r="K41" s="145"/>
      <c r="L41" s="171"/>
      <c r="M41" s="89">
        <f t="shared" si="5"/>
        <v>133761.29</v>
      </c>
      <c r="N41" s="161">
        <f t="shared" si="8"/>
        <v>137774.29</v>
      </c>
      <c r="O41" s="53">
        <f t="shared" si="7"/>
        <v>0.29000000000000009</v>
      </c>
      <c r="P41" t="s">
        <v>156</v>
      </c>
    </row>
    <row r="42" spans="1:16" x14ac:dyDescent="0.3">
      <c r="A42" s="202">
        <f t="shared" si="9"/>
        <v>30</v>
      </c>
      <c r="B42" s="203" t="s">
        <v>31</v>
      </c>
      <c r="C42" s="204"/>
      <c r="D42" s="205">
        <v>0.82</v>
      </c>
      <c r="E42" s="196">
        <v>128431.3</v>
      </c>
      <c r="F42" s="196">
        <v>132300</v>
      </c>
      <c r="G42" s="206">
        <f t="shared" si="0"/>
        <v>-3868.6999999999971</v>
      </c>
      <c r="H42" s="206">
        <f t="shared" si="4"/>
        <v>0</v>
      </c>
      <c r="I42" s="207">
        <f t="shared" si="1"/>
        <v>109160.64731249999</v>
      </c>
      <c r="J42" s="207">
        <f t="shared" si="2"/>
        <v>24600</v>
      </c>
      <c r="K42" s="207"/>
      <c r="L42" s="208"/>
      <c r="M42" s="200">
        <f t="shared" si="5"/>
        <v>129892.3</v>
      </c>
      <c r="N42" s="201">
        <f t="shared" si="8"/>
        <v>133789.29999999999</v>
      </c>
      <c r="O42" s="53">
        <f t="shared" si="7"/>
        <v>0.3000000000000001</v>
      </c>
    </row>
    <row r="43" spans="1:16" x14ac:dyDescent="0.3">
      <c r="A43" s="148">
        <f t="shared" si="9"/>
        <v>31</v>
      </c>
      <c r="B43" s="91" t="s">
        <v>32</v>
      </c>
      <c r="C43" s="90"/>
      <c r="D43" s="85">
        <v>1.34</v>
      </c>
      <c r="E43" s="86">
        <v>210090.31</v>
      </c>
      <c r="F43" s="87">
        <f>E43</f>
        <v>210090.31</v>
      </c>
      <c r="G43" s="88">
        <f t="shared" si="0"/>
        <v>0</v>
      </c>
      <c r="H43" s="88">
        <f t="shared" si="4"/>
        <v>0</v>
      </c>
      <c r="I43" s="143">
        <f t="shared" si="1"/>
        <v>178384.47243750002</v>
      </c>
      <c r="J43" s="143">
        <f t="shared" si="2"/>
        <v>40200.000000000007</v>
      </c>
      <c r="K43" s="143"/>
      <c r="L43" s="169"/>
      <c r="M43" s="89">
        <f t="shared" si="5"/>
        <v>218584.31</v>
      </c>
      <c r="N43" s="159">
        <f t="shared" si="8"/>
        <v>225142.31</v>
      </c>
      <c r="O43" s="53">
        <f t="shared" si="7"/>
        <v>0.31000000000000011</v>
      </c>
    </row>
    <row r="44" spans="1:16" x14ac:dyDescent="0.3">
      <c r="A44" s="148">
        <f t="shared" si="9"/>
        <v>32</v>
      </c>
      <c r="B44" s="91" t="s">
        <v>33</v>
      </c>
      <c r="C44" s="90"/>
      <c r="D44" s="85">
        <v>1.1200000000000001</v>
      </c>
      <c r="E44" s="86">
        <v>347920.32</v>
      </c>
      <c r="F44" s="87"/>
      <c r="G44" s="88">
        <f t="shared" si="0"/>
        <v>347920.32</v>
      </c>
      <c r="H44" s="88">
        <f t="shared" si="4"/>
        <v>10437.6096</v>
      </c>
      <c r="I44" s="143">
        <f t="shared" si="1"/>
        <v>149097.46950000001</v>
      </c>
      <c r="J44" s="143">
        <f t="shared" si="2"/>
        <v>33600.000000000007</v>
      </c>
      <c r="K44" s="143"/>
      <c r="L44" s="169"/>
      <c r="M44" s="89">
        <f t="shared" si="5"/>
        <v>541055.31999999995</v>
      </c>
      <c r="N44" s="159">
        <f t="shared" si="8"/>
        <v>557287.31999999995</v>
      </c>
      <c r="O44" s="53">
        <f t="shared" si="7"/>
        <v>0.32000000000000012</v>
      </c>
    </row>
    <row r="45" spans="1:16" x14ac:dyDescent="0.3">
      <c r="A45" s="151">
        <f t="shared" si="9"/>
        <v>33</v>
      </c>
      <c r="B45" s="130" t="s">
        <v>34</v>
      </c>
      <c r="C45" s="131"/>
      <c r="D45" s="132">
        <v>1.17</v>
      </c>
      <c r="E45" s="133">
        <v>353437.33</v>
      </c>
      <c r="F45" s="133">
        <f>E45</f>
        <v>353437.33</v>
      </c>
      <c r="G45" s="134">
        <f t="shared" si="0"/>
        <v>0</v>
      </c>
      <c r="H45" s="134"/>
      <c r="I45" s="147">
        <f t="shared" ref="I45:I76" si="10">J$2*D45/100</f>
        <v>155753.60653125</v>
      </c>
      <c r="J45" s="147">
        <f t="shared" ref="J45:J76" si="11">E$2*D45/100</f>
        <v>35100</v>
      </c>
      <c r="K45" s="147"/>
      <c r="L45" s="172">
        <v>170000</v>
      </c>
      <c r="M45" s="135">
        <f t="shared" si="5"/>
        <v>360854.33</v>
      </c>
      <c r="N45" s="162">
        <f t="shared" si="8"/>
        <v>371680.33</v>
      </c>
      <c r="O45" s="53">
        <f t="shared" si="7"/>
        <v>0.33000000000000013</v>
      </c>
      <c r="P45" t="s">
        <v>242</v>
      </c>
    </row>
    <row r="46" spans="1:16" x14ac:dyDescent="0.3">
      <c r="A46" s="148">
        <f t="shared" si="9"/>
        <v>34</v>
      </c>
      <c r="B46" s="91" t="s">
        <v>35</v>
      </c>
      <c r="C46" s="90"/>
      <c r="D46" s="85">
        <v>1.35</v>
      </c>
      <c r="E46" s="86">
        <v>211658.34</v>
      </c>
      <c r="F46" s="87">
        <f>E46</f>
        <v>211658.34</v>
      </c>
      <c r="G46" s="88">
        <f t="shared" si="0"/>
        <v>0</v>
      </c>
      <c r="H46" s="88">
        <f t="shared" si="4"/>
        <v>0</v>
      </c>
      <c r="I46" s="143">
        <f t="shared" si="10"/>
        <v>179715.69984374999</v>
      </c>
      <c r="J46" s="143">
        <f t="shared" si="11"/>
        <v>40500.000000000007</v>
      </c>
      <c r="K46" s="143"/>
      <c r="L46" s="169"/>
      <c r="M46" s="89">
        <f t="shared" si="5"/>
        <v>220216.34</v>
      </c>
      <c r="N46" s="159">
        <f t="shared" si="8"/>
        <v>226822.34</v>
      </c>
      <c r="O46" s="53">
        <f t="shared" si="7"/>
        <v>0.34000000000000014</v>
      </c>
    </row>
    <row r="47" spans="1:16" x14ac:dyDescent="0.3">
      <c r="A47" s="192">
        <f t="shared" si="9"/>
        <v>35</v>
      </c>
      <c r="B47" s="193" t="s">
        <v>36</v>
      </c>
      <c r="C47" s="194"/>
      <c r="D47" s="195">
        <v>1.1200000000000001</v>
      </c>
      <c r="E47" s="196">
        <v>148450.35</v>
      </c>
      <c r="F47" s="196">
        <f>73000+75000</f>
        <v>148000</v>
      </c>
      <c r="G47" s="197">
        <f t="shared" si="0"/>
        <v>450.35000000000582</v>
      </c>
      <c r="H47" s="197">
        <f t="shared" si="4"/>
        <v>13.510500000000174</v>
      </c>
      <c r="I47" s="198">
        <f t="shared" si="10"/>
        <v>149097.46950000001</v>
      </c>
      <c r="J47" s="198">
        <f t="shared" si="11"/>
        <v>33600.000000000007</v>
      </c>
      <c r="K47" s="198"/>
      <c r="L47" s="199"/>
      <c r="M47" s="200">
        <f t="shared" si="5"/>
        <v>183161.35</v>
      </c>
      <c r="N47" s="201">
        <f t="shared" si="8"/>
        <v>188656.35</v>
      </c>
      <c r="O47" s="53">
        <f t="shared" si="7"/>
        <v>0.35000000000000014</v>
      </c>
      <c r="P47" t="s">
        <v>158</v>
      </c>
    </row>
    <row r="48" spans="1:16" x14ac:dyDescent="0.3">
      <c r="A48" s="148">
        <f t="shared" si="9"/>
        <v>36</v>
      </c>
      <c r="B48" s="91" t="s">
        <v>37</v>
      </c>
      <c r="C48" s="90"/>
      <c r="D48" s="85">
        <v>0.82</v>
      </c>
      <c r="E48" s="86">
        <v>128563.36</v>
      </c>
      <c r="F48" s="87">
        <f>E48</f>
        <v>128563.36</v>
      </c>
      <c r="G48" s="88">
        <f t="shared" si="0"/>
        <v>0</v>
      </c>
      <c r="H48" s="88">
        <f t="shared" si="4"/>
        <v>0</v>
      </c>
      <c r="I48" s="143">
        <f t="shared" si="10"/>
        <v>109160.64731249999</v>
      </c>
      <c r="J48" s="143">
        <f t="shared" si="11"/>
        <v>24600</v>
      </c>
      <c r="K48" s="143"/>
      <c r="L48" s="169"/>
      <c r="M48" s="89">
        <f t="shared" si="5"/>
        <v>133761.35999999999</v>
      </c>
      <c r="N48" s="159">
        <f t="shared" si="8"/>
        <v>137774.35999999999</v>
      </c>
      <c r="O48" s="53">
        <f t="shared" si="7"/>
        <v>0.36000000000000015</v>
      </c>
      <c r="P48" t="s">
        <v>162</v>
      </c>
    </row>
    <row r="49" spans="1:16" x14ac:dyDescent="0.3">
      <c r="A49" s="148">
        <f t="shared" si="9"/>
        <v>37</v>
      </c>
      <c r="B49" s="91" t="s">
        <v>38</v>
      </c>
      <c r="C49" s="90"/>
      <c r="D49" s="85">
        <v>0.82</v>
      </c>
      <c r="E49" s="87">
        <v>128563.37</v>
      </c>
      <c r="F49" s="87"/>
      <c r="G49" s="88">
        <f t="shared" si="0"/>
        <v>128563.37</v>
      </c>
      <c r="H49" s="88">
        <f t="shared" si="4"/>
        <v>3856.9010999999996</v>
      </c>
      <c r="I49" s="143">
        <f t="shared" si="10"/>
        <v>109160.64731249999</v>
      </c>
      <c r="J49" s="143">
        <f t="shared" si="11"/>
        <v>24600</v>
      </c>
      <c r="K49" s="143"/>
      <c r="L49" s="169"/>
      <c r="M49" s="89">
        <f t="shared" si="5"/>
        <v>266181.37</v>
      </c>
      <c r="N49" s="159">
        <f t="shared" si="8"/>
        <v>274166.37</v>
      </c>
      <c r="O49" s="53">
        <f t="shared" si="7"/>
        <v>0.37000000000000016</v>
      </c>
    </row>
    <row r="50" spans="1:16" x14ac:dyDescent="0.3">
      <c r="A50" s="148">
        <f t="shared" si="9"/>
        <v>38</v>
      </c>
      <c r="B50" s="91" t="s">
        <v>39</v>
      </c>
      <c r="C50" s="90"/>
      <c r="D50" s="85">
        <v>1.34</v>
      </c>
      <c r="E50" s="86">
        <v>626024.38</v>
      </c>
      <c r="F50" s="87">
        <f>195940.3*3</f>
        <v>587820.89999999991</v>
      </c>
      <c r="G50" s="88">
        <f t="shared" si="0"/>
        <v>38203.480000000098</v>
      </c>
      <c r="H50" s="88">
        <f t="shared" si="4"/>
        <v>1146.1044000000029</v>
      </c>
      <c r="I50" s="143">
        <f t="shared" si="10"/>
        <v>178384.47243750002</v>
      </c>
      <c r="J50" s="143">
        <f t="shared" si="11"/>
        <v>40200.000000000007</v>
      </c>
      <c r="K50" s="143"/>
      <c r="L50" s="169"/>
      <c r="M50" s="89">
        <f t="shared" si="5"/>
        <v>257934.38</v>
      </c>
      <c r="N50" s="159">
        <f t="shared" si="8"/>
        <v>265672.38</v>
      </c>
      <c r="O50" s="53">
        <f t="shared" si="7"/>
        <v>0.38000000000000017</v>
      </c>
      <c r="P50" t="s">
        <v>245</v>
      </c>
    </row>
    <row r="51" spans="1:16" x14ac:dyDescent="0.3">
      <c r="A51" s="148">
        <f t="shared" si="9"/>
        <v>39</v>
      </c>
      <c r="B51" s="91" t="s">
        <v>40</v>
      </c>
      <c r="C51" s="90"/>
      <c r="D51" s="85">
        <v>1.1200000000000001</v>
      </c>
      <c r="E51" s="86">
        <v>175598.39</v>
      </c>
      <c r="F51" s="87"/>
      <c r="G51" s="88">
        <f t="shared" si="0"/>
        <v>175598.39</v>
      </c>
      <c r="H51" s="88">
        <f t="shared" si="4"/>
        <v>5267.9517000000005</v>
      </c>
      <c r="I51" s="143">
        <f t="shared" si="10"/>
        <v>149097.46950000001</v>
      </c>
      <c r="J51" s="143">
        <f t="shared" si="11"/>
        <v>33600.000000000007</v>
      </c>
      <c r="K51" s="143"/>
      <c r="L51" s="169"/>
      <c r="M51" s="89">
        <f t="shared" si="5"/>
        <v>363564.39</v>
      </c>
      <c r="N51" s="159">
        <f t="shared" si="8"/>
        <v>374471.39</v>
      </c>
      <c r="O51" s="53">
        <f t="shared" si="7"/>
        <v>0.39000000000000018</v>
      </c>
    </row>
    <row r="52" spans="1:16" x14ac:dyDescent="0.3">
      <c r="A52" s="148">
        <f t="shared" si="9"/>
        <v>40</v>
      </c>
      <c r="B52" s="91" t="s">
        <v>41</v>
      </c>
      <c r="C52" s="90"/>
      <c r="D52" s="85">
        <v>1.17</v>
      </c>
      <c r="E52" s="86">
        <v>744945.4</v>
      </c>
      <c r="F52" s="87"/>
      <c r="G52" s="88">
        <f t="shared" si="0"/>
        <v>744945.4</v>
      </c>
      <c r="H52" s="88">
        <f t="shared" si="4"/>
        <v>22348.362000000001</v>
      </c>
      <c r="I52" s="143">
        <f t="shared" si="10"/>
        <v>155753.60653125</v>
      </c>
      <c r="J52" s="143">
        <f t="shared" si="11"/>
        <v>35100</v>
      </c>
      <c r="K52" s="143"/>
      <c r="L52" s="169"/>
      <c r="M52" s="89">
        <f t="shared" si="5"/>
        <v>958147.4</v>
      </c>
      <c r="N52" s="159">
        <f t="shared" si="8"/>
        <v>986891.4</v>
      </c>
      <c r="O52" s="53">
        <f t="shared" si="7"/>
        <v>0.40000000000000019</v>
      </c>
    </row>
    <row r="53" spans="1:16" x14ac:dyDescent="0.3">
      <c r="A53" s="148">
        <f t="shared" si="9"/>
        <v>41</v>
      </c>
      <c r="B53" s="91" t="s">
        <v>42</v>
      </c>
      <c r="C53" s="90"/>
      <c r="D53" s="85">
        <v>1.35</v>
      </c>
      <c r="E53" s="86">
        <v>205736.41</v>
      </c>
      <c r="F53" s="87">
        <f>E53</f>
        <v>205736.41</v>
      </c>
      <c r="G53" s="88">
        <f t="shared" si="0"/>
        <v>0</v>
      </c>
      <c r="H53" s="88">
        <f t="shared" si="4"/>
        <v>0</v>
      </c>
      <c r="I53" s="143">
        <f t="shared" si="10"/>
        <v>179715.69984374999</v>
      </c>
      <c r="J53" s="143">
        <f t="shared" si="11"/>
        <v>40500.000000000007</v>
      </c>
      <c r="K53" s="143"/>
      <c r="L53" s="169"/>
      <c r="M53" s="89">
        <f t="shared" si="5"/>
        <v>220216.41</v>
      </c>
      <c r="N53" s="159">
        <f t="shared" si="8"/>
        <v>226822.41</v>
      </c>
      <c r="O53" s="53">
        <f t="shared" si="7"/>
        <v>0.4100000000000002</v>
      </c>
    </row>
    <row r="54" spans="1:16" x14ac:dyDescent="0.3">
      <c r="A54" s="151">
        <f t="shared" si="9"/>
        <v>42</v>
      </c>
      <c r="B54" s="130" t="s">
        <v>43</v>
      </c>
      <c r="C54" s="131"/>
      <c r="D54" s="132">
        <v>1.1200000000000001</v>
      </c>
      <c r="E54" s="133">
        <v>208598.42</v>
      </c>
      <c r="F54" s="133">
        <f>E54</f>
        <v>208598.42</v>
      </c>
      <c r="G54" s="134">
        <f t="shared" si="0"/>
        <v>0</v>
      </c>
      <c r="H54" s="134"/>
      <c r="I54" s="147">
        <f t="shared" si="10"/>
        <v>149097.46950000001</v>
      </c>
      <c r="J54" s="147">
        <f t="shared" si="11"/>
        <v>33600.000000000007</v>
      </c>
      <c r="K54" s="147"/>
      <c r="L54" s="172">
        <v>33000</v>
      </c>
      <c r="M54" s="135">
        <f t="shared" si="5"/>
        <v>215697.42</v>
      </c>
      <c r="N54" s="162">
        <f t="shared" si="8"/>
        <v>222168.42</v>
      </c>
      <c r="O54" s="53">
        <f t="shared" si="7"/>
        <v>0.42000000000000021</v>
      </c>
      <c r="P54" t="s">
        <v>252</v>
      </c>
    </row>
    <row r="55" spans="1:16" x14ac:dyDescent="0.3">
      <c r="A55" s="151">
        <f t="shared" si="9"/>
        <v>43</v>
      </c>
      <c r="B55" s="130" t="s">
        <v>101</v>
      </c>
      <c r="C55" s="131"/>
      <c r="D55" s="132">
        <v>0.82</v>
      </c>
      <c r="E55" s="188">
        <v>428563.43</v>
      </c>
      <c r="F55" s="133">
        <f>E55</f>
        <v>428563.43</v>
      </c>
      <c r="G55" s="134">
        <f t="shared" si="0"/>
        <v>0</v>
      </c>
      <c r="H55" s="134">
        <f t="shared" si="4"/>
        <v>0</v>
      </c>
      <c r="I55" s="147">
        <f t="shared" si="10"/>
        <v>109160.64731249999</v>
      </c>
      <c r="J55" s="147">
        <f t="shared" si="11"/>
        <v>24600</v>
      </c>
      <c r="K55" s="147"/>
      <c r="L55" s="172">
        <v>300000</v>
      </c>
      <c r="M55" s="135">
        <f>ROUND(SUM(G55:L55),0) + O55</f>
        <v>433761.43</v>
      </c>
      <c r="N55" s="162">
        <f t="shared" si="8"/>
        <v>446774.43</v>
      </c>
      <c r="O55" s="53">
        <f t="shared" si="7"/>
        <v>0.43000000000000022</v>
      </c>
      <c r="P55" t="s">
        <v>241</v>
      </c>
    </row>
    <row r="56" spans="1:16" x14ac:dyDescent="0.3">
      <c r="A56" s="148">
        <f t="shared" si="9"/>
        <v>44</v>
      </c>
      <c r="B56" s="91" t="s">
        <v>44</v>
      </c>
      <c r="C56" s="90"/>
      <c r="D56" s="85">
        <v>0.82</v>
      </c>
      <c r="E56" s="86">
        <v>132420.44</v>
      </c>
      <c r="F56" s="87">
        <f>E56+9</f>
        <v>132429.44</v>
      </c>
      <c r="G56" s="88">
        <f t="shared" si="0"/>
        <v>-9</v>
      </c>
      <c r="H56" s="88">
        <f t="shared" si="4"/>
        <v>0</v>
      </c>
      <c r="I56" s="143">
        <f t="shared" si="10"/>
        <v>109160.64731249999</v>
      </c>
      <c r="J56" s="143">
        <f t="shared" si="11"/>
        <v>24600</v>
      </c>
      <c r="K56" s="143"/>
      <c r="L56" s="169"/>
      <c r="M56" s="89">
        <f t="shared" si="5"/>
        <v>133752.44</v>
      </c>
      <c r="N56" s="159">
        <f t="shared" si="8"/>
        <v>137765.44</v>
      </c>
      <c r="O56" s="53">
        <f t="shared" si="7"/>
        <v>0.44000000000000022</v>
      </c>
    </row>
    <row r="57" spans="1:16" x14ac:dyDescent="0.3">
      <c r="A57" s="148">
        <f t="shared" si="9"/>
        <v>45</v>
      </c>
      <c r="B57" s="91" t="s">
        <v>45</v>
      </c>
      <c r="C57" s="90"/>
      <c r="D57" s="85">
        <v>1.34</v>
      </c>
      <c r="E57" s="86">
        <v>210090.45</v>
      </c>
      <c r="F57" s="87">
        <f>E57</f>
        <v>210090.45</v>
      </c>
      <c r="G57" s="88">
        <f t="shared" si="0"/>
        <v>0</v>
      </c>
      <c r="H57" s="88">
        <f t="shared" si="4"/>
        <v>0</v>
      </c>
      <c r="I57" s="143">
        <f t="shared" si="10"/>
        <v>178384.47243750002</v>
      </c>
      <c r="J57" s="143">
        <f t="shared" si="11"/>
        <v>40200.000000000007</v>
      </c>
      <c r="K57" s="143"/>
      <c r="L57" s="169"/>
      <c r="M57" s="89">
        <f t="shared" si="5"/>
        <v>218584.45</v>
      </c>
      <c r="N57" s="159">
        <f t="shared" si="8"/>
        <v>225142.45</v>
      </c>
      <c r="O57" s="53">
        <f t="shared" si="7"/>
        <v>0.45000000000000023</v>
      </c>
    </row>
    <row r="58" spans="1:16" x14ac:dyDescent="0.3">
      <c r="A58" s="231">
        <f t="shared" si="9"/>
        <v>46</v>
      </c>
      <c r="B58" s="232" t="s">
        <v>46</v>
      </c>
      <c r="C58" s="90"/>
      <c r="D58" s="85">
        <v>1.1200000000000001</v>
      </c>
      <c r="E58" s="86">
        <v>197570.46</v>
      </c>
      <c r="F58" s="87">
        <v>180000</v>
      </c>
      <c r="G58" s="88">
        <f t="shared" si="0"/>
        <v>17570.459999999992</v>
      </c>
      <c r="H58" s="88">
        <f t="shared" si="4"/>
        <v>527.11379999999974</v>
      </c>
      <c r="I58" s="143">
        <f t="shared" si="10"/>
        <v>149097.46950000001</v>
      </c>
      <c r="J58" s="143">
        <f t="shared" si="11"/>
        <v>33600.000000000007</v>
      </c>
      <c r="K58" s="143"/>
      <c r="L58" s="169"/>
      <c r="M58" s="89">
        <f t="shared" si="5"/>
        <v>200795.46</v>
      </c>
      <c r="N58" s="159">
        <f t="shared" si="8"/>
        <v>206819.46</v>
      </c>
      <c r="O58" s="53">
        <f t="shared" si="7"/>
        <v>0.46000000000000024</v>
      </c>
      <c r="P58" t="s">
        <v>157</v>
      </c>
    </row>
    <row r="59" spans="1:16" x14ac:dyDescent="0.3">
      <c r="A59" s="151">
        <f t="shared" si="9"/>
        <v>47</v>
      </c>
      <c r="B59" s="130" t="s">
        <v>47</v>
      </c>
      <c r="C59" s="131"/>
      <c r="D59" s="132">
        <v>1.17</v>
      </c>
      <c r="E59" s="133">
        <v>318437.46999999997</v>
      </c>
      <c r="F59" s="133">
        <v>135000</v>
      </c>
      <c r="G59" s="134">
        <f t="shared" si="0"/>
        <v>183437.46999999997</v>
      </c>
      <c r="H59" s="134"/>
      <c r="I59" s="147">
        <f t="shared" si="10"/>
        <v>155753.60653125</v>
      </c>
      <c r="J59" s="147">
        <f t="shared" si="11"/>
        <v>35100</v>
      </c>
      <c r="K59" s="147"/>
      <c r="L59" s="172">
        <v>135000</v>
      </c>
      <c r="M59" s="135">
        <f t="shared" si="5"/>
        <v>509291.47</v>
      </c>
      <c r="N59" s="162">
        <f t="shared" si="8"/>
        <v>524570.47</v>
      </c>
      <c r="O59" s="53">
        <f t="shared" si="7"/>
        <v>0.47000000000000025</v>
      </c>
      <c r="P59" t="s">
        <v>249</v>
      </c>
    </row>
    <row r="60" spans="1:16" x14ac:dyDescent="0.3">
      <c r="A60" s="150">
        <f t="shared" si="9"/>
        <v>48</v>
      </c>
      <c r="B60" s="124" t="s">
        <v>48</v>
      </c>
      <c r="C60" s="123"/>
      <c r="D60" s="120">
        <v>1.35</v>
      </c>
      <c r="E60" s="87">
        <v>218008.48</v>
      </c>
      <c r="F60" s="87">
        <f t="shared" ref="F60:F66" si="12">E60</f>
        <v>218008.48</v>
      </c>
      <c r="G60" s="121">
        <f t="shared" si="0"/>
        <v>0</v>
      </c>
      <c r="H60" s="121">
        <f t="shared" si="4"/>
        <v>0</v>
      </c>
      <c r="I60" s="145">
        <f t="shared" si="10"/>
        <v>179715.69984374999</v>
      </c>
      <c r="J60" s="145">
        <f t="shared" si="11"/>
        <v>40500.000000000007</v>
      </c>
      <c r="K60" s="145"/>
      <c r="L60" s="171"/>
      <c r="M60" s="89">
        <f t="shared" si="5"/>
        <v>220216.48</v>
      </c>
      <c r="N60" s="161">
        <f t="shared" si="8"/>
        <v>226822.48</v>
      </c>
      <c r="O60" s="53">
        <f t="shared" si="7"/>
        <v>0.48000000000000026</v>
      </c>
      <c r="P60" t="s">
        <v>159</v>
      </c>
    </row>
    <row r="61" spans="1:16" x14ac:dyDescent="0.3">
      <c r="A61" s="150">
        <f t="shared" si="9"/>
        <v>49</v>
      </c>
      <c r="B61" s="124" t="s">
        <v>49</v>
      </c>
      <c r="C61" s="123"/>
      <c r="D61" s="120">
        <v>1.1200000000000001</v>
      </c>
      <c r="E61" s="86">
        <v>170680.49</v>
      </c>
      <c r="F61" s="87">
        <f t="shared" si="12"/>
        <v>170680.49</v>
      </c>
      <c r="G61" s="88">
        <f t="shared" si="0"/>
        <v>0</v>
      </c>
      <c r="H61" s="88">
        <f t="shared" si="4"/>
        <v>0</v>
      </c>
      <c r="I61" s="143">
        <f t="shared" si="10"/>
        <v>149097.46950000001</v>
      </c>
      <c r="J61" s="143">
        <f t="shared" si="11"/>
        <v>33600.000000000007</v>
      </c>
      <c r="K61" s="143"/>
      <c r="L61" s="169"/>
      <c r="M61" s="89">
        <f t="shared" si="5"/>
        <v>182697.49</v>
      </c>
      <c r="N61" s="159">
        <f t="shared" si="8"/>
        <v>188178.49</v>
      </c>
      <c r="O61" s="53">
        <f t="shared" si="7"/>
        <v>0.49000000000000027</v>
      </c>
    </row>
    <row r="62" spans="1:16" x14ac:dyDescent="0.3">
      <c r="A62" s="150">
        <f t="shared" si="9"/>
        <v>50</v>
      </c>
      <c r="B62" s="124" t="s">
        <v>50</v>
      </c>
      <c r="C62" s="123"/>
      <c r="D62" s="120">
        <v>0.82</v>
      </c>
      <c r="E62" s="86">
        <v>255883.5</v>
      </c>
      <c r="F62" s="87">
        <f t="shared" si="12"/>
        <v>255883.5</v>
      </c>
      <c r="G62" s="88">
        <f t="shared" si="0"/>
        <v>0</v>
      </c>
      <c r="H62" s="88">
        <f t="shared" si="4"/>
        <v>0</v>
      </c>
      <c r="I62" s="143">
        <f t="shared" si="10"/>
        <v>109160.64731249999</v>
      </c>
      <c r="J62" s="143">
        <f t="shared" si="11"/>
        <v>24600</v>
      </c>
      <c r="K62" s="143"/>
      <c r="L62" s="169"/>
      <c r="M62" s="89">
        <f t="shared" si="5"/>
        <v>133761.5</v>
      </c>
      <c r="N62" s="159">
        <f t="shared" si="8"/>
        <v>137774.5</v>
      </c>
      <c r="O62" s="53">
        <f t="shared" si="7"/>
        <v>0.50000000000000022</v>
      </c>
    </row>
    <row r="63" spans="1:16" x14ac:dyDescent="0.3">
      <c r="A63" s="150">
        <f t="shared" si="9"/>
        <v>51</v>
      </c>
      <c r="B63" s="124" t="s">
        <v>51</v>
      </c>
      <c r="C63" s="123"/>
      <c r="D63" s="120">
        <v>0.82</v>
      </c>
      <c r="E63" s="86">
        <v>128563.51</v>
      </c>
      <c r="F63" s="87">
        <f t="shared" si="12"/>
        <v>128563.51</v>
      </c>
      <c r="G63" s="88">
        <f t="shared" si="0"/>
        <v>0</v>
      </c>
      <c r="H63" s="88">
        <f t="shared" si="4"/>
        <v>0</v>
      </c>
      <c r="I63" s="143">
        <f t="shared" si="10"/>
        <v>109160.64731249999</v>
      </c>
      <c r="J63" s="143">
        <f t="shared" si="11"/>
        <v>24600</v>
      </c>
      <c r="K63" s="143"/>
      <c r="L63" s="169"/>
      <c r="M63" s="89">
        <f t="shared" si="5"/>
        <v>133761.51</v>
      </c>
      <c r="N63" s="159">
        <f t="shared" si="8"/>
        <v>137774.51</v>
      </c>
      <c r="O63" s="53">
        <f t="shared" si="7"/>
        <v>0.51000000000000023</v>
      </c>
    </row>
    <row r="64" spans="1:16" x14ac:dyDescent="0.3">
      <c r="A64" s="150">
        <f t="shared" si="9"/>
        <v>52</v>
      </c>
      <c r="B64" s="124" t="s">
        <v>52</v>
      </c>
      <c r="C64" s="123"/>
      <c r="D64" s="120">
        <v>1.34</v>
      </c>
      <c r="E64" s="86">
        <v>210090.52</v>
      </c>
      <c r="F64" s="87">
        <f t="shared" si="12"/>
        <v>210090.52</v>
      </c>
      <c r="G64" s="88">
        <f t="shared" si="0"/>
        <v>0</v>
      </c>
      <c r="H64" s="88">
        <f t="shared" si="4"/>
        <v>0</v>
      </c>
      <c r="I64" s="143">
        <f t="shared" si="10"/>
        <v>178384.47243750002</v>
      </c>
      <c r="J64" s="143">
        <f t="shared" si="11"/>
        <v>40200.000000000007</v>
      </c>
      <c r="K64" s="143"/>
      <c r="L64" s="169"/>
      <c r="M64" s="89">
        <f t="shared" si="5"/>
        <v>218584.52</v>
      </c>
      <c r="N64" s="159">
        <f t="shared" si="8"/>
        <v>225142.52</v>
      </c>
      <c r="O64" s="53">
        <f t="shared" si="7"/>
        <v>0.52000000000000024</v>
      </c>
    </row>
    <row r="65" spans="1:16" x14ac:dyDescent="0.3">
      <c r="A65" s="150">
        <f t="shared" si="9"/>
        <v>53</v>
      </c>
      <c r="B65" s="124" t="s">
        <v>53</v>
      </c>
      <c r="C65" s="123"/>
      <c r="D65" s="120">
        <v>1.1200000000000001</v>
      </c>
      <c r="E65" s="87">
        <v>174618.53</v>
      </c>
      <c r="F65" s="87">
        <f t="shared" si="12"/>
        <v>174618.53</v>
      </c>
      <c r="G65" s="88">
        <f t="shared" si="0"/>
        <v>0</v>
      </c>
      <c r="H65" s="88">
        <f t="shared" si="4"/>
        <v>0</v>
      </c>
      <c r="I65" s="143">
        <f t="shared" si="10"/>
        <v>149097.46950000001</v>
      </c>
      <c r="J65" s="143">
        <f t="shared" si="11"/>
        <v>33600.000000000007</v>
      </c>
      <c r="K65" s="143"/>
      <c r="L65" s="169"/>
      <c r="M65" s="89">
        <f t="shared" si="5"/>
        <v>182697.53</v>
      </c>
      <c r="N65" s="159">
        <f t="shared" si="8"/>
        <v>188178.53</v>
      </c>
      <c r="O65" s="53">
        <f t="shared" si="7"/>
        <v>0.53000000000000025</v>
      </c>
    </row>
    <row r="66" spans="1:16" x14ac:dyDescent="0.3">
      <c r="A66" s="150">
        <f t="shared" si="9"/>
        <v>54</v>
      </c>
      <c r="B66" s="124" t="s">
        <v>54</v>
      </c>
      <c r="C66" s="123"/>
      <c r="D66" s="120">
        <v>1.17</v>
      </c>
      <c r="E66" s="86">
        <v>183437.54</v>
      </c>
      <c r="F66" s="87">
        <f t="shared" si="12"/>
        <v>183437.54</v>
      </c>
      <c r="G66" s="88">
        <f t="shared" si="0"/>
        <v>0</v>
      </c>
      <c r="H66" s="88">
        <f t="shared" si="4"/>
        <v>0</v>
      </c>
      <c r="I66" s="143">
        <f t="shared" si="10"/>
        <v>155753.60653125</v>
      </c>
      <c r="J66" s="143">
        <f t="shared" si="11"/>
        <v>35100</v>
      </c>
      <c r="K66" s="143"/>
      <c r="L66" s="169"/>
      <c r="M66" s="89">
        <f t="shared" si="5"/>
        <v>190854.54</v>
      </c>
      <c r="N66" s="159">
        <f t="shared" si="8"/>
        <v>196580.54</v>
      </c>
      <c r="O66" s="53">
        <f t="shared" si="7"/>
        <v>0.54000000000000026</v>
      </c>
    </row>
    <row r="67" spans="1:16" x14ac:dyDescent="0.3">
      <c r="A67" s="150">
        <f t="shared" si="9"/>
        <v>55</v>
      </c>
      <c r="B67" s="124" t="s">
        <v>55</v>
      </c>
      <c r="C67" s="123"/>
      <c r="D67" s="120">
        <v>1.35</v>
      </c>
      <c r="E67" s="86">
        <v>205730.55</v>
      </c>
      <c r="F67" s="87">
        <v>211902.55</v>
      </c>
      <c r="G67" s="88">
        <f t="shared" si="0"/>
        <v>-6172</v>
      </c>
      <c r="H67" s="88">
        <f t="shared" si="4"/>
        <v>0</v>
      </c>
      <c r="I67" s="143">
        <f t="shared" si="10"/>
        <v>179715.69984374999</v>
      </c>
      <c r="J67" s="143">
        <f t="shared" si="11"/>
        <v>40500.000000000007</v>
      </c>
      <c r="K67" s="143"/>
      <c r="L67" s="169"/>
      <c r="M67" s="89">
        <f t="shared" si="5"/>
        <v>214044.55</v>
      </c>
      <c r="N67" s="159">
        <f t="shared" si="8"/>
        <v>220465.55</v>
      </c>
      <c r="O67" s="53">
        <f t="shared" si="7"/>
        <v>0.55000000000000027</v>
      </c>
    </row>
    <row r="68" spans="1:16" x14ac:dyDescent="0.3">
      <c r="A68" s="150">
        <f t="shared" si="9"/>
        <v>56</v>
      </c>
      <c r="B68" s="124" t="s">
        <v>56</v>
      </c>
      <c r="C68" s="123"/>
      <c r="D68" s="120">
        <v>1.1200000000000001</v>
      </c>
      <c r="E68" s="86">
        <v>175598.56</v>
      </c>
      <c r="F68" s="87">
        <v>180866.56</v>
      </c>
      <c r="G68" s="88">
        <f t="shared" si="0"/>
        <v>-5268</v>
      </c>
      <c r="H68" s="88">
        <f t="shared" si="4"/>
        <v>0</v>
      </c>
      <c r="I68" s="143">
        <f t="shared" si="10"/>
        <v>149097.46950000001</v>
      </c>
      <c r="J68" s="143">
        <f t="shared" si="11"/>
        <v>33600.000000000007</v>
      </c>
      <c r="K68" s="143">
        <v>320000</v>
      </c>
      <c r="L68" s="169"/>
      <c r="M68" s="89">
        <f t="shared" si="5"/>
        <v>497429.56</v>
      </c>
      <c r="N68" s="159">
        <f t="shared" si="8"/>
        <v>512352.56</v>
      </c>
      <c r="O68" s="53">
        <f t="shared" si="7"/>
        <v>0.56000000000000028</v>
      </c>
    </row>
    <row r="69" spans="1:16" x14ac:dyDescent="0.3">
      <c r="A69" s="150">
        <f t="shared" si="9"/>
        <v>57</v>
      </c>
      <c r="B69" s="124" t="s">
        <v>57</v>
      </c>
      <c r="C69" s="123"/>
      <c r="D69" s="120">
        <v>0.82</v>
      </c>
      <c r="E69" s="86">
        <v>128553.57</v>
      </c>
      <c r="F69" s="87">
        <v>128600</v>
      </c>
      <c r="G69" s="88">
        <f t="shared" si="0"/>
        <v>-46.429999999993015</v>
      </c>
      <c r="H69" s="88">
        <f t="shared" si="4"/>
        <v>0</v>
      </c>
      <c r="I69" s="143">
        <f t="shared" si="10"/>
        <v>109160.64731249999</v>
      </c>
      <c r="J69" s="143">
        <f t="shared" si="11"/>
        <v>24600</v>
      </c>
      <c r="K69" s="143"/>
      <c r="L69" s="169"/>
      <c r="M69" s="89">
        <f t="shared" si="5"/>
        <v>133714.57</v>
      </c>
      <c r="N69" s="159">
        <f t="shared" si="8"/>
        <v>137725.57</v>
      </c>
      <c r="O69" s="53">
        <f t="shared" si="7"/>
        <v>0.57000000000000028</v>
      </c>
    </row>
    <row r="70" spans="1:16" x14ac:dyDescent="0.3">
      <c r="A70" s="150">
        <f t="shared" si="9"/>
        <v>58</v>
      </c>
      <c r="B70" s="124" t="s">
        <v>58</v>
      </c>
      <c r="C70" s="123"/>
      <c r="D70" s="120">
        <v>0.82</v>
      </c>
      <c r="E70" s="86">
        <v>128563.58</v>
      </c>
      <c r="F70" s="87">
        <f t="shared" ref="F70" si="13">E70</f>
        <v>128563.58</v>
      </c>
      <c r="G70" s="88">
        <f t="shared" si="0"/>
        <v>0</v>
      </c>
      <c r="H70" s="88">
        <f t="shared" si="4"/>
        <v>0</v>
      </c>
      <c r="I70" s="143">
        <f t="shared" si="10"/>
        <v>109160.64731249999</v>
      </c>
      <c r="J70" s="143">
        <f t="shared" si="11"/>
        <v>24600</v>
      </c>
      <c r="K70" s="143"/>
      <c r="L70" s="169"/>
      <c r="M70" s="89">
        <f t="shared" si="5"/>
        <v>133761.57999999999</v>
      </c>
      <c r="N70" s="159">
        <f t="shared" si="8"/>
        <v>137774.57999999999</v>
      </c>
      <c r="O70" s="53">
        <f t="shared" si="7"/>
        <v>0.58000000000000029</v>
      </c>
    </row>
    <row r="71" spans="1:16" x14ac:dyDescent="0.3">
      <c r="A71" s="150">
        <f t="shared" si="9"/>
        <v>59</v>
      </c>
      <c r="B71" s="124" t="s">
        <v>59</v>
      </c>
      <c r="C71" s="123"/>
      <c r="D71" s="120">
        <v>1.34</v>
      </c>
      <c r="E71" s="87">
        <v>204030.59</v>
      </c>
      <c r="F71" s="87">
        <v>210151.59</v>
      </c>
      <c r="G71" s="121">
        <f t="shared" si="0"/>
        <v>-6121</v>
      </c>
      <c r="H71" s="121">
        <f t="shared" si="4"/>
        <v>0</v>
      </c>
      <c r="I71" s="145">
        <f t="shared" si="10"/>
        <v>178384.47243750002</v>
      </c>
      <c r="J71" s="145">
        <f t="shared" si="11"/>
        <v>40200.000000000007</v>
      </c>
      <c r="K71" s="145"/>
      <c r="L71" s="171"/>
      <c r="M71" s="89">
        <f t="shared" si="5"/>
        <v>212463.59</v>
      </c>
      <c r="N71" s="161">
        <f t="shared" si="8"/>
        <v>218837.59</v>
      </c>
      <c r="O71" s="53">
        <f t="shared" si="7"/>
        <v>0.5900000000000003</v>
      </c>
    </row>
    <row r="72" spans="1:16" x14ac:dyDescent="0.3">
      <c r="A72" s="150">
        <f t="shared" si="9"/>
        <v>60</v>
      </c>
      <c r="B72" s="124" t="s">
        <v>60</v>
      </c>
      <c r="C72" s="123"/>
      <c r="D72" s="120">
        <v>1.1200000000000001</v>
      </c>
      <c r="E72" s="86">
        <v>170680.6</v>
      </c>
      <c r="F72" s="87">
        <v>175800.6</v>
      </c>
      <c r="G72" s="88">
        <f t="shared" si="0"/>
        <v>-5120</v>
      </c>
      <c r="H72" s="88">
        <f t="shared" si="4"/>
        <v>0</v>
      </c>
      <c r="I72" s="143">
        <f t="shared" si="10"/>
        <v>149097.46950000001</v>
      </c>
      <c r="J72" s="143">
        <f t="shared" si="11"/>
        <v>33600.000000000007</v>
      </c>
      <c r="K72" s="143"/>
      <c r="L72" s="169"/>
      <c r="M72" s="89">
        <f t="shared" si="5"/>
        <v>177577.60000000001</v>
      </c>
      <c r="N72" s="159">
        <f t="shared" si="8"/>
        <v>182904.6</v>
      </c>
      <c r="O72" s="53">
        <f t="shared" si="7"/>
        <v>0.60000000000000031</v>
      </c>
    </row>
    <row r="73" spans="1:16" x14ac:dyDescent="0.3">
      <c r="A73" s="148">
        <f t="shared" si="9"/>
        <v>61</v>
      </c>
      <c r="B73" s="91" t="s">
        <v>61</v>
      </c>
      <c r="C73" s="90"/>
      <c r="D73" s="85">
        <v>1.17</v>
      </c>
      <c r="E73" s="86">
        <v>183437.61</v>
      </c>
      <c r="F73" s="87">
        <f>E73</f>
        <v>183437.61</v>
      </c>
      <c r="G73" s="88">
        <f t="shared" si="0"/>
        <v>0</v>
      </c>
      <c r="H73" s="88">
        <f t="shared" si="4"/>
        <v>0</v>
      </c>
      <c r="I73" s="143">
        <f t="shared" si="10"/>
        <v>155753.60653125</v>
      </c>
      <c r="J73" s="143">
        <f t="shared" si="11"/>
        <v>35100</v>
      </c>
      <c r="K73" s="143"/>
      <c r="L73" s="169"/>
      <c r="M73" s="89">
        <f t="shared" si="5"/>
        <v>190854.61</v>
      </c>
      <c r="N73" s="159">
        <f t="shared" si="8"/>
        <v>196580.61</v>
      </c>
      <c r="O73" s="53">
        <f t="shared" si="7"/>
        <v>0.61000000000000032</v>
      </c>
    </row>
    <row r="74" spans="1:16" x14ac:dyDescent="0.3">
      <c r="A74" s="148">
        <f t="shared" si="9"/>
        <v>62</v>
      </c>
      <c r="B74" s="91" t="s">
        <v>62</v>
      </c>
      <c r="C74" s="90"/>
      <c r="D74" s="85">
        <v>1.35</v>
      </c>
      <c r="E74" s="86">
        <v>205730.62</v>
      </c>
      <c r="F74" s="87">
        <v>211902.62</v>
      </c>
      <c r="G74" s="88">
        <f t="shared" si="0"/>
        <v>-6172</v>
      </c>
      <c r="H74" s="88">
        <f t="shared" si="4"/>
        <v>0</v>
      </c>
      <c r="I74" s="143">
        <f t="shared" si="10"/>
        <v>179715.69984374999</v>
      </c>
      <c r="J74" s="143">
        <f t="shared" si="11"/>
        <v>40500.000000000007</v>
      </c>
      <c r="K74" s="143"/>
      <c r="L74" s="169"/>
      <c r="M74" s="89">
        <f t="shared" si="5"/>
        <v>214044.62</v>
      </c>
      <c r="N74" s="159">
        <f t="shared" si="8"/>
        <v>220465.62</v>
      </c>
      <c r="O74" s="53">
        <f t="shared" si="7"/>
        <v>0.62000000000000033</v>
      </c>
    </row>
    <row r="75" spans="1:16" x14ac:dyDescent="0.3">
      <c r="A75" s="148">
        <f t="shared" si="9"/>
        <v>63</v>
      </c>
      <c r="B75" s="91" t="s">
        <v>63</v>
      </c>
      <c r="C75" s="90"/>
      <c r="D75" s="85">
        <v>1.1200000000000001</v>
      </c>
      <c r="E75" s="86">
        <v>180866.63</v>
      </c>
      <c r="F75" s="87">
        <f>E75</f>
        <v>180866.63</v>
      </c>
      <c r="G75" s="88">
        <f t="shared" si="0"/>
        <v>0</v>
      </c>
      <c r="H75" s="88">
        <f t="shared" si="4"/>
        <v>0</v>
      </c>
      <c r="I75" s="143">
        <f t="shared" si="10"/>
        <v>149097.46950000001</v>
      </c>
      <c r="J75" s="143">
        <f t="shared" si="11"/>
        <v>33600.000000000007</v>
      </c>
      <c r="K75" s="143"/>
      <c r="L75" s="169"/>
      <c r="M75" s="89">
        <f t="shared" si="5"/>
        <v>182697.63</v>
      </c>
      <c r="N75" s="159">
        <f t="shared" si="8"/>
        <v>188178.63</v>
      </c>
      <c r="O75" s="53">
        <f t="shared" si="7"/>
        <v>0.63000000000000034</v>
      </c>
      <c r="P75" t="s">
        <v>275</v>
      </c>
    </row>
    <row r="76" spans="1:16" x14ac:dyDescent="0.3">
      <c r="A76" s="148">
        <f t="shared" si="9"/>
        <v>64</v>
      </c>
      <c r="B76" s="91" t="s">
        <v>64</v>
      </c>
      <c r="C76" s="90"/>
      <c r="D76" s="85">
        <v>0.82</v>
      </c>
      <c r="E76" s="86">
        <v>178563.64</v>
      </c>
      <c r="F76" s="87">
        <v>128963.64</v>
      </c>
      <c r="G76" s="88">
        <f t="shared" si="0"/>
        <v>49600.000000000015</v>
      </c>
      <c r="H76" s="88">
        <f t="shared" si="4"/>
        <v>1488.0000000000005</v>
      </c>
      <c r="I76" s="143">
        <f t="shared" si="10"/>
        <v>109160.64731249999</v>
      </c>
      <c r="J76" s="143">
        <f t="shared" si="11"/>
        <v>24600</v>
      </c>
      <c r="K76" s="143">
        <v>50000</v>
      </c>
      <c r="L76" s="169"/>
      <c r="M76" s="89">
        <f t="shared" si="5"/>
        <v>234849.64</v>
      </c>
      <c r="N76" s="159">
        <f t="shared" si="8"/>
        <v>241894.64</v>
      </c>
      <c r="O76" s="53">
        <f t="shared" si="7"/>
        <v>0.64000000000000035</v>
      </c>
    </row>
    <row r="77" spans="1:16" x14ac:dyDescent="0.3">
      <c r="A77" s="150">
        <f t="shared" si="9"/>
        <v>65</v>
      </c>
      <c r="B77" s="124" t="s">
        <v>65</v>
      </c>
      <c r="C77" s="123"/>
      <c r="D77" s="120">
        <v>0.82</v>
      </c>
      <c r="E77" s="87">
        <v>982843.65</v>
      </c>
      <c r="F77" s="174"/>
      <c r="G77" s="121">
        <f t="shared" ref="G77:G115" si="14">E77-F77</f>
        <v>982843.65</v>
      </c>
      <c r="H77" s="121">
        <f t="shared" si="4"/>
        <v>29485.309499999999</v>
      </c>
      <c r="I77" s="145">
        <f t="shared" ref="I77:I108" si="15">J$2*D77/100</f>
        <v>109160.64731249999</v>
      </c>
      <c r="J77" s="145">
        <f t="shared" ref="J77:J108" si="16">E$2*D77/100</f>
        <v>24600</v>
      </c>
      <c r="K77" s="145"/>
      <c r="L77" s="171"/>
      <c r="M77" s="89">
        <f t="shared" si="5"/>
        <v>1146090.6499999999</v>
      </c>
      <c r="N77" s="161">
        <f t="shared" si="8"/>
        <v>1180473.6499999999</v>
      </c>
      <c r="O77" s="53">
        <f t="shared" si="7"/>
        <v>0.65000000000000036</v>
      </c>
      <c r="P77" t="s">
        <v>180</v>
      </c>
    </row>
    <row r="78" spans="1:16" x14ac:dyDescent="0.3">
      <c r="A78" s="148">
        <f t="shared" si="9"/>
        <v>66</v>
      </c>
      <c r="B78" s="91" t="s">
        <v>66</v>
      </c>
      <c r="C78" s="90"/>
      <c r="D78" s="85">
        <v>1.34</v>
      </c>
      <c r="E78" s="86">
        <v>204394.66</v>
      </c>
      <c r="F78" s="87">
        <v>123000.66</v>
      </c>
      <c r="G78" s="88">
        <f t="shared" si="14"/>
        <v>81394</v>
      </c>
      <c r="H78" s="88">
        <f t="shared" ref="H78:H115" si="17">IF(G78&gt;0,G78*3%,0)</f>
        <v>2441.8199999999997</v>
      </c>
      <c r="I78" s="143">
        <f t="shared" si="15"/>
        <v>178384.47243750002</v>
      </c>
      <c r="J78" s="143">
        <f t="shared" si="16"/>
        <v>40200.000000000007</v>
      </c>
      <c r="K78" s="143"/>
      <c r="L78" s="169"/>
      <c r="M78" s="89">
        <f t="shared" si="5"/>
        <v>302420.65999999997</v>
      </c>
      <c r="N78" s="159">
        <f t="shared" si="8"/>
        <v>311493.65999999997</v>
      </c>
      <c r="O78" s="53">
        <f t="shared" si="7"/>
        <v>0.66000000000000036</v>
      </c>
    </row>
    <row r="79" spans="1:16" x14ac:dyDescent="0.3">
      <c r="A79" s="148">
        <f t="shared" si="9"/>
        <v>67</v>
      </c>
      <c r="B79" s="91" t="s">
        <v>67</v>
      </c>
      <c r="C79" s="90"/>
      <c r="D79" s="85">
        <v>1.1200000000000001</v>
      </c>
      <c r="E79" s="86">
        <v>353780.67</v>
      </c>
      <c r="F79" s="87">
        <f>163923.67+168835</f>
        <v>332758.67000000004</v>
      </c>
      <c r="G79" s="88">
        <f t="shared" si="14"/>
        <v>21021.999999999942</v>
      </c>
      <c r="H79" s="88">
        <f t="shared" si="17"/>
        <v>630.65999999999826</v>
      </c>
      <c r="I79" s="143">
        <f t="shared" si="15"/>
        <v>149097.46950000001</v>
      </c>
      <c r="J79" s="143">
        <f t="shared" si="16"/>
        <v>33600.000000000007</v>
      </c>
      <c r="K79" s="143"/>
      <c r="L79" s="169"/>
      <c r="M79" s="89">
        <f t="shared" ref="M79:M115" si="18">ROUND(SUM(G79:L79),0) + O79</f>
        <v>204350.67</v>
      </c>
      <c r="N79" s="159">
        <f t="shared" si="8"/>
        <v>210481.67</v>
      </c>
      <c r="O79" s="53">
        <f t="shared" si="7"/>
        <v>0.67000000000000037</v>
      </c>
    </row>
    <row r="80" spans="1:16" x14ac:dyDescent="0.3">
      <c r="A80" s="148">
        <f t="shared" si="9"/>
        <v>68</v>
      </c>
      <c r="B80" s="91" t="s">
        <v>68</v>
      </c>
      <c r="C80" s="90"/>
      <c r="D80" s="85">
        <v>1.17</v>
      </c>
      <c r="E80" s="86">
        <v>6063281.6799999997</v>
      </c>
      <c r="F80" s="87">
        <v>0</v>
      </c>
      <c r="G80" s="88">
        <f t="shared" si="14"/>
        <v>6063281.6799999997</v>
      </c>
      <c r="H80" s="88">
        <f t="shared" si="17"/>
        <v>181898.45039999997</v>
      </c>
      <c r="I80" s="143">
        <f t="shared" si="15"/>
        <v>155753.60653125</v>
      </c>
      <c r="J80" s="143">
        <f t="shared" si="16"/>
        <v>35100</v>
      </c>
      <c r="K80" s="143"/>
      <c r="L80" s="169"/>
      <c r="M80" s="89">
        <f t="shared" si="18"/>
        <v>6436034.6799999997</v>
      </c>
      <c r="N80" s="159">
        <f t="shared" si="8"/>
        <v>6629115.6799999997</v>
      </c>
      <c r="O80" s="53">
        <f t="shared" si="7"/>
        <v>0.68000000000000038</v>
      </c>
    </row>
    <row r="81" spans="1:16" x14ac:dyDescent="0.3">
      <c r="A81" s="224">
        <f t="shared" si="9"/>
        <v>69</v>
      </c>
      <c r="B81" s="225" t="s">
        <v>69</v>
      </c>
      <c r="C81" s="90"/>
      <c r="D81" s="85">
        <v>1.35</v>
      </c>
      <c r="E81" s="86">
        <v>211658.69</v>
      </c>
      <c r="F81" s="87">
        <f>E81</f>
        <v>211658.69</v>
      </c>
      <c r="G81" s="88">
        <f t="shared" si="14"/>
        <v>0</v>
      </c>
      <c r="H81" s="88">
        <f t="shared" si="17"/>
        <v>0</v>
      </c>
      <c r="I81" s="143">
        <f t="shared" si="15"/>
        <v>179715.69984374999</v>
      </c>
      <c r="J81" s="143">
        <f t="shared" si="16"/>
        <v>40500.000000000007</v>
      </c>
      <c r="K81" s="143"/>
      <c r="L81" s="169"/>
      <c r="M81" s="89">
        <f t="shared" si="18"/>
        <v>220216.69</v>
      </c>
      <c r="N81" s="159">
        <f t="shared" si="8"/>
        <v>226823.69</v>
      </c>
      <c r="O81" s="53">
        <f t="shared" si="7"/>
        <v>0.69000000000000039</v>
      </c>
    </row>
    <row r="82" spans="1:16" x14ac:dyDescent="0.3">
      <c r="A82" s="150">
        <f t="shared" si="9"/>
        <v>70</v>
      </c>
      <c r="B82" s="124" t="s">
        <v>70</v>
      </c>
      <c r="C82" s="123"/>
      <c r="D82" s="120">
        <v>1.1200000000000001</v>
      </c>
      <c r="E82" s="87">
        <v>188866.7</v>
      </c>
      <c r="F82" s="87">
        <f>E82</f>
        <v>188866.7</v>
      </c>
      <c r="G82" s="121">
        <f t="shared" si="14"/>
        <v>0</v>
      </c>
      <c r="H82" s="121">
        <f t="shared" si="17"/>
        <v>0</v>
      </c>
      <c r="I82" s="145">
        <f t="shared" si="15"/>
        <v>149097.46950000001</v>
      </c>
      <c r="J82" s="145">
        <f t="shared" si="16"/>
        <v>33600.000000000007</v>
      </c>
      <c r="K82" s="145"/>
      <c r="L82" s="171"/>
      <c r="M82" s="89">
        <f t="shared" si="18"/>
        <v>182697.7</v>
      </c>
      <c r="N82" s="161">
        <f t="shared" si="8"/>
        <v>188178.7</v>
      </c>
      <c r="O82" s="53">
        <f t="shared" si="7"/>
        <v>0.7000000000000004</v>
      </c>
      <c r="P82" t="s">
        <v>174</v>
      </c>
    </row>
    <row r="83" spans="1:16" x14ac:dyDescent="0.3">
      <c r="A83" s="213">
        <f t="shared" si="9"/>
        <v>71</v>
      </c>
      <c r="B83" s="214" t="s">
        <v>71</v>
      </c>
      <c r="C83" s="90"/>
      <c r="D83" s="85">
        <v>0.82</v>
      </c>
      <c r="E83" s="86">
        <v>128563.71</v>
      </c>
      <c r="F83" s="87">
        <f>E83+3677</f>
        <v>132240.71000000002</v>
      </c>
      <c r="G83" s="88">
        <f t="shared" si="14"/>
        <v>-3677.0000000000146</v>
      </c>
      <c r="H83" s="88">
        <f t="shared" si="17"/>
        <v>0</v>
      </c>
      <c r="I83" s="143">
        <f t="shared" si="15"/>
        <v>109160.64731249999</v>
      </c>
      <c r="J83" s="143">
        <f t="shared" si="16"/>
        <v>24600</v>
      </c>
      <c r="K83" s="143"/>
      <c r="L83" s="169"/>
      <c r="M83" s="89">
        <f t="shared" si="18"/>
        <v>130084.71</v>
      </c>
      <c r="N83" s="159">
        <f t="shared" si="8"/>
        <v>133987.71000000002</v>
      </c>
      <c r="O83" s="53">
        <f t="shared" si="7"/>
        <v>0.71000000000000041</v>
      </c>
    </row>
    <row r="84" spans="1:16" x14ac:dyDescent="0.3">
      <c r="A84" s="148">
        <f t="shared" si="9"/>
        <v>72</v>
      </c>
      <c r="B84" s="91" t="s">
        <v>72</v>
      </c>
      <c r="C84" s="90"/>
      <c r="D84" s="85">
        <v>0.82</v>
      </c>
      <c r="E84" s="86">
        <v>128563.72</v>
      </c>
      <c r="F84" s="87">
        <f>E84</f>
        <v>128563.72</v>
      </c>
      <c r="G84" s="88">
        <f t="shared" si="14"/>
        <v>0</v>
      </c>
      <c r="H84" s="88">
        <f t="shared" si="17"/>
        <v>0</v>
      </c>
      <c r="I84" s="143">
        <f t="shared" si="15"/>
        <v>109160.64731249999</v>
      </c>
      <c r="J84" s="143">
        <f t="shared" si="16"/>
        <v>24600</v>
      </c>
      <c r="K84" s="143"/>
      <c r="L84" s="169"/>
      <c r="M84" s="89">
        <f t="shared" si="18"/>
        <v>133761.72</v>
      </c>
      <c r="N84" s="159">
        <f t="shared" si="8"/>
        <v>137774.72</v>
      </c>
      <c r="O84" s="53">
        <f t="shared" si="7"/>
        <v>0.72000000000000042</v>
      </c>
    </row>
    <row r="85" spans="1:16" x14ac:dyDescent="0.3">
      <c r="A85" s="148">
        <f t="shared" si="9"/>
        <v>73</v>
      </c>
      <c r="B85" s="91" t="s">
        <v>73</v>
      </c>
      <c r="C85" s="90"/>
      <c r="D85" s="85">
        <v>1.34</v>
      </c>
      <c r="E85" s="86">
        <v>416090.73</v>
      </c>
      <c r="F85" s="87">
        <f>E85</f>
        <v>416090.73</v>
      </c>
      <c r="G85" s="88">
        <f t="shared" si="14"/>
        <v>0</v>
      </c>
      <c r="H85" s="88">
        <f t="shared" si="17"/>
        <v>0</v>
      </c>
      <c r="I85" s="143">
        <f t="shared" si="15"/>
        <v>178384.47243750002</v>
      </c>
      <c r="J85" s="143">
        <f t="shared" si="16"/>
        <v>40200.000000000007</v>
      </c>
      <c r="K85" s="143"/>
      <c r="L85" s="169"/>
      <c r="M85" s="89">
        <f t="shared" si="18"/>
        <v>218584.73</v>
      </c>
      <c r="N85" s="159">
        <f t="shared" si="8"/>
        <v>225142.73</v>
      </c>
      <c r="O85" s="53">
        <f t="shared" si="7"/>
        <v>0.73000000000000043</v>
      </c>
    </row>
    <row r="86" spans="1:16" x14ac:dyDescent="0.3">
      <c r="A86" s="148">
        <f t="shared" si="9"/>
        <v>74</v>
      </c>
      <c r="B86" s="91" t="s">
        <v>74</v>
      </c>
      <c r="C86" s="90"/>
      <c r="D86" s="85">
        <v>1.1200000000000001</v>
      </c>
      <c r="E86" s="86">
        <v>512255.74</v>
      </c>
      <c r="F86" s="87"/>
      <c r="G86" s="88">
        <f t="shared" si="14"/>
        <v>512255.74</v>
      </c>
      <c r="H86" s="88">
        <f t="shared" si="17"/>
        <v>15367.672199999999</v>
      </c>
      <c r="I86" s="143">
        <f t="shared" si="15"/>
        <v>149097.46950000001</v>
      </c>
      <c r="J86" s="143">
        <f t="shared" si="16"/>
        <v>33600.000000000007</v>
      </c>
      <c r="K86" s="143"/>
      <c r="L86" s="169"/>
      <c r="M86" s="89">
        <f t="shared" si="18"/>
        <v>710321.74</v>
      </c>
      <c r="N86" s="159">
        <f t="shared" si="8"/>
        <v>731631.74</v>
      </c>
      <c r="O86" s="53">
        <f t="shared" si="7"/>
        <v>0.74000000000000044</v>
      </c>
    </row>
    <row r="87" spans="1:16" x14ac:dyDescent="0.3">
      <c r="A87" s="148">
        <f t="shared" si="9"/>
        <v>75</v>
      </c>
      <c r="B87" s="91" t="s">
        <v>75</v>
      </c>
      <c r="C87" s="90"/>
      <c r="D87" s="85">
        <v>1.17</v>
      </c>
      <c r="E87" s="86">
        <v>183437.75</v>
      </c>
      <c r="F87" s="87">
        <v>188940.75</v>
      </c>
      <c r="G87" s="88">
        <f t="shared" si="14"/>
        <v>-5503</v>
      </c>
      <c r="H87" s="88">
        <f t="shared" si="17"/>
        <v>0</v>
      </c>
      <c r="I87" s="143">
        <f t="shared" si="15"/>
        <v>155753.60653125</v>
      </c>
      <c r="J87" s="143">
        <f t="shared" si="16"/>
        <v>35100</v>
      </c>
      <c r="K87" s="143"/>
      <c r="L87" s="169"/>
      <c r="M87" s="89">
        <f t="shared" si="18"/>
        <v>185351.75</v>
      </c>
      <c r="N87" s="159">
        <f t="shared" si="8"/>
        <v>190912.75</v>
      </c>
      <c r="O87" s="53">
        <f t="shared" si="7"/>
        <v>0.75000000000000044</v>
      </c>
    </row>
    <row r="88" spans="1:16" x14ac:dyDescent="0.3">
      <c r="A88" s="148">
        <f t="shared" si="9"/>
        <v>76</v>
      </c>
      <c r="B88" s="91" t="s">
        <v>76</v>
      </c>
      <c r="C88" s="90"/>
      <c r="D88" s="85">
        <v>1.35</v>
      </c>
      <c r="E88" s="86">
        <v>211658.76</v>
      </c>
      <c r="F88" s="87">
        <f>E88</f>
        <v>211658.76</v>
      </c>
      <c r="G88" s="88">
        <f t="shared" si="14"/>
        <v>0</v>
      </c>
      <c r="H88" s="88">
        <f t="shared" si="17"/>
        <v>0</v>
      </c>
      <c r="I88" s="143">
        <f t="shared" si="15"/>
        <v>179715.69984374999</v>
      </c>
      <c r="J88" s="143">
        <f t="shared" si="16"/>
        <v>40500.000000000007</v>
      </c>
      <c r="K88" s="143"/>
      <c r="L88" s="169"/>
      <c r="M88" s="89">
        <f t="shared" si="18"/>
        <v>220216.76</v>
      </c>
      <c r="N88" s="159">
        <f t="shared" si="8"/>
        <v>226823.76</v>
      </c>
      <c r="O88" s="53">
        <f t="shared" si="7"/>
        <v>0.76000000000000045</v>
      </c>
    </row>
    <row r="89" spans="1:16" x14ac:dyDescent="0.3">
      <c r="A89" s="148">
        <f t="shared" si="9"/>
        <v>77</v>
      </c>
      <c r="B89" s="91" t="s">
        <v>77</v>
      </c>
      <c r="C89" s="90"/>
      <c r="D89" s="85">
        <v>1.1200000000000001</v>
      </c>
      <c r="E89" s="86">
        <v>170837.77</v>
      </c>
      <c r="F89" s="87">
        <v>175962.77</v>
      </c>
      <c r="G89" s="88">
        <f t="shared" si="14"/>
        <v>-5125</v>
      </c>
      <c r="H89" s="88">
        <f t="shared" si="17"/>
        <v>0</v>
      </c>
      <c r="I89" s="143">
        <f t="shared" si="15"/>
        <v>149097.46950000001</v>
      </c>
      <c r="J89" s="143">
        <f t="shared" si="16"/>
        <v>33600.000000000007</v>
      </c>
      <c r="K89" s="143"/>
      <c r="L89" s="169"/>
      <c r="M89" s="89">
        <f t="shared" si="18"/>
        <v>177572.77</v>
      </c>
      <c r="N89" s="159">
        <f t="shared" si="8"/>
        <v>182899.77</v>
      </c>
      <c r="O89" s="53">
        <f t="shared" si="7"/>
        <v>0.77000000000000046</v>
      </c>
    </row>
    <row r="90" spans="1:16" x14ac:dyDescent="0.3">
      <c r="A90" s="151">
        <f t="shared" si="9"/>
        <v>78</v>
      </c>
      <c r="B90" s="130" t="s">
        <v>78</v>
      </c>
      <c r="C90" s="131"/>
      <c r="D90" s="132">
        <v>0.82</v>
      </c>
      <c r="E90" s="133">
        <v>629495.78</v>
      </c>
      <c r="F90" s="133">
        <f>E90</f>
        <v>629495.78</v>
      </c>
      <c r="G90" s="134">
        <f t="shared" si="14"/>
        <v>0</v>
      </c>
      <c r="H90" s="134"/>
      <c r="I90" s="147">
        <f t="shared" si="15"/>
        <v>109160.64731249999</v>
      </c>
      <c r="J90" s="147">
        <f t="shared" si="16"/>
        <v>24600</v>
      </c>
      <c r="K90" s="147"/>
      <c r="L90" s="172">
        <v>250000</v>
      </c>
      <c r="M90" s="135">
        <f t="shared" si="18"/>
        <v>383761.78</v>
      </c>
      <c r="N90" s="162">
        <f t="shared" si="8"/>
        <v>395274.78</v>
      </c>
      <c r="O90" s="53">
        <f t="shared" si="7"/>
        <v>0.78000000000000047</v>
      </c>
      <c r="P90" t="s">
        <v>251</v>
      </c>
    </row>
    <row r="91" spans="1:16" x14ac:dyDescent="0.3">
      <c r="A91" s="148">
        <f t="shared" si="9"/>
        <v>79</v>
      </c>
      <c r="B91" s="91" t="s">
        <v>79</v>
      </c>
      <c r="C91" s="90"/>
      <c r="D91" s="85">
        <v>0.82</v>
      </c>
      <c r="E91" s="86">
        <v>128563.79</v>
      </c>
      <c r="F91" s="87">
        <f>E91</f>
        <v>128563.79</v>
      </c>
      <c r="G91" s="88">
        <f t="shared" si="14"/>
        <v>0</v>
      </c>
      <c r="H91" s="88">
        <f t="shared" si="17"/>
        <v>0</v>
      </c>
      <c r="I91" s="143">
        <f t="shared" si="15"/>
        <v>109160.64731249999</v>
      </c>
      <c r="J91" s="143">
        <f t="shared" si="16"/>
        <v>24600</v>
      </c>
      <c r="K91" s="143"/>
      <c r="L91" s="169"/>
      <c r="M91" s="89">
        <f t="shared" si="18"/>
        <v>133761.79</v>
      </c>
      <c r="N91" s="159">
        <f t="shared" si="8"/>
        <v>137774.79</v>
      </c>
      <c r="O91" s="53">
        <f t="shared" si="7"/>
        <v>0.79000000000000048</v>
      </c>
    </row>
    <row r="92" spans="1:16" x14ac:dyDescent="0.3">
      <c r="A92" s="150">
        <f t="shared" si="9"/>
        <v>80</v>
      </c>
      <c r="B92" s="124" t="s">
        <v>80</v>
      </c>
      <c r="C92" s="123"/>
      <c r="D92" s="120">
        <v>1.34</v>
      </c>
      <c r="E92" s="87">
        <v>619362.80000000005</v>
      </c>
      <c r="F92" s="87">
        <f>202060.8+242260.8</f>
        <v>444321.6</v>
      </c>
      <c r="G92" s="88">
        <f>E92-F92</f>
        <v>175041.20000000007</v>
      </c>
      <c r="H92" s="88">
        <f t="shared" si="17"/>
        <v>5251.2360000000017</v>
      </c>
      <c r="I92" s="143">
        <f t="shared" si="15"/>
        <v>178384.47243750002</v>
      </c>
      <c r="J92" s="143">
        <f t="shared" si="16"/>
        <v>40200.000000000007</v>
      </c>
      <c r="K92" s="143"/>
      <c r="L92" s="169"/>
      <c r="M92" s="89">
        <f t="shared" si="18"/>
        <v>398877.8</v>
      </c>
      <c r="N92" s="159">
        <f t="shared" si="8"/>
        <v>410843.8</v>
      </c>
      <c r="O92" s="53">
        <f t="shared" si="7"/>
        <v>0.80000000000000049</v>
      </c>
    </row>
    <row r="93" spans="1:16" x14ac:dyDescent="0.3">
      <c r="A93" s="149">
        <f t="shared" si="9"/>
        <v>81</v>
      </c>
      <c r="B93" s="100" t="s">
        <v>81</v>
      </c>
      <c r="C93" s="101"/>
      <c r="D93" s="96">
        <v>1.1200000000000001</v>
      </c>
      <c r="E93" s="97">
        <v>761898.81</v>
      </c>
      <c r="F93" s="97"/>
      <c r="G93" s="98">
        <f t="shared" si="14"/>
        <v>761898.81</v>
      </c>
      <c r="H93" s="98">
        <f t="shared" si="17"/>
        <v>22856.9643</v>
      </c>
      <c r="I93" s="144">
        <f t="shared" si="15"/>
        <v>149097.46950000001</v>
      </c>
      <c r="J93" s="144">
        <f t="shared" si="16"/>
        <v>33600.000000000007</v>
      </c>
      <c r="K93" s="144"/>
      <c r="L93" s="170"/>
      <c r="M93" s="99">
        <f t="shared" si="18"/>
        <v>967453.81</v>
      </c>
      <c r="N93" s="160">
        <f t="shared" si="8"/>
        <v>996477.81</v>
      </c>
      <c r="O93" s="53">
        <f t="shared" si="7"/>
        <v>0.8100000000000005</v>
      </c>
      <c r="P93" t="s">
        <v>181</v>
      </c>
    </row>
    <row r="94" spans="1:16" x14ac:dyDescent="0.3">
      <c r="A94" s="148">
        <f t="shared" si="9"/>
        <v>82</v>
      </c>
      <c r="B94" s="91" t="s">
        <v>82</v>
      </c>
      <c r="C94" s="90"/>
      <c r="D94" s="85">
        <v>1.17</v>
      </c>
      <c r="E94" s="86">
        <v>188940.82</v>
      </c>
      <c r="F94" s="87">
        <f>E94</f>
        <v>188940.82</v>
      </c>
      <c r="G94" s="88">
        <f t="shared" si="14"/>
        <v>0</v>
      </c>
      <c r="H94" s="88">
        <f t="shared" si="17"/>
        <v>0</v>
      </c>
      <c r="I94" s="143">
        <f t="shared" si="15"/>
        <v>155753.60653125</v>
      </c>
      <c r="J94" s="143">
        <f t="shared" si="16"/>
        <v>35100</v>
      </c>
      <c r="K94" s="143"/>
      <c r="L94" s="169"/>
      <c r="M94" s="89">
        <f t="shared" si="18"/>
        <v>190854.82</v>
      </c>
      <c r="N94" s="159">
        <f t="shared" si="8"/>
        <v>196580.82</v>
      </c>
      <c r="O94" s="53">
        <f t="shared" si="7"/>
        <v>0.82000000000000051</v>
      </c>
    </row>
    <row r="95" spans="1:16" x14ac:dyDescent="0.3">
      <c r="A95" s="150">
        <f t="shared" si="9"/>
        <v>83</v>
      </c>
      <c r="B95" s="124" t="s">
        <v>83</v>
      </c>
      <c r="C95" s="123"/>
      <c r="D95" s="120">
        <v>1.35</v>
      </c>
      <c r="E95" s="87">
        <v>137181.82999999999</v>
      </c>
      <c r="F95" s="87">
        <f>E95</f>
        <v>137181.82999999999</v>
      </c>
      <c r="G95" s="88">
        <f t="shared" si="14"/>
        <v>0</v>
      </c>
      <c r="H95" s="88">
        <f t="shared" si="17"/>
        <v>0</v>
      </c>
      <c r="I95" s="143">
        <f t="shared" si="15"/>
        <v>179715.69984374999</v>
      </c>
      <c r="J95" s="143">
        <f t="shared" si="16"/>
        <v>40500.000000000007</v>
      </c>
      <c r="K95" s="143"/>
      <c r="L95" s="169"/>
      <c r="M95" s="89">
        <f t="shared" si="18"/>
        <v>220216.83</v>
      </c>
      <c r="N95" s="159">
        <f t="shared" si="8"/>
        <v>226823.83</v>
      </c>
      <c r="O95" s="53">
        <f t="shared" si="7"/>
        <v>0.83000000000000052</v>
      </c>
    </row>
    <row r="96" spans="1:16" x14ac:dyDescent="0.3">
      <c r="A96" s="150">
        <f t="shared" si="9"/>
        <v>84</v>
      </c>
      <c r="B96" s="124" t="s">
        <v>84</v>
      </c>
      <c r="C96" s="123"/>
      <c r="D96" s="120">
        <v>1.1200000000000001</v>
      </c>
      <c r="E96" s="87">
        <v>175598.84</v>
      </c>
      <c r="F96" s="87">
        <f>600084+211902.62</f>
        <v>811986.62</v>
      </c>
      <c r="G96" s="88">
        <f t="shared" si="14"/>
        <v>-636387.78</v>
      </c>
      <c r="H96" s="88">
        <f t="shared" si="17"/>
        <v>0</v>
      </c>
      <c r="I96" s="143">
        <f t="shared" si="15"/>
        <v>149097.46950000001</v>
      </c>
      <c r="J96" s="143">
        <f t="shared" si="16"/>
        <v>33600.000000000007</v>
      </c>
      <c r="K96" s="143"/>
      <c r="L96" s="169"/>
      <c r="M96" s="89">
        <f t="shared" si="18"/>
        <v>-453689.16</v>
      </c>
      <c r="N96" s="159">
        <f t="shared" si="8"/>
        <v>-467300.16</v>
      </c>
      <c r="O96" s="53">
        <f t="shared" ref="O96:O115" si="19">O95+0.01</f>
        <v>0.84000000000000052</v>
      </c>
    </row>
    <row r="97" spans="1:16" x14ac:dyDescent="0.3">
      <c r="A97" s="148">
        <f t="shared" si="9"/>
        <v>85</v>
      </c>
      <c r="B97" s="91" t="s">
        <v>85</v>
      </c>
      <c r="C97" s="90"/>
      <c r="D97" s="85">
        <v>0.82</v>
      </c>
      <c r="E97" s="86">
        <v>128563.85</v>
      </c>
      <c r="F97" s="87">
        <f>E97</f>
        <v>128563.85</v>
      </c>
      <c r="G97" s="88">
        <f t="shared" si="14"/>
        <v>0</v>
      </c>
      <c r="H97" s="88">
        <f t="shared" si="17"/>
        <v>0</v>
      </c>
      <c r="I97" s="143">
        <f t="shared" si="15"/>
        <v>109160.64731249999</v>
      </c>
      <c r="J97" s="143">
        <f t="shared" si="16"/>
        <v>24600</v>
      </c>
      <c r="K97" s="143"/>
      <c r="L97" s="169"/>
      <c r="M97" s="89">
        <f t="shared" si="18"/>
        <v>133761.85</v>
      </c>
      <c r="N97" s="159">
        <f t="shared" si="8"/>
        <v>137774.85</v>
      </c>
      <c r="O97" s="53">
        <f t="shared" si="19"/>
        <v>0.85000000000000053</v>
      </c>
    </row>
    <row r="98" spans="1:16" x14ac:dyDescent="0.3">
      <c r="A98" s="148">
        <f t="shared" si="9"/>
        <v>86</v>
      </c>
      <c r="B98" s="91" t="s">
        <v>86</v>
      </c>
      <c r="C98" s="90"/>
      <c r="D98" s="85">
        <v>0.82</v>
      </c>
      <c r="E98" s="86">
        <v>124788.86</v>
      </c>
      <c r="F98" s="87">
        <f>E98</f>
        <v>124788.86</v>
      </c>
      <c r="G98" s="88">
        <f t="shared" si="14"/>
        <v>0</v>
      </c>
      <c r="H98" s="88">
        <f t="shared" si="17"/>
        <v>0</v>
      </c>
      <c r="I98" s="143">
        <f t="shared" si="15"/>
        <v>109160.64731249999</v>
      </c>
      <c r="J98" s="143">
        <f t="shared" si="16"/>
        <v>24600</v>
      </c>
      <c r="K98" s="143"/>
      <c r="L98" s="169"/>
      <c r="M98" s="89">
        <f t="shared" si="18"/>
        <v>133761.85999999999</v>
      </c>
      <c r="N98" s="159">
        <f t="shared" ref="N98:N115" si="20">ROUND(M98*3%,0) + M98</f>
        <v>137774.85999999999</v>
      </c>
      <c r="O98" s="53">
        <f t="shared" si="19"/>
        <v>0.86000000000000054</v>
      </c>
    </row>
    <row r="99" spans="1:16" x14ac:dyDescent="0.3">
      <c r="A99" s="148">
        <f t="shared" ref="A99:A115" si="21">A98+1</f>
        <v>87</v>
      </c>
      <c r="B99" s="91" t="s">
        <v>87</v>
      </c>
      <c r="C99" s="90"/>
      <c r="D99" s="85">
        <v>1.34</v>
      </c>
      <c r="E99" s="86">
        <v>210090.87</v>
      </c>
      <c r="F99" s="87">
        <f>E99</f>
        <v>210090.87</v>
      </c>
      <c r="G99" s="88">
        <f t="shared" si="14"/>
        <v>0</v>
      </c>
      <c r="H99" s="88">
        <f t="shared" si="17"/>
        <v>0</v>
      </c>
      <c r="I99" s="143">
        <f t="shared" si="15"/>
        <v>178384.47243750002</v>
      </c>
      <c r="J99" s="143">
        <f t="shared" si="16"/>
        <v>40200.000000000007</v>
      </c>
      <c r="K99" s="143"/>
      <c r="L99" s="169"/>
      <c r="M99" s="89">
        <f t="shared" si="18"/>
        <v>218584.87</v>
      </c>
      <c r="N99" s="159">
        <f t="shared" si="20"/>
        <v>225142.87</v>
      </c>
      <c r="O99" s="53">
        <f t="shared" si="19"/>
        <v>0.87000000000000055</v>
      </c>
    </row>
    <row r="100" spans="1:16" x14ac:dyDescent="0.3">
      <c r="A100" s="148">
        <f t="shared" si="21"/>
        <v>88</v>
      </c>
      <c r="B100" s="91" t="s">
        <v>88</v>
      </c>
      <c r="C100" s="90"/>
      <c r="D100" s="85">
        <v>1.1200000000000001</v>
      </c>
      <c r="E100" s="86">
        <v>175598.88</v>
      </c>
      <c r="F100" s="87">
        <f>E100</f>
        <v>175598.88</v>
      </c>
      <c r="G100" s="88">
        <f t="shared" si="14"/>
        <v>0</v>
      </c>
      <c r="H100" s="88">
        <f t="shared" si="17"/>
        <v>0</v>
      </c>
      <c r="I100" s="143">
        <f t="shared" si="15"/>
        <v>149097.46950000001</v>
      </c>
      <c r="J100" s="143">
        <f t="shared" si="16"/>
        <v>33600.000000000007</v>
      </c>
      <c r="K100" s="143"/>
      <c r="L100" s="169"/>
      <c r="M100" s="89">
        <f t="shared" si="18"/>
        <v>182697.88</v>
      </c>
      <c r="N100" s="159">
        <f t="shared" si="20"/>
        <v>188178.88</v>
      </c>
      <c r="O100" s="53">
        <f t="shared" si="19"/>
        <v>0.88000000000000056</v>
      </c>
    </row>
    <row r="101" spans="1:16" x14ac:dyDescent="0.3">
      <c r="A101" s="148">
        <f t="shared" si="21"/>
        <v>89</v>
      </c>
      <c r="B101" s="91" t="s">
        <v>89</v>
      </c>
      <c r="C101" s="90"/>
      <c r="D101" s="85">
        <v>1.17</v>
      </c>
      <c r="E101" s="86">
        <v>183437.89</v>
      </c>
      <c r="F101" s="87">
        <f t="shared" ref="F101:F109" si="22">E101</f>
        <v>183437.89</v>
      </c>
      <c r="G101" s="88">
        <f t="shared" si="14"/>
        <v>0</v>
      </c>
      <c r="H101" s="88">
        <f t="shared" si="17"/>
        <v>0</v>
      </c>
      <c r="I101" s="143">
        <f t="shared" si="15"/>
        <v>155753.60653125</v>
      </c>
      <c r="J101" s="143">
        <f t="shared" si="16"/>
        <v>35100</v>
      </c>
      <c r="K101" s="143"/>
      <c r="L101" s="169"/>
      <c r="M101" s="89">
        <f t="shared" si="18"/>
        <v>190854.89</v>
      </c>
      <c r="N101" s="159">
        <f t="shared" si="20"/>
        <v>196580.89</v>
      </c>
      <c r="O101" s="53">
        <f t="shared" si="19"/>
        <v>0.89000000000000057</v>
      </c>
    </row>
    <row r="102" spans="1:16" x14ac:dyDescent="0.3">
      <c r="A102" s="148">
        <f t="shared" si="21"/>
        <v>90</v>
      </c>
      <c r="B102" s="91" t="s">
        <v>90</v>
      </c>
      <c r="C102" s="90"/>
      <c r="D102" s="85">
        <v>0.1</v>
      </c>
      <c r="E102" s="86">
        <v>15678.9</v>
      </c>
      <c r="F102" s="87">
        <f>E102</f>
        <v>15678.9</v>
      </c>
      <c r="G102" s="88">
        <f t="shared" si="14"/>
        <v>0</v>
      </c>
      <c r="H102" s="88">
        <f t="shared" si="17"/>
        <v>0</v>
      </c>
      <c r="I102" s="143">
        <f t="shared" si="15"/>
        <v>13312.274062500001</v>
      </c>
      <c r="J102" s="143">
        <f t="shared" si="16"/>
        <v>3000</v>
      </c>
      <c r="K102" s="143"/>
      <c r="L102" s="169"/>
      <c r="M102" s="89">
        <f t="shared" si="18"/>
        <v>16312.9</v>
      </c>
      <c r="N102" s="159">
        <f t="shared" si="20"/>
        <v>16801.900000000001</v>
      </c>
      <c r="O102" s="53">
        <f t="shared" si="19"/>
        <v>0.90000000000000058</v>
      </c>
    </row>
    <row r="103" spans="1:16" x14ac:dyDescent="0.3">
      <c r="A103" s="148">
        <f t="shared" si="21"/>
        <v>91</v>
      </c>
      <c r="B103" s="91" t="s">
        <v>91</v>
      </c>
      <c r="C103" s="90"/>
      <c r="D103" s="85">
        <v>0.1</v>
      </c>
      <c r="E103" s="86">
        <v>33131.910000000003</v>
      </c>
      <c r="F103" s="87">
        <f>E103</f>
        <v>33131.910000000003</v>
      </c>
      <c r="G103" s="88">
        <f t="shared" si="14"/>
        <v>0</v>
      </c>
      <c r="H103" s="88">
        <f t="shared" si="17"/>
        <v>0</v>
      </c>
      <c r="I103" s="143">
        <f t="shared" si="15"/>
        <v>13312.274062500001</v>
      </c>
      <c r="J103" s="143">
        <f t="shared" si="16"/>
        <v>3000</v>
      </c>
      <c r="K103" s="143"/>
      <c r="L103" s="169"/>
      <c r="M103" s="89">
        <f t="shared" si="18"/>
        <v>16312.91</v>
      </c>
      <c r="N103" s="159">
        <f t="shared" si="20"/>
        <v>16801.91</v>
      </c>
      <c r="O103" s="53">
        <f t="shared" si="19"/>
        <v>0.91000000000000059</v>
      </c>
    </row>
    <row r="104" spans="1:16" x14ac:dyDescent="0.3">
      <c r="A104" s="148">
        <f t="shared" si="21"/>
        <v>92</v>
      </c>
      <c r="B104" s="91" t="s">
        <v>92</v>
      </c>
      <c r="C104" s="90"/>
      <c r="D104" s="85">
        <v>0.1</v>
      </c>
      <c r="E104" s="86">
        <v>15678.92</v>
      </c>
      <c r="F104" s="87">
        <f>E104</f>
        <v>15678.92</v>
      </c>
      <c r="G104" s="88">
        <f t="shared" si="14"/>
        <v>0</v>
      </c>
      <c r="H104" s="88">
        <f t="shared" si="17"/>
        <v>0</v>
      </c>
      <c r="I104" s="143">
        <f t="shared" si="15"/>
        <v>13312.274062500001</v>
      </c>
      <c r="J104" s="143">
        <f t="shared" si="16"/>
        <v>3000</v>
      </c>
      <c r="K104" s="143"/>
      <c r="L104" s="169"/>
      <c r="M104" s="89">
        <f t="shared" si="18"/>
        <v>16312.92</v>
      </c>
      <c r="N104" s="159">
        <f t="shared" si="20"/>
        <v>16801.919999999998</v>
      </c>
      <c r="O104" s="53">
        <f t="shared" si="19"/>
        <v>0.9200000000000006</v>
      </c>
    </row>
    <row r="105" spans="1:16" x14ac:dyDescent="0.3">
      <c r="A105" s="150">
        <f t="shared" si="21"/>
        <v>93</v>
      </c>
      <c r="B105" s="124" t="s">
        <v>93</v>
      </c>
      <c r="C105" s="123"/>
      <c r="D105" s="120">
        <v>0.1</v>
      </c>
      <c r="E105" s="87">
        <v>15226.93</v>
      </c>
      <c r="F105" s="87">
        <v>15683.93</v>
      </c>
      <c r="G105" s="121">
        <f t="shared" si="14"/>
        <v>-457</v>
      </c>
      <c r="H105" s="121">
        <f t="shared" si="17"/>
        <v>0</v>
      </c>
      <c r="I105" s="145">
        <f t="shared" si="15"/>
        <v>13312.274062500001</v>
      </c>
      <c r="J105" s="145">
        <f t="shared" si="16"/>
        <v>3000</v>
      </c>
      <c r="K105" s="145"/>
      <c r="L105" s="171"/>
      <c r="M105" s="89">
        <f t="shared" si="18"/>
        <v>15855.93</v>
      </c>
      <c r="N105" s="161">
        <f t="shared" si="20"/>
        <v>16331.93</v>
      </c>
      <c r="O105" s="53">
        <f t="shared" si="19"/>
        <v>0.9300000000000006</v>
      </c>
    </row>
    <row r="106" spans="1:16" x14ac:dyDescent="0.3">
      <c r="A106" s="150">
        <f t="shared" si="21"/>
        <v>94</v>
      </c>
      <c r="B106" s="124" t="s">
        <v>94</v>
      </c>
      <c r="C106" s="123"/>
      <c r="D106" s="120">
        <v>0.1</v>
      </c>
      <c r="E106" s="87">
        <v>15678.94</v>
      </c>
      <c r="F106" s="87">
        <f>E106</f>
        <v>15678.94</v>
      </c>
      <c r="G106" s="121">
        <f t="shared" si="14"/>
        <v>0</v>
      </c>
      <c r="H106" s="121">
        <f t="shared" si="17"/>
        <v>0</v>
      </c>
      <c r="I106" s="145">
        <f>J$2*D106/100</f>
        <v>13312.274062500001</v>
      </c>
      <c r="J106" s="145">
        <f t="shared" si="16"/>
        <v>3000</v>
      </c>
      <c r="K106" s="145"/>
      <c r="L106" s="171"/>
      <c r="M106" s="89">
        <f t="shared" si="18"/>
        <v>16312.94</v>
      </c>
      <c r="N106" s="161">
        <f t="shared" si="20"/>
        <v>16801.940000000002</v>
      </c>
      <c r="O106" s="53">
        <f t="shared" si="19"/>
        <v>0.94000000000000061</v>
      </c>
    </row>
    <row r="107" spans="1:16" ht="24" customHeight="1" x14ac:dyDescent="0.3">
      <c r="A107" s="150">
        <f t="shared" si="21"/>
        <v>95</v>
      </c>
      <c r="B107" s="124" t="s">
        <v>172</v>
      </c>
      <c r="C107" s="123"/>
      <c r="D107" s="120">
        <v>0.1</v>
      </c>
      <c r="E107" s="87">
        <v>15678.95</v>
      </c>
      <c r="F107" s="87">
        <f>E107</f>
        <v>15678.95</v>
      </c>
      <c r="G107" s="121">
        <f t="shared" si="14"/>
        <v>0</v>
      </c>
      <c r="H107" s="121">
        <f t="shared" si="17"/>
        <v>0</v>
      </c>
      <c r="I107" s="145">
        <f t="shared" si="15"/>
        <v>13312.274062500001</v>
      </c>
      <c r="J107" s="145">
        <f t="shared" si="16"/>
        <v>3000</v>
      </c>
      <c r="K107" s="145"/>
      <c r="L107" s="171"/>
      <c r="M107" s="89">
        <f t="shared" si="18"/>
        <v>16312.95</v>
      </c>
      <c r="N107" s="161">
        <f t="shared" si="20"/>
        <v>16801.95</v>
      </c>
      <c r="O107" s="53">
        <f t="shared" si="19"/>
        <v>0.95000000000000062</v>
      </c>
    </row>
    <row r="108" spans="1:16" x14ac:dyDescent="0.3">
      <c r="A108" s="150">
        <f t="shared" si="21"/>
        <v>96</v>
      </c>
      <c r="B108" s="124" t="s">
        <v>94</v>
      </c>
      <c r="C108" s="123"/>
      <c r="D108" s="120">
        <v>0.1</v>
      </c>
      <c r="E108" s="87">
        <v>15678.96</v>
      </c>
      <c r="F108" s="87">
        <v>16148.96</v>
      </c>
      <c r="G108" s="121">
        <f t="shared" si="14"/>
        <v>-470</v>
      </c>
      <c r="H108" s="121">
        <f t="shared" si="17"/>
        <v>0</v>
      </c>
      <c r="I108" s="145">
        <f t="shared" si="15"/>
        <v>13312.274062500001</v>
      </c>
      <c r="J108" s="145">
        <f t="shared" si="16"/>
        <v>3000</v>
      </c>
      <c r="K108" s="145"/>
      <c r="L108" s="171"/>
      <c r="M108" s="89">
        <f t="shared" si="18"/>
        <v>15842.96</v>
      </c>
      <c r="N108" s="161">
        <f t="shared" si="20"/>
        <v>16317.96</v>
      </c>
      <c r="O108" s="53">
        <f t="shared" si="19"/>
        <v>0.96000000000000063</v>
      </c>
      <c r="P108" t="s">
        <v>160</v>
      </c>
    </row>
    <row r="109" spans="1:16" x14ac:dyDescent="0.3">
      <c r="A109" s="150">
        <f t="shared" si="21"/>
        <v>97</v>
      </c>
      <c r="B109" s="124" t="s">
        <v>95</v>
      </c>
      <c r="C109" s="123"/>
      <c r="D109" s="120">
        <v>0.1</v>
      </c>
      <c r="E109" s="87">
        <v>15678.97</v>
      </c>
      <c r="F109" s="87">
        <f t="shared" si="22"/>
        <v>15678.97</v>
      </c>
      <c r="G109" s="121">
        <f t="shared" si="14"/>
        <v>0</v>
      </c>
      <c r="H109" s="121">
        <f t="shared" si="17"/>
        <v>0</v>
      </c>
      <c r="I109" s="145">
        <f t="shared" ref="I109:I115" si="23">J$2*D109/100</f>
        <v>13312.274062500001</v>
      </c>
      <c r="J109" s="145">
        <f t="shared" ref="J109:J115" si="24">E$2*D109/100</f>
        <v>3000</v>
      </c>
      <c r="K109" s="145"/>
      <c r="L109" s="171"/>
      <c r="M109" s="89">
        <f t="shared" si="18"/>
        <v>16312.97</v>
      </c>
      <c r="N109" s="161">
        <f t="shared" si="20"/>
        <v>16801.97</v>
      </c>
      <c r="O109" s="53">
        <f t="shared" si="19"/>
        <v>0.97000000000000064</v>
      </c>
    </row>
    <row r="110" spans="1:16" x14ac:dyDescent="0.3">
      <c r="A110" s="150">
        <f t="shared" si="21"/>
        <v>98</v>
      </c>
      <c r="B110" s="124" t="s">
        <v>96</v>
      </c>
      <c r="C110" s="123"/>
      <c r="D110" s="120">
        <v>0.1</v>
      </c>
      <c r="E110" s="87">
        <v>15678.98</v>
      </c>
      <c r="F110" s="87">
        <f>E110</f>
        <v>15678.98</v>
      </c>
      <c r="G110" s="121">
        <f t="shared" si="14"/>
        <v>0</v>
      </c>
      <c r="H110" s="121">
        <f t="shared" si="17"/>
        <v>0</v>
      </c>
      <c r="I110" s="145">
        <f t="shared" si="23"/>
        <v>13312.274062500001</v>
      </c>
      <c r="J110" s="145">
        <f t="shared" si="24"/>
        <v>3000</v>
      </c>
      <c r="K110" s="145"/>
      <c r="L110" s="171"/>
      <c r="M110" s="89">
        <f t="shared" si="18"/>
        <v>16312.98</v>
      </c>
      <c r="N110" s="161">
        <f t="shared" si="20"/>
        <v>16801.98</v>
      </c>
      <c r="O110" s="53">
        <f t="shared" si="19"/>
        <v>0.98000000000000065</v>
      </c>
    </row>
    <row r="111" spans="1:16" x14ac:dyDescent="0.3">
      <c r="A111" s="150">
        <f t="shared" si="21"/>
        <v>99</v>
      </c>
      <c r="B111" s="124" t="s">
        <v>97</v>
      </c>
      <c r="C111" s="123"/>
      <c r="D111" s="120">
        <v>0.1</v>
      </c>
      <c r="E111" s="87">
        <v>15239.99</v>
      </c>
      <c r="F111" s="87">
        <v>15239.99</v>
      </c>
      <c r="G111" s="121">
        <f t="shared" si="14"/>
        <v>0</v>
      </c>
      <c r="H111" s="121">
        <f t="shared" si="17"/>
        <v>0</v>
      </c>
      <c r="I111" s="145">
        <f t="shared" si="23"/>
        <v>13312.274062500001</v>
      </c>
      <c r="J111" s="145">
        <f t="shared" si="24"/>
        <v>3000</v>
      </c>
      <c r="K111" s="145"/>
      <c r="L111" s="171"/>
      <c r="M111" s="89">
        <f t="shared" si="18"/>
        <v>16312.99</v>
      </c>
      <c r="N111" s="161">
        <f t="shared" si="20"/>
        <v>16801.989999999998</v>
      </c>
      <c r="O111" s="53">
        <f t="shared" si="19"/>
        <v>0.99000000000000066</v>
      </c>
    </row>
    <row r="112" spans="1:16" x14ac:dyDescent="0.3">
      <c r="A112" s="150">
        <f t="shared" si="21"/>
        <v>100</v>
      </c>
      <c r="B112" s="124" t="s">
        <v>98</v>
      </c>
      <c r="C112" s="123"/>
      <c r="D112" s="120">
        <v>0.1</v>
      </c>
      <c r="E112" s="87">
        <v>31208</v>
      </c>
      <c r="F112" s="87">
        <f>E112</f>
        <v>31208</v>
      </c>
      <c r="G112" s="121">
        <f t="shared" si="14"/>
        <v>0</v>
      </c>
      <c r="H112" s="121">
        <f t="shared" si="17"/>
        <v>0</v>
      </c>
      <c r="I112" s="145">
        <f t="shared" si="23"/>
        <v>13312.274062500001</v>
      </c>
      <c r="J112" s="145">
        <f t="shared" si="24"/>
        <v>3000</v>
      </c>
      <c r="K112" s="145"/>
      <c r="L112" s="171"/>
      <c r="M112" s="89">
        <f t="shared" si="18"/>
        <v>16313</v>
      </c>
      <c r="N112" s="161">
        <f t="shared" si="20"/>
        <v>16802</v>
      </c>
      <c r="O112" s="53">
        <f t="shared" si="19"/>
        <v>1.0000000000000007</v>
      </c>
    </row>
    <row r="113" spans="1:15" x14ac:dyDescent="0.3">
      <c r="A113" s="150">
        <f t="shared" si="21"/>
        <v>101</v>
      </c>
      <c r="B113" s="118" t="s">
        <v>99</v>
      </c>
      <c r="C113" s="123"/>
      <c r="D113" s="120">
        <v>0.1</v>
      </c>
      <c r="E113" s="87">
        <v>15227.01</v>
      </c>
      <c r="F113" s="87">
        <v>15684.01</v>
      </c>
      <c r="G113" s="121">
        <f t="shared" si="14"/>
        <v>-457</v>
      </c>
      <c r="H113" s="121">
        <f t="shared" si="17"/>
        <v>0</v>
      </c>
      <c r="I113" s="145">
        <f t="shared" si="23"/>
        <v>13312.274062500001</v>
      </c>
      <c r="J113" s="145">
        <f t="shared" si="24"/>
        <v>3000</v>
      </c>
      <c r="K113" s="145"/>
      <c r="L113" s="171"/>
      <c r="M113" s="89">
        <f t="shared" si="18"/>
        <v>15856.01</v>
      </c>
      <c r="N113" s="161">
        <f t="shared" si="20"/>
        <v>16332.01</v>
      </c>
      <c r="O113" s="53">
        <f t="shared" si="19"/>
        <v>1.0100000000000007</v>
      </c>
    </row>
    <row r="114" spans="1:15" x14ac:dyDescent="0.3">
      <c r="A114" s="150">
        <f t="shared" si="21"/>
        <v>102</v>
      </c>
      <c r="B114" s="118" t="s">
        <v>100</v>
      </c>
      <c r="C114" s="123"/>
      <c r="D114" s="120">
        <v>0.1</v>
      </c>
      <c r="E114" s="87">
        <v>16629.02</v>
      </c>
      <c r="F114" s="87">
        <f>E114</f>
        <v>16629.02</v>
      </c>
      <c r="G114" s="121">
        <f t="shared" si="14"/>
        <v>0</v>
      </c>
      <c r="H114" s="121">
        <f t="shared" si="17"/>
        <v>0</v>
      </c>
      <c r="I114" s="145">
        <f t="shared" si="23"/>
        <v>13312.274062500001</v>
      </c>
      <c r="J114" s="145">
        <f t="shared" si="24"/>
        <v>3000</v>
      </c>
      <c r="K114" s="145"/>
      <c r="L114" s="171"/>
      <c r="M114" s="89">
        <f t="shared" si="18"/>
        <v>16313.02</v>
      </c>
      <c r="N114" s="161">
        <f t="shared" si="20"/>
        <v>16802.02</v>
      </c>
      <c r="O114" s="53">
        <f t="shared" si="19"/>
        <v>1.0200000000000007</v>
      </c>
    </row>
    <row r="115" spans="1:15" x14ac:dyDescent="0.3">
      <c r="A115" s="150">
        <f t="shared" si="21"/>
        <v>103</v>
      </c>
      <c r="B115" s="124" t="s">
        <v>238</v>
      </c>
      <c r="C115" s="123"/>
      <c r="D115" s="120">
        <v>0.1</v>
      </c>
      <c r="E115" s="87">
        <v>15679.03</v>
      </c>
      <c r="F115" s="87">
        <f>E115</f>
        <v>15679.03</v>
      </c>
      <c r="G115" s="121">
        <f t="shared" si="14"/>
        <v>0</v>
      </c>
      <c r="H115" s="121">
        <f t="shared" si="17"/>
        <v>0</v>
      </c>
      <c r="I115" s="145">
        <f t="shared" si="23"/>
        <v>13312.274062500001</v>
      </c>
      <c r="J115" s="145">
        <f t="shared" si="24"/>
        <v>3000</v>
      </c>
      <c r="K115" s="145"/>
      <c r="L115" s="171"/>
      <c r="M115" s="89">
        <f t="shared" si="18"/>
        <v>16313.03</v>
      </c>
      <c r="N115" s="161">
        <f t="shared" si="20"/>
        <v>16802.03</v>
      </c>
      <c r="O115" s="53">
        <f t="shared" si="19"/>
        <v>1.0300000000000007</v>
      </c>
    </row>
    <row r="116" spans="1:15" x14ac:dyDescent="0.3">
      <c r="A116" s="150"/>
      <c r="B116" s="118"/>
      <c r="C116" s="123"/>
      <c r="D116" s="120"/>
      <c r="E116" s="87"/>
      <c r="F116" s="87"/>
      <c r="G116" s="121"/>
      <c r="H116" s="121"/>
      <c r="I116" s="145"/>
      <c r="J116" s="145"/>
      <c r="K116" s="145"/>
      <c r="L116" s="171"/>
      <c r="M116" s="122"/>
      <c r="N116" s="161"/>
      <c r="O116" s="53"/>
    </row>
    <row r="117" spans="1:15" ht="17.100000000000001" customHeight="1" thickBot="1" x14ac:dyDescent="0.35">
      <c r="A117" s="152"/>
      <c r="B117" s="153"/>
      <c r="C117" s="153"/>
      <c r="D117" s="154">
        <f t="shared" ref="D117:N117" si="25">SUM(D13:D116)</f>
        <v>100.15999999999993</v>
      </c>
      <c r="E117" s="155">
        <f t="shared" si="25"/>
        <v>34308152.560000002</v>
      </c>
      <c r="F117" s="156">
        <f>SUM(F13:F116)</f>
        <v>16721537.399999997</v>
      </c>
      <c r="G117" s="156">
        <f t="shared" si="25"/>
        <v>17586615.16</v>
      </c>
      <c r="H117" s="156">
        <f t="shared" si="25"/>
        <v>530390.38199999987</v>
      </c>
      <c r="I117" s="157">
        <f t="shared" si="25"/>
        <v>13333573.700999971</v>
      </c>
      <c r="J117" s="156">
        <f t="shared" si="25"/>
        <v>3004800</v>
      </c>
      <c r="K117" s="158"/>
      <c r="L117" s="173"/>
      <c r="M117" s="166">
        <f t="shared" si="25"/>
        <v>35886729.56000001</v>
      </c>
      <c r="N117" s="163">
        <f t="shared" si="25"/>
        <v>36963336.560000002</v>
      </c>
    </row>
    <row r="118" spans="1:15" ht="12.75" customHeight="1" x14ac:dyDescent="0.3">
      <c r="B118" s="92"/>
      <c r="C118" s="92"/>
    </row>
    <row r="119" spans="1:15" hidden="1" x14ac:dyDescent="0.3"/>
    <row r="120" spans="1:15" ht="9" customHeight="1" x14ac:dyDescent="0.3">
      <c r="B120" s="279" t="s">
        <v>105</v>
      </c>
      <c r="C120" s="279"/>
      <c r="D120" s="279"/>
      <c r="E120" s="279"/>
      <c r="F120" s="279"/>
      <c r="G120" s="279"/>
      <c r="H120" s="279"/>
      <c r="I120" s="279"/>
      <c r="J120" s="279"/>
      <c r="K120" s="279"/>
      <c r="L120" s="279"/>
      <c r="M120" s="279"/>
    </row>
    <row r="121" spans="1:15" ht="12" hidden="1" customHeight="1" x14ac:dyDescent="0.3">
      <c r="B121" s="279"/>
      <c r="C121" s="279"/>
      <c r="D121" s="279"/>
      <c r="E121" s="279"/>
      <c r="F121" s="279"/>
      <c r="G121" s="279"/>
      <c r="H121" s="279"/>
      <c r="I121" s="279"/>
      <c r="J121" s="279"/>
      <c r="K121" s="279"/>
      <c r="L121" s="279"/>
      <c r="M121" s="279"/>
    </row>
    <row r="122" spans="1:15" ht="12" hidden="1" customHeight="1" x14ac:dyDescent="0.3">
      <c r="B122" s="279"/>
      <c r="C122" s="279"/>
      <c r="D122" s="279"/>
      <c r="E122" s="279"/>
      <c r="F122" s="279"/>
      <c r="G122" s="279"/>
      <c r="H122" s="279"/>
      <c r="I122" s="279"/>
      <c r="J122" s="279"/>
      <c r="K122" s="279"/>
      <c r="L122" s="279"/>
      <c r="M122" s="279"/>
    </row>
    <row r="123" spans="1:15" ht="12" hidden="1" customHeight="1" x14ac:dyDescent="0.3">
      <c r="B123" s="279"/>
      <c r="C123" s="279"/>
      <c r="D123" s="279"/>
      <c r="E123" s="279"/>
      <c r="F123" s="279"/>
      <c r="G123" s="279"/>
      <c r="H123" s="279"/>
      <c r="I123" s="279"/>
      <c r="J123" s="279"/>
      <c r="K123" s="279"/>
      <c r="L123" s="279"/>
      <c r="M123" s="279"/>
    </row>
    <row r="124" spans="1:15" ht="12" hidden="1" customHeight="1" x14ac:dyDescent="0.3">
      <c r="B124" s="279"/>
      <c r="C124" s="279"/>
      <c r="D124" s="279"/>
      <c r="E124" s="279"/>
      <c r="F124" s="279"/>
      <c r="G124" s="279"/>
      <c r="H124" s="279"/>
      <c r="I124" s="279"/>
      <c r="J124" s="279"/>
      <c r="K124" s="279"/>
      <c r="L124" s="279"/>
      <c r="M124" s="279"/>
    </row>
    <row r="125" spans="1:15" ht="67.5" customHeight="1" x14ac:dyDescent="0.3">
      <c r="B125" s="279"/>
      <c r="C125" s="279"/>
      <c r="D125" s="279"/>
      <c r="E125" s="279"/>
      <c r="F125" s="279"/>
      <c r="G125" s="279"/>
      <c r="H125" s="279"/>
      <c r="I125" s="279"/>
      <c r="J125" s="279"/>
      <c r="K125" s="279"/>
      <c r="L125" s="279"/>
      <c r="M125" s="279"/>
    </row>
  </sheetData>
  <mergeCells count="19">
    <mergeCell ref="J11:J12"/>
    <mergeCell ref="N11:N12"/>
    <mergeCell ref="B120:M125"/>
    <mergeCell ref="D1:M1"/>
    <mergeCell ref="A4:N8"/>
    <mergeCell ref="A11:A12"/>
    <mergeCell ref="B11:B12"/>
    <mergeCell ref="C11:C12"/>
    <mergeCell ref="D11:D12"/>
    <mergeCell ref="E11:E12"/>
    <mergeCell ref="F11:F12"/>
    <mergeCell ref="G11:G12"/>
    <mergeCell ref="H11:H12"/>
    <mergeCell ref="A9:N9"/>
    <mergeCell ref="A10:N10"/>
    <mergeCell ref="E2:F2"/>
    <mergeCell ref="I11:I12"/>
    <mergeCell ref="K11:K12"/>
    <mergeCell ref="L11:L12"/>
  </mergeCells>
  <pageMargins left="0.23622047244094491" right="0.23622047244094491" top="0.74803149606299213" bottom="0.74803149606299213" header="0.31496062992125984" footer="0.31496062992125984"/>
  <pageSetup paperSize="3" scale="80"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D35F41-74CB-4294-A7A2-EC3C67574818}">
  <dimension ref="A3:J41"/>
  <sheetViews>
    <sheetView topLeftCell="A22" zoomScaleNormal="100" workbookViewId="0">
      <selection activeCell="I42" sqref="I42"/>
    </sheetView>
  </sheetViews>
  <sheetFormatPr baseColWidth="10" defaultColWidth="10.88671875" defaultRowHeight="14.4" x14ac:dyDescent="0.3"/>
  <cols>
    <col min="3" max="3" width="12.6640625" bestFit="1" customWidth="1"/>
    <col min="9" max="9" width="13" bestFit="1" customWidth="1"/>
  </cols>
  <sheetData>
    <row r="3" spans="1:10" ht="15" thickBot="1" x14ac:dyDescent="0.35">
      <c r="C3" s="22"/>
    </row>
    <row r="4" spans="1:10" ht="13.2" customHeight="1" x14ac:dyDescent="0.3">
      <c r="C4" s="215" t="s">
        <v>256</v>
      </c>
      <c r="D4" s="216">
        <v>1</v>
      </c>
      <c r="E4" s="210"/>
      <c r="F4" s="210"/>
      <c r="G4" s="210"/>
      <c r="H4" s="210"/>
      <c r="I4" s="210"/>
      <c r="J4" s="211"/>
    </row>
    <row r="5" spans="1:10" ht="14.4" customHeight="1" x14ac:dyDescent="0.3">
      <c r="C5" s="217" t="s">
        <v>257</v>
      </c>
      <c r="D5" s="218"/>
      <c r="E5" t="s">
        <v>258</v>
      </c>
      <c r="G5" t="s">
        <v>259</v>
      </c>
      <c r="H5" t="s">
        <v>260</v>
      </c>
      <c r="J5" s="212"/>
    </row>
    <row r="6" spans="1:10" x14ac:dyDescent="0.3">
      <c r="C6" s="217" t="s">
        <v>261</v>
      </c>
      <c r="D6" s="218" t="s">
        <v>262</v>
      </c>
      <c r="E6" t="s">
        <v>263</v>
      </c>
      <c r="G6" t="s">
        <v>130</v>
      </c>
      <c r="H6">
        <v>71</v>
      </c>
      <c r="J6" s="212"/>
    </row>
    <row r="7" spans="1:10" ht="15" thickBot="1" x14ac:dyDescent="0.35">
      <c r="C7" s="50" t="s">
        <v>264</v>
      </c>
      <c r="J7" s="212"/>
    </row>
    <row r="8" spans="1:10" x14ac:dyDescent="0.3">
      <c r="C8" s="280" t="s">
        <v>265</v>
      </c>
      <c r="D8" s="281"/>
      <c r="E8" s="281"/>
      <c r="F8" s="281"/>
      <c r="G8" s="281"/>
      <c r="H8" s="281"/>
      <c r="I8" s="281"/>
      <c r="J8" s="282"/>
    </row>
    <row r="9" spans="1:10" ht="15" thickBot="1" x14ac:dyDescent="0.35">
      <c r="C9" s="283"/>
      <c r="D9" s="284"/>
      <c r="E9" s="284"/>
      <c r="F9" s="284"/>
      <c r="G9" s="284"/>
      <c r="H9" s="284"/>
      <c r="I9" s="284"/>
      <c r="J9" s="285"/>
    </row>
    <row r="11" spans="1:10" ht="15" thickBot="1" x14ac:dyDescent="0.35">
      <c r="A11" s="219"/>
    </row>
    <row r="12" spans="1:10" x14ac:dyDescent="0.3">
      <c r="C12" s="220" t="s">
        <v>256</v>
      </c>
      <c r="D12" s="221">
        <f>D4+1</f>
        <v>2</v>
      </c>
      <c r="E12" s="210"/>
      <c r="F12" s="210"/>
      <c r="G12" s="210"/>
      <c r="H12" s="210"/>
      <c r="I12" s="210"/>
      <c r="J12" s="211"/>
    </row>
    <row r="13" spans="1:10" x14ac:dyDescent="0.3">
      <c r="C13" s="222" t="s">
        <v>257</v>
      </c>
      <c r="D13" s="223"/>
      <c r="E13" t="s">
        <v>258</v>
      </c>
      <c r="G13" t="s">
        <v>259</v>
      </c>
      <c r="H13" t="s">
        <v>260</v>
      </c>
      <c r="J13" s="212"/>
    </row>
    <row r="14" spans="1:10" x14ac:dyDescent="0.3">
      <c r="C14" s="222" t="s">
        <v>261</v>
      </c>
      <c r="D14" s="223" t="s">
        <v>262</v>
      </c>
      <c r="E14" t="s">
        <v>263</v>
      </c>
      <c r="G14" t="s">
        <v>130</v>
      </c>
      <c r="H14" t="s">
        <v>267</v>
      </c>
      <c r="J14" s="212"/>
    </row>
    <row r="15" spans="1:10" ht="15" thickBot="1" x14ac:dyDescent="0.35">
      <c r="C15" s="50" t="s">
        <v>264</v>
      </c>
      <c r="J15" s="212"/>
    </row>
    <row r="16" spans="1:10" x14ac:dyDescent="0.3">
      <c r="C16" s="280" t="s">
        <v>266</v>
      </c>
      <c r="D16" s="281"/>
      <c r="E16" s="281"/>
      <c r="F16" s="281"/>
      <c r="G16" s="281"/>
      <c r="H16" s="281"/>
      <c r="I16" s="281"/>
      <c r="J16" s="282"/>
    </row>
    <row r="17" spans="3:10" ht="15" thickBot="1" x14ac:dyDescent="0.35">
      <c r="C17" s="283"/>
      <c r="D17" s="284"/>
      <c r="E17" s="284"/>
      <c r="F17" s="284"/>
      <c r="G17" s="284"/>
      <c r="H17" s="284"/>
      <c r="I17" s="284"/>
      <c r="J17" s="285"/>
    </row>
    <row r="19" spans="3:10" ht="15" thickBot="1" x14ac:dyDescent="0.35"/>
    <row r="20" spans="3:10" x14ac:dyDescent="0.3">
      <c r="C20" s="227" t="s">
        <v>256</v>
      </c>
      <c r="D20" s="228">
        <f>D12+1</f>
        <v>3</v>
      </c>
      <c r="E20" s="210"/>
      <c r="F20" s="210"/>
      <c r="G20" s="210"/>
      <c r="H20" s="210"/>
      <c r="I20" s="210"/>
      <c r="J20" s="211"/>
    </row>
    <row r="21" spans="3:10" x14ac:dyDescent="0.3">
      <c r="C21" s="229" t="s">
        <v>257</v>
      </c>
      <c r="D21" s="230"/>
      <c r="E21" t="s">
        <v>258</v>
      </c>
      <c r="G21" t="s">
        <v>259</v>
      </c>
      <c r="H21" t="s">
        <v>269</v>
      </c>
      <c r="I21" s="226" t="s">
        <v>268</v>
      </c>
      <c r="J21" s="212"/>
    </row>
    <row r="22" spans="3:10" x14ac:dyDescent="0.3">
      <c r="C22" s="229" t="s">
        <v>261</v>
      </c>
      <c r="D22" s="230" t="s">
        <v>262</v>
      </c>
      <c r="E22" t="s">
        <v>263</v>
      </c>
      <c r="G22" t="s">
        <v>130</v>
      </c>
      <c r="H22" t="s">
        <v>271</v>
      </c>
      <c r="J22" s="212"/>
    </row>
    <row r="23" spans="3:10" ht="15" thickBot="1" x14ac:dyDescent="0.35">
      <c r="C23" s="50" t="s">
        <v>264</v>
      </c>
      <c r="J23" s="212"/>
    </row>
    <row r="24" spans="3:10" x14ac:dyDescent="0.3">
      <c r="C24" s="280" t="s">
        <v>270</v>
      </c>
      <c r="D24" s="281"/>
      <c r="E24" s="281"/>
      <c r="F24" s="281"/>
      <c r="G24" s="281"/>
      <c r="H24" s="281"/>
      <c r="I24" s="281"/>
      <c r="J24" s="282"/>
    </row>
    <row r="25" spans="3:10" ht="15" thickBot="1" x14ac:dyDescent="0.35">
      <c r="C25" s="283"/>
      <c r="D25" s="284"/>
      <c r="E25" s="284"/>
      <c r="F25" s="284"/>
      <c r="G25" s="284"/>
      <c r="H25" s="284"/>
      <c r="I25" s="284"/>
      <c r="J25" s="285"/>
    </row>
    <row r="27" spans="3:10" ht="15" thickBot="1" x14ac:dyDescent="0.35"/>
    <row r="28" spans="3:10" x14ac:dyDescent="0.3">
      <c r="C28" s="233" t="s">
        <v>256</v>
      </c>
      <c r="D28" s="15">
        <f>D20+1</f>
        <v>4</v>
      </c>
      <c r="E28" s="210"/>
      <c r="F28" s="210"/>
      <c r="G28" s="210"/>
      <c r="H28" s="210"/>
      <c r="I28" s="210"/>
      <c r="J28" s="211"/>
    </row>
    <row r="29" spans="3:10" x14ac:dyDescent="0.3">
      <c r="C29" s="234" t="s">
        <v>257</v>
      </c>
      <c r="D29" s="235"/>
      <c r="E29" t="s">
        <v>258</v>
      </c>
      <c r="G29" t="s">
        <v>259</v>
      </c>
      <c r="H29" t="s">
        <v>272</v>
      </c>
      <c r="I29" s="226"/>
      <c r="J29" s="212"/>
    </row>
    <row r="30" spans="3:10" x14ac:dyDescent="0.3">
      <c r="C30" s="234" t="s">
        <v>261</v>
      </c>
      <c r="D30" s="235" t="s">
        <v>262</v>
      </c>
      <c r="E30" t="s">
        <v>263</v>
      </c>
      <c r="G30" t="s">
        <v>130</v>
      </c>
      <c r="H30">
        <v>46</v>
      </c>
      <c r="I30" t="s">
        <v>274</v>
      </c>
      <c r="J30" s="212"/>
    </row>
    <row r="31" spans="3:10" ht="15" thickBot="1" x14ac:dyDescent="0.35">
      <c r="C31" s="50" t="s">
        <v>264</v>
      </c>
      <c r="J31" s="212"/>
    </row>
    <row r="32" spans="3:10" x14ac:dyDescent="0.3">
      <c r="C32" s="280" t="s">
        <v>273</v>
      </c>
      <c r="D32" s="281"/>
      <c r="E32" s="281"/>
      <c r="F32" s="281"/>
      <c r="G32" s="281"/>
      <c r="H32" s="281"/>
      <c r="I32" s="281"/>
      <c r="J32" s="282"/>
    </row>
    <row r="33" spans="3:10" ht="15" thickBot="1" x14ac:dyDescent="0.35">
      <c r="C33" s="283"/>
      <c r="D33" s="284"/>
      <c r="E33" s="284"/>
      <c r="F33" s="284"/>
      <c r="G33" s="284"/>
      <c r="H33" s="284"/>
      <c r="I33" s="284"/>
      <c r="J33" s="285"/>
    </row>
    <row r="35" spans="3:10" ht="15" thickBot="1" x14ac:dyDescent="0.35"/>
    <row r="36" spans="3:10" x14ac:dyDescent="0.3">
      <c r="C36" s="286" t="s">
        <v>256</v>
      </c>
      <c r="D36" s="287">
        <f>D28+1</f>
        <v>5</v>
      </c>
      <c r="E36" s="210"/>
      <c r="F36" s="210"/>
      <c r="G36" s="210"/>
      <c r="H36" s="210"/>
      <c r="I36" s="210"/>
      <c r="J36" s="211"/>
    </row>
    <row r="37" spans="3:10" x14ac:dyDescent="0.3">
      <c r="C37" s="288" t="s">
        <v>257</v>
      </c>
      <c r="D37" s="289"/>
      <c r="E37" t="s">
        <v>258</v>
      </c>
      <c r="G37" t="s">
        <v>259</v>
      </c>
      <c r="H37" t="s">
        <v>275</v>
      </c>
      <c r="I37" s="226"/>
      <c r="J37" s="212"/>
    </row>
    <row r="38" spans="3:10" x14ac:dyDescent="0.3">
      <c r="C38" s="288" t="s">
        <v>261</v>
      </c>
      <c r="D38" s="289" t="s">
        <v>262</v>
      </c>
      <c r="E38" t="s">
        <v>263</v>
      </c>
      <c r="G38" t="s">
        <v>130</v>
      </c>
      <c r="H38" t="s">
        <v>276</v>
      </c>
      <c r="J38" s="212"/>
    </row>
    <row r="39" spans="3:10" ht="15" thickBot="1" x14ac:dyDescent="0.35">
      <c r="C39" s="50" t="s">
        <v>264</v>
      </c>
      <c r="J39" s="212"/>
    </row>
    <row r="40" spans="3:10" x14ac:dyDescent="0.3">
      <c r="C40" s="280" t="s">
        <v>277</v>
      </c>
      <c r="D40" s="281"/>
      <c r="E40" s="281"/>
      <c r="F40" s="281"/>
      <c r="G40" s="281"/>
      <c r="H40" s="281"/>
      <c r="I40" s="281"/>
      <c r="J40" s="282"/>
    </row>
    <row r="41" spans="3:10" ht="15" thickBot="1" x14ac:dyDescent="0.35">
      <c r="C41" s="283"/>
      <c r="D41" s="284"/>
      <c r="E41" s="284"/>
      <c r="F41" s="284"/>
      <c r="G41" s="284"/>
      <c r="H41" s="284"/>
      <c r="I41" s="284"/>
      <c r="J41" s="285"/>
    </row>
  </sheetData>
  <mergeCells count="5">
    <mergeCell ref="C8:J9"/>
    <mergeCell ref="C16:J17"/>
    <mergeCell ref="C24:J25"/>
    <mergeCell ref="C32:J33"/>
    <mergeCell ref="C40:J41"/>
  </mergeCells>
  <hyperlinks>
    <hyperlink ref="I21" r:id="rId1" xr:uid="{594C449D-3B6C-4B8F-B1F1-8C5EBB24B131}"/>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3</vt:i4>
      </vt:variant>
      <vt:variant>
        <vt:lpstr>Rangos con nombre</vt:lpstr>
      </vt:variant>
      <vt:variant>
        <vt:i4>2</vt:i4>
      </vt:variant>
    </vt:vector>
  </HeadingPairs>
  <TitlesOfParts>
    <vt:vector size="5" baseType="lpstr">
      <vt:lpstr>RESUMEN</vt:lpstr>
      <vt:lpstr>PRORRATEO</vt:lpstr>
      <vt:lpstr>ANOTACIONES</vt:lpstr>
      <vt:lpstr>PRORRATEO!Área_de_impresión</vt:lpstr>
      <vt:lpstr>RESUMEN!Área_de_impresión</vt:lpstr>
    </vt:vector>
  </TitlesOfParts>
  <Company>...</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c:creator>
  <cp:lastModifiedBy>Mateo Quotteri</cp:lastModifiedBy>
  <cp:lastPrinted>2026-05-11T11:44:39Z</cp:lastPrinted>
  <dcterms:created xsi:type="dcterms:W3CDTF">2016-01-12T20:02:43Z</dcterms:created>
  <dcterms:modified xsi:type="dcterms:W3CDTF">2026-05-20T19:10:28Z</dcterms:modified>
</cp:coreProperties>
</file>