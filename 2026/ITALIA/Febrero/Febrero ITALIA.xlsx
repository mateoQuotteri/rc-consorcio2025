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AD92C6BA-2604-48AA-8334-2FB5C60DF8BB}"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PRORRATEO!$A$1:$L$125</definedName>
    <definedName name="_xlnm.Print_Area" localSheetId="0">RESUMEN!$A$1:$E$140</definedName>
  </definedNames>
  <calcPr calcId="181029"/>
</workbook>
</file>

<file path=xl/calcChain.xml><?xml version="1.0" encoding="utf-8"?>
<calcChain xmlns="http://schemas.openxmlformats.org/spreadsheetml/2006/main">
  <c r="F16" i="5" l="1"/>
  <c r="F51" i="5" l="1"/>
  <c r="F38" i="5" l="1"/>
  <c r="F49" i="5"/>
  <c r="F76" i="5"/>
  <c r="F71" i="5" l="1"/>
  <c r="F29" i="5"/>
  <c r="F27" i="5"/>
  <c r="F25" i="5"/>
  <c r="F62" i="5"/>
  <c r="F39" i="5"/>
  <c r="F115" i="5"/>
  <c r="F48" i="5"/>
  <c r="F31" i="5"/>
  <c r="F35" i="5"/>
  <c r="F20" i="5"/>
  <c r="F106" i="5"/>
  <c r="B120" i="4"/>
  <c r="F83" i="5"/>
  <c r="F100" i="5"/>
  <c r="F73" i="5"/>
  <c r="D54" i="4"/>
  <c r="F96" i="5" s="1"/>
  <c r="D76" i="4"/>
  <c r="F95" i="5" l="1"/>
  <c r="F113" i="5"/>
  <c r="F105" i="5"/>
  <c r="E26" i="4"/>
  <c r="E73" i="4" l="1"/>
  <c r="E37" i="4"/>
  <c r="E49" i="4"/>
  <c r="F60" i="5"/>
  <c r="F33" i="5"/>
  <c r="F97" i="5" l="1"/>
  <c r="F70" i="5"/>
  <c r="F75" i="5"/>
  <c r="F101" i="5"/>
  <c r="F15" i="5"/>
  <c r="F18" i="5"/>
  <c r="E29" i="4"/>
  <c r="E67" i="4"/>
  <c r="K12" i="5" l="1"/>
  <c r="B140" i="4"/>
  <c r="F23" i="5"/>
  <c r="F98" i="5"/>
  <c r="F84" i="5"/>
  <c r="F13" i="5"/>
  <c r="F46" i="5"/>
  <c r="F19" i="5"/>
  <c r="F91" i="5"/>
  <c r="F112" i="5"/>
  <c r="F57" i="5"/>
  <c r="F109" i="5"/>
  <c r="F87" i="5"/>
  <c r="F108" i="5"/>
  <c r="I106" i="5"/>
  <c r="F110" i="5"/>
  <c r="F88" i="5"/>
  <c r="F104" i="5"/>
  <c r="F94" i="5"/>
  <c r="E35" i="4" l="1"/>
  <c r="E34" i="4"/>
  <c r="F64" i="5"/>
  <c r="F117" i="5" l="1"/>
  <c r="E79"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8" i="4"/>
  <c r="E91" i="4"/>
  <c r="E96" i="4" s="1"/>
  <c r="B100" i="4" s="1"/>
  <c r="E83" i="4" l="1"/>
  <c r="B99" i="4" s="1"/>
  <c r="B117" i="4" s="1"/>
  <c r="K15" i="5"/>
  <c r="I117" i="5"/>
  <c r="J117" i="5"/>
  <c r="K16" i="5"/>
  <c r="H14" i="5"/>
  <c r="K14" i="5" s="1"/>
  <c r="H32" i="5"/>
  <c r="M17" i="5"/>
  <c r="B101" i="4"/>
  <c r="L15" i="5" l="1"/>
  <c r="B98" i="4"/>
  <c r="M18" i="5"/>
  <c r="K17" i="5"/>
  <c r="G13" i="5"/>
  <c r="G117" i="5" s="1"/>
  <c r="B127" i="4"/>
  <c r="B135"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M34" i="5" l="1"/>
  <c r="K33" i="5"/>
  <c r="L33" i="5" s="1"/>
  <c r="M35" i="5" l="1"/>
  <c r="K34" i="5"/>
  <c r="L34" i="5" s="1"/>
  <c r="M36" i="5" l="1"/>
  <c r="K35" i="5"/>
  <c r="L35" i="5" s="1"/>
  <c r="M37" i="5" l="1"/>
  <c r="K36" i="5"/>
  <c r="L36" i="5" s="1"/>
  <c r="M38" i="5" l="1"/>
  <c r="K37" i="5"/>
  <c r="L37" i="5" s="1"/>
  <c r="M39" i="5" l="1"/>
  <c r="K38" i="5"/>
  <c r="L38" i="5" s="1"/>
  <c r="M40" i="5" l="1"/>
  <c r="K39" i="5"/>
  <c r="L39" i="5" s="1"/>
  <c r="M41" i="5" l="1"/>
  <c r="K40" i="5"/>
  <c r="L40" i="5" s="1"/>
  <c r="M42" i="5" l="1"/>
  <c r="K41" i="5"/>
  <c r="L41" i="5" s="1"/>
  <c r="M43" i="5" l="1"/>
  <c r="K42" i="5"/>
  <c r="L42" i="5" s="1"/>
  <c r="M44" i="5" l="1"/>
  <c r="K43" i="5"/>
  <c r="L43" i="5" s="1"/>
  <c r="M45" i="5" l="1"/>
  <c r="K44" i="5"/>
  <c r="L44" i="5" s="1"/>
  <c r="M46" i="5" l="1"/>
  <c r="K45" i="5"/>
  <c r="L45" i="5" s="1"/>
  <c r="M47" i="5" l="1"/>
  <c r="K46" i="5"/>
  <c r="L46" i="5" s="1"/>
  <c r="M48" i="5" l="1"/>
  <c r="K47" i="5"/>
  <c r="L47" i="5" s="1"/>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<sst xmlns="http://schemas.openxmlformats.org/spreadsheetml/2006/main" count="282" uniqueCount="263">
  <si>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</si>
  <si>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</si>
  <si>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</si>
  <si>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</si>
  <si>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</si>
  <si>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</si>
  <si>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</si>
  <si>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</si>
  <si>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</si>
  <si>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</si>
  <si>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</si>
  <si>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</si>
  <si>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</si>
  <si>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</si>
  <si>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</si>
  <si>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</si>
  <si>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</si>
  <si>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</si>
  <si>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</si>
  <si>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</si>
  <si>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</si>
  <si>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</si>
  <si>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</si>
  <si>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</si>
  <si>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</si>
  <si>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</si>
  <si>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</si>
  <si>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</si>
  <si>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</si>
  <si>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</si>
  <si>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</si>
  <si>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</si>
  <si>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</si>
  <si>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</si>
  <si>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</si>
  <si>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</si>
  <si>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</si>
  <si>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</si>
  <si>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</si>
  <si>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</si>
  <si>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</si>
  <si>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</si>
  <si>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</si>
  <si>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</si>
  <si>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</si>
  <si>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</si>
  <si>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</si>
  <si>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</si>
  <si>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</si>
  <si>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</si>
  <si>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</si>
  <si>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</si>
  <si>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</si>
  <si>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</si>
  <si>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</si>
  <si>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</si>
  <si>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</si>
  <si>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</si>
  <si>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</si>
  <si>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</si>
  <si>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</si>
  <si>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</si>
  <si>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</si>
  <si>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</si>
  <si>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</si>
  <si>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</si>
  <si>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</si>
  <si>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</si>
  <si>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</si>
  <si>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</si>
  <si>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</si>
  <si>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</si>
  <si>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</si>
  <si>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</si>
  <si>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</si>
  <si>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</si>
  <si>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</si>
  <si>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</si>
  <si>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</si>
  <si>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</si>
  <si>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</si>
  <si>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</si>
  <si>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</si>
  <si>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</si>
  <si>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</si>
  <si>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</si>
  <si>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</si>
  <si>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</si>
  <si>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</si>
  <si>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</si>
  <si>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</si>
  <si>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</si>
  <si>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</si>
  <si>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</si>
  <si>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</si>
  <si>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</si>
  <si>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</si>
  <si>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</si>
  <si>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</si>
  <si>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</si>
  <si>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</si>
  <si>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</si>
  <si>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</si>
  <si>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</si>
  <si>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</si>
  <si>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</si>
  <si>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</si>
  <si>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</si>
  <si>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</si>
  <si>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</si>
  <si>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</si>
  <si>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</si>
  <si>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</si>
  <si>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</si>
  <si>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</si>
  <si>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</si>
  <si>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</si>
  <si>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</si>
  <si>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</si>
  <si>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</si>
  <si>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</si>
  <si>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</si>
  <si>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</si>
  <si>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</si>
  <si>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</si>
  <si>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</si>
  <si>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</si>
  <si>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</si>
  <si>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</si>
  <si>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</si>
  <si>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</si>
  <si>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</si>
  <si>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</si>
  <si>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</si>
  <si>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</si>
  <si>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</si>
  <si>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</si>
  <si>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</si>
  <si>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</si>
  <si>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</si>
  <si>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</si>
  <si>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</si>
  <si>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</si>
  <si>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</si>
  <si>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</si>
  <si>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</si>
  <si>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</si>
  <si>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</si>
  <si>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</si>
  <si>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</si>
  <si>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</si>
  <si>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</si>
  <si>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</si>
  <si>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</si>
  <si>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</si>
  <si>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</si>
  <si>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</si>
  <si>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</si>
  <si>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</si>
  <si>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</si>
  <si>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</si>
  <si>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</si>
  <si>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</si>
  <si>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</si>
  <si>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</si>
  <si>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</si>
  <si>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</si>
  <si>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</si>
  <si>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</si>
  <si>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</si>
  <si>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</si>
  <si>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</si>
  <si>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</si>
  <si>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</si>
  <si>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</si>
  <si>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</si>
  <si>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</si>
  <si>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</si>
  <si>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</si>
  <si>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</si>
  <si>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</si>
  <si>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¡DEPOSITOS SOLO EN EL CREDICOP PORFAVOR!</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</si>
  <si>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</si>
  <si>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</si>
  <si>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</si>
  <si>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</si>
  <si>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Diferencia mes anterior Sueldo Sr. Cesar por atraso en traspaso de cuenta (INCLUYE SAC)</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</si>
  <si>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</si>
  <si>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</si>
  <si>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</si>
  <si>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</si>
  <si>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</si>
  <si>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</si>
  <si>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</si>
  <si>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</si>
  <si>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</si>
  <si>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</si>
  <si>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</si>
  <si>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</si>
  <si>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</si>
  <si>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</si>
  <si>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</si>
  <si>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</si>
  <si>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</si>
  <si>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</si>
  <si>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</si>
  <si>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</si>
  <si>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Gustavo Padron -  Sr. Contador - ENERO y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</si>
  <si>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</si>
  <si>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</si>
  <si>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</si>
  <si>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</si>
  <si>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</si>
  <si>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</si>
  <si>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</si>
  <si>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</si>
  <si>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</si>
  <si>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</si>
  <si>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</si>
  <si>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</si>
  <si>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</si>
  <si>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</si>
  <si>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</si>
  <si>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</si>
  <si>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</si>
  <si>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</si>
  <si>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</si>
  <si>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Oscar Colmeiro – Obra de plomería (se deja constancia de que ya existió un adelanto):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</si>
  <si>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</si>
  <si>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</si>
  <si>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</si>
  <si>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</si>
  <si>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</si>
  <si>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</si>
  <si>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</si>
  <si>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</si>
  <si>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</si>
  <si>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</si>
  <si>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</si>
  <si>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 xml:space="preserve">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</si>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</sst>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
      <patternFill patternType="solid">
        <fgColor theme="7" tint="0.59999389629810485"/>
        <bgColor indexed="64"/>
      </patternFill>
    </fill>
  </fills>
  <borders count="29">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44" fontId="6" fillId="0" borderId="0" applyFont="0" applyFill="0" applyBorder="0" applyAlignment="0" applyProtection="0"/>
  </cellStyleXfs>
  <cellXfs count="261">
    <xf numFmtId="0" fontId="0" fillId="0" borderId="0" xfId="0"/>
    <xf numFmtId="0" fontId="1" fillId="0" borderId="0" xfId="0" applyFont="1"/>
    <xf numFmtId="0" fontId="1" fillId="3" borderId="20" xfId="0" applyFont="1" applyFill="1" applyBorder="1"/>
    <xf numFmtId="0" fontId="1" fillId="3" borderId="3" xfId="0" applyFont="1" applyFill="1" applyBorder="1"/>
    <xf numFmtId="0" fontId="2" fillId="3" borderId="0" xfId="0" applyFont="1" applyFill="1"/>
    <xf numFmtId="0" fontId="2" fillId="3" borderId="14"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14" xfId="0" applyFont="1" applyFill="1" applyBorder="1"/>
    <xf numFmtId="0" fontId="1" fillId="6" borderId="20"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3" xfId="0" applyFill="1" applyBorder="1"/>
    <xf numFmtId="0" fontId="10" fillId="7" borderId="11" xfId="0" applyFont="1" applyFill="1" applyBorder="1"/>
    <xf numFmtId="8" fontId="11" fillId="7" borderId="11" xfId="0" applyNumberFormat="1" applyFont="1" applyFill="1" applyBorder="1"/>
    <xf numFmtId="44" fontId="12" fillId="7" borderId="21" xfId="1"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0" fillId="2" borderId="11" xfId="0" applyFill="1" applyBorder="1"/>
    <xf numFmtId="0" fontId="0" fillId="2" borderId="0" xfId="0" applyFill="1"/>
    <xf numFmtId="0" fontId="14" fillId="2" borderId="11" xfId="0" applyFont="1" applyFill="1" applyBorder="1"/>
    <xf numFmtId="0" fontId="1" fillId="7" borderId="11" xfId="0" applyFont="1" applyFill="1" applyBorder="1"/>
    <xf numFmtId="44" fontId="15" fillId="7" borderId="22" xfId="1" applyFont="1" applyFill="1" applyBorder="1"/>
    <xf numFmtId="8" fontId="2" fillId="7" borderId="11" xfId="1" applyNumberFormat="1" applyFont="1" applyFill="1" applyBorder="1"/>
    <xf numFmtId="44" fontId="15" fillId="7" borderId="11" xfId="1" applyFont="1" applyFill="1" applyBorder="1"/>
    <xf numFmtId="44" fontId="2" fillId="7" borderId="21" xfId="1" applyFont="1" applyFill="1" applyBorder="1"/>
    <xf numFmtId="0" fontId="0" fillId="0" borderId="22"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vertical="center" wrapText="1"/>
    </xf>
    <xf numFmtId="44" fontId="2" fillId="7" borderId="11" xfId="1" applyFont="1" applyFill="1" applyBorder="1"/>
    <xf numFmtId="0" fontId="0" fillId="7" borderId="11" xfId="0" applyFill="1" applyBorder="1"/>
    <xf numFmtId="44" fontId="13" fillId="7" borderId="11" xfId="1" applyFont="1" applyFill="1" applyBorder="1"/>
    <xf numFmtId="44" fontId="3" fillId="7" borderId="21" xfId="1" applyFont="1" applyFill="1" applyBorder="1"/>
    <xf numFmtId="0" fontId="0" fillId="0" borderId="11" xfId="0" applyBorder="1"/>
    <xf numFmtId="44" fontId="13" fillId="2" borderId="11" xfId="1" applyFont="1" applyFill="1" applyBorder="1"/>
    <xf numFmtId="44" fontId="8" fillId="2" borderId="11" xfId="1" applyFont="1" applyFill="1" applyBorder="1"/>
    <xf numFmtId="0" fontId="0" fillId="0" borderId="23" xfId="0" applyBorder="1"/>
    <xf numFmtId="0" fontId="0" fillId="0" borderId="22" xfId="0" applyBorder="1" applyAlignment="1">
      <alignment horizontal="left" vertical="center"/>
    </xf>
    <xf numFmtId="44" fontId="15" fillId="7" borderId="22" xfId="1" applyFont="1" applyFill="1" applyBorder="1" applyAlignment="1">
      <alignment horizontal="center"/>
    </xf>
    <xf numFmtId="44" fontId="2" fillId="7" borderId="7" xfId="1" applyFont="1" applyFill="1" applyBorder="1"/>
    <xf numFmtId="44" fontId="2" fillId="7" borderId="1" xfId="1" applyFont="1" applyFill="1" applyBorder="1"/>
    <xf numFmtId="0" fontId="16" fillId="0" borderId="11" xfId="1" applyNumberFormat="1" applyFont="1" applyBorder="1"/>
    <xf numFmtId="44" fontId="13" fillId="2" borderId="22" xfId="1" applyFont="1" applyFill="1" applyBorder="1"/>
    <xf numFmtId="0" fontId="11" fillId="7" borderId="11" xfId="0" applyFont="1" applyFill="1" applyBorder="1"/>
    <xf numFmtId="44" fontId="3" fillId="0" borderId="11" xfId="1" applyFont="1" applyBorder="1" applyAlignment="1">
      <alignment wrapText="1"/>
    </xf>
    <xf numFmtId="0" fontId="1" fillId="7" borderId="11" xfId="0" applyFont="1" applyFill="1" applyBorder="1" applyAlignment="1">
      <alignment wrapText="1"/>
    </xf>
    <xf numFmtId="8" fontId="15" fillId="7" borderId="22" xfId="0" applyNumberFormat="1" applyFont="1" applyFill="1" applyBorder="1"/>
    <xf numFmtId="44" fontId="3" fillId="2" borderId="21" xfId="1" applyFont="1" applyFill="1" applyBorder="1"/>
    <xf numFmtId="44" fontId="3" fillId="2" borderId="11" xfId="1" applyFont="1" applyFill="1" applyBorder="1"/>
    <xf numFmtId="0" fontId="1" fillId="7" borderId="21" xfId="0" applyFont="1" applyFill="1" applyBorder="1"/>
    <xf numFmtId="8" fontId="15" fillId="7" borderId="24" xfId="0" applyNumberFormat="1" applyFont="1" applyFill="1" applyBorder="1"/>
    <xf numFmtId="44" fontId="17" fillId="7" borderId="11" xfId="1" applyFont="1" applyFill="1" applyBorder="1"/>
    <xf numFmtId="0" fontId="13" fillId="0" borderId="11" xfId="0" applyFont="1" applyBorder="1"/>
    <xf numFmtId="0" fontId="14" fillId="0" borderId="17" xfId="0" applyFont="1" applyBorder="1"/>
    <xf numFmtId="0" fontId="1" fillId="8" borderId="11" xfId="0" applyFont="1" applyFill="1" applyBorder="1"/>
    <xf numFmtId="0" fontId="15" fillId="8" borderId="22" xfId="0" applyFont="1" applyFill="1" applyBorder="1"/>
    <xf numFmtId="44" fontId="17" fillId="8" borderId="11" xfId="1" applyFont="1" applyFill="1" applyBorder="1"/>
    <xf numFmtId="0" fontId="0" fillId="0" borderId="3" xfId="0" applyBorder="1"/>
    <xf numFmtId="0" fontId="13" fillId="0" borderId="0" xfId="0" applyFont="1"/>
    <xf numFmtId="0" fontId="14" fillId="0" borderId="14"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15" fillId="6" borderId="10" xfId="0" applyFont="1" applyFill="1" applyBorder="1"/>
    <xf numFmtId="44" fontId="17" fillId="6" borderId="8"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3" xfId="0" applyFont="1" applyFill="1" applyBorder="1"/>
    <xf numFmtId="0" fontId="14" fillId="0" borderId="11" xfId="1" applyNumberFormat="1" applyFont="1" applyBorder="1" applyAlignment="1">
      <alignment horizontal="left"/>
    </xf>
    <xf numFmtId="0" fontId="0" fillId="0" borderId="25" xfId="0" applyBorder="1" applyAlignment="1">
      <alignment horizontal="left" vertical="center" wrapText="1"/>
    </xf>
    <xf numFmtId="0" fontId="1" fillId="7" borderId="0" xfId="0" applyFont="1" applyFill="1"/>
    <xf numFmtId="0" fontId="0" fillId="7" borderId="0" xfId="0" applyFill="1"/>
    <xf numFmtId="44" fontId="2" fillId="6" borderId="8" xfId="0" applyNumberFormat="1" applyFont="1" applyFill="1" applyBorder="1"/>
    <xf numFmtId="0" fontId="2" fillId="5" borderId="9" xfId="0" applyFont="1" applyFill="1" applyBorder="1"/>
    <xf numFmtId="44" fontId="2" fillId="5" borderId="8"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6" xfId="1"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1" applyFont="1" applyBorder="1" applyAlignment="1">
      <alignment vertical="center" wrapText="1"/>
    </xf>
    <xf numFmtId="0" fontId="13"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9" xfId="1" applyFont="1" applyFill="1" applyBorder="1" applyAlignment="1">
      <alignment horizontal="left" vertical="center" wrapText="1"/>
    </xf>
    <xf numFmtId="0" fontId="3" fillId="0" borderId="11"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5" xfId="0" applyBorder="1"/>
    <xf numFmtId="8" fontId="0" fillId="0" borderId="0" xfId="0" applyNumberFormat="1"/>
    <xf numFmtId="0" fontId="16" fillId="3" borderId="5"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9" fillId="0" borderId="11" xfId="0" applyFont="1" applyBorder="1"/>
    <xf numFmtId="0" fontId="19" fillId="0" borderId="11" xfId="0" applyFont="1" applyBorder="1" applyAlignment="1">
      <alignment horizontal="center"/>
    </xf>
    <xf numFmtId="44" fontId="20" fillId="0" borderId="11" xfId="1" applyFont="1" applyBorder="1"/>
    <xf numFmtId="44" fontId="20" fillId="2" borderId="11" xfId="1" applyFont="1" applyFill="1" applyBorder="1"/>
    <xf numFmtId="167" fontId="19" fillId="0" borderId="11" xfId="0" applyNumberFormat="1" applyFont="1" applyBorder="1"/>
    <xf numFmtId="167" fontId="19" fillId="0" borderId="22" xfId="1" applyNumberFormat="1" applyFont="1" applyBorder="1"/>
    <xf numFmtId="44" fontId="20" fillId="0" borderId="12" xfId="1" applyFont="1" applyBorder="1"/>
    <xf numFmtId="44" fontId="20" fillId="0" borderId="28" xfId="1" applyFont="1" applyBorder="1"/>
    <xf numFmtId="0" fontId="19" fillId="0" borderId="11" xfId="0" applyFont="1" applyBorder="1" applyAlignment="1">
      <alignment wrapText="1"/>
    </xf>
    <xf numFmtId="0" fontId="19" fillId="0" borderId="23" xfId="0" applyFont="1" applyBorder="1"/>
    <xf numFmtId="0" fontId="19" fillId="0" borderId="11" xfId="0" applyFont="1" applyBorder="1" applyAlignment="1">
      <alignment vertical="center" wrapText="1"/>
    </xf>
    <xf numFmtId="44" fontId="20" fillId="2" borderId="16" xfId="1" applyFont="1" applyFill="1" applyBorder="1"/>
    <xf numFmtId="0" fontId="19" fillId="7" borderId="19" xfId="0" applyFont="1" applyFill="1" applyBorder="1"/>
    <xf numFmtId="0" fontId="19" fillId="7" borderId="1" xfId="0" applyFont="1" applyFill="1" applyBorder="1"/>
    <xf numFmtId="168" fontId="19" fillId="7" borderId="1" xfId="0" applyNumberFormat="1" applyFont="1" applyFill="1" applyBorder="1" applyAlignment="1">
      <alignment horizontal="center"/>
    </xf>
    <xf numFmtId="44" fontId="19" fillId="7" borderId="1" xfId="0" applyNumberFormat="1" applyFont="1" applyFill="1" applyBorder="1"/>
    <xf numFmtId="167" fontId="19" fillId="7" borderId="1" xfId="0" applyNumberFormat="1" applyFont="1" applyFill="1" applyBorder="1"/>
    <xf numFmtId="164" fontId="19" fillId="7" borderId="1" xfId="0" applyNumberFormat="1" applyFont="1" applyFill="1" applyBorder="1"/>
    <xf numFmtId="44" fontId="19" fillId="7" borderId="7" xfId="0" applyNumberFormat="1" applyFont="1" applyFill="1" applyBorder="1"/>
    <xf numFmtId="0" fontId="18" fillId="0" borderId="0" xfId="0" applyFont="1"/>
    <xf numFmtId="0" fontId="1" fillId="3" borderId="9" xfId="0" applyFont="1" applyFill="1" applyBorder="1" applyAlignment="1">
      <alignment horizontal="left" vertical="top" wrapText="1"/>
    </xf>
    <xf numFmtId="8" fontId="2" fillId="7" borderId="21" xfId="1" applyNumberFormat="1" applyFont="1" applyFill="1" applyBorder="1"/>
    <xf numFmtId="0" fontId="1" fillId="2" borderId="11" xfId="0" applyFont="1" applyFill="1" applyBorder="1"/>
    <xf numFmtId="8" fontId="2" fillId="2" borderId="21" xfId="1" applyNumberFormat="1" applyFont="1" applyFill="1" applyBorder="1"/>
    <xf numFmtId="44" fontId="1" fillId="7" borderId="0" xfId="1" applyFont="1" applyFill="1"/>
    <xf numFmtId="0" fontId="0" fillId="0" borderId="21" xfId="0" applyBorder="1"/>
    <xf numFmtId="167" fontId="19" fillId="11" borderId="22" xfId="1" applyNumberFormat="1" applyFont="1" applyFill="1" applyBorder="1"/>
    <xf numFmtId="0" fontId="19" fillId="11" borderId="11" xfId="0" applyFont="1" applyFill="1" applyBorder="1" applyAlignment="1">
      <alignment horizontal="center"/>
    </xf>
    <xf numFmtId="44" fontId="20" fillId="11" borderId="11" xfId="1" applyFont="1" applyFill="1" applyBorder="1"/>
    <xf numFmtId="167" fontId="19" fillId="11" borderId="11" xfId="0" applyNumberFormat="1" applyFont="1" applyFill="1" applyBorder="1"/>
    <xf numFmtId="44" fontId="20" fillId="11" borderId="12" xfId="1" applyFont="1" applyFill="1" applyBorder="1"/>
    <xf numFmtId="44" fontId="20" fillId="11" borderId="28" xfId="1" applyFont="1" applyFill="1" applyBorder="1"/>
    <xf numFmtId="8" fontId="3" fillId="2" borderId="21" xfId="1" applyNumberFormat="1" applyFont="1" applyFill="1" applyBorder="1"/>
    <xf numFmtId="44" fontId="18" fillId="8" borderId="11" xfId="1" applyFont="1" applyFill="1" applyBorder="1" applyAlignment="1">
      <alignment vertical="center"/>
    </xf>
    <xf numFmtId="0" fontId="19" fillId="11" borderId="23" xfId="0" applyFont="1" applyFill="1" applyBorder="1"/>
    <xf numFmtId="0" fontId="19" fillId="11" borderId="11" xfId="0" applyFont="1" applyFill="1" applyBorder="1" applyAlignment="1">
      <alignment vertical="center" wrapText="1"/>
    </xf>
    <xf numFmtId="0" fontId="19" fillId="11" borderId="11" xfId="0" applyFont="1" applyFill="1" applyBorder="1" applyAlignment="1">
      <alignment wrapText="1"/>
    </xf>
    <xf numFmtId="0" fontId="7" fillId="9" borderId="16" xfId="0" applyFont="1" applyFill="1" applyBorder="1" applyAlignment="1">
      <alignment wrapText="1"/>
    </xf>
    <xf numFmtId="44" fontId="8" fillId="2" borderId="22" xfId="1" applyFont="1" applyFill="1" applyBorder="1"/>
    <xf numFmtId="8" fontId="8" fillId="2" borderId="22" xfId="0" applyNumberFormat="1" applyFont="1" applyFill="1" applyBorder="1" applyAlignment="1">
      <alignment horizontal="right"/>
    </xf>
    <xf numFmtId="0" fontId="0" fillId="2" borderId="22" xfId="0" applyFill="1" applyBorder="1" applyAlignment="1">
      <alignment horizontal="left" vertical="center"/>
    </xf>
    <xf numFmtId="0" fontId="0" fillId="3" borderId="20" xfId="0" applyFill="1" applyBorder="1"/>
    <xf numFmtId="0" fontId="0" fillId="3" borderId="2" xfId="0" applyFill="1" applyBorder="1" applyAlignment="1">
      <alignment horizontal="center"/>
    </xf>
    <xf numFmtId="0" fontId="0" fillId="3" borderId="13"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4" xfId="1" applyFont="1" applyFill="1" applyBorder="1" applyAlignment="1"/>
    <xf numFmtId="0" fontId="0" fillId="3" borderId="4" xfId="0" applyFill="1" applyBorder="1"/>
    <xf numFmtId="0" fontId="0" fillId="3" borderId="18" xfId="0" applyFill="1" applyBorder="1" applyAlignment="1">
      <alignment horizontal="center"/>
    </xf>
    <xf numFmtId="166" fontId="0" fillId="3" borderId="18" xfId="0" applyNumberFormat="1" applyFill="1" applyBorder="1" applyAlignment="1">
      <alignment horizontal="center"/>
    </xf>
    <xf numFmtId="164" fontId="0" fillId="3" borderId="18" xfId="1" applyNumberFormat="1" applyFont="1" applyFill="1" applyBorder="1" applyAlignment="1">
      <alignment horizontal="center"/>
    </xf>
    <xf numFmtId="44" fontId="0" fillId="3" borderId="19" xfId="1" applyFont="1" applyFill="1" applyBorder="1" applyAlignment="1"/>
    <xf numFmtId="44" fontId="13" fillId="7" borderId="22" xfId="1" applyFont="1" applyFill="1" applyBorder="1"/>
    <xf numFmtId="44" fontId="22" fillId="0" borderId="11" xfId="1" applyFont="1" applyBorder="1" applyAlignment="1">
      <alignment vertical="center" wrapText="1"/>
    </xf>
    <xf numFmtId="44" fontId="8" fillId="0" borderId="11" xfId="0" applyNumberFormat="1" applyFont="1" applyBorder="1" applyAlignment="1">
      <alignment vertical="center" wrapText="1"/>
    </xf>
    <xf numFmtId="44" fontId="8" fillId="0" borderId="11" xfId="1" applyFont="1" applyBorder="1"/>
    <xf numFmtId="0" fontId="19" fillId="2" borderId="11" xfId="0" applyFont="1" applyFill="1" applyBorder="1"/>
    <xf numFmtId="0" fontId="21" fillId="2" borderId="11" xfId="0" applyFont="1" applyFill="1" applyBorder="1"/>
    <xf numFmtId="0" fontId="19" fillId="2" borderId="11" xfId="0" applyFont="1" applyFill="1" applyBorder="1" applyAlignment="1">
      <alignment horizontal="center"/>
    </xf>
    <xf numFmtId="167" fontId="19" fillId="2" borderId="11" xfId="0" applyNumberFormat="1" applyFont="1" applyFill="1" applyBorder="1"/>
    <xf numFmtId="167" fontId="19" fillId="2" borderId="22" xfId="1" applyNumberFormat="1" applyFont="1" applyFill="1" applyBorder="1"/>
    <xf numFmtId="44" fontId="20" fillId="2" borderId="12" xfId="1" applyFont="1" applyFill="1" applyBorder="1"/>
    <xf numFmtId="44" fontId="20" fillId="2" borderId="28" xfId="1" applyFont="1" applyFill="1" applyBorder="1"/>
    <xf numFmtId="0" fontId="19" fillId="2" borderId="23" xfId="0" applyFont="1" applyFill="1" applyBorder="1"/>
    <xf numFmtId="0" fontId="19" fillId="2" borderId="11" xfId="0" applyFont="1" applyFill="1" applyBorder="1" applyAlignment="1">
      <alignment wrapText="1"/>
    </xf>
    <xf numFmtId="0" fontId="19" fillId="2" borderId="11" xfId="0" applyFont="1" applyFill="1" applyBorder="1" applyAlignment="1">
      <alignment vertical="center" wrapText="1"/>
    </xf>
    <xf numFmtId="44" fontId="14" fillId="0" borderId="11" xfId="1" applyFont="1" applyBorder="1" applyAlignment="1">
      <alignment vertical="center" wrapText="1"/>
    </xf>
    <xf numFmtId="0" fontId="16" fillId="0" borderId="11" xfId="1" applyNumberFormat="1" applyFont="1" applyBorder="1" applyAlignment="1">
      <alignment wrapText="1"/>
    </xf>
    <xf numFmtId="44" fontId="13" fillId="0" borderId="11" xfId="1" applyFont="1" applyBorder="1" applyAlignment="1">
      <alignment horizontal="left" vertical="center" wrapText="1"/>
    </xf>
    <xf numFmtId="0" fontId="0" fillId="4" borderId="0" xfId="0" applyFill="1"/>
    <xf numFmtId="44" fontId="0" fillId="4" borderId="0" xfId="0" applyNumberFormat="1" applyFill="1"/>
    <xf numFmtId="0" fontId="0" fillId="13" borderId="0" xfId="0" applyFill="1"/>
    <xf numFmtId="44" fontId="13" fillId="7" borderId="0" xfId="1" applyFont="1" applyFill="1"/>
    <xf numFmtId="8" fontId="23" fillId="7" borderId="11" xfId="0" applyNumberFormat="1" applyFont="1" applyFill="1" applyBorder="1"/>
    <xf numFmtId="0" fontId="14" fillId="2" borderId="21" xfId="0" applyFont="1" applyFill="1" applyBorder="1"/>
    <xf numFmtId="44" fontId="8" fillId="2" borderId="22" xfId="1" applyFont="1" applyFill="1" applyBorder="1" applyAlignment="1"/>
    <xf numFmtId="44" fontId="8" fillId="2" borderId="24" xfId="1" applyFont="1" applyFill="1" applyBorder="1"/>
    <xf numFmtId="0" fontId="0" fillId="2" borderId="22" xfId="0" applyFill="1" applyBorder="1" applyAlignment="1">
      <alignment vertical="center"/>
    </xf>
    <xf numFmtId="0" fontId="0" fillId="2" borderId="23" xfId="0" applyFill="1" applyBorder="1" applyAlignment="1">
      <alignment vertical="center"/>
    </xf>
    <xf numFmtId="8" fontId="8" fillId="2" borderId="11" xfId="0" applyNumberFormat="1" applyFont="1" applyFill="1" applyBorder="1" applyAlignment="1">
      <alignment horizontal="right"/>
    </xf>
    <xf numFmtId="44" fontId="8" fillId="2" borderId="11" xfId="1" applyFont="1" applyFill="1" applyBorder="1" applyAlignment="1"/>
    <xf numFmtId="8" fontId="14" fillId="4" borderId="11" xfId="0" applyNumberFormat="1" applyFont="1" applyFill="1" applyBorder="1" applyAlignment="1">
      <alignment horizontal="right"/>
    </xf>
    <xf numFmtId="8" fontId="14" fillId="4" borderId="22" xfId="0" applyNumberFormat="1" applyFont="1" applyFill="1" applyBorder="1" applyAlignment="1">
      <alignment horizontal="right"/>
    </xf>
    <xf numFmtId="0" fontId="19" fillId="15" borderId="23" xfId="0" applyFont="1" applyFill="1" applyBorder="1"/>
    <xf numFmtId="0" fontId="19" fillId="15" borderId="11" xfId="0" applyFont="1" applyFill="1" applyBorder="1" applyAlignment="1">
      <alignment vertical="center" wrapText="1"/>
    </xf>
    <xf numFmtId="0" fontId="19" fillId="15" borderId="11" xfId="0" applyFont="1" applyFill="1" applyBorder="1" applyAlignment="1">
      <alignment wrapText="1"/>
    </xf>
    <xf numFmtId="0" fontId="19" fillId="15" borderId="11" xfId="0" applyFont="1" applyFill="1" applyBorder="1" applyAlignment="1">
      <alignment horizontal="center"/>
    </xf>
    <xf numFmtId="44" fontId="20" fillId="15" borderId="11" xfId="1" applyFont="1" applyFill="1" applyBorder="1"/>
    <xf numFmtId="167" fontId="19" fillId="15" borderId="11" xfId="0" applyNumberFormat="1" applyFont="1" applyFill="1" applyBorder="1"/>
    <xf numFmtId="167" fontId="19" fillId="15" borderId="22" xfId="1" applyNumberFormat="1" applyFont="1" applyFill="1" applyBorder="1"/>
    <xf numFmtId="44" fontId="20" fillId="15" borderId="12" xfId="1" applyFont="1" applyFill="1" applyBorder="1"/>
    <xf numFmtId="44" fontId="20" fillId="15" borderId="28" xfId="1" applyFont="1" applyFill="1" applyBorder="1"/>
    <xf numFmtId="0" fontId="19" fillId="2" borderId="16" xfId="0" applyFont="1" applyFill="1" applyBorder="1"/>
    <xf numFmtId="0" fontId="19" fillId="16" borderId="23" xfId="0" applyFont="1" applyFill="1" applyBorder="1"/>
    <xf numFmtId="0" fontId="19" fillId="16" borderId="11" xfId="0" applyFont="1" applyFill="1" applyBorder="1" applyAlignment="1">
      <alignment vertical="center" wrapText="1"/>
    </xf>
    <xf numFmtId="0" fontId="19" fillId="16" borderId="11" xfId="0" applyFont="1" applyFill="1" applyBorder="1" applyAlignment="1">
      <alignment wrapText="1"/>
    </xf>
    <xf numFmtId="0" fontId="19" fillId="16" borderId="11" xfId="0" applyFont="1" applyFill="1" applyBorder="1" applyAlignment="1">
      <alignment horizontal="center"/>
    </xf>
    <xf numFmtId="44" fontId="20" fillId="16" borderId="11" xfId="1" applyFont="1" applyFill="1" applyBorder="1"/>
    <xf numFmtId="167" fontId="19" fillId="16" borderId="11" xfId="0" applyNumberFormat="1" applyFont="1" applyFill="1" applyBorder="1"/>
    <xf numFmtId="167" fontId="19" fillId="16" borderId="22" xfId="1" applyNumberFormat="1" applyFont="1" applyFill="1" applyBorder="1"/>
    <xf numFmtId="44" fontId="20" fillId="16" borderId="12" xfId="1" applyFont="1" applyFill="1" applyBorder="1"/>
    <xf numFmtId="44" fontId="20" fillId="16" borderId="28" xfId="1" applyFont="1" applyFill="1" applyBorder="1"/>
    <xf numFmtId="0" fontId="19" fillId="12" borderId="23" xfId="0" applyFont="1" applyFill="1" applyBorder="1"/>
    <xf numFmtId="0" fontId="19" fillId="12" borderId="11" xfId="0" applyFont="1" applyFill="1" applyBorder="1"/>
    <xf numFmtId="0" fontId="19" fillId="12" borderId="11" xfId="0" applyFont="1" applyFill="1" applyBorder="1" applyAlignment="1">
      <alignment wrapText="1"/>
    </xf>
    <xf numFmtId="0" fontId="19" fillId="12" borderId="11" xfId="0" applyFont="1" applyFill="1" applyBorder="1" applyAlignment="1">
      <alignment horizontal="center"/>
    </xf>
    <xf numFmtId="44" fontId="20" fillId="12" borderId="11" xfId="1" applyFont="1" applyFill="1" applyBorder="1"/>
    <xf numFmtId="167" fontId="19" fillId="12" borderId="11" xfId="0" applyNumberFormat="1" applyFont="1" applyFill="1" applyBorder="1"/>
    <xf numFmtId="167" fontId="19" fillId="12" borderId="22" xfId="1" applyNumberFormat="1" applyFont="1" applyFill="1" applyBorder="1"/>
    <xf numFmtId="44" fontId="20" fillId="12" borderId="12" xfId="1" applyFont="1" applyFill="1" applyBorder="1"/>
    <xf numFmtId="44" fontId="20" fillId="12" borderId="28" xfId="1" applyFont="1" applyFill="1" applyBorder="1"/>
    <xf numFmtId="44" fontId="8" fillId="2" borderId="11" xfId="1" applyFont="1" applyFill="1" applyBorder="1" applyAlignment="1">
      <alignment vertical="center" wrapText="1"/>
    </xf>
    <xf numFmtId="44" fontId="20" fillId="16" borderId="11" xfId="1" applyFont="1" applyFill="1" applyBorder="1" applyAlignment="1">
      <alignment vertical="center" wrapText="1"/>
    </xf>
    <xf numFmtId="0" fontId="19" fillId="11" borderId="11" xfId="0"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left" vertical="center" wrapText="1"/>
    </xf>
    <xf numFmtId="0" fontId="1" fillId="3" borderId="2" xfId="0" applyFont="1" applyFill="1" applyBorder="1" applyAlignment="1">
      <alignment horizontal="left" vertical="top" wrapText="1"/>
    </xf>
    <xf numFmtId="0" fontId="1" fillId="3" borderId="13" xfId="0" applyFont="1" applyFill="1" applyBorder="1" applyAlignment="1">
      <alignment horizontal="left" vertical="top" wrapText="1"/>
    </xf>
    <xf numFmtId="0" fontId="1" fillId="3" borderId="18" xfId="0" applyFont="1" applyFill="1" applyBorder="1" applyAlignment="1">
      <alignment horizontal="left" vertical="center" wrapText="1"/>
    </xf>
    <xf numFmtId="0" fontId="1" fillId="3" borderId="19"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20"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3"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4" xfId="0" applyFont="1" applyFill="1" applyBorder="1" applyAlignment="1">
      <alignment horizontal="left" vertical="center"/>
    </xf>
    <xf numFmtId="0" fontId="1" fillId="3" borderId="4" xfId="0" applyFont="1" applyFill="1" applyBorder="1" applyAlignment="1">
      <alignment horizontal="left" vertical="center"/>
    </xf>
    <xf numFmtId="0" fontId="1" fillId="3" borderId="18" xfId="0" applyFont="1" applyFill="1" applyBorder="1" applyAlignment="1">
      <alignment horizontal="left" vertical="center"/>
    </xf>
    <xf numFmtId="0" fontId="1" fillId="3" borderId="19" xfId="0" applyFont="1" applyFill="1" applyBorder="1" applyAlignment="1">
      <alignment horizontal="left" vertical="center"/>
    </xf>
    <xf numFmtId="0" fontId="18" fillId="3" borderId="5" xfId="0" applyFont="1" applyFill="1" applyBorder="1" applyAlignment="1">
      <alignment horizontal="center" vertical="center"/>
    </xf>
    <xf numFmtId="0" fontId="18" fillId="3" borderId="6"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5" xfId="0" applyFont="1" applyFill="1" applyBorder="1" applyAlignment="1">
      <alignment horizontal="center" vertical="center" wrapText="1"/>
    </xf>
    <xf numFmtId="0" fontId="18" fillId="3" borderId="26"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5" fontId="1" fillId="3" borderId="0" xfId="0" applyNumberFormat="1" applyFont="1" applyFill="1" applyAlignment="1">
      <alignment horizontal="center"/>
    </xf>
    <xf numFmtId="0" fontId="18" fillId="3" borderId="20" xfId="0" applyFont="1" applyFill="1" applyBorder="1" applyAlignment="1">
      <alignment horizontal="center" vertical="center" wrapText="1"/>
    </xf>
    <xf numFmtId="0" fontId="18" fillId="3" borderId="27" xfId="0" applyFont="1" applyFill="1" applyBorder="1" applyAlignment="1">
      <alignment horizontal="center" vertical="center" wrapText="1"/>
    </xf>
    <xf numFmtId="0" fontId="16" fillId="3" borderId="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0" fillId="2" borderId="0" xfId="0" applyFill="1" applyAlignment="1">
      <alignment horizontal="left" vertical="top" wrapText="1"/>
    </xf>
    <xf numFmtId="0" fontId="0" fillId="14" borderId="0" xfId="0" applyFill="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abSelected="1" workbookViewId="0">
      <selection activeCell="D7" sqref="D7"/>
    </sheetView>
  </sheetViews>
  <sheetFormatPr baseColWidth="10"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21" t="s">
        <v>153</v>
      </c>
      <c r="C1" s="221"/>
      <c r="D1" s="221"/>
      <c r="E1" s="222"/>
    </row>
    <row r="2" spans="1:5" x14ac:dyDescent="0.3">
      <c r="A2" s="3"/>
      <c r="B2" s="10" t="s">
        <v>156</v>
      </c>
      <c r="C2" s="4"/>
      <c r="D2" s="4"/>
      <c r="E2" s="5"/>
    </row>
    <row r="3" spans="1:5" ht="51.6" customHeight="1" thickBot="1" x14ac:dyDescent="0.35">
      <c r="A3" s="3"/>
      <c r="B3" s="223" t="s">
        <v>154</v>
      </c>
      <c r="C3" s="223"/>
      <c r="D3" s="223"/>
      <c r="E3" s="224"/>
    </row>
    <row r="4" spans="1:5" ht="15" thickBot="1" x14ac:dyDescent="0.35">
      <c r="A4" s="6" t="s">
        <v>103</v>
      </c>
      <c r="B4" s="7" t="s">
        <v>104</v>
      </c>
      <c r="C4" s="8"/>
      <c r="D4" s="8"/>
      <c r="E4" s="9"/>
    </row>
    <row r="5" spans="1:5" ht="15" thickBot="1" x14ac:dyDescent="0.35">
      <c r="A5" s="3" t="s">
        <v>155</v>
      </c>
      <c r="B5" s="8" t="s">
        <v>205</v>
      </c>
      <c r="C5" s="10"/>
      <c r="D5" s="4" t="s">
        <v>105</v>
      </c>
      <c r="E5" s="11"/>
    </row>
    <row r="6" spans="1:5" ht="16.2" customHeight="1" thickBot="1" x14ac:dyDescent="0.35">
      <c r="A6" s="120" t="s">
        <v>142</v>
      </c>
      <c r="B6" s="8"/>
      <c r="C6" s="8"/>
      <c r="D6" s="8" t="s">
        <v>262</v>
      </c>
      <c r="E6" s="9"/>
    </row>
    <row r="8" spans="1:5" x14ac:dyDescent="0.3">
      <c r="B8" s="225" t="s">
        <v>197</v>
      </c>
      <c r="C8" s="225"/>
    </row>
    <row r="9" spans="1:5" x14ac:dyDescent="0.3">
      <c r="B9" s="225"/>
      <c r="C9" s="225"/>
    </row>
    <row r="10" spans="1:5" x14ac:dyDescent="0.3">
      <c r="B10" s="225"/>
      <c r="C10" s="225"/>
    </row>
    <row r="12" spans="1:5" hidden="1" x14ac:dyDescent="0.3"/>
    <row r="13" spans="1:5" ht="15" customHeight="1" x14ac:dyDescent="0.3">
      <c r="A13" s="226" t="s">
        <v>106</v>
      </c>
      <c r="B13" s="226"/>
      <c r="C13" s="226"/>
      <c r="D13" s="226"/>
      <c r="E13" s="226"/>
    </row>
    <row r="14" spans="1:5" ht="15" customHeight="1" x14ac:dyDescent="0.3">
      <c r="A14" s="226"/>
      <c r="B14" s="226"/>
      <c r="C14" s="226"/>
      <c r="D14" s="226"/>
      <c r="E14" s="226"/>
    </row>
    <row r="15" spans="1:5" ht="15" customHeight="1" x14ac:dyDescent="0.3">
      <c r="A15" s="226"/>
      <c r="B15" s="226"/>
      <c r="C15" s="226"/>
      <c r="D15" s="226"/>
      <c r="E15" s="226"/>
    </row>
    <row r="16" spans="1:5" ht="53.25" customHeight="1" x14ac:dyDescent="0.3">
      <c r="A16" s="226"/>
      <c r="B16" s="226"/>
      <c r="C16" s="226"/>
      <c r="D16" s="226"/>
      <c r="E16" s="226"/>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76"/>
      <c r="E21" s="19"/>
    </row>
    <row r="22" spans="1:8" ht="15" customHeight="1" x14ac:dyDescent="0.3">
      <c r="A22" s="217" t="s">
        <v>176</v>
      </c>
      <c r="B22" s="218"/>
      <c r="C22" s="22"/>
      <c r="D22" s="184">
        <v>2182238</v>
      </c>
      <c r="E22" s="48"/>
      <c r="H22" s="23"/>
    </row>
    <row r="23" spans="1:8" ht="15" customHeight="1" x14ac:dyDescent="0.3">
      <c r="A23" s="217" t="s">
        <v>177</v>
      </c>
      <c r="B23" s="218"/>
      <c r="C23" s="22"/>
      <c r="D23" s="184">
        <v>-474636.76</v>
      </c>
      <c r="E23" s="24"/>
      <c r="H23" s="23"/>
    </row>
    <row r="24" spans="1:8" ht="45" customHeight="1" x14ac:dyDescent="0.3">
      <c r="A24" s="217" t="s">
        <v>186</v>
      </c>
      <c r="B24" s="218"/>
      <c r="C24" s="22"/>
      <c r="D24" s="185">
        <v>1381383</v>
      </c>
      <c r="E24" s="24"/>
      <c r="H24" s="23"/>
    </row>
    <row r="25" spans="1:8" ht="13.5" customHeight="1" x14ac:dyDescent="0.3">
      <c r="A25" s="217" t="s">
        <v>1</v>
      </c>
      <c r="B25" s="218"/>
      <c r="C25" s="22"/>
      <c r="D25" s="185">
        <v>0.76</v>
      </c>
      <c r="E25" s="24"/>
      <c r="H25" s="23"/>
    </row>
    <row r="26" spans="1:8" x14ac:dyDescent="0.3">
      <c r="A26" s="25" t="s">
        <v>108</v>
      </c>
      <c r="B26" s="25"/>
      <c r="C26" s="25"/>
      <c r="D26" s="26"/>
      <c r="E26" s="27">
        <f>SUM(D22:D25)</f>
        <v>3088985</v>
      </c>
    </row>
    <row r="27" spans="1:8" x14ac:dyDescent="0.3">
      <c r="A27" s="25" t="s">
        <v>216</v>
      </c>
      <c r="B27" s="25"/>
      <c r="C27" s="25"/>
      <c r="D27" s="26"/>
      <c r="E27" s="121"/>
    </row>
    <row r="28" spans="1:8" x14ac:dyDescent="0.3">
      <c r="A28" s="22" t="s">
        <v>217</v>
      </c>
      <c r="B28" s="22"/>
      <c r="C28" s="22"/>
      <c r="D28" s="138">
        <v>148000</v>
      </c>
      <c r="E28" s="123"/>
    </row>
    <row r="29" spans="1:8" x14ac:dyDescent="0.3">
      <c r="A29" s="25" t="s">
        <v>108</v>
      </c>
      <c r="B29" s="34"/>
      <c r="C29" s="34"/>
      <c r="D29" s="155"/>
      <c r="E29" s="29">
        <f>D28</f>
        <v>148000</v>
      </c>
    </row>
    <row r="30" spans="1:8" x14ac:dyDescent="0.3">
      <c r="A30" s="17" t="s">
        <v>144</v>
      </c>
      <c r="B30" s="25"/>
      <c r="C30" s="25"/>
      <c r="D30" s="26"/>
      <c r="E30" s="121"/>
    </row>
    <row r="31" spans="1:8" x14ac:dyDescent="0.3">
      <c r="A31" s="22" t="s">
        <v>230</v>
      </c>
      <c r="B31" s="122"/>
      <c r="C31" s="122"/>
      <c r="D31" s="138">
        <v>13757.84</v>
      </c>
      <c r="E31" s="132" t="s">
        <v>229</v>
      </c>
    </row>
    <row r="32" spans="1:8" x14ac:dyDescent="0.3">
      <c r="A32" s="22" t="s">
        <v>161</v>
      </c>
      <c r="B32" s="122"/>
      <c r="C32" s="122"/>
      <c r="D32" s="138">
        <v>1235711.01</v>
      </c>
      <c r="E32" s="132" t="s">
        <v>215</v>
      </c>
    </row>
    <row r="33" spans="1:5" x14ac:dyDescent="0.3">
      <c r="A33" s="22" t="s">
        <v>146</v>
      </c>
      <c r="B33" s="122"/>
      <c r="C33" s="122"/>
      <c r="D33" s="138">
        <v>225490.24</v>
      </c>
      <c r="E33" s="132" t="s">
        <v>213</v>
      </c>
    </row>
    <row r="34" spans="1:5" x14ac:dyDescent="0.3">
      <c r="A34" s="22" t="s">
        <v>148</v>
      </c>
      <c r="B34" s="122"/>
      <c r="C34" s="122"/>
      <c r="D34" s="138">
        <v>98200.71</v>
      </c>
      <c r="E34" s="132" t="str">
        <f>E33</f>
        <v>Debito 16/02</v>
      </c>
    </row>
    <row r="35" spans="1:5" x14ac:dyDescent="0.3">
      <c r="A35" s="22" t="s">
        <v>147</v>
      </c>
      <c r="B35" s="122"/>
      <c r="C35" s="122"/>
      <c r="D35" s="138">
        <v>10911.19</v>
      </c>
      <c r="E35" s="132" t="str">
        <f>E33</f>
        <v>Debito 16/02</v>
      </c>
    </row>
    <row r="36" spans="1:5" x14ac:dyDescent="0.3">
      <c r="A36" s="22" t="s">
        <v>162</v>
      </c>
      <c r="B36" s="122"/>
      <c r="C36" s="122"/>
      <c r="D36" s="46"/>
      <c r="E36" s="132"/>
    </row>
    <row r="37" spans="1:5" ht="12.75" customHeight="1" x14ac:dyDescent="0.3">
      <c r="A37" s="25" t="s">
        <v>145</v>
      </c>
      <c r="B37" s="25"/>
      <c r="C37" s="25"/>
      <c r="D37" s="26"/>
      <c r="E37" s="33">
        <f>SUM(D31:D36)</f>
        <v>1584070.99</v>
      </c>
    </row>
    <row r="38" spans="1:5" x14ac:dyDescent="0.3">
      <c r="A38" s="17" t="s">
        <v>109</v>
      </c>
      <c r="B38" s="25"/>
      <c r="C38" s="25"/>
      <c r="D38" s="28"/>
      <c r="E38" s="29"/>
    </row>
    <row r="39" spans="1:5" ht="26.25" customHeight="1" x14ac:dyDescent="0.3">
      <c r="A39" s="219" t="s">
        <v>149</v>
      </c>
      <c r="B39" s="220"/>
      <c r="C39" s="32"/>
      <c r="D39" s="183">
        <v>313739</v>
      </c>
      <c r="E39" s="24" t="s">
        <v>231</v>
      </c>
    </row>
    <row r="40" spans="1:5" ht="27" customHeight="1" x14ac:dyDescent="0.3">
      <c r="A40" s="219" t="s">
        <v>150</v>
      </c>
      <c r="B40" s="220"/>
      <c r="C40" s="32"/>
      <c r="D40" s="178">
        <v>5204</v>
      </c>
      <c r="E40" s="24" t="s">
        <v>231</v>
      </c>
    </row>
    <row r="41" spans="1:5" x14ac:dyDescent="0.3">
      <c r="A41" s="25" t="s">
        <v>110</v>
      </c>
      <c r="B41" s="25"/>
      <c r="C41" s="25"/>
      <c r="D41" s="26"/>
      <c r="E41" s="33">
        <f>SUM(D39:D40)</f>
        <v>318943</v>
      </c>
    </row>
    <row r="42" spans="1:5" x14ac:dyDescent="0.3">
      <c r="A42" s="17" t="s">
        <v>111</v>
      </c>
      <c r="B42" s="34"/>
      <c r="C42" s="34"/>
      <c r="D42" s="35"/>
      <c r="E42" s="36"/>
    </row>
    <row r="43" spans="1:5" ht="14.25" customHeight="1" x14ac:dyDescent="0.3">
      <c r="A43" s="37" t="s">
        <v>112</v>
      </c>
      <c r="B43" s="37" t="s">
        <v>233</v>
      </c>
      <c r="C43" s="37"/>
      <c r="D43" s="39">
        <v>542686.9</v>
      </c>
      <c r="E43" s="24" t="s">
        <v>235</v>
      </c>
    </row>
    <row r="44" spans="1:5" ht="14.25" customHeight="1" x14ac:dyDescent="0.3">
      <c r="A44" s="37" t="s">
        <v>112</v>
      </c>
      <c r="B44" s="37" t="s">
        <v>236</v>
      </c>
      <c r="C44" s="37"/>
      <c r="D44" s="39">
        <v>0</v>
      </c>
      <c r="E44" s="24"/>
    </row>
    <row r="45" spans="1:5" ht="14.25" customHeight="1" x14ac:dyDescent="0.3">
      <c r="A45" s="37" t="s">
        <v>112</v>
      </c>
      <c r="B45" s="37" t="s">
        <v>234</v>
      </c>
      <c r="C45" s="37"/>
      <c r="D45" s="39">
        <v>0</v>
      </c>
      <c r="E45" s="24"/>
    </row>
    <row r="46" spans="1:5" x14ac:dyDescent="0.3">
      <c r="A46" s="37" t="s">
        <v>113</v>
      </c>
      <c r="B46" s="40"/>
      <c r="C46" s="37"/>
      <c r="D46" s="39">
        <v>10111.620000000001</v>
      </c>
      <c r="E46" s="24" t="s">
        <v>232</v>
      </c>
    </row>
    <row r="47" spans="1:5" x14ac:dyDescent="0.3">
      <c r="A47" s="219" t="s">
        <v>114</v>
      </c>
      <c r="B47" s="220"/>
      <c r="C47" s="37"/>
      <c r="D47" s="39">
        <v>4813938.26</v>
      </c>
      <c r="E47" s="177" t="s">
        <v>209</v>
      </c>
    </row>
    <row r="48" spans="1:5" x14ac:dyDescent="0.3">
      <c r="A48" s="41" t="s">
        <v>115</v>
      </c>
      <c r="B48" s="31"/>
      <c r="C48" s="37"/>
      <c r="D48" s="38"/>
      <c r="E48" s="24"/>
    </row>
    <row r="49" spans="1:6" ht="15" thickBot="1" x14ac:dyDescent="0.35">
      <c r="A49" s="25" t="s">
        <v>116</v>
      </c>
      <c r="B49" s="25"/>
      <c r="C49" s="25"/>
      <c r="D49" s="42"/>
      <c r="E49" s="43">
        <f>SUM(D43:D48)</f>
        <v>5366736.7799999993</v>
      </c>
    </row>
    <row r="50" spans="1:6" ht="15" customHeight="1" thickBot="1" x14ac:dyDescent="0.35">
      <c r="A50" s="17"/>
      <c r="B50" s="25"/>
      <c r="C50" s="25"/>
      <c r="D50" s="26"/>
      <c r="E50" s="44"/>
    </row>
    <row r="51" spans="1:6" ht="21.9" customHeight="1" x14ac:dyDescent="0.3">
      <c r="A51" s="217" t="s">
        <v>179</v>
      </c>
      <c r="B51" s="218"/>
      <c r="C51" s="37"/>
      <c r="D51" s="39">
        <v>225000</v>
      </c>
      <c r="E51" s="45" t="s">
        <v>210</v>
      </c>
    </row>
    <row r="52" spans="1:6" ht="41.4" customHeight="1" x14ac:dyDescent="0.3">
      <c r="A52" s="217" t="s">
        <v>204</v>
      </c>
      <c r="B52" s="218"/>
      <c r="C52" s="37"/>
      <c r="D52" s="39">
        <v>500000</v>
      </c>
      <c r="E52" s="45" t="s">
        <v>210</v>
      </c>
    </row>
    <row r="53" spans="1:6" ht="129" customHeight="1" x14ac:dyDescent="0.3">
      <c r="A53" s="217" t="s">
        <v>208</v>
      </c>
      <c r="B53" s="218"/>
      <c r="C53" s="37"/>
      <c r="D53" s="39">
        <v>1520000</v>
      </c>
      <c r="E53" s="170" t="s">
        <v>211</v>
      </c>
    </row>
    <row r="54" spans="1:6" ht="34.5" customHeight="1" x14ac:dyDescent="0.3">
      <c r="A54" s="217" t="s">
        <v>238</v>
      </c>
      <c r="B54" s="218"/>
      <c r="C54" s="37"/>
      <c r="D54" s="39">
        <f>272252*2</f>
        <v>544504</v>
      </c>
      <c r="E54" s="170" t="s">
        <v>239</v>
      </c>
    </row>
    <row r="55" spans="1:6" ht="21.9" customHeight="1" x14ac:dyDescent="0.3">
      <c r="A55" s="217" t="s">
        <v>223</v>
      </c>
      <c r="B55" s="218"/>
      <c r="C55" s="37"/>
      <c r="D55" s="39">
        <v>85000</v>
      </c>
      <c r="E55" s="45" t="s">
        <v>222</v>
      </c>
      <c r="F55" s="64"/>
    </row>
    <row r="56" spans="1:6" ht="21.9" customHeight="1" x14ac:dyDescent="0.3">
      <c r="A56" s="217" t="s">
        <v>244</v>
      </c>
      <c r="B56" s="218"/>
      <c r="C56" s="37"/>
      <c r="D56" s="39">
        <v>120000</v>
      </c>
      <c r="E56" s="45" t="s">
        <v>226</v>
      </c>
      <c r="F56" s="64"/>
    </row>
    <row r="57" spans="1:6" ht="21.9" customHeight="1" x14ac:dyDescent="0.3">
      <c r="A57" s="20" t="s">
        <v>225</v>
      </c>
      <c r="B57" s="21"/>
      <c r="C57" s="37"/>
      <c r="D57" s="39">
        <v>35000</v>
      </c>
      <c r="E57" s="45" t="s">
        <v>222</v>
      </c>
      <c r="F57" s="64"/>
    </row>
    <row r="58" spans="1:6" ht="30" customHeight="1" x14ac:dyDescent="0.3">
      <c r="A58" s="217" t="s">
        <v>224</v>
      </c>
      <c r="B58" s="218"/>
      <c r="C58" s="37"/>
      <c r="D58" s="39">
        <v>6000</v>
      </c>
      <c r="E58" s="45" t="s">
        <v>222</v>
      </c>
      <c r="F58" s="64"/>
    </row>
    <row r="59" spans="1:6" ht="109.5" customHeight="1" x14ac:dyDescent="0.3">
      <c r="A59" s="217" t="s">
        <v>227</v>
      </c>
      <c r="B59" s="218"/>
      <c r="C59" s="37"/>
      <c r="D59" s="39">
        <v>7000000</v>
      </c>
      <c r="E59" s="48" t="s">
        <v>228</v>
      </c>
      <c r="F59" s="64"/>
    </row>
    <row r="60" spans="1:6" ht="30" customHeight="1" x14ac:dyDescent="0.3">
      <c r="A60" s="20" t="s">
        <v>218</v>
      </c>
      <c r="B60" s="21"/>
      <c r="C60" s="37"/>
      <c r="D60" s="39">
        <v>28000</v>
      </c>
      <c r="E60" s="45" t="s">
        <v>173</v>
      </c>
      <c r="F60" s="64"/>
    </row>
    <row r="61" spans="1:6" ht="21.9" customHeight="1" x14ac:dyDescent="0.3">
      <c r="A61" s="140" t="s">
        <v>180</v>
      </c>
      <c r="B61" s="21"/>
      <c r="C61" s="37"/>
      <c r="D61" s="39">
        <v>150800</v>
      </c>
      <c r="E61" s="45" t="s">
        <v>222</v>
      </c>
      <c r="F61" s="64"/>
    </row>
    <row r="62" spans="1:6" ht="21.9" customHeight="1" x14ac:dyDescent="0.3">
      <c r="A62" s="180" t="s">
        <v>202</v>
      </c>
      <c r="B62" s="181"/>
      <c r="C62" s="37"/>
      <c r="D62" s="39">
        <v>910000</v>
      </c>
      <c r="E62" s="48" t="s">
        <v>219</v>
      </c>
      <c r="F62" s="64"/>
    </row>
    <row r="63" spans="1:6" ht="41.25" customHeight="1" x14ac:dyDescent="0.3">
      <c r="A63" s="217" t="s">
        <v>221</v>
      </c>
      <c r="B63" s="218"/>
      <c r="C63" s="37"/>
      <c r="D63" s="39">
        <v>250000</v>
      </c>
      <c r="E63" s="48" t="s">
        <v>220</v>
      </c>
      <c r="F63" s="64"/>
    </row>
    <row r="64" spans="1:6" ht="21.9" customHeight="1" x14ac:dyDescent="0.3">
      <c r="A64" s="140" t="s">
        <v>200</v>
      </c>
      <c r="B64" s="21"/>
      <c r="C64" s="37"/>
      <c r="D64" s="39">
        <v>133300</v>
      </c>
      <c r="E64" s="48" t="s">
        <v>199</v>
      </c>
      <c r="F64" s="64"/>
    </row>
    <row r="65" spans="1:6" ht="21.9" customHeight="1" x14ac:dyDescent="0.3">
      <c r="A65" s="217" t="s">
        <v>214</v>
      </c>
      <c r="B65" s="218"/>
      <c r="C65" s="37"/>
      <c r="D65" s="39">
        <v>105602.65</v>
      </c>
      <c r="E65" s="48" t="s">
        <v>203</v>
      </c>
      <c r="F65" s="64"/>
    </row>
    <row r="66" spans="1:6" ht="29.25" customHeight="1" x14ac:dyDescent="0.3">
      <c r="A66" s="217" t="s">
        <v>198</v>
      </c>
      <c r="B66" s="218"/>
      <c r="C66" s="37"/>
      <c r="D66" s="39">
        <v>2022800</v>
      </c>
      <c r="E66" s="48" t="s">
        <v>199</v>
      </c>
    </row>
    <row r="67" spans="1:6" x14ac:dyDescent="0.3">
      <c r="A67" s="25" t="s">
        <v>0</v>
      </c>
      <c r="B67" s="17"/>
      <c r="C67" s="17"/>
      <c r="D67" s="47"/>
      <c r="E67" s="33">
        <f>SUM(D51:D66)</f>
        <v>13636006.65</v>
      </c>
    </row>
    <row r="68" spans="1:6" x14ac:dyDescent="0.3">
      <c r="A68" s="17" t="s">
        <v>117</v>
      </c>
      <c r="B68" s="17"/>
      <c r="C68" s="17"/>
      <c r="D68" s="18"/>
      <c r="E68" s="19"/>
    </row>
    <row r="69" spans="1:6" ht="15.75" customHeight="1" x14ac:dyDescent="0.3">
      <c r="A69" s="217" t="s">
        <v>206</v>
      </c>
      <c r="B69" s="218"/>
      <c r="C69" s="22"/>
      <c r="D69" s="182">
        <v>650000</v>
      </c>
      <c r="E69" s="48"/>
    </row>
    <row r="70" spans="1:6" ht="15.75" customHeight="1" x14ac:dyDescent="0.3">
      <c r="A70" s="20" t="s">
        <v>178</v>
      </c>
      <c r="B70" s="21"/>
      <c r="C70" s="22"/>
      <c r="D70" s="139">
        <v>125000</v>
      </c>
      <c r="E70" s="48" t="s">
        <v>201</v>
      </c>
    </row>
    <row r="71" spans="1:6" ht="15.75" customHeight="1" x14ac:dyDescent="0.3">
      <c r="A71" s="217" t="s">
        <v>237</v>
      </c>
      <c r="B71" s="218"/>
      <c r="C71" s="22"/>
      <c r="D71" s="139">
        <v>62500</v>
      </c>
      <c r="E71" s="48" t="s">
        <v>201</v>
      </c>
    </row>
    <row r="72" spans="1:6" ht="15.75" customHeight="1" x14ac:dyDescent="0.3">
      <c r="A72" s="140" t="s">
        <v>207</v>
      </c>
      <c r="B72" s="21"/>
      <c r="C72" s="22"/>
      <c r="D72" s="139">
        <v>45000</v>
      </c>
      <c r="E72" s="48" t="s">
        <v>212</v>
      </c>
    </row>
    <row r="73" spans="1:6" x14ac:dyDescent="0.3">
      <c r="A73" s="25" t="s">
        <v>108</v>
      </c>
      <c r="B73" s="25"/>
      <c r="C73" s="25"/>
      <c r="D73" s="26"/>
      <c r="E73" s="27">
        <f>SUM(D69:D72)</f>
        <v>882500</v>
      </c>
    </row>
    <row r="74" spans="1:6" x14ac:dyDescent="0.3">
      <c r="A74" s="17" t="s">
        <v>118</v>
      </c>
      <c r="B74" s="49"/>
      <c r="C74" s="25"/>
      <c r="D74" s="50"/>
      <c r="E74" s="33"/>
    </row>
    <row r="75" spans="1:6" x14ac:dyDescent="0.3">
      <c r="A75" s="37" t="s">
        <v>157</v>
      </c>
      <c r="B75" s="37"/>
      <c r="C75" s="37"/>
      <c r="D75" s="39">
        <v>18681.400000000001</v>
      </c>
      <c r="E75" s="51"/>
    </row>
    <row r="76" spans="1:6" x14ac:dyDescent="0.3">
      <c r="A76" s="37" t="s">
        <v>158</v>
      </c>
      <c r="B76" s="37"/>
      <c r="C76" s="37"/>
      <c r="D76" s="39">
        <f>29633.91-18681.4</f>
        <v>10952.509999999998</v>
      </c>
      <c r="E76" s="52"/>
    </row>
    <row r="77" spans="1:6" x14ac:dyDescent="0.3">
      <c r="A77" s="37" t="s">
        <v>159</v>
      </c>
      <c r="B77" s="125"/>
      <c r="C77" s="125"/>
      <c r="D77" s="179">
        <v>45000</v>
      </c>
      <c r="E77" s="52"/>
    </row>
    <row r="78" spans="1:6" x14ac:dyDescent="0.3">
      <c r="A78" s="37" t="s">
        <v>160</v>
      </c>
      <c r="B78" s="125"/>
      <c r="C78" s="125"/>
      <c r="D78" s="179">
        <v>193960.95</v>
      </c>
      <c r="E78" s="52"/>
    </row>
    <row r="79" spans="1:6" x14ac:dyDescent="0.3">
      <c r="A79" s="53" t="s">
        <v>108</v>
      </c>
      <c r="B79" s="53"/>
      <c r="C79" s="53"/>
      <c r="D79" s="54"/>
      <c r="E79" s="55">
        <f>SUM(D75:D78)</f>
        <v>268594.86</v>
      </c>
    </row>
    <row r="80" spans="1:6" x14ac:dyDescent="0.3">
      <c r="A80" s="37"/>
      <c r="B80" s="37"/>
      <c r="C80" s="37"/>
      <c r="D80" s="56"/>
      <c r="E80" s="57"/>
    </row>
    <row r="81" spans="1:8" x14ac:dyDescent="0.3">
      <c r="A81" s="58" t="s">
        <v>119</v>
      </c>
      <c r="B81" s="58"/>
      <c r="C81" s="58"/>
      <c r="D81" s="59"/>
      <c r="E81" s="60"/>
    </row>
    <row r="82" spans="1:8" ht="15" thickBot="1" x14ac:dyDescent="0.35">
      <c r="A82" s="61"/>
      <c r="D82" s="62"/>
      <c r="E82" s="63"/>
      <c r="F82" s="64"/>
    </row>
    <row r="83" spans="1:8" ht="15" thickBot="1" x14ac:dyDescent="0.35">
      <c r="A83" s="65" t="s">
        <v>120</v>
      </c>
      <c r="B83" s="66"/>
      <c r="C83" s="67"/>
      <c r="D83" s="68"/>
      <c r="E83" s="69">
        <f>(SUM(E21:E81))</f>
        <v>25293837.280000001</v>
      </c>
      <c r="F83" s="70"/>
      <c r="G83" s="64"/>
    </row>
    <row r="84" spans="1:8" x14ac:dyDescent="0.3">
      <c r="D84" s="62"/>
      <c r="E84" s="62"/>
    </row>
    <row r="85" spans="1:8" ht="15" thickBot="1" x14ac:dyDescent="0.35">
      <c r="D85" s="62"/>
      <c r="E85" s="62"/>
      <c r="H85" s="71"/>
    </row>
    <row r="86" spans="1:8" x14ac:dyDescent="0.3">
      <c r="A86" s="12" t="s">
        <v>121</v>
      </c>
      <c r="B86" s="13"/>
      <c r="C86" s="14"/>
      <c r="D86" s="72"/>
      <c r="E86" s="73"/>
    </row>
    <row r="87" spans="1:8" ht="15" customHeight="1" x14ac:dyDescent="0.3">
      <c r="A87" s="30"/>
      <c r="B87" s="31"/>
      <c r="C87" s="37"/>
      <c r="D87" s="46"/>
      <c r="E87" s="74"/>
    </row>
    <row r="88" spans="1:8" ht="15" customHeight="1" x14ac:dyDescent="0.3">
      <c r="A88" s="217"/>
      <c r="B88" s="218"/>
      <c r="C88" s="37"/>
      <c r="D88" s="46"/>
      <c r="E88" s="74"/>
    </row>
    <row r="89" spans="1:8" ht="15.75" customHeight="1" x14ac:dyDescent="0.3">
      <c r="D89" s="56"/>
      <c r="E89" s="37"/>
    </row>
    <row r="90" spans="1:8" x14ac:dyDescent="0.3">
      <c r="A90" s="30"/>
      <c r="B90" s="75"/>
      <c r="C90" s="37"/>
      <c r="D90" s="46"/>
      <c r="E90" s="74"/>
    </row>
    <row r="91" spans="1:8" x14ac:dyDescent="0.3">
      <c r="A91" s="76" t="s">
        <v>152</v>
      </c>
      <c r="B91" s="77"/>
      <c r="C91" s="77"/>
      <c r="D91" s="175"/>
      <c r="E91" s="124">
        <f>SUM(D87:D90)</f>
        <v>0</v>
      </c>
    </row>
    <row r="92" spans="1:8" ht="15" customHeight="1" x14ac:dyDescent="0.3">
      <c r="D92" s="62"/>
    </row>
    <row r="93" spans="1:8" hidden="1" x14ac:dyDescent="0.3">
      <c r="D93" s="62"/>
    </row>
    <row r="94" spans="1:8" x14ac:dyDescent="0.3">
      <c r="A94" s="58" t="s">
        <v>122</v>
      </c>
      <c r="B94" s="58"/>
      <c r="C94" s="58"/>
      <c r="D94" s="59"/>
      <c r="E94" s="133"/>
    </row>
    <row r="95" spans="1:8" ht="15" thickBot="1" x14ac:dyDescent="0.35">
      <c r="D95" s="62"/>
    </row>
    <row r="96" spans="1:8" ht="15" thickBot="1" x14ac:dyDescent="0.35">
      <c r="A96" s="65" t="s">
        <v>123</v>
      </c>
      <c r="B96" s="66"/>
      <c r="C96" s="67"/>
      <c r="D96" s="67"/>
      <c r="E96" s="78">
        <f>E91+E94</f>
        <v>0</v>
      </c>
    </row>
    <row r="97" spans="1:2" ht="15" thickBot="1" x14ac:dyDescent="0.35"/>
    <row r="98" spans="1:2" ht="15" thickBot="1" x14ac:dyDescent="0.35">
      <c r="A98" s="79" t="s">
        <v>124</v>
      </c>
      <c r="B98" s="80">
        <f>E83</f>
        <v>25293837.280000001</v>
      </c>
    </row>
    <row r="99" spans="1:2" ht="15" thickBot="1" x14ac:dyDescent="0.35">
      <c r="A99" s="79" t="s">
        <v>125</v>
      </c>
      <c r="B99" s="80">
        <f>E83-E81</f>
        <v>25293837.280000001</v>
      </c>
    </row>
    <row r="100" spans="1:2" ht="15" thickBot="1" x14ac:dyDescent="0.35">
      <c r="A100" s="79" t="s">
        <v>126</v>
      </c>
      <c r="B100" s="80">
        <f>E96-E94</f>
        <v>0</v>
      </c>
    </row>
    <row r="101" spans="1:2" ht="15" thickBot="1" x14ac:dyDescent="0.35">
      <c r="A101" s="79" t="s">
        <v>127</v>
      </c>
      <c r="B101" s="80">
        <f>E96</f>
        <v>0</v>
      </c>
    </row>
    <row r="104" spans="1:2" ht="15" customHeight="1" x14ac:dyDescent="0.3">
      <c r="A104" s="229" t="s">
        <v>253</v>
      </c>
      <c r="B104" s="229"/>
    </row>
    <row r="105" spans="1:2" ht="15" customHeight="1" x14ac:dyDescent="0.3">
      <c r="A105" s="229"/>
      <c r="B105" s="229"/>
    </row>
    <row r="106" spans="1:2" ht="15" customHeight="1" x14ac:dyDescent="0.3">
      <c r="A106" s="229"/>
      <c r="B106" s="229"/>
    </row>
    <row r="108" spans="1:2" ht="15" customHeight="1" x14ac:dyDescent="0.3">
      <c r="A108" s="229" t="s">
        <v>256</v>
      </c>
      <c r="B108" s="229"/>
    </row>
    <row r="109" spans="1:2" ht="15" customHeight="1" x14ac:dyDescent="0.3">
      <c r="A109" s="229"/>
      <c r="B109" s="229"/>
    </row>
    <row r="110" spans="1:2" ht="15" customHeight="1" x14ac:dyDescent="0.3">
      <c r="A110" s="229"/>
      <c r="B110" s="229"/>
    </row>
    <row r="113" spans="1:6" x14ac:dyDescent="0.3">
      <c r="A113" s="228" t="s">
        <v>181</v>
      </c>
      <c r="B113" s="228"/>
    </row>
    <row r="114" spans="1:6" x14ac:dyDescent="0.3">
      <c r="A114" s="228"/>
      <c r="B114" s="228"/>
    </row>
    <row r="115" spans="1:6" s="83" customFormat="1" x14ac:dyDescent="0.3">
      <c r="A115"/>
      <c r="B115" s="81"/>
      <c r="C115" s="82"/>
    </row>
    <row r="116" spans="1:6" s="83" customFormat="1" ht="30.75" customHeight="1" x14ac:dyDescent="0.3">
      <c r="A116" s="137" t="s">
        <v>174</v>
      </c>
      <c r="B116" s="84">
        <v>10597369.743745035</v>
      </c>
      <c r="C116" s="82"/>
      <c r="D116" s="85"/>
      <c r="E116" s="85"/>
    </row>
    <row r="117" spans="1:6" x14ac:dyDescent="0.3">
      <c r="A117" s="32" t="s">
        <v>151</v>
      </c>
      <c r="B117" s="86">
        <f>-B99-B100</f>
        <v>-25293837.280000001</v>
      </c>
    </row>
    <row r="118" spans="1:6" x14ac:dyDescent="0.3">
      <c r="A118" s="32" t="s">
        <v>128</v>
      </c>
      <c r="B118" s="86">
        <f>B140</f>
        <v>195940.3</v>
      </c>
      <c r="F118" s="81"/>
    </row>
    <row r="119" spans="1:6" ht="69" customHeight="1" x14ac:dyDescent="0.3">
      <c r="A119" s="32" t="s">
        <v>240</v>
      </c>
      <c r="B119" s="157">
        <v>-239116.53</v>
      </c>
      <c r="F119" s="81"/>
    </row>
    <row r="120" spans="1:6" ht="35.25" customHeight="1" x14ac:dyDescent="0.3">
      <c r="A120" s="32" t="s">
        <v>241</v>
      </c>
      <c r="B120" s="158">
        <f>-119452</f>
        <v>-119452</v>
      </c>
      <c r="F120" s="81"/>
    </row>
    <row r="121" spans="1:6" ht="28.8" x14ac:dyDescent="0.3">
      <c r="A121" s="32" t="s">
        <v>247</v>
      </c>
      <c r="B121" s="158">
        <v>-123612</v>
      </c>
      <c r="F121" s="81"/>
    </row>
    <row r="122" spans="1:6" ht="28.8" x14ac:dyDescent="0.3">
      <c r="A122" s="32" t="s">
        <v>252</v>
      </c>
      <c r="B122" s="158">
        <v>-168836.39</v>
      </c>
      <c r="F122" s="81"/>
    </row>
    <row r="123" spans="1:6" x14ac:dyDescent="0.3">
      <c r="A123" s="32" t="s">
        <v>251</v>
      </c>
      <c r="B123" s="158">
        <v>-20871</v>
      </c>
      <c r="F123" s="81"/>
    </row>
    <row r="124" spans="1:6" x14ac:dyDescent="0.3">
      <c r="A124" s="32" t="s">
        <v>248</v>
      </c>
      <c r="B124" s="158">
        <v>-3820</v>
      </c>
      <c r="F124" s="81"/>
    </row>
    <row r="125" spans="1:6" ht="18" customHeight="1" x14ac:dyDescent="0.3">
      <c r="A125" s="32" t="s">
        <v>242</v>
      </c>
      <c r="B125" s="158">
        <v>-7274</v>
      </c>
      <c r="F125" s="81"/>
    </row>
    <row r="126" spans="1:6" ht="18" customHeight="1" x14ac:dyDescent="0.3">
      <c r="A126" s="32" t="s">
        <v>243</v>
      </c>
      <c r="B126" s="156">
        <v>-7528</v>
      </c>
      <c r="F126" s="81"/>
    </row>
    <row r="127" spans="1:6" x14ac:dyDescent="0.3">
      <c r="A127" s="32" t="s">
        <v>2</v>
      </c>
      <c r="B127" s="87">
        <f>PRORRATEO!F117</f>
        <v>13927009.310000001</v>
      </c>
      <c r="F127" s="81"/>
    </row>
    <row r="128" spans="1:6" x14ac:dyDescent="0.3">
      <c r="A128" s="32" t="s">
        <v>257</v>
      </c>
      <c r="B128" s="87">
        <v>300000</v>
      </c>
      <c r="F128" s="81"/>
    </row>
    <row r="129" spans="1:13" x14ac:dyDescent="0.3">
      <c r="A129" s="32" t="s">
        <v>258</v>
      </c>
      <c r="B129" s="87">
        <v>250000</v>
      </c>
      <c r="F129" s="81"/>
    </row>
    <row r="130" spans="1:13" x14ac:dyDescent="0.3">
      <c r="A130" s="32" t="s">
        <v>259</v>
      </c>
      <c r="B130" s="87">
        <v>200000.42</v>
      </c>
      <c r="F130" s="81"/>
    </row>
    <row r="131" spans="1:13" ht="28.8" x14ac:dyDescent="0.3">
      <c r="A131" s="32" t="s">
        <v>254</v>
      </c>
      <c r="B131" s="214">
        <v>-130000</v>
      </c>
      <c r="F131" s="81"/>
    </row>
    <row r="132" spans="1:13" ht="28.8" x14ac:dyDescent="0.3">
      <c r="A132" s="32" t="s">
        <v>260</v>
      </c>
      <c r="B132" s="214">
        <v>-130000</v>
      </c>
      <c r="F132" s="81"/>
    </row>
    <row r="133" spans="1:13" ht="34.5" customHeight="1" x14ac:dyDescent="0.3">
      <c r="A133" s="32" t="s">
        <v>255</v>
      </c>
      <c r="B133" s="214">
        <v>-130000</v>
      </c>
      <c r="F133" s="81"/>
    </row>
    <row r="134" spans="1:13" ht="28.8" x14ac:dyDescent="0.3">
      <c r="A134" s="88" t="s">
        <v>261</v>
      </c>
      <c r="B134" s="171">
        <v>123300</v>
      </c>
      <c r="F134" s="81"/>
    </row>
    <row r="135" spans="1:13" ht="15" thickBot="1" x14ac:dyDescent="0.35">
      <c r="A135" s="89" t="s">
        <v>175</v>
      </c>
      <c r="B135" s="90">
        <f>SUM(B116:C134)</f>
        <v>-780727.42625496525</v>
      </c>
      <c r="D135" s="81"/>
      <c r="E135" s="64"/>
      <c r="F135" s="64"/>
    </row>
    <row r="136" spans="1:13" ht="34.5" customHeight="1" x14ac:dyDescent="0.3"/>
    <row r="137" spans="1:13" x14ac:dyDescent="0.3">
      <c r="A137" s="227" t="s">
        <v>129</v>
      </c>
      <c r="B137" s="227"/>
      <c r="C137" s="227"/>
    </row>
    <row r="138" spans="1:13" x14ac:dyDescent="0.3">
      <c r="A138" s="227"/>
      <c r="B138" s="227"/>
      <c r="C138" s="227"/>
    </row>
    <row r="139" spans="1:13" ht="27" customHeight="1" x14ac:dyDescent="0.3">
      <c r="A139" s="91" t="s">
        <v>246</v>
      </c>
      <c r="B139" s="169">
        <v>195940.3</v>
      </c>
      <c r="C139" s="92"/>
      <c r="D139" s="70"/>
    </row>
    <row r="140" spans="1:13" x14ac:dyDescent="0.3">
      <c r="A140" s="93" t="s">
        <v>0</v>
      </c>
      <c r="B140" s="94">
        <f>SUM(B139:B139)</f>
        <v>195940.3</v>
      </c>
      <c r="C140" s="95"/>
    </row>
    <row r="141" spans="1:13" x14ac:dyDescent="0.3">
      <c r="M141" s="96"/>
    </row>
  </sheetData>
  <mergeCells count="29">
    <mergeCell ref="A71:B71"/>
    <mergeCell ref="A54:B54"/>
    <mergeCell ref="A137:C138"/>
    <mergeCell ref="A40:B40"/>
    <mergeCell ref="A113:B114"/>
    <mergeCell ref="A51:B51"/>
    <mergeCell ref="A66:B66"/>
    <mergeCell ref="A88:B88"/>
    <mergeCell ref="A55:B55"/>
    <mergeCell ref="A58:B58"/>
    <mergeCell ref="A59:B59"/>
    <mergeCell ref="A52:B52"/>
    <mergeCell ref="A53:B53"/>
    <mergeCell ref="A65:B65"/>
    <mergeCell ref="A104:B106"/>
    <mergeCell ref="A108:B110"/>
    <mergeCell ref="A24:B24"/>
    <mergeCell ref="A39:B39"/>
    <mergeCell ref="B1:E1"/>
    <mergeCell ref="A25:B25"/>
    <mergeCell ref="A69:B69"/>
    <mergeCell ref="B3:E3"/>
    <mergeCell ref="B8:C10"/>
    <mergeCell ref="A13:E16"/>
    <mergeCell ref="A22:B22"/>
    <mergeCell ref="A23:B23"/>
    <mergeCell ref="A47:B47"/>
    <mergeCell ref="A63:B63"/>
    <mergeCell ref="A56:B56"/>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53" zoomScaleNormal="100" workbookViewId="0">
      <selection activeCell="F55" sqref="F55"/>
    </sheetView>
  </sheetViews>
  <sheetFormatPr baseColWidth="10"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4.6640625" customWidth="1"/>
    <col min="12" max="12" width="14.33203125" customWidth="1"/>
    <col min="13" max="13" width="7.33203125" bestFit="1" customWidth="1"/>
    <col min="14" max="14" width="12" bestFit="1" customWidth="1"/>
    <col min="15" max="15" width="13" bestFit="1" customWidth="1"/>
  </cols>
  <sheetData>
    <row r="1" spans="1:14" ht="12.9" customHeight="1" x14ac:dyDescent="0.3">
      <c r="A1" s="141"/>
      <c r="B1" s="142"/>
      <c r="C1" s="142"/>
      <c r="D1" s="231"/>
      <c r="E1" s="231"/>
      <c r="F1" s="231"/>
      <c r="G1" s="231"/>
      <c r="H1" s="231"/>
      <c r="I1" s="231"/>
      <c r="J1" s="231"/>
      <c r="K1" s="231"/>
      <c r="L1" s="143"/>
    </row>
    <row r="2" spans="1:14" ht="12.9" customHeight="1" x14ac:dyDescent="0.3">
      <c r="A2" s="144"/>
      <c r="B2" s="145"/>
      <c r="C2" s="146"/>
      <c r="D2" s="146" t="s">
        <v>130</v>
      </c>
      <c r="E2" s="254">
        <v>3000000</v>
      </c>
      <c r="F2" s="254"/>
      <c r="G2" s="146"/>
      <c r="H2" s="146"/>
      <c r="I2" s="146" t="s">
        <v>131</v>
      </c>
      <c r="J2" s="147">
        <v>12074625</v>
      </c>
      <c r="K2" s="148"/>
      <c r="L2" s="149"/>
      <c r="M2" s="97"/>
    </row>
    <row r="3" spans="1:14" ht="12.9" customHeight="1" thickBot="1" x14ac:dyDescent="0.35">
      <c r="A3" s="150"/>
      <c r="B3" s="151"/>
      <c r="C3" s="151"/>
      <c r="D3" s="151"/>
      <c r="E3" s="151"/>
      <c r="F3" s="152"/>
      <c r="G3" s="151"/>
      <c r="H3" s="151"/>
      <c r="I3" s="151"/>
      <c r="J3" s="151"/>
      <c r="K3" s="153"/>
      <c r="L3" s="154"/>
      <c r="M3" s="97"/>
    </row>
    <row r="4" spans="1:14" ht="12.9" customHeight="1" x14ac:dyDescent="0.3">
      <c r="A4" s="232" t="s">
        <v>172</v>
      </c>
      <c r="B4" s="233"/>
      <c r="C4" s="233"/>
      <c r="D4" s="233"/>
      <c r="E4" s="233"/>
      <c r="F4" s="233"/>
      <c r="G4" s="233"/>
      <c r="H4" s="233"/>
      <c r="I4" s="233"/>
      <c r="J4" s="233"/>
      <c r="K4" s="233"/>
      <c r="L4" s="234"/>
      <c r="M4" s="97"/>
    </row>
    <row r="5" spans="1:14" ht="12.9" customHeight="1" x14ac:dyDescent="0.3">
      <c r="A5" s="235"/>
      <c r="B5" s="236"/>
      <c r="C5" s="236"/>
      <c r="D5" s="236"/>
      <c r="E5" s="236"/>
      <c r="F5" s="236"/>
      <c r="G5" s="236"/>
      <c r="H5" s="236"/>
      <c r="I5" s="236"/>
      <c r="J5" s="236"/>
      <c r="K5" s="236"/>
      <c r="L5" s="237"/>
      <c r="M5" s="97"/>
    </row>
    <row r="6" spans="1:14" ht="12.9" customHeight="1" x14ac:dyDescent="0.3">
      <c r="A6" s="235"/>
      <c r="B6" s="236"/>
      <c r="C6" s="236"/>
      <c r="D6" s="236"/>
      <c r="E6" s="236"/>
      <c r="F6" s="236"/>
      <c r="G6" s="236"/>
      <c r="H6" s="236"/>
      <c r="I6" s="236"/>
      <c r="J6" s="236"/>
      <c r="K6" s="236"/>
      <c r="L6" s="237"/>
      <c r="M6" s="97"/>
    </row>
    <row r="7" spans="1:14" ht="12.9" customHeight="1" x14ac:dyDescent="0.3">
      <c r="A7" s="235"/>
      <c r="B7" s="236"/>
      <c r="C7" s="236"/>
      <c r="D7" s="236"/>
      <c r="E7" s="236"/>
      <c r="F7" s="236"/>
      <c r="G7" s="236"/>
      <c r="H7" s="236"/>
      <c r="I7" s="236"/>
      <c r="J7" s="236"/>
      <c r="K7" s="236"/>
      <c r="L7" s="237"/>
      <c r="M7" s="97"/>
    </row>
    <row r="8" spans="1:14" ht="192" customHeight="1" thickBot="1" x14ac:dyDescent="0.35">
      <c r="A8" s="238"/>
      <c r="B8" s="239"/>
      <c r="C8" s="239"/>
      <c r="D8" s="239"/>
      <c r="E8" s="239"/>
      <c r="F8" s="239"/>
      <c r="G8" s="239"/>
      <c r="H8" s="239"/>
      <c r="I8" s="239"/>
      <c r="J8" s="239"/>
      <c r="K8" s="239"/>
      <c r="L8" s="240"/>
    </row>
    <row r="9" spans="1:14" ht="48" customHeight="1" thickBot="1" x14ac:dyDescent="0.35">
      <c r="A9" s="248" t="s">
        <v>170</v>
      </c>
      <c r="B9" s="249"/>
      <c r="C9" s="249"/>
      <c r="D9" s="249"/>
      <c r="E9" s="249"/>
      <c r="F9" s="249"/>
      <c r="G9" s="249"/>
      <c r="H9" s="249"/>
      <c r="I9" s="249"/>
      <c r="J9" s="249"/>
      <c r="K9" s="249"/>
      <c r="L9" s="250"/>
    </row>
    <row r="10" spans="1:14" ht="48" customHeight="1" thickBot="1" x14ac:dyDescent="0.35">
      <c r="A10" s="251" t="s">
        <v>171</v>
      </c>
      <c r="B10" s="252"/>
      <c r="C10" s="252"/>
      <c r="D10" s="252"/>
      <c r="E10" s="252"/>
      <c r="F10" s="252"/>
      <c r="G10" s="252"/>
      <c r="H10" s="252"/>
      <c r="I10" s="252"/>
      <c r="J10" s="252"/>
      <c r="K10" s="252"/>
      <c r="L10" s="253"/>
    </row>
    <row r="11" spans="1:14" x14ac:dyDescent="0.3">
      <c r="A11" s="241" t="s">
        <v>132</v>
      </c>
      <c r="B11" s="241" t="s">
        <v>133</v>
      </c>
      <c r="C11" s="241" t="s">
        <v>134</v>
      </c>
      <c r="D11" s="241" t="s">
        <v>135</v>
      </c>
      <c r="E11" s="244" t="s">
        <v>136</v>
      </c>
      <c r="F11" s="241" t="s">
        <v>137</v>
      </c>
      <c r="G11" s="246" t="s">
        <v>138</v>
      </c>
      <c r="H11" s="244" t="s">
        <v>139</v>
      </c>
      <c r="I11" s="244" t="s">
        <v>131</v>
      </c>
      <c r="J11" s="255" t="s">
        <v>130</v>
      </c>
      <c r="K11" s="98" t="s">
        <v>140</v>
      </c>
      <c r="L11" s="257" t="s">
        <v>141</v>
      </c>
    </row>
    <row r="12" spans="1:14" ht="15.75" customHeight="1" x14ac:dyDescent="0.3">
      <c r="A12" s="242"/>
      <c r="B12" s="242"/>
      <c r="C12" s="243"/>
      <c r="D12" s="242"/>
      <c r="E12" s="245"/>
      <c r="F12" s="242"/>
      <c r="G12" s="247"/>
      <c r="H12" s="245"/>
      <c r="I12" s="245"/>
      <c r="J12" s="256"/>
      <c r="K12" s="99" t="str">
        <f>RESUMEN!B8</f>
        <v>VTO 13/03</v>
      </c>
      <c r="L12" s="258"/>
    </row>
    <row r="13" spans="1:14" ht="17.100000000000001" customHeight="1" x14ac:dyDescent="0.3">
      <c r="A13" s="100">
        <v>1</v>
      </c>
      <c r="B13" s="100" t="s">
        <v>3</v>
      </c>
      <c r="C13" s="100"/>
      <c r="D13" s="101">
        <v>1.37</v>
      </c>
      <c r="E13" s="102">
        <v>206522.01</v>
      </c>
      <c r="F13" s="103">
        <f>E13</f>
        <v>206522.01</v>
      </c>
      <c r="G13" s="104">
        <f t="shared" ref="G13:G76" si="0">E13-F13</f>
        <v>0</v>
      </c>
      <c r="H13" s="104">
        <f>IF(G13&gt;0,G13*3%,0)</f>
        <v>0</v>
      </c>
      <c r="I13" s="105">
        <f t="shared" ref="I13:I44" si="1">J$2*D13/100</f>
        <v>165422.36250000002</v>
      </c>
      <c r="J13" s="105">
        <f t="shared" ref="J13:J44" si="2">E$2*D13/100</f>
        <v>41100.000000000007</v>
      </c>
      <c r="K13" s="106">
        <f t="shared" ref="K13:K44" si="3">ROUND(SUM(G13:J13),0) + M13</f>
        <v>206522.01</v>
      </c>
      <c r="L13" s="107">
        <f t="shared" ref="L13:L33" si="4">ROUND(K13*3%,0) + K13</f>
        <v>212718.01</v>
      </c>
      <c r="M13" s="64">
        <v>0.01</v>
      </c>
    </row>
    <row r="14" spans="1:14" ht="17.100000000000001" customHeight="1" x14ac:dyDescent="0.3">
      <c r="A14" s="100">
        <v>2</v>
      </c>
      <c r="B14" s="100" t="s">
        <v>4</v>
      </c>
      <c r="C14" s="108"/>
      <c r="D14" s="101">
        <v>1.18</v>
      </c>
      <c r="E14" s="102">
        <v>2512429.02</v>
      </c>
      <c r="F14" s="103">
        <v>30000</v>
      </c>
      <c r="G14" s="104">
        <f t="shared" si="0"/>
        <v>2482429.02</v>
      </c>
      <c r="H14" s="104">
        <f t="shared" ref="H14:H77" si="5">IF(G14&gt;0,G14*3%,0)</f>
        <v>74472.870599999995</v>
      </c>
      <c r="I14" s="105">
        <f t="shared" si="1"/>
        <v>142480.57500000001</v>
      </c>
      <c r="J14" s="105">
        <f t="shared" si="2"/>
        <v>35400</v>
      </c>
      <c r="K14" s="106">
        <f t="shared" si="3"/>
        <v>2734782.02</v>
      </c>
      <c r="L14" s="107">
        <f t="shared" si="4"/>
        <v>2816825.02</v>
      </c>
      <c r="M14" s="64">
        <f>M13+0.01</f>
        <v>0.02</v>
      </c>
      <c r="N14" t="s">
        <v>184</v>
      </c>
    </row>
    <row r="15" spans="1:14" ht="17.100000000000001" customHeight="1" x14ac:dyDescent="0.3">
      <c r="A15" s="100">
        <v>3</v>
      </c>
      <c r="B15" s="100" t="s">
        <v>5</v>
      </c>
      <c r="C15" s="108"/>
      <c r="D15" s="101">
        <v>0.74</v>
      </c>
      <c r="E15" s="102">
        <v>111552.03</v>
      </c>
      <c r="F15" s="103">
        <f>E15</f>
        <v>111552.03</v>
      </c>
      <c r="G15" s="104">
        <f t="shared" si="0"/>
        <v>0</v>
      </c>
      <c r="H15" s="104">
        <f t="shared" si="5"/>
        <v>0</v>
      </c>
      <c r="I15" s="105">
        <f t="shared" si="1"/>
        <v>89352.225000000006</v>
      </c>
      <c r="J15" s="105">
        <f t="shared" si="2"/>
        <v>22200</v>
      </c>
      <c r="K15" s="106">
        <f t="shared" si="3"/>
        <v>111552.03</v>
      </c>
      <c r="L15" s="107">
        <f t="shared" si="4"/>
        <v>114899.03</v>
      </c>
      <c r="M15" s="64">
        <f t="shared" ref="M15:M30" si="6">M14+0.01</f>
        <v>0.03</v>
      </c>
    </row>
    <row r="16" spans="1:14" ht="17.100000000000001" customHeight="1" x14ac:dyDescent="0.3">
      <c r="A16" s="216">
        <v>4</v>
      </c>
      <c r="B16" s="216" t="s">
        <v>6</v>
      </c>
      <c r="C16" s="136"/>
      <c r="D16" s="127">
        <v>1.47</v>
      </c>
      <c r="E16" s="128">
        <v>214949.04</v>
      </c>
      <c r="F16" s="128">
        <f>E16</f>
        <v>214949.04</v>
      </c>
      <c r="G16" s="129">
        <f t="shared" si="0"/>
        <v>0</v>
      </c>
      <c r="H16" s="129">
        <f t="shared" si="5"/>
        <v>0</v>
      </c>
      <c r="I16" s="126">
        <f t="shared" si="1"/>
        <v>177496.98749999999</v>
      </c>
      <c r="J16" s="126">
        <f t="shared" si="2"/>
        <v>44100</v>
      </c>
      <c r="K16" s="130">
        <f t="shared" si="3"/>
        <v>221597.04</v>
      </c>
      <c r="L16" s="131">
        <f t="shared" si="4"/>
        <v>228245.04</v>
      </c>
      <c r="M16" s="64">
        <f t="shared" si="6"/>
        <v>0.04</v>
      </c>
    </row>
    <row r="17" spans="1:14" ht="17.100000000000001" customHeight="1" x14ac:dyDescent="0.3">
      <c r="A17" s="100">
        <v>5</v>
      </c>
      <c r="B17" s="100" t="s">
        <v>7</v>
      </c>
      <c r="C17" s="100"/>
      <c r="D17" s="101">
        <v>1.1200000000000001</v>
      </c>
      <c r="E17" s="102">
        <v>163771.04999999999</v>
      </c>
      <c r="F17" s="103">
        <v>168684.05</v>
      </c>
      <c r="G17" s="104">
        <f t="shared" si="0"/>
        <v>-4913</v>
      </c>
      <c r="H17" s="104">
        <f t="shared" si="5"/>
        <v>0</v>
      </c>
      <c r="I17" s="105">
        <f t="shared" si="1"/>
        <v>135235.80000000002</v>
      </c>
      <c r="J17" s="105">
        <f t="shared" si="2"/>
        <v>33600.000000000007</v>
      </c>
      <c r="K17" s="106">
        <f t="shared" si="3"/>
        <v>163923.04999999999</v>
      </c>
      <c r="L17" s="107">
        <f t="shared" si="4"/>
        <v>168841.05</v>
      </c>
      <c r="M17" s="64">
        <f t="shared" si="6"/>
        <v>0.05</v>
      </c>
    </row>
    <row r="18" spans="1:14" ht="17.100000000000001" customHeight="1" x14ac:dyDescent="0.3">
      <c r="A18" s="100">
        <v>6</v>
      </c>
      <c r="B18" s="100" t="s">
        <v>8</v>
      </c>
      <c r="C18" s="100"/>
      <c r="D18" s="101">
        <v>1.35</v>
      </c>
      <c r="E18" s="102">
        <v>203507.06</v>
      </c>
      <c r="F18" s="103">
        <f>E18</f>
        <v>203507.06</v>
      </c>
      <c r="G18" s="104">
        <f t="shared" si="0"/>
        <v>0</v>
      </c>
      <c r="H18" s="104">
        <f t="shared" si="5"/>
        <v>0</v>
      </c>
      <c r="I18" s="105">
        <f t="shared" si="1"/>
        <v>163007.43750000003</v>
      </c>
      <c r="J18" s="105">
        <f t="shared" si="2"/>
        <v>40500.000000000007</v>
      </c>
      <c r="K18" s="106">
        <f t="shared" si="3"/>
        <v>203507.06</v>
      </c>
      <c r="L18" s="107">
        <f t="shared" si="4"/>
        <v>209612.06</v>
      </c>
      <c r="M18" s="64">
        <f t="shared" si="6"/>
        <v>6.0000000000000005E-2</v>
      </c>
    </row>
    <row r="19" spans="1:14" ht="17.100000000000001" customHeight="1" x14ac:dyDescent="0.3">
      <c r="A19" s="100">
        <v>7</v>
      </c>
      <c r="B19" s="100" t="s">
        <v>9</v>
      </c>
      <c r="C19" s="100"/>
      <c r="D19" s="101">
        <v>1.1200000000000001</v>
      </c>
      <c r="E19" s="102">
        <v>168836.07</v>
      </c>
      <c r="F19" s="103">
        <f>E19</f>
        <v>168836.07</v>
      </c>
      <c r="G19" s="104">
        <f t="shared" si="0"/>
        <v>0</v>
      </c>
      <c r="H19" s="104">
        <f t="shared" si="5"/>
        <v>0</v>
      </c>
      <c r="I19" s="105">
        <f t="shared" si="1"/>
        <v>135235.80000000002</v>
      </c>
      <c r="J19" s="105">
        <f t="shared" si="2"/>
        <v>33600.000000000007</v>
      </c>
      <c r="K19" s="106">
        <f t="shared" si="3"/>
        <v>168836.07</v>
      </c>
      <c r="L19" s="107">
        <f t="shared" si="4"/>
        <v>173901.07</v>
      </c>
      <c r="M19" s="64">
        <f t="shared" si="6"/>
        <v>7.0000000000000007E-2</v>
      </c>
    </row>
    <row r="20" spans="1:14" ht="17.100000000000001" customHeight="1" x14ac:dyDescent="0.3">
      <c r="A20" s="100">
        <v>8</v>
      </c>
      <c r="B20" s="100" t="s">
        <v>10</v>
      </c>
      <c r="C20" s="108"/>
      <c r="D20" s="101">
        <v>0.82</v>
      </c>
      <c r="E20" s="102">
        <v>123612.08</v>
      </c>
      <c r="F20" s="103">
        <f>E20</f>
        <v>123612.08</v>
      </c>
      <c r="G20" s="104">
        <f t="shared" si="0"/>
        <v>0</v>
      </c>
      <c r="H20" s="104">
        <f t="shared" si="5"/>
        <v>0</v>
      </c>
      <c r="I20" s="105">
        <f t="shared" si="1"/>
        <v>99011.925000000003</v>
      </c>
      <c r="J20" s="105">
        <f t="shared" si="2"/>
        <v>24600</v>
      </c>
      <c r="K20" s="106">
        <f t="shared" si="3"/>
        <v>123612.08</v>
      </c>
      <c r="L20" s="107">
        <f t="shared" si="4"/>
        <v>127320.08</v>
      </c>
      <c r="M20" s="64">
        <f t="shared" si="6"/>
        <v>0.08</v>
      </c>
    </row>
    <row r="21" spans="1:14" ht="17.100000000000001" customHeight="1" x14ac:dyDescent="0.3">
      <c r="A21" s="100">
        <v>9</v>
      </c>
      <c r="B21" s="100" t="s">
        <v>11</v>
      </c>
      <c r="C21" s="108"/>
      <c r="D21" s="101">
        <v>0.82</v>
      </c>
      <c r="E21" s="102">
        <v>119904.09</v>
      </c>
      <c r="F21" s="103">
        <v>123501.09</v>
      </c>
      <c r="G21" s="104">
        <f t="shared" si="0"/>
        <v>-3597</v>
      </c>
      <c r="H21" s="104">
        <f t="shared" si="5"/>
        <v>0</v>
      </c>
      <c r="I21" s="105">
        <f t="shared" si="1"/>
        <v>99011.925000000003</v>
      </c>
      <c r="J21" s="105">
        <f t="shared" si="2"/>
        <v>24600</v>
      </c>
      <c r="K21" s="106">
        <f t="shared" si="3"/>
        <v>120015.09</v>
      </c>
      <c r="L21" s="107">
        <f t="shared" si="4"/>
        <v>123615.09</v>
      </c>
      <c r="M21" s="64">
        <f t="shared" si="6"/>
        <v>0.09</v>
      </c>
    </row>
    <row r="22" spans="1:14" ht="17.100000000000001" customHeight="1" x14ac:dyDescent="0.3">
      <c r="A22" s="100">
        <v>10</v>
      </c>
      <c r="B22" s="100" t="s">
        <v>12</v>
      </c>
      <c r="C22" s="108"/>
      <c r="D22" s="101">
        <v>1.34</v>
      </c>
      <c r="E22" s="102">
        <v>202000.1</v>
      </c>
      <c r="F22" s="103"/>
      <c r="G22" s="104">
        <f t="shared" si="0"/>
        <v>202000.1</v>
      </c>
      <c r="H22" s="104">
        <f t="shared" si="5"/>
        <v>6060.0029999999997</v>
      </c>
      <c r="I22" s="105">
        <f t="shared" si="1"/>
        <v>161799.97500000001</v>
      </c>
      <c r="J22" s="105">
        <f t="shared" si="2"/>
        <v>40200.000000000007</v>
      </c>
      <c r="K22" s="106">
        <f t="shared" si="3"/>
        <v>410060.1</v>
      </c>
      <c r="L22" s="107">
        <f t="shared" si="4"/>
        <v>422362.1</v>
      </c>
      <c r="M22" s="64">
        <f t="shared" si="6"/>
        <v>9.9999999999999992E-2</v>
      </c>
    </row>
    <row r="23" spans="1:14" ht="17.100000000000001" customHeight="1" x14ac:dyDescent="0.3">
      <c r="A23" s="100">
        <v>11</v>
      </c>
      <c r="B23" s="100" t="s">
        <v>13</v>
      </c>
      <c r="C23" s="108"/>
      <c r="D23" s="101">
        <v>1.1200000000000001</v>
      </c>
      <c r="E23" s="102">
        <v>168836.11</v>
      </c>
      <c r="F23" s="103">
        <f>E23</f>
        <v>168836.11</v>
      </c>
      <c r="G23" s="104">
        <f t="shared" si="0"/>
        <v>0</v>
      </c>
      <c r="H23" s="104">
        <f t="shared" si="5"/>
        <v>0</v>
      </c>
      <c r="I23" s="105">
        <f t="shared" si="1"/>
        <v>135235.80000000002</v>
      </c>
      <c r="J23" s="105">
        <f t="shared" si="2"/>
        <v>33600.000000000007</v>
      </c>
      <c r="K23" s="106">
        <f t="shared" si="3"/>
        <v>168836.11</v>
      </c>
      <c r="L23" s="107">
        <f t="shared" si="4"/>
        <v>173901.11</v>
      </c>
      <c r="M23" s="64">
        <f t="shared" si="6"/>
        <v>0.10999999999999999</v>
      </c>
    </row>
    <row r="24" spans="1:14" ht="17.25" customHeight="1" x14ac:dyDescent="0.3">
      <c r="A24" s="100">
        <v>12</v>
      </c>
      <c r="B24" s="100" t="s">
        <v>14</v>
      </c>
      <c r="C24" s="108"/>
      <c r="D24" s="101">
        <v>1.17</v>
      </c>
      <c r="E24" s="102">
        <v>3280034.12</v>
      </c>
      <c r="F24" s="103">
        <v>0</v>
      </c>
      <c r="G24" s="104">
        <f t="shared" si="0"/>
        <v>3280034.12</v>
      </c>
      <c r="H24" s="104">
        <f t="shared" si="5"/>
        <v>98401.0236</v>
      </c>
      <c r="I24" s="105">
        <f t="shared" si="1"/>
        <v>141273.11249999999</v>
      </c>
      <c r="J24" s="105">
        <f t="shared" si="2"/>
        <v>35100</v>
      </c>
      <c r="K24" s="106">
        <f t="shared" si="3"/>
        <v>3554808.12</v>
      </c>
      <c r="L24" s="107">
        <f t="shared" si="4"/>
        <v>3661452.12</v>
      </c>
      <c r="M24" s="64">
        <f t="shared" si="6"/>
        <v>0.11999999999999998</v>
      </c>
    </row>
    <row r="25" spans="1:14" ht="17.100000000000001" customHeight="1" x14ac:dyDescent="0.3">
      <c r="A25" s="100">
        <v>13</v>
      </c>
      <c r="B25" s="100" t="s">
        <v>15</v>
      </c>
      <c r="C25" s="108"/>
      <c r="D25" s="101">
        <v>1.35</v>
      </c>
      <c r="E25" s="102">
        <v>206752.13</v>
      </c>
      <c r="F25" s="103">
        <f>E25</f>
        <v>206752.13</v>
      </c>
      <c r="G25" s="104">
        <f t="shared" si="0"/>
        <v>0</v>
      </c>
      <c r="H25" s="104">
        <f t="shared" si="5"/>
        <v>0</v>
      </c>
      <c r="I25" s="105">
        <f t="shared" si="1"/>
        <v>163007.43750000003</v>
      </c>
      <c r="J25" s="105">
        <f t="shared" si="2"/>
        <v>40500.000000000007</v>
      </c>
      <c r="K25" s="106">
        <f t="shared" si="3"/>
        <v>203507.13</v>
      </c>
      <c r="L25" s="107">
        <f t="shared" si="4"/>
        <v>209612.13</v>
      </c>
      <c r="M25" s="64">
        <f t="shared" si="6"/>
        <v>0.12999999999999998</v>
      </c>
    </row>
    <row r="26" spans="1:14" ht="17.100000000000001" customHeight="1" x14ac:dyDescent="0.3">
      <c r="A26" s="100">
        <v>14</v>
      </c>
      <c r="B26" s="100" t="s">
        <v>16</v>
      </c>
      <c r="C26" s="108"/>
      <c r="D26" s="101">
        <v>1.1200000000000001</v>
      </c>
      <c r="E26" s="102">
        <v>174053.14</v>
      </c>
      <c r="F26" s="103"/>
      <c r="G26" s="104">
        <f t="shared" si="0"/>
        <v>174053.14</v>
      </c>
      <c r="H26" s="104">
        <f t="shared" si="5"/>
        <v>5221.5942000000005</v>
      </c>
      <c r="I26" s="105">
        <f t="shared" si="1"/>
        <v>135235.80000000002</v>
      </c>
      <c r="J26" s="105">
        <f t="shared" si="2"/>
        <v>33600.000000000007</v>
      </c>
      <c r="K26" s="106">
        <f t="shared" si="3"/>
        <v>348111.14</v>
      </c>
      <c r="L26" s="107">
        <f t="shared" si="4"/>
        <v>358554.14</v>
      </c>
      <c r="M26" s="64">
        <f t="shared" si="6"/>
        <v>0.13999999999999999</v>
      </c>
    </row>
    <row r="27" spans="1:14" ht="17.100000000000001" customHeight="1" x14ac:dyDescent="0.3">
      <c r="A27" s="159">
        <v>15</v>
      </c>
      <c r="B27" s="159" t="s">
        <v>17</v>
      </c>
      <c r="C27" s="167"/>
      <c r="D27" s="161">
        <v>0.82</v>
      </c>
      <c r="E27" s="103">
        <v>382072.15</v>
      </c>
      <c r="F27" s="103">
        <f>123612.15+250932+7528</f>
        <v>382072.15</v>
      </c>
      <c r="G27" s="104">
        <f t="shared" si="0"/>
        <v>0</v>
      </c>
      <c r="H27" s="104">
        <f t="shared" si="5"/>
        <v>0</v>
      </c>
      <c r="I27" s="105">
        <f t="shared" si="1"/>
        <v>99011.925000000003</v>
      </c>
      <c r="J27" s="105">
        <f t="shared" si="2"/>
        <v>24600</v>
      </c>
      <c r="K27" s="106">
        <f t="shared" si="3"/>
        <v>123612.15</v>
      </c>
      <c r="L27" s="107">
        <f t="shared" si="4"/>
        <v>127320.15</v>
      </c>
      <c r="M27" s="64">
        <f t="shared" si="6"/>
        <v>0.15</v>
      </c>
    </row>
    <row r="28" spans="1:14" ht="17.100000000000001" customHeight="1" x14ac:dyDescent="0.3">
      <c r="A28" s="100">
        <v>16</v>
      </c>
      <c r="B28" s="100" t="s">
        <v>18</v>
      </c>
      <c r="C28" s="100"/>
      <c r="D28" s="101">
        <v>0.82</v>
      </c>
      <c r="E28" s="102">
        <v>758530.16</v>
      </c>
      <c r="F28" s="103">
        <v>400000.16</v>
      </c>
      <c r="G28" s="104">
        <f t="shared" si="0"/>
        <v>358530.00000000006</v>
      </c>
      <c r="H28" s="104">
        <f t="shared" si="5"/>
        <v>10755.900000000001</v>
      </c>
      <c r="I28" s="105">
        <f t="shared" si="1"/>
        <v>99011.925000000003</v>
      </c>
      <c r="J28" s="105">
        <f t="shared" si="2"/>
        <v>24600</v>
      </c>
      <c r="K28" s="106">
        <f t="shared" si="3"/>
        <v>492898.16</v>
      </c>
      <c r="L28" s="107">
        <f t="shared" si="4"/>
        <v>507685.16</v>
      </c>
      <c r="M28" s="64">
        <f t="shared" si="6"/>
        <v>0.16</v>
      </c>
    </row>
    <row r="29" spans="1:14" ht="17.100000000000001" customHeight="1" x14ac:dyDescent="0.3">
      <c r="A29" s="100">
        <v>17</v>
      </c>
      <c r="B29" s="100" t="s">
        <v>19</v>
      </c>
      <c r="C29" s="108"/>
      <c r="D29" s="101">
        <v>1.34</v>
      </c>
      <c r="E29" s="102">
        <v>202000.17</v>
      </c>
      <c r="F29" s="103">
        <f>E29</f>
        <v>202000.17</v>
      </c>
      <c r="G29" s="104">
        <f t="shared" si="0"/>
        <v>0</v>
      </c>
      <c r="H29" s="104">
        <f t="shared" si="5"/>
        <v>0</v>
      </c>
      <c r="I29" s="105">
        <f t="shared" si="1"/>
        <v>161799.97500000001</v>
      </c>
      <c r="J29" s="105">
        <f t="shared" si="2"/>
        <v>40200.000000000007</v>
      </c>
      <c r="K29" s="106">
        <f t="shared" si="3"/>
        <v>202000.17</v>
      </c>
      <c r="L29" s="107">
        <f t="shared" si="4"/>
        <v>208060.17</v>
      </c>
      <c r="M29" s="64">
        <f t="shared" si="6"/>
        <v>0.17</v>
      </c>
    </row>
    <row r="30" spans="1:14" ht="17.100000000000001" customHeight="1" x14ac:dyDescent="0.3">
      <c r="A30" s="159">
        <v>18</v>
      </c>
      <c r="B30" s="159" t="s">
        <v>20</v>
      </c>
      <c r="C30" s="160"/>
      <c r="D30" s="161">
        <v>1.1200000000000001</v>
      </c>
      <c r="E30" s="103">
        <v>168836.18</v>
      </c>
      <c r="F30" s="103">
        <v>173901.18</v>
      </c>
      <c r="G30" s="162">
        <f t="shared" si="0"/>
        <v>-5065</v>
      </c>
      <c r="H30" s="162">
        <f t="shared" si="5"/>
        <v>0</v>
      </c>
      <c r="I30" s="163">
        <f t="shared" si="1"/>
        <v>135235.80000000002</v>
      </c>
      <c r="J30" s="163">
        <f t="shared" si="2"/>
        <v>33600.000000000007</v>
      </c>
      <c r="K30" s="164">
        <f t="shared" si="3"/>
        <v>163771.18</v>
      </c>
      <c r="L30" s="165">
        <f t="shared" si="4"/>
        <v>168684.18</v>
      </c>
      <c r="M30" s="64">
        <f t="shared" si="6"/>
        <v>0.18000000000000002</v>
      </c>
    </row>
    <row r="31" spans="1:14" x14ac:dyDescent="0.3">
      <c r="A31" s="100">
        <v>19</v>
      </c>
      <c r="B31" s="100" t="s">
        <v>21</v>
      </c>
      <c r="C31" s="108"/>
      <c r="D31" s="101">
        <v>1.17</v>
      </c>
      <c r="E31" s="102">
        <v>176373.19</v>
      </c>
      <c r="F31" s="103">
        <f>191448.19-F112</f>
        <v>176372.19</v>
      </c>
      <c r="G31" s="104">
        <f t="shared" si="0"/>
        <v>1</v>
      </c>
      <c r="H31" s="104">
        <f t="shared" si="5"/>
        <v>0.03</v>
      </c>
      <c r="I31" s="105">
        <f t="shared" si="1"/>
        <v>141273.11249999999</v>
      </c>
      <c r="J31" s="105">
        <f t="shared" si="2"/>
        <v>35100</v>
      </c>
      <c r="K31" s="106">
        <f t="shared" si="3"/>
        <v>176374.19</v>
      </c>
      <c r="L31" s="107">
        <f t="shared" si="4"/>
        <v>181665.19</v>
      </c>
      <c r="M31" s="64">
        <f>M30+0.01</f>
        <v>0.19000000000000003</v>
      </c>
      <c r="N31" t="s">
        <v>168</v>
      </c>
    </row>
    <row r="32" spans="1:14" x14ac:dyDescent="0.3">
      <c r="A32" s="205">
        <v>20</v>
      </c>
      <c r="B32" s="206" t="s">
        <v>22</v>
      </c>
      <c r="C32" s="207"/>
      <c r="D32" s="208">
        <v>1.35</v>
      </c>
      <c r="E32" s="209">
        <v>203507.20000000001</v>
      </c>
      <c r="F32" s="209"/>
      <c r="G32" s="210">
        <f t="shared" si="0"/>
        <v>203507.20000000001</v>
      </c>
      <c r="H32" s="210">
        <f t="shared" si="5"/>
        <v>6105.2160000000003</v>
      </c>
      <c r="I32" s="211">
        <f t="shared" si="1"/>
        <v>163007.43750000003</v>
      </c>
      <c r="J32" s="211">
        <f t="shared" si="2"/>
        <v>40500.000000000007</v>
      </c>
      <c r="K32" s="212">
        <f t="shared" si="3"/>
        <v>413120.2</v>
      </c>
      <c r="L32" s="213">
        <f t="shared" si="4"/>
        <v>425514.2</v>
      </c>
      <c r="M32" s="64">
        <f t="shared" ref="M32:M95" si="7">M31+0.01</f>
        <v>0.20000000000000004</v>
      </c>
      <c r="N32" t="s">
        <v>173</v>
      </c>
    </row>
    <row r="33" spans="1:14" x14ac:dyDescent="0.3">
      <c r="A33" s="166">
        <v>21</v>
      </c>
      <c r="B33" s="168" t="s">
        <v>23</v>
      </c>
      <c r="C33" s="167"/>
      <c r="D33" s="161">
        <v>1.1200000000000001</v>
      </c>
      <c r="E33" s="103">
        <v>168836.21</v>
      </c>
      <c r="F33" s="103">
        <f>E33</f>
        <v>168836.21</v>
      </c>
      <c r="G33" s="162">
        <f t="shared" si="0"/>
        <v>0</v>
      </c>
      <c r="H33" s="162">
        <f t="shared" si="5"/>
        <v>0</v>
      </c>
      <c r="I33" s="163">
        <f t="shared" si="1"/>
        <v>135235.80000000002</v>
      </c>
      <c r="J33" s="163">
        <f t="shared" si="2"/>
        <v>33600.000000000007</v>
      </c>
      <c r="K33" s="164">
        <f t="shared" si="3"/>
        <v>168836.21</v>
      </c>
      <c r="L33" s="165">
        <f t="shared" si="4"/>
        <v>173901.21</v>
      </c>
      <c r="M33" s="64">
        <f t="shared" si="7"/>
        <v>0.21000000000000005</v>
      </c>
    </row>
    <row r="34" spans="1:14" x14ac:dyDescent="0.3">
      <c r="A34" s="109">
        <f>A33+1</f>
        <v>22</v>
      </c>
      <c r="B34" s="110" t="s">
        <v>24</v>
      </c>
      <c r="C34" s="108"/>
      <c r="D34" s="101">
        <v>0.82</v>
      </c>
      <c r="E34" s="102">
        <v>123612.22</v>
      </c>
      <c r="F34" s="103">
        <v>127320.22</v>
      </c>
      <c r="G34" s="104">
        <f t="shared" si="0"/>
        <v>-3708</v>
      </c>
      <c r="H34" s="104">
        <f t="shared" si="5"/>
        <v>0</v>
      </c>
      <c r="I34" s="105">
        <f t="shared" si="1"/>
        <v>99011.925000000003</v>
      </c>
      <c r="J34" s="105">
        <f t="shared" si="2"/>
        <v>24600</v>
      </c>
      <c r="K34" s="106">
        <f t="shared" si="3"/>
        <v>119904.22</v>
      </c>
      <c r="L34" s="107">
        <f t="shared" ref="L34:L97" si="8">ROUND(K34*3%,0) + K34</f>
        <v>123501.22</v>
      </c>
      <c r="M34" s="64">
        <f t="shared" si="7"/>
        <v>0.22000000000000006</v>
      </c>
    </row>
    <row r="35" spans="1:14" x14ac:dyDescent="0.3">
      <c r="A35" s="109">
        <f t="shared" ref="A35:A98" si="9">A34+1</f>
        <v>23</v>
      </c>
      <c r="B35" s="110" t="s">
        <v>25</v>
      </c>
      <c r="C35" s="108"/>
      <c r="D35" s="101">
        <v>0.82</v>
      </c>
      <c r="E35" s="102">
        <v>119904.23</v>
      </c>
      <c r="F35" s="103">
        <f>E35</f>
        <v>119904.23</v>
      </c>
      <c r="G35" s="104">
        <f t="shared" si="0"/>
        <v>0</v>
      </c>
      <c r="H35" s="104">
        <f t="shared" si="5"/>
        <v>0</v>
      </c>
      <c r="I35" s="105">
        <f t="shared" si="1"/>
        <v>99011.925000000003</v>
      </c>
      <c r="J35" s="105">
        <f t="shared" si="2"/>
        <v>24600</v>
      </c>
      <c r="K35" s="106">
        <f t="shared" si="3"/>
        <v>123612.23</v>
      </c>
      <c r="L35" s="107">
        <f t="shared" si="8"/>
        <v>127320.23</v>
      </c>
      <c r="M35" s="64">
        <f t="shared" si="7"/>
        <v>0.23000000000000007</v>
      </c>
    </row>
    <row r="36" spans="1:14" x14ac:dyDescent="0.3">
      <c r="A36" s="109">
        <f t="shared" si="9"/>
        <v>24</v>
      </c>
      <c r="B36" s="110" t="s">
        <v>26</v>
      </c>
      <c r="C36" s="108"/>
      <c r="D36" s="101">
        <v>1.34</v>
      </c>
      <c r="E36" s="102">
        <v>202000.24</v>
      </c>
      <c r="F36" s="103"/>
      <c r="G36" s="104">
        <f t="shared" si="0"/>
        <v>202000.24</v>
      </c>
      <c r="H36" s="104">
        <f t="shared" si="5"/>
        <v>6060.0071999999991</v>
      </c>
      <c r="I36" s="105">
        <f t="shared" si="1"/>
        <v>161799.97500000001</v>
      </c>
      <c r="J36" s="105">
        <f t="shared" si="2"/>
        <v>40200.000000000007</v>
      </c>
      <c r="K36" s="106">
        <f t="shared" si="3"/>
        <v>410060.24</v>
      </c>
      <c r="L36" s="107">
        <f t="shared" si="8"/>
        <v>422362.24</v>
      </c>
      <c r="M36" s="64">
        <f t="shared" si="7"/>
        <v>0.24000000000000007</v>
      </c>
    </row>
    <row r="37" spans="1:14" x14ac:dyDescent="0.3">
      <c r="A37" s="109">
        <f t="shared" si="9"/>
        <v>25</v>
      </c>
      <c r="B37" s="110" t="s">
        <v>27</v>
      </c>
      <c r="C37" s="108"/>
      <c r="D37" s="101">
        <v>1.1200000000000001</v>
      </c>
      <c r="E37" s="102">
        <v>150649.25</v>
      </c>
      <c r="F37" s="103"/>
      <c r="G37" s="104">
        <f t="shared" si="0"/>
        <v>150649.25</v>
      </c>
      <c r="H37" s="104">
        <f t="shared" si="5"/>
        <v>4519.4775</v>
      </c>
      <c r="I37" s="105">
        <f t="shared" si="1"/>
        <v>135235.80000000002</v>
      </c>
      <c r="J37" s="105">
        <f t="shared" si="2"/>
        <v>33600.000000000007</v>
      </c>
      <c r="K37" s="106">
        <f t="shared" si="3"/>
        <v>324005.25</v>
      </c>
      <c r="L37" s="107">
        <f t="shared" si="8"/>
        <v>333725.25</v>
      </c>
      <c r="M37" s="64">
        <f t="shared" si="7"/>
        <v>0.25000000000000006</v>
      </c>
    </row>
    <row r="38" spans="1:14" x14ac:dyDescent="0.3">
      <c r="A38" s="109">
        <f t="shared" si="9"/>
        <v>26</v>
      </c>
      <c r="B38" s="110" t="s">
        <v>28</v>
      </c>
      <c r="C38" s="108"/>
      <c r="D38" s="101">
        <v>1.17</v>
      </c>
      <c r="E38" s="102">
        <v>375264.26</v>
      </c>
      <c r="F38" s="103">
        <f>E38</f>
        <v>375264.26</v>
      </c>
      <c r="G38" s="104">
        <f t="shared" si="0"/>
        <v>0</v>
      </c>
      <c r="H38" s="104">
        <f t="shared" si="5"/>
        <v>0</v>
      </c>
      <c r="I38" s="105">
        <f t="shared" si="1"/>
        <v>141273.11249999999</v>
      </c>
      <c r="J38" s="105">
        <f t="shared" si="2"/>
        <v>35100</v>
      </c>
      <c r="K38" s="106">
        <f t="shared" si="3"/>
        <v>176373.26</v>
      </c>
      <c r="L38" s="107">
        <f t="shared" si="8"/>
        <v>181664.26</v>
      </c>
      <c r="M38" s="64">
        <f t="shared" si="7"/>
        <v>0.26000000000000006</v>
      </c>
    </row>
    <row r="39" spans="1:14" x14ac:dyDescent="0.3">
      <c r="A39" s="109">
        <f t="shared" si="9"/>
        <v>27</v>
      </c>
      <c r="B39" s="110" t="s">
        <v>29</v>
      </c>
      <c r="C39" s="108"/>
      <c r="D39" s="101">
        <v>1.35</v>
      </c>
      <c r="E39" s="102">
        <v>197402.27</v>
      </c>
      <c r="F39" s="103">
        <f>E39</f>
        <v>197402.27</v>
      </c>
      <c r="G39" s="104">
        <f t="shared" si="0"/>
        <v>0</v>
      </c>
      <c r="H39" s="104">
        <f t="shared" si="5"/>
        <v>0</v>
      </c>
      <c r="I39" s="105">
        <f t="shared" si="1"/>
        <v>163007.43750000003</v>
      </c>
      <c r="J39" s="105">
        <f t="shared" si="2"/>
        <v>40500.000000000007</v>
      </c>
      <c r="K39" s="106">
        <f t="shared" si="3"/>
        <v>203507.27</v>
      </c>
      <c r="L39" s="107">
        <f t="shared" si="8"/>
        <v>209612.27</v>
      </c>
      <c r="M39" s="64">
        <f t="shared" si="7"/>
        <v>0.27000000000000007</v>
      </c>
    </row>
    <row r="40" spans="1:14" x14ac:dyDescent="0.3">
      <c r="A40" s="109">
        <f t="shared" si="9"/>
        <v>28</v>
      </c>
      <c r="B40" s="110" t="s">
        <v>30</v>
      </c>
      <c r="C40" s="108"/>
      <c r="D40" s="101">
        <v>1.1200000000000001</v>
      </c>
      <c r="E40" s="102">
        <v>163771.28</v>
      </c>
      <c r="F40" s="103">
        <v>168684.28</v>
      </c>
      <c r="G40" s="104">
        <f t="shared" si="0"/>
        <v>-4913</v>
      </c>
      <c r="H40" s="104">
        <f t="shared" si="5"/>
        <v>0</v>
      </c>
      <c r="I40" s="105">
        <f t="shared" si="1"/>
        <v>135235.80000000002</v>
      </c>
      <c r="J40" s="105">
        <f t="shared" si="2"/>
        <v>33600.000000000007</v>
      </c>
      <c r="K40" s="106">
        <f t="shared" si="3"/>
        <v>163923.28</v>
      </c>
      <c r="L40" s="107">
        <f t="shared" si="8"/>
        <v>168841.28</v>
      </c>
      <c r="M40" s="64">
        <f t="shared" si="7"/>
        <v>0.28000000000000008</v>
      </c>
    </row>
    <row r="41" spans="1:14" x14ac:dyDescent="0.3">
      <c r="A41" s="134">
        <f t="shared" si="9"/>
        <v>29</v>
      </c>
      <c r="B41" s="135" t="s">
        <v>31</v>
      </c>
      <c r="C41" s="136"/>
      <c r="D41" s="127">
        <v>0.82</v>
      </c>
      <c r="E41" s="128">
        <v>116843.29</v>
      </c>
      <c r="F41" s="128"/>
      <c r="G41" s="129">
        <f t="shared" si="0"/>
        <v>116843.29</v>
      </c>
      <c r="H41" s="129">
        <f t="shared" si="5"/>
        <v>3505.2986999999998</v>
      </c>
      <c r="I41" s="126">
        <f t="shared" si="1"/>
        <v>99011.925000000003</v>
      </c>
      <c r="J41" s="126">
        <f t="shared" si="2"/>
        <v>24600</v>
      </c>
      <c r="K41" s="130">
        <f t="shared" si="3"/>
        <v>243961.29</v>
      </c>
      <c r="L41" s="131">
        <f t="shared" si="8"/>
        <v>251280.29</v>
      </c>
      <c r="M41" s="64">
        <f t="shared" si="7"/>
        <v>0.29000000000000009</v>
      </c>
      <c r="N41" t="s">
        <v>163</v>
      </c>
    </row>
    <row r="42" spans="1:14" x14ac:dyDescent="0.3">
      <c r="A42" s="166">
        <f t="shared" si="9"/>
        <v>30</v>
      </c>
      <c r="B42" s="168" t="s">
        <v>32</v>
      </c>
      <c r="C42" s="108"/>
      <c r="D42" s="101">
        <v>0.82</v>
      </c>
      <c r="E42" s="102">
        <v>120677.3</v>
      </c>
      <c r="F42" s="103">
        <v>125000</v>
      </c>
      <c r="G42" s="104">
        <f t="shared" si="0"/>
        <v>-4322.6999999999971</v>
      </c>
      <c r="H42" s="104">
        <f t="shared" si="5"/>
        <v>0</v>
      </c>
      <c r="I42" s="105">
        <f t="shared" si="1"/>
        <v>99011.925000000003</v>
      </c>
      <c r="J42" s="105">
        <f t="shared" si="2"/>
        <v>24600</v>
      </c>
      <c r="K42" s="106">
        <f t="shared" si="3"/>
        <v>119289.3</v>
      </c>
      <c r="L42" s="107">
        <f t="shared" si="8"/>
        <v>122868.3</v>
      </c>
      <c r="M42" s="64">
        <f t="shared" si="7"/>
        <v>0.3000000000000001</v>
      </c>
    </row>
    <row r="43" spans="1:14" x14ac:dyDescent="0.3">
      <c r="A43" s="109">
        <f t="shared" si="9"/>
        <v>31</v>
      </c>
      <c r="B43" s="110" t="s">
        <v>33</v>
      </c>
      <c r="C43" s="108"/>
      <c r="D43" s="101">
        <v>1.34</v>
      </c>
      <c r="E43" s="102">
        <v>202000.31</v>
      </c>
      <c r="F43" s="103">
        <v>208060.31</v>
      </c>
      <c r="G43" s="104">
        <f t="shared" si="0"/>
        <v>-6060</v>
      </c>
      <c r="H43" s="104">
        <f t="shared" si="5"/>
        <v>0</v>
      </c>
      <c r="I43" s="105">
        <f t="shared" si="1"/>
        <v>161799.97500000001</v>
      </c>
      <c r="J43" s="105">
        <f t="shared" si="2"/>
        <v>40200.000000000007</v>
      </c>
      <c r="K43" s="106">
        <f t="shared" si="3"/>
        <v>195940.31</v>
      </c>
      <c r="L43" s="107">
        <f t="shared" si="8"/>
        <v>201818.31</v>
      </c>
      <c r="M43" s="64">
        <f t="shared" si="7"/>
        <v>0.31000000000000011</v>
      </c>
    </row>
    <row r="44" spans="1:14" x14ac:dyDescent="0.3">
      <c r="A44" s="109">
        <f t="shared" si="9"/>
        <v>32</v>
      </c>
      <c r="B44" s="110" t="s">
        <v>34</v>
      </c>
      <c r="C44" s="108"/>
      <c r="D44" s="101">
        <v>1.1200000000000001</v>
      </c>
      <c r="E44" s="102">
        <v>158706.32</v>
      </c>
      <c r="F44" s="103"/>
      <c r="G44" s="104">
        <f t="shared" si="0"/>
        <v>158706.32</v>
      </c>
      <c r="H44" s="104">
        <f t="shared" si="5"/>
        <v>4761.1895999999997</v>
      </c>
      <c r="I44" s="105">
        <f t="shared" si="1"/>
        <v>135235.80000000002</v>
      </c>
      <c r="J44" s="105">
        <f t="shared" si="2"/>
        <v>33600.000000000007</v>
      </c>
      <c r="K44" s="106">
        <f t="shared" si="3"/>
        <v>332303.32</v>
      </c>
      <c r="L44" s="107">
        <f t="shared" si="8"/>
        <v>342272.32</v>
      </c>
      <c r="M44" s="64">
        <f t="shared" si="7"/>
        <v>0.32000000000000012</v>
      </c>
    </row>
    <row r="45" spans="1:14" x14ac:dyDescent="0.3">
      <c r="A45" s="186">
        <f t="shared" si="9"/>
        <v>33</v>
      </c>
      <c r="B45" s="187" t="s">
        <v>35</v>
      </c>
      <c r="C45" s="188"/>
      <c r="D45" s="189">
        <v>1.17</v>
      </c>
      <c r="E45" s="190">
        <v>176373.11249999999</v>
      </c>
      <c r="F45" s="190"/>
      <c r="G45" s="191">
        <f t="shared" si="0"/>
        <v>176373.11249999999</v>
      </c>
      <c r="H45" s="191">
        <f t="shared" si="5"/>
        <v>5291.1933749999998</v>
      </c>
      <c r="I45" s="192">
        <f t="shared" ref="I45:I76" si="10">J$2*D45/100</f>
        <v>141273.11249999999</v>
      </c>
      <c r="J45" s="192">
        <f t="shared" ref="J45:J76" si="11">E$2*D45/100</f>
        <v>35100</v>
      </c>
      <c r="K45" s="193">
        <f t="shared" ref="K45:K76" si="12">ROUND(SUM(G45:J45),0) + M45</f>
        <v>358037.33</v>
      </c>
      <c r="L45" s="194">
        <f t="shared" si="8"/>
        <v>368778.33</v>
      </c>
      <c r="M45" s="64">
        <f t="shared" si="7"/>
        <v>0.33000000000000013</v>
      </c>
    </row>
    <row r="46" spans="1:14" x14ac:dyDescent="0.3">
      <c r="A46" s="109">
        <f t="shared" si="9"/>
        <v>34</v>
      </c>
      <c r="B46" s="110" t="s">
        <v>36</v>
      </c>
      <c r="C46" s="108"/>
      <c r="D46" s="101">
        <v>1.35</v>
      </c>
      <c r="E46" s="102">
        <v>203507.34</v>
      </c>
      <c r="F46" s="103">
        <f>E46</f>
        <v>203507.34</v>
      </c>
      <c r="G46" s="104">
        <f t="shared" si="0"/>
        <v>0</v>
      </c>
      <c r="H46" s="104">
        <f t="shared" si="5"/>
        <v>0</v>
      </c>
      <c r="I46" s="105">
        <f t="shared" si="10"/>
        <v>163007.43750000003</v>
      </c>
      <c r="J46" s="105">
        <f t="shared" si="11"/>
        <v>40500.000000000007</v>
      </c>
      <c r="K46" s="106">
        <f t="shared" si="12"/>
        <v>203507.34</v>
      </c>
      <c r="L46" s="107">
        <f t="shared" si="8"/>
        <v>209612.34</v>
      </c>
      <c r="M46" s="64">
        <f t="shared" si="7"/>
        <v>0.34000000000000014</v>
      </c>
    </row>
    <row r="47" spans="1:14" x14ac:dyDescent="0.3">
      <c r="A47" s="134">
        <f t="shared" si="9"/>
        <v>35</v>
      </c>
      <c r="B47" s="135" t="s">
        <v>37</v>
      </c>
      <c r="C47" s="136"/>
      <c r="D47" s="127">
        <v>1.1200000000000001</v>
      </c>
      <c r="E47" s="128">
        <v>341763.35</v>
      </c>
      <c r="F47" s="128">
        <v>200000</v>
      </c>
      <c r="G47" s="129">
        <f t="shared" si="0"/>
        <v>141763.34999999998</v>
      </c>
      <c r="H47" s="129">
        <f t="shared" si="5"/>
        <v>4252.9004999999988</v>
      </c>
      <c r="I47" s="126">
        <f t="shared" si="10"/>
        <v>135235.80000000002</v>
      </c>
      <c r="J47" s="126">
        <f t="shared" si="11"/>
        <v>33600.000000000007</v>
      </c>
      <c r="K47" s="130">
        <f t="shared" si="12"/>
        <v>314852.34999999998</v>
      </c>
      <c r="L47" s="131">
        <f t="shared" si="8"/>
        <v>324298.34999999998</v>
      </c>
      <c r="M47" s="64">
        <f t="shared" si="7"/>
        <v>0.35000000000000014</v>
      </c>
      <c r="N47" t="s">
        <v>165</v>
      </c>
    </row>
    <row r="48" spans="1:14" x14ac:dyDescent="0.3">
      <c r="A48" s="109">
        <f t="shared" si="9"/>
        <v>36</v>
      </c>
      <c r="B48" s="110" t="s">
        <v>38</v>
      </c>
      <c r="C48" s="108"/>
      <c r="D48" s="101">
        <v>0.82</v>
      </c>
      <c r="E48" s="102">
        <v>119904.36</v>
      </c>
      <c r="F48" s="103">
        <f>E48</f>
        <v>119904.36</v>
      </c>
      <c r="G48" s="104">
        <f t="shared" si="0"/>
        <v>0</v>
      </c>
      <c r="H48" s="104">
        <f t="shared" si="5"/>
        <v>0</v>
      </c>
      <c r="I48" s="105">
        <f t="shared" si="10"/>
        <v>99011.925000000003</v>
      </c>
      <c r="J48" s="105">
        <f t="shared" si="11"/>
        <v>24600</v>
      </c>
      <c r="K48" s="106">
        <f t="shared" si="12"/>
        <v>123612.36</v>
      </c>
      <c r="L48" s="107">
        <f t="shared" si="8"/>
        <v>127320.36</v>
      </c>
      <c r="M48" s="64">
        <f t="shared" si="7"/>
        <v>0.36000000000000015</v>
      </c>
      <c r="N48" t="s">
        <v>169</v>
      </c>
    </row>
    <row r="49" spans="1:14" x14ac:dyDescent="0.3">
      <c r="A49" s="109">
        <f t="shared" si="9"/>
        <v>37</v>
      </c>
      <c r="B49" s="110" t="s">
        <v>39</v>
      </c>
      <c r="C49" s="108"/>
      <c r="D49" s="101">
        <v>0.82</v>
      </c>
      <c r="E49" s="103">
        <v>258461.37</v>
      </c>
      <c r="F49" s="103">
        <f>E49</f>
        <v>258461.37</v>
      </c>
      <c r="G49" s="104">
        <f t="shared" si="0"/>
        <v>0</v>
      </c>
      <c r="H49" s="104">
        <f t="shared" si="5"/>
        <v>0</v>
      </c>
      <c r="I49" s="105">
        <f t="shared" si="10"/>
        <v>99011.925000000003</v>
      </c>
      <c r="J49" s="105">
        <f t="shared" si="11"/>
        <v>24600</v>
      </c>
      <c r="K49" s="106">
        <f t="shared" si="12"/>
        <v>123612.37</v>
      </c>
      <c r="L49" s="107">
        <f t="shared" si="8"/>
        <v>127320.37</v>
      </c>
      <c r="M49" s="64">
        <f t="shared" si="7"/>
        <v>0.37000000000000016</v>
      </c>
    </row>
    <row r="50" spans="1:14" x14ac:dyDescent="0.3">
      <c r="A50" s="109">
        <f t="shared" si="9"/>
        <v>38</v>
      </c>
      <c r="B50" s="110" t="s">
        <v>40</v>
      </c>
      <c r="C50" s="108"/>
      <c r="D50" s="101">
        <v>1.34</v>
      </c>
      <c r="E50" s="102">
        <v>195940.38</v>
      </c>
      <c r="F50" s="103"/>
      <c r="G50" s="104">
        <f t="shared" si="0"/>
        <v>195940.38</v>
      </c>
      <c r="H50" s="104">
        <f t="shared" si="5"/>
        <v>5878.2114000000001</v>
      </c>
      <c r="I50" s="105">
        <f t="shared" si="10"/>
        <v>161799.97500000001</v>
      </c>
      <c r="J50" s="105">
        <f t="shared" si="11"/>
        <v>40200.000000000007</v>
      </c>
      <c r="K50" s="106">
        <f t="shared" si="12"/>
        <v>403819.38</v>
      </c>
      <c r="L50" s="107">
        <f t="shared" si="8"/>
        <v>415934.38</v>
      </c>
      <c r="M50" s="64">
        <f t="shared" si="7"/>
        <v>0.38000000000000017</v>
      </c>
    </row>
    <row r="51" spans="1:14" x14ac:dyDescent="0.3">
      <c r="A51" s="109">
        <f t="shared" si="9"/>
        <v>39</v>
      </c>
      <c r="B51" s="110" t="s">
        <v>41</v>
      </c>
      <c r="C51" s="108"/>
      <c r="D51" s="101">
        <v>1.1200000000000001</v>
      </c>
      <c r="E51" s="102">
        <v>358543.39</v>
      </c>
      <c r="F51" s="103">
        <f>168836.39*2+20871</f>
        <v>358543.78</v>
      </c>
      <c r="G51" s="104">
        <f t="shared" si="0"/>
        <v>-0.39000000001396984</v>
      </c>
      <c r="H51" s="104">
        <f t="shared" si="5"/>
        <v>0</v>
      </c>
      <c r="I51" s="105">
        <f t="shared" si="10"/>
        <v>135235.80000000002</v>
      </c>
      <c r="J51" s="105">
        <f t="shared" si="11"/>
        <v>33600.000000000007</v>
      </c>
      <c r="K51" s="106">
        <f t="shared" si="12"/>
        <v>168835.39</v>
      </c>
      <c r="L51" s="107">
        <f t="shared" si="8"/>
        <v>173900.39</v>
      </c>
      <c r="M51" s="64">
        <f t="shared" si="7"/>
        <v>0.39000000000000018</v>
      </c>
    </row>
    <row r="52" spans="1:14" x14ac:dyDescent="0.3">
      <c r="A52" s="109">
        <f t="shared" si="9"/>
        <v>40</v>
      </c>
      <c r="B52" s="110" t="s">
        <v>42</v>
      </c>
      <c r="C52" s="108"/>
      <c r="D52" s="101">
        <v>1.17</v>
      </c>
      <c r="E52" s="102">
        <v>358038.4</v>
      </c>
      <c r="F52" s="103"/>
      <c r="G52" s="104">
        <f t="shared" si="0"/>
        <v>358038.4</v>
      </c>
      <c r="H52" s="104">
        <f t="shared" si="5"/>
        <v>10741.152</v>
      </c>
      <c r="I52" s="105">
        <f t="shared" si="10"/>
        <v>141273.11249999999</v>
      </c>
      <c r="J52" s="105">
        <f t="shared" si="11"/>
        <v>35100</v>
      </c>
      <c r="K52" s="106">
        <f t="shared" si="12"/>
        <v>545153.4</v>
      </c>
      <c r="L52" s="107">
        <f t="shared" si="8"/>
        <v>561508.4</v>
      </c>
      <c r="M52" s="64">
        <f t="shared" si="7"/>
        <v>0.40000000000000019</v>
      </c>
    </row>
    <row r="53" spans="1:14" x14ac:dyDescent="0.3">
      <c r="A53" s="109">
        <f t="shared" si="9"/>
        <v>41</v>
      </c>
      <c r="B53" s="110" t="s">
        <v>43</v>
      </c>
      <c r="C53" s="108"/>
      <c r="D53" s="101">
        <v>1.35</v>
      </c>
      <c r="E53" s="102">
        <v>203507.41</v>
      </c>
      <c r="F53" s="103">
        <v>209612.41</v>
      </c>
      <c r="G53" s="104">
        <f t="shared" si="0"/>
        <v>-6105</v>
      </c>
      <c r="H53" s="104">
        <f t="shared" si="5"/>
        <v>0</v>
      </c>
      <c r="I53" s="105">
        <f t="shared" si="10"/>
        <v>163007.43750000003</v>
      </c>
      <c r="J53" s="105">
        <f t="shared" si="11"/>
        <v>40500.000000000007</v>
      </c>
      <c r="K53" s="106">
        <f t="shared" si="12"/>
        <v>197402.41</v>
      </c>
      <c r="L53" s="107">
        <f t="shared" si="8"/>
        <v>203324.41</v>
      </c>
      <c r="M53" s="64">
        <f t="shared" si="7"/>
        <v>0.4100000000000002</v>
      </c>
    </row>
    <row r="54" spans="1:14" x14ac:dyDescent="0.3">
      <c r="A54" s="186">
        <f t="shared" si="9"/>
        <v>42</v>
      </c>
      <c r="B54" s="187" t="s">
        <v>44</v>
      </c>
      <c r="C54" s="188"/>
      <c r="D54" s="189">
        <v>1.1200000000000001</v>
      </c>
      <c r="E54" s="190">
        <v>818744.42</v>
      </c>
      <c r="F54" s="190"/>
      <c r="G54" s="191">
        <f t="shared" si="0"/>
        <v>818744.42</v>
      </c>
      <c r="H54" s="191">
        <f t="shared" si="5"/>
        <v>24562.332600000002</v>
      </c>
      <c r="I54" s="192">
        <f t="shared" si="10"/>
        <v>135235.80000000002</v>
      </c>
      <c r="J54" s="192">
        <f t="shared" si="11"/>
        <v>33600.000000000007</v>
      </c>
      <c r="K54" s="193">
        <f t="shared" si="12"/>
        <v>1012143.42</v>
      </c>
      <c r="L54" s="194">
        <f t="shared" si="8"/>
        <v>1042507.42</v>
      </c>
      <c r="M54" s="64">
        <f t="shared" si="7"/>
        <v>0.42000000000000021</v>
      </c>
    </row>
    <row r="55" spans="1:14" x14ac:dyDescent="0.3">
      <c r="A55" s="109">
        <f t="shared" si="9"/>
        <v>43</v>
      </c>
      <c r="B55" s="110" t="s">
        <v>102</v>
      </c>
      <c r="C55" s="108"/>
      <c r="D55" s="101">
        <v>0.82</v>
      </c>
      <c r="E55" s="102">
        <v>1684811.43</v>
      </c>
      <c r="F55" s="103">
        <v>0</v>
      </c>
      <c r="G55" s="104">
        <f t="shared" si="0"/>
        <v>1684811.43</v>
      </c>
      <c r="H55" s="104">
        <f t="shared" si="5"/>
        <v>50544.342899999996</v>
      </c>
      <c r="I55" s="105">
        <f t="shared" si="10"/>
        <v>99011.925000000003</v>
      </c>
      <c r="J55" s="105">
        <f t="shared" si="11"/>
        <v>24600</v>
      </c>
      <c r="K55" s="106">
        <f t="shared" si="12"/>
        <v>1858968.43</v>
      </c>
      <c r="L55" s="107">
        <f t="shared" si="8"/>
        <v>1914737.43</v>
      </c>
      <c r="M55" s="64">
        <f t="shared" si="7"/>
        <v>0.43000000000000022</v>
      </c>
    </row>
    <row r="56" spans="1:14" x14ac:dyDescent="0.3">
      <c r="A56" s="109">
        <f t="shared" si="9"/>
        <v>44</v>
      </c>
      <c r="B56" s="110" t="s">
        <v>45</v>
      </c>
      <c r="C56" s="108"/>
      <c r="D56" s="101">
        <v>0.82</v>
      </c>
      <c r="E56" s="102">
        <v>250933.44</v>
      </c>
      <c r="F56" s="103"/>
      <c r="G56" s="104">
        <f t="shared" si="0"/>
        <v>250933.44</v>
      </c>
      <c r="H56" s="104">
        <f t="shared" si="5"/>
        <v>7528.0032000000001</v>
      </c>
      <c r="I56" s="105">
        <f t="shared" si="10"/>
        <v>99011.925000000003</v>
      </c>
      <c r="J56" s="105">
        <f t="shared" si="11"/>
        <v>24600</v>
      </c>
      <c r="K56" s="106">
        <f t="shared" si="12"/>
        <v>382073.44</v>
      </c>
      <c r="L56" s="107">
        <f t="shared" si="8"/>
        <v>393535.44</v>
      </c>
      <c r="M56" s="64">
        <f t="shared" si="7"/>
        <v>0.44000000000000022</v>
      </c>
    </row>
    <row r="57" spans="1:14" x14ac:dyDescent="0.3">
      <c r="A57" s="109">
        <f t="shared" si="9"/>
        <v>45</v>
      </c>
      <c r="B57" s="110" t="s">
        <v>46</v>
      </c>
      <c r="C57" s="108"/>
      <c r="D57" s="101">
        <v>1.34</v>
      </c>
      <c r="E57" s="102">
        <v>202000.45</v>
      </c>
      <c r="F57" s="103">
        <f>E57</f>
        <v>202000.45</v>
      </c>
      <c r="G57" s="104">
        <f t="shared" si="0"/>
        <v>0</v>
      </c>
      <c r="H57" s="104">
        <f t="shared" si="5"/>
        <v>0</v>
      </c>
      <c r="I57" s="105">
        <f t="shared" si="10"/>
        <v>161799.97500000001</v>
      </c>
      <c r="J57" s="105">
        <f t="shared" si="11"/>
        <v>40200.000000000007</v>
      </c>
      <c r="K57" s="106">
        <f t="shared" si="12"/>
        <v>202000.45</v>
      </c>
      <c r="L57" s="107">
        <f t="shared" si="8"/>
        <v>208060.45</v>
      </c>
      <c r="M57" s="64">
        <f t="shared" si="7"/>
        <v>0.45000000000000023</v>
      </c>
    </row>
    <row r="58" spans="1:14" x14ac:dyDescent="0.3">
      <c r="A58" s="109">
        <f t="shared" si="9"/>
        <v>46</v>
      </c>
      <c r="B58" s="110" t="s">
        <v>47</v>
      </c>
      <c r="C58" s="108"/>
      <c r="D58" s="101">
        <v>1.1200000000000001</v>
      </c>
      <c r="E58" s="102">
        <v>191258.46</v>
      </c>
      <c r="F58" s="103">
        <v>150000</v>
      </c>
      <c r="G58" s="104">
        <f t="shared" si="0"/>
        <v>41258.459999999992</v>
      </c>
      <c r="H58" s="104">
        <f t="shared" si="5"/>
        <v>1237.7537999999997</v>
      </c>
      <c r="I58" s="105">
        <f t="shared" si="10"/>
        <v>135235.80000000002</v>
      </c>
      <c r="J58" s="105">
        <f t="shared" si="11"/>
        <v>33600.000000000007</v>
      </c>
      <c r="K58" s="106">
        <f t="shared" si="12"/>
        <v>211332.46</v>
      </c>
      <c r="L58" s="107">
        <f t="shared" si="8"/>
        <v>217672.46</v>
      </c>
      <c r="M58" s="64">
        <f t="shared" si="7"/>
        <v>0.46000000000000024</v>
      </c>
      <c r="N58" t="s">
        <v>164</v>
      </c>
    </row>
    <row r="59" spans="1:14" x14ac:dyDescent="0.3">
      <c r="A59" s="134">
        <f t="shared" si="9"/>
        <v>47</v>
      </c>
      <c r="B59" s="135" t="s">
        <v>48</v>
      </c>
      <c r="C59" s="136"/>
      <c r="D59" s="127">
        <v>1.17</v>
      </c>
      <c r="E59" s="128">
        <v>581351.47</v>
      </c>
      <c r="F59" s="128">
        <v>173374.17</v>
      </c>
      <c r="G59" s="129">
        <f t="shared" si="0"/>
        <v>407977.29999999993</v>
      </c>
      <c r="H59" s="129">
        <f t="shared" si="5"/>
        <v>12239.318999999998</v>
      </c>
      <c r="I59" s="126">
        <f t="shared" si="10"/>
        <v>141273.11249999999</v>
      </c>
      <c r="J59" s="126">
        <f t="shared" si="11"/>
        <v>35100</v>
      </c>
      <c r="K59" s="130">
        <f t="shared" si="12"/>
        <v>596590.47</v>
      </c>
      <c r="L59" s="131">
        <f t="shared" si="8"/>
        <v>614488.47</v>
      </c>
      <c r="M59" s="64">
        <f t="shared" si="7"/>
        <v>0.47000000000000025</v>
      </c>
      <c r="N59" t="s">
        <v>245</v>
      </c>
    </row>
    <row r="60" spans="1:14" x14ac:dyDescent="0.3">
      <c r="A60" s="166">
        <f t="shared" si="9"/>
        <v>48</v>
      </c>
      <c r="B60" s="168" t="s">
        <v>49</v>
      </c>
      <c r="C60" s="167"/>
      <c r="D60" s="161">
        <v>1.35</v>
      </c>
      <c r="E60" s="103">
        <v>209612.48</v>
      </c>
      <c r="F60" s="103">
        <f>E60</f>
        <v>209612.48</v>
      </c>
      <c r="G60" s="162">
        <f t="shared" si="0"/>
        <v>0</v>
      </c>
      <c r="H60" s="162">
        <f t="shared" si="5"/>
        <v>0</v>
      </c>
      <c r="I60" s="163">
        <f t="shared" si="10"/>
        <v>163007.43750000003</v>
      </c>
      <c r="J60" s="163">
        <f t="shared" si="11"/>
        <v>40500.000000000007</v>
      </c>
      <c r="K60" s="164">
        <f t="shared" si="12"/>
        <v>203507.48</v>
      </c>
      <c r="L60" s="165">
        <f t="shared" si="8"/>
        <v>209612.48</v>
      </c>
      <c r="M60" s="64">
        <f t="shared" si="7"/>
        <v>0.48000000000000026</v>
      </c>
      <c r="N60" t="s">
        <v>166</v>
      </c>
    </row>
    <row r="61" spans="1:14" x14ac:dyDescent="0.3">
      <c r="A61" s="109">
        <f t="shared" si="9"/>
        <v>49</v>
      </c>
      <c r="B61" s="110" t="s">
        <v>50</v>
      </c>
      <c r="C61" s="108"/>
      <c r="D61" s="101">
        <v>1.1200000000000001</v>
      </c>
      <c r="E61" s="102">
        <v>163771.49</v>
      </c>
      <c r="F61" s="103">
        <v>168684.49</v>
      </c>
      <c r="G61" s="104">
        <f t="shared" si="0"/>
        <v>-4913</v>
      </c>
      <c r="H61" s="104">
        <f t="shared" si="5"/>
        <v>0</v>
      </c>
      <c r="I61" s="105">
        <f t="shared" si="10"/>
        <v>135235.80000000002</v>
      </c>
      <c r="J61" s="105">
        <f t="shared" si="11"/>
        <v>33600.000000000007</v>
      </c>
      <c r="K61" s="106">
        <f t="shared" si="12"/>
        <v>163923.49</v>
      </c>
      <c r="L61" s="107">
        <f t="shared" si="8"/>
        <v>168841.49</v>
      </c>
      <c r="M61" s="64">
        <f t="shared" si="7"/>
        <v>0.49000000000000027</v>
      </c>
    </row>
    <row r="62" spans="1:14" x14ac:dyDescent="0.3">
      <c r="A62" s="109">
        <f t="shared" si="9"/>
        <v>50</v>
      </c>
      <c r="B62" s="110" t="s">
        <v>51</v>
      </c>
      <c r="C62" s="108"/>
      <c r="D62" s="101">
        <v>0.82</v>
      </c>
      <c r="E62" s="102">
        <v>250933.5</v>
      </c>
      <c r="F62" s="103">
        <f>E62</f>
        <v>250933.5</v>
      </c>
      <c r="G62" s="104">
        <f t="shared" si="0"/>
        <v>0</v>
      </c>
      <c r="H62" s="104">
        <f t="shared" si="5"/>
        <v>0</v>
      </c>
      <c r="I62" s="105">
        <f t="shared" si="10"/>
        <v>99011.925000000003</v>
      </c>
      <c r="J62" s="105">
        <f t="shared" si="11"/>
        <v>24600</v>
      </c>
      <c r="K62" s="106">
        <f t="shared" si="12"/>
        <v>123612.5</v>
      </c>
      <c r="L62" s="107">
        <f t="shared" si="8"/>
        <v>127320.5</v>
      </c>
      <c r="M62" s="64">
        <f t="shared" si="7"/>
        <v>0.50000000000000022</v>
      </c>
    </row>
    <row r="63" spans="1:14" x14ac:dyDescent="0.3">
      <c r="A63" s="109">
        <f t="shared" si="9"/>
        <v>51</v>
      </c>
      <c r="B63" s="110" t="s">
        <v>52</v>
      </c>
      <c r="C63" s="108"/>
      <c r="D63" s="101">
        <v>0.82</v>
      </c>
      <c r="E63" s="102">
        <v>233265.51</v>
      </c>
      <c r="F63" s="103">
        <v>106459.51</v>
      </c>
      <c r="G63" s="104">
        <f t="shared" si="0"/>
        <v>126806.00000000001</v>
      </c>
      <c r="H63" s="104">
        <f t="shared" si="5"/>
        <v>3804.1800000000003</v>
      </c>
      <c r="I63" s="105">
        <f t="shared" si="10"/>
        <v>99011.925000000003</v>
      </c>
      <c r="J63" s="105">
        <f t="shared" si="11"/>
        <v>24600</v>
      </c>
      <c r="K63" s="106">
        <f t="shared" si="12"/>
        <v>254222.51</v>
      </c>
      <c r="L63" s="107">
        <f t="shared" si="8"/>
        <v>261849.51</v>
      </c>
      <c r="M63" s="64">
        <f t="shared" si="7"/>
        <v>0.51000000000000023</v>
      </c>
    </row>
    <row r="64" spans="1:14" x14ac:dyDescent="0.3">
      <c r="A64" s="109">
        <f t="shared" si="9"/>
        <v>52</v>
      </c>
      <c r="B64" s="110" t="s">
        <v>53</v>
      </c>
      <c r="C64" s="108"/>
      <c r="D64" s="101">
        <v>1.34</v>
      </c>
      <c r="E64" s="102">
        <v>202000.52</v>
      </c>
      <c r="F64" s="103">
        <f>E64</f>
        <v>202000.52</v>
      </c>
      <c r="G64" s="104">
        <f t="shared" si="0"/>
        <v>0</v>
      </c>
      <c r="H64" s="104">
        <f t="shared" si="5"/>
        <v>0</v>
      </c>
      <c r="I64" s="105">
        <f t="shared" si="10"/>
        <v>161799.97500000001</v>
      </c>
      <c r="J64" s="105">
        <f t="shared" si="11"/>
        <v>40200.000000000007</v>
      </c>
      <c r="K64" s="106">
        <f t="shared" si="12"/>
        <v>202000.52</v>
      </c>
      <c r="L64" s="107">
        <f t="shared" si="8"/>
        <v>208060.52</v>
      </c>
      <c r="M64" s="64">
        <f t="shared" si="7"/>
        <v>0.52000000000000024</v>
      </c>
    </row>
    <row r="65" spans="1:14" x14ac:dyDescent="0.3">
      <c r="A65" s="166">
        <f t="shared" si="9"/>
        <v>53</v>
      </c>
      <c r="B65" s="168" t="s">
        <v>54</v>
      </c>
      <c r="C65" s="167"/>
      <c r="D65" s="161">
        <v>1.1200000000000001</v>
      </c>
      <c r="E65" s="103">
        <v>300737.53000000003</v>
      </c>
      <c r="F65" s="103">
        <v>98556.53</v>
      </c>
      <c r="G65" s="104">
        <f t="shared" si="0"/>
        <v>202181.00000000003</v>
      </c>
      <c r="H65" s="104">
        <f t="shared" si="5"/>
        <v>6065.43</v>
      </c>
      <c r="I65" s="105">
        <f t="shared" si="10"/>
        <v>135235.80000000002</v>
      </c>
      <c r="J65" s="105">
        <f t="shared" si="11"/>
        <v>33600.000000000007</v>
      </c>
      <c r="K65" s="106">
        <f t="shared" si="12"/>
        <v>377082.53</v>
      </c>
      <c r="L65" s="107">
        <f t="shared" si="8"/>
        <v>388394.53</v>
      </c>
      <c r="M65" s="64">
        <f t="shared" si="7"/>
        <v>0.53000000000000025</v>
      </c>
    </row>
    <row r="66" spans="1:14" x14ac:dyDescent="0.3">
      <c r="A66" s="109">
        <f t="shared" si="9"/>
        <v>54</v>
      </c>
      <c r="B66" s="110" t="s">
        <v>55</v>
      </c>
      <c r="C66" s="108"/>
      <c r="D66" s="101">
        <v>1.17</v>
      </c>
      <c r="E66" s="102">
        <v>171082.54</v>
      </c>
      <c r="F66" s="103">
        <v>176214.54</v>
      </c>
      <c r="G66" s="104">
        <f t="shared" si="0"/>
        <v>-5132</v>
      </c>
      <c r="H66" s="104">
        <f t="shared" si="5"/>
        <v>0</v>
      </c>
      <c r="I66" s="105">
        <f t="shared" si="10"/>
        <v>141273.11249999999</v>
      </c>
      <c r="J66" s="105">
        <f t="shared" si="11"/>
        <v>35100</v>
      </c>
      <c r="K66" s="106">
        <f t="shared" si="12"/>
        <v>171241.54</v>
      </c>
      <c r="L66" s="107">
        <f t="shared" si="8"/>
        <v>176378.54</v>
      </c>
      <c r="M66" s="64">
        <f t="shared" si="7"/>
        <v>0.54000000000000026</v>
      </c>
    </row>
    <row r="67" spans="1:14" x14ac:dyDescent="0.3">
      <c r="A67" s="109">
        <f t="shared" si="9"/>
        <v>55</v>
      </c>
      <c r="B67" s="110" t="s">
        <v>56</v>
      </c>
      <c r="C67" s="108"/>
      <c r="D67" s="101">
        <v>1.35</v>
      </c>
      <c r="E67" s="102">
        <v>197402.55</v>
      </c>
      <c r="F67" s="103">
        <v>203324.55</v>
      </c>
      <c r="G67" s="104">
        <f t="shared" si="0"/>
        <v>-5922</v>
      </c>
      <c r="H67" s="104">
        <f t="shared" si="5"/>
        <v>0</v>
      </c>
      <c r="I67" s="105">
        <f t="shared" si="10"/>
        <v>163007.43750000003</v>
      </c>
      <c r="J67" s="105">
        <f t="shared" si="11"/>
        <v>40500.000000000007</v>
      </c>
      <c r="K67" s="106">
        <f t="shared" si="12"/>
        <v>197585.55</v>
      </c>
      <c r="L67" s="107">
        <f t="shared" si="8"/>
        <v>203513.55</v>
      </c>
      <c r="M67" s="64">
        <f t="shared" si="7"/>
        <v>0.55000000000000027</v>
      </c>
    </row>
    <row r="68" spans="1:14" x14ac:dyDescent="0.3">
      <c r="A68" s="109">
        <f t="shared" si="9"/>
        <v>56</v>
      </c>
      <c r="B68" s="110" t="s">
        <v>57</v>
      </c>
      <c r="C68" s="108"/>
      <c r="D68" s="101">
        <v>1.1200000000000001</v>
      </c>
      <c r="E68" s="102">
        <v>168836.56</v>
      </c>
      <c r="F68" s="103">
        <v>173901.56</v>
      </c>
      <c r="G68" s="104">
        <f t="shared" si="0"/>
        <v>-5065</v>
      </c>
      <c r="H68" s="104">
        <f t="shared" si="5"/>
        <v>0</v>
      </c>
      <c r="I68" s="105">
        <f t="shared" si="10"/>
        <v>135235.80000000002</v>
      </c>
      <c r="J68" s="105">
        <f t="shared" si="11"/>
        <v>33600.000000000007</v>
      </c>
      <c r="K68" s="106">
        <f t="shared" si="12"/>
        <v>163771.56</v>
      </c>
      <c r="L68" s="107">
        <f t="shared" si="8"/>
        <v>168684.56</v>
      </c>
      <c r="M68" s="64">
        <f t="shared" si="7"/>
        <v>0.56000000000000028</v>
      </c>
    </row>
    <row r="69" spans="1:14" x14ac:dyDescent="0.3">
      <c r="A69" s="166">
        <f t="shared" si="9"/>
        <v>57</v>
      </c>
      <c r="B69" s="168" t="s">
        <v>58</v>
      </c>
      <c r="C69" s="108"/>
      <c r="D69" s="101">
        <v>0.82</v>
      </c>
      <c r="E69" s="102">
        <v>119898.57</v>
      </c>
      <c r="F69" s="103">
        <v>120000</v>
      </c>
      <c r="G69" s="104">
        <f t="shared" si="0"/>
        <v>-101.42999999999302</v>
      </c>
      <c r="H69" s="104">
        <f t="shared" si="5"/>
        <v>0</v>
      </c>
      <c r="I69" s="105">
        <f t="shared" si="10"/>
        <v>99011.925000000003</v>
      </c>
      <c r="J69" s="105">
        <f t="shared" si="11"/>
        <v>24600</v>
      </c>
      <c r="K69" s="106">
        <f t="shared" si="12"/>
        <v>123510.57</v>
      </c>
      <c r="L69" s="107">
        <f t="shared" si="8"/>
        <v>127215.57</v>
      </c>
      <c r="M69" s="64">
        <f t="shared" si="7"/>
        <v>0.57000000000000028</v>
      </c>
    </row>
    <row r="70" spans="1:14" x14ac:dyDescent="0.3">
      <c r="A70" s="109">
        <f t="shared" si="9"/>
        <v>58</v>
      </c>
      <c r="B70" s="110" t="s">
        <v>59</v>
      </c>
      <c r="C70" s="108"/>
      <c r="D70" s="101">
        <v>0.82</v>
      </c>
      <c r="E70" s="102">
        <v>123612.58</v>
      </c>
      <c r="F70" s="103">
        <f t="shared" ref="F70" si="13">E70</f>
        <v>123612.58</v>
      </c>
      <c r="G70" s="104">
        <f t="shared" si="0"/>
        <v>0</v>
      </c>
      <c r="H70" s="104">
        <f t="shared" si="5"/>
        <v>0</v>
      </c>
      <c r="I70" s="105">
        <f t="shared" si="10"/>
        <v>99011.925000000003</v>
      </c>
      <c r="J70" s="105">
        <f t="shared" si="11"/>
        <v>24600</v>
      </c>
      <c r="K70" s="106">
        <f t="shared" si="12"/>
        <v>123612.58</v>
      </c>
      <c r="L70" s="107">
        <f t="shared" si="8"/>
        <v>127320.58</v>
      </c>
      <c r="M70" s="64">
        <f t="shared" si="7"/>
        <v>0.58000000000000029</v>
      </c>
    </row>
    <row r="71" spans="1:14" x14ac:dyDescent="0.3">
      <c r="A71" s="166">
        <f t="shared" si="9"/>
        <v>59</v>
      </c>
      <c r="B71" s="168" t="s">
        <v>60</v>
      </c>
      <c r="C71" s="167"/>
      <c r="D71" s="161">
        <v>1.34</v>
      </c>
      <c r="E71" s="103">
        <v>410061.59</v>
      </c>
      <c r="F71" s="103">
        <f>239116.53-PRORRATEO!F105-PRORRATEO!F113+194996.59+6100</f>
        <v>410061.18</v>
      </c>
      <c r="G71" s="162">
        <f t="shared" si="0"/>
        <v>0.41000000003259629</v>
      </c>
      <c r="H71" s="162">
        <f t="shared" si="5"/>
        <v>1.2300000000977888E-2</v>
      </c>
      <c r="I71" s="163">
        <f t="shared" si="10"/>
        <v>161799.97500000001</v>
      </c>
      <c r="J71" s="163">
        <f t="shared" si="11"/>
        <v>40200.000000000007</v>
      </c>
      <c r="K71" s="164">
        <f t="shared" si="12"/>
        <v>202000.59</v>
      </c>
      <c r="L71" s="165">
        <f t="shared" si="8"/>
        <v>208060.59</v>
      </c>
      <c r="M71" s="64">
        <f t="shared" si="7"/>
        <v>0.5900000000000003</v>
      </c>
    </row>
    <row r="72" spans="1:14" x14ac:dyDescent="0.3">
      <c r="A72" s="109">
        <f t="shared" si="9"/>
        <v>60</v>
      </c>
      <c r="B72" s="110" t="s">
        <v>61</v>
      </c>
      <c r="C72" s="108"/>
      <c r="D72" s="101">
        <v>1.1200000000000001</v>
      </c>
      <c r="E72" s="102">
        <v>163771.6</v>
      </c>
      <c r="F72" s="103">
        <v>168684.6</v>
      </c>
      <c r="G72" s="104">
        <f t="shared" si="0"/>
        <v>-4913</v>
      </c>
      <c r="H72" s="104">
        <f t="shared" si="5"/>
        <v>0</v>
      </c>
      <c r="I72" s="105">
        <f t="shared" si="10"/>
        <v>135235.80000000002</v>
      </c>
      <c r="J72" s="105">
        <f t="shared" si="11"/>
        <v>33600.000000000007</v>
      </c>
      <c r="K72" s="106">
        <f t="shared" si="12"/>
        <v>163923.6</v>
      </c>
      <c r="L72" s="107">
        <f t="shared" si="8"/>
        <v>168841.60000000001</v>
      </c>
      <c r="M72" s="64">
        <f t="shared" si="7"/>
        <v>0.60000000000000031</v>
      </c>
    </row>
    <row r="73" spans="1:14" x14ac:dyDescent="0.3">
      <c r="A73" s="109">
        <f t="shared" si="9"/>
        <v>61</v>
      </c>
      <c r="B73" s="110" t="s">
        <v>62</v>
      </c>
      <c r="C73" s="108"/>
      <c r="D73" s="101">
        <v>1.17</v>
      </c>
      <c r="E73" s="102">
        <v>176373.61</v>
      </c>
      <c r="F73" s="103">
        <f t="shared" ref="F73:F75" si="14">E73</f>
        <v>176373.61</v>
      </c>
      <c r="G73" s="104">
        <f t="shared" si="0"/>
        <v>0</v>
      </c>
      <c r="H73" s="104">
        <f t="shared" si="5"/>
        <v>0</v>
      </c>
      <c r="I73" s="105">
        <f t="shared" si="10"/>
        <v>141273.11249999999</v>
      </c>
      <c r="J73" s="105">
        <f t="shared" si="11"/>
        <v>35100</v>
      </c>
      <c r="K73" s="106">
        <f t="shared" si="12"/>
        <v>176373.61</v>
      </c>
      <c r="L73" s="107">
        <f t="shared" si="8"/>
        <v>181664.61</v>
      </c>
      <c r="M73" s="64">
        <f t="shared" si="7"/>
        <v>0.61000000000000032</v>
      </c>
    </row>
    <row r="74" spans="1:14" x14ac:dyDescent="0.3">
      <c r="A74" s="109">
        <f t="shared" si="9"/>
        <v>62</v>
      </c>
      <c r="B74" s="110" t="s">
        <v>63</v>
      </c>
      <c r="C74" s="108"/>
      <c r="D74" s="101">
        <v>1.35</v>
      </c>
      <c r="E74" s="102">
        <v>197402.62</v>
      </c>
      <c r="F74" s="103">
        <v>203325.62</v>
      </c>
      <c r="G74" s="104">
        <f t="shared" si="0"/>
        <v>-5923</v>
      </c>
      <c r="H74" s="104">
        <f t="shared" si="5"/>
        <v>0</v>
      </c>
      <c r="I74" s="105">
        <f t="shared" si="10"/>
        <v>163007.43750000003</v>
      </c>
      <c r="J74" s="105">
        <f t="shared" si="11"/>
        <v>40500.000000000007</v>
      </c>
      <c r="K74" s="106">
        <f t="shared" si="12"/>
        <v>197584.62</v>
      </c>
      <c r="L74" s="107">
        <f t="shared" si="8"/>
        <v>203512.62</v>
      </c>
      <c r="M74" s="64">
        <f t="shared" si="7"/>
        <v>0.62000000000000033</v>
      </c>
    </row>
    <row r="75" spans="1:14" x14ac:dyDescent="0.3">
      <c r="A75" s="109">
        <f t="shared" si="9"/>
        <v>63</v>
      </c>
      <c r="B75" s="110" t="s">
        <v>64</v>
      </c>
      <c r="C75" s="108"/>
      <c r="D75" s="101">
        <v>1.1200000000000001</v>
      </c>
      <c r="E75" s="102">
        <v>168836.63</v>
      </c>
      <c r="F75" s="103">
        <f t="shared" si="14"/>
        <v>168836.63</v>
      </c>
      <c r="G75" s="104">
        <f t="shared" si="0"/>
        <v>0</v>
      </c>
      <c r="H75" s="104">
        <f t="shared" si="5"/>
        <v>0</v>
      </c>
      <c r="I75" s="105">
        <f t="shared" si="10"/>
        <v>135235.80000000002</v>
      </c>
      <c r="J75" s="105">
        <f t="shared" si="11"/>
        <v>33600.000000000007</v>
      </c>
      <c r="K75" s="106">
        <f t="shared" si="12"/>
        <v>168836.63</v>
      </c>
      <c r="L75" s="107">
        <f t="shared" si="8"/>
        <v>173901.63</v>
      </c>
      <c r="M75" s="64">
        <f t="shared" si="7"/>
        <v>0.63000000000000034</v>
      </c>
    </row>
    <row r="76" spans="1:14" x14ac:dyDescent="0.3">
      <c r="A76" s="109">
        <f t="shared" si="9"/>
        <v>64</v>
      </c>
      <c r="B76" s="110" t="s">
        <v>65</v>
      </c>
      <c r="C76" s="108"/>
      <c r="D76" s="101">
        <v>0.82</v>
      </c>
      <c r="E76" s="102">
        <v>254752.64000000001</v>
      </c>
      <c r="F76" s="103">
        <f>127320.64+123612+3820</f>
        <v>254752.64000000001</v>
      </c>
      <c r="G76" s="104">
        <f t="shared" si="0"/>
        <v>0</v>
      </c>
      <c r="H76" s="104">
        <f t="shared" si="5"/>
        <v>0</v>
      </c>
      <c r="I76" s="105">
        <f t="shared" si="10"/>
        <v>99011.925000000003</v>
      </c>
      <c r="J76" s="105">
        <f t="shared" si="11"/>
        <v>24600</v>
      </c>
      <c r="K76" s="106">
        <f t="shared" si="12"/>
        <v>123612.64</v>
      </c>
      <c r="L76" s="107">
        <f t="shared" si="8"/>
        <v>127320.64</v>
      </c>
      <c r="M76" s="64">
        <f t="shared" si="7"/>
        <v>0.64000000000000035</v>
      </c>
    </row>
    <row r="77" spans="1:14" x14ac:dyDescent="0.3">
      <c r="A77" s="196">
        <f t="shared" si="9"/>
        <v>65</v>
      </c>
      <c r="B77" s="197" t="s">
        <v>66</v>
      </c>
      <c r="C77" s="198"/>
      <c r="D77" s="199">
        <v>0.82</v>
      </c>
      <c r="E77" s="200">
        <v>880370.65</v>
      </c>
      <c r="F77" s="215">
        <v>99011.93</v>
      </c>
      <c r="G77" s="201">
        <f t="shared" ref="G77:G115" si="15">E77-F77</f>
        <v>781358.72</v>
      </c>
      <c r="H77" s="201">
        <f t="shared" si="5"/>
        <v>23440.761599999998</v>
      </c>
      <c r="I77" s="202">
        <f t="shared" ref="I77:I108" si="16">J$2*D77/100</f>
        <v>99011.925000000003</v>
      </c>
      <c r="J77" s="202">
        <f t="shared" ref="J77:J108" si="17">E$2*D77/100</f>
        <v>24600</v>
      </c>
      <c r="K77" s="203">
        <f t="shared" ref="K77:K108" si="18">ROUND(SUM(G77:J77),0) + M77</f>
        <v>928411.65</v>
      </c>
      <c r="L77" s="204">
        <f t="shared" si="8"/>
        <v>956263.65</v>
      </c>
      <c r="M77" s="64">
        <f t="shared" si="7"/>
        <v>0.65000000000000036</v>
      </c>
      <c r="N77" t="s">
        <v>249</v>
      </c>
    </row>
    <row r="78" spans="1:14" x14ac:dyDescent="0.3">
      <c r="A78" s="109">
        <f t="shared" si="9"/>
        <v>66</v>
      </c>
      <c r="B78" s="110" t="s">
        <v>67</v>
      </c>
      <c r="C78" s="108"/>
      <c r="D78" s="101">
        <v>1.34</v>
      </c>
      <c r="E78" s="102">
        <v>195940.66</v>
      </c>
      <c r="F78" s="103">
        <v>201818.66</v>
      </c>
      <c r="G78" s="104">
        <f t="shared" si="15"/>
        <v>-5878</v>
      </c>
      <c r="H78" s="104">
        <f t="shared" ref="H78:H115" si="19">IF(G78&gt;0,G78*3%,0)</f>
        <v>0</v>
      </c>
      <c r="I78" s="105">
        <f t="shared" si="16"/>
        <v>161799.97500000001</v>
      </c>
      <c r="J78" s="105">
        <f t="shared" si="17"/>
        <v>40200.000000000007</v>
      </c>
      <c r="K78" s="106">
        <f t="shared" si="18"/>
        <v>196122.66</v>
      </c>
      <c r="L78" s="107">
        <f t="shared" si="8"/>
        <v>202006.66</v>
      </c>
      <c r="M78" s="64">
        <f t="shared" si="7"/>
        <v>0.66000000000000036</v>
      </c>
    </row>
    <row r="79" spans="1:14" x14ac:dyDescent="0.3">
      <c r="A79" s="109">
        <f t="shared" si="9"/>
        <v>67</v>
      </c>
      <c r="B79" s="110" t="s">
        <v>68</v>
      </c>
      <c r="C79" s="108"/>
      <c r="D79" s="101">
        <v>1.1200000000000001</v>
      </c>
      <c r="E79" s="102">
        <v>347955.67</v>
      </c>
      <c r="F79" s="103">
        <v>180000.67</v>
      </c>
      <c r="G79" s="104">
        <f t="shared" si="15"/>
        <v>167954.99999999997</v>
      </c>
      <c r="H79" s="104">
        <f t="shared" si="19"/>
        <v>5038.6499999999987</v>
      </c>
      <c r="I79" s="105">
        <f t="shared" si="16"/>
        <v>135235.80000000002</v>
      </c>
      <c r="J79" s="105">
        <f t="shared" si="17"/>
        <v>33600.000000000007</v>
      </c>
      <c r="K79" s="106">
        <f t="shared" si="18"/>
        <v>341829.67</v>
      </c>
      <c r="L79" s="107">
        <f t="shared" si="8"/>
        <v>352084.67</v>
      </c>
      <c r="M79" s="64">
        <f t="shared" si="7"/>
        <v>0.67000000000000037</v>
      </c>
    </row>
    <row r="80" spans="1:14" x14ac:dyDescent="0.3">
      <c r="A80" s="109">
        <f t="shared" si="9"/>
        <v>68</v>
      </c>
      <c r="B80" s="110" t="s">
        <v>69</v>
      </c>
      <c r="C80" s="108"/>
      <c r="D80" s="101">
        <v>1.17</v>
      </c>
      <c r="E80" s="102">
        <v>5371080.6799999997</v>
      </c>
      <c r="F80" s="103">
        <v>0</v>
      </c>
      <c r="G80" s="104">
        <f t="shared" si="15"/>
        <v>5371080.6799999997</v>
      </c>
      <c r="H80" s="104">
        <f t="shared" si="19"/>
        <v>161132.42039999997</v>
      </c>
      <c r="I80" s="105">
        <f t="shared" si="16"/>
        <v>141273.11249999999</v>
      </c>
      <c r="J80" s="105">
        <f t="shared" si="17"/>
        <v>35100</v>
      </c>
      <c r="K80" s="106">
        <f t="shared" si="18"/>
        <v>5708586.6799999997</v>
      </c>
      <c r="L80" s="107">
        <f t="shared" si="8"/>
        <v>5879844.6799999997</v>
      </c>
      <c r="M80" s="64">
        <f t="shared" si="7"/>
        <v>0.68000000000000038</v>
      </c>
    </row>
    <row r="81" spans="1:14" x14ac:dyDescent="0.3">
      <c r="A81" s="109">
        <f t="shared" si="9"/>
        <v>69</v>
      </c>
      <c r="B81" s="110" t="s">
        <v>70</v>
      </c>
      <c r="C81" s="108"/>
      <c r="D81" s="101">
        <v>1.35</v>
      </c>
      <c r="E81" s="102">
        <v>197402.69</v>
      </c>
      <c r="F81" s="103">
        <v>203324.69</v>
      </c>
      <c r="G81" s="104">
        <f t="shared" si="15"/>
        <v>-5922</v>
      </c>
      <c r="H81" s="104">
        <f t="shared" si="19"/>
        <v>0</v>
      </c>
      <c r="I81" s="105">
        <f t="shared" si="16"/>
        <v>163007.43750000003</v>
      </c>
      <c r="J81" s="105">
        <f t="shared" si="17"/>
        <v>40500.000000000007</v>
      </c>
      <c r="K81" s="106">
        <f t="shared" si="18"/>
        <v>197585.69</v>
      </c>
      <c r="L81" s="107">
        <f t="shared" si="8"/>
        <v>203513.69</v>
      </c>
      <c r="M81" s="64">
        <f t="shared" si="7"/>
        <v>0.69000000000000039</v>
      </c>
    </row>
    <row r="82" spans="1:14" x14ac:dyDescent="0.3">
      <c r="A82" s="134">
        <f t="shared" si="9"/>
        <v>70</v>
      </c>
      <c r="B82" s="135" t="s">
        <v>71</v>
      </c>
      <c r="C82" s="136"/>
      <c r="D82" s="127">
        <v>1.1200000000000001</v>
      </c>
      <c r="E82" s="128">
        <v>142803.70000000001</v>
      </c>
      <c r="F82" s="128"/>
      <c r="G82" s="129">
        <f t="shared" si="15"/>
        <v>142803.70000000001</v>
      </c>
      <c r="H82" s="129">
        <f t="shared" si="19"/>
        <v>4284.1109999999999</v>
      </c>
      <c r="I82" s="126">
        <f t="shared" si="16"/>
        <v>135235.80000000002</v>
      </c>
      <c r="J82" s="126">
        <f t="shared" si="17"/>
        <v>33600.000000000007</v>
      </c>
      <c r="K82" s="130">
        <f t="shared" si="18"/>
        <v>315924.7</v>
      </c>
      <c r="L82" s="131">
        <f t="shared" si="8"/>
        <v>325402.7</v>
      </c>
      <c r="M82" s="64">
        <f t="shared" si="7"/>
        <v>0.7000000000000004</v>
      </c>
      <c r="N82" t="s">
        <v>185</v>
      </c>
    </row>
    <row r="83" spans="1:14" x14ac:dyDescent="0.3">
      <c r="A83" s="166">
        <f t="shared" si="9"/>
        <v>71</v>
      </c>
      <c r="B83" s="168" t="s">
        <v>72</v>
      </c>
      <c r="C83" s="108"/>
      <c r="D83" s="101">
        <v>0.82</v>
      </c>
      <c r="E83" s="102">
        <v>250338.71</v>
      </c>
      <c r="F83" s="103">
        <f>119452+123612.71+7274</f>
        <v>250338.71000000002</v>
      </c>
      <c r="G83" s="104">
        <f t="shared" si="15"/>
        <v>0</v>
      </c>
      <c r="H83" s="104">
        <f t="shared" si="19"/>
        <v>0</v>
      </c>
      <c r="I83" s="105">
        <f t="shared" si="16"/>
        <v>99011.925000000003</v>
      </c>
      <c r="J83" s="105">
        <f t="shared" si="17"/>
        <v>24600</v>
      </c>
      <c r="K83" s="106">
        <f t="shared" si="18"/>
        <v>123612.71</v>
      </c>
      <c r="L83" s="107">
        <f t="shared" si="8"/>
        <v>127320.71</v>
      </c>
      <c r="M83" s="64">
        <f t="shared" si="7"/>
        <v>0.71000000000000041</v>
      </c>
    </row>
    <row r="84" spans="1:14" x14ac:dyDescent="0.3">
      <c r="A84" s="109">
        <f t="shared" si="9"/>
        <v>72</v>
      </c>
      <c r="B84" s="110" t="s">
        <v>73</v>
      </c>
      <c r="C84" s="108"/>
      <c r="D84" s="101">
        <v>0.82</v>
      </c>
      <c r="E84" s="102">
        <v>123612.72</v>
      </c>
      <c r="F84" s="103">
        <f>E84</f>
        <v>123612.72</v>
      </c>
      <c r="G84" s="104">
        <f t="shared" si="15"/>
        <v>0</v>
      </c>
      <c r="H84" s="104">
        <f t="shared" si="19"/>
        <v>0</v>
      </c>
      <c r="I84" s="105">
        <f t="shared" si="16"/>
        <v>99011.925000000003</v>
      </c>
      <c r="J84" s="105">
        <f t="shared" si="17"/>
        <v>24600</v>
      </c>
      <c r="K84" s="106">
        <f t="shared" si="18"/>
        <v>123612.72</v>
      </c>
      <c r="L84" s="107">
        <f t="shared" si="8"/>
        <v>127320.72</v>
      </c>
      <c r="M84" s="64">
        <f t="shared" si="7"/>
        <v>0.72000000000000042</v>
      </c>
    </row>
    <row r="85" spans="1:14" x14ac:dyDescent="0.3">
      <c r="A85" s="109">
        <f t="shared" si="9"/>
        <v>73</v>
      </c>
      <c r="B85" s="110" t="s">
        <v>74</v>
      </c>
      <c r="C85" s="108"/>
      <c r="D85" s="101">
        <v>1.34</v>
      </c>
      <c r="E85" s="102">
        <v>202000.73</v>
      </c>
      <c r="F85" s="103"/>
      <c r="G85" s="104">
        <f t="shared" si="15"/>
        <v>202000.73</v>
      </c>
      <c r="H85" s="104">
        <f t="shared" si="19"/>
        <v>6060.0218999999997</v>
      </c>
      <c r="I85" s="105">
        <f t="shared" si="16"/>
        <v>161799.97500000001</v>
      </c>
      <c r="J85" s="105">
        <f t="shared" si="17"/>
        <v>40200.000000000007</v>
      </c>
      <c r="K85" s="106">
        <f t="shared" si="18"/>
        <v>410061.73</v>
      </c>
      <c r="L85" s="107">
        <f t="shared" si="8"/>
        <v>422363.73</v>
      </c>
      <c r="M85" s="64">
        <f t="shared" si="7"/>
        <v>0.73000000000000043</v>
      </c>
    </row>
    <row r="86" spans="1:14" x14ac:dyDescent="0.3">
      <c r="A86" s="109">
        <f t="shared" si="9"/>
        <v>74</v>
      </c>
      <c r="B86" s="110" t="s">
        <v>75</v>
      </c>
      <c r="C86" s="108"/>
      <c r="D86" s="101">
        <v>1.1200000000000001</v>
      </c>
      <c r="E86" s="102">
        <v>153412.74</v>
      </c>
      <c r="F86" s="103"/>
      <c r="G86" s="104">
        <f t="shared" si="15"/>
        <v>153412.74</v>
      </c>
      <c r="H86" s="104">
        <f t="shared" si="19"/>
        <v>4602.3821999999991</v>
      </c>
      <c r="I86" s="105">
        <f t="shared" si="16"/>
        <v>135235.80000000002</v>
      </c>
      <c r="J86" s="105">
        <f t="shared" si="17"/>
        <v>33600.000000000007</v>
      </c>
      <c r="K86" s="106">
        <f t="shared" si="18"/>
        <v>326851.74</v>
      </c>
      <c r="L86" s="107">
        <f t="shared" si="8"/>
        <v>336657.74</v>
      </c>
      <c r="M86" s="64">
        <f t="shared" si="7"/>
        <v>0.74000000000000044</v>
      </c>
    </row>
    <row r="87" spans="1:14" x14ac:dyDescent="0.3">
      <c r="A87" s="109">
        <f t="shared" si="9"/>
        <v>75</v>
      </c>
      <c r="B87" s="110" t="s">
        <v>76</v>
      </c>
      <c r="C87" s="108"/>
      <c r="D87" s="101">
        <v>1.17</v>
      </c>
      <c r="E87" s="102">
        <v>176373.75</v>
      </c>
      <c r="F87" s="103">
        <f>E87</f>
        <v>176373.75</v>
      </c>
      <c r="G87" s="104">
        <f t="shared" si="15"/>
        <v>0</v>
      </c>
      <c r="H87" s="104">
        <f t="shared" si="19"/>
        <v>0</v>
      </c>
      <c r="I87" s="105">
        <f t="shared" si="16"/>
        <v>141273.11249999999</v>
      </c>
      <c r="J87" s="105">
        <f t="shared" si="17"/>
        <v>35100</v>
      </c>
      <c r="K87" s="106">
        <f t="shared" si="18"/>
        <v>176373.75</v>
      </c>
      <c r="L87" s="107">
        <f t="shared" si="8"/>
        <v>181664.75</v>
      </c>
      <c r="M87" s="64">
        <f t="shared" si="7"/>
        <v>0.75000000000000044</v>
      </c>
    </row>
    <row r="88" spans="1:14" x14ac:dyDescent="0.3">
      <c r="A88" s="109">
        <f t="shared" si="9"/>
        <v>76</v>
      </c>
      <c r="B88" s="110" t="s">
        <v>77</v>
      </c>
      <c r="C88" s="108"/>
      <c r="D88" s="101">
        <v>1.35</v>
      </c>
      <c r="E88" s="102">
        <v>209612.76</v>
      </c>
      <c r="F88" s="103">
        <f>E88</f>
        <v>209612.76</v>
      </c>
      <c r="G88" s="104">
        <f t="shared" si="15"/>
        <v>0</v>
      </c>
      <c r="H88" s="104">
        <f t="shared" si="19"/>
        <v>0</v>
      </c>
      <c r="I88" s="105">
        <f t="shared" si="16"/>
        <v>163007.43750000003</v>
      </c>
      <c r="J88" s="105">
        <f t="shared" si="17"/>
        <v>40500.000000000007</v>
      </c>
      <c r="K88" s="106">
        <f t="shared" si="18"/>
        <v>203507.76</v>
      </c>
      <c r="L88" s="107">
        <f t="shared" si="8"/>
        <v>209612.76</v>
      </c>
      <c r="M88" s="64">
        <f t="shared" si="7"/>
        <v>0.76000000000000045</v>
      </c>
    </row>
    <row r="89" spans="1:14" x14ac:dyDescent="0.3">
      <c r="A89" s="109">
        <f t="shared" si="9"/>
        <v>77</v>
      </c>
      <c r="B89" s="110" t="s">
        <v>78</v>
      </c>
      <c r="C89" s="108"/>
      <c r="D89" s="101">
        <v>1.1200000000000001</v>
      </c>
      <c r="E89" s="102">
        <v>163771.76999999999</v>
      </c>
      <c r="F89" s="103">
        <v>168684.77</v>
      </c>
      <c r="G89" s="104">
        <f t="shared" si="15"/>
        <v>-4913</v>
      </c>
      <c r="H89" s="104">
        <f t="shared" si="19"/>
        <v>0</v>
      </c>
      <c r="I89" s="105">
        <f t="shared" si="16"/>
        <v>135235.80000000002</v>
      </c>
      <c r="J89" s="105">
        <f t="shared" si="17"/>
        <v>33600.000000000007</v>
      </c>
      <c r="K89" s="106">
        <f t="shared" si="18"/>
        <v>163923.76999999999</v>
      </c>
      <c r="L89" s="107">
        <f t="shared" si="8"/>
        <v>168841.77</v>
      </c>
      <c r="M89" s="64">
        <f t="shared" si="7"/>
        <v>0.77000000000000046</v>
      </c>
    </row>
    <row r="90" spans="1:14" x14ac:dyDescent="0.3">
      <c r="A90" s="186">
        <f t="shared" si="9"/>
        <v>78</v>
      </c>
      <c r="B90" s="187" t="s">
        <v>79</v>
      </c>
      <c r="C90" s="188"/>
      <c r="D90" s="189">
        <v>0.82</v>
      </c>
      <c r="E90" s="190">
        <v>123611.925</v>
      </c>
      <c r="F90" s="190"/>
      <c r="G90" s="191">
        <f t="shared" si="15"/>
        <v>123611.925</v>
      </c>
      <c r="H90" s="191">
        <f t="shared" si="19"/>
        <v>3708.3577500000001</v>
      </c>
      <c r="I90" s="192">
        <f t="shared" si="16"/>
        <v>99011.925000000003</v>
      </c>
      <c r="J90" s="192">
        <f t="shared" si="17"/>
        <v>24600</v>
      </c>
      <c r="K90" s="193">
        <f t="shared" si="18"/>
        <v>250932.78</v>
      </c>
      <c r="L90" s="194">
        <f t="shared" si="8"/>
        <v>258460.78</v>
      </c>
      <c r="M90" s="64">
        <f t="shared" si="7"/>
        <v>0.78000000000000047</v>
      </c>
    </row>
    <row r="91" spans="1:14" x14ac:dyDescent="0.3">
      <c r="A91" s="109">
        <f t="shared" si="9"/>
        <v>79</v>
      </c>
      <c r="B91" s="110" t="s">
        <v>80</v>
      </c>
      <c r="C91" s="108"/>
      <c r="D91" s="101">
        <v>0.82</v>
      </c>
      <c r="E91" s="102">
        <v>123612.79</v>
      </c>
      <c r="F91" s="103">
        <f>E91</f>
        <v>123612.79</v>
      </c>
      <c r="G91" s="104">
        <f t="shared" si="15"/>
        <v>0</v>
      </c>
      <c r="H91" s="104">
        <f t="shared" si="19"/>
        <v>0</v>
      </c>
      <c r="I91" s="105">
        <f t="shared" si="16"/>
        <v>99011.925000000003</v>
      </c>
      <c r="J91" s="105">
        <f t="shared" si="17"/>
        <v>24600</v>
      </c>
      <c r="K91" s="106">
        <f t="shared" si="18"/>
        <v>123612.79</v>
      </c>
      <c r="L91" s="107">
        <f t="shared" si="8"/>
        <v>127320.79</v>
      </c>
      <c r="M91" s="64">
        <f t="shared" si="7"/>
        <v>0.79000000000000048</v>
      </c>
    </row>
    <row r="92" spans="1:14" x14ac:dyDescent="0.3">
      <c r="A92" s="109">
        <f t="shared" si="9"/>
        <v>80</v>
      </c>
      <c r="B92" s="110" t="s">
        <v>81</v>
      </c>
      <c r="C92" s="108"/>
      <c r="D92" s="101">
        <v>1.34</v>
      </c>
      <c r="E92" s="102">
        <v>410061.8</v>
      </c>
      <c r="F92" s="103">
        <v>220400.8</v>
      </c>
      <c r="G92" s="104">
        <f t="shared" si="15"/>
        <v>189661</v>
      </c>
      <c r="H92" s="104">
        <f t="shared" si="19"/>
        <v>5689.83</v>
      </c>
      <c r="I92" s="105">
        <f t="shared" si="16"/>
        <v>161799.97500000001</v>
      </c>
      <c r="J92" s="105">
        <f t="shared" si="17"/>
        <v>40200.000000000007</v>
      </c>
      <c r="K92" s="106">
        <f t="shared" si="18"/>
        <v>397351.8</v>
      </c>
      <c r="L92" s="107">
        <f t="shared" si="8"/>
        <v>409272.8</v>
      </c>
      <c r="M92" s="64">
        <f t="shared" si="7"/>
        <v>0.80000000000000049</v>
      </c>
    </row>
    <row r="93" spans="1:14" x14ac:dyDescent="0.3">
      <c r="A93" s="134">
        <f t="shared" si="9"/>
        <v>81</v>
      </c>
      <c r="B93" s="135" t="s">
        <v>82</v>
      </c>
      <c r="C93" s="136"/>
      <c r="D93" s="127">
        <v>1.1200000000000001</v>
      </c>
      <c r="E93" s="128">
        <v>638725.81000000006</v>
      </c>
      <c r="F93" s="128">
        <v>250000</v>
      </c>
      <c r="G93" s="129">
        <f t="shared" si="15"/>
        <v>388725.81000000006</v>
      </c>
      <c r="H93" s="129">
        <f t="shared" si="19"/>
        <v>11661.774300000001</v>
      </c>
      <c r="I93" s="126">
        <f t="shared" si="16"/>
        <v>135235.80000000002</v>
      </c>
      <c r="J93" s="126">
        <f t="shared" si="17"/>
        <v>33600.000000000007</v>
      </c>
      <c r="K93" s="130">
        <f t="shared" si="18"/>
        <v>569223.81000000006</v>
      </c>
      <c r="L93" s="131">
        <f t="shared" si="8"/>
        <v>586300.81000000006</v>
      </c>
      <c r="M93" s="64">
        <f t="shared" si="7"/>
        <v>0.8100000000000005</v>
      </c>
      <c r="N93" t="s">
        <v>250</v>
      </c>
    </row>
    <row r="94" spans="1:14" x14ac:dyDescent="0.3">
      <c r="A94" s="109">
        <f t="shared" si="9"/>
        <v>82</v>
      </c>
      <c r="B94" s="110" t="s">
        <v>83</v>
      </c>
      <c r="C94" s="108"/>
      <c r="D94" s="101">
        <v>1.17</v>
      </c>
      <c r="E94" s="102">
        <v>181664.82</v>
      </c>
      <c r="F94" s="103">
        <f>E94</f>
        <v>181664.82</v>
      </c>
      <c r="G94" s="104">
        <f t="shared" si="15"/>
        <v>0</v>
      </c>
      <c r="H94" s="104">
        <f t="shared" si="19"/>
        <v>0</v>
      </c>
      <c r="I94" s="105">
        <f t="shared" si="16"/>
        <v>141273.11249999999</v>
      </c>
      <c r="J94" s="105">
        <f t="shared" si="17"/>
        <v>35100</v>
      </c>
      <c r="K94" s="106">
        <f t="shared" si="18"/>
        <v>176373.82</v>
      </c>
      <c r="L94" s="107">
        <f t="shared" si="8"/>
        <v>181664.82</v>
      </c>
      <c r="M94" s="64">
        <f t="shared" si="7"/>
        <v>0.82000000000000051</v>
      </c>
    </row>
    <row r="95" spans="1:14" x14ac:dyDescent="0.3">
      <c r="A95" s="166">
        <f t="shared" si="9"/>
        <v>83</v>
      </c>
      <c r="B95" s="168" t="s">
        <v>84</v>
      </c>
      <c r="C95" s="167"/>
      <c r="D95" s="161">
        <v>1.35</v>
      </c>
      <c r="E95" s="103">
        <v>191113.83</v>
      </c>
      <c r="F95" s="103">
        <f>RESUMEN!D54/2+196846.93</f>
        <v>469098.93</v>
      </c>
      <c r="G95" s="104">
        <f t="shared" si="15"/>
        <v>-277985.09999999998</v>
      </c>
      <c r="H95" s="104">
        <f t="shared" si="19"/>
        <v>0</v>
      </c>
      <c r="I95" s="105">
        <f t="shared" si="16"/>
        <v>163007.43750000003</v>
      </c>
      <c r="J95" s="105">
        <f t="shared" si="17"/>
        <v>40500.000000000007</v>
      </c>
      <c r="K95" s="106">
        <f t="shared" si="18"/>
        <v>-74477.17</v>
      </c>
      <c r="L95" s="107">
        <f t="shared" si="8"/>
        <v>-76711.17</v>
      </c>
      <c r="M95" s="64">
        <f t="shared" si="7"/>
        <v>0.83000000000000052</v>
      </c>
    </row>
    <row r="96" spans="1:14" x14ac:dyDescent="0.3">
      <c r="A96" s="166">
        <f t="shared" si="9"/>
        <v>84</v>
      </c>
      <c r="B96" s="168" t="s">
        <v>85</v>
      </c>
      <c r="C96" s="167"/>
      <c r="D96" s="161">
        <v>1.1200000000000001</v>
      </c>
      <c r="E96" s="103">
        <v>449255.84</v>
      </c>
      <c r="F96" s="103">
        <f>RESUMEN!D54/2+168836.84</f>
        <v>441088.83999999997</v>
      </c>
      <c r="G96" s="104">
        <f t="shared" si="15"/>
        <v>8167.0000000000582</v>
      </c>
      <c r="H96" s="104">
        <f t="shared" si="19"/>
        <v>245.01000000000172</v>
      </c>
      <c r="I96" s="105">
        <f t="shared" si="16"/>
        <v>135235.80000000002</v>
      </c>
      <c r="J96" s="105">
        <f t="shared" si="17"/>
        <v>33600.000000000007</v>
      </c>
      <c r="K96" s="106">
        <f t="shared" si="18"/>
        <v>177248.84</v>
      </c>
      <c r="L96" s="107">
        <f t="shared" si="8"/>
        <v>182565.84</v>
      </c>
      <c r="M96" s="64">
        <f t="shared" ref="M96:M115" si="20">M95+0.01</f>
        <v>0.84000000000000052</v>
      </c>
    </row>
    <row r="97" spans="1:14" x14ac:dyDescent="0.3">
      <c r="A97" s="109">
        <f t="shared" si="9"/>
        <v>85</v>
      </c>
      <c r="B97" s="110" t="s">
        <v>86</v>
      </c>
      <c r="C97" s="108"/>
      <c r="D97" s="101">
        <v>0.82</v>
      </c>
      <c r="E97" s="102">
        <v>123612.85</v>
      </c>
      <c r="F97" s="103">
        <f t="shared" ref="F97:F112" si="21">E97</f>
        <v>123612.85</v>
      </c>
      <c r="G97" s="104">
        <f t="shared" si="15"/>
        <v>0</v>
      </c>
      <c r="H97" s="104">
        <f t="shared" si="19"/>
        <v>0</v>
      </c>
      <c r="I97" s="105">
        <f t="shared" si="16"/>
        <v>99011.925000000003</v>
      </c>
      <c r="J97" s="105">
        <f t="shared" si="17"/>
        <v>24600</v>
      </c>
      <c r="K97" s="106">
        <f t="shared" si="18"/>
        <v>123612.85</v>
      </c>
      <c r="L97" s="107">
        <f t="shared" si="8"/>
        <v>127320.85</v>
      </c>
      <c r="M97" s="64">
        <f t="shared" si="20"/>
        <v>0.85000000000000053</v>
      </c>
    </row>
    <row r="98" spans="1:14" x14ac:dyDescent="0.3">
      <c r="A98" s="109">
        <f t="shared" si="9"/>
        <v>86</v>
      </c>
      <c r="B98" s="110" t="s">
        <v>87</v>
      </c>
      <c r="C98" s="108"/>
      <c r="D98" s="101">
        <v>0.82</v>
      </c>
      <c r="E98" s="102">
        <v>123612.86</v>
      </c>
      <c r="F98" s="103">
        <f t="shared" si="21"/>
        <v>123612.86</v>
      </c>
      <c r="G98" s="104">
        <f t="shared" si="15"/>
        <v>0</v>
      </c>
      <c r="H98" s="104">
        <f t="shared" si="19"/>
        <v>0</v>
      </c>
      <c r="I98" s="105">
        <f t="shared" si="16"/>
        <v>99011.925000000003</v>
      </c>
      <c r="J98" s="105">
        <f t="shared" si="17"/>
        <v>24600</v>
      </c>
      <c r="K98" s="106">
        <f t="shared" si="18"/>
        <v>123612.86</v>
      </c>
      <c r="L98" s="107">
        <f t="shared" ref="L98:L115" si="22">ROUND(K98*3%,0) + K98</f>
        <v>127320.86</v>
      </c>
      <c r="M98" s="64">
        <f t="shared" si="20"/>
        <v>0.86000000000000054</v>
      </c>
    </row>
    <row r="99" spans="1:14" x14ac:dyDescent="0.3">
      <c r="A99" s="109">
        <f t="shared" ref="A99:A115" si="23">A98+1</f>
        <v>87</v>
      </c>
      <c r="B99" s="110" t="s">
        <v>88</v>
      </c>
      <c r="C99" s="108"/>
      <c r="D99" s="101">
        <v>1.34</v>
      </c>
      <c r="E99" s="102">
        <v>195940.87</v>
      </c>
      <c r="F99" s="103">
        <v>201818.87</v>
      </c>
      <c r="G99" s="104">
        <f t="shared" si="15"/>
        <v>-5878</v>
      </c>
      <c r="H99" s="104">
        <f t="shared" si="19"/>
        <v>0</v>
      </c>
      <c r="I99" s="105">
        <f t="shared" si="16"/>
        <v>161799.97500000001</v>
      </c>
      <c r="J99" s="105">
        <f t="shared" si="17"/>
        <v>40200.000000000007</v>
      </c>
      <c r="K99" s="106">
        <f t="shared" si="18"/>
        <v>196122.87</v>
      </c>
      <c r="L99" s="107">
        <f t="shared" si="22"/>
        <v>202006.87</v>
      </c>
      <c r="M99" s="64">
        <f t="shared" si="20"/>
        <v>0.87000000000000055</v>
      </c>
    </row>
    <row r="100" spans="1:14" x14ac:dyDescent="0.3">
      <c r="A100" s="109">
        <f t="shared" si="23"/>
        <v>88</v>
      </c>
      <c r="B100" s="110" t="s">
        <v>89</v>
      </c>
      <c r="C100" s="108"/>
      <c r="D100" s="101">
        <v>1.1200000000000001</v>
      </c>
      <c r="E100" s="102">
        <v>163771.88</v>
      </c>
      <c r="F100" s="103">
        <f>E100</f>
        <v>163771.88</v>
      </c>
      <c r="G100" s="104">
        <f t="shared" si="15"/>
        <v>0</v>
      </c>
      <c r="H100" s="104">
        <f t="shared" si="19"/>
        <v>0</v>
      </c>
      <c r="I100" s="105">
        <f t="shared" si="16"/>
        <v>135235.80000000002</v>
      </c>
      <c r="J100" s="105">
        <f t="shared" si="17"/>
        <v>33600.000000000007</v>
      </c>
      <c r="K100" s="106">
        <f t="shared" si="18"/>
        <v>168836.88</v>
      </c>
      <c r="L100" s="107">
        <f t="shared" si="22"/>
        <v>173901.88</v>
      </c>
      <c r="M100" s="64">
        <f t="shared" si="20"/>
        <v>0.88000000000000056</v>
      </c>
    </row>
    <row r="101" spans="1:14" x14ac:dyDescent="0.3">
      <c r="A101" s="109">
        <f t="shared" si="23"/>
        <v>89</v>
      </c>
      <c r="B101" s="110" t="s">
        <v>90</v>
      </c>
      <c r="C101" s="108"/>
      <c r="D101" s="101">
        <v>1.17</v>
      </c>
      <c r="E101" s="102">
        <v>176373.89</v>
      </c>
      <c r="F101" s="103">
        <f t="shared" si="21"/>
        <v>176373.89</v>
      </c>
      <c r="G101" s="104">
        <f t="shared" si="15"/>
        <v>0</v>
      </c>
      <c r="H101" s="104">
        <f t="shared" si="19"/>
        <v>0</v>
      </c>
      <c r="I101" s="105">
        <f t="shared" si="16"/>
        <v>141273.11249999999</v>
      </c>
      <c r="J101" s="105">
        <f t="shared" si="17"/>
        <v>35100</v>
      </c>
      <c r="K101" s="106">
        <f t="shared" si="18"/>
        <v>176373.89</v>
      </c>
      <c r="L101" s="107">
        <f t="shared" si="22"/>
        <v>181664.89</v>
      </c>
      <c r="M101" s="64">
        <f t="shared" si="20"/>
        <v>0.89000000000000057</v>
      </c>
    </row>
    <row r="102" spans="1:14" x14ac:dyDescent="0.3">
      <c r="A102" s="109">
        <f t="shared" si="23"/>
        <v>90</v>
      </c>
      <c r="B102" s="110" t="s">
        <v>91</v>
      </c>
      <c r="C102" s="108"/>
      <c r="D102" s="101">
        <v>0.1</v>
      </c>
      <c r="E102" s="102">
        <v>14623.9</v>
      </c>
      <c r="F102" s="103">
        <v>15062.9</v>
      </c>
      <c r="G102" s="104">
        <f t="shared" si="15"/>
        <v>-439</v>
      </c>
      <c r="H102" s="104">
        <f t="shared" si="19"/>
        <v>0</v>
      </c>
      <c r="I102" s="105">
        <f t="shared" si="16"/>
        <v>12074.625</v>
      </c>
      <c r="J102" s="105">
        <f t="shared" si="17"/>
        <v>3000</v>
      </c>
      <c r="K102" s="106">
        <f t="shared" si="18"/>
        <v>14636.9</v>
      </c>
      <c r="L102" s="107">
        <f t="shared" si="22"/>
        <v>15075.9</v>
      </c>
      <c r="M102" s="64">
        <f t="shared" si="20"/>
        <v>0.90000000000000058</v>
      </c>
    </row>
    <row r="103" spans="1:14" x14ac:dyDescent="0.3">
      <c r="A103" s="109">
        <f t="shared" si="23"/>
        <v>91</v>
      </c>
      <c r="B103" s="110" t="s">
        <v>92</v>
      </c>
      <c r="C103" s="108"/>
      <c r="D103" s="101">
        <v>0.1</v>
      </c>
      <c r="E103" s="102">
        <v>31068.91</v>
      </c>
      <c r="F103" s="103">
        <v>15528.91</v>
      </c>
      <c r="G103" s="104">
        <f t="shared" si="15"/>
        <v>15540</v>
      </c>
      <c r="H103" s="104">
        <f t="shared" si="19"/>
        <v>466.2</v>
      </c>
      <c r="I103" s="105">
        <f t="shared" si="16"/>
        <v>12074.625</v>
      </c>
      <c r="J103" s="105">
        <f t="shared" si="17"/>
        <v>3000</v>
      </c>
      <c r="K103" s="106">
        <f t="shared" si="18"/>
        <v>31081.91</v>
      </c>
      <c r="L103" s="107">
        <f t="shared" si="22"/>
        <v>32013.91</v>
      </c>
      <c r="M103" s="64">
        <f t="shared" si="20"/>
        <v>0.91000000000000059</v>
      </c>
    </row>
    <row r="104" spans="1:14" x14ac:dyDescent="0.3">
      <c r="A104" s="109">
        <f t="shared" si="23"/>
        <v>92</v>
      </c>
      <c r="B104" s="110" t="s">
        <v>93</v>
      </c>
      <c r="C104" s="108"/>
      <c r="D104" s="101">
        <v>0.1</v>
      </c>
      <c r="E104" s="102">
        <v>15527.92</v>
      </c>
      <c r="F104" s="103">
        <f t="shared" si="21"/>
        <v>15527.92</v>
      </c>
      <c r="G104" s="104">
        <f t="shared" si="15"/>
        <v>0</v>
      </c>
      <c r="H104" s="104">
        <f t="shared" si="19"/>
        <v>0</v>
      </c>
      <c r="I104" s="105">
        <f t="shared" si="16"/>
        <v>12074.625</v>
      </c>
      <c r="J104" s="105">
        <f t="shared" si="17"/>
        <v>3000</v>
      </c>
      <c r="K104" s="106">
        <f t="shared" si="18"/>
        <v>15075.92</v>
      </c>
      <c r="L104" s="107">
        <f t="shared" si="22"/>
        <v>15527.92</v>
      </c>
      <c r="M104" s="64">
        <f t="shared" si="20"/>
        <v>0.9200000000000006</v>
      </c>
    </row>
    <row r="105" spans="1:14" x14ac:dyDescent="0.3">
      <c r="A105" s="166">
        <f t="shared" si="23"/>
        <v>93</v>
      </c>
      <c r="B105" s="168" t="s">
        <v>94</v>
      </c>
      <c r="C105" s="167"/>
      <c r="D105" s="161">
        <v>0.1</v>
      </c>
      <c r="E105" s="103">
        <v>15075.93</v>
      </c>
      <c r="F105" s="103">
        <f>E105</f>
        <v>15075.93</v>
      </c>
      <c r="G105" s="162">
        <f t="shared" si="15"/>
        <v>0</v>
      </c>
      <c r="H105" s="162">
        <f t="shared" si="19"/>
        <v>0</v>
      </c>
      <c r="I105" s="163">
        <f t="shared" si="16"/>
        <v>12074.625</v>
      </c>
      <c r="J105" s="163">
        <f t="shared" si="17"/>
        <v>3000</v>
      </c>
      <c r="K105" s="164">
        <f t="shared" si="18"/>
        <v>15075.93</v>
      </c>
      <c r="L105" s="165">
        <f t="shared" si="22"/>
        <v>15527.93</v>
      </c>
      <c r="M105" s="64">
        <f t="shared" si="20"/>
        <v>0.9300000000000006</v>
      </c>
    </row>
    <row r="106" spans="1:14" x14ac:dyDescent="0.3">
      <c r="A106" s="166">
        <f t="shared" si="23"/>
        <v>94</v>
      </c>
      <c r="B106" s="168" t="s">
        <v>95</v>
      </c>
      <c r="C106" s="167"/>
      <c r="D106" s="161">
        <v>0.1</v>
      </c>
      <c r="E106" s="103">
        <v>15075.94</v>
      </c>
      <c r="F106" s="103">
        <f>E106</f>
        <v>15075.94</v>
      </c>
      <c r="G106" s="162">
        <f t="shared" si="15"/>
        <v>0</v>
      </c>
      <c r="H106" s="162">
        <f t="shared" si="19"/>
        <v>0</v>
      </c>
      <c r="I106" s="163">
        <f>J$2*D106/100</f>
        <v>12074.625</v>
      </c>
      <c r="J106" s="163">
        <f t="shared" si="17"/>
        <v>3000</v>
      </c>
      <c r="K106" s="164">
        <f t="shared" si="18"/>
        <v>15075.94</v>
      </c>
      <c r="L106" s="165">
        <f t="shared" si="22"/>
        <v>15527.94</v>
      </c>
      <c r="M106" s="64">
        <f t="shared" si="20"/>
        <v>0.94000000000000061</v>
      </c>
    </row>
    <row r="107" spans="1:14" ht="24" customHeight="1" x14ac:dyDescent="0.3">
      <c r="A107" s="166">
        <f t="shared" si="23"/>
        <v>95</v>
      </c>
      <c r="B107" s="168" t="s">
        <v>182</v>
      </c>
      <c r="C107" s="167"/>
      <c r="D107" s="161">
        <v>0.1</v>
      </c>
      <c r="E107" s="103">
        <v>15075.95</v>
      </c>
      <c r="F107" s="103">
        <v>15527.95</v>
      </c>
      <c r="G107" s="162">
        <f t="shared" si="15"/>
        <v>-452</v>
      </c>
      <c r="H107" s="162">
        <f t="shared" si="19"/>
        <v>0</v>
      </c>
      <c r="I107" s="163">
        <f t="shared" si="16"/>
        <v>12074.625</v>
      </c>
      <c r="J107" s="163">
        <f t="shared" si="17"/>
        <v>3000</v>
      </c>
      <c r="K107" s="164">
        <f t="shared" si="18"/>
        <v>14623.95</v>
      </c>
      <c r="L107" s="165">
        <f t="shared" si="22"/>
        <v>15062.95</v>
      </c>
      <c r="M107" s="64">
        <f t="shared" si="20"/>
        <v>0.95000000000000062</v>
      </c>
    </row>
    <row r="108" spans="1:14" x14ac:dyDescent="0.3">
      <c r="A108" s="166">
        <f t="shared" si="23"/>
        <v>96</v>
      </c>
      <c r="B108" s="168" t="s">
        <v>95</v>
      </c>
      <c r="C108" s="167"/>
      <c r="D108" s="161">
        <v>0.1</v>
      </c>
      <c r="E108" s="103">
        <v>15075.96</v>
      </c>
      <c r="F108" s="103">
        <f t="shared" si="21"/>
        <v>15075.96</v>
      </c>
      <c r="G108" s="162">
        <f t="shared" si="15"/>
        <v>0</v>
      </c>
      <c r="H108" s="162">
        <f t="shared" si="19"/>
        <v>0</v>
      </c>
      <c r="I108" s="163">
        <f t="shared" si="16"/>
        <v>12074.625</v>
      </c>
      <c r="J108" s="163">
        <f t="shared" si="17"/>
        <v>3000</v>
      </c>
      <c r="K108" s="164">
        <f t="shared" si="18"/>
        <v>15075.96</v>
      </c>
      <c r="L108" s="165">
        <f t="shared" si="22"/>
        <v>15527.96</v>
      </c>
      <c r="M108" s="64">
        <f t="shared" si="20"/>
        <v>0.96000000000000063</v>
      </c>
      <c r="N108" t="s">
        <v>167</v>
      </c>
    </row>
    <row r="109" spans="1:14" x14ac:dyDescent="0.3">
      <c r="A109" s="166">
        <f t="shared" si="23"/>
        <v>97</v>
      </c>
      <c r="B109" s="168" t="s">
        <v>96</v>
      </c>
      <c r="C109" s="167"/>
      <c r="D109" s="161">
        <v>0.1</v>
      </c>
      <c r="E109" s="103">
        <v>15075.97</v>
      </c>
      <c r="F109" s="103">
        <f t="shared" si="21"/>
        <v>15075.97</v>
      </c>
      <c r="G109" s="162">
        <f t="shared" si="15"/>
        <v>0</v>
      </c>
      <c r="H109" s="162">
        <f t="shared" si="19"/>
        <v>0</v>
      </c>
      <c r="I109" s="163">
        <f t="shared" ref="I109:I115" si="24">J$2*D109/100</f>
        <v>12074.625</v>
      </c>
      <c r="J109" s="163">
        <f t="shared" ref="J109:J115" si="25">E$2*D109/100</f>
        <v>3000</v>
      </c>
      <c r="K109" s="164">
        <f t="shared" ref="K109:K115" si="26">ROUND(SUM(G109:J109),0) + M109</f>
        <v>15075.97</v>
      </c>
      <c r="L109" s="165">
        <f t="shared" si="22"/>
        <v>15527.97</v>
      </c>
      <c r="M109" s="64">
        <f t="shared" si="20"/>
        <v>0.97000000000000064</v>
      </c>
    </row>
    <row r="110" spans="1:14" x14ac:dyDescent="0.3">
      <c r="A110" s="166">
        <f t="shared" si="23"/>
        <v>98</v>
      </c>
      <c r="B110" s="168" t="s">
        <v>97</v>
      </c>
      <c r="C110" s="167"/>
      <c r="D110" s="161">
        <v>0.1</v>
      </c>
      <c r="E110" s="103">
        <v>15075.98</v>
      </c>
      <c r="F110" s="103">
        <f t="shared" si="21"/>
        <v>15075.98</v>
      </c>
      <c r="G110" s="162">
        <f t="shared" si="15"/>
        <v>0</v>
      </c>
      <c r="H110" s="162">
        <f t="shared" si="19"/>
        <v>0</v>
      </c>
      <c r="I110" s="163">
        <f t="shared" si="24"/>
        <v>12074.625</v>
      </c>
      <c r="J110" s="163">
        <f t="shared" si="25"/>
        <v>3000</v>
      </c>
      <c r="K110" s="164">
        <f t="shared" si="26"/>
        <v>15075.98</v>
      </c>
      <c r="L110" s="165">
        <f t="shared" si="22"/>
        <v>15527.98</v>
      </c>
      <c r="M110" s="64">
        <f t="shared" si="20"/>
        <v>0.98000000000000065</v>
      </c>
    </row>
    <row r="111" spans="1:14" x14ac:dyDescent="0.3">
      <c r="A111" s="166">
        <f t="shared" si="23"/>
        <v>99</v>
      </c>
      <c r="B111" s="168" t="s">
        <v>98</v>
      </c>
      <c r="C111" s="167"/>
      <c r="D111" s="161">
        <v>0.1</v>
      </c>
      <c r="E111" s="103">
        <v>14623.99</v>
      </c>
      <c r="F111" s="103">
        <v>15062.9</v>
      </c>
      <c r="G111" s="162">
        <f t="shared" si="15"/>
        <v>-438.90999999999985</v>
      </c>
      <c r="H111" s="162">
        <f t="shared" si="19"/>
        <v>0</v>
      </c>
      <c r="I111" s="163">
        <f t="shared" si="24"/>
        <v>12074.625</v>
      </c>
      <c r="J111" s="163">
        <f t="shared" si="25"/>
        <v>3000</v>
      </c>
      <c r="K111" s="164">
        <f t="shared" si="26"/>
        <v>14636.99</v>
      </c>
      <c r="L111" s="165">
        <f t="shared" si="22"/>
        <v>15075.99</v>
      </c>
      <c r="M111" s="64">
        <f t="shared" si="20"/>
        <v>0.99000000000000066</v>
      </c>
    </row>
    <row r="112" spans="1:14" x14ac:dyDescent="0.3">
      <c r="A112" s="166">
        <f t="shared" si="23"/>
        <v>100</v>
      </c>
      <c r="B112" s="168" t="s">
        <v>99</v>
      </c>
      <c r="C112" s="167"/>
      <c r="D112" s="161">
        <v>0.1</v>
      </c>
      <c r="E112" s="103">
        <v>15076</v>
      </c>
      <c r="F112" s="103">
        <f t="shared" si="21"/>
        <v>15076</v>
      </c>
      <c r="G112" s="162">
        <f t="shared" si="15"/>
        <v>0</v>
      </c>
      <c r="H112" s="162">
        <f t="shared" si="19"/>
        <v>0</v>
      </c>
      <c r="I112" s="163">
        <f t="shared" si="24"/>
        <v>12074.625</v>
      </c>
      <c r="J112" s="163">
        <f t="shared" si="25"/>
        <v>3000</v>
      </c>
      <c r="K112" s="164">
        <f t="shared" si="26"/>
        <v>15076</v>
      </c>
      <c r="L112" s="165">
        <f t="shared" si="22"/>
        <v>15528</v>
      </c>
      <c r="M112" s="64">
        <f t="shared" si="20"/>
        <v>1.0000000000000007</v>
      </c>
    </row>
    <row r="113" spans="1:13" x14ac:dyDescent="0.3">
      <c r="A113" s="166">
        <f t="shared" si="23"/>
        <v>101</v>
      </c>
      <c r="B113" s="159" t="s">
        <v>100</v>
      </c>
      <c r="C113" s="167"/>
      <c r="D113" s="161">
        <v>0.1</v>
      </c>
      <c r="E113" s="103">
        <v>15076.01</v>
      </c>
      <c r="F113" s="103">
        <f>E113</f>
        <v>15076.01</v>
      </c>
      <c r="G113" s="162">
        <f t="shared" si="15"/>
        <v>0</v>
      </c>
      <c r="H113" s="162">
        <f t="shared" si="19"/>
        <v>0</v>
      </c>
      <c r="I113" s="163">
        <f t="shared" si="24"/>
        <v>12074.625</v>
      </c>
      <c r="J113" s="163">
        <f t="shared" si="25"/>
        <v>3000</v>
      </c>
      <c r="K113" s="164">
        <f t="shared" si="26"/>
        <v>15076.01</v>
      </c>
      <c r="L113" s="165">
        <f t="shared" si="22"/>
        <v>15528.01</v>
      </c>
      <c r="M113" s="64">
        <f t="shared" si="20"/>
        <v>1.0100000000000007</v>
      </c>
    </row>
    <row r="114" spans="1:13" x14ac:dyDescent="0.3">
      <c r="A114" s="166">
        <f t="shared" si="23"/>
        <v>102</v>
      </c>
      <c r="B114" s="195" t="s">
        <v>101</v>
      </c>
      <c r="C114" s="167"/>
      <c r="D114" s="161">
        <v>0.1</v>
      </c>
      <c r="E114" s="103">
        <v>15542.02</v>
      </c>
      <c r="F114" s="103"/>
      <c r="G114" s="162">
        <f t="shared" si="15"/>
        <v>15542.02</v>
      </c>
      <c r="H114" s="162">
        <f t="shared" si="19"/>
        <v>466.26060000000001</v>
      </c>
      <c r="I114" s="163">
        <f t="shared" si="24"/>
        <v>12074.625</v>
      </c>
      <c r="J114" s="163">
        <f t="shared" si="25"/>
        <v>3000</v>
      </c>
      <c r="K114" s="164">
        <f t="shared" si="26"/>
        <v>31084.02</v>
      </c>
      <c r="L114" s="165">
        <f t="shared" si="22"/>
        <v>32017.02</v>
      </c>
      <c r="M114" s="64">
        <f t="shared" si="20"/>
        <v>1.0200000000000007</v>
      </c>
    </row>
    <row r="115" spans="1:13" x14ac:dyDescent="0.3">
      <c r="A115" s="166">
        <f t="shared" si="23"/>
        <v>103</v>
      </c>
      <c r="B115" s="168" t="s">
        <v>182</v>
      </c>
      <c r="C115" s="167"/>
      <c r="D115" s="161">
        <v>0.1</v>
      </c>
      <c r="E115" s="103">
        <v>14624.03</v>
      </c>
      <c r="F115" s="103">
        <f>E115</f>
        <v>14624.03</v>
      </c>
      <c r="G115" s="162">
        <f t="shared" si="15"/>
        <v>0</v>
      </c>
      <c r="H115" s="162">
        <f t="shared" si="19"/>
        <v>0</v>
      </c>
      <c r="I115" s="163">
        <f t="shared" si="24"/>
        <v>12074.625</v>
      </c>
      <c r="J115" s="163">
        <f t="shared" si="25"/>
        <v>3000</v>
      </c>
      <c r="K115" s="164">
        <f t="shared" si="26"/>
        <v>15076.03</v>
      </c>
      <c r="L115" s="165">
        <f t="shared" si="22"/>
        <v>15528.03</v>
      </c>
      <c r="M115" s="64">
        <f t="shared" si="20"/>
        <v>1.0300000000000007</v>
      </c>
    </row>
    <row r="116" spans="1:13" ht="15" thickBot="1" x14ac:dyDescent="0.35">
      <c r="A116" s="166"/>
      <c r="B116" s="195"/>
      <c r="C116" s="167"/>
      <c r="D116" s="161"/>
      <c r="E116" s="111"/>
      <c r="F116" s="111"/>
      <c r="G116" s="162"/>
      <c r="H116" s="162"/>
      <c r="I116" s="163"/>
      <c r="J116" s="163"/>
      <c r="K116" s="164"/>
      <c r="L116" s="165"/>
      <c r="M116" s="64"/>
    </row>
    <row r="117" spans="1:13" ht="17.100000000000001" customHeight="1" thickBot="1" x14ac:dyDescent="0.35">
      <c r="A117" s="112"/>
      <c r="B117" s="113"/>
      <c r="C117" s="113"/>
      <c r="D117" s="114">
        <f t="shared" ref="D117:L117" si="27">SUM(D13:D116)</f>
        <v>100.15999999999993</v>
      </c>
      <c r="E117" s="115">
        <f t="shared" si="27"/>
        <v>32847890.487500001</v>
      </c>
      <c r="F117" s="116">
        <f>SUM(F13:F116)</f>
        <v>13927009.310000001</v>
      </c>
      <c r="G117" s="116">
        <f t="shared" si="27"/>
        <v>18920881.177499998</v>
      </c>
      <c r="H117" s="116">
        <f t="shared" si="27"/>
        <v>578803.22122499999</v>
      </c>
      <c r="I117" s="117">
        <f t="shared" si="27"/>
        <v>12093944.400000006</v>
      </c>
      <c r="J117" s="116">
        <f t="shared" si="27"/>
        <v>3004800</v>
      </c>
      <c r="K117" s="118">
        <f t="shared" si="27"/>
        <v>34598483.560000002</v>
      </c>
      <c r="L117" s="118">
        <f t="shared" si="27"/>
        <v>35636432.56000001</v>
      </c>
    </row>
    <row r="118" spans="1:13" ht="12.75" customHeight="1" x14ac:dyDescent="0.3">
      <c r="B118" s="119"/>
      <c r="C118" s="119"/>
    </row>
    <row r="119" spans="1:13" hidden="1" x14ac:dyDescent="0.3"/>
    <row r="120" spans="1:13" ht="9" customHeight="1" x14ac:dyDescent="0.3">
      <c r="B120" s="230" t="s">
        <v>106</v>
      </c>
      <c r="C120" s="230"/>
      <c r="D120" s="230"/>
      <c r="E120" s="230"/>
      <c r="F120" s="230"/>
      <c r="G120" s="230"/>
      <c r="H120" s="230"/>
      <c r="I120" s="230"/>
      <c r="J120" s="230"/>
      <c r="K120" s="230"/>
    </row>
    <row r="121" spans="1:13" ht="12" hidden="1" customHeight="1" x14ac:dyDescent="0.3">
      <c r="B121" s="230"/>
      <c r="C121" s="230"/>
      <c r="D121" s="230"/>
      <c r="E121" s="230"/>
      <c r="F121" s="230"/>
      <c r="G121" s="230"/>
      <c r="H121" s="230"/>
      <c r="I121" s="230"/>
      <c r="J121" s="230"/>
      <c r="K121" s="230"/>
    </row>
    <row r="122" spans="1:13" ht="12" hidden="1" customHeight="1" x14ac:dyDescent="0.3">
      <c r="B122" s="230"/>
      <c r="C122" s="230"/>
      <c r="D122" s="230"/>
      <c r="E122" s="230"/>
      <c r="F122" s="230"/>
      <c r="G122" s="230"/>
      <c r="H122" s="230"/>
      <c r="I122" s="230"/>
      <c r="J122" s="230"/>
      <c r="K122" s="230"/>
    </row>
    <row r="123" spans="1:13" ht="12" hidden="1" customHeight="1" x14ac:dyDescent="0.3">
      <c r="B123" s="230"/>
      <c r="C123" s="230"/>
      <c r="D123" s="230"/>
      <c r="E123" s="230"/>
      <c r="F123" s="230"/>
      <c r="G123" s="230"/>
      <c r="H123" s="230"/>
      <c r="I123" s="230"/>
      <c r="J123" s="230"/>
      <c r="K123" s="230"/>
    </row>
    <row r="124" spans="1:13" ht="12" hidden="1" customHeight="1" x14ac:dyDescent="0.3">
      <c r="B124" s="230"/>
      <c r="C124" s="230"/>
      <c r="D124" s="230"/>
      <c r="E124" s="230"/>
      <c r="F124" s="230"/>
      <c r="G124" s="230"/>
      <c r="H124" s="230"/>
      <c r="I124" s="230"/>
      <c r="J124" s="230"/>
      <c r="K124" s="230"/>
    </row>
    <row r="125" spans="1:13" ht="67.5" customHeight="1" x14ac:dyDescent="0.3">
      <c r="B125" s="230"/>
      <c r="C125" s="230"/>
      <c r="D125" s="230"/>
      <c r="E125" s="230"/>
      <c r="F125" s="230"/>
      <c r="G125" s="230"/>
      <c r="H125" s="230"/>
      <c r="I125" s="230"/>
      <c r="J125" s="230"/>
      <c r="K125" s="230"/>
    </row>
  </sheetData>
  <mergeCells count="17">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 ref="J11:J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baseColWidth="10" defaultRowHeight="14.4" x14ac:dyDescent="0.3"/>
  <cols>
    <col min="3" max="3" width="12.6640625" bestFit="1" customWidth="1"/>
  </cols>
  <sheetData>
    <row r="5" spans="2:14" ht="18.75" customHeight="1" x14ac:dyDescent="0.3">
      <c r="B5" s="259" t="s">
        <v>187</v>
      </c>
      <c r="C5" s="259"/>
      <c r="D5" s="259"/>
      <c r="E5" s="259"/>
      <c r="F5" s="259"/>
      <c r="G5" s="259"/>
      <c r="H5" s="259"/>
      <c r="I5" s="259"/>
      <c r="J5" s="259"/>
      <c r="L5" s="83" t="s">
        <v>188</v>
      </c>
      <c r="M5" s="83" t="s">
        <v>183</v>
      </c>
    </row>
    <row r="6" spans="2:14" x14ac:dyDescent="0.3">
      <c r="B6" s="23"/>
      <c r="C6" s="23"/>
      <c r="D6" s="23"/>
      <c r="E6" s="23"/>
      <c r="F6" s="23"/>
      <c r="G6" s="23"/>
      <c r="H6" s="23"/>
      <c r="I6" s="23"/>
      <c r="J6" s="23"/>
    </row>
    <row r="7" spans="2:14" x14ac:dyDescent="0.3">
      <c r="B7" s="23"/>
      <c r="C7" s="23"/>
      <c r="D7" s="23"/>
      <c r="E7" s="23"/>
      <c r="F7" s="23"/>
      <c r="G7" s="23"/>
      <c r="H7" s="23"/>
      <c r="I7" s="23"/>
      <c r="J7" s="23"/>
    </row>
    <row r="8" spans="2:14" x14ac:dyDescent="0.3">
      <c r="B8" s="23" t="s">
        <v>193</v>
      </c>
      <c r="C8" s="23"/>
      <c r="D8" s="23"/>
      <c r="E8" s="23"/>
      <c r="F8" s="23"/>
      <c r="G8" s="23"/>
      <c r="H8" s="23"/>
      <c r="I8" s="23"/>
      <c r="J8" s="23"/>
    </row>
    <row r="9" spans="2:14" x14ac:dyDescent="0.3">
      <c r="B9" s="23"/>
      <c r="C9" s="23"/>
      <c r="D9" s="23"/>
      <c r="E9" s="23"/>
      <c r="F9" s="23"/>
      <c r="G9" s="23"/>
      <c r="H9" s="23"/>
      <c r="I9" s="23"/>
      <c r="J9" s="23"/>
    </row>
    <row r="10" spans="2:14" x14ac:dyDescent="0.3">
      <c r="B10" s="23"/>
      <c r="C10" s="23"/>
      <c r="D10" s="23"/>
      <c r="E10" s="23"/>
      <c r="F10" s="23"/>
      <c r="G10" s="23"/>
      <c r="H10" s="23"/>
      <c r="I10" s="23"/>
      <c r="J10" s="23"/>
    </row>
    <row r="12" spans="2:14" x14ac:dyDescent="0.3">
      <c r="B12" s="172" t="s">
        <v>189</v>
      </c>
      <c r="C12" s="172"/>
      <c r="D12" s="172"/>
      <c r="E12" s="172"/>
      <c r="F12" s="172"/>
      <c r="G12" s="172"/>
      <c r="H12" s="172"/>
      <c r="I12" s="172"/>
      <c r="J12" s="172"/>
      <c r="K12" s="172"/>
      <c r="L12" s="172"/>
      <c r="M12" s="172"/>
      <c r="N12" s="172"/>
    </row>
    <row r="13" spans="2:14" x14ac:dyDescent="0.3">
      <c r="B13" s="172" t="s">
        <v>190</v>
      </c>
      <c r="C13" s="173">
        <v>194996.59</v>
      </c>
      <c r="D13" s="172"/>
      <c r="E13" s="172"/>
      <c r="F13" s="172"/>
      <c r="G13" s="172"/>
      <c r="H13" s="172"/>
      <c r="I13" s="172"/>
      <c r="J13" s="172"/>
      <c r="K13" s="172"/>
      <c r="L13" s="172"/>
      <c r="M13" s="172"/>
      <c r="N13" s="172"/>
    </row>
    <row r="14" spans="2:14" x14ac:dyDescent="0.3">
      <c r="B14" s="172" t="s">
        <v>191</v>
      </c>
      <c r="C14" s="173">
        <v>15075.93</v>
      </c>
      <c r="D14" s="172"/>
      <c r="E14" s="172"/>
      <c r="F14" s="172"/>
      <c r="G14" s="172"/>
      <c r="H14" s="172"/>
      <c r="I14" s="172"/>
      <c r="J14" s="172"/>
      <c r="K14" s="172"/>
      <c r="L14" s="172"/>
      <c r="M14" s="172"/>
      <c r="N14" s="172"/>
    </row>
    <row r="15" spans="2:14" x14ac:dyDescent="0.3">
      <c r="B15" s="172" t="s">
        <v>192</v>
      </c>
      <c r="C15" s="173">
        <v>15076.01</v>
      </c>
      <c r="D15" s="172"/>
      <c r="E15" s="172"/>
      <c r="F15" s="172"/>
      <c r="G15" s="172"/>
      <c r="H15" s="172"/>
      <c r="I15" s="172"/>
      <c r="J15" s="172"/>
      <c r="K15" s="172"/>
      <c r="L15" s="172"/>
      <c r="M15" s="172"/>
      <c r="N15" s="172"/>
    </row>
    <row r="16" spans="2:14" x14ac:dyDescent="0.3">
      <c r="B16" s="172"/>
      <c r="C16" s="172"/>
      <c r="D16" s="172"/>
      <c r="E16" s="172"/>
      <c r="F16" s="172"/>
      <c r="G16" s="172"/>
      <c r="H16" s="172"/>
      <c r="I16" s="172"/>
      <c r="J16" s="172"/>
      <c r="K16" s="172"/>
      <c r="L16" s="172"/>
      <c r="M16" s="172"/>
      <c r="N16" s="172"/>
    </row>
    <row r="19" spans="2:17" x14ac:dyDescent="0.3">
      <c r="B19" s="23" t="s">
        <v>194</v>
      </c>
    </row>
    <row r="22" spans="2:17" x14ac:dyDescent="0.3">
      <c r="B22" s="174" t="s">
        <v>195</v>
      </c>
      <c r="C22" s="174"/>
    </row>
    <row r="25" spans="2:17" ht="117" customHeight="1" x14ac:dyDescent="0.3">
      <c r="B25" s="260" t="s">
        <v>196</v>
      </c>
      <c r="C25" s="260"/>
      <c r="D25" s="260"/>
      <c r="E25" s="260"/>
      <c r="F25" s="260"/>
      <c r="G25" s="260"/>
      <c r="H25" s="260"/>
      <c r="I25" s="260"/>
      <c r="J25" s="260"/>
      <c r="K25" s="260"/>
      <c r="L25" s="260"/>
      <c r="M25" s="260"/>
      <c r="N25" s="260"/>
      <c r="O25" s="260"/>
      <c r="P25" s="260"/>
      <c r="Q25" s="260"/>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2026-02-10T14:19:26Z</cp:lastPrinted>
  <dcterms:created xsi:type="dcterms:W3CDTF">2016-01-12T20:02:43Z</dcterms:created>
  <dcterms:modified xsi:type="dcterms:W3CDTF">2026-02-26T12:44:02Z</dcterms:modified>
</cp:coreProperties>
</file>