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DE3B1638-4DD7-49F1-A063-A82609A8678F}" xr6:coauthVersionLast="47" xr6:coauthVersionMax="47" xr10:uidLastSave="{00000000-0000-0000-0000-000000000000}"/>
  <bookViews>
    <workbookView xWindow="-108" yWindow="-108" windowWidth="23256" windowHeight="12576" activeTab="4"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RESUMEN!$A$1:$E$142</definedName>
    <definedName name="_xlnm.Print_Area" localSheetId="4">'SITUACION 6B'!$C$2:$I$18</definedName>
  </definedNames>
  <calcPr calcId="181029"/>
</workbook>
</file>

<file path=xl/calcChain.xml><?xml version="1.0" encoding="utf-8"?>
<calcChain xmlns="http://schemas.openxmlformats.org/spreadsheetml/2006/main">
  <c r="K13" i="8" l="1"/>
  <c r="C13" i="8"/>
  <c r="K9" i="8"/>
  <c r="K5" i="8"/>
  <c r="M13" i="7" l="1"/>
  <c r="J13" i="7"/>
  <c r="C13" i="7"/>
  <c r="H13" i="7" s="1"/>
  <c r="J9" i="7"/>
  <c r="H9" i="7"/>
  <c r="F5" i="7"/>
  <c r="J5" i="7" s="1"/>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<sst xmlns="http://schemas.openxmlformats.org/spreadsheetml/2006/main" count="319" uniqueCount="281">
  <si>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</si>
  <si>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</si>
  <si>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</si>
  <si>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</si>
  <si>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</si>
  <si>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</si>
  <si>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</si>
  <si>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</si>
  <si>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</si>
  <si>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</si>
  <si>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</si>
  <si>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</si>
  <si>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</si>
  <si>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</si>
  <si>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</si>
  <si>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</si>
  <si>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</si>
  <si>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</si>
  <si>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</si>
  <si>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</si>
  <si>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</si>
  <si>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</si>
  <si>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</si>
  <si>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</si>
  <si>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</si>
  <si>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</si>
  <si>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</si>
  <si>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</si>
  <si>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</si>
  <si>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</si>
  <si>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</si>
  <si>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</si>
  <si>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</si>
  <si>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</si>
  <si>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</si>
  <si>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</si>
  <si>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</si>
  <si>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</si>
  <si>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</si>
  <si>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</si>
  <si>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</si>
  <si>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</si>
  <si>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</si>
  <si>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</si>
  <si>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</si>
  <si>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</si>
  <si>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</si>
  <si>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</si>
  <si>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</si>
  <si>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</si>
  <si>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</si>
  <si>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</si>
  <si>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</si>
  <si>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</si>
  <si>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</si>
  <si>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</si>
  <si>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</si>
  <si>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</si>
  <si>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</si>
  <si>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</si>
  <si>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</si>
  <si>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</si>
  <si>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</si>
  <si>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</si>
  <si>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</si>
  <si>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</si>
  <si>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</si>
  <si>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</si>
  <si>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</si>
  <si>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</si>
  <si>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</si>
  <si>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</si>
  <si>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</si>
  <si>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</si>
  <si>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</si>
  <si>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</si>
  <si>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</si>
  <si>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</si>
  <si>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</si>
  <si>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</si>
  <si>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</si>
  <si>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</si>
  <si>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</si>
  <si>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</si>
  <si>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</si>
  <si>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</si>
  <si>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</si>
  <si>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</si>
  <si>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</si>
  <si>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</si>
  <si>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</si>
  <si>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</si>
  <si>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</si>
  <si>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</si>
  <si>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</si>
  <si>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</si>
  <si>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</si>
  <si>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</si>
  <si>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</si>
  <si>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</si>
  <si>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</si>
  <si>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</si>
  <si>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</si>
  <si>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</si>
  <si>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</si>
  <si>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</si>
  <si>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</si>
  <si>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</si>
  <si>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</si>
  <si>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</si>
  <si>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</si>
  <si>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</si>
  <si>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</si>
  <si>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</si>
  <si>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</si>
  <si>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</si>
  <si>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</si>
  <si>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</si>
  <si>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</si>
  <si>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</si>
  <si>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</si>
  <si>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</si>
  <si>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</si>
  <si>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</si>
  <si>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</si>
  <si>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</si>
  <si>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</si>
  <si>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</si>
  <si>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</si>
  <si>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</si>
  <si>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</si>
  <si>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</si>
  <si>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</si>
  <si>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</si>
  <si>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</si>
  <si>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</si>
  <si>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</si>
  <si>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</si>
  <si>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</si>
  <si>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</si>
  <si>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</si>
  <si>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</si>
  <si>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</si>
  <si>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</si>
  <si>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</si>
  <si>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</si>
  <si>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</si>
  <si>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</si>
  <si>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</si>
  <si>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</si>
  <si>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</si>
  <si>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</si>
  <si>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</si>
  <si>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</si>
  <si>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</si>
  <si>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</si>
  <si>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</si>
  <si>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</si>
  <si>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</si>
  <si>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</si>
  <si>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</si>
  <si>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</si>
  <si>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</si>
  <si>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</si>
  <si>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</si>
  <si>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</si>
  <si>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</si>
  <si>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</si>
  <si>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</si>
  <si>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</si>
  <si>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</si>
  <si>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</si>
  <si>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</si>
  <si>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</si>
  <si>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</si>
  <si>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</si>
  <si>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</si>
  <si>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</si>
  <si>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</si>
  <si>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</si>
  <si>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</si>
  <si>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</si>
  <si>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</si>
  <si>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</si>
  <si>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</si>
  <si>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</si>
  <si>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</si>
  <si>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</si>
  <si>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</si>
  <si>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</si>
  <si>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</si>
  <si>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</si>
  <si>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</si>
  <si>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</si>
  <si>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</si>
  <si>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</si>
  <si>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</si>
  <si>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</si>
  <si>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</si>
  <si>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</si>
  <si>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</si>
  <si>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</si>
  <si>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</si>
  <si>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</si>
  <si>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</si>
  <si>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</si>
  <si>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</si>
  <si>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</si>
  <si>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</si>
  <si>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</si>
  <si>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</si>
  <si>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</si>
  <si>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</si>
  <si>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</si>
  <si>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</si>
  <si>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</si>
  <si>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</si>
  <si>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</si>
  <si>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</si>
  <si>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</si>
  <si>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</si>
  <si>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</si>
  <si>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</si>
  <si>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</si>
  <si>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</si>
  <si>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</si>
  <si>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</si>
  <si>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</si>
  <si>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</si>
  <si>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</si>
  <si>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</si>
  <si>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</si>
  <si>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</si>
  <si>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</si>
  <si>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</si>
  <si>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</si>
  <si>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</si>
  <si>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</si>
  <si>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</si>
  <si>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</si>
  <si>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</si>
  <si>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</si>
  <si>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</si>
  <si>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</si>
  <si>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</si>
  <si>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</si>
  <si>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</si>
  <si>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</si>
  <si>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</si>
  <si>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</si>
  <si>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</si>
  <si>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</si>
  <si>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</si>
  <si>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</si>
  <si>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</si>
  <si>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</si>
  <si>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</si>
  <si>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</si>
  <si>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</si>
  <si>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</si>
  <si>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</si>
  <si>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</si>
  <si>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</si>
  <si>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</si>
  <si>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</si>
  <si>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</si>
  <si>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</si>
  <si>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</si>
  <si>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Saldo inicio Diciembre</t>
  </si>
  <si>
    <t>Deuda</t>
  </si>
  <si>
    <t>Diciembre del año 2025</t>
  </si>
  <si>
    <t>Punitorios</t>
  </si>
  <si>
    <t>Expensas ordinarias (Gastos A)</t>
  </si>
  <si>
    <t>Expensas extraordinarias (gastos B)</t>
  </si>
  <si>
    <t>Total a abonar en Enero:</t>
  </si>
  <si>
    <t>Enero del año 2026</t>
  </si>
  <si>
    <t>Febrero del año 2026</t>
  </si>
  <si>
    <t>SITUACION 6B</t>
  </si>
  <si>
    <t>Total a abonar en Febrero:</t>
  </si>
  <si>
    <t xml:space="preserve">Total a abonar en Marzo: </t>
  </si>
  <si>
    <t>*Aclaracion importante: la administracion nueva toma posesion de la liquidacion de expensas a partir de Diciembre del 2025. El monto pasado en dicho mes como Saldo de inicio ($598.682,42) parte de la informacion (de la ultima liquidacion) de la administracion antigua. Los intereses mensuales son del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</si>
</sst>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87">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17" fontId="0" fillId="0" borderId="0" xfId="0" applyNumberFormat="1"/>
    <xf numFmtId="0" fontId="0" fillId="0" borderId="9" xfId="0" applyBorder="1" applyAlignment="1">
      <alignment horizontal="left" vertical="center"/>
    </xf>
    <xf numFmtId="44" fontId="0" fillId="0" borderId="9" xfId="1" applyFont="1" applyBorder="1"/>
    <xf numFmtId="0" fontId="0" fillId="0" borderId="9" xfId="0" applyBorder="1" applyAlignment="1">
      <alignment horizontal="left" vertical="center" wrapText="1"/>
    </xf>
    <xf numFmtId="44" fontId="13" fillId="0" borderId="9" xfId="1" applyFont="1" applyBorder="1"/>
    <xf numFmtId="44" fontId="1" fillId="0" borderId="9" xfId="1" applyFont="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0" fillId="0" borderId="0" xfId="0" applyAlignment="1">
      <alignment horizontal="center"/>
    </xf>
    <xf numFmtId="44" fontId="0" fillId="0" borderId="0" xfId="1" applyFont="1" applyAlignment="1">
      <alignment horizontal="center"/>
    </xf>
    <xf numFmtId="0" fontId="0" fillId="0" borderId="0" xfId="0"/>
    <xf numFmtId="44" fontId="0" fillId="0" borderId="0" xfId="0" applyNumberFormat="1"/>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0" fontId="1" fillId="4" borderId="7" xfId="0" applyFont="1" applyFill="1" applyBorder="1" applyAlignment="1">
      <alignment horizontal="center"/>
    </xf>
    <xf numFmtId="0" fontId="1" fillId="4" borderId="8" xfId="0" applyFont="1" applyFill="1" applyBorder="1" applyAlignment="1">
      <alignment horizontal="center"/>
    </xf>
    <xf numFmtId="0" fontId="1" fillId="4" borderId="6" xfId="0" applyFont="1" applyFill="1" applyBorder="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12"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opLeftCell="A20" workbookViewId="0">
      <selection activeCell="A42" sqref="A42"/>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15" t="s">
        <v>153</v>
      </c>
      <c r="C1" s="215"/>
      <c r="D1" s="215"/>
      <c r="E1" s="216"/>
    </row>
    <row r="2" spans="1:5" x14ac:dyDescent="0.3">
      <c r="A2" s="3"/>
      <c r="B2" s="10" t="s">
        <v>156</v>
      </c>
      <c r="C2" s="4"/>
      <c r="D2" s="4"/>
      <c r="E2" s="5"/>
    </row>
    <row r="3" spans="1:5" ht="51.6" customHeight="1" thickBot="1" x14ac:dyDescent="0.35">
      <c r="A3" s="3"/>
      <c r="B3" s="219" t="s">
        <v>154</v>
      </c>
      <c r="C3" s="219"/>
      <c r="D3" s="219"/>
      <c r="E3" s="220"/>
    </row>
    <row r="4" spans="1:5" ht="15" thickBot="1" x14ac:dyDescent="0.35">
      <c r="A4" s="6" t="s">
        <v>103</v>
      </c>
      <c r="B4" s="7" t="s">
        <v>104</v>
      </c>
      <c r="C4" s="8"/>
      <c r="D4" s="8"/>
      <c r="E4" s="9"/>
    </row>
    <row r="5" spans="1:5" ht="15" thickBot="1" x14ac:dyDescent="0.35">
      <c r="A5" s="3" t="s">
        <v>155</v>
      </c>
      <c r="B5" s="8" t="s">
        <v>191</v>
      </c>
      <c r="C5" s="10"/>
      <c r="D5" s="4" t="s">
        <v>105</v>
      </c>
      <c r="E5" s="11"/>
    </row>
    <row r="6" spans="1:5" ht="16.2" customHeight="1" thickBot="1" x14ac:dyDescent="0.35">
      <c r="A6" s="107" t="s">
        <v>142</v>
      </c>
      <c r="B6" s="8"/>
      <c r="C6" s="8"/>
      <c r="D6" s="8" t="s">
        <v>245</v>
      </c>
      <c r="E6" s="9"/>
    </row>
    <row r="8" spans="1:5" x14ac:dyDescent="0.3">
      <c r="B8" s="221" t="s">
        <v>183</v>
      </c>
      <c r="C8" s="221"/>
    </row>
    <row r="9" spans="1:5" x14ac:dyDescent="0.3">
      <c r="B9" s="221"/>
      <c r="C9" s="221"/>
    </row>
    <row r="10" spans="1:5" x14ac:dyDescent="0.3">
      <c r="B10" s="221"/>
      <c r="C10" s="221"/>
    </row>
    <row r="12" spans="1:5" hidden="1" x14ac:dyDescent="0.3"/>
    <row r="13" spans="1:5" ht="15" customHeight="1" x14ac:dyDescent="0.3">
      <c r="A13" s="222" t="s">
        <v>106</v>
      </c>
      <c r="B13" s="222"/>
      <c r="C13" s="222"/>
      <c r="D13" s="222"/>
      <c r="E13" s="222"/>
    </row>
    <row r="14" spans="1:5" ht="15" customHeight="1" x14ac:dyDescent="0.3">
      <c r="A14" s="222"/>
      <c r="B14" s="222"/>
      <c r="C14" s="222"/>
      <c r="D14" s="222"/>
      <c r="E14" s="222"/>
    </row>
    <row r="15" spans="1:5" ht="15" customHeight="1" x14ac:dyDescent="0.3">
      <c r="A15" s="222"/>
      <c r="B15" s="222"/>
      <c r="C15" s="222"/>
      <c r="D15" s="222"/>
      <c r="E15" s="222"/>
    </row>
    <row r="16" spans="1:5" ht="53.25" customHeight="1" x14ac:dyDescent="0.3">
      <c r="A16" s="222"/>
      <c r="B16" s="222"/>
      <c r="C16" s="222"/>
      <c r="D16" s="222"/>
      <c r="E16" s="222"/>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54"/>
      <c r="E21" s="19"/>
    </row>
    <row r="22" spans="1:8" ht="15" customHeight="1" x14ac:dyDescent="0.3">
      <c r="A22" s="217" t="s">
        <v>175</v>
      </c>
      <c r="B22" s="218"/>
      <c r="C22" s="22"/>
      <c r="D22" s="167">
        <v>1931623</v>
      </c>
      <c r="E22" s="47"/>
      <c r="H22" s="23"/>
    </row>
    <row r="23" spans="1:8" ht="15" customHeight="1" x14ac:dyDescent="0.3">
      <c r="A23" s="217" t="s">
        <v>176</v>
      </c>
      <c r="B23" s="218"/>
      <c r="C23" s="22"/>
      <c r="D23" s="167">
        <v>-420128</v>
      </c>
      <c r="E23" s="24"/>
      <c r="H23" s="23"/>
    </row>
    <row r="24" spans="1:8" ht="13.5" customHeight="1" x14ac:dyDescent="0.3">
      <c r="A24" s="217" t="s">
        <v>1</v>
      </c>
      <c r="B24" s="218"/>
      <c r="C24" s="22"/>
      <c r="D24" s="168">
        <v>0</v>
      </c>
      <c r="E24" s="24"/>
      <c r="H24" s="23"/>
    </row>
    <row r="25" spans="1:8" x14ac:dyDescent="0.3">
      <c r="A25" s="25" t="s">
        <v>108</v>
      </c>
      <c r="B25" s="25"/>
      <c r="C25" s="25"/>
      <c r="D25" s="26"/>
      <c r="E25" s="27">
        <f>SUM(D22:D24)</f>
        <v>1511495</v>
      </c>
    </row>
    <row r="26" spans="1:8" x14ac:dyDescent="0.3">
      <c r="A26" s="25" t="s">
        <v>201</v>
      </c>
      <c r="B26" s="25"/>
      <c r="C26" s="25"/>
      <c r="D26" s="26"/>
      <c r="E26" s="108"/>
    </row>
    <row r="27" spans="1:8" x14ac:dyDescent="0.3">
      <c r="A27" s="22" t="s">
        <v>202</v>
      </c>
      <c r="B27" s="22"/>
      <c r="C27" s="22"/>
      <c r="D27" s="45">
        <v>148000</v>
      </c>
      <c r="E27" s="110"/>
    </row>
    <row r="28" spans="1:8" x14ac:dyDescent="0.3">
      <c r="A28" s="22" t="s">
        <v>256</v>
      </c>
      <c r="B28" s="22"/>
      <c r="C28" s="22"/>
      <c r="D28" s="45">
        <v>5842.51</v>
      </c>
      <c r="E28" s="118" t="s">
        <v>172</v>
      </c>
    </row>
    <row r="29" spans="1:8" x14ac:dyDescent="0.3">
      <c r="A29" s="25" t="s">
        <v>108</v>
      </c>
      <c r="B29" s="34"/>
      <c r="C29" s="34"/>
      <c r="D29" s="138"/>
      <c r="E29" s="29">
        <f>D27+D28</f>
        <v>153842.51</v>
      </c>
    </row>
    <row r="30" spans="1:8" x14ac:dyDescent="0.3">
      <c r="A30" s="17" t="s">
        <v>144</v>
      </c>
      <c r="B30" s="25"/>
      <c r="C30" s="25"/>
      <c r="D30" s="26"/>
      <c r="E30" s="108"/>
    </row>
    <row r="31" spans="1:8" x14ac:dyDescent="0.3">
      <c r="A31" s="22" t="s">
        <v>214</v>
      </c>
      <c r="B31" s="109"/>
      <c r="C31" s="109"/>
      <c r="D31" s="45">
        <v>13757.84</v>
      </c>
      <c r="E31" s="118" t="s">
        <v>213</v>
      </c>
    </row>
    <row r="32" spans="1:8" x14ac:dyDescent="0.3">
      <c r="A32" s="22" t="s">
        <v>160</v>
      </c>
      <c r="B32" s="109"/>
      <c r="C32" s="109"/>
      <c r="D32" s="45">
        <v>1235711.01</v>
      </c>
      <c r="E32" s="118" t="s">
        <v>200</v>
      </c>
    </row>
    <row r="33" spans="1:5" x14ac:dyDescent="0.3">
      <c r="A33" s="22" t="s">
        <v>146</v>
      </c>
      <c r="B33" s="109"/>
      <c r="C33" s="109"/>
      <c r="D33" s="45">
        <v>225490.24</v>
      </c>
      <c r="E33" s="118" t="s">
        <v>198</v>
      </c>
    </row>
    <row r="34" spans="1:5" x14ac:dyDescent="0.3">
      <c r="A34" s="22" t="s">
        <v>148</v>
      </c>
      <c r="B34" s="109"/>
      <c r="C34" s="109"/>
      <c r="D34" s="45">
        <v>98200.71</v>
      </c>
      <c r="E34" s="118" t="str">
        <f>E33</f>
        <v>Debito 16/02</v>
      </c>
    </row>
    <row r="35" spans="1:5" x14ac:dyDescent="0.3">
      <c r="A35" s="22" t="s">
        <v>147</v>
      </c>
      <c r="B35" s="109"/>
      <c r="C35" s="109"/>
      <c r="D35" s="45">
        <v>10911.19</v>
      </c>
      <c r="E35" s="118" t="str">
        <f>E33</f>
        <v>Debito 16/02</v>
      </c>
    </row>
    <row r="36" spans="1:5" x14ac:dyDescent="0.3">
      <c r="A36" s="22" t="s">
        <v>161</v>
      </c>
      <c r="B36" s="109"/>
      <c r="C36" s="109"/>
      <c r="D36" s="45"/>
      <c r="E36" s="118"/>
    </row>
    <row r="37" spans="1:5" ht="12.75" customHeight="1" x14ac:dyDescent="0.3">
      <c r="A37" s="25" t="s">
        <v>145</v>
      </c>
      <c r="B37" s="25"/>
      <c r="C37" s="25"/>
      <c r="D37" s="26"/>
      <c r="E37" s="33">
        <f>SUM(D31:D36)</f>
        <v>1584070.99</v>
      </c>
    </row>
    <row r="38" spans="1:5" x14ac:dyDescent="0.3">
      <c r="A38" s="17" t="s">
        <v>109</v>
      </c>
      <c r="B38" s="25"/>
      <c r="C38" s="25"/>
      <c r="D38" s="28"/>
      <c r="E38" s="29"/>
    </row>
    <row r="39" spans="1:5" ht="26.25" customHeight="1" x14ac:dyDescent="0.3">
      <c r="A39" s="213" t="s">
        <v>149</v>
      </c>
      <c r="B39" s="214"/>
      <c r="C39" s="32"/>
      <c r="D39" s="169">
        <v>313739</v>
      </c>
      <c r="E39" s="24" t="s">
        <v>215</v>
      </c>
    </row>
    <row r="40" spans="1:5" ht="26.25" customHeight="1" x14ac:dyDescent="0.3">
      <c r="A40" s="213" t="s">
        <v>253</v>
      </c>
      <c r="B40" s="214"/>
      <c r="C40" s="32"/>
      <c r="D40" s="170">
        <v>214164</v>
      </c>
      <c r="E40" s="24" t="s">
        <v>252</v>
      </c>
    </row>
    <row r="41" spans="1:5" ht="27" customHeight="1" x14ac:dyDescent="0.3">
      <c r="A41" s="213" t="s">
        <v>150</v>
      </c>
      <c r="B41" s="214"/>
      <c r="C41" s="32"/>
      <c r="D41" s="170">
        <v>5204</v>
      </c>
      <c r="E41" s="24" t="s">
        <v>215</v>
      </c>
    </row>
    <row r="42" spans="1:5" x14ac:dyDescent="0.3">
      <c r="A42" s="25" t="s">
        <v>110</v>
      </c>
      <c r="B42" s="25"/>
      <c r="C42" s="25"/>
      <c r="D42" s="26"/>
      <c r="E42" s="33">
        <f>SUM(D39:D41)</f>
        <v>533107</v>
      </c>
    </row>
    <row r="43" spans="1:5" x14ac:dyDescent="0.3">
      <c r="A43" s="17" t="s">
        <v>111</v>
      </c>
      <c r="B43" s="34"/>
      <c r="C43" s="34"/>
      <c r="D43" s="35"/>
      <c r="E43" s="36"/>
    </row>
    <row r="44" spans="1:5" ht="14.25" customHeight="1" x14ac:dyDescent="0.3">
      <c r="A44" s="37" t="s">
        <v>112</v>
      </c>
      <c r="B44" s="37" t="s">
        <v>217</v>
      </c>
      <c r="C44" s="37"/>
      <c r="D44" s="38">
        <v>542686.9</v>
      </c>
      <c r="E44" s="24" t="s">
        <v>219</v>
      </c>
    </row>
    <row r="45" spans="1:5" ht="14.25" customHeight="1" x14ac:dyDescent="0.3">
      <c r="A45" s="37" t="s">
        <v>112</v>
      </c>
      <c r="B45" s="37" t="s">
        <v>220</v>
      </c>
      <c r="C45" s="37"/>
      <c r="D45" s="38">
        <v>0</v>
      </c>
      <c r="E45" s="24"/>
    </row>
    <row r="46" spans="1:5" ht="14.25" customHeight="1" x14ac:dyDescent="0.3">
      <c r="A46" s="37" t="s">
        <v>112</v>
      </c>
      <c r="B46" s="37" t="s">
        <v>218</v>
      </c>
      <c r="C46" s="37"/>
      <c r="D46" s="38">
        <v>0</v>
      </c>
      <c r="E46" s="24"/>
    </row>
    <row r="47" spans="1:5" x14ac:dyDescent="0.3">
      <c r="A47" s="37" t="s">
        <v>113</v>
      </c>
      <c r="B47" s="39"/>
      <c r="C47" s="37"/>
      <c r="D47" s="38">
        <v>10111.620000000001</v>
      </c>
      <c r="E47" s="24" t="s">
        <v>216</v>
      </c>
    </row>
    <row r="48" spans="1:5" x14ac:dyDescent="0.3">
      <c r="A48" s="213" t="s">
        <v>114</v>
      </c>
      <c r="B48" s="214"/>
      <c r="C48" s="37"/>
      <c r="D48" s="38">
        <v>4813938.26</v>
      </c>
      <c r="E48" s="155" t="s">
        <v>194</v>
      </c>
    </row>
    <row r="49" spans="1:6" x14ac:dyDescent="0.3">
      <c r="A49" s="40" t="s">
        <v>115</v>
      </c>
      <c r="B49" s="31"/>
      <c r="C49" s="37"/>
      <c r="D49" s="38"/>
      <c r="E49" s="24"/>
    </row>
    <row r="50" spans="1:6" ht="15" thickBot="1" x14ac:dyDescent="0.35">
      <c r="A50" s="25" t="s">
        <v>116</v>
      </c>
      <c r="B50" s="25"/>
      <c r="C50" s="25"/>
      <c r="D50" s="41"/>
      <c r="E50" s="42">
        <f>SUM(D44:D49)</f>
        <v>5366736.7799999993</v>
      </c>
    </row>
    <row r="51" spans="1:6" ht="15" customHeight="1" thickBot="1" x14ac:dyDescent="0.35">
      <c r="A51" s="17"/>
      <c r="B51" s="25"/>
      <c r="C51" s="25"/>
      <c r="D51" s="26"/>
      <c r="E51" s="43"/>
    </row>
    <row r="52" spans="1:6" ht="21.9" customHeight="1" x14ac:dyDescent="0.3">
      <c r="A52" s="217" t="s">
        <v>178</v>
      </c>
      <c r="B52" s="218"/>
      <c r="C52" s="37"/>
      <c r="D52" s="38">
        <v>225000</v>
      </c>
      <c r="E52" s="44" t="s">
        <v>195</v>
      </c>
    </row>
    <row r="53" spans="1:6" ht="41.4" customHeight="1" x14ac:dyDescent="0.3">
      <c r="A53" s="217" t="s">
        <v>190</v>
      </c>
      <c r="B53" s="218"/>
      <c r="C53" s="37"/>
      <c r="D53" s="38">
        <v>500000</v>
      </c>
      <c r="E53" s="44" t="s">
        <v>195</v>
      </c>
    </row>
    <row r="54" spans="1:6" ht="129" customHeight="1" x14ac:dyDescent="0.3">
      <c r="A54" s="217" t="s">
        <v>193</v>
      </c>
      <c r="B54" s="218"/>
      <c r="C54" s="37"/>
      <c r="D54" s="38">
        <v>1520000</v>
      </c>
      <c r="E54" s="151" t="s">
        <v>196</v>
      </c>
    </row>
    <row r="55" spans="1:6" ht="34.5" customHeight="1" x14ac:dyDescent="0.3">
      <c r="A55" s="217" t="s">
        <v>222</v>
      </c>
      <c r="B55" s="218"/>
      <c r="C55" s="37"/>
      <c r="D55" s="38">
        <f>272252*2</f>
        <v>544504</v>
      </c>
      <c r="E55" s="151" t="s">
        <v>251</v>
      </c>
    </row>
    <row r="56" spans="1:6" ht="21.9" customHeight="1" x14ac:dyDescent="0.3">
      <c r="A56" s="217" t="s">
        <v>208</v>
      </c>
      <c r="B56" s="218"/>
      <c r="C56" s="37"/>
      <c r="D56" s="38">
        <v>85000</v>
      </c>
      <c r="E56" s="44" t="s">
        <v>207</v>
      </c>
      <c r="F56" s="63"/>
    </row>
    <row r="57" spans="1:6" ht="21.9" customHeight="1" x14ac:dyDescent="0.3">
      <c r="A57" s="217" t="s">
        <v>227</v>
      </c>
      <c r="B57" s="218"/>
      <c r="C57" s="37"/>
      <c r="D57" s="38">
        <v>120000</v>
      </c>
      <c r="E57" s="44" t="s">
        <v>211</v>
      </c>
      <c r="F57" s="63"/>
    </row>
    <row r="58" spans="1:6" ht="21.9" customHeight="1" x14ac:dyDescent="0.3">
      <c r="A58" s="20" t="s">
        <v>210</v>
      </c>
      <c r="B58" s="21"/>
      <c r="C58" s="37"/>
      <c r="D58" s="38">
        <v>35000</v>
      </c>
      <c r="E58" s="44" t="s">
        <v>207</v>
      </c>
      <c r="F58" s="63"/>
    </row>
    <row r="59" spans="1:6" ht="30" customHeight="1" x14ac:dyDescent="0.3">
      <c r="A59" s="217" t="s">
        <v>209</v>
      </c>
      <c r="B59" s="218"/>
      <c r="C59" s="37"/>
      <c r="D59" s="38">
        <v>6000</v>
      </c>
      <c r="E59" s="44" t="s">
        <v>207</v>
      </c>
      <c r="F59" s="63"/>
    </row>
    <row r="60" spans="1:6" ht="85.95" customHeight="1" x14ac:dyDescent="0.3">
      <c r="A60" s="217" t="s">
        <v>250</v>
      </c>
      <c r="B60" s="218"/>
      <c r="C60" s="37"/>
      <c r="D60" s="38">
        <v>7000000</v>
      </c>
      <c r="E60" s="47" t="s">
        <v>212</v>
      </c>
      <c r="F60" s="63"/>
    </row>
    <row r="61" spans="1:6" ht="30" customHeight="1" x14ac:dyDescent="0.3">
      <c r="A61" s="20" t="s">
        <v>203</v>
      </c>
      <c r="B61" s="21"/>
      <c r="C61" s="37"/>
      <c r="D61" s="38">
        <v>28000</v>
      </c>
      <c r="E61" s="44" t="s">
        <v>172</v>
      </c>
      <c r="F61" s="63"/>
    </row>
    <row r="62" spans="1:6" ht="21.9" customHeight="1" x14ac:dyDescent="0.3">
      <c r="A62" s="123" t="s">
        <v>179</v>
      </c>
      <c r="B62" s="21"/>
      <c r="C62" s="37"/>
      <c r="D62" s="38">
        <v>150800</v>
      </c>
      <c r="E62" s="44" t="s">
        <v>207</v>
      </c>
      <c r="F62" s="63"/>
    </row>
    <row r="63" spans="1:6" ht="21.9" customHeight="1" x14ac:dyDescent="0.3">
      <c r="A63" s="156" t="s">
        <v>188</v>
      </c>
      <c r="B63" s="157"/>
      <c r="C63" s="37"/>
      <c r="D63" s="38">
        <v>910000</v>
      </c>
      <c r="E63" s="47" t="s">
        <v>204</v>
      </c>
      <c r="F63" s="63"/>
    </row>
    <row r="64" spans="1:6" ht="41.25" customHeight="1" x14ac:dyDescent="0.3">
      <c r="A64" s="217" t="s">
        <v>206</v>
      </c>
      <c r="B64" s="218"/>
      <c r="C64" s="37"/>
      <c r="D64" s="38">
        <v>250000</v>
      </c>
      <c r="E64" s="47" t="s">
        <v>205</v>
      </c>
      <c r="F64" s="63"/>
    </row>
    <row r="65" spans="1:6" ht="21.9" customHeight="1" x14ac:dyDescent="0.3">
      <c r="A65" s="123" t="s">
        <v>186</v>
      </c>
      <c r="B65" s="21"/>
      <c r="C65" s="37"/>
      <c r="D65" s="38">
        <v>133300</v>
      </c>
      <c r="E65" s="47" t="s">
        <v>185</v>
      </c>
      <c r="F65" s="63"/>
    </row>
    <row r="66" spans="1:6" ht="21.9" customHeight="1" x14ac:dyDescent="0.3">
      <c r="A66" s="217" t="s">
        <v>199</v>
      </c>
      <c r="B66" s="218"/>
      <c r="C66" s="37"/>
      <c r="D66" s="38">
        <v>105602.65</v>
      </c>
      <c r="E66" s="47" t="s">
        <v>189</v>
      </c>
      <c r="F66" s="63"/>
    </row>
    <row r="67" spans="1:6" ht="29.25" customHeight="1" x14ac:dyDescent="0.3">
      <c r="A67" s="217" t="s">
        <v>184</v>
      </c>
      <c r="B67" s="218"/>
      <c r="C67" s="37"/>
      <c r="D67" s="38">
        <v>2022800</v>
      </c>
      <c r="E67" s="47" t="s">
        <v>185</v>
      </c>
    </row>
    <row r="68" spans="1:6" x14ac:dyDescent="0.3">
      <c r="A68" s="25" t="s">
        <v>0</v>
      </c>
      <c r="B68" s="17"/>
      <c r="C68" s="17"/>
      <c r="D68" s="46"/>
      <c r="E68" s="33">
        <f>SUM(D52:D67)</f>
        <v>13636006.65</v>
      </c>
    </row>
    <row r="69" spans="1:6" x14ac:dyDescent="0.3">
      <c r="A69" s="17" t="s">
        <v>117</v>
      </c>
      <c r="B69" s="17"/>
      <c r="C69" s="17"/>
      <c r="D69" s="18"/>
      <c r="E69" s="19"/>
    </row>
    <row r="70" spans="1:6" ht="15.75" customHeight="1" x14ac:dyDescent="0.3">
      <c r="A70" s="217" t="s">
        <v>192</v>
      </c>
      <c r="B70" s="218"/>
      <c r="C70" s="22"/>
      <c r="D70" s="171">
        <v>650000</v>
      </c>
      <c r="E70" s="47"/>
    </row>
    <row r="71" spans="1:6" ht="15.75" customHeight="1" x14ac:dyDescent="0.3">
      <c r="A71" s="20" t="s">
        <v>177</v>
      </c>
      <c r="B71" s="21"/>
      <c r="C71" s="22"/>
      <c r="D71" s="172">
        <v>125000</v>
      </c>
      <c r="E71" s="47" t="s">
        <v>187</v>
      </c>
    </row>
    <row r="72" spans="1:6" ht="15.75" customHeight="1" x14ac:dyDescent="0.3">
      <c r="A72" s="217" t="s">
        <v>221</v>
      </c>
      <c r="B72" s="218"/>
      <c r="C72" s="22"/>
      <c r="D72" s="172">
        <v>62500</v>
      </c>
      <c r="E72" s="47" t="s">
        <v>187</v>
      </c>
    </row>
    <row r="73" spans="1:6" ht="15.75" customHeight="1" x14ac:dyDescent="0.3">
      <c r="A73" s="123" t="s">
        <v>249</v>
      </c>
      <c r="B73" s="21"/>
      <c r="C73" s="22"/>
      <c r="D73" s="172">
        <v>45000</v>
      </c>
      <c r="E73" s="47" t="s">
        <v>197</v>
      </c>
    </row>
    <row r="74" spans="1:6" x14ac:dyDescent="0.3">
      <c r="A74" s="25" t="s">
        <v>108</v>
      </c>
      <c r="B74" s="25"/>
      <c r="C74" s="25"/>
      <c r="D74" s="26"/>
      <c r="E74" s="27">
        <f>SUM(D70:D73)</f>
        <v>882500</v>
      </c>
    </row>
    <row r="75" spans="1:6" x14ac:dyDescent="0.3">
      <c r="A75" s="17" t="s">
        <v>118</v>
      </c>
      <c r="B75" s="48"/>
      <c r="C75" s="25"/>
      <c r="D75" s="49"/>
      <c r="E75" s="33"/>
    </row>
    <row r="76" spans="1:6" x14ac:dyDescent="0.3">
      <c r="A76" s="37" t="s">
        <v>157</v>
      </c>
      <c r="B76" s="37"/>
      <c r="C76" s="37"/>
      <c r="D76" s="38">
        <v>18681.400000000001</v>
      </c>
      <c r="E76" s="50"/>
    </row>
    <row r="77" spans="1:6" x14ac:dyDescent="0.3">
      <c r="A77" s="37" t="s">
        <v>248</v>
      </c>
      <c r="B77" s="37"/>
      <c r="C77" s="37"/>
      <c r="D77" s="38">
        <f>29633.91-18681.4+50000</f>
        <v>60952.509999999995</v>
      </c>
      <c r="E77" s="51"/>
    </row>
    <row r="78" spans="1:6" x14ac:dyDescent="0.3">
      <c r="A78" s="37" t="s">
        <v>158</v>
      </c>
      <c r="B78" s="112"/>
      <c r="C78" s="112"/>
      <c r="D78" s="173">
        <v>45000</v>
      </c>
      <c r="E78" s="51"/>
    </row>
    <row r="79" spans="1:6" x14ac:dyDescent="0.3">
      <c r="A79" s="37" t="s">
        <v>159</v>
      </c>
      <c r="B79" s="112"/>
      <c r="C79" s="112"/>
      <c r="D79" s="173">
        <f>9386+1200+193960.95+3629+1284.98</f>
        <v>209460.93000000002</v>
      </c>
      <c r="E79" s="51"/>
    </row>
    <row r="80" spans="1:6" x14ac:dyDescent="0.3">
      <c r="A80" s="52" t="s">
        <v>108</v>
      </c>
      <c r="B80" s="52"/>
      <c r="C80" s="52"/>
      <c r="D80" s="53"/>
      <c r="E80" s="54">
        <f>SUM(D76:D79)</f>
        <v>334094.84000000003</v>
      </c>
    </row>
    <row r="81" spans="1:8" x14ac:dyDescent="0.3">
      <c r="A81" s="37"/>
      <c r="B81" s="37"/>
      <c r="C81" s="37"/>
      <c r="D81" s="55"/>
      <c r="E81" s="56"/>
    </row>
    <row r="82" spans="1:8" x14ac:dyDescent="0.3">
      <c r="A82" s="57" t="s">
        <v>119</v>
      </c>
      <c r="B82" s="57"/>
      <c r="C82" s="57"/>
      <c r="D82" s="58"/>
      <c r="E82" s="59"/>
    </row>
    <row r="83" spans="1:8" ht="15" thickBot="1" x14ac:dyDescent="0.35">
      <c r="A83" s="60"/>
      <c r="D83" s="61"/>
      <c r="E83" s="62"/>
      <c r="F83" s="63"/>
    </row>
    <row r="84" spans="1:8" ht="15" thickBot="1" x14ac:dyDescent="0.35">
      <c r="A84" s="64" t="s">
        <v>120</v>
      </c>
      <c r="B84" s="65"/>
      <c r="C84" s="66"/>
      <c r="D84" s="67"/>
      <c r="E84" s="68">
        <f>(SUM(E21:E82))</f>
        <v>24001853.77</v>
      </c>
      <c r="F84" s="69"/>
      <c r="G84" s="63"/>
    </row>
    <row r="85" spans="1:8" x14ac:dyDescent="0.3">
      <c r="D85" s="61"/>
      <c r="E85" s="61"/>
    </row>
    <row r="86" spans="1:8" ht="15" thickBot="1" x14ac:dyDescent="0.35">
      <c r="D86" s="61"/>
      <c r="E86" s="61"/>
      <c r="H86" s="70"/>
    </row>
    <row r="87" spans="1:8" x14ac:dyDescent="0.3">
      <c r="A87" s="12" t="s">
        <v>121</v>
      </c>
      <c r="B87" s="13"/>
      <c r="C87" s="14"/>
      <c r="D87" s="71"/>
      <c r="E87" s="72"/>
    </row>
    <row r="88" spans="1:8" ht="15" customHeight="1" x14ac:dyDescent="0.3">
      <c r="A88" s="30"/>
      <c r="B88" s="31"/>
      <c r="C88" s="37"/>
      <c r="D88" s="45"/>
      <c r="E88" s="73"/>
    </row>
    <row r="89" spans="1:8" ht="15" customHeight="1" x14ac:dyDescent="0.3">
      <c r="A89" s="217"/>
      <c r="B89" s="218"/>
      <c r="C89" s="37"/>
      <c r="D89" s="45"/>
      <c r="E89" s="73"/>
    </row>
    <row r="90" spans="1:8" ht="15.75" customHeight="1" x14ac:dyDescent="0.3">
      <c r="D90" s="55"/>
      <c r="E90" s="37"/>
    </row>
    <row r="91" spans="1:8" x14ac:dyDescent="0.3">
      <c r="A91" s="30"/>
      <c r="B91" s="74"/>
      <c r="C91" s="37"/>
      <c r="D91" s="45"/>
      <c r="E91" s="73"/>
    </row>
    <row r="92" spans="1:8" x14ac:dyDescent="0.3">
      <c r="A92" s="75" t="s">
        <v>152</v>
      </c>
      <c r="B92" s="76"/>
      <c r="C92" s="76"/>
      <c r="D92" s="153"/>
      <c r="E92" s="111">
        <f>SUM(D88:D91)</f>
        <v>0</v>
      </c>
    </row>
    <row r="93" spans="1:8" ht="15" customHeight="1" x14ac:dyDescent="0.3">
      <c r="D93" s="61"/>
    </row>
    <row r="94" spans="1:8" hidden="1" x14ac:dyDescent="0.3">
      <c r="D94" s="61"/>
    </row>
    <row r="95" spans="1:8" x14ac:dyDescent="0.3">
      <c r="A95" s="57" t="s">
        <v>122</v>
      </c>
      <c r="B95" s="57"/>
      <c r="C95" s="57"/>
      <c r="D95" s="58"/>
      <c r="E95" s="119"/>
    </row>
    <row r="96" spans="1:8" ht="15" thickBot="1" x14ac:dyDescent="0.35">
      <c r="D96" s="61"/>
    </row>
    <row r="97" spans="1:5" ht="15" thickBot="1" x14ac:dyDescent="0.35">
      <c r="A97" s="64" t="s">
        <v>123</v>
      </c>
      <c r="B97" s="65"/>
      <c r="C97" s="66"/>
      <c r="D97" s="66"/>
      <c r="E97" s="77">
        <f>E92+E95</f>
        <v>0</v>
      </c>
    </row>
    <row r="98" spans="1:5" ht="15" thickBot="1" x14ac:dyDescent="0.35"/>
    <row r="99" spans="1:5" ht="15" thickBot="1" x14ac:dyDescent="0.35">
      <c r="A99" s="78" t="s">
        <v>124</v>
      </c>
      <c r="B99" s="79">
        <f>E84</f>
        <v>24001853.77</v>
      </c>
    </row>
    <row r="100" spans="1:5" ht="15" thickBot="1" x14ac:dyDescent="0.35">
      <c r="A100" s="78" t="s">
        <v>125</v>
      </c>
      <c r="B100" s="79">
        <f>E84-E82</f>
        <v>24001853.77</v>
      </c>
    </row>
    <row r="101" spans="1:5" ht="15" thickBot="1" x14ac:dyDescent="0.35">
      <c r="A101" s="78" t="s">
        <v>126</v>
      </c>
      <c r="B101" s="79">
        <f>E97-E95</f>
        <v>0</v>
      </c>
    </row>
    <row r="102" spans="1:5" ht="15" thickBot="1" x14ac:dyDescent="0.35">
      <c r="A102" s="78" t="s">
        <v>127</v>
      </c>
      <c r="B102" s="79">
        <f>E97</f>
        <v>0</v>
      </c>
    </row>
    <row r="105" spans="1:5" ht="15" customHeight="1" x14ac:dyDescent="0.3">
      <c r="A105" s="225" t="s">
        <v>236</v>
      </c>
      <c r="B105" s="225"/>
    </row>
    <row r="106" spans="1:5" ht="15" customHeight="1" x14ac:dyDescent="0.3">
      <c r="A106" s="225"/>
      <c r="B106" s="225"/>
    </row>
    <row r="107" spans="1:5" ht="15" customHeight="1" x14ac:dyDescent="0.3">
      <c r="A107" s="225"/>
      <c r="B107" s="225"/>
    </row>
    <row r="109" spans="1:5" ht="15" customHeight="1" x14ac:dyDescent="0.3">
      <c r="A109" s="225" t="s">
        <v>239</v>
      </c>
      <c r="B109" s="225"/>
    </row>
    <row r="110" spans="1:5" ht="15" customHeight="1" x14ac:dyDescent="0.3">
      <c r="A110" s="225"/>
      <c r="B110" s="225"/>
    </row>
    <row r="111" spans="1:5" ht="15" customHeight="1" x14ac:dyDescent="0.3">
      <c r="A111" s="225"/>
      <c r="B111" s="225"/>
    </row>
    <row r="114" spans="1:6" x14ac:dyDescent="0.3">
      <c r="A114" s="224" t="s">
        <v>254</v>
      </c>
      <c r="B114" s="224"/>
    </row>
    <row r="115" spans="1:6" ht="31.5" customHeight="1" x14ac:dyDescent="0.3">
      <c r="A115" s="224"/>
      <c r="B115" s="224"/>
    </row>
    <row r="116" spans="1:6" s="82" customFormat="1" x14ac:dyDescent="0.3">
      <c r="A116"/>
      <c r="B116" s="80"/>
      <c r="C116" s="81"/>
    </row>
    <row r="117" spans="1:6" s="82" customFormat="1" ht="30.75" customHeight="1" x14ac:dyDescent="0.3">
      <c r="A117" s="122" t="s">
        <v>173</v>
      </c>
      <c r="B117" s="83">
        <v>10597369.743745035</v>
      </c>
      <c r="C117" s="81"/>
      <c r="D117" s="84"/>
      <c r="E117" s="84"/>
    </row>
    <row r="118" spans="1:6" x14ac:dyDescent="0.3">
      <c r="A118" s="32" t="s">
        <v>151</v>
      </c>
      <c r="B118" s="85">
        <f>-B100-B101</f>
        <v>-24001853.77</v>
      </c>
    </row>
    <row r="119" spans="1:6" x14ac:dyDescent="0.3">
      <c r="A119" s="32" t="s">
        <v>128</v>
      </c>
      <c r="B119" s="85">
        <f>B142</f>
        <v>195940.3</v>
      </c>
      <c r="F119" s="80"/>
    </row>
    <row r="120" spans="1:6" ht="69" customHeight="1" x14ac:dyDescent="0.3">
      <c r="A120" s="32" t="s">
        <v>223</v>
      </c>
      <c r="B120" s="140">
        <v>-239116.53</v>
      </c>
      <c r="F120" s="80"/>
    </row>
    <row r="121" spans="1:6" ht="35.25" customHeight="1" x14ac:dyDescent="0.3">
      <c r="A121" s="32" t="s">
        <v>224</v>
      </c>
      <c r="B121" s="141">
        <f>-119452</f>
        <v>-119452</v>
      </c>
      <c r="F121" s="80"/>
    </row>
    <row r="122" spans="1:6" ht="28.8" x14ac:dyDescent="0.3">
      <c r="A122" s="32" t="s">
        <v>230</v>
      </c>
      <c r="B122" s="141">
        <v>-123612</v>
      </c>
      <c r="F122" s="80"/>
    </row>
    <row r="123" spans="1:6" ht="28.8" x14ac:dyDescent="0.3">
      <c r="A123" s="32" t="s">
        <v>235</v>
      </c>
      <c r="B123" s="141">
        <v>-168836.39</v>
      </c>
      <c r="F123" s="80"/>
    </row>
    <row r="124" spans="1:6" x14ac:dyDescent="0.3">
      <c r="A124" s="32" t="s">
        <v>234</v>
      </c>
      <c r="B124" s="141">
        <v>-20871</v>
      </c>
      <c r="F124" s="80"/>
    </row>
    <row r="125" spans="1:6" x14ac:dyDescent="0.3">
      <c r="A125" s="32" t="s">
        <v>231</v>
      </c>
      <c r="B125" s="141">
        <v>-3820</v>
      </c>
      <c r="F125" s="80"/>
    </row>
    <row r="126" spans="1:6" ht="18" customHeight="1" x14ac:dyDescent="0.3">
      <c r="A126" s="32" t="s">
        <v>225</v>
      </c>
      <c r="B126" s="141">
        <v>-7274</v>
      </c>
      <c r="F126" s="80"/>
    </row>
    <row r="127" spans="1:6" ht="18" customHeight="1" x14ac:dyDescent="0.3">
      <c r="A127" s="32" t="s">
        <v>226</v>
      </c>
      <c r="B127" s="139">
        <v>-7528</v>
      </c>
      <c r="F127" s="80"/>
    </row>
    <row r="128" spans="1:6" ht="18" customHeight="1" x14ac:dyDescent="0.3">
      <c r="A128" s="32" t="s">
        <v>246</v>
      </c>
      <c r="B128" s="139">
        <v>-50000</v>
      </c>
      <c r="F128" s="80"/>
    </row>
    <row r="129" spans="1:13" x14ac:dyDescent="0.3">
      <c r="A129" s="32" t="s">
        <v>2</v>
      </c>
      <c r="B129" s="86">
        <f>PRORRATEO!F118</f>
        <v>14531886.810000001</v>
      </c>
      <c r="F129" s="80"/>
    </row>
    <row r="130" spans="1:13" x14ac:dyDescent="0.3">
      <c r="A130" s="32" t="s">
        <v>240</v>
      </c>
      <c r="B130" s="86">
        <v>300000</v>
      </c>
      <c r="F130" s="80"/>
    </row>
    <row r="131" spans="1:13" x14ac:dyDescent="0.3">
      <c r="A131" s="32" t="s">
        <v>241</v>
      </c>
      <c r="B131" s="86">
        <v>250000</v>
      </c>
      <c r="F131" s="80"/>
    </row>
    <row r="132" spans="1:13" x14ac:dyDescent="0.3">
      <c r="A132" s="32" t="s">
        <v>242</v>
      </c>
      <c r="B132" s="86">
        <v>200000.42</v>
      </c>
      <c r="F132" s="80"/>
    </row>
    <row r="133" spans="1:13" ht="28.8" x14ac:dyDescent="0.3">
      <c r="A133" s="32" t="s">
        <v>237</v>
      </c>
      <c r="B133" s="165">
        <v>-130000</v>
      </c>
      <c r="F133" s="80"/>
    </row>
    <row r="134" spans="1:13" ht="28.8" x14ac:dyDescent="0.3">
      <c r="A134" s="32" t="s">
        <v>243</v>
      </c>
      <c r="B134" s="165">
        <v>-130000</v>
      </c>
      <c r="F134" s="80"/>
    </row>
    <row r="135" spans="1:13" ht="34.5" customHeight="1" x14ac:dyDescent="0.3">
      <c r="A135" s="32" t="s">
        <v>238</v>
      </c>
      <c r="B135" s="165">
        <v>-130000</v>
      </c>
      <c r="F135" s="80"/>
    </row>
    <row r="136" spans="1:13" ht="28.8" x14ac:dyDescent="0.3">
      <c r="A136" s="87" t="s">
        <v>244</v>
      </c>
      <c r="B136" s="152">
        <v>123300</v>
      </c>
      <c r="F136" s="80"/>
    </row>
    <row r="137" spans="1:13" ht="15" thickBot="1" x14ac:dyDescent="0.35">
      <c r="A137" s="88" t="s">
        <v>174</v>
      </c>
      <c r="B137" s="89">
        <f>SUM(B117:C136)</f>
        <v>1066133.5837450363</v>
      </c>
      <c r="D137" s="80"/>
      <c r="E137" s="63"/>
      <c r="F137" s="63"/>
    </row>
    <row r="138" spans="1:13" ht="34.5" customHeight="1" x14ac:dyDescent="0.3"/>
    <row r="139" spans="1:13" x14ac:dyDescent="0.3">
      <c r="A139" s="223" t="s">
        <v>129</v>
      </c>
      <c r="B139" s="223"/>
      <c r="C139" s="223"/>
    </row>
    <row r="140" spans="1:13" x14ac:dyDescent="0.3">
      <c r="A140" s="223"/>
      <c r="B140" s="223"/>
      <c r="C140" s="223"/>
    </row>
    <row r="141" spans="1:13" ht="27" customHeight="1" x14ac:dyDescent="0.3">
      <c r="A141" s="90" t="s">
        <v>229</v>
      </c>
      <c r="B141" s="150">
        <v>195940.3</v>
      </c>
      <c r="C141" s="91"/>
      <c r="D141" s="69"/>
    </row>
    <row r="142" spans="1:13" x14ac:dyDescent="0.3">
      <c r="A142" s="92" t="s">
        <v>0</v>
      </c>
      <c r="B142" s="93">
        <f>SUM(B141:B141)</f>
        <v>195940.3</v>
      </c>
      <c r="C142" s="94"/>
    </row>
    <row r="143" spans="1:13" x14ac:dyDescent="0.3">
      <c r="M143" s="95"/>
    </row>
  </sheetData>
  <mergeCells count="29">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 ref="A39:B39"/>
    <mergeCell ref="B1:E1"/>
    <mergeCell ref="A24:B24"/>
    <mergeCell ref="A70:B70"/>
    <mergeCell ref="B3:E3"/>
    <mergeCell ref="B8:C10"/>
    <mergeCell ref="A13:E16"/>
    <mergeCell ref="A22:B22"/>
    <mergeCell ref="A23:B23"/>
    <mergeCell ref="A48:B48"/>
    <mergeCell ref="A64:B64"/>
    <mergeCell ref="A57:B57"/>
    <mergeCell ref="A40:B4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opLeftCell="A46" zoomScaleNormal="100" workbookViewId="0">
      <selection activeCell="H56" sqref="H56"/>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2.33203125" customWidth="1"/>
    <col min="12" max="12" width="14.6640625" customWidth="1"/>
    <col min="13" max="13" width="14.33203125" customWidth="1"/>
    <col min="14" max="14" width="7.33203125" bestFit="1" customWidth="1"/>
    <col min="15" max="15" width="12" bestFit="1" customWidth="1"/>
    <col min="16" max="16" width="13" bestFit="1" customWidth="1"/>
  </cols>
  <sheetData>
    <row r="1" spans="1:15" ht="12.9" customHeight="1" x14ac:dyDescent="0.3">
      <c r="A1" s="124"/>
      <c r="B1" s="125"/>
      <c r="C1" s="125"/>
      <c r="D1" s="234"/>
      <c r="E1" s="234"/>
      <c r="F1" s="234"/>
      <c r="G1" s="234"/>
      <c r="H1" s="234"/>
      <c r="I1" s="234"/>
      <c r="J1" s="234"/>
      <c r="K1" s="234"/>
      <c r="L1" s="234"/>
      <c r="M1" s="126"/>
    </row>
    <row r="2" spans="1:15" ht="12.9" customHeight="1" x14ac:dyDescent="0.3">
      <c r="A2" s="127"/>
      <c r="B2" s="128"/>
      <c r="C2" s="129"/>
      <c r="D2" s="129" t="s">
        <v>130</v>
      </c>
      <c r="E2" s="256">
        <v>3000000</v>
      </c>
      <c r="F2" s="256"/>
      <c r="G2" s="129"/>
      <c r="H2" s="129"/>
      <c r="I2" s="129" t="s">
        <v>131</v>
      </c>
      <c r="J2" s="130">
        <v>12074625</v>
      </c>
      <c r="K2" s="130"/>
      <c r="L2" s="131"/>
      <c r="M2" s="132"/>
      <c r="N2" s="96"/>
    </row>
    <row r="3" spans="1:15" ht="12.9" customHeight="1" thickBot="1" x14ac:dyDescent="0.35">
      <c r="A3" s="133"/>
      <c r="B3" s="134"/>
      <c r="C3" s="134"/>
      <c r="D3" s="134"/>
      <c r="E3" s="134"/>
      <c r="F3" s="135"/>
      <c r="G3" s="134"/>
      <c r="H3" s="134"/>
      <c r="I3" s="134"/>
      <c r="J3" s="134"/>
      <c r="K3" s="134"/>
      <c r="L3" s="136"/>
      <c r="M3" s="137"/>
      <c r="N3" s="96"/>
    </row>
    <row r="4" spans="1:15" ht="12.9" customHeight="1" x14ac:dyDescent="0.3">
      <c r="A4" s="235" t="s">
        <v>171</v>
      </c>
      <c r="B4" s="236"/>
      <c r="C4" s="236"/>
      <c r="D4" s="236"/>
      <c r="E4" s="236"/>
      <c r="F4" s="236"/>
      <c r="G4" s="236"/>
      <c r="H4" s="236"/>
      <c r="I4" s="236"/>
      <c r="J4" s="236"/>
      <c r="K4" s="236"/>
      <c r="L4" s="236"/>
      <c r="M4" s="237"/>
      <c r="N4" s="96"/>
    </row>
    <row r="5" spans="1:15" ht="12.9" customHeight="1" x14ac:dyDescent="0.3">
      <c r="A5" s="238"/>
      <c r="B5" s="239"/>
      <c r="C5" s="239"/>
      <c r="D5" s="239"/>
      <c r="E5" s="239"/>
      <c r="F5" s="239"/>
      <c r="G5" s="239"/>
      <c r="H5" s="239"/>
      <c r="I5" s="239"/>
      <c r="J5" s="239"/>
      <c r="K5" s="239"/>
      <c r="L5" s="239"/>
      <c r="M5" s="240"/>
      <c r="N5" s="96"/>
    </row>
    <row r="6" spans="1:15" ht="12.9" customHeight="1" x14ac:dyDescent="0.3">
      <c r="A6" s="238"/>
      <c r="B6" s="239"/>
      <c r="C6" s="239"/>
      <c r="D6" s="239"/>
      <c r="E6" s="239"/>
      <c r="F6" s="239"/>
      <c r="G6" s="239"/>
      <c r="H6" s="239"/>
      <c r="I6" s="239"/>
      <c r="J6" s="239"/>
      <c r="K6" s="239"/>
      <c r="L6" s="239"/>
      <c r="M6" s="240"/>
      <c r="N6" s="96"/>
    </row>
    <row r="7" spans="1:15" ht="12.9" customHeight="1" x14ac:dyDescent="0.3">
      <c r="A7" s="238"/>
      <c r="B7" s="239"/>
      <c r="C7" s="239"/>
      <c r="D7" s="239"/>
      <c r="E7" s="239"/>
      <c r="F7" s="239"/>
      <c r="G7" s="239"/>
      <c r="H7" s="239"/>
      <c r="I7" s="239"/>
      <c r="J7" s="239"/>
      <c r="K7" s="239"/>
      <c r="L7" s="239"/>
      <c r="M7" s="240"/>
      <c r="N7" s="96"/>
    </row>
    <row r="8" spans="1:15" ht="192" customHeight="1" thickBot="1" x14ac:dyDescent="0.35">
      <c r="A8" s="241"/>
      <c r="B8" s="242"/>
      <c r="C8" s="242"/>
      <c r="D8" s="242"/>
      <c r="E8" s="242"/>
      <c r="F8" s="242"/>
      <c r="G8" s="242"/>
      <c r="H8" s="242"/>
      <c r="I8" s="242"/>
      <c r="J8" s="242"/>
      <c r="K8" s="242"/>
      <c r="L8" s="242"/>
      <c r="M8" s="243"/>
    </row>
    <row r="9" spans="1:15" ht="49.5" customHeight="1" thickBot="1" x14ac:dyDescent="0.35">
      <c r="A9" s="231" t="s">
        <v>255</v>
      </c>
      <c r="B9" s="232"/>
      <c r="C9" s="232"/>
      <c r="D9" s="232"/>
      <c r="E9" s="232"/>
      <c r="F9" s="232"/>
      <c r="G9" s="232"/>
      <c r="H9" s="232"/>
      <c r="I9" s="232"/>
      <c r="J9" s="232"/>
      <c r="K9" s="232"/>
      <c r="L9" s="232"/>
      <c r="M9" s="233"/>
    </row>
    <row r="10" spans="1:15" ht="48" customHeight="1" thickBot="1" x14ac:dyDescent="0.35">
      <c r="A10" s="250" t="s">
        <v>169</v>
      </c>
      <c r="B10" s="251"/>
      <c r="C10" s="251"/>
      <c r="D10" s="251"/>
      <c r="E10" s="251"/>
      <c r="F10" s="251"/>
      <c r="G10" s="251"/>
      <c r="H10" s="251"/>
      <c r="I10" s="251"/>
      <c r="J10" s="251"/>
      <c r="K10" s="251"/>
      <c r="L10" s="251"/>
      <c r="M10" s="252"/>
    </row>
    <row r="11" spans="1:15" ht="48" customHeight="1" thickBot="1" x14ac:dyDescent="0.35">
      <c r="A11" s="253" t="s">
        <v>170</v>
      </c>
      <c r="B11" s="254"/>
      <c r="C11" s="254"/>
      <c r="D11" s="254"/>
      <c r="E11" s="254"/>
      <c r="F11" s="254"/>
      <c r="G11" s="254"/>
      <c r="H11" s="254"/>
      <c r="I11" s="254"/>
      <c r="J11" s="254"/>
      <c r="K11" s="254"/>
      <c r="L11" s="254"/>
      <c r="M11" s="255"/>
    </row>
    <row r="12" spans="1:15" x14ac:dyDescent="0.3">
      <c r="A12" s="244" t="s">
        <v>132</v>
      </c>
      <c r="B12" s="246" t="s">
        <v>133</v>
      </c>
      <c r="C12" s="246" t="s">
        <v>134</v>
      </c>
      <c r="D12" s="246" t="s">
        <v>135</v>
      </c>
      <c r="E12" s="226" t="s">
        <v>136</v>
      </c>
      <c r="F12" s="246" t="s">
        <v>137</v>
      </c>
      <c r="G12" s="248" t="s">
        <v>138</v>
      </c>
      <c r="H12" s="226" t="s">
        <v>139</v>
      </c>
      <c r="I12" s="226" t="s">
        <v>131</v>
      </c>
      <c r="J12" s="226" t="s">
        <v>130</v>
      </c>
      <c r="K12" s="257" t="s">
        <v>247</v>
      </c>
      <c r="L12" s="195" t="s">
        <v>140</v>
      </c>
      <c r="M12" s="228" t="s">
        <v>141</v>
      </c>
    </row>
    <row r="13" spans="1:15" ht="15.75" customHeight="1" x14ac:dyDescent="0.3">
      <c r="A13" s="245"/>
      <c r="B13" s="247"/>
      <c r="C13" s="247"/>
      <c r="D13" s="247"/>
      <c r="E13" s="227"/>
      <c r="F13" s="247"/>
      <c r="G13" s="249"/>
      <c r="H13" s="227"/>
      <c r="I13" s="227"/>
      <c r="J13" s="227"/>
      <c r="K13" s="258"/>
      <c r="L13" s="196" t="str">
        <f>RESUMEN!B8</f>
        <v>VTO 13/03</v>
      </c>
      <c r="M13" s="229"/>
    </row>
    <row r="14" spans="1:15" ht="17.100000000000001" customHeight="1" x14ac:dyDescent="0.3">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3">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181</v>
      </c>
    </row>
    <row r="16" spans="1:15" ht="17.100000000000001" customHeight="1" x14ac:dyDescent="0.3">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3">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3">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3">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3">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3">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3">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3">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3">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3">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3">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3">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3">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3">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3">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3">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3">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167</v>
      </c>
    </row>
    <row r="33" spans="1:15" x14ac:dyDescent="0.3">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172</v>
      </c>
    </row>
    <row r="34" spans="1:15" x14ac:dyDescent="0.3">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3">
      <c r="A35" s="179">
        <f>A34+1</f>
        <v>22</v>
      </c>
      <c r="B35" s="105" t="s">
        <v>24</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3">
      <c r="A36" s="179">
        <f t="shared" ref="A36:A99" si="9">A35+1</f>
        <v>23</v>
      </c>
      <c r="B36" s="105" t="s">
        <v>25</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3">
      <c r="A37" s="179">
        <f t="shared" si="9"/>
        <v>24</v>
      </c>
      <c r="B37" s="105" t="s">
        <v>26</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3">
      <c r="A38" s="179">
        <f t="shared" si="9"/>
        <v>25</v>
      </c>
      <c r="B38" s="105" t="s">
        <v>27</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3">
      <c r="A39" s="179">
        <f t="shared" si="9"/>
        <v>26</v>
      </c>
      <c r="B39" s="105" t="s">
        <v>28</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3">
      <c r="A40" s="179">
        <f t="shared" si="9"/>
        <v>27</v>
      </c>
      <c r="B40" s="105" t="s">
        <v>29</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3">
      <c r="A41" s="179">
        <f t="shared" si="9"/>
        <v>28</v>
      </c>
      <c r="B41" s="105" t="s">
        <v>30</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3">
      <c r="A42" s="180">
        <f t="shared" si="9"/>
        <v>29</v>
      </c>
      <c r="B42" s="120" t="s">
        <v>31</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162</v>
      </c>
    </row>
    <row r="43" spans="1:15" x14ac:dyDescent="0.3">
      <c r="A43" s="181">
        <f t="shared" si="9"/>
        <v>30</v>
      </c>
      <c r="B43" s="149" t="s">
        <v>32</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3">
      <c r="A44" s="179">
        <f t="shared" si="9"/>
        <v>31</v>
      </c>
      <c r="B44" s="105" t="s">
        <v>33</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3">
      <c r="A45" s="179">
        <f t="shared" si="9"/>
        <v>32</v>
      </c>
      <c r="B45" s="105" t="s">
        <v>34</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3">
      <c r="A46" s="182">
        <f t="shared" si="9"/>
        <v>33</v>
      </c>
      <c r="B46" s="158" t="s">
        <v>35</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3">
      <c r="A47" s="179">
        <f t="shared" si="9"/>
        <v>34</v>
      </c>
      <c r="B47" s="105" t="s">
        <v>36</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3">
      <c r="A48" s="180">
        <f t="shared" si="9"/>
        <v>35</v>
      </c>
      <c r="B48" s="120" t="s">
        <v>37</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164</v>
      </c>
    </row>
    <row r="49" spans="1:15" x14ac:dyDescent="0.3">
      <c r="A49" s="179">
        <f t="shared" si="9"/>
        <v>36</v>
      </c>
      <c r="B49" s="105" t="s">
        <v>38</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168</v>
      </c>
    </row>
    <row r="50" spans="1:15" x14ac:dyDescent="0.3">
      <c r="A50" s="179">
        <f t="shared" si="9"/>
        <v>37</v>
      </c>
      <c r="B50" s="105" t="s">
        <v>39</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3">
      <c r="A51" s="179">
        <f t="shared" si="9"/>
        <v>38</v>
      </c>
      <c r="B51" s="105" t="s">
        <v>40</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3">
      <c r="A52" s="179">
        <f t="shared" si="9"/>
        <v>39</v>
      </c>
      <c r="B52" s="105" t="s">
        <v>41</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3">
      <c r="A53" s="179">
        <f t="shared" si="9"/>
        <v>40</v>
      </c>
      <c r="B53" s="105" t="s">
        <v>42</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3">
      <c r="A54" s="179">
        <f t="shared" si="9"/>
        <v>41</v>
      </c>
      <c r="B54" s="105" t="s">
        <v>43</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3">
      <c r="A55" s="182">
        <f t="shared" si="9"/>
        <v>42</v>
      </c>
      <c r="B55" s="158" t="s">
        <v>44</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3">
      <c r="A56" s="179">
        <f t="shared" si="9"/>
        <v>43</v>
      </c>
      <c r="B56" s="105" t="s">
        <v>102</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3">
      <c r="A57" s="179">
        <f t="shared" si="9"/>
        <v>44</v>
      </c>
      <c r="B57" s="105" t="s">
        <v>45</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3">
      <c r="A58" s="179">
        <f t="shared" si="9"/>
        <v>45</v>
      </c>
      <c r="B58" s="105" t="s">
        <v>46</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3">
      <c r="A59" s="179">
        <f t="shared" si="9"/>
        <v>46</v>
      </c>
      <c r="B59" s="105" t="s">
        <v>47</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163</v>
      </c>
    </row>
    <row r="60" spans="1:15" x14ac:dyDescent="0.3">
      <c r="A60" s="180">
        <f t="shared" si="9"/>
        <v>47</v>
      </c>
      <c r="B60" s="120" t="s">
        <v>48</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228</v>
      </c>
    </row>
    <row r="61" spans="1:15" x14ac:dyDescent="0.3">
      <c r="A61" s="181">
        <f t="shared" si="9"/>
        <v>48</v>
      </c>
      <c r="B61" s="149" t="s">
        <v>49</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165</v>
      </c>
    </row>
    <row r="62" spans="1:15" x14ac:dyDescent="0.3">
      <c r="A62" s="179">
        <f t="shared" si="9"/>
        <v>49</v>
      </c>
      <c r="B62" s="105" t="s">
        <v>50</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3">
      <c r="A63" s="179">
        <f t="shared" si="9"/>
        <v>50</v>
      </c>
      <c r="B63" s="105" t="s">
        <v>51</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3">
      <c r="A64" s="179">
        <f t="shared" si="9"/>
        <v>51</v>
      </c>
      <c r="B64" s="105" t="s">
        <v>52</v>
      </c>
      <c r="C64" s="104"/>
      <c r="D64" s="98">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3">
      <c r="A65" s="179">
        <f t="shared" si="9"/>
        <v>52</v>
      </c>
      <c r="B65" s="105" t="s">
        <v>53</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3">
      <c r="A66" s="205">
        <f t="shared" si="9"/>
        <v>53</v>
      </c>
      <c r="B66" s="206" t="s">
        <v>54</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3">
      <c r="A67" s="179">
        <f t="shared" si="9"/>
        <v>54</v>
      </c>
      <c r="B67" s="105" t="s">
        <v>55</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3">
      <c r="A68" s="179">
        <f t="shared" si="9"/>
        <v>55</v>
      </c>
      <c r="B68" s="105" t="s">
        <v>56</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3">
      <c r="A69" s="179">
        <f t="shared" si="9"/>
        <v>56</v>
      </c>
      <c r="B69" s="105" t="s">
        <v>57</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3">
      <c r="A70" s="181">
        <f t="shared" si="9"/>
        <v>57</v>
      </c>
      <c r="B70" s="149" t="s">
        <v>58</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3">
      <c r="A71" s="179">
        <f t="shared" si="9"/>
        <v>58</v>
      </c>
      <c r="B71" s="105" t="s">
        <v>59</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3">
      <c r="A72" s="181">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3">
      <c r="A73" s="179">
        <f t="shared" si="9"/>
        <v>60</v>
      </c>
      <c r="B73" s="105" t="s">
        <v>61</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3">
      <c r="A74" s="179">
        <f t="shared" si="9"/>
        <v>61</v>
      </c>
      <c r="B74" s="105" t="s">
        <v>62</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3">
      <c r="A75" s="179">
        <f t="shared" si="9"/>
        <v>62</v>
      </c>
      <c r="B75" s="105" t="s">
        <v>63</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3">
      <c r="A76" s="179">
        <f t="shared" si="9"/>
        <v>63</v>
      </c>
      <c r="B76" s="105" t="s">
        <v>64</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3">
      <c r="A77" s="179">
        <f t="shared" si="9"/>
        <v>64</v>
      </c>
      <c r="B77" s="105" t="s">
        <v>65</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3">
      <c r="A78" s="180">
        <f t="shared" si="9"/>
        <v>65</v>
      </c>
      <c r="B78" s="120" t="s">
        <v>66</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232</v>
      </c>
    </row>
    <row r="79" spans="1:15" x14ac:dyDescent="0.3">
      <c r="A79" s="179">
        <f t="shared" si="9"/>
        <v>66</v>
      </c>
      <c r="B79" s="105" t="s">
        <v>67</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3">
      <c r="A80" s="179">
        <f t="shared" si="9"/>
        <v>67</v>
      </c>
      <c r="B80" s="105" t="s">
        <v>68</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3">
      <c r="A81" s="179">
        <f t="shared" si="9"/>
        <v>68</v>
      </c>
      <c r="B81" s="105" t="s">
        <v>69</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3">
      <c r="A82" s="179">
        <f t="shared" si="9"/>
        <v>69</v>
      </c>
      <c r="B82" s="105" t="s">
        <v>70</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3">
      <c r="A83" s="180">
        <f t="shared" si="9"/>
        <v>70</v>
      </c>
      <c r="B83" s="120" t="s">
        <v>71</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182</v>
      </c>
    </row>
    <row r="84" spans="1:15" x14ac:dyDescent="0.3">
      <c r="A84" s="181">
        <f t="shared" si="9"/>
        <v>71</v>
      </c>
      <c r="B84" s="149" t="s">
        <v>72</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3">
      <c r="A85" s="179">
        <f t="shared" si="9"/>
        <v>72</v>
      </c>
      <c r="B85" s="105" t="s">
        <v>73</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3">
      <c r="A86" s="179">
        <f t="shared" si="9"/>
        <v>73</v>
      </c>
      <c r="B86" s="105" t="s">
        <v>74</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3">
      <c r="A87" s="179">
        <f t="shared" si="9"/>
        <v>74</v>
      </c>
      <c r="B87" s="105" t="s">
        <v>75</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3">
      <c r="A88" s="179">
        <f t="shared" si="9"/>
        <v>75</v>
      </c>
      <c r="B88" s="105" t="s">
        <v>76</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3">
      <c r="A89" s="179">
        <f t="shared" si="9"/>
        <v>76</v>
      </c>
      <c r="B89" s="105" t="s">
        <v>77</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3">
      <c r="A90" s="179">
        <f t="shared" si="9"/>
        <v>77</v>
      </c>
      <c r="B90" s="105" t="s">
        <v>78</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3">
      <c r="A91" s="182">
        <f t="shared" si="9"/>
        <v>78</v>
      </c>
      <c r="B91" s="158" t="s">
        <v>79</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3">
      <c r="A92" s="179">
        <f t="shared" si="9"/>
        <v>79</v>
      </c>
      <c r="B92" s="105" t="s">
        <v>80</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3">
      <c r="A93" s="179">
        <f t="shared" si="9"/>
        <v>80</v>
      </c>
      <c r="B93" s="105" t="s">
        <v>81</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3">
      <c r="A94" s="180">
        <f t="shared" si="9"/>
        <v>81</v>
      </c>
      <c r="B94" s="120" t="s">
        <v>82</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233</v>
      </c>
    </row>
    <row r="95" spans="1:15" x14ac:dyDescent="0.3">
      <c r="A95" s="179">
        <f t="shared" si="9"/>
        <v>82</v>
      </c>
      <c r="B95" s="105" t="s">
        <v>83</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3">
      <c r="A96" s="181">
        <f t="shared" si="9"/>
        <v>83</v>
      </c>
      <c r="B96" s="149" t="s">
        <v>84</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3">
      <c r="A97" s="181">
        <f t="shared" si="9"/>
        <v>84</v>
      </c>
      <c r="B97" s="149" t="s">
        <v>85</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3">
      <c r="A98" s="179">
        <f t="shared" si="9"/>
        <v>85</v>
      </c>
      <c r="B98" s="105" t="s">
        <v>86</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3">
      <c r="A99" s="179">
        <f t="shared" si="9"/>
        <v>86</v>
      </c>
      <c r="B99" s="105" t="s">
        <v>87</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3">
      <c r="A100" s="179">
        <f t="shared" ref="A100:A116" si="22">A99+1</f>
        <v>87</v>
      </c>
      <c r="B100" s="105" t="s">
        <v>88</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3">
      <c r="A101" s="179">
        <f t="shared" si="22"/>
        <v>88</v>
      </c>
      <c r="B101" s="105" t="s">
        <v>89</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3">
      <c r="A102" s="179">
        <f t="shared" si="22"/>
        <v>89</v>
      </c>
      <c r="B102" s="105" t="s">
        <v>90</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3">
      <c r="A103" s="179">
        <f t="shared" si="22"/>
        <v>90</v>
      </c>
      <c r="B103" s="105" t="s">
        <v>91</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3">
      <c r="A104" s="179">
        <f t="shared" si="22"/>
        <v>91</v>
      </c>
      <c r="B104" s="105" t="s">
        <v>92</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3">
      <c r="A105" s="179">
        <f t="shared" si="22"/>
        <v>92</v>
      </c>
      <c r="B105" s="105" t="s">
        <v>93</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3">
      <c r="A106" s="181">
        <f t="shared" si="22"/>
        <v>93</v>
      </c>
      <c r="B106" s="149" t="s">
        <v>94</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3">
      <c r="A107" s="181">
        <f t="shared" si="22"/>
        <v>94</v>
      </c>
      <c r="B107" s="149" t="s">
        <v>95</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3">
      <c r="A108" s="181">
        <f t="shared" si="22"/>
        <v>95</v>
      </c>
      <c r="B108" s="149" t="s">
        <v>180</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3">
      <c r="A109" s="181">
        <f t="shared" si="22"/>
        <v>96</v>
      </c>
      <c r="B109" s="149" t="s">
        <v>95</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166</v>
      </c>
    </row>
    <row r="110" spans="1:15" x14ac:dyDescent="0.3">
      <c r="A110" s="181">
        <f t="shared" si="22"/>
        <v>97</v>
      </c>
      <c r="B110" s="149" t="s">
        <v>96</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3">
      <c r="A111" s="181">
        <f t="shared" si="22"/>
        <v>98</v>
      </c>
      <c r="B111" s="149" t="s">
        <v>97</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3">
      <c r="A112" s="181">
        <f t="shared" si="22"/>
        <v>99</v>
      </c>
      <c r="B112" s="149" t="s">
        <v>98</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3">
      <c r="A113" s="181">
        <f t="shared" si="22"/>
        <v>100</v>
      </c>
      <c r="B113" s="149" t="s">
        <v>99</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3">
      <c r="A114" s="181">
        <f t="shared" si="22"/>
        <v>101</v>
      </c>
      <c r="B114" s="142" t="s">
        <v>100</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3">
      <c r="A115" s="181">
        <f t="shared" si="22"/>
        <v>102</v>
      </c>
      <c r="B115" s="142" t="s">
        <v>101</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x14ac:dyDescent="0.3">
      <c r="A116" s="181">
        <f t="shared" si="22"/>
        <v>103</v>
      </c>
      <c r="B116" s="149" t="s">
        <v>180</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3">
      <c r="A117" s="181"/>
      <c r="B117" s="142"/>
      <c r="C117" s="148"/>
      <c r="D117" s="144"/>
      <c r="E117" s="100"/>
      <c r="F117" s="100"/>
      <c r="G117" s="145"/>
      <c r="H117" s="145"/>
      <c r="I117" s="176"/>
      <c r="J117" s="176"/>
      <c r="K117" s="146"/>
      <c r="L117" s="147"/>
      <c r="M117" s="192"/>
      <c r="N117" s="63"/>
    </row>
    <row r="118" spans="1:14" ht="17.100000000000001" customHeight="1" thickBot="1" x14ac:dyDescent="0.35">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3">
      <c r="B119" s="106"/>
      <c r="C119" s="106"/>
    </row>
    <row r="120" spans="1:14" hidden="1" x14ac:dyDescent="0.3"/>
    <row r="121" spans="1:14" ht="9" customHeight="1" x14ac:dyDescent="0.3">
      <c r="B121" s="230" t="s">
        <v>106</v>
      </c>
      <c r="C121" s="230"/>
      <c r="D121" s="230"/>
      <c r="E121" s="230"/>
      <c r="F121" s="230"/>
      <c r="G121" s="230"/>
      <c r="H121" s="230"/>
      <c r="I121" s="230"/>
      <c r="J121" s="230"/>
      <c r="K121" s="230"/>
      <c r="L121" s="230"/>
    </row>
    <row r="122" spans="1:14" ht="12" hidden="1" customHeight="1" x14ac:dyDescent="0.3">
      <c r="B122" s="230"/>
      <c r="C122" s="230"/>
      <c r="D122" s="230"/>
      <c r="E122" s="230"/>
      <c r="F122" s="230"/>
      <c r="G122" s="230"/>
      <c r="H122" s="230"/>
      <c r="I122" s="230"/>
      <c r="J122" s="230"/>
      <c r="K122" s="230"/>
      <c r="L122" s="230"/>
    </row>
    <row r="123" spans="1:14" ht="12" hidden="1" customHeight="1" x14ac:dyDescent="0.3">
      <c r="B123" s="230"/>
      <c r="C123" s="230"/>
      <c r="D123" s="230"/>
      <c r="E123" s="230"/>
      <c r="F123" s="230"/>
      <c r="G123" s="230"/>
      <c r="H123" s="230"/>
      <c r="I123" s="230"/>
      <c r="J123" s="230"/>
      <c r="K123" s="230"/>
      <c r="L123" s="230"/>
    </row>
    <row r="124" spans="1:14" ht="12" hidden="1" customHeight="1" x14ac:dyDescent="0.3">
      <c r="B124" s="230"/>
      <c r="C124" s="230"/>
      <c r="D124" s="230"/>
      <c r="E124" s="230"/>
      <c r="F124" s="230"/>
      <c r="G124" s="230"/>
      <c r="H124" s="230"/>
      <c r="I124" s="230"/>
      <c r="J124" s="230"/>
      <c r="K124" s="230"/>
      <c r="L124" s="230"/>
    </row>
    <row r="125" spans="1:14" ht="12" hidden="1" customHeight="1" x14ac:dyDescent="0.3">
      <c r="B125" s="230"/>
      <c r="C125" s="230"/>
      <c r="D125" s="230"/>
      <c r="E125" s="230"/>
      <c r="F125" s="230"/>
      <c r="G125" s="230"/>
      <c r="H125" s="230"/>
      <c r="I125" s="230"/>
      <c r="J125" s="230"/>
      <c r="K125" s="230"/>
      <c r="L125" s="230"/>
    </row>
    <row r="126" spans="1:14" ht="67.5" customHeight="1" x14ac:dyDescent="0.3">
      <c r="B126" s="230"/>
      <c r="C126" s="230"/>
      <c r="D126" s="230"/>
      <c r="E126" s="230"/>
      <c r="F126" s="230"/>
      <c r="G126" s="230"/>
      <c r="H126" s="230"/>
      <c r="I126" s="230"/>
      <c r="J126" s="230"/>
      <c r="K126" s="230"/>
      <c r="L126" s="230"/>
    </row>
  </sheetData>
  <mergeCells count="19">
    <mergeCell ref="E2:F2"/>
    <mergeCell ref="I12:I13"/>
    <mergeCell ref="K12:K13"/>
    <mergeCell ref="J12:J13"/>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C25" sqref="C25"/>
    </sheetView>
  </sheetViews>
  <sheetFormatPr baseColWidth="10" defaultColWidth="10.88671875" defaultRowHeight="14.4" x14ac:dyDescent="0.3"/>
  <cols>
    <col min="3" max="3" width="12.6640625" bestFit="1" customWidth="1"/>
  </cols>
  <sheetData>
    <row r="4" spans="3:3" x14ac:dyDescent="0.3">
      <c r="C4" s="204" t="s">
        <v>266</v>
      </c>
    </row>
    <row r="5" spans="3:3" ht="18.75" customHeight="1" x14ac:dyDescent="0.3"/>
    <row r="25" ht="117"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4.4" x14ac:dyDescent="0.3"/>
  <cols>
    <col min="3" max="3" width="12.77734375" bestFit="1" customWidth="1"/>
    <col min="6" max="6" width="12.77734375" bestFit="1" customWidth="1"/>
    <col min="8" max="8" width="12.77734375" bestFit="1" customWidth="1"/>
    <col min="10" max="10" width="12.77734375" bestFit="1" customWidth="1"/>
    <col min="11" max="11" width="14.88671875" customWidth="1"/>
    <col min="13" max="13" width="12.77734375" bestFit="1" customWidth="1"/>
  </cols>
  <sheetData>
    <row r="4" spans="3:15" x14ac:dyDescent="0.3">
      <c r="C4" s="259" t="s">
        <v>257</v>
      </c>
      <c r="D4" s="259"/>
      <c r="E4" s="201"/>
      <c r="F4" s="199" t="s">
        <v>258</v>
      </c>
      <c r="H4" t="s">
        <v>259</v>
      </c>
      <c r="J4" s="261" t="s">
        <v>261</v>
      </c>
      <c r="K4" s="261"/>
    </row>
    <row r="5" spans="3:15" x14ac:dyDescent="0.3">
      <c r="C5" s="260">
        <v>168835.53000000003</v>
      </c>
      <c r="D5" s="260"/>
      <c r="E5" s="202"/>
      <c r="F5" s="200">
        <f>C5</f>
        <v>168835.53000000003</v>
      </c>
      <c r="H5" s="80">
        <v>0</v>
      </c>
      <c r="J5" s="262">
        <f>F5</f>
        <v>168835.53000000003</v>
      </c>
      <c r="K5" s="262"/>
    </row>
    <row r="7" spans="3:15" x14ac:dyDescent="0.3">
      <c r="M7" s="265" t="s">
        <v>263</v>
      </c>
      <c r="N7" s="265"/>
      <c r="O7" s="265"/>
    </row>
    <row r="8" spans="3:15" x14ac:dyDescent="0.3">
      <c r="C8" t="s">
        <v>260</v>
      </c>
      <c r="F8" s="199" t="s">
        <v>258</v>
      </c>
      <c r="H8" t="s">
        <v>259</v>
      </c>
      <c r="J8" s="261" t="s">
        <v>262</v>
      </c>
      <c r="K8" s="261"/>
      <c r="M8" s="265"/>
      <c r="N8" s="265"/>
      <c r="O8" s="265"/>
    </row>
    <row r="9" spans="3:15" x14ac:dyDescent="0.3">
      <c r="C9" s="260">
        <v>168836.53</v>
      </c>
      <c r="D9" s="260"/>
      <c r="F9" s="80">
        <v>0</v>
      </c>
      <c r="H9" s="80">
        <f>C9-F9</f>
        <v>168836.53</v>
      </c>
      <c r="J9" s="260">
        <f>33600+135235.8</f>
        <v>168835.8</v>
      </c>
      <c r="K9" s="260"/>
      <c r="M9" s="264">
        <v>300737.53000000003</v>
      </c>
      <c r="N9" s="264"/>
      <c r="O9" s="264"/>
    </row>
    <row r="10" spans="3:15" ht="15" thickBot="1" x14ac:dyDescent="0.35">
      <c r="C10" s="202"/>
      <c r="D10" s="202"/>
      <c r="F10" s="80"/>
      <c r="H10" s="80"/>
      <c r="J10" s="202"/>
      <c r="K10" s="202"/>
      <c r="M10" s="203"/>
      <c r="N10" s="203"/>
      <c r="O10" s="203"/>
    </row>
    <row r="11" spans="3:15" x14ac:dyDescent="0.3">
      <c r="M11" s="269" t="s">
        <v>263</v>
      </c>
      <c r="N11" s="270"/>
      <c r="O11" s="271"/>
    </row>
    <row r="12" spans="3:15" x14ac:dyDescent="0.3">
      <c r="C12" t="s">
        <v>264</v>
      </c>
      <c r="F12" s="199" t="s">
        <v>258</v>
      </c>
      <c r="H12" t="s">
        <v>259</v>
      </c>
      <c r="J12" s="261" t="s">
        <v>265</v>
      </c>
      <c r="K12" s="261"/>
      <c r="M12" s="272"/>
      <c r="N12" s="273"/>
      <c r="O12" s="274"/>
    </row>
    <row r="13" spans="3:15" ht="15" thickBot="1" x14ac:dyDescent="0.35">
      <c r="C13" s="260">
        <f>M9</f>
        <v>300737.53000000003</v>
      </c>
      <c r="D13" s="260"/>
      <c r="F13" s="80">
        <v>98556.53</v>
      </c>
      <c r="H13" s="80">
        <f>C13-F13</f>
        <v>202181.00000000003</v>
      </c>
      <c r="J13" s="260">
        <f>33600+135235.8</f>
        <v>168835.8</v>
      </c>
      <c r="K13" s="260"/>
      <c r="M13" s="266">
        <f>J13+H13-0.27</f>
        <v>371016.53</v>
      </c>
      <c r="N13" s="267"/>
      <c r="O13" s="268"/>
    </row>
    <row r="15" spans="3:15" x14ac:dyDescent="0.3">
      <c r="C15" s="263" t="s">
        <v>267</v>
      </c>
      <c r="D15" s="263"/>
      <c r="E15" s="263"/>
      <c r="F15" s="263"/>
      <c r="G15" s="263"/>
      <c r="H15" s="263"/>
      <c r="I15" s="263"/>
      <c r="J15" s="263"/>
      <c r="K15" s="263"/>
      <c r="L15" s="263"/>
      <c r="M15" s="263"/>
      <c r="N15" s="263"/>
      <c r="O15" s="263"/>
    </row>
    <row r="16" spans="3:15" x14ac:dyDescent="0.3">
      <c r="C16" s="263"/>
      <c r="D16" s="263"/>
      <c r="E16" s="263"/>
      <c r="F16" s="263"/>
      <c r="G16" s="263"/>
      <c r="H16" s="263"/>
      <c r="I16" s="263"/>
      <c r="J16" s="263"/>
      <c r="K16" s="263"/>
      <c r="L16" s="263"/>
      <c r="M16" s="263"/>
      <c r="N16" s="263"/>
      <c r="O16" s="263"/>
    </row>
    <row r="17" spans="3:15" x14ac:dyDescent="0.3">
      <c r="C17" s="263"/>
      <c r="D17" s="263"/>
      <c r="E17" s="263"/>
      <c r="F17" s="263"/>
      <c r="G17" s="263"/>
      <c r="H17" s="263"/>
      <c r="I17" s="263"/>
      <c r="J17" s="263"/>
      <c r="K17" s="263"/>
      <c r="L17" s="263"/>
      <c r="M17" s="263"/>
      <c r="N17" s="263"/>
      <c r="O17" s="263"/>
    </row>
    <row r="18" spans="3:15" x14ac:dyDescent="0.3">
      <c r="C18" s="263"/>
      <c r="D18" s="263"/>
      <c r="E18" s="263"/>
      <c r="F18" s="263"/>
      <c r="G18" s="263"/>
      <c r="H18" s="263"/>
      <c r="I18" s="263"/>
      <c r="J18" s="263"/>
      <c r="K18" s="263"/>
      <c r="L18" s="263"/>
      <c r="M18" s="263"/>
      <c r="N18" s="263"/>
      <c r="O18" s="263"/>
    </row>
    <row r="19" spans="3:15" x14ac:dyDescent="0.3">
      <c r="C19" s="263"/>
      <c r="D19" s="263"/>
      <c r="E19" s="263"/>
      <c r="F19" s="263"/>
      <c r="G19" s="263"/>
      <c r="H19" s="263"/>
      <c r="I19" s="263"/>
      <c r="J19" s="263"/>
      <c r="K19" s="263"/>
      <c r="L19" s="263"/>
      <c r="M19" s="263"/>
      <c r="N19" s="263"/>
      <c r="O19" s="263"/>
    </row>
    <row r="20" spans="3:15" x14ac:dyDescent="0.3">
      <c r="C20" s="263"/>
      <c r="D20" s="263"/>
      <c r="E20" s="263"/>
      <c r="F20" s="263"/>
      <c r="G20" s="263"/>
      <c r="H20" s="263"/>
      <c r="I20" s="263"/>
      <c r="J20" s="263"/>
      <c r="K20" s="263"/>
      <c r="L20" s="263"/>
      <c r="M20" s="263"/>
      <c r="N20" s="263"/>
      <c r="O20" s="263"/>
    </row>
    <row r="21" spans="3:15" x14ac:dyDescent="0.3">
      <c r="C21" s="263"/>
      <c r="D21" s="263"/>
      <c r="E21" s="263"/>
      <c r="F21" s="263"/>
      <c r="G21" s="263"/>
      <c r="H21" s="263"/>
      <c r="I21" s="263"/>
      <c r="J21" s="263"/>
      <c r="K21" s="263"/>
      <c r="L21" s="263"/>
      <c r="M21" s="263"/>
      <c r="N21" s="263"/>
      <c r="O21" s="263"/>
    </row>
  </sheetData>
  <mergeCells count="15">
    <mergeCell ref="C15:O21"/>
    <mergeCell ref="M9:O9"/>
    <mergeCell ref="M7:O8"/>
    <mergeCell ref="C9:D9"/>
    <mergeCell ref="C13:D13"/>
    <mergeCell ref="J12:K12"/>
    <mergeCell ref="J13:K13"/>
    <mergeCell ref="M13:O13"/>
    <mergeCell ref="M11:O12"/>
    <mergeCell ref="J9:K9"/>
    <mergeCell ref="C4:D4"/>
    <mergeCell ref="C5:D5"/>
    <mergeCell ref="J4:K4"/>
    <mergeCell ref="J5:K5"/>
    <mergeCell ref="J8:K8"/>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C1:K18"/>
  <sheetViews>
    <sheetView tabSelected="1" workbookViewId="0">
      <selection activeCell="F14" sqref="F14"/>
    </sheetView>
  </sheetViews>
  <sheetFormatPr baseColWidth="10" defaultRowHeight="14.4" x14ac:dyDescent="0.3"/>
  <cols>
    <col min="3" max="5" width="12.77734375" bestFit="1" customWidth="1"/>
    <col min="6" max="6" width="11.77734375" bestFit="1" customWidth="1"/>
    <col min="7" max="7" width="12.77734375" bestFit="1" customWidth="1"/>
    <col min="8" max="8" width="11.77734375" bestFit="1" customWidth="1"/>
    <col min="9" max="9" width="14.21875" customWidth="1"/>
    <col min="11" max="11" width="15.33203125" customWidth="1"/>
  </cols>
  <sheetData>
    <row r="1" spans="3:11" ht="15" thickBot="1" x14ac:dyDescent="0.35"/>
    <row r="2" spans="3:11" ht="15" thickBot="1" x14ac:dyDescent="0.35">
      <c r="C2" s="275" t="s">
        <v>277</v>
      </c>
      <c r="D2" s="276"/>
      <c r="E2" s="276"/>
      <c r="F2" s="276"/>
      <c r="G2" s="276"/>
      <c r="H2" s="276"/>
      <c r="I2" s="277"/>
    </row>
    <row r="3" spans="3:11" x14ac:dyDescent="0.3">
      <c r="C3" s="207" t="s">
        <v>270</v>
      </c>
    </row>
    <row r="4" spans="3:11" ht="61.2" customHeight="1" x14ac:dyDescent="0.3">
      <c r="C4" s="32" t="s">
        <v>268</v>
      </c>
      <c r="D4" s="208" t="s">
        <v>258</v>
      </c>
      <c r="E4" s="208" t="s">
        <v>269</v>
      </c>
      <c r="F4" s="208" t="s">
        <v>271</v>
      </c>
      <c r="G4" s="210" t="s">
        <v>272</v>
      </c>
      <c r="H4" s="210" t="s">
        <v>273</v>
      </c>
      <c r="I4" s="210" t="s">
        <v>274</v>
      </c>
    </row>
    <row r="5" spans="3:11" x14ac:dyDescent="0.3">
      <c r="C5" s="211">
        <v>598682.42000000004</v>
      </c>
      <c r="D5" s="209">
        <v>150000.42000000001</v>
      </c>
      <c r="E5" s="209">
        <v>448682</v>
      </c>
      <c r="F5" s="209">
        <v>13460.46</v>
      </c>
      <c r="G5" s="209">
        <v>135235.80000000002</v>
      </c>
      <c r="H5" s="209">
        <v>33600.000000000007</v>
      </c>
      <c r="I5" s="209">
        <v>630978.42000000004</v>
      </c>
      <c r="K5" s="63">
        <f>E5+F5+G5+H5</f>
        <v>630978.26</v>
      </c>
    </row>
    <row r="7" spans="3:11" x14ac:dyDescent="0.3">
      <c r="C7" s="207" t="s">
        <v>275</v>
      </c>
    </row>
    <row r="8" spans="3:11" ht="43.2" x14ac:dyDescent="0.3">
      <c r="C8" s="32" t="s">
        <v>268</v>
      </c>
      <c r="D8" s="208" t="s">
        <v>258</v>
      </c>
      <c r="E8" s="208" t="s">
        <v>269</v>
      </c>
      <c r="F8" s="208" t="s">
        <v>271</v>
      </c>
      <c r="G8" s="210" t="s">
        <v>272</v>
      </c>
      <c r="H8" s="210" t="s">
        <v>273</v>
      </c>
      <c r="I8" s="210" t="s">
        <v>278</v>
      </c>
    </row>
    <row r="9" spans="3:11" x14ac:dyDescent="0.3">
      <c r="C9" s="211">
        <v>630978.42000000004</v>
      </c>
      <c r="D9" s="209">
        <v>0</v>
      </c>
      <c r="E9" s="209">
        <v>630978.42000000004</v>
      </c>
      <c r="F9" s="209">
        <v>18929.352600000002</v>
      </c>
      <c r="G9" s="209">
        <v>135235.80000000002</v>
      </c>
      <c r="H9" s="209">
        <v>33600.000000000007</v>
      </c>
      <c r="I9" s="209">
        <v>818744.42</v>
      </c>
      <c r="K9" s="63">
        <f>E9+F9+G9+H9</f>
        <v>818743.57260000007</v>
      </c>
    </row>
    <row r="11" spans="3:11" x14ac:dyDescent="0.3">
      <c r="C11" s="207" t="s">
        <v>276</v>
      </c>
    </row>
    <row r="12" spans="3:11" ht="43.2" x14ac:dyDescent="0.3">
      <c r="C12" s="32" t="s">
        <v>268</v>
      </c>
      <c r="D12" s="208" t="s">
        <v>258</v>
      </c>
      <c r="E12" s="208" t="s">
        <v>269</v>
      </c>
      <c r="F12" s="208" t="s">
        <v>271</v>
      </c>
      <c r="G12" s="210" t="s">
        <v>272</v>
      </c>
      <c r="H12" s="210" t="s">
        <v>273</v>
      </c>
      <c r="I12" s="210" t="s">
        <v>279</v>
      </c>
    </row>
    <row r="13" spans="3:11" x14ac:dyDescent="0.3">
      <c r="C13" s="211">
        <f>I9</f>
        <v>818744.42</v>
      </c>
      <c r="D13" s="209">
        <v>0</v>
      </c>
      <c r="E13" s="209">
        <v>818744.42</v>
      </c>
      <c r="F13" s="209"/>
      <c r="G13" s="209">
        <v>135235.80000000002</v>
      </c>
      <c r="H13" s="209">
        <v>33600.000000000007</v>
      </c>
      <c r="I13" s="212">
        <v>1012143.42</v>
      </c>
      <c r="K13" s="63">
        <f>E13+F13+G13+H13</f>
        <v>987580.22000000009</v>
      </c>
    </row>
    <row r="14" spans="3:11" ht="15" thickBot="1" x14ac:dyDescent="0.35"/>
    <row r="15" spans="3:11" x14ac:dyDescent="0.3">
      <c r="C15" s="278" t="s">
        <v>280</v>
      </c>
      <c r="D15" s="279"/>
      <c r="E15" s="279"/>
      <c r="F15" s="279"/>
      <c r="G15" s="279"/>
      <c r="H15" s="279"/>
      <c r="I15" s="280"/>
    </row>
    <row r="16" spans="3:11" x14ac:dyDescent="0.3">
      <c r="C16" s="281"/>
      <c r="D16" s="282"/>
      <c r="E16" s="282"/>
      <c r="F16" s="282"/>
      <c r="G16" s="282"/>
      <c r="H16" s="282"/>
      <c r="I16" s="283"/>
    </row>
    <row r="17" spans="3:9" x14ac:dyDescent="0.3">
      <c r="C17" s="281"/>
      <c r="D17" s="282"/>
      <c r="E17" s="282"/>
      <c r="F17" s="282"/>
      <c r="G17" s="282"/>
      <c r="H17" s="282"/>
      <c r="I17" s="283"/>
    </row>
    <row r="18" spans="3:9" ht="15" thickBot="1" x14ac:dyDescent="0.35">
      <c r="C18" s="284"/>
      <c r="D18" s="285"/>
      <c r="E18" s="285"/>
      <c r="F18" s="285"/>
      <c r="G18" s="285"/>
      <c r="H18" s="285"/>
      <c r="I18" s="286"/>
    </row>
  </sheetData>
  <mergeCells count="2">
    <mergeCell ref="C2:I2"/>
    <mergeCell ref="C15:I18"/>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2026-03-06T14:40:35Z</cp:lastPrinted>
  <dcterms:created xsi:type="dcterms:W3CDTF">2016-01-12T20:02:43Z</dcterms:created>
  <dcterms:modified xsi:type="dcterms:W3CDTF">2026-03-06T14:56:13Z</dcterms:modified>
</cp:coreProperties>
</file>