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24226"/>
  <mc:AlternateContent xmlns:mc="http://schemas.openxmlformats.org/markup-compatibility/2006">
    <mc:Choice Requires="x15">
      <x15ac:absPath xmlns:x15ac="http://schemas.microsoft.com/office/spreadsheetml/2010/11/ac" url="C:\Users\Sistemax\Desktop\rc-consorcio2025\2026\ITALIA\Febrero\"/>
    </mc:Choice>
  </mc:AlternateContent>
  <xr:revisionPtr revIDLastSave="0" documentId="13_ncr:1_{505C884E-3C61-47E1-BF72-D09CDEF01E7C}" xr6:coauthVersionLast="47" xr6:coauthVersionMax="47" xr10:uidLastSave="{00000000-0000-0000-0000-000000000000}"/>
  <bookViews>
    <workbookView minimized="1" xWindow="5460" yWindow="3270" windowWidth="15375" windowHeight="7875" xr2:uid="{00000000-000D-0000-FFFF-FFFF00000000}"/>
  </bookViews>
  <sheets>
    <sheet name="RESUMEN" sheetId="4" r:id="rId1"/>
    <sheet name="PRORRATEO" sheetId="5" r:id="rId2"/>
    <sheet name="ANOTACIONES" sheetId="6" r:id="rId3"/>
    <sheet name="7F SITUACION" sheetId="7" r:id="rId4"/>
    <sheet name="SITUACION 6B" sheetId="8" r:id="rId5"/>
  </sheets>
  <definedNames>
    <definedName name="_xlnm.Print_Area" localSheetId="3">'7F SITUACION'!$C$4:$O$21</definedName>
    <definedName name="_xlnm.Print_Area" localSheetId="1">PRORRATEO!$A$1:$M$126</definedName>
    <definedName name="_xlnm.Print_Area" localSheetId="0">RESUMEN!$A$1:$E$142</definedName>
    <definedName name="_xlnm.Print_Area" localSheetId="4">'SITUACION 6B'!$D$4:$N$13</definedName>
  </definedNames>
  <calcPr calcId="181029"/>
  <extLs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F11" i="8" l="1"/>
  <c r="F6" i="8"/>
  <c r="M13" i="7" l="1"/>
  <c r="J13" i="7"/>
  <c r="C13" i="7"/>
  <c r="H13" i="7" s="1"/>
  <c r="J9" i="7"/>
  <c r="H9" i="7"/>
  <c r="F5" i="7"/>
  <c r="J5" i="7" s="1"/>
  <c r="E29" i="4" l="1"/>
  <c r="D79" i="4"/>
  <c r="F27" i="5"/>
  <c r="F37" i="5"/>
  <c r="F115" i="5"/>
  <c r="F23" i="5"/>
  <c r="D77" i="4"/>
  <c r="F17" i="5"/>
  <c r="F52" i="5" l="1"/>
  <c r="F39" i="5" l="1"/>
  <c r="F50" i="5"/>
  <c r="F77" i="5"/>
  <c r="F30" i="5" l="1"/>
  <c r="F28" i="5"/>
  <c r="F26" i="5"/>
  <c r="F63" i="5"/>
  <c r="F40" i="5"/>
  <c r="F116" i="5"/>
  <c r="F49" i="5"/>
  <c r="F36" i="5"/>
  <c r="F21" i="5"/>
  <c r="F107" i="5"/>
  <c r="B121" i="4"/>
  <c r="F84" i="5"/>
  <c r="F101" i="5"/>
  <c r="F74" i="5"/>
  <c r="D55" i="4"/>
  <c r="F97" i="5" s="1"/>
  <c r="F96" i="5" l="1"/>
  <c r="F114" i="5"/>
  <c r="F106" i="5"/>
  <c r="F72" i="5" s="1"/>
  <c r="E25" i="4"/>
  <c r="E74" i="4" l="1"/>
  <c r="E37" i="4"/>
  <c r="E50" i="4"/>
  <c r="F61" i="5"/>
  <c r="F34" i="5"/>
  <c r="F98" i="5" l="1"/>
  <c r="F71" i="5"/>
  <c r="F76" i="5"/>
  <c r="F102" i="5"/>
  <c r="F16" i="5"/>
  <c r="F19" i="5"/>
  <c r="E68" i="4"/>
  <c r="L13" i="5" l="1"/>
  <c r="B142" i="4"/>
  <c r="F24" i="5"/>
  <c r="F99" i="5"/>
  <c r="F85" i="5"/>
  <c r="F14" i="5"/>
  <c r="F47" i="5"/>
  <c r="F20" i="5"/>
  <c r="F92" i="5"/>
  <c r="F113" i="5"/>
  <c r="F32" i="5" s="1"/>
  <c r="F58" i="5"/>
  <c r="F110" i="5"/>
  <c r="F88" i="5"/>
  <c r="F109" i="5"/>
  <c r="I107" i="5"/>
  <c r="F111" i="5"/>
  <c r="F89" i="5"/>
  <c r="F105" i="5"/>
  <c r="F95" i="5"/>
  <c r="E35" i="4" l="1"/>
  <c r="E34" i="4"/>
  <c r="F65" i="5"/>
  <c r="F118" i="5" l="1"/>
  <c r="E80" i="4"/>
  <c r="J35" i="5"/>
  <c r="J36" i="5"/>
  <c r="J37" i="5"/>
  <c r="J38" i="5"/>
  <c r="J39" i="5"/>
  <c r="J40" i="5"/>
  <c r="J41" i="5"/>
  <c r="J42" i="5"/>
  <c r="J43" i="5"/>
  <c r="J44" i="5"/>
  <c r="J45" i="5"/>
  <c r="J46" i="5"/>
  <c r="J47" i="5"/>
  <c r="J48" i="5"/>
  <c r="J49" i="5"/>
  <c r="J50" i="5"/>
  <c r="J51" i="5"/>
  <c r="J52" i="5"/>
  <c r="J53" i="5"/>
  <c r="J54" i="5"/>
  <c r="J55" i="5"/>
  <c r="J56" i="5"/>
  <c r="J57" i="5"/>
  <c r="J58" i="5"/>
  <c r="J59" i="5"/>
  <c r="J60" i="5"/>
  <c r="J61" i="5"/>
  <c r="J62" i="5"/>
  <c r="J63" i="5"/>
  <c r="J64" i="5"/>
  <c r="J65" i="5"/>
  <c r="J66" i="5"/>
  <c r="J67" i="5"/>
  <c r="J68" i="5"/>
  <c r="J69" i="5"/>
  <c r="J70" i="5"/>
  <c r="J71" i="5"/>
  <c r="J72" i="5"/>
  <c r="J73" i="5"/>
  <c r="J74" i="5"/>
  <c r="J75" i="5"/>
  <c r="J76" i="5"/>
  <c r="J77" i="5"/>
  <c r="J78" i="5"/>
  <c r="J79" i="5"/>
  <c r="J80" i="5"/>
  <c r="J81" i="5"/>
  <c r="J82" i="5"/>
  <c r="J83" i="5"/>
  <c r="J84" i="5"/>
  <c r="J85" i="5"/>
  <c r="J86" i="5"/>
  <c r="J87" i="5"/>
  <c r="J88" i="5"/>
  <c r="J89" i="5"/>
  <c r="J90" i="5"/>
  <c r="J91" i="5"/>
  <c r="J92" i="5"/>
  <c r="J93" i="5"/>
  <c r="J94" i="5"/>
  <c r="J95" i="5"/>
  <c r="J96" i="5"/>
  <c r="J97" i="5"/>
  <c r="J98" i="5"/>
  <c r="J99" i="5"/>
  <c r="J100" i="5"/>
  <c r="J101" i="5"/>
  <c r="J102" i="5"/>
  <c r="J103" i="5"/>
  <c r="J104" i="5"/>
  <c r="J105" i="5"/>
  <c r="J106" i="5"/>
  <c r="J107" i="5"/>
  <c r="J108" i="5"/>
  <c r="J109" i="5"/>
  <c r="J110" i="5"/>
  <c r="J111" i="5"/>
  <c r="J112" i="5"/>
  <c r="J113" i="5"/>
  <c r="J114" i="5"/>
  <c r="J115" i="5"/>
  <c r="J116" i="5"/>
  <c r="I35" i="5"/>
  <c r="I36" i="5"/>
  <c r="I37" i="5"/>
  <c r="I38" i="5"/>
  <c r="I39" i="5"/>
  <c r="I40" i="5"/>
  <c r="I41" i="5"/>
  <c r="I42" i="5"/>
  <c r="I43" i="5"/>
  <c r="I44" i="5"/>
  <c r="I45" i="5"/>
  <c r="I46" i="5"/>
  <c r="I47" i="5"/>
  <c r="I48" i="5"/>
  <c r="I49" i="5"/>
  <c r="I50" i="5"/>
  <c r="I51" i="5"/>
  <c r="I52" i="5"/>
  <c r="I53" i="5"/>
  <c r="I54" i="5"/>
  <c r="I55" i="5"/>
  <c r="I56" i="5"/>
  <c r="I57" i="5"/>
  <c r="I58" i="5"/>
  <c r="I59" i="5"/>
  <c r="I60" i="5"/>
  <c r="I61" i="5"/>
  <c r="I62" i="5"/>
  <c r="I63" i="5"/>
  <c r="I64" i="5"/>
  <c r="I65" i="5"/>
  <c r="I66" i="5"/>
  <c r="I67" i="5"/>
  <c r="I68" i="5"/>
  <c r="I69" i="5"/>
  <c r="I70" i="5"/>
  <c r="I71" i="5"/>
  <c r="I72" i="5"/>
  <c r="I73" i="5"/>
  <c r="I74" i="5"/>
  <c r="I75" i="5"/>
  <c r="I76" i="5"/>
  <c r="I77" i="5"/>
  <c r="I78" i="5"/>
  <c r="I79" i="5"/>
  <c r="I80" i="5"/>
  <c r="I81" i="5"/>
  <c r="I82" i="5"/>
  <c r="I83" i="5"/>
  <c r="I84" i="5"/>
  <c r="I85" i="5"/>
  <c r="I86" i="5"/>
  <c r="I87" i="5"/>
  <c r="I88" i="5"/>
  <c r="I89" i="5"/>
  <c r="I90" i="5"/>
  <c r="I91" i="5"/>
  <c r="I92" i="5"/>
  <c r="I93" i="5"/>
  <c r="I94" i="5"/>
  <c r="I95" i="5"/>
  <c r="I96" i="5"/>
  <c r="I97" i="5"/>
  <c r="I98" i="5"/>
  <c r="I99" i="5"/>
  <c r="I100" i="5"/>
  <c r="I101" i="5"/>
  <c r="I102" i="5"/>
  <c r="I103" i="5"/>
  <c r="I104" i="5"/>
  <c r="I105" i="5"/>
  <c r="I106" i="5"/>
  <c r="I108" i="5"/>
  <c r="I109" i="5"/>
  <c r="I110" i="5"/>
  <c r="I111" i="5"/>
  <c r="I112" i="5"/>
  <c r="I113" i="5"/>
  <c r="I114" i="5"/>
  <c r="I115" i="5"/>
  <c r="I116" i="5"/>
  <c r="G35" i="5"/>
  <c r="H35" i="5" s="1"/>
  <c r="G36" i="5"/>
  <c r="H36" i="5" s="1"/>
  <c r="G37" i="5"/>
  <c r="G38" i="5"/>
  <c r="H38" i="5" s="1"/>
  <c r="G39" i="5"/>
  <c r="H39" i="5" s="1"/>
  <c r="G40" i="5"/>
  <c r="H40" i="5" s="1"/>
  <c r="G41" i="5"/>
  <c r="H41" i="5" s="1"/>
  <c r="G42" i="5"/>
  <c r="H42" i="5" s="1"/>
  <c r="G43" i="5"/>
  <c r="H43" i="5" s="1"/>
  <c r="G44" i="5"/>
  <c r="H44" i="5" s="1"/>
  <c r="G45" i="5"/>
  <c r="H45" i="5" s="1"/>
  <c r="G46" i="5"/>
  <c r="H46" i="5" s="1"/>
  <c r="G47" i="5"/>
  <c r="H47" i="5" s="1"/>
  <c r="G48" i="5"/>
  <c r="H48" i="5" s="1"/>
  <c r="G49" i="5"/>
  <c r="H49" i="5" s="1"/>
  <c r="G50" i="5"/>
  <c r="H50" i="5" s="1"/>
  <c r="G51" i="5"/>
  <c r="H51" i="5" s="1"/>
  <c r="G52" i="5"/>
  <c r="H52" i="5" s="1"/>
  <c r="G53" i="5"/>
  <c r="H53" i="5" s="1"/>
  <c r="G54" i="5"/>
  <c r="H54" i="5" s="1"/>
  <c r="G55" i="5"/>
  <c r="H55" i="5" s="1"/>
  <c r="G56" i="5"/>
  <c r="H56" i="5" s="1"/>
  <c r="G57" i="5"/>
  <c r="H57" i="5" s="1"/>
  <c r="G58" i="5"/>
  <c r="H58" i="5" s="1"/>
  <c r="G59" i="5"/>
  <c r="H59" i="5" s="1"/>
  <c r="G60" i="5"/>
  <c r="H60" i="5" s="1"/>
  <c r="G61" i="5"/>
  <c r="H61" i="5" s="1"/>
  <c r="G62" i="5"/>
  <c r="H62" i="5" s="1"/>
  <c r="G63" i="5"/>
  <c r="H63" i="5" s="1"/>
  <c r="G64" i="5"/>
  <c r="H64" i="5" s="1"/>
  <c r="G65" i="5"/>
  <c r="H65" i="5" s="1"/>
  <c r="G66" i="5"/>
  <c r="H66" i="5" s="1"/>
  <c r="G67" i="5"/>
  <c r="H67" i="5" s="1"/>
  <c r="G68" i="5"/>
  <c r="H68" i="5" s="1"/>
  <c r="G69" i="5"/>
  <c r="H69" i="5" s="1"/>
  <c r="G70" i="5"/>
  <c r="H70" i="5" s="1"/>
  <c r="G71" i="5"/>
  <c r="H71" i="5" s="1"/>
  <c r="G72" i="5"/>
  <c r="H72" i="5" s="1"/>
  <c r="G73" i="5"/>
  <c r="H73" i="5" s="1"/>
  <c r="G74" i="5"/>
  <c r="H74" i="5" s="1"/>
  <c r="G75" i="5"/>
  <c r="H75" i="5" s="1"/>
  <c r="G76" i="5"/>
  <c r="H76" i="5" s="1"/>
  <c r="G77" i="5"/>
  <c r="H77" i="5" s="1"/>
  <c r="G78" i="5"/>
  <c r="H78" i="5" s="1"/>
  <c r="G79" i="5"/>
  <c r="H79" i="5" s="1"/>
  <c r="G80" i="5"/>
  <c r="H80" i="5" s="1"/>
  <c r="G81" i="5"/>
  <c r="H81" i="5" s="1"/>
  <c r="G82" i="5"/>
  <c r="H82" i="5" s="1"/>
  <c r="G83" i="5"/>
  <c r="H83" i="5" s="1"/>
  <c r="G84" i="5"/>
  <c r="H84" i="5" s="1"/>
  <c r="G85" i="5"/>
  <c r="H85" i="5" s="1"/>
  <c r="G86" i="5"/>
  <c r="H86" i="5" s="1"/>
  <c r="G87" i="5"/>
  <c r="H87" i="5" s="1"/>
  <c r="G88" i="5"/>
  <c r="H88" i="5" s="1"/>
  <c r="G89" i="5"/>
  <c r="H89" i="5" s="1"/>
  <c r="G90" i="5"/>
  <c r="H90" i="5" s="1"/>
  <c r="G91" i="5"/>
  <c r="H91" i="5" s="1"/>
  <c r="G92" i="5"/>
  <c r="H92" i="5" s="1"/>
  <c r="G93" i="5"/>
  <c r="H93" i="5" s="1"/>
  <c r="G94" i="5"/>
  <c r="H94" i="5" s="1"/>
  <c r="G95" i="5"/>
  <c r="H95" i="5" s="1"/>
  <c r="G96" i="5"/>
  <c r="G97" i="5"/>
  <c r="G98" i="5"/>
  <c r="H98" i="5" s="1"/>
  <c r="G99" i="5"/>
  <c r="H99" i="5" s="1"/>
  <c r="G100" i="5"/>
  <c r="H100" i="5" s="1"/>
  <c r="G101" i="5"/>
  <c r="H101" i="5" s="1"/>
  <c r="G102" i="5"/>
  <c r="H102" i="5" s="1"/>
  <c r="G103" i="5"/>
  <c r="H103" i="5" s="1"/>
  <c r="G104" i="5"/>
  <c r="H104" i="5" s="1"/>
  <c r="G105" i="5"/>
  <c r="H105" i="5" s="1"/>
  <c r="G106" i="5"/>
  <c r="H106" i="5" s="1"/>
  <c r="G107" i="5"/>
  <c r="H107" i="5" s="1"/>
  <c r="G108" i="5"/>
  <c r="H108" i="5" s="1"/>
  <c r="G109" i="5"/>
  <c r="H109" i="5" s="1"/>
  <c r="G110" i="5"/>
  <c r="H110" i="5" s="1"/>
  <c r="G111" i="5"/>
  <c r="H111" i="5" s="1"/>
  <c r="G112" i="5"/>
  <c r="H112" i="5" s="1"/>
  <c r="G113" i="5"/>
  <c r="H113" i="5" s="1"/>
  <c r="G114" i="5"/>
  <c r="H114" i="5" s="1"/>
  <c r="G115" i="5"/>
  <c r="G116" i="5"/>
  <c r="H116" i="5" s="1"/>
  <c r="E118" i="5"/>
  <c r="D118" i="5"/>
  <c r="A35" i="5"/>
  <c r="A36" i="5" s="1"/>
  <c r="A37" i="5" s="1"/>
  <c r="A38" i="5" s="1"/>
  <c r="A39" i="5" s="1"/>
  <c r="A40" i="5" s="1"/>
  <c r="A41" i="5" s="1"/>
  <c r="A42" i="5" s="1"/>
  <c r="A43" i="5" s="1"/>
  <c r="A44" i="5" s="1"/>
  <c r="A45" i="5" s="1"/>
  <c r="A46" i="5" s="1"/>
  <c r="A47" i="5" s="1"/>
  <c r="A48" i="5" s="1"/>
  <c r="A49" i="5" s="1"/>
  <c r="A50" i="5" s="1"/>
  <c r="A51" i="5" s="1"/>
  <c r="A52" i="5" s="1"/>
  <c r="A53" i="5" s="1"/>
  <c r="A54" i="5" s="1"/>
  <c r="A55" i="5" s="1"/>
  <c r="A56" i="5" s="1"/>
  <c r="A57" i="5" s="1"/>
  <c r="A58" i="5" s="1"/>
  <c r="A59" i="5" s="1"/>
  <c r="A60" i="5" s="1"/>
  <c r="A61" i="5" s="1"/>
  <c r="A62" i="5" s="1"/>
  <c r="A63" i="5" s="1"/>
  <c r="A64" i="5" s="1"/>
  <c r="A65" i="5" s="1"/>
  <c r="A66" i="5" s="1"/>
  <c r="A67" i="5" s="1"/>
  <c r="A68" i="5" s="1"/>
  <c r="A69" i="5" s="1"/>
  <c r="A70" i="5" s="1"/>
  <c r="A71" i="5" s="1"/>
  <c r="A72" i="5" s="1"/>
  <c r="A73" i="5" s="1"/>
  <c r="A74" i="5" s="1"/>
  <c r="A75" i="5" s="1"/>
  <c r="A76" i="5" s="1"/>
  <c r="A77" i="5" s="1"/>
  <c r="A78" i="5" s="1"/>
  <c r="A79" i="5" s="1"/>
  <c r="A80" i="5" s="1"/>
  <c r="A81" i="5" s="1"/>
  <c r="A82" i="5" s="1"/>
  <c r="A83" i="5" s="1"/>
  <c r="A84" i="5" s="1"/>
  <c r="A85" i="5" s="1"/>
  <c r="A86" i="5" s="1"/>
  <c r="A87" i="5" s="1"/>
  <c r="A88" i="5" s="1"/>
  <c r="A89" i="5" s="1"/>
  <c r="A90" i="5" s="1"/>
  <c r="A91" i="5" s="1"/>
  <c r="A92" i="5" s="1"/>
  <c r="A93" i="5" s="1"/>
  <c r="A94" i="5" s="1"/>
  <c r="A95" i="5" s="1"/>
  <c r="A96" i="5" s="1"/>
  <c r="A97" i="5" s="1"/>
  <c r="A98" i="5" s="1"/>
  <c r="A99" i="5" s="1"/>
  <c r="A100" i="5" s="1"/>
  <c r="A101" i="5" s="1"/>
  <c r="A102" i="5" s="1"/>
  <c r="A103" i="5" s="1"/>
  <c r="A104" i="5" s="1"/>
  <c r="A105" i="5" s="1"/>
  <c r="A106" i="5" s="1"/>
  <c r="A107" i="5" s="1"/>
  <c r="A108" i="5" s="1"/>
  <c r="A109" i="5" s="1"/>
  <c r="A110" i="5" s="1"/>
  <c r="A111" i="5" s="1"/>
  <c r="A112" i="5" s="1"/>
  <c r="A113" i="5" s="1"/>
  <c r="A114" i="5" s="1"/>
  <c r="A115" i="5" s="1"/>
  <c r="A116" i="5" s="1"/>
  <c r="E42" i="4"/>
  <c r="G24" i="5"/>
  <c r="H24" i="5" s="1"/>
  <c r="J34" i="5"/>
  <c r="I34" i="5"/>
  <c r="G34" i="5"/>
  <c r="H34" i="5" s="1"/>
  <c r="J33" i="5"/>
  <c r="I33" i="5"/>
  <c r="G33" i="5"/>
  <c r="J32" i="5"/>
  <c r="I32" i="5"/>
  <c r="G32" i="5"/>
  <c r="H32" i="5" s="1"/>
  <c r="J31" i="5"/>
  <c r="I31" i="5"/>
  <c r="G31" i="5"/>
  <c r="H31" i="5" s="1"/>
  <c r="J30" i="5"/>
  <c r="I30" i="5"/>
  <c r="G30" i="5"/>
  <c r="H30" i="5" s="1"/>
  <c r="J29" i="5"/>
  <c r="I29" i="5"/>
  <c r="G29" i="5"/>
  <c r="H29" i="5" s="1"/>
  <c r="J28" i="5"/>
  <c r="I28" i="5"/>
  <c r="G28" i="5"/>
  <c r="H28" i="5" s="1"/>
  <c r="J27" i="5"/>
  <c r="I27" i="5"/>
  <c r="G27" i="5"/>
  <c r="J26" i="5"/>
  <c r="I26" i="5"/>
  <c r="G26" i="5"/>
  <c r="H26" i="5" s="1"/>
  <c r="J25" i="5"/>
  <c r="I25" i="5"/>
  <c r="G25" i="5"/>
  <c r="H25" i="5" s="1"/>
  <c r="J24" i="5"/>
  <c r="I24" i="5"/>
  <c r="J23" i="5"/>
  <c r="I23" i="5"/>
  <c r="G23" i="5"/>
  <c r="J22" i="5"/>
  <c r="I22" i="5"/>
  <c r="G22" i="5"/>
  <c r="H22" i="5" s="1"/>
  <c r="J21" i="5"/>
  <c r="I21" i="5"/>
  <c r="G21" i="5"/>
  <c r="H21" i="5" s="1"/>
  <c r="J20" i="5"/>
  <c r="I20" i="5"/>
  <c r="G20" i="5"/>
  <c r="H20" i="5" s="1"/>
  <c r="J19" i="5"/>
  <c r="I19" i="5"/>
  <c r="G19" i="5"/>
  <c r="H19" i="5" s="1"/>
  <c r="J18" i="5"/>
  <c r="I18" i="5"/>
  <c r="G18" i="5"/>
  <c r="H18" i="5" s="1"/>
  <c r="J17" i="5"/>
  <c r="I17" i="5"/>
  <c r="G17" i="5"/>
  <c r="H17" i="5" s="1"/>
  <c r="J16" i="5"/>
  <c r="I16" i="5"/>
  <c r="G16" i="5"/>
  <c r="H16" i="5" s="1"/>
  <c r="N15" i="5"/>
  <c r="J15" i="5"/>
  <c r="I15" i="5"/>
  <c r="G15" i="5"/>
  <c r="J14" i="5"/>
  <c r="I14" i="5"/>
  <c r="B119" i="4"/>
  <c r="E92" i="4"/>
  <c r="E97" i="4" s="1"/>
  <c r="B101" i="4" s="1"/>
  <c r="N16" i="5" l="1"/>
  <c r="H96" i="5"/>
  <c r="H97" i="5"/>
  <c r="H27" i="5"/>
  <c r="H37" i="5"/>
  <c r="H115" i="5"/>
  <c r="H23" i="5"/>
  <c r="E84" i="4"/>
  <c r="B100" i="4" s="1"/>
  <c r="B118" i="4" s="1"/>
  <c r="I118" i="5"/>
  <c r="J118" i="5"/>
  <c r="H15" i="5"/>
  <c r="L15" i="5" s="1"/>
  <c r="H33" i="5"/>
  <c r="N18" i="5"/>
  <c r="L18" i="5" s="1"/>
  <c r="B102" i="4"/>
  <c r="L16" i="5" l="1"/>
  <c r="N17" i="5"/>
  <c r="L17" i="5" s="1"/>
  <c r="M17" i="5" s="1"/>
  <c r="M16" i="5"/>
  <c r="B99" i="4"/>
  <c r="N19" i="5"/>
  <c r="L19" i="5" s="1"/>
  <c r="G14" i="5"/>
  <c r="B129" i="4"/>
  <c r="B137" i="4" s="1"/>
  <c r="M15" i="5"/>
  <c r="G118" i="5" l="1"/>
  <c r="H14" i="5"/>
  <c r="M18" i="5"/>
  <c r="N20" i="5"/>
  <c r="L20" i="5" s="1"/>
  <c r="H118" i="5" l="1"/>
  <c r="L14" i="5"/>
  <c r="M14" i="5" s="1"/>
  <c r="M19" i="5"/>
  <c r="N21" i="5"/>
  <c r="L21" i="5" s="1"/>
  <c r="N22" i="5" l="1"/>
  <c r="L22" i="5" s="1"/>
  <c r="M20" i="5"/>
  <c r="N23" i="5" l="1"/>
  <c r="L23" i="5" s="1"/>
  <c r="M21" i="5"/>
  <c r="N24" i="5" l="1"/>
  <c r="L24" i="5" s="1"/>
  <c r="M22" i="5"/>
  <c r="M23" i="5" l="1"/>
  <c r="N25" i="5"/>
  <c r="L25" i="5" s="1"/>
  <c r="N26" i="5" l="1"/>
  <c r="L26" i="5" s="1"/>
  <c r="M24" i="5"/>
  <c r="M25" i="5" l="1"/>
  <c r="N27" i="5"/>
  <c r="L27" i="5" s="1"/>
  <c r="M26" i="5" l="1"/>
  <c r="N28" i="5"/>
  <c r="L28" i="5" s="1"/>
  <c r="M27" i="5" l="1"/>
  <c r="N29" i="5"/>
  <c r="L29" i="5" s="1"/>
  <c r="N30" i="5" l="1"/>
  <c r="L30" i="5" s="1"/>
  <c r="M28" i="5"/>
  <c r="N31" i="5" l="1"/>
  <c r="L31" i="5" s="1"/>
  <c r="M29" i="5"/>
  <c r="M30" i="5" l="1"/>
  <c r="N32" i="5"/>
  <c r="L32" i="5" s="1"/>
  <c r="M32" i="5" l="1"/>
  <c r="N33" i="5"/>
  <c r="L33" i="5" s="1"/>
  <c r="M31" i="5"/>
  <c r="N34" i="5" l="1"/>
  <c r="L34" i="5" s="1"/>
  <c r="M33" i="5"/>
  <c r="N35" i="5" l="1"/>
  <c r="L35" i="5" s="1"/>
  <c r="M34" i="5"/>
  <c r="N36" i="5" l="1"/>
  <c r="L36" i="5" s="1"/>
  <c r="M35" i="5"/>
  <c r="N37" i="5" l="1"/>
  <c r="L37" i="5" s="1"/>
  <c r="M36" i="5"/>
  <c r="N38" i="5" l="1"/>
  <c r="L38" i="5" s="1"/>
  <c r="M37" i="5"/>
  <c r="N39" i="5" l="1"/>
  <c r="L39" i="5" s="1"/>
  <c r="M38" i="5"/>
  <c r="N40" i="5" l="1"/>
  <c r="L40" i="5" s="1"/>
  <c r="M39" i="5"/>
  <c r="N41" i="5" l="1"/>
  <c r="L41" i="5" s="1"/>
  <c r="M40" i="5"/>
  <c r="N42" i="5" l="1"/>
  <c r="L42" i="5" s="1"/>
  <c r="M41" i="5"/>
  <c r="N43" i="5" l="1"/>
  <c r="L43" i="5" s="1"/>
  <c r="M42" i="5"/>
  <c r="N44" i="5" l="1"/>
  <c r="L44" i="5" s="1"/>
  <c r="M43" i="5"/>
  <c r="N45" i="5" l="1"/>
  <c r="L45" i="5" s="1"/>
  <c r="M44" i="5"/>
  <c r="N46" i="5" l="1"/>
  <c r="L46" i="5" s="1"/>
  <c r="M45" i="5"/>
  <c r="N47" i="5" l="1"/>
  <c r="L47" i="5" s="1"/>
  <c r="M46" i="5"/>
  <c r="N48" i="5" l="1"/>
  <c r="L48" i="5" s="1"/>
  <c r="M47" i="5"/>
  <c r="N49" i="5" l="1"/>
  <c r="L49" i="5" s="1"/>
  <c r="M48" i="5"/>
  <c r="N50" i="5" l="1"/>
  <c r="L50" i="5" s="1"/>
  <c r="M49" i="5"/>
  <c r="N51" i="5" l="1"/>
  <c r="L51" i="5" s="1"/>
  <c r="M50" i="5"/>
  <c r="N52" i="5" l="1"/>
  <c r="L52" i="5" s="1"/>
  <c r="M51" i="5"/>
  <c r="N53" i="5" l="1"/>
  <c r="L53" i="5" s="1"/>
  <c r="M52" i="5"/>
  <c r="N54" i="5" l="1"/>
  <c r="L54" i="5" s="1"/>
  <c r="M53" i="5"/>
  <c r="N55" i="5" l="1"/>
  <c r="L55" i="5" s="1"/>
  <c r="M54" i="5"/>
  <c r="N56" i="5" l="1"/>
  <c r="L56" i="5" s="1"/>
  <c r="M55" i="5"/>
  <c r="N57" i="5" l="1"/>
  <c r="L57" i="5" s="1"/>
  <c r="M56" i="5"/>
  <c r="N58" i="5" l="1"/>
  <c r="L58" i="5" s="1"/>
  <c r="M57" i="5"/>
  <c r="N59" i="5" l="1"/>
  <c r="L59" i="5" s="1"/>
  <c r="M58" i="5"/>
  <c r="N60" i="5" l="1"/>
  <c r="L60" i="5" s="1"/>
  <c r="M59" i="5"/>
  <c r="N61" i="5" l="1"/>
  <c r="L61" i="5" s="1"/>
  <c r="M60" i="5"/>
  <c r="N62" i="5" l="1"/>
  <c r="L62" i="5" s="1"/>
  <c r="M61" i="5"/>
  <c r="N63" i="5" l="1"/>
  <c r="L63" i="5" s="1"/>
  <c r="M62" i="5"/>
  <c r="N64" i="5" l="1"/>
  <c r="L64" i="5" s="1"/>
  <c r="M63" i="5"/>
  <c r="N65" i="5" l="1"/>
  <c r="L65" i="5" s="1"/>
  <c r="M64" i="5"/>
  <c r="N66" i="5" l="1"/>
  <c r="L66" i="5" s="1"/>
  <c r="M65" i="5"/>
  <c r="N67" i="5" l="1"/>
  <c r="L67" i="5" s="1"/>
  <c r="M66" i="5"/>
  <c r="N68" i="5" l="1"/>
  <c r="L68" i="5" s="1"/>
  <c r="M67" i="5"/>
  <c r="N69" i="5" l="1"/>
  <c r="L69" i="5" s="1"/>
  <c r="M68" i="5"/>
  <c r="N70" i="5" l="1"/>
  <c r="L70" i="5" s="1"/>
  <c r="M69" i="5"/>
  <c r="N71" i="5" l="1"/>
  <c r="L71" i="5" s="1"/>
  <c r="M70" i="5"/>
  <c r="N72" i="5" l="1"/>
  <c r="L72" i="5" s="1"/>
  <c r="M71" i="5"/>
  <c r="N73" i="5" l="1"/>
  <c r="L73" i="5" s="1"/>
  <c r="M72" i="5"/>
  <c r="N74" i="5" l="1"/>
  <c r="L74" i="5" s="1"/>
  <c r="M73" i="5"/>
  <c r="N75" i="5" l="1"/>
  <c r="L75" i="5" s="1"/>
  <c r="M74" i="5"/>
  <c r="N76" i="5" l="1"/>
  <c r="L76" i="5" s="1"/>
  <c r="M75" i="5"/>
  <c r="N77" i="5" l="1"/>
  <c r="L77" i="5" s="1"/>
  <c r="M76" i="5"/>
  <c r="N78" i="5" l="1"/>
  <c r="L78" i="5" s="1"/>
  <c r="M77" i="5"/>
  <c r="N79" i="5" l="1"/>
  <c r="L79" i="5" s="1"/>
  <c r="M78" i="5"/>
  <c r="N80" i="5" l="1"/>
  <c r="L80" i="5" s="1"/>
  <c r="M79" i="5"/>
  <c r="N81" i="5" l="1"/>
  <c r="L81" i="5" s="1"/>
  <c r="M80" i="5"/>
  <c r="N82" i="5" l="1"/>
  <c r="L82" i="5" s="1"/>
  <c r="M81" i="5"/>
  <c r="N83" i="5" l="1"/>
  <c r="L83" i="5" s="1"/>
  <c r="M82" i="5"/>
  <c r="N84" i="5" l="1"/>
  <c r="L84" i="5" s="1"/>
  <c r="M83" i="5"/>
  <c r="N85" i="5" l="1"/>
  <c r="L85" i="5" s="1"/>
  <c r="M84" i="5"/>
  <c r="N86" i="5" l="1"/>
  <c r="L86" i="5" s="1"/>
  <c r="M85" i="5"/>
  <c r="N87" i="5" l="1"/>
  <c r="L87" i="5" s="1"/>
  <c r="M86" i="5"/>
  <c r="N88" i="5" l="1"/>
  <c r="L88" i="5" s="1"/>
  <c r="M87" i="5"/>
  <c r="N89" i="5" l="1"/>
  <c r="L89" i="5" s="1"/>
  <c r="M88" i="5"/>
  <c r="N90" i="5" l="1"/>
  <c r="L90" i="5" s="1"/>
  <c r="M89" i="5"/>
  <c r="N91" i="5" l="1"/>
  <c r="L91" i="5" s="1"/>
  <c r="M90" i="5"/>
  <c r="N92" i="5" l="1"/>
  <c r="L92" i="5" s="1"/>
  <c r="M91" i="5"/>
  <c r="N93" i="5" l="1"/>
  <c r="L93" i="5" s="1"/>
  <c r="M92" i="5"/>
  <c r="N94" i="5" l="1"/>
  <c r="L94" i="5" s="1"/>
  <c r="M93" i="5"/>
  <c r="N95" i="5" l="1"/>
  <c r="L95" i="5" s="1"/>
  <c r="M94" i="5"/>
  <c r="N96" i="5" l="1"/>
  <c r="L96" i="5" s="1"/>
  <c r="M95" i="5"/>
  <c r="N97" i="5" l="1"/>
  <c r="L97" i="5" s="1"/>
  <c r="M96" i="5"/>
  <c r="N98" i="5" l="1"/>
  <c r="L98" i="5" s="1"/>
  <c r="M97" i="5"/>
  <c r="N99" i="5" l="1"/>
  <c r="L99" i="5" s="1"/>
  <c r="M98" i="5"/>
  <c r="N100" i="5" l="1"/>
  <c r="L100" i="5" s="1"/>
  <c r="M99" i="5"/>
  <c r="N101" i="5" l="1"/>
  <c r="L101" i="5" s="1"/>
  <c r="M100" i="5"/>
  <c r="N102" i="5" l="1"/>
  <c r="L102" i="5" s="1"/>
  <c r="M101" i="5"/>
  <c r="N103" i="5" l="1"/>
  <c r="L103" i="5" s="1"/>
  <c r="M102" i="5"/>
  <c r="N104" i="5" l="1"/>
  <c r="L104" i="5" s="1"/>
  <c r="M103" i="5"/>
  <c r="N105" i="5" l="1"/>
  <c r="L105" i="5" s="1"/>
  <c r="M104" i="5"/>
  <c r="N106" i="5" l="1"/>
  <c r="L106" i="5" s="1"/>
  <c r="M105" i="5"/>
  <c r="N107" i="5" l="1"/>
  <c r="L107" i="5" s="1"/>
  <c r="M106" i="5"/>
  <c r="N108" i="5" l="1"/>
  <c r="L108" i="5" s="1"/>
  <c r="M107" i="5"/>
  <c r="N109" i="5" l="1"/>
  <c r="L109" i="5" s="1"/>
  <c r="M108" i="5"/>
  <c r="N110" i="5" l="1"/>
  <c r="L110" i="5" s="1"/>
  <c r="M109" i="5"/>
  <c r="N111" i="5" l="1"/>
  <c r="L111" i="5" s="1"/>
  <c r="M110" i="5"/>
  <c r="N112" i="5" l="1"/>
  <c r="L112" i="5" s="1"/>
  <c r="M111" i="5"/>
  <c r="N113" i="5" l="1"/>
  <c r="L113" i="5" s="1"/>
  <c r="M112" i="5"/>
  <c r="N114" i="5" l="1"/>
  <c r="L114" i="5" s="1"/>
  <c r="M113" i="5"/>
  <c r="N115" i="5" l="1"/>
  <c r="L115" i="5" s="1"/>
  <c r="M114" i="5"/>
  <c r="N116" i="5" l="1"/>
  <c r="L116" i="5" s="1"/>
  <c r="M115" i="5"/>
  <c r="L118" i="5" l="1"/>
  <c r="M116" i="5"/>
  <c r="M118" i="5" s="1"/>
</calcChain>
</file>

<file path=xl/sharedStrings.xml><?xml version="1.0" encoding="utf-8"?>
<sst xmlns="http://schemas.openxmlformats.org/spreadsheetml/2006/main" count="304" uniqueCount="279">
  <si>
    <t>TOTAL</t>
  </si>
  <si>
    <t>Redondeo</t>
  </si>
  <si>
    <t>Ingresos</t>
  </si>
  <si>
    <t>PB - A POLICHISO RAMOS</t>
  </si>
  <si>
    <t>PB - B BATTISTA OMAR R.</t>
  </si>
  <si>
    <t>PB - C DIDIER OLGA</t>
  </si>
  <si>
    <t>PB - D XHARDEZ MARIA A.</t>
  </si>
  <si>
    <t>PB - E BRANDAN OSVALDO</t>
  </si>
  <si>
    <t>1 A VEGA RICARDO</t>
  </si>
  <si>
    <t>1 B ASTARITA SUSANA L.</t>
  </si>
  <si>
    <t>1 C GUGLIELMINI ANA M.</t>
  </si>
  <si>
    <t>1 D SCARPATI LORENA P.</t>
  </si>
  <si>
    <t>1 E BAZAN JOSE</t>
  </si>
  <si>
    <t>1 F KRAJCIR ERNESTO</t>
  </si>
  <si>
    <t>1 G AGOSTINI ALONSO</t>
  </si>
  <si>
    <t>2 A LORENA ELIZABETH CASSERO</t>
  </si>
  <si>
    <t>2 B BOQUETE ALFREDO</t>
  </si>
  <si>
    <t>2 C DESIMONE ROBERTO</t>
  </si>
  <si>
    <t>2 D KERULIS SILVIA</t>
  </si>
  <si>
    <t>2 E GARCIA SILVIA</t>
  </si>
  <si>
    <t>2 F LOPEZ MERCEDES R.</t>
  </si>
  <si>
    <t>2 G MENDEZ JORGE O.</t>
  </si>
  <si>
    <t>3 A POLLIO RICARDO</t>
  </si>
  <si>
    <t>3 B WASZNIEWSKI G.</t>
  </si>
  <si>
    <t xml:space="preserve">3 D GARCIA MANUELA </t>
  </si>
  <si>
    <t>3 E LASTIRI DANIELA</t>
  </si>
  <si>
    <t>3 F LOPEZ ESTEBAN</t>
  </si>
  <si>
    <t>3 G FONDACARO FEDERICO</t>
  </si>
  <si>
    <t>4 A FERNANDEZ LUCAS M.</t>
  </si>
  <si>
    <t>4 B FRIDMAN J. Y SRA.</t>
  </si>
  <si>
    <t>4 C FERREIRA DE SOUSA</t>
  </si>
  <si>
    <t>4 D DIAZ PETRONA A.</t>
  </si>
  <si>
    <t>4 E XHARDEZ MARIA E.</t>
  </si>
  <si>
    <t>4 F WASINGER ADRIANA B.</t>
  </si>
  <si>
    <t>4 G OLIVERA LORENZO</t>
  </si>
  <si>
    <t>5 A EL FASAH JORGE</t>
  </si>
  <si>
    <t>5 B DAMONTE ANDREA</t>
  </si>
  <si>
    <t>5 C LOPEZ MARCEL MABEL</t>
  </si>
  <si>
    <t>5 D BANFI SILVIA R.</t>
  </si>
  <si>
    <t>5 E BUCETA M. ARACELI</t>
  </si>
  <si>
    <t>5 F BARABALLE OSCAR</t>
  </si>
  <si>
    <t>5 G IRAZABAL SUEIRO</t>
  </si>
  <si>
    <t>6 A MILLEFANTI CARINA</t>
  </si>
  <si>
    <t>6 B SETTE HORACIO Y SRA.</t>
  </si>
  <si>
    <t>6 D BALBIN BEATRIZ DE</t>
  </si>
  <si>
    <t>6 E LEVY JORGE OSVALDO</t>
  </si>
  <si>
    <t>6 F KUZIEMSKI ANGELICA</t>
  </si>
  <si>
    <t>6 G TULIPANI ANGELICA</t>
  </si>
  <si>
    <t>7 A OLIVERA JORGE</t>
  </si>
  <si>
    <t>7 B GASCON PAOLA V.</t>
  </si>
  <si>
    <t>7 C CASTALDI GUSTAVO</t>
  </si>
  <si>
    <t>7 D SCUNIO HECTOR F.</t>
  </si>
  <si>
    <t>7 E RODRIGUEZ FERNANDO</t>
  </si>
  <si>
    <t>7 F MAONE OSVALDO</t>
  </si>
  <si>
    <t>7 G MORALES MIRIAM M.</t>
  </si>
  <si>
    <t>8 A SANTOS PASCUAL</t>
  </si>
  <si>
    <t>8 B FANELLI EDITH</t>
  </si>
  <si>
    <t>8 C KRUK ANA MARIA</t>
  </si>
  <si>
    <t>8 D RIOS ELIDA</t>
  </si>
  <si>
    <t>8 E ALEJO HORACIO</t>
  </si>
  <si>
    <t>8 F BOSSETTI CARLOS E.</t>
  </si>
  <si>
    <t>8 G DE MATO Y SORRENTI</t>
  </si>
  <si>
    <t>9 A SANTOS CARDOZO</t>
  </si>
  <si>
    <t>9 B BELIZAN RUBEN OMAR</t>
  </si>
  <si>
    <t>9 C LOMBARDO MARIA DEL</t>
  </si>
  <si>
    <t>9 D CALVIÑO LUCAS</t>
  </si>
  <si>
    <t>9 E NOE FRANCISCO N.</t>
  </si>
  <si>
    <t>9 F DE MOGLIONI LORENZO</t>
  </si>
  <si>
    <t>9 G MOLINA AMANDA</t>
  </si>
  <si>
    <t>10 A CARBAJALES JOSE</t>
  </si>
  <si>
    <t>10 B RAMOS ALBERTO</t>
  </si>
  <si>
    <t>10 C NANI DEL VALLE J.</t>
  </si>
  <si>
    <t>10 D DE ALBA MARIA L.</t>
  </si>
  <si>
    <t>10 E LANZILLOTA DIEGO J.</t>
  </si>
  <si>
    <t>10 F PEDROUZO JORGE LUIS</t>
  </si>
  <si>
    <t>10 G FANELLI EDITH</t>
  </si>
  <si>
    <t>11 A LEOPARDI A.</t>
  </si>
  <si>
    <t>11 B VILARDO LILIANA</t>
  </si>
  <si>
    <t>11 C LODICO HORACIO</t>
  </si>
  <si>
    <t>11 D ANTUNEZ RUBEN</t>
  </si>
  <si>
    <t>11 E MIRAGAYA JORGE OMAR</t>
  </si>
  <si>
    <t>11 F ANTUNEZ RUBEN DANIEL</t>
  </si>
  <si>
    <t>11 G POLONI JOSE</t>
  </si>
  <si>
    <t>12 A TORRES G. ZULLY</t>
  </si>
  <si>
    <t>12 B BALLESTEROS SENCIO</t>
  </si>
  <si>
    <t>12 C SABHA DANIEL</t>
  </si>
  <si>
    <t>12 D LANNI KARINA PAOLA</t>
  </si>
  <si>
    <t>12 E DAVILA JUAN</t>
  </si>
  <si>
    <t>12 F SUC. DE F. CAMPOS</t>
  </si>
  <si>
    <t>12 G NOSACH SERGIO</t>
  </si>
  <si>
    <t>12 E COCHERA F. DAVILA JUAN</t>
  </si>
  <si>
    <t>11 G COCHERA N. POLONI JOSE</t>
  </si>
  <si>
    <t>11 A COCHERA E LEOPARDI A.</t>
  </si>
  <si>
    <t>8 E COCHERA G. ALEJO HORACIO</t>
  </si>
  <si>
    <t>5 C COCHERA L. LOPEZ MARCELO</t>
  </si>
  <si>
    <t>4 B COCHERA FRIDMAN J. Y SRA.</t>
  </si>
  <si>
    <t>3 B COCHERA WASZNIEWSKI G.</t>
  </si>
  <si>
    <t>7 B COCHERA C. GASCON P. V.</t>
  </si>
  <si>
    <t>2 G COCHERA MENDEZ JORGE O.</t>
  </si>
  <si>
    <t>2 C COCHERA J. ALEJO HORACIO</t>
  </si>
  <si>
    <t>1 E COCHERA H. BAZAN JOSE</t>
  </si>
  <si>
    <t>6 C LEOBONO MIRIAM G,</t>
  </si>
  <si>
    <t>LIQUIDACION DE EXPENSAS</t>
  </si>
  <si>
    <t>ADMINISTRADORA: CAROLINA CANCIANI MP:1148</t>
  </si>
  <si>
    <t>HORARIOS DE ATENCION: LUNES A VIERNES</t>
  </si>
  <si>
    <t>ESTIMADOS PROPIETARIOS E INQUILINOS: POR FAVOR LOS QUE ABONAN EN PRIMER VENCIMIENTO ABONEN EL MONTO DE PRIMER VENCIMIENTO, ASI AGILIZAN LA LIQUIDACION, RESPETEN LOS CENTAVOS CORRESPONDIENTES A LA UNIDAD FUNCIONAL. ES DE CARÁCTER OBLIGATORIO INFORMAR VIA MAIL LAS EXPENSAS. PORFAVOR RESPETAR LOS CENTAVOS AL ABONAR.</t>
  </si>
  <si>
    <t>GASTOS A - UNIDADES FUNCIONALES:</t>
  </si>
  <si>
    <t xml:space="preserve">TOTAL </t>
  </si>
  <si>
    <t xml:space="preserve">SEGUROS </t>
  </si>
  <si>
    <t>TOTAL IMPUESTO</t>
  </si>
  <si>
    <t>ABONOS Y SERVICIOS</t>
  </si>
  <si>
    <t>Edesur</t>
  </si>
  <si>
    <t>Metrogas</t>
  </si>
  <si>
    <t>AySa</t>
  </si>
  <si>
    <t>Servicio de interet Claro</t>
  </si>
  <si>
    <t>TOTAL ABONOS Y SERVICIOS</t>
  </si>
  <si>
    <t>HONORARIOS</t>
  </si>
  <si>
    <t>GASTOS BANCARIOS</t>
  </si>
  <si>
    <t>PREVISION GASTOS A</t>
  </si>
  <si>
    <t>TOTAL GASTOS A</t>
  </si>
  <si>
    <t>GASTOS B:</t>
  </si>
  <si>
    <t>PREVISION GASTOS B</t>
  </si>
  <si>
    <t>TOTAL GASTOS B:</t>
  </si>
  <si>
    <t>GASTOS A + PREVISION (A) :</t>
  </si>
  <si>
    <t>GASTOS A SIN PREVISION:</t>
  </si>
  <si>
    <t>GASTOS B SIN PREVISION:</t>
  </si>
  <si>
    <t>GASTOS B CON PREVISION (B):</t>
  </si>
  <si>
    <t>Pagos sin identificar</t>
  </si>
  <si>
    <t>DEPOSITOS NO IDENTIFICADOS</t>
  </si>
  <si>
    <t>Gastos B</t>
  </si>
  <si>
    <t>Gastos A</t>
  </si>
  <si>
    <t>UF</t>
  </si>
  <si>
    <t>Propietario</t>
  </si>
  <si>
    <t>Inquilinos</t>
  </si>
  <si>
    <t xml:space="preserve"> (%)</t>
  </si>
  <si>
    <t xml:space="preserve">Saldo Ord </t>
  </si>
  <si>
    <t xml:space="preserve">Ingreso </t>
  </si>
  <si>
    <t>Deuda o Saldo a favor</t>
  </si>
  <si>
    <t>Interes 3%</t>
  </si>
  <si>
    <t>Total 1er Vto</t>
  </si>
  <si>
    <t>Total 2do Vto</t>
  </si>
  <si>
    <t xml:space="preserve">CONS. DE PROP. ITALIA 2156                                                                                                                                                                    
</t>
  </si>
  <si>
    <t xml:space="preserve">Cesar Alberto Britez - CUIL 20-23524002-6 </t>
  </si>
  <si>
    <t>IMPUESTOS</t>
  </si>
  <si>
    <t>TOTAL IMPUESTOS</t>
  </si>
  <si>
    <t>Sindicato - Suther</t>
  </si>
  <si>
    <t>Sindicato - Fathery</t>
  </si>
  <si>
    <t>Sindicato - Seracarh</t>
  </si>
  <si>
    <t>Allianz Arg. Cía. De Seguros - Seguro Integral del Edificio - Póliza Nro. 230230731426</t>
  </si>
  <si>
    <t>Allianz Arg. Cía. De Seguros - Seguro Combinado Familiar - Póliza Nro.  240150822164</t>
  </si>
  <si>
    <t xml:space="preserve">Egresos del mes </t>
  </si>
  <si>
    <t>TOTAL GASTOS B</t>
  </si>
  <si>
    <t xml:space="preserve">MAIL: italia2156rc@gmail.com
</t>
  </si>
  <si>
    <t>NÚMERO DE CUENTA: Cta. Cte. $ 191-054-034938/2 - BANCO CREDICOP - CBU : 1910054455005403493828</t>
  </si>
  <si>
    <t>CUIT DEL EDIFICIO: 30-56229064-4</t>
  </si>
  <si>
    <t>CUIT ADMINISTRACION:  27-23125687-9</t>
  </si>
  <si>
    <t>Mantenimiento de cuenta - Banco ROELA</t>
  </si>
  <si>
    <t>Mantenimiento de cuenta - Banco Credicop</t>
  </si>
  <si>
    <t>Gastos bancarios - Credicop</t>
  </si>
  <si>
    <t>ARCA VEP</t>
  </si>
  <si>
    <t>Municipalidad de avellaneda</t>
  </si>
  <si>
    <t>Silvana Valeria Arredondo</t>
  </si>
  <si>
    <t>Deposita  - Angelica Kuziemski</t>
  </si>
  <si>
    <t>Cartegena Silvia jaqueline</t>
  </si>
  <si>
    <t>Olivera Martin Sebastian</t>
  </si>
  <si>
    <t>Matias Ragmilevich</t>
  </si>
  <si>
    <t>Tiene la cochera uf 100</t>
  </si>
  <si>
    <t>Paola Massielainy</t>
  </si>
  <si>
    <t>QUIENES ESTAN COLOREADOS DE COLOR VIOLETA NO ESTAN RESPETANDO LOS CENTAVOS AL ABONAR</t>
  </si>
  <si>
    <t>QUIENES ESTAN EN COLOR ROSADO POSEEN UN PLAN DE PAGOS VIGENTE</t>
  </si>
  <si>
    <t>¡IMPORTANTE!                                                                                                                                                                                                                                                                                                                                                                    Al momento de registrar los pagos de expensas de las distintas Unidades Funcionales, consideramos importante aclarar el siguiente procedimiento, a fin de evitar confusiones en la imputación de los mismos.
El sistema que utilizamos asigna centavos únicos a cada Unidad Funcional (UF), los cuales funcionan como un identificador automático para reconocer a qué Unidad Funcional corresponde cada transferencia.
Es decir, cada Unidad Funcional tiene asignado un número específico de centavos que debe respetarse al momento de realizar el pago.
Ejemplo: Si la Unidad Funcional es la N.º 45, el importe a abonar deberá finalizar en $,45.
En caso de poseer más de una Unidad Funcional, cada una contará con su propio código de centavos. En estas situaciones, solicitamos realizar una transferencia individual por cada UF, respetando el importe y los centavos correspondientes a cada una.
Entendemos que, por una cuestión de practicidad, a veces se opta por realizar una única transferencia, pero esto puede generar errores o demoras en la imputación automática de los pagos. La separación de los mismos nos permite llevar un control ordenado y preciso.
Por lo expuesto, solicitamos encarecidamente que, a partir de ahora, todas las transferencias se realicen respetando los centavos asignados a la Unidad Funcional correspondiente, a fin de asegurar su correcta imputación.
Agradecemos desde ya su colaboración y comprensión.
Muchas gracias.</t>
  </si>
  <si>
    <t>Efectivo</t>
  </si>
  <si>
    <t>SALDO REAL RECIBIDO - BANCO ROELA - CREDICOP Y EFECTIVO</t>
  </si>
  <si>
    <t xml:space="preserve">CAJA DE BANCOS </t>
  </si>
  <si>
    <t>Haberes</t>
  </si>
  <si>
    <t>Descuentos</t>
  </si>
  <si>
    <t>Sra. Abogada Lorena Ferreiro - Honorarios</t>
  </si>
  <si>
    <t>Abono ascensor - Lema Ascensores - Mantenimiento</t>
  </si>
  <si>
    <t>Montoya Alejandra - Articulos de limpieza</t>
  </si>
  <si>
    <t>4 E COCHERA XHARDEZ MARIA EUGENIA</t>
  </si>
  <si>
    <t>AYALA GASTON</t>
  </si>
  <si>
    <t>Silvana Valeria Arredondo - Braian Brito</t>
  </si>
  <si>
    <t>VTO 13/03</t>
  </si>
  <si>
    <t>Matafuegos MegaSeg - Recarga de matafuegos</t>
  </si>
  <si>
    <t>Transf 10/02</t>
  </si>
  <si>
    <t>Suarez Agustin Ignacio - Fumigacion Febrero</t>
  </si>
  <si>
    <t>Trabsf 11/02</t>
  </si>
  <si>
    <t>Destapacion Roman - Cuota 4/5</t>
  </si>
  <si>
    <t>Transf 19/02</t>
  </si>
  <si>
    <t>Ascensores Lema -  Provision y colocacion, regulacion y cambio de cintas de freno en ascensores 2 y 3</t>
  </si>
  <si>
    <t>PERÍODO: FEBRERO</t>
  </si>
  <si>
    <t>Honorarios administracion - Mes de FEBRERO</t>
  </si>
  <si>
    <t>Ascensores Lema - Acortamiento de cables de acero, previo dispositivo de suspender la cabina con un aparejo, desmontar los cables de la polea para hacer el acortamiento. Desmonte completo del regulador de velocidad, debido a que se desviaron los soportes del caballete del regulador. Tuvimos que usar el regulador original, acoplarlos y regularlos. Puesta en posicion de guiadores de abajo del contra peso y los suplementarios para que no se vuelvan a salir de posicion en el ascensor del medio</t>
  </si>
  <si>
    <t>PMC 03/02</t>
  </si>
  <si>
    <t>Transf 18/02</t>
  </si>
  <si>
    <t>Transf 09/02 - 10/02 y Efectivo</t>
  </si>
  <si>
    <t>Transf 11/02</t>
  </si>
  <si>
    <t>Debito 16/02</t>
  </si>
  <si>
    <t>InOut Control - Comodato control y camaras Enero</t>
  </si>
  <si>
    <t>Debito 10/02</t>
  </si>
  <si>
    <t>Sra. Gisela Alcaraz reemplazo Vacaciones Sr. Cesar</t>
  </si>
  <si>
    <t>Honorarios Sra. Gisela</t>
  </si>
  <si>
    <t>Fotocopias - Librería</t>
  </si>
  <si>
    <t>Transf 02/02</t>
  </si>
  <si>
    <t>Transf 24/02</t>
  </si>
  <si>
    <t>Destapacion Roman -Destapación de cloaca
Desde acceso en cámara del fondo hacia siguiente dos cámaras, 30 metros;
desde cámara hacia cámara principal en sector patio – cámara estacionamiento, 20 metros.
Total: 50 metros.</t>
  </si>
  <si>
    <t>Transf 23/02</t>
  </si>
  <si>
    <t>Doartero julio - Trabajo de colocacion de llave de paso 3D</t>
  </si>
  <si>
    <t>Russo Ruben Alberto - 2 Cabos de madera</t>
  </si>
  <si>
    <t>Doartero Julio - Inspeccion de gas</t>
  </si>
  <si>
    <t>Transf 13/02</t>
  </si>
  <si>
    <t>Transf 10/02-13/02/17/02-23/02</t>
  </si>
  <si>
    <t>Debito 18/02</t>
  </si>
  <si>
    <t>ARCA - Plan de pago - Cuota 43/60</t>
  </si>
  <si>
    <t>Debito ROELA 06/02</t>
  </si>
  <si>
    <t>Debito 04/02</t>
  </si>
  <si>
    <t>Cliente 4873380</t>
  </si>
  <si>
    <t>Cliente 1295184</t>
  </si>
  <si>
    <t>Debito 23/02</t>
  </si>
  <si>
    <t>Cliente 0304290</t>
  </si>
  <si>
    <t>Timbrado consorcio con / Lo Dico (Embargo)</t>
  </si>
  <si>
    <t>Andes Ascensores - Recambio de cintas de freno en ascensor 2 y 3  según presupuesto aceptado - Pago por el 12B y 12A</t>
  </si>
  <si>
    <t>Transferencia imputada a la Unidad funcional incorrecta del mes anterior ya que la unidad funcional 59 abono con $,53 centavos</t>
  </si>
  <si>
    <t>Deposito ya identificado del mes de Noviembre 10C</t>
  </si>
  <si>
    <t>Punitorios mal cobrados 10C</t>
  </si>
  <si>
    <t>Punitorios mal cobrados 2C</t>
  </si>
  <si>
    <t>Doartero julio - Emergencia electrica y cambio de cables</t>
  </si>
  <si>
    <t>Macarena Crespo nueva inquilina - Sandra noemi crespo</t>
  </si>
  <si>
    <t>Ramon Troncoso - 13/02</t>
  </si>
  <si>
    <t>Deposito ya identificado del mes de Diciembre 9C</t>
  </si>
  <si>
    <t>Punitorios mal cobrados 9C</t>
  </si>
  <si>
    <t>Taiel Alejandro Biscarra / Vizcarra</t>
  </si>
  <si>
    <t>Fernando daniel Minxxo / Jeremy Naguel</t>
  </si>
  <si>
    <t>Punitorios mal cobrados 5F</t>
  </si>
  <si>
    <t>Deposito ya identificado del mes de Diciembre 5F</t>
  </si>
  <si>
    <t xml:space="preserve">Plan de pago de 4G: Consta de 7 cuotas de $170.000 + expensas en curso </t>
  </si>
  <si>
    <t>Acuerdo de deuda 4G - Plan de pago (Abonado por UF)</t>
  </si>
  <si>
    <t>Acuerdo de deuda 11C - Plan de pago (Abonado por UF)</t>
  </si>
  <si>
    <t xml:space="preserve">Plan de pago de 11C: Consta de 11 cuotas de 250.000 + expensas en curso </t>
  </si>
  <si>
    <t>Adelanto de plan de pagos 4G</t>
  </si>
  <si>
    <t>Adelanto de plan de pagos 11C</t>
  </si>
  <si>
    <t>Adelanto plan de pagos 6B</t>
  </si>
  <si>
    <t>Acuerdo de deuda 6B - Plan de pago (Abonado por UF)</t>
  </si>
  <si>
    <t>Ingreso efectivo - Cuota 4/24 - Plan de pagos 3A</t>
  </si>
  <si>
    <t>10 A 15HS - EMERGENCIAS 24HS</t>
  </si>
  <si>
    <t>Destapacion 9C</t>
  </si>
  <si>
    <t>Gasto particular</t>
  </si>
  <si>
    <t>Gastos bancarios - ROELA y cierre de cuenta</t>
  </si>
  <si>
    <t>Gustavo Padron -  Sr. Contador - FEBRERO</t>
  </si>
  <si>
    <t>Oscar Colmeiro – Obra de plomería: se realiza el cambio de desagües de cocinas y lavaderos en las unidades E y F de los pisos 7°, 6°, 5°, 4°, 3°, incluyendo además el cambio de bajada y desagües de cocina y lavadero en las unidades E y F del piso 2°, del piso 1° y de Planta Baja, realizándose en todos los casos el mismo tipo de trabajo.</t>
  </si>
  <si>
    <t xml:space="preserve"> Pago por el 12B y 12A mes de Noviembre</t>
  </si>
  <si>
    <t>Debito 27/02</t>
  </si>
  <si>
    <t xml:space="preserve">Federacion Patronal - Poliza 2280633 - Seguro integral para consorcio </t>
  </si>
  <si>
    <t>LA CUENTA DEL BANCO ROELA FUE CERRADA, SOLO SE PUEDE TRANSFERIR AL CREDICOP</t>
  </si>
  <si>
    <t>LA CUENTA BANCARIA DEL BANCO ROELA HA SIDO CERRADA, TRANSFERENCIAS SOLO AL CREDICOP</t>
  </si>
  <si>
    <t>Seguro Sra. Gisela</t>
  </si>
  <si>
    <t>En diciembre debia abonar</t>
  </si>
  <si>
    <t>Abono</t>
  </si>
  <si>
    <t>Deuda:</t>
  </si>
  <si>
    <t>En enero debia abonar:</t>
  </si>
  <si>
    <t>Expensas para abonar en enero</t>
  </si>
  <si>
    <t>Expensas para abonar en Febrero</t>
  </si>
  <si>
    <t>Total a abonar en febrero (expensas + deuda) - Descontamos punitorios</t>
  </si>
  <si>
    <t>En febrero debia abonar:</t>
  </si>
  <si>
    <t>Expensas para abonar en Marzo</t>
  </si>
  <si>
    <t>Al 7F le hicimos su situacion detallada al pie de la letra debe abonar $371.016,53</t>
  </si>
  <si>
    <t>Todo este problema con los números se origina en el mes de enero, cuando la unidad funcional 7°F no realizó ningún pago. En ese mismo período, otro propietario efectuó un pago con una terminacion de 53 centavos, lo que generó que el sistema de la administración imputara ese pago a la unidad funcional 7°F, cuando en realidad dicha unidad nunca abonó. Debido a que el inconveniente y la confusión se originan a partir de una situación ajena a la unidad funcional 7°F, la administración decidió no aplicar los punitorios correspondientes al momento de rehacer y corregir los cálculos.</t>
  </si>
  <si>
    <t>Deuda a Financiar</t>
  </si>
  <si>
    <t>Ingreso de convenio</t>
  </si>
  <si>
    <t>Saldo</t>
  </si>
  <si>
    <t>Gastos A Febrero</t>
  </si>
  <si>
    <t>Gastos B Febrero</t>
  </si>
  <si>
    <t>Total</t>
  </si>
  <si>
    <t>En el mes de febrero se abonaron $200.000,42 pesos que correspondieron $132.000 en concepto de honorarios de la Sra. Abogada y el restante ($68.000 en concepto de adelanto)</t>
  </si>
  <si>
    <t xml:space="preserve">El saldo total sera abonado mediante 24 cuotas de $33.000 </t>
  </si>
  <si>
    <t>Al 7D le debemos poner el deposito no identificado de enero de $110,000 este mes debe abonar $123.612,51</t>
  </si>
  <si>
    <t>El 3C tiene nuevo propietario,  Marotta Pablo, agregarlo a la cadena de mails pabloeze.marotta@gmail.com</t>
  </si>
  <si>
    <t>8C deposito $132.520 el 12/03</t>
  </si>
  <si>
    <t>3 C MAROTTA PABLO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</si>
</sst>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8" formatCode="&quot;$&quot;\ #,##0.00;[Red]\-&quot;$&quot;\ #,##0.00"/>
    <numFmt numFmtId="44" formatCode="_-&quot;$&quot;\ * #,##0.00_-;\-&quot;$&quot;\ * #,##0.00_-;_-&quot;$&quot;\ * &quot;-&quot;??_-;_-@_-"/>
    <numFmt numFmtId="43" formatCode="_-* #,##0.00_-;\-* #,##0.00_-;_-* &quot;-&quot;??_-;_-@_-"/>
    <numFmt numFmtId="164" formatCode="_-&quot;$&quot;\ * #,##0.0_-;\-&quot;$&quot;\ * #,##0.0_-;_-&quot;$&quot;\ * &quot;-&quot;??_-;_-@_-"/>
    <numFmt numFmtId="165" formatCode="_-[$$-2C0A]\ * #,##0.0_-;\-[$$-2C0A]\ * #,##0.0_-;_-[$$-2C0A]\ * &quot;-&quot;??_-;_-@_-"/>
    <numFmt numFmtId="166" formatCode="_-[$$-2C0A]\ * #,##0.00_-;\-[$$-2C0A]\ * #,##0.00_-;_-[$$-2C0A]\ * &quot;-&quot;??_-;_-@_-"/>
    <numFmt numFmtId="167" formatCode="_-&quot;$&quot;\ * #,##0_-;\-&quot;$&quot;\ * #,##0_-;_-&quot;$&quot;\ * &quot;-&quot;??_-;_-@_-"/>
    <numFmt numFmtId="168" formatCode="0.000"/>
  </numFmts>
  <fonts count="24" x14ac:knownFonts="1">
    <font>
      <sz val="11"/>
      <color theme="1"/>
      <name val="Calibri"/>
      <family val="2"/>
      <scheme val="minor"/>
    </font>
    <font>
      <b/>
      <sz val="11"/>
      <color theme="1"/>
      <name val="Calibri"/>
      <family val="2"/>
      <scheme val="minor"/>
    </font>
    <font>
      <b/>
      <sz val="10"/>
      <color theme="1"/>
      <name val="Calibri"/>
      <family val="2"/>
      <scheme val="minor"/>
    </font>
    <font>
      <sz val="10"/>
      <color theme="1"/>
      <name val="Calibri"/>
      <family val="2"/>
      <scheme val="minor"/>
    </font>
    <font>
      <b/>
      <sz val="14"/>
      <color theme="1"/>
      <name val="Calibri"/>
      <family val="2"/>
      <scheme val="minor"/>
    </font>
    <font>
      <b/>
      <sz val="12"/>
      <color theme="1"/>
      <name val="Calibri"/>
      <family val="2"/>
      <scheme val="minor"/>
    </font>
    <font>
      <sz val="11"/>
      <color theme="1"/>
      <name val="Calibri"/>
      <family val="2"/>
      <scheme val="minor"/>
    </font>
    <font>
      <b/>
      <sz val="11"/>
      <color theme="0"/>
      <name val="Calibri"/>
      <family val="2"/>
      <scheme val="minor"/>
    </font>
    <font>
      <sz val="11"/>
      <color rgb="FFFF0000"/>
      <name val="Calibri"/>
      <family val="2"/>
      <scheme val="minor"/>
    </font>
    <font>
      <b/>
      <sz val="16"/>
      <color theme="1"/>
      <name val="Calibri"/>
      <family val="2"/>
      <scheme val="minor"/>
    </font>
    <font>
      <b/>
      <i/>
      <u/>
      <sz val="11"/>
      <color theme="1"/>
      <name val="Calibri"/>
      <family val="2"/>
      <scheme val="minor"/>
    </font>
    <font>
      <b/>
      <i/>
      <u/>
      <sz val="11"/>
      <name val="Calibri"/>
      <family val="2"/>
      <scheme val="minor"/>
    </font>
    <font>
      <b/>
      <i/>
      <u/>
      <sz val="10"/>
      <color theme="1"/>
      <name val="Calibri"/>
      <family val="2"/>
      <scheme val="minor"/>
    </font>
    <font>
      <sz val="11"/>
      <name val="Calibri"/>
      <family val="2"/>
      <scheme val="minor"/>
    </font>
    <font>
      <sz val="10"/>
      <name val="Calibri"/>
      <family val="2"/>
      <scheme val="minor"/>
    </font>
    <font>
      <b/>
      <sz val="11"/>
      <name val="Calibri"/>
      <family val="2"/>
      <scheme val="minor"/>
    </font>
    <font>
      <sz val="9"/>
      <name val="Calibri"/>
      <family val="2"/>
      <scheme val="minor"/>
    </font>
    <font>
      <b/>
      <sz val="10"/>
      <name val="Calibri"/>
      <family val="2"/>
      <scheme val="minor"/>
    </font>
    <font>
      <sz val="9"/>
      <color theme="1"/>
      <name val="Calibri"/>
      <family val="2"/>
      <scheme val="minor"/>
    </font>
    <font>
      <sz val="8"/>
      <color theme="1"/>
      <name val="Calibri"/>
      <family val="2"/>
      <scheme val="minor"/>
    </font>
    <font>
      <sz val="8"/>
      <name val="Calibri"/>
      <family val="2"/>
      <scheme val="minor"/>
    </font>
    <font>
      <sz val="8"/>
      <color theme="0"/>
      <name val="Calibri"/>
      <family val="2"/>
      <scheme val="minor"/>
    </font>
    <font>
      <sz val="10"/>
      <color rgb="FFFF0000"/>
      <name val="Calibri"/>
      <family val="2"/>
      <scheme val="minor"/>
    </font>
    <font>
      <b/>
      <i/>
      <u/>
      <sz val="10"/>
      <name val="Calibri"/>
      <family val="2"/>
      <scheme val="minor"/>
    </font>
  </fonts>
  <fills count="18">
    <fill>
      <patternFill patternType="none"/>
    </fill>
    <fill>
      <patternFill patternType="gray125"/>
    </fill>
    <fill>
      <patternFill patternType="solid">
        <fgColor theme="0"/>
        <bgColor indexed="64"/>
      </patternFill>
    </fill>
    <fill>
      <patternFill patternType="solid">
        <fgColor theme="4" tint="0.59999389629810485"/>
        <bgColor indexed="64"/>
      </patternFill>
    </fill>
    <fill>
      <patternFill patternType="solid">
        <fgColor rgb="FFFFFF00"/>
        <bgColor indexed="64"/>
      </patternFill>
    </fill>
    <fill>
      <patternFill patternType="solid">
        <fgColor theme="4" tint="0.39997558519241921"/>
        <bgColor indexed="64"/>
      </patternFill>
    </fill>
    <fill>
      <patternFill patternType="solid">
        <fgColor rgb="FFFFC000"/>
        <bgColor indexed="64"/>
      </patternFill>
    </fill>
    <fill>
      <patternFill patternType="solid">
        <fgColor theme="3" tint="0.39997558519241921"/>
        <bgColor indexed="64"/>
      </patternFill>
    </fill>
    <fill>
      <patternFill patternType="solid">
        <fgColor theme="2" tint="-0.249977111117893"/>
        <bgColor indexed="64"/>
      </patternFill>
    </fill>
    <fill>
      <patternFill patternType="solid">
        <fgColor theme="1"/>
        <bgColor indexed="64"/>
      </patternFill>
    </fill>
    <fill>
      <patternFill patternType="solid">
        <fgColor theme="3" tint="0.79998168889431442"/>
        <bgColor indexed="64"/>
      </patternFill>
    </fill>
    <fill>
      <patternFill patternType="solid">
        <fgColor theme="7" tint="0.39997558519241921"/>
        <bgColor indexed="64"/>
      </patternFill>
    </fill>
    <fill>
      <patternFill patternType="solid">
        <fgColor theme="9" tint="0.59999389629810485"/>
        <bgColor indexed="64"/>
      </patternFill>
    </fill>
    <fill>
      <patternFill patternType="solid">
        <fgColor theme="9" tint="0.39997558519241921"/>
        <bgColor indexed="64"/>
      </patternFill>
    </fill>
    <fill>
      <patternFill patternType="solid">
        <fgColor theme="5" tint="0.39997558519241921"/>
        <bgColor indexed="64"/>
      </patternFill>
    </fill>
    <fill>
      <patternFill patternType="solid">
        <fgColor theme="8" tint="0.39997558519241921"/>
        <bgColor indexed="64"/>
      </patternFill>
    </fill>
    <fill>
      <patternFill patternType="solid">
        <fgColor rgb="FF00B050"/>
        <bgColor indexed="64"/>
      </patternFill>
    </fill>
    <fill>
      <patternFill patternType="solid">
        <fgColor rgb="FF74FA84"/>
        <bgColor indexed="64"/>
      </patternFill>
    </fill>
  </fills>
  <borders count="37">
    <border>
      <left/>
      <right/>
      <top/>
      <bottom/>
      <diagonal/>
    </border>
    <border>
      <left style="medium">
        <color indexed="64"/>
      </left>
      <right style="medium">
        <color indexed="64"/>
      </right>
      <top style="medium">
        <color indexed="64"/>
      </top>
      <bottom style="medium">
        <color indexed="64"/>
      </bottom>
      <diagonal/>
    </border>
    <border>
      <left/>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style="medium">
        <color indexed="64"/>
      </right>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right style="medium">
        <color indexed="64"/>
      </right>
      <top style="medium">
        <color indexed="64"/>
      </top>
      <bottom/>
      <diagonal/>
    </border>
    <border>
      <left/>
      <right style="medium">
        <color indexed="64"/>
      </right>
      <top/>
      <bottom/>
      <diagonal/>
    </border>
    <border>
      <left style="thin">
        <color indexed="64"/>
      </left>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right style="medium">
        <color indexed="64"/>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medium">
        <color indexed="64"/>
      </bottom>
      <diagonal/>
    </border>
    <border>
      <left style="thin">
        <color indexed="64"/>
      </left>
      <right style="medium">
        <color indexed="64"/>
      </right>
      <top style="medium">
        <color indexed="64"/>
      </top>
      <bottom/>
      <diagonal/>
    </border>
    <border>
      <left style="thin">
        <color indexed="64"/>
      </left>
      <right style="medium">
        <color indexed="64"/>
      </right>
      <top/>
      <bottom style="thin">
        <color indexed="64"/>
      </bottom>
      <diagonal/>
    </border>
  </borders>
  <cellStyleXfs count="2">
    <xf numFmtId="0" fontId="0" fillId="0" borderId="0"/>
    <xf numFmtId="44" fontId="6" fillId="0" borderId="0" applyFont="0" applyFill="0" applyBorder="0" applyAlignment="0" applyProtection="0"/>
  </cellStyleXfs>
  <cellXfs count="284">
    <xf numFmtId="0" fontId="0" fillId="0" borderId="0" xfId="0"/>
    <xf numFmtId="0" fontId="1" fillId="0" borderId="0" xfId="0" applyFont="1"/>
    <xf numFmtId="0" fontId="1" fillId="3" borderId="18" xfId="0" applyFont="1" applyFill="1" applyBorder="1"/>
    <xf numFmtId="0" fontId="1" fillId="3" borderId="3" xfId="0" applyFont="1" applyFill="1" applyBorder="1"/>
    <xf numFmtId="0" fontId="2" fillId="3" borderId="0" xfId="0" applyFont="1" applyFill="1"/>
    <xf numFmtId="0" fontId="2" fillId="3" borderId="12" xfId="0" applyFont="1" applyFill="1" applyBorder="1"/>
    <xf numFmtId="0" fontId="1" fillId="3" borderId="7" xfId="0" applyFont="1" applyFill="1" applyBorder="1"/>
    <xf numFmtId="0" fontId="1" fillId="3" borderId="8" xfId="0" applyFont="1" applyFill="1" applyBorder="1" applyAlignment="1">
      <alignment horizontal="left"/>
    </xf>
    <xf numFmtId="0" fontId="1" fillId="3" borderId="8" xfId="0" applyFont="1" applyFill="1" applyBorder="1"/>
    <xf numFmtId="0" fontId="1" fillId="3" borderId="6" xfId="0" applyFont="1" applyFill="1" applyBorder="1"/>
    <xf numFmtId="0" fontId="1" fillId="3" borderId="0" xfId="0" applyFont="1" applyFill="1"/>
    <xf numFmtId="0" fontId="1" fillId="3" borderId="12" xfId="0" applyFont="1" applyFill="1" applyBorder="1"/>
    <xf numFmtId="0" fontId="1" fillId="6" borderId="18" xfId="0" applyFont="1" applyFill="1" applyBorder="1"/>
    <xf numFmtId="0" fontId="1" fillId="6" borderId="2" xfId="0" applyFont="1" applyFill="1" applyBorder="1"/>
    <xf numFmtId="10" fontId="1" fillId="6" borderId="2" xfId="0" applyNumberFormat="1" applyFont="1" applyFill="1" applyBorder="1"/>
    <xf numFmtId="0" fontId="0" fillId="6" borderId="2" xfId="0" applyFill="1" applyBorder="1"/>
    <xf numFmtId="0" fontId="0" fillId="6" borderId="11" xfId="0" applyFill="1" applyBorder="1"/>
    <xf numFmtId="0" fontId="10" fillId="7" borderId="9" xfId="0" applyFont="1" applyFill="1" applyBorder="1"/>
    <xf numFmtId="8" fontId="11" fillId="7" borderId="9" xfId="0" applyNumberFormat="1" applyFont="1" applyFill="1" applyBorder="1"/>
    <xf numFmtId="44" fontId="12" fillId="7" borderId="19" xfId="1" applyFont="1" applyFill="1" applyBorder="1"/>
    <xf numFmtId="0" fontId="0" fillId="2" borderId="20" xfId="0" applyFill="1" applyBorder="1" applyAlignment="1">
      <alignment horizontal="left" vertical="center" wrapText="1"/>
    </xf>
    <xf numFmtId="0" fontId="0" fillId="2" borderId="21" xfId="0" applyFill="1" applyBorder="1" applyAlignment="1">
      <alignment horizontal="left" vertical="center" wrapText="1"/>
    </xf>
    <xf numFmtId="0" fontId="0" fillId="2" borderId="9" xfId="0" applyFill="1" applyBorder="1"/>
    <xf numFmtId="0" fontId="0" fillId="2" borderId="0" xfId="0" applyFill="1"/>
    <xf numFmtId="0" fontId="14" fillId="2" borderId="9" xfId="0" applyFont="1" applyFill="1" applyBorder="1"/>
    <xf numFmtId="0" fontId="1" fillId="7" borderId="9" xfId="0" applyFont="1" applyFill="1" applyBorder="1"/>
    <xf numFmtId="44" fontId="15" fillId="7" borderId="20" xfId="1" applyFont="1" applyFill="1" applyBorder="1"/>
    <xf numFmtId="8" fontId="2" fillId="7" borderId="9" xfId="1" applyNumberFormat="1" applyFont="1" applyFill="1" applyBorder="1"/>
    <xf numFmtId="44" fontId="15" fillId="7" borderId="9" xfId="1" applyFont="1" applyFill="1" applyBorder="1"/>
    <xf numFmtId="44" fontId="2" fillId="7" borderId="19" xfId="1" applyFont="1" applyFill="1" applyBorder="1"/>
    <xf numFmtId="0" fontId="0" fillId="0" borderId="20" xfId="0" applyBorder="1" applyAlignment="1">
      <alignment horizontal="left" vertical="center" wrapText="1"/>
    </xf>
    <xf numFmtId="0" fontId="0" fillId="0" borderId="21" xfId="0" applyBorder="1" applyAlignment="1">
      <alignment horizontal="left" vertical="center" wrapText="1"/>
    </xf>
    <xf numFmtId="0" fontId="0" fillId="0" borderId="9" xfId="0" applyBorder="1" applyAlignment="1">
      <alignment vertical="center" wrapText="1"/>
    </xf>
    <xf numFmtId="44" fontId="2" fillId="7" borderId="9" xfId="1" applyFont="1" applyFill="1" applyBorder="1"/>
    <xf numFmtId="0" fontId="0" fillId="7" borderId="9" xfId="0" applyFill="1" applyBorder="1"/>
    <xf numFmtId="44" fontId="13" fillId="7" borderId="9" xfId="1" applyFont="1" applyFill="1" applyBorder="1"/>
    <xf numFmtId="44" fontId="3" fillId="7" borderId="19" xfId="1" applyFont="1" applyFill="1" applyBorder="1"/>
    <xf numFmtId="0" fontId="0" fillId="0" borderId="9" xfId="0" applyBorder="1"/>
    <xf numFmtId="44" fontId="13" fillId="2" borderId="9" xfId="1" applyFont="1" applyFill="1" applyBorder="1"/>
    <xf numFmtId="0" fontId="0" fillId="0" borderId="21" xfId="0" applyBorder="1"/>
    <xf numFmtId="0" fontId="0" fillId="0" borderId="20" xfId="0" applyBorder="1" applyAlignment="1">
      <alignment horizontal="left" vertical="center"/>
    </xf>
    <xf numFmtId="44" fontId="15" fillId="7" borderId="20" xfId="1" applyFont="1" applyFill="1" applyBorder="1" applyAlignment="1">
      <alignment horizontal="center"/>
    </xf>
    <xf numFmtId="44" fontId="2" fillId="7" borderId="5" xfId="1" applyFont="1" applyFill="1" applyBorder="1"/>
    <xf numFmtId="44" fontId="2" fillId="7" borderId="1" xfId="1" applyFont="1" applyFill="1" applyBorder="1"/>
    <xf numFmtId="0" fontId="16" fillId="0" borderId="9" xfId="1" applyNumberFormat="1" applyFont="1" applyBorder="1"/>
    <xf numFmtId="44" fontId="13" fillId="2" borderId="20" xfId="1" applyFont="1" applyFill="1" applyBorder="1"/>
    <xf numFmtId="0" fontId="11" fillId="7" borderId="9" xfId="0" applyFont="1" applyFill="1" applyBorder="1"/>
    <xf numFmtId="44" fontId="3" fillId="0" borderId="9" xfId="1" applyFont="1" applyBorder="1" applyAlignment="1">
      <alignment wrapText="1"/>
    </xf>
    <xf numFmtId="0" fontId="1" fillId="7" borderId="9" xfId="0" applyFont="1" applyFill="1" applyBorder="1" applyAlignment="1">
      <alignment wrapText="1"/>
    </xf>
    <xf numFmtId="8" fontId="15" fillId="7" borderId="20" xfId="0" applyNumberFormat="1" applyFont="1" applyFill="1" applyBorder="1"/>
    <xf numFmtId="44" fontId="3" fillId="2" borderId="19" xfId="1" applyFont="1" applyFill="1" applyBorder="1"/>
    <xf numFmtId="44" fontId="3" fillId="2" borderId="9" xfId="1" applyFont="1" applyFill="1" applyBorder="1"/>
    <xf numFmtId="0" fontId="1" fillId="7" borderId="19" xfId="0" applyFont="1" applyFill="1" applyBorder="1"/>
    <xf numFmtId="8" fontId="15" fillId="7" borderId="22" xfId="0" applyNumberFormat="1" applyFont="1" applyFill="1" applyBorder="1"/>
    <xf numFmtId="44" fontId="17" fillId="7" borderId="9" xfId="1" applyFont="1" applyFill="1" applyBorder="1"/>
    <xf numFmtId="0" fontId="13" fillId="0" borderId="9" xfId="0" applyFont="1" applyBorder="1"/>
    <xf numFmtId="0" fontId="14" fillId="0" borderId="15" xfId="0" applyFont="1" applyBorder="1"/>
    <xf numFmtId="0" fontId="1" fillId="8" borderId="9" xfId="0" applyFont="1" applyFill="1" applyBorder="1"/>
    <xf numFmtId="0" fontId="15" fillId="8" borderId="20" xfId="0" applyFont="1" applyFill="1" applyBorder="1"/>
    <xf numFmtId="44" fontId="17" fillId="8" borderId="9" xfId="1" applyFont="1" applyFill="1" applyBorder="1"/>
    <xf numFmtId="0" fontId="0" fillId="0" borderId="3" xfId="0" applyBorder="1"/>
    <xf numFmtId="0" fontId="13" fillId="0" borderId="0" xfId="0" applyFont="1"/>
    <xf numFmtId="0" fontId="14" fillId="0" borderId="12" xfId="0" applyFont="1" applyBorder="1"/>
    <xf numFmtId="44" fontId="0" fillId="0" borderId="0" xfId="0" applyNumberFormat="1"/>
    <xf numFmtId="0" fontId="1" fillId="6" borderId="7" xfId="0" applyFont="1" applyFill="1" applyBorder="1"/>
    <xf numFmtId="10" fontId="1" fillId="6" borderId="8" xfId="0" applyNumberFormat="1" applyFont="1" applyFill="1" applyBorder="1"/>
    <xf numFmtId="0" fontId="1" fillId="6" borderId="8" xfId="0" applyFont="1" applyFill="1" applyBorder="1"/>
    <xf numFmtId="0" fontId="15" fillId="6" borderId="8" xfId="0" applyFont="1" applyFill="1" applyBorder="1"/>
    <xf numFmtId="44" fontId="17" fillId="6" borderId="6" xfId="0" applyNumberFormat="1" applyFont="1" applyFill="1" applyBorder="1"/>
    <xf numFmtId="43" fontId="0" fillId="0" borderId="0" xfId="0" applyNumberFormat="1"/>
    <xf numFmtId="164" fontId="0" fillId="2" borderId="0" xfId="1" applyNumberFormat="1" applyFont="1" applyFill="1" applyAlignment="1"/>
    <xf numFmtId="0" fontId="13" fillId="6" borderId="2" xfId="0" applyFont="1" applyFill="1" applyBorder="1"/>
    <xf numFmtId="0" fontId="13" fillId="6" borderId="11" xfId="0" applyFont="1" applyFill="1" applyBorder="1"/>
    <xf numFmtId="0" fontId="14" fillId="0" borderId="9" xfId="1" applyNumberFormat="1" applyFont="1" applyBorder="1" applyAlignment="1">
      <alignment horizontal="left"/>
    </xf>
    <xf numFmtId="0" fontId="0" fillId="0" borderId="23" xfId="0" applyBorder="1" applyAlignment="1">
      <alignment horizontal="left" vertical="center" wrapText="1"/>
    </xf>
    <xf numFmtId="0" fontId="1" fillId="7" borderId="0" xfId="0" applyFont="1" applyFill="1"/>
    <xf numFmtId="0" fontId="0" fillId="7" borderId="0" xfId="0" applyFill="1"/>
    <xf numFmtId="44" fontId="2" fillId="6" borderId="6" xfId="0" applyNumberFormat="1" applyFont="1" applyFill="1" applyBorder="1"/>
    <xf numFmtId="0" fontId="2" fillId="5" borderId="7" xfId="0" applyFont="1" applyFill="1" applyBorder="1"/>
    <xf numFmtId="44" fontId="2" fillId="5" borderId="6" xfId="0" applyNumberFormat="1" applyFont="1" applyFill="1" applyBorder="1"/>
    <xf numFmtId="44" fontId="0" fillId="0" borderId="0" xfId="1" applyFont="1"/>
    <xf numFmtId="4" fontId="2" fillId="0" borderId="0" xfId="0" applyNumberFormat="1" applyFont="1" applyAlignment="1">
      <alignment wrapText="1"/>
    </xf>
    <xf numFmtId="0" fontId="0" fillId="0" borderId="0" xfId="0" applyAlignment="1">
      <alignment wrapText="1"/>
    </xf>
    <xf numFmtId="44" fontId="7" fillId="9" borderId="14" xfId="1" applyFont="1" applyFill="1" applyBorder="1"/>
    <xf numFmtId="44" fontId="0" fillId="0" borderId="0" xfId="0" applyNumberFormat="1" applyAlignment="1">
      <alignment wrapText="1"/>
    </xf>
    <xf numFmtId="44" fontId="0" fillId="0" borderId="9" xfId="0" applyNumberFormat="1" applyBorder="1" applyAlignment="1">
      <alignment vertical="center" wrapText="1"/>
    </xf>
    <xf numFmtId="44" fontId="0" fillId="0" borderId="9" xfId="1" applyFont="1" applyBorder="1" applyAlignment="1">
      <alignment vertical="center" wrapText="1"/>
    </xf>
    <xf numFmtId="0" fontId="13" fillId="0" borderId="9" xfId="0" applyFont="1" applyBorder="1" applyAlignment="1">
      <alignment horizontal="left" vertical="center" wrapText="1"/>
    </xf>
    <xf numFmtId="0" fontId="1" fillId="10" borderId="4" xfId="0" applyFont="1" applyFill="1" applyBorder="1" applyAlignment="1">
      <alignment horizontal="left" vertical="center" wrapText="1"/>
    </xf>
    <xf numFmtId="44" fontId="1" fillId="10" borderId="17" xfId="1" applyFont="1" applyFill="1" applyBorder="1" applyAlignment="1">
      <alignment horizontal="left" vertical="center" wrapText="1"/>
    </xf>
    <xf numFmtId="0" fontId="3" fillId="0" borderId="9" xfId="0" applyFont="1" applyBorder="1" applyAlignment="1">
      <alignment vertical="center" wrapText="1"/>
    </xf>
    <xf numFmtId="44" fontId="0" fillId="0" borderId="0" xfId="1" applyFont="1" applyBorder="1"/>
    <xf numFmtId="0" fontId="7" fillId="9" borderId="0" xfId="0" applyFont="1" applyFill="1"/>
    <xf numFmtId="44" fontId="7" fillId="9" borderId="0" xfId="0" applyNumberFormat="1" applyFont="1" applyFill="1"/>
    <xf numFmtId="44" fontId="7" fillId="9" borderId="0" xfId="1" applyFont="1" applyFill="1"/>
    <xf numFmtId="0" fontId="0" fillId="0" borderId="13" xfId="0" applyBorder="1"/>
    <xf numFmtId="8" fontId="0" fillId="0" borderId="0" xfId="0" applyNumberFormat="1"/>
    <xf numFmtId="0" fontId="19" fillId="0" borderId="9" xfId="0" applyFont="1" applyBorder="1"/>
    <xf numFmtId="0" fontId="19" fillId="0" borderId="9" xfId="0" applyFont="1" applyBorder="1" applyAlignment="1">
      <alignment horizontal="center"/>
    </xf>
    <xf numFmtId="44" fontId="20" fillId="0" borderId="9" xfId="1" applyFont="1" applyBorder="1"/>
    <xf numFmtId="44" fontId="20" fillId="2" borderId="9" xfId="1" applyFont="1" applyFill="1" applyBorder="1"/>
    <xf numFmtId="167" fontId="19" fillId="0" borderId="9" xfId="0" applyNumberFormat="1" applyFont="1" applyBorder="1"/>
    <xf numFmtId="167" fontId="19" fillId="0" borderId="20" xfId="1" applyNumberFormat="1" applyFont="1" applyBorder="1"/>
    <xf numFmtId="44" fontId="20" fillId="0" borderId="24" xfId="1" applyFont="1" applyBorder="1"/>
    <xf numFmtId="0" fontId="19" fillId="0" borderId="9" xfId="0" applyFont="1" applyBorder="1" applyAlignment="1">
      <alignment wrapText="1"/>
    </xf>
    <xf numFmtId="0" fontId="19" fillId="0" borderId="9" xfId="0" applyFont="1" applyBorder="1" applyAlignment="1">
      <alignment vertical="center" wrapText="1"/>
    </xf>
    <xf numFmtId="0" fontId="18" fillId="0" borderId="0" xfId="0" applyFont="1"/>
    <xf numFmtId="0" fontId="1" fillId="3" borderId="7" xfId="0" applyFont="1" applyFill="1" applyBorder="1" applyAlignment="1">
      <alignment horizontal="left" vertical="top" wrapText="1"/>
    </xf>
    <xf numFmtId="8" fontId="2" fillId="7" borderId="19" xfId="1" applyNumberFormat="1" applyFont="1" applyFill="1" applyBorder="1"/>
    <xf numFmtId="0" fontId="1" fillId="2" borderId="9" xfId="0" applyFont="1" applyFill="1" applyBorder="1"/>
    <xf numFmtId="8" fontId="2" fillId="2" borderId="19" xfId="1" applyNumberFormat="1" applyFont="1" applyFill="1" applyBorder="1"/>
    <xf numFmtId="44" fontId="1" fillId="7" borderId="0" xfId="1" applyFont="1" applyFill="1"/>
    <xf numFmtId="0" fontId="0" fillId="0" borderId="19" xfId="0" applyBorder="1"/>
    <xf numFmtId="167" fontId="19" fillId="11" borderId="20" xfId="1" applyNumberFormat="1" applyFont="1" applyFill="1" applyBorder="1"/>
    <xf numFmtId="0" fontId="19" fillId="11" borderId="9" xfId="0" applyFont="1" applyFill="1" applyBorder="1" applyAlignment="1">
      <alignment horizontal="center"/>
    </xf>
    <xf numFmtId="44" fontId="20" fillId="11" borderId="9" xfId="1" applyFont="1" applyFill="1" applyBorder="1"/>
    <xf numFmtId="167" fontId="19" fillId="11" borderId="9" xfId="0" applyNumberFormat="1" applyFont="1" applyFill="1" applyBorder="1"/>
    <xf numFmtId="44" fontId="20" fillId="11" borderId="24" xfId="1" applyFont="1" applyFill="1" applyBorder="1"/>
    <xf numFmtId="8" fontId="3" fillId="2" borderId="19" xfId="1" applyNumberFormat="1" applyFont="1" applyFill="1" applyBorder="1"/>
    <xf numFmtId="44" fontId="18" fillId="8" borderId="9" xfId="1" applyFont="1" applyFill="1" applyBorder="1" applyAlignment="1">
      <alignment vertical="center"/>
    </xf>
    <xf numFmtId="0" fontId="19" fillId="11" borderId="9" xfId="0" applyFont="1" applyFill="1" applyBorder="1" applyAlignment="1">
      <alignment vertical="center" wrapText="1"/>
    </xf>
    <xf numFmtId="0" fontId="19" fillId="11" borderId="9" xfId="0" applyFont="1" applyFill="1" applyBorder="1" applyAlignment="1">
      <alignment wrapText="1"/>
    </xf>
    <xf numFmtId="0" fontId="7" fillId="9" borderId="14" xfId="0" applyFont="1" applyFill="1" applyBorder="1" applyAlignment="1">
      <alignment wrapText="1"/>
    </xf>
    <xf numFmtId="0" fontId="0" fillId="2" borderId="20" xfId="0" applyFill="1" applyBorder="1" applyAlignment="1">
      <alignment horizontal="left" vertical="center"/>
    </xf>
    <xf numFmtId="0" fontId="0" fillId="3" borderId="18" xfId="0" applyFill="1" applyBorder="1"/>
    <xf numFmtId="0" fontId="0" fillId="3" borderId="2" xfId="0" applyFill="1" applyBorder="1" applyAlignment="1">
      <alignment horizontal="center"/>
    </xf>
    <xf numFmtId="0" fontId="0" fillId="3" borderId="11" xfId="0" applyFill="1" applyBorder="1"/>
    <xf numFmtId="0" fontId="0" fillId="3" borderId="3" xfId="0" applyFill="1" applyBorder="1"/>
    <xf numFmtId="0" fontId="0" fillId="3" borderId="0" xfId="0" applyFill="1" applyAlignment="1">
      <alignment horizontal="center"/>
    </xf>
    <xf numFmtId="0" fontId="1" fillId="3" borderId="0" xfId="0" applyFont="1" applyFill="1" applyAlignment="1">
      <alignment horizontal="center"/>
    </xf>
    <xf numFmtId="164" fontId="1" fillId="3" borderId="0" xfId="1" applyNumberFormat="1" applyFont="1" applyFill="1" applyBorder="1" applyAlignment="1">
      <alignment horizontal="center"/>
    </xf>
    <xf numFmtId="164" fontId="0" fillId="3" borderId="0" xfId="1" applyNumberFormat="1" applyFont="1" applyFill="1" applyBorder="1" applyAlignment="1">
      <alignment horizontal="center"/>
    </xf>
    <xf numFmtId="44" fontId="0" fillId="3" borderId="12" xfId="1" applyFont="1" applyFill="1" applyBorder="1" applyAlignment="1"/>
    <xf numFmtId="0" fontId="0" fillId="3" borderId="4" xfId="0" applyFill="1" applyBorder="1"/>
    <xf numFmtId="0" fontId="0" fillId="3" borderId="16" xfId="0" applyFill="1" applyBorder="1" applyAlignment="1">
      <alignment horizontal="center"/>
    </xf>
    <xf numFmtId="166" fontId="0" fillId="3" borderId="16" xfId="0" applyNumberFormat="1" applyFill="1" applyBorder="1" applyAlignment="1">
      <alignment horizontal="center"/>
    </xf>
    <xf numFmtId="164" fontId="0" fillId="3" borderId="16" xfId="1" applyNumberFormat="1" applyFont="1" applyFill="1" applyBorder="1" applyAlignment="1">
      <alignment horizontal="center"/>
    </xf>
    <xf numFmtId="44" fontId="0" fillId="3" borderId="17" xfId="1" applyFont="1" applyFill="1" applyBorder="1" applyAlignment="1"/>
    <xf numFmtId="44" fontId="13" fillId="7" borderId="20" xfId="1" applyFont="1" applyFill="1" applyBorder="1"/>
    <xf numFmtId="44" fontId="22" fillId="0" borderId="9" xfId="1" applyFont="1" applyBorder="1" applyAlignment="1">
      <alignment vertical="center" wrapText="1"/>
    </xf>
    <xf numFmtId="44" fontId="8" fillId="0" borderId="9" xfId="0" applyNumberFormat="1" applyFont="1" applyBorder="1" applyAlignment="1">
      <alignment vertical="center" wrapText="1"/>
    </xf>
    <xf numFmtId="44" fontId="8" fillId="0" borderId="9" xfId="1" applyFont="1" applyBorder="1"/>
    <xf numFmtId="0" fontId="19" fillId="2" borderId="9" xfId="0" applyFont="1" applyFill="1" applyBorder="1"/>
    <xf numFmtId="0" fontId="21" fillId="2" borderId="9" xfId="0" applyFont="1" applyFill="1" applyBorder="1"/>
    <xf numFmtId="0" fontId="19" fillId="2" borderId="9" xfId="0" applyFont="1" applyFill="1" applyBorder="1" applyAlignment="1">
      <alignment horizontal="center"/>
    </xf>
    <xf numFmtId="167" fontId="19" fillId="2" borderId="9" xfId="0" applyNumberFormat="1" applyFont="1" applyFill="1" applyBorder="1"/>
    <xf numFmtId="167" fontId="19" fillId="2" borderId="20" xfId="1" applyNumberFormat="1" applyFont="1" applyFill="1" applyBorder="1"/>
    <xf numFmtId="44" fontId="20" fillId="2" borderId="24" xfId="1" applyFont="1" applyFill="1" applyBorder="1"/>
    <xf numFmtId="0" fontId="19" fillId="2" borderId="9" xfId="0" applyFont="1" applyFill="1" applyBorder="1" applyAlignment="1">
      <alignment wrapText="1"/>
    </xf>
    <xf numFmtId="0" fontId="19" fillId="2" borderId="9" xfId="0" applyFont="1" applyFill="1" applyBorder="1" applyAlignment="1">
      <alignment vertical="center" wrapText="1"/>
    </xf>
    <xf numFmtId="44" fontId="14" fillId="0" borderId="9" xfId="1" applyFont="1" applyBorder="1" applyAlignment="1">
      <alignment vertical="center" wrapText="1"/>
    </xf>
    <xf numFmtId="0" fontId="16" fillId="0" borderId="9" xfId="1" applyNumberFormat="1" applyFont="1" applyBorder="1" applyAlignment="1">
      <alignment wrapText="1"/>
    </xf>
    <xf numFmtId="44" fontId="13" fillId="0" borderId="9" xfId="1" applyFont="1" applyBorder="1" applyAlignment="1">
      <alignment horizontal="left" vertical="center" wrapText="1"/>
    </xf>
    <xf numFmtId="44" fontId="13" fillId="7" borderId="0" xfId="1" applyFont="1" applyFill="1"/>
    <xf numFmtId="8" fontId="23" fillId="7" borderId="9" xfId="0" applyNumberFormat="1" applyFont="1" applyFill="1" applyBorder="1"/>
    <xf numFmtId="0" fontId="14" fillId="2" borderId="19" xfId="0" applyFont="1" applyFill="1" applyBorder="1"/>
    <xf numFmtId="0" fontId="0" fillId="2" borderId="20" xfId="0" applyFill="1" applyBorder="1" applyAlignment="1">
      <alignment vertical="center"/>
    </xf>
    <xf numFmtId="0" fontId="0" fillId="2" borderId="21" xfId="0" applyFill="1" applyBorder="1" applyAlignment="1">
      <alignment vertical="center"/>
    </xf>
    <xf numFmtId="0" fontId="19" fillId="13" borderId="9" xfId="0" applyFont="1" applyFill="1" applyBorder="1" applyAlignment="1">
      <alignment vertical="center" wrapText="1"/>
    </xf>
    <xf numFmtId="0" fontId="19" fillId="13" borderId="9" xfId="0" applyFont="1" applyFill="1" applyBorder="1" applyAlignment="1">
      <alignment wrapText="1"/>
    </xf>
    <xf numFmtId="0" fontId="19" fillId="13" borderId="9" xfId="0" applyFont="1" applyFill="1" applyBorder="1" applyAlignment="1">
      <alignment horizontal="center"/>
    </xf>
    <xf numFmtId="44" fontId="20" fillId="13" borderId="9" xfId="1" applyFont="1" applyFill="1" applyBorder="1"/>
    <xf numFmtId="167" fontId="19" fillId="13" borderId="9" xfId="0" applyNumberFormat="1" applyFont="1" applyFill="1" applyBorder="1"/>
    <xf numFmtId="167" fontId="19" fillId="13" borderId="20" xfId="1" applyNumberFormat="1" applyFont="1" applyFill="1" applyBorder="1"/>
    <xf numFmtId="44" fontId="20" fillId="13" borderId="24" xfId="1" applyFont="1" applyFill="1" applyBorder="1"/>
    <xf numFmtId="44" fontId="8" fillId="2" borderId="9" xfId="1" applyFont="1" applyFill="1" applyBorder="1" applyAlignment="1">
      <alignment vertical="center" wrapText="1"/>
    </xf>
    <xf numFmtId="0" fontId="19" fillId="11" borderId="9" xfId="0" applyFont="1" applyFill="1" applyBorder="1"/>
    <xf numFmtId="8" fontId="14" fillId="2" borderId="9" xfId="0" applyNumberFormat="1" applyFont="1" applyFill="1" applyBorder="1" applyAlignment="1">
      <alignment horizontal="right"/>
    </xf>
    <xf numFmtId="8" fontId="14" fillId="2" borderId="20" xfId="0" applyNumberFormat="1" applyFont="1" applyFill="1" applyBorder="1" applyAlignment="1">
      <alignment horizontal="right"/>
    </xf>
    <xf numFmtId="44" fontId="13" fillId="2" borderId="9" xfId="1" applyFont="1" applyFill="1" applyBorder="1" applyAlignment="1"/>
    <xf numFmtId="44" fontId="13" fillId="2" borderId="20" xfId="1" applyFont="1" applyFill="1" applyBorder="1" applyAlignment="1"/>
    <xf numFmtId="8" fontId="13" fillId="2" borderId="9" xfId="0" applyNumberFormat="1" applyFont="1" applyFill="1" applyBorder="1" applyAlignment="1">
      <alignment horizontal="right"/>
    </xf>
    <xf numFmtId="8" fontId="13" fillId="2" borderId="20" xfId="0" applyNumberFormat="1" applyFont="1" applyFill="1" applyBorder="1" applyAlignment="1">
      <alignment horizontal="right"/>
    </xf>
    <xf numFmtId="44" fontId="13" fillId="2" borderId="22" xfId="1" applyFont="1" applyFill="1" applyBorder="1"/>
    <xf numFmtId="167" fontId="19" fillId="0" borderId="9" xfId="1" applyNumberFormat="1" applyFont="1" applyBorder="1"/>
    <xf numFmtId="167" fontId="19" fillId="11" borderId="9" xfId="1" applyNumberFormat="1" applyFont="1" applyFill="1" applyBorder="1"/>
    <xf numFmtId="167" fontId="19" fillId="2" borderId="9" xfId="1" applyNumberFormat="1" applyFont="1" applyFill="1" applyBorder="1"/>
    <xf numFmtId="0" fontId="19" fillId="13" borderId="9" xfId="0" applyFont="1" applyFill="1" applyBorder="1"/>
    <xf numFmtId="167" fontId="19" fillId="13" borderId="9" xfId="1" applyNumberFormat="1" applyFont="1" applyFill="1" applyBorder="1"/>
    <xf numFmtId="0" fontId="19" fillId="0" borderId="10" xfId="0" applyFont="1" applyBorder="1"/>
    <xf numFmtId="0" fontId="19" fillId="11" borderId="10" xfId="0" applyFont="1" applyFill="1" applyBorder="1"/>
    <xf numFmtId="0" fontId="19" fillId="2" borderId="10" xfId="0" applyFont="1" applyFill="1" applyBorder="1"/>
    <xf numFmtId="0" fontId="19" fillId="13" borderId="10" xfId="0" applyFont="1" applyFill="1" applyBorder="1"/>
    <xf numFmtId="0" fontId="19" fillId="7" borderId="27" xfId="0" applyFont="1" applyFill="1" applyBorder="1"/>
    <xf numFmtId="0" fontId="19" fillId="7" borderId="28" xfId="0" applyFont="1" applyFill="1" applyBorder="1"/>
    <xf numFmtId="168" fontId="19" fillId="7" borderId="28" xfId="0" applyNumberFormat="1" applyFont="1" applyFill="1" applyBorder="1" applyAlignment="1">
      <alignment horizontal="center"/>
    </xf>
    <xf numFmtId="44" fontId="19" fillId="7" borderId="28" xfId="0" applyNumberFormat="1" applyFont="1" applyFill="1" applyBorder="1"/>
    <xf numFmtId="167" fontId="19" fillId="7" borderId="28" xfId="0" applyNumberFormat="1" applyFont="1" applyFill="1" applyBorder="1"/>
    <xf numFmtId="164" fontId="19" fillId="7" borderId="28" xfId="0" applyNumberFormat="1" applyFont="1" applyFill="1" applyBorder="1"/>
    <xf numFmtId="167" fontId="19" fillId="7" borderId="29" xfId="0" applyNumberFormat="1" applyFont="1" applyFill="1" applyBorder="1"/>
    <xf numFmtId="44" fontId="20" fillId="0" borderId="31" xfId="1" applyFont="1" applyBorder="1"/>
    <xf numFmtId="44" fontId="20" fillId="11" borderId="31" xfId="1" applyFont="1" applyFill="1" applyBorder="1"/>
    <xf numFmtId="44" fontId="20" fillId="2" borderId="31" xfId="1" applyFont="1" applyFill="1" applyBorder="1"/>
    <xf numFmtId="44" fontId="20" fillId="13" borderId="31" xfId="1" applyFont="1" applyFill="1" applyBorder="1"/>
    <xf numFmtId="44" fontId="19" fillId="7" borderId="32" xfId="0" applyNumberFormat="1" applyFont="1" applyFill="1" applyBorder="1"/>
    <xf numFmtId="0" fontId="16" fillId="3" borderId="33" xfId="0" applyFont="1" applyFill="1" applyBorder="1" applyAlignment="1">
      <alignment horizontal="center" vertical="center" wrapText="1"/>
    </xf>
    <xf numFmtId="0" fontId="16" fillId="3" borderId="24" xfId="0" applyFont="1" applyFill="1" applyBorder="1" applyAlignment="1">
      <alignment horizontal="center" vertical="center" wrapText="1"/>
    </xf>
    <xf numFmtId="44" fontId="19" fillId="7" borderId="34" xfId="0" applyNumberFormat="1" applyFont="1" applyFill="1" applyBorder="1"/>
    <xf numFmtId="44" fontId="20" fillId="11" borderId="9" xfId="1" applyFont="1" applyFill="1" applyBorder="1" applyAlignment="1">
      <alignment vertical="center" wrapText="1"/>
    </xf>
    <xf numFmtId="0" fontId="0" fillId="0" borderId="0" xfId="0" applyAlignment="1">
      <alignment horizontal="center" vertical="center"/>
    </xf>
    <xf numFmtId="44" fontId="0" fillId="0" borderId="0" xfId="0" applyNumberFormat="1" applyAlignment="1">
      <alignment horizontal="center" vertical="center"/>
    </xf>
    <xf numFmtId="0" fontId="0" fillId="0" borderId="0" xfId="0" applyAlignment="1">
      <alignment horizontal="center"/>
    </xf>
    <xf numFmtId="44" fontId="0" fillId="0" borderId="0" xfId="1" applyFont="1" applyAlignment="1">
      <alignment horizontal="center"/>
    </xf>
    <xf numFmtId="44" fontId="0" fillId="2" borderId="0" xfId="1" applyFont="1" applyFill="1" applyAlignment="1">
      <alignment horizontal="center"/>
    </xf>
    <xf numFmtId="0" fontId="0" fillId="14" borderId="0" xfId="0" applyFill="1"/>
    <xf numFmtId="0" fontId="19" fillId="14" borderId="10" xfId="0" applyFont="1" applyFill="1" applyBorder="1"/>
    <xf numFmtId="0" fontId="19" fillId="14" borderId="9" xfId="0" applyFont="1" applyFill="1" applyBorder="1" applyAlignment="1">
      <alignment vertical="center" wrapText="1"/>
    </xf>
    <xf numFmtId="44" fontId="1" fillId="0" borderId="0" xfId="0" applyNumberFormat="1" applyFont="1"/>
    <xf numFmtId="44" fontId="0" fillId="4" borderId="0" xfId="1" applyFont="1" applyFill="1"/>
    <xf numFmtId="0" fontId="19" fillId="4" borderId="10" xfId="0" applyFont="1" applyFill="1" applyBorder="1"/>
    <xf numFmtId="0" fontId="19" fillId="4" borderId="9" xfId="0" applyFont="1" applyFill="1" applyBorder="1" applyAlignment="1">
      <alignment vertical="center" wrapText="1"/>
    </xf>
    <xf numFmtId="0" fontId="19" fillId="4" borderId="9" xfId="0" applyFont="1" applyFill="1" applyBorder="1" applyAlignment="1">
      <alignment wrapText="1"/>
    </xf>
    <xf numFmtId="0" fontId="19" fillId="4" borderId="9" xfId="0" applyFont="1" applyFill="1" applyBorder="1" applyAlignment="1">
      <alignment horizontal="center"/>
    </xf>
    <xf numFmtId="0" fontId="0" fillId="4" borderId="0" xfId="0" applyFill="1"/>
    <xf numFmtId="0" fontId="19" fillId="16" borderId="10" xfId="0" applyFont="1" applyFill="1" applyBorder="1"/>
    <xf numFmtId="0" fontId="19" fillId="16" borderId="9" xfId="0" applyFont="1" applyFill="1" applyBorder="1" applyAlignment="1">
      <alignment vertical="center" wrapText="1"/>
    </xf>
    <xf numFmtId="0" fontId="0" fillId="16" borderId="0" xfId="0" applyFill="1"/>
    <xf numFmtId="0" fontId="0" fillId="17" borderId="0" xfId="0" applyFill="1"/>
    <xf numFmtId="0" fontId="19" fillId="17" borderId="10" xfId="0" applyFont="1" applyFill="1" applyBorder="1"/>
    <xf numFmtId="0" fontId="19" fillId="17" borderId="9" xfId="0" applyFont="1" applyFill="1" applyBorder="1" applyAlignment="1">
      <alignment vertical="center" wrapText="1"/>
    </xf>
    <xf numFmtId="0" fontId="0" fillId="0" borderId="20" xfId="0" applyBorder="1" applyAlignment="1">
      <alignment horizontal="left" vertical="center" wrapText="1"/>
    </xf>
    <xf numFmtId="0" fontId="0" fillId="0" borderId="21" xfId="0" applyBorder="1" applyAlignment="1">
      <alignment horizontal="left" vertical="center" wrapText="1"/>
    </xf>
    <xf numFmtId="0" fontId="1" fillId="3" borderId="2" xfId="0" applyFont="1" applyFill="1" applyBorder="1" applyAlignment="1">
      <alignment horizontal="left" vertical="top" wrapText="1"/>
    </xf>
    <xf numFmtId="0" fontId="1" fillId="3" borderId="11" xfId="0" applyFont="1" applyFill="1" applyBorder="1" applyAlignment="1">
      <alignment horizontal="left" vertical="top" wrapText="1"/>
    </xf>
    <xf numFmtId="0" fontId="0" fillId="2" borderId="20" xfId="0" applyFill="1" applyBorder="1" applyAlignment="1">
      <alignment horizontal="left" vertical="center" wrapText="1"/>
    </xf>
    <xf numFmtId="0" fontId="0" fillId="2" borderId="21" xfId="0" applyFill="1" applyBorder="1" applyAlignment="1">
      <alignment horizontal="left" vertical="center" wrapText="1"/>
    </xf>
    <xf numFmtId="0" fontId="1" fillId="3" borderId="16" xfId="0" applyFont="1" applyFill="1" applyBorder="1" applyAlignment="1">
      <alignment horizontal="left" vertical="center" wrapText="1"/>
    </xf>
    <xf numFmtId="0" fontId="1" fillId="3" borderId="17" xfId="0" applyFont="1" applyFill="1" applyBorder="1" applyAlignment="1">
      <alignment horizontal="left" vertical="center" wrapText="1"/>
    </xf>
    <xf numFmtId="0" fontId="9" fillId="4" borderId="0" xfId="0" applyFont="1" applyFill="1" applyAlignment="1">
      <alignment horizontal="center" vertical="center"/>
    </xf>
    <xf numFmtId="0" fontId="5" fillId="5" borderId="0" xfId="0" applyFont="1" applyFill="1" applyAlignment="1">
      <alignment horizontal="center" vertical="center" wrapText="1"/>
    </xf>
    <xf numFmtId="0" fontId="7" fillId="9" borderId="0" xfId="0" applyFont="1" applyFill="1" applyAlignment="1">
      <alignment horizontal="center" vertical="center"/>
    </xf>
    <xf numFmtId="0" fontId="4" fillId="4" borderId="0" xfId="0" applyFont="1" applyFill="1" applyAlignment="1">
      <alignment horizontal="left" vertical="center" wrapText="1"/>
    </xf>
    <xf numFmtId="0" fontId="5" fillId="13" borderId="0" xfId="0" applyFont="1" applyFill="1" applyAlignment="1">
      <alignment horizontal="left" vertical="center" wrapText="1"/>
    </xf>
    <xf numFmtId="0" fontId="18" fillId="3" borderId="26" xfId="0" applyFont="1" applyFill="1" applyBorder="1" applyAlignment="1">
      <alignment horizontal="center" vertical="center" wrapText="1"/>
    </xf>
    <xf numFmtId="0" fontId="18" fillId="3" borderId="9" xfId="0" applyFont="1" applyFill="1" applyBorder="1" applyAlignment="1">
      <alignment horizontal="center" vertical="center" wrapText="1"/>
    </xf>
    <xf numFmtId="0" fontId="18" fillId="3" borderId="35" xfId="0" applyFont="1" applyFill="1" applyBorder="1" applyAlignment="1">
      <alignment horizontal="center" vertical="center" wrapText="1"/>
    </xf>
    <xf numFmtId="0" fontId="18" fillId="3" borderId="36" xfId="0" applyFont="1" applyFill="1" applyBorder="1" applyAlignment="1">
      <alignment horizontal="center" vertical="center" wrapText="1"/>
    </xf>
    <xf numFmtId="0" fontId="16" fillId="3" borderId="30" xfId="0" applyFont="1" applyFill="1" applyBorder="1" applyAlignment="1">
      <alignment horizontal="center" vertical="center" wrapText="1"/>
    </xf>
    <xf numFmtId="0" fontId="16" fillId="3" borderId="31" xfId="0" applyFont="1" applyFill="1" applyBorder="1" applyAlignment="1">
      <alignment horizontal="center" vertical="center" wrapText="1"/>
    </xf>
    <xf numFmtId="0" fontId="1" fillId="4" borderId="0" xfId="0" applyFont="1" applyFill="1" applyAlignment="1">
      <alignment horizontal="center" vertical="center" wrapText="1"/>
    </xf>
    <xf numFmtId="0" fontId="5" fillId="4" borderId="7" xfId="0" applyFont="1" applyFill="1" applyBorder="1" applyAlignment="1">
      <alignment horizontal="center" vertical="center"/>
    </xf>
    <xf numFmtId="0" fontId="5" fillId="4" borderId="8" xfId="0" applyFont="1" applyFill="1" applyBorder="1" applyAlignment="1">
      <alignment horizontal="center" vertical="center"/>
    </xf>
    <xf numFmtId="0" fontId="5" fillId="4" borderId="6" xfId="0" applyFont="1" applyFill="1" applyBorder="1" applyAlignment="1">
      <alignment horizontal="center" vertical="center"/>
    </xf>
    <xf numFmtId="0" fontId="0" fillId="3" borderId="2" xfId="0" applyFill="1" applyBorder="1" applyAlignment="1">
      <alignment horizontal="center"/>
    </xf>
    <xf numFmtId="0" fontId="1" fillId="3" borderId="18" xfId="0" applyFont="1" applyFill="1" applyBorder="1" applyAlignment="1">
      <alignment horizontal="left" vertical="center" wrapText="1"/>
    </xf>
    <xf numFmtId="0" fontId="1" fillId="3" borderId="2" xfId="0" applyFont="1" applyFill="1" applyBorder="1" applyAlignment="1">
      <alignment horizontal="left" vertical="center"/>
    </xf>
    <xf numFmtId="0" fontId="1" fillId="3" borderId="11" xfId="0" applyFont="1" applyFill="1" applyBorder="1" applyAlignment="1">
      <alignment horizontal="left" vertical="center"/>
    </xf>
    <xf numFmtId="0" fontId="1" fillId="3" borderId="3" xfId="0" applyFont="1" applyFill="1" applyBorder="1" applyAlignment="1">
      <alignment horizontal="left" vertical="center"/>
    </xf>
    <xf numFmtId="0" fontId="1" fillId="3" borderId="0" xfId="0" applyFont="1" applyFill="1" applyAlignment="1">
      <alignment horizontal="left" vertical="center"/>
    </xf>
    <xf numFmtId="0" fontId="1" fillId="3" borderId="12" xfId="0" applyFont="1" applyFill="1" applyBorder="1" applyAlignment="1">
      <alignment horizontal="left" vertical="center"/>
    </xf>
    <xf numFmtId="0" fontId="1" fillId="3" borderId="4" xfId="0" applyFont="1" applyFill="1" applyBorder="1" applyAlignment="1">
      <alignment horizontal="left" vertical="center"/>
    </xf>
    <xf numFmtId="0" fontId="1" fillId="3" borderId="16" xfId="0" applyFont="1" applyFill="1" applyBorder="1" applyAlignment="1">
      <alignment horizontal="left" vertical="center"/>
    </xf>
    <xf numFmtId="0" fontId="1" fillId="3" borderId="17" xfId="0" applyFont="1" applyFill="1" applyBorder="1" applyAlignment="1">
      <alignment horizontal="left" vertical="center"/>
    </xf>
    <xf numFmtId="0" fontId="18" fillId="3" borderId="25" xfId="0" applyFont="1" applyFill="1" applyBorder="1" applyAlignment="1">
      <alignment horizontal="center" vertical="center"/>
    </xf>
    <xf numFmtId="0" fontId="18" fillId="3" borderId="10" xfId="0" applyFont="1" applyFill="1" applyBorder="1" applyAlignment="1">
      <alignment horizontal="center" vertical="center"/>
    </xf>
    <xf numFmtId="0" fontId="18" fillId="3" borderId="26" xfId="0" applyFont="1" applyFill="1" applyBorder="1" applyAlignment="1">
      <alignment horizontal="center" vertical="center"/>
    </xf>
    <xf numFmtId="0" fontId="18" fillId="3" borderId="9" xfId="0" applyFont="1" applyFill="1" applyBorder="1" applyAlignment="1">
      <alignment horizontal="center" vertical="center"/>
    </xf>
    <xf numFmtId="0" fontId="19" fillId="3" borderId="26" xfId="0" applyFont="1" applyFill="1" applyBorder="1" applyAlignment="1">
      <alignment horizontal="center" vertical="center" wrapText="1"/>
    </xf>
    <xf numFmtId="0" fontId="19" fillId="3" borderId="9" xfId="0" applyFont="1" applyFill="1" applyBorder="1" applyAlignment="1">
      <alignment horizontal="center" vertical="center" wrapText="1"/>
    </xf>
    <xf numFmtId="0" fontId="1" fillId="11" borderId="7" xfId="0" applyFont="1" applyFill="1" applyBorder="1" applyAlignment="1">
      <alignment horizontal="center" vertical="center"/>
    </xf>
    <xf numFmtId="0" fontId="1" fillId="11" borderId="8" xfId="0" applyFont="1" applyFill="1" applyBorder="1" applyAlignment="1">
      <alignment horizontal="center" vertical="center"/>
    </xf>
    <xf numFmtId="0" fontId="1" fillId="11" borderId="6" xfId="0" applyFont="1" applyFill="1" applyBorder="1" applyAlignment="1">
      <alignment horizontal="center" vertical="center"/>
    </xf>
    <xf numFmtId="0" fontId="1" fillId="12" borderId="18" xfId="0" applyFont="1" applyFill="1" applyBorder="1" applyAlignment="1">
      <alignment horizontal="center" vertical="center"/>
    </xf>
    <xf numFmtId="0" fontId="1" fillId="12" borderId="2" xfId="0" applyFont="1" applyFill="1" applyBorder="1" applyAlignment="1">
      <alignment horizontal="center" vertical="center"/>
    </xf>
    <xf numFmtId="0" fontId="1" fillId="12" borderId="11" xfId="0" applyFont="1" applyFill="1" applyBorder="1" applyAlignment="1">
      <alignment horizontal="center" vertical="center"/>
    </xf>
    <xf numFmtId="165" fontId="1" fillId="3" borderId="0" xfId="0" applyNumberFormat="1" applyFont="1" applyFill="1" applyAlignment="1">
      <alignment horizontal="center"/>
    </xf>
    <xf numFmtId="0" fontId="0" fillId="0" borderId="0" xfId="0" applyAlignment="1">
      <alignment horizontal="center"/>
    </xf>
    <xf numFmtId="44" fontId="0" fillId="0" borderId="0" xfId="1" applyFont="1" applyAlignment="1">
      <alignment horizontal="center"/>
    </xf>
    <xf numFmtId="0" fontId="0" fillId="0" borderId="0" xfId="0"/>
    <xf numFmtId="44" fontId="0" fillId="0" borderId="0" xfId="0" applyNumberFormat="1"/>
    <xf numFmtId="0" fontId="1" fillId="15" borderId="0" xfId="0" applyFont="1" applyFill="1" applyAlignment="1">
      <alignment horizontal="left" vertical="center" wrapText="1"/>
    </xf>
    <xf numFmtId="44" fontId="0" fillId="2" borderId="0" xfId="1" applyFont="1" applyFill="1" applyAlignment="1">
      <alignment horizontal="center"/>
    </xf>
    <xf numFmtId="0" fontId="0" fillId="0" borderId="0" xfId="0" applyAlignment="1">
      <alignment horizontal="center" wrapText="1"/>
    </xf>
    <xf numFmtId="44" fontId="1" fillId="4" borderId="4" xfId="0" applyNumberFormat="1" applyFont="1" applyFill="1" applyBorder="1" applyAlignment="1">
      <alignment horizontal="center"/>
    </xf>
    <xf numFmtId="44" fontId="1" fillId="4" borderId="16" xfId="0" applyNumberFormat="1" applyFont="1" applyFill="1" applyBorder="1" applyAlignment="1">
      <alignment horizontal="center"/>
    </xf>
    <xf numFmtId="44" fontId="1" fillId="4" borderId="17" xfId="0" applyNumberFormat="1" applyFont="1" applyFill="1" applyBorder="1" applyAlignment="1">
      <alignment horizontal="center"/>
    </xf>
    <xf numFmtId="0" fontId="1" fillId="4" borderId="18" xfId="0" applyFont="1" applyFill="1" applyBorder="1" applyAlignment="1">
      <alignment horizontal="center" wrapText="1"/>
    </xf>
    <xf numFmtId="0" fontId="1" fillId="4" borderId="2" xfId="0" applyFont="1" applyFill="1" applyBorder="1" applyAlignment="1">
      <alignment horizontal="center" wrapText="1"/>
    </xf>
    <xf numFmtId="0" fontId="1" fillId="4" borderId="11" xfId="0" applyFont="1" applyFill="1" applyBorder="1" applyAlignment="1">
      <alignment horizontal="center" wrapText="1"/>
    </xf>
    <xf numFmtId="0" fontId="1" fillId="4" borderId="3" xfId="0" applyFont="1" applyFill="1" applyBorder="1" applyAlignment="1">
      <alignment horizontal="center" wrapText="1"/>
    </xf>
    <xf numFmtId="0" fontId="1" fillId="4" borderId="0" xfId="0" applyFont="1" applyFill="1" applyAlignment="1">
      <alignment horizontal="center" wrapText="1"/>
    </xf>
    <xf numFmtId="0" fontId="1" fillId="4" borderId="12" xfId="0" applyFont="1" applyFill="1" applyBorder="1" applyAlignment="1">
      <alignment horizontal="center" wrapText="1"/>
    </xf>
    <xf numFmtId="0" fontId="0" fillId="4" borderId="0" xfId="0" applyFill="1" applyAlignment="1">
      <alignment horizontal="left" vertical="center" wrapText="1"/>
    </xf>
    <xf numFmtId="0" fontId="1" fillId="3" borderId="0" xfId="0" applyFont="1" applyFill="1" applyAlignment="1">
      <alignment horizontal="center"/>
    </xf>
  </cellXfs>
  <cellStyles count="2">
    <cellStyle name="Moneda" xfId="1" builtinId="4"/>
    <cellStyle name="Normal" xfId="0" builtinId="0"/>
  </cellStyles>
  <dxfs count="0"/>
  <tableStyles count="0" defaultTableStyle="TableStyleMedium9" defaultPivotStyle="PivotStyleLight16"/>
  <colors>
    <mruColors>
      <color rgb="FF74FA8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70485</xdr:colOff>
      <xdr:row>0</xdr:row>
      <xdr:rowOff>70484</xdr:rowOff>
    </xdr:from>
    <xdr:to>
      <xdr:col>0</xdr:col>
      <xdr:colOff>2286000</xdr:colOff>
      <xdr:row>2</xdr:row>
      <xdr:rowOff>542924</xdr:rowOff>
    </xdr:to>
    <xdr:pic>
      <xdr:nvPicPr>
        <xdr:cNvPr id="2" name="1 Imagen" descr="C:\Users\Particular\Desktop\NATI\CONSORCIOS RC\WhatsApp Image 2020-12-10 at 14.53.20.jpeg">
          <a:extLst>
            <a:ext uri="{FF2B5EF4-FFF2-40B4-BE49-F238E27FC236}">
              <a16:creationId xmlns:a16="http://schemas.microsoft.com/office/drawing/2014/main" id="{845E093B-FBED-491B-B562-4A0EE6BB89D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0485" y="70484"/>
          <a:ext cx="2215515" cy="901065"/>
        </a:xfrm>
        <a:prstGeom prst="rect">
          <a:avLst/>
        </a:prstGeom>
        <a:noFill/>
        <a:ln>
          <a:noFill/>
        </a:ln>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13A25D-5161-4141-BE0B-6E37A2A76CA5}">
  <dimension ref="A1:M143"/>
  <sheetViews>
    <sheetView tabSelected="1" topLeftCell="A134" workbookViewId="0">
      <selection activeCell="A42" sqref="A42"/>
    </sheetView>
  </sheetViews>
  <sheetFormatPr baseColWidth="10" defaultColWidth="10.85546875" defaultRowHeight="15" x14ac:dyDescent="0.25"/>
  <cols>
    <col min="1" max="1" width="37.5703125" customWidth="1"/>
    <col min="2" max="2" width="24.7109375" customWidth="1"/>
    <col min="3" max="3" width="15.85546875" hidden="1" customWidth="1"/>
    <col min="4" max="4" width="21.7109375" customWidth="1"/>
    <col min="5" max="5" width="16.7109375" customWidth="1"/>
    <col min="6" max="6" width="15.5703125" bestFit="1" customWidth="1"/>
    <col min="7" max="7" width="14.5703125" bestFit="1" customWidth="1"/>
    <col min="8" max="8" width="12" bestFit="1" customWidth="1"/>
    <col min="10" max="10" width="22.7109375" customWidth="1"/>
    <col min="11" max="11" width="18" customWidth="1"/>
    <col min="12" max="12" width="18.28515625" customWidth="1"/>
  </cols>
  <sheetData>
    <row r="1" spans="1:5" ht="18.75" customHeight="1" x14ac:dyDescent="0.25">
      <c r="A1" s="2"/>
      <c r="B1" s="222" t="s">
        <v>152</v>
      </c>
      <c r="C1" s="222"/>
      <c r="D1" s="222"/>
      <c r="E1" s="223"/>
    </row>
    <row r="2" spans="1:5" x14ac:dyDescent="0.25">
      <c r="A2" s="3"/>
      <c r="B2" s="10" t="s">
        <v>155</v>
      </c>
      <c r="C2" s="4"/>
      <c r="D2" s="4"/>
      <c r="E2" s="5"/>
    </row>
    <row r="3" spans="1:5" ht="51.6" customHeight="1" thickBot="1" x14ac:dyDescent="0.3">
      <c r="A3" s="3"/>
      <c r="B3" s="226" t="s">
        <v>153</v>
      </c>
      <c r="C3" s="226"/>
      <c r="D3" s="226"/>
      <c r="E3" s="227"/>
    </row>
    <row r="4" spans="1:5" ht="15.75" thickBot="1" x14ac:dyDescent="0.3">
      <c r="A4" s="6" t="s">
        <v>102</v>
      </c>
      <c r="B4" s="7" t="s">
        <v>103</v>
      </c>
      <c r="C4" s="8"/>
      <c r="D4" s="8"/>
      <c r="E4" s="9"/>
    </row>
    <row r="5" spans="1:5" ht="15.75" thickBot="1" x14ac:dyDescent="0.3">
      <c r="A5" s="3" t="s">
        <v>154</v>
      </c>
      <c r="B5" s="8" t="s">
        <v>190</v>
      </c>
      <c r="C5" s="10"/>
      <c r="D5" s="4" t="s">
        <v>104</v>
      </c>
      <c r="E5" s="11"/>
    </row>
    <row r="6" spans="1:5" ht="16.149999999999999" customHeight="1" thickBot="1" x14ac:dyDescent="0.3">
      <c r="A6" s="107" t="s">
        <v>141</v>
      </c>
      <c r="B6" s="8"/>
      <c r="C6" s="8"/>
      <c r="D6" s="8" t="s">
        <v>244</v>
      </c>
      <c r="E6" s="9"/>
    </row>
    <row r="8" spans="1:5" x14ac:dyDescent="0.25">
      <c r="B8" s="228" t="s">
        <v>182</v>
      </c>
      <c r="C8" s="228"/>
    </row>
    <row r="9" spans="1:5" x14ac:dyDescent="0.25">
      <c r="B9" s="228"/>
      <c r="C9" s="228"/>
    </row>
    <row r="10" spans="1:5" x14ac:dyDescent="0.25">
      <c r="B10" s="228"/>
      <c r="C10" s="228"/>
    </row>
    <row r="12" spans="1:5" hidden="1" x14ac:dyDescent="0.25"/>
    <row r="13" spans="1:5" ht="15" customHeight="1" x14ac:dyDescent="0.25">
      <c r="A13" s="229" t="s">
        <v>105</v>
      </c>
      <c r="B13" s="229"/>
      <c r="C13" s="229"/>
      <c r="D13" s="229"/>
      <c r="E13" s="229"/>
    </row>
    <row r="14" spans="1:5" ht="15" customHeight="1" x14ac:dyDescent="0.25">
      <c r="A14" s="229"/>
      <c r="B14" s="229"/>
      <c r="C14" s="229"/>
      <c r="D14" s="229"/>
      <c r="E14" s="229"/>
    </row>
    <row r="15" spans="1:5" ht="15" customHeight="1" x14ac:dyDescent="0.25">
      <c r="A15" s="229"/>
      <c r="B15" s="229"/>
      <c r="C15" s="229"/>
      <c r="D15" s="229"/>
      <c r="E15" s="229"/>
    </row>
    <row r="16" spans="1:5" ht="53.25" customHeight="1" x14ac:dyDescent="0.25">
      <c r="A16" s="229"/>
      <c r="B16" s="229"/>
      <c r="C16" s="229"/>
      <c r="D16" s="229"/>
      <c r="E16" s="229"/>
    </row>
    <row r="17" spans="1:8" ht="14.25" customHeight="1" thickBot="1" x14ac:dyDescent="0.3"/>
    <row r="18" spans="1:8" ht="15.75" hidden="1" thickBot="1" x14ac:dyDescent="0.3">
      <c r="A18" s="1"/>
    </row>
    <row r="19" spans="1:8" ht="15.75" hidden="1" thickBot="1" x14ac:dyDescent="0.3"/>
    <row r="20" spans="1:8" x14ac:dyDescent="0.25">
      <c r="A20" s="12" t="s">
        <v>106</v>
      </c>
      <c r="B20" s="13"/>
      <c r="C20" s="14"/>
      <c r="D20" s="15"/>
      <c r="E20" s="16"/>
    </row>
    <row r="21" spans="1:8" x14ac:dyDescent="0.25">
      <c r="A21" s="17" t="s">
        <v>142</v>
      </c>
      <c r="B21" s="17"/>
      <c r="C21" s="17"/>
      <c r="D21" s="154"/>
      <c r="E21" s="19"/>
    </row>
    <row r="22" spans="1:8" ht="15" customHeight="1" x14ac:dyDescent="0.25">
      <c r="A22" s="224" t="s">
        <v>174</v>
      </c>
      <c r="B22" s="225"/>
      <c r="C22" s="22"/>
      <c r="D22" s="167">
        <v>1931623</v>
      </c>
      <c r="E22" s="47"/>
      <c r="H22" s="23"/>
    </row>
    <row r="23" spans="1:8" ht="15" customHeight="1" x14ac:dyDescent="0.25">
      <c r="A23" s="224" t="s">
        <v>175</v>
      </c>
      <c r="B23" s="225"/>
      <c r="C23" s="22"/>
      <c r="D23" s="167">
        <v>-420128</v>
      </c>
      <c r="E23" s="24"/>
      <c r="H23" s="23"/>
    </row>
    <row r="24" spans="1:8" ht="13.5" customHeight="1" x14ac:dyDescent="0.25">
      <c r="A24" s="224" t="s">
        <v>1</v>
      </c>
      <c r="B24" s="225"/>
      <c r="C24" s="22"/>
      <c r="D24" s="168">
        <v>0</v>
      </c>
      <c r="E24" s="24"/>
      <c r="H24" s="23"/>
    </row>
    <row r="25" spans="1:8" x14ac:dyDescent="0.25">
      <c r="A25" s="25" t="s">
        <v>107</v>
      </c>
      <c r="B25" s="25"/>
      <c r="C25" s="25"/>
      <c r="D25" s="26"/>
      <c r="E25" s="27">
        <f>SUM(D22:D24)</f>
        <v>1511495</v>
      </c>
    </row>
    <row r="26" spans="1:8" x14ac:dyDescent="0.25">
      <c r="A26" s="25" t="s">
        <v>200</v>
      </c>
      <c r="B26" s="25"/>
      <c r="C26" s="25"/>
      <c r="D26" s="26"/>
      <c r="E26" s="108"/>
    </row>
    <row r="27" spans="1:8" x14ac:dyDescent="0.25">
      <c r="A27" s="22" t="s">
        <v>201</v>
      </c>
      <c r="B27" s="22"/>
      <c r="C27" s="22"/>
      <c r="D27" s="45">
        <v>148000</v>
      </c>
      <c r="E27" s="110"/>
    </row>
    <row r="28" spans="1:8" x14ac:dyDescent="0.25">
      <c r="A28" s="22" t="s">
        <v>255</v>
      </c>
      <c r="B28" s="22"/>
      <c r="C28" s="22"/>
      <c r="D28" s="45">
        <v>5842.51</v>
      </c>
      <c r="E28" s="118" t="s">
        <v>171</v>
      </c>
    </row>
    <row r="29" spans="1:8" x14ac:dyDescent="0.25">
      <c r="A29" s="25" t="s">
        <v>107</v>
      </c>
      <c r="B29" s="34"/>
      <c r="C29" s="34"/>
      <c r="D29" s="138"/>
      <c r="E29" s="29">
        <f>D27+D28</f>
        <v>153842.51</v>
      </c>
    </row>
    <row r="30" spans="1:8" x14ac:dyDescent="0.25">
      <c r="A30" s="17" t="s">
        <v>143</v>
      </c>
      <c r="B30" s="25"/>
      <c r="C30" s="25"/>
      <c r="D30" s="26"/>
      <c r="E30" s="108"/>
    </row>
    <row r="31" spans="1:8" x14ac:dyDescent="0.25">
      <c r="A31" s="22" t="s">
        <v>213</v>
      </c>
      <c r="B31" s="109"/>
      <c r="C31" s="109"/>
      <c r="D31" s="45">
        <v>13757.84</v>
      </c>
      <c r="E31" s="118" t="s">
        <v>212</v>
      </c>
    </row>
    <row r="32" spans="1:8" x14ac:dyDescent="0.25">
      <c r="A32" s="22" t="s">
        <v>159</v>
      </c>
      <c r="B32" s="109"/>
      <c r="C32" s="109"/>
      <c r="D32" s="45">
        <v>1235711.01</v>
      </c>
      <c r="E32" s="118" t="s">
        <v>199</v>
      </c>
    </row>
    <row r="33" spans="1:5" x14ac:dyDescent="0.25">
      <c r="A33" s="22" t="s">
        <v>145</v>
      </c>
      <c r="B33" s="109"/>
      <c r="C33" s="109"/>
      <c r="D33" s="45">
        <v>225490.24</v>
      </c>
      <c r="E33" s="118" t="s">
        <v>197</v>
      </c>
    </row>
    <row r="34" spans="1:5" x14ac:dyDescent="0.25">
      <c r="A34" s="22" t="s">
        <v>147</v>
      </c>
      <c r="B34" s="109"/>
      <c r="C34" s="109"/>
      <c r="D34" s="45">
        <v>98200.71</v>
      </c>
      <c r="E34" s="118" t="str">
        <f>E33</f>
        <v>Debito 16/02</v>
      </c>
    </row>
    <row r="35" spans="1:5" x14ac:dyDescent="0.25">
      <c r="A35" s="22" t="s">
        <v>146</v>
      </c>
      <c r="B35" s="109"/>
      <c r="C35" s="109"/>
      <c r="D35" s="45">
        <v>10911.19</v>
      </c>
      <c r="E35" s="118" t="str">
        <f>E33</f>
        <v>Debito 16/02</v>
      </c>
    </row>
    <row r="36" spans="1:5" x14ac:dyDescent="0.25">
      <c r="A36" s="22" t="s">
        <v>160</v>
      </c>
      <c r="B36" s="109"/>
      <c r="C36" s="109"/>
      <c r="D36" s="45"/>
      <c r="E36" s="118"/>
    </row>
    <row r="37" spans="1:5" ht="12.75" customHeight="1" x14ac:dyDescent="0.25">
      <c r="A37" s="25" t="s">
        <v>144</v>
      </c>
      <c r="B37" s="25"/>
      <c r="C37" s="25"/>
      <c r="D37" s="26"/>
      <c r="E37" s="33">
        <f>SUM(D31:D36)</f>
        <v>1584070.99</v>
      </c>
    </row>
    <row r="38" spans="1:5" x14ac:dyDescent="0.25">
      <c r="A38" s="17" t="s">
        <v>108</v>
      </c>
      <c r="B38" s="25"/>
      <c r="C38" s="25"/>
      <c r="D38" s="28"/>
      <c r="E38" s="29"/>
    </row>
    <row r="39" spans="1:5" ht="26.25" customHeight="1" x14ac:dyDescent="0.25">
      <c r="A39" s="220" t="s">
        <v>148</v>
      </c>
      <c r="B39" s="221"/>
      <c r="C39" s="32"/>
      <c r="D39" s="169">
        <v>313739</v>
      </c>
      <c r="E39" s="24" t="s">
        <v>214</v>
      </c>
    </row>
    <row r="40" spans="1:5" ht="26.25" customHeight="1" x14ac:dyDescent="0.25">
      <c r="A40" s="220" t="s">
        <v>252</v>
      </c>
      <c r="B40" s="221"/>
      <c r="C40" s="32"/>
      <c r="D40" s="170">
        <v>214164</v>
      </c>
      <c r="E40" s="24" t="s">
        <v>251</v>
      </c>
    </row>
    <row r="41" spans="1:5" ht="27" customHeight="1" x14ac:dyDescent="0.25">
      <c r="A41" s="220" t="s">
        <v>149</v>
      </c>
      <c r="B41" s="221"/>
      <c r="C41" s="32"/>
      <c r="D41" s="170">
        <v>5204</v>
      </c>
      <c r="E41" s="24" t="s">
        <v>214</v>
      </c>
    </row>
    <row r="42" spans="1:5" x14ac:dyDescent="0.25">
      <c r="A42" s="25" t="s">
        <v>109</v>
      </c>
      <c r="B42" s="25"/>
      <c r="C42" s="25"/>
      <c r="D42" s="26"/>
      <c r="E42" s="33">
        <f>SUM(D39:D41)</f>
        <v>533107</v>
      </c>
    </row>
    <row r="43" spans="1:5" x14ac:dyDescent="0.25">
      <c r="A43" s="17" t="s">
        <v>110</v>
      </c>
      <c r="B43" s="34"/>
      <c r="C43" s="34"/>
      <c r="D43" s="35"/>
      <c r="E43" s="36"/>
    </row>
    <row r="44" spans="1:5" ht="14.25" customHeight="1" x14ac:dyDescent="0.25">
      <c r="A44" s="37" t="s">
        <v>111</v>
      </c>
      <c r="B44" s="37" t="s">
        <v>216</v>
      </c>
      <c r="C44" s="37"/>
      <c r="D44" s="38">
        <v>542686.9</v>
      </c>
      <c r="E44" s="24" t="s">
        <v>218</v>
      </c>
    </row>
    <row r="45" spans="1:5" ht="14.25" customHeight="1" x14ac:dyDescent="0.25">
      <c r="A45" s="37" t="s">
        <v>111</v>
      </c>
      <c r="B45" s="37" t="s">
        <v>219</v>
      </c>
      <c r="C45" s="37"/>
      <c r="D45" s="38">
        <v>0</v>
      </c>
      <c r="E45" s="24"/>
    </row>
    <row r="46" spans="1:5" ht="14.25" customHeight="1" x14ac:dyDescent="0.25">
      <c r="A46" s="37" t="s">
        <v>111</v>
      </c>
      <c r="B46" s="37" t="s">
        <v>217</v>
      </c>
      <c r="C46" s="37"/>
      <c r="D46" s="38">
        <v>0</v>
      </c>
      <c r="E46" s="24"/>
    </row>
    <row r="47" spans="1:5" x14ac:dyDescent="0.25">
      <c r="A47" s="37" t="s">
        <v>112</v>
      </c>
      <c r="B47" s="39"/>
      <c r="C47" s="37"/>
      <c r="D47" s="38">
        <v>10111.620000000001</v>
      </c>
      <c r="E47" s="24" t="s">
        <v>215</v>
      </c>
    </row>
    <row r="48" spans="1:5" x14ac:dyDescent="0.25">
      <c r="A48" s="220" t="s">
        <v>113</v>
      </c>
      <c r="B48" s="221"/>
      <c r="C48" s="37"/>
      <c r="D48" s="38">
        <v>4813938.26</v>
      </c>
      <c r="E48" s="155" t="s">
        <v>193</v>
      </c>
    </row>
    <row r="49" spans="1:6" x14ac:dyDescent="0.25">
      <c r="A49" s="40" t="s">
        <v>114</v>
      </c>
      <c r="B49" s="31"/>
      <c r="C49" s="37"/>
      <c r="D49" s="38"/>
      <c r="E49" s="24"/>
    </row>
    <row r="50" spans="1:6" ht="15.75" thickBot="1" x14ac:dyDescent="0.3">
      <c r="A50" s="25" t="s">
        <v>115</v>
      </c>
      <c r="B50" s="25"/>
      <c r="C50" s="25"/>
      <c r="D50" s="41"/>
      <c r="E50" s="42">
        <f>SUM(D44:D49)</f>
        <v>5366736.7799999993</v>
      </c>
    </row>
    <row r="51" spans="1:6" ht="15" customHeight="1" thickBot="1" x14ac:dyDescent="0.3">
      <c r="A51" s="17"/>
      <c r="B51" s="25"/>
      <c r="C51" s="25"/>
      <c r="D51" s="26"/>
      <c r="E51" s="43"/>
    </row>
    <row r="52" spans="1:6" ht="21.95" customHeight="1" x14ac:dyDescent="0.25">
      <c r="A52" s="224" t="s">
        <v>177</v>
      </c>
      <c r="B52" s="225"/>
      <c r="C52" s="37"/>
      <c r="D52" s="38">
        <v>225000</v>
      </c>
      <c r="E52" s="44" t="s">
        <v>194</v>
      </c>
    </row>
    <row r="53" spans="1:6" ht="41.45" customHeight="1" x14ac:dyDescent="0.25">
      <c r="A53" s="224" t="s">
        <v>189</v>
      </c>
      <c r="B53" s="225"/>
      <c r="C53" s="37"/>
      <c r="D53" s="38">
        <v>500000</v>
      </c>
      <c r="E53" s="44" t="s">
        <v>194</v>
      </c>
    </row>
    <row r="54" spans="1:6" ht="129" customHeight="1" x14ac:dyDescent="0.25">
      <c r="A54" s="224" t="s">
        <v>192</v>
      </c>
      <c r="B54" s="225"/>
      <c r="C54" s="37"/>
      <c r="D54" s="38">
        <v>1520000</v>
      </c>
      <c r="E54" s="151" t="s">
        <v>195</v>
      </c>
    </row>
    <row r="55" spans="1:6" ht="34.5" customHeight="1" x14ac:dyDescent="0.25">
      <c r="A55" s="224" t="s">
        <v>221</v>
      </c>
      <c r="B55" s="225"/>
      <c r="C55" s="37"/>
      <c r="D55" s="38">
        <f>272252*2</f>
        <v>544504</v>
      </c>
      <c r="E55" s="151" t="s">
        <v>250</v>
      </c>
    </row>
    <row r="56" spans="1:6" ht="21.95" customHeight="1" x14ac:dyDescent="0.25">
      <c r="A56" s="224" t="s">
        <v>207</v>
      </c>
      <c r="B56" s="225"/>
      <c r="C56" s="37"/>
      <c r="D56" s="38">
        <v>85000</v>
      </c>
      <c r="E56" s="44" t="s">
        <v>206</v>
      </c>
      <c r="F56" s="63"/>
    </row>
    <row r="57" spans="1:6" ht="21.95" customHeight="1" x14ac:dyDescent="0.25">
      <c r="A57" s="224" t="s">
        <v>226</v>
      </c>
      <c r="B57" s="225"/>
      <c r="C57" s="37"/>
      <c r="D57" s="38">
        <v>120000</v>
      </c>
      <c r="E57" s="44" t="s">
        <v>210</v>
      </c>
      <c r="F57" s="63"/>
    </row>
    <row r="58" spans="1:6" ht="21.95" customHeight="1" x14ac:dyDescent="0.25">
      <c r="A58" s="20" t="s">
        <v>209</v>
      </c>
      <c r="B58" s="21"/>
      <c r="C58" s="37"/>
      <c r="D58" s="38">
        <v>35000</v>
      </c>
      <c r="E58" s="44" t="s">
        <v>206</v>
      </c>
      <c r="F58" s="63"/>
    </row>
    <row r="59" spans="1:6" ht="30" customHeight="1" x14ac:dyDescent="0.25">
      <c r="A59" s="224" t="s">
        <v>208</v>
      </c>
      <c r="B59" s="225"/>
      <c r="C59" s="37"/>
      <c r="D59" s="38">
        <v>6000</v>
      </c>
      <c r="E59" s="44" t="s">
        <v>206</v>
      </c>
      <c r="F59" s="63"/>
    </row>
    <row r="60" spans="1:6" ht="85.9" customHeight="1" x14ac:dyDescent="0.25">
      <c r="A60" s="224" t="s">
        <v>249</v>
      </c>
      <c r="B60" s="225"/>
      <c r="C60" s="37"/>
      <c r="D60" s="38">
        <v>7000000</v>
      </c>
      <c r="E60" s="47" t="s">
        <v>211</v>
      </c>
      <c r="F60" s="63"/>
    </row>
    <row r="61" spans="1:6" ht="30" customHeight="1" x14ac:dyDescent="0.25">
      <c r="A61" s="20" t="s">
        <v>202</v>
      </c>
      <c r="B61" s="21"/>
      <c r="C61" s="37"/>
      <c r="D61" s="38">
        <v>28000</v>
      </c>
      <c r="E61" s="44" t="s">
        <v>171</v>
      </c>
      <c r="F61" s="63"/>
    </row>
    <row r="62" spans="1:6" ht="21.95" customHeight="1" x14ac:dyDescent="0.25">
      <c r="A62" s="123" t="s">
        <v>178</v>
      </c>
      <c r="B62" s="21"/>
      <c r="C62" s="37"/>
      <c r="D62" s="38">
        <v>150800</v>
      </c>
      <c r="E62" s="44" t="s">
        <v>206</v>
      </c>
      <c r="F62" s="63"/>
    </row>
    <row r="63" spans="1:6" ht="21.95" customHeight="1" x14ac:dyDescent="0.25">
      <c r="A63" s="156" t="s">
        <v>187</v>
      </c>
      <c r="B63" s="157"/>
      <c r="C63" s="37"/>
      <c r="D63" s="38">
        <v>910000</v>
      </c>
      <c r="E63" s="47" t="s">
        <v>203</v>
      </c>
      <c r="F63" s="63"/>
    </row>
    <row r="64" spans="1:6" ht="41.25" customHeight="1" x14ac:dyDescent="0.25">
      <c r="A64" s="224" t="s">
        <v>205</v>
      </c>
      <c r="B64" s="225"/>
      <c r="C64" s="37"/>
      <c r="D64" s="38">
        <v>250000</v>
      </c>
      <c r="E64" s="47" t="s">
        <v>204</v>
      </c>
      <c r="F64" s="63"/>
    </row>
    <row r="65" spans="1:6" ht="21.95" customHeight="1" x14ac:dyDescent="0.25">
      <c r="A65" s="123" t="s">
        <v>185</v>
      </c>
      <c r="B65" s="21"/>
      <c r="C65" s="37"/>
      <c r="D65" s="38">
        <v>133300</v>
      </c>
      <c r="E65" s="47" t="s">
        <v>184</v>
      </c>
      <c r="F65" s="63"/>
    </row>
    <row r="66" spans="1:6" ht="21.95" customHeight="1" x14ac:dyDescent="0.25">
      <c r="A66" s="224" t="s">
        <v>198</v>
      </c>
      <c r="B66" s="225"/>
      <c r="C66" s="37"/>
      <c r="D66" s="38">
        <v>105602.65</v>
      </c>
      <c r="E66" s="47" t="s">
        <v>188</v>
      </c>
      <c r="F66" s="63"/>
    </row>
    <row r="67" spans="1:6" ht="29.25" customHeight="1" x14ac:dyDescent="0.25">
      <c r="A67" s="224" t="s">
        <v>183</v>
      </c>
      <c r="B67" s="225"/>
      <c r="C67" s="37"/>
      <c r="D67" s="38">
        <v>2022800</v>
      </c>
      <c r="E67" s="47" t="s">
        <v>184</v>
      </c>
    </row>
    <row r="68" spans="1:6" x14ac:dyDescent="0.25">
      <c r="A68" s="25" t="s">
        <v>0</v>
      </c>
      <c r="B68" s="17"/>
      <c r="C68" s="17"/>
      <c r="D68" s="46"/>
      <c r="E68" s="33">
        <f>SUM(D52:D67)</f>
        <v>13636006.65</v>
      </c>
    </row>
    <row r="69" spans="1:6" x14ac:dyDescent="0.25">
      <c r="A69" s="17" t="s">
        <v>116</v>
      </c>
      <c r="B69" s="17"/>
      <c r="C69" s="17"/>
      <c r="D69" s="18"/>
      <c r="E69" s="19"/>
    </row>
    <row r="70" spans="1:6" ht="15.75" customHeight="1" x14ac:dyDescent="0.25">
      <c r="A70" s="224" t="s">
        <v>191</v>
      </c>
      <c r="B70" s="225"/>
      <c r="C70" s="22"/>
      <c r="D70" s="171">
        <v>650000</v>
      </c>
      <c r="E70" s="47"/>
    </row>
    <row r="71" spans="1:6" ht="15.75" customHeight="1" x14ac:dyDescent="0.25">
      <c r="A71" s="20" t="s">
        <v>176</v>
      </c>
      <c r="B71" s="21"/>
      <c r="C71" s="22"/>
      <c r="D71" s="172">
        <v>125000</v>
      </c>
      <c r="E71" s="47" t="s">
        <v>186</v>
      </c>
    </row>
    <row r="72" spans="1:6" ht="15.75" customHeight="1" x14ac:dyDescent="0.25">
      <c r="A72" s="224" t="s">
        <v>220</v>
      </c>
      <c r="B72" s="225"/>
      <c r="C72" s="22"/>
      <c r="D72" s="172">
        <v>62500</v>
      </c>
      <c r="E72" s="47" t="s">
        <v>186</v>
      </c>
    </row>
    <row r="73" spans="1:6" ht="15.75" customHeight="1" x14ac:dyDescent="0.25">
      <c r="A73" s="123" t="s">
        <v>248</v>
      </c>
      <c r="B73" s="21"/>
      <c r="C73" s="22"/>
      <c r="D73" s="172">
        <v>45000</v>
      </c>
      <c r="E73" s="47" t="s">
        <v>196</v>
      </c>
    </row>
    <row r="74" spans="1:6" x14ac:dyDescent="0.25">
      <c r="A74" s="25" t="s">
        <v>107</v>
      </c>
      <c r="B74" s="25"/>
      <c r="C74" s="25"/>
      <c r="D74" s="26"/>
      <c r="E74" s="27">
        <f>SUM(D70:D73)</f>
        <v>882500</v>
      </c>
    </row>
    <row r="75" spans="1:6" x14ac:dyDescent="0.25">
      <c r="A75" s="17" t="s">
        <v>117</v>
      </c>
      <c r="B75" s="48"/>
      <c r="C75" s="25"/>
      <c r="D75" s="49"/>
      <c r="E75" s="33"/>
    </row>
    <row r="76" spans="1:6" x14ac:dyDescent="0.25">
      <c r="A76" s="37" t="s">
        <v>156</v>
      </c>
      <c r="B76" s="37"/>
      <c r="C76" s="37"/>
      <c r="D76" s="38">
        <v>18681.400000000001</v>
      </c>
      <c r="E76" s="50"/>
    </row>
    <row r="77" spans="1:6" x14ac:dyDescent="0.25">
      <c r="A77" s="37" t="s">
        <v>247</v>
      </c>
      <c r="B77" s="37"/>
      <c r="C77" s="37"/>
      <c r="D77" s="38">
        <f>29633.91-18681.4+50000</f>
        <v>60952.509999999995</v>
      </c>
      <c r="E77" s="51"/>
    </row>
    <row r="78" spans="1:6" x14ac:dyDescent="0.25">
      <c r="A78" s="37" t="s">
        <v>157</v>
      </c>
      <c r="B78" s="112"/>
      <c r="C78" s="112"/>
      <c r="D78" s="173">
        <v>45000</v>
      </c>
      <c r="E78" s="51"/>
    </row>
    <row r="79" spans="1:6" x14ac:dyDescent="0.25">
      <c r="A79" s="37" t="s">
        <v>158</v>
      </c>
      <c r="B79" s="112"/>
      <c r="C79" s="112"/>
      <c r="D79" s="173">
        <f>9386+1200+193960.95+3629+1284.98</f>
        <v>209460.93000000002</v>
      </c>
      <c r="E79" s="51"/>
    </row>
    <row r="80" spans="1:6" x14ac:dyDescent="0.25">
      <c r="A80" s="52" t="s">
        <v>107</v>
      </c>
      <c r="B80" s="52"/>
      <c r="C80" s="52"/>
      <c r="D80" s="53"/>
      <c r="E80" s="54">
        <f>SUM(D76:D79)</f>
        <v>334094.84000000003</v>
      </c>
    </row>
    <row r="81" spans="1:8" x14ac:dyDescent="0.25">
      <c r="A81" s="37"/>
      <c r="B81" s="37"/>
      <c r="C81" s="37"/>
      <c r="D81" s="55"/>
      <c r="E81" s="56"/>
    </row>
    <row r="82" spans="1:8" x14ac:dyDescent="0.25">
      <c r="A82" s="57" t="s">
        <v>118</v>
      </c>
      <c r="B82" s="57"/>
      <c r="C82" s="57"/>
      <c r="D82" s="58"/>
      <c r="E82" s="59"/>
    </row>
    <row r="83" spans="1:8" ht="15.75" thickBot="1" x14ac:dyDescent="0.3">
      <c r="A83" s="60"/>
      <c r="D83" s="61"/>
      <c r="E83" s="62"/>
      <c r="F83" s="63"/>
    </row>
    <row r="84" spans="1:8" ht="15.75" thickBot="1" x14ac:dyDescent="0.3">
      <c r="A84" s="64" t="s">
        <v>119</v>
      </c>
      <c r="B84" s="65"/>
      <c r="C84" s="66"/>
      <c r="D84" s="67"/>
      <c r="E84" s="68">
        <f>(SUM(E21:E82))</f>
        <v>24001853.77</v>
      </c>
      <c r="F84" s="69"/>
      <c r="G84" s="63"/>
    </row>
    <row r="85" spans="1:8" x14ac:dyDescent="0.25">
      <c r="D85" s="61"/>
      <c r="E85" s="61"/>
    </row>
    <row r="86" spans="1:8" ht="15.75" thickBot="1" x14ac:dyDescent="0.3">
      <c r="D86" s="61"/>
      <c r="E86" s="61"/>
      <c r="H86" s="70"/>
    </row>
    <row r="87" spans="1:8" x14ac:dyDescent="0.25">
      <c r="A87" s="12" t="s">
        <v>120</v>
      </c>
      <c r="B87" s="13"/>
      <c r="C87" s="14"/>
      <c r="D87" s="71"/>
      <c r="E87" s="72"/>
    </row>
    <row r="88" spans="1:8" ht="15" customHeight="1" x14ac:dyDescent="0.25">
      <c r="A88" s="30"/>
      <c r="B88" s="31"/>
      <c r="C88" s="37"/>
      <c r="D88" s="45"/>
      <c r="E88" s="73"/>
    </row>
    <row r="89" spans="1:8" ht="15" customHeight="1" x14ac:dyDescent="0.25">
      <c r="A89" s="224"/>
      <c r="B89" s="225"/>
      <c r="C89" s="37"/>
      <c r="D89" s="45"/>
      <c r="E89" s="73"/>
    </row>
    <row r="90" spans="1:8" ht="15.75" customHeight="1" x14ac:dyDescent="0.25">
      <c r="D90" s="55"/>
      <c r="E90" s="37"/>
    </row>
    <row r="91" spans="1:8" x14ac:dyDescent="0.25">
      <c r="A91" s="30"/>
      <c r="B91" s="74"/>
      <c r="C91" s="37"/>
      <c r="D91" s="45"/>
      <c r="E91" s="73"/>
    </row>
    <row r="92" spans="1:8" x14ac:dyDescent="0.25">
      <c r="A92" s="75" t="s">
        <v>151</v>
      </c>
      <c r="B92" s="76"/>
      <c r="C92" s="76"/>
      <c r="D92" s="153"/>
      <c r="E92" s="111">
        <f>SUM(D88:D91)</f>
        <v>0</v>
      </c>
    </row>
    <row r="93" spans="1:8" ht="15" customHeight="1" x14ac:dyDescent="0.25">
      <c r="D93" s="61"/>
    </row>
    <row r="94" spans="1:8" hidden="1" x14ac:dyDescent="0.25">
      <c r="D94" s="61"/>
    </row>
    <row r="95" spans="1:8" x14ac:dyDescent="0.25">
      <c r="A95" s="57" t="s">
        <v>121</v>
      </c>
      <c r="B95" s="57"/>
      <c r="C95" s="57"/>
      <c r="D95" s="58"/>
      <c r="E95" s="119"/>
    </row>
    <row r="96" spans="1:8" ht="15.75" thickBot="1" x14ac:dyDescent="0.3">
      <c r="D96" s="61"/>
    </row>
    <row r="97" spans="1:5" ht="15.75" thickBot="1" x14ac:dyDescent="0.3">
      <c r="A97" s="64" t="s">
        <v>122</v>
      </c>
      <c r="B97" s="65"/>
      <c r="C97" s="66"/>
      <c r="D97" s="66"/>
      <c r="E97" s="77">
        <f>E92+E95</f>
        <v>0</v>
      </c>
    </row>
    <row r="98" spans="1:5" ht="15.75" thickBot="1" x14ac:dyDescent="0.3"/>
    <row r="99" spans="1:5" ht="15.75" thickBot="1" x14ac:dyDescent="0.3">
      <c r="A99" s="78" t="s">
        <v>123</v>
      </c>
      <c r="B99" s="79">
        <f>E84</f>
        <v>24001853.77</v>
      </c>
    </row>
    <row r="100" spans="1:5" ht="15.75" thickBot="1" x14ac:dyDescent="0.3">
      <c r="A100" s="78" t="s">
        <v>124</v>
      </c>
      <c r="B100" s="79">
        <f>E84-E82</f>
        <v>24001853.77</v>
      </c>
    </row>
    <row r="101" spans="1:5" ht="15.75" thickBot="1" x14ac:dyDescent="0.3">
      <c r="A101" s="78" t="s">
        <v>125</v>
      </c>
      <c r="B101" s="79">
        <f>E97-E95</f>
        <v>0</v>
      </c>
    </row>
    <row r="102" spans="1:5" ht="15.75" thickBot="1" x14ac:dyDescent="0.3">
      <c r="A102" s="78" t="s">
        <v>126</v>
      </c>
      <c r="B102" s="79">
        <f>E97</f>
        <v>0</v>
      </c>
    </row>
    <row r="105" spans="1:5" ht="15" customHeight="1" x14ac:dyDescent="0.25">
      <c r="A105" s="232" t="s">
        <v>235</v>
      </c>
      <c r="B105" s="232"/>
    </row>
    <row r="106" spans="1:5" ht="15" customHeight="1" x14ac:dyDescent="0.25">
      <c r="A106" s="232"/>
      <c r="B106" s="232"/>
    </row>
    <row r="107" spans="1:5" ht="15" customHeight="1" x14ac:dyDescent="0.25">
      <c r="A107" s="232"/>
      <c r="B107" s="232"/>
    </row>
    <row r="109" spans="1:5" ht="15" customHeight="1" x14ac:dyDescent="0.25">
      <c r="A109" s="232" t="s">
        <v>238</v>
      </c>
      <c r="B109" s="232"/>
    </row>
    <row r="110" spans="1:5" ht="15" customHeight="1" x14ac:dyDescent="0.25">
      <c r="A110" s="232"/>
      <c r="B110" s="232"/>
    </row>
    <row r="111" spans="1:5" ht="15" customHeight="1" x14ac:dyDescent="0.25">
      <c r="A111" s="232"/>
      <c r="B111" s="232"/>
    </row>
    <row r="114" spans="1:6" x14ac:dyDescent="0.25">
      <c r="A114" s="231" t="s">
        <v>253</v>
      </c>
      <c r="B114" s="231"/>
    </row>
    <row r="115" spans="1:6" ht="31.5" customHeight="1" x14ac:dyDescent="0.25">
      <c r="A115" s="231"/>
      <c r="B115" s="231"/>
    </row>
    <row r="116" spans="1:6" s="82" customFormat="1" x14ac:dyDescent="0.25">
      <c r="A116"/>
      <c r="B116" s="80"/>
      <c r="C116" s="81"/>
    </row>
    <row r="117" spans="1:6" s="82" customFormat="1" ht="30.75" customHeight="1" x14ac:dyDescent="0.25">
      <c r="A117" s="122" t="s">
        <v>172</v>
      </c>
      <c r="B117" s="83">
        <v>10597369.743745035</v>
      </c>
      <c r="C117" s="81"/>
      <c r="D117" s="84"/>
      <c r="E117" s="84"/>
    </row>
    <row r="118" spans="1:6" x14ac:dyDescent="0.25">
      <c r="A118" s="32" t="s">
        <v>150</v>
      </c>
      <c r="B118" s="85">
        <f>-B100-B101</f>
        <v>-24001853.77</v>
      </c>
    </row>
    <row r="119" spans="1:6" x14ac:dyDescent="0.25">
      <c r="A119" s="32" t="s">
        <v>127</v>
      </c>
      <c r="B119" s="85">
        <f>B142</f>
        <v>195940.3</v>
      </c>
      <c r="F119" s="80"/>
    </row>
    <row r="120" spans="1:6" ht="69" customHeight="1" x14ac:dyDescent="0.25">
      <c r="A120" s="32" t="s">
        <v>222</v>
      </c>
      <c r="B120" s="140">
        <v>-239116.53</v>
      </c>
      <c r="F120" s="80"/>
    </row>
    <row r="121" spans="1:6" ht="35.25" customHeight="1" x14ac:dyDescent="0.25">
      <c r="A121" s="32" t="s">
        <v>223</v>
      </c>
      <c r="B121" s="141">
        <f>-119452</f>
        <v>-119452</v>
      </c>
      <c r="F121" s="80"/>
    </row>
    <row r="122" spans="1:6" ht="30" x14ac:dyDescent="0.25">
      <c r="A122" s="32" t="s">
        <v>229</v>
      </c>
      <c r="B122" s="141">
        <v>-123612</v>
      </c>
      <c r="F122" s="80"/>
    </row>
    <row r="123" spans="1:6" ht="30" x14ac:dyDescent="0.25">
      <c r="A123" s="32" t="s">
        <v>234</v>
      </c>
      <c r="B123" s="141">
        <v>-168836.39</v>
      </c>
      <c r="F123" s="80"/>
    </row>
    <row r="124" spans="1:6" x14ac:dyDescent="0.25">
      <c r="A124" s="32" t="s">
        <v>233</v>
      </c>
      <c r="B124" s="141">
        <v>-20871</v>
      </c>
      <c r="F124" s="80"/>
    </row>
    <row r="125" spans="1:6" x14ac:dyDescent="0.25">
      <c r="A125" s="32" t="s">
        <v>230</v>
      </c>
      <c r="B125" s="141">
        <v>-3820</v>
      </c>
      <c r="F125" s="80"/>
    </row>
    <row r="126" spans="1:6" ht="18" customHeight="1" x14ac:dyDescent="0.25">
      <c r="A126" s="32" t="s">
        <v>224</v>
      </c>
      <c r="B126" s="141">
        <v>-7274</v>
      </c>
      <c r="F126" s="80"/>
    </row>
    <row r="127" spans="1:6" ht="18" customHeight="1" x14ac:dyDescent="0.25">
      <c r="A127" s="32" t="s">
        <v>225</v>
      </c>
      <c r="B127" s="139">
        <v>-7528</v>
      </c>
      <c r="F127" s="80"/>
    </row>
    <row r="128" spans="1:6" ht="18" customHeight="1" x14ac:dyDescent="0.25">
      <c r="A128" s="32" t="s">
        <v>245</v>
      </c>
      <c r="B128" s="139">
        <v>-50000</v>
      </c>
      <c r="F128" s="80"/>
    </row>
    <row r="129" spans="1:13" x14ac:dyDescent="0.25">
      <c r="A129" s="32" t="s">
        <v>2</v>
      </c>
      <c r="B129" s="86">
        <f>PRORRATEO!F118</f>
        <v>14531886.810000001</v>
      </c>
      <c r="F129" s="80"/>
    </row>
    <row r="130" spans="1:13" x14ac:dyDescent="0.25">
      <c r="A130" s="32" t="s">
        <v>239</v>
      </c>
      <c r="B130" s="86">
        <v>300000</v>
      </c>
      <c r="F130" s="80"/>
    </row>
    <row r="131" spans="1:13" x14ac:dyDescent="0.25">
      <c r="A131" s="32" t="s">
        <v>240</v>
      </c>
      <c r="B131" s="86">
        <v>250000</v>
      </c>
      <c r="F131" s="80"/>
    </row>
    <row r="132" spans="1:13" x14ac:dyDescent="0.25">
      <c r="A132" s="32" t="s">
        <v>241</v>
      </c>
      <c r="B132" s="86">
        <v>200000.42</v>
      </c>
      <c r="F132" s="80"/>
    </row>
    <row r="133" spans="1:13" ht="30" x14ac:dyDescent="0.25">
      <c r="A133" s="32" t="s">
        <v>236</v>
      </c>
      <c r="B133" s="165">
        <v>-130000</v>
      </c>
      <c r="F133" s="80"/>
    </row>
    <row r="134" spans="1:13" ht="30" x14ac:dyDescent="0.25">
      <c r="A134" s="32" t="s">
        <v>242</v>
      </c>
      <c r="B134" s="165">
        <v>-130000</v>
      </c>
      <c r="F134" s="80"/>
    </row>
    <row r="135" spans="1:13" ht="34.5" customHeight="1" x14ac:dyDescent="0.25">
      <c r="A135" s="32" t="s">
        <v>237</v>
      </c>
      <c r="B135" s="165">
        <v>-130000</v>
      </c>
      <c r="F135" s="80"/>
    </row>
    <row r="136" spans="1:13" ht="30" x14ac:dyDescent="0.25">
      <c r="A136" s="87" t="s">
        <v>243</v>
      </c>
      <c r="B136" s="152">
        <v>123300</v>
      </c>
      <c r="F136" s="80"/>
    </row>
    <row r="137" spans="1:13" ht="15.75" thickBot="1" x14ac:dyDescent="0.3">
      <c r="A137" s="88" t="s">
        <v>173</v>
      </c>
      <c r="B137" s="89">
        <f>SUM(B117:C136)</f>
        <v>1066133.5837450363</v>
      </c>
      <c r="D137" s="80"/>
      <c r="E137" s="63"/>
      <c r="F137" s="63"/>
    </row>
    <row r="138" spans="1:13" ht="34.5" customHeight="1" x14ac:dyDescent="0.25"/>
    <row r="139" spans="1:13" x14ac:dyDescent="0.25">
      <c r="A139" s="230" t="s">
        <v>128</v>
      </c>
      <c r="B139" s="230"/>
      <c r="C139" s="230"/>
    </row>
    <row r="140" spans="1:13" x14ac:dyDescent="0.25">
      <c r="A140" s="230"/>
      <c r="B140" s="230"/>
      <c r="C140" s="230"/>
    </row>
    <row r="141" spans="1:13" ht="27" customHeight="1" x14ac:dyDescent="0.25">
      <c r="A141" s="90" t="s">
        <v>228</v>
      </c>
      <c r="B141" s="150">
        <v>195940.3</v>
      </c>
      <c r="C141" s="91"/>
      <c r="D141" s="69"/>
    </row>
    <row r="142" spans="1:13" x14ac:dyDescent="0.25">
      <c r="A142" s="92" t="s">
        <v>0</v>
      </c>
      <c r="B142" s="93">
        <f>SUM(B141:B141)</f>
        <v>195940.3</v>
      </c>
      <c r="C142" s="94"/>
    </row>
    <row r="143" spans="1:13" x14ac:dyDescent="0.25">
      <c r="M143" s="95"/>
    </row>
  </sheetData>
  <mergeCells count="29">
    <mergeCell ref="A72:B72"/>
    <mergeCell ref="A55:B55"/>
    <mergeCell ref="A139:C140"/>
    <mergeCell ref="A41:B41"/>
    <mergeCell ref="A114:B115"/>
    <mergeCell ref="A52:B52"/>
    <mergeCell ref="A67:B67"/>
    <mergeCell ref="A89:B89"/>
    <mergeCell ref="A56:B56"/>
    <mergeCell ref="A59:B59"/>
    <mergeCell ref="A60:B60"/>
    <mergeCell ref="A53:B53"/>
    <mergeCell ref="A54:B54"/>
    <mergeCell ref="A66:B66"/>
    <mergeCell ref="A105:B107"/>
    <mergeCell ref="A109:B111"/>
    <mergeCell ref="A39:B39"/>
    <mergeCell ref="B1:E1"/>
    <mergeCell ref="A24:B24"/>
    <mergeCell ref="A70:B70"/>
    <mergeCell ref="B3:E3"/>
    <mergeCell ref="B8:C10"/>
    <mergeCell ref="A13:E16"/>
    <mergeCell ref="A22:B22"/>
    <mergeCell ref="A23:B23"/>
    <mergeCell ref="A48:B48"/>
    <mergeCell ref="A64:B64"/>
    <mergeCell ref="A57:B57"/>
    <mergeCell ref="A40:B40"/>
  </mergeCells>
  <pageMargins left="0.23622047244094491" right="0.23622047244094491" top="0.74803149606299213" bottom="0.74803149606299213" header="0.31496062992125984" footer="0.31496062992125984"/>
  <pageSetup paperSize="5" scale="90"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3DB7A7-09F4-49CF-B824-70F15C1FF525}">
  <dimension ref="A1:O126"/>
  <sheetViews>
    <sheetView topLeftCell="A27" zoomScaleNormal="100" workbookViewId="0">
      <selection activeCell="B35" sqref="B35"/>
    </sheetView>
  </sheetViews>
  <sheetFormatPr baseColWidth="10" defaultColWidth="10.85546875" defaultRowHeight="15" x14ac:dyDescent="0.25"/>
  <cols>
    <col min="1" max="1" width="4.28515625" customWidth="1"/>
    <col min="2" max="2" width="25.5703125" customWidth="1"/>
    <col min="3" max="3" width="0.140625" customWidth="1"/>
    <col min="4" max="4" width="8.42578125" customWidth="1"/>
    <col min="5" max="5" width="14.140625" customWidth="1"/>
    <col min="6" max="6" width="12.28515625" customWidth="1"/>
    <col min="7" max="7" width="10.5703125" customWidth="1"/>
    <col min="8" max="8" width="9.5703125" customWidth="1"/>
    <col min="9" max="9" width="12.42578125" customWidth="1"/>
    <col min="10" max="10" width="14.42578125" customWidth="1"/>
    <col min="11" max="11" width="12.28515625" customWidth="1"/>
    <col min="12" max="12" width="14.7109375" customWidth="1"/>
    <col min="13" max="13" width="14.28515625" customWidth="1"/>
    <col min="14" max="14" width="7.28515625" bestFit="1" customWidth="1"/>
    <col min="15" max="15" width="12" bestFit="1" customWidth="1"/>
    <col min="16" max="16" width="13" bestFit="1" customWidth="1"/>
  </cols>
  <sheetData>
    <row r="1" spans="1:15" ht="12.95" customHeight="1" x14ac:dyDescent="0.25">
      <c r="A1" s="124"/>
      <c r="B1" s="125"/>
      <c r="C1" s="125"/>
      <c r="D1" s="243"/>
      <c r="E1" s="243"/>
      <c r="F1" s="243"/>
      <c r="G1" s="243"/>
      <c r="H1" s="243"/>
      <c r="I1" s="243"/>
      <c r="J1" s="243"/>
      <c r="K1" s="243"/>
      <c r="L1" s="243"/>
      <c r="M1" s="126"/>
    </row>
    <row r="2" spans="1:15" ht="12.95" customHeight="1" x14ac:dyDescent="0.25">
      <c r="A2" s="127"/>
      <c r="B2" s="128"/>
      <c r="C2" s="129"/>
      <c r="D2" s="129" t="s">
        <v>129</v>
      </c>
      <c r="E2" s="265">
        <v>3000000</v>
      </c>
      <c r="F2" s="265"/>
      <c r="G2" s="129"/>
      <c r="H2" s="129"/>
      <c r="I2" s="129" t="s">
        <v>130</v>
      </c>
      <c r="J2" s="130">
        <v>12074625</v>
      </c>
      <c r="K2" s="130"/>
      <c r="L2" s="131"/>
      <c r="M2" s="132"/>
      <c r="N2" s="96"/>
    </row>
    <row r="3" spans="1:15" ht="12.95" customHeight="1" thickBot="1" x14ac:dyDescent="0.3">
      <c r="A3" s="133"/>
      <c r="B3" s="134"/>
      <c r="C3" s="134"/>
      <c r="D3" s="134"/>
      <c r="E3" s="134"/>
      <c r="F3" s="135"/>
      <c r="G3" s="134"/>
      <c r="H3" s="134"/>
      <c r="I3" s="134"/>
      <c r="J3" s="134"/>
      <c r="K3" s="134"/>
      <c r="L3" s="136"/>
      <c r="M3" s="137"/>
      <c r="N3" s="96"/>
    </row>
    <row r="4" spans="1:15" ht="12.95" customHeight="1" x14ac:dyDescent="0.25">
      <c r="A4" s="244" t="s">
        <v>170</v>
      </c>
      <c r="B4" s="245"/>
      <c r="C4" s="245"/>
      <c r="D4" s="245"/>
      <c r="E4" s="245"/>
      <c r="F4" s="245"/>
      <c r="G4" s="245"/>
      <c r="H4" s="245"/>
      <c r="I4" s="245"/>
      <c r="J4" s="245"/>
      <c r="K4" s="245"/>
      <c r="L4" s="245"/>
      <c r="M4" s="246"/>
      <c r="N4" s="96"/>
    </row>
    <row r="5" spans="1:15" ht="12.95" customHeight="1" x14ac:dyDescent="0.25">
      <c r="A5" s="247"/>
      <c r="B5" s="248"/>
      <c r="C5" s="248"/>
      <c r="D5" s="248"/>
      <c r="E5" s="248"/>
      <c r="F5" s="248"/>
      <c r="G5" s="248"/>
      <c r="H5" s="248"/>
      <c r="I5" s="248"/>
      <c r="J5" s="248"/>
      <c r="K5" s="248"/>
      <c r="L5" s="248"/>
      <c r="M5" s="249"/>
      <c r="N5" s="96"/>
    </row>
    <row r="6" spans="1:15" ht="12.95" customHeight="1" x14ac:dyDescent="0.25">
      <c r="A6" s="247"/>
      <c r="B6" s="248"/>
      <c r="C6" s="248"/>
      <c r="D6" s="248"/>
      <c r="E6" s="248"/>
      <c r="F6" s="248"/>
      <c r="G6" s="248"/>
      <c r="H6" s="248"/>
      <c r="I6" s="248"/>
      <c r="J6" s="248"/>
      <c r="K6" s="248"/>
      <c r="L6" s="248"/>
      <c r="M6" s="249"/>
      <c r="N6" s="96"/>
    </row>
    <row r="7" spans="1:15" ht="12.95" customHeight="1" x14ac:dyDescent="0.25">
      <c r="A7" s="247"/>
      <c r="B7" s="248"/>
      <c r="C7" s="248"/>
      <c r="D7" s="248"/>
      <c r="E7" s="248"/>
      <c r="F7" s="248"/>
      <c r="G7" s="248"/>
      <c r="H7" s="248"/>
      <c r="I7" s="248"/>
      <c r="J7" s="248"/>
      <c r="K7" s="248"/>
      <c r="L7" s="248"/>
      <c r="M7" s="249"/>
      <c r="N7" s="96"/>
    </row>
    <row r="8" spans="1:15" ht="192" customHeight="1" thickBot="1" x14ac:dyDescent="0.3">
      <c r="A8" s="250"/>
      <c r="B8" s="251"/>
      <c r="C8" s="251"/>
      <c r="D8" s="251"/>
      <c r="E8" s="251"/>
      <c r="F8" s="251"/>
      <c r="G8" s="251"/>
      <c r="H8" s="251"/>
      <c r="I8" s="251"/>
      <c r="J8" s="251"/>
      <c r="K8" s="251"/>
      <c r="L8" s="251"/>
      <c r="M8" s="252"/>
    </row>
    <row r="9" spans="1:15" ht="49.5" customHeight="1" thickBot="1" x14ac:dyDescent="0.3">
      <c r="A9" s="240" t="s">
        <v>254</v>
      </c>
      <c r="B9" s="241"/>
      <c r="C9" s="241"/>
      <c r="D9" s="241"/>
      <c r="E9" s="241"/>
      <c r="F9" s="241"/>
      <c r="G9" s="241"/>
      <c r="H9" s="241"/>
      <c r="I9" s="241"/>
      <c r="J9" s="241"/>
      <c r="K9" s="241"/>
      <c r="L9" s="241"/>
      <c r="M9" s="242"/>
    </row>
    <row r="10" spans="1:15" ht="48" customHeight="1" thickBot="1" x14ac:dyDescent="0.3">
      <c r="A10" s="259" t="s">
        <v>168</v>
      </c>
      <c r="B10" s="260"/>
      <c r="C10" s="260"/>
      <c r="D10" s="260"/>
      <c r="E10" s="260"/>
      <c r="F10" s="260"/>
      <c r="G10" s="260"/>
      <c r="H10" s="260"/>
      <c r="I10" s="260"/>
      <c r="J10" s="260"/>
      <c r="K10" s="260"/>
      <c r="L10" s="260"/>
      <c r="M10" s="261"/>
    </row>
    <row r="11" spans="1:15" ht="48" customHeight="1" thickBot="1" x14ac:dyDescent="0.3">
      <c r="A11" s="262" t="s">
        <v>169</v>
      </c>
      <c r="B11" s="263"/>
      <c r="C11" s="263"/>
      <c r="D11" s="263"/>
      <c r="E11" s="263"/>
      <c r="F11" s="263"/>
      <c r="G11" s="263"/>
      <c r="H11" s="263"/>
      <c r="I11" s="263"/>
      <c r="J11" s="263"/>
      <c r="K11" s="263"/>
      <c r="L11" s="263"/>
      <c r="M11" s="264"/>
    </row>
    <row r="12" spans="1:15" x14ac:dyDescent="0.25">
      <c r="A12" s="253" t="s">
        <v>131</v>
      </c>
      <c r="B12" s="255" t="s">
        <v>132</v>
      </c>
      <c r="C12" s="255" t="s">
        <v>133</v>
      </c>
      <c r="D12" s="255" t="s">
        <v>134</v>
      </c>
      <c r="E12" s="233" t="s">
        <v>135</v>
      </c>
      <c r="F12" s="255" t="s">
        <v>136</v>
      </c>
      <c r="G12" s="257" t="s">
        <v>137</v>
      </c>
      <c r="H12" s="233" t="s">
        <v>138</v>
      </c>
      <c r="I12" s="233" t="s">
        <v>130</v>
      </c>
      <c r="J12" s="233" t="s">
        <v>129</v>
      </c>
      <c r="K12" s="235" t="s">
        <v>246</v>
      </c>
      <c r="L12" s="195" t="s">
        <v>139</v>
      </c>
      <c r="M12" s="237" t="s">
        <v>140</v>
      </c>
    </row>
    <row r="13" spans="1:15" ht="15.75" customHeight="1" x14ac:dyDescent="0.25">
      <c r="A13" s="254"/>
      <c r="B13" s="256"/>
      <c r="C13" s="256"/>
      <c r="D13" s="256"/>
      <c r="E13" s="234"/>
      <c r="F13" s="256"/>
      <c r="G13" s="258"/>
      <c r="H13" s="234"/>
      <c r="I13" s="234"/>
      <c r="J13" s="234"/>
      <c r="K13" s="236"/>
      <c r="L13" s="196" t="str">
        <f>RESUMEN!B8</f>
        <v>VTO 13/03</v>
      </c>
      <c r="M13" s="238"/>
    </row>
    <row r="14" spans="1:15" ht="17.100000000000001" customHeight="1" x14ac:dyDescent="0.25">
      <c r="A14" s="179">
        <v>1</v>
      </c>
      <c r="B14" s="97" t="s">
        <v>3</v>
      </c>
      <c r="C14" s="97"/>
      <c r="D14" s="98">
        <v>1.37</v>
      </c>
      <c r="E14" s="99">
        <v>206522.01</v>
      </c>
      <c r="F14" s="100">
        <f>E14</f>
        <v>206522.01</v>
      </c>
      <c r="G14" s="101">
        <f t="shared" ref="G14:G77" si="0">E14-F14</f>
        <v>0</v>
      </c>
      <c r="H14" s="101">
        <f>IF(G14&gt;0,G14*3%,0)</f>
        <v>0</v>
      </c>
      <c r="I14" s="174">
        <f t="shared" ref="I14:I45" si="1">J$2*D14/100</f>
        <v>165422.36250000002</v>
      </c>
      <c r="J14" s="174">
        <f t="shared" ref="J14:J45" si="2">E$2*D14/100</f>
        <v>41100.000000000007</v>
      </c>
      <c r="K14" s="102"/>
      <c r="L14" s="103">
        <f>ROUND(SUM(G14:K14),0) + N14</f>
        <v>206522.01</v>
      </c>
      <c r="M14" s="190">
        <f t="shared" ref="M14:M34" si="3">ROUND(L14*3%,0) + L14</f>
        <v>212718.01</v>
      </c>
      <c r="N14" s="63">
        <v>0.01</v>
      </c>
    </row>
    <row r="15" spans="1:15" ht="17.100000000000001" customHeight="1" x14ac:dyDescent="0.25">
      <c r="A15" s="179">
        <v>2</v>
      </c>
      <c r="B15" s="97" t="s">
        <v>4</v>
      </c>
      <c r="C15" s="104"/>
      <c r="D15" s="98">
        <v>1.18</v>
      </c>
      <c r="E15" s="99">
        <v>2512429.02</v>
      </c>
      <c r="F15" s="100">
        <v>30000</v>
      </c>
      <c r="G15" s="101">
        <f t="shared" si="0"/>
        <v>2482429.02</v>
      </c>
      <c r="H15" s="101">
        <f t="shared" ref="H15:H78" si="4">IF(G15&gt;0,G15*3%,0)</f>
        <v>74472.870599999995</v>
      </c>
      <c r="I15" s="174">
        <f t="shared" si="1"/>
        <v>142480.57500000001</v>
      </c>
      <c r="J15" s="174">
        <f t="shared" si="2"/>
        <v>35400</v>
      </c>
      <c r="K15" s="102"/>
      <c r="L15" s="103">
        <f t="shared" ref="L15:L78" si="5">ROUND(SUM(G15:K15),0) + N15</f>
        <v>2734782.02</v>
      </c>
      <c r="M15" s="190">
        <f t="shared" si="3"/>
        <v>2816825.02</v>
      </c>
      <c r="N15" s="63">
        <f>N14+0.01</f>
        <v>0.02</v>
      </c>
      <c r="O15" t="s">
        <v>180</v>
      </c>
    </row>
    <row r="16" spans="1:15" ht="17.100000000000001" customHeight="1" x14ac:dyDescent="0.25">
      <c r="A16" s="179">
        <v>3</v>
      </c>
      <c r="B16" s="97" t="s">
        <v>5</v>
      </c>
      <c r="C16" s="104"/>
      <c r="D16" s="98">
        <v>0.74</v>
      </c>
      <c r="E16" s="99">
        <v>111552.03</v>
      </c>
      <c r="F16" s="100">
        <f>E16</f>
        <v>111552.03</v>
      </c>
      <c r="G16" s="101">
        <f t="shared" si="0"/>
        <v>0</v>
      </c>
      <c r="H16" s="101">
        <f t="shared" si="4"/>
        <v>0</v>
      </c>
      <c r="I16" s="174">
        <f t="shared" si="1"/>
        <v>89352.225000000006</v>
      </c>
      <c r="J16" s="174">
        <f t="shared" si="2"/>
        <v>22200</v>
      </c>
      <c r="K16" s="102"/>
      <c r="L16" s="103">
        <f t="shared" si="5"/>
        <v>111552.03</v>
      </c>
      <c r="M16" s="190">
        <f t="shared" si="3"/>
        <v>114899.03</v>
      </c>
      <c r="N16" s="63">
        <f t="shared" ref="N16:N31" si="6">N15+0.01</f>
        <v>0.03</v>
      </c>
    </row>
    <row r="17" spans="1:15" ht="17.100000000000001" customHeight="1" x14ac:dyDescent="0.25">
      <c r="A17" s="180">
        <v>4</v>
      </c>
      <c r="B17" s="166" t="s">
        <v>6</v>
      </c>
      <c r="C17" s="121"/>
      <c r="D17" s="114">
        <v>1.47</v>
      </c>
      <c r="E17" s="115">
        <v>214949.04</v>
      </c>
      <c r="F17" s="115">
        <f>E17</f>
        <v>214949.04</v>
      </c>
      <c r="G17" s="116">
        <f t="shared" si="0"/>
        <v>0</v>
      </c>
      <c r="H17" s="116">
        <f t="shared" si="4"/>
        <v>0</v>
      </c>
      <c r="I17" s="175">
        <f t="shared" si="1"/>
        <v>177496.98749999999</v>
      </c>
      <c r="J17" s="175">
        <f t="shared" si="2"/>
        <v>44100</v>
      </c>
      <c r="K17" s="113"/>
      <c r="L17" s="117">
        <f t="shared" si="5"/>
        <v>221597.04</v>
      </c>
      <c r="M17" s="191">
        <f t="shared" si="3"/>
        <v>228245.04</v>
      </c>
      <c r="N17" s="63">
        <f t="shared" si="6"/>
        <v>0.04</v>
      </c>
    </row>
    <row r="18" spans="1:15" ht="17.100000000000001" customHeight="1" x14ac:dyDescent="0.25">
      <c r="A18" s="179">
        <v>5</v>
      </c>
      <c r="B18" s="97" t="s">
        <v>7</v>
      </c>
      <c r="C18" s="97"/>
      <c r="D18" s="98">
        <v>1.1200000000000001</v>
      </c>
      <c r="E18" s="99">
        <v>163771.04999999999</v>
      </c>
      <c r="F18" s="100">
        <v>168684.05</v>
      </c>
      <c r="G18" s="101">
        <f t="shared" si="0"/>
        <v>-4913</v>
      </c>
      <c r="H18" s="101">
        <f t="shared" si="4"/>
        <v>0</v>
      </c>
      <c r="I18" s="174">
        <f t="shared" si="1"/>
        <v>135235.80000000002</v>
      </c>
      <c r="J18" s="174">
        <f t="shared" si="2"/>
        <v>33600.000000000007</v>
      </c>
      <c r="K18" s="102"/>
      <c r="L18" s="103">
        <f t="shared" si="5"/>
        <v>163923.04999999999</v>
      </c>
      <c r="M18" s="190">
        <f t="shared" si="3"/>
        <v>168841.05</v>
      </c>
      <c r="N18" s="63">
        <f t="shared" si="6"/>
        <v>0.05</v>
      </c>
    </row>
    <row r="19" spans="1:15" ht="17.100000000000001" customHeight="1" x14ac:dyDescent="0.25">
      <c r="A19" s="179">
        <v>6</v>
      </c>
      <c r="B19" s="97" t="s">
        <v>8</v>
      </c>
      <c r="C19" s="97"/>
      <c r="D19" s="98">
        <v>1.35</v>
      </c>
      <c r="E19" s="99">
        <v>203507.06</v>
      </c>
      <c r="F19" s="100">
        <f>E19</f>
        <v>203507.06</v>
      </c>
      <c r="G19" s="101">
        <f t="shared" si="0"/>
        <v>0</v>
      </c>
      <c r="H19" s="101">
        <f t="shared" si="4"/>
        <v>0</v>
      </c>
      <c r="I19" s="174">
        <f t="shared" si="1"/>
        <v>163007.43750000003</v>
      </c>
      <c r="J19" s="174">
        <f t="shared" si="2"/>
        <v>40500.000000000007</v>
      </c>
      <c r="K19" s="102"/>
      <c r="L19" s="103">
        <f t="shared" si="5"/>
        <v>203507.06</v>
      </c>
      <c r="M19" s="190">
        <f t="shared" si="3"/>
        <v>209612.06</v>
      </c>
      <c r="N19" s="63">
        <f t="shared" si="6"/>
        <v>6.0000000000000005E-2</v>
      </c>
    </row>
    <row r="20" spans="1:15" ht="17.100000000000001" customHeight="1" x14ac:dyDescent="0.25">
      <c r="A20" s="179">
        <v>7</v>
      </c>
      <c r="B20" s="97" t="s">
        <v>9</v>
      </c>
      <c r="C20" s="97"/>
      <c r="D20" s="98">
        <v>1.1200000000000001</v>
      </c>
      <c r="E20" s="99">
        <v>168836.07</v>
      </c>
      <c r="F20" s="100">
        <f>E20</f>
        <v>168836.07</v>
      </c>
      <c r="G20" s="101">
        <f t="shared" si="0"/>
        <v>0</v>
      </c>
      <c r="H20" s="101">
        <f t="shared" si="4"/>
        <v>0</v>
      </c>
      <c r="I20" s="174">
        <f t="shared" si="1"/>
        <v>135235.80000000002</v>
      </c>
      <c r="J20" s="174">
        <f t="shared" si="2"/>
        <v>33600.000000000007</v>
      </c>
      <c r="K20" s="102"/>
      <c r="L20" s="103">
        <f t="shared" si="5"/>
        <v>168836.07</v>
      </c>
      <c r="M20" s="190">
        <f t="shared" si="3"/>
        <v>173901.07</v>
      </c>
      <c r="N20" s="63">
        <f t="shared" si="6"/>
        <v>7.0000000000000007E-2</v>
      </c>
    </row>
    <row r="21" spans="1:15" ht="17.100000000000001" customHeight="1" x14ac:dyDescent="0.25">
      <c r="A21" s="179">
        <v>8</v>
      </c>
      <c r="B21" s="97" t="s">
        <v>10</v>
      </c>
      <c r="C21" s="104"/>
      <c r="D21" s="98">
        <v>0.82</v>
      </c>
      <c r="E21" s="99">
        <v>123612.08</v>
      </c>
      <c r="F21" s="100">
        <f>E21</f>
        <v>123612.08</v>
      </c>
      <c r="G21" s="101">
        <f t="shared" si="0"/>
        <v>0</v>
      </c>
      <c r="H21" s="101">
        <f t="shared" si="4"/>
        <v>0</v>
      </c>
      <c r="I21" s="174">
        <f t="shared" si="1"/>
        <v>99011.925000000003</v>
      </c>
      <c r="J21" s="174">
        <f t="shared" si="2"/>
        <v>24600</v>
      </c>
      <c r="K21" s="102"/>
      <c r="L21" s="103">
        <f t="shared" si="5"/>
        <v>123612.08</v>
      </c>
      <c r="M21" s="190">
        <f t="shared" si="3"/>
        <v>127320.08</v>
      </c>
      <c r="N21" s="63">
        <f t="shared" si="6"/>
        <v>0.08</v>
      </c>
    </row>
    <row r="22" spans="1:15" ht="17.100000000000001" customHeight="1" x14ac:dyDescent="0.25">
      <c r="A22" s="179">
        <v>9</v>
      </c>
      <c r="B22" s="97" t="s">
        <v>11</v>
      </c>
      <c r="C22" s="104"/>
      <c r="D22" s="98">
        <v>0.82</v>
      </c>
      <c r="E22" s="99">
        <v>119904.09</v>
      </c>
      <c r="F22" s="100">
        <v>123501.09</v>
      </c>
      <c r="G22" s="101">
        <f t="shared" si="0"/>
        <v>-3597</v>
      </c>
      <c r="H22" s="101">
        <f t="shared" si="4"/>
        <v>0</v>
      </c>
      <c r="I22" s="174">
        <f t="shared" si="1"/>
        <v>99011.925000000003</v>
      </c>
      <c r="J22" s="174">
        <f t="shared" si="2"/>
        <v>24600</v>
      </c>
      <c r="K22" s="102"/>
      <c r="L22" s="103">
        <f t="shared" si="5"/>
        <v>120015.09</v>
      </c>
      <c r="M22" s="190">
        <f t="shared" si="3"/>
        <v>123615.09</v>
      </c>
      <c r="N22" s="63">
        <f t="shared" si="6"/>
        <v>0.09</v>
      </c>
    </row>
    <row r="23" spans="1:15" ht="17.100000000000001" customHeight="1" x14ac:dyDescent="0.25">
      <c r="A23" s="179">
        <v>10</v>
      </c>
      <c r="B23" s="97" t="s">
        <v>12</v>
      </c>
      <c r="C23" s="104"/>
      <c r="D23" s="98">
        <v>1.34</v>
      </c>
      <c r="E23" s="99">
        <v>202000.1</v>
      </c>
      <c r="F23" s="100">
        <f>E23</f>
        <v>202000.1</v>
      </c>
      <c r="G23" s="101">
        <f t="shared" si="0"/>
        <v>0</v>
      </c>
      <c r="H23" s="101">
        <f t="shared" si="4"/>
        <v>0</v>
      </c>
      <c r="I23" s="174">
        <f t="shared" si="1"/>
        <v>161799.97500000001</v>
      </c>
      <c r="J23" s="174">
        <f t="shared" si="2"/>
        <v>40200.000000000007</v>
      </c>
      <c r="K23" s="102"/>
      <c r="L23" s="103">
        <f t="shared" si="5"/>
        <v>202000.1</v>
      </c>
      <c r="M23" s="190">
        <f t="shared" si="3"/>
        <v>208060.1</v>
      </c>
      <c r="N23" s="63">
        <f t="shared" si="6"/>
        <v>9.9999999999999992E-2</v>
      </c>
    </row>
    <row r="24" spans="1:15" ht="17.100000000000001" customHeight="1" x14ac:dyDescent="0.25">
      <c r="A24" s="179">
        <v>11</v>
      </c>
      <c r="B24" s="97" t="s">
        <v>13</v>
      </c>
      <c r="C24" s="104"/>
      <c r="D24" s="98">
        <v>1.1200000000000001</v>
      </c>
      <c r="E24" s="99">
        <v>168836.11</v>
      </c>
      <c r="F24" s="100">
        <f>E24</f>
        <v>168836.11</v>
      </c>
      <c r="G24" s="101">
        <f t="shared" si="0"/>
        <v>0</v>
      </c>
      <c r="H24" s="101">
        <f t="shared" si="4"/>
        <v>0</v>
      </c>
      <c r="I24" s="174">
        <f t="shared" si="1"/>
        <v>135235.80000000002</v>
      </c>
      <c r="J24" s="174">
        <f t="shared" si="2"/>
        <v>33600.000000000007</v>
      </c>
      <c r="K24" s="102"/>
      <c r="L24" s="103">
        <f t="shared" si="5"/>
        <v>168836.11</v>
      </c>
      <c r="M24" s="190">
        <f t="shared" si="3"/>
        <v>173901.11</v>
      </c>
      <c r="N24" s="63">
        <f t="shared" si="6"/>
        <v>0.10999999999999999</v>
      </c>
    </row>
    <row r="25" spans="1:15" ht="17.25" customHeight="1" x14ac:dyDescent="0.25">
      <c r="A25" s="179">
        <v>12</v>
      </c>
      <c r="B25" s="97" t="s">
        <v>14</v>
      </c>
      <c r="C25" s="104"/>
      <c r="D25" s="98">
        <v>1.17</v>
      </c>
      <c r="E25" s="99">
        <v>3280034.12</v>
      </c>
      <c r="F25" s="100">
        <v>0</v>
      </c>
      <c r="G25" s="101">
        <f t="shared" si="0"/>
        <v>3280034.12</v>
      </c>
      <c r="H25" s="101">
        <f t="shared" si="4"/>
        <v>98401.0236</v>
      </c>
      <c r="I25" s="174">
        <f t="shared" si="1"/>
        <v>141273.11249999999</v>
      </c>
      <c r="J25" s="174">
        <f t="shared" si="2"/>
        <v>35100</v>
      </c>
      <c r="K25" s="102"/>
      <c r="L25" s="103">
        <f t="shared" si="5"/>
        <v>3554808.12</v>
      </c>
      <c r="M25" s="190">
        <f t="shared" si="3"/>
        <v>3661452.12</v>
      </c>
      <c r="N25" s="63">
        <f t="shared" si="6"/>
        <v>0.11999999999999998</v>
      </c>
    </row>
    <row r="26" spans="1:15" ht="17.100000000000001" customHeight="1" x14ac:dyDescent="0.25">
      <c r="A26" s="179">
        <v>13</v>
      </c>
      <c r="B26" s="97" t="s">
        <v>15</v>
      </c>
      <c r="C26" s="104"/>
      <c r="D26" s="98">
        <v>1.35</v>
      </c>
      <c r="E26" s="99">
        <v>206752.13</v>
      </c>
      <c r="F26" s="100">
        <f>E26</f>
        <v>206752.13</v>
      </c>
      <c r="G26" s="101">
        <f t="shared" si="0"/>
        <v>0</v>
      </c>
      <c r="H26" s="101">
        <f t="shared" si="4"/>
        <v>0</v>
      </c>
      <c r="I26" s="174">
        <f t="shared" si="1"/>
        <v>163007.43750000003</v>
      </c>
      <c r="J26" s="174">
        <f t="shared" si="2"/>
        <v>40500.000000000007</v>
      </c>
      <c r="K26" s="102"/>
      <c r="L26" s="103">
        <f t="shared" si="5"/>
        <v>203507.13</v>
      </c>
      <c r="M26" s="190">
        <f t="shared" si="3"/>
        <v>209612.13</v>
      </c>
      <c r="N26" s="63">
        <f t="shared" si="6"/>
        <v>0.12999999999999998</v>
      </c>
    </row>
    <row r="27" spans="1:15" ht="17.100000000000001" customHeight="1" x14ac:dyDescent="0.25">
      <c r="A27" s="179">
        <v>14</v>
      </c>
      <c r="B27" s="97" t="s">
        <v>16</v>
      </c>
      <c r="C27" s="104"/>
      <c r="D27" s="98">
        <v>1.1200000000000001</v>
      </c>
      <c r="E27" s="99">
        <v>179275.14</v>
      </c>
      <c r="F27" s="100">
        <f>E27</f>
        <v>179275.14</v>
      </c>
      <c r="G27" s="101">
        <f t="shared" si="0"/>
        <v>0</v>
      </c>
      <c r="H27" s="101">
        <f t="shared" si="4"/>
        <v>0</v>
      </c>
      <c r="I27" s="174">
        <f t="shared" si="1"/>
        <v>135235.80000000002</v>
      </c>
      <c r="J27" s="174">
        <f t="shared" si="2"/>
        <v>33600.000000000007</v>
      </c>
      <c r="K27" s="102"/>
      <c r="L27" s="103">
        <f t="shared" si="5"/>
        <v>168836.14</v>
      </c>
      <c r="M27" s="190">
        <f t="shared" si="3"/>
        <v>173901.14</v>
      </c>
      <c r="N27" s="63">
        <f t="shared" si="6"/>
        <v>0.13999999999999999</v>
      </c>
    </row>
    <row r="28" spans="1:15" ht="17.100000000000001" customHeight="1" x14ac:dyDescent="0.25">
      <c r="A28" s="181">
        <v>15</v>
      </c>
      <c r="B28" s="142" t="s">
        <v>17</v>
      </c>
      <c r="C28" s="148"/>
      <c r="D28" s="144">
        <v>0.82</v>
      </c>
      <c r="E28" s="100">
        <v>382072.15</v>
      </c>
      <c r="F28" s="100">
        <f>123612.15+250932+7528</f>
        <v>382072.15</v>
      </c>
      <c r="G28" s="101">
        <f t="shared" si="0"/>
        <v>0</v>
      </c>
      <c r="H28" s="101">
        <f t="shared" si="4"/>
        <v>0</v>
      </c>
      <c r="I28" s="174">
        <f t="shared" si="1"/>
        <v>99011.925000000003</v>
      </c>
      <c r="J28" s="174">
        <f t="shared" si="2"/>
        <v>24600</v>
      </c>
      <c r="K28" s="102"/>
      <c r="L28" s="103">
        <f t="shared" si="5"/>
        <v>123612.15</v>
      </c>
      <c r="M28" s="190">
        <f t="shared" si="3"/>
        <v>127320.15</v>
      </c>
      <c r="N28" s="63">
        <f t="shared" si="6"/>
        <v>0.15</v>
      </c>
    </row>
    <row r="29" spans="1:15" ht="17.100000000000001" customHeight="1" x14ac:dyDescent="0.25">
      <c r="A29" s="179">
        <v>16</v>
      </c>
      <c r="B29" s="97" t="s">
        <v>18</v>
      </c>
      <c r="C29" s="97"/>
      <c r="D29" s="98">
        <v>0.82</v>
      </c>
      <c r="E29" s="99">
        <v>758530.16</v>
      </c>
      <c r="F29" s="100">
        <v>400000.16</v>
      </c>
      <c r="G29" s="101">
        <f t="shared" si="0"/>
        <v>358530.00000000006</v>
      </c>
      <c r="H29" s="101">
        <f t="shared" si="4"/>
        <v>10755.900000000001</v>
      </c>
      <c r="I29" s="174">
        <f t="shared" si="1"/>
        <v>99011.925000000003</v>
      </c>
      <c r="J29" s="174">
        <f t="shared" si="2"/>
        <v>24600</v>
      </c>
      <c r="K29" s="102"/>
      <c r="L29" s="103">
        <f t="shared" si="5"/>
        <v>492898.16</v>
      </c>
      <c r="M29" s="190">
        <f t="shared" si="3"/>
        <v>507685.16</v>
      </c>
      <c r="N29" s="63">
        <f t="shared" si="6"/>
        <v>0.16</v>
      </c>
    </row>
    <row r="30" spans="1:15" ht="17.100000000000001" customHeight="1" x14ac:dyDescent="0.25">
      <c r="A30" s="179">
        <v>17</v>
      </c>
      <c r="B30" s="97" t="s">
        <v>19</v>
      </c>
      <c r="C30" s="104"/>
      <c r="D30" s="98">
        <v>1.34</v>
      </c>
      <c r="E30" s="99">
        <v>202000.17</v>
      </c>
      <c r="F30" s="100">
        <f>E30</f>
        <v>202000.17</v>
      </c>
      <c r="G30" s="101">
        <f t="shared" si="0"/>
        <v>0</v>
      </c>
      <c r="H30" s="101">
        <f t="shared" si="4"/>
        <v>0</v>
      </c>
      <c r="I30" s="174">
        <f t="shared" si="1"/>
        <v>161799.97500000001</v>
      </c>
      <c r="J30" s="174">
        <f t="shared" si="2"/>
        <v>40200.000000000007</v>
      </c>
      <c r="K30" s="102"/>
      <c r="L30" s="103">
        <f t="shared" si="5"/>
        <v>202000.17</v>
      </c>
      <c r="M30" s="190">
        <f t="shared" si="3"/>
        <v>208060.17</v>
      </c>
      <c r="N30" s="63">
        <f t="shared" si="6"/>
        <v>0.17</v>
      </c>
    </row>
    <row r="31" spans="1:15" ht="17.100000000000001" customHeight="1" x14ac:dyDescent="0.25">
      <c r="A31" s="181">
        <v>18</v>
      </c>
      <c r="B31" s="142" t="s">
        <v>20</v>
      </c>
      <c r="C31" s="143"/>
      <c r="D31" s="144">
        <v>1.1200000000000001</v>
      </c>
      <c r="E31" s="100">
        <v>168836.18</v>
      </c>
      <c r="F31" s="100">
        <v>173901.18</v>
      </c>
      <c r="G31" s="145">
        <f t="shared" si="0"/>
        <v>-5065</v>
      </c>
      <c r="H31" s="145">
        <f t="shared" si="4"/>
        <v>0</v>
      </c>
      <c r="I31" s="176">
        <f t="shared" si="1"/>
        <v>135235.80000000002</v>
      </c>
      <c r="J31" s="176">
        <f t="shared" si="2"/>
        <v>33600.000000000007</v>
      </c>
      <c r="K31" s="146"/>
      <c r="L31" s="103">
        <f t="shared" si="5"/>
        <v>163771.18</v>
      </c>
      <c r="M31" s="192">
        <f t="shared" si="3"/>
        <v>168684.18</v>
      </c>
      <c r="N31" s="63">
        <f t="shared" si="6"/>
        <v>0.18000000000000002</v>
      </c>
    </row>
    <row r="32" spans="1:15" x14ac:dyDescent="0.25">
      <c r="A32" s="179">
        <v>19</v>
      </c>
      <c r="B32" s="97" t="s">
        <v>21</v>
      </c>
      <c r="C32" s="104"/>
      <c r="D32" s="98">
        <v>1.17</v>
      </c>
      <c r="E32" s="99">
        <v>176373.19</v>
      </c>
      <c r="F32" s="100">
        <f>191448.19-F113</f>
        <v>176372.19</v>
      </c>
      <c r="G32" s="101">
        <f t="shared" si="0"/>
        <v>1</v>
      </c>
      <c r="H32" s="101">
        <f t="shared" si="4"/>
        <v>0.03</v>
      </c>
      <c r="I32" s="174">
        <f t="shared" si="1"/>
        <v>141273.11249999999</v>
      </c>
      <c r="J32" s="174">
        <f t="shared" si="2"/>
        <v>35100</v>
      </c>
      <c r="K32" s="102"/>
      <c r="L32" s="103">
        <f t="shared" si="5"/>
        <v>176374.19</v>
      </c>
      <c r="M32" s="190">
        <f t="shared" si="3"/>
        <v>181665.19</v>
      </c>
      <c r="N32" s="63">
        <f>N31+0.01</f>
        <v>0.19000000000000003</v>
      </c>
      <c r="O32" t="s">
        <v>166</v>
      </c>
    </row>
    <row r="33" spans="1:15" x14ac:dyDescent="0.25">
      <c r="A33" s="182">
        <v>20</v>
      </c>
      <c r="B33" s="177" t="s">
        <v>22</v>
      </c>
      <c r="C33" s="159"/>
      <c r="D33" s="160">
        <v>1.35</v>
      </c>
      <c r="E33" s="161">
        <v>203507.20000000001</v>
      </c>
      <c r="F33" s="161"/>
      <c r="G33" s="162">
        <f t="shared" si="0"/>
        <v>203507.20000000001</v>
      </c>
      <c r="H33" s="162">
        <f t="shared" si="4"/>
        <v>6105.2160000000003</v>
      </c>
      <c r="I33" s="178">
        <f t="shared" si="1"/>
        <v>163007.43750000003</v>
      </c>
      <c r="J33" s="178">
        <f t="shared" si="2"/>
        <v>40500.000000000007</v>
      </c>
      <c r="K33" s="163"/>
      <c r="L33" s="164">
        <f t="shared" si="5"/>
        <v>413120.2</v>
      </c>
      <c r="M33" s="193">
        <f t="shared" si="3"/>
        <v>425514.2</v>
      </c>
      <c r="N33" s="63">
        <f t="shared" ref="N33:N96" si="7">N32+0.01</f>
        <v>0.20000000000000004</v>
      </c>
      <c r="O33" t="s">
        <v>171</v>
      </c>
    </row>
    <row r="34" spans="1:15" x14ac:dyDescent="0.25">
      <c r="A34" s="181">
        <v>21</v>
      </c>
      <c r="B34" s="149" t="s">
        <v>23</v>
      </c>
      <c r="C34" s="148"/>
      <c r="D34" s="144">
        <v>1.1200000000000001</v>
      </c>
      <c r="E34" s="100">
        <v>168836.21</v>
      </c>
      <c r="F34" s="100">
        <f>E34</f>
        <v>168836.21</v>
      </c>
      <c r="G34" s="145">
        <f t="shared" si="0"/>
        <v>0</v>
      </c>
      <c r="H34" s="145">
        <f t="shared" si="4"/>
        <v>0</v>
      </c>
      <c r="I34" s="176">
        <f t="shared" si="1"/>
        <v>135235.80000000002</v>
      </c>
      <c r="J34" s="176">
        <f t="shared" si="2"/>
        <v>33600.000000000007</v>
      </c>
      <c r="K34" s="146"/>
      <c r="L34" s="103">
        <f t="shared" si="5"/>
        <v>168836.21</v>
      </c>
      <c r="M34" s="192">
        <f t="shared" si="3"/>
        <v>173901.21</v>
      </c>
      <c r="N34" s="63">
        <f t="shared" si="7"/>
        <v>0.21000000000000005</v>
      </c>
    </row>
    <row r="35" spans="1:15" x14ac:dyDescent="0.25">
      <c r="A35" s="214">
        <f>A34+1</f>
        <v>22</v>
      </c>
      <c r="B35" s="215" t="s">
        <v>278</v>
      </c>
      <c r="C35" s="104"/>
      <c r="D35" s="98">
        <v>0.82</v>
      </c>
      <c r="E35" s="99">
        <v>123612.22</v>
      </c>
      <c r="F35" s="100">
        <v>127320.22</v>
      </c>
      <c r="G35" s="101">
        <f t="shared" si="0"/>
        <v>-3708</v>
      </c>
      <c r="H35" s="101">
        <f t="shared" si="4"/>
        <v>0</v>
      </c>
      <c r="I35" s="174">
        <f t="shared" si="1"/>
        <v>99011.925000000003</v>
      </c>
      <c r="J35" s="174">
        <f t="shared" si="2"/>
        <v>24600</v>
      </c>
      <c r="K35" s="102"/>
      <c r="L35" s="103">
        <f t="shared" si="5"/>
        <v>119904.22</v>
      </c>
      <c r="M35" s="190">
        <f t="shared" ref="M35:M98" si="8">ROUND(L35*3%,0) + L35</f>
        <v>123501.22</v>
      </c>
      <c r="N35" s="63">
        <f t="shared" si="7"/>
        <v>0.22000000000000006</v>
      </c>
    </row>
    <row r="36" spans="1:15" x14ac:dyDescent="0.25">
      <c r="A36" s="179">
        <f t="shared" ref="A36:A99" si="9">A35+1</f>
        <v>23</v>
      </c>
      <c r="B36" s="105" t="s">
        <v>24</v>
      </c>
      <c r="C36" s="104"/>
      <c r="D36" s="98">
        <v>0.82</v>
      </c>
      <c r="E36" s="99">
        <v>119904.23</v>
      </c>
      <c r="F36" s="100">
        <f>E36</f>
        <v>119904.23</v>
      </c>
      <c r="G36" s="101">
        <f t="shared" si="0"/>
        <v>0</v>
      </c>
      <c r="H36" s="101">
        <f t="shared" si="4"/>
        <v>0</v>
      </c>
      <c r="I36" s="174">
        <f t="shared" si="1"/>
        <v>99011.925000000003</v>
      </c>
      <c r="J36" s="174">
        <f t="shared" si="2"/>
        <v>24600</v>
      </c>
      <c r="K36" s="102"/>
      <c r="L36" s="103">
        <f t="shared" si="5"/>
        <v>123612.23</v>
      </c>
      <c r="M36" s="190">
        <f t="shared" si="8"/>
        <v>127320.23</v>
      </c>
      <c r="N36" s="63">
        <f t="shared" si="7"/>
        <v>0.23000000000000007</v>
      </c>
    </row>
    <row r="37" spans="1:15" x14ac:dyDescent="0.25">
      <c r="A37" s="179">
        <f t="shared" si="9"/>
        <v>24</v>
      </c>
      <c r="B37" s="105" t="s">
        <v>25</v>
      </c>
      <c r="C37" s="104"/>
      <c r="D37" s="98">
        <v>1.34</v>
      </c>
      <c r="E37" s="99">
        <v>208060.24</v>
      </c>
      <c r="F37" s="100">
        <f>E37</f>
        <v>208060.24</v>
      </c>
      <c r="G37" s="101">
        <f t="shared" si="0"/>
        <v>0</v>
      </c>
      <c r="H37" s="101">
        <f t="shared" si="4"/>
        <v>0</v>
      </c>
      <c r="I37" s="174">
        <f t="shared" si="1"/>
        <v>161799.97500000001</v>
      </c>
      <c r="J37" s="174">
        <f t="shared" si="2"/>
        <v>40200.000000000007</v>
      </c>
      <c r="K37" s="102"/>
      <c r="L37" s="103">
        <f t="shared" si="5"/>
        <v>202000.24</v>
      </c>
      <c r="M37" s="190">
        <f t="shared" si="8"/>
        <v>208060.24</v>
      </c>
      <c r="N37" s="63">
        <f t="shared" si="7"/>
        <v>0.24000000000000007</v>
      </c>
    </row>
    <row r="38" spans="1:15" x14ac:dyDescent="0.25">
      <c r="A38" s="179">
        <f t="shared" si="9"/>
        <v>25</v>
      </c>
      <c r="B38" s="105" t="s">
        <v>26</v>
      </c>
      <c r="C38" s="104"/>
      <c r="D38" s="98">
        <v>1.1200000000000001</v>
      </c>
      <c r="E38" s="99">
        <v>150649.25</v>
      </c>
      <c r="F38" s="100"/>
      <c r="G38" s="101">
        <f t="shared" si="0"/>
        <v>150649.25</v>
      </c>
      <c r="H38" s="101">
        <f t="shared" si="4"/>
        <v>4519.4775</v>
      </c>
      <c r="I38" s="174">
        <f t="shared" si="1"/>
        <v>135235.80000000002</v>
      </c>
      <c r="J38" s="174">
        <f t="shared" si="2"/>
        <v>33600.000000000007</v>
      </c>
      <c r="K38" s="102"/>
      <c r="L38" s="103">
        <f t="shared" si="5"/>
        <v>324005.25</v>
      </c>
      <c r="M38" s="190">
        <f t="shared" si="8"/>
        <v>333725.25</v>
      </c>
      <c r="N38" s="63">
        <f t="shared" si="7"/>
        <v>0.25000000000000006</v>
      </c>
    </row>
    <row r="39" spans="1:15" x14ac:dyDescent="0.25">
      <c r="A39" s="179">
        <f t="shared" si="9"/>
        <v>26</v>
      </c>
      <c r="B39" s="105" t="s">
        <v>27</v>
      </c>
      <c r="C39" s="104"/>
      <c r="D39" s="98">
        <v>1.17</v>
      </c>
      <c r="E39" s="99">
        <v>375264.26</v>
      </c>
      <c r="F39" s="100">
        <f>E39</f>
        <v>375264.26</v>
      </c>
      <c r="G39" s="101">
        <f t="shared" si="0"/>
        <v>0</v>
      </c>
      <c r="H39" s="101">
        <f t="shared" si="4"/>
        <v>0</v>
      </c>
      <c r="I39" s="174">
        <f t="shared" si="1"/>
        <v>141273.11249999999</v>
      </c>
      <c r="J39" s="174">
        <f t="shared" si="2"/>
        <v>35100</v>
      </c>
      <c r="K39" s="102"/>
      <c r="L39" s="103">
        <f t="shared" si="5"/>
        <v>176373.26</v>
      </c>
      <c r="M39" s="190">
        <f t="shared" si="8"/>
        <v>181664.26</v>
      </c>
      <c r="N39" s="63">
        <f t="shared" si="7"/>
        <v>0.26000000000000006</v>
      </c>
    </row>
    <row r="40" spans="1:15" x14ac:dyDescent="0.25">
      <c r="A40" s="179">
        <f t="shared" si="9"/>
        <v>27</v>
      </c>
      <c r="B40" s="105" t="s">
        <v>28</v>
      </c>
      <c r="C40" s="104"/>
      <c r="D40" s="98">
        <v>1.35</v>
      </c>
      <c r="E40" s="99">
        <v>197402.27</v>
      </c>
      <c r="F40" s="100">
        <f>E40</f>
        <v>197402.27</v>
      </c>
      <c r="G40" s="101">
        <f t="shared" si="0"/>
        <v>0</v>
      </c>
      <c r="H40" s="101">
        <f t="shared" si="4"/>
        <v>0</v>
      </c>
      <c r="I40" s="174">
        <f t="shared" si="1"/>
        <v>163007.43750000003</v>
      </c>
      <c r="J40" s="174">
        <f t="shared" si="2"/>
        <v>40500.000000000007</v>
      </c>
      <c r="K40" s="102"/>
      <c r="L40" s="103">
        <f t="shared" si="5"/>
        <v>203507.27</v>
      </c>
      <c r="M40" s="190">
        <f t="shared" si="8"/>
        <v>209612.27</v>
      </c>
      <c r="N40" s="63">
        <f t="shared" si="7"/>
        <v>0.27000000000000007</v>
      </c>
    </row>
    <row r="41" spans="1:15" x14ac:dyDescent="0.25">
      <c r="A41" s="179">
        <f t="shared" si="9"/>
        <v>28</v>
      </c>
      <c r="B41" s="105" t="s">
        <v>29</v>
      </c>
      <c r="C41" s="104"/>
      <c r="D41" s="98">
        <v>1.1200000000000001</v>
      </c>
      <c r="E41" s="99">
        <v>163771.28</v>
      </c>
      <c r="F41" s="100">
        <v>168684.28</v>
      </c>
      <c r="G41" s="101">
        <f t="shared" si="0"/>
        <v>-4913</v>
      </c>
      <c r="H41" s="101">
        <f t="shared" si="4"/>
        <v>0</v>
      </c>
      <c r="I41" s="174">
        <f t="shared" si="1"/>
        <v>135235.80000000002</v>
      </c>
      <c r="J41" s="174">
        <f t="shared" si="2"/>
        <v>33600.000000000007</v>
      </c>
      <c r="K41" s="102"/>
      <c r="L41" s="103">
        <f t="shared" si="5"/>
        <v>163923.28</v>
      </c>
      <c r="M41" s="190">
        <f t="shared" si="8"/>
        <v>168841.28</v>
      </c>
      <c r="N41" s="63">
        <f t="shared" si="7"/>
        <v>0.28000000000000008</v>
      </c>
    </row>
    <row r="42" spans="1:15" x14ac:dyDescent="0.25">
      <c r="A42" s="180">
        <f t="shared" si="9"/>
        <v>29</v>
      </c>
      <c r="B42" s="120" t="s">
        <v>30</v>
      </c>
      <c r="C42" s="121"/>
      <c r="D42" s="114">
        <v>0.82</v>
      </c>
      <c r="E42" s="115">
        <v>116843.29</v>
      </c>
      <c r="F42" s="115"/>
      <c r="G42" s="116">
        <f t="shared" si="0"/>
        <v>116843.29</v>
      </c>
      <c r="H42" s="116">
        <f t="shared" si="4"/>
        <v>3505.2986999999998</v>
      </c>
      <c r="I42" s="175">
        <f t="shared" si="1"/>
        <v>99011.925000000003</v>
      </c>
      <c r="J42" s="175">
        <f t="shared" si="2"/>
        <v>24600</v>
      </c>
      <c r="K42" s="113"/>
      <c r="L42" s="117">
        <f t="shared" si="5"/>
        <v>243961.29</v>
      </c>
      <c r="M42" s="191">
        <f t="shared" si="8"/>
        <v>251280.29</v>
      </c>
      <c r="N42" s="63">
        <f t="shared" si="7"/>
        <v>0.29000000000000009</v>
      </c>
      <c r="O42" t="s">
        <v>161</v>
      </c>
    </row>
    <row r="43" spans="1:15" x14ac:dyDescent="0.25">
      <c r="A43" s="181">
        <f t="shared" si="9"/>
        <v>30</v>
      </c>
      <c r="B43" s="149" t="s">
        <v>31</v>
      </c>
      <c r="C43" s="104"/>
      <c r="D43" s="98">
        <v>0.82</v>
      </c>
      <c r="E43" s="99">
        <v>120677.3</v>
      </c>
      <c r="F43" s="100">
        <v>125000</v>
      </c>
      <c r="G43" s="101">
        <f t="shared" si="0"/>
        <v>-4322.6999999999971</v>
      </c>
      <c r="H43" s="101">
        <f t="shared" si="4"/>
        <v>0</v>
      </c>
      <c r="I43" s="174">
        <f t="shared" si="1"/>
        <v>99011.925000000003</v>
      </c>
      <c r="J43" s="174">
        <f t="shared" si="2"/>
        <v>24600</v>
      </c>
      <c r="K43" s="102"/>
      <c r="L43" s="103">
        <f t="shared" si="5"/>
        <v>119289.3</v>
      </c>
      <c r="M43" s="190">
        <f t="shared" si="8"/>
        <v>122868.3</v>
      </c>
      <c r="N43" s="63">
        <f t="shared" si="7"/>
        <v>0.3000000000000001</v>
      </c>
    </row>
    <row r="44" spans="1:15" x14ac:dyDescent="0.25">
      <c r="A44" s="179">
        <f t="shared" si="9"/>
        <v>31</v>
      </c>
      <c r="B44" s="105" t="s">
        <v>32</v>
      </c>
      <c r="C44" s="104"/>
      <c r="D44" s="98">
        <v>1.34</v>
      </c>
      <c r="E44" s="99">
        <v>202000.31</v>
      </c>
      <c r="F44" s="100">
        <v>208060.31</v>
      </c>
      <c r="G44" s="101">
        <f t="shared" si="0"/>
        <v>-6060</v>
      </c>
      <c r="H44" s="101">
        <f t="shared" si="4"/>
        <v>0</v>
      </c>
      <c r="I44" s="174">
        <f t="shared" si="1"/>
        <v>161799.97500000001</v>
      </c>
      <c r="J44" s="174">
        <f t="shared" si="2"/>
        <v>40200.000000000007</v>
      </c>
      <c r="K44" s="102"/>
      <c r="L44" s="103">
        <f t="shared" si="5"/>
        <v>195940.31</v>
      </c>
      <c r="M44" s="190">
        <f t="shared" si="8"/>
        <v>201818.31</v>
      </c>
      <c r="N44" s="63">
        <f t="shared" si="7"/>
        <v>0.31000000000000011</v>
      </c>
    </row>
    <row r="45" spans="1:15" x14ac:dyDescent="0.25">
      <c r="A45" s="179">
        <f t="shared" si="9"/>
        <v>32</v>
      </c>
      <c r="B45" s="105" t="s">
        <v>33</v>
      </c>
      <c r="C45" s="104"/>
      <c r="D45" s="98">
        <v>1.1200000000000001</v>
      </c>
      <c r="E45" s="99">
        <v>158706.32</v>
      </c>
      <c r="F45" s="100"/>
      <c r="G45" s="101">
        <f t="shared" si="0"/>
        <v>158706.32</v>
      </c>
      <c r="H45" s="101">
        <f t="shared" si="4"/>
        <v>4761.1895999999997</v>
      </c>
      <c r="I45" s="174">
        <f t="shared" si="1"/>
        <v>135235.80000000002</v>
      </c>
      <c r="J45" s="174">
        <f t="shared" si="2"/>
        <v>33600.000000000007</v>
      </c>
      <c r="K45" s="102"/>
      <c r="L45" s="103">
        <f t="shared" si="5"/>
        <v>332303.32</v>
      </c>
      <c r="M45" s="190">
        <f t="shared" si="8"/>
        <v>342272.32</v>
      </c>
      <c r="N45" s="63">
        <f t="shared" si="7"/>
        <v>0.32000000000000012</v>
      </c>
    </row>
    <row r="46" spans="1:15" x14ac:dyDescent="0.25">
      <c r="A46" s="182">
        <f t="shared" si="9"/>
        <v>33</v>
      </c>
      <c r="B46" s="158" t="s">
        <v>34</v>
      </c>
      <c r="C46" s="159"/>
      <c r="D46" s="160">
        <v>1.17</v>
      </c>
      <c r="E46" s="161">
        <v>176373.11249999999</v>
      </c>
      <c r="F46" s="161"/>
      <c r="G46" s="162">
        <f t="shared" si="0"/>
        <v>176373.11249999999</v>
      </c>
      <c r="H46" s="162">
        <f t="shared" si="4"/>
        <v>5291.1933749999998</v>
      </c>
      <c r="I46" s="178">
        <f t="shared" ref="I46:I77" si="10">J$2*D46/100</f>
        <v>141273.11249999999</v>
      </c>
      <c r="J46" s="178">
        <f t="shared" ref="J46:J77" si="11">E$2*D46/100</f>
        <v>35100</v>
      </c>
      <c r="K46" s="163"/>
      <c r="L46" s="164">
        <f t="shared" si="5"/>
        <v>358037.33</v>
      </c>
      <c r="M46" s="193">
        <f t="shared" si="8"/>
        <v>368778.33</v>
      </c>
      <c r="N46" s="63">
        <f t="shared" si="7"/>
        <v>0.33000000000000013</v>
      </c>
    </row>
    <row r="47" spans="1:15" x14ac:dyDescent="0.25">
      <c r="A47" s="179">
        <f t="shared" si="9"/>
        <v>34</v>
      </c>
      <c r="B47" s="105" t="s">
        <v>35</v>
      </c>
      <c r="C47" s="104"/>
      <c r="D47" s="98">
        <v>1.35</v>
      </c>
      <c r="E47" s="99">
        <v>203507.34</v>
      </c>
      <c r="F47" s="100">
        <f>E47</f>
        <v>203507.34</v>
      </c>
      <c r="G47" s="101">
        <f t="shared" si="0"/>
        <v>0</v>
      </c>
      <c r="H47" s="101">
        <f t="shared" si="4"/>
        <v>0</v>
      </c>
      <c r="I47" s="174">
        <f t="shared" si="10"/>
        <v>163007.43750000003</v>
      </c>
      <c r="J47" s="174">
        <f t="shared" si="11"/>
        <v>40500.000000000007</v>
      </c>
      <c r="K47" s="102"/>
      <c r="L47" s="103">
        <f t="shared" si="5"/>
        <v>203507.34</v>
      </c>
      <c r="M47" s="190">
        <f t="shared" si="8"/>
        <v>209612.34</v>
      </c>
      <c r="N47" s="63">
        <f t="shared" si="7"/>
        <v>0.34000000000000014</v>
      </c>
    </row>
    <row r="48" spans="1:15" x14ac:dyDescent="0.25">
      <c r="A48" s="180">
        <f t="shared" si="9"/>
        <v>35</v>
      </c>
      <c r="B48" s="120" t="s">
        <v>36</v>
      </c>
      <c r="C48" s="121"/>
      <c r="D48" s="114">
        <v>1.1200000000000001</v>
      </c>
      <c r="E48" s="115">
        <v>341763.35</v>
      </c>
      <c r="F48" s="115">
        <v>200000</v>
      </c>
      <c r="G48" s="116">
        <f t="shared" si="0"/>
        <v>141763.34999999998</v>
      </c>
      <c r="H48" s="116">
        <f t="shared" si="4"/>
        <v>4252.9004999999988</v>
      </c>
      <c r="I48" s="175">
        <f t="shared" si="10"/>
        <v>135235.80000000002</v>
      </c>
      <c r="J48" s="175">
        <f t="shared" si="11"/>
        <v>33600.000000000007</v>
      </c>
      <c r="K48" s="113"/>
      <c r="L48" s="117">
        <f t="shared" si="5"/>
        <v>314852.34999999998</v>
      </c>
      <c r="M48" s="191">
        <f t="shared" si="8"/>
        <v>324298.34999999998</v>
      </c>
      <c r="N48" s="63">
        <f t="shared" si="7"/>
        <v>0.35000000000000014</v>
      </c>
      <c r="O48" t="s">
        <v>163</v>
      </c>
    </row>
    <row r="49" spans="1:15" x14ac:dyDescent="0.25">
      <c r="A49" s="179">
        <f t="shared" si="9"/>
        <v>36</v>
      </c>
      <c r="B49" s="105" t="s">
        <v>37</v>
      </c>
      <c r="C49" s="104"/>
      <c r="D49" s="98">
        <v>0.82</v>
      </c>
      <c r="E49" s="99">
        <v>119904.36</v>
      </c>
      <c r="F49" s="100">
        <f>E49</f>
        <v>119904.36</v>
      </c>
      <c r="G49" s="101">
        <f t="shared" si="0"/>
        <v>0</v>
      </c>
      <c r="H49" s="101">
        <f t="shared" si="4"/>
        <v>0</v>
      </c>
      <c r="I49" s="174">
        <f t="shared" si="10"/>
        <v>99011.925000000003</v>
      </c>
      <c r="J49" s="174">
        <f t="shared" si="11"/>
        <v>24600</v>
      </c>
      <c r="K49" s="102"/>
      <c r="L49" s="103">
        <f t="shared" si="5"/>
        <v>123612.36</v>
      </c>
      <c r="M49" s="190">
        <f t="shared" si="8"/>
        <v>127320.36</v>
      </c>
      <c r="N49" s="63">
        <f t="shared" si="7"/>
        <v>0.36000000000000015</v>
      </c>
      <c r="O49" t="s">
        <v>167</v>
      </c>
    </row>
    <row r="50" spans="1:15" x14ac:dyDescent="0.25">
      <c r="A50" s="179">
        <f t="shared" si="9"/>
        <v>37</v>
      </c>
      <c r="B50" s="105" t="s">
        <v>38</v>
      </c>
      <c r="C50" s="104"/>
      <c r="D50" s="98">
        <v>0.82</v>
      </c>
      <c r="E50" s="100">
        <v>258461.37</v>
      </c>
      <c r="F50" s="100">
        <f>E50</f>
        <v>258461.37</v>
      </c>
      <c r="G50" s="101">
        <f t="shared" si="0"/>
        <v>0</v>
      </c>
      <c r="H50" s="101">
        <f t="shared" si="4"/>
        <v>0</v>
      </c>
      <c r="I50" s="174">
        <f t="shared" si="10"/>
        <v>99011.925000000003</v>
      </c>
      <c r="J50" s="174">
        <f t="shared" si="11"/>
        <v>24600</v>
      </c>
      <c r="K50" s="102"/>
      <c r="L50" s="103">
        <f t="shared" si="5"/>
        <v>123612.37</v>
      </c>
      <c r="M50" s="190">
        <f t="shared" si="8"/>
        <v>127320.37</v>
      </c>
      <c r="N50" s="63">
        <f t="shared" si="7"/>
        <v>0.37000000000000016</v>
      </c>
    </row>
    <row r="51" spans="1:15" x14ac:dyDescent="0.25">
      <c r="A51" s="179">
        <f t="shared" si="9"/>
        <v>38</v>
      </c>
      <c r="B51" s="105" t="s">
        <v>39</v>
      </c>
      <c r="C51" s="104"/>
      <c r="D51" s="98">
        <v>1.34</v>
      </c>
      <c r="E51" s="99">
        <v>195940.38</v>
      </c>
      <c r="F51" s="100"/>
      <c r="G51" s="101">
        <f t="shared" si="0"/>
        <v>195940.38</v>
      </c>
      <c r="H51" s="101">
        <f t="shared" si="4"/>
        <v>5878.2114000000001</v>
      </c>
      <c r="I51" s="174">
        <f t="shared" si="10"/>
        <v>161799.97500000001</v>
      </c>
      <c r="J51" s="174">
        <f t="shared" si="11"/>
        <v>40200.000000000007</v>
      </c>
      <c r="K51" s="102"/>
      <c r="L51" s="103">
        <f t="shared" si="5"/>
        <v>403819.38</v>
      </c>
      <c r="M51" s="190">
        <f t="shared" si="8"/>
        <v>415934.38</v>
      </c>
      <c r="N51" s="63">
        <f t="shared" si="7"/>
        <v>0.38000000000000017</v>
      </c>
    </row>
    <row r="52" spans="1:15" x14ac:dyDescent="0.25">
      <c r="A52" s="179">
        <f t="shared" si="9"/>
        <v>39</v>
      </c>
      <c r="B52" s="105" t="s">
        <v>40</v>
      </c>
      <c r="C52" s="104"/>
      <c r="D52" s="98">
        <v>1.1200000000000001</v>
      </c>
      <c r="E52" s="99">
        <v>358543.39</v>
      </c>
      <c r="F52" s="100">
        <f>168836.39*2+20871</f>
        <v>358543.78</v>
      </c>
      <c r="G52" s="101">
        <f t="shared" si="0"/>
        <v>-0.39000000001396984</v>
      </c>
      <c r="H52" s="101">
        <f t="shared" si="4"/>
        <v>0</v>
      </c>
      <c r="I52" s="174">
        <f t="shared" si="10"/>
        <v>135235.80000000002</v>
      </c>
      <c r="J52" s="174">
        <f t="shared" si="11"/>
        <v>33600.000000000007</v>
      </c>
      <c r="K52" s="102"/>
      <c r="L52" s="103">
        <f t="shared" si="5"/>
        <v>168835.39</v>
      </c>
      <c r="M52" s="190">
        <f t="shared" si="8"/>
        <v>173900.39</v>
      </c>
      <c r="N52" s="63">
        <f t="shared" si="7"/>
        <v>0.39000000000000018</v>
      </c>
    </row>
    <row r="53" spans="1:15" x14ac:dyDescent="0.25">
      <c r="A53" s="179">
        <f t="shared" si="9"/>
        <v>40</v>
      </c>
      <c r="B53" s="105" t="s">
        <v>41</v>
      </c>
      <c r="C53" s="104"/>
      <c r="D53" s="98">
        <v>1.17</v>
      </c>
      <c r="E53" s="99">
        <v>358038.4</v>
      </c>
      <c r="F53" s="100"/>
      <c r="G53" s="101">
        <f t="shared" si="0"/>
        <v>358038.4</v>
      </c>
      <c r="H53" s="101">
        <f t="shared" si="4"/>
        <v>10741.152</v>
      </c>
      <c r="I53" s="174">
        <f t="shared" si="10"/>
        <v>141273.11249999999</v>
      </c>
      <c r="J53" s="174">
        <f t="shared" si="11"/>
        <v>35100</v>
      </c>
      <c r="K53" s="102"/>
      <c r="L53" s="103">
        <f t="shared" si="5"/>
        <v>545153.4</v>
      </c>
      <c r="M53" s="190">
        <f t="shared" si="8"/>
        <v>561508.4</v>
      </c>
      <c r="N53" s="63">
        <f t="shared" si="7"/>
        <v>0.40000000000000019</v>
      </c>
    </row>
    <row r="54" spans="1:15" x14ac:dyDescent="0.25">
      <c r="A54" s="179">
        <f t="shared" si="9"/>
        <v>41</v>
      </c>
      <c r="B54" s="105" t="s">
        <v>42</v>
      </c>
      <c r="C54" s="104"/>
      <c r="D54" s="98">
        <v>1.35</v>
      </c>
      <c r="E54" s="99">
        <v>203507.41</v>
      </c>
      <c r="F54" s="100">
        <v>209612.41</v>
      </c>
      <c r="G54" s="101">
        <f t="shared" si="0"/>
        <v>-6105</v>
      </c>
      <c r="H54" s="101">
        <f t="shared" si="4"/>
        <v>0</v>
      </c>
      <c r="I54" s="174">
        <f t="shared" si="10"/>
        <v>163007.43750000003</v>
      </c>
      <c r="J54" s="174">
        <f t="shared" si="11"/>
        <v>40500.000000000007</v>
      </c>
      <c r="K54" s="102"/>
      <c r="L54" s="103">
        <f t="shared" si="5"/>
        <v>197402.41</v>
      </c>
      <c r="M54" s="190">
        <f t="shared" si="8"/>
        <v>203324.41</v>
      </c>
      <c r="N54" s="63">
        <f t="shared" si="7"/>
        <v>0.4100000000000002</v>
      </c>
    </row>
    <row r="55" spans="1:15" x14ac:dyDescent="0.25">
      <c r="A55" s="182">
        <f t="shared" si="9"/>
        <v>42</v>
      </c>
      <c r="B55" s="158" t="s">
        <v>43</v>
      </c>
      <c r="C55" s="159"/>
      <c r="D55" s="160">
        <v>1.1200000000000001</v>
      </c>
      <c r="E55" s="161">
        <v>818744.42</v>
      </c>
      <c r="F55" s="161"/>
      <c r="G55" s="162">
        <f t="shared" si="0"/>
        <v>818744.42</v>
      </c>
      <c r="H55" s="162">
        <f t="shared" si="4"/>
        <v>24562.332600000002</v>
      </c>
      <c r="I55" s="178">
        <f t="shared" si="10"/>
        <v>135235.80000000002</v>
      </c>
      <c r="J55" s="178">
        <f t="shared" si="11"/>
        <v>33600.000000000007</v>
      </c>
      <c r="K55" s="163"/>
      <c r="L55" s="164">
        <f t="shared" si="5"/>
        <v>1012143.42</v>
      </c>
      <c r="M55" s="193">
        <f t="shared" si="8"/>
        <v>1042507.42</v>
      </c>
      <c r="N55" s="63">
        <f t="shared" si="7"/>
        <v>0.42000000000000021</v>
      </c>
    </row>
    <row r="56" spans="1:15" x14ac:dyDescent="0.25">
      <c r="A56" s="179">
        <f t="shared" si="9"/>
        <v>43</v>
      </c>
      <c r="B56" s="105" t="s">
        <v>101</v>
      </c>
      <c r="C56" s="104"/>
      <c r="D56" s="98">
        <v>0.82</v>
      </c>
      <c r="E56" s="99">
        <v>1684811.43</v>
      </c>
      <c r="F56" s="100">
        <v>0</v>
      </c>
      <c r="G56" s="101">
        <f t="shared" si="0"/>
        <v>1684811.43</v>
      </c>
      <c r="H56" s="101">
        <f t="shared" si="4"/>
        <v>50544.342899999996</v>
      </c>
      <c r="I56" s="174">
        <f t="shared" si="10"/>
        <v>99011.925000000003</v>
      </c>
      <c r="J56" s="174">
        <f t="shared" si="11"/>
        <v>24600</v>
      </c>
      <c r="K56" s="102"/>
      <c r="L56" s="103">
        <f t="shared" si="5"/>
        <v>1858968.43</v>
      </c>
      <c r="M56" s="190">
        <f t="shared" si="8"/>
        <v>1914737.43</v>
      </c>
      <c r="N56" s="63">
        <f t="shared" si="7"/>
        <v>0.43000000000000022</v>
      </c>
    </row>
    <row r="57" spans="1:15" x14ac:dyDescent="0.25">
      <c r="A57" s="179">
        <f t="shared" si="9"/>
        <v>44</v>
      </c>
      <c r="B57" s="105" t="s">
        <v>44</v>
      </c>
      <c r="C57" s="104"/>
      <c r="D57" s="98">
        <v>0.82</v>
      </c>
      <c r="E57" s="99">
        <v>250933.44</v>
      </c>
      <c r="F57" s="100"/>
      <c r="G57" s="101">
        <f t="shared" si="0"/>
        <v>250933.44</v>
      </c>
      <c r="H57" s="101">
        <f t="shared" si="4"/>
        <v>7528.0032000000001</v>
      </c>
      <c r="I57" s="174">
        <f t="shared" si="10"/>
        <v>99011.925000000003</v>
      </c>
      <c r="J57" s="174">
        <f t="shared" si="11"/>
        <v>24600</v>
      </c>
      <c r="K57" s="102"/>
      <c r="L57" s="103">
        <f t="shared" si="5"/>
        <v>382073.44</v>
      </c>
      <c r="M57" s="190">
        <f t="shared" si="8"/>
        <v>393535.44</v>
      </c>
      <c r="N57" s="63">
        <f t="shared" si="7"/>
        <v>0.44000000000000022</v>
      </c>
    </row>
    <row r="58" spans="1:15" x14ac:dyDescent="0.25">
      <c r="A58" s="179">
        <f t="shared" si="9"/>
        <v>45</v>
      </c>
      <c r="B58" s="105" t="s">
        <v>45</v>
      </c>
      <c r="C58" s="104"/>
      <c r="D58" s="98">
        <v>1.34</v>
      </c>
      <c r="E58" s="99">
        <v>202000.45</v>
      </c>
      <c r="F58" s="100">
        <f>E58</f>
        <v>202000.45</v>
      </c>
      <c r="G58" s="101">
        <f t="shared" si="0"/>
        <v>0</v>
      </c>
      <c r="H58" s="101">
        <f t="shared" si="4"/>
        <v>0</v>
      </c>
      <c r="I58" s="174">
        <f t="shared" si="10"/>
        <v>161799.97500000001</v>
      </c>
      <c r="J58" s="174">
        <f t="shared" si="11"/>
        <v>40200.000000000007</v>
      </c>
      <c r="K58" s="102"/>
      <c r="L58" s="103">
        <f t="shared" si="5"/>
        <v>202000.45</v>
      </c>
      <c r="M58" s="190">
        <f t="shared" si="8"/>
        <v>208060.45</v>
      </c>
      <c r="N58" s="63">
        <f t="shared" si="7"/>
        <v>0.45000000000000023</v>
      </c>
    </row>
    <row r="59" spans="1:15" x14ac:dyDescent="0.25">
      <c r="A59" s="179">
        <f t="shared" si="9"/>
        <v>46</v>
      </c>
      <c r="B59" s="105" t="s">
        <v>46</v>
      </c>
      <c r="C59" s="104"/>
      <c r="D59" s="98">
        <v>1.1200000000000001</v>
      </c>
      <c r="E59" s="99">
        <v>191258.46</v>
      </c>
      <c r="F59" s="100">
        <v>150000</v>
      </c>
      <c r="G59" s="101">
        <f t="shared" si="0"/>
        <v>41258.459999999992</v>
      </c>
      <c r="H59" s="101">
        <f t="shared" si="4"/>
        <v>1237.7537999999997</v>
      </c>
      <c r="I59" s="174">
        <f t="shared" si="10"/>
        <v>135235.80000000002</v>
      </c>
      <c r="J59" s="174">
        <f t="shared" si="11"/>
        <v>33600.000000000007</v>
      </c>
      <c r="K59" s="102"/>
      <c r="L59" s="103">
        <f t="shared" si="5"/>
        <v>211332.46</v>
      </c>
      <c r="M59" s="190">
        <f t="shared" si="8"/>
        <v>217672.46</v>
      </c>
      <c r="N59" s="63">
        <f t="shared" si="7"/>
        <v>0.46000000000000024</v>
      </c>
      <c r="O59" t="s">
        <v>162</v>
      </c>
    </row>
    <row r="60" spans="1:15" x14ac:dyDescent="0.25">
      <c r="A60" s="180">
        <f t="shared" si="9"/>
        <v>47</v>
      </c>
      <c r="B60" s="120" t="s">
        <v>47</v>
      </c>
      <c r="C60" s="121"/>
      <c r="D60" s="114">
        <v>1.17</v>
      </c>
      <c r="E60" s="115">
        <v>581351.47</v>
      </c>
      <c r="F60" s="115">
        <v>173374.17</v>
      </c>
      <c r="G60" s="116">
        <f t="shared" si="0"/>
        <v>407977.29999999993</v>
      </c>
      <c r="H60" s="116">
        <f t="shared" si="4"/>
        <v>12239.318999999998</v>
      </c>
      <c r="I60" s="175">
        <f t="shared" si="10"/>
        <v>141273.11249999999</v>
      </c>
      <c r="J60" s="175">
        <f t="shared" si="11"/>
        <v>35100</v>
      </c>
      <c r="K60" s="113"/>
      <c r="L60" s="117">
        <f t="shared" si="5"/>
        <v>596590.47</v>
      </c>
      <c r="M60" s="191">
        <f t="shared" si="8"/>
        <v>614488.47</v>
      </c>
      <c r="N60" s="63">
        <f t="shared" si="7"/>
        <v>0.47000000000000025</v>
      </c>
      <c r="O60" t="s">
        <v>227</v>
      </c>
    </row>
    <row r="61" spans="1:15" x14ac:dyDescent="0.25">
      <c r="A61" s="181">
        <f t="shared" si="9"/>
        <v>48</v>
      </c>
      <c r="B61" s="149" t="s">
        <v>48</v>
      </c>
      <c r="C61" s="148"/>
      <c r="D61" s="144">
        <v>1.35</v>
      </c>
      <c r="E61" s="100">
        <v>209612.48</v>
      </c>
      <c r="F61" s="100">
        <f>E61</f>
        <v>209612.48</v>
      </c>
      <c r="G61" s="145">
        <f t="shared" si="0"/>
        <v>0</v>
      </c>
      <c r="H61" s="145">
        <f t="shared" si="4"/>
        <v>0</v>
      </c>
      <c r="I61" s="176">
        <f t="shared" si="10"/>
        <v>163007.43750000003</v>
      </c>
      <c r="J61" s="176">
        <f t="shared" si="11"/>
        <v>40500.000000000007</v>
      </c>
      <c r="K61" s="146"/>
      <c r="L61" s="103">
        <f t="shared" si="5"/>
        <v>203507.48</v>
      </c>
      <c r="M61" s="192">
        <f t="shared" si="8"/>
        <v>209612.48</v>
      </c>
      <c r="N61" s="63">
        <f t="shared" si="7"/>
        <v>0.48000000000000026</v>
      </c>
      <c r="O61" t="s">
        <v>164</v>
      </c>
    </row>
    <row r="62" spans="1:15" x14ac:dyDescent="0.25">
      <c r="A62" s="179">
        <f t="shared" si="9"/>
        <v>49</v>
      </c>
      <c r="B62" s="105" t="s">
        <v>49</v>
      </c>
      <c r="C62" s="104"/>
      <c r="D62" s="98">
        <v>1.1200000000000001</v>
      </c>
      <c r="E62" s="99">
        <v>163771.49</v>
      </c>
      <c r="F62" s="100">
        <v>168684.49</v>
      </c>
      <c r="G62" s="101">
        <f t="shared" si="0"/>
        <v>-4913</v>
      </c>
      <c r="H62" s="101">
        <f t="shared" si="4"/>
        <v>0</v>
      </c>
      <c r="I62" s="174">
        <f t="shared" si="10"/>
        <v>135235.80000000002</v>
      </c>
      <c r="J62" s="174">
        <f t="shared" si="11"/>
        <v>33600.000000000007</v>
      </c>
      <c r="K62" s="102"/>
      <c r="L62" s="103">
        <f t="shared" si="5"/>
        <v>163923.49</v>
      </c>
      <c r="M62" s="190">
        <f t="shared" si="8"/>
        <v>168841.49</v>
      </c>
      <c r="N62" s="63">
        <f t="shared" si="7"/>
        <v>0.49000000000000027</v>
      </c>
    </row>
    <row r="63" spans="1:15" x14ac:dyDescent="0.25">
      <c r="A63" s="179">
        <f t="shared" si="9"/>
        <v>50</v>
      </c>
      <c r="B63" s="105" t="s">
        <v>50</v>
      </c>
      <c r="C63" s="104"/>
      <c r="D63" s="98">
        <v>0.82</v>
      </c>
      <c r="E63" s="99">
        <v>250933.5</v>
      </c>
      <c r="F63" s="100">
        <f>E63</f>
        <v>250933.5</v>
      </c>
      <c r="G63" s="101">
        <f t="shared" si="0"/>
        <v>0</v>
      </c>
      <c r="H63" s="101">
        <f t="shared" si="4"/>
        <v>0</v>
      </c>
      <c r="I63" s="174">
        <f t="shared" si="10"/>
        <v>99011.925000000003</v>
      </c>
      <c r="J63" s="174">
        <f t="shared" si="11"/>
        <v>24600</v>
      </c>
      <c r="K63" s="102"/>
      <c r="L63" s="103">
        <f t="shared" si="5"/>
        <v>123612.5</v>
      </c>
      <c r="M63" s="190">
        <f t="shared" si="8"/>
        <v>127320.5</v>
      </c>
      <c r="N63" s="63">
        <f t="shared" si="7"/>
        <v>0.50000000000000022</v>
      </c>
    </row>
    <row r="64" spans="1:15" x14ac:dyDescent="0.25">
      <c r="A64" s="209">
        <f t="shared" si="9"/>
        <v>51</v>
      </c>
      <c r="B64" s="210" t="s">
        <v>51</v>
      </c>
      <c r="C64" s="211"/>
      <c r="D64" s="212">
        <v>0.82</v>
      </c>
      <c r="E64" s="99">
        <v>233265.51</v>
      </c>
      <c r="F64" s="100">
        <v>106459.51</v>
      </c>
      <c r="G64" s="101">
        <f t="shared" si="0"/>
        <v>126806.00000000001</v>
      </c>
      <c r="H64" s="101">
        <f t="shared" si="4"/>
        <v>3804.1800000000003</v>
      </c>
      <c r="I64" s="174">
        <f t="shared" si="10"/>
        <v>99011.925000000003</v>
      </c>
      <c r="J64" s="174">
        <f t="shared" si="11"/>
        <v>24600</v>
      </c>
      <c r="K64" s="102"/>
      <c r="L64" s="103">
        <f t="shared" si="5"/>
        <v>254222.51</v>
      </c>
      <c r="M64" s="190">
        <f t="shared" si="8"/>
        <v>261849.51</v>
      </c>
      <c r="N64" s="63">
        <f t="shared" si="7"/>
        <v>0.51000000000000023</v>
      </c>
    </row>
    <row r="65" spans="1:15" x14ac:dyDescent="0.25">
      <c r="A65" s="179">
        <f t="shared" si="9"/>
        <v>52</v>
      </c>
      <c r="B65" s="105" t="s">
        <v>52</v>
      </c>
      <c r="C65" s="104"/>
      <c r="D65" s="98">
        <v>1.34</v>
      </c>
      <c r="E65" s="99">
        <v>202000.52</v>
      </c>
      <c r="F65" s="100">
        <f>E65</f>
        <v>202000.52</v>
      </c>
      <c r="G65" s="101">
        <f t="shared" si="0"/>
        <v>0</v>
      </c>
      <c r="H65" s="101">
        <f t="shared" si="4"/>
        <v>0</v>
      </c>
      <c r="I65" s="174">
        <f t="shared" si="10"/>
        <v>161799.97500000001</v>
      </c>
      <c r="J65" s="174">
        <f t="shared" si="11"/>
        <v>40200.000000000007</v>
      </c>
      <c r="K65" s="102"/>
      <c r="L65" s="103">
        <f t="shared" si="5"/>
        <v>202000.52</v>
      </c>
      <c r="M65" s="190">
        <f t="shared" si="8"/>
        <v>208060.52</v>
      </c>
      <c r="N65" s="63">
        <f t="shared" si="7"/>
        <v>0.52000000000000024</v>
      </c>
    </row>
    <row r="66" spans="1:15" x14ac:dyDescent="0.25">
      <c r="A66" s="205">
        <f t="shared" si="9"/>
        <v>53</v>
      </c>
      <c r="B66" s="206" t="s">
        <v>53</v>
      </c>
      <c r="C66" s="148"/>
      <c r="D66" s="144">
        <v>1.1200000000000001</v>
      </c>
      <c r="E66" s="100">
        <v>300737.53000000003</v>
      </c>
      <c r="F66" s="100">
        <v>98556.53</v>
      </c>
      <c r="G66" s="101">
        <f t="shared" si="0"/>
        <v>202181.00000000003</v>
      </c>
      <c r="H66" s="101">
        <f t="shared" si="4"/>
        <v>6065.43</v>
      </c>
      <c r="I66" s="174">
        <f t="shared" si="10"/>
        <v>135235.80000000002</v>
      </c>
      <c r="J66" s="174">
        <f t="shared" si="11"/>
        <v>33600.000000000007</v>
      </c>
      <c r="K66" s="102"/>
      <c r="L66" s="103">
        <f t="shared" si="5"/>
        <v>377082.53</v>
      </c>
      <c r="M66" s="190">
        <f t="shared" si="8"/>
        <v>388394.53</v>
      </c>
      <c r="N66" s="63">
        <f t="shared" si="7"/>
        <v>0.53000000000000025</v>
      </c>
    </row>
    <row r="67" spans="1:15" x14ac:dyDescent="0.25">
      <c r="A67" s="179">
        <f t="shared" si="9"/>
        <v>54</v>
      </c>
      <c r="B67" s="105" t="s">
        <v>54</v>
      </c>
      <c r="C67" s="104"/>
      <c r="D67" s="98">
        <v>1.17</v>
      </c>
      <c r="E67" s="99">
        <v>171082.54</v>
      </c>
      <c r="F67" s="100">
        <v>176214.54</v>
      </c>
      <c r="G67" s="101">
        <f t="shared" si="0"/>
        <v>-5132</v>
      </c>
      <c r="H67" s="101">
        <f t="shared" si="4"/>
        <v>0</v>
      </c>
      <c r="I67" s="174">
        <f t="shared" si="10"/>
        <v>141273.11249999999</v>
      </c>
      <c r="J67" s="174">
        <f t="shared" si="11"/>
        <v>35100</v>
      </c>
      <c r="K67" s="102"/>
      <c r="L67" s="103">
        <f t="shared" si="5"/>
        <v>171241.54</v>
      </c>
      <c r="M67" s="190">
        <f t="shared" si="8"/>
        <v>176378.54</v>
      </c>
      <c r="N67" s="63">
        <f t="shared" si="7"/>
        <v>0.54000000000000026</v>
      </c>
    </row>
    <row r="68" spans="1:15" x14ac:dyDescent="0.25">
      <c r="A68" s="179">
        <f t="shared" si="9"/>
        <v>55</v>
      </c>
      <c r="B68" s="105" t="s">
        <v>55</v>
      </c>
      <c r="C68" s="104"/>
      <c r="D68" s="98">
        <v>1.35</v>
      </c>
      <c r="E68" s="99">
        <v>197402.55</v>
      </c>
      <c r="F68" s="100">
        <v>203324.55</v>
      </c>
      <c r="G68" s="101">
        <f t="shared" si="0"/>
        <v>-5922</v>
      </c>
      <c r="H68" s="101">
        <f t="shared" si="4"/>
        <v>0</v>
      </c>
      <c r="I68" s="174">
        <f t="shared" si="10"/>
        <v>163007.43750000003</v>
      </c>
      <c r="J68" s="174">
        <f t="shared" si="11"/>
        <v>40500.000000000007</v>
      </c>
      <c r="K68" s="102"/>
      <c r="L68" s="103">
        <f t="shared" si="5"/>
        <v>197585.55</v>
      </c>
      <c r="M68" s="190">
        <f t="shared" si="8"/>
        <v>203513.55</v>
      </c>
      <c r="N68" s="63">
        <f t="shared" si="7"/>
        <v>0.55000000000000027</v>
      </c>
    </row>
    <row r="69" spans="1:15" x14ac:dyDescent="0.25">
      <c r="A69" s="179">
        <f t="shared" si="9"/>
        <v>56</v>
      </c>
      <c r="B69" s="105" t="s">
        <v>56</v>
      </c>
      <c r="C69" s="104"/>
      <c r="D69" s="98">
        <v>1.1200000000000001</v>
      </c>
      <c r="E69" s="99">
        <v>168836.56</v>
      </c>
      <c r="F69" s="100">
        <v>173901.56</v>
      </c>
      <c r="G69" s="101">
        <f t="shared" si="0"/>
        <v>-5065</v>
      </c>
      <c r="H69" s="101">
        <f t="shared" si="4"/>
        <v>0</v>
      </c>
      <c r="I69" s="174">
        <f t="shared" si="10"/>
        <v>135235.80000000002</v>
      </c>
      <c r="J69" s="174">
        <f t="shared" si="11"/>
        <v>33600.000000000007</v>
      </c>
      <c r="K69" s="102"/>
      <c r="L69" s="103">
        <f t="shared" si="5"/>
        <v>163771.56</v>
      </c>
      <c r="M69" s="190">
        <f t="shared" si="8"/>
        <v>168684.56</v>
      </c>
      <c r="N69" s="63">
        <f t="shared" si="7"/>
        <v>0.56000000000000028</v>
      </c>
    </row>
    <row r="70" spans="1:15" x14ac:dyDescent="0.25">
      <c r="A70" s="218">
        <f t="shared" si="9"/>
        <v>57</v>
      </c>
      <c r="B70" s="219" t="s">
        <v>57</v>
      </c>
      <c r="C70" s="104"/>
      <c r="D70" s="98">
        <v>0.82</v>
      </c>
      <c r="E70" s="99">
        <v>119898.57</v>
      </c>
      <c r="F70" s="100">
        <v>120000</v>
      </c>
      <c r="G70" s="101">
        <f t="shared" si="0"/>
        <v>-101.42999999999302</v>
      </c>
      <c r="H70" s="101">
        <f t="shared" si="4"/>
        <v>0</v>
      </c>
      <c r="I70" s="174">
        <f t="shared" si="10"/>
        <v>99011.925000000003</v>
      </c>
      <c r="J70" s="174">
        <f t="shared" si="11"/>
        <v>24600</v>
      </c>
      <c r="K70" s="102"/>
      <c r="L70" s="103">
        <f t="shared" si="5"/>
        <v>123510.57</v>
      </c>
      <c r="M70" s="190">
        <f t="shared" si="8"/>
        <v>127215.57</v>
      </c>
      <c r="N70" s="63">
        <f t="shared" si="7"/>
        <v>0.57000000000000028</v>
      </c>
    </row>
    <row r="71" spans="1:15" x14ac:dyDescent="0.25">
      <c r="A71" s="179">
        <f t="shared" si="9"/>
        <v>58</v>
      </c>
      <c r="B71" s="105" t="s">
        <v>58</v>
      </c>
      <c r="C71" s="104"/>
      <c r="D71" s="98">
        <v>0.82</v>
      </c>
      <c r="E71" s="99">
        <v>123612.58</v>
      </c>
      <c r="F71" s="100">
        <f t="shared" ref="F71" si="12">E71</f>
        <v>123612.58</v>
      </c>
      <c r="G71" s="101">
        <f t="shared" si="0"/>
        <v>0</v>
      </c>
      <c r="H71" s="101">
        <f t="shared" si="4"/>
        <v>0</v>
      </c>
      <c r="I71" s="174">
        <f t="shared" si="10"/>
        <v>99011.925000000003</v>
      </c>
      <c r="J71" s="174">
        <f t="shared" si="11"/>
        <v>24600</v>
      </c>
      <c r="K71" s="102"/>
      <c r="L71" s="103">
        <f t="shared" si="5"/>
        <v>123612.58</v>
      </c>
      <c r="M71" s="190">
        <f t="shared" si="8"/>
        <v>127320.58</v>
      </c>
      <c r="N71" s="63">
        <f t="shared" si="7"/>
        <v>0.58000000000000029</v>
      </c>
    </row>
    <row r="72" spans="1:15" x14ac:dyDescent="0.25">
      <c r="A72" s="181">
        <f t="shared" si="9"/>
        <v>59</v>
      </c>
      <c r="B72" s="149" t="s">
        <v>59</v>
      </c>
      <c r="C72" s="148"/>
      <c r="D72" s="144">
        <v>1.34</v>
      </c>
      <c r="E72" s="100">
        <v>410061.59</v>
      </c>
      <c r="F72" s="100">
        <f>239116.53-PRORRATEO!F106-PRORRATEO!F114+194996.59+6100</f>
        <v>410061.18</v>
      </c>
      <c r="G72" s="145">
        <f t="shared" si="0"/>
        <v>0.41000000003259629</v>
      </c>
      <c r="H72" s="145">
        <f t="shared" si="4"/>
        <v>1.2300000000977888E-2</v>
      </c>
      <c r="I72" s="176">
        <f t="shared" si="10"/>
        <v>161799.97500000001</v>
      </c>
      <c r="J72" s="176">
        <f t="shared" si="11"/>
        <v>40200.000000000007</v>
      </c>
      <c r="K72" s="146"/>
      <c r="L72" s="103">
        <f t="shared" si="5"/>
        <v>202000.59</v>
      </c>
      <c r="M72" s="192">
        <f t="shared" si="8"/>
        <v>208060.59</v>
      </c>
      <c r="N72" s="63">
        <f t="shared" si="7"/>
        <v>0.5900000000000003</v>
      </c>
    </row>
    <row r="73" spans="1:15" x14ac:dyDescent="0.25">
      <c r="A73" s="179">
        <f t="shared" si="9"/>
        <v>60</v>
      </c>
      <c r="B73" s="105" t="s">
        <v>60</v>
      </c>
      <c r="C73" s="104"/>
      <c r="D73" s="98">
        <v>1.1200000000000001</v>
      </c>
      <c r="E73" s="99">
        <v>163771.6</v>
      </c>
      <c r="F73" s="100">
        <v>168684.6</v>
      </c>
      <c r="G73" s="101">
        <f t="shared" si="0"/>
        <v>-4913</v>
      </c>
      <c r="H73" s="101">
        <f t="shared" si="4"/>
        <v>0</v>
      </c>
      <c r="I73" s="174">
        <f t="shared" si="10"/>
        <v>135235.80000000002</v>
      </c>
      <c r="J73" s="174">
        <f t="shared" si="11"/>
        <v>33600.000000000007</v>
      </c>
      <c r="K73" s="102"/>
      <c r="L73" s="103">
        <f t="shared" si="5"/>
        <v>163923.6</v>
      </c>
      <c r="M73" s="190">
        <f t="shared" si="8"/>
        <v>168841.60000000001</v>
      </c>
      <c r="N73" s="63">
        <f t="shared" si="7"/>
        <v>0.60000000000000031</v>
      </c>
    </row>
    <row r="74" spans="1:15" x14ac:dyDescent="0.25">
      <c r="A74" s="179">
        <f t="shared" si="9"/>
        <v>61</v>
      </c>
      <c r="B74" s="105" t="s">
        <v>61</v>
      </c>
      <c r="C74" s="104"/>
      <c r="D74" s="98">
        <v>1.17</v>
      </c>
      <c r="E74" s="99">
        <v>176373.61</v>
      </c>
      <c r="F74" s="100">
        <f t="shared" ref="F74:F76" si="13">E74</f>
        <v>176373.61</v>
      </c>
      <c r="G74" s="101">
        <f t="shared" si="0"/>
        <v>0</v>
      </c>
      <c r="H74" s="101">
        <f t="shared" si="4"/>
        <v>0</v>
      </c>
      <c r="I74" s="174">
        <f t="shared" si="10"/>
        <v>141273.11249999999</v>
      </c>
      <c r="J74" s="174">
        <f t="shared" si="11"/>
        <v>35100</v>
      </c>
      <c r="K74" s="102"/>
      <c r="L74" s="103">
        <f t="shared" si="5"/>
        <v>176373.61</v>
      </c>
      <c r="M74" s="190">
        <f t="shared" si="8"/>
        <v>181664.61</v>
      </c>
      <c r="N74" s="63">
        <f t="shared" si="7"/>
        <v>0.61000000000000032</v>
      </c>
    </row>
    <row r="75" spans="1:15" x14ac:dyDescent="0.25">
      <c r="A75" s="179">
        <f t="shared" si="9"/>
        <v>62</v>
      </c>
      <c r="B75" s="105" t="s">
        <v>62</v>
      </c>
      <c r="C75" s="104"/>
      <c r="D75" s="98">
        <v>1.35</v>
      </c>
      <c r="E75" s="99">
        <v>197402.62</v>
      </c>
      <c r="F75" s="100">
        <v>203325.62</v>
      </c>
      <c r="G75" s="101">
        <f t="shared" si="0"/>
        <v>-5923</v>
      </c>
      <c r="H75" s="101">
        <f t="shared" si="4"/>
        <v>0</v>
      </c>
      <c r="I75" s="174">
        <f t="shared" si="10"/>
        <v>163007.43750000003</v>
      </c>
      <c r="J75" s="174">
        <f t="shared" si="11"/>
        <v>40500.000000000007</v>
      </c>
      <c r="K75" s="102"/>
      <c r="L75" s="103">
        <f t="shared" si="5"/>
        <v>197584.62</v>
      </c>
      <c r="M75" s="190">
        <f t="shared" si="8"/>
        <v>203512.62</v>
      </c>
      <c r="N75" s="63">
        <f t="shared" si="7"/>
        <v>0.62000000000000033</v>
      </c>
    </row>
    <row r="76" spans="1:15" x14ac:dyDescent="0.25">
      <c r="A76" s="179">
        <f t="shared" si="9"/>
        <v>63</v>
      </c>
      <c r="B76" s="105" t="s">
        <v>63</v>
      </c>
      <c r="C76" s="104"/>
      <c r="D76" s="98">
        <v>1.1200000000000001</v>
      </c>
      <c r="E76" s="99">
        <v>168836.63</v>
      </c>
      <c r="F76" s="100">
        <f t="shared" si="13"/>
        <v>168836.63</v>
      </c>
      <c r="G76" s="101">
        <f t="shared" si="0"/>
        <v>0</v>
      </c>
      <c r="H76" s="101">
        <f t="shared" si="4"/>
        <v>0</v>
      </c>
      <c r="I76" s="174">
        <f t="shared" si="10"/>
        <v>135235.80000000002</v>
      </c>
      <c r="J76" s="174">
        <f t="shared" si="11"/>
        <v>33600.000000000007</v>
      </c>
      <c r="K76" s="102"/>
      <c r="L76" s="103">
        <f t="shared" si="5"/>
        <v>168836.63</v>
      </c>
      <c r="M76" s="190">
        <f t="shared" si="8"/>
        <v>173901.63</v>
      </c>
      <c r="N76" s="63">
        <f t="shared" si="7"/>
        <v>0.63000000000000034</v>
      </c>
    </row>
    <row r="77" spans="1:15" x14ac:dyDescent="0.25">
      <c r="A77" s="179">
        <f t="shared" si="9"/>
        <v>64</v>
      </c>
      <c r="B77" s="105" t="s">
        <v>64</v>
      </c>
      <c r="C77" s="104"/>
      <c r="D77" s="98">
        <v>0.82</v>
      </c>
      <c r="E77" s="99">
        <v>254752.64000000001</v>
      </c>
      <c r="F77" s="100">
        <f>127320.64+123612+3820</f>
        <v>254752.64000000001</v>
      </c>
      <c r="G77" s="101">
        <f t="shared" si="0"/>
        <v>0</v>
      </c>
      <c r="H77" s="101">
        <f t="shared" si="4"/>
        <v>0</v>
      </c>
      <c r="I77" s="174">
        <f t="shared" si="10"/>
        <v>99011.925000000003</v>
      </c>
      <c r="J77" s="174">
        <f t="shared" si="11"/>
        <v>24600</v>
      </c>
      <c r="K77" s="102">
        <v>50000</v>
      </c>
      <c r="L77" s="103">
        <f t="shared" si="5"/>
        <v>173612.64</v>
      </c>
      <c r="M77" s="190">
        <f t="shared" si="8"/>
        <v>178820.64</v>
      </c>
      <c r="N77" s="63">
        <f t="shared" si="7"/>
        <v>0.64000000000000035</v>
      </c>
    </row>
    <row r="78" spans="1:15" x14ac:dyDescent="0.25">
      <c r="A78" s="180">
        <f t="shared" si="9"/>
        <v>65</v>
      </c>
      <c r="B78" s="120" t="s">
        <v>65</v>
      </c>
      <c r="C78" s="121"/>
      <c r="D78" s="114">
        <v>0.82</v>
      </c>
      <c r="E78" s="115">
        <v>880370.65</v>
      </c>
      <c r="F78" s="198">
        <v>99011.93</v>
      </c>
      <c r="G78" s="116">
        <f t="shared" ref="G78:G116" si="14">E78-F78</f>
        <v>781358.72</v>
      </c>
      <c r="H78" s="116">
        <f t="shared" si="4"/>
        <v>23440.761599999998</v>
      </c>
      <c r="I78" s="175">
        <f t="shared" ref="I78:I109" si="15">J$2*D78/100</f>
        <v>99011.925000000003</v>
      </c>
      <c r="J78" s="175">
        <f t="shared" ref="J78:J109" si="16">E$2*D78/100</f>
        <v>24600</v>
      </c>
      <c r="K78" s="113"/>
      <c r="L78" s="117">
        <f t="shared" si="5"/>
        <v>928411.65</v>
      </c>
      <c r="M78" s="191">
        <f t="shared" si="8"/>
        <v>956263.65</v>
      </c>
      <c r="N78" s="63">
        <f t="shared" si="7"/>
        <v>0.65000000000000036</v>
      </c>
      <c r="O78" t="s">
        <v>231</v>
      </c>
    </row>
    <row r="79" spans="1:15" x14ac:dyDescent="0.25">
      <c r="A79" s="179">
        <f t="shared" si="9"/>
        <v>66</v>
      </c>
      <c r="B79" s="105" t="s">
        <v>66</v>
      </c>
      <c r="C79" s="104"/>
      <c r="D79" s="98">
        <v>1.34</v>
      </c>
      <c r="E79" s="99">
        <v>195940.66</v>
      </c>
      <c r="F79" s="100">
        <v>201818.66</v>
      </c>
      <c r="G79" s="101">
        <f t="shared" si="14"/>
        <v>-5878</v>
      </c>
      <c r="H79" s="101">
        <f t="shared" ref="H79:H116" si="17">IF(G79&gt;0,G79*3%,0)</f>
        <v>0</v>
      </c>
      <c r="I79" s="174">
        <f t="shared" si="15"/>
        <v>161799.97500000001</v>
      </c>
      <c r="J79" s="174">
        <f t="shared" si="16"/>
        <v>40200.000000000007</v>
      </c>
      <c r="K79" s="102"/>
      <c r="L79" s="103">
        <f t="shared" ref="L79:L116" si="18">ROUND(SUM(G79:K79),0) + N79</f>
        <v>196122.66</v>
      </c>
      <c r="M79" s="190">
        <f t="shared" si="8"/>
        <v>202006.66</v>
      </c>
      <c r="N79" s="63">
        <f t="shared" si="7"/>
        <v>0.66000000000000036</v>
      </c>
    </row>
    <row r="80" spans="1:15" x14ac:dyDescent="0.25">
      <c r="A80" s="179">
        <f t="shared" si="9"/>
        <v>67</v>
      </c>
      <c r="B80" s="105" t="s">
        <v>67</v>
      </c>
      <c r="C80" s="104"/>
      <c r="D80" s="98">
        <v>1.1200000000000001</v>
      </c>
      <c r="E80" s="99">
        <v>347955.67</v>
      </c>
      <c r="F80" s="100">
        <v>180000.67</v>
      </c>
      <c r="G80" s="101">
        <f t="shared" si="14"/>
        <v>167954.99999999997</v>
      </c>
      <c r="H80" s="101">
        <f t="shared" si="17"/>
        <v>5038.6499999999987</v>
      </c>
      <c r="I80" s="174">
        <f t="shared" si="15"/>
        <v>135235.80000000002</v>
      </c>
      <c r="J80" s="174">
        <f t="shared" si="16"/>
        <v>33600.000000000007</v>
      </c>
      <c r="K80" s="102"/>
      <c r="L80" s="103">
        <f t="shared" si="18"/>
        <v>341829.67</v>
      </c>
      <c r="M80" s="190">
        <f t="shared" si="8"/>
        <v>352084.67</v>
      </c>
      <c r="N80" s="63">
        <f t="shared" si="7"/>
        <v>0.67000000000000037</v>
      </c>
    </row>
    <row r="81" spans="1:15" x14ac:dyDescent="0.25">
      <c r="A81" s="179">
        <f t="shared" si="9"/>
        <v>68</v>
      </c>
      <c r="B81" s="105" t="s">
        <v>68</v>
      </c>
      <c r="C81" s="104"/>
      <c r="D81" s="98">
        <v>1.17</v>
      </c>
      <c r="E81" s="99">
        <v>5371080.6799999997</v>
      </c>
      <c r="F81" s="100">
        <v>0</v>
      </c>
      <c r="G81" s="101">
        <f t="shared" si="14"/>
        <v>5371080.6799999997</v>
      </c>
      <c r="H81" s="101">
        <f t="shared" si="17"/>
        <v>161132.42039999997</v>
      </c>
      <c r="I81" s="174">
        <f t="shared" si="15"/>
        <v>141273.11249999999</v>
      </c>
      <c r="J81" s="174">
        <f t="shared" si="16"/>
        <v>35100</v>
      </c>
      <c r="K81" s="102"/>
      <c r="L81" s="103">
        <f t="shared" si="18"/>
        <v>5708586.6799999997</v>
      </c>
      <c r="M81" s="190">
        <f t="shared" si="8"/>
        <v>5879844.6799999997</v>
      </c>
      <c r="N81" s="63">
        <f t="shared" si="7"/>
        <v>0.68000000000000038</v>
      </c>
    </row>
    <row r="82" spans="1:15" x14ac:dyDescent="0.25">
      <c r="A82" s="179">
        <f t="shared" si="9"/>
        <v>69</v>
      </c>
      <c r="B82" s="105" t="s">
        <v>69</v>
      </c>
      <c r="C82" s="104"/>
      <c r="D82" s="98">
        <v>1.35</v>
      </c>
      <c r="E82" s="99">
        <v>197402.69</v>
      </c>
      <c r="F82" s="100">
        <v>203324.69</v>
      </c>
      <c r="G82" s="101">
        <f t="shared" si="14"/>
        <v>-5922</v>
      </c>
      <c r="H82" s="101">
        <f t="shared" si="17"/>
        <v>0</v>
      </c>
      <c r="I82" s="174">
        <f t="shared" si="15"/>
        <v>163007.43750000003</v>
      </c>
      <c r="J82" s="174">
        <f t="shared" si="16"/>
        <v>40500.000000000007</v>
      </c>
      <c r="K82" s="102"/>
      <c r="L82" s="103">
        <f t="shared" si="18"/>
        <v>197585.69</v>
      </c>
      <c r="M82" s="190">
        <f t="shared" si="8"/>
        <v>203513.69</v>
      </c>
      <c r="N82" s="63">
        <f t="shared" si="7"/>
        <v>0.69000000000000039</v>
      </c>
    </row>
    <row r="83" spans="1:15" x14ac:dyDescent="0.25">
      <c r="A83" s="180">
        <f t="shared" si="9"/>
        <v>70</v>
      </c>
      <c r="B83" s="120" t="s">
        <v>70</v>
      </c>
      <c r="C83" s="121"/>
      <c r="D83" s="114">
        <v>1.1200000000000001</v>
      </c>
      <c r="E83" s="115">
        <v>142803.70000000001</v>
      </c>
      <c r="F83" s="115"/>
      <c r="G83" s="116">
        <f t="shared" si="14"/>
        <v>142803.70000000001</v>
      </c>
      <c r="H83" s="116">
        <f t="shared" si="17"/>
        <v>4284.1109999999999</v>
      </c>
      <c r="I83" s="175">
        <f t="shared" si="15"/>
        <v>135235.80000000002</v>
      </c>
      <c r="J83" s="175">
        <f t="shared" si="16"/>
        <v>33600.000000000007</v>
      </c>
      <c r="K83" s="113"/>
      <c r="L83" s="117">
        <f t="shared" si="18"/>
        <v>315924.7</v>
      </c>
      <c r="M83" s="191">
        <f t="shared" si="8"/>
        <v>325402.7</v>
      </c>
      <c r="N83" s="63">
        <f t="shared" si="7"/>
        <v>0.7000000000000004</v>
      </c>
      <c r="O83" t="s">
        <v>181</v>
      </c>
    </row>
    <row r="84" spans="1:15" x14ac:dyDescent="0.25">
      <c r="A84" s="181">
        <f t="shared" si="9"/>
        <v>71</v>
      </c>
      <c r="B84" s="149" t="s">
        <v>71</v>
      </c>
      <c r="C84" s="104"/>
      <c r="D84" s="98">
        <v>0.82</v>
      </c>
      <c r="E84" s="99">
        <v>250338.71</v>
      </c>
      <c r="F84" s="100">
        <f>119452+123612.71+7274</f>
        <v>250338.71000000002</v>
      </c>
      <c r="G84" s="101">
        <f t="shared" si="14"/>
        <v>0</v>
      </c>
      <c r="H84" s="101">
        <f t="shared" si="17"/>
        <v>0</v>
      </c>
      <c r="I84" s="174">
        <f t="shared" si="15"/>
        <v>99011.925000000003</v>
      </c>
      <c r="J84" s="174">
        <f t="shared" si="16"/>
        <v>24600</v>
      </c>
      <c r="K84" s="102"/>
      <c r="L84" s="103">
        <f t="shared" si="18"/>
        <v>123612.71</v>
      </c>
      <c r="M84" s="190">
        <f t="shared" si="8"/>
        <v>127320.71</v>
      </c>
      <c r="N84" s="63">
        <f t="shared" si="7"/>
        <v>0.71000000000000041</v>
      </c>
    </row>
    <row r="85" spans="1:15" x14ac:dyDescent="0.25">
      <c r="A85" s="179">
        <f t="shared" si="9"/>
        <v>72</v>
      </c>
      <c r="B85" s="105" t="s">
        <v>72</v>
      </c>
      <c r="C85" s="104"/>
      <c r="D85" s="98">
        <v>0.82</v>
      </c>
      <c r="E85" s="99">
        <v>123612.72</v>
      </c>
      <c r="F85" s="100">
        <f>E85</f>
        <v>123612.72</v>
      </c>
      <c r="G85" s="101">
        <f t="shared" si="14"/>
        <v>0</v>
      </c>
      <c r="H85" s="101">
        <f t="shared" si="17"/>
        <v>0</v>
      </c>
      <c r="I85" s="174">
        <f t="shared" si="15"/>
        <v>99011.925000000003</v>
      </c>
      <c r="J85" s="174">
        <f t="shared" si="16"/>
        <v>24600</v>
      </c>
      <c r="K85" s="102"/>
      <c r="L85" s="103">
        <f t="shared" si="18"/>
        <v>123612.72</v>
      </c>
      <c r="M85" s="190">
        <f t="shared" si="8"/>
        <v>127320.72</v>
      </c>
      <c r="N85" s="63">
        <f t="shared" si="7"/>
        <v>0.72000000000000042</v>
      </c>
    </row>
    <row r="86" spans="1:15" x14ac:dyDescent="0.25">
      <c r="A86" s="179">
        <f t="shared" si="9"/>
        <v>73</v>
      </c>
      <c r="B86" s="105" t="s">
        <v>73</v>
      </c>
      <c r="C86" s="104"/>
      <c r="D86" s="98">
        <v>1.34</v>
      </c>
      <c r="E86" s="99">
        <v>202000.73</v>
      </c>
      <c r="F86" s="100"/>
      <c r="G86" s="101">
        <f t="shared" si="14"/>
        <v>202000.73</v>
      </c>
      <c r="H86" s="101">
        <f t="shared" si="17"/>
        <v>6060.0218999999997</v>
      </c>
      <c r="I86" s="174">
        <f t="shared" si="15"/>
        <v>161799.97500000001</v>
      </c>
      <c r="J86" s="174">
        <f t="shared" si="16"/>
        <v>40200.000000000007</v>
      </c>
      <c r="K86" s="102"/>
      <c r="L86" s="103">
        <f t="shared" si="18"/>
        <v>410061.73</v>
      </c>
      <c r="M86" s="190">
        <f t="shared" si="8"/>
        <v>422363.73</v>
      </c>
      <c r="N86" s="63">
        <f t="shared" si="7"/>
        <v>0.73000000000000043</v>
      </c>
    </row>
    <row r="87" spans="1:15" x14ac:dyDescent="0.25">
      <c r="A87" s="179">
        <f t="shared" si="9"/>
        <v>74</v>
      </c>
      <c r="B87" s="105" t="s">
        <v>74</v>
      </c>
      <c r="C87" s="104"/>
      <c r="D87" s="98">
        <v>1.1200000000000001</v>
      </c>
      <c r="E87" s="99">
        <v>153412.74</v>
      </c>
      <c r="F87" s="100"/>
      <c r="G87" s="101">
        <f t="shared" si="14"/>
        <v>153412.74</v>
      </c>
      <c r="H87" s="101">
        <f t="shared" si="17"/>
        <v>4602.3821999999991</v>
      </c>
      <c r="I87" s="174">
        <f t="shared" si="15"/>
        <v>135235.80000000002</v>
      </c>
      <c r="J87" s="174">
        <f t="shared" si="16"/>
        <v>33600.000000000007</v>
      </c>
      <c r="K87" s="102"/>
      <c r="L87" s="103">
        <f t="shared" si="18"/>
        <v>326851.74</v>
      </c>
      <c r="M87" s="190">
        <f t="shared" si="8"/>
        <v>336657.74</v>
      </c>
      <c r="N87" s="63">
        <f t="shared" si="7"/>
        <v>0.74000000000000044</v>
      </c>
    </row>
    <row r="88" spans="1:15" x14ac:dyDescent="0.25">
      <c r="A88" s="179">
        <f t="shared" si="9"/>
        <v>75</v>
      </c>
      <c r="B88" s="105" t="s">
        <v>75</v>
      </c>
      <c r="C88" s="104"/>
      <c r="D88" s="98">
        <v>1.17</v>
      </c>
      <c r="E88" s="99">
        <v>176373.75</v>
      </c>
      <c r="F88" s="100">
        <f>E88</f>
        <v>176373.75</v>
      </c>
      <c r="G88" s="101">
        <f t="shared" si="14"/>
        <v>0</v>
      </c>
      <c r="H88" s="101">
        <f t="shared" si="17"/>
        <v>0</v>
      </c>
      <c r="I88" s="174">
        <f t="shared" si="15"/>
        <v>141273.11249999999</v>
      </c>
      <c r="J88" s="174">
        <f t="shared" si="16"/>
        <v>35100</v>
      </c>
      <c r="K88" s="102"/>
      <c r="L88" s="103">
        <f t="shared" si="18"/>
        <v>176373.75</v>
      </c>
      <c r="M88" s="190">
        <f t="shared" si="8"/>
        <v>181664.75</v>
      </c>
      <c r="N88" s="63">
        <f t="shared" si="7"/>
        <v>0.75000000000000044</v>
      </c>
    </row>
    <row r="89" spans="1:15" x14ac:dyDescent="0.25">
      <c r="A89" s="179">
        <f t="shared" si="9"/>
        <v>76</v>
      </c>
      <c r="B89" s="105" t="s">
        <v>76</v>
      </c>
      <c r="C89" s="104"/>
      <c r="D89" s="98">
        <v>1.35</v>
      </c>
      <c r="E89" s="99">
        <v>209612.76</v>
      </c>
      <c r="F89" s="100">
        <f>E89</f>
        <v>209612.76</v>
      </c>
      <c r="G89" s="101">
        <f t="shared" si="14"/>
        <v>0</v>
      </c>
      <c r="H89" s="101">
        <f t="shared" si="17"/>
        <v>0</v>
      </c>
      <c r="I89" s="174">
        <f t="shared" si="15"/>
        <v>163007.43750000003</v>
      </c>
      <c r="J89" s="174">
        <f t="shared" si="16"/>
        <v>40500.000000000007</v>
      </c>
      <c r="K89" s="102"/>
      <c r="L89" s="103">
        <f t="shared" si="18"/>
        <v>203507.76</v>
      </c>
      <c r="M89" s="190">
        <f t="shared" si="8"/>
        <v>209612.76</v>
      </c>
      <c r="N89" s="63">
        <f t="shared" si="7"/>
        <v>0.76000000000000045</v>
      </c>
    </row>
    <row r="90" spans="1:15" x14ac:dyDescent="0.25">
      <c r="A90" s="179">
        <f t="shared" si="9"/>
        <v>77</v>
      </c>
      <c r="B90" s="105" t="s">
        <v>77</v>
      </c>
      <c r="C90" s="104"/>
      <c r="D90" s="98">
        <v>1.1200000000000001</v>
      </c>
      <c r="E90" s="99">
        <v>163771.76999999999</v>
      </c>
      <c r="F90" s="100">
        <v>168684.77</v>
      </c>
      <c r="G90" s="101">
        <f t="shared" si="14"/>
        <v>-4913</v>
      </c>
      <c r="H90" s="101">
        <f t="shared" si="17"/>
        <v>0</v>
      </c>
      <c r="I90" s="174">
        <f t="shared" si="15"/>
        <v>135235.80000000002</v>
      </c>
      <c r="J90" s="174">
        <f t="shared" si="16"/>
        <v>33600.000000000007</v>
      </c>
      <c r="K90" s="102"/>
      <c r="L90" s="103">
        <f t="shared" si="18"/>
        <v>163923.76999999999</v>
      </c>
      <c r="M90" s="190">
        <f t="shared" si="8"/>
        <v>168841.77</v>
      </c>
      <c r="N90" s="63">
        <f t="shared" si="7"/>
        <v>0.77000000000000046</v>
      </c>
    </row>
    <row r="91" spans="1:15" x14ac:dyDescent="0.25">
      <c r="A91" s="182">
        <f t="shared" si="9"/>
        <v>78</v>
      </c>
      <c r="B91" s="158" t="s">
        <v>78</v>
      </c>
      <c r="C91" s="159"/>
      <c r="D91" s="160">
        <v>0.82</v>
      </c>
      <c r="E91" s="161">
        <v>123611.925</v>
      </c>
      <c r="F91" s="161"/>
      <c r="G91" s="162">
        <f t="shared" si="14"/>
        <v>123611.925</v>
      </c>
      <c r="H91" s="162">
        <f t="shared" si="17"/>
        <v>3708.3577500000001</v>
      </c>
      <c r="I91" s="178">
        <f t="shared" si="15"/>
        <v>99011.925000000003</v>
      </c>
      <c r="J91" s="178">
        <f t="shared" si="16"/>
        <v>24600</v>
      </c>
      <c r="K91" s="163"/>
      <c r="L91" s="164">
        <f t="shared" si="18"/>
        <v>250932.78</v>
      </c>
      <c r="M91" s="193">
        <f t="shared" si="8"/>
        <v>258460.78</v>
      </c>
      <c r="N91" s="63">
        <f t="shared" si="7"/>
        <v>0.78000000000000047</v>
      </c>
    </row>
    <row r="92" spans="1:15" x14ac:dyDescent="0.25">
      <c r="A92" s="179">
        <f t="shared" si="9"/>
        <v>79</v>
      </c>
      <c r="B92" s="105" t="s">
        <v>79</v>
      </c>
      <c r="C92" s="104"/>
      <c r="D92" s="98">
        <v>0.82</v>
      </c>
      <c r="E92" s="99">
        <v>123612.79</v>
      </c>
      <c r="F92" s="100">
        <f>E92</f>
        <v>123612.79</v>
      </c>
      <c r="G92" s="101">
        <f t="shared" si="14"/>
        <v>0</v>
      </c>
      <c r="H92" s="101">
        <f t="shared" si="17"/>
        <v>0</v>
      </c>
      <c r="I92" s="174">
        <f t="shared" si="15"/>
        <v>99011.925000000003</v>
      </c>
      <c r="J92" s="174">
        <f t="shared" si="16"/>
        <v>24600</v>
      </c>
      <c r="K92" s="102"/>
      <c r="L92" s="103">
        <f t="shared" si="18"/>
        <v>123612.79</v>
      </c>
      <c r="M92" s="190">
        <f t="shared" si="8"/>
        <v>127320.79</v>
      </c>
      <c r="N92" s="63">
        <f t="shared" si="7"/>
        <v>0.79000000000000048</v>
      </c>
    </row>
    <row r="93" spans="1:15" x14ac:dyDescent="0.25">
      <c r="A93" s="179">
        <f t="shared" si="9"/>
        <v>80</v>
      </c>
      <c r="B93" s="105" t="s">
        <v>80</v>
      </c>
      <c r="C93" s="104"/>
      <c r="D93" s="98">
        <v>1.34</v>
      </c>
      <c r="E93" s="99">
        <v>410061.8</v>
      </c>
      <c r="F93" s="100">
        <v>220400.8</v>
      </c>
      <c r="G93" s="101">
        <f t="shared" si="14"/>
        <v>189661</v>
      </c>
      <c r="H93" s="101">
        <f t="shared" si="17"/>
        <v>5689.83</v>
      </c>
      <c r="I93" s="174">
        <f t="shared" si="15"/>
        <v>161799.97500000001</v>
      </c>
      <c r="J93" s="174">
        <f t="shared" si="16"/>
        <v>40200.000000000007</v>
      </c>
      <c r="K93" s="102"/>
      <c r="L93" s="103">
        <f t="shared" si="18"/>
        <v>397351.8</v>
      </c>
      <c r="M93" s="190">
        <f t="shared" si="8"/>
        <v>409272.8</v>
      </c>
      <c r="N93" s="63">
        <f t="shared" si="7"/>
        <v>0.80000000000000049</v>
      </c>
    </row>
    <row r="94" spans="1:15" x14ac:dyDescent="0.25">
      <c r="A94" s="180">
        <f t="shared" si="9"/>
        <v>81</v>
      </c>
      <c r="B94" s="120" t="s">
        <v>81</v>
      </c>
      <c r="C94" s="121"/>
      <c r="D94" s="114">
        <v>1.1200000000000001</v>
      </c>
      <c r="E94" s="115">
        <v>638725.81000000006</v>
      </c>
      <c r="F94" s="115">
        <v>250000</v>
      </c>
      <c r="G94" s="116">
        <f t="shared" si="14"/>
        <v>388725.81000000006</v>
      </c>
      <c r="H94" s="116">
        <f t="shared" si="17"/>
        <v>11661.774300000001</v>
      </c>
      <c r="I94" s="175">
        <f t="shared" si="15"/>
        <v>135235.80000000002</v>
      </c>
      <c r="J94" s="175">
        <f t="shared" si="16"/>
        <v>33600.000000000007</v>
      </c>
      <c r="K94" s="113"/>
      <c r="L94" s="117">
        <f t="shared" si="18"/>
        <v>569223.81000000006</v>
      </c>
      <c r="M94" s="191">
        <f t="shared" si="8"/>
        <v>586300.81000000006</v>
      </c>
      <c r="N94" s="63">
        <f t="shared" si="7"/>
        <v>0.8100000000000005</v>
      </c>
      <c r="O94" t="s">
        <v>232</v>
      </c>
    </row>
    <row r="95" spans="1:15" x14ac:dyDescent="0.25">
      <c r="A95" s="179">
        <f t="shared" si="9"/>
        <v>82</v>
      </c>
      <c r="B95" s="105" t="s">
        <v>82</v>
      </c>
      <c r="C95" s="104"/>
      <c r="D95" s="98">
        <v>1.17</v>
      </c>
      <c r="E95" s="99">
        <v>181664.82</v>
      </c>
      <c r="F95" s="100">
        <f>E95</f>
        <v>181664.82</v>
      </c>
      <c r="G95" s="101">
        <f t="shared" si="14"/>
        <v>0</v>
      </c>
      <c r="H95" s="101">
        <f t="shared" si="17"/>
        <v>0</v>
      </c>
      <c r="I95" s="174">
        <f t="shared" si="15"/>
        <v>141273.11249999999</v>
      </c>
      <c r="J95" s="174">
        <f t="shared" si="16"/>
        <v>35100</v>
      </c>
      <c r="K95" s="102"/>
      <c r="L95" s="103">
        <f t="shared" si="18"/>
        <v>176373.82</v>
      </c>
      <c r="M95" s="190">
        <f t="shared" si="8"/>
        <v>181664.82</v>
      </c>
      <c r="N95" s="63">
        <f t="shared" si="7"/>
        <v>0.82000000000000051</v>
      </c>
    </row>
    <row r="96" spans="1:15" x14ac:dyDescent="0.25">
      <c r="A96" s="181">
        <f t="shared" si="9"/>
        <v>83</v>
      </c>
      <c r="B96" s="149" t="s">
        <v>83</v>
      </c>
      <c r="C96" s="148"/>
      <c r="D96" s="144">
        <v>1.35</v>
      </c>
      <c r="E96" s="100">
        <v>191113.83</v>
      </c>
      <c r="F96" s="100">
        <f>RESUMEN!D55/2+196846.93</f>
        <v>469098.93</v>
      </c>
      <c r="G96" s="101">
        <f t="shared" si="14"/>
        <v>-277985.09999999998</v>
      </c>
      <c r="H96" s="101">
        <f t="shared" si="17"/>
        <v>0</v>
      </c>
      <c r="I96" s="174">
        <f t="shared" si="15"/>
        <v>163007.43750000003</v>
      </c>
      <c r="J96" s="174">
        <f t="shared" si="16"/>
        <v>40500.000000000007</v>
      </c>
      <c r="K96" s="102"/>
      <c r="L96" s="103">
        <f t="shared" si="18"/>
        <v>-74477.17</v>
      </c>
      <c r="M96" s="190">
        <f t="shared" si="8"/>
        <v>-76711.17</v>
      </c>
      <c r="N96" s="63">
        <f t="shared" si="7"/>
        <v>0.83000000000000052</v>
      </c>
    </row>
    <row r="97" spans="1:15" x14ac:dyDescent="0.25">
      <c r="A97" s="181">
        <f t="shared" si="9"/>
        <v>84</v>
      </c>
      <c r="B97" s="149" t="s">
        <v>84</v>
      </c>
      <c r="C97" s="148"/>
      <c r="D97" s="144">
        <v>1.1200000000000001</v>
      </c>
      <c r="E97" s="100">
        <v>449255.84</v>
      </c>
      <c r="F97" s="100">
        <f>RESUMEN!D55/2+168836.84</f>
        <v>441088.83999999997</v>
      </c>
      <c r="G97" s="101">
        <f t="shared" si="14"/>
        <v>8167.0000000000582</v>
      </c>
      <c r="H97" s="101">
        <f t="shared" si="17"/>
        <v>245.01000000000172</v>
      </c>
      <c r="I97" s="174">
        <f t="shared" si="15"/>
        <v>135235.80000000002</v>
      </c>
      <c r="J97" s="174">
        <f t="shared" si="16"/>
        <v>33600.000000000007</v>
      </c>
      <c r="K97" s="102"/>
      <c r="L97" s="103">
        <f t="shared" si="18"/>
        <v>177248.84</v>
      </c>
      <c r="M97" s="190">
        <f t="shared" si="8"/>
        <v>182565.84</v>
      </c>
      <c r="N97" s="63">
        <f t="shared" ref="N97:N116" si="19">N96+0.01</f>
        <v>0.84000000000000052</v>
      </c>
    </row>
    <row r="98" spans="1:15" x14ac:dyDescent="0.25">
      <c r="A98" s="179">
        <f t="shared" si="9"/>
        <v>85</v>
      </c>
      <c r="B98" s="105" t="s">
        <v>85</v>
      </c>
      <c r="C98" s="104"/>
      <c r="D98" s="98">
        <v>0.82</v>
      </c>
      <c r="E98" s="99">
        <v>123612.85</v>
      </c>
      <c r="F98" s="100">
        <f t="shared" ref="F98:F113" si="20">E98</f>
        <v>123612.85</v>
      </c>
      <c r="G98" s="101">
        <f t="shared" si="14"/>
        <v>0</v>
      </c>
      <c r="H98" s="101">
        <f t="shared" si="17"/>
        <v>0</v>
      </c>
      <c r="I98" s="174">
        <f t="shared" si="15"/>
        <v>99011.925000000003</v>
      </c>
      <c r="J98" s="174">
        <f t="shared" si="16"/>
        <v>24600</v>
      </c>
      <c r="K98" s="102"/>
      <c r="L98" s="103">
        <f t="shared" si="18"/>
        <v>123612.85</v>
      </c>
      <c r="M98" s="190">
        <f t="shared" si="8"/>
        <v>127320.85</v>
      </c>
      <c r="N98" s="63">
        <f t="shared" si="19"/>
        <v>0.85000000000000053</v>
      </c>
    </row>
    <row r="99" spans="1:15" x14ac:dyDescent="0.25">
      <c r="A99" s="179">
        <f t="shared" si="9"/>
        <v>86</v>
      </c>
      <c r="B99" s="105" t="s">
        <v>86</v>
      </c>
      <c r="C99" s="104"/>
      <c r="D99" s="98">
        <v>0.82</v>
      </c>
      <c r="E99" s="99">
        <v>123612.86</v>
      </c>
      <c r="F99" s="100">
        <f t="shared" si="20"/>
        <v>123612.86</v>
      </c>
      <c r="G99" s="101">
        <f t="shared" si="14"/>
        <v>0</v>
      </c>
      <c r="H99" s="101">
        <f t="shared" si="17"/>
        <v>0</v>
      </c>
      <c r="I99" s="174">
        <f t="shared" si="15"/>
        <v>99011.925000000003</v>
      </c>
      <c r="J99" s="174">
        <f t="shared" si="16"/>
        <v>24600</v>
      </c>
      <c r="K99" s="102"/>
      <c r="L99" s="103">
        <f t="shared" si="18"/>
        <v>123612.86</v>
      </c>
      <c r="M99" s="190">
        <f t="shared" ref="M99:M116" si="21">ROUND(L99*3%,0) + L99</f>
        <v>127320.86</v>
      </c>
      <c r="N99" s="63">
        <f t="shared" si="19"/>
        <v>0.86000000000000054</v>
      </c>
    </row>
    <row r="100" spans="1:15" x14ac:dyDescent="0.25">
      <c r="A100" s="179">
        <f t="shared" ref="A100:A116" si="22">A99+1</f>
        <v>87</v>
      </c>
      <c r="B100" s="105" t="s">
        <v>87</v>
      </c>
      <c r="C100" s="104"/>
      <c r="D100" s="98">
        <v>1.34</v>
      </c>
      <c r="E100" s="99">
        <v>195940.87</v>
      </c>
      <c r="F100" s="100">
        <v>201818.87</v>
      </c>
      <c r="G100" s="101">
        <f t="shared" si="14"/>
        <v>-5878</v>
      </c>
      <c r="H100" s="101">
        <f t="shared" si="17"/>
        <v>0</v>
      </c>
      <c r="I100" s="174">
        <f t="shared" si="15"/>
        <v>161799.97500000001</v>
      </c>
      <c r="J100" s="174">
        <f t="shared" si="16"/>
        <v>40200.000000000007</v>
      </c>
      <c r="K100" s="102"/>
      <c r="L100" s="103">
        <f t="shared" si="18"/>
        <v>196122.87</v>
      </c>
      <c r="M100" s="190">
        <f t="shared" si="21"/>
        <v>202006.87</v>
      </c>
      <c r="N100" s="63">
        <f t="shared" si="19"/>
        <v>0.87000000000000055</v>
      </c>
    </row>
    <row r="101" spans="1:15" x14ac:dyDescent="0.25">
      <c r="A101" s="179">
        <f t="shared" si="22"/>
        <v>88</v>
      </c>
      <c r="B101" s="105" t="s">
        <v>88</v>
      </c>
      <c r="C101" s="104"/>
      <c r="D101" s="98">
        <v>1.1200000000000001</v>
      </c>
      <c r="E101" s="99">
        <v>163771.88</v>
      </c>
      <c r="F101" s="100">
        <f>E101</f>
        <v>163771.88</v>
      </c>
      <c r="G101" s="101">
        <f t="shared" si="14"/>
        <v>0</v>
      </c>
      <c r="H101" s="101">
        <f t="shared" si="17"/>
        <v>0</v>
      </c>
      <c r="I101" s="174">
        <f t="shared" si="15"/>
        <v>135235.80000000002</v>
      </c>
      <c r="J101" s="174">
        <f t="shared" si="16"/>
        <v>33600.000000000007</v>
      </c>
      <c r="K101" s="102"/>
      <c r="L101" s="103">
        <f t="shared" si="18"/>
        <v>168836.88</v>
      </c>
      <c r="M101" s="190">
        <f t="shared" si="21"/>
        <v>173901.88</v>
      </c>
      <c r="N101" s="63">
        <f t="shared" si="19"/>
        <v>0.88000000000000056</v>
      </c>
    </row>
    <row r="102" spans="1:15" x14ac:dyDescent="0.25">
      <c r="A102" s="179">
        <f t="shared" si="22"/>
        <v>89</v>
      </c>
      <c r="B102" s="105" t="s">
        <v>89</v>
      </c>
      <c r="C102" s="104"/>
      <c r="D102" s="98">
        <v>1.17</v>
      </c>
      <c r="E102" s="99">
        <v>176373.89</v>
      </c>
      <c r="F102" s="100">
        <f t="shared" si="20"/>
        <v>176373.89</v>
      </c>
      <c r="G102" s="101">
        <f t="shared" si="14"/>
        <v>0</v>
      </c>
      <c r="H102" s="101">
        <f t="shared" si="17"/>
        <v>0</v>
      </c>
      <c r="I102" s="174">
        <f t="shared" si="15"/>
        <v>141273.11249999999</v>
      </c>
      <c r="J102" s="174">
        <f t="shared" si="16"/>
        <v>35100</v>
      </c>
      <c r="K102" s="102"/>
      <c r="L102" s="103">
        <f t="shared" si="18"/>
        <v>176373.89</v>
      </c>
      <c r="M102" s="190">
        <f t="shared" si="21"/>
        <v>181664.89</v>
      </c>
      <c r="N102" s="63">
        <f t="shared" si="19"/>
        <v>0.89000000000000057</v>
      </c>
    </row>
    <row r="103" spans="1:15" x14ac:dyDescent="0.25">
      <c r="A103" s="179">
        <f t="shared" si="22"/>
        <v>90</v>
      </c>
      <c r="B103" s="105" t="s">
        <v>90</v>
      </c>
      <c r="C103" s="104"/>
      <c r="D103" s="98">
        <v>0.1</v>
      </c>
      <c r="E103" s="99">
        <v>14623.9</v>
      </c>
      <c r="F103" s="100">
        <v>15062.9</v>
      </c>
      <c r="G103" s="101">
        <f t="shared" si="14"/>
        <v>-439</v>
      </c>
      <c r="H103" s="101">
        <f t="shared" si="17"/>
        <v>0</v>
      </c>
      <c r="I103" s="174">
        <f t="shared" si="15"/>
        <v>12074.625</v>
      </c>
      <c r="J103" s="174">
        <f t="shared" si="16"/>
        <v>3000</v>
      </c>
      <c r="K103" s="102"/>
      <c r="L103" s="103">
        <f t="shared" si="18"/>
        <v>14636.9</v>
      </c>
      <c r="M103" s="190">
        <f t="shared" si="21"/>
        <v>15075.9</v>
      </c>
      <c r="N103" s="63">
        <f t="shared" si="19"/>
        <v>0.90000000000000058</v>
      </c>
    </row>
    <row r="104" spans="1:15" x14ac:dyDescent="0.25">
      <c r="A104" s="179">
        <f t="shared" si="22"/>
        <v>91</v>
      </c>
      <c r="B104" s="105" t="s">
        <v>91</v>
      </c>
      <c r="C104" s="104"/>
      <c r="D104" s="98">
        <v>0.1</v>
      </c>
      <c r="E104" s="99">
        <v>31068.91</v>
      </c>
      <c r="F104" s="100">
        <v>15528.91</v>
      </c>
      <c r="G104" s="101">
        <f t="shared" si="14"/>
        <v>15540</v>
      </c>
      <c r="H104" s="101">
        <f t="shared" si="17"/>
        <v>466.2</v>
      </c>
      <c r="I104" s="174">
        <f t="shared" si="15"/>
        <v>12074.625</v>
      </c>
      <c r="J104" s="174">
        <f t="shared" si="16"/>
        <v>3000</v>
      </c>
      <c r="K104" s="102"/>
      <c r="L104" s="103">
        <f t="shared" si="18"/>
        <v>31081.91</v>
      </c>
      <c r="M104" s="190">
        <f t="shared" si="21"/>
        <v>32013.91</v>
      </c>
      <c r="N104" s="63">
        <f t="shared" si="19"/>
        <v>0.91000000000000059</v>
      </c>
    </row>
    <row r="105" spans="1:15" x14ac:dyDescent="0.25">
      <c r="A105" s="179">
        <f t="shared" si="22"/>
        <v>92</v>
      </c>
      <c r="B105" s="105" t="s">
        <v>92</v>
      </c>
      <c r="C105" s="104"/>
      <c r="D105" s="98">
        <v>0.1</v>
      </c>
      <c r="E105" s="99">
        <v>15527.92</v>
      </c>
      <c r="F105" s="100">
        <f t="shared" si="20"/>
        <v>15527.92</v>
      </c>
      <c r="G105" s="101">
        <f t="shared" si="14"/>
        <v>0</v>
      </c>
      <c r="H105" s="101">
        <f t="shared" si="17"/>
        <v>0</v>
      </c>
      <c r="I105" s="174">
        <f t="shared" si="15"/>
        <v>12074.625</v>
      </c>
      <c r="J105" s="174">
        <f t="shared" si="16"/>
        <v>3000</v>
      </c>
      <c r="K105" s="102"/>
      <c r="L105" s="103">
        <f t="shared" si="18"/>
        <v>15075.92</v>
      </c>
      <c r="M105" s="190">
        <f t="shared" si="21"/>
        <v>15527.92</v>
      </c>
      <c r="N105" s="63">
        <f t="shared" si="19"/>
        <v>0.9200000000000006</v>
      </c>
    </row>
    <row r="106" spans="1:15" x14ac:dyDescent="0.25">
      <c r="A106" s="181">
        <f t="shared" si="22"/>
        <v>93</v>
      </c>
      <c r="B106" s="149" t="s">
        <v>93</v>
      </c>
      <c r="C106" s="148"/>
      <c r="D106" s="144">
        <v>0.1</v>
      </c>
      <c r="E106" s="100">
        <v>15075.93</v>
      </c>
      <c r="F106" s="100">
        <f>E106</f>
        <v>15075.93</v>
      </c>
      <c r="G106" s="145">
        <f t="shared" si="14"/>
        <v>0</v>
      </c>
      <c r="H106" s="145">
        <f t="shared" si="17"/>
        <v>0</v>
      </c>
      <c r="I106" s="176">
        <f t="shared" si="15"/>
        <v>12074.625</v>
      </c>
      <c r="J106" s="176">
        <f t="shared" si="16"/>
        <v>3000</v>
      </c>
      <c r="K106" s="146"/>
      <c r="L106" s="103">
        <f t="shared" si="18"/>
        <v>15075.93</v>
      </c>
      <c r="M106" s="192">
        <f t="shared" si="21"/>
        <v>15527.93</v>
      </c>
      <c r="N106" s="63">
        <f t="shared" si="19"/>
        <v>0.9300000000000006</v>
      </c>
    </row>
    <row r="107" spans="1:15" x14ac:dyDescent="0.25">
      <c r="A107" s="181">
        <f t="shared" si="22"/>
        <v>94</v>
      </c>
      <c r="B107" s="149" t="s">
        <v>94</v>
      </c>
      <c r="C107" s="148"/>
      <c r="D107" s="144">
        <v>0.1</v>
      </c>
      <c r="E107" s="100">
        <v>15075.94</v>
      </c>
      <c r="F107" s="100">
        <f>E107</f>
        <v>15075.94</v>
      </c>
      <c r="G107" s="145">
        <f t="shared" si="14"/>
        <v>0</v>
      </c>
      <c r="H107" s="145">
        <f t="shared" si="17"/>
        <v>0</v>
      </c>
      <c r="I107" s="176">
        <f>J$2*D107/100</f>
        <v>12074.625</v>
      </c>
      <c r="J107" s="176">
        <f t="shared" si="16"/>
        <v>3000</v>
      </c>
      <c r="K107" s="146"/>
      <c r="L107" s="103">
        <f t="shared" si="18"/>
        <v>15075.94</v>
      </c>
      <c r="M107" s="192">
        <f t="shared" si="21"/>
        <v>15527.94</v>
      </c>
      <c r="N107" s="63">
        <f t="shared" si="19"/>
        <v>0.94000000000000061</v>
      </c>
    </row>
    <row r="108" spans="1:15" ht="24" customHeight="1" x14ac:dyDescent="0.25">
      <c r="A108" s="181">
        <f t="shared" si="22"/>
        <v>95</v>
      </c>
      <c r="B108" s="149" t="s">
        <v>179</v>
      </c>
      <c r="C108" s="148"/>
      <c r="D108" s="144">
        <v>0.1</v>
      </c>
      <c r="E108" s="100">
        <v>15075.95</v>
      </c>
      <c r="F108" s="100">
        <v>15527.95</v>
      </c>
      <c r="G108" s="145">
        <f t="shared" si="14"/>
        <v>-452</v>
      </c>
      <c r="H108" s="145">
        <f t="shared" si="17"/>
        <v>0</v>
      </c>
      <c r="I108" s="176">
        <f t="shared" si="15"/>
        <v>12074.625</v>
      </c>
      <c r="J108" s="176">
        <f t="shared" si="16"/>
        <v>3000</v>
      </c>
      <c r="K108" s="146"/>
      <c r="L108" s="103">
        <f t="shared" si="18"/>
        <v>14623.95</v>
      </c>
      <c r="M108" s="192">
        <f t="shared" si="21"/>
        <v>15062.95</v>
      </c>
      <c r="N108" s="63">
        <f t="shared" si="19"/>
        <v>0.95000000000000062</v>
      </c>
    </row>
    <row r="109" spans="1:15" x14ac:dyDescent="0.25">
      <c r="A109" s="181">
        <f t="shared" si="22"/>
        <v>96</v>
      </c>
      <c r="B109" s="149" t="s">
        <v>94</v>
      </c>
      <c r="C109" s="148"/>
      <c r="D109" s="144">
        <v>0.1</v>
      </c>
      <c r="E109" s="100">
        <v>15075.96</v>
      </c>
      <c r="F109" s="100">
        <f t="shared" si="20"/>
        <v>15075.96</v>
      </c>
      <c r="G109" s="145">
        <f t="shared" si="14"/>
        <v>0</v>
      </c>
      <c r="H109" s="145">
        <f t="shared" si="17"/>
        <v>0</v>
      </c>
      <c r="I109" s="176">
        <f t="shared" si="15"/>
        <v>12074.625</v>
      </c>
      <c r="J109" s="176">
        <f t="shared" si="16"/>
        <v>3000</v>
      </c>
      <c r="K109" s="146"/>
      <c r="L109" s="103">
        <f t="shared" si="18"/>
        <v>15075.96</v>
      </c>
      <c r="M109" s="192">
        <f t="shared" si="21"/>
        <v>15527.96</v>
      </c>
      <c r="N109" s="63">
        <f t="shared" si="19"/>
        <v>0.96000000000000063</v>
      </c>
      <c r="O109" t="s">
        <v>165</v>
      </c>
    </row>
    <row r="110" spans="1:15" x14ac:dyDescent="0.25">
      <c r="A110" s="181">
        <f t="shared" si="22"/>
        <v>97</v>
      </c>
      <c r="B110" s="149" t="s">
        <v>95</v>
      </c>
      <c r="C110" s="148"/>
      <c r="D110" s="144">
        <v>0.1</v>
      </c>
      <c r="E110" s="100">
        <v>15075.97</v>
      </c>
      <c r="F110" s="100">
        <f t="shared" si="20"/>
        <v>15075.97</v>
      </c>
      <c r="G110" s="145">
        <f t="shared" si="14"/>
        <v>0</v>
      </c>
      <c r="H110" s="145">
        <f t="shared" si="17"/>
        <v>0</v>
      </c>
      <c r="I110" s="176">
        <f t="shared" ref="I110:I116" si="23">J$2*D110/100</f>
        <v>12074.625</v>
      </c>
      <c r="J110" s="176">
        <f t="shared" ref="J110:J116" si="24">E$2*D110/100</f>
        <v>3000</v>
      </c>
      <c r="K110" s="146"/>
      <c r="L110" s="103">
        <f t="shared" si="18"/>
        <v>15075.97</v>
      </c>
      <c r="M110" s="192">
        <f t="shared" si="21"/>
        <v>15527.97</v>
      </c>
      <c r="N110" s="63">
        <f t="shared" si="19"/>
        <v>0.97000000000000064</v>
      </c>
    </row>
    <row r="111" spans="1:15" x14ac:dyDescent="0.25">
      <c r="A111" s="181">
        <f t="shared" si="22"/>
        <v>98</v>
      </c>
      <c r="B111" s="149" t="s">
        <v>96</v>
      </c>
      <c r="C111" s="148"/>
      <c r="D111" s="144">
        <v>0.1</v>
      </c>
      <c r="E111" s="100">
        <v>15075.98</v>
      </c>
      <c r="F111" s="100">
        <f t="shared" si="20"/>
        <v>15075.98</v>
      </c>
      <c r="G111" s="145">
        <f t="shared" si="14"/>
        <v>0</v>
      </c>
      <c r="H111" s="145">
        <f t="shared" si="17"/>
        <v>0</v>
      </c>
      <c r="I111" s="176">
        <f t="shared" si="23"/>
        <v>12074.625</v>
      </c>
      <c r="J111" s="176">
        <f t="shared" si="24"/>
        <v>3000</v>
      </c>
      <c r="K111" s="146"/>
      <c r="L111" s="103">
        <f t="shared" si="18"/>
        <v>15075.98</v>
      </c>
      <c r="M111" s="192">
        <f t="shared" si="21"/>
        <v>15527.98</v>
      </c>
      <c r="N111" s="63">
        <f t="shared" si="19"/>
        <v>0.98000000000000065</v>
      </c>
    </row>
    <row r="112" spans="1:15" x14ac:dyDescent="0.25">
      <c r="A112" s="181">
        <f t="shared" si="22"/>
        <v>99</v>
      </c>
      <c r="B112" s="149" t="s">
        <v>97</v>
      </c>
      <c r="C112" s="148"/>
      <c r="D112" s="144">
        <v>0.1</v>
      </c>
      <c r="E112" s="100">
        <v>14623.99</v>
      </c>
      <c r="F112" s="100">
        <v>15062.9</v>
      </c>
      <c r="G112" s="145">
        <f t="shared" si="14"/>
        <v>-438.90999999999985</v>
      </c>
      <c r="H112" s="145">
        <f t="shared" si="17"/>
        <v>0</v>
      </c>
      <c r="I112" s="176">
        <f t="shared" si="23"/>
        <v>12074.625</v>
      </c>
      <c r="J112" s="176">
        <f t="shared" si="24"/>
        <v>3000</v>
      </c>
      <c r="K112" s="146"/>
      <c r="L112" s="103">
        <f t="shared" si="18"/>
        <v>14636.99</v>
      </c>
      <c r="M112" s="192">
        <f t="shared" si="21"/>
        <v>15075.99</v>
      </c>
      <c r="N112" s="63">
        <f t="shared" si="19"/>
        <v>0.99000000000000066</v>
      </c>
    </row>
    <row r="113" spans="1:14" x14ac:dyDescent="0.25">
      <c r="A113" s="181">
        <f t="shared" si="22"/>
        <v>100</v>
      </c>
      <c r="B113" s="149" t="s">
        <v>98</v>
      </c>
      <c r="C113" s="148"/>
      <c r="D113" s="144">
        <v>0.1</v>
      </c>
      <c r="E113" s="100">
        <v>15076</v>
      </c>
      <c r="F113" s="100">
        <f t="shared" si="20"/>
        <v>15076</v>
      </c>
      <c r="G113" s="145">
        <f t="shared" si="14"/>
        <v>0</v>
      </c>
      <c r="H113" s="145">
        <f t="shared" si="17"/>
        <v>0</v>
      </c>
      <c r="I113" s="176">
        <f t="shared" si="23"/>
        <v>12074.625</v>
      </c>
      <c r="J113" s="176">
        <f t="shared" si="24"/>
        <v>3000</v>
      </c>
      <c r="K113" s="146"/>
      <c r="L113" s="103">
        <f t="shared" si="18"/>
        <v>15076</v>
      </c>
      <c r="M113" s="192">
        <f t="shared" si="21"/>
        <v>15528</v>
      </c>
      <c r="N113" s="63">
        <f t="shared" si="19"/>
        <v>1.0000000000000007</v>
      </c>
    </row>
    <row r="114" spans="1:14" x14ac:dyDescent="0.25">
      <c r="A114" s="181">
        <f t="shared" si="22"/>
        <v>101</v>
      </c>
      <c r="B114" s="142" t="s">
        <v>99</v>
      </c>
      <c r="C114" s="148"/>
      <c r="D114" s="144">
        <v>0.1</v>
      </c>
      <c r="E114" s="100">
        <v>15076.01</v>
      </c>
      <c r="F114" s="100">
        <f>E114</f>
        <v>15076.01</v>
      </c>
      <c r="G114" s="145">
        <f t="shared" si="14"/>
        <v>0</v>
      </c>
      <c r="H114" s="145">
        <f t="shared" si="17"/>
        <v>0</v>
      </c>
      <c r="I114" s="176">
        <f t="shared" si="23"/>
        <v>12074.625</v>
      </c>
      <c r="J114" s="176">
        <f t="shared" si="24"/>
        <v>3000</v>
      </c>
      <c r="K114" s="146"/>
      <c r="L114" s="103">
        <f t="shared" si="18"/>
        <v>15076.01</v>
      </c>
      <c r="M114" s="192">
        <f t="shared" si="21"/>
        <v>15528.01</v>
      </c>
      <c r="N114" s="63">
        <f t="shared" si="19"/>
        <v>1.0100000000000007</v>
      </c>
    </row>
    <row r="115" spans="1:14" x14ac:dyDescent="0.25">
      <c r="A115" s="181">
        <f t="shared" si="22"/>
        <v>102</v>
      </c>
      <c r="B115" s="142" t="s">
        <v>100</v>
      </c>
      <c r="C115" s="148"/>
      <c r="D115" s="144">
        <v>0.1</v>
      </c>
      <c r="E115" s="100">
        <v>15542.02</v>
      </c>
      <c r="F115" s="100">
        <f>E115</f>
        <v>15542.02</v>
      </c>
      <c r="G115" s="145">
        <f t="shared" si="14"/>
        <v>0</v>
      </c>
      <c r="H115" s="145">
        <f t="shared" si="17"/>
        <v>0</v>
      </c>
      <c r="I115" s="176">
        <f t="shared" si="23"/>
        <v>12074.625</v>
      </c>
      <c r="J115" s="176">
        <f t="shared" si="24"/>
        <v>3000</v>
      </c>
      <c r="K115" s="146"/>
      <c r="L115" s="103">
        <f t="shared" si="18"/>
        <v>15076.02</v>
      </c>
      <c r="M115" s="192">
        <f t="shared" si="21"/>
        <v>15528.02</v>
      </c>
      <c r="N115" s="63">
        <f t="shared" si="19"/>
        <v>1.0200000000000007</v>
      </c>
    </row>
    <row r="116" spans="1:14" ht="22.5" x14ac:dyDescent="0.25">
      <c r="A116" s="181">
        <f t="shared" si="22"/>
        <v>103</v>
      </c>
      <c r="B116" s="149" t="s">
        <v>179</v>
      </c>
      <c r="C116" s="148"/>
      <c r="D116" s="144">
        <v>0.1</v>
      </c>
      <c r="E116" s="100">
        <v>14624.03</v>
      </c>
      <c r="F116" s="100">
        <f>E116</f>
        <v>14624.03</v>
      </c>
      <c r="G116" s="145">
        <f t="shared" si="14"/>
        <v>0</v>
      </c>
      <c r="H116" s="145">
        <f t="shared" si="17"/>
        <v>0</v>
      </c>
      <c r="I116" s="176">
        <f t="shared" si="23"/>
        <v>12074.625</v>
      </c>
      <c r="J116" s="176">
        <f t="shared" si="24"/>
        <v>3000</v>
      </c>
      <c r="K116" s="146"/>
      <c r="L116" s="103">
        <f t="shared" si="18"/>
        <v>15076.03</v>
      </c>
      <c r="M116" s="192">
        <f t="shared" si="21"/>
        <v>15528.03</v>
      </c>
      <c r="N116" s="63">
        <f t="shared" si="19"/>
        <v>1.0300000000000007</v>
      </c>
    </row>
    <row r="117" spans="1:14" x14ac:dyDescent="0.25">
      <c r="A117" s="181"/>
      <c r="B117" s="142"/>
      <c r="C117" s="148"/>
      <c r="D117" s="144"/>
      <c r="E117" s="100"/>
      <c r="F117" s="100"/>
      <c r="G117" s="145"/>
      <c r="H117" s="145"/>
      <c r="I117" s="176"/>
      <c r="J117" s="176"/>
      <c r="K117" s="146"/>
      <c r="L117" s="147"/>
      <c r="M117" s="192"/>
      <c r="N117" s="63"/>
    </row>
    <row r="118" spans="1:14" ht="17.100000000000001" customHeight="1" thickBot="1" x14ac:dyDescent="0.3">
      <c r="A118" s="183"/>
      <c r="B118" s="184"/>
      <c r="C118" s="184"/>
      <c r="D118" s="185">
        <f t="shared" ref="D118:M118" si="25">SUM(D14:D117)</f>
        <v>100.15999999999993</v>
      </c>
      <c r="E118" s="186">
        <f t="shared" si="25"/>
        <v>32859172.487500001</v>
      </c>
      <c r="F118" s="187">
        <f>SUM(F14:F117)</f>
        <v>14531886.810000001</v>
      </c>
      <c r="G118" s="187">
        <f t="shared" si="25"/>
        <v>18327285.677499998</v>
      </c>
      <c r="H118" s="187">
        <f t="shared" si="25"/>
        <v>560995.356225</v>
      </c>
      <c r="I118" s="188">
        <f t="shared" si="25"/>
        <v>12093944.400000006</v>
      </c>
      <c r="J118" s="187">
        <f t="shared" si="25"/>
        <v>3004800</v>
      </c>
      <c r="K118" s="189"/>
      <c r="L118" s="197">
        <f t="shared" si="25"/>
        <v>34037080.560000002</v>
      </c>
      <c r="M118" s="194">
        <f t="shared" si="25"/>
        <v>35058186.560000002</v>
      </c>
    </row>
    <row r="119" spans="1:14" ht="12.75" customHeight="1" x14ac:dyDescent="0.25">
      <c r="B119" s="106"/>
      <c r="C119" s="106"/>
    </row>
    <row r="120" spans="1:14" hidden="1" x14ac:dyDescent="0.25"/>
    <row r="121" spans="1:14" ht="9" customHeight="1" x14ac:dyDescent="0.25">
      <c r="B121" s="239" t="s">
        <v>105</v>
      </c>
      <c r="C121" s="239"/>
      <c r="D121" s="239"/>
      <c r="E121" s="239"/>
      <c r="F121" s="239"/>
      <c r="G121" s="239"/>
      <c r="H121" s="239"/>
      <c r="I121" s="239"/>
      <c r="J121" s="239"/>
      <c r="K121" s="239"/>
      <c r="L121" s="239"/>
    </row>
    <row r="122" spans="1:14" ht="12" hidden="1" customHeight="1" x14ac:dyDescent="0.25">
      <c r="B122" s="239"/>
      <c r="C122" s="239"/>
      <c r="D122" s="239"/>
      <c r="E122" s="239"/>
      <c r="F122" s="239"/>
      <c r="G122" s="239"/>
      <c r="H122" s="239"/>
      <c r="I122" s="239"/>
      <c r="J122" s="239"/>
      <c r="K122" s="239"/>
      <c r="L122" s="239"/>
    </row>
    <row r="123" spans="1:14" ht="12" hidden="1" customHeight="1" x14ac:dyDescent="0.25">
      <c r="B123" s="239"/>
      <c r="C123" s="239"/>
      <c r="D123" s="239"/>
      <c r="E123" s="239"/>
      <c r="F123" s="239"/>
      <c r="G123" s="239"/>
      <c r="H123" s="239"/>
      <c r="I123" s="239"/>
      <c r="J123" s="239"/>
      <c r="K123" s="239"/>
      <c r="L123" s="239"/>
    </row>
    <row r="124" spans="1:14" ht="12" hidden="1" customHeight="1" x14ac:dyDescent="0.25">
      <c r="B124" s="239"/>
      <c r="C124" s="239"/>
      <c r="D124" s="239"/>
      <c r="E124" s="239"/>
      <c r="F124" s="239"/>
      <c r="G124" s="239"/>
      <c r="H124" s="239"/>
      <c r="I124" s="239"/>
      <c r="J124" s="239"/>
      <c r="K124" s="239"/>
      <c r="L124" s="239"/>
    </row>
    <row r="125" spans="1:14" ht="12" hidden="1" customHeight="1" x14ac:dyDescent="0.25">
      <c r="B125" s="239"/>
      <c r="C125" s="239"/>
      <c r="D125" s="239"/>
      <c r="E125" s="239"/>
      <c r="F125" s="239"/>
      <c r="G125" s="239"/>
      <c r="H125" s="239"/>
      <c r="I125" s="239"/>
      <c r="J125" s="239"/>
      <c r="K125" s="239"/>
      <c r="L125" s="239"/>
    </row>
    <row r="126" spans="1:14" ht="67.5" customHeight="1" x14ac:dyDescent="0.25">
      <c r="B126" s="239"/>
      <c r="C126" s="239"/>
      <c r="D126" s="239"/>
      <c r="E126" s="239"/>
      <c r="F126" s="239"/>
      <c r="G126" s="239"/>
      <c r="H126" s="239"/>
      <c r="I126" s="239"/>
      <c r="J126" s="239"/>
      <c r="K126" s="239"/>
      <c r="L126" s="239"/>
    </row>
  </sheetData>
  <mergeCells count="19">
    <mergeCell ref="A9:M9"/>
    <mergeCell ref="D1:L1"/>
    <mergeCell ref="A4:M8"/>
    <mergeCell ref="A12:A13"/>
    <mergeCell ref="B12:B13"/>
    <mergeCell ref="C12:C13"/>
    <mergeCell ref="D12:D13"/>
    <mergeCell ref="E12:E13"/>
    <mergeCell ref="F12:F13"/>
    <mergeCell ref="G12:G13"/>
    <mergeCell ref="H12:H13"/>
    <mergeCell ref="A10:M10"/>
    <mergeCell ref="A11:M11"/>
    <mergeCell ref="E2:F2"/>
    <mergeCell ref="I12:I13"/>
    <mergeCell ref="K12:K13"/>
    <mergeCell ref="J12:J13"/>
    <mergeCell ref="M12:M13"/>
    <mergeCell ref="B121:L126"/>
  </mergeCells>
  <pageMargins left="0.23622047244094491" right="0.23622047244094491" top="0.74803149606299213" bottom="0.74803149606299213" header="0.31496062992125984" footer="0.31496062992125984"/>
  <pageSetup paperSize="3" scale="85"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D35F41-74CB-4294-A7A2-EC3C67574818}">
  <dimension ref="C4:C25"/>
  <sheetViews>
    <sheetView zoomScaleNormal="100" workbookViewId="0">
      <selection activeCell="G17" sqref="G17"/>
    </sheetView>
  </sheetViews>
  <sheetFormatPr baseColWidth="10" defaultColWidth="10.85546875" defaultRowHeight="15" x14ac:dyDescent="0.25"/>
  <cols>
    <col min="3" max="3" width="12.7109375" bestFit="1" customWidth="1"/>
  </cols>
  <sheetData>
    <row r="4" spans="3:3" x14ac:dyDescent="0.25">
      <c r="C4" s="204" t="s">
        <v>265</v>
      </c>
    </row>
    <row r="5" spans="3:3" ht="18.75" customHeight="1" x14ac:dyDescent="0.25"/>
    <row r="7" spans="3:3" x14ac:dyDescent="0.25">
      <c r="C7" s="213" t="s">
        <v>275</v>
      </c>
    </row>
    <row r="10" spans="3:3" x14ac:dyDescent="0.25">
      <c r="C10" s="216" t="s">
        <v>276</v>
      </c>
    </row>
    <row r="12" spans="3:3" x14ac:dyDescent="0.25">
      <c r="C12" s="217" t="s">
        <v>277</v>
      </c>
    </row>
    <row r="25" ht="117" customHeight="1" x14ac:dyDescent="0.25"/>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895585-CAB1-4A86-BA25-20A34A9B436A}">
  <dimension ref="C4:O21"/>
  <sheetViews>
    <sheetView workbookViewId="0">
      <selection activeCell="C22" sqref="C22"/>
    </sheetView>
  </sheetViews>
  <sheetFormatPr baseColWidth="10" defaultRowHeight="15" x14ac:dyDescent="0.25"/>
  <cols>
    <col min="3" max="3" width="12.7109375" bestFit="1" customWidth="1"/>
    <col min="6" max="6" width="12.7109375" bestFit="1" customWidth="1"/>
    <col min="8" max="8" width="12.7109375" bestFit="1" customWidth="1"/>
    <col min="10" max="10" width="12.7109375" bestFit="1" customWidth="1"/>
    <col min="11" max="11" width="14.85546875" customWidth="1"/>
    <col min="13" max="13" width="12.7109375" bestFit="1" customWidth="1"/>
  </cols>
  <sheetData>
    <row r="4" spans="3:15" x14ac:dyDescent="0.25">
      <c r="C4" s="266" t="s">
        <v>256</v>
      </c>
      <c r="D4" s="266"/>
      <c r="E4" s="201"/>
      <c r="F4" s="199" t="s">
        <v>257</v>
      </c>
      <c r="H4" t="s">
        <v>258</v>
      </c>
      <c r="J4" s="268" t="s">
        <v>260</v>
      </c>
      <c r="K4" s="268"/>
    </row>
    <row r="5" spans="3:15" x14ac:dyDescent="0.25">
      <c r="C5" s="267">
        <v>168835.53000000003</v>
      </c>
      <c r="D5" s="267"/>
      <c r="E5" s="202"/>
      <c r="F5" s="200">
        <f>C5</f>
        <v>168835.53000000003</v>
      </c>
      <c r="H5" s="80">
        <v>0</v>
      </c>
      <c r="J5" s="269">
        <f>F5</f>
        <v>168835.53000000003</v>
      </c>
      <c r="K5" s="269"/>
    </row>
    <row r="7" spans="3:15" x14ac:dyDescent="0.25">
      <c r="M7" s="272" t="s">
        <v>262</v>
      </c>
      <c r="N7" s="272"/>
      <c r="O7" s="272"/>
    </row>
    <row r="8" spans="3:15" x14ac:dyDescent="0.25">
      <c r="C8" t="s">
        <v>259</v>
      </c>
      <c r="F8" s="199" t="s">
        <v>257</v>
      </c>
      <c r="H8" t="s">
        <v>258</v>
      </c>
      <c r="J8" s="268" t="s">
        <v>261</v>
      </c>
      <c r="K8" s="268"/>
      <c r="M8" s="272"/>
      <c r="N8" s="272"/>
      <c r="O8" s="272"/>
    </row>
    <row r="9" spans="3:15" x14ac:dyDescent="0.25">
      <c r="C9" s="267">
        <v>168836.53</v>
      </c>
      <c r="D9" s="267"/>
      <c r="F9" s="80">
        <v>0</v>
      </c>
      <c r="H9" s="80">
        <f>C9-F9</f>
        <v>168836.53</v>
      </c>
      <c r="J9" s="267">
        <f>33600+135235.8</f>
        <v>168835.8</v>
      </c>
      <c r="K9" s="267"/>
      <c r="M9" s="271">
        <v>300737.53000000003</v>
      </c>
      <c r="N9" s="271"/>
      <c r="O9" s="271"/>
    </row>
    <row r="10" spans="3:15" ht="15.75" thickBot="1" x14ac:dyDescent="0.3">
      <c r="C10" s="202"/>
      <c r="D10" s="202"/>
      <c r="F10" s="80"/>
      <c r="H10" s="80"/>
      <c r="J10" s="202"/>
      <c r="K10" s="202"/>
      <c r="M10" s="203"/>
      <c r="N10" s="203"/>
      <c r="O10" s="203"/>
    </row>
    <row r="11" spans="3:15" x14ac:dyDescent="0.25">
      <c r="M11" s="276" t="s">
        <v>262</v>
      </c>
      <c r="N11" s="277"/>
      <c r="O11" s="278"/>
    </row>
    <row r="12" spans="3:15" x14ac:dyDescent="0.25">
      <c r="C12" t="s">
        <v>263</v>
      </c>
      <c r="F12" s="199" t="s">
        <v>257</v>
      </c>
      <c r="H12" t="s">
        <v>258</v>
      </c>
      <c r="J12" s="268" t="s">
        <v>264</v>
      </c>
      <c r="K12" s="268"/>
      <c r="M12" s="279"/>
      <c r="N12" s="280"/>
      <c r="O12" s="281"/>
    </row>
    <row r="13" spans="3:15" ht="15.75" thickBot="1" x14ac:dyDescent="0.3">
      <c r="C13" s="267">
        <f>M9</f>
        <v>300737.53000000003</v>
      </c>
      <c r="D13" s="267"/>
      <c r="F13" s="80">
        <v>98556.53</v>
      </c>
      <c r="H13" s="80">
        <f>C13-F13</f>
        <v>202181.00000000003</v>
      </c>
      <c r="J13" s="267">
        <f>33600+135235.8</f>
        <v>168835.8</v>
      </c>
      <c r="K13" s="267"/>
      <c r="M13" s="273">
        <f>J13+H13-0.27</f>
        <v>371016.53</v>
      </c>
      <c r="N13" s="274"/>
      <c r="O13" s="275"/>
    </row>
    <row r="15" spans="3:15" x14ac:dyDescent="0.25">
      <c r="C15" s="270" t="s">
        <v>266</v>
      </c>
      <c r="D15" s="270"/>
      <c r="E15" s="270"/>
      <c r="F15" s="270"/>
      <c r="G15" s="270"/>
      <c r="H15" s="270"/>
      <c r="I15" s="270"/>
      <c r="J15" s="270"/>
      <c r="K15" s="270"/>
      <c r="L15" s="270"/>
      <c r="M15" s="270"/>
      <c r="N15" s="270"/>
      <c r="O15" s="270"/>
    </row>
    <row r="16" spans="3:15" x14ac:dyDescent="0.25">
      <c r="C16" s="270"/>
      <c r="D16" s="270"/>
      <c r="E16" s="270"/>
      <c r="F16" s="270"/>
      <c r="G16" s="270"/>
      <c r="H16" s="270"/>
      <c r="I16" s="270"/>
      <c r="J16" s="270"/>
      <c r="K16" s="270"/>
      <c r="L16" s="270"/>
      <c r="M16" s="270"/>
      <c r="N16" s="270"/>
      <c r="O16" s="270"/>
    </row>
    <row r="17" spans="3:15" x14ac:dyDescent="0.25">
      <c r="C17" s="270"/>
      <c r="D17" s="270"/>
      <c r="E17" s="270"/>
      <c r="F17" s="270"/>
      <c r="G17" s="270"/>
      <c r="H17" s="270"/>
      <c r="I17" s="270"/>
      <c r="J17" s="270"/>
      <c r="K17" s="270"/>
      <c r="L17" s="270"/>
      <c r="M17" s="270"/>
      <c r="N17" s="270"/>
      <c r="O17" s="270"/>
    </row>
    <row r="18" spans="3:15" x14ac:dyDescent="0.25">
      <c r="C18" s="270"/>
      <c r="D18" s="270"/>
      <c r="E18" s="270"/>
      <c r="F18" s="270"/>
      <c r="G18" s="270"/>
      <c r="H18" s="270"/>
      <c r="I18" s="270"/>
      <c r="J18" s="270"/>
      <c r="K18" s="270"/>
      <c r="L18" s="270"/>
      <c r="M18" s="270"/>
      <c r="N18" s="270"/>
      <c r="O18" s="270"/>
    </row>
    <row r="19" spans="3:15" x14ac:dyDescent="0.25">
      <c r="C19" s="270"/>
      <c r="D19" s="270"/>
      <c r="E19" s="270"/>
      <c r="F19" s="270"/>
      <c r="G19" s="270"/>
      <c r="H19" s="270"/>
      <c r="I19" s="270"/>
      <c r="J19" s="270"/>
      <c r="K19" s="270"/>
      <c r="L19" s="270"/>
      <c r="M19" s="270"/>
      <c r="N19" s="270"/>
      <c r="O19" s="270"/>
    </row>
    <row r="20" spans="3:15" x14ac:dyDescent="0.25">
      <c r="C20" s="270"/>
      <c r="D20" s="270"/>
      <c r="E20" s="270"/>
      <c r="F20" s="270"/>
      <c r="G20" s="270"/>
      <c r="H20" s="270"/>
      <c r="I20" s="270"/>
      <c r="J20" s="270"/>
      <c r="K20" s="270"/>
      <c r="L20" s="270"/>
      <c r="M20" s="270"/>
      <c r="N20" s="270"/>
      <c r="O20" s="270"/>
    </row>
    <row r="21" spans="3:15" x14ac:dyDescent="0.25">
      <c r="C21" s="270"/>
      <c r="D21" s="270"/>
      <c r="E21" s="270"/>
      <c r="F21" s="270"/>
      <c r="G21" s="270"/>
      <c r="H21" s="270"/>
      <c r="I21" s="270"/>
      <c r="J21" s="270"/>
      <c r="K21" s="270"/>
      <c r="L21" s="270"/>
      <c r="M21" s="270"/>
      <c r="N21" s="270"/>
      <c r="O21" s="270"/>
    </row>
  </sheetData>
  <mergeCells count="15">
    <mergeCell ref="C15:O21"/>
    <mergeCell ref="M9:O9"/>
    <mergeCell ref="M7:O8"/>
    <mergeCell ref="C9:D9"/>
    <mergeCell ref="C13:D13"/>
    <mergeCell ref="J12:K12"/>
    <mergeCell ref="J13:K13"/>
    <mergeCell ref="M13:O13"/>
    <mergeCell ref="M11:O12"/>
    <mergeCell ref="J9:K9"/>
    <mergeCell ref="C4:D4"/>
    <mergeCell ref="C5:D5"/>
    <mergeCell ref="J4:K4"/>
    <mergeCell ref="J5:K5"/>
    <mergeCell ref="J8:K8"/>
  </mergeCells>
  <pageMargins left="0.23622047244094491" right="0.23622047244094491" top="0.74803149606299213" bottom="0.74803149606299213" header="0.31496062992125984" footer="0.31496062992125984"/>
  <pageSetup paperSize="3" scale="125"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DC61AA-F548-49A9-A9B8-49FB942F95D7}">
  <dimension ref="D4:N13"/>
  <sheetViews>
    <sheetView workbookViewId="0">
      <selection activeCell="D4" sqref="D4:N13"/>
    </sheetView>
  </sheetViews>
  <sheetFormatPr baseColWidth="10" defaultRowHeight="15" x14ac:dyDescent="0.25"/>
  <cols>
    <col min="3" max="7" width="12.7109375" bestFit="1" customWidth="1"/>
    <col min="8" max="8" width="11.7109375" bestFit="1" customWidth="1"/>
    <col min="9" max="9" width="14.28515625" customWidth="1"/>
    <col min="11" max="11" width="15.28515625" customWidth="1"/>
  </cols>
  <sheetData>
    <row r="4" spans="4:14" x14ac:dyDescent="0.25">
      <c r="D4" t="s">
        <v>267</v>
      </c>
      <c r="F4" s="80">
        <v>843306.42</v>
      </c>
      <c r="G4" s="282" t="s">
        <v>273</v>
      </c>
      <c r="H4" s="282"/>
      <c r="I4" s="282"/>
      <c r="J4" s="282"/>
      <c r="K4" s="282"/>
      <c r="L4" s="282"/>
      <c r="M4" s="282"/>
      <c r="N4" s="282"/>
    </row>
    <row r="5" spans="4:14" x14ac:dyDescent="0.25">
      <c r="D5" t="s">
        <v>268</v>
      </c>
      <c r="F5" s="208">
        <v>-68000</v>
      </c>
      <c r="G5" s="282"/>
      <c r="H5" s="282"/>
      <c r="I5" s="282"/>
      <c r="J5" s="282"/>
      <c r="K5" s="282"/>
      <c r="L5" s="282"/>
      <c r="M5" s="282"/>
      <c r="N5" s="282"/>
    </row>
    <row r="6" spans="4:14" x14ac:dyDescent="0.25">
      <c r="D6" t="s">
        <v>269</v>
      </c>
      <c r="F6" s="63">
        <f>F4+F5</f>
        <v>775306.42</v>
      </c>
      <c r="G6" s="282"/>
      <c r="H6" s="282"/>
      <c r="I6" s="282"/>
      <c r="J6" s="282"/>
      <c r="K6" s="282"/>
      <c r="L6" s="282"/>
      <c r="M6" s="282"/>
      <c r="N6" s="282"/>
    </row>
    <row r="7" spans="4:14" x14ac:dyDescent="0.25">
      <c r="G7" s="282"/>
      <c r="H7" s="282"/>
      <c r="I7" s="282"/>
      <c r="J7" s="282"/>
      <c r="K7" s="282"/>
      <c r="L7" s="282"/>
      <c r="M7" s="282"/>
      <c r="N7" s="282"/>
    </row>
    <row r="8" spans="4:14" x14ac:dyDescent="0.25">
      <c r="D8" t="s">
        <v>270</v>
      </c>
      <c r="F8" s="80">
        <v>135235.80000000002</v>
      </c>
    </row>
    <row r="9" spans="4:14" x14ac:dyDescent="0.25">
      <c r="D9" t="s">
        <v>271</v>
      </c>
      <c r="F9" s="80">
        <v>33600.000000000007</v>
      </c>
    </row>
    <row r="11" spans="4:14" x14ac:dyDescent="0.25">
      <c r="D11" s="1" t="s">
        <v>272</v>
      </c>
      <c r="E11" s="1"/>
      <c r="F11" s="207">
        <f>F6+F8+F9</f>
        <v>944142.22000000009</v>
      </c>
    </row>
    <row r="13" spans="4:14" x14ac:dyDescent="0.25">
      <c r="D13" s="283" t="s">
        <v>274</v>
      </c>
      <c r="E13" s="283"/>
      <c r="F13" s="283"/>
      <c r="G13" s="283"/>
    </row>
  </sheetData>
  <mergeCells count="2">
    <mergeCell ref="G4:N7"/>
    <mergeCell ref="D13:G13"/>
  </mergeCells>
  <pageMargins left="0.23622047244094491" right="0.23622047244094491" top="0.74803149606299213" bottom="0.74803149606299213" header="0.31496062992125984" footer="0.31496062992125984"/>
  <pageSetup paperSize="9" scale="110"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5</vt:i4>
      </vt:variant>
      <vt:variant>
        <vt:lpstr>Rangos con nombre</vt:lpstr>
      </vt:variant>
      <vt:variant>
        <vt:i4>4</vt:i4>
      </vt:variant>
    </vt:vector>
  </HeadingPairs>
  <TitlesOfParts>
    <vt:vector size="9" baseType="lpstr">
      <vt:lpstr>RESUMEN</vt:lpstr>
      <vt:lpstr>PRORRATEO</vt:lpstr>
      <vt:lpstr>ANOTACIONES</vt:lpstr>
      <vt:lpstr>7F SITUACION</vt:lpstr>
      <vt:lpstr>SITUACION 6B</vt:lpstr>
      <vt:lpstr>'7F SITUACION'!Área_de_impresión</vt:lpstr>
      <vt:lpstr>PRORRATEO!Área_de_impresión</vt:lpstr>
      <vt:lpstr>RESUMEN!Área_de_impresión</vt:lpstr>
      <vt:lpstr>'SITUACION 6B'!Área_de_impresión</vt:lpstr>
    </vt:vector>
  </TitlesOfParts>
  <Compan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c:creator>
  <cp:lastModifiedBy>Sistemax</cp:lastModifiedBy>
  <cp:lastPrinted>2026-03-09T17:21:26Z</cp:lastPrinted>
  <dcterms:created xsi:type="dcterms:W3CDTF">2016-01-12T20:02:43Z</dcterms:created>
  <dcterms:modified xsi:type="dcterms:W3CDTF">2026-10-12T16:31:33Z</dcterms:modified>
</cp:coreProperties>
</file>