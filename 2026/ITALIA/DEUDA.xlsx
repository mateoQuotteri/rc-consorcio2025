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ITALIA\"/>
    </mc:Choice>
  </mc:AlternateContent>
  <xr:revisionPtr revIDLastSave="0" documentId="13_ncr:1_{B9C462C9-DDE9-4260-ADBB-D7FBE511E2F9}" xr6:coauthVersionLast="47" xr6:coauthVersionMax="47" xr10:uidLastSave="{00000000-0000-0000-0000-000000000000}"/>
  <bookViews>
    <workbookView xWindow="-108" yWindow="-108" windowWidth="23256" windowHeight="12576" xr2:uid="{AB712B87-EA72-44FF-AFA5-F00D60C9E28B}"/>
  </bookViews>
  <sheets>
    <sheet name="Hoja1" sheetId="1" r:id="rId1"/>
  </sheets>
  <definedNames>
    <definedName name="_xlnm.Print_Area" localSheetId="0">Hoja1!$C$1:$M$77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1" i="1" l="1"/>
  <c r="M71" i="1" s="1"/>
  <c r="K68" i="1" l="1"/>
  <c r="M68" i="1" s="1"/>
  <c r="K65" i="1"/>
  <c r="M65" i="1" s="1"/>
  <c r="K62" i="1" l="1"/>
  <c r="M62" i="1" s="1"/>
  <c r="K59" i="1"/>
  <c r="M59" i="1" s="1"/>
  <c r="K56" i="1" l="1"/>
  <c r="M56" i="1" s="1"/>
  <c r="K53" i="1" l="1"/>
  <c r="M53" i="1" s="1"/>
  <c r="K50" i="1"/>
  <c r="M50" i="1" s="1"/>
  <c r="K47" i="1"/>
  <c r="M47" i="1" s="1"/>
  <c r="K44" i="1"/>
  <c r="M44" i="1" s="1"/>
  <c r="K41" i="1"/>
  <c r="M41" i="1" s="1"/>
  <c r="K38" i="1"/>
  <c r="M38" i="1" s="1"/>
  <c r="K35" i="1"/>
  <c r="M35" i="1" s="1"/>
  <c r="K32" i="1"/>
  <c r="M32" i="1" s="1"/>
  <c r="K29" i="1"/>
  <c r="M29" i="1" s="1"/>
  <c r="K26" i="1"/>
  <c r="M26" i="1" s="1"/>
  <c r="K23" i="1"/>
  <c r="M23" i="1" s="1"/>
  <c r="K20" i="1"/>
  <c r="M20" i="1" s="1"/>
  <c r="K17" i="1"/>
  <c r="M17" i="1" s="1"/>
  <c r="K14" i="1"/>
  <c r="M14" i="1" s="1"/>
  <c r="K11" i="1"/>
  <c r="M11" i="1" s="1"/>
  <c r="K8" i="1"/>
  <c r="M8" i="1" s="1"/>
  <c r="K5" i="1"/>
  <c r="K75" i="1" l="1"/>
  <c r="M5" i="1"/>
  <c r="M75" i="1" s="1"/>
  <c r="K77" i="1" l="1"/>
</calcChain>
</file>

<file path=xl/sharedStrings.xml><?xml version="1.0" encoding="utf-8"?>
<sst xmlns="http://schemas.openxmlformats.org/spreadsheetml/2006/main" count="144" uniqueCount="38">
  <si>
    <t>Deuda al 03 de Julio de 2024</t>
  </si>
  <si>
    <t>SITUACION UF 68</t>
  </si>
  <si>
    <t>Julio del 2024</t>
  </si>
  <si>
    <t>Agosto del 2024</t>
  </si>
  <si>
    <t>Septiembre del 2024</t>
  </si>
  <si>
    <t>Octubre del 2024</t>
  </si>
  <si>
    <t>Expensas A</t>
  </si>
  <si>
    <t>Expensas B</t>
  </si>
  <si>
    <t>Dif AySa</t>
  </si>
  <si>
    <t>Noviembre del 2024</t>
  </si>
  <si>
    <t>Diciembre del 2024</t>
  </si>
  <si>
    <t>Recaudacion AySa</t>
  </si>
  <si>
    <t>G. Particulares</t>
  </si>
  <si>
    <t>Enero del 2025</t>
  </si>
  <si>
    <t>Febrero del 2025</t>
  </si>
  <si>
    <t>Marzo del 2025</t>
  </si>
  <si>
    <t>Abril del 2025</t>
  </si>
  <si>
    <t>Mayo del 2025</t>
  </si>
  <si>
    <t>Junio del 2025</t>
  </si>
  <si>
    <t>Julio del 2025</t>
  </si>
  <si>
    <t>Agosto del 2025</t>
  </si>
  <si>
    <t>Septiembre del 2025</t>
  </si>
  <si>
    <t>Octubre del 2025</t>
  </si>
  <si>
    <t>Noviembre del 2025</t>
  </si>
  <si>
    <t>Diciembre del 2025</t>
  </si>
  <si>
    <t>Enero del 2026</t>
  </si>
  <si>
    <t>Febrero del 2026</t>
  </si>
  <si>
    <t>Marzo del 2026</t>
  </si>
  <si>
    <t>Abril del 2026</t>
  </si>
  <si>
    <t>Mayo del 2026</t>
  </si>
  <si>
    <t>TOTAL (A + B + Dif AySa)</t>
  </si>
  <si>
    <t>TOTAL (A + B + Rec. AySa)</t>
  </si>
  <si>
    <t>TOTAL (A + B + G. Part)</t>
  </si>
  <si>
    <t>TOTAL EXPENSAS:</t>
  </si>
  <si>
    <t>Interes mensual (6%)</t>
  </si>
  <si>
    <t>TOTAL INTERESES:</t>
  </si>
  <si>
    <t>SUBTOTALES</t>
  </si>
  <si>
    <t>TOTAL FINAL (EXPENSAS + INTERESES + DEUDA AL 03/07/2024)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</si>
</sst>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4" xfId="0" applyBorder="1"/>
    <xf numFmtId="0" fontId="0" fillId="0" borderId="5" xfId="0" applyBorder="1"/>
    <xf numFmtId="44" fontId="0" fillId="0" borderId="0" xfId="1" applyFont="1" applyBorder="1"/>
    <xf numFmtId="17" fontId="0" fillId="0" borderId="4" xfId="0" applyNumberFormat="1" applyBorder="1"/>
    <xf numFmtId="0" fontId="2" fillId="0" borderId="0" xfId="0" applyFont="1"/>
    <xf numFmtId="0" fontId="2" fillId="0" borderId="5" xfId="0" applyFont="1" applyBorder="1"/>
    <xf numFmtId="44" fontId="2" fillId="0" borderId="0" xfId="1" applyFont="1" applyBorder="1"/>
    <xf numFmtId="44" fontId="2" fillId="0" borderId="5" xfId="0" applyNumberFormat="1" applyFont="1" applyBorder="1"/>
    <xf numFmtId="0" fontId="2" fillId="4" borderId="6" xfId="0" applyFont="1" applyFill="1" applyBorder="1"/>
    <xf numFmtId="0" fontId="2" fillId="4" borderId="7" xfId="0" applyFont="1" applyFill="1" applyBorder="1"/>
    <xf numFmtId="44" fontId="2" fillId="3" borderId="7" xfId="1" applyFont="1" applyFill="1" applyBorder="1"/>
    <xf numFmtId="44" fontId="2" fillId="5" borderId="8" xfId="1" applyFont="1" applyFill="1" applyBorder="1"/>
    <xf numFmtId="0" fontId="0" fillId="0" borderId="1" xfId="0" applyBorder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4" fontId="0" fillId="4" borderId="0" xfId="1" applyFont="1" applyFill="1" applyBorder="1"/>
    <xf numFmtId="44" fontId="2" fillId="4" borderId="0" xfId="1" applyFont="1" applyFill="1" applyBorder="1"/>
    <xf numFmtId="0" fontId="0" fillId="6" borderId="0" xfId="0" applyFill="1"/>
    <xf numFmtId="44" fontId="0" fillId="6" borderId="0" xfId="1" applyFont="1" applyFill="1" applyBorder="1"/>
    <xf numFmtId="44" fontId="2" fillId="6" borderId="0" xfId="1" applyFont="1" applyFill="1" applyBorder="1"/>
    <xf numFmtId="0" fontId="0" fillId="6" borderId="5" xfId="0" applyFill="1" applyBorder="1"/>
    <xf numFmtId="0" fontId="2" fillId="6" borderId="4" xfId="0" applyFont="1" applyFill="1" applyBorder="1"/>
    <xf numFmtId="0" fontId="0" fillId="0" borderId="3" xfId="0" applyBorder="1"/>
    <xf numFmtId="44" fontId="3" fillId="2" borderId="10" xfId="1" applyFont="1" applyFill="1" applyBorder="1" applyAlignment="1">
      <alignment horizontal="center"/>
    </xf>
    <xf numFmtId="44" fontId="3" fillId="2" borderId="11" xfId="1" applyFont="1" applyFill="1" applyBorder="1" applyAlignment="1">
      <alignment horizontal="center"/>
    </xf>
    <xf numFmtId="44" fontId="3" fillId="2" borderId="9" xfId="1" applyFont="1" applyFill="1" applyBorder="1" applyAlignment="1">
      <alignment horizontal="center"/>
    </xf>
    <xf numFmtId="0" fontId="3" fillId="2" borderId="10" xfId="0" applyFont="1" applyFill="1" applyBorder="1"/>
    <xf numFmtId="0" fontId="0" fillId="2" borderId="11" xfId="0" applyFill="1" applyBorder="1"/>
    <xf numFmtId="0" fontId="0" fillId="2" borderId="9" xfId="0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5AD9-3EF6-4810-A97F-DDF324D66F36}">
  <dimension ref="C1:M77"/>
  <sheetViews>
    <sheetView tabSelected="1" workbookViewId="0">
      <selection activeCell="J39" sqref="J39"/>
    </sheetView>
  </sheetViews>
  <sheetFormatPr baseColWidth="10" defaultRowHeight="14.4" x14ac:dyDescent="0.3"/>
  <cols>
    <col min="3" max="3" width="12.33203125" customWidth="1"/>
    <col min="4" max="4" width="14.88671875" customWidth="1"/>
    <col min="5" max="5" width="14" bestFit="1" customWidth="1"/>
    <col min="6" max="6" width="11.44140625" customWidth="1"/>
    <col min="7" max="7" width="11.6640625" bestFit="1" customWidth="1"/>
    <col min="8" max="8" width="9.21875" customWidth="1"/>
    <col min="9" max="9" width="13.6640625" customWidth="1"/>
    <col min="11" max="11" width="24" customWidth="1"/>
    <col min="12" max="12" width="6.88671875" customWidth="1"/>
    <col min="13" max="13" width="19.44140625" customWidth="1"/>
  </cols>
  <sheetData>
    <row r="1" spans="3:13" ht="15" thickBot="1" x14ac:dyDescent="0.35">
      <c r="C1" s="31" t="s">
        <v>1</v>
      </c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3:13" x14ac:dyDescent="0.3">
      <c r="C2" s="23" t="s">
        <v>0</v>
      </c>
      <c r="D2" s="19"/>
      <c r="E2" s="19"/>
      <c r="F2" s="20"/>
      <c r="G2" s="19"/>
      <c r="H2" s="19"/>
      <c r="I2" s="19"/>
      <c r="J2" s="19"/>
      <c r="K2" s="21">
        <v>1531027.68</v>
      </c>
      <c r="L2" s="19"/>
      <c r="M2" s="22"/>
    </row>
    <row r="3" spans="3:13" x14ac:dyDescent="0.3">
      <c r="C3" s="1"/>
      <c r="M3" s="2"/>
    </row>
    <row r="4" spans="3:13" x14ac:dyDescent="0.3">
      <c r="C4" s="4" t="s">
        <v>2</v>
      </c>
      <c r="E4" t="s">
        <v>6</v>
      </c>
      <c r="G4" t="s">
        <v>7</v>
      </c>
      <c r="I4" t="s">
        <v>8</v>
      </c>
      <c r="K4" s="5" t="s">
        <v>30</v>
      </c>
      <c r="M4" s="6" t="s">
        <v>34</v>
      </c>
    </row>
    <row r="5" spans="3:13" x14ac:dyDescent="0.3">
      <c r="C5" s="1"/>
      <c r="E5" s="3">
        <v>86245.8</v>
      </c>
      <c r="F5" s="3"/>
      <c r="G5" s="3">
        <v>0</v>
      </c>
      <c r="H5" s="3"/>
      <c r="I5" s="3">
        <v>4672.5200000000004</v>
      </c>
      <c r="J5" s="3"/>
      <c r="K5" s="7">
        <f>SUM(E5:J5)</f>
        <v>90918.32</v>
      </c>
      <c r="M5" s="8">
        <f>K5*6%</f>
        <v>5455.0992000000006</v>
      </c>
    </row>
    <row r="6" spans="3:13" x14ac:dyDescent="0.3">
      <c r="C6" s="1"/>
      <c r="K6" s="5"/>
      <c r="M6" s="2"/>
    </row>
    <row r="7" spans="3:13" x14ac:dyDescent="0.3">
      <c r="C7" s="4" t="s">
        <v>3</v>
      </c>
      <c r="E7" t="s">
        <v>6</v>
      </c>
      <c r="G7" t="s">
        <v>7</v>
      </c>
      <c r="I7" t="s">
        <v>11</v>
      </c>
      <c r="K7" s="5" t="s">
        <v>31</v>
      </c>
      <c r="M7" s="6" t="s">
        <v>34</v>
      </c>
    </row>
    <row r="8" spans="3:13" x14ac:dyDescent="0.3">
      <c r="C8" s="1"/>
      <c r="E8" s="3">
        <v>116813.1</v>
      </c>
      <c r="F8" s="3"/>
      <c r="G8" s="3"/>
      <c r="H8" s="3"/>
      <c r="I8" s="3">
        <v>58046.55</v>
      </c>
      <c r="J8" s="3"/>
      <c r="K8" s="7">
        <f>SUM(E8:J8)</f>
        <v>174859.65000000002</v>
      </c>
      <c r="M8" s="8">
        <f>K8*6%</f>
        <v>10491.579000000002</v>
      </c>
    </row>
    <row r="9" spans="3:13" x14ac:dyDescent="0.3">
      <c r="C9" s="1"/>
      <c r="K9" s="5"/>
      <c r="M9" s="2"/>
    </row>
    <row r="10" spans="3:13" x14ac:dyDescent="0.3">
      <c r="C10" s="1" t="s">
        <v>4</v>
      </c>
      <c r="E10" t="s">
        <v>6</v>
      </c>
      <c r="G10" t="s">
        <v>7</v>
      </c>
      <c r="I10" t="s">
        <v>11</v>
      </c>
      <c r="K10" s="5" t="s">
        <v>31</v>
      </c>
      <c r="M10" s="6" t="s">
        <v>34</v>
      </c>
    </row>
    <row r="11" spans="3:13" x14ac:dyDescent="0.3">
      <c r="C11" s="1"/>
      <c r="E11" s="3">
        <v>116813.1</v>
      </c>
      <c r="F11" s="3"/>
      <c r="G11" s="3"/>
      <c r="H11" s="3"/>
      <c r="I11" s="3"/>
      <c r="J11" s="3"/>
      <c r="K11" s="7">
        <f>SUM(E11:J11)</f>
        <v>116813.1</v>
      </c>
      <c r="M11" s="8">
        <f>K11*6%</f>
        <v>7008.7860000000001</v>
      </c>
    </row>
    <row r="12" spans="3:13" x14ac:dyDescent="0.3">
      <c r="C12" s="1"/>
      <c r="K12" s="5"/>
      <c r="M12" s="2"/>
    </row>
    <row r="13" spans="3:13" x14ac:dyDescent="0.3">
      <c r="C13" s="1" t="s">
        <v>5</v>
      </c>
      <c r="E13" t="s">
        <v>6</v>
      </c>
      <c r="G13" t="s">
        <v>7</v>
      </c>
      <c r="I13" t="s">
        <v>12</v>
      </c>
      <c r="K13" s="5" t="s">
        <v>32</v>
      </c>
      <c r="M13" s="6" t="s">
        <v>34</v>
      </c>
    </row>
    <row r="14" spans="3:13" x14ac:dyDescent="0.3">
      <c r="C14" s="1"/>
      <c r="E14" s="3">
        <v>122653.75</v>
      </c>
      <c r="F14" s="3"/>
      <c r="G14" s="3"/>
      <c r="H14" s="3"/>
      <c r="I14" s="3"/>
      <c r="J14" s="3"/>
      <c r="K14" s="7">
        <f>SUM(E14:J14)</f>
        <v>122653.75</v>
      </c>
      <c r="M14" s="8">
        <f>K14*6%</f>
        <v>7359.2249999999995</v>
      </c>
    </row>
    <row r="15" spans="3:13" x14ac:dyDescent="0.3">
      <c r="C15" s="1"/>
      <c r="K15" s="5"/>
      <c r="M15" s="2"/>
    </row>
    <row r="16" spans="3:13" x14ac:dyDescent="0.3">
      <c r="C16" s="1" t="s">
        <v>9</v>
      </c>
      <c r="E16" t="s">
        <v>6</v>
      </c>
      <c r="G16" t="s">
        <v>7</v>
      </c>
      <c r="I16" t="s">
        <v>12</v>
      </c>
      <c r="K16" s="5" t="s">
        <v>32</v>
      </c>
      <c r="M16" s="6" t="s">
        <v>34</v>
      </c>
    </row>
    <row r="17" spans="3:13" x14ac:dyDescent="0.3">
      <c r="C17" s="1"/>
      <c r="E17" s="3">
        <v>122653.75</v>
      </c>
      <c r="F17" s="3"/>
      <c r="G17" s="3"/>
      <c r="H17" s="3"/>
      <c r="I17" s="3"/>
      <c r="J17" s="3"/>
      <c r="K17" s="7">
        <f>SUM(E17:J17)</f>
        <v>122653.75</v>
      </c>
      <c r="M17" s="8">
        <f>K17*6%</f>
        <v>7359.2249999999995</v>
      </c>
    </row>
    <row r="18" spans="3:13" x14ac:dyDescent="0.3">
      <c r="C18" s="1"/>
      <c r="K18" s="5"/>
      <c r="M18" s="2"/>
    </row>
    <row r="19" spans="3:13" x14ac:dyDescent="0.3">
      <c r="C19" s="1" t="s">
        <v>10</v>
      </c>
      <c r="E19" t="s">
        <v>6</v>
      </c>
      <c r="G19" t="s">
        <v>7</v>
      </c>
      <c r="I19" t="s">
        <v>12</v>
      </c>
      <c r="K19" s="5" t="s">
        <v>32</v>
      </c>
      <c r="M19" s="6" t="s">
        <v>34</v>
      </c>
    </row>
    <row r="20" spans="3:13" x14ac:dyDescent="0.3">
      <c r="C20" s="1"/>
      <c r="E20" s="3">
        <v>126878.71</v>
      </c>
      <c r="F20" s="3"/>
      <c r="G20" s="3"/>
      <c r="H20" s="3"/>
      <c r="I20" s="3"/>
      <c r="J20" s="3"/>
      <c r="K20" s="7">
        <f>SUM(E20:J20)</f>
        <v>126878.71</v>
      </c>
      <c r="M20" s="8">
        <f>K20*6%</f>
        <v>7612.7226000000001</v>
      </c>
    </row>
    <row r="21" spans="3:13" x14ac:dyDescent="0.3">
      <c r="C21" s="1"/>
      <c r="K21" s="5"/>
      <c r="M21" s="2"/>
    </row>
    <row r="22" spans="3:13" x14ac:dyDescent="0.3">
      <c r="C22" s="1" t="s">
        <v>13</v>
      </c>
      <c r="E22" t="s">
        <v>6</v>
      </c>
      <c r="G22" t="s">
        <v>7</v>
      </c>
      <c r="I22" t="s">
        <v>12</v>
      </c>
      <c r="K22" s="5" t="s">
        <v>32</v>
      </c>
      <c r="M22" s="6" t="s">
        <v>34</v>
      </c>
    </row>
    <row r="23" spans="3:13" x14ac:dyDescent="0.3">
      <c r="C23" s="1"/>
      <c r="E23" s="3">
        <v>109871.83</v>
      </c>
      <c r="F23" s="3"/>
      <c r="G23" s="3"/>
      <c r="H23" s="3"/>
      <c r="I23" s="3"/>
      <c r="J23" s="3"/>
      <c r="K23" s="7">
        <f>SUM(E23:J23)</f>
        <v>109871.83</v>
      </c>
      <c r="M23" s="8">
        <f>K23*6%</f>
        <v>6592.3098</v>
      </c>
    </row>
    <row r="24" spans="3:13" x14ac:dyDescent="0.3">
      <c r="C24" s="1"/>
      <c r="K24" s="5"/>
      <c r="M24" s="2"/>
    </row>
    <row r="25" spans="3:13" x14ac:dyDescent="0.3">
      <c r="C25" s="1" t="s">
        <v>14</v>
      </c>
      <c r="E25" t="s">
        <v>6</v>
      </c>
      <c r="G25" t="s">
        <v>7</v>
      </c>
      <c r="I25" t="s">
        <v>12</v>
      </c>
      <c r="K25" s="5" t="s">
        <v>32</v>
      </c>
      <c r="M25" s="6" t="s">
        <v>34</v>
      </c>
    </row>
    <row r="26" spans="3:13" x14ac:dyDescent="0.3">
      <c r="C26" s="1"/>
      <c r="E26" s="3">
        <v>80792.44</v>
      </c>
      <c r="F26" s="3"/>
      <c r="G26" s="3">
        <v>46800</v>
      </c>
      <c r="H26" s="3"/>
      <c r="I26" s="3"/>
      <c r="J26" s="3"/>
      <c r="K26" s="7">
        <f>SUM(E26:J26)</f>
        <v>127592.44</v>
      </c>
      <c r="M26" s="8">
        <f>K26*6%</f>
        <v>7655.5464000000002</v>
      </c>
    </row>
    <row r="27" spans="3:13" x14ac:dyDescent="0.3">
      <c r="C27" s="1"/>
      <c r="K27" s="5"/>
      <c r="M27" s="2"/>
    </row>
    <row r="28" spans="3:13" x14ac:dyDescent="0.3">
      <c r="C28" s="1" t="s">
        <v>15</v>
      </c>
      <c r="E28" t="s">
        <v>6</v>
      </c>
      <c r="G28" t="s">
        <v>7</v>
      </c>
      <c r="I28" t="s">
        <v>12</v>
      </c>
      <c r="K28" s="5" t="s">
        <v>32</v>
      </c>
      <c r="M28" s="6" t="s">
        <v>34</v>
      </c>
    </row>
    <row r="29" spans="3:13" x14ac:dyDescent="0.3">
      <c r="C29" s="1"/>
      <c r="E29" s="3">
        <v>106421.39</v>
      </c>
      <c r="F29" s="3"/>
      <c r="G29" s="3">
        <v>25740</v>
      </c>
      <c r="H29" s="3"/>
      <c r="I29" s="3"/>
      <c r="J29" s="3"/>
      <c r="K29" s="7">
        <f>SUM(E29:J29)</f>
        <v>132161.39000000001</v>
      </c>
      <c r="M29" s="8">
        <f>K29*6%</f>
        <v>7929.6834000000008</v>
      </c>
    </row>
    <row r="30" spans="3:13" x14ac:dyDescent="0.3">
      <c r="C30" s="1"/>
      <c r="K30" s="5"/>
      <c r="M30" s="2"/>
    </row>
    <row r="31" spans="3:13" x14ac:dyDescent="0.3">
      <c r="C31" s="1" t="s">
        <v>16</v>
      </c>
      <c r="E31" t="s">
        <v>6</v>
      </c>
      <c r="G31" t="s">
        <v>7</v>
      </c>
      <c r="I31" t="s">
        <v>12</v>
      </c>
      <c r="K31" s="5" t="s">
        <v>32</v>
      </c>
      <c r="M31" s="6" t="s">
        <v>34</v>
      </c>
    </row>
    <row r="32" spans="3:13" x14ac:dyDescent="0.3">
      <c r="C32" s="1"/>
      <c r="E32" s="3">
        <v>101868.24</v>
      </c>
      <c r="F32" s="3"/>
      <c r="G32" s="3">
        <v>38821.129999999997</v>
      </c>
      <c r="H32" s="3"/>
      <c r="I32" s="3"/>
      <c r="J32" s="3"/>
      <c r="K32" s="7">
        <f>SUM(E32:J32)</f>
        <v>140689.37</v>
      </c>
      <c r="M32" s="8">
        <f>K32*6%</f>
        <v>8441.3621999999996</v>
      </c>
    </row>
    <row r="33" spans="3:13" x14ac:dyDescent="0.3">
      <c r="C33" s="1"/>
      <c r="K33" s="5"/>
      <c r="M33" s="2"/>
    </row>
    <row r="34" spans="3:13" x14ac:dyDescent="0.3">
      <c r="C34" s="1" t="s">
        <v>17</v>
      </c>
      <c r="E34" t="s">
        <v>6</v>
      </c>
      <c r="G34" t="s">
        <v>7</v>
      </c>
      <c r="I34" t="s">
        <v>12</v>
      </c>
      <c r="K34" s="5" t="s">
        <v>32</v>
      </c>
      <c r="M34" s="6" t="s">
        <v>34</v>
      </c>
    </row>
    <row r="35" spans="3:13" x14ac:dyDescent="0.3">
      <c r="C35" s="1"/>
      <c r="E35" s="17">
        <v>122089.1841</v>
      </c>
      <c r="F35" s="17"/>
      <c r="G35" s="17">
        <v>40950</v>
      </c>
      <c r="H35" s="17"/>
      <c r="I35" s="17"/>
      <c r="J35" s="17"/>
      <c r="K35" s="18">
        <f>SUM(E35:J35)</f>
        <v>163039.18410000001</v>
      </c>
      <c r="M35" s="8">
        <f>K35*6%</f>
        <v>9782.3510459999998</v>
      </c>
    </row>
    <row r="36" spans="3:13" x14ac:dyDescent="0.3">
      <c r="C36" s="1"/>
      <c r="K36" s="5"/>
      <c r="M36" s="2"/>
    </row>
    <row r="37" spans="3:13" x14ac:dyDescent="0.3">
      <c r="C37" s="1" t="s">
        <v>18</v>
      </c>
      <c r="E37" t="s">
        <v>6</v>
      </c>
      <c r="G37" t="s">
        <v>7</v>
      </c>
      <c r="I37" t="s">
        <v>12</v>
      </c>
      <c r="K37" s="5" t="s">
        <v>32</v>
      </c>
      <c r="M37" s="6" t="s">
        <v>34</v>
      </c>
    </row>
    <row r="38" spans="3:13" x14ac:dyDescent="0.3">
      <c r="C38" s="1"/>
      <c r="E38" s="3">
        <v>123603.11</v>
      </c>
      <c r="F38" s="3"/>
      <c r="G38" s="3">
        <v>40950</v>
      </c>
      <c r="H38" s="3"/>
      <c r="I38" s="3"/>
      <c r="J38" s="3"/>
      <c r="K38" s="7">
        <f>SUM(E38:J38)</f>
        <v>164553.10999999999</v>
      </c>
      <c r="M38" s="8">
        <f>K38*6%</f>
        <v>9873.1865999999991</v>
      </c>
    </row>
    <row r="39" spans="3:13" x14ac:dyDescent="0.3">
      <c r="C39" s="1"/>
      <c r="K39" s="5"/>
      <c r="M39" s="2"/>
    </row>
    <row r="40" spans="3:13" x14ac:dyDescent="0.3">
      <c r="C40" s="1" t="s">
        <v>19</v>
      </c>
      <c r="E40" t="s">
        <v>6</v>
      </c>
      <c r="G40" t="s">
        <v>7</v>
      </c>
      <c r="I40" t="s">
        <v>12</v>
      </c>
      <c r="K40" s="5" t="s">
        <v>32</v>
      </c>
      <c r="M40" s="6" t="s">
        <v>34</v>
      </c>
    </row>
    <row r="41" spans="3:13" x14ac:dyDescent="0.3">
      <c r="C41" s="1"/>
      <c r="E41" s="3">
        <v>191529.94</v>
      </c>
      <c r="F41" s="3"/>
      <c r="G41" s="3">
        <v>0</v>
      </c>
      <c r="H41" s="3"/>
      <c r="I41" s="3"/>
      <c r="J41" s="3"/>
      <c r="K41" s="7">
        <f>SUM(E41:J41)</f>
        <v>191529.94</v>
      </c>
      <c r="M41" s="8">
        <f>K41*6%</f>
        <v>11491.796399999999</v>
      </c>
    </row>
    <row r="42" spans="3:13" x14ac:dyDescent="0.3">
      <c r="C42" s="1"/>
      <c r="K42" s="5"/>
      <c r="M42" s="2"/>
    </row>
    <row r="43" spans="3:13" x14ac:dyDescent="0.3">
      <c r="C43" s="1" t="s">
        <v>20</v>
      </c>
      <c r="E43" t="s">
        <v>6</v>
      </c>
      <c r="G43" t="s">
        <v>7</v>
      </c>
      <c r="I43" t="s">
        <v>12</v>
      </c>
      <c r="K43" s="5" t="s">
        <v>32</v>
      </c>
      <c r="M43" s="6" t="s">
        <v>34</v>
      </c>
    </row>
    <row r="44" spans="3:13" x14ac:dyDescent="0.3">
      <c r="C44" s="1"/>
      <c r="E44" s="3">
        <v>125650.87</v>
      </c>
      <c r="F44" s="3"/>
      <c r="G44" s="3">
        <v>27436.5</v>
      </c>
      <c r="H44" s="3"/>
      <c r="I44" s="3"/>
      <c r="J44" s="3"/>
      <c r="K44" s="7">
        <f>SUM(E44:J44)</f>
        <v>153087.37</v>
      </c>
      <c r="M44" s="8">
        <f>K44*6%</f>
        <v>9185.2421999999988</v>
      </c>
    </row>
    <row r="45" spans="3:13" x14ac:dyDescent="0.3">
      <c r="C45" s="1"/>
      <c r="K45" s="5"/>
      <c r="M45" s="2"/>
    </row>
    <row r="46" spans="3:13" x14ac:dyDescent="0.3">
      <c r="C46" s="1" t="s">
        <v>21</v>
      </c>
      <c r="E46" t="s">
        <v>6</v>
      </c>
      <c r="G46" t="s">
        <v>7</v>
      </c>
      <c r="I46" t="s">
        <v>12</v>
      </c>
      <c r="K46" s="5" t="s">
        <v>32</v>
      </c>
      <c r="M46" s="6" t="s">
        <v>34</v>
      </c>
    </row>
    <row r="47" spans="3:13" x14ac:dyDescent="0.3">
      <c r="C47" s="1"/>
      <c r="E47" s="3">
        <v>70209.289999999994</v>
      </c>
      <c r="F47" s="3"/>
      <c r="G47" s="3">
        <v>19563.25</v>
      </c>
      <c r="H47" s="3"/>
      <c r="I47" s="3"/>
      <c r="J47" s="3"/>
      <c r="K47" s="7">
        <f>SUM(E47:J47)</f>
        <v>89772.54</v>
      </c>
      <c r="M47" s="8">
        <f>K47*6%</f>
        <v>5386.3523999999998</v>
      </c>
    </row>
    <row r="48" spans="3:13" x14ac:dyDescent="0.3">
      <c r="C48" s="1"/>
      <c r="K48" s="5"/>
      <c r="M48" s="2"/>
    </row>
    <row r="49" spans="3:13" x14ac:dyDescent="0.3">
      <c r="C49" s="1" t="s">
        <v>22</v>
      </c>
      <c r="E49" t="s">
        <v>6</v>
      </c>
      <c r="G49" t="s">
        <v>7</v>
      </c>
      <c r="I49" t="s">
        <v>12</v>
      </c>
      <c r="K49" s="5" t="s">
        <v>32</v>
      </c>
      <c r="M49" s="6" t="s">
        <v>34</v>
      </c>
    </row>
    <row r="50" spans="3:13" x14ac:dyDescent="0.3">
      <c r="C50" s="1"/>
      <c r="E50" s="3">
        <v>131410.89000000001</v>
      </c>
      <c r="F50" s="3"/>
      <c r="G50" s="3">
        <v>39027.57</v>
      </c>
      <c r="H50" s="3"/>
      <c r="I50" s="3"/>
      <c r="J50" s="3"/>
      <c r="K50" s="7">
        <f>SUM(E50:J50)</f>
        <v>170438.46000000002</v>
      </c>
      <c r="M50" s="8">
        <f>K50*6%</f>
        <v>10226.3076</v>
      </c>
    </row>
    <row r="51" spans="3:13" x14ac:dyDescent="0.3">
      <c r="C51" s="1"/>
      <c r="K51" s="5"/>
      <c r="M51" s="2"/>
    </row>
    <row r="52" spans="3:13" x14ac:dyDescent="0.3">
      <c r="C52" s="1" t="s">
        <v>23</v>
      </c>
      <c r="E52" t="s">
        <v>6</v>
      </c>
      <c r="G52" t="s">
        <v>7</v>
      </c>
      <c r="I52" t="s">
        <v>12</v>
      </c>
      <c r="K52" s="5" t="s">
        <v>32</v>
      </c>
      <c r="M52" s="6" t="s">
        <v>34</v>
      </c>
    </row>
    <row r="53" spans="3:13" x14ac:dyDescent="0.3">
      <c r="C53" s="1"/>
      <c r="E53" s="3">
        <v>141273.10999999999</v>
      </c>
      <c r="F53" s="3"/>
      <c r="G53" s="3">
        <v>35100</v>
      </c>
      <c r="H53" s="3"/>
      <c r="I53" s="3"/>
      <c r="J53" s="3"/>
      <c r="K53" s="7">
        <f>SUM(E53:J53)</f>
        <v>176373.11</v>
      </c>
      <c r="M53" s="8">
        <f>K53*6%</f>
        <v>10582.386599999998</v>
      </c>
    </row>
    <row r="54" spans="3:13" x14ac:dyDescent="0.3">
      <c r="C54" s="1"/>
      <c r="K54" s="5"/>
      <c r="M54" s="2"/>
    </row>
    <row r="55" spans="3:13" x14ac:dyDescent="0.3">
      <c r="C55" s="1" t="s">
        <v>24</v>
      </c>
      <c r="E55" t="s">
        <v>6</v>
      </c>
      <c r="G55" t="s">
        <v>7</v>
      </c>
      <c r="I55" t="s">
        <v>12</v>
      </c>
      <c r="K55" s="5" t="s">
        <v>32</v>
      </c>
      <c r="M55" s="6" t="s">
        <v>34</v>
      </c>
    </row>
    <row r="56" spans="3:13" x14ac:dyDescent="0.3">
      <c r="C56" s="1"/>
      <c r="E56" s="3">
        <v>141273.10999999999</v>
      </c>
      <c r="F56" s="3"/>
      <c r="G56" s="3">
        <v>35100</v>
      </c>
      <c r="H56" s="3"/>
      <c r="I56" s="3"/>
      <c r="J56" s="3"/>
      <c r="K56" s="7">
        <f>SUM(E56:J56)</f>
        <v>176373.11</v>
      </c>
      <c r="M56" s="8">
        <f>K56*6%</f>
        <v>10582.386599999998</v>
      </c>
    </row>
    <row r="57" spans="3:13" x14ac:dyDescent="0.3">
      <c r="C57" s="1"/>
      <c r="K57" s="5"/>
      <c r="M57" s="2"/>
    </row>
    <row r="58" spans="3:13" x14ac:dyDescent="0.3">
      <c r="C58" s="1" t="s">
        <v>25</v>
      </c>
      <c r="E58" t="s">
        <v>6</v>
      </c>
      <c r="G58" t="s">
        <v>7</v>
      </c>
      <c r="I58" t="s">
        <v>12</v>
      </c>
      <c r="K58" s="5" t="s">
        <v>32</v>
      </c>
      <c r="M58" s="6" t="s">
        <v>34</v>
      </c>
    </row>
    <row r="59" spans="3:13" x14ac:dyDescent="0.3">
      <c r="C59" s="1"/>
      <c r="E59" s="3">
        <v>141273.10999999999</v>
      </c>
      <c r="F59" s="3"/>
      <c r="G59" s="3">
        <v>35100</v>
      </c>
      <c r="H59" s="3"/>
      <c r="I59" s="3"/>
      <c r="J59" s="3"/>
      <c r="K59" s="7">
        <f>SUM(E59:J59)</f>
        <v>176373.11</v>
      </c>
      <c r="M59" s="8">
        <f>K59*6%</f>
        <v>10582.386599999998</v>
      </c>
    </row>
    <row r="60" spans="3:13" x14ac:dyDescent="0.3">
      <c r="C60" s="1"/>
      <c r="K60" s="5"/>
      <c r="M60" s="2"/>
    </row>
    <row r="61" spans="3:13" x14ac:dyDescent="0.3">
      <c r="C61" s="1" t="s">
        <v>26</v>
      </c>
      <c r="E61" t="s">
        <v>6</v>
      </c>
      <c r="G61" t="s">
        <v>7</v>
      </c>
      <c r="I61" t="s">
        <v>12</v>
      </c>
      <c r="K61" s="5" t="s">
        <v>32</v>
      </c>
      <c r="M61" s="6" t="s">
        <v>34</v>
      </c>
    </row>
    <row r="62" spans="3:13" x14ac:dyDescent="0.3">
      <c r="C62" s="1"/>
      <c r="E62" s="3">
        <v>141273.10999999999</v>
      </c>
      <c r="F62" s="3"/>
      <c r="G62" s="3">
        <v>35100</v>
      </c>
      <c r="H62" s="3"/>
      <c r="I62" s="3"/>
      <c r="J62" s="3"/>
      <c r="K62" s="7">
        <f>SUM(E62:J62)</f>
        <v>176373.11</v>
      </c>
      <c r="M62" s="8">
        <f>K62*6%</f>
        <v>10582.386599999998</v>
      </c>
    </row>
    <row r="63" spans="3:13" x14ac:dyDescent="0.3">
      <c r="C63" s="1"/>
      <c r="K63" s="5"/>
      <c r="M63" s="2"/>
    </row>
    <row r="64" spans="3:13" x14ac:dyDescent="0.3">
      <c r="C64" s="1" t="s">
        <v>27</v>
      </c>
      <c r="E64" t="s">
        <v>6</v>
      </c>
      <c r="G64" t="s">
        <v>7</v>
      </c>
      <c r="I64" t="s">
        <v>12</v>
      </c>
      <c r="K64" s="5" t="s">
        <v>32</v>
      </c>
      <c r="M64" s="6" t="s">
        <v>34</v>
      </c>
    </row>
    <row r="65" spans="3:13" x14ac:dyDescent="0.3">
      <c r="C65" s="1"/>
      <c r="E65" s="3">
        <v>148336.768125</v>
      </c>
      <c r="F65" s="3"/>
      <c r="G65" s="3">
        <v>35100</v>
      </c>
      <c r="H65" s="3"/>
      <c r="I65" s="3"/>
      <c r="J65" s="3"/>
      <c r="K65" s="7">
        <f>SUM(E65:J65)</f>
        <v>183436.768125</v>
      </c>
      <c r="M65" s="8">
        <f>K65*6%</f>
        <v>11006.206087499999</v>
      </c>
    </row>
    <row r="66" spans="3:13" x14ac:dyDescent="0.3">
      <c r="C66" s="1"/>
      <c r="K66" s="5"/>
      <c r="M66" s="2"/>
    </row>
    <row r="67" spans="3:13" x14ac:dyDescent="0.3">
      <c r="C67" s="1" t="s">
        <v>28</v>
      </c>
      <c r="E67" t="s">
        <v>6</v>
      </c>
      <c r="G67" t="s">
        <v>7</v>
      </c>
      <c r="I67" t="s">
        <v>12</v>
      </c>
      <c r="K67" s="5" t="s">
        <v>32</v>
      </c>
      <c r="M67" s="6" t="s">
        <v>34</v>
      </c>
    </row>
    <row r="68" spans="3:13" x14ac:dyDescent="0.3">
      <c r="C68" s="1"/>
      <c r="E68" s="3">
        <v>155753.60653125</v>
      </c>
      <c r="F68" s="3"/>
      <c r="G68" s="3">
        <v>35100</v>
      </c>
      <c r="H68" s="3"/>
      <c r="I68" s="3"/>
      <c r="J68" s="3"/>
      <c r="K68" s="7">
        <f>SUM(E68:J68)</f>
        <v>190853.60653125</v>
      </c>
      <c r="M68" s="8">
        <f>K68*6%</f>
        <v>11451.216391874999</v>
      </c>
    </row>
    <row r="69" spans="3:13" x14ac:dyDescent="0.3">
      <c r="C69" s="1"/>
      <c r="K69" s="5"/>
      <c r="M69" s="2"/>
    </row>
    <row r="70" spans="3:13" x14ac:dyDescent="0.3">
      <c r="C70" s="1" t="s">
        <v>29</v>
      </c>
      <c r="E70" t="s">
        <v>6</v>
      </c>
      <c r="G70" t="s">
        <v>7</v>
      </c>
      <c r="I70" t="s">
        <v>12</v>
      </c>
      <c r="K70" s="5" t="s">
        <v>32</v>
      </c>
      <c r="M70" s="6" t="s">
        <v>34</v>
      </c>
    </row>
    <row r="71" spans="3:13" x14ac:dyDescent="0.3">
      <c r="C71" s="1"/>
      <c r="E71" s="3">
        <v>163541.28731849999</v>
      </c>
      <c r="F71" s="3"/>
      <c r="G71" s="3">
        <v>35100</v>
      </c>
      <c r="H71" s="3"/>
      <c r="I71" s="3"/>
      <c r="J71" s="3"/>
      <c r="K71" s="7">
        <f>SUM(E71:J71)</f>
        <v>198641.28731849999</v>
      </c>
      <c r="M71" s="8">
        <f>K71*6%</f>
        <v>11918.47723911</v>
      </c>
    </row>
    <row r="72" spans="3:13" x14ac:dyDescent="0.3">
      <c r="C72" s="1"/>
      <c r="M72" s="2"/>
    </row>
    <row r="73" spans="3:13" ht="15" thickBot="1" x14ac:dyDescent="0.35">
      <c r="C73" s="1"/>
      <c r="M73" s="2"/>
    </row>
    <row r="74" spans="3:13" x14ac:dyDescent="0.3">
      <c r="C74" s="13"/>
      <c r="D74" s="14"/>
      <c r="E74" s="14"/>
      <c r="F74" s="14"/>
      <c r="G74" s="14"/>
      <c r="H74" s="14"/>
      <c r="I74" s="14"/>
      <c r="J74" s="14"/>
      <c r="K74" s="15" t="s">
        <v>33</v>
      </c>
      <c r="L74" s="14"/>
      <c r="M74" s="16" t="s">
        <v>35</v>
      </c>
    </row>
    <row r="75" spans="3:13" ht="15" thickBot="1" x14ac:dyDescent="0.35">
      <c r="C75" s="9" t="s">
        <v>36</v>
      </c>
      <c r="D75" s="10"/>
      <c r="E75" s="10"/>
      <c r="F75" s="10"/>
      <c r="G75" s="10"/>
      <c r="H75" s="10"/>
      <c r="I75" s="10"/>
      <c r="J75" s="10"/>
      <c r="K75" s="11">
        <f>SUM(K5:K74)</f>
        <v>3475937.0160747496</v>
      </c>
      <c r="L75" s="10"/>
      <c r="M75" s="12">
        <f>SUM(M5:M74)</f>
        <v>208556.22096448502</v>
      </c>
    </row>
    <row r="76" spans="3:13" ht="15" thickBot="1" x14ac:dyDescent="0.35"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24"/>
    </row>
    <row r="77" spans="3:13" ht="15" thickBot="1" x14ac:dyDescent="0.35">
      <c r="C77" s="28" t="s">
        <v>37</v>
      </c>
      <c r="D77" s="29"/>
      <c r="E77" s="29"/>
      <c r="F77" s="29"/>
      <c r="G77" s="29"/>
      <c r="H77" s="29"/>
      <c r="I77" s="29"/>
      <c r="J77" s="30"/>
      <c r="K77" s="25">
        <f>K75+M75+K2</f>
        <v>5215520.9170392342</v>
      </c>
      <c r="L77" s="26"/>
      <c r="M77" s="27"/>
    </row>
  </sheetData>
  <mergeCells count="2">
    <mergeCell ref="C1:M1"/>
    <mergeCell ref="K77:M77"/>
  </mergeCells>
  <pageMargins left="0.23622047244094491" right="0.23622047244094491" top="0.74803149606299213" bottom="0.74803149606299213" header="0.31496062992125984" footer="0.31496062992125984"/>
  <pageSetup paperSize="7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2026-06-19T15:06:15Z</cp:lastPrinted>
  <dcterms:created xsi:type="dcterms:W3CDTF">2026-06-17T11:54:26Z</dcterms:created>
  <dcterms:modified xsi:type="dcterms:W3CDTF">2026-06-19T15:06:17Z</dcterms:modified>
</cp:coreProperties>
</file>