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Sistema\Desktop\rc-consorcio2025\2026\ITALIA\ENERO\"/>
    </mc:Choice>
  </mc:AlternateContent>
  <xr:revisionPtr revIDLastSave="0" documentId="13_ncr:1_{E1BAA8A1-0C3E-4856-8A87-74B680801914}" xr6:coauthVersionLast="47" xr6:coauthVersionMax="47" xr10:uidLastSave="{00000000-0000-0000-0000-000000000000}"/>
  <bookViews>
    <workbookView xWindow="-108" yWindow="-108" windowWidth="23256" windowHeight="12576" activeTab="1" xr2:uid="{00000000-000D-0000-FFFF-FFFF00000000}"/>
  </bookViews>
  <sheets>
    <sheet name="RESUMEN" sheetId="4" r:id="rId1"/>
    <sheet name="PRORRATEO" sheetId="5" r:id="rId2"/>
    <sheet name="ANOTACIONES" sheetId="6" r:id="rId3"/>
    <sheet name="RESUMEN MENSUAL" sheetId="1" r:id="rId4"/>
    <sheet name="INGRESOS-EGRESOS" sheetId="2" r:id="rId5"/>
  </sheets>
  <definedNames>
    <definedName name="_xlnm.Print_Area" localSheetId="1">PRORRATEO!$A$1:$L$125</definedName>
    <definedName name="_xlnm.Print_Area" localSheetId="0">RESUMEN!$A$1:$E$123</definedName>
  </definedNames>
  <calcPr calcId="181029"/>
</workbook>
</file>

<file path=xl/calcChain.xml><?xml version="1.0" encoding="utf-8"?>
<calcChain xmlns="http://schemas.openxmlformats.org/spreadsheetml/2006/main">
  <c r="F113" i="5" l="1"/>
  <c r="F105" i="5"/>
  <c r="E26" i="4"/>
  <c r="E75" i="4" l="1"/>
  <c r="E37" i="4"/>
  <c r="E51" i="4"/>
  <c r="F82" i="5"/>
  <c r="F44" i="5"/>
  <c r="F60" i="5"/>
  <c r="F28" i="5"/>
  <c r="F42" i="5"/>
  <c r="F26" i="5"/>
  <c r="F33" i="5"/>
  <c r="F29" i="5"/>
  <c r="F30" i="5"/>
  <c r="F106" i="5"/>
  <c r="F96" i="5"/>
  <c r="F69" i="5"/>
  <c r="F97" i="5" l="1"/>
  <c r="F70" i="5"/>
  <c r="F75" i="5"/>
  <c r="F73" i="5"/>
  <c r="F101" i="5"/>
  <c r="F15" i="5"/>
  <c r="F18" i="5"/>
  <c r="F31" i="5"/>
  <c r="D80" i="4"/>
  <c r="D28" i="4"/>
  <c r="E29" i="4" s="1"/>
  <c r="D56" i="4"/>
  <c r="E66" i="4" s="1"/>
  <c r="K12" i="5" l="1"/>
  <c r="B123" i="4"/>
  <c r="F23" i="5"/>
  <c r="F43" i="5"/>
  <c r="F107" i="5"/>
  <c r="F98" i="5"/>
  <c r="F84" i="5"/>
  <c r="F20" i="5"/>
  <c r="F13" i="5"/>
  <c r="F53" i="5"/>
  <c r="F46" i="5"/>
  <c r="F19" i="5"/>
  <c r="F91" i="5"/>
  <c r="F112" i="5"/>
  <c r="F57" i="5"/>
  <c r="F109" i="5"/>
  <c r="F34" i="5"/>
  <c r="F68" i="5"/>
  <c r="F87" i="5"/>
  <c r="F108" i="5"/>
  <c r="I106" i="5"/>
  <c r="F110" i="5"/>
  <c r="F88" i="5"/>
  <c r="F104" i="5"/>
  <c r="F85" i="5"/>
  <c r="F94" i="5"/>
  <c r="F36" i="5" l="1"/>
  <c r="F22" i="5"/>
  <c r="E35" i="4"/>
  <c r="E34" i="4"/>
  <c r="F64" i="5"/>
  <c r="F117" i="5" l="1"/>
  <c r="E81" i="4"/>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7" i="5"/>
  <c r="I108" i="5"/>
  <c r="I109" i="5"/>
  <c r="I110" i="5"/>
  <c r="I111" i="5"/>
  <c r="I112" i="5"/>
  <c r="I113" i="5"/>
  <c r="I114" i="5"/>
  <c r="I115" i="5"/>
  <c r="G34" i="5"/>
  <c r="H34" i="5" s="1"/>
  <c r="G35" i="5"/>
  <c r="H35" i="5" s="1"/>
  <c r="G36" i="5"/>
  <c r="H36" i="5" s="1"/>
  <c r="G37" i="5"/>
  <c r="H37" i="5" s="1"/>
  <c r="G38" i="5"/>
  <c r="H38" i="5" s="1"/>
  <c r="G39" i="5"/>
  <c r="H39" i="5" s="1"/>
  <c r="G40" i="5"/>
  <c r="H40" i="5" s="1"/>
  <c r="G41" i="5"/>
  <c r="H41" i="5" s="1"/>
  <c r="G42" i="5"/>
  <c r="H42" i="5" s="1"/>
  <c r="G43" i="5"/>
  <c r="H43" i="5" s="1"/>
  <c r="G44" i="5"/>
  <c r="H44" i="5" s="1"/>
  <c r="G45" i="5"/>
  <c r="H45" i="5" s="1"/>
  <c r="G46" i="5"/>
  <c r="H46" i="5" s="1"/>
  <c r="G47" i="5"/>
  <c r="H47" i="5" s="1"/>
  <c r="G48" i="5"/>
  <c r="H48" i="5" s="1"/>
  <c r="G49" i="5"/>
  <c r="H49" i="5" s="1"/>
  <c r="G50" i="5"/>
  <c r="H50" i="5" s="1"/>
  <c r="G51" i="5"/>
  <c r="H51" i="5" s="1"/>
  <c r="G52" i="5"/>
  <c r="H52" i="5" s="1"/>
  <c r="G53" i="5"/>
  <c r="H53" i="5" s="1"/>
  <c r="G54" i="5"/>
  <c r="H54" i="5" s="1"/>
  <c r="G55" i="5"/>
  <c r="H55" i="5" s="1"/>
  <c r="G56" i="5"/>
  <c r="H56" i="5" s="1"/>
  <c r="G57" i="5"/>
  <c r="H57" i="5" s="1"/>
  <c r="G58" i="5"/>
  <c r="H58" i="5" s="1"/>
  <c r="G59" i="5"/>
  <c r="H59" i="5" s="1"/>
  <c r="G60" i="5"/>
  <c r="H60" i="5" s="1"/>
  <c r="G61" i="5"/>
  <c r="H61" i="5" s="1"/>
  <c r="G62" i="5"/>
  <c r="H62" i="5" s="1"/>
  <c r="G63" i="5"/>
  <c r="H63" i="5" s="1"/>
  <c r="G64" i="5"/>
  <c r="H64" i="5" s="1"/>
  <c r="G65" i="5"/>
  <c r="H65" i="5" s="1"/>
  <c r="G66" i="5"/>
  <c r="H66" i="5" s="1"/>
  <c r="G67" i="5"/>
  <c r="H67" i="5" s="1"/>
  <c r="G68" i="5"/>
  <c r="H68" i="5" s="1"/>
  <c r="G69" i="5"/>
  <c r="H69" i="5" s="1"/>
  <c r="G70" i="5"/>
  <c r="H70" i="5" s="1"/>
  <c r="G71" i="5"/>
  <c r="H71" i="5" s="1"/>
  <c r="G72" i="5"/>
  <c r="H72" i="5" s="1"/>
  <c r="G73" i="5"/>
  <c r="H73" i="5" s="1"/>
  <c r="G74" i="5"/>
  <c r="H74" i="5" s="1"/>
  <c r="G75" i="5"/>
  <c r="H75" i="5" s="1"/>
  <c r="G76" i="5"/>
  <c r="H76" i="5" s="1"/>
  <c r="G77" i="5"/>
  <c r="H77" i="5" s="1"/>
  <c r="G78" i="5"/>
  <c r="H78" i="5" s="1"/>
  <c r="G79" i="5"/>
  <c r="H79" i="5" s="1"/>
  <c r="G80" i="5"/>
  <c r="H80" i="5" s="1"/>
  <c r="G81" i="5"/>
  <c r="H81" i="5" s="1"/>
  <c r="G82" i="5"/>
  <c r="H82" i="5" s="1"/>
  <c r="G83" i="5"/>
  <c r="H83" i="5" s="1"/>
  <c r="G84" i="5"/>
  <c r="H84" i="5" s="1"/>
  <c r="G85" i="5"/>
  <c r="H85" i="5" s="1"/>
  <c r="G86" i="5"/>
  <c r="H86" i="5" s="1"/>
  <c r="G87" i="5"/>
  <c r="H87" i="5" s="1"/>
  <c r="G88" i="5"/>
  <c r="H88" i="5" s="1"/>
  <c r="G89" i="5"/>
  <c r="H89" i="5" s="1"/>
  <c r="G90" i="5"/>
  <c r="H90" i="5" s="1"/>
  <c r="G91" i="5"/>
  <c r="H91" i="5" s="1"/>
  <c r="G92" i="5"/>
  <c r="H92" i="5" s="1"/>
  <c r="G93" i="5"/>
  <c r="H93" i="5" s="1"/>
  <c r="G94" i="5"/>
  <c r="H94" i="5" s="1"/>
  <c r="G95" i="5"/>
  <c r="H95" i="5" s="1"/>
  <c r="G96" i="5"/>
  <c r="H96" i="5" s="1"/>
  <c r="G97" i="5"/>
  <c r="H97" i="5" s="1"/>
  <c r="G98" i="5"/>
  <c r="H98" i="5" s="1"/>
  <c r="G99" i="5"/>
  <c r="H99" i="5" s="1"/>
  <c r="G100" i="5"/>
  <c r="H100" i="5" s="1"/>
  <c r="G101" i="5"/>
  <c r="H101" i="5" s="1"/>
  <c r="G102" i="5"/>
  <c r="H102" i="5" s="1"/>
  <c r="G103" i="5"/>
  <c r="H103" i="5" s="1"/>
  <c r="G104" i="5"/>
  <c r="H104" i="5" s="1"/>
  <c r="G105" i="5"/>
  <c r="H105" i="5" s="1"/>
  <c r="G106" i="5"/>
  <c r="H106" i="5" s="1"/>
  <c r="G107" i="5"/>
  <c r="H107" i="5" s="1"/>
  <c r="G108" i="5"/>
  <c r="H108" i="5" s="1"/>
  <c r="G109" i="5"/>
  <c r="H109" i="5" s="1"/>
  <c r="G110" i="5"/>
  <c r="H110" i="5" s="1"/>
  <c r="G111" i="5"/>
  <c r="H111" i="5" s="1"/>
  <c r="G112" i="5"/>
  <c r="H112" i="5" s="1"/>
  <c r="G113" i="5"/>
  <c r="H113" i="5" s="1"/>
  <c r="G114" i="5"/>
  <c r="H114" i="5" s="1"/>
  <c r="G115" i="5"/>
  <c r="H115" i="5" s="1"/>
  <c r="E117" i="5"/>
  <c r="D117" i="5"/>
  <c r="A34" i="5"/>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E41" i="4"/>
  <c r="G23" i="5"/>
  <c r="H23" i="5" s="1"/>
  <c r="J33" i="5"/>
  <c r="I33" i="5"/>
  <c r="G33" i="5"/>
  <c r="H33" i="5" s="1"/>
  <c r="J32" i="5"/>
  <c r="I32" i="5"/>
  <c r="G32" i="5"/>
  <c r="J31" i="5"/>
  <c r="I31" i="5"/>
  <c r="G31" i="5"/>
  <c r="H31" i="5" s="1"/>
  <c r="J30" i="5"/>
  <c r="I30" i="5"/>
  <c r="G30" i="5"/>
  <c r="H30" i="5" s="1"/>
  <c r="J29" i="5"/>
  <c r="I29" i="5"/>
  <c r="G29" i="5"/>
  <c r="H29" i="5" s="1"/>
  <c r="J28" i="5"/>
  <c r="I28" i="5"/>
  <c r="G28" i="5"/>
  <c r="H28" i="5" s="1"/>
  <c r="J27" i="5"/>
  <c r="I27" i="5"/>
  <c r="G27" i="5"/>
  <c r="H27" i="5" s="1"/>
  <c r="J26" i="5"/>
  <c r="I26" i="5"/>
  <c r="G26" i="5"/>
  <c r="H26" i="5" s="1"/>
  <c r="J25" i="5"/>
  <c r="I25" i="5"/>
  <c r="G25" i="5"/>
  <c r="H25" i="5" s="1"/>
  <c r="J24" i="5"/>
  <c r="I24" i="5"/>
  <c r="G24" i="5"/>
  <c r="H24" i="5" s="1"/>
  <c r="J23" i="5"/>
  <c r="I23" i="5"/>
  <c r="J22" i="5"/>
  <c r="I22" i="5"/>
  <c r="G22" i="5"/>
  <c r="H22" i="5" s="1"/>
  <c r="J21" i="5"/>
  <c r="I21" i="5"/>
  <c r="G21" i="5"/>
  <c r="H21" i="5" s="1"/>
  <c r="J20" i="5"/>
  <c r="I20" i="5"/>
  <c r="G20" i="5"/>
  <c r="H20" i="5" s="1"/>
  <c r="J19" i="5"/>
  <c r="I19" i="5"/>
  <c r="G19" i="5"/>
  <c r="H19" i="5" s="1"/>
  <c r="J18" i="5"/>
  <c r="I18" i="5"/>
  <c r="G18" i="5"/>
  <c r="H18" i="5" s="1"/>
  <c r="J17" i="5"/>
  <c r="I17" i="5"/>
  <c r="G17" i="5"/>
  <c r="H17" i="5" s="1"/>
  <c r="J16" i="5"/>
  <c r="I16" i="5"/>
  <c r="G16" i="5"/>
  <c r="H16" i="5" s="1"/>
  <c r="J15" i="5"/>
  <c r="I15" i="5"/>
  <c r="G15" i="5"/>
  <c r="H15" i="5" s="1"/>
  <c r="M14" i="5"/>
  <c r="M15" i="5" s="1"/>
  <c r="M16" i="5" s="1"/>
  <c r="J14" i="5"/>
  <c r="I14" i="5"/>
  <c r="G14" i="5"/>
  <c r="J13" i="5"/>
  <c r="I13" i="5"/>
  <c r="B110" i="4"/>
  <c r="E93" i="4"/>
  <c r="E98" i="4" s="1"/>
  <c r="B102" i="4" s="1"/>
  <c r="E85" i="4" l="1"/>
  <c r="B101" i="4" s="1"/>
  <c r="B109" i="4" s="1"/>
  <c r="K15" i="5"/>
  <c r="I117" i="5"/>
  <c r="J117" i="5"/>
  <c r="K16" i="5"/>
  <c r="H14" i="5"/>
  <c r="K14" i="5" s="1"/>
  <c r="H32" i="5"/>
  <c r="M17" i="5"/>
  <c r="B103" i="4"/>
  <c r="L15" i="5" l="1"/>
  <c r="B100" i="4"/>
  <c r="M18" i="5"/>
  <c r="K17" i="5"/>
  <c r="G13" i="5"/>
  <c r="G117" i="5" s="1"/>
  <c r="B115" i="4"/>
  <c r="B117" i="4" s="1"/>
  <c r="L14" i="5"/>
  <c r="L16" i="5"/>
  <c r="H13" i="5" l="1"/>
  <c r="H117" i="5" s="1"/>
  <c r="L17" i="5"/>
  <c r="M19" i="5"/>
  <c r="K18" i="5"/>
  <c r="L18" i="5" l="1"/>
  <c r="K19" i="5"/>
  <c r="M20" i="5"/>
  <c r="K13" i="5"/>
  <c r="L13" i="5" s="1"/>
  <c r="K20" i="5" l="1"/>
  <c r="M21" i="5"/>
  <c r="L19" i="5"/>
  <c r="K21" i="5" l="1"/>
  <c r="M22" i="5"/>
  <c r="L20" i="5"/>
  <c r="M23" i="5" l="1"/>
  <c r="K22" i="5"/>
  <c r="L21" i="5"/>
  <c r="L22" i="5" l="1"/>
  <c r="K23" i="5"/>
  <c r="M24" i="5"/>
  <c r="K24" i="5" l="1"/>
  <c r="M25" i="5"/>
  <c r="L23" i="5"/>
  <c r="L24" i="5" l="1"/>
  <c r="M26" i="5"/>
  <c r="K25" i="5"/>
  <c r="L25" i="5" l="1"/>
  <c r="M27" i="5"/>
  <c r="K26" i="5"/>
  <c r="L26" i="5" l="1"/>
  <c r="K27" i="5"/>
  <c r="M28" i="5"/>
  <c r="K28" i="5" l="1"/>
  <c r="M29" i="5"/>
  <c r="L27" i="5"/>
  <c r="K29" i="5" l="1"/>
  <c r="M30" i="5"/>
  <c r="L28" i="5"/>
  <c r="L29" i="5" l="1"/>
  <c r="M31" i="5"/>
  <c r="K30" i="5"/>
  <c r="K31" i="5" l="1"/>
  <c r="L31" i="5" s="1"/>
  <c r="M32" i="5"/>
  <c r="L30" i="5"/>
  <c r="M33" i="5" l="1"/>
  <c r="K32" i="5"/>
  <c r="L32" i="5" s="1"/>
  <c r="G110" i="2"/>
  <c r="F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110" i="2" s="1"/>
  <c r="H71" i="2"/>
  <c r="F47" i="1"/>
  <c r="M34" i="5" l="1"/>
  <c r="K33" i="5"/>
  <c r="L33" i="5" s="1"/>
  <c r="H84" i="2"/>
  <c r="H17" i="2"/>
  <c r="F25" i="1"/>
  <c r="I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O78" i="2" s="1"/>
  <c r="J77" i="2"/>
  <c r="J76" i="2"/>
  <c r="J75" i="2"/>
  <c r="J74" i="2"/>
  <c r="O74" i="2" s="1"/>
  <c r="J73" i="2"/>
  <c r="F64" i="1"/>
  <c r="F67" i="1"/>
  <c r="J71" i="2"/>
  <c r="J72" i="2"/>
  <c r="N110" i="2"/>
  <c r="H9" i="2"/>
  <c r="H10" i="2"/>
  <c r="H11" i="2"/>
  <c r="H12" i="2"/>
  <c r="H13" i="2"/>
  <c r="H14" i="2"/>
  <c r="H15" i="2"/>
  <c r="H16" i="2"/>
  <c r="H19" i="2"/>
  <c r="H20" i="2"/>
  <c r="H21" i="2"/>
  <c r="H23" i="2"/>
  <c r="H24" i="2"/>
  <c r="H27" i="2"/>
  <c r="H28" i="2"/>
  <c r="H29" i="2"/>
  <c r="H31" i="2"/>
  <c r="H33" i="2"/>
  <c r="H36" i="2"/>
  <c r="H37" i="2"/>
  <c r="H38" i="2"/>
  <c r="H39" i="2"/>
  <c r="H40" i="2"/>
  <c r="H41" i="2"/>
  <c r="H43" i="2"/>
  <c r="H44" i="2"/>
  <c r="H45" i="2"/>
  <c r="H46" i="2"/>
  <c r="H47" i="2"/>
  <c r="H51" i="2"/>
  <c r="H52" i="2"/>
  <c r="H54" i="2"/>
  <c r="H55" i="2"/>
  <c r="H56" i="2"/>
  <c r="H57" i="2"/>
  <c r="H58" i="2"/>
  <c r="H59" i="2"/>
  <c r="H60" i="2"/>
  <c r="H61" i="2"/>
  <c r="H62" i="2"/>
  <c r="H63" i="2"/>
  <c r="H64" i="2"/>
  <c r="H65" i="2"/>
  <c r="H66" i="2"/>
  <c r="H67" i="2"/>
  <c r="H68" i="2"/>
  <c r="H69" i="2"/>
  <c r="H70" i="2"/>
  <c r="H72" i="2"/>
  <c r="H73" i="2"/>
  <c r="H75" i="2"/>
  <c r="H77" i="2"/>
  <c r="H79" i="2"/>
  <c r="H81" i="2"/>
  <c r="H82" i="2"/>
  <c r="H83" i="2"/>
  <c r="H85" i="2"/>
  <c r="H86" i="2"/>
  <c r="H87" i="2"/>
  <c r="H88" i="2"/>
  <c r="H89" i="2"/>
  <c r="O89" i="2" s="1"/>
  <c r="H90" i="2"/>
  <c r="H91" i="2"/>
  <c r="H92" i="2"/>
  <c r="H93" i="2"/>
  <c r="H94" i="2"/>
  <c r="H95" i="2"/>
  <c r="H97" i="2"/>
  <c r="O97" i="2" s="1"/>
  <c r="H98" i="2"/>
  <c r="H99" i="2"/>
  <c r="H100" i="2"/>
  <c r="H101" i="2"/>
  <c r="H102" i="2"/>
  <c r="H103" i="2"/>
  <c r="H104" i="2"/>
  <c r="H105" i="2"/>
  <c r="H107" i="2"/>
  <c r="H108" i="2"/>
  <c r="H109" i="2"/>
  <c r="E110" i="2"/>
  <c r="F75" i="1"/>
  <c r="F70" i="1"/>
  <c r="F52" i="1"/>
  <c r="M35" i="5" l="1"/>
  <c r="K34" i="5"/>
  <c r="L34" i="5" s="1"/>
  <c r="O109" i="2"/>
  <c r="O107" i="2"/>
  <c r="O106" i="2"/>
  <c r="O105" i="2"/>
  <c r="O102" i="2"/>
  <c r="O100" i="2"/>
  <c r="O94" i="2"/>
  <c r="O91" i="2"/>
  <c r="O90" i="2"/>
  <c r="O86" i="2"/>
  <c r="O85" i="2"/>
  <c r="O83" i="2"/>
  <c r="O82" i="2"/>
  <c r="O77" i="2"/>
  <c r="O76" i="2"/>
  <c r="O73" i="2"/>
  <c r="O108" i="2"/>
  <c r="O101" i="2"/>
  <c r="O99" i="2"/>
  <c r="O98" i="2"/>
  <c r="O93" i="2"/>
  <c r="O81" i="2"/>
  <c r="O75" i="2"/>
  <c r="O96" i="2"/>
  <c r="O88" i="2"/>
  <c r="O80" i="2"/>
  <c r="O84" i="2"/>
  <c r="O103" i="2"/>
  <c r="O79" i="2"/>
  <c r="O92" i="2"/>
  <c r="O104" i="2"/>
  <c r="O95" i="2"/>
  <c r="O87" i="2"/>
  <c r="O72" i="2"/>
  <c r="O71"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1" i="2"/>
  <c r="J40" i="2"/>
  <c r="J42" i="2"/>
  <c r="J43" i="2"/>
  <c r="J44" i="2"/>
  <c r="J45" i="2"/>
  <c r="J46" i="2"/>
  <c r="J47" i="2"/>
  <c r="J48" i="2"/>
  <c r="J49" i="2"/>
  <c r="J50" i="2"/>
  <c r="J51" i="2"/>
  <c r="J52" i="2"/>
  <c r="J53" i="2"/>
  <c r="J54" i="2"/>
  <c r="J55" i="2"/>
  <c r="J56" i="2"/>
  <c r="J57" i="2"/>
  <c r="J58" i="2"/>
  <c r="J59" i="2"/>
  <c r="J60" i="2"/>
  <c r="J70" i="2"/>
  <c r="J69" i="2"/>
  <c r="J68" i="2"/>
  <c r="J67" i="2"/>
  <c r="J66" i="2"/>
  <c r="J65" i="2"/>
  <c r="J64" i="2"/>
  <c r="J63" i="2"/>
  <c r="J62" i="2"/>
  <c r="J61" i="2"/>
  <c r="M36" i="5" l="1"/>
  <c r="K35" i="5"/>
  <c r="L35" i="5" s="1"/>
  <c r="J110" i="2"/>
  <c r="O54" i="2"/>
  <c r="O30" i="2"/>
  <c r="O64" i="2"/>
  <c r="O55" i="2"/>
  <c r="F55" i="1"/>
  <c r="O26" i="2"/>
  <c r="O21" i="2"/>
  <c r="O10" i="2"/>
  <c r="O39" i="2"/>
  <c r="O18" i="2"/>
  <c r="O19" i="2"/>
  <c r="O65" i="2"/>
  <c r="O46" i="2"/>
  <c r="M37" i="5" l="1"/>
  <c r="K36" i="5"/>
  <c r="L36" i="5" s="1"/>
  <c r="O48" i="2"/>
  <c r="O49" i="2"/>
  <c r="O50" i="2"/>
  <c r="O47" i="2"/>
  <c r="O37" i="2"/>
  <c r="O38" i="2"/>
  <c r="O42" i="2"/>
  <c r="M38" i="5" l="1"/>
  <c r="K37" i="5"/>
  <c r="L37" i="5" s="1"/>
  <c r="O58" i="2"/>
  <c r="O41" i="2"/>
  <c r="O40" i="2"/>
  <c r="M39" i="5" l="1"/>
  <c r="K38" i="5"/>
  <c r="L38" i="5" s="1"/>
  <c r="O43" i="2"/>
  <c r="O44" i="2"/>
  <c r="O45" i="2"/>
  <c r="O51" i="2"/>
  <c r="O52" i="2"/>
  <c r="O53" i="2"/>
  <c r="O56" i="2"/>
  <c r="O57" i="2"/>
  <c r="O59" i="2"/>
  <c r="O60" i="2"/>
  <c r="O61" i="2"/>
  <c r="O62" i="2"/>
  <c r="O63" i="2"/>
  <c r="O66" i="2"/>
  <c r="O67" i="2"/>
  <c r="O68" i="2"/>
  <c r="O69" i="2"/>
  <c r="O70" i="2"/>
  <c r="O24" i="2"/>
  <c r="O22" i="2"/>
  <c r="O23" i="2"/>
  <c r="O17" i="2"/>
  <c r="M40" i="5" l="1"/>
  <c r="K39" i="5"/>
  <c r="L39" i="5" s="1"/>
  <c r="O29" i="2"/>
  <c r="M41" i="5" l="1"/>
  <c r="K40" i="5"/>
  <c r="L40" i="5" s="1"/>
  <c r="K110" i="2"/>
  <c r="M42" i="5" l="1"/>
  <c r="K41" i="5"/>
  <c r="L41" i="5" s="1"/>
  <c r="F39" i="1"/>
  <c r="O36" i="2"/>
  <c r="O31" i="2"/>
  <c r="O13" i="2"/>
  <c r="C110" i="2"/>
  <c r="O12" i="2"/>
  <c r="O33" i="2"/>
  <c r="M43" i="5" l="1"/>
  <c r="K42" i="5"/>
  <c r="L42" i="5" s="1"/>
  <c r="F76" i="1"/>
  <c r="O34" i="2"/>
  <c r="M44" i="5" l="1"/>
  <c r="K43" i="5"/>
  <c r="L43" i="5" s="1"/>
  <c r="O16" i="2"/>
  <c r="O35" i="2"/>
  <c r="M45" i="5" l="1"/>
  <c r="K44" i="5"/>
  <c r="L44" i="5" s="1"/>
  <c r="L110" i="2"/>
  <c r="H7" i="2"/>
  <c r="H110" i="2" s="1"/>
  <c r="D110" i="2"/>
  <c r="O32" i="2"/>
  <c r="O28" i="2"/>
  <c r="O27" i="2"/>
  <c r="O25" i="2"/>
  <c r="O20" i="2"/>
  <c r="O15" i="2"/>
  <c r="O14" i="2"/>
  <c r="O11" i="2"/>
  <c r="M46" i="5" l="1"/>
  <c r="K45" i="5"/>
  <c r="L45" i="5" s="1"/>
  <c r="O7" i="2"/>
  <c r="F82" i="1"/>
  <c r="M47" i="5" l="1"/>
  <c r="K46" i="5"/>
  <c r="L46" i="5" s="1"/>
  <c r="O8" i="2"/>
  <c r="O9" i="2"/>
  <c r="M48" i="5" l="1"/>
  <c r="K47" i="5"/>
  <c r="L47" i="5" s="1"/>
  <c r="O110" i="2"/>
  <c r="M49" i="5" l="1"/>
  <c r="K48" i="5"/>
  <c r="L48" i="5" s="1"/>
  <c r="M50" i="5" l="1"/>
  <c r="K49" i="5"/>
  <c r="L49" i="5" s="1"/>
  <c r="M51" i="5" l="1"/>
  <c r="K50" i="5"/>
  <c r="L50" i="5" s="1"/>
  <c r="M52" i="5" l="1"/>
  <c r="K51" i="5"/>
  <c r="L51" i="5" s="1"/>
  <c r="M53" i="5" l="1"/>
  <c r="K52" i="5"/>
  <c r="L52" i="5" s="1"/>
  <c r="M54" i="5" l="1"/>
  <c r="K53" i="5"/>
  <c r="L53" i="5" s="1"/>
  <c r="M55" i="5" l="1"/>
  <c r="K54" i="5"/>
  <c r="L54" i="5" s="1"/>
  <c r="M56" i="5" l="1"/>
  <c r="K55" i="5"/>
  <c r="L55" i="5" s="1"/>
  <c r="M57" i="5" l="1"/>
  <c r="K56" i="5"/>
  <c r="L56" i="5" s="1"/>
  <c r="M58" i="5" l="1"/>
  <c r="K57" i="5"/>
  <c r="L57" i="5" s="1"/>
  <c r="M59" i="5" l="1"/>
  <c r="K58" i="5"/>
  <c r="L58" i="5" s="1"/>
  <c r="M60" i="5" l="1"/>
  <c r="K59" i="5"/>
  <c r="L59" i="5" s="1"/>
  <c r="M61" i="5" l="1"/>
  <c r="K60" i="5"/>
  <c r="L60" i="5" s="1"/>
  <c r="M62" i="5" l="1"/>
  <c r="K61" i="5"/>
  <c r="L61" i="5" s="1"/>
  <c r="M63" i="5" l="1"/>
  <c r="K62" i="5"/>
  <c r="L62" i="5" s="1"/>
  <c r="M64" i="5" l="1"/>
  <c r="K63" i="5"/>
  <c r="L63" i="5" s="1"/>
  <c r="M65" i="5" l="1"/>
  <c r="K64" i="5"/>
  <c r="L64" i="5" s="1"/>
  <c r="M66" i="5" l="1"/>
  <c r="K65" i="5"/>
  <c r="L65" i="5" s="1"/>
  <c r="M67" i="5" l="1"/>
  <c r="K66" i="5"/>
  <c r="L66" i="5" s="1"/>
  <c r="M68" i="5" l="1"/>
  <c r="K67" i="5"/>
  <c r="L67" i="5" s="1"/>
  <c r="M69" i="5" l="1"/>
  <c r="K68" i="5"/>
  <c r="L68" i="5" s="1"/>
  <c r="M70" i="5" l="1"/>
  <c r="K69" i="5"/>
  <c r="L69" i="5" s="1"/>
  <c r="M71" i="5" l="1"/>
  <c r="K70" i="5"/>
  <c r="L70" i="5" s="1"/>
  <c r="M72" i="5" l="1"/>
  <c r="K71" i="5"/>
  <c r="L71" i="5" s="1"/>
  <c r="M73" i="5" l="1"/>
  <c r="K72" i="5"/>
  <c r="L72" i="5" s="1"/>
  <c r="M74" i="5" l="1"/>
  <c r="K73" i="5"/>
  <c r="L73" i="5" s="1"/>
  <c r="M75" i="5" l="1"/>
  <c r="K74" i="5"/>
  <c r="L74" i="5" s="1"/>
  <c r="M76" i="5" l="1"/>
  <c r="K75" i="5"/>
  <c r="L75" i="5" s="1"/>
  <c r="M77" i="5" l="1"/>
  <c r="K76" i="5"/>
  <c r="L76" i="5" s="1"/>
  <c r="M78" i="5" l="1"/>
  <c r="K77" i="5"/>
  <c r="L77" i="5" s="1"/>
  <c r="M79" i="5" l="1"/>
  <c r="K78" i="5"/>
  <c r="L78" i="5" s="1"/>
  <c r="M80" i="5" l="1"/>
  <c r="K79" i="5"/>
  <c r="L79" i="5" s="1"/>
  <c r="M81" i="5" l="1"/>
  <c r="K80" i="5"/>
  <c r="L80" i="5" s="1"/>
  <c r="M82" i="5" l="1"/>
  <c r="K81" i="5"/>
  <c r="L81" i="5" s="1"/>
  <c r="M83" i="5" l="1"/>
  <c r="K82" i="5"/>
  <c r="L82" i="5" s="1"/>
  <c r="M84" i="5" l="1"/>
  <c r="K83" i="5"/>
  <c r="L83" i="5" s="1"/>
  <c r="M85" i="5" l="1"/>
  <c r="K84" i="5"/>
  <c r="L84" i="5" s="1"/>
  <c r="M86" i="5" l="1"/>
  <c r="K85" i="5"/>
  <c r="L85" i="5" s="1"/>
  <c r="M87" i="5" l="1"/>
  <c r="K86" i="5"/>
  <c r="L86" i="5" s="1"/>
  <c r="M88" i="5" l="1"/>
  <c r="K87" i="5"/>
  <c r="L87" i="5" s="1"/>
  <c r="M89" i="5" l="1"/>
  <c r="K88" i="5"/>
  <c r="L88" i="5" s="1"/>
  <c r="M90" i="5" l="1"/>
  <c r="K89" i="5"/>
  <c r="L89" i="5" s="1"/>
  <c r="M91" i="5" l="1"/>
  <c r="K90" i="5"/>
  <c r="L90" i="5" s="1"/>
  <c r="M92" i="5" l="1"/>
  <c r="K91" i="5"/>
  <c r="L91" i="5" s="1"/>
  <c r="M93" i="5" l="1"/>
  <c r="K92" i="5"/>
  <c r="L92" i="5" s="1"/>
  <c r="M94" i="5" l="1"/>
  <c r="K93" i="5"/>
  <c r="L93" i="5" s="1"/>
  <c r="M95" i="5" l="1"/>
  <c r="K94" i="5"/>
  <c r="L94" i="5" s="1"/>
  <c r="M96" i="5" l="1"/>
  <c r="K95" i="5"/>
  <c r="L95" i="5" s="1"/>
  <c r="M97" i="5" l="1"/>
  <c r="K96" i="5"/>
  <c r="L96" i="5" s="1"/>
  <c r="M98" i="5" l="1"/>
  <c r="K97" i="5"/>
  <c r="L97" i="5" s="1"/>
  <c r="M99" i="5" l="1"/>
  <c r="K98" i="5"/>
  <c r="L98" i="5" s="1"/>
  <c r="M100" i="5" l="1"/>
  <c r="K99" i="5"/>
  <c r="L99" i="5" s="1"/>
  <c r="M101" i="5" l="1"/>
  <c r="K100" i="5"/>
  <c r="L100" i="5" s="1"/>
  <c r="M102" i="5" l="1"/>
  <c r="K101" i="5"/>
  <c r="L101" i="5" s="1"/>
  <c r="M103" i="5" l="1"/>
  <c r="K102" i="5"/>
  <c r="L102" i="5" s="1"/>
  <c r="M104" i="5" l="1"/>
  <c r="K103" i="5"/>
  <c r="L103" i="5" s="1"/>
  <c r="M105" i="5" l="1"/>
  <c r="K104" i="5"/>
  <c r="L104" i="5" s="1"/>
  <c r="M106" i="5" l="1"/>
  <c r="K105" i="5"/>
  <c r="L105" i="5" s="1"/>
  <c r="M107" i="5" l="1"/>
  <c r="K106" i="5"/>
  <c r="L106" i="5" s="1"/>
  <c r="M108" i="5" l="1"/>
  <c r="K107" i="5"/>
  <c r="L107" i="5" s="1"/>
  <c r="M109" i="5" l="1"/>
  <c r="K108" i="5"/>
  <c r="L108" i="5" s="1"/>
  <c r="M110" i="5" l="1"/>
  <c r="K109" i="5"/>
  <c r="L109" i="5" s="1"/>
  <c r="M111" i="5" l="1"/>
  <c r="K110" i="5"/>
  <c r="L110" i="5" s="1"/>
  <c r="M112" i="5" l="1"/>
  <c r="K111" i="5"/>
  <c r="L111" i="5" s="1"/>
  <c r="M113" i="5" l="1"/>
  <c r="K112" i="5"/>
  <c r="L112" i="5" s="1"/>
  <c r="M114" i="5" l="1"/>
  <c r="K113" i="5"/>
  <c r="L113" i="5" s="1"/>
  <c r="M115" i="5" l="1"/>
  <c r="K115" i="5" s="1"/>
  <c r="K114" i="5"/>
  <c r="L114" i="5" s="1"/>
  <c r="K117" i="5" l="1"/>
  <c r="L115" i="5"/>
  <c r="L117" i="5" s="1"/>
</calcChain>
</file>

<file path=xl/sharedStrings.xml><?xml version="1.0" encoding="utf-8"?>
<sst xmlns="http://schemas.openxmlformats.org/spreadsheetml/2006/main" count="854" uniqueCount="423">
  <si>
    <t xml:space="preserve">                                                            GRAL. PAZ 83/85 Pº 2 "B" - AVELLANEDA -CP 1870</t>
  </si>
  <si>
    <t xml:space="preserve">ARIAS  </t>
  </si>
  <si>
    <t>ADMINISTRACION</t>
  </si>
  <si>
    <t>PERIODO</t>
  </si>
  <si>
    <t>PARCIAL</t>
  </si>
  <si>
    <t>TOTAL</t>
  </si>
  <si>
    <t xml:space="preserve">                                                            Contadora Pública Nacional - MIRTA ARIAS</t>
  </si>
  <si>
    <t xml:space="preserve">                                                            ATENCION: Lunes a Viernes de 15 a 19 Hs.</t>
  </si>
  <si>
    <t>PROPIETARIO</t>
  </si>
  <si>
    <t>PAGADO</t>
  </si>
  <si>
    <t>U.F.</t>
  </si>
  <si>
    <t>Coef.2 = UF4 +Cochera</t>
  </si>
  <si>
    <t>SALDO   A PAGAR</t>
  </si>
  <si>
    <t xml:space="preserve">ABONO Y REPARACION :ASCENSOR </t>
  </si>
  <si>
    <t xml:space="preserve">                                               MAIL: arias.mirta@gmail.com</t>
  </si>
  <si>
    <t>SUELDOS Y JORNALES</t>
  </si>
  <si>
    <t>REDONDEO</t>
  </si>
  <si>
    <t>TOTAL GASTOS ORDINARIOS</t>
  </si>
  <si>
    <t>ORDINARIAS</t>
  </si>
  <si>
    <t>IDENTIFICACION</t>
  </si>
  <si>
    <t xml:space="preserve"> </t>
  </si>
  <si>
    <t xml:space="preserve"> GASTOS PARTICULARES</t>
  </si>
  <si>
    <t>Datos de la Cuenta Bancaria</t>
  </si>
  <si>
    <t>Nº</t>
  </si>
  <si>
    <t>CBU</t>
  </si>
  <si>
    <t>CUIT</t>
  </si>
  <si>
    <t>SE INFORMA NUEVA CUENTA Y CBU DEL SANTANDER RIO</t>
  </si>
  <si>
    <t>CARGAS SOCIALES</t>
  </si>
  <si>
    <t>SEGUROS</t>
  </si>
  <si>
    <t>INTERESES</t>
  </si>
  <si>
    <t>INTERESES CORRESPONDIENTES.</t>
  </si>
  <si>
    <t>NO SE OLVIDEN DE ENVIAR EL PAGO DE SUS EXPENSAS A arias.mirta@gmail.com</t>
  </si>
  <si>
    <t>SE LES INFORMA ADEMAS, QUE DE ABONAR CON CHEQUE, HASTA SU ACREDITACION NO SERA CONSIDERADA LA EX</t>
  </si>
  <si>
    <t>PENSA COMO PAGA, Y SE COBRARAN INTERESES, SI ESTA FUERA DE LA FECHA INDICADA.</t>
  </si>
  <si>
    <t>SINO PUEDEN CONCURRIR AL BANCO, PUEDEN HACER TRANSFERENCIA CON LOS DATOS QUE FIGURAN EN LA RENDI-</t>
  </si>
  <si>
    <t>CION.</t>
  </si>
  <si>
    <t>SE INICIARAN LOS JUICIOS CORRESPONDIENTES A AQUELLOS QUE DEBAN MAS DE TRES EXPENSAS.</t>
  </si>
  <si>
    <t>TOTAL GASTOS ORDINARIOS, EXTRAORDINARIOS Y PARTICULARES</t>
  </si>
  <si>
    <t xml:space="preserve">  </t>
  </si>
  <si>
    <t>FONDO DE RESERVA</t>
  </si>
  <si>
    <t xml:space="preserve">                                                            TEL/FAX : 11-77133724 O CEL. 112163-9226</t>
  </si>
  <si>
    <t>EXTRAORDINARIAS</t>
  </si>
  <si>
    <t xml:space="preserve">REPARACIONES DEL EDIFICIO </t>
  </si>
  <si>
    <t>EXPENSAS %A Ordinaria</t>
  </si>
  <si>
    <t>Gastos Particulares</t>
  </si>
  <si>
    <t>SE LES COMUNICA QUE LA EXPENSAS VENCEN DEL 1 AL 10 DE CADA MES, Y DESPUES DE ESA FECHA SE APLICARAN LOS</t>
  </si>
  <si>
    <t>BANCO CREDICOOP</t>
  </si>
  <si>
    <t>DIAS DE MUDANZA LUNES A SABADO DE 8 A 12 HORAS.</t>
  </si>
  <si>
    <t>NO SE PUEDEN EFECTUAR RUIDOS MOLESTOS DE 22 A 8 HORAS Y DE 12 A 16 HORAS.</t>
  </si>
  <si>
    <t>CONS. DE PROP. ITALIA 2156</t>
  </si>
  <si>
    <t>Encargado Perm. s/viv. - Categoría tercera</t>
  </si>
  <si>
    <t>Sueldo Básico</t>
  </si>
  <si>
    <t>Antigüedad (26 años)</t>
  </si>
  <si>
    <t>Retiro de residuos (89 unidades)</t>
  </si>
  <si>
    <t>Redondeo</t>
  </si>
  <si>
    <t>11% Jubilación</t>
  </si>
  <si>
    <t>3% Ley 19032</t>
  </si>
  <si>
    <t>3% Obra Social</t>
  </si>
  <si>
    <t>2% Sindicato</t>
  </si>
  <si>
    <t>1% Caja Protección a la Familia</t>
  </si>
  <si>
    <t>1% Art. 27 FMVD y D</t>
  </si>
  <si>
    <t>0,75% Art. 27 Bis - Seguro de Vida Entera</t>
  </si>
  <si>
    <t>2% Art. 19 Bis - Fondo Educativo</t>
  </si>
  <si>
    <t>Contribuciones de Seguridad Social</t>
  </si>
  <si>
    <t>Aportes de Seguridad Social</t>
  </si>
  <si>
    <t>Contribuciones Obra Social</t>
  </si>
  <si>
    <t>Aportes Obra Social</t>
  </si>
  <si>
    <t>L.R.T.</t>
  </si>
  <si>
    <t>Seguro de Vida Colectivo</t>
  </si>
  <si>
    <t>ABONOS</t>
  </si>
  <si>
    <t xml:space="preserve">F. </t>
  </si>
  <si>
    <t>Uadel S.R.L. - Servicio de Limpieza Integral Diaria - Domingos y Feriados</t>
  </si>
  <si>
    <t xml:space="preserve">HONORARIOS ADMINISTRACION </t>
  </si>
  <si>
    <t>SERVICIOS</t>
  </si>
  <si>
    <t>Edesur S.A. - Cta. 0487380 - Medidor 000107045 - Período    - Bimestre</t>
  </si>
  <si>
    <t xml:space="preserve">Edesur S.A. - Cta. 01295184 - Medidor 005210268 - Período     - F. </t>
  </si>
  <si>
    <t>GASTOS VARIOS</t>
  </si>
  <si>
    <t xml:space="preserve">GASTOS BANCARIOS </t>
  </si>
  <si>
    <t xml:space="preserve">Banco Roela S.A. </t>
  </si>
  <si>
    <t xml:space="preserve">Banco Credicoop Cooperativo Ltdo. </t>
  </si>
  <si>
    <t xml:space="preserve">Allianz Arg. Cía. De Seguros - Seguro Integral del Edificio - Póliza Nro. </t>
  </si>
  <si>
    <t>230230731426 - Vigencia 12 hs. Del 1/12/23 a 12 hs. 1/12/24 - Cuota</t>
  </si>
  <si>
    <t xml:space="preserve">Allianz Arg. Cía. De Seguros - Seguro Combinado Familiar - Póliza Nro. </t>
  </si>
  <si>
    <t>240150822164 - Vigencia 12 hs. 9/5/24 a 12 hs. 9/5/25 - Cuota 6/12</t>
  </si>
  <si>
    <t>TOTAL GASTOS EXTRAORDINARIOS</t>
  </si>
  <si>
    <t xml:space="preserve">ESTADO PATRIMONIAL </t>
  </si>
  <si>
    <t>Ingresos</t>
  </si>
  <si>
    <t>Egresos</t>
  </si>
  <si>
    <t>Saldo Anterior</t>
  </si>
  <si>
    <t>Cobrado por expensas</t>
  </si>
  <si>
    <t>Egresos por gastos del mes</t>
  </si>
  <si>
    <t>Saldo al Cierre</t>
  </si>
  <si>
    <t xml:space="preserve">Saldo Anterior </t>
  </si>
  <si>
    <t>Depósitos y transferencias</t>
  </si>
  <si>
    <t>Transferencias y cheques</t>
  </si>
  <si>
    <t xml:space="preserve">Gastos Bancarios </t>
  </si>
  <si>
    <t xml:space="preserve">Caja </t>
  </si>
  <si>
    <t xml:space="preserve">Saldo Anterior                                                   </t>
  </si>
  <si>
    <t>Pagos en efectivo</t>
  </si>
  <si>
    <t>Según lo dispuesto por el Reglamento de Copropiedad y lo publicado por las Camaras de Propiedad Inmueble se apli-</t>
  </si>
  <si>
    <t>can las escalas de aumento de honorarios para el presente período.</t>
  </si>
  <si>
    <t>CONSORCIO DE PROPIETARIOS FINCA CALLE ITALIA 2156</t>
  </si>
  <si>
    <t>Cuenta Bancaria Credicoop Cooperativo Ltado.</t>
  </si>
  <si>
    <t>Identificación de la cuenta</t>
  </si>
  <si>
    <t>CBU:</t>
  </si>
  <si>
    <t>CUIT DEL TITULAR: 30-56229064-4</t>
  </si>
  <si>
    <t>Cuenta Bancaria Roela SA</t>
  </si>
  <si>
    <t>JUICIOS</t>
  </si>
  <si>
    <t xml:space="preserve">Consorcio de Propietarios Edificio Italia 2156 Avellaneda con Martino Celestino Pacual Lorenzo y otro sobre Cobro Eje- </t>
  </si>
  <si>
    <t>cutivo de Expensas - Causa Nro. 11638 - Juzgado Civil y Comercial Nro. 1 de Avellaneda</t>
  </si>
  <si>
    <t>Afip con Consorcio de Propietarios Italia 2156 - Oficio 9060058 - Expte. 8481/2020 - Importe $ 14107,14 - Juzgado Fede-</t>
  </si>
  <si>
    <t>ral de 1ra. Instancia de Quilmes - Secretaría Nro. 7</t>
  </si>
  <si>
    <t>Nómina de Proveedores</t>
  </si>
  <si>
    <t>Mirta Arias - Gral. Paz 85 Piso 2 Dto. B -Avellaneda - CUIT 27-10588491-0</t>
  </si>
  <si>
    <t>Edesur SA - San José 140 Piso 5 Dto. 513 -CABA - CUIT 30-65511651-2</t>
  </si>
  <si>
    <t>Aysa SA - Tucumán 752 Piso 20 - CABA - CUIT 30-70956507-5</t>
  </si>
  <si>
    <t>Banco Roela SA - Rosario de Santa Fe 275 - Barrio Centro Sur 5000 - Córdoba - CUIT 30-53561044-0</t>
  </si>
  <si>
    <t>Banco Credicoop Cooperativo Ltdo. - Reconquista 484 - CABA - CUIT 30-57142135-2</t>
  </si>
  <si>
    <t>AFIP - Defensa 192 - CABA - CUIT 33-69345023-9</t>
  </si>
  <si>
    <t>Input Control de Mtz Seguridad SRL - Av. Fleming 2347- Martínez - Bs. As. - CUIT 30-71470338-9</t>
  </si>
  <si>
    <t>Allianz Arg. Cía. De Seguros SA - Av. Corrientes 299 - CABA - CUIT 30-50003721-7</t>
  </si>
  <si>
    <t>Metrogas SA - Gral. Gregorio Araoz de Lamadrid 1360 - CABA - CUIT 30-65786367-6</t>
  </si>
  <si>
    <t>Mariana Lorena Ferreiro - Av. Belgrano 495 - Avellaneda - CUIT 27-26023414-0</t>
  </si>
  <si>
    <t>Destapaciones Roman de Michalyk Román Ariel - Warnes 1590 - Lanús - CUIT 20-29041504-8</t>
  </si>
  <si>
    <t>CONSORCIO DE PROPIETARIOS ITALIA 2156</t>
  </si>
  <si>
    <t xml:space="preserve">Aumento de encargados </t>
  </si>
  <si>
    <t>PB - A POLICHISO RAMOS</t>
  </si>
  <si>
    <t>PB - B BATTISTA OMAR R.</t>
  </si>
  <si>
    <t>PB - C DIDIER OLGA</t>
  </si>
  <si>
    <t>PB - D XHARDEZ MARIA A.</t>
  </si>
  <si>
    <t>PB - E BRANDAN OSVALDO</t>
  </si>
  <si>
    <t>1 A VEGA RICARDO</t>
  </si>
  <si>
    <t>1 B ASTARITA SUSANA L.</t>
  </si>
  <si>
    <t>1 C GUGLIELMINI ANA M.</t>
  </si>
  <si>
    <t>1 D SCARPATI LORENA P.</t>
  </si>
  <si>
    <t>1 E BAZAN JOSE</t>
  </si>
  <si>
    <t>1 F KRAJCIR ERNESTO</t>
  </si>
  <si>
    <t>1 G AGOSTINI ALONSO</t>
  </si>
  <si>
    <t>2 A LORENA ELIZABETH CASSERO</t>
  </si>
  <si>
    <t>2 B BOQUETE ALFREDO</t>
  </si>
  <si>
    <t>2 C DESIMONE ROBERTO</t>
  </si>
  <si>
    <t>2 D KERULIS SILVIA</t>
  </si>
  <si>
    <t>2 E GARCIA SILVIA</t>
  </si>
  <si>
    <t>2 F LOPEZ MERCEDES R.</t>
  </si>
  <si>
    <t>2 G MENDEZ JORGE O.</t>
  </si>
  <si>
    <t>3 A POLLIO RICARDO</t>
  </si>
  <si>
    <t>3 B WASZNIEWSKI G.</t>
  </si>
  <si>
    <t>3 C DESTEFANO ABUD</t>
  </si>
  <si>
    <t xml:space="preserve">3 D GARCIA MANUELA </t>
  </si>
  <si>
    <t>3 E LASTIRI DANIELA</t>
  </si>
  <si>
    <t>3 F LOPEZ ESTEBAN</t>
  </si>
  <si>
    <t>3 G FONDACARO FEDERICO</t>
  </si>
  <si>
    <t>4 A FERNANDEZ LUCAS M.</t>
  </si>
  <si>
    <t>4 B FRIDMAN J. Y SRA.</t>
  </si>
  <si>
    <t>4 C FERREIRA DE SOUSA</t>
  </si>
  <si>
    <t>4 D DIAZ PETRONA A.</t>
  </si>
  <si>
    <t>4 E XHARDEZ MARIA E.</t>
  </si>
  <si>
    <t>4 F WASINGER ADRIANA B.</t>
  </si>
  <si>
    <t>4 G OLIVERA LORENZO</t>
  </si>
  <si>
    <t>5 A EL FASAH JORGE</t>
  </si>
  <si>
    <t>5 B DAMONTE ANDREA</t>
  </si>
  <si>
    <t>5 C LOPEZ MARCEL MABEL</t>
  </si>
  <si>
    <t>5 D BANFI SILVIA R.</t>
  </si>
  <si>
    <t>5 E BUCETA M. ARACELI</t>
  </si>
  <si>
    <t>5 F BARABALLE OSCAR</t>
  </si>
  <si>
    <t>5 G IRAZABAL SUEIRO</t>
  </si>
  <si>
    <t>6 A MILLEFANTI CARINA</t>
  </si>
  <si>
    <t>6 B SETTE HORACIO Y SRA.</t>
  </si>
  <si>
    <t>6 D BALBIN BEATRIZ DE</t>
  </si>
  <si>
    <t>6 E LEVY JORGE OSVALDO</t>
  </si>
  <si>
    <t>6 F KUZIEMSKI ANGELICA</t>
  </si>
  <si>
    <t>6 G TULIPANI ANGELICA</t>
  </si>
  <si>
    <t>7 A OLIVERA JORGE</t>
  </si>
  <si>
    <t>7 B GASCON PAOLA V.</t>
  </si>
  <si>
    <t>7 C CASTALDI GUSTAVO</t>
  </si>
  <si>
    <t>7 D SCUNIO HECTOR F.</t>
  </si>
  <si>
    <t>7 E RODRIGUEZ FERNANDO</t>
  </si>
  <si>
    <t>7 F MAONE OSVALDO</t>
  </si>
  <si>
    <t>7 G MORALES MIRIAM M.</t>
  </si>
  <si>
    <t>8 A SANTOS PASCUAL</t>
  </si>
  <si>
    <t>8 B FANELLI EDITH</t>
  </si>
  <si>
    <t>8 C KRUK ANA MARIA</t>
  </si>
  <si>
    <t>8 D RIOS ELIDA</t>
  </si>
  <si>
    <t>8 E ALEJO HORACIO</t>
  </si>
  <si>
    <t>8 F BOSSETTI CARLOS E.</t>
  </si>
  <si>
    <t>8 G DE MATO Y SORRENTI</t>
  </si>
  <si>
    <t>9 A SANTOS CARDOZO</t>
  </si>
  <si>
    <t>9 B BELIZAN RUBEN OMAR</t>
  </si>
  <si>
    <t>9 C LOMBARDO MARIA DEL</t>
  </si>
  <si>
    <t>9 D CALVIÑO LUCAS</t>
  </si>
  <si>
    <t>9 E NOE FRANCISCO N.</t>
  </si>
  <si>
    <t>9 F DE MOGLIONI LORENZO</t>
  </si>
  <si>
    <t>9 G MOLINA AMANDA</t>
  </si>
  <si>
    <t>10 A CARBAJALES JOSE</t>
  </si>
  <si>
    <t>10 B RAMOS ALBERTO</t>
  </si>
  <si>
    <t>10 C NANI DEL VALLE J.</t>
  </si>
  <si>
    <t>10 D DE ALBA MARIA L.</t>
  </si>
  <si>
    <t>10 E LANZILLOTA DIEGO J.</t>
  </si>
  <si>
    <t>10 F PEDROUZO JORGE LUIS</t>
  </si>
  <si>
    <t>10 G FANELLI EDITH</t>
  </si>
  <si>
    <t>11 A LEOPARDI A.</t>
  </si>
  <si>
    <t>11 B VILARDO LILIANA</t>
  </si>
  <si>
    <t>11 C LODICO HORACIO</t>
  </si>
  <si>
    <t>11 D ANTUNEZ RUBEN</t>
  </si>
  <si>
    <t>11 E MIRAGAYA JORGE OMAR</t>
  </si>
  <si>
    <t>11 F ANTUNEZ RUBEN DANIEL</t>
  </si>
  <si>
    <t>11 G POLONI JOSE</t>
  </si>
  <si>
    <t>12 A TORRES G. ZULLY</t>
  </si>
  <si>
    <t>12 B BALLESTEROS SENCIO</t>
  </si>
  <si>
    <t>12 C SABHA DANIEL</t>
  </si>
  <si>
    <t>12 D LANNI KARINA PAOLA</t>
  </si>
  <si>
    <t>12 E DAVILA JUAN</t>
  </si>
  <si>
    <t>12 F SUC. DE F. CAMPOS</t>
  </si>
  <si>
    <t>12 G NOSACH SERGIO</t>
  </si>
  <si>
    <t>12 E COCHERA F. DAVILA JUAN</t>
  </si>
  <si>
    <t>11 G COCHERA N. POLONI JOSE</t>
  </si>
  <si>
    <t>11 A COCHERA E LEOPARDI A.</t>
  </si>
  <si>
    <t>8 E COCHERA G. ALEJO HORACIO</t>
  </si>
  <si>
    <t>5 C COCHERA L. LOPEZ MARCELO</t>
  </si>
  <si>
    <t>4 E COCHERA D. XHARDEZ MARCELO</t>
  </si>
  <si>
    <t>4 B COCHERA FRIDMAN J. Y SRA.</t>
  </si>
  <si>
    <t>3 B COCHERA WASZNIEWSKI G.</t>
  </si>
  <si>
    <t>7 B COCHERA C. GASCON P. V.</t>
  </si>
  <si>
    <t>2 G COCHERA MENDEZ JORGE O.</t>
  </si>
  <si>
    <t>2 C COCHERA J. ALEJO HORACIO</t>
  </si>
  <si>
    <t>1 E COCHERA H. BAZAN JOSE</t>
  </si>
  <si>
    <t xml:space="preserve">PB D COCHERA M. XHARDEZ MARCELO </t>
  </si>
  <si>
    <t>Coef.   A</t>
  </si>
  <si>
    <t>Coef. B</t>
  </si>
  <si>
    <t>Suscripción al Períodico Acción</t>
  </si>
  <si>
    <t>Municipalidad Avellaneda - Impuesto Motores - Cuota 2/2</t>
  </si>
  <si>
    <t>Edesur S.A. - Cta. 03024290 - Medidor 007613287 - Período 22/8/24  al</t>
  </si>
  <si>
    <t>21/10/24 - F. 050137406257</t>
  </si>
  <si>
    <t>Metrogas S.A. - Cta. 020065934100 - Período          - F. 0200659341100</t>
  </si>
  <si>
    <t>Ingresos no identificados</t>
  </si>
  <si>
    <t>117411,-</t>
  </si>
  <si>
    <t>117415,-</t>
  </si>
  <si>
    <t>117412,-</t>
  </si>
  <si>
    <t>44500,-</t>
  </si>
  <si>
    <t>118000,-</t>
  </si>
  <si>
    <t>514738,-</t>
  </si>
  <si>
    <t>Número de Cuenta: Cta. Cte. $ 191-054-034938/2</t>
  </si>
  <si>
    <t>Número de Cuenta: 0000020193/2</t>
  </si>
  <si>
    <t xml:space="preserve">Identificación de la cuenta: </t>
  </si>
  <si>
    <t>: 2470001810000002019324</t>
  </si>
  <si>
    <t>CC $ 191-054-0349938/2</t>
  </si>
  <si>
    <t>1910054455005403493828</t>
  </si>
  <si>
    <t>30-56229064-4</t>
  </si>
  <si>
    <t>Cesar Alberto Britez - CUIL 20-23524002-6 - Mes 12/2024</t>
  </si>
  <si>
    <t>6 C LEOBONO MIRIAM G,</t>
  </si>
  <si>
    <t>Depósito filial piñeyro</t>
  </si>
  <si>
    <t>Banco Credicoop</t>
  </si>
  <si>
    <t>Banco Roela</t>
  </si>
  <si>
    <t>:  1910054455005403493828</t>
  </si>
  <si>
    <t>Ascensores Andes SRL -</t>
  </si>
  <si>
    <t>Vacaciones (28 días)</t>
  </si>
  <si>
    <t>Descuento Días Vacaciones (28 días)</t>
  </si>
  <si>
    <t>AFIP - Plan de Facilidades de Pago - Cuota 32/60</t>
  </si>
  <si>
    <t>AFIP - Plan de Facilidades de Pago - Cuota 51/53</t>
  </si>
  <si>
    <t>Suterh - 1/2025</t>
  </si>
  <si>
    <t>Fateryh - 1/2025</t>
  </si>
  <si>
    <t>Seracarh - 1/2025</t>
  </si>
  <si>
    <t>Suplencia Yesica Sara Gonzalez</t>
  </si>
  <si>
    <t>Abono ascensor 2/25 - Andes Elevadores - F. 0004-00008676</t>
  </si>
  <si>
    <t xml:space="preserve">Reparación en ascensor 3: provisión y colocación de un patín retractil </t>
  </si>
  <si>
    <t>completo por rotura del existente - F. 0004-00008751</t>
  </si>
  <si>
    <t xml:space="preserve">Reparación en ascensor 3: provisión y colocación de nueva cerradura </t>
  </si>
  <si>
    <t>de piso por rotura de la existente</t>
  </si>
  <si>
    <t xml:space="preserve">Mariana Lorena Ferreiro - Honorarios Profesionales - Mes 2/25 - F. </t>
  </si>
  <si>
    <t>00006-00000156</t>
  </si>
  <si>
    <t>Período 1/2025 - F. 0003-0000</t>
  </si>
  <si>
    <t>Honorarios Administración Arias Mirta - Mes  1 /2 - F. 0004-000001</t>
  </si>
  <si>
    <t>Aysa S.A. - Cta. Servicios 3479114 - Período  - F. 0110B49968482</t>
  </si>
  <si>
    <t xml:space="preserve">A RECAUDAR  MES DE MARZO 2025 :  $ </t>
  </si>
  <si>
    <t>Ingreso SIN IDENTIFICAR</t>
  </si>
  <si>
    <t>Honorarios a cobrar</t>
  </si>
  <si>
    <t>TO, O INFORMAR POR MAIL EL PAGO DE LA EXPENSA INDICANDO EL PISO,</t>
  </si>
  <si>
    <t>DEPARTAMENTO E IMPORTE ABONADO, GRACIAS,</t>
  </si>
  <si>
    <t>IMPORTANTE ABONAR CON LOS CENTAVOS IDENTIFICA EL DEPARTAMEN-</t>
  </si>
  <si>
    <t>arias.mirta@gmail.com</t>
  </si>
  <si>
    <t>Mendez Evangelina</t>
  </si>
  <si>
    <t>Alan G. Lares</t>
  </si>
  <si>
    <t>LIQUIDACION DE EXPENSAS</t>
  </si>
  <si>
    <t>ADMINISTRADORA: CAROLINA CANCIANI MP:1148</t>
  </si>
  <si>
    <t>HORARIOS DE ATENCION: LUNES A VIERNES</t>
  </si>
  <si>
    <t>10 A 16HS - EMERGENCIAS 24HS</t>
  </si>
  <si>
    <t>ESTIMADOS PROPIETARIOS E INQUILINOS: POR FAVOR LOS QUE ABONAN EN PRIMER VENCIMIENTO ABONEN EL MONTO DE PRIMER VENCIMIENTO, ASI AGILIZAN LA LIQUIDACION, RESPETEN LOS CENTAVOS CORRESPONDIENTES A LA UNIDAD FUNCIONAL. ES DE CARÁCTER OBLIGATORIO INFORMAR VIA MAIL LAS EXPENSAS. PORFAVOR RESPETAR LOS CENTAVOS AL ABONAR.</t>
  </si>
  <si>
    <t>GASTOS A - UNIDADES FUNCIONALES:</t>
  </si>
  <si>
    <t xml:space="preserve">TOTAL </t>
  </si>
  <si>
    <t xml:space="preserve">SEGUROS </t>
  </si>
  <si>
    <t>TOTAL IMPUESTO</t>
  </si>
  <si>
    <t>ABONOS Y SERVICIOS</t>
  </si>
  <si>
    <t>Edesur</t>
  </si>
  <si>
    <t>Metrogas</t>
  </si>
  <si>
    <t>AySa</t>
  </si>
  <si>
    <t>Servicio de interet Claro</t>
  </si>
  <si>
    <t>TOTAL ABONOS Y SERVICIOS</t>
  </si>
  <si>
    <t>HONORARIOS</t>
  </si>
  <si>
    <t>GASTOS BANCARIOS</t>
  </si>
  <si>
    <t>PREVISION GASTOS A</t>
  </si>
  <si>
    <t>TOTAL GASTOS A</t>
  </si>
  <si>
    <t>GASTOS B:</t>
  </si>
  <si>
    <t>PREVISION GASTOS B</t>
  </si>
  <si>
    <t>TOTAL GASTOS B:</t>
  </si>
  <si>
    <t>GASTOS A + PREVISION (A) :</t>
  </si>
  <si>
    <t>GASTOS A SIN PREVISION:</t>
  </si>
  <si>
    <t>GASTOS B SIN PREVISION:</t>
  </si>
  <si>
    <t>GASTOS B CON PREVISION (B):</t>
  </si>
  <si>
    <t>Pagos sin identificar</t>
  </si>
  <si>
    <t>DEPOSITOS NO IDENTIFICADOS</t>
  </si>
  <si>
    <t>Gastos B</t>
  </si>
  <si>
    <t>Gastos A</t>
  </si>
  <si>
    <t>UF</t>
  </si>
  <si>
    <t>Propietario</t>
  </si>
  <si>
    <t>Inquilinos</t>
  </si>
  <si>
    <t xml:space="preserve"> (%)</t>
  </si>
  <si>
    <t xml:space="preserve">Saldo Ord </t>
  </si>
  <si>
    <t xml:space="preserve">Ingreso </t>
  </si>
  <si>
    <t>Deuda o Saldo a favor</t>
  </si>
  <si>
    <t>Interes 3%</t>
  </si>
  <si>
    <t>Total 1er Vto</t>
  </si>
  <si>
    <t>Total 2do Vto</t>
  </si>
  <si>
    <t xml:space="preserve">CONS. DE PROP. ITALIA 2156                                                                                                                                                                    
</t>
  </si>
  <si>
    <t xml:space="preserve">Cesar Alberto Britez - CUIL 20-23524002-6 </t>
  </si>
  <si>
    <t>IMPUESTOS</t>
  </si>
  <si>
    <t>TOTAL IMPUESTOS</t>
  </si>
  <si>
    <t>Sindicato - Suther</t>
  </si>
  <si>
    <t>Sindicato - Fathery</t>
  </si>
  <si>
    <t>Sindicato - Seracarh</t>
  </si>
  <si>
    <t>Allianz Arg. Cía. De Seguros - Seguro Integral del Edificio - Póliza Nro. 230230731426</t>
  </si>
  <si>
    <t>Allianz Arg. Cía. De Seguros - Seguro Combinado Familiar - Póliza Nro.  240150822164</t>
  </si>
  <si>
    <t xml:space="preserve">Egresos del mes </t>
  </si>
  <si>
    <t>TOTAL GASTOS B</t>
  </si>
  <si>
    <t xml:space="preserve">MAIL: italia2156rc@gmail.com
</t>
  </si>
  <si>
    <t>NÚMERO DE CUENTA: Cta. Cte. $ 191-054-034938/2 - BANCO CREDICOP - CBU : 1910054455005403493828</t>
  </si>
  <si>
    <t>CUIT DEL EDIFICIO: 30-56229064-4</t>
  </si>
  <si>
    <t>CUIT ADMINISTRACION:  27-23125687-9</t>
  </si>
  <si>
    <t>Mantenimiento de cuenta - Banco ROELA</t>
  </si>
  <si>
    <t>Gastos bancarios - ROELA</t>
  </si>
  <si>
    <t>Mantenimiento de cuenta - Banco Credicop</t>
  </si>
  <si>
    <t>Gastos bancarios - Credicop</t>
  </si>
  <si>
    <t>ARCA VEP</t>
  </si>
  <si>
    <t>Municipalidad de avellaneda</t>
  </si>
  <si>
    <t>Silvana Valeria Arredondo</t>
  </si>
  <si>
    <t>Deposita  - Angelica Kuziemski</t>
  </si>
  <si>
    <t>Cartegena Silvia jaqueline</t>
  </si>
  <si>
    <t>Olivera Martin Sebastian</t>
  </si>
  <si>
    <t>Matias Ragmilevich</t>
  </si>
  <si>
    <t>Tiene la cochera uf 100</t>
  </si>
  <si>
    <t>Paola Massielainy</t>
  </si>
  <si>
    <t>QUIENES ESTAN COLOREADOS DE COLOR VIOLETA NO ESTAN RESPETANDO LOS CENTAVOS AL ABONAR</t>
  </si>
  <si>
    <t>QUIENES ESTAN EN COLOR ROSADO POSEEN UN PLAN DE PAGOS VIGENTE</t>
  </si>
  <si>
    <t>¡IMPORTANTE!                                                                                                                                                                                                                                                                                                                                                                    Al momento de registrar los pagos de expensas de las distintas Unidades Funcionales, consideramos importante aclarar el siguiente procedimiento, a fin de evitar confusiones en la imputación de los mismos.
El sistema que utilizamos asigna centavos únicos a cada Unidad Funcional (UF), los cuales funcionan como un identificador automático para reconocer a qué Unidad Funcional corresponde cada transferencia.
Es decir, cada Unidad Funcional tiene asignado un número específico de centavos que debe respetarse al momento de realizar el pago.
Ejemplo: Si la Unidad Funcional es la N.º 45, el importe a abonar deberá finalizar en $,45.
En caso de poseer más de una Unidad Funcional, cada una contará con su propio código de centavos. En estas situaciones, solicitamos realizar una transferencia individual por cada UF, respetando el importe y los centavos correspondientes a cada una.
Entendemos que, por una cuestión de practicidad, a veces se opta por realizar una única transferencia, pero esto puede generar errores o demoras en la imputación automática de los pagos. La separación de los mismos nos permite llevar un control ordenado y preciso.
Por lo expuesto, solicitamos encarecidamente que, a partir de ahora, todas las transferencias se realicen respetando los centavos asignados a la Unidad Funcional correspondiente, a fin de asegurar su correcta imputación.
Agradecemos desde ya su colaboración y comprensión.
Muchas gracias.</t>
  </si>
  <si>
    <t>Efectivo</t>
  </si>
  <si>
    <t>SALDO REAL RECIBIDO - BANCO ROELA - CREDICOP Y EFECTIVO</t>
  </si>
  <si>
    <t xml:space="preserve">CAJA DE BANCOS </t>
  </si>
  <si>
    <t>PERÍODO: ENERO</t>
  </si>
  <si>
    <t>Haberes</t>
  </si>
  <si>
    <t>Descuentos</t>
  </si>
  <si>
    <t>Debito 12/01 Cred.</t>
  </si>
  <si>
    <t>Sra. Abogada Lorena Ferreiro - Honorarios</t>
  </si>
  <si>
    <t>Transf 13/01 Cred.</t>
  </si>
  <si>
    <t>Ingreso efectivo - Cuota 3/24 - Plan de pagos 3A</t>
  </si>
  <si>
    <t>Gustavo Padron -  Sr. Contador - Diciembre y Enero</t>
  </si>
  <si>
    <t>Sr. Romanatti - Escribano</t>
  </si>
  <si>
    <t>Compra de plaqueta para Ascensor numero uno</t>
  </si>
  <si>
    <t>Transf 26/01 Cred.</t>
  </si>
  <si>
    <t>Abono ascensor - Lema Ascensores - Mantenimiento</t>
  </si>
  <si>
    <t xml:space="preserve">Arias Mirta - Liquidacion de ARCA </t>
  </si>
  <si>
    <t>Montoya Alejandra - Articulos de limpieza</t>
  </si>
  <si>
    <t>Destapacion Roman - Cuota 2 y 3</t>
  </si>
  <si>
    <t xml:space="preserve">Envio Carta de documento Sra. Encargada </t>
  </si>
  <si>
    <t>Transf 16/01 Cred.</t>
  </si>
  <si>
    <t>Debito 16/01 Cred.</t>
  </si>
  <si>
    <t xml:space="preserve">InOut Control - Comodato control y camaras (Octubre, noviembre y diciembre) </t>
  </si>
  <si>
    <t>Doartero julio - Trabajo de emergencia plomeria 4A</t>
  </si>
  <si>
    <t>Suarez Agustin Ignacio - Fumigacion diciembre y enero</t>
  </si>
  <si>
    <t>Doartero julio - Reparacion de caño de entrada de agua al deposito de baño</t>
  </si>
  <si>
    <t>Transf 29/01 Cred.</t>
  </si>
  <si>
    <t>Doartero julio - Ajuste de medidores sala de gas dia 30/01</t>
  </si>
  <si>
    <t>Transf 30/01 Cred.</t>
  </si>
  <si>
    <t>Debito 26/01 Cred.</t>
  </si>
  <si>
    <t>Sr. Lucas reemplazo Vacaciones Sr. Cesar</t>
  </si>
  <si>
    <t>Honorarios Sr. Lucas</t>
  </si>
  <si>
    <t>ARCA - Plan de pago - Cuota 42/60</t>
  </si>
  <si>
    <t>Honorarios administracion - Mes de enero</t>
  </si>
  <si>
    <t>Honorarios administracion - Mes de Diciembre</t>
  </si>
  <si>
    <t>Oscar Colmeiro - Adelanto obra plomeria</t>
  </si>
  <si>
    <t>Transf 31/01 Cred.</t>
  </si>
  <si>
    <t>¡DEPOSITOS SOLO EN EL CREDICOP PORFAVOR!</t>
  </si>
  <si>
    <t>Debito ROELA 02/01</t>
  </si>
  <si>
    <t>Debito ROELA 06/01</t>
  </si>
  <si>
    <t>Debito ROELA 08/01</t>
  </si>
  <si>
    <t>Debito ROELA 20/01</t>
  </si>
  <si>
    <t>Debito ROELA 21/01</t>
  </si>
  <si>
    <t>07/01 - Transferencia Farruggia Juan Ignacio</t>
  </si>
  <si>
    <t>Deposito ya identificado 8C</t>
  </si>
  <si>
    <t>Punitorios mal cobrados  8C</t>
  </si>
  <si>
    <t>Deposito 13/01</t>
  </si>
  <si>
    <t>4 E COCHERA XHARDEZ MARIA EUGENIA</t>
  </si>
  <si>
    <t>● alejandraaalejo@yahoo.com.ar para agregar a la cadena de italia
● karinalanni16@gmail.com  para incorporar en la cadena de mails de italia del mes proximos
● Agregar cadena de mails: marcela65bossetti@gmail.com - 
             lucas_lc1@icloud.com
borromeo22@hotmail.com
altgenug@gmail.com</t>
  </si>
  <si>
    <t>AYALA GASTON</t>
  </si>
  <si>
    <t>Deposito ya identificado 4D</t>
  </si>
  <si>
    <t>Fernando daniel Minxxo</t>
  </si>
  <si>
    <t>Silvana Valeria Arredondo - Braian Brito</t>
  </si>
  <si>
    <t>Taiel Alejandro Biscarra</t>
  </si>
  <si>
    <t>Deposito ya identificado 9D</t>
  </si>
  <si>
    <t>Lema - acortamiento de cables de acero . previo dispositivo de suspender la cabina con un aparejo desmontar los cables de la polea para hacer el acortamiento de los cables de acero .
Se Trabajo con los umbrales de P.B y dela cabina planchando los umbrales de cabina y en paliers.</t>
  </si>
  <si>
    <t>Ascensores Lema -  se realizo el desmonte completo del regulador de velocidad debido a que se doblaron los soportes del caballete del regulador .
Tuvimos que usar el regulador original acoplarlo y regularlo ,
Aclaramos se deberá cambiarlo 
Pusimos en posición los guiadores de abajo del contrapeso y los suplementamos para que  no se vuelvan  a salir de posición en el ascensor del medio .</t>
  </si>
  <si>
    <t>Transf 26/01 y Efectivo</t>
  </si>
  <si>
    <t>Doartero julio - Trabajo de emergencia plomeria 1F</t>
  </si>
  <si>
    <t>Diferencia mes anterior Sueldo Sr. Cesar por atraso en traspaso de cuenta (INCLUYE SAC)</t>
  </si>
  <si>
    <t xml:space="preserve">
● UF 71: transferencias sin identificar meses anteriores (noviembre y diciembre)
</t>
  </si>
  <si>
    <t>EL 12A Y 12 B TIENE GASTOS (QUE PAGARON ELLOS ) PENDIENTES QUE LES PONGAMOS COMO INGRESO DEL ASCENSOR. DEBEMOS AGREGARLE $272.252 A CADA UNO</t>
  </si>
  <si>
    <t>marcela65bossetti@gmail.com
             lucas_lc1@icloud.com
borromeo22@hotmail.com
altgenug@gmail.com karinalanni16@gmail.com alejandraaalejo@yahoo.com.ar</t>
  </si>
  <si>
    <t>VTO 18/02</t>
  </si>
  <si>
    <t>El 8vo e junto con las cocheras G y J habia abonado el  mes anterior 239.116,53 como un boludo. Nosotros le pusimos ese pago a la UF 53. Hay que quitarselo. El VO e y sus socheras debe abonar:</t>
  </si>
  <si>
    <t>8vo E</t>
  </si>
  <si>
    <t>Cochcera G</t>
  </si>
  <si>
    <t>Cochera J</t>
  </si>
  <si>
    <t>El 2C habia abonado el mes anterior $250.932,15 - Lo pusimos impago - Debe abonar $123.612,15 y los abono</t>
  </si>
  <si>
    <t xml:space="preserve">El 8C deposito el 10/02 $120.000 </t>
  </si>
  <si>
    <t>Macarena Crespo nueva inquilina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</si>
</sst>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quot;$&quot;\ #,##0.00;[Red]\-&quot;$&quot;\ #,##0.00"/>
    <numFmt numFmtId="44" formatCode="_-&quot;$&quot;\ * #,##0.00_-;\-&quot;$&quot;\ * #,##0.00_-;_-&quot;$&quot;\ * &quot;-&quot;??_-;_-@_-"/>
    <numFmt numFmtId="43" formatCode="_-* #,##0.00_-;\-* #,##0.00_-;_-* &quot;-&quot;??_-;_-@_-"/>
    <numFmt numFmtId="164" formatCode="mmm\-yyyy"/>
    <numFmt numFmtId="165" formatCode="0.0000"/>
    <numFmt numFmtId="166" formatCode="#,##0.0000"/>
    <numFmt numFmtId="167" formatCode="_-&quot;$&quot;\ * #,##0.0_-;\-&quot;$&quot;\ * #,##0.0_-;_-&quot;$&quot;\ * &quot;-&quot;??_-;_-@_-"/>
    <numFmt numFmtId="168" formatCode="_-[$$-2C0A]\ * #,##0.0_-;\-[$$-2C0A]\ * #,##0.0_-;_-[$$-2C0A]\ * &quot;-&quot;??_-;_-@_-"/>
    <numFmt numFmtId="169" formatCode="_-[$$-2C0A]\ * #,##0.00_-;\-[$$-2C0A]\ * #,##0.00_-;_-[$$-2C0A]\ * &quot;-&quot;??_-;_-@_-"/>
    <numFmt numFmtId="170" formatCode="_-&quot;$&quot;\ * #,##0_-;\-&quot;$&quot;\ * #,##0_-;_-&quot;$&quot;\ * &quot;-&quot;??_-;_-@_-"/>
    <numFmt numFmtId="171" formatCode="0.000"/>
  </numFmts>
  <fonts count="34" x14ac:knownFonts="1">
    <font>
      <sz val="11"/>
      <color theme="1"/>
      <name val="Calibri"/>
      <family val="2"/>
      <scheme val="minor"/>
    </font>
    <font>
      <b/>
      <sz val="11"/>
      <color theme="1"/>
      <name val="Calibri"/>
      <family val="2"/>
      <scheme val="minor"/>
    </font>
    <font>
      <sz val="7"/>
      <color theme="1"/>
      <name val="Calibri"/>
      <family val="2"/>
      <scheme val="minor"/>
    </font>
    <font>
      <b/>
      <sz val="7"/>
      <color theme="1"/>
      <name val="Calibri"/>
      <family val="2"/>
      <scheme val="minor"/>
    </font>
    <font>
      <b/>
      <sz val="10"/>
      <color theme="1"/>
      <name val="Calibri"/>
      <family val="2"/>
      <scheme val="minor"/>
    </font>
    <font>
      <b/>
      <sz val="9"/>
      <color theme="1"/>
      <name val="Calibri"/>
      <family val="2"/>
      <scheme val="minor"/>
    </font>
    <font>
      <sz val="10"/>
      <color theme="1"/>
      <name val="Calibri"/>
      <family val="2"/>
      <scheme val="minor"/>
    </font>
    <font>
      <b/>
      <sz val="14"/>
      <color theme="1"/>
      <name val="Calibri"/>
      <family val="2"/>
      <scheme val="minor"/>
    </font>
    <font>
      <b/>
      <sz val="14"/>
      <color theme="1"/>
      <name val="Brush Script MT"/>
      <family val="4"/>
    </font>
    <font>
      <b/>
      <sz val="11"/>
      <color theme="1"/>
      <name val="Brush Script MT"/>
      <family val="4"/>
    </font>
    <font>
      <b/>
      <sz val="12"/>
      <color theme="1"/>
      <name val="Calibri"/>
      <family val="2"/>
      <scheme val="minor"/>
    </font>
    <font>
      <b/>
      <sz val="8"/>
      <color theme="1"/>
      <name val="Calibri"/>
      <family val="2"/>
      <scheme val="minor"/>
    </font>
    <font>
      <sz val="14"/>
      <color theme="1"/>
      <name val="Calibri"/>
      <family val="2"/>
      <scheme val="minor"/>
    </font>
    <font>
      <b/>
      <u/>
      <sz val="11"/>
      <color theme="1"/>
      <name val="Calibri"/>
      <family val="2"/>
      <scheme val="minor"/>
    </font>
    <font>
      <b/>
      <sz val="18"/>
      <color theme="1"/>
      <name val="Calibri"/>
      <family val="2"/>
      <scheme val="minor"/>
    </font>
    <font>
      <u/>
      <sz val="11"/>
      <color theme="10"/>
      <name val="Calibri"/>
      <family val="2"/>
    </font>
    <font>
      <b/>
      <u/>
      <sz val="18"/>
      <color theme="10"/>
      <name val="Calibri"/>
      <family val="2"/>
    </font>
    <font>
      <sz val="11"/>
      <color theme="1"/>
      <name val="Calibri"/>
      <family val="2"/>
      <scheme val="minor"/>
    </font>
    <font>
      <b/>
      <sz val="11"/>
      <color theme="0"/>
      <name val="Calibri"/>
      <family val="2"/>
      <scheme val="minor"/>
    </font>
    <font>
      <sz val="11"/>
      <color rgb="FFFF0000"/>
      <name val="Calibri"/>
      <family val="2"/>
      <scheme val="minor"/>
    </font>
    <font>
      <b/>
      <sz val="16"/>
      <color theme="1"/>
      <name val="Calibri"/>
      <family val="2"/>
      <scheme val="minor"/>
    </font>
    <font>
      <b/>
      <i/>
      <u/>
      <sz val="11"/>
      <color theme="1"/>
      <name val="Calibri"/>
      <family val="2"/>
      <scheme val="minor"/>
    </font>
    <font>
      <b/>
      <i/>
      <u/>
      <sz val="11"/>
      <name val="Calibri"/>
      <family val="2"/>
      <scheme val="minor"/>
    </font>
    <font>
      <b/>
      <i/>
      <u/>
      <sz val="10"/>
      <color theme="1"/>
      <name val="Calibri"/>
      <family val="2"/>
      <scheme val="minor"/>
    </font>
    <font>
      <sz val="11"/>
      <name val="Calibri"/>
      <family val="2"/>
      <scheme val="minor"/>
    </font>
    <font>
      <sz val="10"/>
      <name val="Calibri"/>
      <family val="2"/>
      <scheme val="minor"/>
    </font>
    <font>
      <b/>
      <sz val="11"/>
      <name val="Calibri"/>
      <family val="2"/>
      <scheme val="minor"/>
    </font>
    <font>
      <sz val="9"/>
      <name val="Calibri"/>
      <family val="2"/>
      <scheme val="minor"/>
    </font>
    <font>
      <b/>
      <sz val="10"/>
      <name val="Calibri"/>
      <family val="2"/>
      <scheme val="minor"/>
    </font>
    <font>
      <sz val="9"/>
      <color theme="1"/>
      <name val="Calibri"/>
      <family val="2"/>
      <scheme val="minor"/>
    </font>
    <font>
      <sz val="8"/>
      <color theme="1"/>
      <name val="Calibri"/>
      <family val="2"/>
      <scheme val="minor"/>
    </font>
    <font>
      <sz val="8"/>
      <name val="Calibri"/>
      <family val="2"/>
      <scheme val="minor"/>
    </font>
    <font>
      <sz val="8"/>
      <color theme="0"/>
      <name val="Calibri"/>
      <family val="2"/>
      <scheme val="minor"/>
    </font>
    <font>
      <sz val="10"/>
      <color rgb="FFFF0000"/>
      <name val="Calibri"/>
      <family val="2"/>
      <scheme val="minor"/>
    </font>
  </fonts>
  <fills count="16">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C000"/>
        <bgColor indexed="64"/>
      </patternFill>
    </fill>
    <fill>
      <patternFill patternType="solid">
        <fgColor theme="3" tint="0.39997558519241921"/>
        <bgColor indexed="64"/>
      </patternFill>
    </fill>
    <fill>
      <patternFill patternType="solid">
        <fgColor theme="2" tint="-0.249977111117893"/>
        <bgColor indexed="64"/>
      </patternFill>
    </fill>
    <fill>
      <patternFill patternType="solid">
        <fgColor theme="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rgb="FF00B050"/>
        <bgColor indexed="64"/>
      </patternFill>
    </fill>
    <fill>
      <patternFill patternType="solid">
        <fgColor theme="5"/>
        <bgColor indexed="64"/>
      </patternFill>
    </fill>
    <fill>
      <patternFill patternType="solid">
        <fgColor theme="4"/>
        <bgColor indexed="64"/>
      </patternFill>
    </fill>
  </fills>
  <borders count="44">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thin">
        <color indexed="64"/>
      </left>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thin">
        <color indexed="64"/>
      </bottom>
      <diagonal/>
    </border>
  </borders>
  <cellStyleXfs count="3">
    <xf numFmtId="0" fontId="0" fillId="0" borderId="0"/>
    <xf numFmtId="0" fontId="15" fillId="0" borderId="0" applyNumberFormat="0" applyFill="0" applyBorder="0" applyAlignment="0" applyProtection="0">
      <alignment vertical="top"/>
      <protection locked="0"/>
    </xf>
    <xf numFmtId="44" fontId="17" fillId="0" borderId="0" applyFont="0" applyFill="0" applyBorder="0" applyAlignment="0" applyProtection="0"/>
  </cellStyleXfs>
  <cellXfs count="394">
    <xf numFmtId="0" fontId="0" fillId="0" borderId="0" xfId="0"/>
    <xf numFmtId="0" fontId="2" fillId="0" borderId="0" xfId="0" applyFont="1"/>
    <xf numFmtId="0" fontId="0" fillId="0" borderId="0" xfId="0" applyAlignment="1">
      <alignment horizontal="center"/>
    </xf>
    <xf numFmtId="0" fontId="1" fillId="0" borderId="0" xfId="0" applyFont="1" applyAlignment="1">
      <alignment horizontal="center"/>
    </xf>
    <xf numFmtId="0" fontId="1" fillId="0" borderId="5" xfId="0" applyFont="1" applyBorder="1" applyAlignment="1">
      <alignment horizontal="center"/>
    </xf>
    <xf numFmtId="0" fontId="1" fillId="0" borderId="2" xfId="0" applyFont="1" applyBorder="1" applyAlignment="1">
      <alignment horizontal="center"/>
    </xf>
    <xf numFmtId="0" fontId="1" fillId="0" borderId="1" xfId="0" applyFont="1" applyBorder="1" applyAlignment="1">
      <alignment horizontal="center"/>
    </xf>
    <xf numFmtId="0" fontId="1" fillId="0" borderId="6" xfId="0" applyFont="1" applyBorder="1" applyAlignment="1">
      <alignment horizontal="center"/>
    </xf>
    <xf numFmtId="0" fontId="3" fillId="0" borderId="0" xfId="0" applyFont="1"/>
    <xf numFmtId="0" fontId="1" fillId="0" borderId="0" xfId="0" applyFont="1"/>
    <xf numFmtId="4" fontId="0" fillId="0" borderId="6" xfId="0" applyNumberFormat="1" applyBorder="1"/>
    <xf numFmtId="4" fontId="0" fillId="0" borderId="7" xfId="0" applyNumberFormat="1" applyBorder="1"/>
    <xf numFmtId="4" fontId="0" fillId="0" borderId="0" xfId="0" applyNumberFormat="1"/>
    <xf numFmtId="4" fontId="0" fillId="0" borderId="3" xfId="0" applyNumberFormat="1" applyBorder="1"/>
    <xf numFmtId="4" fontId="0" fillId="0" borderId="5" xfId="0" applyNumberFormat="1" applyBorder="1"/>
    <xf numFmtId="0" fontId="5" fillId="0" borderId="5" xfId="0" applyFont="1" applyBorder="1" applyAlignment="1">
      <alignment horizontal="center" vertical="distributed"/>
    </xf>
    <xf numFmtId="0" fontId="5" fillId="0" borderId="12" xfId="0" applyFont="1" applyBorder="1" applyAlignment="1">
      <alignment horizontal="center" vertical="distributed"/>
    </xf>
    <xf numFmtId="4" fontId="1" fillId="0" borderId="1" xfId="0" applyNumberFormat="1" applyFont="1" applyBorder="1"/>
    <xf numFmtId="0" fontId="5" fillId="0" borderId="15" xfId="0" applyFont="1" applyBorder="1" applyAlignment="1">
      <alignment horizontal="center" vertical="center"/>
    </xf>
    <xf numFmtId="0" fontId="5" fillId="0" borderId="1" xfId="0" applyFont="1" applyBorder="1" applyAlignment="1">
      <alignment horizontal="center" vertical="center"/>
    </xf>
    <xf numFmtId="0" fontId="0" fillId="0" borderId="14" xfId="0" applyBorder="1" applyAlignment="1">
      <alignment horizontal="center"/>
    </xf>
    <xf numFmtId="4" fontId="0" fillId="0" borderId="11" xfId="0" applyNumberFormat="1" applyBorder="1" applyAlignment="1">
      <alignment horizontal="right"/>
    </xf>
    <xf numFmtId="165" fontId="0" fillId="0" borderId="11" xfId="0" applyNumberFormat="1" applyBorder="1"/>
    <xf numFmtId="0" fontId="5" fillId="0" borderId="15" xfId="0" applyFont="1" applyBorder="1" applyAlignment="1">
      <alignment horizontal="center" vertical="distributed"/>
    </xf>
    <xf numFmtId="0" fontId="6" fillId="0" borderId="11" xfId="0" applyFont="1" applyBorder="1"/>
    <xf numFmtId="4" fontId="0" fillId="0" borderId="11" xfId="0" applyNumberFormat="1" applyBorder="1"/>
    <xf numFmtId="4" fontId="2" fillId="0" borderId="0" xfId="0" applyNumberFormat="1" applyFont="1"/>
    <xf numFmtId="4" fontId="1" fillId="0" borderId="8" xfId="0" applyNumberFormat="1" applyFont="1" applyBorder="1" applyAlignment="1">
      <alignment horizontal="center"/>
    </xf>
    <xf numFmtId="0" fontId="1" fillId="0" borderId="0" xfId="0" applyFont="1" applyAlignment="1">
      <alignment horizontal="left"/>
    </xf>
    <xf numFmtId="49" fontId="1" fillId="0" borderId="0" xfId="0" applyNumberFormat="1" applyFont="1" applyAlignment="1">
      <alignment horizontal="left"/>
    </xf>
    <xf numFmtId="0" fontId="9" fillId="0" borderId="0" xfId="0" applyFont="1"/>
    <xf numFmtId="4" fontId="1" fillId="0" borderId="1" xfId="0" applyNumberFormat="1" applyFont="1" applyBorder="1" applyAlignment="1">
      <alignment horizontal="center"/>
    </xf>
    <xf numFmtId="0" fontId="5" fillId="0" borderId="0" xfId="0" applyFont="1" applyAlignment="1">
      <alignment horizontal="center" vertical="distributed"/>
    </xf>
    <xf numFmtId="0" fontId="6" fillId="0" borderId="0" xfId="0" applyFont="1"/>
    <xf numFmtId="165" fontId="0" fillId="0" borderId="0" xfId="0" applyNumberFormat="1"/>
    <xf numFmtId="4" fontId="0" fillId="0" borderId="0" xfId="0" applyNumberFormat="1" applyAlignment="1">
      <alignment horizontal="right"/>
    </xf>
    <xf numFmtId="4" fontId="1" fillId="0" borderId="0" xfId="0" applyNumberFormat="1" applyFont="1"/>
    <xf numFmtId="0" fontId="5" fillId="0" borderId="0" xfId="0" applyFont="1" applyAlignment="1">
      <alignment horizontal="center" vertical="center"/>
    </xf>
    <xf numFmtId="0" fontId="4" fillId="0" borderId="0" xfId="0" applyFont="1"/>
    <xf numFmtId="165" fontId="1" fillId="0" borderId="0" xfId="0" applyNumberFormat="1" applyFont="1"/>
    <xf numFmtId="0" fontId="7" fillId="0" borderId="0" xfId="0" applyFont="1"/>
    <xf numFmtId="0" fontId="10" fillId="0" borderId="1" xfId="0" applyFont="1" applyBorder="1" applyAlignment="1">
      <alignment horizontal="center"/>
    </xf>
    <xf numFmtId="164" fontId="10" fillId="0" borderId="1" xfId="0" applyNumberFormat="1" applyFont="1" applyBorder="1" applyAlignment="1">
      <alignment horizontal="center"/>
    </xf>
    <xf numFmtId="0" fontId="6" fillId="0" borderId="11" xfId="0" applyFont="1" applyBorder="1" applyAlignment="1">
      <alignment horizontal="left"/>
    </xf>
    <xf numFmtId="0" fontId="5" fillId="0" borderId="19" xfId="0" applyFont="1" applyBorder="1" applyAlignment="1">
      <alignment horizontal="center" vertical="distributed"/>
    </xf>
    <xf numFmtId="0" fontId="11" fillId="0" borderId="0" xfId="0" applyFont="1" applyAlignment="1">
      <alignment horizontal="center"/>
    </xf>
    <xf numFmtId="0" fontId="0" fillId="0" borderId="2" xfId="0" applyBorder="1"/>
    <xf numFmtId="0" fontId="1" fillId="0" borderId="13" xfId="0" applyFont="1" applyBorder="1"/>
    <xf numFmtId="0" fontId="0" fillId="0" borderId="16" xfId="0" applyBorder="1" applyAlignment="1">
      <alignment horizontal="center"/>
    </xf>
    <xf numFmtId="0" fontId="6" fillId="0" borderId="17" xfId="0" applyFont="1" applyBorder="1"/>
    <xf numFmtId="165" fontId="0" fillId="0" borderId="17" xfId="0" applyNumberFormat="1" applyBorder="1"/>
    <xf numFmtId="4" fontId="0" fillId="0" borderId="17" xfId="0" applyNumberFormat="1" applyBorder="1" applyAlignment="1">
      <alignment horizontal="right"/>
    </xf>
    <xf numFmtId="4" fontId="0" fillId="0" borderId="12" xfId="0" applyNumberFormat="1" applyBorder="1" applyAlignment="1">
      <alignment horizontal="right"/>
    </xf>
    <xf numFmtId="4" fontId="0" fillId="0" borderId="18" xfId="0" applyNumberFormat="1" applyBorder="1" applyAlignment="1">
      <alignment horizontal="right"/>
    </xf>
    <xf numFmtId="4" fontId="0" fillId="0" borderId="20" xfId="0" applyNumberFormat="1" applyBorder="1" applyAlignment="1">
      <alignment horizontal="right"/>
    </xf>
    <xf numFmtId="17" fontId="5" fillId="0" borderId="12" xfId="0" applyNumberFormat="1" applyFont="1" applyBorder="1" applyAlignment="1">
      <alignment horizontal="center" vertical="distributed"/>
    </xf>
    <xf numFmtId="4" fontId="0" fillId="0" borderId="21" xfId="0" applyNumberFormat="1" applyBorder="1"/>
    <xf numFmtId="4" fontId="0" fillId="0" borderId="1" xfId="0" applyNumberFormat="1" applyBorder="1"/>
    <xf numFmtId="0" fontId="0" fillId="0" borderId="7" xfId="0" applyBorder="1" applyAlignment="1">
      <alignment horizontal="left"/>
    </xf>
    <xf numFmtId="0" fontId="1" fillId="0" borderId="9" xfId="0" applyFont="1" applyBorder="1"/>
    <xf numFmtId="4" fontId="1" fillId="2" borderId="1" xfId="0" applyNumberFormat="1" applyFont="1" applyFill="1" applyBorder="1"/>
    <xf numFmtId="4" fontId="1" fillId="0" borderId="21" xfId="0" applyNumberFormat="1" applyFont="1" applyBorder="1" applyAlignment="1">
      <alignment horizontal="center"/>
    </xf>
    <xf numFmtId="4" fontId="0" fillId="0" borderId="9" xfId="0" applyNumberFormat="1" applyBorder="1"/>
    <xf numFmtId="0" fontId="0" fillId="0" borderId="0" xfId="0" applyAlignment="1">
      <alignment horizontal="left"/>
    </xf>
    <xf numFmtId="4" fontId="0" fillId="0" borderId="4" xfId="0" applyNumberFormat="1" applyBorder="1"/>
    <xf numFmtId="2" fontId="0" fillId="0" borderId="0" xfId="0" applyNumberFormat="1"/>
    <xf numFmtId="0" fontId="0" fillId="0" borderId="23" xfId="0" applyBorder="1" applyAlignment="1">
      <alignment horizontal="center"/>
    </xf>
    <xf numFmtId="0" fontId="6" fillId="0" borderId="24" xfId="0" applyFont="1" applyBorder="1"/>
    <xf numFmtId="165" fontId="0" fillId="0" borderId="24" xfId="0" applyNumberFormat="1" applyBorder="1"/>
    <xf numFmtId="4" fontId="0" fillId="0" borderId="24" xfId="0" applyNumberFormat="1" applyBorder="1"/>
    <xf numFmtId="4" fontId="0" fillId="0" borderId="24" xfId="0" applyNumberFormat="1" applyBorder="1" applyAlignment="1">
      <alignment horizontal="right"/>
    </xf>
    <xf numFmtId="0" fontId="0" fillId="0" borderId="11" xfId="0" applyBorder="1" applyAlignment="1">
      <alignment horizontal="center"/>
    </xf>
    <xf numFmtId="166" fontId="1" fillId="0" borderId="27" xfId="0" applyNumberFormat="1" applyFont="1" applyBorder="1" applyAlignment="1">
      <alignment horizontal="right"/>
    </xf>
    <xf numFmtId="4" fontId="1" fillId="0" borderId="27" xfId="0" applyNumberFormat="1" applyFont="1" applyBorder="1" applyAlignment="1">
      <alignment horizontal="right"/>
    </xf>
    <xf numFmtId="4" fontId="1" fillId="0" borderId="28" xfId="0" applyNumberFormat="1" applyFont="1" applyBorder="1" applyAlignment="1">
      <alignment horizontal="right"/>
    </xf>
    <xf numFmtId="0" fontId="5" fillId="0" borderId="29" xfId="0" applyFont="1" applyBorder="1" applyAlignment="1">
      <alignment horizontal="center" vertical="distributed"/>
    </xf>
    <xf numFmtId="4" fontId="0" fillId="0" borderId="29" xfId="0" applyNumberFormat="1" applyBorder="1" applyAlignment="1">
      <alignment horizontal="right"/>
    </xf>
    <xf numFmtId="4" fontId="0" fillId="0" borderId="22" xfId="0" applyNumberFormat="1" applyBorder="1" applyAlignment="1">
      <alignment horizontal="left" vertical="top"/>
    </xf>
    <xf numFmtId="0" fontId="12" fillId="0" borderId="0" xfId="0" applyFont="1"/>
    <xf numFmtId="0" fontId="12" fillId="0" borderId="0" xfId="0" applyFont="1" applyAlignment="1">
      <alignment horizontal="right"/>
    </xf>
    <xf numFmtId="49" fontId="12" fillId="0" borderId="0" xfId="0" applyNumberFormat="1" applyFont="1" applyAlignment="1">
      <alignment horizontal="right"/>
    </xf>
    <xf numFmtId="0" fontId="0" fillId="0" borderId="9" xfId="0" applyBorder="1"/>
    <xf numFmtId="0" fontId="1" fillId="0" borderId="4" xfId="0" applyFont="1" applyBorder="1" applyAlignment="1">
      <alignment horizontal="center"/>
    </xf>
    <xf numFmtId="49" fontId="1" fillId="0" borderId="0" xfId="0" applyNumberFormat="1" applyFont="1" applyAlignment="1">
      <alignment horizontal="right"/>
    </xf>
    <xf numFmtId="2" fontId="0" fillId="0" borderId="12" xfId="0" applyNumberFormat="1" applyBorder="1"/>
    <xf numFmtId="2" fontId="0" fillId="0" borderId="24" xfId="0" applyNumberFormat="1" applyBorder="1"/>
    <xf numFmtId="2" fontId="0" fillId="0" borderId="11" xfId="0" applyNumberFormat="1" applyBorder="1"/>
    <xf numFmtId="2" fontId="0" fillId="0" borderId="25" xfId="0" applyNumberFormat="1" applyBorder="1"/>
    <xf numFmtId="2" fontId="1" fillId="0" borderId="26" xfId="0" applyNumberFormat="1" applyFont="1" applyBorder="1" applyAlignment="1">
      <alignment horizontal="right"/>
    </xf>
    <xf numFmtId="0" fontId="1" fillId="0" borderId="10" xfId="0" applyFont="1" applyBorder="1" applyAlignment="1">
      <alignment horizontal="center"/>
    </xf>
    <xf numFmtId="0" fontId="0" fillId="0" borderId="10" xfId="0" applyBorder="1"/>
    <xf numFmtId="0" fontId="0" fillId="0" borderId="8" xfId="0" applyBorder="1"/>
    <xf numFmtId="4" fontId="1" fillId="0" borderId="30" xfId="0" applyNumberFormat="1" applyFont="1" applyBorder="1" applyAlignment="1">
      <alignment horizontal="right"/>
    </xf>
    <xf numFmtId="17" fontId="0" fillId="0" borderId="0" xfId="0" applyNumberFormat="1"/>
    <xf numFmtId="4" fontId="0" fillId="0" borderId="27" xfId="0" applyNumberFormat="1" applyBorder="1" applyAlignment="1">
      <alignment horizontal="right"/>
    </xf>
    <xf numFmtId="2" fontId="1" fillId="0" borderId="1" xfId="0" applyNumberFormat="1" applyFont="1" applyBorder="1"/>
    <xf numFmtId="0" fontId="0" fillId="0" borderId="5" xfId="0" applyBorder="1" applyAlignment="1">
      <alignment horizontal="left"/>
    </xf>
    <xf numFmtId="0" fontId="0" fillId="0" borderId="6" xfId="0" applyBorder="1" applyAlignment="1">
      <alignment horizontal="left"/>
    </xf>
    <xf numFmtId="0" fontId="1" fillId="0" borderId="9" xfId="0" applyFont="1" applyBorder="1" applyAlignment="1">
      <alignment horizontal="center"/>
    </xf>
    <xf numFmtId="166" fontId="0" fillId="0" borderId="0" xfId="0" applyNumberFormat="1" applyAlignment="1">
      <alignment horizontal="center"/>
    </xf>
    <xf numFmtId="4" fontId="0" fillId="0" borderId="8" xfId="0" applyNumberFormat="1" applyBorder="1"/>
    <xf numFmtId="0" fontId="0" fillId="0" borderId="3" xfId="0" applyBorder="1" applyAlignment="1">
      <alignment horizontal="center"/>
    </xf>
    <xf numFmtId="4" fontId="0" fillId="0" borderId="5" xfId="0" applyNumberFormat="1" applyBorder="1" applyAlignment="1">
      <alignment horizontal="right"/>
    </xf>
    <xf numFmtId="4" fontId="0" fillId="0" borderId="6" xfId="0" applyNumberFormat="1" applyBorder="1" applyAlignment="1">
      <alignment horizontal="right"/>
    </xf>
    <xf numFmtId="4" fontId="0" fillId="0" borderId="7" xfId="0" applyNumberFormat="1" applyBorder="1" applyAlignment="1">
      <alignment horizontal="right"/>
    </xf>
    <xf numFmtId="4" fontId="1" fillId="0" borderId="5" xfId="0" applyNumberFormat="1" applyFont="1" applyBorder="1"/>
    <xf numFmtId="0" fontId="1" fillId="0" borderId="7" xfId="0" applyFont="1" applyBorder="1" applyAlignment="1">
      <alignment horizontal="center"/>
    </xf>
    <xf numFmtId="4" fontId="0" fillId="0" borderId="6" xfId="0" applyNumberFormat="1" applyBorder="1" applyAlignment="1">
      <alignment horizontal="center"/>
    </xf>
    <xf numFmtId="4" fontId="1" fillId="0" borderId="7" xfId="0" applyNumberFormat="1" applyFont="1" applyBorder="1" applyAlignment="1">
      <alignment horizontal="center"/>
    </xf>
    <xf numFmtId="4" fontId="1" fillId="2" borderId="5" xfId="0" applyNumberFormat="1" applyFont="1" applyFill="1" applyBorder="1"/>
    <xf numFmtId="4" fontId="0" fillId="0" borderId="28" xfId="0" applyNumberFormat="1" applyBorder="1"/>
    <xf numFmtId="4" fontId="0" fillId="0" borderId="31" xfId="0" applyNumberFormat="1" applyBorder="1"/>
    <xf numFmtId="4" fontId="0" fillId="0" borderId="13" xfId="0" applyNumberFormat="1" applyBorder="1"/>
    <xf numFmtId="0" fontId="0" fillId="0" borderId="26" xfId="0" applyBorder="1"/>
    <xf numFmtId="4" fontId="0" fillId="0" borderId="27" xfId="0" applyNumberFormat="1" applyBorder="1"/>
    <xf numFmtId="0" fontId="13" fillId="0" borderId="0" xfId="0" applyFont="1"/>
    <xf numFmtId="0" fontId="7" fillId="0" borderId="0" xfId="0" applyFont="1" applyAlignment="1">
      <alignment horizontal="center"/>
    </xf>
    <xf numFmtId="0" fontId="7" fillId="0" borderId="1" xfId="0" applyFont="1" applyBorder="1" applyAlignment="1">
      <alignment horizontal="center"/>
    </xf>
    <xf numFmtId="0" fontId="1" fillId="0" borderId="0" xfId="0" applyFont="1" applyAlignment="1">
      <alignment vertical="center"/>
    </xf>
    <xf numFmtId="0" fontId="7" fillId="0" borderId="0" xfId="0" applyFont="1" applyAlignment="1">
      <alignment vertical="center"/>
    </xf>
    <xf numFmtId="4" fontId="1" fillId="0" borderId="0" xfId="0" applyNumberFormat="1" applyFont="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0" fontId="7" fillId="0" borderId="10" xfId="0" applyFont="1" applyBorder="1" applyAlignment="1">
      <alignment vertical="center"/>
    </xf>
    <xf numFmtId="4" fontId="1" fillId="0" borderId="10" xfId="0" applyNumberFormat="1" applyFont="1" applyBorder="1" applyAlignment="1">
      <alignment vertical="center"/>
    </xf>
    <xf numFmtId="4" fontId="1" fillId="0" borderId="8" xfId="0" applyNumberFormat="1" applyFont="1" applyBorder="1" applyAlignment="1">
      <alignment vertical="center"/>
    </xf>
    <xf numFmtId="0" fontId="0" fillId="0" borderId="24" xfId="0" applyBorder="1" applyAlignment="1">
      <alignment horizontal="center"/>
    </xf>
    <xf numFmtId="4" fontId="0" fillId="0" borderId="32" xfId="0" applyNumberFormat="1" applyBorder="1" applyAlignment="1">
      <alignment horizontal="right"/>
    </xf>
    <xf numFmtId="2" fontId="0" fillId="0" borderId="11" xfId="0" applyNumberFormat="1" applyBorder="1" applyAlignment="1">
      <alignment horizontal="right"/>
    </xf>
    <xf numFmtId="2" fontId="1" fillId="0" borderId="27" xfId="0" applyNumberFormat="1" applyFont="1" applyBorder="1" applyAlignment="1">
      <alignment horizontal="right"/>
    </xf>
    <xf numFmtId="4" fontId="0" fillId="2" borderId="5" xfId="0" applyNumberFormat="1" applyFill="1" applyBorder="1"/>
    <xf numFmtId="14" fontId="1" fillId="0" borderId="0" xfId="0" applyNumberFormat="1" applyFont="1"/>
    <xf numFmtId="1" fontId="7" fillId="0" borderId="0" xfId="0" applyNumberFormat="1" applyFont="1"/>
    <xf numFmtId="0" fontId="5" fillId="0" borderId="28" xfId="0" applyFont="1" applyBorder="1" applyAlignment="1">
      <alignment horizontal="center" vertical="distributed"/>
    </xf>
    <xf numFmtId="2" fontId="1" fillId="0" borderId="0" xfId="0" applyNumberFormat="1" applyFont="1"/>
    <xf numFmtId="2" fontId="0" fillId="0" borderId="27" xfId="0" applyNumberFormat="1" applyBorder="1"/>
    <xf numFmtId="0" fontId="14" fillId="0" borderId="9" xfId="0" applyFont="1" applyBorder="1"/>
    <xf numFmtId="0" fontId="1" fillId="0" borderId="10" xfId="0" applyFont="1" applyBorder="1"/>
    <xf numFmtId="0" fontId="1" fillId="0" borderId="8" xfId="0" applyFont="1" applyBorder="1"/>
    <xf numFmtId="0" fontId="14" fillId="0" borderId="4" xfId="0" applyFont="1" applyBorder="1"/>
    <xf numFmtId="0" fontId="1" fillId="0" borderId="33" xfId="0" applyFont="1" applyBorder="1"/>
    <xf numFmtId="0" fontId="1" fillId="0" borderId="34" xfId="0" applyFont="1" applyBorder="1"/>
    <xf numFmtId="0" fontId="16" fillId="0" borderId="1" xfId="1" applyFont="1" applyBorder="1" applyAlignment="1" applyProtection="1">
      <alignment horizontal="center"/>
    </xf>
    <xf numFmtId="0" fontId="1" fillId="3" borderId="35" xfId="0" applyFont="1" applyFill="1" applyBorder="1"/>
    <xf numFmtId="0" fontId="1" fillId="3" borderId="3" xfId="0" applyFont="1" applyFill="1" applyBorder="1"/>
    <xf numFmtId="0" fontId="4" fillId="3" borderId="0" xfId="0" applyFont="1" applyFill="1"/>
    <xf numFmtId="0" fontId="4" fillId="3" borderId="21" xfId="0" applyFont="1" applyFill="1" applyBorder="1"/>
    <xf numFmtId="0" fontId="1" fillId="3" borderId="9" xfId="0" applyFont="1" applyFill="1" applyBorder="1"/>
    <xf numFmtId="0" fontId="1" fillId="3" borderId="10" xfId="0" applyFont="1" applyFill="1" applyBorder="1" applyAlignment="1">
      <alignment horizontal="left"/>
    </xf>
    <xf numFmtId="0" fontId="1" fillId="3" borderId="10" xfId="0" applyFont="1" applyFill="1" applyBorder="1"/>
    <xf numFmtId="0" fontId="1" fillId="3" borderId="8" xfId="0" applyFont="1" applyFill="1" applyBorder="1"/>
    <xf numFmtId="0" fontId="1" fillId="3" borderId="0" xfId="0" applyFont="1" applyFill="1"/>
    <xf numFmtId="0" fontId="1" fillId="3" borderId="21" xfId="0" applyFont="1" applyFill="1" applyBorder="1"/>
    <xf numFmtId="0" fontId="1" fillId="6" borderId="35" xfId="0" applyFont="1" applyFill="1" applyBorder="1"/>
    <xf numFmtId="0" fontId="1" fillId="6" borderId="2" xfId="0" applyFont="1" applyFill="1" applyBorder="1"/>
    <xf numFmtId="10" fontId="1" fillId="6" borderId="2" xfId="0" applyNumberFormat="1" applyFont="1" applyFill="1" applyBorder="1"/>
    <xf numFmtId="0" fontId="0" fillId="6" borderId="2" xfId="0" applyFill="1" applyBorder="1"/>
    <xf numFmtId="0" fontId="0" fillId="6" borderId="19" xfId="0" applyFill="1" applyBorder="1"/>
    <xf numFmtId="0" fontId="21" fillId="7" borderId="11" xfId="0" applyFont="1" applyFill="1" applyBorder="1"/>
    <xf numFmtId="8" fontId="22" fillId="7" borderId="11" xfId="0" applyNumberFormat="1" applyFont="1" applyFill="1" applyBorder="1"/>
    <xf numFmtId="44" fontId="23" fillId="7" borderId="36" xfId="2" applyFont="1" applyFill="1" applyBorder="1"/>
    <xf numFmtId="0" fontId="0" fillId="2" borderId="37" xfId="0" applyFill="1" applyBorder="1" applyAlignment="1">
      <alignment horizontal="left" vertical="center" wrapText="1"/>
    </xf>
    <xf numFmtId="0" fontId="0" fillId="2" borderId="38" xfId="0" applyFill="1" applyBorder="1" applyAlignment="1">
      <alignment horizontal="left" vertical="center" wrapText="1"/>
    </xf>
    <xf numFmtId="0" fontId="0" fillId="2" borderId="11" xfId="0" applyFill="1" applyBorder="1"/>
    <xf numFmtId="0" fontId="0" fillId="2" borderId="0" xfId="0" applyFill="1"/>
    <xf numFmtId="0" fontId="25" fillId="2" borderId="11" xfId="0" applyFont="1" applyFill="1" applyBorder="1"/>
    <xf numFmtId="0" fontId="1" fillId="7" borderId="11" xfId="0" applyFont="1" applyFill="1" applyBorder="1"/>
    <xf numFmtId="44" fontId="26" fillId="7" borderId="37" xfId="2" applyFont="1" applyFill="1" applyBorder="1"/>
    <xf numFmtId="8" fontId="4" fillId="7" borderId="11" xfId="2" applyNumberFormat="1" applyFont="1" applyFill="1" applyBorder="1"/>
    <xf numFmtId="44" fontId="26" fillId="7" borderId="11" xfId="2" applyFont="1" applyFill="1" applyBorder="1"/>
    <xf numFmtId="44" fontId="4" fillId="7" borderId="36" xfId="2" applyFont="1" applyFill="1" applyBorder="1"/>
    <xf numFmtId="0" fontId="0" fillId="0" borderId="37" xfId="0" applyBorder="1" applyAlignment="1">
      <alignment horizontal="left" vertical="center" wrapText="1"/>
    </xf>
    <xf numFmtId="0" fontId="0" fillId="0" borderId="38" xfId="0" applyBorder="1" applyAlignment="1">
      <alignment horizontal="left" vertical="center" wrapText="1"/>
    </xf>
    <xf numFmtId="0" fontId="0" fillId="0" borderId="11" xfId="0" applyBorder="1" applyAlignment="1">
      <alignment vertical="center" wrapText="1"/>
    </xf>
    <xf numFmtId="44" fontId="4" fillId="7" borderId="11" xfId="2" applyFont="1" applyFill="1" applyBorder="1"/>
    <xf numFmtId="0" fontId="0" fillId="7" borderId="11" xfId="0" applyFill="1" applyBorder="1"/>
    <xf numFmtId="44" fontId="24" fillId="7" borderId="11" xfId="2" applyFont="1" applyFill="1" applyBorder="1"/>
    <xf numFmtId="44" fontId="6" fillId="7" borderId="36" xfId="2" applyFont="1" applyFill="1" applyBorder="1"/>
    <xf numFmtId="0" fontId="0" fillId="0" borderId="11" xfId="0" applyBorder="1"/>
    <xf numFmtId="44" fontId="24" fillId="2" borderId="11" xfId="2" applyFont="1" applyFill="1" applyBorder="1"/>
    <xf numFmtId="44" fontId="19" fillId="2" borderId="11" xfId="2" applyFont="1" applyFill="1" applyBorder="1"/>
    <xf numFmtId="0" fontId="0" fillId="0" borderId="38" xfId="0" applyBorder="1"/>
    <xf numFmtId="0" fontId="0" fillId="0" borderId="37" xfId="0" applyBorder="1" applyAlignment="1">
      <alignment horizontal="left" vertical="center"/>
    </xf>
    <xf numFmtId="44" fontId="26" fillId="7" borderId="37" xfId="2" applyFont="1" applyFill="1" applyBorder="1" applyAlignment="1">
      <alignment horizontal="center"/>
    </xf>
    <xf numFmtId="44" fontId="4" fillId="7" borderId="7" xfId="2" applyFont="1" applyFill="1" applyBorder="1"/>
    <xf numFmtId="44" fontId="4" fillId="7" borderId="1" xfId="2" applyFont="1" applyFill="1" applyBorder="1"/>
    <xf numFmtId="0" fontId="27" fillId="0" borderId="11" xfId="2" applyNumberFormat="1" applyFont="1" applyBorder="1"/>
    <xf numFmtId="44" fontId="24" fillId="2" borderId="37" xfId="2" applyFont="1" applyFill="1" applyBorder="1"/>
    <xf numFmtId="0" fontId="22" fillId="7" borderId="11" xfId="0" applyFont="1" applyFill="1" applyBorder="1"/>
    <xf numFmtId="44" fontId="6" fillId="0" borderId="11" xfId="2" applyFont="1" applyBorder="1" applyAlignment="1">
      <alignment wrapText="1"/>
    </xf>
    <xf numFmtId="0" fontId="1" fillId="7" borderId="11" xfId="0" applyFont="1" applyFill="1" applyBorder="1" applyAlignment="1">
      <alignment wrapText="1"/>
    </xf>
    <xf numFmtId="8" fontId="26" fillId="7" borderId="37" xfId="0" applyNumberFormat="1" applyFont="1" applyFill="1" applyBorder="1"/>
    <xf numFmtId="44" fontId="6" fillId="2" borderId="36" xfId="2" applyFont="1" applyFill="1" applyBorder="1"/>
    <xf numFmtId="44" fontId="6" fillId="2" borderId="11" xfId="2" applyFont="1" applyFill="1" applyBorder="1"/>
    <xf numFmtId="0" fontId="1" fillId="7" borderId="36" xfId="0" applyFont="1" applyFill="1" applyBorder="1"/>
    <xf numFmtId="8" fontId="26" fillId="7" borderId="39" xfId="0" applyNumberFormat="1" applyFont="1" applyFill="1" applyBorder="1"/>
    <xf numFmtId="44" fontId="28" fillId="7" borderId="11" xfId="2" applyFont="1" applyFill="1" applyBorder="1"/>
    <xf numFmtId="0" fontId="24" fillId="0" borderId="11" xfId="0" applyFont="1" applyBorder="1"/>
    <xf numFmtId="0" fontId="25" fillId="0" borderId="25" xfId="0" applyFont="1" applyBorder="1"/>
    <xf numFmtId="0" fontId="1" fillId="8" borderId="11" xfId="0" applyFont="1" applyFill="1" applyBorder="1"/>
    <xf numFmtId="0" fontId="26" fillId="8" borderId="37" xfId="0" applyFont="1" applyFill="1" applyBorder="1"/>
    <xf numFmtId="44" fontId="28" fillId="8" borderId="11" xfId="2" applyFont="1" applyFill="1" applyBorder="1"/>
    <xf numFmtId="0" fontId="0" fillId="0" borderId="3" xfId="0" applyBorder="1"/>
    <xf numFmtId="0" fontId="24" fillId="0" borderId="0" xfId="0" applyFont="1"/>
    <xf numFmtId="0" fontId="25" fillId="0" borderId="21" xfId="0" applyFont="1" applyBorder="1"/>
    <xf numFmtId="44" fontId="0" fillId="0" borderId="0" xfId="0" applyNumberFormat="1"/>
    <xf numFmtId="0" fontId="1" fillId="6" borderId="9" xfId="0" applyFont="1" applyFill="1" applyBorder="1"/>
    <xf numFmtId="10" fontId="1" fillId="6" borderId="10" xfId="0" applyNumberFormat="1" applyFont="1" applyFill="1" applyBorder="1"/>
    <xf numFmtId="0" fontId="1" fillId="6" borderId="10" xfId="0" applyFont="1" applyFill="1" applyBorder="1"/>
    <xf numFmtId="0" fontId="26" fillId="6" borderId="10" xfId="0" applyFont="1" applyFill="1" applyBorder="1"/>
    <xf numFmtId="44" fontId="28" fillId="6" borderId="8" xfId="0" applyNumberFormat="1" applyFont="1" applyFill="1" applyBorder="1"/>
    <xf numFmtId="43" fontId="0" fillId="0" borderId="0" xfId="0" applyNumberFormat="1"/>
    <xf numFmtId="167" fontId="0" fillId="2" borderId="0" xfId="2" applyNumberFormat="1" applyFont="1" applyFill="1" applyAlignment="1"/>
    <xf numFmtId="0" fontId="24" fillId="6" borderId="2" xfId="0" applyFont="1" applyFill="1" applyBorder="1"/>
    <xf numFmtId="0" fontId="24" fillId="6" borderId="19" xfId="0" applyFont="1" applyFill="1" applyBorder="1"/>
    <xf numFmtId="0" fontId="25" fillId="0" borderId="11" xfId="2" applyNumberFormat="1" applyFont="1" applyBorder="1" applyAlignment="1">
      <alignment horizontal="left"/>
    </xf>
    <xf numFmtId="0" fontId="0" fillId="0" borderId="40" xfId="0" applyBorder="1" applyAlignment="1">
      <alignment horizontal="left" vertical="center" wrapText="1"/>
    </xf>
    <xf numFmtId="0" fontId="1" fillId="7" borderId="0" xfId="0" applyFont="1" applyFill="1"/>
    <xf numFmtId="0" fontId="0" fillId="7" borderId="0" xfId="0" applyFill="1"/>
    <xf numFmtId="44" fontId="0" fillId="7" borderId="0" xfId="2" applyFont="1" applyFill="1"/>
    <xf numFmtId="0" fontId="1" fillId="8" borderId="37" xfId="0" applyFont="1" applyFill="1" applyBorder="1"/>
    <xf numFmtId="44" fontId="4" fillId="6" borderId="8" xfId="0" applyNumberFormat="1" applyFont="1" applyFill="1" applyBorder="1"/>
    <xf numFmtId="0" fontId="4" fillId="5" borderId="9" xfId="0" applyFont="1" applyFill="1" applyBorder="1"/>
    <xf numFmtId="44" fontId="4" fillId="5" borderId="8" xfId="0" applyNumberFormat="1" applyFont="1" applyFill="1" applyBorder="1"/>
    <xf numFmtId="44" fontId="0" fillId="0" borderId="0" xfId="2" applyFont="1"/>
    <xf numFmtId="4" fontId="4" fillId="0" borderId="0" xfId="0" applyNumberFormat="1" applyFont="1" applyAlignment="1">
      <alignment wrapText="1"/>
    </xf>
    <xf numFmtId="0" fontId="0" fillId="0" borderId="0" xfId="0" applyAlignment="1">
      <alignment wrapText="1"/>
    </xf>
    <xf numFmtId="44" fontId="18" fillId="9" borderId="24" xfId="2" applyFont="1" applyFill="1" applyBorder="1"/>
    <xf numFmtId="44" fontId="0" fillId="0" borderId="0" xfId="0" applyNumberFormat="1" applyAlignment="1">
      <alignment wrapText="1"/>
    </xf>
    <xf numFmtId="44" fontId="0" fillId="0" borderId="11" xfId="0" applyNumberFormat="1" applyBorder="1" applyAlignment="1">
      <alignment vertical="center" wrapText="1"/>
    </xf>
    <xf numFmtId="44" fontId="0" fillId="0" borderId="11" xfId="2" applyFont="1" applyBorder="1" applyAlignment="1">
      <alignment vertical="center" wrapText="1"/>
    </xf>
    <xf numFmtId="0" fontId="24" fillId="0" borderId="11" xfId="0" applyFont="1" applyBorder="1" applyAlignment="1">
      <alignment horizontal="left" vertical="center" wrapText="1"/>
    </xf>
    <xf numFmtId="0" fontId="1" fillId="10" borderId="4" xfId="0" applyFont="1" applyFill="1" applyBorder="1" applyAlignment="1">
      <alignment horizontal="left" vertical="center" wrapText="1"/>
    </xf>
    <xf numFmtId="44" fontId="1" fillId="10" borderId="34" xfId="2" applyFont="1" applyFill="1" applyBorder="1" applyAlignment="1">
      <alignment horizontal="left" vertical="center" wrapText="1"/>
    </xf>
    <xf numFmtId="0" fontId="6" fillId="0" borderId="11" xfId="0" applyFont="1" applyBorder="1" applyAlignment="1">
      <alignment vertical="center" wrapText="1"/>
    </xf>
    <xf numFmtId="44" fontId="0" fillId="0" borderId="0" xfId="2" applyFont="1" applyBorder="1"/>
    <xf numFmtId="0" fontId="18" fillId="9" borderId="0" xfId="0" applyFont="1" applyFill="1"/>
    <xf numFmtId="44" fontId="18" fillId="9" borderId="0" xfId="0" applyNumberFormat="1" applyFont="1" applyFill="1"/>
    <xf numFmtId="44" fontId="18" fillId="9" borderId="0" xfId="2" applyFont="1" applyFill="1"/>
    <xf numFmtId="0" fontId="0" fillId="0" borderId="22" xfId="0" applyBorder="1"/>
    <xf numFmtId="8" fontId="0" fillId="0" borderId="0" xfId="0" applyNumberFormat="1"/>
    <xf numFmtId="0" fontId="27" fillId="3" borderId="5" xfId="0" applyFont="1" applyFill="1" applyBorder="1" applyAlignment="1">
      <alignment horizontal="center" vertical="center" wrapText="1"/>
    </xf>
    <xf numFmtId="0" fontId="27" fillId="3" borderId="41" xfId="0" applyFont="1" applyFill="1" applyBorder="1" applyAlignment="1">
      <alignment horizontal="center" vertical="center" wrapText="1"/>
    </xf>
    <xf numFmtId="0" fontId="30" fillId="0" borderId="11" xfId="0" applyFont="1" applyBorder="1"/>
    <xf numFmtId="0" fontId="30" fillId="0" borderId="11" xfId="0" applyFont="1" applyBorder="1" applyAlignment="1">
      <alignment horizontal="center"/>
    </xf>
    <xf numFmtId="44" fontId="31" fillId="0" borderId="11" xfId="2" applyFont="1" applyBorder="1"/>
    <xf numFmtId="44" fontId="31" fillId="2" borderId="11" xfId="2" applyFont="1" applyFill="1" applyBorder="1"/>
    <xf numFmtId="170" fontId="30" fillId="0" borderId="11" xfId="0" applyNumberFormat="1" applyFont="1" applyBorder="1"/>
    <xf numFmtId="170" fontId="30" fillId="0" borderId="37" xfId="2" applyNumberFormat="1" applyFont="1" applyBorder="1"/>
    <xf numFmtId="44" fontId="31" fillId="0" borderId="14" xfId="2" applyFont="1" applyBorder="1"/>
    <xf numFmtId="44" fontId="31" fillId="0" borderId="43" xfId="2" applyFont="1" applyBorder="1"/>
    <xf numFmtId="0" fontId="30" fillId="0" borderId="11" xfId="0" applyFont="1" applyBorder="1" applyAlignment="1">
      <alignment wrapText="1"/>
    </xf>
    <xf numFmtId="0" fontId="30" fillId="0" borderId="38" xfId="0" applyFont="1" applyBorder="1"/>
    <xf numFmtId="44" fontId="31" fillId="0" borderId="24" xfId="2" applyFont="1" applyBorder="1"/>
    <xf numFmtId="0" fontId="30" fillId="0" borderId="11" xfId="0" applyFont="1" applyBorder="1" applyAlignment="1">
      <alignment vertical="center" wrapText="1"/>
    </xf>
    <xf numFmtId="44" fontId="31" fillId="2" borderId="24" xfId="2" applyFont="1" applyFill="1" applyBorder="1"/>
    <xf numFmtId="0" fontId="30" fillId="0" borderId="24" xfId="0" applyFont="1" applyBorder="1"/>
    <xf numFmtId="0" fontId="30" fillId="7" borderId="34" xfId="0" applyFont="1" applyFill="1" applyBorder="1"/>
    <xf numFmtId="0" fontId="30" fillId="7" borderId="1" xfId="0" applyFont="1" applyFill="1" applyBorder="1"/>
    <xf numFmtId="171" fontId="30" fillId="7" borderId="1" xfId="0" applyNumberFormat="1" applyFont="1" applyFill="1" applyBorder="1" applyAlignment="1">
      <alignment horizontal="center"/>
    </xf>
    <xf numFmtId="44" fontId="30" fillId="7" borderId="1" xfId="0" applyNumberFormat="1" applyFont="1" applyFill="1" applyBorder="1"/>
    <xf numFmtId="170" fontId="30" fillId="7" borderId="1" xfId="0" applyNumberFormat="1" applyFont="1" applyFill="1" applyBorder="1"/>
    <xf numFmtId="167" fontId="30" fillId="7" borderId="1" xfId="0" applyNumberFormat="1" applyFont="1" applyFill="1" applyBorder="1"/>
    <xf numFmtId="44" fontId="30" fillId="7" borderId="7" xfId="0" applyNumberFormat="1" applyFont="1" applyFill="1" applyBorder="1"/>
    <xf numFmtId="0" fontId="29" fillId="0" borderId="0" xfId="0" applyFont="1"/>
    <xf numFmtId="0" fontId="1" fillId="3" borderId="9" xfId="0" applyFont="1" applyFill="1" applyBorder="1" applyAlignment="1">
      <alignment horizontal="left" vertical="top" wrapText="1"/>
    </xf>
    <xf numFmtId="8" fontId="4" fillId="7" borderId="36" xfId="2" applyNumberFormat="1" applyFont="1" applyFill="1" applyBorder="1"/>
    <xf numFmtId="0" fontId="1" fillId="2" borderId="11" xfId="0" applyFont="1" applyFill="1" applyBorder="1"/>
    <xf numFmtId="8" fontId="4" fillId="2" borderId="36" xfId="2" applyNumberFormat="1" applyFont="1" applyFill="1" applyBorder="1"/>
    <xf numFmtId="44" fontId="1" fillId="7" borderId="0" xfId="2" applyFont="1" applyFill="1"/>
    <xf numFmtId="0" fontId="0" fillId="0" borderId="36" xfId="0" applyBorder="1"/>
    <xf numFmtId="170" fontId="30" fillId="11" borderId="37" xfId="2" applyNumberFormat="1" applyFont="1" applyFill="1" applyBorder="1"/>
    <xf numFmtId="0" fontId="30" fillId="11" borderId="11" xfId="0" applyFont="1" applyFill="1" applyBorder="1"/>
    <xf numFmtId="0" fontId="30" fillId="11" borderId="11" xfId="0" applyFont="1" applyFill="1" applyBorder="1" applyAlignment="1">
      <alignment horizontal="center"/>
    </xf>
    <xf numFmtId="44" fontId="31" fillId="11" borderId="11" xfId="2" applyFont="1" applyFill="1" applyBorder="1"/>
    <xf numFmtId="170" fontId="30" fillId="11" borderId="11" xfId="0" applyNumberFormat="1" applyFont="1" applyFill="1" applyBorder="1"/>
    <xf numFmtId="44" fontId="31" fillId="11" borderId="14" xfId="2" applyFont="1" applyFill="1" applyBorder="1"/>
    <xf numFmtId="44" fontId="31" fillId="11" borderId="43" xfId="2" applyFont="1" applyFill="1" applyBorder="1"/>
    <xf numFmtId="8" fontId="6" fillId="2" borderId="36" xfId="2" applyNumberFormat="1" applyFont="1" applyFill="1" applyBorder="1"/>
    <xf numFmtId="44" fontId="29" fillId="8" borderId="11" xfId="2" applyFont="1" applyFill="1" applyBorder="1" applyAlignment="1">
      <alignment vertical="center"/>
    </xf>
    <xf numFmtId="0" fontId="30" fillId="11" borderId="38" xfId="0" applyFont="1" applyFill="1" applyBorder="1"/>
    <xf numFmtId="0" fontId="30" fillId="11" borderId="11" xfId="0" applyFont="1" applyFill="1" applyBorder="1" applyAlignment="1">
      <alignment vertical="center" wrapText="1"/>
    </xf>
    <xf numFmtId="0" fontId="30" fillId="11" borderId="11" xfId="0" applyFont="1" applyFill="1" applyBorder="1" applyAlignment="1">
      <alignment wrapText="1"/>
    </xf>
    <xf numFmtId="0" fontId="18" fillId="9" borderId="24" xfId="0" applyFont="1" applyFill="1" applyBorder="1" applyAlignment="1">
      <alignment wrapText="1"/>
    </xf>
    <xf numFmtId="44" fontId="19" fillId="2" borderId="37" xfId="2" applyFont="1" applyFill="1" applyBorder="1"/>
    <xf numFmtId="8" fontId="19" fillId="2" borderId="11" xfId="0" applyNumberFormat="1" applyFont="1" applyFill="1" applyBorder="1" applyAlignment="1">
      <alignment horizontal="right"/>
    </xf>
    <xf numFmtId="8" fontId="19" fillId="2" borderId="37" xfId="0" applyNumberFormat="1" applyFont="1" applyFill="1" applyBorder="1" applyAlignment="1">
      <alignment horizontal="right"/>
    </xf>
    <xf numFmtId="0" fontId="0" fillId="2" borderId="37" xfId="0" applyFill="1" applyBorder="1" applyAlignment="1">
      <alignment horizontal="left" vertical="center"/>
    </xf>
    <xf numFmtId="0" fontId="0" fillId="3" borderId="35" xfId="0" applyFill="1" applyBorder="1"/>
    <xf numFmtId="0" fontId="0" fillId="3" borderId="2" xfId="0" applyFill="1" applyBorder="1" applyAlignment="1">
      <alignment horizontal="center"/>
    </xf>
    <xf numFmtId="0" fontId="0" fillId="3" borderId="19" xfId="0" applyFill="1" applyBorder="1"/>
    <xf numFmtId="0" fontId="0" fillId="3" borderId="3" xfId="0" applyFill="1" applyBorder="1"/>
    <xf numFmtId="0" fontId="0" fillId="3" borderId="0" xfId="0" applyFill="1" applyAlignment="1">
      <alignment horizontal="center"/>
    </xf>
    <xf numFmtId="0" fontId="1" fillId="3" borderId="0" xfId="0" applyFont="1" applyFill="1" applyAlignment="1">
      <alignment horizontal="center"/>
    </xf>
    <xf numFmtId="167" fontId="1" fillId="3" borderId="0" xfId="2" applyNumberFormat="1" applyFont="1" applyFill="1" applyBorder="1" applyAlignment="1">
      <alignment horizontal="center"/>
    </xf>
    <xf numFmtId="167" fontId="0" fillId="3" borderId="0" xfId="2" applyNumberFormat="1" applyFont="1" applyFill="1" applyBorder="1" applyAlignment="1">
      <alignment horizontal="center"/>
    </xf>
    <xf numFmtId="44" fontId="0" fillId="3" borderId="21" xfId="2" applyFont="1" applyFill="1" applyBorder="1" applyAlignment="1"/>
    <xf numFmtId="0" fontId="0" fillId="3" borderId="4" xfId="0" applyFill="1" applyBorder="1"/>
    <xf numFmtId="0" fontId="0" fillId="3" borderId="33" xfId="0" applyFill="1" applyBorder="1" applyAlignment="1">
      <alignment horizontal="center"/>
    </xf>
    <xf numFmtId="169" fontId="0" fillId="3" borderId="33" xfId="0" applyNumberFormat="1" applyFill="1" applyBorder="1" applyAlignment="1">
      <alignment horizontal="center"/>
    </xf>
    <xf numFmtId="167" fontId="0" fillId="3" borderId="33" xfId="2" applyNumberFormat="1" applyFont="1" applyFill="1" applyBorder="1" applyAlignment="1">
      <alignment horizontal="center"/>
    </xf>
    <xf numFmtId="44" fontId="0" fillId="3" borderId="34" xfId="2" applyFont="1" applyFill="1" applyBorder="1" applyAlignment="1"/>
    <xf numFmtId="44" fontId="24" fillId="7" borderId="37" xfId="2" applyFont="1" applyFill="1" applyBorder="1"/>
    <xf numFmtId="44" fontId="33" fillId="0" borderId="11" xfId="2" applyFont="1" applyBorder="1" applyAlignment="1">
      <alignment vertical="center" wrapText="1"/>
    </xf>
    <xf numFmtId="44" fontId="19" fillId="0" borderId="11" xfId="0" applyNumberFormat="1" applyFont="1" applyBorder="1" applyAlignment="1">
      <alignment vertical="center" wrapText="1"/>
    </xf>
    <xf numFmtId="44" fontId="19" fillId="0" borderId="11" xfId="2" applyFont="1" applyBorder="1"/>
    <xf numFmtId="0" fontId="30" fillId="2" borderId="11" xfId="0" applyFont="1" applyFill="1" applyBorder="1"/>
    <xf numFmtId="0" fontId="32" fillId="2" borderId="11" xfId="0" applyFont="1" applyFill="1" applyBorder="1"/>
    <xf numFmtId="0" fontId="30" fillId="2" borderId="11" xfId="0" applyFont="1" applyFill="1" applyBorder="1" applyAlignment="1">
      <alignment horizontal="center"/>
    </xf>
    <xf numFmtId="170" fontId="30" fillId="2" borderId="11" xfId="0" applyNumberFormat="1" applyFont="1" applyFill="1" applyBorder="1"/>
    <xf numFmtId="170" fontId="30" fillId="2" borderId="37" xfId="2" applyNumberFormat="1" applyFont="1" applyFill="1" applyBorder="1"/>
    <xf numFmtId="44" fontId="31" fillId="2" borderId="14" xfId="2" applyFont="1" applyFill="1" applyBorder="1"/>
    <xf numFmtId="44" fontId="31" fillId="2" borderId="43" xfId="2" applyFont="1" applyFill="1" applyBorder="1"/>
    <xf numFmtId="0" fontId="30" fillId="2" borderId="38" xfId="0" applyFont="1" applyFill="1" applyBorder="1"/>
    <xf numFmtId="0" fontId="30" fillId="2" borderId="11" xfId="0" applyFont="1" applyFill="1" applyBorder="1" applyAlignment="1">
      <alignment wrapText="1"/>
    </xf>
    <xf numFmtId="0" fontId="30" fillId="2" borderId="11" xfId="0" applyFont="1" applyFill="1" applyBorder="1" applyAlignment="1">
      <alignment vertical="center" wrapText="1"/>
    </xf>
    <xf numFmtId="44" fontId="25" fillId="0" borderId="11" xfId="2" applyFont="1" applyBorder="1" applyAlignment="1">
      <alignment vertical="center" wrapText="1"/>
    </xf>
    <xf numFmtId="0" fontId="27" fillId="0" borderId="11" xfId="2" applyNumberFormat="1" applyFont="1" applyBorder="1" applyAlignment="1">
      <alignment wrapText="1"/>
    </xf>
    <xf numFmtId="44" fontId="24" fillId="0" borderId="11" xfId="2" applyFont="1" applyBorder="1" applyAlignment="1">
      <alignment horizontal="left" vertical="center" wrapText="1"/>
    </xf>
    <xf numFmtId="44" fontId="19" fillId="2" borderId="39" xfId="2" applyFont="1" applyFill="1" applyBorder="1"/>
    <xf numFmtId="44" fontId="19" fillId="2" borderId="11" xfId="2" applyFont="1" applyFill="1" applyBorder="1" applyAlignment="1"/>
    <xf numFmtId="44" fontId="19" fillId="2" borderId="37" xfId="2" applyFont="1" applyFill="1" applyBorder="1" applyAlignment="1"/>
    <xf numFmtId="44" fontId="27" fillId="0" borderId="11" xfId="2" applyFont="1" applyBorder="1" applyAlignment="1">
      <alignment vertical="center" wrapText="1"/>
    </xf>
    <xf numFmtId="0" fontId="30" fillId="13" borderId="38" xfId="0" applyFont="1" applyFill="1" applyBorder="1"/>
    <xf numFmtId="0" fontId="30" fillId="13" borderId="11" xfId="0" applyFont="1" applyFill="1" applyBorder="1" applyAlignment="1">
      <alignment vertical="center" wrapText="1"/>
    </xf>
    <xf numFmtId="0" fontId="30" fillId="13" borderId="11" xfId="0" applyFont="1" applyFill="1" applyBorder="1" applyAlignment="1">
      <alignment wrapText="1"/>
    </xf>
    <xf numFmtId="0" fontId="30" fillId="13" borderId="11" xfId="0" applyFont="1" applyFill="1" applyBorder="1" applyAlignment="1">
      <alignment horizontal="center"/>
    </xf>
    <xf numFmtId="44" fontId="31" fillId="13" borderId="11" xfId="2" applyFont="1" applyFill="1" applyBorder="1"/>
    <xf numFmtId="0" fontId="30" fillId="14" borderId="11" xfId="0" applyFont="1" applyFill="1" applyBorder="1"/>
    <xf numFmtId="0" fontId="30" fillId="14" borderId="11" xfId="0" applyFont="1" applyFill="1" applyBorder="1" applyAlignment="1">
      <alignment wrapText="1"/>
    </xf>
    <xf numFmtId="0" fontId="30" fillId="14" borderId="11" xfId="0" applyFont="1" applyFill="1" applyBorder="1" applyAlignment="1">
      <alignment horizontal="center"/>
    </xf>
    <xf numFmtId="44" fontId="31" fillId="14" borderId="11" xfId="2" applyFont="1" applyFill="1" applyBorder="1"/>
    <xf numFmtId="0" fontId="0" fillId="14" borderId="0" xfId="0" applyFill="1"/>
    <xf numFmtId="0" fontId="30" fillId="4" borderId="38" xfId="0" applyFont="1" applyFill="1" applyBorder="1"/>
    <xf numFmtId="0" fontId="30" fillId="4" borderId="11" xfId="0" applyFont="1" applyFill="1" applyBorder="1" applyAlignment="1">
      <alignment vertical="center" wrapText="1"/>
    </xf>
    <xf numFmtId="0" fontId="30" fillId="4" borderId="11" xfId="0" applyFont="1" applyFill="1" applyBorder="1" applyAlignment="1">
      <alignment wrapText="1"/>
    </xf>
    <xf numFmtId="0" fontId="30" fillId="4" borderId="11" xfId="0" applyFont="1" applyFill="1" applyBorder="1" applyAlignment="1">
      <alignment horizontal="center"/>
    </xf>
    <xf numFmtId="44" fontId="31" fillId="4" borderId="11" xfId="2" applyFont="1" applyFill="1" applyBorder="1"/>
    <xf numFmtId="0" fontId="0" fillId="4" borderId="0" xfId="0" applyFill="1"/>
    <xf numFmtId="44" fontId="0" fillId="4" borderId="0" xfId="0" applyNumberFormat="1" applyFill="1"/>
    <xf numFmtId="0" fontId="0" fillId="15" borderId="0" xfId="0" applyFill="1"/>
    <xf numFmtId="0" fontId="30" fillId="15" borderId="38" xfId="0" applyFont="1" applyFill="1" applyBorder="1"/>
    <xf numFmtId="0" fontId="30" fillId="15" borderId="11" xfId="0" applyFont="1" applyFill="1" applyBorder="1" applyAlignment="1">
      <alignment vertical="center" wrapText="1"/>
    </xf>
    <xf numFmtId="0" fontId="0" fillId="2" borderId="37" xfId="0" applyFill="1" applyBorder="1" applyAlignment="1">
      <alignment horizontal="left" vertical="center" wrapText="1"/>
    </xf>
    <xf numFmtId="0" fontId="0" fillId="2" borderId="38" xfId="0" applyFill="1" applyBorder="1" applyAlignment="1">
      <alignment horizontal="left" vertical="center" wrapText="1"/>
    </xf>
    <xf numFmtId="0" fontId="0" fillId="0" borderId="37" xfId="0" applyBorder="1" applyAlignment="1">
      <alignment horizontal="left" vertical="center" wrapText="1"/>
    </xf>
    <xf numFmtId="0" fontId="0" fillId="0" borderId="38" xfId="0" applyBorder="1" applyAlignment="1">
      <alignment horizontal="left" vertical="center" wrapText="1"/>
    </xf>
    <xf numFmtId="0" fontId="1" fillId="3" borderId="2" xfId="0" applyFont="1" applyFill="1" applyBorder="1" applyAlignment="1">
      <alignment horizontal="left" vertical="top" wrapText="1"/>
    </xf>
    <xf numFmtId="0" fontId="1" fillId="3" borderId="19" xfId="0" applyFont="1" applyFill="1" applyBorder="1" applyAlignment="1">
      <alignment horizontal="left" vertical="top" wrapText="1"/>
    </xf>
    <xf numFmtId="0" fontId="1" fillId="3" borderId="33" xfId="0" applyFont="1" applyFill="1" applyBorder="1" applyAlignment="1">
      <alignment horizontal="left" vertical="center" wrapText="1"/>
    </xf>
    <xf numFmtId="0" fontId="1" fillId="3" borderId="34" xfId="0" applyFont="1" applyFill="1" applyBorder="1" applyAlignment="1">
      <alignment horizontal="left" vertical="center" wrapText="1"/>
    </xf>
    <xf numFmtId="0" fontId="20" fillId="4" borderId="0" xfId="0" applyFont="1" applyFill="1" applyAlignment="1">
      <alignment horizontal="center" vertical="center"/>
    </xf>
    <xf numFmtId="0" fontId="10" fillId="5" borderId="0" xfId="0" applyFont="1" applyFill="1" applyAlignment="1">
      <alignment horizontal="center" vertical="center" wrapText="1"/>
    </xf>
    <xf numFmtId="0" fontId="18" fillId="9" borderId="0" xfId="0" applyFont="1" applyFill="1" applyAlignment="1">
      <alignment horizontal="center" vertical="center"/>
    </xf>
    <xf numFmtId="0" fontId="7" fillId="4" borderId="0" xfId="0" applyFont="1" applyFill="1" applyAlignment="1">
      <alignment horizontal="left" vertical="center" wrapText="1"/>
    </xf>
    <xf numFmtId="168" fontId="1" fillId="3" borderId="0" xfId="0" applyNumberFormat="1" applyFont="1" applyFill="1" applyAlignment="1">
      <alignment horizontal="center"/>
    </xf>
    <xf numFmtId="0" fontId="29" fillId="3" borderId="5" xfId="0" applyFont="1" applyFill="1" applyBorder="1" applyAlignment="1">
      <alignment horizontal="center" vertical="center" wrapText="1"/>
    </xf>
    <xf numFmtId="0" fontId="29" fillId="3" borderId="41" xfId="0" applyFont="1" applyFill="1" applyBorder="1" applyAlignment="1">
      <alignment horizontal="center" vertical="center" wrapText="1"/>
    </xf>
    <xf numFmtId="0" fontId="29" fillId="3" borderId="35" xfId="0" applyFont="1" applyFill="1" applyBorder="1" applyAlignment="1">
      <alignment horizontal="center" vertical="center" wrapText="1"/>
    </xf>
    <xf numFmtId="0" fontId="29" fillId="3" borderId="42" xfId="0" applyFont="1" applyFill="1" applyBorder="1" applyAlignment="1">
      <alignment horizontal="center" vertical="center" wrapText="1"/>
    </xf>
    <xf numFmtId="0" fontId="27" fillId="3" borderId="5" xfId="0" applyFont="1" applyFill="1" applyBorder="1" applyAlignment="1">
      <alignment horizontal="center" vertical="center" wrapText="1"/>
    </xf>
    <xf numFmtId="0" fontId="27" fillId="3" borderId="6" xfId="0" applyFont="1" applyFill="1" applyBorder="1" applyAlignment="1">
      <alignment horizontal="center" vertical="center" wrapText="1"/>
    </xf>
    <xf numFmtId="0" fontId="1" fillId="4" borderId="0" xfId="0" applyFont="1" applyFill="1" applyAlignment="1">
      <alignment horizontal="center" vertical="center" wrapText="1"/>
    </xf>
    <xf numFmtId="0" fontId="0" fillId="3" borderId="2" xfId="0" applyFill="1" applyBorder="1" applyAlignment="1">
      <alignment horizontal="center"/>
    </xf>
    <xf numFmtId="0" fontId="1" fillId="3" borderId="35" xfId="0" applyFont="1" applyFill="1" applyBorder="1" applyAlignment="1">
      <alignment horizontal="left" vertical="center" wrapText="1"/>
    </xf>
    <xf numFmtId="0" fontId="1" fillId="3" borderId="2" xfId="0" applyFont="1" applyFill="1" applyBorder="1" applyAlignment="1">
      <alignment horizontal="left" vertical="center"/>
    </xf>
    <xf numFmtId="0" fontId="1" fillId="3" borderId="19" xfId="0" applyFont="1" applyFill="1" applyBorder="1" applyAlignment="1">
      <alignment horizontal="left" vertical="center"/>
    </xf>
    <xf numFmtId="0" fontId="1" fillId="3" borderId="3" xfId="0" applyFont="1" applyFill="1" applyBorder="1" applyAlignment="1">
      <alignment horizontal="left" vertical="center"/>
    </xf>
    <xf numFmtId="0" fontId="1" fillId="3" borderId="0" xfId="0" applyFont="1" applyFill="1" applyAlignment="1">
      <alignment horizontal="left" vertical="center"/>
    </xf>
    <xf numFmtId="0" fontId="1" fillId="3" borderId="21" xfId="0" applyFont="1" applyFill="1" applyBorder="1" applyAlignment="1">
      <alignment horizontal="left" vertical="center"/>
    </xf>
    <xf numFmtId="0" fontId="1" fillId="3" borderId="4" xfId="0" applyFont="1" applyFill="1" applyBorder="1" applyAlignment="1">
      <alignment horizontal="left" vertical="center"/>
    </xf>
    <xf numFmtId="0" fontId="1" fillId="3" borderId="33" xfId="0" applyFont="1" applyFill="1" applyBorder="1" applyAlignment="1">
      <alignment horizontal="left" vertical="center"/>
    </xf>
    <xf numFmtId="0" fontId="1" fillId="3" borderId="34" xfId="0" applyFont="1" applyFill="1" applyBorder="1" applyAlignment="1">
      <alignment horizontal="left" vertical="center"/>
    </xf>
    <xf numFmtId="0" fontId="29" fillId="3" borderId="5" xfId="0" applyFont="1" applyFill="1" applyBorder="1" applyAlignment="1">
      <alignment horizontal="center" vertical="center"/>
    </xf>
    <xf numFmtId="0" fontId="29" fillId="3" borderId="6" xfId="0" applyFont="1" applyFill="1" applyBorder="1" applyAlignment="1">
      <alignment horizontal="center" vertical="center"/>
    </xf>
    <xf numFmtId="0" fontId="29" fillId="3" borderId="41" xfId="0" applyFont="1" applyFill="1" applyBorder="1" applyAlignment="1">
      <alignment horizontal="center" vertical="center"/>
    </xf>
    <xf numFmtId="0" fontId="30" fillId="3" borderId="5" xfId="0" applyFont="1" applyFill="1" applyBorder="1" applyAlignment="1">
      <alignment horizontal="center" vertical="center" wrapText="1"/>
    </xf>
    <xf numFmtId="0" fontId="30" fillId="3" borderId="41" xfId="0" applyFont="1" applyFill="1" applyBorder="1" applyAlignment="1">
      <alignment horizontal="center" vertical="center" wrapText="1"/>
    </xf>
    <xf numFmtId="0" fontId="1" fillId="11" borderId="9" xfId="0" applyFont="1" applyFill="1" applyBorder="1" applyAlignment="1">
      <alignment horizontal="center" vertical="center"/>
    </xf>
    <xf numFmtId="0" fontId="1" fillId="11" borderId="10" xfId="0" applyFont="1" applyFill="1" applyBorder="1" applyAlignment="1">
      <alignment horizontal="center" vertical="center"/>
    </xf>
    <xf numFmtId="0" fontId="1" fillId="11" borderId="8" xfId="0" applyFont="1" applyFill="1" applyBorder="1" applyAlignment="1">
      <alignment horizontal="center" vertical="center"/>
    </xf>
    <xf numFmtId="0" fontId="1" fillId="12" borderId="9" xfId="0" applyFont="1" applyFill="1" applyBorder="1" applyAlignment="1">
      <alignment horizontal="center" vertical="center"/>
    </xf>
    <xf numFmtId="0" fontId="1" fillId="12" borderId="10" xfId="0" applyFont="1" applyFill="1" applyBorder="1" applyAlignment="1">
      <alignment horizontal="center" vertical="center"/>
    </xf>
    <xf numFmtId="0" fontId="1" fillId="12" borderId="8" xfId="0" applyFont="1" applyFill="1" applyBorder="1" applyAlignment="1">
      <alignment horizontal="center" vertical="center"/>
    </xf>
    <xf numFmtId="0" fontId="0" fillId="13" borderId="0" xfId="0" applyFill="1" applyAlignment="1">
      <alignment horizontal="left" vertical="top" wrapText="1"/>
    </xf>
    <xf numFmtId="0" fontId="8" fillId="0" borderId="0" xfId="0" applyFont="1" applyAlignment="1">
      <alignment horizontal="center" vertical="distributed"/>
    </xf>
    <xf numFmtId="0" fontId="1" fillId="0" borderId="9" xfId="0" applyFont="1" applyBorder="1" applyAlignment="1">
      <alignment horizontal="center"/>
    </xf>
    <xf numFmtId="0" fontId="1" fillId="0" borderId="8" xfId="0" applyFont="1" applyBorder="1" applyAlignment="1">
      <alignment horizontal="center"/>
    </xf>
    <xf numFmtId="0" fontId="7" fillId="0" borderId="9" xfId="0" applyFont="1" applyBorder="1" applyAlignment="1">
      <alignment horizontal="center"/>
    </xf>
    <xf numFmtId="0" fontId="7" fillId="0" borderId="10" xfId="0" applyFont="1" applyBorder="1" applyAlignment="1">
      <alignment horizontal="center"/>
    </xf>
    <xf numFmtId="0" fontId="7" fillId="0" borderId="8" xfId="0" applyFont="1" applyBorder="1" applyAlignment="1">
      <alignment horizontal="center"/>
    </xf>
    <xf numFmtId="0" fontId="1" fillId="0" borderId="9" xfId="0" applyFont="1" applyBorder="1" applyAlignment="1">
      <alignment horizontal="right"/>
    </xf>
    <xf numFmtId="0" fontId="1" fillId="0" borderId="10" xfId="0" applyFont="1" applyBorder="1" applyAlignment="1">
      <alignment horizontal="right"/>
    </xf>
    <xf numFmtId="166" fontId="0" fillId="0" borderId="0" xfId="0" applyNumberFormat="1" applyAlignment="1">
      <alignment horizontal="center"/>
    </xf>
  </cellXfs>
  <cellStyles count="3">
    <cellStyle name="Hipervínculo" xfId="1" builtinId="8"/>
    <cellStyle name="Moneda" xfId="2"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70485</xdr:colOff>
      <xdr:row>0</xdr:row>
      <xdr:rowOff>70484</xdr:rowOff>
    </xdr:from>
    <xdr:to>
      <xdr:col>0</xdr:col>
      <xdr:colOff>2286000</xdr:colOff>
      <xdr:row>2</xdr:row>
      <xdr:rowOff>542924</xdr:rowOff>
    </xdr:to>
    <xdr:pic>
      <xdr:nvPicPr>
        <xdr:cNvPr id="2" name="1 Imagen" descr="C:\Users\Particular\Desktop\NATI\CONSORCIOS RC\WhatsApp Image 2020-12-10 at 14.53.20.jpeg">
          <a:extLst>
            <a:ext uri="{FF2B5EF4-FFF2-40B4-BE49-F238E27FC236}">
              <a16:creationId xmlns:a16="http://schemas.microsoft.com/office/drawing/2014/main" id="{845E093B-FBED-491B-B562-4A0EE6BB89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485" y="70484"/>
          <a:ext cx="2215515" cy="90106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arias.mirta@gmail.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3A25D-5161-4141-BE0B-6E37A2A76CA5}">
  <dimension ref="A1:M124"/>
  <sheetViews>
    <sheetView topLeftCell="A102" workbookViewId="0">
      <selection activeCell="E123" sqref="A1:E123"/>
    </sheetView>
  </sheetViews>
  <sheetFormatPr baseColWidth="10" defaultRowHeight="14.4" x14ac:dyDescent="0.3"/>
  <cols>
    <col min="1" max="1" width="37.5546875" customWidth="1"/>
    <col min="2" max="2" width="24.6640625" customWidth="1"/>
    <col min="3" max="3" width="15.88671875" hidden="1" customWidth="1"/>
    <col min="4" max="4" width="21.6640625" customWidth="1"/>
    <col min="5" max="5" width="16.6640625" customWidth="1"/>
    <col min="6" max="6" width="15.5546875" bestFit="1" customWidth="1"/>
    <col min="7" max="7" width="14.5546875" bestFit="1" customWidth="1"/>
    <col min="8" max="8" width="12" bestFit="1" customWidth="1"/>
    <col min="10" max="10" width="22.6640625" customWidth="1"/>
    <col min="11" max="11" width="18" customWidth="1"/>
    <col min="12" max="12" width="18.33203125" customWidth="1"/>
  </cols>
  <sheetData>
    <row r="1" spans="1:5" ht="18.75" customHeight="1" x14ac:dyDescent="0.3">
      <c r="A1" s="143"/>
      <c r="B1" s="347" t="s">
        <v>333</v>
      </c>
      <c r="C1" s="347"/>
      <c r="D1" s="347"/>
      <c r="E1" s="348"/>
    </row>
    <row r="2" spans="1:5" x14ac:dyDescent="0.3">
      <c r="A2" s="144"/>
      <c r="B2" s="151" t="s">
        <v>336</v>
      </c>
      <c r="C2" s="145"/>
      <c r="D2" s="145"/>
      <c r="E2" s="146"/>
    </row>
    <row r="3" spans="1:5" ht="51.6" customHeight="1" thickBot="1" x14ac:dyDescent="0.35">
      <c r="A3" s="144"/>
      <c r="B3" s="349" t="s">
        <v>334</v>
      </c>
      <c r="C3" s="349"/>
      <c r="D3" s="349"/>
      <c r="E3" s="350"/>
    </row>
    <row r="4" spans="1:5" ht="15" thickBot="1" x14ac:dyDescent="0.35">
      <c r="A4" s="147" t="s">
        <v>282</v>
      </c>
      <c r="B4" s="148" t="s">
        <v>283</v>
      </c>
      <c r="C4" s="149"/>
      <c r="D4" s="149"/>
      <c r="E4" s="150"/>
    </row>
    <row r="5" spans="1:5" ht="15" thickBot="1" x14ac:dyDescent="0.35">
      <c r="A5" s="144" t="s">
        <v>335</v>
      </c>
      <c r="B5" s="149" t="s">
        <v>356</v>
      </c>
      <c r="C5" s="151"/>
      <c r="D5" s="145" t="s">
        <v>284</v>
      </c>
      <c r="E5" s="152"/>
    </row>
    <row r="6" spans="1:5" ht="16.2" customHeight="1" thickBot="1" x14ac:dyDescent="0.35">
      <c r="A6" s="265" t="s">
        <v>322</v>
      </c>
      <c r="B6" s="149"/>
      <c r="C6" s="149"/>
      <c r="D6" s="149" t="s">
        <v>285</v>
      </c>
      <c r="E6" s="150"/>
    </row>
    <row r="8" spans="1:5" x14ac:dyDescent="0.3">
      <c r="B8" s="351" t="s">
        <v>415</v>
      </c>
      <c r="C8" s="351"/>
    </row>
    <row r="9" spans="1:5" x14ac:dyDescent="0.3">
      <c r="B9" s="351"/>
      <c r="C9" s="351"/>
    </row>
    <row r="10" spans="1:5" x14ac:dyDescent="0.3">
      <c r="B10" s="351"/>
      <c r="C10" s="351"/>
    </row>
    <row r="12" spans="1:5" hidden="1" x14ac:dyDescent="0.3"/>
    <row r="13" spans="1:5" ht="15" customHeight="1" x14ac:dyDescent="0.3">
      <c r="A13" s="352" t="s">
        <v>286</v>
      </c>
      <c r="B13" s="352"/>
      <c r="C13" s="352"/>
      <c r="D13" s="352"/>
      <c r="E13" s="352"/>
    </row>
    <row r="14" spans="1:5" ht="15" customHeight="1" x14ac:dyDescent="0.3">
      <c r="A14" s="352"/>
      <c r="B14" s="352"/>
      <c r="C14" s="352"/>
      <c r="D14" s="352"/>
      <c r="E14" s="352"/>
    </row>
    <row r="15" spans="1:5" ht="15" customHeight="1" x14ac:dyDescent="0.3">
      <c r="A15" s="352"/>
      <c r="B15" s="352"/>
      <c r="C15" s="352"/>
      <c r="D15" s="352"/>
      <c r="E15" s="352"/>
    </row>
    <row r="16" spans="1:5" ht="53.25" customHeight="1" x14ac:dyDescent="0.3">
      <c r="A16" s="352"/>
      <c r="B16" s="352"/>
      <c r="C16" s="352"/>
      <c r="D16" s="352"/>
      <c r="E16" s="352"/>
    </row>
    <row r="17" spans="1:8" ht="14.25" customHeight="1" thickBot="1" x14ac:dyDescent="0.35"/>
    <row r="18" spans="1:8" ht="15" hidden="1" thickBot="1" x14ac:dyDescent="0.35">
      <c r="A18" s="9"/>
    </row>
    <row r="19" spans="1:8" ht="15" hidden="1" thickBot="1" x14ac:dyDescent="0.35"/>
    <row r="20" spans="1:8" x14ac:dyDescent="0.3">
      <c r="A20" s="153" t="s">
        <v>287</v>
      </c>
      <c r="B20" s="154"/>
      <c r="C20" s="155"/>
      <c r="D20" s="156"/>
      <c r="E20" s="157"/>
    </row>
    <row r="21" spans="1:8" x14ac:dyDescent="0.3">
      <c r="A21" s="158" t="s">
        <v>323</v>
      </c>
      <c r="B21" s="158"/>
      <c r="C21" s="158"/>
      <c r="D21" s="159"/>
      <c r="E21" s="160"/>
    </row>
    <row r="22" spans="1:8" ht="15" customHeight="1" x14ac:dyDescent="0.3">
      <c r="A22" s="343" t="s">
        <v>357</v>
      </c>
      <c r="B22" s="344"/>
      <c r="C22" s="163"/>
      <c r="D22" s="285">
        <v>2182238</v>
      </c>
      <c r="E22" s="189"/>
      <c r="H22" s="164"/>
    </row>
    <row r="23" spans="1:8" ht="15" customHeight="1" x14ac:dyDescent="0.3">
      <c r="A23" s="343" t="s">
        <v>358</v>
      </c>
      <c r="B23" s="344"/>
      <c r="C23" s="163"/>
      <c r="D23" s="285">
        <v>-474636.76</v>
      </c>
      <c r="E23" s="165"/>
      <c r="H23" s="164"/>
    </row>
    <row r="24" spans="1:8" ht="45" customHeight="1" x14ac:dyDescent="0.3">
      <c r="A24" s="343" t="s">
        <v>411</v>
      </c>
      <c r="B24" s="344"/>
      <c r="C24" s="163"/>
      <c r="D24" s="286">
        <v>1381383</v>
      </c>
      <c r="E24" s="165"/>
      <c r="H24" s="164"/>
    </row>
    <row r="25" spans="1:8" ht="13.5" customHeight="1" x14ac:dyDescent="0.3">
      <c r="A25" s="343" t="s">
        <v>54</v>
      </c>
      <c r="B25" s="344"/>
      <c r="C25" s="163"/>
      <c r="D25" s="286">
        <v>0.76</v>
      </c>
      <c r="E25" s="165"/>
      <c r="H25" s="164"/>
    </row>
    <row r="26" spans="1:8" x14ac:dyDescent="0.3">
      <c r="A26" s="166" t="s">
        <v>288</v>
      </c>
      <c r="B26" s="166"/>
      <c r="C26" s="166"/>
      <c r="D26" s="167"/>
      <c r="E26" s="168">
        <f>SUM(D22:D25)</f>
        <v>3088985</v>
      </c>
    </row>
    <row r="27" spans="1:8" x14ac:dyDescent="0.3">
      <c r="A27" s="166" t="s">
        <v>382</v>
      </c>
      <c r="B27" s="166"/>
      <c r="C27" s="166"/>
      <c r="D27" s="167"/>
      <c r="E27" s="266"/>
    </row>
    <row r="28" spans="1:8" x14ac:dyDescent="0.3">
      <c r="A28" s="163" t="s">
        <v>383</v>
      </c>
      <c r="B28" s="163"/>
      <c r="C28" s="163"/>
      <c r="D28" s="284">
        <f>261000+250000</f>
        <v>511000</v>
      </c>
      <c r="E28" s="268"/>
    </row>
    <row r="29" spans="1:8" x14ac:dyDescent="0.3">
      <c r="A29" s="166" t="s">
        <v>288</v>
      </c>
      <c r="B29" s="175"/>
      <c r="C29" s="175"/>
      <c r="D29" s="302"/>
      <c r="E29" s="170">
        <f>D28</f>
        <v>511000</v>
      </c>
    </row>
    <row r="30" spans="1:8" x14ac:dyDescent="0.3">
      <c r="A30" s="158" t="s">
        <v>324</v>
      </c>
      <c r="B30" s="166"/>
      <c r="C30" s="166"/>
      <c r="D30" s="167"/>
      <c r="E30" s="266"/>
    </row>
    <row r="31" spans="1:8" x14ac:dyDescent="0.3">
      <c r="A31" s="163" t="s">
        <v>384</v>
      </c>
      <c r="B31" s="267"/>
      <c r="C31" s="267"/>
      <c r="D31" s="284">
        <v>14015.68</v>
      </c>
      <c r="E31" s="278" t="s">
        <v>373</v>
      </c>
    </row>
    <row r="32" spans="1:8" x14ac:dyDescent="0.3">
      <c r="A32" s="163" t="s">
        <v>341</v>
      </c>
      <c r="B32" s="267"/>
      <c r="C32" s="267"/>
      <c r="D32" s="284">
        <v>1235711.01</v>
      </c>
      <c r="E32" s="278" t="s">
        <v>381</v>
      </c>
    </row>
    <row r="33" spans="1:5" x14ac:dyDescent="0.3">
      <c r="A33" s="163" t="s">
        <v>326</v>
      </c>
      <c r="B33" s="267"/>
      <c r="C33" s="267"/>
      <c r="D33" s="284">
        <v>225414.17</v>
      </c>
      <c r="E33" s="278" t="s">
        <v>373</v>
      </c>
    </row>
    <row r="34" spans="1:5" x14ac:dyDescent="0.3">
      <c r="A34" s="163" t="s">
        <v>328</v>
      </c>
      <c r="B34" s="267"/>
      <c r="C34" s="267"/>
      <c r="D34" s="284">
        <v>126830.75</v>
      </c>
      <c r="E34" s="278" t="str">
        <f>E33</f>
        <v>Debito 16/01 Cred.</v>
      </c>
    </row>
    <row r="35" spans="1:5" x14ac:dyDescent="0.3">
      <c r="A35" s="163" t="s">
        <v>327</v>
      </c>
      <c r="B35" s="267"/>
      <c r="C35" s="267"/>
      <c r="D35" s="284">
        <v>14092.3</v>
      </c>
      <c r="E35" s="278" t="str">
        <f>E33</f>
        <v>Debito 16/01 Cred.</v>
      </c>
    </row>
    <row r="36" spans="1:5" x14ac:dyDescent="0.3">
      <c r="A36" s="163" t="s">
        <v>342</v>
      </c>
      <c r="B36" s="267"/>
      <c r="C36" s="267"/>
      <c r="D36" s="187"/>
      <c r="E36" s="278"/>
    </row>
    <row r="37" spans="1:5" ht="12.75" customHeight="1" x14ac:dyDescent="0.3">
      <c r="A37" s="166" t="s">
        <v>325</v>
      </c>
      <c r="B37" s="166"/>
      <c r="C37" s="166"/>
      <c r="D37" s="167"/>
      <c r="E37" s="174">
        <f>SUM(D31:D36)</f>
        <v>1616063.91</v>
      </c>
    </row>
    <row r="38" spans="1:5" x14ac:dyDescent="0.3">
      <c r="A38" s="158" t="s">
        <v>289</v>
      </c>
      <c r="B38" s="166"/>
      <c r="C38" s="166"/>
      <c r="D38" s="169"/>
      <c r="E38" s="170"/>
    </row>
    <row r="39" spans="1:5" ht="26.25" customHeight="1" x14ac:dyDescent="0.3">
      <c r="A39" s="345" t="s">
        <v>329</v>
      </c>
      <c r="B39" s="346"/>
      <c r="C39" s="173"/>
      <c r="D39" s="320">
        <v>313739</v>
      </c>
      <c r="E39" s="165" t="s">
        <v>392</v>
      </c>
    </row>
    <row r="40" spans="1:5" ht="27" customHeight="1" x14ac:dyDescent="0.3">
      <c r="A40" s="345" t="s">
        <v>330</v>
      </c>
      <c r="B40" s="346"/>
      <c r="C40" s="173"/>
      <c r="D40" s="321">
        <v>5204</v>
      </c>
      <c r="E40" s="165" t="s">
        <v>392</v>
      </c>
    </row>
    <row r="41" spans="1:5" x14ac:dyDescent="0.3">
      <c r="A41" s="166" t="s">
        <v>290</v>
      </c>
      <c r="B41" s="166"/>
      <c r="C41" s="166"/>
      <c r="D41" s="167"/>
      <c r="E41" s="174">
        <f>SUM(D39:D40)</f>
        <v>318943</v>
      </c>
    </row>
    <row r="42" spans="1:5" x14ac:dyDescent="0.3">
      <c r="A42" s="158" t="s">
        <v>291</v>
      </c>
      <c r="B42" s="175"/>
      <c r="C42" s="175"/>
      <c r="D42" s="176"/>
      <c r="E42" s="177"/>
    </row>
    <row r="43" spans="1:5" ht="14.25" customHeight="1" x14ac:dyDescent="0.3">
      <c r="A43" s="178" t="s">
        <v>292</v>
      </c>
      <c r="B43" s="178"/>
      <c r="C43" s="178"/>
      <c r="D43" s="180">
        <v>29750.38</v>
      </c>
      <c r="E43" s="165" t="s">
        <v>393</v>
      </c>
    </row>
    <row r="44" spans="1:5" ht="14.25" customHeight="1" x14ac:dyDescent="0.3">
      <c r="A44" s="178" t="s">
        <v>292</v>
      </c>
      <c r="B44" s="178"/>
      <c r="C44" s="178"/>
      <c r="D44" s="180">
        <v>15585.29</v>
      </c>
      <c r="E44" s="165" t="s">
        <v>393</v>
      </c>
    </row>
    <row r="45" spans="1:5" ht="14.25" customHeight="1" x14ac:dyDescent="0.3">
      <c r="A45" s="178" t="s">
        <v>292</v>
      </c>
      <c r="B45" s="178"/>
      <c r="C45" s="178"/>
      <c r="D45" s="180">
        <v>578076.46</v>
      </c>
      <c r="E45" s="165" t="s">
        <v>394</v>
      </c>
    </row>
    <row r="46" spans="1:5" ht="14.25" customHeight="1" x14ac:dyDescent="0.3">
      <c r="A46" s="178" t="s">
        <v>292</v>
      </c>
      <c r="B46" s="178"/>
      <c r="C46" s="178"/>
      <c r="D46" s="180">
        <v>312536.71999999997</v>
      </c>
      <c r="E46" s="165" t="s">
        <v>390</v>
      </c>
    </row>
    <row r="47" spans="1:5" x14ac:dyDescent="0.3">
      <c r="A47" s="178" t="s">
        <v>293</v>
      </c>
      <c r="B47" s="178"/>
      <c r="C47" s="178"/>
      <c r="D47" s="180">
        <v>10562.67</v>
      </c>
      <c r="E47" s="165" t="s">
        <v>391</v>
      </c>
    </row>
    <row r="48" spans="1:5" x14ac:dyDescent="0.3">
      <c r="A48" s="178" t="s">
        <v>293</v>
      </c>
      <c r="B48" s="181"/>
      <c r="C48" s="178"/>
      <c r="D48" s="180"/>
      <c r="E48" s="165"/>
    </row>
    <row r="49" spans="1:6" x14ac:dyDescent="0.3">
      <c r="A49" s="345" t="s">
        <v>294</v>
      </c>
      <c r="B49" s="346"/>
      <c r="C49" s="178"/>
      <c r="D49" s="180">
        <v>3444706.16</v>
      </c>
      <c r="E49" s="278" t="s">
        <v>359</v>
      </c>
    </row>
    <row r="50" spans="1:6" x14ac:dyDescent="0.3">
      <c r="A50" s="182" t="s">
        <v>295</v>
      </c>
      <c r="B50" s="172"/>
      <c r="C50" s="178"/>
      <c r="D50" s="179"/>
      <c r="E50" s="165"/>
    </row>
    <row r="51" spans="1:6" ht="15" thickBot="1" x14ac:dyDescent="0.35">
      <c r="A51" s="166" t="s">
        <v>296</v>
      </c>
      <c r="B51" s="166"/>
      <c r="C51" s="166"/>
      <c r="D51" s="183"/>
      <c r="E51" s="184">
        <f>SUM(D43:D50)</f>
        <v>4391217.68</v>
      </c>
    </row>
    <row r="52" spans="1:6" ht="15" customHeight="1" thickBot="1" x14ac:dyDescent="0.35">
      <c r="A52" s="158"/>
      <c r="B52" s="166"/>
      <c r="C52" s="166"/>
      <c r="D52" s="167"/>
      <c r="E52" s="185"/>
    </row>
    <row r="53" spans="1:6" ht="21.9" customHeight="1" x14ac:dyDescent="0.3">
      <c r="A53" s="343" t="s">
        <v>367</v>
      </c>
      <c r="B53" s="344"/>
      <c r="C53" s="178"/>
      <c r="D53" s="180">
        <v>0</v>
      </c>
      <c r="E53" s="186"/>
    </row>
    <row r="54" spans="1:6" ht="156.75" customHeight="1" x14ac:dyDescent="0.3">
      <c r="A54" s="343" t="s">
        <v>408</v>
      </c>
      <c r="B54" s="344"/>
      <c r="C54" s="178"/>
      <c r="D54" s="180">
        <v>570000</v>
      </c>
      <c r="E54" s="317" t="s">
        <v>409</v>
      </c>
    </row>
    <row r="55" spans="1:6" ht="96.75" customHeight="1" x14ac:dyDescent="0.3">
      <c r="A55" s="343" t="s">
        <v>407</v>
      </c>
      <c r="B55" s="344"/>
      <c r="C55" s="178"/>
      <c r="D55" s="180">
        <v>950000</v>
      </c>
      <c r="E55" s="186" t="s">
        <v>361</v>
      </c>
    </row>
    <row r="56" spans="1:6" ht="21.9" customHeight="1" x14ac:dyDescent="0.3">
      <c r="A56" s="287" t="s">
        <v>365</v>
      </c>
      <c r="B56" s="162"/>
      <c r="C56" s="178"/>
      <c r="D56" s="180">
        <f>885060+79760</f>
        <v>964820</v>
      </c>
      <c r="E56" s="186" t="s">
        <v>366</v>
      </c>
    </row>
    <row r="57" spans="1:6" ht="21.9" customHeight="1" x14ac:dyDescent="0.3">
      <c r="A57" s="343" t="s">
        <v>410</v>
      </c>
      <c r="B57" s="344"/>
      <c r="C57" s="178"/>
      <c r="D57" s="180">
        <v>85000</v>
      </c>
      <c r="E57" s="186" t="s">
        <v>372</v>
      </c>
      <c r="F57" s="205"/>
    </row>
    <row r="58" spans="1:6" ht="21.9" customHeight="1" x14ac:dyDescent="0.3">
      <c r="A58" s="343" t="s">
        <v>375</v>
      </c>
      <c r="B58" s="344"/>
      <c r="C58" s="178"/>
      <c r="D58" s="180">
        <v>85000</v>
      </c>
      <c r="E58" s="189" t="s">
        <v>366</v>
      </c>
      <c r="F58" s="205"/>
    </row>
    <row r="59" spans="1:6" ht="30" customHeight="1" x14ac:dyDescent="0.3">
      <c r="A59" s="343" t="s">
        <v>377</v>
      </c>
      <c r="B59" s="344"/>
      <c r="C59" s="178"/>
      <c r="D59" s="180">
        <v>150000</v>
      </c>
      <c r="E59" s="189" t="s">
        <v>378</v>
      </c>
      <c r="F59" s="205"/>
    </row>
    <row r="60" spans="1:6" ht="30" customHeight="1" x14ac:dyDescent="0.3">
      <c r="A60" s="343" t="s">
        <v>379</v>
      </c>
      <c r="B60" s="344"/>
      <c r="C60" s="178"/>
      <c r="D60" s="180">
        <v>250000</v>
      </c>
      <c r="E60" s="189" t="s">
        <v>380</v>
      </c>
      <c r="F60" s="205"/>
    </row>
    <row r="61" spans="1:6" ht="21.9" customHeight="1" x14ac:dyDescent="0.3">
      <c r="A61" s="287" t="s">
        <v>369</v>
      </c>
      <c r="B61" s="162"/>
      <c r="C61" s="178"/>
      <c r="D61" s="180">
        <v>124650</v>
      </c>
      <c r="E61" s="186" t="s">
        <v>353</v>
      </c>
      <c r="F61" s="205"/>
    </row>
    <row r="62" spans="1:6" ht="21.9" customHeight="1" x14ac:dyDescent="0.3">
      <c r="A62" s="287" t="s">
        <v>370</v>
      </c>
      <c r="B62" s="162"/>
      <c r="C62" s="178"/>
      <c r="D62" s="180">
        <v>1820000</v>
      </c>
      <c r="E62" s="189" t="s">
        <v>361</v>
      </c>
      <c r="F62" s="205"/>
    </row>
    <row r="63" spans="1:6" ht="21.9" customHeight="1" x14ac:dyDescent="0.3">
      <c r="A63" s="287" t="s">
        <v>387</v>
      </c>
      <c r="B63" s="162"/>
      <c r="C63" s="178"/>
      <c r="D63" s="180">
        <v>3000000</v>
      </c>
      <c r="E63" s="189" t="s">
        <v>388</v>
      </c>
      <c r="F63" s="205"/>
    </row>
    <row r="64" spans="1:6" ht="21.9" customHeight="1" x14ac:dyDescent="0.3">
      <c r="A64" s="287" t="s">
        <v>376</v>
      </c>
      <c r="B64" s="162"/>
      <c r="C64" s="178"/>
      <c r="D64" s="180">
        <v>256900</v>
      </c>
      <c r="E64" s="189" t="s">
        <v>361</v>
      </c>
      <c r="F64" s="205"/>
    </row>
    <row r="65" spans="1:5" ht="29.25" customHeight="1" x14ac:dyDescent="0.3">
      <c r="A65" s="343" t="s">
        <v>374</v>
      </c>
      <c r="B65" s="344"/>
      <c r="C65" s="178"/>
      <c r="D65" s="180">
        <v>303033.69</v>
      </c>
      <c r="E65" s="189" t="s">
        <v>366</v>
      </c>
    </row>
    <row r="66" spans="1:5" x14ac:dyDescent="0.3">
      <c r="A66" s="166" t="s">
        <v>5</v>
      </c>
      <c r="B66" s="158"/>
      <c r="C66" s="158"/>
      <c r="D66" s="188"/>
      <c r="E66" s="174">
        <f>SUM(D53:D65)</f>
        <v>8559403.6899999995</v>
      </c>
    </row>
    <row r="67" spans="1:5" x14ac:dyDescent="0.3">
      <c r="A67" s="158" t="s">
        <v>297</v>
      </c>
      <c r="B67" s="158"/>
      <c r="C67" s="158"/>
      <c r="D67" s="159"/>
      <c r="E67" s="160"/>
    </row>
    <row r="68" spans="1:5" ht="15.75" customHeight="1" x14ac:dyDescent="0.3">
      <c r="A68" s="343" t="s">
        <v>385</v>
      </c>
      <c r="B68" s="344"/>
      <c r="C68" s="163"/>
      <c r="D68" s="285">
        <v>650000</v>
      </c>
      <c r="E68" s="189"/>
    </row>
    <row r="69" spans="1:5" ht="15.75" customHeight="1" x14ac:dyDescent="0.3">
      <c r="A69" s="343" t="s">
        <v>386</v>
      </c>
      <c r="B69" s="344"/>
      <c r="C69" s="163"/>
      <c r="D69" s="285">
        <v>650000</v>
      </c>
      <c r="E69" s="189"/>
    </row>
    <row r="70" spans="1:5" ht="15.75" customHeight="1" x14ac:dyDescent="0.3">
      <c r="A70" s="161" t="s">
        <v>360</v>
      </c>
      <c r="B70" s="162"/>
      <c r="C70" s="163"/>
      <c r="D70" s="286">
        <v>95200</v>
      </c>
      <c r="E70" s="189" t="s">
        <v>361</v>
      </c>
    </row>
    <row r="71" spans="1:5" ht="15.75" customHeight="1" x14ac:dyDescent="0.3">
      <c r="A71" s="161" t="s">
        <v>371</v>
      </c>
      <c r="B71" s="162"/>
      <c r="C71" s="163"/>
      <c r="D71" s="286">
        <v>60000</v>
      </c>
      <c r="E71" s="189" t="s">
        <v>372</v>
      </c>
    </row>
    <row r="72" spans="1:5" ht="15.75" customHeight="1" x14ac:dyDescent="0.3">
      <c r="A72" s="161" t="s">
        <v>364</v>
      </c>
      <c r="B72" s="162"/>
      <c r="C72" s="163"/>
      <c r="D72" s="286">
        <v>42350</v>
      </c>
      <c r="E72" s="189" t="s">
        <v>361</v>
      </c>
    </row>
    <row r="73" spans="1:5" ht="15.75" customHeight="1" x14ac:dyDescent="0.3">
      <c r="A73" s="161" t="s">
        <v>368</v>
      </c>
      <c r="B73" s="162"/>
      <c r="C73" s="163"/>
      <c r="D73" s="286">
        <v>100000</v>
      </c>
      <c r="E73" s="189" t="s">
        <v>361</v>
      </c>
    </row>
    <row r="74" spans="1:5" ht="15.75" customHeight="1" x14ac:dyDescent="0.3">
      <c r="A74" s="287" t="s">
        <v>363</v>
      </c>
      <c r="B74" s="162"/>
      <c r="C74" s="163"/>
      <c r="D74" s="286">
        <v>70000</v>
      </c>
      <c r="E74" s="189" t="s">
        <v>361</v>
      </c>
    </row>
    <row r="75" spans="1:5" x14ac:dyDescent="0.3">
      <c r="A75" s="166" t="s">
        <v>288</v>
      </c>
      <c r="B75" s="166"/>
      <c r="C75" s="166"/>
      <c r="D75" s="167"/>
      <c r="E75" s="168">
        <f>SUM(D68:D74)</f>
        <v>1667550</v>
      </c>
    </row>
    <row r="76" spans="1:5" x14ac:dyDescent="0.3">
      <c r="A76" s="158" t="s">
        <v>298</v>
      </c>
      <c r="B76" s="190"/>
      <c r="C76" s="166"/>
      <c r="D76" s="191"/>
      <c r="E76" s="174"/>
    </row>
    <row r="77" spans="1:5" x14ac:dyDescent="0.3">
      <c r="A77" s="178" t="s">
        <v>337</v>
      </c>
      <c r="B77" s="178"/>
      <c r="C77" s="178"/>
      <c r="D77" s="180">
        <v>18681.400000000001</v>
      </c>
      <c r="E77" s="192"/>
    </row>
    <row r="78" spans="1:5" x14ac:dyDescent="0.3">
      <c r="A78" s="178" t="s">
        <v>338</v>
      </c>
      <c r="B78" s="178"/>
      <c r="C78" s="178"/>
      <c r="D78" s="180">
        <v>14343.59</v>
      </c>
      <c r="E78" s="193"/>
    </row>
    <row r="79" spans="1:5" x14ac:dyDescent="0.3">
      <c r="A79" s="178" t="s">
        <v>339</v>
      </c>
      <c r="B79" s="270"/>
      <c r="C79" s="270"/>
      <c r="D79" s="319">
        <v>45000</v>
      </c>
      <c r="E79" s="193"/>
    </row>
    <row r="80" spans="1:5" x14ac:dyDescent="0.3">
      <c r="A80" s="178" t="s">
        <v>340</v>
      </c>
      <c r="B80" s="270"/>
      <c r="C80" s="270"/>
      <c r="D80" s="319">
        <f>218314.23-14061</f>
        <v>204253.23</v>
      </c>
      <c r="E80" s="193"/>
    </row>
    <row r="81" spans="1:8" x14ac:dyDescent="0.3">
      <c r="A81" s="194" t="s">
        <v>288</v>
      </c>
      <c r="B81" s="194"/>
      <c r="C81" s="194"/>
      <c r="D81" s="195"/>
      <c r="E81" s="196">
        <f>SUM(D77:D80)</f>
        <v>282278.22000000003</v>
      </c>
    </row>
    <row r="82" spans="1:8" x14ac:dyDescent="0.3">
      <c r="A82" s="178"/>
      <c r="B82" s="178"/>
      <c r="C82" s="178"/>
      <c r="D82" s="197"/>
      <c r="E82" s="198"/>
    </row>
    <row r="83" spans="1:8" x14ac:dyDescent="0.3">
      <c r="A83" s="199" t="s">
        <v>299</v>
      </c>
      <c r="B83" s="199"/>
      <c r="C83" s="199"/>
      <c r="D83" s="200"/>
      <c r="E83" s="201"/>
    </row>
    <row r="84" spans="1:8" ht="15" thickBot="1" x14ac:dyDescent="0.35">
      <c r="A84" s="202"/>
      <c r="D84" s="203"/>
      <c r="E84" s="204"/>
      <c r="F84" s="205"/>
    </row>
    <row r="85" spans="1:8" ht="15" thickBot="1" x14ac:dyDescent="0.35">
      <c r="A85" s="206" t="s">
        <v>300</v>
      </c>
      <c r="B85" s="207"/>
      <c r="C85" s="208"/>
      <c r="D85" s="209"/>
      <c r="E85" s="210">
        <f>(SUM(E21:E83))</f>
        <v>20435441.5</v>
      </c>
      <c r="F85" s="211"/>
      <c r="G85" s="205"/>
    </row>
    <row r="86" spans="1:8" x14ac:dyDescent="0.3">
      <c r="D86" s="203"/>
      <c r="E86" s="203"/>
    </row>
    <row r="87" spans="1:8" ht="15" thickBot="1" x14ac:dyDescent="0.35">
      <c r="D87" s="203"/>
      <c r="E87" s="203"/>
      <c r="H87" s="212"/>
    </row>
    <row r="88" spans="1:8" x14ac:dyDescent="0.3">
      <c r="A88" s="153" t="s">
        <v>301</v>
      </c>
      <c r="B88" s="154"/>
      <c r="C88" s="155"/>
      <c r="D88" s="213"/>
      <c r="E88" s="214"/>
    </row>
    <row r="89" spans="1:8" ht="15" customHeight="1" x14ac:dyDescent="0.3">
      <c r="A89" s="171"/>
      <c r="B89" s="172"/>
      <c r="C89" s="178"/>
      <c r="D89" s="187"/>
      <c r="E89" s="215"/>
    </row>
    <row r="90" spans="1:8" ht="15" customHeight="1" x14ac:dyDescent="0.3">
      <c r="A90" s="343"/>
      <c r="B90" s="344"/>
      <c r="C90" s="178"/>
      <c r="D90" s="187"/>
      <c r="E90" s="215"/>
    </row>
    <row r="91" spans="1:8" ht="15.75" customHeight="1" x14ac:dyDescent="0.3">
      <c r="D91" s="178"/>
      <c r="E91" s="178"/>
    </row>
    <row r="92" spans="1:8" x14ac:dyDescent="0.3">
      <c r="A92" s="171"/>
      <c r="B92" s="216"/>
      <c r="C92" s="178"/>
      <c r="D92" s="187"/>
      <c r="E92" s="215"/>
    </row>
    <row r="93" spans="1:8" x14ac:dyDescent="0.3">
      <c r="A93" s="217" t="s">
        <v>332</v>
      </c>
      <c r="B93" s="218"/>
      <c r="C93" s="218"/>
      <c r="D93" s="219"/>
      <c r="E93" s="269">
        <f>SUM(D89:D92)</f>
        <v>0</v>
      </c>
    </row>
    <row r="94" spans="1:8" ht="15" customHeight="1" x14ac:dyDescent="0.3"/>
    <row r="95" spans="1:8" hidden="1" x14ac:dyDescent="0.3"/>
    <row r="96" spans="1:8" x14ac:dyDescent="0.3">
      <c r="A96" s="199" t="s">
        <v>302</v>
      </c>
      <c r="B96" s="199"/>
      <c r="C96" s="199"/>
      <c r="D96" s="220"/>
      <c r="E96" s="279"/>
    </row>
    <row r="97" spans="1:6" ht="15" thickBot="1" x14ac:dyDescent="0.35"/>
    <row r="98" spans="1:6" ht="15" thickBot="1" x14ac:dyDescent="0.35">
      <c r="A98" s="206" t="s">
        <v>303</v>
      </c>
      <c r="B98" s="207"/>
      <c r="C98" s="208"/>
      <c r="D98" s="208"/>
      <c r="E98" s="221">
        <f>E93+E96</f>
        <v>0</v>
      </c>
    </row>
    <row r="99" spans="1:6" ht="15" thickBot="1" x14ac:dyDescent="0.35"/>
    <row r="100" spans="1:6" ht="15" thickBot="1" x14ac:dyDescent="0.35">
      <c r="A100" s="222" t="s">
        <v>304</v>
      </c>
      <c r="B100" s="223">
        <f>E85</f>
        <v>20435441.5</v>
      </c>
    </row>
    <row r="101" spans="1:6" ht="15" thickBot="1" x14ac:dyDescent="0.35">
      <c r="A101" s="222" t="s">
        <v>305</v>
      </c>
      <c r="B101" s="223">
        <f>E85-E83</f>
        <v>20435441.5</v>
      </c>
    </row>
    <row r="102" spans="1:6" ht="15" thickBot="1" x14ac:dyDescent="0.35">
      <c r="A102" s="222" t="s">
        <v>306</v>
      </c>
      <c r="B102" s="223">
        <f>E98-E96</f>
        <v>0</v>
      </c>
    </row>
    <row r="103" spans="1:6" ht="15" thickBot="1" x14ac:dyDescent="0.35">
      <c r="A103" s="222" t="s">
        <v>307</v>
      </c>
      <c r="B103" s="223">
        <f>E98</f>
        <v>0</v>
      </c>
    </row>
    <row r="105" spans="1:6" x14ac:dyDescent="0.3">
      <c r="A105" s="354" t="s">
        <v>389</v>
      </c>
      <c r="B105" s="354"/>
    </row>
    <row r="106" spans="1:6" x14ac:dyDescent="0.3">
      <c r="A106" s="354"/>
      <c r="B106" s="354"/>
    </row>
    <row r="107" spans="1:6" s="226" customFormat="1" x14ac:dyDescent="0.3">
      <c r="A107"/>
      <c r="B107" s="224"/>
      <c r="C107" s="225"/>
    </row>
    <row r="108" spans="1:6" s="226" customFormat="1" ht="30.75" customHeight="1" x14ac:dyDescent="0.3">
      <c r="A108" s="283" t="s">
        <v>354</v>
      </c>
      <c r="B108" s="227">
        <v>15946414.27</v>
      </c>
      <c r="C108" s="225"/>
      <c r="D108" s="228"/>
      <c r="E108" s="228"/>
    </row>
    <row r="109" spans="1:6" x14ac:dyDescent="0.3">
      <c r="A109" s="173" t="s">
        <v>331</v>
      </c>
      <c r="B109" s="229">
        <f>-B101-B102</f>
        <v>-20435441.5</v>
      </c>
    </row>
    <row r="110" spans="1:6" x14ac:dyDescent="0.3">
      <c r="A110" s="173" t="s">
        <v>308</v>
      </c>
      <c r="B110" s="229">
        <f>B123</f>
        <v>113400</v>
      </c>
      <c r="F110" s="224"/>
    </row>
    <row r="111" spans="1:6" ht="18" customHeight="1" x14ac:dyDescent="0.3">
      <c r="A111" s="173" t="s">
        <v>396</v>
      </c>
      <c r="B111" s="304">
        <v>-123000</v>
      </c>
      <c r="F111" s="224"/>
    </row>
    <row r="112" spans="1:6" ht="18" customHeight="1" x14ac:dyDescent="0.3">
      <c r="A112" s="173" t="s">
        <v>397</v>
      </c>
      <c r="B112" s="305">
        <v>-3689.2069499999998</v>
      </c>
      <c r="F112" s="224"/>
    </row>
    <row r="113" spans="1:13" ht="18" customHeight="1" x14ac:dyDescent="0.3">
      <c r="A113" s="173" t="s">
        <v>402</v>
      </c>
      <c r="B113" s="305">
        <v>-130000</v>
      </c>
      <c r="F113" s="224"/>
    </row>
    <row r="114" spans="1:13" ht="18" customHeight="1" x14ac:dyDescent="0.3">
      <c r="A114" s="173" t="s">
        <v>406</v>
      </c>
      <c r="B114" s="303">
        <v>-99011.93</v>
      </c>
      <c r="F114" s="224"/>
    </row>
    <row r="115" spans="1:13" x14ac:dyDescent="0.3">
      <c r="A115" s="173" t="s">
        <v>86</v>
      </c>
      <c r="B115" s="230">
        <f>PRORRATEO!F117</f>
        <v>15206198.110695034</v>
      </c>
      <c r="F115" s="224"/>
    </row>
    <row r="116" spans="1:13" ht="28.8" x14ac:dyDescent="0.3">
      <c r="A116" s="231" t="s">
        <v>362</v>
      </c>
      <c r="B116" s="318">
        <v>122500</v>
      </c>
      <c r="F116" s="224"/>
    </row>
    <row r="117" spans="1:13" ht="15" thickBot="1" x14ac:dyDescent="0.35">
      <c r="A117" s="232" t="s">
        <v>355</v>
      </c>
      <c r="B117" s="233">
        <f>SUM(B108:C116)</f>
        <v>10597369.743745035</v>
      </c>
      <c r="D117" s="224"/>
      <c r="E117" s="205"/>
      <c r="F117" s="205"/>
    </row>
    <row r="118" spans="1:13" ht="34.5" customHeight="1" x14ac:dyDescent="0.3"/>
    <row r="119" spans="1:13" x14ac:dyDescent="0.3">
      <c r="A119" s="353" t="s">
        <v>309</v>
      </c>
      <c r="B119" s="353"/>
      <c r="C119" s="353"/>
    </row>
    <row r="120" spans="1:13" x14ac:dyDescent="0.3">
      <c r="A120" s="353"/>
      <c r="B120" s="353"/>
      <c r="C120" s="353"/>
    </row>
    <row r="121" spans="1:13" ht="35.25" customHeight="1" x14ac:dyDescent="0.3">
      <c r="A121" s="234" t="s">
        <v>395</v>
      </c>
      <c r="B121" s="316">
        <v>3400</v>
      </c>
      <c r="C121" s="235"/>
      <c r="E121" s="211"/>
    </row>
    <row r="122" spans="1:13" ht="27" customHeight="1" x14ac:dyDescent="0.3">
      <c r="A122" s="234" t="s">
        <v>398</v>
      </c>
      <c r="B122" s="316">
        <v>110000</v>
      </c>
      <c r="C122" s="235"/>
      <c r="D122" s="211"/>
    </row>
    <row r="123" spans="1:13" x14ac:dyDescent="0.3">
      <c r="A123" s="236" t="s">
        <v>5</v>
      </c>
      <c r="B123" s="237">
        <f>SUM(B121:B122)</f>
        <v>113400</v>
      </c>
      <c r="C123" s="238"/>
    </row>
    <row r="124" spans="1:13" x14ac:dyDescent="0.3">
      <c r="M124" s="239"/>
    </row>
  </sheetData>
  <mergeCells count="24">
    <mergeCell ref="A119:C120"/>
    <mergeCell ref="A40:B40"/>
    <mergeCell ref="A105:B106"/>
    <mergeCell ref="A49:B49"/>
    <mergeCell ref="A53:B53"/>
    <mergeCell ref="A57:B57"/>
    <mergeCell ref="A65:B65"/>
    <mergeCell ref="A90:B90"/>
    <mergeCell ref="A58:B58"/>
    <mergeCell ref="A59:B59"/>
    <mergeCell ref="A60:B60"/>
    <mergeCell ref="A54:B54"/>
    <mergeCell ref="A69:B69"/>
    <mergeCell ref="A55:B55"/>
    <mergeCell ref="A24:B24"/>
    <mergeCell ref="A39:B39"/>
    <mergeCell ref="B1:E1"/>
    <mergeCell ref="A25:B25"/>
    <mergeCell ref="A68:B68"/>
    <mergeCell ref="B3:E3"/>
    <mergeCell ref="B8:C10"/>
    <mergeCell ref="A13:E16"/>
    <mergeCell ref="A22:B22"/>
    <mergeCell ref="A23:B23"/>
  </mergeCells>
  <pageMargins left="0.23622047244094491" right="0.23622047244094491" top="0.74803149606299213" bottom="0.74803149606299213" header="0.31496062992125984" footer="0.31496062992125984"/>
  <pageSetup paperSize="5" scale="9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DB7A7-09F4-49CF-B824-70F15C1FF525}">
  <dimension ref="A1:N125"/>
  <sheetViews>
    <sheetView tabSelected="1" topLeftCell="A45" zoomScaleNormal="100" workbookViewId="0">
      <selection activeCell="N60" sqref="N60"/>
    </sheetView>
  </sheetViews>
  <sheetFormatPr baseColWidth="10" defaultRowHeight="14.4" x14ac:dyDescent="0.3"/>
  <cols>
    <col min="1" max="1" width="4.33203125" customWidth="1"/>
    <col min="2" max="2" width="25.5546875" customWidth="1"/>
    <col min="3" max="3" width="0.109375" customWidth="1"/>
    <col min="4" max="4" width="8.44140625" customWidth="1"/>
    <col min="5" max="5" width="14.109375" customWidth="1"/>
    <col min="6" max="6" width="12.33203125" customWidth="1"/>
    <col min="7" max="7" width="10.5546875" customWidth="1"/>
    <col min="8" max="8" width="9.5546875" customWidth="1"/>
    <col min="9" max="9" width="12.44140625" customWidth="1"/>
    <col min="10" max="10" width="14.44140625" customWidth="1"/>
    <col min="11" max="11" width="14.6640625" customWidth="1"/>
    <col min="12" max="12" width="14.33203125" customWidth="1"/>
    <col min="13" max="13" width="7.33203125" bestFit="1" customWidth="1"/>
    <col min="14" max="14" width="12" bestFit="1" customWidth="1"/>
    <col min="15" max="15" width="13" bestFit="1" customWidth="1"/>
  </cols>
  <sheetData>
    <row r="1" spans="1:14" ht="12.9" customHeight="1" x14ac:dyDescent="0.3">
      <c r="A1" s="288"/>
      <c r="B1" s="289"/>
      <c r="C1" s="289"/>
      <c r="D1" s="363"/>
      <c r="E1" s="363"/>
      <c r="F1" s="363"/>
      <c r="G1" s="363"/>
      <c r="H1" s="363"/>
      <c r="I1" s="363"/>
      <c r="J1" s="363"/>
      <c r="K1" s="363"/>
      <c r="L1" s="290"/>
    </row>
    <row r="2" spans="1:14" ht="12.9" customHeight="1" x14ac:dyDescent="0.3">
      <c r="A2" s="291"/>
      <c r="B2" s="292"/>
      <c r="C2" s="293"/>
      <c r="D2" s="293" t="s">
        <v>310</v>
      </c>
      <c r="E2" s="355">
        <v>3000000</v>
      </c>
      <c r="F2" s="355"/>
      <c r="G2" s="293"/>
      <c r="H2" s="293"/>
      <c r="I2" s="293" t="s">
        <v>311</v>
      </c>
      <c r="J2" s="294">
        <v>12074625</v>
      </c>
      <c r="K2" s="295"/>
      <c r="L2" s="296"/>
      <c r="M2" s="240"/>
    </row>
    <row r="3" spans="1:14" ht="12.9" customHeight="1" thickBot="1" x14ac:dyDescent="0.35">
      <c r="A3" s="297"/>
      <c r="B3" s="298"/>
      <c r="C3" s="298"/>
      <c r="D3" s="298"/>
      <c r="E3" s="298"/>
      <c r="F3" s="299"/>
      <c r="G3" s="298"/>
      <c r="H3" s="298"/>
      <c r="I3" s="298"/>
      <c r="J3" s="298"/>
      <c r="K3" s="300"/>
      <c r="L3" s="301"/>
      <c r="M3" s="240"/>
    </row>
    <row r="4" spans="1:14" ht="12.9" customHeight="1" x14ac:dyDescent="0.3">
      <c r="A4" s="364" t="s">
        <v>352</v>
      </c>
      <c r="B4" s="365"/>
      <c r="C4" s="365"/>
      <c r="D4" s="365"/>
      <c r="E4" s="365"/>
      <c r="F4" s="365"/>
      <c r="G4" s="365"/>
      <c r="H4" s="365"/>
      <c r="I4" s="365"/>
      <c r="J4" s="365"/>
      <c r="K4" s="365"/>
      <c r="L4" s="366"/>
      <c r="M4" s="240"/>
    </row>
    <row r="5" spans="1:14" ht="12.9" customHeight="1" x14ac:dyDescent="0.3">
      <c r="A5" s="367"/>
      <c r="B5" s="368"/>
      <c r="C5" s="368"/>
      <c r="D5" s="368"/>
      <c r="E5" s="368"/>
      <c r="F5" s="368"/>
      <c r="G5" s="368"/>
      <c r="H5" s="368"/>
      <c r="I5" s="368"/>
      <c r="J5" s="368"/>
      <c r="K5" s="368"/>
      <c r="L5" s="369"/>
      <c r="M5" s="240"/>
    </row>
    <row r="6" spans="1:14" ht="12.9" customHeight="1" x14ac:dyDescent="0.3">
      <c r="A6" s="367"/>
      <c r="B6" s="368"/>
      <c r="C6" s="368"/>
      <c r="D6" s="368"/>
      <c r="E6" s="368"/>
      <c r="F6" s="368"/>
      <c r="G6" s="368"/>
      <c r="H6" s="368"/>
      <c r="I6" s="368"/>
      <c r="J6" s="368"/>
      <c r="K6" s="368"/>
      <c r="L6" s="369"/>
      <c r="M6" s="240"/>
    </row>
    <row r="7" spans="1:14" ht="12.9" customHeight="1" x14ac:dyDescent="0.3">
      <c r="A7" s="367"/>
      <c r="B7" s="368"/>
      <c r="C7" s="368"/>
      <c r="D7" s="368"/>
      <c r="E7" s="368"/>
      <c r="F7" s="368"/>
      <c r="G7" s="368"/>
      <c r="H7" s="368"/>
      <c r="I7" s="368"/>
      <c r="J7" s="368"/>
      <c r="K7" s="368"/>
      <c r="L7" s="369"/>
      <c r="M7" s="240"/>
    </row>
    <row r="8" spans="1:14" ht="192" customHeight="1" thickBot="1" x14ac:dyDescent="0.35">
      <c r="A8" s="370"/>
      <c r="B8" s="371"/>
      <c r="C8" s="371"/>
      <c r="D8" s="371"/>
      <c r="E8" s="371"/>
      <c r="F8" s="371"/>
      <c r="G8" s="371"/>
      <c r="H8" s="371"/>
      <c r="I8" s="371"/>
      <c r="J8" s="371"/>
      <c r="K8" s="371"/>
      <c r="L8" s="372"/>
    </row>
    <row r="9" spans="1:14" ht="48" customHeight="1" thickBot="1" x14ac:dyDescent="0.35">
      <c r="A9" s="378" t="s">
        <v>350</v>
      </c>
      <c r="B9" s="379"/>
      <c r="C9" s="379"/>
      <c r="D9" s="379"/>
      <c r="E9" s="379"/>
      <c r="F9" s="379"/>
      <c r="G9" s="379"/>
      <c r="H9" s="379"/>
      <c r="I9" s="379"/>
      <c r="J9" s="379"/>
      <c r="K9" s="379"/>
      <c r="L9" s="380"/>
    </row>
    <row r="10" spans="1:14" ht="48" customHeight="1" thickBot="1" x14ac:dyDescent="0.35">
      <c r="A10" s="381" t="s">
        <v>351</v>
      </c>
      <c r="B10" s="382"/>
      <c r="C10" s="382"/>
      <c r="D10" s="382"/>
      <c r="E10" s="382"/>
      <c r="F10" s="382"/>
      <c r="G10" s="382"/>
      <c r="H10" s="382"/>
      <c r="I10" s="382"/>
      <c r="J10" s="382"/>
      <c r="K10" s="382"/>
      <c r="L10" s="383"/>
    </row>
    <row r="11" spans="1:14" x14ac:dyDescent="0.3">
      <c r="A11" s="373" t="s">
        <v>312</v>
      </c>
      <c r="B11" s="373" t="s">
        <v>313</v>
      </c>
      <c r="C11" s="373" t="s">
        <v>314</v>
      </c>
      <c r="D11" s="373" t="s">
        <v>315</v>
      </c>
      <c r="E11" s="356" t="s">
        <v>316</v>
      </c>
      <c r="F11" s="373" t="s">
        <v>317</v>
      </c>
      <c r="G11" s="376" t="s">
        <v>318</v>
      </c>
      <c r="H11" s="356" t="s">
        <v>319</v>
      </c>
      <c r="I11" s="356" t="s">
        <v>311</v>
      </c>
      <c r="J11" s="358" t="s">
        <v>310</v>
      </c>
      <c r="K11" s="241" t="s">
        <v>320</v>
      </c>
      <c r="L11" s="360" t="s">
        <v>321</v>
      </c>
    </row>
    <row r="12" spans="1:14" ht="15.75" customHeight="1" x14ac:dyDescent="0.3">
      <c r="A12" s="374"/>
      <c r="B12" s="374"/>
      <c r="C12" s="375"/>
      <c r="D12" s="374"/>
      <c r="E12" s="357"/>
      <c r="F12" s="374"/>
      <c r="G12" s="377"/>
      <c r="H12" s="357"/>
      <c r="I12" s="357"/>
      <c r="J12" s="359"/>
      <c r="K12" s="242" t="str">
        <f>RESUMEN!B8</f>
        <v>VTO 18/02</v>
      </c>
      <c r="L12" s="361"/>
    </row>
    <row r="13" spans="1:14" ht="17.100000000000001" customHeight="1" x14ac:dyDescent="0.3">
      <c r="A13" s="243">
        <v>1</v>
      </c>
      <c r="B13" s="243" t="s">
        <v>126</v>
      </c>
      <c r="C13" s="243"/>
      <c r="D13" s="244">
        <v>1.37</v>
      </c>
      <c r="E13" s="245">
        <v>206522.01</v>
      </c>
      <c r="F13" s="246">
        <f>E13</f>
        <v>206522.01</v>
      </c>
      <c r="G13" s="247">
        <f t="shared" ref="G13:G76" si="0">E13-F13</f>
        <v>0</v>
      </c>
      <c r="H13" s="247">
        <f>IF(G13&gt;0,G13*3%,0)</f>
        <v>0</v>
      </c>
      <c r="I13" s="248">
        <f t="shared" ref="I13:I44" si="1">J$2*D13/100</f>
        <v>165422.36250000002</v>
      </c>
      <c r="J13" s="248">
        <f t="shared" ref="J13:J44" si="2">E$2*D13/100</f>
        <v>41100.000000000007</v>
      </c>
      <c r="K13" s="249">
        <f t="shared" ref="K13:K44" si="3">ROUND(SUM(G13:J13),0) + M13</f>
        <v>206522.01</v>
      </c>
      <c r="L13" s="250">
        <f t="shared" ref="L13:L33" si="4">ROUND(K13*3%,0) + K13</f>
        <v>212718.01</v>
      </c>
      <c r="M13" s="205">
        <v>0.01</v>
      </c>
    </row>
    <row r="14" spans="1:14" ht="17.100000000000001" customHeight="1" x14ac:dyDescent="0.3">
      <c r="A14" s="243">
        <v>2</v>
      </c>
      <c r="B14" s="243" t="s">
        <v>127</v>
      </c>
      <c r="C14" s="251"/>
      <c r="D14" s="244">
        <v>1.18</v>
      </c>
      <c r="E14" s="245">
        <v>2291975.02</v>
      </c>
      <c r="F14" s="246">
        <v>25422.880000000001</v>
      </c>
      <c r="G14" s="247">
        <f t="shared" si="0"/>
        <v>2266552.14</v>
      </c>
      <c r="H14" s="247">
        <f t="shared" ref="H14:H77" si="5">IF(G14&gt;0,G14*3%,0)</f>
        <v>67996.564200000008</v>
      </c>
      <c r="I14" s="248">
        <f t="shared" si="1"/>
        <v>142480.57500000001</v>
      </c>
      <c r="J14" s="248">
        <f t="shared" si="2"/>
        <v>35400</v>
      </c>
      <c r="K14" s="249">
        <f t="shared" si="3"/>
        <v>2512429.02</v>
      </c>
      <c r="L14" s="250">
        <f t="shared" si="4"/>
        <v>2587802.02</v>
      </c>
      <c r="M14" s="205">
        <f>M13+0.01</f>
        <v>0.02</v>
      </c>
      <c r="N14" t="s">
        <v>401</v>
      </c>
    </row>
    <row r="15" spans="1:14" ht="17.100000000000001" customHeight="1" x14ac:dyDescent="0.3">
      <c r="A15" s="243">
        <v>3</v>
      </c>
      <c r="B15" s="243" t="s">
        <v>128</v>
      </c>
      <c r="C15" s="251"/>
      <c r="D15" s="244">
        <v>0.74</v>
      </c>
      <c r="E15" s="245">
        <v>111552.03</v>
      </c>
      <c r="F15" s="246">
        <f>E15</f>
        <v>111552.03</v>
      </c>
      <c r="G15" s="247">
        <f t="shared" si="0"/>
        <v>0</v>
      </c>
      <c r="H15" s="247">
        <f t="shared" si="5"/>
        <v>0</v>
      </c>
      <c r="I15" s="248">
        <f t="shared" si="1"/>
        <v>89352.225000000006</v>
      </c>
      <c r="J15" s="248">
        <f t="shared" si="2"/>
        <v>22200</v>
      </c>
      <c r="K15" s="249">
        <f t="shared" si="3"/>
        <v>111552.03</v>
      </c>
      <c r="L15" s="250">
        <f t="shared" si="4"/>
        <v>114899.03</v>
      </c>
      <c r="M15" s="205">
        <f t="shared" ref="M15:M30" si="6">M14+0.01</f>
        <v>0.03</v>
      </c>
    </row>
    <row r="16" spans="1:14" ht="17.100000000000001" customHeight="1" x14ac:dyDescent="0.3">
      <c r="A16" s="243">
        <v>4</v>
      </c>
      <c r="B16" s="243" t="s">
        <v>129</v>
      </c>
      <c r="C16" s="251"/>
      <c r="D16" s="244">
        <v>1.47</v>
      </c>
      <c r="E16" s="245">
        <v>221597.04</v>
      </c>
      <c r="F16" s="246">
        <v>228245.04</v>
      </c>
      <c r="G16" s="247">
        <f t="shared" si="0"/>
        <v>-6648</v>
      </c>
      <c r="H16" s="247">
        <f t="shared" si="5"/>
        <v>0</v>
      </c>
      <c r="I16" s="248">
        <f t="shared" si="1"/>
        <v>177496.98749999999</v>
      </c>
      <c r="J16" s="248">
        <f t="shared" si="2"/>
        <v>44100</v>
      </c>
      <c r="K16" s="249">
        <f t="shared" si="3"/>
        <v>214949.04</v>
      </c>
      <c r="L16" s="250">
        <f t="shared" si="4"/>
        <v>221397.04</v>
      </c>
      <c r="M16" s="205">
        <f t="shared" si="6"/>
        <v>0.04</v>
      </c>
    </row>
    <row r="17" spans="1:14" ht="17.100000000000001" customHeight="1" x14ac:dyDescent="0.3">
      <c r="A17" s="243">
        <v>5</v>
      </c>
      <c r="B17" s="243" t="s">
        <v>130</v>
      </c>
      <c r="C17" s="243"/>
      <c r="D17" s="244">
        <v>1.1200000000000001</v>
      </c>
      <c r="E17" s="245">
        <v>168836.05</v>
      </c>
      <c r="F17" s="246">
        <v>173901.05</v>
      </c>
      <c r="G17" s="247">
        <f t="shared" si="0"/>
        <v>-5065</v>
      </c>
      <c r="H17" s="247">
        <f t="shared" si="5"/>
        <v>0</v>
      </c>
      <c r="I17" s="248">
        <f t="shared" si="1"/>
        <v>135235.80000000002</v>
      </c>
      <c r="J17" s="248">
        <f t="shared" si="2"/>
        <v>33600.000000000007</v>
      </c>
      <c r="K17" s="249">
        <f t="shared" si="3"/>
        <v>163771.04999999999</v>
      </c>
      <c r="L17" s="250">
        <f t="shared" si="4"/>
        <v>168684.05</v>
      </c>
      <c r="M17" s="205">
        <f t="shared" si="6"/>
        <v>0.05</v>
      </c>
    </row>
    <row r="18" spans="1:14" ht="17.100000000000001" customHeight="1" x14ac:dyDescent="0.3">
      <c r="A18" s="243">
        <v>6</v>
      </c>
      <c r="B18" s="243" t="s">
        <v>131</v>
      </c>
      <c r="C18" s="243"/>
      <c r="D18" s="244">
        <v>1.35</v>
      </c>
      <c r="E18" s="245">
        <v>203490.06</v>
      </c>
      <c r="F18" s="246">
        <f>E18</f>
        <v>203490.06</v>
      </c>
      <c r="G18" s="247">
        <f t="shared" si="0"/>
        <v>0</v>
      </c>
      <c r="H18" s="247">
        <f t="shared" si="5"/>
        <v>0</v>
      </c>
      <c r="I18" s="248">
        <f t="shared" si="1"/>
        <v>163007.43750000003</v>
      </c>
      <c r="J18" s="248">
        <f t="shared" si="2"/>
        <v>40500.000000000007</v>
      </c>
      <c r="K18" s="249">
        <f t="shared" si="3"/>
        <v>203507.06</v>
      </c>
      <c r="L18" s="250">
        <f t="shared" si="4"/>
        <v>209612.06</v>
      </c>
      <c r="M18" s="205">
        <f t="shared" si="6"/>
        <v>6.0000000000000005E-2</v>
      </c>
    </row>
    <row r="19" spans="1:14" ht="17.100000000000001" customHeight="1" x14ac:dyDescent="0.3">
      <c r="A19" s="243">
        <v>7</v>
      </c>
      <c r="B19" s="243" t="s">
        <v>132</v>
      </c>
      <c r="C19" s="243"/>
      <c r="D19" s="244">
        <v>1.1200000000000001</v>
      </c>
      <c r="E19" s="245">
        <v>168836.07</v>
      </c>
      <c r="F19" s="246">
        <f>E19</f>
        <v>168836.07</v>
      </c>
      <c r="G19" s="247">
        <f t="shared" si="0"/>
        <v>0</v>
      </c>
      <c r="H19" s="247">
        <f t="shared" si="5"/>
        <v>0</v>
      </c>
      <c r="I19" s="248">
        <f t="shared" si="1"/>
        <v>135235.80000000002</v>
      </c>
      <c r="J19" s="248">
        <f t="shared" si="2"/>
        <v>33600.000000000007</v>
      </c>
      <c r="K19" s="249">
        <f t="shared" si="3"/>
        <v>168836.07</v>
      </c>
      <c r="L19" s="250">
        <f t="shared" si="4"/>
        <v>173901.07</v>
      </c>
      <c r="M19" s="205">
        <f t="shared" si="6"/>
        <v>7.0000000000000007E-2</v>
      </c>
    </row>
    <row r="20" spans="1:14" ht="17.100000000000001" customHeight="1" x14ac:dyDescent="0.3">
      <c r="A20" s="243">
        <v>8</v>
      </c>
      <c r="B20" s="243" t="s">
        <v>133</v>
      </c>
      <c r="C20" s="251"/>
      <c r="D20" s="244">
        <v>0.82</v>
      </c>
      <c r="E20" s="245">
        <v>127320.08</v>
      </c>
      <c r="F20" s="246">
        <f>E20</f>
        <v>127320.08</v>
      </c>
      <c r="G20" s="247">
        <f t="shared" si="0"/>
        <v>0</v>
      </c>
      <c r="H20" s="247">
        <f t="shared" si="5"/>
        <v>0</v>
      </c>
      <c r="I20" s="248">
        <f t="shared" si="1"/>
        <v>99011.925000000003</v>
      </c>
      <c r="J20" s="248">
        <f t="shared" si="2"/>
        <v>24600</v>
      </c>
      <c r="K20" s="249">
        <f t="shared" si="3"/>
        <v>123612.08</v>
      </c>
      <c r="L20" s="250">
        <f t="shared" si="4"/>
        <v>127320.08</v>
      </c>
      <c r="M20" s="205">
        <f t="shared" si="6"/>
        <v>0.08</v>
      </c>
    </row>
    <row r="21" spans="1:14" ht="17.100000000000001" customHeight="1" x14ac:dyDescent="0.3">
      <c r="A21" s="243">
        <v>9</v>
      </c>
      <c r="B21" s="243" t="s">
        <v>134</v>
      </c>
      <c r="C21" s="251"/>
      <c r="D21" s="244">
        <v>0.82</v>
      </c>
      <c r="E21" s="245">
        <v>123612.09</v>
      </c>
      <c r="F21" s="246">
        <v>127320.09</v>
      </c>
      <c r="G21" s="247">
        <f t="shared" si="0"/>
        <v>-3708</v>
      </c>
      <c r="H21" s="247">
        <f t="shared" si="5"/>
        <v>0</v>
      </c>
      <c r="I21" s="248">
        <f t="shared" si="1"/>
        <v>99011.925000000003</v>
      </c>
      <c r="J21" s="248">
        <f t="shared" si="2"/>
        <v>24600</v>
      </c>
      <c r="K21" s="249">
        <f t="shared" si="3"/>
        <v>119904.09</v>
      </c>
      <c r="L21" s="250">
        <f t="shared" si="4"/>
        <v>123501.09</v>
      </c>
      <c r="M21" s="205">
        <f t="shared" si="6"/>
        <v>0.09</v>
      </c>
    </row>
    <row r="22" spans="1:14" ht="17.100000000000001" customHeight="1" x14ac:dyDescent="0.3">
      <c r="A22" s="243">
        <v>10</v>
      </c>
      <c r="B22" s="243" t="s">
        <v>135</v>
      </c>
      <c r="C22" s="251"/>
      <c r="D22" s="244">
        <v>1.34</v>
      </c>
      <c r="E22" s="245">
        <v>208060.1</v>
      </c>
      <c r="F22" s="246">
        <f>E22</f>
        <v>208060.1</v>
      </c>
      <c r="G22" s="247">
        <f t="shared" si="0"/>
        <v>0</v>
      </c>
      <c r="H22" s="247">
        <f t="shared" si="5"/>
        <v>0</v>
      </c>
      <c r="I22" s="248">
        <f t="shared" si="1"/>
        <v>161799.97500000001</v>
      </c>
      <c r="J22" s="248">
        <f t="shared" si="2"/>
        <v>40200.000000000007</v>
      </c>
      <c r="K22" s="249">
        <f t="shared" si="3"/>
        <v>202000.1</v>
      </c>
      <c r="L22" s="250">
        <f t="shared" si="4"/>
        <v>208060.1</v>
      </c>
      <c r="M22" s="205">
        <f t="shared" si="6"/>
        <v>9.9999999999999992E-2</v>
      </c>
    </row>
    <row r="23" spans="1:14" ht="17.100000000000001" customHeight="1" x14ac:dyDescent="0.3">
      <c r="A23" s="243">
        <v>11</v>
      </c>
      <c r="B23" s="243" t="s">
        <v>136</v>
      </c>
      <c r="C23" s="251"/>
      <c r="D23" s="244">
        <v>1.1200000000000001</v>
      </c>
      <c r="E23" s="245">
        <v>168836.11</v>
      </c>
      <c r="F23" s="246">
        <f>E23</f>
        <v>168836.11</v>
      </c>
      <c r="G23" s="247">
        <f t="shared" si="0"/>
        <v>0</v>
      </c>
      <c r="H23" s="247">
        <f t="shared" si="5"/>
        <v>0</v>
      </c>
      <c r="I23" s="248">
        <f t="shared" si="1"/>
        <v>135235.80000000002</v>
      </c>
      <c r="J23" s="248">
        <f t="shared" si="2"/>
        <v>33600.000000000007</v>
      </c>
      <c r="K23" s="249">
        <f t="shared" si="3"/>
        <v>168836.11</v>
      </c>
      <c r="L23" s="250">
        <f t="shared" si="4"/>
        <v>173901.11</v>
      </c>
      <c r="M23" s="205">
        <f t="shared" si="6"/>
        <v>0.10999999999999999</v>
      </c>
    </row>
    <row r="24" spans="1:14" ht="17.25" customHeight="1" x14ac:dyDescent="0.3">
      <c r="A24" s="243">
        <v>12</v>
      </c>
      <c r="B24" s="243" t="s">
        <v>137</v>
      </c>
      <c r="C24" s="251"/>
      <c r="D24" s="244">
        <v>1.17</v>
      </c>
      <c r="E24" s="245">
        <v>3013263.12</v>
      </c>
      <c r="F24" s="246">
        <v>0</v>
      </c>
      <c r="G24" s="247">
        <f t="shared" si="0"/>
        <v>3013263.12</v>
      </c>
      <c r="H24" s="247">
        <f t="shared" si="5"/>
        <v>90397.893599999996</v>
      </c>
      <c r="I24" s="248">
        <f t="shared" si="1"/>
        <v>141273.11249999999</v>
      </c>
      <c r="J24" s="248">
        <f t="shared" si="2"/>
        <v>35100</v>
      </c>
      <c r="K24" s="249">
        <f t="shared" si="3"/>
        <v>3280034.12</v>
      </c>
      <c r="L24" s="250">
        <f t="shared" si="4"/>
        <v>3378435.12</v>
      </c>
      <c r="M24" s="205">
        <f t="shared" si="6"/>
        <v>0.11999999999999998</v>
      </c>
    </row>
    <row r="25" spans="1:14" ht="17.100000000000001" customHeight="1" x14ac:dyDescent="0.3">
      <c r="A25" s="243">
        <v>13</v>
      </c>
      <c r="B25" s="243" t="s">
        <v>138</v>
      </c>
      <c r="C25" s="251"/>
      <c r="D25" s="244">
        <v>1.35</v>
      </c>
      <c r="E25" s="245">
        <v>203507.13</v>
      </c>
      <c r="F25" s="246">
        <v>200357.13</v>
      </c>
      <c r="G25" s="247">
        <f t="shared" si="0"/>
        <v>3150</v>
      </c>
      <c r="H25" s="247">
        <f t="shared" si="5"/>
        <v>94.5</v>
      </c>
      <c r="I25" s="248">
        <f t="shared" si="1"/>
        <v>163007.43750000003</v>
      </c>
      <c r="J25" s="248">
        <f t="shared" si="2"/>
        <v>40500.000000000007</v>
      </c>
      <c r="K25" s="249">
        <f t="shared" si="3"/>
        <v>206752.13</v>
      </c>
      <c r="L25" s="250">
        <f t="shared" si="4"/>
        <v>212955.13</v>
      </c>
      <c r="M25" s="205">
        <f t="shared" si="6"/>
        <v>0.12999999999999998</v>
      </c>
    </row>
    <row r="26" spans="1:14" ht="17.100000000000001" customHeight="1" x14ac:dyDescent="0.3">
      <c r="A26" s="243">
        <v>14</v>
      </c>
      <c r="B26" s="243" t="s">
        <v>139</v>
      </c>
      <c r="C26" s="251"/>
      <c r="D26" s="244">
        <v>1.1200000000000001</v>
      </c>
      <c r="E26" s="245">
        <v>342737.14</v>
      </c>
      <c r="F26" s="246">
        <f>168836.14*2</f>
        <v>337672.28</v>
      </c>
      <c r="G26" s="247">
        <f t="shared" si="0"/>
        <v>5064.859999999986</v>
      </c>
      <c r="H26" s="247">
        <f t="shared" si="5"/>
        <v>151.94579999999956</v>
      </c>
      <c r="I26" s="248">
        <f t="shared" si="1"/>
        <v>135235.80000000002</v>
      </c>
      <c r="J26" s="248">
        <f t="shared" si="2"/>
        <v>33600.000000000007</v>
      </c>
      <c r="K26" s="249">
        <f t="shared" si="3"/>
        <v>174053.14</v>
      </c>
      <c r="L26" s="250">
        <f t="shared" si="4"/>
        <v>179275.14</v>
      </c>
      <c r="M26" s="205">
        <f t="shared" si="6"/>
        <v>0.13999999999999999</v>
      </c>
    </row>
    <row r="27" spans="1:14" ht="17.100000000000001" customHeight="1" x14ac:dyDescent="0.3">
      <c r="A27" s="328">
        <v>15</v>
      </c>
      <c r="B27" s="328" t="s">
        <v>140</v>
      </c>
      <c r="C27" s="329"/>
      <c r="D27" s="330">
        <v>0.82</v>
      </c>
      <c r="E27" s="331">
        <v>250932.15</v>
      </c>
      <c r="F27" s="246"/>
      <c r="G27" s="247">
        <f t="shared" si="0"/>
        <v>250932.15</v>
      </c>
      <c r="H27" s="247">
        <f t="shared" si="5"/>
        <v>7527.9644999999991</v>
      </c>
      <c r="I27" s="248">
        <f t="shared" si="1"/>
        <v>99011.925000000003</v>
      </c>
      <c r="J27" s="248">
        <f t="shared" si="2"/>
        <v>24600</v>
      </c>
      <c r="K27" s="249">
        <f t="shared" si="3"/>
        <v>382072.15</v>
      </c>
      <c r="L27" s="250">
        <f t="shared" si="4"/>
        <v>393534.15</v>
      </c>
      <c r="M27" s="205">
        <f t="shared" si="6"/>
        <v>0.15</v>
      </c>
    </row>
    <row r="28" spans="1:14" ht="17.100000000000001" customHeight="1" x14ac:dyDescent="0.3">
      <c r="A28" s="243">
        <v>16</v>
      </c>
      <c r="B28" s="243" t="s">
        <v>141</v>
      </c>
      <c r="C28" s="243"/>
      <c r="D28" s="244">
        <v>0.82</v>
      </c>
      <c r="E28" s="245">
        <v>1119152.1599999999</v>
      </c>
      <c r="F28" s="246">
        <f>100000+402727.16</f>
        <v>502727.16</v>
      </c>
      <c r="G28" s="247">
        <f t="shared" si="0"/>
        <v>616425</v>
      </c>
      <c r="H28" s="247">
        <f t="shared" si="5"/>
        <v>18492.75</v>
      </c>
      <c r="I28" s="248">
        <f t="shared" si="1"/>
        <v>99011.925000000003</v>
      </c>
      <c r="J28" s="248">
        <f t="shared" si="2"/>
        <v>24600</v>
      </c>
      <c r="K28" s="249">
        <f t="shared" si="3"/>
        <v>758530.16</v>
      </c>
      <c r="L28" s="250">
        <f t="shared" si="4"/>
        <v>781286.16</v>
      </c>
      <c r="M28" s="205">
        <f t="shared" si="6"/>
        <v>0.16</v>
      </c>
    </row>
    <row r="29" spans="1:14" ht="17.100000000000001" customHeight="1" x14ac:dyDescent="0.3">
      <c r="A29" s="243">
        <v>17</v>
      </c>
      <c r="B29" s="243" t="s">
        <v>142</v>
      </c>
      <c r="C29" s="251"/>
      <c r="D29" s="244">
        <v>1.34</v>
      </c>
      <c r="E29" s="245">
        <v>615140.17000000004</v>
      </c>
      <c r="F29" s="246">
        <f>214033+401107.17</f>
        <v>615140.16999999993</v>
      </c>
      <c r="G29" s="247">
        <f t="shared" si="0"/>
        <v>0</v>
      </c>
      <c r="H29" s="247">
        <f t="shared" si="5"/>
        <v>0</v>
      </c>
      <c r="I29" s="248">
        <f t="shared" si="1"/>
        <v>161799.97500000001</v>
      </c>
      <c r="J29" s="248">
        <f t="shared" si="2"/>
        <v>40200.000000000007</v>
      </c>
      <c r="K29" s="249">
        <f t="shared" si="3"/>
        <v>202000.17</v>
      </c>
      <c r="L29" s="250">
        <f t="shared" si="4"/>
        <v>208060.17</v>
      </c>
      <c r="M29" s="205">
        <f t="shared" si="6"/>
        <v>0.17</v>
      </c>
    </row>
    <row r="30" spans="1:14" ht="17.100000000000001" customHeight="1" x14ac:dyDescent="0.3">
      <c r="A30" s="306">
        <v>18</v>
      </c>
      <c r="B30" s="306" t="s">
        <v>143</v>
      </c>
      <c r="C30" s="307"/>
      <c r="D30" s="308">
        <v>1.1200000000000001</v>
      </c>
      <c r="E30" s="246">
        <v>168652.18</v>
      </c>
      <c r="F30" s="246">
        <f>E30</f>
        <v>168652.18</v>
      </c>
      <c r="G30" s="309">
        <f t="shared" si="0"/>
        <v>0</v>
      </c>
      <c r="H30" s="309">
        <f t="shared" si="5"/>
        <v>0</v>
      </c>
      <c r="I30" s="310">
        <f t="shared" si="1"/>
        <v>135235.80000000002</v>
      </c>
      <c r="J30" s="310">
        <f t="shared" si="2"/>
        <v>33600.000000000007</v>
      </c>
      <c r="K30" s="311">
        <f t="shared" si="3"/>
        <v>168836.18</v>
      </c>
      <c r="L30" s="312">
        <f t="shared" si="4"/>
        <v>173901.18</v>
      </c>
      <c r="M30" s="205">
        <f t="shared" si="6"/>
        <v>0.18000000000000002</v>
      </c>
    </row>
    <row r="31" spans="1:14" x14ac:dyDescent="0.3">
      <c r="A31" s="243">
        <v>19</v>
      </c>
      <c r="B31" s="243" t="s">
        <v>144</v>
      </c>
      <c r="C31" s="251"/>
      <c r="D31" s="244">
        <v>1.17</v>
      </c>
      <c r="E31" s="245">
        <v>176373.19</v>
      </c>
      <c r="F31" s="246">
        <f>191449.19-F112</f>
        <v>176373.19</v>
      </c>
      <c r="G31" s="247">
        <f t="shared" si="0"/>
        <v>0</v>
      </c>
      <c r="H31" s="247">
        <f t="shared" si="5"/>
        <v>0</v>
      </c>
      <c r="I31" s="248">
        <f t="shared" si="1"/>
        <v>141273.11249999999</v>
      </c>
      <c r="J31" s="248">
        <f t="shared" si="2"/>
        <v>35100</v>
      </c>
      <c r="K31" s="249">
        <f t="shared" si="3"/>
        <v>176373.19</v>
      </c>
      <c r="L31" s="250">
        <f t="shared" si="4"/>
        <v>181664.19</v>
      </c>
      <c r="M31" s="205">
        <f>M30+0.01</f>
        <v>0.19000000000000003</v>
      </c>
      <c r="N31" t="s">
        <v>348</v>
      </c>
    </row>
    <row r="32" spans="1:14" x14ac:dyDescent="0.3">
      <c r="A32" s="313">
        <v>20</v>
      </c>
      <c r="B32" s="306" t="s">
        <v>145</v>
      </c>
      <c r="C32" s="314"/>
      <c r="D32" s="308">
        <v>1.35</v>
      </c>
      <c r="E32" s="246">
        <v>209612.2</v>
      </c>
      <c r="F32" s="246">
        <v>209612.2</v>
      </c>
      <c r="G32" s="309">
        <f t="shared" si="0"/>
        <v>0</v>
      </c>
      <c r="H32" s="309">
        <f t="shared" si="5"/>
        <v>0</v>
      </c>
      <c r="I32" s="310">
        <f t="shared" si="1"/>
        <v>163007.43750000003</v>
      </c>
      <c r="J32" s="310">
        <f t="shared" si="2"/>
        <v>40500.000000000007</v>
      </c>
      <c r="K32" s="311">
        <f t="shared" si="3"/>
        <v>203507.20000000001</v>
      </c>
      <c r="L32" s="312">
        <f t="shared" si="4"/>
        <v>209612.2</v>
      </c>
      <c r="M32" s="205">
        <f t="shared" ref="M32:M95" si="7">M31+0.01</f>
        <v>0.20000000000000004</v>
      </c>
      <c r="N32" t="s">
        <v>353</v>
      </c>
    </row>
    <row r="33" spans="1:14" x14ac:dyDescent="0.3">
      <c r="A33" s="313">
        <v>21</v>
      </c>
      <c r="B33" s="315" t="s">
        <v>146</v>
      </c>
      <c r="C33" s="314"/>
      <c r="D33" s="308">
        <v>1.1200000000000001</v>
      </c>
      <c r="E33" s="246">
        <v>168236.21</v>
      </c>
      <c r="F33" s="246">
        <f>E33</f>
        <v>168236.21</v>
      </c>
      <c r="G33" s="309">
        <f t="shared" si="0"/>
        <v>0</v>
      </c>
      <c r="H33" s="309">
        <f t="shared" si="5"/>
        <v>0</v>
      </c>
      <c r="I33" s="310">
        <f t="shared" si="1"/>
        <v>135235.80000000002</v>
      </c>
      <c r="J33" s="310">
        <f t="shared" si="2"/>
        <v>33600.000000000007</v>
      </c>
      <c r="K33" s="311">
        <f t="shared" si="3"/>
        <v>168836.21</v>
      </c>
      <c r="L33" s="312">
        <f t="shared" si="4"/>
        <v>173901.21</v>
      </c>
      <c r="M33" s="205">
        <f t="shared" si="7"/>
        <v>0.21000000000000005</v>
      </c>
    </row>
    <row r="34" spans="1:14" x14ac:dyDescent="0.3">
      <c r="A34" s="252">
        <f>A33+1</f>
        <v>22</v>
      </c>
      <c r="B34" s="254" t="s">
        <v>147</v>
      </c>
      <c r="C34" s="251"/>
      <c r="D34" s="244">
        <v>0.82</v>
      </c>
      <c r="E34" s="245">
        <v>123612.22</v>
      </c>
      <c r="F34" s="246">
        <f>E34</f>
        <v>123612.22</v>
      </c>
      <c r="G34" s="247">
        <f t="shared" si="0"/>
        <v>0</v>
      </c>
      <c r="H34" s="247">
        <f t="shared" si="5"/>
        <v>0</v>
      </c>
      <c r="I34" s="248">
        <f t="shared" si="1"/>
        <v>99011.925000000003</v>
      </c>
      <c r="J34" s="248">
        <f t="shared" si="2"/>
        <v>24600</v>
      </c>
      <c r="K34" s="249">
        <f t="shared" si="3"/>
        <v>123612.22</v>
      </c>
      <c r="L34" s="250">
        <f t="shared" ref="L34:L97" si="8">ROUND(K34*3%,0) + K34</f>
        <v>127320.22</v>
      </c>
      <c r="M34" s="205">
        <f t="shared" si="7"/>
        <v>0.22000000000000006</v>
      </c>
    </row>
    <row r="35" spans="1:14" x14ac:dyDescent="0.3">
      <c r="A35" s="252">
        <f t="shared" ref="A35:A98" si="9">A34+1</f>
        <v>23</v>
      </c>
      <c r="B35" s="254" t="s">
        <v>148</v>
      </c>
      <c r="C35" s="251"/>
      <c r="D35" s="244">
        <v>0.82</v>
      </c>
      <c r="E35" s="245">
        <v>123612.23</v>
      </c>
      <c r="F35" s="246">
        <v>127320.23</v>
      </c>
      <c r="G35" s="247">
        <f t="shared" si="0"/>
        <v>-3708</v>
      </c>
      <c r="H35" s="247">
        <f t="shared" si="5"/>
        <v>0</v>
      </c>
      <c r="I35" s="248">
        <f t="shared" si="1"/>
        <v>99011.925000000003</v>
      </c>
      <c r="J35" s="248">
        <f t="shared" si="2"/>
        <v>24600</v>
      </c>
      <c r="K35" s="249">
        <f t="shared" si="3"/>
        <v>119904.23</v>
      </c>
      <c r="L35" s="250">
        <f t="shared" si="8"/>
        <v>123501.23</v>
      </c>
      <c r="M35" s="205">
        <f t="shared" si="7"/>
        <v>0.23000000000000007</v>
      </c>
    </row>
    <row r="36" spans="1:14" x14ac:dyDescent="0.3">
      <c r="A36" s="252">
        <f t="shared" si="9"/>
        <v>24</v>
      </c>
      <c r="B36" s="254" t="s">
        <v>149</v>
      </c>
      <c r="C36" s="251"/>
      <c r="D36" s="244">
        <v>1.34</v>
      </c>
      <c r="E36" s="245">
        <v>208060.24</v>
      </c>
      <c r="F36" s="246">
        <f>E36</f>
        <v>208060.24</v>
      </c>
      <c r="G36" s="247">
        <f t="shared" si="0"/>
        <v>0</v>
      </c>
      <c r="H36" s="247">
        <f t="shared" si="5"/>
        <v>0</v>
      </c>
      <c r="I36" s="248">
        <f t="shared" si="1"/>
        <v>161799.97500000001</v>
      </c>
      <c r="J36" s="248">
        <f t="shared" si="2"/>
        <v>40200.000000000007</v>
      </c>
      <c r="K36" s="249">
        <f t="shared" si="3"/>
        <v>202000.24</v>
      </c>
      <c r="L36" s="250">
        <f t="shared" si="8"/>
        <v>208060.24</v>
      </c>
      <c r="M36" s="205">
        <f t="shared" si="7"/>
        <v>0.24000000000000007</v>
      </c>
    </row>
    <row r="37" spans="1:14" x14ac:dyDescent="0.3">
      <c r="A37" s="252">
        <f t="shared" si="9"/>
        <v>25</v>
      </c>
      <c r="B37" s="254" t="s">
        <v>150</v>
      </c>
      <c r="C37" s="251"/>
      <c r="D37" s="244">
        <v>1.1200000000000001</v>
      </c>
      <c r="E37" s="245">
        <v>606237.25</v>
      </c>
      <c r="F37" s="246">
        <v>624424.25</v>
      </c>
      <c r="G37" s="247">
        <f t="shared" si="0"/>
        <v>-18187</v>
      </c>
      <c r="H37" s="247">
        <f t="shared" si="5"/>
        <v>0</v>
      </c>
      <c r="I37" s="248">
        <f t="shared" si="1"/>
        <v>135235.80000000002</v>
      </c>
      <c r="J37" s="248">
        <f t="shared" si="2"/>
        <v>33600.000000000007</v>
      </c>
      <c r="K37" s="249">
        <f t="shared" si="3"/>
        <v>150649.25</v>
      </c>
      <c r="L37" s="250">
        <f t="shared" si="8"/>
        <v>155168.25</v>
      </c>
      <c r="M37" s="205">
        <f t="shared" si="7"/>
        <v>0.25000000000000006</v>
      </c>
    </row>
    <row r="38" spans="1:14" x14ac:dyDescent="0.3">
      <c r="A38" s="252">
        <f t="shared" si="9"/>
        <v>26</v>
      </c>
      <c r="B38" s="254" t="s">
        <v>151</v>
      </c>
      <c r="C38" s="251"/>
      <c r="D38" s="244">
        <v>1.17</v>
      </c>
      <c r="E38" s="245">
        <v>182486.26</v>
      </c>
      <c r="F38" s="246"/>
      <c r="G38" s="247">
        <f t="shared" si="0"/>
        <v>182486.26</v>
      </c>
      <c r="H38" s="247">
        <f t="shared" si="5"/>
        <v>5474.5878000000002</v>
      </c>
      <c r="I38" s="248">
        <f t="shared" si="1"/>
        <v>141273.11249999999</v>
      </c>
      <c r="J38" s="248">
        <f t="shared" si="2"/>
        <v>35100</v>
      </c>
      <c r="K38" s="249">
        <f t="shared" si="3"/>
        <v>364334.26</v>
      </c>
      <c r="L38" s="250">
        <f t="shared" si="8"/>
        <v>375264.26</v>
      </c>
      <c r="M38" s="205">
        <f t="shared" si="7"/>
        <v>0.26000000000000006</v>
      </c>
    </row>
    <row r="39" spans="1:14" x14ac:dyDescent="0.3">
      <c r="A39" s="252">
        <f t="shared" si="9"/>
        <v>27</v>
      </c>
      <c r="B39" s="254" t="s">
        <v>152</v>
      </c>
      <c r="C39" s="251"/>
      <c r="D39" s="244">
        <v>1.35</v>
      </c>
      <c r="E39" s="245">
        <v>203507.27</v>
      </c>
      <c r="F39" s="246">
        <v>209612.27</v>
      </c>
      <c r="G39" s="247">
        <f t="shared" si="0"/>
        <v>-6105</v>
      </c>
      <c r="H39" s="247">
        <f t="shared" si="5"/>
        <v>0</v>
      </c>
      <c r="I39" s="248">
        <f t="shared" si="1"/>
        <v>163007.43750000003</v>
      </c>
      <c r="J39" s="248">
        <f t="shared" si="2"/>
        <v>40500.000000000007</v>
      </c>
      <c r="K39" s="249">
        <f t="shared" si="3"/>
        <v>197402.27</v>
      </c>
      <c r="L39" s="250">
        <f t="shared" si="8"/>
        <v>203324.27</v>
      </c>
      <c r="M39" s="205">
        <f t="shared" si="7"/>
        <v>0.27000000000000007</v>
      </c>
    </row>
    <row r="40" spans="1:14" x14ac:dyDescent="0.3">
      <c r="A40" s="252">
        <f t="shared" si="9"/>
        <v>28</v>
      </c>
      <c r="B40" s="254" t="s">
        <v>153</v>
      </c>
      <c r="C40" s="251"/>
      <c r="D40" s="244">
        <v>1.1200000000000001</v>
      </c>
      <c r="E40" s="245">
        <v>168836.28</v>
      </c>
      <c r="F40" s="246">
        <v>173901.28</v>
      </c>
      <c r="G40" s="247">
        <f t="shared" si="0"/>
        <v>-5065</v>
      </c>
      <c r="H40" s="247">
        <f t="shared" si="5"/>
        <v>0</v>
      </c>
      <c r="I40" s="248">
        <f t="shared" si="1"/>
        <v>135235.80000000002</v>
      </c>
      <c r="J40" s="248">
        <f t="shared" si="2"/>
        <v>33600.000000000007</v>
      </c>
      <c r="K40" s="249">
        <f t="shared" si="3"/>
        <v>163771.28</v>
      </c>
      <c r="L40" s="250">
        <f t="shared" si="8"/>
        <v>168684.28</v>
      </c>
      <c r="M40" s="205">
        <f t="shared" si="7"/>
        <v>0.28000000000000008</v>
      </c>
    </row>
    <row r="41" spans="1:14" x14ac:dyDescent="0.3">
      <c r="A41" s="280">
        <f t="shared" si="9"/>
        <v>29</v>
      </c>
      <c r="B41" s="281" t="s">
        <v>154</v>
      </c>
      <c r="C41" s="282"/>
      <c r="D41" s="273">
        <v>0.82</v>
      </c>
      <c r="E41" s="274">
        <v>225593.29</v>
      </c>
      <c r="F41" s="274">
        <v>232362</v>
      </c>
      <c r="G41" s="275">
        <f t="shared" si="0"/>
        <v>-6768.7099999999919</v>
      </c>
      <c r="H41" s="275">
        <f t="shared" si="5"/>
        <v>0</v>
      </c>
      <c r="I41" s="271">
        <f t="shared" si="1"/>
        <v>99011.925000000003</v>
      </c>
      <c r="J41" s="271">
        <f t="shared" si="2"/>
        <v>24600</v>
      </c>
      <c r="K41" s="276">
        <f t="shared" si="3"/>
        <v>116843.29</v>
      </c>
      <c r="L41" s="277">
        <f t="shared" si="8"/>
        <v>120348.29</v>
      </c>
      <c r="M41" s="205">
        <f t="shared" si="7"/>
        <v>0.29000000000000009</v>
      </c>
      <c r="N41" t="s">
        <v>343</v>
      </c>
    </row>
    <row r="42" spans="1:14" x14ac:dyDescent="0.3">
      <c r="A42" s="252">
        <f t="shared" si="9"/>
        <v>30</v>
      </c>
      <c r="B42" s="254" t="s">
        <v>155</v>
      </c>
      <c r="C42" s="251"/>
      <c r="D42" s="244">
        <v>0.82</v>
      </c>
      <c r="E42" s="245">
        <v>250065.3</v>
      </c>
      <c r="F42" s="246">
        <f>130000+123000</f>
        <v>253000</v>
      </c>
      <c r="G42" s="247">
        <f t="shared" si="0"/>
        <v>-2934.7000000000116</v>
      </c>
      <c r="H42" s="247">
        <f t="shared" si="5"/>
        <v>0</v>
      </c>
      <c r="I42" s="248">
        <f t="shared" si="1"/>
        <v>99011.925000000003</v>
      </c>
      <c r="J42" s="248">
        <f t="shared" si="2"/>
        <v>24600</v>
      </c>
      <c r="K42" s="249">
        <f t="shared" si="3"/>
        <v>120677.3</v>
      </c>
      <c r="L42" s="250">
        <f t="shared" si="8"/>
        <v>124297.3</v>
      </c>
      <c r="M42" s="205">
        <f t="shared" si="7"/>
        <v>0.3000000000000001</v>
      </c>
    </row>
    <row r="43" spans="1:14" x14ac:dyDescent="0.3">
      <c r="A43" s="252">
        <f t="shared" si="9"/>
        <v>31</v>
      </c>
      <c r="B43" s="254" t="s">
        <v>156</v>
      </c>
      <c r="C43" s="251"/>
      <c r="D43" s="244">
        <v>1.34</v>
      </c>
      <c r="E43" s="245">
        <v>202000.31</v>
      </c>
      <c r="F43" s="246">
        <f>E43</f>
        <v>202000.31</v>
      </c>
      <c r="G43" s="247">
        <f t="shared" si="0"/>
        <v>0</v>
      </c>
      <c r="H43" s="247">
        <f t="shared" si="5"/>
        <v>0</v>
      </c>
      <c r="I43" s="248">
        <f t="shared" si="1"/>
        <v>161799.97500000001</v>
      </c>
      <c r="J43" s="248">
        <f t="shared" si="2"/>
        <v>40200.000000000007</v>
      </c>
      <c r="K43" s="249">
        <f t="shared" si="3"/>
        <v>202000.31</v>
      </c>
      <c r="L43" s="250">
        <f t="shared" si="8"/>
        <v>208060.31</v>
      </c>
      <c r="M43" s="205">
        <f t="shared" si="7"/>
        <v>0.31000000000000011</v>
      </c>
    </row>
    <row r="44" spans="1:14" x14ac:dyDescent="0.3">
      <c r="A44" s="252">
        <f t="shared" si="9"/>
        <v>32</v>
      </c>
      <c r="B44" s="254" t="s">
        <v>157</v>
      </c>
      <c r="C44" s="251"/>
      <c r="D44" s="244">
        <v>1.1200000000000001</v>
      </c>
      <c r="E44" s="245">
        <v>168836.32</v>
      </c>
      <c r="F44" s="246">
        <f>86950.32 *2+5065.328695032</f>
        <v>178965.968695032</v>
      </c>
      <c r="G44" s="247">
        <f t="shared" si="0"/>
        <v>-10129.648695031996</v>
      </c>
      <c r="H44" s="247">
        <f t="shared" si="5"/>
        <v>0</v>
      </c>
      <c r="I44" s="248">
        <f t="shared" si="1"/>
        <v>135235.80000000002</v>
      </c>
      <c r="J44" s="248">
        <f t="shared" si="2"/>
        <v>33600.000000000007</v>
      </c>
      <c r="K44" s="249">
        <f t="shared" si="3"/>
        <v>158706.32</v>
      </c>
      <c r="L44" s="250">
        <f t="shared" si="8"/>
        <v>163467.32</v>
      </c>
      <c r="M44" s="205">
        <f t="shared" si="7"/>
        <v>0.32000000000000012</v>
      </c>
    </row>
    <row r="45" spans="1:14" x14ac:dyDescent="0.3">
      <c r="A45" s="252">
        <f t="shared" si="9"/>
        <v>33</v>
      </c>
      <c r="B45" s="254" t="s">
        <v>158</v>
      </c>
      <c r="C45" s="251"/>
      <c r="D45" s="244">
        <v>1.17</v>
      </c>
      <c r="E45" s="245">
        <v>908404.33</v>
      </c>
      <c r="F45" s="246">
        <v>0</v>
      </c>
      <c r="G45" s="247">
        <f t="shared" si="0"/>
        <v>908404.33</v>
      </c>
      <c r="H45" s="247">
        <f t="shared" si="5"/>
        <v>27252.129899999996</v>
      </c>
      <c r="I45" s="248">
        <f t="shared" ref="I45:I76" si="10">J$2*D45/100</f>
        <v>141273.11249999999</v>
      </c>
      <c r="J45" s="248">
        <f t="shared" ref="J45:J76" si="11">E$2*D45/100</f>
        <v>35100</v>
      </c>
      <c r="K45" s="249">
        <f t="shared" ref="K45:K76" si="12">ROUND(SUM(G45:J45),0) + M45</f>
        <v>1112030.33</v>
      </c>
      <c r="L45" s="250">
        <f t="shared" si="8"/>
        <v>1145391.33</v>
      </c>
      <c r="M45" s="205">
        <f t="shared" si="7"/>
        <v>0.33000000000000013</v>
      </c>
    </row>
    <row r="46" spans="1:14" x14ac:dyDescent="0.3">
      <c r="A46" s="252">
        <f t="shared" si="9"/>
        <v>34</v>
      </c>
      <c r="B46" s="254" t="s">
        <v>159</v>
      </c>
      <c r="C46" s="251"/>
      <c r="D46" s="244">
        <v>1.35</v>
      </c>
      <c r="E46" s="245">
        <v>203507.34</v>
      </c>
      <c r="F46" s="246">
        <f>E46</f>
        <v>203507.34</v>
      </c>
      <c r="G46" s="247">
        <f t="shared" si="0"/>
        <v>0</v>
      </c>
      <c r="H46" s="247">
        <f t="shared" si="5"/>
        <v>0</v>
      </c>
      <c r="I46" s="248">
        <f t="shared" si="10"/>
        <v>163007.43750000003</v>
      </c>
      <c r="J46" s="248">
        <f t="shared" si="11"/>
        <v>40500.000000000007</v>
      </c>
      <c r="K46" s="249">
        <f t="shared" si="12"/>
        <v>203507.34</v>
      </c>
      <c r="L46" s="250">
        <f t="shared" si="8"/>
        <v>209612.34</v>
      </c>
      <c r="M46" s="205">
        <f t="shared" si="7"/>
        <v>0.34000000000000014</v>
      </c>
    </row>
    <row r="47" spans="1:14" x14ac:dyDescent="0.3">
      <c r="A47" s="280">
        <f t="shared" si="9"/>
        <v>35</v>
      </c>
      <c r="B47" s="281" t="s">
        <v>160</v>
      </c>
      <c r="C47" s="282"/>
      <c r="D47" s="273">
        <v>1.1200000000000001</v>
      </c>
      <c r="E47" s="274">
        <v>167890.35</v>
      </c>
      <c r="F47" s="274"/>
      <c r="G47" s="275">
        <f t="shared" si="0"/>
        <v>167890.35</v>
      </c>
      <c r="H47" s="275">
        <f t="shared" si="5"/>
        <v>5036.7105000000001</v>
      </c>
      <c r="I47" s="271">
        <f t="shared" si="10"/>
        <v>135235.80000000002</v>
      </c>
      <c r="J47" s="271">
        <f t="shared" si="11"/>
        <v>33600.000000000007</v>
      </c>
      <c r="K47" s="276">
        <f t="shared" si="12"/>
        <v>341763.35</v>
      </c>
      <c r="L47" s="277">
        <f t="shared" si="8"/>
        <v>352016.35</v>
      </c>
      <c r="M47" s="205">
        <f t="shared" si="7"/>
        <v>0.35000000000000014</v>
      </c>
      <c r="N47" t="s">
        <v>345</v>
      </c>
    </row>
    <row r="48" spans="1:14" x14ac:dyDescent="0.3">
      <c r="A48" s="252">
        <f t="shared" si="9"/>
        <v>36</v>
      </c>
      <c r="B48" s="254" t="s">
        <v>161</v>
      </c>
      <c r="C48" s="251"/>
      <c r="D48" s="244">
        <v>0.82</v>
      </c>
      <c r="E48" s="245">
        <v>123612.36</v>
      </c>
      <c r="F48" s="246">
        <v>127320.36</v>
      </c>
      <c r="G48" s="247">
        <f t="shared" si="0"/>
        <v>-3708</v>
      </c>
      <c r="H48" s="247">
        <f t="shared" si="5"/>
        <v>0</v>
      </c>
      <c r="I48" s="248">
        <f t="shared" si="10"/>
        <v>99011.925000000003</v>
      </c>
      <c r="J48" s="248">
        <f t="shared" si="11"/>
        <v>24600</v>
      </c>
      <c r="K48" s="249">
        <f t="shared" si="12"/>
        <v>119904.36</v>
      </c>
      <c r="L48" s="250">
        <f t="shared" si="8"/>
        <v>123501.36</v>
      </c>
      <c r="M48" s="205">
        <f t="shared" si="7"/>
        <v>0.36000000000000015</v>
      </c>
      <c r="N48" t="s">
        <v>349</v>
      </c>
    </row>
    <row r="49" spans="1:14" x14ac:dyDescent="0.3">
      <c r="A49" s="252">
        <f t="shared" si="9"/>
        <v>37</v>
      </c>
      <c r="B49" s="254" t="s">
        <v>162</v>
      </c>
      <c r="C49" s="251"/>
      <c r="D49" s="244">
        <v>0.82</v>
      </c>
      <c r="E49" s="245">
        <v>123612.37</v>
      </c>
      <c r="F49" s="246"/>
      <c r="G49" s="247">
        <f t="shared" si="0"/>
        <v>123612.37</v>
      </c>
      <c r="H49" s="247">
        <f t="shared" si="5"/>
        <v>3708.3710999999998</v>
      </c>
      <c r="I49" s="248">
        <f t="shared" si="10"/>
        <v>99011.925000000003</v>
      </c>
      <c r="J49" s="248">
        <f t="shared" si="11"/>
        <v>24600</v>
      </c>
      <c r="K49" s="249">
        <f t="shared" si="12"/>
        <v>250933.37</v>
      </c>
      <c r="L49" s="250">
        <f t="shared" si="8"/>
        <v>258461.37</v>
      </c>
      <c r="M49" s="205">
        <f t="shared" si="7"/>
        <v>0.37000000000000016</v>
      </c>
    </row>
    <row r="50" spans="1:14" x14ac:dyDescent="0.3">
      <c r="A50" s="252">
        <f t="shared" si="9"/>
        <v>38</v>
      </c>
      <c r="B50" s="254" t="s">
        <v>163</v>
      </c>
      <c r="C50" s="251"/>
      <c r="D50" s="244">
        <v>1.34</v>
      </c>
      <c r="E50" s="245">
        <v>202000.38</v>
      </c>
      <c r="F50" s="246">
        <v>208060.38</v>
      </c>
      <c r="G50" s="247">
        <f t="shared" si="0"/>
        <v>-6060</v>
      </c>
      <c r="H50" s="247">
        <f t="shared" si="5"/>
        <v>0</v>
      </c>
      <c r="I50" s="248">
        <f t="shared" si="10"/>
        <v>161799.97500000001</v>
      </c>
      <c r="J50" s="248">
        <f t="shared" si="11"/>
        <v>40200.000000000007</v>
      </c>
      <c r="K50" s="249">
        <f t="shared" si="12"/>
        <v>195940.38</v>
      </c>
      <c r="L50" s="250">
        <f t="shared" si="8"/>
        <v>201818.38</v>
      </c>
      <c r="M50" s="205">
        <f t="shared" si="7"/>
        <v>0.38000000000000017</v>
      </c>
    </row>
    <row r="51" spans="1:14" x14ac:dyDescent="0.3">
      <c r="A51" s="252">
        <f t="shared" si="9"/>
        <v>39</v>
      </c>
      <c r="B51" s="254" t="s">
        <v>164</v>
      </c>
      <c r="C51" s="251"/>
      <c r="D51" s="244">
        <v>1.1200000000000001</v>
      </c>
      <c r="E51" s="245">
        <v>353018.39</v>
      </c>
      <c r="F51" s="246">
        <v>168836.39</v>
      </c>
      <c r="G51" s="247">
        <f t="shared" si="0"/>
        <v>184182</v>
      </c>
      <c r="H51" s="247">
        <f t="shared" si="5"/>
        <v>5525.46</v>
      </c>
      <c r="I51" s="248">
        <f t="shared" si="10"/>
        <v>135235.80000000002</v>
      </c>
      <c r="J51" s="248">
        <f t="shared" si="11"/>
        <v>33600.000000000007</v>
      </c>
      <c r="K51" s="249">
        <f t="shared" si="12"/>
        <v>358543.39</v>
      </c>
      <c r="L51" s="250">
        <f t="shared" si="8"/>
        <v>369299.39</v>
      </c>
      <c r="M51" s="205">
        <f t="shared" si="7"/>
        <v>0.39000000000000018</v>
      </c>
    </row>
    <row r="52" spans="1:14" x14ac:dyDescent="0.3">
      <c r="A52" s="252">
        <f t="shared" si="9"/>
        <v>40</v>
      </c>
      <c r="B52" s="254" t="s">
        <v>165</v>
      </c>
      <c r="C52" s="251"/>
      <c r="D52" s="244">
        <v>1.17</v>
      </c>
      <c r="E52" s="245">
        <v>176373.4</v>
      </c>
      <c r="F52" s="246"/>
      <c r="G52" s="247">
        <f t="shared" si="0"/>
        <v>176373.4</v>
      </c>
      <c r="H52" s="247">
        <f t="shared" si="5"/>
        <v>5291.2019999999993</v>
      </c>
      <c r="I52" s="248">
        <f t="shared" si="10"/>
        <v>141273.11249999999</v>
      </c>
      <c r="J52" s="248">
        <f t="shared" si="11"/>
        <v>35100</v>
      </c>
      <c r="K52" s="249">
        <f t="shared" si="12"/>
        <v>358038.4</v>
      </c>
      <c r="L52" s="250">
        <f t="shared" si="8"/>
        <v>368779.4</v>
      </c>
      <c r="M52" s="205">
        <f t="shared" si="7"/>
        <v>0.40000000000000019</v>
      </c>
    </row>
    <row r="53" spans="1:14" x14ac:dyDescent="0.3">
      <c r="A53" s="252">
        <f t="shared" si="9"/>
        <v>41</v>
      </c>
      <c r="B53" s="254" t="s">
        <v>166</v>
      </c>
      <c r="C53" s="251"/>
      <c r="D53" s="244">
        <v>1.35</v>
      </c>
      <c r="E53" s="245">
        <v>203507.41</v>
      </c>
      <c r="F53" s="246">
        <f>E53</f>
        <v>203507.41</v>
      </c>
      <c r="G53" s="247">
        <f t="shared" si="0"/>
        <v>0</v>
      </c>
      <c r="H53" s="247">
        <f t="shared" si="5"/>
        <v>0</v>
      </c>
      <c r="I53" s="248">
        <f t="shared" si="10"/>
        <v>163007.43750000003</v>
      </c>
      <c r="J53" s="248">
        <f t="shared" si="11"/>
        <v>40500.000000000007</v>
      </c>
      <c r="K53" s="249">
        <f t="shared" si="12"/>
        <v>203507.41</v>
      </c>
      <c r="L53" s="250">
        <f t="shared" si="8"/>
        <v>209612.41</v>
      </c>
      <c r="M53" s="205">
        <f t="shared" si="7"/>
        <v>0.4100000000000002</v>
      </c>
    </row>
    <row r="54" spans="1:14" x14ac:dyDescent="0.3">
      <c r="A54" s="252">
        <f t="shared" si="9"/>
        <v>42</v>
      </c>
      <c r="B54" s="254" t="s">
        <v>167</v>
      </c>
      <c r="C54" s="251"/>
      <c r="D54" s="244">
        <v>1.1200000000000001</v>
      </c>
      <c r="E54" s="245">
        <v>630978.42000000004</v>
      </c>
      <c r="F54" s="246"/>
      <c r="G54" s="247">
        <f t="shared" si="0"/>
        <v>630978.42000000004</v>
      </c>
      <c r="H54" s="247">
        <f t="shared" si="5"/>
        <v>18929.352600000002</v>
      </c>
      <c r="I54" s="248">
        <f t="shared" si="10"/>
        <v>135235.80000000002</v>
      </c>
      <c r="J54" s="248">
        <f t="shared" si="11"/>
        <v>33600.000000000007</v>
      </c>
      <c r="K54" s="249">
        <f t="shared" si="12"/>
        <v>818744.42</v>
      </c>
      <c r="L54" s="250">
        <f t="shared" si="8"/>
        <v>843306.42</v>
      </c>
      <c r="M54" s="205">
        <f t="shared" si="7"/>
        <v>0.42000000000000021</v>
      </c>
    </row>
    <row r="55" spans="1:14" x14ac:dyDescent="0.3">
      <c r="A55" s="252">
        <f t="shared" si="9"/>
        <v>43</v>
      </c>
      <c r="B55" s="254" t="s">
        <v>249</v>
      </c>
      <c r="C55" s="251"/>
      <c r="D55" s="244">
        <v>0.82</v>
      </c>
      <c r="E55" s="245">
        <v>1515727.43</v>
      </c>
      <c r="F55" s="246">
        <v>0</v>
      </c>
      <c r="G55" s="247">
        <f t="shared" si="0"/>
        <v>1515727.43</v>
      </c>
      <c r="H55" s="247">
        <f t="shared" si="5"/>
        <v>45471.822899999999</v>
      </c>
      <c r="I55" s="248">
        <f t="shared" si="10"/>
        <v>99011.925000000003</v>
      </c>
      <c r="J55" s="248">
        <f t="shared" si="11"/>
        <v>24600</v>
      </c>
      <c r="K55" s="249">
        <f t="shared" si="12"/>
        <v>1684811.43</v>
      </c>
      <c r="L55" s="250">
        <f t="shared" si="8"/>
        <v>1735355.43</v>
      </c>
      <c r="M55" s="205">
        <f t="shared" si="7"/>
        <v>0.43000000000000022</v>
      </c>
    </row>
    <row r="56" spans="1:14" x14ac:dyDescent="0.3">
      <c r="A56" s="252">
        <f t="shared" si="9"/>
        <v>44</v>
      </c>
      <c r="B56" s="254" t="s">
        <v>168</v>
      </c>
      <c r="C56" s="251"/>
      <c r="D56" s="244">
        <v>0.82</v>
      </c>
      <c r="E56" s="245">
        <v>123612.44</v>
      </c>
      <c r="F56" s="246"/>
      <c r="G56" s="247">
        <f t="shared" si="0"/>
        <v>123612.44</v>
      </c>
      <c r="H56" s="247">
        <f t="shared" si="5"/>
        <v>3708.3732</v>
      </c>
      <c r="I56" s="248">
        <f t="shared" si="10"/>
        <v>99011.925000000003</v>
      </c>
      <c r="J56" s="248">
        <f t="shared" si="11"/>
        <v>24600</v>
      </c>
      <c r="K56" s="249">
        <f t="shared" si="12"/>
        <v>250933.44</v>
      </c>
      <c r="L56" s="250">
        <f t="shared" si="8"/>
        <v>258461.44</v>
      </c>
      <c r="M56" s="205">
        <f t="shared" si="7"/>
        <v>0.44000000000000022</v>
      </c>
    </row>
    <row r="57" spans="1:14" x14ac:dyDescent="0.3">
      <c r="A57" s="252">
        <f t="shared" si="9"/>
        <v>45</v>
      </c>
      <c r="B57" s="254" t="s">
        <v>169</v>
      </c>
      <c r="C57" s="251"/>
      <c r="D57" s="244">
        <v>1.34</v>
      </c>
      <c r="E57" s="245">
        <v>202000.45</v>
      </c>
      <c r="F57" s="246">
        <f>E57</f>
        <v>202000.45</v>
      </c>
      <c r="G57" s="247">
        <f t="shared" si="0"/>
        <v>0</v>
      </c>
      <c r="H57" s="247">
        <f t="shared" si="5"/>
        <v>0</v>
      </c>
      <c r="I57" s="248">
        <f t="shared" si="10"/>
        <v>161799.97500000001</v>
      </c>
      <c r="J57" s="248">
        <f t="shared" si="11"/>
        <v>40200.000000000007</v>
      </c>
      <c r="K57" s="249">
        <f t="shared" si="12"/>
        <v>202000.45</v>
      </c>
      <c r="L57" s="250">
        <f t="shared" si="8"/>
        <v>208060.45</v>
      </c>
      <c r="M57" s="205">
        <f t="shared" si="7"/>
        <v>0.45000000000000023</v>
      </c>
    </row>
    <row r="58" spans="1:14" x14ac:dyDescent="0.3">
      <c r="A58" s="252">
        <f t="shared" si="9"/>
        <v>46</v>
      </c>
      <c r="B58" s="254" t="s">
        <v>170</v>
      </c>
      <c r="C58" s="251"/>
      <c r="D58" s="244">
        <v>1.1200000000000001</v>
      </c>
      <c r="E58" s="245">
        <v>191769.46</v>
      </c>
      <c r="F58" s="246">
        <v>170000</v>
      </c>
      <c r="G58" s="247">
        <f t="shared" si="0"/>
        <v>21769.459999999992</v>
      </c>
      <c r="H58" s="247">
        <f t="shared" si="5"/>
        <v>653.08379999999977</v>
      </c>
      <c r="I58" s="248">
        <f t="shared" si="10"/>
        <v>135235.80000000002</v>
      </c>
      <c r="J58" s="248">
        <f t="shared" si="11"/>
        <v>33600.000000000007</v>
      </c>
      <c r="K58" s="249">
        <f t="shared" si="12"/>
        <v>191258.46</v>
      </c>
      <c r="L58" s="250">
        <f t="shared" si="8"/>
        <v>196996.46</v>
      </c>
      <c r="M58" s="205">
        <f t="shared" si="7"/>
        <v>0.46000000000000024</v>
      </c>
      <c r="N58" t="s">
        <v>344</v>
      </c>
    </row>
    <row r="59" spans="1:14" x14ac:dyDescent="0.3">
      <c r="A59" s="280">
        <f t="shared" si="9"/>
        <v>47</v>
      </c>
      <c r="B59" s="281" t="s">
        <v>171</v>
      </c>
      <c r="C59" s="282"/>
      <c r="D59" s="273">
        <v>1.17</v>
      </c>
      <c r="E59" s="274">
        <v>566556.47</v>
      </c>
      <c r="F59" s="274">
        <v>173374.17</v>
      </c>
      <c r="G59" s="275">
        <f t="shared" si="0"/>
        <v>393182.29999999993</v>
      </c>
      <c r="H59" s="275">
        <f t="shared" si="5"/>
        <v>11795.468999999997</v>
      </c>
      <c r="I59" s="271">
        <f t="shared" si="10"/>
        <v>141273.11249999999</v>
      </c>
      <c r="J59" s="271">
        <f t="shared" si="11"/>
        <v>35100</v>
      </c>
      <c r="K59" s="276">
        <f t="shared" si="12"/>
        <v>581351.47</v>
      </c>
      <c r="L59" s="277">
        <f t="shared" si="8"/>
        <v>598792.47</v>
      </c>
      <c r="M59" s="205">
        <f t="shared" si="7"/>
        <v>0.47000000000000025</v>
      </c>
      <c r="N59" t="s">
        <v>422</v>
      </c>
    </row>
    <row r="60" spans="1:14" x14ac:dyDescent="0.3">
      <c r="A60" s="313">
        <f t="shared" si="9"/>
        <v>48</v>
      </c>
      <c r="B60" s="315" t="s">
        <v>172</v>
      </c>
      <c r="C60" s="314"/>
      <c r="D60" s="308">
        <v>1.35</v>
      </c>
      <c r="E60" s="246">
        <v>209612.48</v>
      </c>
      <c r="F60" s="246">
        <f>E60</f>
        <v>209612.48</v>
      </c>
      <c r="G60" s="309">
        <f t="shared" si="0"/>
        <v>0</v>
      </c>
      <c r="H60" s="309">
        <f t="shared" si="5"/>
        <v>0</v>
      </c>
      <c r="I60" s="310">
        <f t="shared" si="10"/>
        <v>163007.43750000003</v>
      </c>
      <c r="J60" s="310">
        <f t="shared" si="11"/>
        <v>40500.000000000007</v>
      </c>
      <c r="K60" s="311">
        <f t="shared" si="12"/>
        <v>203507.48</v>
      </c>
      <c r="L60" s="312">
        <f t="shared" si="8"/>
        <v>209612.48</v>
      </c>
      <c r="M60" s="205">
        <f t="shared" si="7"/>
        <v>0.48000000000000026</v>
      </c>
      <c r="N60" t="s">
        <v>346</v>
      </c>
    </row>
    <row r="61" spans="1:14" x14ac:dyDescent="0.3">
      <c r="A61" s="252">
        <f t="shared" si="9"/>
        <v>49</v>
      </c>
      <c r="B61" s="254" t="s">
        <v>173</v>
      </c>
      <c r="C61" s="251"/>
      <c r="D61" s="244">
        <v>1.1200000000000001</v>
      </c>
      <c r="E61" s="245">
        <v>168836.49</v>
      </c>
      <c r="F61" s="246">
        <v>173901.49</v>
      </c>
      <c r="G61" s="247">
        <f t="shared" si="0"/>
        <v>-5065</v>
      </c>
      <c r="H61" s="247">
        <f t="shared" si="5"/>
        <v>0</v>
      </c>
      <c r="I61" s="248">
        <f t="shared" si="10"/>
        <v>135235.80000000002</v>
      </c>
      <c r="J61" s="248">
        <f t="shared" si="11"/>
        <v>33600.000000000007</v>
      </c>
      <c r="K61" s="249">
        <f t="shared" si="12"/>
        <v>163771.49</v>
      </c>
      <c r="L61" s="250">
        <f t="shared" si="8"/>
        <v>168684.49</v>
      </c>
      <c r="M61" s="205">
        <f t="shared" si="7"/>
        <v>0.49000000000000027</v>
      </c>
    </row>
    <row r="62" spans="1:14" x14ac:dyDescent="0.3">
      <c r="A62" s="252">
        <f t="shared" si="9"/>
        <v>50</v>
      </c>
      <c r="B62" s="254" t="s">
        <v>174</v>
      </c>
      <c r="C62" s="251"/>
      <c r="D62" s="244">
        <v>0.82</v>
      </c>
      <c r="E62" s="245">
        <v>123612.5</v>
      </c>
      <c r="F62" s="246"/>
      <c r="G62" s="247">
        <f t="shared" si="0"/>
        <v>123612.5</v>
      </c>
      <c r="H62" s="247">
        <f t="shared" si="5"/>
        <v>3708.375</v>
      </c>
      <c r="I62" s="248">
        <f t="shared" si="10"/>
        <v>99011.925000000003</v>
      </c>
      <c r="J62" s="248">
        <f t="shared" si="11"/>
        <v>24600</v>
      </c>
      <c r="K62" s="249">
        <f t="shared" si="12"/>
        <v>250933.5</v>
      </c>
      <c r="L62" s="250">
        <f t="shared" si="8"/>
        <v>258461.5</v>
      </c>
      <c r="M62" s="205">
        <f t="shared" si="7"/>
        <v>0.50000000000000022</v>
      </c>
    </row>
    <row r="63" spans="1:14" x14ac:dyDescent="0.3">
      <c r="A63" s="252">
        <f t="shared" si="9"/>
        <v>51</v>
      </c>
      <c r="B63" s="254" t="s">
        <v>175</v>
      </c>
      <c r="C63" s="251"/>
      <c r="D63" s="244">
        <v>0.82</v>
      </c>
      <c r="E63" s="245">
        <v>106459.51</v>
      </c>
      <c r="F63" s="246">
        <v>0</v>
      </c>
      <c r="G63" s="247">
        <f t="shared" si="0"/>
        <v>106459.51</v>
      </c>
      <c r="H63" s="247">
        <f t="shared" si="5"/>
        <v>3193.7852999999996</v>
      </c>
      <c r="I63" s="248">
        <f t="shared" si="10"/>
        <v>99011.925000000003</v>
      </c>
      <c r="J63" s="248">
        <f t="shared" si="11"/>
        <v>24600</v>
      </c>
      <c r="K63" s="249">
        <f t="shared" si="12"/>
        <v>233265.51</v>
      </c>
      <c r="L63" s="250">
        <f t="shared" si="8"/>
        <v>240263.51</v>
      </c>
      <c r="M63" s="205">
        <f t="shared" si="7"/>
        <v>0.51000000000000023</v>
      </c>
    </row>
    <row r="64" spans="1:14" x14ac:dyDescent="0.3">
      <c r="A64" s="252">
        <f t="shared" si="9"/>
        <v>52</v>
      </c>
      <c r="B64" s="254" t="s">
        <v>176</v>
      </c>
      <c r="C64" s="251"/>
      <c r="D64" s="244">
        <v>1.34</v>
      </c>
      <c r="E64" s="245">
        <v>202000.52</v>
      </c>
      <c r="F64" s="246">
        <f>E64</f>
        <v>202000.52</v>
      </c>
      <c r="G64" s="247">
        <f t="shared" si="0"/>
        <v>0</v>
      </c>
      <c r="H64" s="247">
        <f t="shared" si="5"/>
        <v>0</v>
      </c>
      <c r="I64" s="248">
        <f t="shared" si="10"/>
        <v>161799.97500000001</v>
      </c>
      <c r="J64" s="248">
        <f t="shared" si="11"/>
        <v>40200.000000000007</v>
      </c>
      <c r="K64" s="249">
        <f t="shared" si="12"/>
        <v>202000.52</v>
      </c>
      <c r="L64" s="250">
        <f t="shared" si="8"/>
        <v>208060.52</v>
      </c>
      <c r="M64" s="205">
        <f t="shared" si="7"/>
        <v>0.52000000000000024</v>
      </c>
    </row>
    <row r="65" spans="1:14" x14ac:dyDescent="0.3">
      <c r="A65" s="333">
        <f t="shared" si="9"/>
        <v>53</v>
      </c>
      <c r="B65" s="334" t="s">
        <v>177</v>
      </c>
      <c r="C65" s="335"/>
      <c r="D65" s="336">
        <v>1.1200000000000001</v>
      </c>
      <c r="E65" s="337">
        <v>168836.53</v>
      </c>
      <c r="F65" s="337">
        <v>239116.53</v>
      </c>
      <c r="G65" s="247">
        <f t="shared" si="0"/>
        <v>-70280</v>
      </c>
      <c r="H65" s="247">
        <f t="shared" si="5"/>
        <v>0</v>
      </c>
      <c r="I65" s="248">
        <f t="shared" si="10"/>
        <v>135235.80000000002</v>
      </c>
      <c r="J65" s="248">
        <f t="shared" si="11"/>
        <v>33600.000000000007</v>
      </c>
      <c r="K65" s="249">
        <f t="shared" si="12"/>
        <v>98556.53</v>
      </c>
      <c r="L65" s="250">
        <f t="shared" si="8"/>
        <v>101513.53</v>
      </c>
      <c r="M65" s="205">
        <f t="shared" si="7"/>
        <v>0.53000000000000025</v>
      </c>
    </row>
    <row r="66" spans="1:14" x14ac:dyDescent="0.3">
      <c r="A66" s="252">
        <f t="shared" si="9"/>
        <v>54</v>
      </c>
      <c r="B66" s="254" t="s">
        <v>178</v>
      </c>
      <c r="C66" s="251"/>
      <c r="D66" s="244">
        <v>1.17</v>
      </c>
      <c r="E66" s="245">
        <v>176373.54</v>
      </c>
      <c r="F66" s="246">
        <v>181664.54</v>
      </c>
      <c r="G66" s="247">
        <f t="shared" si="0"/>
        <v>-5291</v>
      </c>
      <c r="H66" s="247">
        <f t="shared" si="5"/>
        <v>0</v>
      </c>
      <c r="I66" s="248">
        <f t="shared" si="10"/>
        <v>141273.11249999999</v>
      </c>
      <c r="J66" s="248">
        <f t="shared" si="11"/>
        <v>35100</v>
      </c>
      <c r="K66" s="249">
        <f t="shared" si="12"/>
        <v>171082.54</v>
      </c>
      <c r="L66" s="250">
        <f t="shared" si="8"/>
        <v>176214.54</v>
      </c>
      <c r="M66" s="205">
        <f t="shared" si="7"/>
        <v>0.54000000000000026</v>
      </c>
    </row>
    <row r="67" spans="1:14" x14ac:dyDescent="0.3">
      <c r="A67" s="252">
        <f t="shared" si="9"/>
        <v>55</v>
      </c>
      <c r="B67" s="254" t="s">
        <v>179</v>
      </c>
      <c r="C67" s="251"/>
      <c r="D67" s="244">
        <v>1.35</v>
      </c>
      <c r="E67" s="245">
        <v>203507.55</v>
      </c>
      <c r="F67" s="246">
        <v>209612.55</v>
      </c>
      <c r="G67" s="247">
        <f t="shared" si="0"/>
        <v>-6105</v>
      </c>
      <c r="H67" s="247">
        <f t="shared" si="5"/>
        <v>0</v>
      </c>
      <c r="I67" s="248">
        <f t="shared" si="10"/>
        <v>163007.43750000003</v>
      </c>
      <c r="J67" s="248">
        <f t="shared" si="11"/>
        <v>40500.000000000007</v>
      </c>
      <c r="K67" s="249">
        <f t="shared" si="12"/>
        <v>197402.55</v>
      </c>
      <c r="L67" s="250">
        <f t="shared" si="8"/>
        <v>203324.55</v>
      </c>
      <c r="M67" s="205">
        <f t="shared" si="7"/>
        <v>0.55000000000000027</v>
      </c>
    </row>
    <row r="68" spans="1:14" x14ac:dyDescent="0.3">
      <c r="A68" s="252">
        <f t="shared" si="9"/>
        <v>56</v>
      </c>
      <c r="B68" s="254" t="s">
        <v>180</v>
      </c>
      <c r="C68" s="251"/>
      <c r="D68" s="244">
        <v>1.1200000000000001</v>
      </c>
      <c r="E68" s="245">
        <v>168836.56</v>
      </c>
      <c r="F68" s="246">
        <f>E68</f>
        <v>168836.56</v>
      </c>
      <c r="G68" s="247">
        <f t="shared" si="0"/>
        <v>0</v>
      </c>
      <c r="H68" s="247">
        <f t="shared" si="5"/>
        <v>0</v>
      </c>
      <c r="I68" s="248">
        <f t="shared" si="10"/>
        <v>135235.80000000002</v>
      </c>
      <c r="J68" s="248">
        <f t="shared" si="11"/>
        <v>33600.000000000007</v>
      </c>
      <c r="K68" s="249">
        <f t="shared" si="12"/>
        <v>168836.56</v>
      </c>
      <c r="L68" s="250">
        <f t="shared" si="8"/>
        <v>173901.56</v>
      </c>
      <c r="M68" s="205">
        <f t="shared" si="7"/>
        <v>0.56000000000000028</v>
      </c>
    </row>
    <row r="69" spans="1:14" x14ac:dyDescent="0.3">
      <c r="A69" s="341">
        <f t="shared" si="9"/>
        <v>57</v>
      </c>
      <c r="B69" s="342" t="s">
        <v>181</v>
      </c>
      <c r="C69" s="251"/>
      <c r="D69" s="244">
        <v>0.82</v>
      </c>
      <c r="E69" s="245">
        <v>250275.57</v>
      </c>
      <c r="F69" s="246">
        <f>123000+127300+3689</f>
        <v>253989</v>
      </c>
      <c r="G69" s="247">
        <f t="shared" si="0"/>
        <v>-3713.429999999993</v>
      </c>
      <c r="H69" s="247">
        <f t="shared" si="5"/>
        <v>0</v>
      </c>
      <c r="I69" s="248">
        <f t="shared" si="10"/>
        <v>99011.925000000003</v>
      </c>
      <c r="J69" s="248">
        <f t="shared" si="11"/>
        <v>24600</v>
      </c>
      <c r="K69" s="249">
        <f t="shared" si="12"/>
        <v>119898.57</v>
      </c>
      <c r="L69" s="250">
        <f t="shared" si="8"/>
        <v>123495.57</v>
      </c>
      <c r="M69" s="205">
        <f t="shared" si="7"/>
        <v>0.57000000000000028</v>
      </c>
    </row>
    <row r="70" spans="1:14" x14ac:dyDescent="0.3">
      <c r="A70" s="252">
        <f t="shared" si="9"/>
        <v>58</v>
      </c>
      <c r="B70" s="254" t="s">
        <v>182</v>
      </c>
      <c r="C70" s="251"/>
      <c r="D70" s="244">
        <v>0.82</v>
      </c>
      <c r="E70" s="245">
        <v>123612.58</v>
      </c>
      <c r="F70" s="246">
        <f t="shared" ref="F70" si="13">E70</f>
        <v>123612.58</v>
      </c>
      <c r="G70" s="247">
        <f t="shared" si="0"/>
        <v>0</v>
      </c>
      <c r="H70" s="247">
        <f t="shared" si="5"/>
        <v>0</v>
      </c>
      <c r="I70" s="248">
        <f t="shared" si="10"/>
        <v>99011.925000000003</v>
      </c>
      <c r="J70" s="248">
        <f t="shared" si="11"/>
        <v>24600</v>
      </c>
      <c r="K70" s="249">
        <f t="shared" si="12"/>
        <v>123612.58</v>
      </c>
      <c r="L70" s="250">
        <f t="shared" si="8"/>
        <v>127320.58</v>
      </c>
      <c r="M70" s="205">
        <f t="shared" si="7"/>
        <v>0.58000000000000029</v>
      </c>
    </row>
    <row r="71" spans="1:14" x14ac:dyDescent="0.3">
      <c r="A71" s="333">
        <f t="shared" si="9"/>
        <v>59</v>
      </c>
      <c r="B71" s="334" t="s">
        <v>183</v>
      </c>
      <c r="C71" s="335"/>
      <c r="D71" s="336">
        <v>1.34</v>
      </c>
      <c r="E71" s="337">
        <v>202000.59</v>
      </c>
      <c r="F71" s="337"/>
      <c r="G71" s="275">
        <f t="shared" si="0"/>
        <v>202000.59</v>
      </c>
      <c r="H71" s="275">
        <f t="shared" si="5"/>
        <v>6060.0176999999994</v>
      </c>
      <c r="I71" s="271">
        <f t="shared" si="10"/>
        <v>161799.97500000001</v>
      </c>
      <c r="J71" s="271">
        <f t="shared" si="11"/>
        <v>40200.000000000007</v>
      </c>
      <c r="K71" s="276">
        <f t="shared" si="12"/>
        <v>410061.59</v>
      </c>
      <c r="L71" s="277">
        <f t="shared" si="8"/>
        <v>422363.59</v>
      </c>
      <c r="M71" s="205">
        <f t="shared" si="7"/>
        <v>0.5900000000000003</v>
      </c>
    </row>
    <row r="72" spans="1:14" x14ac:dyDescent="0.3">
      <c r="A72" s="252">
        <f t="shared" si="9"/>
        <v>60</v>
      </c>
      <c r="B72" s="254" t="s">
        <v>184</v>
      </c>
      <c r="C72" s="251"/>
      <c r="D72" s="244">
        <v>1.1200000000000001</v>
      </c>
      <c r="E72" s="245">
        <v>168836.6</v>
      </c>
      <c r="F72" s="246">
        <v>173901.6</v>
      </c>
      <c r="G72" s="247">
        <f t="shared" si="0"/>
        <v>-5065</v>
      </c>
      <c r="H72" s="247">
        <f t="shared" si="5"/>
        <v>0</v>
      </c>
      <c r="I72" s="248">
        <f t="shared" si="10"/>
        <v>135235.80000000002</v>
      </c>
      <c r="J72" s="248">
        <f t="shared" si="11"/>
        <v>33600.000000000007</v>
      </c>
      <c r="K72" s="249">
        <f t="shared" si="12"/>
        <v>163771.6</v>
      </c>
      <c r="L72" s="250">
        <f t="shared" si="8"/>
        <v>168684.6</v>
      </c>
      <c r="M72" s="205">
        <f t="shared" si="7"/>
        <v>0.60000000000000031</v>
      </c>
    </row>
    <row r="73" spans="1:14" x14ac:dyDescent="0.3">
      <c r="A73" s="252">
        <f t="shared" si="9"/>
        <v>61</v>
      </c>
      <c r="B73" s="254" t="s">
        <v>185</v>
      </c>
      <c r="C73" s="251"/>
      <c r="D73" s="244">
        <v>1.17</v>
      </c>
      <c r="E73" s="245">
        <v>176373.61</v>
      </c>
      <c r="F73" s="246">
        <f t="shared" ref="F73" si="14">E73</f>
        <v>176373.61</v>
      </c>
      <c r="G73" s="247">
        <f t="shared" si="0"/>
        <v>0</v>
      </c>
      <c r="H73" s="247">
        <f t="shared" si="5"/>
        <v>0</v>
      </c>
      <c r="I73" s="248">
        <f t="shared" si="10"/>
        <v>141273.11249999999</v>
      </c>
      <c r="J73" s="248">
        <f t="shared" si="11"/>
        <v>35100</v>
      </c>
      <c r="K73" s="249">
        <f t="shared" si="12"/>
        <v>176373.61</v>
      </c>
      <c r="L73" s="250">
        <f t="shared" si="8"/>
        <v>181664.61</v>
      </c>
      <c r="M73" s="205">
        <f t="shared" si="7"/>
        <v>0.61000000000000032</v>
      </c>
    </row>
    <row r="74" spans="1:14" x14ac:dyDescent="0.3">
      <c r="A74" s="252">
        <f t="shared" si="9"/>
        <v>62</v>
      </c>
      <c r="B74" s="254" t="s">
        <v>186</v>
      </c>
      <c r="C74" s="251"/>
      <c r="D74" s="244">
        <v>1.35</v>
      </c>
      <c r="E74" s="245">
        <v>203507.62</v>
      </c>
      <c r="F74" s="246">
        <v>209612.56200000001</v>
      </c>
      <c r="G74" s="247">
        <f t="shared" si="0"/>
        <v>-6104.94200000001</v>
      </c>
      <c r="H74" s="247">
        <f t="shared" si="5"/>
        <v>0</v>
      </c>
      <c r="I74" s="248">
        <f t="shared" si="10"/>
        <v>163007.43750000003</v>
      </c>
      <c r="J74" s="248">
        <f t="shared" si="11"/>
        <v>40500.000000000007</v>
      </c>
      <c r="K74" s="249">
        <f t="shared" si="12"/>
        <v>197402.62</v>
      </c>
      <c r="L74" s="250">
        <f t="shared" si="8"/>
        <v>203324.62</v>
      </c>
      <c r="M74" s="205">
        <f t="shared" si="7"/>
        <v>0.62000000000000033</v>
      </c>
    </row>
    <row r="75" spans="1:14" x14ac:dyDescent="0.3">
      <c r="A75" s="252">
        <f t="shared" si="9"/>
        <v>63</v>
      </c>
      <c r="B75" s="254" t="s">
        <v>187</v>
      </c>
      <c r="C75" s="251"/>
      <c r="D75" s="244">
        <v>1.1200000000000001</v>
      </c>
      <c r="E75" s="245">
        <v>168836.63</v>
      </c>
      <c r="F75" s="246">
        <f t="shared" ref="F75" si="15">E75</f>
        <v>168836.63</v>
      </c>
      <c r="G75" s="247">
        <f t="shared" si="0"/>
        <v>0</v>
      </c>
      <c r="H75" s="247">
        <f t="shared" si="5"/>
        <v>0</v>
      </c>
      <c r="I75" s="248">
        <f t="shared" si="10"/>
        <v>135235.80000000002</v>
      </c>
      <c r="J75" s="248">
        <f t="shared" si="11"/>
        <v>33600.000000000007</v>
      </c>
      <c r="K75" s="249">
        <f t="shared" si="12"/>
        <v>168836.63</v>
      </c>
      <c r="L75" s="250">
        <f t="shared" si="8"/>
        <v>173901.63</v>
      </c>
      <c r="M75" s="205">
        <f t="shared" si="7"/>
        <v>0.63000000000000034</v>
      </c>
    </row>
    <row r="76" spans="1:14" x14ac:dyDescent="0.3">
      <c r="A76" s="252">
        <f t="shared" si="9"/>
        <v>64</v>
      </c>
      <c r="B76" s="254" t="s">
        <v>188</v>
      </c>
      <c r="C76" s="251"/>
      <c r="D76" s="244">
        <v>0.82</v>
      </c>
      <c r="E76" s="245">
        <v>250932.64</v>
      </c>
      <c r="F76" s="246">
        <v>123612.64</v>
      </c>
      <c r="G76" s="247">
        <f t="shared" si="0"/>
        <v>127320.00000000001</v>
      </c>
      <c r="H76" s="247">
        <f t="shared" si="5"/>
        <v>3819.6000000000004</v>
      </c>
      <c r="I76" s="248">
        <f t="shared" si="10"/>
        <v>99011.925000000003</v>
      </c>
      <c r="J76" s="248">
        <f t="shared" si="11"/>
        <v>24600</v>
      </c>
      <c r="K76" s="249">
        <f t="shared" si="12"/>
        <v>254752.64000000001</v>
      </c>
      <c r="L76" s="250">
        <f t="shared" si="8"/>
        <v>262395.64</v>
      </c>
      <c r="M76" s="205">
        <f t="shared" si="7"/>
        <v>0.64000000000000035</v>
      </c>
    </row>
    <row r="77" spans="1:14" x14ac:dyDescent="0.3">
      <c r="A77" s="252">
        <f t="shared" si="9"/>
        <v>65</v>
      </c>
      <c r="B77" s="254" t="s">
        <v>189</v>
      </c>
      <c r="C77" s="251"/>
      <c r="D77" s="244">
        <v>0.82</v>
      </c>
      <c r="E77" s="245">
        <v>833728.65</v>
      </c>
      <c r="F77" s="322">
        <v>99011.93</v>
      </c>
      <c r="G77" s="247">
        <f t="shared" ref="G77:G115" si="16">E77-F77</f>
        <v>734716.72</v>
      </c>
      <c r="H77" s="247">
        <f t="shared" si="5"/>
        <v>22041.5016</v>
      </c>
      <c r="I77" s="248">
        <f t="shared" ref="I77:I108" si="17">J$2*D77/100</f>
        <v>99011.925000000003</v>
      </c>
      <c r="J77" s="248">
        <f t="shared" ref="J77:J108" si="18">E$2*D77/100</f>
        <v>24600</v>
      </c>
      <c r="K77" s="249">
        <f t="shared" ref="K77:K108" si="19">ROUND(SUM(G77:J77),0) + M77</f>
        <v>880370.65</v>
      </c>
      <c r="L77" s="250">
        <f t="shared" si="8"/>
        <v>906781.65</v>
      </c>
      <c r="M77" s="205">
        <f t="shared" si="7"/>
        <v>0.65000000000000036</v>
      </c>
      <c r="N77" t="s">
        <v>405</v>
      </c>
    </row>
    <row r="78" spans="1:14" x14ac:dyDescent="0.3">
      <c r="A78" s="252">
        <f t="shared" si="9"/>
        <v>66</v>
      </c>
      <c r="B78" s="254" t="s">
        <v>190</v>
      </c>
      <c r="C78" s="251"/>
      <c r="D78" s="244">
        <v>1.34</v>
      </c>
      <c r="E78" s="245">
        <v>202000.66</v>
      </c>
      <c r="F78" s="246">
        <v>208060.66</v>
      </c>
      <c r="G78" s="247">
        <f t="shared" si="16"/>
        <v>-6060</v>
      </c>
      <c r="H78" s="247">
        <f t="shared" ref="H78:H115" si="20">IF(G78&gt;0,G78*3%,0)</f>
        <v>0</v>
      </c>
      <c r="I78" s="248">
        <f t="shared" si="17"/>
        <v>161799.97500000001</v>
      </c>
      <c r="J78" s="248">
        <f t="shared" si="18"/>
        <v>40200.000000000007</v>
      </c>
      <c r="K78" s="249">
        <f t="shared" si="19"/>
        <v>195940.66</v>
      </c>
      <c r="L78" s="250">
        <f t="shared" si="8"/>
        <v>201818.66</v>
      </c>
      <c r="M78" s="205">
        <f t="shared" si="7"/>
        <v>0.66000000000000036</v>
      </c>
    </row>
    <row r="79" spans="1:14" x14ac:dyDescent="0.3">
      <c r="A79" s="252">
        <f t="shared" si="9"/>
        <v>67</v>
      </c>
      <c r="B79" s="254" t="s">
        <v>191</v>
      </c>
      <c r="C79" s="251"/>
      <c r="D79" s="244">
        <v>1.1200000000000001</v>
      </c>
      <c r="E79" s="245">
        <v>342737.67</v>
      </c>
      <c r="F79" s="246">
        <v>168835.67</v>
      </c>
      <c r="G79" s="247">
        <f t="shared" si="16"/>
        <v>173901.99999999997</v>
      </c>
      <c r="H79" s="247">
        <f t="shared" si="20"/>
        <v>5217.0599999999986</v>
      </c>
      <c r="I79" s="248">
        <f t="shared" si="17"/>
        <v>135235.80000000002</v>
      </c>
      <c r="J79" s="248">
        <f t="shared" si="18"/>
        <v>33600.000000000007</v>
      </c>
      <c r="K79" s="249">
        <f t="shared" si="19"/>
        <v>347955.67</v>
      </c>
      <c r="L79" s="250">
        <f t="shared" si="8"/>
        <v>358394.67</v>
      </c>
      <c r="M79" s="205">
        <f t="shared" si="7"/>
        <v>0.67000000000000037</v>
      </c>
    </row>
    <row r="80" spans="1:14" x14ac:dyDescent="0.3">
      <c r="A80" s="252">
        <f t="shared" si="9"/>
        <v>68</v>
      </c>
      <c r="B80" s="254" t="s">
        <v>192</v>
      </c>
      <c r="C80" s="251"/>
      <c r="D80" s="244">
        <v>1.17</v>
      </c>
      <c r="E80" s="245">
        <v>5043404.68</v>
      </c>
      <c r="F80" s="246">
        <v>0</v>
      </c>
      <c r="G80" s="247">
        <f t="shared" si="16"/>
        <v>5043404.68</v>
      </c>
      <c r="H80" s="247">
        <f t="shared" si="20"/>
        <v>151302.14039999997</v>
      </c>
      <c r="I80" s="248">
        <f t="shared" si="17"/>
        <v>141273.11249999999</v>
      </c>
      <c r="J80" s="248">
        <f t="shared" si="18"/>
        <v>35100</v>
      </c>
      <c r="K80" s="249">
        <f t="shared" si="19"/>
        <v>5371080.6799999997</v>
      </c>
      <c r="L80" s="250">
        <f t="shared" si="8"/>
        <v>5532212.6799999997</v>
      </c>
      <c r="M80" s="205">
        <f t="shared" si="7"/>
        <v>0.68000000000000038</v>
      </c>
    </row>
    <row r="81" spans="1:14" x14ac:dyDescent="0.3">
      <c r="A81" s="252">
        <f t="shared" si="9"/>
        <v>69</v>
      </c>
      <c r="B81" s="254" t="s">
        <v>193</v>
      </c>
      <c r="C81" s="251"/>
      <c r="D81" s="244">
        <v>1.35</v>
      </c>
      <c r="E81" s="245">
        <v>203507.69</v>
      </c>
      <c r="F81" s="246">
        <v>209612.69</v>
      </c>
      <c r="G81" s="247">
        <f t="shared" si="16"/>
        <v>-6105</v>
      </c>
      <c r="H81" s="247">
        <f t="shared" si="20"/>
        <v>0</v>
      </c>
      <c r="I81" s="248">
        <f t="shared" si="17"/>
        <v>163007.43750000003</v>
      </c>
      <c r="J81" s="248">
        <f t="shared" si="18"/>
        <v>40500.000000000007</v>
      </c>
      <c r="K81" s="249">
        <f t="shared" si="19"/>
        <v>197402.69</v>
      </c>
      <c r="L81" s="250">
        <f t="shared" si="8"/>
        <v>203324.69</v>
      </c>
      <c r="M81" s="205">
        <f t="shared" si="7"/>
        <v>0.69000000000000039</v>
      </c>
    </row>
    <row r="82" spans="1:14" x14ac:dyDescent="0.3">
      <c r="A82" s="280">
        <f t="shared" si="9"/>
        <v>70</v>
      </c>
      <c r="B82" s="281" t="s">
        <v>194</v>
      </c>
      <c r="C82" s="282"/>
      <c r="D82" s="273">
        <v>1.1200000000000001</v>
      </c>
      <c r="E82" s="274">
        <v>468499.7</v>
      </c>
      <c r="F82" s="274">
        <f>250932.15+33600+210000</f>
        <v>494532.15</v>
      </c>
      <c r="G82" s="275">
        <f t="shared" si="16"/>
        <v>-26032.450000000012</v>
      </c>
      <c r="H82" s="275">
        <f t="shared" si="20"/>
        <v>0</v>
      </c>
      <c r="I82" s="271">
        <f t="shared" si="17"/>
        <v>135235.80000000002</v>
      </c>
      <c r="J82" s="271">
        <f t="shared" si="18"/>
        <v>33600.000000000007</v>
      </c>
      <c r="K82" s="276">
        <f t="shared" si="19"/>
        <v>142803.70000000001</v>
      </c>
      <c r="L82" s="277">
        <f t="shared" si="8"/>
        <v>147087.70000000001</v>
      </c>
      <c r="M82" s="205">
        <f t="shared" si="7"/>
        <v>0.7000000000000004</v>
      </c>
      <c r="N82" t="s">
        <v>404</v>
      </c>
    </row>
    <row r="83" spans="1:14" x14ac:dyDescent="0.3">
      <c r="A83" s="252">
        <f t="shared" si="9"/>
        <v>71</v>
      </c>
      <c r="B83" s="254" t="s">
        <v>195</v>
      </c>
      <c r="C83" s="251"/>
      <c r="D83" s="244">
        <v>0.82</v>
      </c>
      <c r="E83" s="245">
        <v>246647.71</v>
      </c>
      <c r="F83" s="246">
        <v>123612.71</v>
      </c>
      <c r="G83" s="247">
        <f t="shared" si="16"/>
        <v>123034.99999999999</v>
      </c>
      <c r="H83" s="247">
        <f t="shared" si="20"/>
        <v>3691.0499999999993</v>
      </c>
      <c r="I83" s="248">
        <f t="shared" si="17"/>
        <v>99011.925000000003</v>
      </c>
      <c r="J83" s="248">
        <f t="shared" si="18"/>
        <v>24600</v>
      </c>
      <c r="K83" s="249">
        <f t="shared" si="19"/>
        <v>250338.71</v>
      </c>
      <c r="L83" s="250">
        <f t="shared" si="8"/>
        <v>257848.71</v>
      </c>
      <c r="M83" s="205">
        <f t="shared" si="7"/>
        <v>0.71000000000000041</v>
      </c>
    </row>
    <row r="84" spans="1:14" x14ac:dyDescent="0.3">
      <c r="A84" s="252">
        <f t="shared" si="9"/>
        <v>72</v>
      </c>
      <c r="B84" s="254" t="s">
        <v>196</v>
      </c>
      <c r="C84" s="251"/>
      <c r="D84" s="244">
        <v>0.82</v>
      </c>
      <c r="E84" s="245">
        <v>123612.72</v>
      </c>
      <c r="F84" s="246">
        <f>E84</f>
        <v>123612.72</v>
      </c>
      <c r="G84" s="247">
        <f t="shared" si="16"/>
        <v>0</v>
      </c>
      <c r="H84" s="247">
        <f t="shared" si="20"/>
        <v>0</v>
      </c>
      <c r="I84" s="248">
        <f t="shared" si="17"/>
        <v>99011.925000000003</v>
      </c>
      <c r="J84" s="248">
        <f t="shared" si="18"/>
        <v>24600</v>
      </c>
      <c r="K84" s="249">
        <f t="shared" si="19"/>
        <v>123612.72</v>
      </c>
      <c r="L84" s="250">
        <f t="shared" si="8"/>
        <v>127320.72</v>
      </c>
      <c r="M84" s="205">
        <f t="shared" si="7"/>
        <v>0.72000000000000042</v>
      </c>
    </row>
    <row r="85" spans="1:14" x14ac:dyDescent="0.3">
      <c r="A85" s="252">
        <f t="shared" si="9"/>
        <v>73</v>
      </c>
      <c r="B85" s="254" t="s">
        <v>197</v>
      </c>
      <c r="C85" s="251"/>
      <c r="D85" s="244">
        <v>1.34</v>
      </c>
      <c r="E85" s="245">
        <v>202000.73</v>
      </c>
      <c r="F85" s="246">
        <f>E85</f>
        <v>202000.73</v>
      </c>
      <c r="G85" s="247">
        <f t="shared" si="16"/>
        <v>0</v>
      </c>
      <c r="H85" s="247">
        <f t="shared" si="20"/>
        <v>0</v>
      </c>
      <c r="I85" s="248">
        <f t="shared" si="17"/>
        <v>161799.97500000001</v>
      </c>
      <c r="J85" s="248">
        <f t="shared" si="18"/>
        <v>40200.000000000007</v>
      </c>
      <c r="K85" s="249">
        <f t="shared" si="19"/>
        <v>202000.73</v>
      </c>
      <c r="L85" s="250">
        <f t="shared" si="8"/>
        <v>208060.73</v>
      </c>
      <c r="M85" s="205">
        <f t="shared" si="7"/>
        <v>0.73000000000000043</v>
      </c>
    </row>
    <row r="86" spans="1:14" x14ac:dyDescent="0.3">
      <c r="A86" s="252">
        <f t="shared" si="9"/>
        <v>74</v>
      </c>
      <c r="B86" s="254" t="s">
        <v>198</v>
      </c>
      <c r="C86" s="251"/>
      <c r="D86" s="244">
        <v>1.1200000000000001</v>
      </c>
      <c r="E86" s="245">
        <v>514146.74</v>
      </c>
      <c r="F86" s="246">
        <v>529570.74</v>
      </c>
      <c r="G86" s="247">
        <f t="shared" si="16"/>
        <v>-15424</v>
      </c>
      <c r="H86" s="247">
        <f t="shared" si="20"/>
        <v>0</v>
      </c>
      <c r="I86" s="248">
        <f t="shared" si="17"/>
        <v>135235.80000000002</v>
      </c>
      <c r="J86" s="248">
        <f t="shared" si="18"/>
        <v>33600.000000000007</v>
      </c>
      <c r="K86" s="249">
        <f t="shared" si="19"/>
        <v>153412.74</v>
      </c>
      <c r="L86" s="250">
        <f t="shared" si="8"/>
        <v>158014.74</v>
      </c>
      <c r="M86" s="205">
        <f t="shared" si="7"/>
        <v>0.74000000000000044</v>
      </c>
    </row>
    <row r="87" spans="1:14" x14ac:dyDescent="0.3">
      <c r="A87" s="252">
        <f t="shared" si="9"/>
        <v>75</v>
      </c>
      <c r="B87" s="254" t="s">
        <v>199</v>
      </c>
      <c r="C87" s="251"/>
      <c r="D87" s="244">
        <v>1.17</v>
      </c>
      <c r="E87" s="245">
        <v>176373.75</v>
      </c>
      <c r="F87" s="246">
        <f>E87</f>
        <v>176373.75</v>
      </c>
      <c r="G87" s="247">
        <f t="shared" si="16"/>
        <v>0</v>
      </c>
      <c r="H87" s="247">
        <f t="shared" si="20"/>
        <v>0</v>
      </c>
      <c r="I87" s="248">
        <f t="shared" si="17"/>
        <v>141273.11249999999</v>
      </c>
      <c r="J87" s="248">
        <f t="shared" si="18"/>
        <v>35100</v>
      </c>
      <c r="K87" s="249">
        <f t="shared" si="19"/>
        <v>176373.75</v>
      </c>
      <c r="L87" s="250">
        <f t="shared" si="8"/>
        <v>181664.75</v>
      </c>
      <c r="M87" s="205">
        <f t="shared" si="7"/>
        <v>0.75000000000000044</v>
      </c>
    </row>
    <row r="88" spans="1:14" x14ac:dyDescent="0.3">
      <c r="A88" s="252">
        <f t="shared" si="9"/>
        <v>76</v>
      </c>
      <c r="B88" s="254" t="s">
        <v>200</v>
      </c>
      <c r="C88" s="251"/>
      <c r="D88" s="244">
        <v>1.35</v>
      </c>
      <c r="E88" s="245">
        <v>209612.76</v>
      </c>
      <c r="F88" s="246">
        <f>E88</f>
        <v>209612.76</v>
      </c>
      <c r="G88" s="247">
        <f t="shared" si="16"/>
        <v>0</v>
      </c>
      <c r="H88" s="247">
        <f t="shared" si="20"/>
        <v>0</v>
      </c>
      <c r="I88" s="248">
        <f t="shared" si="17"/>
        <v>163007.43750000003</v>
      </c>
      <c r="J88" s="248">
        <f t="shared" si="18"/>
        <v>40500.000000000007</v>
      </c>
      <c r="K88" s="249">
        <f t="shared" si="19"/>
        <v>203507.76</v>
      </c>
      <c r="L88" s="250">
        <f t="shared" si="8"/>
        <v>209612.76</v>
      </c>
      <c r="M88" s="205">
        <f t="shared" si="7"/>
        <v>0.76000000000000045</v>
      </c>
    </row>
    <row r="89" spans="1:14" x14ac:dyDescent="0.3">
      <c r="A89" s="252">
        <f t="shared" si="9"/>
        <v>77</v>
      </c>
      <c r="B89" s="254" t="s">
        <v>201</v>
      </c>
      <c r="C89" s="251"/>
      <c r="D89" s="244">
        <v>1.1200000000000001</v>
      </c>
      <c r="E89" s="245">
        <v>168836.77</v>
      </c>
      <c r="F89" s="246">
        <v>173901.77</v>
      </c>
      <c r="G89" s="247">
        <f t="shared" si="16"/>
        <v>-5065</v>
      </c>
      <c r="H89" s="247">
        <f t="shared" si="20"/>
        <v>0</v>
      </c>
      <c r="I89" s="248">
        <f t="shared" si="17"/>
        <v>135235.80000000002</v>
      </c>
      <c r="J89" s="248">
        <f t="shared" si="18"/>
        <v>33600.000000000007</v>
      </c>
      <c r="K89" s="249">
        <f t="shared" si="19"/>
        <v>163771.76999999999</v>
      </c>
      <c r="L89" s="250">
        <f t="shared" si="8"/>
        <v>168684.77</v>
      </c>
      <c r="M89" s="205">
        <f t="shared" si="7"/>
        <v>0.77000000000000046</v>
      </c>
    </row>
    <row r="90" spans="1:14" x14ac:dyDescent="0.3">
      <c r="A90" s="252">
        <f t="shared" si="9"/>
        <v>78</v>
      </c>
      <c r="B90" s="254" t="s">
        <v>202</v>
      </c>
      <c r="C90" s="251"/>
      <c r="D90" s="244">
        <v>0.82</v>
      </c>
      <c r="E90" s="245">
        <v>1404035.78</v>
      </c>
      <c r="F90" s="246">
        <v>0</v>
      </c>
      <c r="G90" s="247">
        <f t="shared" si="16"/>
        <v>1404035.78</v>
      </c>
      <c r="H90" s="247">
        <f t="shared" si="20"/>
        <v>42121.073400000001</v>
      </c>
      <c r="I90" s="248">
        <f t="shared" si="17"/>
        <v>99011.925000000003</v>
      </c>
      <c r="J90" s="248">
        <f t="shared" si="18"/>
        <v>24600</v>
      </c>
      <c r="K90" s="249">
        <f t="shared" si="19"/>
        <v>1569769.78</v>
      </c>
      <c r="L90" s="250">
        <f t="shared" si="8"/>
        <v>1616862.78</v>
      </c>
      <c r="M90" s="205">
        <f t="shared" si="7"/>
        <v>0.78000000000000047</v>
      </c>
    </row>
    <row r="91" spans="1:14" x14ac:dyDescent="0.3">
      <c r="A91" s="252">
        <f t="shared" si="9"/>
        <v>79</v>
      </c>
      <c r="B91" s="254" t="s">
        <v>203</v>
      </c>
      <c r="C91" s="251"/>
      <c r="D91" s="244">
        <v>0.82</v>
      </c>
      <c r="E91" s="245">
        <v>123612.79</v>
      </c>
      <c r="F91" s="246">
        <f>E91</f>
        <v>123612.79</v>
      </c>
      <c r="G91" s="247">
        <f t="shared" si="16"/>
        <v>0</v>
      </c>
      <c r="H91" s="247">
        <f t="shared" si="20"/>
        <v>0</v>
      </c>
      <c r="I91" s="248">
        <f t="shared" si="17"/>
        <v>99011.925000000003</v>
      </c>
      <c r="J91" s="248">
        <f t="shared" si="18"/>
        <v>24600</v>
      </c>
      <c r="K91" s="249">
        <f t="shared" si="19"/>
        <v>123612.79</v>
      </c>
      <c r="L91" s="250">
        <f t="shared" si="8"/>
        <v>127320.79</v>
      </c>
      <c r="M91" s="205">
        <f t="shared" si="7"/>
        <v>0.79000000000000048</v>
      </c>
    </row>
    <row r="92" spans="1:14" x14ac:dyDescent="0.3">
      <c r="A92" s="252">
        <f t="shared" si="9"/>
        <v>80</v>
      </c>
      <c r="B92" s="254" t="s">
        <v>204</v>
      </c>
      <c r="C92" s="251"/>
      <c r="D92" s="244">
        <v>1.34</v>
      </c>
      <c r="E92" s="245">
        <v>202000.8</v>
      </c>
      <c r="F92" s="246"/>
      <c r="G92" s="247">
        <f t="shared" si="16"/>
        <v>202000.8</v>
      </c>
      <c r="H92" s="247">
        <f t="shared" si="20"/>
        <v>6060.0239999999994</v>
      </c>
      <c r="I92" s="248">
        <f t="shared" si="17"/>
        <v>161799.97500000001</v>
      </c>
      <c r="J92" s="248">
        <f t="shared" si="18"/>
        <v>40200.000000000007</v>
      </c>
      <c r="K92" s="249">
        <f t="shared" si="19"/>
        <v>410061.8</v>
      </c>
      <c r="L92" s="250">
        <f t="shared" si="8"/>
        <v>422363.8</v>
      </c>
      <c r="M92" s="205">
        <f t="shared" si="7"/>
        <v>0.80000000000000049</v>
      </c>
    </row>
    <row r="93" spans="1:14" x14ac:dyDescent="0.3">
      <c r="A93" s="280">
        <f t="shared" si="9"/>
        <v>81</v>
      </c>
      <c r="B93" s="281" t="s">
        <v>205</v>
      </c>
      <c r="C93" s="282"/>
      <c r="D93" s="273">
        <v>1.1200000000000001</v>
      </c>
      <c r="E93" s="274">
        <v>606202.81000000006</v>
      </c>
      <c r="F93" s="274">
        <v>150000</v>
      </c>
      <c r="G93" s="275">
        <f t="shared" si="16"/>
        <v>456202.81000000006</v>
      </c>
      <c r="H93" s="275">
        <f t="shared" si="20"/>
        <v>13686.0843</v>
      </c>
      <c r="I93" s="271">
        <f t="shared" si="17"/>
        <v>135235.80000000002</v>
      </c>
      <c r="J93" s="271">
        <f t="shared" si="18"/>
        <v>33600.000000000007</v>
      </c>
      <c r="K93" s="276">
        <f t="shared" si="19"/>
        <v>638725.81000000006</v>
      </c>
      <c r="L93" s="277">
        <f t="shared" si="8"/>
        <v>657887.81000000006</v>
      </c>
      <c r="M93" s="205">
        <f t="shared" si="7"/>
        <v>0.8100000000000005</v>
      </c>
      <c r="N93" t="s">
        <v>403</v>
      </c>
    </row>
    <row r="94" spans="1:14" x14ac:dyDescent="0.3">
      <c r="A94" s="252">
        <f t="shared" si="9"/>
        <v>82</v>
      </c>
      <c r="B94" s="254" t="s">
        <v>206</v>
      </c>
      <c r="C94" s="251"/>
      <c r="D94" s="244">
        <v>1.17</v>
      </c>
      <c r="E94" s="245">
        <v>181664.82</v>
      </c>
      <c r="F94" s="246">
        <f>E94</f>
        <v>181664.82</v>
      </c>
      <c r="G94" s="247">
        <f t="shared" si="16"/>
        <v>0</v>
      </c>
      <c r="H94" s="247">
        <f t="shared" si="20"/>
        <v>0</v>
      </c>
      <c r="I94" s="248">
        <f t="shared" si="17"/>
        <v>141273.11249999999</v>
      </c>
      <c r="J94" s="248">
        <f t="shared" si="18"/>
        <v>35100</v>
      </c>
      <c r="K94" s="249">
        <f t="shared" si="19"/>
        <v>176373.82</v>
      </c>
      <c r="L94" s="250">
        <f t="shared" si="8"/>
        <v>181664.82</v>
      </c>
      <c r="M94" s="205">
        <f t="shared" si="7"/>
        <v>0.82000000000000051</v>
      </c>
    </row>
    <row r="95" spans="1:14" x14ac:dyDescent="0.3">
      <c r="A95" s="323">
        <f t="shared" si="9"/>
        <v>83</v>
      </c>
      <c r="B95" s="324" t="s">
        <v>207</v>
      </c>
      <c r="C95" s="325"/>
      <c r="D95" s="326">
        <v>1.35</v>
      </c>
      <c r="E95" s="327">
        <v>413120.83</v>
      </c>
      <c r="F95" s="246">
        <v>425514.83</v>
      </c>
      <c r="G95" s="247">
        <f t="shared" si="16"/>
        <v>-12394</v>
      </c>
      <c r="H95" s="247">
        <f t="shared" si="20"/>
        <v>0</v>
      </c>
      <c r="I95" s="248">
        <f t="shared" si="17"/>
        <v>163007.43750000003</v>
      </c>
      <c r="J95" s="248">
        <f t="shared" si="18"/>
        <v>40500.000000000007</v>
      </c>
      <c r="K95" s="249">
        <f t="shared" si="19"/>
        <v>191113.83</v>
      </c>
      <c r="L95" s="250">
        <f t="shared" si="8"/>
        <v>196846.83</v>
      </c>
      <c r="M95" s="205">
        <f t="shared" si="7"/>
        <v>0.83000000000000052</v>
      </c>
    </row>
    <row r="96" spans="1:14" x14ac:dyDescent="0.3">
      <c r="A96" s="323">
        <f t="shared" si="9"/>
        <v>84</v>
      </c>
      <c r="B96" s="324" t="s">
        <v>208</v>
      </c>
      <c r="C96" s="325"/>
      <c r="D96" s="326">
        <v>1.1200000000000001</v>
      </c>
      <c r="E96" s="327">
        <v>342737.84</v>
      </c>
      <c r="F96" s="246">
        <f>70485.84</f>
        <v>70485.84</v>
      </c>
      <c r="G96" s="247">
        <f t="shared" si="16"/>
        <v>272252</v>
      </c>
      <c r="H96" s="247">
        <f t="shared" si="20"/>
        <v>8167.5599999999995</v>
      </c>
      <c r="I96" s="248">
        <f t="shared" si="17"/>
        <v>135235.80000000002</v>
      </c>
      <c r="J96" s="248">
        <f t="shared" si="18"/>
        <v>33600.000000000007</v>
      </c>
      <c r="K96" s="249">
        <f t="shared" si="19"/>
        <v>449255.84</v>
      </c>
      <c r="L96" s="250">
        <f t="shared" si="8"/>
        <v>462733.84</v>
      </c>
      <c r="M96" s="205">
        <f t="shared" ref="M96:M115" si="21">M95+0.01</f>
        <v>0.84000000000000052</v>
      </c>
    </row>
    <row r="97" spans="1:14" x14ac:dyDescent="0.3">
      <c r="A97" s="252">
        <f t="shared" si="9"/>
        <v>85</v>
      </c>
      <c r="B97" s="254" t="s">
        <v>209</v>
      </c>
      <c r="C97" s="251"/>
      <c r="D97" s="244">
        <v>0.82</v>
      </c>
      <c r="E97" s="245">
        <v>123612.85</v>
      </c>
      <c r="F97" s="246">
        <f t="shared" ref="F97:F112" si="22">E97</f>
        <v>123612.85</v>
      </c>
      <c r="G97" s="247">
        <f t="shared" si="16"/>
        <v>0</v>
      </c>
      <c r="H97" s="247">
        <f t="shared" si="20"/>
        <v>0</v>
      </c>
      <c r="I97" s="248">
        <f t="shared" si="17"/>
        <v>99011.925000000003</v>
      </c>
      <c r="J97" s="248">
        <f t="shared" si="18"/>
        <v>24600</v>
      </c>
      <c r="K97" s="249">
        <f t="shared" si="19"/>
        <v>123612.85</v>
      </c>
      <c r="L97" s="250">
        <f t="shared" si="8"/>
        <v>127320.85</v>
      </c>
      <c r="M97" s="205">
        <f t="shared" si="21"/>
        <v>0.85000000000000053</v>
      </c>
    </row>
    <row r="98" spans="1:14" x14ac:dyDescent="0.3">
      <c r="A98" s="252">
        <f t="shared" si="9"/>
        <v>86</v>
      </c>
      <c r="B98" s="254" t="s">
        <v>210</v>
      </c>
      <c r="C98" s="251"/>
      <c r="D98" s="244">
        <v>0.82</v>
      </c>
      <c r="E98" s="245">
        <v>123612.86</v>
      </c>
      <c r="F98" s="246">
        <f t="shared" si="22"/>
        <v>123612.86</v>
      </c>
      <c r="G98" s="247">
        <f t="shared" si="16"/>
        <v>0</v>
      </c>
      <c r="H98" s="247">
        <f t="shared" si="20"/>
        <v>0</v>
      </c>
      <c r="I98" s="248">
        <f t="shared" si="17"/>
        <v>99011.925000000003</v>
      </c>
      <c r="J98" s="248">
        <f t="shared" si="18"/>
        <v>24600</v>
      </c>
      <c r="K98" s="249">
        <f t="shared" si="19"/>
        <v>123612.86</v>
      </c>
      <c r="L98" s="250">
        <f t="shared" ref="L98:L115" si="23">ROUND(K98*3%,0) + K98</f>
        <v>127320.86</v>
      </c>
      <c r="M98" s="205">
        <f t="shared" si="21"/>
        <v>0.86000000000000054</v>
      </c>
    </row>
    <row r="99" spans="1:14" x14ac:dyDescent="0.3">
      <c r="A99" s="252">
        <f t="shared" ref="A99:A115" si="24">A98+1</f>
        <v>87</v>
      </c>
      <c r="B99" s="254" t="s">
        <v>211</v>
      </c>
      <c r="C99" s="251"/>
      <c r="D99" s="244">
        <v>1.34</v>
      </c>
      <c r="E99" s="245">
        <v>202000.87</v>
      </c>
      <c r="F99" s="246">
        <v>208060.87</v>
      </c>
      <c r="G99" s="247">
        <f t="shared" si="16"/>
        <v>-6060</v>
      </c>
      <c r="H99" s="247">
        <f t="shared" si="20"/>
        <v>0</v>
      </c>
      <c r="I99" s="248">
        <f t="shared" si="17"/>
        <v>161799.97500000001</v>
      </c>
      <c r="J99" s="248">
        <f t="shared" si="18"/>
        <v>40200.000000000007</v>
      </c>
      <c r="K99" s="249">
        <f t="shared" si="19"/>
        <v>195940.87</v>
      </c>
      <c r="L99" s="250">
        <f t="shared" si="23"/>
        <v>201818.87</v>
      </c>
      <c r="M99" s="205">
        <f t="shared" si="21"/>
        <v>0.87000000000000055</v>
      </c>
    </row>
    <row r="100" spans="1:14" x14ac:dyDescent="0.3">
      <c r="A100" s="252">
        <f t="shared" si="24"/>
        <v>88</v>
      </c>
      <c r="B100" s="254" t="s">
        <v>212</v>
      </c>
      <c r="C100" s="251"/>
      <c r="D100" s="244">
        <v>1.1200000000000001</v>
      </c>
      <c r="E100" s="245">
        <v>168836.88</v>
      </c>
      <c r="F100" s="246">
        <v>173901.88</v>
      </c>
      <c r="G100" s="247">
        <f t="shared" si="16"/>
        <v>-5065</v>
      </c>
      <c r="H100" s="247">
        <f t="shared" si="20"/>
        <v>0</v>
      </c>
      <c r="I100" s="248">
        <f t="shared" si="17"/>
        <v>135235.80000000002</v>
      </c>
      <c r="J100" s="248">
        <f t="shared" si="18"/>
        <v>33600.000000000007</v>
      </c>
      <c r="K100" s="249">
        <f t="shared" si="19"/>
        <v>163771.88</v>
      </c>
      <c r="L100" s="250">
        <f t="shared" si="23"/>
        <v>168684.88</v>
      </c>
      <c r="M100" s="205">
        <f t="shared" si="21"/>
        <v>0.88000000000000056</v>
      </c>
    </row>
    <row r="101" spans="1:14" x14ac:dyDescent="0.3">
      <c r="A101" s="252">
        <f t="shared" si="24"/>
        <v>89</v>
      </c>
      <c r="B101" s="254" t="s">
        <v>213</v>
      </c>
      <c r="C101" s="251"/>
      <c r="D101" s="244">
        <v>1.17</v>
      </c>
      <c r="E101" s="245">
        <v>176373.89</v>
      </c>
      <c r="F101" s="246">
        <f t="shared" si="22"/>
        <v>176373.89</v>
      </c>
      <c r="G101" s="247">
        <f t="shared" si="16"/>
        <v>0</v>
      </c>
      <c r="H101" s="247">
        <f t="shared" si="20"/>
        <v>0</v>
      </c>
      <c r="I101" s="248">
        <f t="shared" si="17"/>
        <v>141273.11249999999</v>
      </c>
      <c r="J101" s="248">
        <f t="shared" si="18"/>
        <v>35100</v>
      </c>
      <c r="K101" s="249">
        <f t="shared" si="19"/>
        <v>176373.89</v>
      </c>
      <c r="L101" s="250">
        <f t="shared" si="23"/>
        <v>181664.89</v>
      </c>
      <c r="M101" s="205">
        <f t="shared" si="21"/>
        <v>0.89000000000000057</v>
      </c>
    </row>
    <row r="102" spans="1:14" x14ac:dyDescent="0.3">
      <c r="A102" s="252">
        <f t="shared" si="24"/>
        <v>90</v>
      </c>
      <c r="B102" s="254" t="s">
        <v>214</v>
      </c>
      <c r="C102" s="251"/>
      <c r="D102" s="244">
        <v>0.1</v>
      </c>
      <c r="E102" s="245">
        <v>15075.9</v>
      </c>
      <c r="F102" s="246">
        <v>15527.9</v>
      </c>
      <c r="G102" s="247">
        <f t="shared" si="16"/>
        <v>-452</v>
      </c>
      <c r="H102" s="247">
        <f t="shared" si="20"/>
        <v>0</v>
      </c>
      <c r="I102" s="248">
        <f t="shared" si="17"/>
        <v>12074.625</v>
      </c>
      <c r="J102" s="248">
        <f t="shared" si="18"/>
        <v>3000</v>
      </c>
      <c r="K102" s="249">
        <f t="shared" si="19"/>
        <v>14623.9</v>
      </c>
      <c r="L102" s="250">
        <f t="shared" si="23"/>
        <v>15062.9</v>
      </c>
      <c r="M102" s="205">
        <f t="shared" si="21"/>
        <v>0.90000000000000058</v>
      </c>
    </row>
    <row r="103" spans="1:14" x14ac:dyDescent="0.3">
      <c r="A103" s="252">
        <f t="shared" si="24"/>
        <v>91</v>
      </c>
      <c r="B103" s="254" t="s">
        <v>215</v>
      </c>
      <c r="C103" s="251"/>
      <c r="D103" s="244">
        <v>0.1</v>
      </c>
      <c r="E103" s="245">
        <v>15527.91</v>
      </c>
      <c r="F103" s="246"/>
      <c r="G103" s="247">
        <f t="shared" si="16"/>
        <v>15527.91</v>
      </c>
      <c r="H103" s="247">
        <f t="shared" si="20"/>
        <v>465.83729999999997</v>
      </c>
      <c r="I103" s="248">
        <f t="shared" si="17"/>
        <v>12074.625</v>
      </c>
      <c r="J103" s="248">
        <f t="shared" si="18"/>
        <v>3000</v>
      </c>
      <c r="K103" s="249">
        <f t="shared" si="19"/>
        <v>31068.91</v>
      </c>
      <c r="L103" s="250">
        <f t="shared" si="23"/>
        <v>32000.91</v>
      </c>
      <c r="M103" s="205">
        <f t="shared" si="21"/>
        <v>0.91000000000000059</v>
      </c>
    </row>
    <row r="104" spans="1:14" x14ac:dyDescent="0.3">
      <c r="A104" s="252">
        <f t="shared" si="24"/>
        <v>92</v>
      </c>
      <c r="B104" s="254" t="s">
        <v>216</v>
      </c>
      <c r="C104" s="251"/>
      <c r="D104" s="244">
        <v>0.1</v>
      </c>
      <c r="E104" s="245">
        <v>15527.92</v>
      </c>
      <c r="F104" s="246">
        <f t="shared" si="22"/>
        <v>15527.92</v>
      </c>
      <c r="G104" s="247">
        <f t="shared" si="16"/>
        <v>0</v>
      </c>
      <c r="H104" s="247">
        <f t="shared" si="20"/>
        <v>0</v>
      </c>
      <c r="I104" s="248">
        <f t="shared" si="17"/>
        <v>12074.625</v>
      </c>
      <c r="J104" s="248">
        <f t="shared" si="18"/>
        <v>3000</v>
      </c>
      <c r="K104" s="249">
        <f t="shared" si="19"/>
        <v>15075.92</v>
      </c>
      <c r="L104" s="250">
        <f t="shared" si="23"/>
        <v>15527.92</v>
      </c>
      <c r="M104" s="205">
        <f t="shared" si="21"/>
        <v>0.9200000000000006</v>
      </c>
    </row>
    <row r="105" spans="1:14" x14ac:dyDescent="0.3">
      <c r="A105" s="280">
        <f t="shared" si="24"/>
        <v>93</v>
      </c>
      <c r="B105" s="281" t="s">
        <v>217</v>
      </c>
      <c r="C105" s="282"/>
      <c r="D105" s="273">
        <v>0.1</v>
      </c>
      <c r="E105" s="274">
        <v>15075.93</v>
      </c>
      <c r="F105" s="274">
        <f>E105</f>
        <v>15075.93</v>
      </c>
      <c r="G105" s="275">
        <f t="shared" si="16"/>
        <v>0</v>
      </c>
      <c r="H105" s="275">
        <f t="shared" si="20"/>
        <v>0</v>
      </c>
      <c r="I105" s="271">
        <f t="shared" si="17"/>
        <v>12074.625</v>
      </c>
      <c r="J105" s="271">
        <f t="shared" si="18"/>
        <v>3000</v>
      </c>
      <c r="K105" s="276">
        <f t="shared" si="19"/>
        <v>15075.93</v>
      </c>
      <c r="L105" s="277">
        <f t="shared" si="23"/>
        <v>15527.93</v>
      </c>
      <c r="M105" s="205">
        <f t="shared" si="21"/>
        <v>0.9300000000000006</v>
      </c>
    </row>
    <row r="106" spans="1:14" x14ac:dyDescent="0.3">
      <c r="A106" s="252">
        <f t="shared" si="24"/>
        <v>94</v>
      </c>
      <c r="B106" s="254" t="s">
        <v>218</v>
      </c>
      <c r="C106" s="251"/>
      <c r="D106" s="244">
        <v>0.1</v>
      </c>
      <c r="E106" s="245">
        <v>15075.94</v>
      </c>
      <c r="F106" s="246">
        <f>E106</f>
        <v>15075.94</v>
      </c>
      <c r="G106" s="247">
        <f t="shared" si="16"/>
        <v>0</v>
      </c>
      <c r="H106" s="247">
        <f t="shared" si="20"/>
        <v>0</v>
      </c>
      <c r="I106" s="248">
        <f>J$2*D106/100</f>
        <v>12074.625</v>
      </c>
      <c r="J106" s="248">
        <f t="shared" si="18"/>
        <v>3000</v>
      </c>
      <c r="K106" s="249">
        <f t="shared" si="19"/>
        <v>15075.94</v>
      </c>
      <c r="L106" s="250">
        <f t="shared" si="23"/>
        <v>15527.94</v>
      </c>
      <c r="M106" s="205">
        <f t="shared" si="21"/>
        <v>0.94000000000000061</v>
      </c>
    </row>
    <row r="107" spans="1:14" ht="24" customHeight="1" x14ac:dyDescent="0.3">
      <c r="A107" s="252">
        <f t="shared" si="24"/>
        <v>95</v>
      </c>
      <c r="B107" s="254" t="s">
        <v>399</v>
      </c>
      <c r="C107" s="251"/>
      <c r="D107" s="244">
        <v>0.1</v>
      </c>
      <c r="E107" s="245">
        <v>15075.95</v>
      </c>
      <c r="F107" s="246">
        <f t="shared" si="22"/>
        <v>15075.95</v>
      </c>
      <c r="G107" s="247">
        <f t="shared" si="16"/>
        <v>0</v>
      </c>
      <c r="H107" s="247">
        <f t="shared" si="20"/>
        <v>0</v>
      </c>
      <c r="I107" s="248">
        <f t="shared" si="17"/>
        <v>12074.625</v>
      </c>
      <c r="J107" s="248">
        <f t="shared" si="18"/>
        <v>3000</v>
      </c>
      <c r="K107" s="249">
        <f t="shared" si="19"/>
        <v>15075.95</v>
      </c>
      <c r="L107" s="250">
        <f t="shared" si="23"/>
        <v>15527.95</v>
      </c>
      <c r="M107" s="205">
        <f t="shared" si="21"/>
        <v>0.95000000000000062</v>
      </c>
    </row>
    <row r="108" spans="1:14" x14ac:dyDescent="0.3">
      <c r="A108" s="252">
        <f t="shared" si="24"/>
        <v>96</v>
      </c>
      <c r="B108" s="254" t="s">
        <v>218</v>
      </c>
      <c r="C108" s="251"/>
      <c r="D108" s="244">
        <v>0.1</v>
      </c>
      <c r="E108" s="245">
        <v>15075.96</v>
      </c>
      <c r="F108" s="246">
        <f t="shared" si="22"/>
        <v>15075.96</v>
      </c>
      <c r="G108" s="247">
        <f t="shared" si="16"/>
        <v>0</v>
      </c>
      <c r="H108" s="247">
        <f t="shared" si="20"/>
        <v>0</v>
      </c>
      <c r="I108" s="248">
        <f t="shared" si="17"/>
        <v>12074.625</v>
      </c>
      <c r="J108" s="248">
        <f t="shared" si="18"/>
        <v>3000</v>
      </c>
      <c r="K108" s="249">
        <f t="shared" si="19"/>
        <v>15075.96</v>
      </c>
      <c r="L108" s="250">
        <f t="shared" si="23"/>
        <v>15527.96</v>
      </c>
      <c r="M108" s="205">
        <f t="shared" si="21"/>
        <v>0.96000000000000063</v>
      </c>
      <c r="N108" t="s">
        <v>347</v>
      </c>
    </row>
    <row r="109" spans="1:14" x14ac:dyDescent="0.3">
      <c r="A109" s="252">
        <f t="shared" si="24"/>
        <v>97</v>
      </c>
      <c r="B109" s="254" t="s">
        <v>220</v>
      </c>
      <c r="C109" s="251"/>
      <c r="D109" s="244">
        <v>0.1</v>
      </c>
      <c r="E109" s="245">
        <v>15075.97</v>
      </c>
      <c r="F109" s="246">
        <f t="shared" si="22"/>
        <v>15075.97</v>
      </c>
      <c r="G109" s="247">
        <f t="shared" si="16"/>
        <v>0</v>
      </c>
      <c r="H109" s="247">
        <f t="shared" si="20"/>
        <v>0</v>
      </c>
      <c r="I109" s="248">
        <f t="shared" ref="I109:I115" si="25">J$2*D109/100</f>
        <v>12074.625</v>
      </c>
      <c r="J109" s="248">
        <f t="shared" ref="J109:J115" si="26">E$2*D109/100</f>
        <v>3000</v>
      </c>
      <c r="K109" s="249">
        <f t="shared" ref="K109:K115" si="27">ROUND(SUM(G109:J109),0) + M109</f>
        <v>15075.97</v>
      </c>
      <c r="L109" s="250">
        <f t="shared" si="23"/>
        <v>15527.97</v>
      </c>
      <c r="M109" s="205">
        <f t="shared" si="21"/>
        <v>0.97000000000000064</v>
      </c>
    </row>
    <row r="110" spans="1:14" x14ac:dyDescent="0.3">
      <c r="A110" s="252">
        <f t="shared" si="24"/>
        <v>98</v>
      </c>
      <c r="B110" s="254" t="s">
        <v>221</v>
      </c>
      <c r="C110" s="251"/>
      <c r="D110" s="244">
        <v>0.1</v>
      </c>
      <c r="E110" s="245">
        <v>15075.98</v>
      </c>
      <c r="F110" s="246">
        <f t="shared" si="22"/>
        <v>15075.98</v>
      </c>
      <c r="G110" s="247">
        <f t="shared" si="16"/>
        <v>0</v>
      </c>
      <c r="H110" s="247">
        <f t="shared" si="20"/>
        <v>0</v>
      </c>
      <c r="I110" s="248">
        <f t="shared" si="25"/>
        <v>12074.625</v>
      </c>
      <c r="J110" s="248">
        <f t="shared" si="26"/>
        <v>3000</v>
      </c>
      <c r="K110" s="249">
        <f t="shared" si="27"/>
        <v>15075.98</v>
      </c>
      <c r="L110" s="250">
        <f t="shared" si="23"/>
        <v>15527.98</v>
      </c>
      <c r="M110" s="205">
        <f t="shared" si="21"/>
        <v>0.98000000000000065</v>
      </c>
    </row>
    <row r="111" spans="1:14" x14ac:dyDescent="0.3">
      <c r="A111" s="252">
        <f t="shared" si="24"/>
        <v>99</v>
      </c>
      <c r="B111" s="254" t="s">
        <v>222</v>
      </c>
      <c r="C111" s="251"/>
      <c r="D111" s="244">
        <v>0.1</v>
      </c>
      <c r="E111" s="245">
        <v>15075.99</v>
      </c>
      <c r="F111" s="246">
        <v>15527.99</v>
      </c>
      <c r="G111" s="247">
        <f t="shared" si="16"/>
        <v>-452</v>
      </c>
      <c r="H111" s="247">
        <f t="shared" si="20"/>
        <v>0</v>
      </c>
      <c r="I111" s="248">
        <f t="shared" si="25"/>
        <v>12074.625</v>
      </c>
      <c r="J111" s="248">
        <f t="shared" si="26"/>
        <v>3000</v>
      </c>
      <c r="K111" s="249">
        <f t="shared" si="27"/>
        <v>14623.99</v>
      </c>
      <c r="L111" s="250">
        <f t="shared" si="23"/>
        <v>15062.99</v>
      </c>
      <c r="M111" s="205">
        <f t="shared" si="21"/>
        <v>0.99000000000000066</v>
      </c>
    </row>
    <row r="112" spans="1:14" x14ac:dyDescent="0.3">
      <c r="A112" s="252">
        <f t="shared" si="24"/>
        <v>100</v>
      </c>
      <c r="B112" s="254" t="s">
        <v>223</v>
      </c>
      <c r="C112" s="251"/>
      <c r="D112" s="244">
        <v>0.1</v>
      </c>
      <c r="E112" s="245">
        <v>15076</v>
      </c>
      <c r="F112" s="246">
        <f t="shared" si="22"/>
        <v>15076</v>
      </c>
      <c r="G112" s="247">
        <f t="shared" si="16"/>
        <v>0</v>
      </c>
      <c r="H112" s="247">
        <f t="shared" si="20"/>
        <v>0</v>
      </c>
      <c r="I112" s="248">
        <f t="shared" si="25"/>
        <v>12074.625</v>
      </c>
      <c r="J112" s="248">
        <f t="shared" si="26"/>
        <v>3000</v>
      </c>
      <c r="K112" s="249">
        <f t="shared" si="27"/>
        <v>15076</v>
      </c>
      <c r="L112" s="250">
        <f t="shared" si="23"/>
        <v>15528</v>
      </c>
      <c r="M112" s="205">
        <f t="shared" si="21"/>
        <v>1.0000000000000007</v>
      </c>
    </row>
    <row r="113" spans="1:13" x14ac:dyDescent="0.3">
      <c r="A113" s="280">
        <f t="shared" si="24"/>
        <v>101</v>
      </c>
      <c r="B113" s="272" t="s">
        <v>224</v>
      </c>
      <c r="C113" s="282"/>
      <c r="D113" s="273">
        <v>0.1</v>
      </c>
      <c r="E113" s="274">
        <v>15076.01</v>
      </c>
      <c r="F113" s="274">
        <f>E113</f>
        <v>15076.01</v>
      </c>
      <c r="G113" s="275">
        <f t="shared" si="16"/>
        <v>0</v>
      </c>
      <c r="H113" s="275">
        <f t="shared" si="20"/>
        <v>0</v>
      </c>
      <c r="I113" s="271">
        <f t="shared" si="25"/>
        <v>12074.625</v>
      </c>
      <c r="J113" s="271">
        <f t="shared" si="26"/>
        <v>3000</v>
      </c>
      <c r="K113" s="276">
        <f t="shared" si="27"/>
        <v>15076.01</v>
      </c>
      <c r="L113" s="277">
        <f t="shared" si="23"/>
        <v>15528.01</v>
      </c>
      <c r="M113" s="205">
        <f t="shared" si="21"/>
        <v>1.0100000000000007</v>
      </c>
    </row>
    <row r="114" spans="1:13" x14ac:dyDescent="0.3">
      <c r="A114" s="252">
        <f t="shared" si="24"/>
        <v>102</v>
      </c>
      <c r="B114" s="256" t="s">
        <v>225</v>
      </c>
      <c r="C114" s="251"/>
      <c r="D114" s="244">
        <v>0.1</v>
      </c>
      <c r="E114" s="245">
        <v>15528.02</v>
      </c>
      <c r="F114" s="246">
        <v>15075.02</v>
      </c>
      <c r="G114" s="247">
        <f t="shared" si="16"/>
        <v>453</v>
      </c>
      <c r="H114" s="247">
        <f t="shared" si="20"/>
        <v>13.59</v>
      </c>
      <c r="I114" s="248">
        <f t="shared" si="25"/>
        <v>12074.625</v>
      </c>
      <c r="J114" s="248">
        <f t="shared" si="26"/>
        <v>3000</v>
      </c>
      <c r="K114" s="249">
        <f t="shared" si="27"/>
        <v>15542.02</v>
      </c>
      <c r="L114" s="250">
        <f t="shared" si="23"/>
        <v>16008.02</v>
      </c>
      <c r="M114" s="205">
        <f t="shared" si="21"/>
        <v>1.0200000000000007</v>
      </c>
    </row>
    <row r="115" spans="1:13" x14ac:dyDescent="0.3">
      <c r="A115" s="252">
        <f t="shared" si="24"/>
        <v>103</v>
      </c>
      <c r="B115" s="254" t="s">
        <v>399</v>
      </c>
      <c r="C115" s="251"/>
      <c r="D115" s="244">
        <v>0.1</v>
      </c>
      <c r="E115" s="245">
        <v>15076.03</v>
      </c>
      <c r="F115" s="246">
        <v>15528.03</v>
      </c>
      <c r="G115" s="247">
        <f t="shared" si="16"/>
        <v>-452</v>
      </c>
      <c r="H115" s="247">
        <f t="shared" si="20"/>
        <v>0</v>
      </c>
      <c r="I115" s="248">
        <f t="shared" si="25"/>
        <v>12074.625</v>
      </c>
      <c r="J115" s="248">
        <f t="shared" si="26"/>
        <v>3000</v>
      </c>
      <c r="K115" s="249">
        <f t="shared" si="27"/>
        <v>14624.03</v>
      </c>
      <c r="L115" s="250">
        <f t="shared" si="23"/>
        <v>15063.03</v>
      </c>
      <c r="M115" s="205">
        <f t="shared" si="21"/>
        <v>1.0300000000000007</v>
      </c>
    </row>
    <row r="116" spans="1:13" ht="15" thickBot="1" x14ac:dyDescent="0.35">
      <c r="A116" s="252"/>
      <c r="B116" s="256"/>
      <c r="C116" s="251"/>
      <c r="D116" s="244"/>
      <c r="E116" s="253"/>
      <c r="F116" s="255"/>
      <c r="G116" s="247"/>
      <c r="H116" s="247"/>
      <c r="I116" s="248"/>
      <c r="J116" s="248"/>
      <c r="K116" s="249"/>
      <c r="L116" s="250"/>
      <c r="M116" s="205"/>
    </row>
    <row r="117" spans="1:13" ht="17.100000000000001" customHeight="1" thickBot="1" x14ac:dyDescent="0.35">
      <c r="A117" s="257"/>
      <c r="B117" s="258"/>
      <c r="C117" s="258"/>
      <c r="D117" s="259">
        <f t="shared" ref="D117:L117" si="28">SUM(D13:D116)</f>
        <v>100.15999999999993</v>
      </c>
      <c r="E117" s="260">
        <f t="shared" si="28"/>
        <v>34511454.559999995</v>
      </c>
      <c r="F117" s="261">
        <f>SUM(F13:F116)</f>
        <v>15206198.110695034</v>
      </c>
      <c r="G117" s="261">
        <f t="shared" si="28"/>
        <v>19305256.449304972</v>
      </c>
      <c r="H117" s="261">
        <f t="shared" si="28"/>
        <v>587055.87989999994</v>
      </c>
      <c r="I117" s="262">
        <f t="shared" si="28"/>
        <v>12093944.400000006</v>
      </c>
      <c r="J117" s="261">
        <f t="shared" si="28"/>
        <v>3004800</v>
      </c>
      <c r="K117" s="263">
        <f t="shared" si="28"/>
        <v>34991113.560000002</v>
      </c>
      <c r="L117" s="263">
        <f t="shared" si="28"/>
        <v>36040836.560000002</v>
      </c>
    </row>
    <row r="118" spans="1:13" ht="12.75" customHeight="1" x14ac:dyDescent="0.3">
      <c r="B118" s="264"/>
      <c r="C118" s="264"/>
    </row>
    <row r="119" spans="1:13" hidden="1" x14ac:dyDescent="0.3"/>
    <row r="120" spans="1:13" ht="9" customHeight="1" x14ac:dyDescent="0.3">
      <c r="B120" s="362" t="s">
        <v>286</v>
      </c>
      <c r="C120" s="362"/>
      <c r="D120" s="362"/>
      <c r="E120" s="362"/>
      <c r="F120" s="362"/>
      <c r="G120" s="362"/>
      <c r="H120" s="362"/>
      <c r="I120" s="362"/>
      <c r="J120" s="362"/>
      <c r="K120" s="362"/>
    </row>
    <row r="121" spans="1:13" ht="12" hidden="1" customHeight="1" x14ac:dyDescent="0.3">
      <c r="B121" s="362"/>
      <c r="C121" s="362"/>
      <c r="D121" s="362"/>
      <c r="E121" s="362"/>
      <c r="F121" s="362"/>
      <c r="G121" s="362"/>
      <c r="H121" s="362"/>
      <c r="I121" s="362"/>
      <c r="J121" s="362"/>
      <c r="K121" s="362"/>
    </row>
    <row r="122" spans="1:13" ht="12" hidden="1" customHeight="1" x14ac:dyDescent="0.3">
      <c r="B122" s="362"/>
      <c r="C122" s="362"/>
      <c r="D122" s="362"/>
      <c r="E122" s="362"/>
      <c r="F122" s="362"/>
      <c r="G122" s="362"/>
      <c r="H122" s="362"/>
      <c r="I122" s="362"/>
      <c r="J122" s="362"/>
      <c r="K122" s="362"/>
    </row>
    <row r="123" spans="1:13" ht="12" hidden="1" customHeight="1" x14ac:dyDescent="0.3">
      <c r="B123" s="362"/>
      <c r="C123" s="362"/>
      <c r="D123" s="362"/>
      <c r="E123" s="362"/>
      <c r="F123" s="362"/>
      <c r="G123" s="362"/>
      <c r="H123" s="362"/>
      <c r="I123" s="362"/>
      <c r="J123" s="362"/>
      <c r="K123" s="362"/>
    </row>
    <row r="124" spans="1:13" ht="12" hidden="1" customHeight="1" x14ac:dyDescent="0.3">
      <c r="B124" s="362"/>
      <c r="C124" s="362"/>
      <c r="D124" s="362"/>
      <c r="E124" s="362"/>
      <c r="F124" s="362"/>
      <c r="G124" s="362"/>
      <c r="H124" s="362"/>
      <c r="I124" s="362"/>
      <c r="J124" s="362"/>
      <c r="K124" s="362"/>
    </row>
    <row r="125" spans="1:13" ht="67.5" customHeight="1" x14ac:dyDescent="0.3">
      <c r="B125" s="362"/>
      <c r="C125" s="362"/>
      <c r="D125" s="362"/>
      <c r="E125" s="362"/>
      <c r="F125" s="362"/>
      <c r="G125" s="362"/>
      <c r="H125" s="362"/>
      <c r="I125" s="362"/>
      <c r="J125" s="362"/>
      <c r="K125" s="362"/>
    </row>
  </sheetData>
  <mergeCells count="17">
    <mergeCell ref="D1:K1"/>
    <mergeCell ref="A4:L8"/>
    <mergeCell ref="A11:A12"/>
    <mergeCell ref="B11:B12"/>
    <mergeCell ref="C11:C12"/>
    <mergeCell ref="D11:D12"/>
    <mergeCell ref="E11:E12"/>
    <mergeCell ref="F11:F12"/>
    <mergeCell ref="G11:G12"/>
    <mergeCell ref="H11:H12"/>
    <mergeCell ref="A9:L9"/>
    <mergeCell ref="A10:L10"/>
    <mergeCell ref="E2:F2"/>
    <mergeCell ref="I11:I12"/>
    <mergeCell ref="J11:J12"/>
    <mergeCell ref="L11:L12"/>
    <mergeCell ref="B120:K125"/>
  </mergeCells>
  <pageMargins left="0.23622047244094491" right="0.23622047244094491" top="0.74803149606299213" bottom="0.74803149606299213" header="0.31496062992125984" footer="0.31496062992125984"/>
  <pageSetup paperSize="3" scale="8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35F41-74CB-4294-A7A2-EC3C67574818}">
  <dimension ref="B4:N20"/>
  <sheetViews>
    <sheetView topLeftCell="A7" zoomScaleNormal="100" workbookViewId="0">
      <selection activeCell="B20" sqref="B20"/>
    </sheetView>
  </sheetViews>
  <sheetFormatPr baseColWidth="10" defaultRowHeight="14.4" x14ac:dyDescent="0.3"/>
  <cols>
    <col min="3" max="3" width="12.77734375" bestFit="1" customWidth="1"/>
  </cols>
  <sheetData>
    <row r="4" spans="2:14" ht="144" x14ac:dyDescent="0.3">
      <c r="B4" s="226" t="s">
        <v>412</v>
      </c>
    </row>
    <row r="6" spans="2:14" ht="18.75" customHeight="1" x14ac:dyDescent="0.3">
      <c r="B6" s="384" t="s">
        <v>413</v>
      </c>
      <c r="C6" s="384"/>
      <c r="D6" s="384"/>
      <c r="E6" s="384"/>
      <c r="F6" s="384"/>
      <c r="G6" s="384"/>
      <c r="H6" s="384"/>
      <c r="I6" s="384"/>
      <c r="J6" s="384"/>
      <c r="L6" s="226" t="s">
        <v>414</v>
      </c>
      <c r="M6" s="226" t="s">
        <v>400</v>
      </c>
    </row>
    <row r="9" spans="2:14" x14ac:dyDescent="0.3">
      <c r="B9" s="332" t="s">
        <v>420</v>
      </c>
    </row>
    <row r="13" spans="2:14" x14ac:dyDescent="0.3">
      <c r="B13" s="338" t="s">
        <v>416</v>
      </c>
      <c r="C13" s="338"/>
      <c r="D13" s="338"/>
      <c r="E13" s="338"/>
      <c r="F13" s="338"/>
      <c r="G13" s="338"/>
      <c r="H13" s="338"/>
      <c r="I13" s="338"/>
      <c r="J13" s="338"/>
      <c r="K13" s="338"/>
      <c r="L13" s="338"/>
      <c r="M13" s="338"/>
      <c r="N13" s="338"/>
    </row>
    <row r="14" spans="2:14" x14ac:dyDescent="0.3">
      <c r="B14" s="338" t="s">
        <v>417</v>
      </c>
      <c r="C14" s="339">
        <v>194996.59</v>
      </c>
      <c r="D14" s="338"/>
      <c r="E14" s="338"/>
      <c r="F14" s="338"/>
      <c r="G14" s="338"/>
      <c r="H14" s="338"/>
      <c r="I14" s="338"/>
      <c r="J14" s="338"/>
      <c r="K14" s="338"/>
      <c r="L14" s="338"/>
      <c r="M14" s="338"/>
      <c r="N14" s="338"/>
    </row>
    <row r="15" spans="2:14" x14ac:dyDescent="0.3">
      <c r="B15" s="338" t="s">
        <v>418</v>
      </c>
      <c r="C15" s="339">
        <v>15075.93</v>
      </c>
      <c r="D15" s="338"/>
      <c r="E15" s="338"/>
      <c r="F15" s="338"/>
      <c r="G15" s="338"/>
      <c r="H15" s="338"/>
      <c r="I15" s="338"/>
      <c r="J15" s="338"/>
      <c r="K15" s="338"/>
      <c r="L15" s="338"/>
      <c r="M15" s="338"/>
      <c r="N15" s="338"/>
    </row>
    <row r="16" spans="2:14" x14ac:dyDescent="0.3">
      <c r="B16" s="338" t="s">
        <v>419</v>
      </c>
      <c r="C16" s="339">
        <v>15076.01</v>
      </c>
      <c r="D16" s="338"/>
      <c r="E16" s="338"/>
      <c r="F16" s="338"/>
      <c r="G16" s="338"/>
      <c r="H16" s="338"/>
      <c r="I16" s="338"/>
      <c r="J16" s="338"/>
      <c r="K16" s="338"/>
      <c r="L16" s="338"/>
      <c r="M16" s="338"/>
      <c r="N16" s="338"/>
    </row>
    <row r="17" spans="2:14" x14ac:dyDescent="0.3">
      <c r="B17" s="338"/>
      <c r="C17" s="338"/>
      <c r="D17" s="338"/>
      <c r="E17" s="338"/>
      <c r="F17" s="338"/>
      <c r="G17" s="338"/>
      <c r="H17" s="338"/>
      <c r="I17" s="338"/>
      <c r="J17" s="338"/>
      <c r="K17" s="338"/>
      <c r="L17" s="338"/>
      <c r="M17" s="338"/>
      <c r="N17" s="338"/>
    </row>
    <row r="20" spans="2:14" x14ac:dyDescent="0.3">
      <c r="B20" s="340" t="s">
        <v>421</v>
      </c>
    </row>
  </sheetData>
  <mergeCells count="1">
    <mergeCell ref="B6:J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98"/>
  <sheetViews>
    <sheetView workbookViewId="0">
      <selection activeCell="F6" sqref="F6"/>
    </sheetView>
  </sheetViews>
  <sheetFormatPr baseColWidth="10" defaultRowHeight="14.4" x14ac:dyDescent="0.3"/>
  <cols>
    <col min="1" max="1" width="6" customWidth="1"/>
    <col min="2" max="2" width="5.88671875" style="9" customWidth="1"/>
    <col min="3" max="3" width="11.44140625" hidden="1" customWidth="1"/>
    <col min="4" max="4" width="62.6640625" customWidth="1"/>
    <col min="5" max="5" width="14.5546875" customWidth="1"/>
    <col min="6" max="6" width="14.5546875" style="12" customWidth="1"/>
    <col min="8" max="8" width="4.5546875" customWidth="1"/>
    <col min="9" max="9" width="35.88671875" customWidth="1"/>
    <col min="10" max="10" width="12.33203125" customWidth="1"/>
    <col min="11" max="11" width="9.33203125" customWidth="1"/>
    <col min="12" max="12" width="11.109375" customWidth="1"/>
  </cols>
  <sheetData>
    <row r="1" spans="1:18" ht="15" customHeight="1" x14ac:dyDescent="0.35">
      <c r="A1" s="385" t="s">
        <v>1</v>
      </c>
      <c r="B1" s="385"/>
      <c r="C1" s="385"/>
      <c r="I1" s="40"/>
      <c r="J1" s="40" t="s">
        <v>20</v>
      </c>
      <c r="K1" s="40"/>
      <c r="L1" s="40"/>
      <c r="M1" s="40"/>
      <c r="N1" s="40"/>
      <c r="O1" s="40"/>
      <c r="P1" s="40"/>
      <c r="Q1" s="40"/>
      <c r="R1" s="40"/>
    </row>
    <row r="2" spans="1:18" ht="6" customHeight="1" thickBot="1" x14ac:dyDescent="0.35">
      <c r="A2" s="385"/>
      <c r="B2" s="385"/>
      <c r="C2" s="385"/>
      <c r="J2" t="s">
        <v>20</v>
      </c>
    </row>
    <row r="3" spans="1:18" ht="15.6" thickBot="1" x14ac:dyDescent="0.4">
      <c r="A3" s="30" t="s">
        <v>2</v>
      </c>
      <c r="B3" s="8"/>
      <c r="C3" s="8"/>
      <c r="D3" s="1"/>
      <c r="E3" s="386" t="s">
        <v>49</v>
      </c>
      <c r="F3" s="387"/>
      <c r="G3" s="1"/>
      <c r="J3" t="s">
        <v>20</v>
      </c>
    </row>
    <row r="4" spans="1:18" x14ac:dyDescent="0.3">
      <c r="B4" s="8" t="s">
        <v>6</v>
      </c>
      <c r="C4" s="1"/>
      <c r="D4" s="1"/>
      <c r="E4" s="1"/>
      <c r="F4" s="26"/>
      <c r="G4" s="1"/>
      <c r="I4" s="9"/>
      <c r="J4" s="9" t="s">
        <v>20</v>
      </c>
      <c r="K4" s="9"/>
      <c r="L4" s="9"/>
      <c r="M4" s="9"/>
      <c r="N4" s="9"/>
      <c r="O4" s="36"/>
    </row>
    <row r="5" spans="1:18" ht="15" thickBot="1" x14ac:dyDescent="0.35">
      <c r="B5" s="8" t="s">
        <v>0</v>
      </c>
      <c r="C5" s="1"/>
      <c r="D5" s="1"/>
      <c r="E5" s="1"/>
      <c r="F5" s="26"/>
      <c r="G5" s="1"/>
      <c r="J5" t="s">
        <v>20</v>
      </c>
    </row>
    <row r="6" spans="1:18" ht="16.5" customHeight="1" thickBot="1" x14ac:dyDescent="0.35">
      <c r="B6" s="8" t="s">
        <v>40</v>
      </c>
      <c r="C6" s="1"/>
      <c r="D6" s="1"/>
      <c r="E6" s="41" t="s">
        <v>3</v>
      </c>
      <c r="F6" s="42">
        <v>45689</v>
      </c>
      <c r="G6" s="1"/>
      <c r="H6" s="37"/>
      <c r="I6" s="37"/>
      <c r="J6" s="32" t="s">
        <v>20</v>
      </c>
      <c r="K6" s="32"/>
      <c r="L6" s="32"/>
      <c r="M6" s="32"/>
      <c r="N6" s="32"/>
      <c r="O6" s="32"/>
      <c r="P6" s="32"/>
      <c r="Q6" s="32"/>
      <c r="R6" s="32"/>
    </row>
    <row r="7" spans="1:18" s="9" customFormat="1" x14ac:dyDescent="0.3">
      <c r="B7" s="8"/>
      <c r="C7" s="8"/>
      <c r="D7" s="8" t="s">
        <v>14</v>
      </c>
      <c r="G7" s="8"/>
      <c r="H7" s="3"/>
      <c r="I7"/>
      <c r="J7" t="s">
        <v>20</v>
      </c>
      <c r="K7"/>
      <c r="L7"/>
      <c r="M7"/>
      <c r="N7"/>
      <c r="O7"/>
      <c r="P7"/>
      <c r="Q7"/>
    </row>
    <row r="8" spans="1:18" ht="15" thickBot="1" x14ac:dyDescent="0.35">
      <c r="B8" s="8" t="s">
        <v>7</v>
      </c>
      <c r="C8" s="1"/>
      <c r="D8" s="1"/>
      <c r="E8" s="1"/>
      <c r="F8" s="26"/>
      <c r="G8" s="1"/>
      <c r="H8" s="2"/>
      <c r="I8" s="33"/>
      <c r="J8" s="34" t="s">
        <v>20</v>
      </c>
      <c r="K8" s="34"/>
      <c r="L8" s="35"/>
      <c r="M8" s="35"/>
      <c r="N8" s="35"/>
      <c r="O8" s="35"/>
      <c r="P8" s="35"/>
      <c r="Q8" s="35"/>
      <c r="R8" s="35"/>
    </row>
    <row r="9" spans="1:18" s="3" customFormat="1" ht="15" thickBot="1" x14ac:dyDescent="0.35">
      <c r="B9" s="4">
        <v>1</v>
      </c>
      <c r="C9" s="5"/>
      <c r="D9" s="6" t="s">
        <v>15</v>
      </c>
      <c r="E9" s="6" t="s">
        <v>4</v>
      </c>
      <c r="F9" s="27" t="s">
        <v>5</v>
      </c>
      <c r="I9" s="33"/>
      <c r="J9" s="34" t="s">
        <v>20</v>
      </c>
      <c r="K9" s="34"/>
      <c r="L9" s="35"/>
      <c r="M9" s="35"/>
      <c r="N9" s="35"/>
      <c r="O9" s="35"/>
      <c r="P9" s="35"/>
      <c r="Q9" s="35"/>
      <c r="R9" s="35"/>
    </row>
    <row r="10" spans="1:18" x14ac:dyDescent="0.3">
      <c r="B10" s="7"/>
      <c r="D10" t="s">
        <v>248</v>
      </c>
      <c r="E10" s="14" t="s">
        <v>20</v>
      </c>
      <c r="F10" s="14"/>
      <c r="G10" t="s">
        <v>20</v>
      </c>
      <c r="H10" s="2"/>
      <c r="I10" s="33"/>
      <c r="J10" s="34" t="s">
        <v>20</v>
      </c>
      <c r="K10" s="34"/>
      <c r="L10" s="35"/>
      <c r="M10" s="35"/>
      <c r="N10" s="35"/>
      <c r="O10" s="35"/>
      <c r="P10" s="35"/>
      <c r="Q10" s="35"/>
      <c r="R10" s="35"/>
    </row>
    <row r="11" spans="1:18" x14ac:dyDescent="0.3">
      <c r="B11" s="7"/>
      <c r="D11" t="s">
        <v>50</v>
      </c>
      <c r="E11" s="10" t="s">
        <v>20</v>
      </c>
      <c r="F11" s="10"/>
      <c r="H11" s="2"/>
      <c r="I11" s="33"/>
      <c r="J11" s="34"/>
      <c r="K11" s="34"/>
      <c r="L11" s="35"/>
      <c r="M11" s="35"/>
      <c r="N11" s="35"/>
      <c r="O11" s="35"/>
      <c r="P11" s="35"/>
      <c r="Q11" s="35"/>
      <c r="R11" s="35"/>
    </row>
    <row r="12" spans="1:18" x14ac:dyDescent="0.3">
      <c r="B12" s="7"/>
      <c r="D12" t="s">
        <v>51</v>
      </c>
      <c r="E12" s="10">
        <v>850819</v>
      </c>
      <c r="F12" s="10"/>
      <c r="G12" t="s">
        <v>20</v>
      </c>
      <c r="H12" s="3"/>
      <c r="I12" s="38"/>
      <c r="J12" s="39" t="s">
        <v>20</v>
      </c>
      <c r="K12" s="39"/>
      <c r="L12" s="35"/>
      <c r="M12" s="35"/>
      <c r="N12" s="35"/>
      <c r="O12" s="35"/>
      <c r="P12" s="35"/>
      <c r="Q12" s="35"/>
      <c r="R12" s="35"/>
    </row>
    <row r="13" spans="1:18" x14ac:dyDescent="0.3">
      <c r="B13" s="7"/>
      <c r="D13" t="s">
        <v>52</v>
      </c>
      <c r="E13" s="10">
        <v>402204</v>
      </c>
      <c r="F13" s="10"/>
      <c r="H13" s="3"/>
      <c r="I13" s="38"/>
      <c r="J13" s="39"/>
      <c r="K13" s="39"/>
      <c r="L13" s="35"/>
      <c r="M13" s="35"/>
      <c r="N13" s="35"/>
      <c r="O13" s="35"/>
      <c r="P13" s="35"/>
      <c r="Q13" s="35"/>
      <c r="R13" s="35"/>
    </row>
    <row r="14" spans="1:18" x14ac:dyDescent="0.3">
      <c r="B14" s="7"/>
      <c r="D14" t="s">
        <v>53</v>
      </c>
      <c r="E14" s="10">
        <v>125587.9</v>
      </c>
      <c r="F14" s="10"/>
      <c r="H14" s="3"/>
      <c r="I14" s="38"/>
      <c r="J14" s="39"/>
      <c r="K14" s="39"/>
      <c r="L14" s="35"/>
      <c r="M14" s="35"/>
      <c r="N14" s="35"/>
      <c r="O14" s="35"/>
      <c r="P14" s="35"/>
      <c r="Q14" s="35"/>
      <c r="R14" s="35"/>
    </row>
    <row r="15" spans="1:18" x14ac:dyDescent="0.3">
      <c r="B15" s="7"/>
      <c r="D15" t="s">
        <v>255</v>
      </c>
      <c r="E15" s="10">
        <v>1544044.66</v>
      </c>
      <c r="F15" s="10"/>
      <c r="H15" s="3"/>
      <c r="I15" s="38"/>
      <c r="J15" s="39"/>
      <c r="K15" s="39"/>
      <c r="L15" s="35"/>
      <c r="M15" s="35"/>
      <c r="N15" s="35"/>
      <c r="O15" s="35"/>
      <c r="P15" s="35"/>
      <c r="Q15" s="35"/>
      <c r="R15" s="35"/>
    </row>
    <row r="16" spans="1:18" x14ac:dyDescent="0.3">
      <c r="B16" s="7"/>
      <c r="D16" t="s">
        <v>256</v>
      </c>
      <c r="E16" s="10">
        <v>-1286703.8799999999</v>
      </c>
      <c r="F16" s="10"/>
      <c r="H16" s="3"/>
      <c r="I16" s="38"/>
      <c r="J16" s="39"/>
      <c r="K16" s="39"/>
      <c r="L16" s="35"/>
      <c r="M16" s="35"/>
      <c r="N16" s="35"/>
      <c r="O16" s="35"/>
      <c r="P16" s="35"/>
      <c r="Q16" s="35"/>
      <c r="R16" s="35"/>
    </row>
    <row r="17" spans="2:16" x14ac:dyDescent="0.3">
      <c r="B17" s="7"/>
      <c r="D17" t="s">
        <v>55</v>
      </c>
      <c r="E17" s="10">
        <v>-179954.73</v>
      </c>
      <c r="F17" s="10"/>
      <c r="G17" t="s">
        <v>20</v>
      </c>
      <c r="H17" s="34"/>
      <c r="I17" s="34"/>
      <c r="J17" s="35"/>
      <c r="K17" s="35"/>
      <c r="L17" s="35"/>
      <c r="M17" s="35"/>
      <c r="N17" s="35"/>
      <c r="O17" s="35"/>
      <c r="P17" s="35"/>
    </row>
    <row r="18" spans="2:16" x14ac:dyDescent="0.3">
      <c r="B18" s="7"/>
      <c r="D18" t="s">
        <v>56</v>
      </c>
      <c r="E18" s="10">
        <v>-49078.559999999998</v>
      </c>
      <c r="F18" s="10"/>
      <c r="G18" t="s">
        <v>20</v>
      </c>
      <c r="H18" s="34"/>
      <c r="I18" s="34" t="s">
        <v>20</v>
      </c>
      <c r="J18" s="35" t="s">
        <v>20</v>
      </c>
      <c r="K18" s="35"/>
      <c r="L18" s="35"/>
      <c r="M18" s="35"/>
      <c r="N18" s="35"/>
      <c r="O18" s="35"/>
      <c r="P18" s="35"/>
    </row>
    <row r="19" spans="2:16" x14ac:dyDescent="0.3">
      <c r="B19" s="7"/>
      <c r="D19" t="s">
        <v>57</v>
      </c>
      <c r="E19" s="10">
        <v>-49078.559999999998</v>
      </c>
      <c r="F19" s="10"/>
      <c r="G19" t="s">
        <v>20</v>
      </c>
      <c r="H19" s="34"/>
      <c r="I19" s="34"/>
      <c r="J19" s="35"/>
      <c r="K19" s="35"/>
      <c r="L19" s="35"/>
      <c r="M19" s="35"/>
      <c r="N19" s="35"/>
      <c r="O19" s="35"/>
      <c r="P19" s="35"/>
    </row>
    <row r="20" spans="2:16" x14ac:dyDescent="0.3">
      <c r="B20" s="7"/>
      <c r="D20" t="s">
        <v>58</v>
      </c>
      <c r="E20" s="10">
        <v>-32719.040000000001</v>
      </c>
      <c r="F20" s="10"/>
      <c r="H20" s="34"/>
      <c r="I20" s="34"/>
      <c r="J20" s="35"/>
      <c r="K20" s="35"/>
      <c r="L20" s="35"/>
      <c r="M20" s="35"/>
      <c r="N20" s="35"/>
      <c r="O20" s="35"/>
      <c r="P20" s="35"/>
    </row>
    <row r="21" spans="2:16" x14ac:dyDescent="0.3">
      <c r="B21" s="7"/>
      <c r="D21" t="s">
        <v>59</v>
      </c>
      <c r="E21" s="10">
        <v>-16359.52</v>
      </c>
      <c r="F21" s="10"/>
      <c r="G21" t="s">
        <v>20</v>
      </c>
      <c r="H21" s="34"/>
      <c r="I21" s="34"/>
      <c r="J21" s="35"/>
      <c r="K21" s="35"/>
      <c r="L21" s="35"/>
      <c r="M21" s="35"/>
      <c r="N21" s="35"/>
      <c r="O21" s="35"/>
      <c r="P21" s="35"/>
    </row>
    <row r="22" spans="2:16" x14ac:dyDescent="0.3">
      <c r="B22" s="7"/>
      <c r="D22" t="s">
        <v>60</v>
      </c>
      <c r="E22" s="10">
        <v>-16359.52</v>
      </c>
      <c r="F22" s="10"/>
      <c r="H22" s="34"/>
      <c r="I22" s="34"/>
      <c r="J22" s="35"/>
      <c r="K22" s="35"/>
      <c r="L22" s="35"/>
      <c r="M22" s="35"/>
      <c r="N22" s="35"/>
      <c r="O22" s="35"/>
      <c r="P22" s="35"/>
    </row>
    <row r="23" spans="2:16" x14ac:dyDescent="0.3">
      <c r="B23" s="7"/>
      <c r="D23" t="s">
        <v>61</v>
      </c>
      <c r="E23" s="10">
        <v>-12269.64</v>
      </c>
      <c r="F23" s="10"/>
      <c r="H23" s="34"/>
      <c r="I23" s="34"/>
      <c r="J23" s="35"/>
      <c r="K23" s="35"/>
      <c r="L23" s="35"/>
      <c r="M23" s="35"/>
      <c r="N23" s="35"/>
      <c r="O23" s="35"/>
      <c r="P23" s="35"/>
    </row>
    <row r="24" spans="2:16" x14ac:dyDescent="0.3">
      <c r="B24" s="7"/>
      <c r="D24" t="s">
        <v>62</v>
      </c>
      <c r="E24" s="10">
        <v>-32719.040000000001</v>
      </c>
      <c r="F24" s="10" t="s">
        <v>20</v>
      </c>
      <c r="G24" t="s">
        <v>20</v>
      </c>
      <c r="H24" s="34"/>
      <c r="I24" s="34"/>
      <c r="J24" s="35" t="s">
        <v>20</v>
      </c>
      <c r="K24" s="35"/>
      <c r="L24" s="35"/>
      <c r="M24" s="35"/>
      <c r="N24" s="35"/>
      <c r="O24" s="35"/>
      <c r="P24" s="35"/>
    </row>
    <row r="25" spans="2:16" x14ac:dyDescent="0.3">
      <c r="B25" s="7"/>
      <c r="D25" t="s">
        <v>54</v>
      </c>
      <c r="E25" s="10">
        <v>-7.0000000000000007E-2</v>
      </c>
      <c r="F25" s="10">
        <f>SUM(E10:E25)</f>
        <v>1247412.9999999995</v>
      </c>
      <c r="G25" t="s">
        <v>20</v>
      </c>
      <c r="H25" s="34"/>
      <c r="I25" s="34"/>
      <c r="J25" s="35" t="s">
        <v>20</v>
      </c>
      <c r="K25" s="35"/>
      <c r="L25" s="35"/>
      <c r="M25" s="35"/>
      <c r="N25" s="35"/>
      <c r="O25" s="35"/>
      <c r="P25" s="35"/>
    </row>
    <row r="26" spans="2:16" ht="15" thickBot="1" x14ac:dyDescent="0.35">
      <c r="B26" s="7"/>
      <c r="D26" t="s">
        <v>262</v>
      </c>
      <c r="E26" s="10">
        <v>168985</v>
      </c>
      <c r="F26" s="10">
        <v>168985</v>
      </c>
      <c r="H26" s="34"/>
      <c r="I26" s="34"/>
      <c r="J26" s="35"/>
      <c r="K26" s="35"/>
      <c r="L26" s="35"/>
      <c r="M26" s="35"/>
      <c r="N26" s="35"/>
      <c r="O26" s="35"/>
      <c r="P26" s="35"/>
    </row>
    <row r="27" spans="2:16" ht="15" thickBot="1" x14ac:dyDescent="0.35">
      <c r="B27" s="7">
        <v>2</v>
      </c>
      <c r="D27" s="6" t="s">
        <v>27</v>
      </c>
      <c r="E27" s="57" t="s">
        <v>20</v>
      </c>
      <c r="F27" s="10"/>
      <c r="H27" s="34"/>
      <c r="I27" s="34"/>
      <c r="J27" s="35" t="s">
        <v>20</v>
      </c>
      <c r="K27" s="35"/>
      <c r="L27" s="35"/>
      <c r="M27" s="35"/>
      <c r="N27" s="35"/>
      <c r="O27" s="35"/>
      <c r="P27" s="35"/>
    </row>
    <row r="28" spans="2:16" x14ac:dyDescent="0.3">
      <c r="B28" s="7"/>
      <c r="D28" t="s">
        <v>63</v>
      </c>
      <c r="E28" s="13">
        <v>0</v>
      </c>
      <c r="F28" s="10"/>
      <c r="G28" t="s">
        <v>20</v>
      </c>
      <c r="H28" s="34"/>
      <c r="I28" s="34"/>
      <c r="J28" s="35" t="s">
        <v>20</v>
      </c>
      <c r="K28" s="35"/>
      <c r="L28" s="35"/>
      <c r="M28" s="35"/>
      <c r="N28" s="35"/>
      <c r="O28" s="35"/>
      <c r="P28" s="35"/>
    </row>
    <row r="29" spans="2:16" x14ac:dyDescent="0.3">
      <c r="B29" s="7"/>
      <c r="D29" t="s">
        <v>64</v>
      </c>
      <c r="E29" s="13">
        <v>0</v>
      </c>
      <c r="F29" s="10"/>
      <c r="G29" t="s">
        <v>20</v>
      </c>
      <c r="H29" s="34"/>
      <c r="I29" s="34"/>
      <c r="J29" s="35"/>
      <c r="K29" s="35"/>
      <c r="L29" s="35"/>
      <c r="M29" s="35"/>
      <c r="N29" s="35"/>
      <c r="O29" s="35"/>
      <c r="P29" s="35"/>
    </row>
    <row r="30" spans="2:16" x14ac:dyDescent="0.3">
      <c r="B30" s="7"/>
      <c r="D30" t="s">
        <v>65</v>
      </c>
      <c r="E30" s="13">
        <v>0</v>
      </c>
      <c r="F30" s="10"/>
      <c r="G30" t="s">
        <v>20</v>
      </c>
      <c r="H30" s="34"/>
      <c r="I30" s="34"/>
      <c r="J30" s="35"/>
      <c r="K30" s="35"/>
      <c r="L30" s="35"/>
      <c r="M30" s="35"/>
      <c r="N30" s="35"/>
      <c r="O30" s="35"/>
      <c r="P30" s="35"/>
    </row>
    <row r="31" spans="2:16" x14ac:dyDescent="0.3">
      <c r="B31" s="7"/>
      <c r="D31" t="s">
        <v>66</v>
      </c>
      <c r="E31" s="13">
        <v>0</v>
      </c>
      <c r="F31" s="10"/>
      <c r="H31" s="34"/>
      <c r="I31" s="34"/>
      <c r="J31" s="35"/>
      <c r="K31" s="35"/>
      <c r="L31" s="35"/>
      <c r="M31" s="35"/>
      <c r="N31" s="35"/>
      <c r="O31" s="35"/>
      <c r="P31" s="35"/>
    </row>
    <row r="32" spans="2:16" x14ac:dyDescent="0.3">
      <c r="B32" s="7"/>
      <c r="D32" t="s">
        <v>67</v>
      </c>
      <c r="E32" s="13">
        <v>0</v>
      </c>
      <c r="F32" s="10"/>
      <c r="H32" s="34"/>
      <c r="I32" s="34"/>
      <c r="J32" s="35"/>
      <c r="K32" s="35"/>
      <c r="L32" s="35"/>
      <c r="M32" s="35"/>
      <c r="N32" s="35"/>
      <c r="O32" s="35"/>
      <c r="P32" s="35"/>
    </row>
    <row r="33" spans="1:18" x14ac:dyDescent="0.3">
      <c r="B33" s="7"/>
      <c r="D33" t="s">
        <v>68</v>
      </c>
      <c r="E33" s="13">
        <v>0</v>
      </c>
      <c r="F33" s="10"/>
      <c r="H33" s="34"/>
      <c r="I33" s="34"/>
      <c r="J33" s="35"/>
      <c r="K33" s="35"/>
      <c r="L33" s="35"/>
      <c r="M33" s="35"/>
      <c r="N33" s="35"/>
      <c r="O33" s="35"/>
      <c r="P33" s="35"/>
    </row>
    <row r="34" spans="1:18" x14ac:dyDescent="0.3">
      <c r="B34" s="7"/>
      <c r="D34" t="s">
        <v>259</v>
      </c>
      <c r="E34" s="13">
        <v>0</v>
      </c>
      <c r="F34" s="10"/>
      <c r="G34" t="s">
        <v>20</v>
      </c>
      <c r="H34" s="34"/>
      <c r="I34" s="34"/>
      <c r="J34" s="35"/>
      <c r="K34" s="35"/>
      <c r="L34" s="35"/>
      <c r="M34" s="35"/>
      <c r="N34" s="35"/>
      <c r="O34" s="35"/>
      <c r="P34" s="35"/>
    </row>
    <row r="35" spans="1:18" x14ac:dyDescent="0.3">
      <c r="B35" s="7"/>
      <c r="D35" t="s">
        <v>260</v>
      </c>
      <c r="E35" s="13">
        <v>0</v>
      </c>
      <c r="F35" s="10"/>
      <c r="G35" t="s">
        <v>20</v>
      </c>
      <c r="H35" s="34"/>
      <c r="I35" s="34"/>
      <c r="J35" s="35"/>
      <c r="K35" s="35"/>
      <c r="L35" s="35"/>
      <c r="M35" s="35"/>
      <c r="N35" s="35"/>
      <c r="O35" s="35"/>
      <c r="P35" s="35"/>
    </row>
    <row r="36" spans="1:18" x14ac:dyDescent="0.3">
      <c r="B36" s="7"/>
      <c r="D36" t="s">
        <v>261</v>
      </c>
      <c r="E36" s="13">
        <v>0</v>
      </c>
      <c r="F36" s="10"/>
      <c r="G36" t="s">
        <v>20</v>
      </c>
      <c r="H36" s="34"/>
      <c r="I36" s="34"/>
      <c r="J36" s="35"/>
      <c r="K36" s="35"/>
      <c r="L36" s="35"/>
      <c r="M36" s="35"/>
      <c r="N36" s="35"/>
      <c r="O36" s="35"/>
      <c r="P36" s="35"/>
    </row>
    <row r="37" spans="1:18" x14ac:dyDescent="0.3">
      <c r="B37" s="7"/>
      <c r="D37" t="s">
        <v>257</v>
      </c>
      <c r="E37" s="13">
        <v>19305.23</v>
      </c>
      <c r="F37" s="10"/>
      <c r="G37" t="s">
        <v>20</v>
      </c>
      <c r="H37" s="34"/>
      <c r="I37" s="34"/>
      <c r="J37" s="35"/>
      <c r="K37" s="35"/>
      <c r="L37" s="35"/>
      <c r="M37" s="35"/>
      <c r="N37" s="35"/>
      <c r="O37" s="35"/>
      <c r="P37" s="35"/>
    </row>
    <row r="38" spans="1:18" x14ac:dyDescent="0.3">
      <c r="B38" s="7"/>
      <c r="D38" t="s">
        <v>258</v>
      </c>
      <c r="E38" s="13">
        <v>6327.79</v>
      </c>
      <c r="F38" s="10"/>
      <c r="G38" t="s">
        <v>20</v>
      </c>
      <c r="H38" s="34"/>
      <c r="I38" s="34"/>
      <c r="J38" s="35"/>
      <c r="K38" s="35"/>
      <c r="L38" s="35"/>
      <c r="M38" s="35"/>
      <c r="N38" s="35"/>
      <c r="O38" s="35"/>
      <c r="P38" s="35"/>
    </row>
    <row r="39" spans="1:18" ht="15" thickBot="1" x14ac:dyDescent="0.35">
      <c r="B39" s="7"/>
      <c r="D39" t="s">
        <v>20</v>
      </c>
      <c r="E39" s="11">
        <v>0.3</v>
      </c>
      <c r="F39" s="10">
        <f>SUM(E28:E39)</f>
        <v>25633.32</v>
      </c>
      <c r="G39" t="s">
        <v>20</v>
      </c>
      <c r="H39" s="34"/>
      <c r="I39" s="34"/>
      <c r="J39" s="35" t="s">
        <v>20</v>
      </c>
      <c r="K39" s="35"/>
      <c r="L39" s="35"/>
      <c r="M39" s="35"/>
      <c r="N39" s="35"/>
      <c r="O39" s="35"/>
      <c r="P39" s="35"/>
    </row>
    <row r="40" spans="1:18" ht="15" thickBot="1" x14ac:dyDescent="0.35">
      <c r="B40" s="7">
        <v>3</v>
      </c>
      <c r="D40" s="4" t="s">
        <v>42</v>
      </c>
      <c r="E40" s="57" t="s">
        <v>20</v>
      </c>
      <c r="F40" s="56"/>
      <c r="H40" s="34"/>
      <c r="I40" s="34"/>
      <c r="J40" s="35" t="s">
        <v>20</v>
      </c>
      <c r="K40" s="35"/>
      <c r="L40" s="35"/>
      <c r="M40" s="35"/>
      <c r="N40" s="35"/>
      <c r="O40" s="35"/>
      <c r="P40" s="35"/>
    </row>
    <row r="41" spans="1:18" ht="15" thickBot="1" x14ac:dyDescent="0.35">
      <c r="B41" s="7">
        <v>4</v>
      </c>
      <c r="D41" s="82" t="s">
        <v>13</v>
      </c>
      <c r="E41" s="57" t="s">
        <v>20</v>
      </c>
      <c r="F41" s="56"/>
      <c r="H41" s="2"/>
      <c r="I41" s="33"/>
      <c r="J41" s="34"/>
      <c r="K41" s="34"/>
      <c r="L41" s="35"/>
      <c r="M41" s="35"/>
      <c r="N41" s="35"/>
      <c r="O41" s="35"/>
      <c r="P41" s="35"/>
      <c r="Q41" s="35"/>
      <c r="R41" s="35"/>
    </row>
    <row r="42" spans="1:18" x14ac:dyDescent="0.3">
      <c r="B42" s="7"/>
      <c r="D42" s="96" t="s">
        <v>263</v>
      </c>
      <c r="E42" s="56">
        <v>210000</v>
      </c>
      <c r="F42" s="56"/>
      <c r="H42" s="2"/>
      <c r="I42" s="33"/>
      <c r="J42" s="34" t="s">
        <v>20</v>
      </c>
      <c r="K42" s="34"/>
      <c r="L42" s="35"/>
      <c r="M42" s="35"/>
      <c r="N42" s="35"/>
      <c r="O42" s="35"/>
      <c r="P42" s="35"/>
      <c r="Q42" s="35"/>
      <c r="R42" s="35"/>
    </row>
    <row r="43" spans="1:18" x14ac:dyDescent="0.3">
      <c r="B43" s="7"/>
      <c r="D43" s="97" t="s">
        <v>264</v>
      </c>
      <c r="E43" s="56">
        <v>0</v>
      </c>
      <c r="F43" s="56" t="s">
        <v>20</v>
      </c>
      <c r="G43" t="s">
        <v>20</v>
      </c>
      <c r="H43" s="2"/>
      <c r="I43" s="33"/>
      <c r="J43" s="34" t="s">
        <v>20</v>
      </c>
      <c r="K43" s="34"/>
      <c r="L43" s="12"/>
      <c r="M43" s="12"/>
      <c r="N43" s="35"/>
      <c r="O43" s="35"/>
      <c r="P43" s="12"/>
      <c r="Q43" s="12"/>
      <c r="R43" s="35"/>
    </row>
    <row r="44" spans="1:18" x14ac:dyDescent="0.3">
      <c r="B44" s="7"/>
      <c r="D44" s="97" t="s">
        <v>265</v>
      </c>
      <c r="E44" s="56">
        <v>483704</v>
      </c>
      <c r="F44" s="56"/>
      <c r="G44" t="s">
        <v>20</v>
      </c>
      <c r="J44" s="34" t="s">
        <v>20</v>
      </c>
    </row>
    <row r="45" spans="1:18" x14ac:dyDescent="0.3">
      <c r="B45" s="7"/>
      <c r="D45" s="97" t="s">
        <v>266</v>
      </c>
      <c r="E45" s="56">
        <v>0</v>
      </c>
      <c r="F45" s="56"/>
      <c r="G45" t="s">
        <v>20</v>
      </c>
      <c r="J45" s="34"/>
    </row>
    <row r="46" spans="1:18" x14ac:dyDescent="0.3">
      <c r="B46" s="7"/>
      <c r="D46" s="97" t="s">
        <v>267</v>
      </c>
      <c r="E46" s="56">
        <v>75200</v>
      </c>
      <c r="F46" s="56"/>
      <c r="J46" s="34" t="s">
        <v>20</v>
      </c>
    </row>
    <row r="47" spans="1:18" ht="15" thickBot="1" x14ac:dyDescent="0.35">
      <c r="B47" s="7"/>
      <c r="D47" s="58" t="s">
        <v>20</v>
      </c>
      <c r="E47" s="56">
        <v>0</v>
      </c>
      <c r="F47" s="56">
        <f>SUM(E42:E47)</f>
        <v>768904</v>
      </c>
      <c r="G47" t="s">
        <v>20</v>
      </c>
      <c r="J47" s="34" t="s">
        <v>20</v>
      </c>
    </row>
    <row r="48" spans="1:18" ht="15" thickBot="1" x14ac:dyDescent="0.35">
      <c r="A48" s="2"/>
      <c r="B48" s="7">
        <v>5</v>
      </c>
      <c r="C48" s="2"/>
      <c r="D48" s="6" t="s">
        <v>69</v>
      </c>
      <c r="E48" s="31" t="s">
        <v>20</v>
      </c>
      <c r="F48" s="61"/>
      <c r="G48" s="33"/>
      <c r="J48" s="34" t="s">
        <v>20</v>
      </c>
    </row>
    <row r="49" spans="2:12" x14ac:dyDescent="0.3">
      <c r="B49" s="7"/>
      <c r="D49" t="s">
        <v>268</v>
      </c>
      <c r="E49" s="10">
        <v>0</v>
      </c>
      <c r="F49" s="56" t="s">
        <v>20</v>
      </c>
      <c r="G49" s="33" t="s">
        <v>20</v>
      </c>
    </row>
    <row r="50" spans="2:12" x14ac:dyDescent="0.3">
      <c r="B50" s="7"/>
      <c r="D50" t="s">
        <v>269</v>
      </c>
      <c r="E50" s="10">
        <v>75168</v>
      </c>
      <c r="F50" s="56"/>
      <c r="G50" s="33" t="s">
        <v>20</v>
      </c>
    </row>
    <row r="51" spans="2:12" x14ac:dyDescent="0.3">
      <c r="B51" s="7"/>
      <c r="D51" t="s">
        <v>71</v>
      </c>
      <c r="E51" s="10">
        <v>0</v>
      </c>
      <c r="F51" s="56"/>
      <c r="G51" s="33"/>
    </row>
    <row r="52" spans="2:12" ht="15" thickBot="1" x14ac:dyDescent="0.35">
      <c r="B52" s="7"/>
      <c r="D52" t="s">
        <v>270</v>
      </c>
      <c r="E52" s="10">
        <v>0</v>
      </c>
      <c r="F52" s="56">
        <f>SUM(E49:E52)</f>
        <v>75168</v>
      </c>
      <c r="G52" s="33" t="s">
        <v>20</v>
      </c>
    </row>
    <row r="53" spans="2:12" ht="15" thickBot="1" x14ac:dyDescent="0.35">
      <c r="B53" s="7">
        <v>6</v>
      </c>
      <c r="D53" s="98" t="s">
        <v>72</v>
      </c>
      <c r="E53" s="57" t="s">
        <v>20</v>
      </c>
      <c r="F53" s="56"/>
      <c r="G53" t="s">
        <v>20</v>
      </c>
    </row>
    <row r="54" spans="2:12" x14ac:dyDescent="0.3">
      <c r="B54" s="7"/>
      <c r="D54" s="63" t="s">
        <v>271</v>
      </c>
      <c r="E54" s="10">
        <v>400000</v>
      </c>
      <c r="F54" s="56"/>
      <c r="G54" t="s">
        <v>20</v>
      </c>
    </row>
    <row r="55" spans="2:12" ht="15" thickBot="1" x14ac:dyDescent="0.35">
      <c r="B55" s="7"/>
      <c r="D55" t="s">
        <v>20</v>
      </c>
      <c r="E55" s="11" t="s">
        <v>20</v>
      </c>
      <c r="F55" s="56">
        <f>SUM(E54:E55)</f>
        <v>400000</v>
      </c>
      <c r="G55" t="s">
        <v>20</v>
      </c>
    </row>
    <row r="56" spans="2:12" ht="15" thickBot="1" x14ac:dyDescent="0.35">
      <c r="B56" s="7">
        <v>7</v>
      </c>
      <c r="D56" s="6" t="s">
        <v>73</v>
      </c>
      <c r="E56" s="57" t="s">
        <v>20</v>
      </c>
      <c r="F56" s="10"/>
      <c r="G56" t="s">
        <v>20</v>
      </c>
    </row>
    <row r="57" spans="2:12" x14ac:dyDescent="0.3">
      <c r="B57" s="7"/>
      <c r="D57" s="63" t="s">
        <v>272</v>
      </c>
      <c r="E57" s="13">
        <v>3415596.98</v>
      </c>
      <c r="F57" s="10"/>
      <c r="G57" t="s">
        <v>20</v>
      </c>
    </row>
    <row r="58" spans="2:12" x14ac:dyDescent="0.3">
      <c r="B58" s="7"/>
      <c r="D58" s="63" t="s">
        <v>74</v>
      </c>
      <c r="E58" s="13">
        <v>359677.94</v>
      </c>
      <c r="F58" s="10"/>
      <c r="G58" t="s">
        <v>20</v>
      </c>
    </row>
    <row r="59" spans="2:12" x14ac:dyDescent="0.3">
      <c r="B59" s="7"/>
      <c r="D59" s="63" t="s">
        <v>70</v>
      </c>
      <c r="E59" s="13">
        <v>0</v>
      </c>
      <c r="F59" s="10"/>
    </row>
    <row r="60" spans="2:12" x14ac:dyDescent="0.3">
      <c r="B60" s="7"/>
      <c r="D60" s="63" t="s">
        <v>75</v>
      </c>
      <c r="E60" s="13">
        <v>29938.89</v>
      </c>
      <c r="F60" s="10"/>
      <c r="G60" t="s">
        <v>20</v>
      </c>
    </row>
    <row r="61" spans="2:12" x14ac:dyDescent="0.3">
      <c r="B61" s="7"/>
      <c r="D61" s="63" t="s">
        <v>231</v>
      </c>
      <c r="E61" s="13">
        <v>0</v>
      </c>
      <c r="F61" s="10"/>
      <c r="G61" t="s">
        <v>20</v>
      </c>
      <c r="J61" t="s">
        <v>20</v>
      </c>
      <c r="L61" t="s">
        <v>38</v>
      </c>
    </row>
    <row r="62" spans="2:12" x14ac:dyDescent="0.3">
      <c r="B62" s="7"/>
      <c r="D62" s="63" t="s">
        <v>232</v>
      </c>
      <c r="E62" s="13">
        <v>11610.46</v>
      </c>
      <c r="F62" s="10"/>
      <c r="G62" t="s">
        <v>20</v>
      </c>
    </row>
    <row r="63" spans="2:12" ht="15" thickBot="1" x14ac:dyDescent="0.35">
      <c r="B63" s="7"/>
      <c r="D63" s="63" t="s">
        <v>233</v>
      </c>
      <c r="E63" s="11">
        <v>5540.46</v>
      </c>
      <c r="F63" s="10" t="s">
        <v>20</v>
      </c>
      <c r="G63" t="s">
        <v>20</v>
      </c>
    </row>
    <row r="64" spans="2:12" ht="15" thickBot="1" x14ac:dyDescent="0.35">
      <c r="B64" s="7"/>
      <c r="D64" s="63" t="s">
        <v>230</v>
      </c>
      <c r="E64" s="11">
        <v>0</v>
      </c>
      <c r="F64" s="10">
        <f>SUM(E57:E64)</f>
        <v>3822364.73</v>
      </c>
    </row>
    <row r="65" spans="2:12" ht="15" thickBot="1" x14ac:dyDescent="0.35">
      <c r="B65" s="7">
        <v>8</v>
      </c>
      <c r="D65" s="6" t="s">
        <v>76</v>
      </c>
      <c r="E65" s="57" t="s">
        <v>20</v>
      </c>
      <c r="F65" s="10"/>
    </row>
    <row r="66" spans="2:12" x14ac:dyDescent="0.3">
      <c r="B66" s="7"/>
      <c r="D66" s="63" t="s">
        <v>229</v>
      </c>
      <c r="E66" s="13">
        <v>4690</v>
      </c>
      <c r="F66" s="10"/>
      <c r="G66" t="s">
        <v>20</v>
      </c>
    </row>
    <row r="67" spans="2:12" ht="15" thickBot="1" x14ac:dyDescent="0.35">
      <c r="B67" s="7"/>
      <c r="D67" t="s">
        <v>16</v>
      </c>
      <c r="E67" s="64">
        <v>0.46</v>
      </c>
      <c r="F67" s="10">
        <f>SUM(E66:E67)</f>
        <v>4690.46</v>
      </c>
      <c r="J67" t="s">
        <v>20</v>
      </c>
      <c r="K67" t="s">
        <v>20</v>
      </c>
      <c r="L67" t="s">
        <v>20</v>
      </c>
    </row>
    <row r="68" spans="2:12" ht="15" thickBot="1" x14ac:dyDescent="0.35">
      <c r="B68" s="7">
        <v>9</v>
      </c>
      <c r="D68" s="6" t="s">
        <v>77</v>
      </c>
      <c r="E68" s="57"/>
      <c r="F68" s="10"/>
      <c r="I68" t="s">
        <v>20</v>
      </c>
      <c r="J68" s="9" t="s">
        <v>20</v>
      </c>
      <c r="K68" s="9" t="s">
        <v>20</v>
      </c>
      <c r="L68" s="9" t="s">
        <v>20</v>
      </c>
    </row>
    <row r="69" spans="2:12" x14ac:dyDescent="0.3">
      <c r="B69" s="7"/>
      <c r="D69" s="63" t="s">
        <v>78</v>
      </c>
      <c r="E69" s="14">
        <v>41716.21</v>
      </c>
      <c r="F69" s="56"/>
      <c r="I69" t="s">
        <v>20</v>
      </c>
      <c r="J69" s="9" t="s">
        <v>20</v>
      </c>
      <c r="K69" s="9" t="s">
        <v>20</v>
      </c>
      <c r="L69" s="9" t="s">
        <v>20</v>
      </c>
    </row>
    <row r="70" spans="2:12" ht="15" thickBot="1" x14ac:dyDescent="0.35">
      <c r="B70" s="7"/>
      <c r="D70" s="63" t="s">
        <v>79</v>
      </c>
      <c r="E70" s="10">
        <v>104947.28</v>
      </c>
      <c r="F70" s="10">
        <f>SUM(E69:E70)</f>
        <v>146663.49</v>
      </c>
      <c r="I70" t="s">
        <v>20</v>
      </c>
      <c r="J70" s="9" t="s">
        <v>20</v>
      </c>
      <c r="K70" s="9" t="s">
        <v>20</v>
      </c>
      <c r="L70" s="9" t="s">
        <v>20</v>
      </c>
    </row>
    <row r="71" spans="2:12" ht="15" thickBot="1" x14ac:dyDescent="0.35">
      <c r="B71" s="7">
        <v>10</v>
      </c>
      <c r="D71" s="98" t="s">
        <v>28</v>
      </c>
      <c r="E71" s="100"/>
      <c r="F71" s="56"/>
      <c r="I71" t="s">
        <v>20</v>
      </c>
      <c r="J71" s="9" t="s">
        <v>20</v>
      </c>
      <c r="K71" s="9" t="s">
        <v>20</v>
      </c>
      <c r="L71" s="9"/>
    </row>
    <row r="72" spans="2:12" x14ac:dyDescent="0.3">
      <c r="B72" s="7"/>
      <c r="D72" s="101" t="s">
        <v>80</v>
      </c>
      <c r="E72" s="102">
        <v>0</v>
      </c>
      <c r="F72" s="56"/>
      <c r="I72" t="s">
        <v>20</v>
      </c>
      <c r="J72" s="83" t="s">
        <v>20</v>
      </c>
      <c r="K72" s="83" t="s">
        <v>20</v>
      </c>
      <c r="L72" s="29" t="s">
        <v>20</v>
      </c>
    </row>
    <row r="73" spans="2:12" x14ac:dyDescent="0.3">
      <c r="B73" s="7"/>
      <c r="D73" s="63" t="s">
        <v>81</v>
      </c>
      <c r="E73" s="103">
        <v>243302</v>
      </c>
      <c r="F73" s="56"/>
      <c r="I73" t="s">
        <v>20</v>
      </c>
      <c r="J73" s="9" t="s">
        <v>20</v>
      </c>
      <c r="K73" s="9" t="s">
        <v>20</v>
      </c>
      <c r="L73" s="9" t="s">
        <v>20</v>
      </c>
    </row>
    <row r="74" spans="2:12" x14ac:dyDescent="0.3">
      <c r="B74" s="7"/>
      <c r="D74" s="2" t="s">
        <v>82</v>
      </c>
      <c r="E74" s="103">
        <v>0</v>
      </c>
      <c r="F74" s="56"/>
      <c r="J74" s="9" t="s">
        <v>20</v>
      </c>
      <c r="K74" s="9" t="s">
        <v>20</v>
      </c>
      <c r="L74" s="9" t="s">
        <v>20</v>
      </c>
    </row>
    <row r="75" spans="2:12" ht="15" thickBot="1" x14ac:dyDescent="0.35">
      <c r="B75" s="7"/>
      <c r="D75" s="63" t="s">
        <v>83</v>
      </c>
      <c r="E75" s="104">
        <v>2213</v>
      </c>
      <c r="F75" s="10">
        <f>SUM(E72:E75)</f>
        <v>245515</v>
      </c>
      <c r="J75" s="9" t="s">
        <v>20</v>
      </c>
      <c r="K75" s="9" t="s">
        <v>20</v>
      </c>
    </row>
    <row r="76" spans="2:12" ht="15" thickBot="1" x14ac:dyDescent="0.35">
      <c r="B76" s="7"/>
      <c r="D76" s="6" t="s">
        <v>17</v>
      </c>
      <c r="E76" s="11" t="s">
        <v>20</v>
      </c>
      <c r="F76" s="17">
        <f>SUM(F10:F75)</f>
        <v>6905336.9999999991</v>
      </c>
      <c r="G76" t="s">
        <v>20</v>
      </c>
      <c r="J76" s="9"/>
      <c r="K76" s="9"/>
    </row>
    <row r="77" spans="2:12" ht="15" thickBot="1" x14ac:dyDescent="0.35">
      <c r="B77" s="7"/>
      <c r="D77" s="6" t="s">
        <v>84</v>
      </c>
      <c r="E77" s="64"/>
      <c r="F77" s="105">
        <v>0</v>
      </c>
      <c r="J77" s="9"/>
      <c r="K77" s="9"/>
    </row>
    <row r="78" spans="2:12" ht="15" thickBot="1" x14ac:dyDescent="0.35">
      <c r="B78" s="7"/>
      <c r="D78" s="6" t="s">
        <v>39</v>
      </c>
      <c r="E78" s="62"/>
      <c r="F78" s="14">
        <v>0</v>
      </c>
      <c r="J78" s="9"/>
      <c r="K78" s="9"/>
    </row>
    <row r="79" spans="2:12" ht="15" thickBot="1" x14ac:dyDescent="0.35">
      <c r="B79" s="7"/>
      <c r="D79" s="81" t="s">
        <v>20</v>
      </c>
      <c r="E79" s="62" t="s">
        <v>20</v>
      </c>
      <c r="F79" s="17">
        <v>0</v>
      </c>
      <c r="J79" s="9"/>
      <c r="K79" s="9"/>
    </row>
    <row r="80" spans="2:12" ht="15" thickBot="1" x14ac:dyDescent="0.35">
      <c r="B80" s="7" t="s">
        <v>20</v>
      </c>
      <c r="D80" s="6" t="s">
        <v>21</v>
      </c>
      <c r="E80" s="57" t="s">
        <v>20</v>
      </c>
      <c r="F80" s="57">
        <v>0</v>
      </c>
      <c r="J80" s="9"/>
      <c r="K80" s="9"/>
    </row>
    <row r="81" spans="2:11" ht="15" thickBot="1" x14ac:dyDescent="0.35">
      <c r="B81" s="7"/>
      <c r="D81" s="97"/>
      <c r="E81" s="14">
        <v>0</v>
      </c>
      <c r="F81" s="105">
        <v>0</v>
      </c>
      <c r="J81" s="9"/>
      <c r="K81" s="9"/>
    </row>
    <row r="82" spans="2:11" ht="15" thickBot="1" x14ac:dyDescent="0.35">
      <c r="B82" s="7" t="s">
        <v>20</v>
      </c>
      <c r="D82" s="6" t="s">
        <v>37</v>
      </c>
      <c r="E82" s="57"/>
      <c r="F82" s="60">
        <f>SUM(F76+F77+F78+F80)</f>
        <v>6905336.9999999991</v>
      </c>
      <c r="J82" s="9"/>
      <c r="K82" s="9"/>
    </row>
    <row r="83" spans="2:11" ht="15" thickBot="1" x14ac:dyDescent="0.35">
      <c r="B83" s="7"/>
      <c r="D83" s="106" t="s">
        <v>85</v>
      </c>
      <c r="E83" s="107" t="s">
        <v>86</v>
      </c>
      <c r="F83" s="108" t="s">
        <v>87</v>
      </c>
      <c r="J83" s="9"/>
      <c r="K83" s="9"/>
    </row>
    <row r="84" spans="2:11" ht="15" thickBot="1" x14ac:dyDescent="0.35">
      <c r="B84" s="7"/>
      <c r="D84" s="58" t="s">
        <v>88</v>
      </c>
      <c r="E84" s="14">
        <v>3926106.87</v>
      </c>
      <c r="F84" s="17"/>
      <c r="G84" t="s">
        <v>20</v>
      </c>
      <c r="J84" s="9"/>
      <c r="K84" s="9"/>
    </row>
    <row r="85" spans="2:11" ht="15" thickBot="1" x14ac:dyDescent="0.35">
      <c r="B85" s="7"/>
      <c r="D85" s="58" t="s">
        <v>89</v>
      </c>
      <c r="E85" s="14">
        <v>7799733</v>
      </c>
      <c r="F85" s="17"/>
      <c r="J85" s="9" t="s">
        <v>20</v>
      </c>
      <c r="K85" s="9"/>
    </row>
    <row r="86" spans="2:11" ht="15" thickBot="1" x14ac:dyDescent="0.35">
      <c r="B86" s="7"/>
      <c r="D86" s="58" t="s">
        <v>274</v>
      </c>
      <c r="E86" s="14">
        <v>427133.31</v>
      </c>
      <c r="F86" s="17"/>
      <c r="J86" s="9" t="s">
        <v>20</v>
      </c>
      <c r="K86" s="9"/>
    </row>
    <row r="87" spans="2:11" ht="15" thickBot="1" x14ac:dyDescent="0.35">
      <c r="B87" s="7"/>
      <c r="D87" s="58" t="s">
        <v>90</v>
      </c>
      <c r="E87" s="14"/>
      <c r="F87" s="57">
        <v>-6905337</v>
      </c>
      <c r="J87" s="9" t="s">
        <v>20</v>
      </c>
      <c r="K87" s="9"/>
    </row>
    <row r="88" spans="2:11" ht="15" thickBot="1" x14ac:dyDescent="0.35">
      <c r="B88" s="7"/>
      <c r="D88" s="58" t="s">
        <v>91</v>
      </c>
      <c r="E88" s="14">
        <v>5247636.18</v>
      </c>
      <c r="F88" s="57">
        <v>0</v>
      </c>
      <c r="G88" t="s">
        <v>20</v>
      </c>
      <c r="J88" s="9" t="s">
        <v>20</v>
      </c>
      <c r="K88" s="9"/>
    </row>
    <row r="89" spans="2:11" ht="15" thickBot="1" x14ac:dyDescent="0.35">
      <c r="B89" s="7"/>
      <c r="D89" s="106" t="s">
        <v>78</v>
      </c>
      <c r="E89" s="14"/>
      <c r="F89" s="17"/>
      <c r="J89" s="9" t="s">
        <v>20</v>
      </c>
      <c r="K89" s="9"/>
    </row>
    <row r="90" spans="2:11" ht="15" thickBot="1" x14ac:dyDescent="0.35">
      <c r="B90" s="7"/>
      <c r="D90" s="58" t="s">
        <v>92</v>
      </c>
      <c r="E90" s="14">
        <v>2520072.2799999998</v>
      </c>
      <c r="F90" s="17"/>
      <c r="J90" s="9" t="s">
        <v>20</v>
      </c>
      <c r="K90" s="9"/>
    </row>
    <row r="91" spans="2:11" ht="15" thickBot="1" x14ac:dyDescent="0.35">
      <c r="B91" s="7"/>
      <c r="D91" s="58" t="s">
        <v>93</v>
      </c>
      <c r="E91" s="14">
        <v>846548.36</v>
      </c>
      <c r="F91" s="17"/>
      <c r="J91" s="9" t="s">
        <v>20</v>
      </c>
      <c r="K91" s="9"/>
    </row>
    <row r="92" spans="2:11" ht="15" thickBot="1" x14ac:dyDescent="0.35">
      <c r="B92" s="7"/>
      <c r="D92" s="58" t="s">
        <v>94</v>
      </c>
      <c r="E92" s="14" t="s">
        <v>20</v>
      </c>
      <c r="F92" s="57">
        <v>1647497.82</v>
      </c>
      <c r="J92" s="9" t="s">
        <v>20</v>
      </c>
      <c r="K92" s="9"/>
    </row>
    <row r="93" spans="2:11" ht="15" thickBot="1" x14ac:dyDescent="0.35">
      <c r="B93" s="7"/>
      <c r="D93" s="58" t="s">
        <v>95</v>
      </c>
      <c r="E93" s="14"/>
      <c r="F93" s="57">
        <v>41716.21</v>
      </c>
      <c r="J93" s="9" t="s">
        <v>38</v>
      </c>
      <c r="K93" s="9"/>
    </row>
    <row r="94" spans="2:11" ht="15" thickBot="1" x14ac:dyDescent="0.35">
      <c r="B94" s="7"/>
      <c r="D94" s="58" t="s">
        <v>91</v>
      </c>
      <c r="E94" s="14">
        <v>1677406.61</v>
      </c>
      <c r="F94" s="57" t="s">
        <v>20</v>
      </c>
      <c r="G94" t="s">
        <v>20</v>
      </c>
      <c r="I94" t="s">
        <v>20</v>
      </c>
      <c r="J94" s="9" t="s">
        <v>38</v>
      </c>
      <c r="K94" s="9"/>
    </row>
    <row r="95" spans="2:11" ht="15" thickBot="1" x14ac:dyDescent="0.35">
      <c r="B95" s="7" t="s">
        <v>20</v>
      </c>
      <c r="D95" s="6" t="s">
        <v>79</v>
      </c>
      <c r="E95" s="57"/>
      <c r="F95" s="60" t="s">
        <v>20</v>
      </c>
      <c r="J95" s="9" t="s">
        <v>20</v>
      </c>
      <c r="K95" s="9"/>
    </row>
    <row r="96" spans="2:11" ht="15" thickBot="1" x14ac:dyDescent="0.35">
      <c r="B96" s="7"/>
      <c r="D96" s="96" t="s">
        <v>88</v>
      </c>
      <c r="E96" s="14">
        <v>1258581.8700000001</v>
      </c>
      <c r="F96" s="109"/>
      <c r="J96" s="9" t="s">
        <v>20</v>
      </c>
      <c r="K96" s="9"/>
    </row>
    <row r="97" spans="1:11" ht="15" thickBot="1" x14ac:dyDescent="0.35">
      <c r="B97" s="7"/>
      <c r="D97" s="96" t="s">
        <v>93</v>
      </c>
      <c r="E97" s="14">
        <v>7221497.9800000004</v>
      </c>
      <c r="F97" s="109"/>
      <c r="J97" s="9" t="s">
        <v>20</v>
      </c>
      <c r="K97" s="9"/>
    </row>
    <row r="98" spans="1:11" ht="15" thickBot="1" x14ac:dyDescent="0.35">
      <c r="B98" s="7"/>
      <c r="D98" s="96" t="s">
        <v>94</v>
      </c>
      <c r="E98" s="14"/>
      <c r="F98" s="130">
        <v>4693333</v>
      </c>
      <c r="J98" s="9" t="s">
        <v>20</v>
      </c>
      <c r="K98" s="9"/>
    </row>
    <row r="99" spans="1:11" ht="15" thickBot="1" x14ac:dyDescent="0.35">
      <c r="B99" s="7"/>
      <c r="D99" s="96" t="s">
        <v>95</v>
      </c>
      <c r="E99" s="14"/>
      <c r="F99" s="130">
        <v>104947.28</v>
      </c>
      <c r="I99" t="s">
        <v>20</v>
      </c>
      <c r="J99" s="9"/>
      <c r="K99" s="9"/>
    </row>
    <row r="100" spans="1:11" ht="15" thickBot="1" x14ac:dyDescent="0.35">
      <c r="B100" s="7"/>
      <c r="D100" s="96" t="s">
        <v>275</v>
      </c>
      <c r="E100" s="14"/>
      <c r="F100" s="130">
        <v>-400000</v>
      </c>
      <c r="J100" s="9"/>
      <c r="K100" s="9"/>
    </row>
    <row r="101" spans="1:11" ht="15" thickBot="1" x14ac:dyDescent="0.35">
      <c r="B101" s="7"/>
      <c r="D101" s="96" t="s">
        <v>91</v>
      </c>
      <c r="E101" s="14">
        <v>3281799.57</v>
      </c>
      <c r="F101" s="109"/>
      <c r="G101" t="s">
        <v>20</v>
      </c>
      <c r="I101" t="s">
        <v>20</v>
      </c>
      <c r="J101" s="9"/>
      <c r="K101" s="9"/>
    </row>
    <row r="102" spans="1:11" ht="15" thickBot="1" x14ac:dyDescent="0.35">
      <c r="B102" s="7"/>
      <c r="D102" s="4" t="s">
        <v>96</v>
      </c>
      <c r="E102" s="111">
        <v>0</v>
      </c>
      <c r="F102" s="112"/>
      <c r="G102" t="s">
        <v>20</v>
      </c>
      <c r="I102" t="s">
        <v>20</v>
      </c>
      <c r="J102" s="9"/>
      <c r="K102" s="9"/>
    </row>
    <row r="103" spans="1:11" ht="15" thickBot="1" x14ac:dyDescent="0.35">
      <c r="B103" s="7"/>
      <c r="D103" s="113" t="s">
        <v>97</v>
      </c>
      <c r="E103" s="114">
        <v>10900</v>
      </c>
      <c r="F103" s="110"/>
      <c r="J103" s="9"/>
      <c r="K103" s="9"/>
    </row>
    <row r="104" spans="1:11" ht="15" thickBot="1" x14ac:dyDescent="0.35">
      <c r="B104" s="7"/>
      <c r="D104" s="113" t="s">
        <v>86</v>
      </c>
      <c r="E104" s="135">
        <v>677530</v>
      </c>
      <c r="F104" s="110" t="s">
        <v>20</v>
      </c>
      <c r="G104" t="s">
        <v>20</v>
      </c>
      <c r="J104" s="9"/>
      <c r="K104" s="9"/>
    </row>
    <row r="105" spans="1:11" ht="15" thickBot="1" x14ac:dyDescent="0.35">
      <c r="B105" s="7"/>
      <c r="D105" s="113" t="s">
        <v>98</v>
      </c>
      <c r="E105" s="114">
        <v>400000</v>
      </c>
      <c r="F105" s="110"/>
      <c r="J105" s="9"/>
      <c r="K105" s="9"/>
    </row>
    <row r="106" spans="1:11" ht="15" thickBot="1" x14ac:dyDescent="0.35">
      <c r="B106" s="7"/>
      <c r="D106" s="113" t="s">
        <v>91</v>
      </c>
      <c r="E106" s="114">
        <v>288430</v>
      </c>
      <c r="F106" s="110"/>
      <c r="G106" t="s">
        <v>20</v>
      </c>
      <c r="J106" s="9"/>
      <c r="K106" s="9"/>
    </row>
    <row r="107" spans="1:11" x14ac:dyDescent="0.3">
      <c r="B107"/>
      <c r="F107"/>
      <c r="G107" s="12" t="s">
        <v>20</v>
      </c>
      <c r="J107" s="9"/>
      <c r="K107" s="9"/>
    </row>
    <row r="108" spans="1:11" x14ac:dyDescent="0.3">
      <c r="A108" t="s">
        <v>99</v>
      </c>
      <c r="B108"/>
      <c r="F108"/>
      <c r="G108" t="s">
        <v>20</v>
      </c>
      <c r="J108" s="9"/>
      <c r="K108" s="9"/>
    </row>
    <row r="109" spans="1:11" ht="18" x14ac:dyDescent="0.35">
      <c r="A109" t="s">
        <v>100</v>
      </c>
      <c r="B109" s="3"/>
      <c r="D109" s="40"/>
      <c r="E109" s="12"/>
      <c r="G109" t="s">
        <v>20</v>
      </c>
      <c r="J109" s="9"/>
      <c r="K109" s="9"/>
    </row>
    <row r="110" spans="1:11" ht="18" x14ac:dyDescent="0.35">
      <c r="B110" s="3"/>
      <c r="D110" s="40"/>
      <c r="E110" s="12"/>
      <c r="G110" s="12" t="s">
        <v>20</v>
      </c>
      <c r="J110" s="9"/>
      <c r="K110" s="9"/>
    </row>
    <row r="111" spans="1:11" ht="18" x14ac:dyDescent="0.35">
      <c r="A111" s="115" t="s">
        <v>101</v>
      </c>
      <c r="B111" s="3"/>
      <c r="D111" s="40"/>
      <c r="E111" s="12"/>
      <c r="G111" t="s">
        <v>20</v>
      </c>
      <c r="J111" s="9"/>
      <c r="K111" s="9"/>
    </row>
    <row r="112" spans="1:11" ht="18" x14ac:dyDescent="0.35">
      <c r="A112" t="s">
        <v>102</v>
      </c>
      <c r="B112" s="3"/>
      <c r="D112" s="40"/>
      <c r="E112" s="12"/>
      <c r="G112" s="12" t="s">
        <v>20</v>
      </c>
      <c r="J112" s="9"/>
      <c r="K112" s="9"/>
    </row>
    <row r="113" spans="1:11" ht="18" x14ac:dyDescent="0.35">
      <c r="A113" t="s">
        <v>103</v>
      </c>
      <c r="B113" s="3"/>
      <c r="D113" s="40"/>
      <c r="E113" s="12"/>
      <c r="J113" s="9" t="s">
        <v>20</v>
      </c>
      <c r="K113" s="9" t="s">
        <v>20</v>
      </c>
    </row>
    <row r="114" spans="1:11" ht="18" x14ac:dyDescent="0.35">
      <c r="A114" t="s">
        <v>241</v>
      </c>
      <c r="B114" s="3"/>
      <c r="D114" s="40"/>
      <c r="E114" s="12"/>
      <c r="J114" s="9" t="s">
        <v>20</v>
      </c>
      <c r="K114" s="9" t="s">
        <v>20</v>
      </c>
    </row>
    <row r="115" spans="1:11" ht="18" x14ac:dyDescent="0.35">
      <c r="A115" t="s">
        <v>104</v>
      </c>
      <c r="B115" s="3"/>
      <c r="D115" s="40" t="s">
        <v>253</v>
      </c>
      <c r="E115" s="12"/>
      <c r="J115" t="s">
        <v>20</v>
      </c>
      <c r="K115" s="9" t="s">
        <v>20</v>
      </c>
    </row>
    <row r="116" spans="1:11" ht="18" x14ac:dyDescent="0.35">
      <c r="A116" t="s">
        <v>105</v>
      </c>
      <c r="B116" s="3"/>
      <c r="D116" s="40"/>
      <c r="E116" s="12"/>
      <c r="K116" t="s">
        <v>20</v>
      </c>
    </row>
    <row r="117" spans="1:11" ht="18" x14ac:dyDescent="0.35">
      <c r="A117" t="s">
        <v>106</v>
      </c>
      <c r="B117" s="3"/>
      <c r="D117" s="40"/>
      <c r="E117" s="12"/>
    </row>
    <row r="118" spans="1:11" ht="18" x14ac:dyDescent="0.35">
      <c r="A118" t="s">
        <v>243</v>
      </c>
      <c r="B118" s="3"/>
      <c r="D118" s="40"/>
      <c r="E118" s="12"/>
    </row>
    <row r="119" spans="1:11" ht="18" x14ac:dyDescent="0.35">
      <c r="A119" t="s">
        <v>242</v>
      </c>
      <c r="B119" s="3"/>
      <c r="D119" s="40"/>
      <c r="E119" s="12"/>
    </row>
    <row r="120" spans="1:11" ht="18" x14ac:dyDescent="0.35">
      <c r="A120" t="s">
        <v>24</v>
      </c>
      <c r="B120" s="3"/>
      <c r="D120" s="132" t="s">
        <v>244</v>
      </c>
      <c r="E120" s="12"/>
    </row>
    <row r="121" spans="1:11" ht="18.600000000000001" thickBot="1" x14ac:dyDescent="0.4">
      <c r="A121" t="s">
        <v>105</v>
      </c>
      <c r="B121" s="3"/>
      <c r="D121" s="40"/>
      <c r="E121" s="12"/>
    </row>
    <row r="122" spans="1:11" ht="18.600000000000001" thickBot="1" x14ac:dyDescent="0.4">
      <c r="B122" s="3"/>
      <c r="D122" s="117" t="s">
        <v>107</v>
      </c>
      <c r="E122" s="12"/>
    </row>
    <row r="123" spans="1:11" ht="18" x14ac:dyDescent="0.35">
      <c r="A123" t="s">
        <v>108</v>
      </c>
      <c r="B123" s="3"/>
      <c r="D123" s="116"/>
      <c r="E123" s="12"/>
    </row>
    <row r="124" spans="1:11" ht="18" x14ac:dyDescent="0.35">
      <c r="A124" t="s">
        <v>109</v>
      </c>
      <c r="B124" s="3"/>
      <c r="D124" s="116"/>
      <c r="E124" s="12"/>
    </row>
    <row r="125" spans="1:11" ht="18" x14ac:dyDescent="0.35">
      <c r="A125" t="s">
        <v>110</v>
      </c>
      <c r="B125" s="3"/>
      <c r="D125" s="116"/>
      <c r="E125" s="12"/>
    </row>
    <row r="126" spans="1:11" ht="18" x14ac:dyDescent="0.35">
      <c r="A126" t="s">
        <v>111</v>
      </c>
      <c r="B126" s="3"/>
      <c r="D126" s="116"/>
      <c r="E126" s="12"/>
    </row>
    <row r="127" spans="1:11" ht="18.600000000000001" thickBot="1" x14ac:dyDescent="0.4">
      <c r="B127" s="3"/>
      <c r="D127" s="116"/>
      <c r="E127" s="12"/>
    </row>
    <row r="128" spans="1:11" ht="18.600000000000001" thickBot="1" x14ac:dyDescent="0.35">
      <c r="A128" s="121" t="s">
        <v>112</v>
      </c>
      <c r="B128" s="122"/>
      <c r="C128" s="122"/>
      <c r="D128" s="123"/>
      <c r="E128" s="124"/>
      <c r="F128" s="125"/>
    </row>
    <row r="129" spans="1:6" ht="18" x14ac:dyDescent="0.3">
      <c r="A129" s="118" t="s">
        <v>113</v>
      </c>
      <c r="B129" s="118"/>
      <c r="C129" s="118"/>
      <c r="D129" s="119"/>
      <c r="E129" s="120"/>
      <c r="F129" s="120"/>
    </row>
    <row r="130" spans="1:6" ht="18" x14ac:dyDescent="0.3">
      <c r="A130" s="118" t="s">
        <v>114</v>
      </c>
      <c r="B130" s="118"/>
      <c r="C130" s="118"/>
      <c r="D130" s="119"/>
      <c r="E130" s="120"/>
      <c r="F130" s="120"/>
    </row>
    <row r="131" spans="1:6" ht="18" x14ac:dyDescent="0.3">
      <c r="A131" s="118" t="s">
        <v>115</v>
      </c>
      <c r="B131" s="118"/>
      <c r="C131" s="118"/>
      <c r="D131" s="119"/>
      <c r="E131" s="120"/>
      <c r="F131" s="120"/>
    </row>
    <row r="132" spans="1:6" ht="18" x14ac:dyDescent="0.3">
      <c r="A132" s="118" t="s">
        <v>116</v>
      </c>
      <c r="B132" s="118"/>
      <c r="C132" s="118"/>
      <c r="D132" s="119"/>
      <c r="E132" s="120"/>
      <c r="F132" s="120"/>
    </row>
    <row r="133" spans="1:6" ht="18" x14ac:dyDescent="0.3">
      <c r="A133" s="118" t="s">
        <v>117</v>
      </c>
      <c r="B133" s="118"/>
      <c r="C133" s="118"/>
      <c r="D133" s="119"/>
      <c r="E133" s="120"/>
      <c r="F133" s="120"/>
    </row>
    <row r="134" spans="1:6" ht="18" x14ac:dyDescent="0.3">
      <c r="A134" s="118" t="s">
        <v>118</v>
      </c>
      <c r="B134" s="118"/>
      <c r="C134" s="118"/>
      <c r="D134" s="119"/>
      <c r="E134" s="120"/>
      <c r="F134" s="120"/>
    </row>
    <row r="135" spans="1:6" ht="18" x14ac:dyDescent="0.3">
      <c r="A135" s="118" t="s">
        <v>119</v>
      </c>
      <c r="B135" s="118"/>
      <c r="C135" s="118"/>
      <c r="D135" s="119"/>
      <c r="E135" s="120"/>
      <c r="F135" s="120"/>
    </row>
    <row r="136" spans="1:6" ht="18" x14ac:dyDescent="0.3">
      <c r="A136" s="118" t="s">
        <v>120</v>
      </c>
      <c r="B136" s="118"/>
      <c r="C136" s="118"/>
      <c r="D136" s="119"/>
      <c r="E136" s="120"/>
      <c r="F136" s="120"/>
    </row>
    <row r="137" spans="1:6" ht="18" x14ac:dyDescent="0.3">
      <c r="A137" s="118" t="s">
        <v>254</v>
      </c>
      <c r="B137" s="118"/>
      <c r="C137" s="118"/>
      <c r="D137" s="119"/>
      <c r="E137" s="120"/>
      <c r="F137" s="120"/>
    </row>
    <row r="138" spans="1:6" ht="18" x14ac:dyDescent="0.3">
      <c r="A138" s="118" t="s">
        <v>121</v>
      </c>
      <c r="B138" s="118"/>
      <c r="C138" s="118"/>
      <c r="D138" s="119"/>
      <c r="E138" s="120"/>
      <c r="F138" s="120"/>
    </row>
    <row r="139" spans="1:6" ht="18" x14ac:dyDescent="0.3">
      <c r="A139" s="118" t="s">
        <v>122</v>
      </c>
      <c r="B139" s="118"/>
      <c r="C139" s="118"/>
      <c r="D139" s="119"/>
      <c r="E139" s="120"/>
      <c r="F139" s="120"/>
    </row>
    <row r="140" spans="1:6" ht="18" x14ac:dyDescent="0.3">
      <c r="A140" s="118" t="s">
        <v>123</v>
      </c>
      <c r="B140" s="118"/>
      <c r="C140" s="118"/>
      <c r="D140" s="119"/>
      <c r="E140" s="120"/>
      <c r="F140" s="120"/>
    </row>
    <row r="141" spans="1:6" ht="18" x14ac:dyDescent="0.3">
      <c r="A141" s="118"/>
      <c r="B141" s="118"/>
      <c r="C141" s="118"/>
      <c r="D141" s="119"/>
      <c r="E141" s="120"/>
      <c r="F141" s="120"/>
    </row>
    <row r="142" spans="1:6" x14ac:dyDescent="0.3">
      <c r="A142" t="s">
        <v>45</v>
      </c>
      <c r="B142" s="3"/>
      <c r="F142"/>
    </row>
    <row r="143" spans="1:6" x14ac:dyDescent="0.3">
      <c r="A143" t="s">
        <v>30</v>
      </c>
      <c r="B143" s="3"/>
      <c r="F143"/>
    </row>
    <row r="144" spans="1:6" x14ac:dyDescent="0.3">
      <c r="A144" t="s">
        <v>31</v>
      </c>
      <c r="B144" s="3"/>
      <c r="F144"/>
    </row>
    <row r="145" spans="1:6" x14ac:dyDescent="0.3">
      <c r="A145" t="s">
        <v>32</v>
      </c>
      <c r="B145" s="3"/>
      <c r="F145"/>
    </row>
    <row r="146" spans="1:6" x14ac:dyDescent="0.3">
      <c r="A146" t="s">
        <v>33</v>
      </c>
      <c r="B146" s="3"/>
      <c r="F146"/>
    </row>
    <row r="147" spans="1:6" x14ac:dyDescent="0.3">
      <c r="A147" t="s">
        <v>34</v>
      </c>
      <c r="B147" s="3"/>
      <c r="F147"/>
    </row>
    <row r="148" spans="1:6" x14ac:dyDescent="0.3">
      <c r="A148" t="s">
        <v>35</v>
      </c>
      <c r="B148" s="3"/>
      <c r="F148"/>
    </row>
    <row r="149" spans="1:6" ht="15" thickBot="1" x14ac:dyDescent="0.35">
      <c r="A149" t="s">
        <v>36</v>
      </c>
      <c r="B149" s="3"/>
      <c r="F149"/>
    </row>
    <row r="150" spans="1:6" ht="15" thickBot="1" x14ac:dyDescent="0.35">
      <c r="A150" s="59" t="s">
        <v>47</v>
      </c>
      <c r="B150" s="89"/>
      <c r="C150" s="90"/>
      <c r="D150" s="90"/>
      <c r="E150" s="90"/>
      <c r="F150" s="91"/>
    </row>
    <row r="151" spans="1:6" ht="15" thickBot="1" x14ac:dyDescent="0.35">
      <c r="A151" s="59" t="s">
        <v>48</v>
      </c>
      <c r="B151" s="90"/>
      <c r="C151" s="90"/>
      <c r="D151" s="90"/>
      <c r="E151" s="90"/>
      <c r="F151" s="91"/>
    </row>
    <row r="152" spans="1:6" ht="15" thickBot="1" x14ac:dyDescent="0.35">
      <c r="B152"/>
      <c r="F152"/>
    </row>
    <row r="153" spans="1:6" ht="24" thickBot="1" x14ac:dyDescent="0.5">
      <c r="A153" s="136" t="s">
        <v>278</v>
      </c>
      <c r="B153" s="137"/>
      <c r="C153" s="137"/>
      <c r="D153" s="137"/>
      <c r="E153" s="137"/>
      <c r="F153" s="138"/>
    </row>
    <row r="154" spans="1:6" ht="24" thickBot="1" x14ac:dyDescent="0.5">
      <c r="A154" s="136" t="s">
        <v>276</v>
      </c>
      <c r="B154" s="137"/>
      <c r="C154" s="137"/>
      <c r="D154" s="137"/>
      <c r="E154" s="137"/>
      <c r="F154" s="138"/>
    </row>
    <row r="155" spans="1:6" ht="24" thickBot="1" x14ac:dyDescent="0.5">
      <c r="A155" s="139" t="s">
        <v>277</v>
      </c>
      <c r="B155" s="140"/>
      <c r="C155" s="140"/>
      <c r="D155" s="141"/>
      <c r="E155" s="9"/>
      <c r="F155" s="9"/>
    </row>
    <row r="156" spans="1:6" x14ac:dyDescent="0.3">
      <c r="B156"/>
      <c r="F156"/>
    </row>
    <row r="157" spans="1:6" ht="15" thickBot="1" x14ac:dyDescent="0.35">
      <c r="B157"/>
      <c r="F157"/>
    </row>
    <row r="158" spans="1:6" ht="24" thickBot="1" x14ac:dyDescent="0.5">
      <c r="B158"/>
      <c r="D158" s="142" t="s">
        <v>279</v>
      </c>
      <c r="F158"/>
    </row>
    <row r="159" spans="1:6" x14ac:dyDescent="0.3">
      <c r="B159"/>
      <c r="F159"/>
    </row>
    <row r="160" spans="1:6" x14ac:dyDescent="0.3">
      <c r="B160"/>
      <c r="F160"/>
    </row>
    <row r="161" spans="2:6" x14ac:dyDescent="0.3">
      <c r="B161"/>
      <c r="F161"/>
    </row>
    <row r="162" spans="2:6" x14ac:dyDescent="0.3">
      <c r="B162"/>
      <c r="F162"/>
    </row>
    <row r="163" spans="2:6" x14ac:dyDescent="0.3">
      <c r="B163"/>
      <c r="F163"/>
    </row>
    <row r="164" spans="2:6" x14ac:dyDescent="0.3">
      <c r="B164"/>
      <c r="F164"/>
    </row>
    <row r="165" spans="2:6" x14ac:dyDescent="0.3">
      <c r="B165"/>
      <c r="F165"/>
    </row>
    <row r="166" spans="2:6" x14ac:dyDescent="0.3">
      <c r="B166"/>
      <c r="F166"/>
    </row>
    <row r="167" spans="2:6" x14ac:dyDescent="0.3">
      <c r="B167"/>
      <c r="F167"/>
    </row>
    <row r="168" spans="2:6" x14ac:dyDescent="0.3">
      <c r="B168"/>
      <c r="F168"/>
    </row>
    <row r="169" spans="2:6" x14ac:dyDescent="0.3">
      <c r="B169"/>
      <c r="F169"/>
    </row>
    <row r="170" spans="2:6" x14ac:dyDescent="0.3">
      <c r="B170"/>
      <c r="F170"/>
    </row>
    <row r="171" spans="2:6" x14ac:dyDescent="0.3">
      <c r="B171"/>
      <c r="F171"/>
    </row>
    <row r="172" spans="2:6" x14ac:dyDescent="0.3">
      <c r="B172"/>
      <c r="F172"/>
    </row>
    <row r="180" spans="5:5" x14ac:dyDescent="0.3">
      <c r="E180" s="93"/>
    </row>
    <row r="181" spans="5:5" x14ac:dyDescent="0.3">
      <c r="E181" s="93"/>
    </row>
    <row r="182" spans="5:5" x14ac:dyDescent="0.3">
      <c r="E182" s="93"/>
    </row>
    <row r="183" spans="5:5" x14ac:dyDescent="0.3">
      <c r="E183" s="93"/>
    </row>
    <row r="184" spans="5:5" x14ac:dyDescent="0.3">
      <c r="E184" s="93"/>
    </row>
    <row r="185" spans="5:5" x14ac:dyDescent="0.3">
      <c r="E185" s="93"/>
    </row>
    <row r="186" spans="5:5" x14ac:dyDescent="0.3">
      <c r="E186" s="93"/>
    </row>
    <row r="187" spans="5:5" x14ac:dyDescent="0.3">
      <c r="E187" s="93"/>
    </row>
    <row r="188" spans="5:5" x14ac:dyDescent="0.3">
      <c r="E188" s="93"/>
    </row>
    <row r="189" spans="5:5" x14ac:dyDescent="0.3">
      <c r="E189" s="93"/>
    </row>
    <row r="190" spans="5:5" x14ac:dyDescent="0.3">
      <c r="E190" s="93"/>
    </row>
    <row r="191" spans="5:5" x14ac:dyDescent="0.3">
      <c r="E191" s="93"/>
    </row>
    <row r="192" spans="5:5" x14ac:dyDescent="0.3">
      <c r="E192" s="93"/>
    </row>
    <row r="193" spans="5:5" x14ac:dyDescent="0.3">
      <c r="E193" s="93"/>
    </row>
    <row r="194" spans="5:5" x14ac:dyDescent="0.3">
      <c r="E194" s="93"/>
    </row>
    <row r="195" spans="5:5" x14ac:dyDescent="0.3">
      <c r="E195" s="93"/>
    </row>
    <row r="198" spans="5:5" x14ac:dyDescent="0.3">
      <c r="E198" s="93"/>
    </row>
  </sheetData>
  <mergeCells count="2">
    <mergeCell ref="A1:C2"/>
    <mergeCell ref="E3:F3"/>
  </mergeCells>
  <hyperlinks>
    <hyperlink ref="D158" r:id="rId1" xr:uid="{00000000-0004-0000-0100-000000000000}"/>
  </hyperlinks>
  <pageMargins left="0.11811023622047245" right="0.11811023622047245" top="0.39370078740157483" bottom="0" header="0" footer="0"/>
  <pageSetup paperSize="9" scale="90" fitToWidth="3"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1"/>
  <sheetViews>
    <sheetView workbookViewId="0">
      <selection activeCell="B3" sqref="B3:H3"/>
    </sheetView>
  </sheetViews>
  <sheetFormatPr baseColWidth="10" defaultRowHeight="14.4" x14ac:dyDescent="0.3"/>
  <cols>
    <col min="1" max="1" width="5.88671875" customWidth="1"/>
    <col min="2" max="2" width="34.109375" customWidth="1"/>
    <col min="3" max="3" width="5.6640625" customWidth="1"/>
    <col min="4" max="4" width="9" hidden="1" customWidth="1"/>
    <col min="5" max="5" width="5.6640625" customWidth="1"/>
    <col min="6" max="6" width="12.6640625" customWidth="1"/>
    <col min="7" max="7" width="13" customWidth="1"/>
    <col min="8" max="8" width="12.5546875" customWidth="1"/>
    <col min="9" max="9" width="13.109375" customWidth="1"/>
    <col min="10" max="10" width="13.5546875" bestFit="1" customWidth="1"/>
    <col min="11" max="11" width="11.33203125" customWidth="1"/>
    <col min="12" max="12" width="13.6640625" hidden="1" customWidth="1"/>
    <col min="13" max="13" width="11.6640625" bestFit="1" customWidth="1"/>
    <col min="15" max="15" width="12.88671875" customWidth="1"/>
  </cols>
  <sheetData>
    <row r="1" spans="1:17" ht="18.600000000000001" thickBot="1" x14ac:dyDescent="0.4">
      <c r="B1" s="388" t="s">
        <v>124</v>
      </c>
      <c r="C1" s="389"/>
      <c r="D1" s="389"/>
      <c r="E1" s="389"/>
      <c r="F1" s="389"/>
      <c r="G1" s="389"/>
      <c r="H1" s="389"/>
      <c r="I1" s="389"/>
      <c r="J1" s="389"/>
      <c r="K1" s="389"/>
      <c r="L1" s="389"/>
      <c r="M1" s="389"/>
      <c r="N1" s="389"/>
      <c r="O1" s="390"/>
      <c r="P1" t="s">
        <v>20</v>
      </c>
    </row>
    <row r="2" spans="1:17" ht="15" thickBot="1" x14ac:dyDescent="0.35">
      <c r="I2" t="s">
        <v>18</v>
      </c>
      <c r="L2" s="45" t="s">
        <v>41</v>
      </c>
      <c r="N2" t="s">
        <v>20</v>
      </c>
    </row>
    <row r="3" spans="1:17" ht="15" thickBot="1" x14ac:dyDescent="0.35">
      <c r="B3" s="391" t="s">
        <v>273</v>
      </c>
      <c r="C3" s="392"/>
      <c r="D3" s="392"/>
      <c r="E3" s="392"/>
      <c r="F3" s="392"/>
      <c r="G3" s="392"/>
      <c r="H3" s="392"/>
      <c r="I3" s="31">
        <v>6905337</v>
      </c>
      <c r="J3" t="s">
        <v>20</v>
      </c>
      <c r="L3" s="17">
        <v>0</v>
      </c>
      <c r="N3" s="95">
        <v>4000000</v>
      </c>
    </row>
    <row r="4" spans="1:17" ht="15" thickBot="1" x14ac:dyDescent="0.35"/>
    <row r="5" spans="1:17" ht="36.6" thickBot="1" x14ac:dyDescent="0.35">
      <c r="A5" s="19" t="s">
        <v>10</v>
      </c>
      <c r="B5" s="18" t="s">
        <v>8</v>
      </c>
      <c r="C5" s="23" t="s">
        <v>227</v>
      </c>
      <c r="D5" s="23" t="s">
        <v>11</v>
      </c>
      <c r="E5" s="23" t="s">
        <v>228</v>
      </c>
      <c r="F5" s="55">
        <v>45658</v>
      </c>
      <c r="G5" s="16" t="s">
        <v>9</v>
      </c>
      <c r="H5" s="55">
        <v>45658</v>
      </c>
      <c r="I5" s="55" t="s">
        <v>29</v>
      </c>
      <c r="J5" s="16" t="s">
        <v>43</v>
      </c>
      <c r="K5" s="75" t="s">
        <v>44</v>
      </c>
      <c r="L5" s="75" t="s">
        <v>125</v>
      </c>
      <c r="M5" s="133" t="s">
        <v>41</v>
      </c>
      <c r="N5" s="44" t="s">
        <v>19</v>
      </c>
      <c r="O5" s="15" t="s">
        <v>12</v>
      </c>
    </row>
    <row r="6" spans="1:17" ht="15" thickBot="1" x14ac:dyDescent="0.35">
      <c r="A6" s="7"/>
      <c r="B6" s="46"/>
      <c r="C6" s="46"/>
      <c r="D6" s="46"/>
      <c r="E6" s="46"/>
      <c r="F6" s="46"/>
      <c r="G6" s="46"/>
      <c r="H6" s="46"/>
      <c r="I6" s="46"/>
      <c r="J6" s="46"/>
      <c r="K6" s="46"/>
      <c r="L6" s="46"/>
      <c r="M6" s="46"/>
      <c r="N6" s="46"/>
      <c r="O6" s="47"/>
    </row>
    <row r="7" spans="1:17" ht="15" thickBot="1" x14ac:dyDescent="0.35">
      <c r="A7" s="48">
        <v>1</v>
      </c>
      <c r="B7" s="49" t="s">
        <v>126</v>
      </c>
      <c r="C7" s="84">
        <v>1.37</v>
      </c>
      <c r="D7" s="50">
        <v>8.9999999999999998E-4</v>
      </c>
      <c r="E7" s="50"/>
      <c r="F7" s="51">
        <v>128653</v>
      </c>
      <c r="G7" s="51">
        <v>-128653</v>
      </c>
      <c r="H7" s="52">
        <f>+G7+F7</f>
        <v>0</v>
      </c>
      <c r="I7" s="52">
        <v>0</v>
      </c>
      <c r="J7" s="76">
        <f>I3*C7/100</f>
        <v>94603.116900000008</v>
      </c>
      <c r="K7" s="76">
        <v>0</v>
      </c>
      <c r="L7" s="76">
        <v>0</v>
      </c>
      <c r="M7" s="76">
        <f>N3*C7/100</f>
        <v>54800</v>
      </c>
      <c r="N7" s="52">
        <v>-0.11</v>
      </c>
      <c r="O7" s="54">
        <f>SUM(H7:N7)</f>
        <v>149403.00690000004</v>
      </c>
      <c r="P7" s="77" t="s">
        <v>20</v>
      </c>
      <c r="Q7" t="s">
        <v>20</v>
      </c>
    </row>
    <row r="8" spans="1:17" ht="15" thickBot="1" x14ac:dyDescent="0.35">
      <c r="A8" s="20">
        <v>2</v>
      </c>
      <c r="B8" s="24" t="s">
        <v>127</v>
      </c>
      <c r="C8" s="85">
        <v>1.18</v>
      </c>
      <c r="D8" s="22">
        <v>8.9999999999999998E-4</v>
      </c>
      <c r="E8" s="22"/>
      <c r="F8" s="21">
        <v>792015</v>
      </c>
      <c r="G8" s="21">
        <v>-32600</v>
      </c>
      <c r="H8" s="52">
        <v>644726</v>
      </c>
      <c r="I8" s="21">
        <v>16773</v>
      </c>
      <c r="J8" s="21">
        <f>I3*C8/100</f>
        <v>81482.976599999995</v>
      </c>
      <c r="K8" s="21">
        <v>0</v>
      </c>
      <c r="L8" s="21">
        <v>0</v>
      </c>
      <c r="M8" s="21">
        <f>N3*C8/100</f>
        <v>47200</v>
      </c>
      <c r="N8" s="21">
        <v>0.04</v>
      </c>
      <c r="O8" s="53">
        <f t="shared" ref="O8:O71" si="0">SUM(H8:N8)</f>
        <v>790182.01659999997</v>
      </c>
      <c r="P8" s="65"/>
    </row>
    <row r="9" spans="1:17" ht="15" thickBot="1" x14ac:dyDescent="0.35">
      <c r="A9" s="20">
        <v>3</v>
      </c>
      <c r="B9" s="24" t="s">
        <v>128</v>
      </c>
      <c r="C9" s="86">
        <v>0.74</v>
      </c>
      <c r="D9" s="22">
        <v>4.8999999999999998E-3</v>
      </c>
      <c r="E9" s="22"/>
      <c r="F9" s="21">
        <v>69491</v>
      </c>
      <c r="G9" s="21">
        <v>-69491</v>
      </c>
      <c r="H9" s="52">
        <f t="shared" ref="H9:H71" si="1">+G9+F9</f>
        <v>0</v>
      </c>
      <c r="I9" s="21">
        <v>0</v>
      </c>
      <c r="J9" s="21">
        <f>I3*C9/100</f>
        <v>51099.493799999997</v>
      </c>
      <c r="K9" s="21">
        <v>0</v>
      </c>
      <c r="L9" s="21">
        <v>0</v>
      </c>
      <c r="M9" s="21">
        <f>N3*C9/100</f>
        <v>29600</v>
      </c>
      <c r="N9" s="21">
        <v>-0.46</v>
      </c>
      <c r="O9" s="53">
        <f t="shared" si="0"/>
        <v>80699.03379999999</v>
      </c>
      <c r="P9" s="65" t="s">
        <v>20</v>
      </c>
    </row>
    <row r="10" spans="1:17" ht="15" thickBot="1" x14ac:dyDescent="0.35">
      <c r="A10" s="20">
        <v>4</v>
      </c>
      <c r="B10" s="24" t="s">
        <v>129</v>
      </c>
      <c r="C10" s="86">
        <v>1.47</v>
      </c>
      <c r="D10" s="22">
        <v>0</v>
      </c>
      <c r="E10" s="22"/>
      <c r="F10" s="21">
        <v>138044</v>
      </c>
      <c r="G10" s="21">
        <v>-138044</v>
      </c>
      <c r="H10" s="52">
        <f t="shared" si="1"/>
        <v>0</v>
      </c>
      <c r="I10" s="21">
        <v>0</v>
      </c>
      <c r="J10" s="21">
        <f>I3*C10/100</f>
        <v>101508.45390000001</v>
      </c>
      <c r="K10" s="21">
        <v>0</v>
      </c>
      <c r="L10" s="21">
        <v>0</v>
      </c>
      <c r="M10" s="21">
        <f>N3*C10/100</f>
        <v>58800</v>
      </c>
      <c r="N10" s="21">
        <v>-0.41</v>
      </c>
      <c r="O10" s="53">
        <f t="shared" si="0"/>
        <v>160308.04390000002</v>
      </c>
      <c r="P10" s="65" t="s">
        <v>20</v>
      </c>
    </row>
    <row r="11" spans="1:17" ht="15" thickBot="1" x14ac:dyDescent="0.35">
      <c r="A11" s="20">
        <v>5</v>
      </c>
      <c r="B11" s="24" t="s">
        <v>130</v>
      </c>
      <c r="C11" s="86">
        <v>1.1200000000000001</v>
      </c>
      <c r="D11" s="22">
        <v>4.8999999999999998E-3</v>
      </c>
      <c r="E11" s="22"/>
      <c r="F11" s="21">
        <v>44845</v>
      </c>
      <c r="G11" s="21">
        <v>-44845</v>
      </c>
      <c r="H11" s="52">
        <f t="shared" si="1"/>
        <v>0</v>
      </c>
      <c r="I11" s="21">
        <v>0</v>
      </c>
      <c r="J11" s="21">
        <f>I3*C11/100</f>
        <v>77339.774400000009</v>
      </c>
      <c r="K11" s="21">
        <v>0</v>
      </c>
      <c r="L11" s="21">
        <v>0</v>
      </c>
      <c r="M11" s="21">
        <f>N3*C11/100</f>
        <v>44800</v>
      </c>
      <c r="N11" s="21">
        <v>0.28000000000000003</v>
      </c>
      <c r="O11" s="53">
        <f t="shared" si="0"/>
        <v>122140.05440000001</v>
      </c>
      <c r="P11" s="65" t="s">
        <v>20</v>
      </c>
    </row>
    <row r="12" spans="1:17" ht="15" thickBot="1" x14ac:dyDescent="0.35">
      <c r="A12" s="20">
        <v>6</v>
      </c>
      <c r="B12" s="24" t="s">
        <v>131</v>
      </c>
      <c r="C12" s="86">
        <v>1.35</v>
      </c>
      <c r="D12" s="22">
        <v>8.9999999999999998E-4</v>
      </c>
      <c r="E12" s="22"/>
      <c r="F12" s="21">
        <v>125670</v>
      </c>
      <c r="G12" s="21">
        <v>-126775</v>
      </c>
      <c r="H12" s="52">
        <f t="shared" si="1"/>
        <v>-1105</v>
      </c>
      <c r="I12" s="21">
        <v>0</v>
      </c>
      <c r="J12" s="21">
        <f>I3*C12/100</f>
        <v>93222.049500000008</v>
      </c>
      <c r="K12" s="21">
        <v>0</v>
      </c>
      <c r="L12" s="21">
        <v>0</v>
      </c>
      <c r="M12" s="21">
        <f>N3*C12/100</f>
        <v>54000</v>
      </c>
      <c r="N12" s="21">
        <v>0.01</v>
      </c>
      <c r="O12" s="53">
        <f t="shared" si="0"/>
        <v>146117.05950000003</v>
      </c>
      <c r="P12" s="65" t="s">
        <v>20</v>
      </c>
      <c r="Q12" t="s">
        <v>20</v>
      </c>
    </row>
    <row r="13" spans="1:17" ht="15" thickBot="1" x14ac:dyDescent="0.35">
      <c r="A13" s="20">
        <v>7</v>
      </c>
      <c r="B13" s="24" t="s">
        <v>132</v>
      </c>
      <c r="C13" s="86">
        <v>1.1200000000000001</v>
      </c>
      <c r="D13" s="22">
        <v>8.9999999999999998E-4</v>
      </c>
      <c r="E13" s="22"/>
      <c r="F13" s="21">
        <v>96632</v>
      </c>
      <c r="G13" s="21">
        <v>-96632</v>
      </c>
      <c r="H13" s="52">
        <f t="shared" si="1"/>
        <v>0</v>
      </c>
      <c r="I13" s="21">
        <v>0</v>
      </c>
      <c r="J13" s="21">
        <f>I3*C13/100</f>
        <v>77339.774400000009</v>
      </c>
      <c r="K13" s="21">
        <v>0</v>
      </c>
      <c r="L13" s="21">
        <v>0</v>
      </c>
      <c r="M13" s="21">
        <f>N3*C13/100</f>
        <v>44800</v>
      </c>
      <c r="N13" s="21">
        <v>-0.7</v>
      </c>
      <c r="O13" s="53">
        <f t="shared" si="0"/>
        <v>122139.07440000001</v>
      </c>
      <c r="P13" s="65" t="s">
        <v>20</v>
      </c>
      <c r="Q13" t="s">
        <v>20</v>
      </c>
    </row>
    <row r="14" spans="1:17" ht="15" thickBot="1" x14ac:dyDescent="0.35">
      <c r="A14" s="20">
        <v>8</v>
      </c>
      <c r="B14" s="24" t="s">
        <v>133</v>
      </c>
      <c r="C14" s="86">
        <v>0.82</v>
      </c>
      <c r="D14" s="22">
        <v>8.9999999999999998E-4</v>
      </c>
      <c r="E14" s="22"/>
      <c r="F14" s="21">
        <v>77004</v>
      </c>
      <c r="G14" s="21">
        <v>-77004</v>
      </c>
      <c r="H14" s="52">
        <f t="shared" si="1"/>
        <v>0</v>
      </c>
      <c r="I14" s="21">
        <v>0</v>
      </c>
      <c r="J14" s="21">
        <f>I3*C14/100</f>
        <v>56623.763399999996</v>
      </c>
      <c r="K14" s="21">
        <v>0</v>
      </c>
      <c r="L14" s="21">
        <v>0</v>
      </c>
      <c r="M14" s="21">
        <f>N3*C14/100</f>
        <v>32800</v>
      </c>
      <c r="N14" s="21">
        <v>0.32</v>
      </c>
      <c r="O14" s="53">
        <f t="shared" si="0"/>
        <v>89424.083400000003</v>
      </c>
      <c r="P14" s="65" t="s">
        <v>20</v>
      </c>
      <c r="Q14" t="s">
        <v>20</v>
      </c>
    </row>
    <row r="15" spans="1:17" ht="15" thickBot="1" x14ac:dyDescent="0.35">
      <c r="A15" s="20">
        <v>9</v>
      </c>
      <c r="B15" s="24" t="s">
        <v>134</v>
      </c>
      <c r="C15" s="86">
        <v>0.82</v>
      </c>
      <c r="D15" s="22">
        <v>8.9999999999999998E-4</v>
      </c>
      <c r="E15" s="22"/>
      <c r="F15" s="21">
        <v>77004</v>
      </c>
      <c r="G15" s="21">
        <v>-77004</v>
      </c>
      <c r="H15" s="52">
        <f t="shared" si="1"/>
        <v>0</v>
      </c>
      <c r="I15" s="21">
        <v>0</v>
      </c>
      <c r="J15" s="21">
        <f>I3*C15/100</f>
        <v>56623.763399999996</v>
      </c>
      <c r="K15" s="21">
        <v>0</v>
      </c>
      <c r="L15" s="21">
        <v>0</v>
      </c>
      <c r="M15" s="21">
        <f>N3*C15/100</f>
        <v>32800</v>
      </c>
      <c r="N15" s="21">
        <v>0.33</v>
      </c>
      <c r="O15" s="53">
        <f t="shared" si="0"/>
        <v>89424.093399999998</v>
      </c>
      <c r="P15" s="65" t="s">
        <v>20</v>
      </c>
    </row>
    <row r="16" spans="1:17" ht="15" thickBot="1" x14ac:dyDescent="0.35">
      <c r="A16" s="20">
        <v>10</v>
      </c>
      <c r="B16" s="24" t="s">
        <v>135</v>
      </c>
      <c r="C16" s="86">
        <v>1.34</v>
      </c>
      <c r="D16" s="22">
        <v>8.9999999999999998E-4</v>
      </c>
      <c r="E16" s="22"/>
      <c r="F16" s="25">
        <v>125836</v>
      </c>
      <c r="G16" s="25">
        <v>0</v>
      </c>
      <c r="H16" s="52">
        <f t="shared" si="1"/>
        <v>125836</v>
      </c>
      <c r="I16" s="21">
        <v>2517</v>
      </c>
      <c r="J16" s="21">
        <f>I3*C16/100</f>
        <v>92531.515799999994</v>
      </c>
      <c r="K16" s="21">
        <v>0</v>
      </c>
      <c r="L16" s="21">
        <v>0</v>
      </c>
      <c r="M16" s="21">
        <f>N3*C16/100</f>
        <v>53600</v>
      </c>
      <c r="N16" s="21">
        <v>-0.42</v>
      </c>
      <c r="O16" s="53">
        <f t="shared" si="0"/>
        <v>274484.09580000001</v>
      </c>
      <c r="P16" s="65" t="s">
        <v>20</v>
      </c>
    </row>
    <row r="17" spans="1:17" ht="15" thickBot="1" x14ac:dyDescent="0.35">
      <c r="A17" s="20">
        <v>11</v>
      </c>
      <c r="B17" s="24" t="s">
        <v>136</v>
      </c>
      <c r="C17" s="86">
        <v>1.1200000000000001</v>
      </c>
      <c r="D17" s="22">
        <v>4.8999999999999998E-3</v>
      </c>
      <c r="E17" s="22"/>
      <c r="F17" s="21">
        <v>105176</v>
      </c>
      <c r="G17" s="21">
        <v>0</v>
      </c>
      <c r="H17" s="52">
        <f t="shared" si="1"/>
        <v>105176</v>
      </c>
      <c r="I17" s="21">
        <v>2104</v>
      </c>
      <c r="J17" s="21">
        <f>I3*C17/100</f>
        <v>77339.774400000009</v>
      </c>
      <c r="K17" s="21">
        <v>0</v>
      </c>
      <c r="L17" s="21">
        <v>0</v>
      </c>
      <c r="M17" s="21">
        <f>N3*C17/100</f>
        <v>44800</v>
      </c>
      <c r="N17" s="21">
        <v>-0.66</v>
      </c>
      <c r="O17" s="53">
        <f t="shared" si="0"/>
        <v>229419.11439999999</v>
      </c>
      <c r="P17" s="65" t="s">
        <v>20</v>
      </c>
    </row>
    <row r="18" spans="1:17" ht="15" thickBot="1" x14ac:dyDescent="0.35">
      <c r="A18" s="20">
        <v>12</v>
      </c>
      <c r="B18" s="24" t="s">
        <v>137</v>
      </c>
      <c r="C18" s="86">
        <v>1.17</v>
      </c>
      <c r="D18" s="22">
        <v>8.9999999999999998E-4</v>
      </c>
      <c r="E18" s="22"/>
      <c r="F18" s="21">
        <v>936817</v>
      </c>
      <c r="G18" s="21">
        <v>0</v>
      </c>
      <c r="H18" s="52">
        <v>884365</v>
      </c>
      <c r="I18" s="21">
        <v>70139</v>
      </c>
      <c r="J18" s="21">
        <f>I3*C18/100</f>
        <v>80792.442899999995</v>
      </c>
      <c r="K18" s="21">
        <v>0</v>
      </c>
      <c r="L18" s="21">
        <v>0</v>
      </c>
      <c r="M18" s="21">
        <f>N3*C18/100</f>
        <v>46800</v>
      </c>
      <c r="N18" s="21">
        <v>-0.32</v>
      </c>
      <c r="O18" s="53">
        <f t="shared" si="0"/>
        <v>1082096.1229000001</v>
      </c>
      <c r="P18" s="65" t="s">
        <v>20</v>
      </c>
    </row>
    <row r="19" spans="1:17" ht="15" thickBot="1" x14ac:dyDescent="0.35">
      <c r="A19" s="20">
        <v>13</v>
      </c>
      <c r="B19" s="24" t="s">
        <v>138</v>
      </c>
      <c r="C19" s="86">
        <v>1.35</v>
      </c>
      <c r="D19" s="22">
        <v>8.9999999999999998E-4</v>
      </c>
      <c r="E19" s="22"/>
      <c r="F19" s="21">
        <v>126775</v>
      </c>
      <c r="G19" s="21">
        <v>-126775</v>
      </c>
      <c r="H19" s="52">
        <f t="shared" si="1"/>
        <v>0</v>
      </c>
      <c r="I19" s="21">
        <v>0</v>
      </c>
      <c r="J19" s="21">
        <f>I3*C19/100</f>
        <v>93222.049500000008</v>
      </c>
      <c r="K19" s="21">
        <v>0</v>
      </c>
      <c r="L19" s="21">
        <v>0</v>
      </c>
      <c r="M19" s="21">
        <f>N3*C19/100</f>
        <v>54000</v>
      </c>
      <c r="N19" s="21">
        <v>0.08</v>
      </c>
      <c r="O19" s="53">
        <f t="shared" si="0"/>
        <v>147222.12950000001</v>
      </c>
      <c r="P19" s="65" t="s">
        <v>20</v>
      </c>
    </row>
    <row r="20" spans="1:17" ht="15" thickBot="1" x14ac:dyDescent="0.35">
      <c r="A20" s="20">
        <v>14</v>
      </c>
      <c r="B20" s="24" t="s">
        <v>139</v>
      </c>
      <c r="C20" s="86">
        <v>1.1200000000000001</v>
      </c>
      <c r="D20" s="22">
        <v>4.8999999999999998E-3</v>
      </c>
      <c r="E20" s="22"/>
      <c r="F20" s="21">
        <v>105176</v>
      </c>
      <c r="G20" s="21">
        <v>-105176</v>
      </c>
      <c r="H20" s="52">
        <f t="shared" si="1"/>
        <v>0</v>
      </c>
      <c r="I20" s="21">
        <v>0</v>
      </c>
      <c r="J20" s="21">
        <f>I3*C20/100</f>
        <v>77339.774400000009</v>
      </c>
      <c r="K20" s="21">
        <v>0</v>
      </c>
      <c r="L20" s="21">
        <v>0</v>
      </c>
      <c r="M20" s="21">
        <f>N3*C20/100</f>
        <v>44800</v>
      </c>
      <c r="N20" s="21">
        <v>-0.63</v>
      </c>
      <c r="O20" s="53">
        <f t="shared" si="0"/>
        <v>122139.1444</v>
      </c>
      <c r="P20" s="65" t="s">
        <v>20</v>
      </c>
    </row>
    <row r="21" spans="1:17" ht="15" thickBot="1" x14ac:dyDescent="0.35">
      <c r="A21" s="20">
        <v>15</v>
      </c>
      <c r="B21" s="24" t="s">
        <v>140</v>
      </c>
      <c r="C21" s="86">
        <v>0.82</v>
      </c>
      <c r="D21" s="22">
        <v>8.9999999999999998E-4</v>
      </c>
      <c r="E21" s="22"/>
      <c r="F21" s="21">
        <v>77004</v>
      </c>
      <c r="G21" s="21">
        <v>-77004</v>
      </c>
      <c r="H21" s="52">
        <f t="shared" si="1"/>
        <v>0</v>
      </c>
      <c r="I21" s="21">
        <v>0</v>
      </c>
      <c r="J21" s="21">
        <f>I3*C21/100</f>
        <v>56623.763399999996</v>
      </c>
      <c r="K21" s="21">
        <v>0</v>
      </c>
      <c r="L21" s="21">
        <v>0</v>
      </c>
      <c r="M21" s="21">
        <f>N3*C21/100</f>
        <v>32800</v>
      </c>
      <c r="N21" s="21">
        <v>-0.61</v>
      </c>
      <c r="O21" s="53">
        <f t="shared" si="0"/>
        <v>89423.153399999996</v>
      </c>
      <c r="P21" s="65" t="s">
        <v>20</v>
      </c>
    </row>
    <row r="22" spans="1:17" ht="15" thickBot="1" x14ac:dyDescent="0.35">
      <c r="A22" s="20">
        <v>16</v>
      </c>
      <c r="B22" s="24" t="s">
        <v>141</v>
      </c>
      <c r="C22" s="86">
        <v>0.82</v>
      </c>
      <c r="D22" s="22">
        <v>4.8999999999999998E-3</v>
      </c>
      <c r="E22" s="22"/>
      <c r="F22" s="21">
        <v>194801</v>
      </c>
      <c r="G22" s="21">
        <v>-77010</v>
      </c>
      <c r="H22" s="52">
        <v>115487</v>
      </c>
      <c r="I22" s="21">
        <v>2310</v>
      </c>
      <c r="J22" s="21">
        <f>I3*C22/100</f>
        <v>56623.763399999996</v>
      </c>
      <c r="K22" s="21">
        <v>0</v>
      </c>
      <c r="L22" s="21">
        <v>0</v>
      </c>
      <c r="M22" s="21">
        <f>N3*C22/100</f>
        <v>32800</v>
      </c>
      <c r="N22" s="21">
        <v>-0.6</v>
      </c>
      <c r="O22" s="53">
        <f t="shared" si="0"/>
        <v>207220.16339999999</v>
      </c>
      <c r="P22" s="65" t="s">
        <v>20</v>
      </c>
    </row>
    <row r="23" spans="1:17" ht="15" thickBot="1" x14ac:dyDescent="0.35">
      <c r="A23" s="20">
        <v>17</v>
      </c>
      <c r="B23" s="43" t="s">
        <v>142</v>
      </c>
      <c r="C23" s="86">
        <v>1.34</v>
      </c>
      <c r="D23" s="22">
        <v>8.9999999999999993E-3</v>
      </c>
      <c r="E23" s="22"/>
      <c r="F23" s="21">
        <v>125836</v>
      </c>
      <c r="G23" s="21">
        <v>-125836</v>
      </c>
      <c r="H23" s="52">
        <f t="shared" si="1"/>
        <v>0</v>
      </c>
      <c r="I23" s="21">
        <v>0</v>
      </c>
      <c r="J23" s="21">
        <f>I3*C23/100</f>
        <v>92531.515799999994</v>
      </c>
      <c r="K23" s="21">
        <v>0</v>
      </c>
      <c r="L23" s="21">
        <v>0</v>
      </c>
      <c r="M23" s="21">
        <f>N3*C23/100</f>
        <v>53600</v>
      </c>
      <c r="N23" s="21">
        <v>-0.35</v>
      </c>
      <c r="O23" s="53">
        <f t="shared" si="0"/>
        <v>146131.16579999999</v>
      </c>
      <c r="P23" s="65" t="s">
        <v>20</v>
      </c>
    </row>
    <row r="24" spans="1:17" ht="15" thickBot="1" x14ac:dyDescent="0.35">
      <c r="A24" s="20">
        <v>18</v>
      </c>
      <c r="B24" s="24" t="s">
        <v>143</v>
      </c>
      <c r="C24" s="86">
        <v>1.1200000000000001</v>
      </c>
      <c r="D24" s="22">
        <v>8.9999999999999998E-4</v>
      </c>
      <c r="E24" s="22"/>
      <c r="F24" s="21">
        <v>105176</v>
      </c>
      <c r="G24" s="21">
        <v>-106000</v>
      </c>
      <c r="H24" s="52">
        <f t="shared" si="1"/>
        <v>-824</v>
      </c>
      <c r="I24" s="21">
        <v>0</v>
      </c>
      <c r="J24" s="21">
        <f>I3*C24/100</f>
        <v>77339.774400000009</v>
      </c>
      <c r="K24" s="21">
        <v>0</v>
      </c>
      <c r="L24" s="21">
        <v>0</v>
      </c>
      <c r="M24" s="21">
        <f>N3*C24/100</f>
        <v>44800</v>
      </c>
      <c r="N24" s="21">
        <v>0.41</v>
      </c>
      <c r="O24" s="53">
        <f t="shared" si="0"/>
        <v>121316.18440000001</v>
      </c>
      <c r="P24" s="65" t="s">
        <v>20</v>
      </c>
    </row>
    <row r="25" spans="1:17" ht="15" thickBot="1" x14ac:dyDescent="0.35">
      <c r="A25" s="20">
        <v>19</v>
      </c>
      <c r="B25" s="24" t="s">
        <v>144</v>
      </c>
      <c r="C25" s="86">
        <v>1.17</v>
      </c>
      <c r="D25" s="22">
        <v>8.9999999999999998E-4</v>
      </c>
      <c r="E25" s="22"/>
      <c r="F25" s="21">
        <v>366849</v>
      </c>
      <c r="G25" s="21">
        <v>-109871</v>
      </c>
      <c r="H25" s="52">
        <v>256978</v>
      </c>
      <c r="I25" s="21">
        <v>5140</v>
      </c>
      <c r="J25" s="21">
        <f>I3*C25/100</f>
        <v>80792.442899999995</v>
      </c>
      <c r="K25" s="21">
        <v>0</v>
      </c>
      <c r="L25" s="21">
        <v>0</v>
      </c>
      <c r="M25" s="21">
        <f>N3*C25/100</f>
        <v>46800</v>
      </c>
      <c r="N25" s="21">
        <v>-0.25</v>
      </c>
      <c r="O25" s="53">
        <f t="shared" si="0"/>
        <v>389710.19290000002</v>
      </c>
      <c r="P25" s="65" t="s">
        <v>20</v>
      </c>
    </row>
    <row r="26" spans="1:17" ht="15" thickBot="1" x14ac:dyDescent="0.35">
      <c r="A26" s="20">
        <v>20</v>
      </c>
      <c r="B26" s="24" t="s">
        <v>145</v>
      </c>
      <c r="C26" s="86">
        <v>1.35</v>
      </c>
      <c r="D26" s="22">
        <v>4.8999999999999998E-3</v>
      </c>
      <c r="E26" s="22"/>
      <c r="F26" s="21">
        <v>962393</v>
      </c>
      <c r="G26" s="21">
        <v>-44100</v>
      </c>
      <c r="H26" s="52">
        <v>806294</v>
      </c>
      <c r="I26" s="21">
        <v>45450</v>
      </c>
      <c r="J26" s="21">
        <f>I3*C26/100</f>
        <v>93222.049500000008</v>
      </c>
      <c r="K26" s="21">
        <v>0</v>
      </c>
      <c r="L26" s="21">
        <v>0</v>
      </c>
      <c r="M26" s="21">
        <f>N3*C26/100</f>
        <v>54000</v>
      </c>
      <c r="N26" s="21">
        <v>0.15</v>
      </c>
      <c r="O26" s="53">
        <f t="shared" si="0"/>
        <v>998966.19949999999</v>
      </c>
      <c r="P26" s="65" t="s">
        <v>20</v>
      </c>
      <c r="Q26" t="s">
        <v>20</v>
      </c>
    </row>
    <row r="27" spans="1:17" ht="15" thickBot="1" x14ac:dyDescent="0.35">
      <c r="A27" s="20">
        <v>21</v>
      </c>
      <c r="B27" s="24" t="s">
        <v>146</v>
      </c>
      <c r="C27" s="86">
        <v>1.1200000000000001</v>
      </c>
      <c r="D27" s="22">
        <v>8.9999999999999998E-4</v>
      </c>
      <c r="E27" s="22"/>
      <c r="F27" s="21">
        <v>229061</v>
      </c>
      <c r="G27" s="21">
        <v>-229061</v>
      </c>
      <c r="H27" s="52">
        <f t="shared" si="1"/>
        <v>0</v>
      </c>
      <c r="I27" s="21">
        <v>0</v>
      </c>
      <c r="J27" s="21">
        <f>I3*C27/100</f>
        <v>77339.774400000009</v>
      </c>
      <c r="K27" s="21">
        <v>0</v>
      </c>
      <c r="L27" s="21">
        <v>0</v>
      </c>
      <c r="M27" s="21">
        <f>N3*C27/100</f>
        <v>44800</v>
      </c>
      <c r="N27" s="21">
        <v>-0.56000000000000005</v>
      </c>
      <c r="O27" s="53">
        <f t="shared" si="0"/>
        <v>122139.21440000001</v>
      </c>
      <c r="P27" s="65" t="s">
        <v>20</v>
      </c>
    </row>
    <row r="28" spans="1:17" ht="15" thickBot="1" x14ac:dyDescent="0.35">
      <c r="A28" s="20">
        <v>22</v>
      </c>
      <c r="B28" s="24" t="s">
        <v>147</v>
      </c>
      <c r="C28" s="86">
        <v>0.82</v>
      </c>
      <c r="D28" s="22">
        <v>8.9999999999999998E-4</v>
      </c>
      <c r="E28" s="22"/>
      <c r="F28" s="25">
        <v>77004</v>
      </c>
      <c r="G28" s="25">
        <v>-77004</v>
      </c>
      <c r="H28" s="52">
        <f t="shared" si="1"/>
        <v>0</v>
      </c>
      <c r="I28" s="21">
        <v>0</v>
      </c>
      <c r="J28" s="21">
        <f>I3*C28/100</f>
        <v>56623.763399999996</v>
      </c>
      <c r="K28" s="21">
        <v>0</v>
      </c>
      <c r="L28" s="21">
        <v>0</v>
      </c>
      <c r="M28" s="21">
        <f>N3*C28/100</f>
        <v>32800</v>
      </c>
      <c r="N28" s="21">
        <v>-0.54</v>
      </c>
      <c r="O28" s="53">
        <f t="shared" si="0"/>
        <v>89423.223400000003</v>
      </c>
      <c r="P28" s="65" t="s">
        <v>20</v>
      </c>
    </row>
    <row r="29" spans="1:17" ht="15" thickBot="1" x14ac:dyDescent="0.35">
      <c r="A29" s="20">
        <v>23</v>
      </c>
      <c r="B29" s="24" t="s">
        <v>148</v>
      </c>
      <c r="C29" s="86">
        <v>0.82</v>
      </c>
      <c r="D29" s="22">
        <v>8.9999999999999998E-4</v>
      </c>
      <c r="E29" s="22"/>
      <c r="F29" s="21">
        <v>77004</v>
      </c>
      <c r="G29" s="21">
        <v>-77004</v>
      </c>
      <c r="H29" s="52">
        <f t="shared" si="1"/>
        <v>0</v>
      </c>
      <c r="I29" s="21">
        <v>0</v>
      </c>
      <c r="J29" s="21">
        <f>I3*C29/100</f>
        <v>56623.763399999996</v>
      </c>
      <c r="K29" s="21">
        <v>0</v>
      </c>
      <c r="L29" s="21">
        <v>0</v>
      </c>
      <c r="M29" s="21">
        <f>N3*C29/100</f>
        <v>32800</v>
      </c>
      <c r="N29" s="21">
        <v>-0.53</v>
      </c>
      <c r="O29" s="53">
        <f t="shared" si="0"/>
        <v>89423.233399999997</v>
      </c>
      <c r="P29" s="65" t="s">
        <v>20</v>
      </c>
    </row>
    <row r="30" spans="1:17" ht="15" thickBot="1" x14ac:dyDescent="0.35">
      <c r="A30" s="20">
        <v>24</v>
      </c>
      <c r="B30" s="24" t="s">
        <v>149</v>
      </c>
      <c r="C30" s="86">
        <v>1.34</v>
      </c>
      <c r="D30" s="22">
        <v>8.9999999999999998E-4</v>
      </c>
      <c r="E30" s="22"/>
      <c r="F30" s="21">
        <v>274056</v>
      </c>
      <c r="G30" s="21">
        <v>0</v>
      </c>
      <c r="H30" s="52">
        <v>271150</v>
      </c>
      <c r="I30" s="21">
        <v>8329</v>
      </c>
      <c r="J30" s="21">
        <f>I3*C30/100</f>
        <v>92531.515799999994</v>
      </c>
      <c r="K30" s="21">
        <v>0</v>
      </c>
      <c r="L30" s="21">
        <v>0</v>
      </c>
      <c r="M30" s="21">
        <f>N3*C30/100</f>
        <v>53600</v>
      </c>
      <c r="N30" s="21">
        <v>-0.28000000000000003</v>
      </c>
      <c r="O30" s="53">
        <f t="shared" si="0"/>
        <v>425610.23579999997</v>
      </c>
      <c r="P30" s="65" t="s">
        <v>20</v>
      </c>
      <c r="Q30" s="35" t="s">
        <v>20</v>
      </c>
    </row>
    <row r="31" spans="1:17" ht="15" thickBot="1" x14ac:dyDescent="0.35">
      <c r="A31" s="20">
        <v>25</v>
      </c>
      <c r="B31" s="24" t="s">
        <v>150</v>
      </c>
      <c r="C31" s="86">
        <v>1.1200000000000001</v>
      </c>
      <c r="D31" s="22">
        <v>8.9999999999999998E-4</v>
      </c>
      <c r="E31" s="22"/>
      <c r="F31" s="21">
        <v>104392</v>
      </c>
      <c r="G31" s="21">
        <v>-104400</v>
      </c>
      <c r="H31" s="52">
        <f t="shared" si="1"/>
        <v>-8</v>
      </c>
      <c r="I31" s="21">
        <v>0</v>
      </c>
      <c r="J31" s="21">
        <f>I3*C31/100</f>
        <v>77339.774400000009</v>
      </c>
      <c r="K31" s="21">
        <v>0</v>
      </c>
      <c r="L31" s="21">
        <v>0</v>
      </c>
      <c r="M31" s="21">
        <f>N3*C31/100</f>
        <v>44800</v>
      </c>
      <c r="N31" s="21">
        <v>-0.52</v>
      </c>
      <c r="O31" s="53">
        <f t="shared" si="0"/>
        <v>122131.25440000001</v>
      </c>
      <c r="P31" s="65" t="s">
        <v>20</v>
      </c>
    </row>
    <row r="32" spans="1:17" ht="15" thickBot="1" x14ac:dyDescent="0.35">
      <c r="A32" s="20">
        <v>26</v>
      </c>
      <c r="B32" s="24" t="s">
        <v>151</v>
      </c>
      <c r="C32" s="86">
        <v>1.17</v>
      </c>
      <c r="D32" s="22">
        <v>8.9999999999999998E-4</v>
      </c>
      <c r="E32" s="22"/>
      <c r="F32" s="21">
        <v>790848</v>
      </c>
      <c r="G32" s="21">
        <v>0</v>
      </c>
      <c r="H32" s="52">
        <v>759405</v>
      </c>
      <c r="I32" s="21">
        <v>46632</v>
      </c>
      <c r="J32" s="21">
        <f>I3*C32/100</f>
        <v>80792.442899999995</v>
      </c>
      <c r="K32" s="21">
        <v>0</v>
      </c>
      <c r="L32" s="21">
        <v>0</v>
      </c>
      <c r="M32" s="21">
        <f>N3*C32/100</f>
        <v>46800</v>
      </c>
      <c r="N32" s="21">
        <v>-0.18</v>
      </c>
      <c r="O32" s="53">
        <f t="shared" si="0"/>
        <v>933629.26289999997</v>
      </c>
      <c r="P32" s="65" t="s">
        <v>20</v>
      </c>
    </row>
    <row r="33" spans="1:17" ht="15" thickBot="1" x14ac:dyDescent="0.35">
      <c r="A33" s="20">
        <v>27</v>
      </c>
      <c r="B33" s="24" t="s">
        <v>152</v>
      </c>
      <c r="C33" s="86">
        <v>1.35</v>
      </c>
      <c r="D33" s="22">
        <v>8.9999999999999998E-4</v>
      </c>
      <c r="E33" s="22"/>
      <c r="F33" s="25">
        <v>126775</v>
      </c>
      <c r="G33" s="25">
        <v>-126775</v>
      </c>
      <c r="H33" s="52">
        <f t="shared" si="1"/>
        <v>0</v>
      </c>
      <c r="I33" s="21">
        <v>0</v>
      </c>
      <c r="J33" s="21">
        <f>I3*C33/100</f>
        <v>93222.049500000008</v>
      </c>
      <c r="K33" s="21">
        <v>0</v>
      </c>
      <c r="L33" s="21">
        <v>0</v>
      </c>
      <c r="M33" s="21">
        <f>N3*C33/100</f>
        <v>54000</v>
      </c>
      <c r="N33" s="21">
        <v>0.22</v>
      </c>
      <c r="O33" s="53">
        <f t="shared" si="0"/>
        <v>147222.26950000002</v>
      </c>
      <c r="P33" s="65" t="s">
        <v>20</v>
      </c>
    </row>
    <row r="34" spans="1:17" ht="15" thickBot="1" x14ac:dyDescent="0.35">
      <c r="A34" s="20">
        <v>28</v>
      </c>
      <c r="B34" s="24" t="s">
        <v>153</v>
      </c>
      <c r="C34" s="86">
        <v>1.1200000000000001</v>
      </c>
      <c r="D34" s="22">
        <v>8.9999999999999998E-4</v>
      </c>
      <c r="E34" s="22"/>
      <c r="F34" s="25">
        <v>351169</v>
      </c>
      <c r="G34" s="25">
        <v>0</v>
      </c>
      <c r="H34" s="52">
        <v>344044</v>
      </c>
      <c r="I34" s="21">
        <v>14006</v>
      </c>
      <c r="J34" s="21">
        <f>I3*C34/100</f>
        <v>77339.774400000009</v>
      </c>
      <c r="K34" s="21">
        <v>0</v>
      </c>
      <c r="L34" s="21">
        <v>0</v>
      </c>
      <c r="M34" s="21">
        <f>N3*C34/100</f>
        <v>44800</v>
      </c>
      <c r="N34" s="21">
        <v>-0.49</v>
      </c>
      <c r="O34" s="53">
        <f t="shared" si="0"/>
        <v>480189.2844</v>
      </c>
      <c r="P34" s="65" t="s">
        <v>20</v>
      </c>
      <c r="Q34" t="s">
        <v>20</v>
      </c>
    </row>
    <row r="35" spans="1:17" ht="15" thickBot="1" x14ac:dyDescent="0.35">
      <c r="A35" s="66">
        <v>29</v>
      </c>
      <c r="B35" s="67" t="s">
        <v>154</v>
      </c>
      <c r="C35" s="86">
        <v>0.82</v>
      </c>
      <c r="D35" s="68">
        <v>4.8999999999999998E-3</v>
      </c>
      <c r="E35" s="68"/>
      <c r="F35" s="69">
        <v>165129</v>
      </c>
      <c r="G35" s="69">
        <v>0</v>
      </c>
      <c r="H35" s="52">
        <v>163401</v>
      </c>
      <c r="I35" s="70">
        <v>4996</v>
      </c>
      <c r="J35" s="21">
        <f>I3*C35/100</f>
        <v>56623.763399999996</v>
      </c>
      <c r="K35" s="21">
        <v>0</v>
      </c>
      <c r="L35" s="21">
        <v>0</v>
      </c>
      <c r="M35" s="21">
        <f>N3*C35/100</f>
        <v>32800</v>
      </c>
      <c r="N35" s="21">
        <v>-0.47</v>
      </c>
      <c r="O35" s="53">
        <f t="shared" si="0"/>
        <v>257820.2934</v>
      </c>
      <c r="P35" s="65" t="s">
        <v>20</v>
      </c>
    </row>
    <row r="36" spans="1:17" ht="15" thickBot="1" x14ac:dyDescent="0.35">
      <c r="A36" s="71">
        <v>30</v>
      </c>
      <c r="B36" s="24" t="s">
        <v>155</v>
      </c>
      <c r="C36" s="86">
        <v>0.82</v>
      </c>
      <c r="D36" s="22"/>
      <c r="E36" s="22"/>
      <c r="F36" s="25">
        <v>77004</v>
      </c>
      <c r="G36" s="25">
        <v>-90000</v>
      </c>
      <c r="H36" s="52">
        <f t="shared" si="1"/>
        <v>-12996</v>
      </c>
      <c r="I36" s="21">
        <v>0</v>
      </c>
      <c r="J36" s="21">
        <f>I3*C36/100</f>
        <v>56623.763399999996</v>
      </c>
      <c r="K36" s="21">
        <v>0</v>
      </c>
      <c r="L36" s="21">
        <v>0</v>
      </c>
      <c r="M36" s="21">
        <f>N3*C36/100</f>
        <v>32800</v>
      </c>
      <c r="N36" s="21">
        <v>-0.46</v>
      </c>
      <c r="O36" s="53">
        <f t="shared" si="0"/>
        <v>76427.30339999999</v>
      </c>
      <c r="P36" s="65" t="s">
        <v>20</v>
      </c>
    </row>
    <row r="37" spans="1:17" ht="15" thickBot="1" x14ac:dyDescent="0.35">
      <c r="A37" s="71">
        <v>31</v>
      </c>
      <c r="B37" s="24" t="s">
        <v>156</v>
      </c>
      <c r="C37" s="86">
        <v>1.34</v>
      </c>
      <c r="D37" s="22"/>
      <c r="E37" s="22"/>
      <c r="F37" s="25">
        <v>125836</v>
      </c>
      <c r="G37" s="25">
        <v>-125836</v>
      </c>
      <c r="H37" s="52">
        <f t="shared" si="1"/>
        <v>0</v>
      </c>
      <c r="I37" s="21">
        <v>0</v>
      </c>
      <c r="J37" s="21">
        <f>I3*C37/100</f>
        <v>92531.515799999994</v>
      </c>
      <c r="K37" s="21">
        <v>0</v>
      </c>
      <c r="L37" s="21">
        <v>0</v>
      </c>
      <c r="M37" s="21">
        <f>N3*C37/100</f>
        <v>53600</v>
      </c>
      <c r="N37" s="21">
        <v>-0.21</v>
      </c>
      <c r="O37" s="53">
        <f t="shared" si="0"/>
        <v>146131.3058</v>
      </c>
      <c r="P37" s="65" t="s">
        <v>20</v>
      </c>
    </row>
    <row r="38" spans="1:17" ht="15" thickBot="1" x14ac:dyDescent="0.35">
      <c r="A38" s="71">
        <v>32</v>
      </c>
      <c r="B38" s="24" t="s">
        <v>157</v>
      </c>
      <c r="C38" s="86">
        <v>1.1200000000000001</v>
      </c>
      <c r="D38" s="22"/>
      <c r="E38" s="22"/>
      <c r="F38" s="25">
        <v>106102</v>
      </c>
      <c r="G38" s="25">
        <v>-106102</v>
      </c>
      <c r="H38" s="52">
        <f t="shared" si="1"/>
        <v>0</v>
      </c>
      <c r="I38" s="21">
        <v>18</v>
      </c>
      <c r="J38" s="21">
        <f>I3*C38/100</f>
        <v>77339.774400000009</v>
      </c>
      <c r="K38" s="21">
        <v>0</v>
      </c>
      <c r="L38" s="21">
        <v>0</v>
      </c>
      <c r="M38" s="21">
        <f>N3*C38/100</f>
        <v>44800</v>
      </c>
      <c r="N38" s="21">
        <v>-0.45</v>
      </c>
      <c r="O38" s="53">
        <f t="shared" si="0"/>
        <v>122157.32440000001</v>
      </c>
      <c r="P38" s="65" t="s">
        <v>20</v>
      </c>
    </row>
    <row r="39" spans="1:17" ht="15" thickBot="1" x14ac:dyDescent="0.35">
      <c r="A39" s="71">
        <v>33</v>
      </c>
      <c r="B39" s="24" t="s">
        <v>158</v>
      </c>
      <c r="C39" s="86">
        <v>1.17</v>
      </c>
      <c r="D39" s="22"/>
      <c r="E39" s="22"/>
      <c r="F39" s="25">
        <v>109871</v>
      </c>
      <c r="G39" s="25">
        <v>-109871</v>
      </c>
      <c r="H39" s="52">
        <f t="shared" si="1"/>
        <v>0</v>
      </c>
      <c r="I39" s="21">
        <v>0</v>
      </c>
      <c r="J39" s="21">
        <f>I3*C39/100</f>
        <v>80792.442899999995</v>
      </c>
      <c r="K39" s="21">
        <v>0</v>
      </c>
      <c r="L39" s="21">
        <v>0</v>
      </c>
      <c r="M39" s="21">
        <f>N3*C39/100</f>
        <v>46800</v>
      </c>
      <c r="N39" s="21">
        <v>-0.11</v>
      </c>
      <c r="O39" s="53">
        <f t="shared" si="0"/>
        <v>127592.33289999999</v>
      </c>
      <c r="P39" s="65" t="s">
        <v>20</v>
      </c>
    </row>
    <row r="40" spans="1:17" ht="15" thickBot="1" x14ac:dyDescent="0.35">
      <c r="A40" s="71">
        <v>34</v>
      </c>
      <c r="B40" s="24" t="s">
        <v>159</v>
      </c>
      <c r="C40" s="86">
        <v>1.35</v>
      </c>
      <c r="D40" s="22"/>
      <c r="E40" s="22"/>
      <c r="F40" s="25">
        <v>126775</v>
      </c>
      <c r="G40" s="25">
        <v>-126775</v>
      </c>
      <c r="H40" s="52">
        <f t="shared" si="1"/>
        <v>0</v>
      </c>
      <c r="I40" s="21">
        <v>0</v>
      </c>
      <c r="J40" s="21">
        <f>I3*C40/100</f>
        <v>93222.049500000008</v>
      </c>
      <c r="K40" s="21">
        <v>0</v>
      </c>
      <c r="L40" s="21">
        <v>0</v>
      </c>
      <c r="M40" s="21">
        <f>N3*C40/100</f>
        <v>54000</v>
      </c>
      <c r="N40" s="21">
        <v>0.28999999999999998</v>
      </c>
      <c r="O40" s="53">
        <f t="shared" si="0"/>
        <v>147222.33950000003</v>
      </c>
      <c r="P40" s="65" t="s">
        <v>20</v>
      </c>
    </row>
    <row r="41" spans="1:17" ht="15" thickBot="1" x14ac:dyDescent="0.35">
      <c r="A41" s="71">
        <v>35</v>
      </c>
      <c r="B41" s="24" t="s">
        <v>160</v>
      </c>
      <c r="C41" s="86">
        <v>1.1200000000000001</v>
      </c>
      <c r="D41" s="22"/>
      <c r="E41" s="22"/>
      <c r="F41" s="25">
        <v>105132</v>
      </c>
      <c r="G41" s="25">
        <v>-106000</v>
      </c>
      <c r="H41" s="52">
        <f t="shared" si="1"/>
        <v>-868</v>
      </c>
      <c r="I41" s="21">
        <v>0</v>
      </c>
      <c r="J41" s="21">
        <f>I3*C41/100</f>
        <v>77339.774400000009</v>
      </c>
      <c r="K41" s="21">
        <v>0</v>
      </c>
      <c r="L41" s="21">
        <v>0</v>
      </c>
      <c r="M41" s="21">
        <f>N3*C41/100</f>
        <v>44800</v>
      </c>
      <c r="N41" s="21">
        <v>-0.42</v>
      </c>
      <c r="O41" s="53">
        <f t="shared" si="0"/>
        <v>121271.35440000001</v>
      </c>
      <c r="P41" s="65" t="s">
        <v>20</v>
      </c>
      <c r="Q41" t="s">
        <v>20</v>
      </c>
    </row>
    <row r="42" spans="1:17" ht="15" thickBot="1" x14ac:dyDescent="0.35">
      <c r="A42" s="71">
        <v>36</v>
      </c>
      <c r="B42" s="24" t="s">
        <v>161</v>
      </c>
      <c r="C42" s="86">
        <v>0.82</v>
      </c>
      <c r="D42" s="22"/>
      <c r="E42" s="22"/>
      <c r="F42" s="25">
        <v>167705</v>
      </c>
      <c r="G42" s="25">
        <v>0</v>
      </c>
      <c r="H42" s="52">
        <v>165927</v>
      </c>
      <c r="I42" s="21">
        <v>5097</v>
      </c>
      <c r="J42" s="21">
        <f>I3*C42/100</f>
        <v>56623.763399999996</v>
      </c>
      <c r="K42" s="21">
        <v>0</v>
      </c>
      <c r="L42" s="21">
        <v>0</v>
      </c>
      <c r="M42" s="21">
        <f>N3*C42/100</f>
        <v>32800</v>
      </c>
      <c r="N42" s="21">
        <v>-0.4</v>
      </c>
      <c r="O42" s="53">
        <f t="shared" si="0"/>
        <v>260447.3634</v>
      </c>
      <c r="P42" s="65" t="s">
        <v>20</v>
      </c>
    </row>
    <row r="43" spans="1:17" ht="15" thickBot="1" x14ac:dyDescent="0.35">
      <c r="A43" s="71">
        <v>37</v>
      </c>
      <c r="B43" s="24" t="s">
        <v>162</v>
      </c>
      <c r="C43" s="86">
        <v>0.82</v>
      </c>
      <c r="D43" s="22"/>
      <c r="E43" s="22"/>
      <c r="F43" s="25">
        <v>76927</v>
      </c>
      <c r="G43" s="25">
        <v>-77000</v>
      </c>
      <c r="H43" s="52">
        <f t="shared" si="1"/>
        <v>-73</v>
      </c>
      <c r="I43" s="21">
        <v>0</v>
      </c>
      <c r="J43" s="21">
        <f>I3*C43/100</f>
        <v>56623.763399999996</v>
      </c>
      <c r="K43" s="21">
        <v>0</v>
      </c>
      <c r="L43" s="21">
        <v>0</v>
      </c>
      <c r="M43" s="21">
        <f>N3*C43/100</f>
        <v>32800</v>
      </c>
      <c r="N43" s="21">
        <v>-0.39</v>
      </c>
      <c r="O43" s="53">
        <f t="shared" si="0"/>
        <v>89350.373399999997</v>
      </c>
      <c r="P43" s="65" t="s">
        <v>20</v>
      </c>
    </row>
    <row r="44" spans="1:17" ht="15" thickBot="1" x14ac:dyDescent="0.35">
      <c r="A44" s="71">
        <v>38</v>
      </c>
      <c r="B44" s="24" t="s">
        <v>163</v>
      </c>
      <c r="C44" s="86">
        <v>1.34</v>
      </c>
      <c r="D44" s="22"/>
      <c r="E44" s="22"/>
      <c r="F44" s="25">
        <v>125836</v>
      </c>
      <c r="G44" s="25">
        <v>-125836</v>
      </c>
      <c r="H44" s="52">
        <f t="shared" si="1"/>
        <v>0</v>
      </c>
      <c r="I44" s="21">
        <v>0</v>
      </c>
      <c r="J44" s="21">
        <f>I3*C44/100</f>
        <v>92531.515799999994</v>
      </c>
      <c r="K44" s="21">
        <v>0</v>
      </c>
      <c r="L44" s="21">
        <v>0</v>
      </c>
      <c r="M44" s="21">
        <f>N3*C44/100</f>
        <v>53600</v>
      </c>
      <c r="N44" s="21">
        <v>-0.14000000000000001</v>
      </c>
      <c r="O44" s="53">
        <f t="shared" si="0"/>
        <v>146131.37579999998</v>
      </c>
      <c r="P44" s="65" t="s">
        <v>20</v>
      </c>
    </row>
    <row r="45" spans="1:17" ht="15" thickBot="1" x14ac:dyDescent="0.35">
      <c r="A45" s="71">
        <v>39</v>
      </c>
      <c r="B45" s="24" t="s">
        <v>164</v>
      </c>
      <c r="C45" s="86">
        <v>1.1200000000000001</v>
      </c>
      <c r="D45" s="22"/>
      <c r="E45" s="22"/>
      <c r="F45" s="25">
        <v>105176</v>
      </c>
      <c r="G45" s="25">
        <v>-105176</v>
      </c>
      <c r="H45" s="52">
        <f t="shared" si="1"/>
        <v>0</v>
      </c>
      <c r="I45" s="21">
        <v>0</v>
      </c>
      <c r="J45" s="21">
        <f>I3*C45/100</f>
        <v>77339.774400000009</v>
      </c>
      <c r="K45" s="21">
        <v>0</v>
      </c>
      <c r="L45" s="21">
        <v>0</v>
      </c>
      <c r="M45" s="21">
        <f>N3*C45/100</f>
        <v>44800</v>
      </c>
      <c r="N45" s="21">
        <v>-0.38</v>
      </c>
      <c r="O45" s="53">
        <f t="shared" si="0"/>
        <v>122139.3944</v>
      </c>
      <c r="P45" s="65" t="s">
        <v>20</v>
      </c>
    </row>
    <row r="46" spans="1:17" ht="15" thickBot="1" x14ac:dyDescent="0.35">
      <c r="A46" s="71">
        <v>40</v>
      </c>
      <c r="B46" s="24" t="s">
        <v>165</v>
      </c>
      <c r="C46" s="86">
        <v>1.17</v>
      </c>
      <c r="D46" s="22"/>
      <c r="E46" s="22"/>
      <c r="F46" s="25">
        <v>109871</v>
      </c>
      <c r="G46" s="25">
        <v>-109871</v>
      </c>
      <c r="H46" s="52">
        <f t="shared" si="1"/>
        <v>0</v>
      </c>
      <c r="I46" s="21">
        <v>0</v>
      </c>
      <c r="J46" s="21">
        <f>I3*C46/100</f>
        <v>80792.442899999995</v>
      </c>
      <c r="K46" s="21">
        <v>0</v>
      </c>
      <c r="L46" s="21">
        <v>0</v>
      </c>
      <c r="M46" s="21">
        <f>N3*C46/100</f>
        <v>46800</v>
      </c>
      <c r="N46" s="21">
        <v>-0.04</v>
      </c>
      <c r="O46" s="53">
        <f t="shared" si="0"/>
        <v>127592.4029</v>
      </c>
      <c r="P46" s="65" t="s">
        <v>20</v>
      </c>
    </row>
    <row r="47" spans="1:17" ht="15" thickBot="1" x14ac:dyDescent="0.35">
      <c r="A47" s="71">
        <v>41</v>
      </c>
      <c r="B47" s="24" t="s">
        <v>166</v>
      </c>
      <c r="C47" s="86">
        <v>1.35</v>
      </c>
      <c r="D47" s="22"/>
      <c r="E47" s="22"/>
      <c r="F47" s="25">
        <v>126776</v>
      </c>
      <c r="G47" s="25">
        <v>-126774</v>
      </c>
      <c r="H47" s="52">
        <f t="shared" si="1"/>
        <v>2</v>
      </c>
      <c r="I47" s="21">
        <v>0</v>
      </c>
      <c r="J47" s="21">
        <f>I3*C47/100</f>
        <v>93222.049500000008</v>
      </c>
      <c r="K47" s="21">
        <v>0</v>
      </c>
      <c r="L47" s="21">
        <v>0</v>
      </c>
      <c r="M47" s="21">
        <f>N3*C47/100</f>
        <v>54000</v>
      </c>
      <c r="N47" s="21">
        <v>0.36</v>
      </c>
      <c r="O47" s="53">
        <f t="shared" si="0"/>
        <v>147224.40950000001</v>
      </c>
      <c r="P47" s="65" t="s">
        <v>20</v>
      </c>
    </row>
    <row r="48" spans="1:17" ht="15" thickBot="1" x14ac:dyDescent="0.35">
      <c r="A48" s="71">
        <v>42</v>
      </c>
      <c r="B48" s="24" t="s">
        <v>167</v>
      </c>
      <c r="C48" s="86">
        <v>1.1200000000000001</v>
      </c>
      <c r="D48" s="22"/>
      <c r="E48" s="22"/>
      <c r="F48" s="25">
        <v>393823</v>
      </c>
      <c r="G48" s="25">
        <v>-200000</v>
      </c>
      <c r="H48" s="52">
        <v>193823</v>
      </c>
      <c r="I48" s="21">
        <v>3876</v>
      </c>
      <c r="J48" s="21">
        <f>I3*C48/100</f>
        <v>77339.774400000009</v>
      </c>
      <c r="K48" s="21">
        <v>0</v>
      </c>
      <c r="L48" s="21">
        <v>0</v>
      </c>
      <c r="M48" s="21">
        <f>N3*C48/100</f>
        <v>44800</v>
      </c>
      <c r="N48" s="21">
        <v>-0.35</v>
      </c>
      <c r="O48" s="53">
        <f t="shared" si="0"/>
        <v>319838.42440000002</v>
      </c>
      <c r="P48" s="65" t="s">
        <v>20</v>
      </c>
      <c r="Q48" t="s">
        <v>20</v>
      </c>
    </row>
    <row r="49" spans="1:17" ht="15" thickBot="1" x14ac:dyDescent="0.35">
      <c r="A49" s="71">
        <v>43</v>
      </c>
      <c r="B49" s="24" t="s">
        <v>249</v>
      </c>
      <c r="C49" s="86">
        <v>0.82</v>
      </c>
      <c r="D49" s="22"/>
      <c r="E49" s="22"/>
      <c r="F49" s="25">
        <v>167667</v>
      </c>
      <c r="G49" s="25">
        <v>0</v>
      </c>
      <c r="H49" s="52">
        <v>165889</v>
      </c>
      <c r="I49" s="21">
        <v>5096</v>
      </c>
      <c r="J49" s="21">
        <f>I3*C49/100</f>
        <v>56623.763399999996</v>
      </c>
      <c r="K49" s="21">
        <v>0</v>
      </c>
      <c r="L49" s="21">
        <v>0</v>
      </c>
      <c r="M49" s="21">
        <f>N3*C49/100</f>
        <v>32800</v>
      </c>
      <c r="N49" s="21">
        <v>-0.33</v>
      </c>
      <c r="O49" s="53">
        <f t="shared" si="0"/>
        <v>260408.43340000001</v>
      </c>
      <c r="P49" s="65" t="s">
        <v>20</v>
      </c>
    </row>
    <row r="50" spans="1:17" ht="15" thickBot="1" x14ac:dyDescent="0.35">
      <c r="A50" s="71">
        <v>44</v>
      </c>
      <c r="B50" s="24" t="s">
        <v>168</v>
      </c>
      <c r="C50" s="86">
        <v>0.82</v>
      </c>
      <c r="D50" s="22"/>
      <c r="E50" s="22"/>
      <c r="F50" s="25">
        <v>257106</v>
      </c>
      <c r="G50" s="25">
        <v>-77004</v>
      </c>
      <c r="H50" s="52">
        <v>180102</v>
      </c>
      <c r="I50" s="21">
        <v>3602</v>
      </c>
      <c r="J50" s="21">
        <f>I3*C50/100</f>
        <v>56623.763399999996</v>
      </c>
      <c r="K50" s="21">
        <v>0</v>
      </c>
      <c r="L50" s="21">
        <v>0</v>
      </c>
      <c r="M50" s="21">
        <f>N3*C50/100</f>
        <v>32800</v>
      </c>
      <c r="N50" s="21">
        <v>-0.32</v>
      </c>
      <c r="O50" s="53">
        <f t="shared" si="0"/>
        <v>273127.44339999999</v>
      </c>
      <c r="P50" s="65" t="s">
        <v>20</v>
      </c>
    </row>
    <row r="51" spans="1:17" ht="15" thickBot="1" x14ac:dyDescent="0.35">
      <c r="A51" s="71">
        <v>45</v>
      </c>
      <c r="B51" s="24" t="s">
        <v>169</v>
      </c>
      <c r="C51" s="86">
        <v>1.34</v>
      </c>
      <c r="D51" s="22"/>
      <c r="E51" s="22"/>
      <c r="F51" s="25">
        <v>125836</v>
      </c>
      <c r="G51" s="25">
        <v>-125836</v>
      </c>
      <c r="H51" s="52">
        <f t="shared" si="1"/>
        <v>0</v>
      </c>
      <c r="I51" s="21">
        <v>0</v>
      </c>
      <c r="J51" s="21">
        <f>I3*C51/100</f>
        <v>92531.515799999994</v>
      </c>
      <c r="K51" s="21">
        <v>0</v>
      </c>
      <c r="L51" s="21">
        <v>0</v>
      </c>
      <c r="M51" s="21">
        <f>N3*C51/100</f>
        <v>53600</v>
      </c>
      <c r="N51" s="21">
        <v>-7.0000000000000007E-2</v>
      </c>
      <c r="O51" s="53">
        <f t="shared" si="0"/>
        <v>146131.44579999999</v>
      </c>
      <c r="P51" s="65" t="s">
        <v>20</v>
      </c>
    </row>
    <row r="52" spans="1:17" ht="15" thickBot="1" x14ac:dyDescent="0.35">
      <c r="A52" s="71">
        <v>46</v>
      </c>
      <c r="B52" s="24" t="s">
        <v>170</v>
      </c>
      <c r="C52" s="86">
        <v>1.1200000000000001</v>
      </c>
      <c r="D52" s="22"/>
      <c r="E52" s="22"/>
      <c r="F52" s="25">
        <v>104632</v>
      </c>
      <c r="G52" s="25">
        <v>-105176</v>
      </c>
      <c r="H52" s="52">
        <f t="shared" si="1"/>
        <v>-544</v>
      </c>
      <c r="I52" s="21">
        <v>0</v>
      </c>
      <c r="J52" s="21">
        <f>I3*C52/100</f>
        <v>77339.774400000009</v>
      </c>
      <c r="K52" s="21">
        <v>0</v>
      </c>
      <c r="L52" s="21">
        <v>0</v>
      </c>
      <c r="M52" s="21">
        <f>N3*C52/100</f>
        <v>44800</v>
      </c>
      <c r="N52" s="21">
        <v>-0.31</v>
      </c>
      <c r="O52" s="53">
        <f t="shared" si="0"/>
        <v>121595.46440000001</v>
      </c>
      <c r="P52" s="65" t="s">
        <v>20</v>
      </c>
    </row>
    <row r="53" spans="1:17" ht="15" thickBot="1" x14ac:dyDescent="0.35">
      <c r="A53" s="71">
        <v>47</v>
      </c>
      <c r="B53" s="24" t="s">
        <v>171</v>
      </c>
      <c r="C53" s="86">
        <v>1.17</v>
      </c>
      <c r="D53" s="22"/>
      <c r="E53" s="22"/>
      <c r="F53" s="25">
        <v>1068200</v>
      </c>
      <c r="G53" s="25">
        <v>0</v>
      </c>
      <c r="H53" s="52">
        <v>1003582</v>
      </c>
      <c r="I53" s="21">
        <v>84691</v>
      </c>
      <c r="J53" s="21">
        <f>I3*C53/100</f>
        <v>80792.442899999995</v>
      </c>
      <c r="K53" s="21">
        <v>0</v>
      </c>
      <c r="L53" s="21">
        <v>0</v>
      </c>
      <c r="M53" s="21">
        <f>N3*C53/100</f>
        <v>46800</v>
      </c>
      <c r="N53" s="21">
        <v>0.03</v>
      </c>
      <c r="O53" s="53">
        <f t="shared" si="0"/>
        <v>1215865.4728999999</v>
      </c>
      <c r="P53" s="65" t="s">
        <v>20</v>
      </c>
    </row>
    <row r="54" spans="1:17" ht="15" thickBot="1" x14ac:dyDescent="0.35">
      <c r="A54" s="71">
        <v>48</v>
      </c>
      <c r="B54" s="24" t="s">
        <v>172</v>
      </c>
      <c r="C54" s="86">
        <v>1.35</v>
      </c>
      <c r="D54" s="22"/>
      <c r="E54" s="22"/>
      <c r="F54" s="25">
        <v>126644</v>
      </c>
      <c r="G54" s="25">
        <v>0</v>
      </c>
      <c r="H54" s="52">
        <f t="shared" si="1"/>
        <v>126644</v>
      </c>
      <c r="I54" s="21">
        <v>2533</v>
      </c>
      <c r="J54" s="21">
        <f>I3*C54/100</f>
        <v>93222.049500000008</v>
      </c>
      <c r="K54" s="21">
        <v>0</v>
      </c>
      <c r="L54" s="21">
        <v>0</v>
      </c>
      <c r="M54" s="21">
        <f>N3*C54/100</f>
        <v>54000</v>
      </c>
      <c r="N54" s="21">
        <v>0.43</v>
      </c>
      <c r="O54" s="53">
        <f t="shared" si="0"/>
        <v>276399.47950000002</v>
      </c>
      <c r="P54" s="65" t="s">
        <v>20</v>
      </c>
    </row>
    <row r="55" spans="1:17" ht="15" thickBot="1" x14ac:dyDescent="0.35">
      <c r="A55" s="71">
        <v>49</v>
      </c>
      <c r="B55" s="24" t="s">
        <v>173</v>
      </c>
      <c r="C55" s="86">
        <v>1.1200000000000001</v>
      </c>
      <c r="D55" s="22"/>
      <c r="E55" s="22"/>
      <c r="F55" s="25">
        <v>105176</v>
      </c>
      <c r="G55" s="25">
        <v>-105176</v>
      </c>
      <c r="H55" s="52">
        <f t="shared" si="1"/>
        <v>0</v>
      </c>
      <c r="I55" s="21">
        <v>0</v>
      </c>
      <c r="J55" s="21">
        <f>I3*C55/100</f>
        <v>77339.774400000009</v>
      </c>
      <c r="K55" s="21">
        <v>0</v>
      </c>
      <c r="L55" s="21">
        <v>0</v>
      </c>
      <c r="M55" s="21">
        <f>N3*C55/100</f>
        <v>44800</v>
      </c>
      <c r="N55" s="21">
        <v>-0.28000000000000003</v>
      </c>
      <c r="O55" s="53">
        <f t="shared" si="0"/>
        <v>122139.49440000001</v>
      </c>
      <c r="P55" s="65" t="s">
        <v>20</v>
      </c>
    </row>
    <row r="56" spans="1:17" ht="15" thickBot="1" x14ac:dyDescent="0.35">
      <c r="A56" s="71">
        <v>50</v>
      </c>
      <c r="B56" s="24" t="s">
        <v>174</v>
      </c>
      <c r="C56" s="86">
        <v>0.82</v>
      </c>
      <c r="D56" s="22"/>
      <c r="E56" s="22"/>
      <c r="F56" s="25">
        <v>77004</v>
      </c>
      <c r="G56" s="25">
        <v>-77004</v>
      </c>
      <c r="H56" s="52">
        <f t="shared" si="1"/>
        <v>0</v>
      </c>
      <c r="I56" s="21">
        <v>0</v>
      </c>
      <c r="J56" s="21">
        <f>I3*C56/100</f>
        <v>56623.763399999996</v>
      </c>
      <c r="K56" s="21">
        <v>0</v>
      </c>
      <c r="L56" s="21">
        <v>0</v>
      </c>
      <c r="M56" s="21">
        <f>N3*C56/100</f>
        <v>32800</v>
      </c>
      <c r="N56" s="21">
        <v>-0.26</v>
      </c>
      <c r="O56" s="53">
        <f t="shared" si="0"/>
        <v>89423.503400000001</v>
      </c>
      <c r="P56" s="65" t="s">
        <v>20</v>
      </c>
    </row>
    <row r="57" spans="1:17" ht="15" thickBot="1" x14ac:dyDescent="0.35">
      <c r="A57" s="71">
        <v>51</v>
      </c>
      <c r="B57" s="24" t="s">
        <v>175</v>
      </c>
      <c r="C57" s="86">
        <v>0.82</v>
      </c>
      <c r="D57" s="22"/>
      <c r="E57" s="22"/>
      <c r="F57" s="25">
        <v>165927</v>
      </c>
      <c r="G57" s="25">
        <v>-165927</v>
      </c>
      <c r="H57" s="52">
        <f t="shared" si="1"/>
        <v>0</v>
      </c>
      <c r="I57" s="21">
        <v>1778</v>
      </c>
      <c r="J57" s="21">
        <f>I3*C57/100</f>
        <v>56623.763399999996</v>
      </c>
      <c r="K57" s="21">
        <v>0</v>
      </c>
      <c r="L57" s="21">
        <v>0</v>
      </c>
      <c r="M57" s="21">
        <f>N3*C57/100</f>
        <v>32800</v>
      </c>
      <c r="N57" s="21">
        <v>-0.25</v>
      </c>
      <c r="O57" s="53">
        <f t="shared" si="0"/>
        <v>91201.513399999996</v>
      </c>
      <c r="P57" s="65" t="s">
        <v>20</v>
      </c>
    </row>
    <row r="58" spans="1:17" ht="15" thickBot="1" x14ac:dyDescent="0.35">
      <c r="A58" s="71">
        <v>52</v>
      </c>
      <c r="B58" s="24" t="s">
        <v>176</v>
      </c>
      <c r="C58" s="86">
        <v>1.34</v>
      </c>
      <c r="D58" s="22"/>
      <c r="E58" s="22"/>
      <c r="F58" s="25">
        <v>125836</v>
      </c>
      <c r="G58" s="25">
        <v>-125836</v>
      </c>
      <c r="H58" s="52">
        <f t="shared" si="1"/>
        <v>0</v>
      </c>
      <c r="I58" s="21">
        <v>0</v>
      </c>
      <c r="J58" s="21">
        <f>I3*C58/100</f>
        <v>92531.515799999994</v>
      </c>
      <c r="K58" s="21">
        <v>0</v>
      </c>
      <c r="L58" s="21">
        <v>0</v>
      </c>
      <c r="M58" s="21">
        <f>N3*C58/100</f>
        <v>53600</v>
      </c>
      <c r="N58" s="21">
        <v>0</v>
      </c>
      <c r="O58" s="53">
        <f t="shared" si="0"/>
        <v>146131.51579999999</v>
      </c>
      <c r="P58" s="65" t="s">
        <v>20</v>
      </c>
    </row>
    <row r="59" spans="1:17" ht="15" thickBot="1" x14ac:dyDescent="0.35">
      <c r="A59" s="71">
        <v>53</v>
      </c>
      <c r="B59" s="24" t="s">
        <v>177</v>
      </c>
      <c r="C59" s="86">
        <v>1.1200000000000001</v>
      </c>
      <c r="D59" s="22"/>
      <c r="E59" s="22"/>
      <c r="F59" s="25">
        <v>59040</v>
      </c>
      <c r="G59" s="25">
        <v>0</v>
      </c>
      <c r="H59" s="52">
        <f t="shared" si="1"/>
        <v>59040</v>
      </c>
      <c r="I59" s="21">
        <v>1181</v>
      </c>
      <c r="J59" s="21">
        <f>I3*C59/100</f>
        <v>77339.774400000009</v>
      </c>
      <c r="K59" s="21">
        <v>0</v>
      </c>
      <c r="L59" s="21">
        <v>0</v>
      </c>
      <c r="M59" s="21">
        <f>N3*C59/100</f>
        <v>44800</v>
      </c>
      <c r="N59" s="21">
        <v>-0.24</v>
      </c>
      <c r="O59" s="53">
        <f t="shared" si="0"/>
        <v>182360.5344</v>
      </c>
      <c r="P59" s="65" t="s">
        <v>20</v>
      </c>
      <c r="Q59" t="s">
        <v>20</v>
      </c>
    </row>
    <row r="60" spans="1:17" ht="15" thickBot="1" x14ac:dyDescent="0.35">
      <c r="A60" s="71">
        <v>54</v>
      </c>
      <c r="B60" s="24" t="s">
        <v>178</v>
      </c>
      <c r="C60" s="86">
        <v>1.17</v>
      </c>
      <c r="D60" s="22"/>
      <c r="E60" s="22"/>
      <c r="F60" s="25">
        <v>109871</v>
      </c>
      <c r="G60" s="25">
        <v>-109871</v>
      </c>
      <c r="H60" s="52">
        <f t="shared" si="1"/>
        <v>0</v>
      </c>
      <c r="I60" s="21">
        <v>0</v>
      </c>
      <c r="J60" s="21">
        <f>I3*C60/100</f>
        <v>80792.442899999995</v>
      </c>
      <c r="K60" s="21">
        <v>0</v>
      </c>
      <c r="L60" s="21">
        <v>0</v>
      </c>
      <c r="M60" s="21">
        <f>N3*C60/100</f>
        <v>46800</v>
      </c>
      <c r="N60" s="21">
        <v>0.1</v>
      </c>
      <c r="O60" s="53">
        <f t="shared" si="0"/>
        <v>127592.5429</v>
      </c>
      <c r="P60" s="65" t="s">
        <v>20</v>
      </c>
    </row>
    <row r="61" spans="1:17" ht="15" thickBot="1" x14ac:dyDescent="0.35">
      <c r="A61" s="71">
        <v>55</v>
      </c>
      <c r="B61" s="24" t="s">
        <v>179</v>
      </c>
      <c r="C61" s="86">
        <v>1.35</v>
      </c>
      <c r="D61" s="22"/>
      <c r="E61" s="22"/>
      <c r="F61" s="25">
        <v>126775</v>
      </c>
      <c r="G61" s="25">
        <v>-126775</v>
      </c>
      <c r="H61" s="52">
        <f t="shared" si="1"/>
        <v>0</v>
      </c>
      <c r="I61" s="21">
        <v>0</v>
      </c>
      <c r="J61" s="21">
        <f>I3*C61/100</f>
        <v>93222.049500000008</v>
      </c>
      <c r="K61" s="21">
        <v>0</v>
      </c>
      <c r="L61" s="21">
        <v>0</v>
      </c>
      <c r="M61" s="21">
        <f>N3*C61/100</f>
        <v>54000</v>
      </c>
      <c r="N61" s="21">
        <v>0.5</v>
      </c>
      <c r="O61" s="53">
        <f t="shared" si="0"/>
        <v>147222.54950000002</v>
      </c>
      <c r="P61" s="65" t="s">
        <v>20</v>
      </c>
    </row>
    <row r="62" spans="1:17" ht="15" thickBot="1" x14ac:dyDescent="0.35">
      <c r="A62" s="71">
        <v>56</v>
      </c>
      <c r="B62" s="24" t="s">
        <v>180</v>
      </c>
      <c r="C62" s="86">
        <v>1.1200000000000001</v>
      </c>
      <c r="D62" s="22"/>
      <c r="E62" s="22"/>
      <c r="F62" s="25">
        <v>105176</v>
      </c>
      <c r="G62" s="25">
        <v>-105176</v>
      </c>
      <c r="H62" s="52">
        <f t="shared" si="1"/>
        <v>0</v>
      </c>
      <c r="I62" s="21">
        <v>0</v>
      </c>
      <c r="J62" s="21">
        <f>I3*C62/100</f>
        <v>77339.774400000009</v>
      </c>
      <c r="K62" s="21">
        <v>0</v>
      </c>
      <c r="L62" s="21">
        <v>0</v>
      </c>
      <c r="M62" s="21">
        <f>N3*C62/100</f>
        <v>44800</v>
      </c>
      <c r="N62" s="21">
        <v>-0.21</v>
      </c>
      <c r="O62" s="53">
        <f t="shared" si="0"/>
        <v>122139.5644</v>
      </c>
      <c r="P62" s="65" t="s">
        <v>20</v>
      </c>
    </row>
    <row r="63" spans="1:17" ht="15" thickBot="1" x14ac:dyDescent="0.35">
      <c r="A63" s="71">
        <v>57</v>
      </c>
      <c r="B63" s="24" t="s">
        <v>181</v>
      </c>
      <c r="C63" s="86">
        <v>0.82</v>
      </c>
      <c r="D63" s="22"/>
      <c r="E63" s="22"/>
      <c r="F63" s="25">
        <v>75889</v>
      </c>
      <c r="G63" s="25">
        <v>-76000</v>
      </c>
      <c r="H63" s="52">
        <f t="shared" si="1"/>
        <v>-111</v>
      </c>
      <c r="I63" s="21">
        <v>0</v>
      </c>
      <c r="J63" s="21">
        <f>I3*C63/100</f>
        <v>56623.763399999996</v>
      </c>
      <c r="K63" s="21">
        <v>0</v>
      </c>
      <c r="L63" s="21">
        <v>0</v>
      </c>
      <c r="M63" s="21">
        <f>N3*C63/100</f>
        <v>32800</v>
      </c>
      <c r="N63" s="21">
        <v>-0.19</v>
      </c>
      <c r="O63" s="53">
        <f t="shared" si="0"/>
        <v>89312.573399999994</v>
      </c>
      <c r="P63" s="65" t="s">
        <v>20</v>
      </c>
      <c r="Q63" t="s">
        <v>20</v>
      </c>
    </row>
    <row r="64" spans="1:17" ht="15" thickBot="1" x14ac:dyDescent="0.35">
      <c r="A64" s="71">
        <v>58</v>
      </c>
      <c r="B64" s="24" t="s">
        <v>182</v>
      </c>
      <c r="C64" s="86">
        <v>0.82</v>
      </c>
      <c r="D64" s="22"/>
      <c r="E64" s="22"/>
      <c r="F64" s="25">
        <v>77004</v>
      </c>
      <c r="G64" s="25">
        <v>0</v>
      </c>
      <c r="H64" s="52">
        <f t="shared" si="1"/>
        <v>77004</v>
      </c>
      <c r="I64" s="21">
        <v>1540</v>
      </c>
      <c r="J64" s="21">
        <f>I3*C64/100</f>
        <v>56623.763399999996</v>
      </c>
      <c r="K64" s="21">
        <v>0</v>
      </c>
      <c r="L64" s="21">
        <v>0</v>
      </c>
      <c r="M64" s="21">
        <f>N3*C64/100</f>
        <v>32800</v>
      </c>
      <c r="N64" s="21">
        <v>-0.18</v>
      </c>
      <c r="O64" s="53">
        <f t="shared" si="0"/>
        <v>167967.5834</v>
      </c>
      <c r="P64" s="65" t="s">
        <v>20</v>
      </c>
    </row>
    <row r="65" spans="1:17" ht="15" thickBot="1" x14ac:dyDescent="0.35">
      <c r="A65" s="71">
        <v>59</v>
      </c>
      <c r="B65" s="24" t="s">
        <v>183</v>
      </c>
      <c r="C65" s="86">
        <v>1.34</v>
      </c>
      <c r="D65" s="22"/>
      <c r="E65" s="22"/>
      <c r="F65" s="25">
        <v>125836</v>
      </c>
      <c r="G65" s="25">
        <v>-125836</v>
      </c>
      <c r="H65" s="52">
        <f t="shared" si="1"/>
        <v>0</v>
      </c>
      <c r="I65" s="21">
        <v>0</v>
      </c>
      <c r="J65" s="21">
        <f>I3*C65/100</f>
        <v>92531.515799999994</v>
      </c>
      <c r="K65" s="21">
        <v>0</v>
      </c>
      <c r="L65" s="21">
        <v>0</v>
      </c>
      <c r="M65" s="21">
        <f>N3*C65/100</f>
        <v>53600</v>
      </c>
      <c r="N65" s="21">
        <v>7.0000000000000007E-2</v>
      </c>
      <c r="O65" s="53">
        <f t="shared" si="0"/>
        <v>146131.5858</v>
      </c>
      <c r="P65" s="65" t="s">
        <v>20</v>
      </c>
      <c r="Q65" t="s">
        <v>20</v>
      </c>
    </row>
    <row r="66" spans="1:17" ht="15" thickBot="1" x14ac:dyDescent="0.35">
      <c r="A66" s="71">
        <v>60</v>
      </c>
      <c r="B66" s="24" t="s">
        <v>184</v>
      </c>
      <c r="C66" s="86">
        <v>1.1200000000000001</v>
      </c>
      <c r="D66" s="22"/>
      <c r="E66" s="22"/>
      <c r="F66" s="25">
        <v>226631</v>
      </c>
      <c r="G66" s="25">
        <v>-226631</v>
      </c>
      <c r="H66" s="52">
        <f t="shared" si="1"/>
        <v>0</v>
      </c>
      <c r="I66" s="21">
        <v>0</v>
      </c>
      <c r="J66" s="21">
        <f>I3*C66/100</f>
        <v>77339.774400000009</v>
      </c>
      <c r="K66" s="21">
        <v>0</v>
      </c>
      <c r="L66" s="21">
        <v>0</v>
      </c>
      <c r="M66" s="21">
        <f>N3*C66/100</f>
        <v>44800</v>
      </c>
      <c r="N66" s="21">
        <v>-0.17</v>
      </c>
      <c r="O66" s="53">
        <f t="shared" si="0"/>
        <v>122139.60440000001</v>
      </c>
      <c r="P66" s="65" t="s">
        <v>20</v>
      </c>
      <c r="Q66" s="35" t="s">
        <v>20</v>
      </c>
    </row>
    <row r="67" spans="1:17" ht="15" thickBot="1" x14ac:dyDescent="0.35">
      <c r="A67" s="71">
        <v>61</v>
      </c>
      <c r="B67" s="24" t="s">
        <v>185</v>
      </c>
      <c r="C67" s="86">
        <v>1.17</v>
      </c>
      <c r="D67" s="22"/>
      <c r="E67" s="22"/>
      <c r="F67" s="25">
        <v>109871</v>
      </c>
      <c r="G67" s="25">
        <v>-109871</v>
      </c>
      <c r="H67" s="52">
        <f t="shared" si="1"/>
        <v>0</v>
      </c>
      <c r="I67" s="21">
        <v>0</v>
      </c>
      <c r="J67" s="21">
        <f>I3*C67/100</f>
        <v>80792.442899999995</v>
      </c>
      <c r="K67" s="21">
        <v>0</v>
      </c>
      <c r="L67" s="21">
        <v>0</v>
      </c>
      <c r="M67" s="21">
        <f>N3*C67/100</f>
        <v>46800</v>
      </c>
      <c r="N67" s="21">
        <v>0.17</v>
      </c>
      <c r="O67" s="53">
        <f t="shared" si="0"/>
        <v>127592.61289999999</v>
      </c>
      <c r="P67" s="65" t="s">
        <v>20</v>
      </c>
    </row>
    <row r="68" spans="1:17" ht="15" thickBot="1" x14ac:dyDescent="0.35">
      <c r="A68" s="71">
        <v>62</v>
      </c>
      <c r="B68" s="24" t="s">
        <v>186</v>
      </c>
      <c r="C68" s="86">
        <v>1.35</v>
      </c>
      <c r="D68" s="22"/>
      <c r="E68" s="22"/>
      <c r="F68" s="25">
        <v>126775</v>
      </c>
      <c r="G68" s="25">
        <v>-126775</v>
      </c>
      <c r="H68" s="52">
        <f t="shared" si="1"/>
        <v>0</v>
      </c>
      <c r="I68" s="21">
        <v>0</v>
      </c>
      <c r="J68" s="21">
        <f>I3*C68/100</f>
        <v>93222.049500000008</v>
      </c>
      <c r="K68" s="21">
        <v>0</v>
      </c>
      <c r="L68" s="21">
        <v>0</v>
      </c>
      <c r="M68" s="21">
        <f>N3*C68/100</f>
        <v>54000</v>
      </c>
      <c r="N68" s="21">
        <v>0.56999999999999995</v>
      </c>
      <c r="O68" s="53">
        <f t="shared" si="0"/>
        <v>147222.61950000003</v>
      </c>
      <c r="P68" s="65" t="s">
        <v>20</v>
      </c>
    </row>
    <row r="69" spans="1:17" ht="15" thickBot="1" x14ac:dyDescent="0.35">
      <c r="A69" s="71">
        <v>63</v>
      </c>
      <c r="B69" s="24" t="s">
        <v>187</v>
      </c>
      <c r="C69" s="86">
        <v>1.1200000000000001</v>
      </c>
      <c r="D69" s="22"/>
      <c r="E69" s="22"/>
      <c r="F69" s="25">
        <v>105176</v>
      </c>
      <c r="G69" s="25">
        <v>-105176</v>
      </c>
      <c r="H69" s="52">
        <f t="shared" si="1"/>
        <v>0</v>
      </c>
      <c r="I69" s="21">
        <v>0</v>
      </c>
      <c r="J69" s="21">
        <f>I3*C69/100</f>
        <v>77339.774400000009</v>
      </c>
      <c r="K69" s="21">
        <v>0</v>
      </c>
      <c r="L69" s="21">
        <v>0</v>
      </c>
      <c r="M69" s="21">
        <f>N3*C69/100</f>
        <v>44800</v>
      </c>
      <c r="N69" s="21">
        <v>-0.14000000000000001</v>
      </c>
      <c r="O69" s="53">
        <f t="shared" si="0"/>
        <v>122139.63440000001</v>
      </c>
      <c r="P69" s="65" t="s">
        <v>20</v>
      </c>
    </row>
    <row r="70" spans="1:17" ht="15" thickBot="1" x14ac:dyDescent="0.35">
      <c r="A70" s="126">
        <v>64</v>
      </c>
      <c r="B70" s="67" t="s">
        <v>188</v>
      </c>
      <c r="C70" s="87">
        <v>0.82</v>
      </c>
      <c r="D70" s="68"/>
      <c r="E70" s="68"/>
      <c r="F70" s="69">
        <v>76927</v>
      </c>
      <c r="G70" s="69">
        <v>-78000</v>
      </c>
      <c r="H70" s="52">
        <f t="shared" si="1"/>
        <v>-1073</v>
      </c>
      <c r="I70" s="70">
        <v>0</v>
      </c>
      <c r="J70" s="21">
        <f>I3*C70/100</f>
        <v>56623.763399999996</v>
      </c>
      <c r="K70" s="21">
        <v>0</v>
      </c>
      <c r="L70" s="21">
        <v>0</v>
      </c>
      <c r="M70" s="21">
        <f>N3*C70/100</f>
        <v>32800</v>
      </c>
      <c r="N70" s="21">
        <v>-0.12</v>
      </c>
      <c r="O70" s="127">
        <f t="shared" si="0"/>
        <v>88350.643400000001</v>
      </c>
      <c r="P70" s="65" t="s">
        <v>20</v>
      </c>
    </row>
    <row r="71" spans="1:17" ht="15" thickBot="1" x14ac:dyDescent="0.35">
      <c r="A71" s="71">
        <v>65</v>
      </c>
      <c r="B71" s="24" t="s">
        <v>189</v>
      </c>
      <c r="C71" s="86">
        <v>0.82</v>
      </c>
      <c r="D71" s="22"/>
      <c r="E71" s="22"/>
      <c r="F71" s="25">
        <v>77004</v>
      </c>
      <c r="G71" s="25">
        <v>0</v>
      </c>
      <c r="H71" s="52">
        <f t="shared" si="1"/>
        <v>77004</v>
      </c>
      <c r="I71" s="21">
        <v>1540</v>
      </c>
      <c r="J71" s="21">
        <f>I3*C71/100</f>
        <v>56623.763399999996</v>
      </c>
      <c r="K71" s="21">
        <v>0</v>
      </c>
      <c r="L71" s="21">
        <v>0</v>
      </c>
      <c r="M71" s="21">
        <f>N3*C71/100</f>
        <v>32800</v>
      </c>
      <c r="N71" s="21">
        <v>-0.11</v>
      </c>
      <c r="O71" s="127">
        <f t="shared" si="0"/>
        <v>167967.65340000001</v>
      </c>
      <c r="P71" s="65"/>
    </row>
    <row r="72" spans="1:17" ht="15" thickBot="1" x14ac:dyDescent="0.35">
      <c r="A72" s="71">
        <v>66</v>
      </c>
      <c r="B72" s="24" t="s">
        <v>190</v>
      </c>
      <c r="C72" s="86">
        <v>1.34</v>
      </c>
      <c r="D72" s="22"/>
      <c r="E72" s="22"/>
      <c r="F72" s="25">
        <v>125835</v>
      </c>
      <c r="G72" s="25">
        <v>-125836</v>
      </c>
      <c r="H72" s="52">
        <f t="shared" ref="H72:H109" si="2">+G72+F72</f>
        <v>-1</v>
      </c>
      <c r="I72" s="21">
        <v>0</v>
      </c>
      <c r="J72" s="128">
        <f>I3*C72/100</f>
        <v>92531.515799999994</v>
      </c>
      <c r="K72" s="21">
        <v>0</v>
      </c>
      <c r="L72" s="21">
        <v>0</v>
      </c>
      <c r="M72" s="21">
        <f>N3*C72/100</f>
        <v>53600</v>
      </c>
      <c r="N72" s="21">
        <v>0.14000000000000001</v>
      </c>
      <c r="O72" s="127">
        <f t="shared" ref="O72:O109" si="3">SUM(H72:N72)</f>
        <v>146130.65580000001</v>
      </c>
      <c r="P72" s="65" t="s">
        <v>20</v>
      </c>
    </row>
    <row r="73" spans="1:17" ht="15" thickBot="1" x14ac:dyDescent="0.35">
      <c r="A73" s="71">
        <v>67</v>
      </c>
      <c r="B73" s="24" t="s">
        <v>191</v>
      </c>
      <c r="C73" s="86">
        <v>1.1200000000000001</v>
      </c>
      <c r="D73" s="22"/>
      <c r="E73" s="22"/>
      <c r="F73" s="25">
        <v>105174</v>
      </c>
      <c r="G73" s="25">
        <v>-105174</v>
      </c>
      <c r="H73" s="52">
        <f t="shared" si="2"/>
        <v>0</v>
      </c>
      <c r="I73" s="21">
        <v>0</v>
      </c>
      <c r="J73" s="128">
        <f>I3*C73/100</f>
        <v>77339.774400000009</v>
      </c>
      <c r="K73" s="21">
        <v>0</v>
      </c>
      <c r="L73" s="21">
        <v>0</v>
      </c>
      <c r="M73" s="21">
        <f>N3*C73/100</f>
        <v>44800</v>
      </c>
      <c r="N73" s="21">
        <v>-0.1</v>
      </c>
      <c r="O73" s="127">
        <f t="shared" si="3"/>
        <v>122139.6744</v>
      </c>
      <c r="P73" s="65" t="s">
        <v>20</v>
      </c>
    </row>
    <row r="74" spans="1:17" ht="15" thickBot="1" x14ac:dyDescent="0.35">
      <c r="A74" s="71">
        <v>68</v>
      </c>
      <c r="B74" s="24" t="s">
        <v>192</v>
      </c>
      <c r="C74" s="86">
        <v>1.17</v>
      </c>
      <c r="D74" s="22"/>
      <c r="E74" s="22"/>
      <c r="F74" s="25">
        <v>2639298</v>
      </c>
      <c r="G74" s="25">
        <v>0</v>
      </c>
      <c r="H74" s="52">
        <v>2227003</v>
      </c>
      <c r="I74" s="21">
        <v>456836</v>
      </c>
      <c r="J74" s="21">
        <f>I3*C74/100</f>
        <v>80792.442899999995</v>
      </c>
      <c r="K74" s="21">
        <v>0</v>
      </c>
      <c r="L74" s="21">
        <v>0</v>
      </c>
      <c r="M74" s="21">
        <f>N3*C74/100</f>
        <v>46800</v>
      </c>
      <c r="N74" s="21">
        <v>0.24</v>
      </c>
      <c r="O74" s="127">
        <f t="shared" si="3"/>
        <v>2811431.6829000004</v>
      </c>
      <c r="P74" s="65"/>
    </row>
    <row r="75" spans="1:17" ht="15" thickBot="1" x14ac:dyDescent="0.35">
      <c r="A75" s="71">
        <v>69</v>
      </c>
      <c r="B75" s="24" t="s">
        <v>193</v>
      </c>
      <c r="C75" s="86">
        <v>1.35</v>
      </c>
      <c r="D75" s="22"/>
      <c r="E75" s="22"/>
      <c r="F75" s="25">
        <v>126775</v>
      </c>
      <c r="G75" s="25">
        <v>-126775</v>
      </c>
      <c r="H75" s="52">
        <f t="shared" si="2"/>
        <v>0</v>
      </c>
      <c r="I75" s="21">
        <v>0</v>
      </c>
      <c r="J75" s="21">
        <f>I3*C75/100</f>
        <v>93222.049500000008</v>
      </c>
      <c r="K75" s="21">
        <v>0</v>
      </c>
      <c r="L75" s="21">
        <v>0</v>
      </c>
      <c r="M75" s="21">
        <f>N3*C75/100</f>
        <v>54000</v>
      </c>
      <c r="N75" s="21">
        <v>0.64</v>
      </c>
      <c r="O75" s="127">
        <f t="shared" si="3"/>
        <v>147222.68950000004</v>
      </c>
      <c r="P75" s="65" t="s">
        <v>20</v>
      </c>
    </row>
    <row r="76" spans="1:17" ht="15" thickBot="1" x14ac:dyDescent="0.35">
      <c r="A76" s="71">
        <v>70</v>
      </c>
      <c r="B76" s="24" t="s">
        <v>194</v>
      </c>
      <c r="C76" s="86">
        <v>1.1200000000000001</v>
      </c>
      <c r="D76" s="22"/>
      <c r="E76" s="22"/>
      <c r="F76" s="25">
        <v>351170</v>
      </c>
      <c r="G76" s="25">
        <v>0</v>
      </c>
      <c r="H76" s="52">
        <v>344045</v>
      </c>
      <c r="I76" s="21">
        <v>14006</v>
      </c>
      <c r="J76" s="21">
        <f>I3*C76/100</f>
        <v>77339.774400000009</v>
      </c>
      <c r="K76" s="21">
        <v>0</v>
      </c>
      <c r="L76" s="21">
        <v>0</v>
      </c>
      <c r="M76" s="21">
        <f>N3*C76/100</f>
        <v>44800</v>
      </c>
      <c r="N76" s="21">
        <v>-7.0000000000000007E-2</v>
      </c>
      <c r="O76" s="127">
        <f t="shared" si="3"/>
        <v>480190.70439999999</v>
      </c>
      <c r="P76" s="65"/>
    </row>
    <row r="77" spans="1:17" ht="15" thickBot="1" x14ac:dyDescent="0.35">
      <c r="A77" s="71">
        <v>71</v>
      </c>
      <c r="B77" s="24" t="s">
        <v>195</v>
      </c>
      <c r="C77" s="86">
        <v>0.82</v>
      </c>
      <c r="D77" s="22"/>
      <c r="E77" s="22"/>
      <c r="F77" s="25">
        <v>77004</v>
      </c>
      <c r="G77" s="25">
        <v>-77005</v>
      </c>
      <c r="H77" s="52">
        <f t="shared" si="2"/>
        <v>-1</v>
      </c>
      <c r="I77" s="21">
        <v>0</v>
      </c>
      <c r="J77" s="21">
        <f>I3*C77/100</f>
        <v>56623.763399999996</v>
      </c>
      <c r="K77" s="21">
        <v>0</v>
      </c>
      <c r="L77" s="21">
        <v>0</v>
      </c>
      <c r="M77" s="21">
        <f>N3*C77/100</f>
        <v>32800</v>
      </c>
      <c r="N77" s="21">
        <v>-0.05</v>
      </c>
      <c r="O77" s="127">
        <f t="shared" si="3"/>
        <v>89422.713399999993</v>
      </c>
      <c r="P77" s="65" t="s">
        <v>20</v>
      </c>
    </row>
    <row r="78" spans="1:17" ht="15" thickBot="1" x14ac:dyDescent="0.35">
      <c r="A78" s="71">
        <v>72</v>
      </c>
      <c r="B78" s="24" t="s">
        <v>196</v>
      </c>
      <c r="C78" s="86">
        <v>0.82</v>
      </c>
      <c r="D78" s="22"/>
      <c r="E78" s="22"/>
      <c r="F78" s="25">
        <v>479682</v>
      </c>
      <c r="G78" s="25">
        <v>-77004</v>
      </c>
      <c r="H78" s="52">
        <v>382326</v>
      </c>
      <c r="I78" s="21">
        <v>27999</v>
      </c>
      <c r="J78" s="21">
        <f>I3*C78/100</f>
        <v>56623.763399999996</v>
      </c>
      <c r="K78" s="21">
        <v>0</v>
      </c>
      <c r="L78" s="21">
        <v>0</v>
      </c>
      <c r="M78" s="21">
        <f>N3*C78/100</f>
        <v>32800</v>
      </c>
      <c r="N78" s="21">
        <v>-0.04</v>
      </c>
      <c r="O78" s="127">
        <f t="shared" si="3"/>
        <v>499748.72340000002</v>
      </c>
      <c r="P78" s="65" t="s">
        <v>20</v>
      </c>
    </row>
    <row r="79" spans="1:17" ht="15" thickBot="1" x14ac:dyDescent="0.35">
      <c r="A79" s="71">
        <v>73</v>
      </c>
      <c r="B79" s="24" t="s">
        <v>197</v>
      </c>
      <c r="C79" s="86">
        <v>1.34</v>
      </c>
      <c r="D79" s="22"/>
      <c r="E79" s="22"/>
      <c r="F79" s="25">
        <v>125836</v>
      </c>
      <c r="G79" s="25">
        <v>-125836</v>
      </c>
      <c r="H79" s="52">
        <f t="shared" si="2"/>
        <v>0</v>
      </c>
      <c r="I79" s="21">
        <v>0</v>
      </c>
      <c r="J79" s="21">
        <f>I3*C79/100</f>
        <v>92531.515799999994</v>
      </c>
      <c r="K79" s="21">
        <v>0</v>
      </c>
      <c r="L79" s="21">
        <v>0</v>
      </c>
      <c r="M79" s="21">
        <f>N3*C79/100</f>
        <v>53600</v>
      </c>
      <c r="N79" s="21">
        <v>0.21</v>
      </c>
      <c r="O79" s="127">
        <f t="shared" si="3"/>
        <v>146131.72579999999</v>
      </c>
      <c r="P79" s="65" t="s">
        <v>20</v>
      </c>
    </row>
    <row r="80" spans="1:17" ht="15" thickBot="1" x14ac:dyDescent="0.35">
      <c r="A80" s="71">
        <v>74</v>
      </c>
      <c r="B80" s="24" t="s">
        <v>198</v>
      </c>
      <c r="C80" s="86">
        <v>1.1200000000000001</v>
      </c>
      <c r="D80" s="22"/>
      <c r="E80" s="22"/>
      <c r="F80" s="25">
        <v>477999</v>
      </c>
      <c r="G80" s="25">
        <v>0</v>
      </c>
      <c r="H80" s="52">
        <v>463695</v>
      </c>
      <c r="I80" s="21">
        <v>23578</v>
      </c>
      <c r="J80" s="21">
        <f>I3*C80/100</f>
        <v>77339.774400000009</v>
      </c>
      <c r="K80" s="21">
        <v>0</v>
      </c>
      <c r="L80" s="21">
        <v>0</v>
      </c>
      <c r="M80" s="21">
        <f>N3*C80/100</f>
        <v>44800</v>
      </c>
      <c r="N80" s="21">
        <v>-0.03</v>
      </c>
      <c r="O80" s="127">
        <f t="shared" si="3"/>
        <v>609412.74439999997</v>
      </c>
      <c r="P80" s="65"/>
    </row>
    <row r="81" spans="1:16" ht="15" thickBot="1" x14ac:dyDescent="0.35">
      <c r="A81" s="71">
        <v>75</v>
      </c>
      <c r="B81" s="24" t="s">
        <v>199</v>
      </c>
      <c r="C81" s="86">
        <v>1.17</v>
      </c>
      <c r="D81" s="22"/>
      <c r="E81" s="22"/>
      <c r="F81" s="25">
        <v>109871</v>
      </c>
      <c r="G81" s="25">
        <v>-109871</v>
      </c>
      <c r="H81" s="52">
        <f t="shared" si="2"/>
        <v>0</v>
      </c>
      <c r="I81" s="21">
        <v>0</v>
      </c>
      <c r="J81" s="21">
        <f>I3*C81/100</f>
        <v>80792.442899999995</v>
      </c>
      <c r="K81" s="21">
        <v>0</v>
      </c>
      <c r="L81" s="21">
        <v>0</v>
      </c>
      <c r="M81" s="21">
        <f>N3*C81/100</f>
        <v>46800</v>
      </c>
      <c r="N81" s="21">
        <v>0.31</v>
      </c>
      <c r="O81" s="127">
        <f t="shared" si="3"/>
        <v>127592.75289999999</v>
      </c>
      <c r="P81" s="65" t="s">
        <v>20</v>
      </c>
    </row>
    <row r="82" spans="1:16" ht="15" thickBot="1" x14ac:dyDescent="0.35">
      <c r="A82" s="71">
        <v>76</v>
      </c>
      <c r="B82" s="24" t="s">
        <v>200</v>
      </c>
      <c r="C82" s="86">
        <v>1.35</v>
      </c>
      <c r="D82" s="22"/>
      <c r="E82" s="22"/>
      <c r="F82" s="25">
        <v>126775</v>
      </c>
      <c r="G82" s="25">
        <v>-126775</v>
      </c>
      <c r="H82" s="52">
        <f t="shared" si="2"/>
        <v>0</v>
      </c>
      <c r="I82" s="21">
        <v>0</v>
      </c>
      <c r="J82" s="21">
        <f>I3*C82/100</f>
        <v>93222.049500000008</v>
      </c>
      <c r="K82" s="21">
        <v>0</v>
      </c>
      <c r="L82" s="21">
        <v>0</v>
      </c>
      <c r="M82" s="21">
        <f>N3*C82/100</f>
        <v>54000</v>
      </c>
      <c r="N82" s="21">
        <v>0.71</v>
      </c>
      <c r="O82" s="127">
        <f t="shared" si="3"/>
        <v>147222.75950000001</v>
      </c>
      <c r="P82" s="65" t="s">
        <v>20</v>
      </c>
    </row>
    <row r="83" spans="1:16" ht="15" thickBot="1" x14ac:dyDescent="0.35">
      <c r="A83" s="71">
        <v>77</v>
      </c>
      <c r="B83" s="24" t="s">
        <v>201</v>
      </c>
      <c r="C83" s="86">
        <v>1.1200000000000001</v>
      </c>
      <c r="D83" s="22"/>
      <c r="E83" s="22"/>
      <c r="F83" s="25">
        <v>105176</v>
      </c>
      <c r="G83" s="25">
        <v>-105176</v>
      </c>
      <c r="H83" s="52">
        <f t="shared" si="2"/>
        <v>0</v>
      </c>
      <c r="I83" s="21">
        <v>0</v>
      </c>
      <c r="J83" s="21">
        <f>I3*C83/100</f>
        <v>77339.774400000009</v>
      </c>
      <c r="K83" s="21">
        <v>0</v>
      </c>
      <c r="L83" s="21">
        <v>0</v>
      </c>
      <c r="M83" s="21">
        <f>N3*C83/100</f>
        <v>44800</v>
      </c>
      <c r="N83" s="21">
        <v>0</v>
      </c>
      <c r="O83" s="127">
        <f t="shared" si="3"/>
        <v>122139.77440000001</v>
      </c>
      <c r="P83" s="65" t="s">
        <v>20</v>
      </c>
    </row>
    <row r="84" spans="1:16" ht="15" thickBot="1" x14ac:dyDescent="0.35">
      <c r="A84" s="71">
        <v>78</v>
      </c>
      <c r="B84" s="24" t="s">
        <v>202</v>
      </c>
      <c r="C84" s="86">
        <v>0.82</v>
      </c>
      <c r="D84" s="22"/>
      <c r="E84" s="22"/>
      <c r="F84" s="25">
        <v>77004</v>
      </c>
      <c r="G84" s="25">
        <v>0</v>
      </c>
      <c r="H84" s="52">
        <f t="shared" si="2"/>
        <v>77004</v>
      </c>
      <c r="I84" s="21">
        <v>1540</v>
      </c>
      <c r="J84" s="21">
        <f>I3*C84/100</f>
        <v>56623.763399999996</v>
      </c>
      <c r="K84" s="21">
        <v>0</v>
      </c>
      <c r="L84" s="21">
        <v>0</v>
      </c>
      <c r="M84" s="21">
        <f>N3*C84/100</f>
        <v>32800</v>
      </c>
      <c r="N84" s="21">
        <v>0.02</v>
      </c>
      <c r="O84" s="127">
        <f t="shared" si="3"/>
        <v>167967.78339999999</v>
      </c>
      <c r="P84" s="65"/>
    </row>
    <row r="85" spans="1:16" ht="15" thickBot="1" x14ac:dyDescent="0.35">
      <c r="A85" s="71">
        <v>79</v>
      </c>
      <c r="B85" s="24" t="s">
        <v>203</v>
      </c>
      <c r="C85" s="86">
        <v>0.82</v>
      </c>
      <c r="D85" s="22"/>
      <c r="E85" s="22"/>
      <c r="F85" s="25">
        <v>77003</v>
      </c>
      <c r="G85" s="25">
        <v>-77004</v>
      </c>
      <c r="H85" s="52">
        <f t="shared" si="2"/>
        <v>-1</v>
      </c>
      <c r="I85" s="21">
        <v>0</v>
      </c>
      <c r="J85" s="21">
        <f>I3*C85/100</f>
        <v>56623.763399999996</v>
      </c>
      <c r="K85" s="21">
        <v>0</v>
      </c>
      <c r="L85" s="21">
        <v>0</v>
      </c>
      <c r="M85" s="21">
        <f>N3*C85/100</f>
        <v>32800</v>
      </c>
      <c r="N85" s="21">
        <v>0.03</v>
      </c>
      <c r="O85" s="127">
        <f t="shared" si="3"/>
        <v>89422.793399999995</v>
      </c>
      <c r="P85" s="65" t="s">
        <v>20</v>
      </c>
    </row>
    <row r="86" spans="1:16" ht="15" thickBot="1" x14ac:dyDescent="0.35">
      <c r="A86" s="71">
        <v>80</v>
      </c>
      <c r="B86" s="24" t="s">
        <v>204</v>
      </c>
      <c r="C86" s="86">
        <v>1.34</v>
      </c>
      <c r="D86" s="22"/>
      <c r="E86" s="22"/>
      <c r="F86" s="25">
        <v>125836</v>
      </c>
      <c r="G86" s="25">
        <v>0</v>
      </c>
      <c r="H86" s="52">
        <f t="shared" si="2"/>
        <v>125836</v>
      </c>
      <c r="I86" s="21">
        <v>2517</v>
      </c>
      <c r="J86" s="21">
        <f>I3*C86/100</f>
        <v>92531.515799999994</v>
      </c>
      <c r="K86" s="21">
        <v>0</v>
      </c>
      <c r="L86" s="21">
        <v>0</v>
      </c>
      <c r="M86" s="21">
        <f>N3*C86/100</f>
        <v>53600</v>
      </c>
      <c r="N86" s="21">
        <v>0.28000000000000003</v>
      </c>
      <c r="O86" s="127">
        <f t="shared" si="3"/>
        <v>274484.79580000002</v>
      </c>
      <c r="P86" s="65" t="s">
        <v>20</v>
      </c>
    </row>
    <row r="87" spans="1:16" ht="15" thickBot="1" x14ac:dyDescent="0.35">
      <c r="A87" s="71">
        <v>81</v>
      </c>
      <c r="B87" s="24" t="s">
        <v>205</v>
      </c>
      <c r="C87" s="86">
        <v>1.1200000000000001</v>
      </c>
      <c r="D87" s="22"/>
      <c r="E87" s="22"/>
      <c r="F87" s="25">
        <v>105176</v>
      </c>
      <c r="G87" s="25">
        <v>-105176</v>
      </c>
      <c r="H87" s="52">
        <f t="shared" si="2"/>
        <v>0</v>
      </c>
      <c r="I87" s="21">
        <v>0</v>
      </c>
      <c r="J87" s="21">
        <f>I3*C87/100</f>
        <v>77339.774400000009</v>
      </c>
      <c r="K87" s="21">
        <v>0</v>
      </c>
      <c r="L87" s="21">
        <v>0</v>
      </c>
      <c r="M87" s="21">
        <f>N3*C87/100</f>
        <v>44800</v>
      </c>
      <c r="N87" s="21">
        <v>0.04</v>
      </c>
      <c r="O87" s="127">
        <f t="shared" si="3"/>
        <v>122139.8144</v>
      </c>
      <c r="P87" s="65" t="s">
        <v>20</v>
      </c>
    </row>
    <row r="88" spans="1:16" ht="15" thickBot="1" x14ac:dyDescent="0.35">
      <c r="A88" s="71">
        <v>82</v>
      </c>
      <c r="B88" s="24" t="s">
        <v>206</v>
      </c>
      <c r="C88" s="86">
        <v>1.17</v>
      </c>
      <c r="D88" s="22"/>
      <c r="E88" s="22"/>
      <c r="F88" s="25">
        <v>109871</v>
      </c>
      <c r="G88" s="25">
        <v>-109871</v>
      </c>
      <c r="H88" s="52">
        <f t="shared" si="2"/>
        <v>0</v>
      </c>
      <c r="I88" s="21">
        <v>0</v>
      </c>
      <c r="J88" s="21">
        <f>I3*C88/100</f>
        <v>80792.442899999995</v>
      </c>
      <c r="K88" s="21">
        <v>0</v>
      </c>
      <c r="L88" s="21">
        <v>0</v>
      </c>
      <c r="M88" s="21">
        <f>N3*C88/100</f>
        <v>46800</v>
      </c>
      <c r="N88" s="21">
        <v>0.38</v>
      </c>
      <c r="O88" s="127">
        <f t="shared" si="3"/>
        <v>127592.8229</v>
      </c>
      <c r="P88" s="65" t="s">
        <v>20</v>
      </c>
    </row>
    <row r="89" spans="1:16" ht="15" thickBot="1" x14ac:dyDescent="0.35">
      <c r="A89" s="71">
        <v>83</v>
      </c>
      <c r="B89" s="24" t="s">
        <v>207</v>
      </c>
      <c r="C89" s="86">
        <v>1.35</v>
      </c>
      <c r="D89" s="22"/>
      <c r="E89" s="22"/>
      <c r="F89" s="25">
        <v>126775</v>
      </c>
      <c r="G89" s="25">
        <v>-146398</v>
      </c>
      <c r="H89" s="52">
        <f t="shared" si="2"/>
        <v>-19623</v>
      </c>
      <c r="I89" s="21">
        <v>0</v>
      </c>
      <c r="J89" s="21">
        <f>I3*C89/100</f>
        <v>93222.049500000008</v>
      </c>
      <c r="K89" s="21">
        <v>0</v>
      </c>
      <c r="L89" s="21">
        <v>0</v>
      </c>
      <c r="M89" s="21">
        <f>N3*C89/100</f>
        <v>54000</v>
      </c>
      <c r="N89" s="21">
        <v>0.78</v>
      </c>
      <c r="O89" s="127">
        <f t="shared" si="3"/>
        <v>127599.82950000001</v>
      </c>
      <c r="P89" s="65" t="s">
        <v>20</v>
      </c>
    </row>
    <row r="90" spans="1:16" ht="15" thickBot="1" x14ac:dyDescent="0.35">
      <c r="A90" s="71">
        <v>84</v>
      </c>
      <c r="B90" s="24" t="s">
        <v>208</v>
      </c>
      <c r="C90" s="86">
        <v>1.1200000000000001</v>
      </c>
      <c r="D90" s="22"/>
      <c r="E90" s="22"/>
      <c r="F90" s="25">
        <v>105176</v>
      </c>
      <c r="G90" s="25">
        <v>-105176</v>
      </c>
      <c r="H90" s="52">
        <f t="shared" si="2"/>
        <v>0</v>
      </c>
      <c r="I90" s="21">
        <v>0</v>
      </c>
      <c r="J90" s="21">
        <f>I3*C90/100</f>
        <v>77339.774400000009</v>
      </c>
      <c r="K90" s="21">
        <v>0</v>
      </c>
      <c r="L90" s="21">
        <v>0</v>
      </c>
      <c r="M90" s="21">
        <f>N3*C90/100</f>
        <v>44800</v>
      </c>
      <c r="N90" s="21">
        <v>7.0000000000000007E-2</v>
      </c>
      <c r="O90" s="127">
        <f t="shared" si="3"/>
        <v>122139.84440000002</v>
      </c>
      <c r="P90" s="65" t="s">
        <v>20</v>
      </c>
    </row>
    <row r="91" spans="1:16" ht="15" thickBot="1" x14ac:dyDescent="0.35">
      <c r="A91" s="71">
        <v>85</v>
      </c>
      <c r="B91" s="24" t="s">
        <v>209</v>
      </c>
      <c r="C91" s="86">
        <v>0.82</v>
      </c>
      <c r="D91" s="22"/>
      <c r="E91" s="22"/>
      <c r="F91" s="25">
        <v>77004</v>
      </c>
      <c r="G91" s="25">
        <v>-77004</v>
      </c>
      <c r="H91" s="52">
        <f t="shared" si="2"/>
        <v>0</v>
      </c>
      <c r="I91" s="21">
        <v>0</v>
      </c>
      <c r="J91" s="21">
        <f>I3*C91/100</f>
        <v>56623.763399999996</v>
      </c>
      <c r="K91" s="21">
        <v>0</v>
      </c>
      <c r="L91" s="21">
        <v>0</v>
      </c>
      <c r="M91" s="21">
        <f>N3*C91/100</f>
        <v>32800</v>
      </c>
      <c r="N91" s="21">
        <v>0.09</v>
      </c>
      <c r="O91" s="127">
        <f t="shared" si="3"/>
        <v>89423.853399999993</v>
      </c>
      <c r="P91" s="65" t="s">
        <v>20</v>
      </c>
    </row>
    <row r="92" spans="1:16" ht="15" thickBot="1" x14ac:dyDescent="0.35">
      <c r="A92" s="71">
        <v>86</v>
      </c>
      <c r="B92" s="24" t="s">
        <v>210</v>
      </c>
      <c r="C92" s="86">
        <v>0.82</v>
      </c>
      <c r="D92" s="22"/>
      <c r="E92" s="22"/>
      <c r="F92" s="25">
        <v>167705</v>
      </c>
      <c r="G92" s="25">
        <v>-167705</v>
      </c>
      <c r="H92" s="52">
        <f t="shared" si="2"/>
        <v>0</v>
      </c>
      <c r="I92" s="21">
        <v>0</v>
      </c>
      <c r="J92" s="21">
        <f>I3*C92/100</f>
        <v>56623.763399999996</v>
      </c>
      <c r="K92" s="21">
        <v>0</v>
      </c>
      <c r="L92" s="21">
        <v>0</v>
      </c>
      <c r="M92" s="21">
        <f>N3*C92/100</f>
        <v>32800</v>
      </c>
      <c r="N92" s="21">
        <v>0.1</v>
      </c>
      <c r="O92" s="127">
        <f t="shared" si="3"/>
        <v>89423.863400000002</v>
      </c>
      <c r="P92" s="65" t="s">
        <v>20</v>
      </c>
    </row>
    <row r="93" spans="1:16" ht="15" thickBot="1" x14ac:dyDescent="0.35">
      <c r="A93" s="71">
        <v>87</v>
      </c>
      <c r="B93" s="24" t="s">
        <v>211</v>
      </c>
      <c r="C93" s="86">
        <v>1.34</v>
      </c>
      <c r="D93" s="22"/>
      <c r="E93" s="22"/>
      <c r="F93" s="25">
        <v>125836</v>
      </c>
      <c r="G93" s="25">
        <v>-125836</v>
      </c>
      <c r="H93" s="52">
        <f t="shared" si="2"/>
        <v>0</v>
      </c>
      <c r="I93" s="21">
        <v>0</v>
      </c>
      <c r="J93" s="21">
        <f>I3*C93/100</f>
        <v>92531.515799999994</v>
      </c>
      <c r="K93" s="21">
        <v>0</v>
      </c>
      <c r="L93" s="21">
        <v>0</v>
      </c>
      <c r="M93" s="21">
        <f>N3*C93/100</f>
        <v>53600</v>
      </c>
      <c r="N93" s="21">
        <v>0.35</v>
      </c>
      <c r="O93" s="127">
        <f t="shared" si="3"/>
        <v>146131.8658</v>
      </c>
      <c r="P93" s="65" t="s">
        <v>20</v>
      </c>
    </row>
    <row r="94" spans="1:16" ht="15" thickBot="1" x14ac:dyDescent="0.35">
      <c r="A94" s="71">
        <v>88</v>
      </c>
      <c r="B94" s="24" t="s">
        <v>212</v>
      </c>
      <c r="C94" s="86">
        <v>1.1200000000000001</v>
      </c>
      <c r="D94" s="22"/>
      <c r="E94" s="22"/>
      <c r="F94" s="25">
        <v>105176</v>
      </c>
      <c r="G94" s="25">
        <v>-105176</v>
      </c>
      <c r="H94" s="52">
        <f t="shared" si="2"/>
        <v>0</v>
      </c>
      <c r="I94" s="21">
        <v>0</v>
      </c>
      <c r="J94" s="21">
        <f>I3*C94/100</f>
        <v>77339.774400000009</v>
      </c>
      <c r="K94" s="21">
        <v>0</v>
      </c>
      <c r="L94" s="21">
        <v>0</v>
      </c>
      <c r="M94" s="21">
        <f>N3*C94/100</f>
        <v>44800</v>
      </c>
      <c r="N94" s="21">
        <v>0.11</v>
      </c>
      <c r="O94" s="127">
        <f t="shared" si="3"/>
        <v>122139.88440000001</v>
      </c>
      <c r="P94" s="65" t="s">
        <v>20</v>
      </c>
    </row>
    <row r="95" spans="1:16" ht="15" thickBot="1" x14ac:dyDescent="0.35">
      <c r="A95" s="71">
        <v>89</v>
      </c>
      <c r="B95" s="24" t="s">
        <v>213</v>
      </c>
      <c r="C95" s="86">
        <v>1.17</v>
      </c>
      <c r="D95" s="22"/>
      <c r="E95" s="22"/>
      <c r="F95" s="25">
        <v>109871</v>
      </c>
      <c r="G95" s="25">
        <v>-109872</v>
      </c>
      <c r="H95" s="52">
        <f t="shared" si="2"/>
        <v>-1</v>
      </c>
      <c r="I95" s="21">
        <v>0</v>
      </c>
      <c r="J95" s="21">
        <f>I3*C95/100</f>
        <v>80792.442899999995</v>
      </c>
      <c r="K95" s="21">
        <v>0</v>
      </c>
      <c r="L95" s="21">
        <v>0</v>
      </c>
      <c r="M95" s="21">
        <f>N3*C95/100</f>
        <v>46800</v>
      </c>
      <c r="N95" s="21">
        <v>0.45</v>
      </c>
      <c r="O95" s="127">
        <f t="shared" si="3"/>
        <v>127591.89289999999</v>
      </c>
      <c r="P95" s="65" t="s">
        <v>20</v>
      </c>
    </row>
    <row r="96" spans="1:16" ht="15" thickBot="1" x14ac:dyDescent="0.35">
      <c r="A96" s="71">
        <v>90</v>
      </c>
      <c r="B96" s="24" t="s">
        <v>214</v>
      </c>
      <c r="C96" s="86">
        <v>0.1</v>
      </c>
      <c r="D96" s="22"/>
      <c r="E96" s="86">
        <v>0</v>
      </c>
      <c r="F96" s="25">
        <v>20412</v>
      </c>
      <c r="G96" s="25">
        <v>-9390</v>
      </c>
      <c r="H96" s="52">
        <v>10806</v>
      </c>
      <c r="I96" s="21">
        <v>432</v>
      </c>
      <c r="J96" s="21">
        <f>I3*C96/100</f>
        <v>6905.3370000000004</v>
      </c>
      <c r="K96" s="21">
        <v>0</v>
      </c>
      <c r="L96" s="21">
        <v>0</v>
      </c>
      <c r="M96" s="21">
        <f>N3*C96/100</f>
        <v>4000</v>
      </c>
      <c r="N96" s="21">
        <v>0.56000000000000005</v>
      </c>
      <c r="O96" s="127">
        <f t="shared" si="3"/>
        <v>22143.897000000001</v>
      </c>
      <c r="P96" s="65" t="s">
        <v>20</v>
      </c>
    </row>
    <row r="97" spans="1:16" ht="15" thickBot="1" x14ac:dyDescent="0.35">
      <c r="A97" s="71">
        <v>91</v>
      </c>
      <c r="B97" s="24" t="s">
        <v>215</v>
      </c>
      <c r="C97" s="86">
        <v>0.1</v>
      </c>
      <c r="D97" s="22"/>
      <c r="E97" s="86">
        <v>0</v>
      </c>
      <c r="F97" s="25">
        <v>9043</v>
      </c>
      <c r="G97" s="25">
        <v>-9043</v>
      </c>
      <c r="H97" s="52">
        <f t="shared" si="2"/>
        <v>0</v>
      </c>
      <c r="I97" s="21">
        <v>0</v>
      </c>
      <c r="J97" s="21">
        <f>I3*C97/100</f>
        <v>6905.3370000000004</v>
      </c>
      <c r="K97" s="21">
        <v>0</v>
      </c>
      <c r="L97" s="21">
        <v>0</v>
      </c>
      <c r="M97" s="21">
        <f>N3*C97/100</f>
        <v>4000</v>
      </c>
      <c r="N97" s="21">
        <v>0.56999999999999995</v>
      </c>
      <c r="O97" s="127">
        <f t="shared" si="3"/>
        <v>10905.906999999999</v>
      </c>
      <c r="P97" s="65" t="s">
        <v>20</v>
      </c>
    </row>
    <row r="98" spans="1:16" ht="15" thickBot="1" x14ac:dyDescent="0.35">
      <c r="A98" s="71">
        <v>92</v>
      </c>
      <c r="B98" s="24" t="s">
        <v>216</v>
      </c>
      <c r="C98" s="86">
        <v>0.1</v>
      </c>
      <c r="D98" s="22"/>
      <c r="E98" s="86">
        <v>0</v>
      </c>
      <c r="F98" s="25">
        <v>9390</v>
      </c>
      <c r="G98" s="25">
        <v>-9391</v>
      </c>
      <c r="H98" s="52">
        <f t="shared" si="2"/>
        <v>-1</v>
      </c>
      <c r="I98" s="21">
        <v>0</v>
      </c>
      <c r="J98" s="21">
        <f>I3*C98/100</f>
        <v>6905.3370000000004</v>
      </c>
      <c r="K98" s="21">
        <v>0</v>
      </c>
      <c r="L98" s="21">
        <v>0</v>
      </c>
      <c r="M98" s="21">
        <f>N3*C98/100</f>
        <v>4000</v>
      </c>
      <c r="N98" s="21">
        <v>0.57999999999999996</v>
      </c>
      <c r="O98" s="127">
        <f t="shared" si="3"/>
        <v>10904.916999999999</v>
      </c>
      <c r="P98" s="65" t="s">
        <v>20</v>
      </c>
    </row>
    <row r="99" spans="1:16" ht="15" thickBot="1" x14ac:dyDescent="0.35">
      <c r="A99" s="71">
        <v>93</v>
      </c>
      <c r="B99" s="24" t="s">
        <v>217</v>
      </c>
      <c r="C99" s="86">
        <v>0.1</v>
      </c>
      <c r="D99" s="22"/>
      <c r="E99" s="86">
        <v>0</v>
      </c>
      <c r="F99" s="25">
        <v>9390</v>
      </c>
      <c r="G99" s="25">
        <v>-9390</v>
      </c>
      <c r="H99" s="52">
        <f t="shared" si="2"/>
        <v>0</v>
      </c>
      <c r="I99" s="21">
        <v>0</v>
      </c>
      <c r="J99" s="21">
        <f>I3*C99/100</f>
        <v>6905.3370000000004</v>
      </c>
      <c r="K99" s="21">
        <v>0</v>
      </c>
      <c r="L99" s="21">
        <v>0</v>
      </c>
      <c r="M99" s="21">
        <f>N3*C99/100</f>
        <v>4000</v>
      </c>
      <c r="N99" s="21">
        <v>0.59</v>
      </c>
      <c r="O99" s="127">
        <f t="shared" si="3"/>
        <v>10905.927</v>
      </c>
      <c r="P99" s="65" t="s">
        <v>20</v>
      </c>
    </row>
    <row r="100" spans="1:16" ht="15" thickBot="1" x14ac:dyDescent="0.35">
      <c r="A100" s="71">
        <v>94</v>
      </c>
      <c r="B100" s="24" t="s">
        <v>218</v>
      </c>
      <c r="C100" s="86">
        <v>0.1</v>
      </c>
      <c r="D100" s="22"/>
      <c r="E100" s="86">
        <v>0</v>
      </c>
      <c r="F100" s="25">
        <v>8759</v>
      </c>
      <c r="G100" s="25">
        <v>-9390</v>
      </c>
      <c r="H100" s="52">
        <f t="shared" si="2"/>
        <v>-631</v>
      </c>
      <c r="I100" s="21">
        <v>0</v>
      </c>
      <c r="J100" s="21">
        <f>I3*C100/100</f>
        <v>6905.3370000000004</v>
      </c>
      <c r="K100" s="21">
        <v>0</v>
      </c>
      <c r="L100" s="21">
        <v>0</v>
      </c>
      <c r="M100" s="21">
        <f>N3*C100/100</f>
        <v>4000</v>
      </c>
      <c r="N100" s="21">
        <v>0.6</v>
      </c>
      <c r="O100" s="127">
        <f t="shared" si="3"/>
        <v>10274.937</v>
      </c>
      <c r="P100" s="65" t="s">
        <v>38</v>
      </c>
    </row>
    <row r="101" spans="1:16" ht="15" thickBot="1" x14ac:dyDescent="0.35">
      <c r="A101" s="71">
        <v>95</v>
      </c>
      <c r="B101" s="24" t="s">
        <v>219</v>
      </c>
      <c r="C101" s="86">
        <v>0.1</v>
      </c>
      <c r="D101" s="22"/>
      <c r="E101" s="86">
        <v>0</v>
      </c>
      <c r="F101" s="25">
        <v>9390</v>
      </c>
      <c r="G101" s="25">
        <v>-9391</v>
      </c>
      <c r="H101" s="52">
        <f t="shared" si="2"/>
        <v>-1</v>
      </c>
      <c r="I101" s="21">
        <v>0</v>
      </c>
      <c r="J101" s="21">
        <f>I3*C101/100</f>
        <v>6905.3370000000004</v>
      </c>
      <c r="K101" s="21">
        <v>0</v>
      </c>
      <c r="L101" s="21">
        <v>0</v>
      </c>
      <c r="M101" s="21">
        <f>N3*C101/100</f>
        <v>4000</v>
      </c>
      <c r="N101" s="21">
        <v>0.61</v>
      </c>
      <c r="O101" s="127">
        <f t="shared" si="3"/>
        <v>10904.947</v>
      </c>
      <c r="P101" s="65" t="s">
        <v>20</v>
      </c>
    </row>
    <row r="102" spans="1:16" ht="15" thickBot="1" x14ac:dyDescent="0.35">
      <c r="A102" s="71">
        <v>96</v>
      </c>
      <c r="B102" s="24" t="s">
        <v>218</v>
      </c>
      <c r="C102" s="86">
        <v>0.1</v>
      </c>
      <c r="D102" s="22"/>
      <c r="E102" s="86">
        <v>0</v>
      </c>
      <c r="F102" s="25">
        <v>9390</v>
      </c>
      <c r="G102" s="25">
        <v>-9390</v>
      </c>
      <c r="H102" s="52">
        <f t="shared" si="2"/>
        <v>0</v>
      </c>
      <c r="I102" s="21">
        <v>0</v>
      </c>
      <c r="J102" s="21">
        <f>I3*C102/100</f>
        <v>6905.3370000000004</v>
      </c>
      <c r="K102" s="21">
        <v>0</v>
      </c>
      <c r="L102" s="21">
        <v>0</v>
      </c>
      <c r="M102" s="21">
        <f>N3*C102/100</f>
        <v>4000</v>
      </c>
      <c r="N102" s="21">
        <v>0.62</v>
      </c>
      <c r="O102" s="127">
        <f t="shared" si="3"/>
        <v>10905.957</v>
      </c>
      <c r="P102" s="65" t="s">
        <v>20</v>
      </c>
    </row>
    <row r="103" spans="1:16" ht="15" thickBot="1" x14ac:dyDescent="0.35">
      <c r="A103" s="71">
        <v>97</v>
      </c>
      <c r="B103" s="24" t="s">
        <v>220</v>
      </c>
      <c r="C103" s="86">
        <v>0.1</v>
      </c>
      <c r="D103" s="22"/>
      <c r="E103" s="86">
        <v>0</v>
      </c>
      <c r="F103" s="25">
        <v>9390</v>
      </c>
      <c r="G103" s="25">
        <v>-9390</v>
      </c>
      <c r="H103" s="52">
        <f t="shared" si="2"/>
        <v>0</v>
      </c>
      <c r="I103" s="21">
        <v>0</v>
      </c>
      <c r="J103" s="21">
        <f>I3*C103/100</f>
        <v>6905.3370000000004</v>
      </c>
      <c r="K103" s="21">
        <v>0</v>
      </c>
      <c r="L103" s="21">
        <v>0</v>
      </c>
      <c r="M103" s="21">
        <f>N3*C103/100</f>
        <v>4000</v>
      </c>
      <c r="N103" s="21">
        <v>0.63</v>
      </c>
      <c r="O103" s="127">
        <f t="shared" si="3"/>
        <v>10905.966999999999</v>
      </c>
      <c r="P103" s="65" t="s">
        <v>20</v>
      </c>
    </row>
    <row r="104" spans="1:16" ht="15" thickBot="1" x14ac:dyDescent="0.35">
      <c r="A104" s="71">
        <v>98</v>
      </c>
      <c r="B104" s="24" t="s">
        <v>221</v>
      </c>
      <c r="C104" s="86">
        <v>0.1</v>
      </c>
      <c r="D104" s="22"/>
      <c r="E104" s="86">
        <v>0</v>
      </c>
      <c r="F104" s="25">
        <v>20349</v>
      </c>
      <c r="G104" s="25">
        <v>-20349</v>
      </c>
      <c r="H104" s="52">
        <f t="shared" si="2"/>
        <v>0</v>
      </c>
      <c r="I104" s="21">
        <v>0</v>
      </c>
      <c r="J104" s="21">
        <f>I3*C104/100</f>
        <v>6905.3370000000004</v>
      </c>
      <c r="K104" s="21">
        <v>0</v>
      </c>
      <c r="L104" s="21">
        <v>0</v>
      </c>
      <c r="M104" s="21">
        <f>N3*C104/100</f>
        <v>4000</v>
      </c>
      <c r="N104" s="21">
        <v>0.64</v>
      </c>
      <c r="O104" s="127">
        <f t="shared" si="3"/>
        <v>10905.976999999999</v>
      </c>
      <c r="P104" s="65" t="s">
        <v>20</v>
      </c>
    </row>
    <row r="105" spans="1:16" ht="15" thickBot="1" x14ac:dyDescent="0.35">
      <c r="A105" s="71">
        <v>99</v>
      </c>
      <c r="B105" s="24" t="s">
        <v>222</v>
      </c>
      <c r="C105" s="86">
        <v>0.1</v>
      </c>
      <c r="D105" s="22"/>
      <c r="E105" s="86">
        <v>0</v>
      </c>
      <c r="F105" s="25">
        <v>9390</v>
      </c>
      <c r="G105" s="25">
        <v>-9391</v>
      </c>
      <c r="H105" s="52">
        <f t="shared" si="2"/>
        <v>-1</v>
      </c>
      <c r="I105" s="21">
        <v>0</v>
      </c>
      <c r="J105" s="21">
        <f>I3*C105/100</f>
        <v>6905.3370000000004</v>
      </c>
      <c r="K105" s="21">
        <v>0</v>
      </c>
      <c r="L105" s="21">
        <v>0</v>
      </c>
      <c r="M105" s="21">
        <f>N3*C105/100</f>
        <v>4000</v>
      </c>
      <c r="N105" s="21">
        <v>0.65</v>
      </c>
      <c r="O105" s="127">
        <f t="shared" si="3"/>
        <v>10904.986999999999</v>
      </c>
      <c r="P105" s="65" t="s">
        <v>20</v>
      </c>
    </row>
    <row r="106" spans="1:16" ht="15" thickBot="1" x14ac:dyDescent="0.35">
      <c r="A106" s="71">
        <v>100</v>
      </c>
      <c r="B106" s="24" t="s">
        <v>223</v>
      </c>
      <c r="C106" s="86">
        <v>0.1</v>
      </c>
      <c r="D106" s="22"/>
      <c r="E106" s="86">
        <v>0</v>
      </c>
      <c r="F106" s="25">
        <v>31359</v>
      </c>
      <c r="G106" s="25">
        <v>-9391</v>
      </c>
      <c r="H106" s="52">
        <v>21331</v>
      </c>
      <c r="I106" s="21">
        <v>1064</v>
      </c>
      <c r="J106" s="21">
        <f>I3*C106/100</f>
        <v>6905.3370000000004</v>
      </c>
      <c r="K106" s="21">
        <v>0</v>
      </c>
      <c r="L106" s="21">
        <v>0</v>
      </c>
      <c r="M106" s="21">
        <f>N3*C106/100</f>
        <v>4000</v>
      </c>
      <c r="N106" s="21">
        <v>0.66</v>
      </c>
      <c r="O106" s="127">
        <f t="shared" si="3"/>
        <v>33300.997000000003</v>
      </c>
      <c r="P106" s="65"/>
    </row>
    <row r="107" spans="1:16" ht="15" thickBot="1" x14ac:dyDescent="0.35">
      <c r="A107" s="71">
        <v>101</v>
      </c>
      <c r="B107" s="24" t="s">
        <v>224</v>
      </c>
      <c r="C107" s="86">
        <v>0.1</v>
      </c>
      <c r="D107" s="22"/>
      <c r="E107" s="86">
        <v>0</v>
      </c>
      <c r="F107" s="25">
        <v>9391</v>
      </c>
      <c r="G107" s="25">
        <v>-9391</v>
      </c>
      <c r="H107" s="52">
        <f t="shared" si="2"/>
        <v>0</v>
      </c>
      <c r="I107" s="21">
        <v>0</v>
      </c>
      <c r="J107" s="21">
        <f>I3*C107/100</f>
        <v>6905.3370000000004</v>
      </c>
      <c r="K107" s="21">
        <v>0</v>
      </c>
      <c r="L107" s="21">
        <v>0</v>
      </c>
      <c r="M107" s="21">
        <f>N3*C107/100</f>
        <v>4000</v>
      </c>
      <c r="N107" s="21">
        <v>0.67</v>
      </c>
      <c r="O107" s="127">
        <f t="shared" si="3"/>
        <v>10906.007</v>
      </c>
      <c r="P107" s="65" t="s">
        <v>20</v>
      </c>
    </row>
    <row r="108" spans="1:16" x14ac:dyDescent="0.3">
      <c r="A108" s="71">
        <v>102</v>
      </c>
      <c r="B108" s="24" t="s">
        <v>225</v>
      </c>
      <c r="C108" s="86">
        <v>0.1</v>
      </c>
      <c r="D108" s="22"/>
      <c r="E108" s="86">
        <v>0</v>
      </c>
      <c r="F108" s="25">
        <v>9391</v>
      </c>
      <c r="G108" s="25">
        <v>0</v>
      </c>
      <c r="H108" s="52">
        <f t="shared" si="2"/>
        <v>9391</v>
      </c>
      <c r="I108" s="21">
        <v>188</v>
      </c>
      <c r="J108" s="21">
        <f>I3*C108/100</f>
        <v>6905.3370000000004</v>
      </c>
      <c r="K108" s="21">
        <v>0</v>
      </c>
      <c r="L108" s="21">
        <v>0</v>
      </c>
      <c r="M108" s="21">
        <f>N3*C108/100</f>
        <v>4000</v>
      </c>
      <c r="N108" s="21">
        <v>0.68</v>
      </c>
      <c r="O108" s="127">
        <f t="shared" si="3"/>
        <v>20485.017</v>
      </c>
      <c r="P108" s="65" t="s">
        <v>20</v>
      </c>
    </row>
    <row r="109" spans="1:16" ht="15" thickBot="1" x14ac:dyDescent="0.35">
      <c r="A109" s="71">
        <v>103</v>
      </c>
      <c r="B109" s="24" t="s">
        <v>226</v>
      </c>
      <c r="C109" s="85">
        <v>0.1</v>
      </c>
      <c r="D109" s="68"/>
      <c r="E109" s="85">
        <v>0</v>
      </c>
      <c r="F109" s="69">
        <v>9391</v>
      </c>
      <c r="G109" s="69">
        <v>-9391</v>
      </c>
      <c r="H109" s="70">
        <f t="shared" si="2"/>
        <v>0</v>
      </c>
      <c r="I109" s="70">
        <v>0</v>
      </c>
      <c r="J109" s="70">
        <f>I3*C109/100</f>
        <v>6905.3370000000004</v>
      </c>
      <c r="K109" s="70">
        <v>0</v>
      </c>
      <c r="L109" s="70">
        <v>0</v>
      </c>
      <c r="M109" s="70">
        <f>N3*C109/100</f>
        <v>4000</v>
      </c>
      <c r="N109" s="70">
        <v>0.69</v>
      </c>
      <c r="O109" s="127">
        <f t="shared" si="3"/>
        <v>10906.027</v>
      </c>
      <c r="P109" s="65" t="s">
        <v>20</v>
      </c>
    </row>
    <row r="110" spans="1:16" ht="15" thickBot="1" x14ac:dyDescent="0.35">
      <c r="A110" s="2" t="s">
        <v>20</v>
      </c>
      <c r="C110" s="88">
        <f>SUM(C7:C70)</f>
        <v>71.090000000000018</v>
      </c>
      <c r="D110" s="72">
        <f>SUM(D7:D35)</f>
        <v>6.1299999999999986E-2</v>
      </c>
      <c r="E110" s="129">
        <f>SUM(E96:E109)</f>
        <v>0</v>
      </c>
      <c r="F110" s="73">
        <f>SUM(F7:F109)</f>
        <v>18796935</v>
      </c>
      <c r="G110" s="73">
        <f>SUM(G7:G109)</f>
        <v>-7799733</v>
      </c>
      <c r="H110" s="73">
        <f>SUM(H7:H109)</f>
        <v>10149453</v>
      </c>
      <c r="I110" s="73">
        <f>SUM(I7:I109)</f>
        <v>857508</v>
      </c>
      <c r="J110" s="94">
        <f>SUM(J7:J109)</f>
        <v>6916385.539200007</v>
      </c>
      <c r="K110" s="73">
        <f>SUM(K7:K70)</f>
        <v>0</v>
      </c>
      <c r="L110" s="73">
        <f t="shared" ref="L110" si="4">SUM(L7:L70)</f>
        <v>0</v>
      </c>
      <c r="M110" s="92">
        <f>SUM(M7:M109)</f>
        <v>4006400</v>
      </c>
      <c r="N110" s="73">
        <f>SUM(N7:N109)</f>
        <v>2.1500000000000012</v>
      </c>
      <c r="O110" s="74">
        <f>SUM(O7:O109)</f>
        <v>21929748.689200003</v>
      </c>
      <c r="P110" t="s">
        <v>20</v>
      </c>
    </row>
    <row r="111" spans="1:16" x14ac:dyDescent="0.3">
      <c r="C111" s="393" t="s">
        <v>20</v>
      </c>
      <c r="D111" s="393"/>
      <c r="E111" s="99"/>
      <c r="G111" s="12" t="s">
        <v>20</v>
      </c>
    </row>
    <row r="112" spans="1:16" ht="18" x14ac:dyDescent="0.35">
      <c r="C112" s="3"/>
      <c r="D112" s="3"/>
      <c r="E112" s="3"/>
      <c r="J112" s="40" t="s">
        <v>234</v>
      </c>
      <c r="K112" s="40"/>
      <c r="L112" s="40"/>
    </row>
    <row r="113" spans="1:16" ht="18" x14ac:dyDescent="0.35">
      <c r="A113" s="40" t="s">
        <v>22</v>
      </c>
      <c r="B113" s="40"/>
      <c r="C113" s="78"/>
      <c r="G113" s="78" t="s">
        <v>252</v>
      </c>
      <c r="H113" s="40"/>
      <c r="I113" s="40"/>
      <c r="J113" s="131">
        <v>45699</v>
      </c>
      <c r="K113" s="40"/>
      <c r="L113" s="9" t="s">
        <v>235</v>
      </c>
      <c r="M113" s="134">
        <v>125836.84</v>
      </c>
      <c r="N113" s="40"/>
      <c r="O113" s="40"/>
    </row>
    <row r="114" spans="1:16" ht="18" x14ac:dyDescent="0.35">
      <c r="A114" s="78" t="s">
        <v>23</v>
      </c>
      <c r="B114" s="79" t="s">
        <v>245</v>
      </c>
      <c r="C114" s="78"/>
      <c r="D114" t="s">
        <v>26</v>
      </c>
      <c r="G114" s="40" t="s">
        <v>20</v>
      </c>
      <c r="H114" s="9"/>
      <c r="I114" s="9"/>
      <c r="J114" s="131" t="s">
        <v>20</v>
      </c>
      <c r="K114" s="9"/>
      <c r="L114" s="9" t="s">
        <v>236</v>
      </c>
      <c r="M114" s="134" t="s">
        <v>20</v>
      </c>
      <c r="N114" s="9" t="s">
        <v>20</v>
      </c>
      <c r="O114" s="9"/>
    </row>
    <row r="115" spans="1:16" ht="18" x14ac:dyDescent="0.35">
      <c r="A115" s="78" t="s">
        <v>24</v>
      </c>
      <c r="B115" s="80" t="s">
        <v>246</v>
      </c>
      <c r="C115" s="78"/>
      <c r="D115" s="28"/>
      <c r="E115" s="28"/>
      <c r="J115" s="131" t="s">
        <v>20</v>
      </c>
      <c r="K115" s="9"/>
      <c r="L115" s="9" t="s">
        <v>237</v>
      </c>
      <c r="M115" s="134" t="s">
        <v>20</v>
      </c>
    </row>
    <row r="116" spans="1:16" ht="18" x14ac:dyDescent="0.35">
      <c r="A116" s="78" t="s">
        <v>25</v>
      </c>
      <c r="B116" s="79" t="s">
        <v>247</v>
      </c>
      <c r="C116" s="78"/>
      <c r="J116" s="131" t="s">
        <v>20</v>
      </c>
      <c r="K116" s="9"/>
      <c r="L116" s="9" t="s">
        <v>238</v>
      </c>
      <c r="M116" s="134" t="s">
        <v>20</v>
      </c>
      <c r="N116" t="s">
        <v>20</v>
      </c>
    </row>
    <row r="117" spans="1:16" ht="18.600000000000001" thickBot="1" x14ac:dyDescent="0.4">
      <c r="A117" s="78" t="s">
        <v>46</v>
      </c>
      <c r="D117" s="9" t="s">
        <v>20</v>
      </c>
      <c r="E117" s="9"/>
      <c r="G117" s="78" t="s">
        <v>251</v>
      </c>
      <c r="J117" s="131">
        <v>45695</v>
      </c>
      <c r="K117" s="9"/>
      <c r="L117" s="9" t="s">
        <v>239</v>
      </c>
      <c r="M117" s="134">
        <v>119262.59</v>
      </c>
      <c r="N117" t="s">
        <v>280</v>
      </c>
    </row>
    <row r="118" spans="1:16" ht="15" thickBot="1" x14ac:dyDescent="0.35">
      <c r="D118" s="29"/>
      <c r="E118" s="29"/>
      <c r="J118" s="131">
        <v>45693</v>
      </c>
      <c r="L118" s="17" t="s">
        <v>240</v>
      </c>
      <c r="M118" s="134">
        <v>77033.88</v>
      </c>
      <c r="N118" t="s">
        <v>281</v>
      </c>
      <c r="P118" t="s">
        <v>20</v>
      </c>
    </row>
    <row r="119" spans="1:16" x14ac:dyDescent="0.3">
      <c r="J119" s="131">
        <v>45707</v>
      </c>
      <c r="M119" s="134">
        <v>105000</v>
      </c>
      <c r="N119" t="s">
        <v>250</v>
      </c>
    </row>
    <row r="120" spans="1:16" x14ac:dyDescent="0.3">
      <c r="J120" s="131" t="s">
        <v>20</v>
      </c>
      <c r="M120" s="134" t="s">
        <v>20</v>
      </c>
      <c r="N120" t="s">
        <v>20</v>
      </c>
    </row>
    <row r="121" spans="1:16" x14ac:dyDescent="0.3">
      <c r="B121" s="3"/>
      <c r="C121" s="3"/>
      <c r="D121" s="3"/>
      <c r="E121" s="3"/>
    </row>
  </sheetData>
  <mergeCells count="3">
    <mergeCell ref="B1:O1"/>
    <mergeCell ref="B3:H3"/>
    <mergeCell ref="C111:D111"/>
  </mergeCells>
  <pageMargins left="0.31496062992125984" right="0.31496062992125984" top="0.15748031496062992" bottom="0" header="0" footer="0"/>
  <pageSetup paperSize="9" scale="8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RESUMEN</vt:lpstr>
      <vt:lpstr>PRORRATEO</vt:lpstr>
      <vt:lpstr>ANOTACIONES</vt:lpstr>
      <vt:lpstr>RESUMEN MENSUAL</vt:lpstr>
      <vt:lpstr>INGRESOS-EGRESOS</vt:lpstr>
      <vt:lpstr>PRORRATEO!Área_de_impresión</vt:lpstr>
      <vt:lpstr>RESUMEN!Área_de_impresión</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Mateo Quotteri</cp:lastModifiedBy>
  <cp:lastPrinted>2026-02-10T14:19:26Z</cp:lastPrinted>
  <dcterms:created xsi:type="dcterms:W3CDTF">2016-01-12T20:02:43Z</dcterms:created>
  <dcterms:modified xsi:type="dcterms:W3CDTF">2026-02-13T13:25:21Z</dcterms:modified>
</cp:coreProperties>
</file>