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istemax\Desktop\rc-consorcio2025\2026\FLORES DE ESTRADA\Febrero\"/>
    </mc:Choice>
  </mc:AlternateContent>
  <xr:revisionPtr revIDLastSave="0" documentId="13_ncr:1_{BD50745C-9AC2-4209-B31E-C765EDA487B4}" xr6:coauthVersionLast="47" xr6:coauthVersionMax="47" xr10:uidLastSave="{00000000-0000-0000-0000-000000000000}"/>
  <bookViews>
    <workbookView xWindow="-120" yWindow="-120" windowWidth="20730" windowHeight="11160" xr2:uid="{00000000-000D-0000-FFFF-FFFF00000000}"/>
  </bookViews>
  <sheets>
    <sheet name="RESUMEN" sheetId="1" r:id="rId1"/>
    <sheet name="Planilla" sheetId="2" r:id="rId2"/>
    <sheet name="Edesur" sheetId="3" r:id="rId3"/>
  </sheets>
  <definedNames>
    <definedName name="_xlnm.Print_Area" localSheetId="2">Edesur!$A$1:$M$44</definedName>
    <definedName name="_xlnm.Print_Area" localSheetId="0">RESUMEN!$A$1:$H$16</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1" l="1"/>
  <c r="O29" i="2"/>
  <c r="O28" i="2"/>
  <c r="M27" i="2"/>
  <c r="M28" i="2"/>
  <c r="M29" i="2"/>
  <c r="M30" i="2"/>
  <c r="M31" i="2"/>
  <c r="M32" i="2"/>
  <c r="M33" i="2"/>
  <c r="M34" i="2"/>
  <c r="M26" i="2"/>
  <c r="M25" i="2"/>
  <c r="H11" i="2"/>
  <c r="H20" i="1"/>
  <c r="M35" i="2" l="1"/>
  <c r="G19" i="2"/>
  <c r="G18" i="2"/>
  <c r="I10" i="3" l="1"/>
  <c r="J10" i="3"/>
  <c r="K10" i="3"/>
  <c r="N10" i="3"/>
  <c r="R10" i="3"/>
  <c r="G11" i="3"/>
  <c r="I11" i="3"/>
  <c r="I34" i="3" s="1"/>
  <c r="J11" i="3"/>
  <c r="N11" i="3" s="1"/>
  <c r="K11" i="3"/>
  <c r="R11" i="3"/>
  <c r="G12" i="3"/>
  <c r="I12" i="3"/>
  <c r="J12" i="3"/>
  <c r="K12" i="3"/>
  <c r="N12" i="3"/>
  <c r="I13" i="3"/>
  <c r="J13" i="3"/>
  <c r="K13" i="3"/>
  <c r="I14" i="3"/>
  <c r="J14" i="3"/>
  <c r="K14" i="3"/>
  <c r="N14" i="3"/>
  <c r="G15" i="3"/>
  <c r="K15" i="3" s="1"/>
  <c r="I15" i="3"/>
  <c r="I16" i="3"/>
  <c r="J16" i="3"/>
  <c r="K16" i="3"/>
  <c r="N16" i="3"/>
  <c r="I17" i="3"/>
  <c r="J17" i="3"/>
  <c r="K17" i="3"/>
  <c r="G18" i="3"/>
  <c r="I18" i="3"/>
  <c r="J18" i="3"/>
  <c r="K18" i="3"/>
  <c r="N18" i="3"/>
  <c r="I19" i="3"/>
  <c r="J19" i="3"/>
  <c r="N19" i="3" s="1"/>
  <c r="K19" i="3"/>
  <c r="G20" i="3"/>
  <c r="I20" i="3"/>
  <c r="J20" i="3"/>
  <c r="K20" i="3"/>
  <c r="N20" i="3"/>
  <c r="I21" i="3"/>
  <c r="J21" i="3"/>
  <c r="K21" i="3"/>
  <c r="S21" i="3"/>
  <c r="G22" i="3"/>
  <c r="S22" i="3" s="1"/>
  <c r="I22" i="3"/>
  <c r="J22" i="3"/>
  <c r="K22" i="3"/>
  <c r="I23" i="3"/>
  <c r="J23" i="3"/>
  <c r="K23" i="3"/>
  <c r="N23" i="3"/>
  <c r="G24" i="3"/>
  <c r="I24" i="3"/>
  <c r="J24" i="3"/>
  <c r="K24" i="3"/>
  <c r="I25" i="3"/>
  <c r="J25" i="3"/>
  <c r="K25" i="3"/>
  <c r="N25" i="3"/>
  <c r="I26" i="3"/>
  <c r="J26" i="3"/>
  <c r="N26" i="3" s="1"/>
  <c r="I27" i="3"/>
  <c r="J27" i="3"/>
  <c r="N27" i="3"/>
  <c r="I28" i="3"/>
  <c r="J28" i="3"/>
  <c r="N28" i="3"/>
  <c r="I29" i="3"/>
  <c r="J29" i="3"/>
  <c r="N29" i="3"/>
  <c r="I30" i="3"/>
  <c r="J30" i="3"/>
  <c r="N30" i="3"/>
  <c r="I31" i="3"/>
  <c r="J31" i="3"/>
  <c r="N31" i="3"/>
  <c r="I32" i="3"/>
  <c r="J32" i="3"/>
  <c r="N32" i="3"/>
  <c r="I33" i="3"/>
  <c r="J33" i="3"/>
  <c r="H34" i="3"/>
  <c r="O35" i="3"/>
  <c r="K34" i="3" l="1"/>
  <c r="N22" i="3"/>
  <c r="J15" i="3"/>
  <c r="J34" i="3"/>
  <c r="N21" i="3"/>
  <c r="N17" i="3"/>
  <c r="N13" i="3"/>
  <c r="N33" i="3"/>
  <c r="N24" i="3"/>
  <c r="L9" i="3" l="1"/>
  <c r="O34" i="3"/>
  <c r="N15" i="3"/>
  <c r="O15" i="3"/>
  <c r="P15" i="3" s="1"/>
  <c r="L13" i="3" l="1"/>
  <c r="M13" i="3" s="1"/>
  <c r="L15" i="3"/>
  <c r="M15" i="3" s="1"/>
  <c r="L17" i="3"/>
  <c r="M17" i="3" s="1"/>
  <c r="L21" i="3"/>
  <c r="M21" i="3" s="1"/>
  <c r="O27" i="3"/>
  <c r="P27" i="3" s="1"/>
  <c r="O23" i="3"/>
  <c r="P23" i="3" s="1"/>
  <c r="O25" i="3"/>
  <c r="P25" i="3" s="1"/>
  <c r="L19" i="3"/>
  <c r="M19" i="3" s="1"/>
  <c r="O16" i="3"/>
  <c r="P16" i="3" s="1"/>
  <c r="L20" i="3"/>
  <c r="M20" i="3" s="1"/>
  <c r="L10" i="3"/>
  <c r="O31" i="3"/>
  <c r="P31" i="3" s="1"/>
  <c r="O21" i="3"/>
  <c r="P21" i="3" s="1"/>
  <c r="L23" i="3"/>
  <c r="M23" i="3" s="1"/>
  <c r="O29" i="3"/>
  <c r="P29" i="3" s="1"/>
  <c r="O10" i="3"/>
  <c r="P10" i="3" s="1"/>
  <c r="L25" i="3"/>
  <c r="M25" i="3" s="1"/>
  <c r="L12" i="3"/>
  <c r="M12" i="3" s="1"/>
  <c r="L14" i="3"/>
  <c r="M14" i="3" s="1"/>
  <c r="L16" i="3"/>
  <c r="M16" i="3" s="1"/>
  <c r="L18" i="3"/>
  <c r="M18" i="3" s="1"/>
  <c r="O12" i="3"/>
  <c r="P12" i="3" s="1"/>
  <c r="O14" i="3"/>
  <c r="P14" i="3" s="1"/>
  <c r="L22" i="3"/>
  <c r="M22" i="3" s="1"/>
  <c r="O30" i="3"/>
  <c r="P30" i="3" s="1"/>
  <c r="L11" i="3"/>
  <c r="O20" i="3"/>
  <c r="P20" i="3" s="1"/>
  <c r="L26" i="3"/>
  <c r="L24" i="3"/>
  <c r="M24" i="3" s="1"/>
  <c r="O32" i="3"/>
  <c r="P32" i="3" s="1"/>
  <c r="O18" i="3"/>
  <c r="P18" i="3" s="1"/>
  <c r="O19" i="3"/>
  <c r="P19" i="3" s="1"/>
  <c r="O17" i="3"/>
  <c r="P17" i="3" s="1"/>
  <c r="O13" i="3"/>
  <c r="P13" i="3" s="1"/>
  <c r="O33" i="3"/>
  <c r="P33" i="3" s="1"/>
  <c r="O24" i="3"/>
  <c r="P24" i="3" s="1"/>
  <c r="O22" i="3"/>
  <c r="P22" i="3" s="1"/>
  <c r="O28" i="3"/>
  <c r="P28" i="3" s="1"/>
  <c r="O26" i="3"/>
  <c r="P26" i="3" s="1"/>
  <c r="L27" i="3" l="1"/>
  <c r="M26" i="3"/>
  <c r="M10" i="3"/>
  <c r="O11" i="3"/>
  <c r="P11" i="3" s="1"/>
  <c r="M11" i="3"/>
  <c r="A1" i="2"/>
  <c r="J11" i="2"/>
  <c r="M11" i="2"/>
  <c r="N11" i="2"/>
  <c r="H12" i="2"/>
  <c r="J12" i="2" s="1"/>
  <c r="M12" i="2"/>
  <c r="N12" i="2"/>
  <c r="H13" i="2"/>
  <c r="M13" i="2"/>
  <c r="N13" i="2"/>
  <c r="H14" i="2"/>
  <c r="M14" i="2"/>
  <c r="N14" i="2"/>
  <c r="H15" i="2"/>
  <c r="M15" i="2"/>
  <c r="N15" i="2"/>
  <c r="H16" i="2"/>
  <c r="M16" i="2"/>
  <c r="N16" i="2"/>
  <c r="H17" i="2"/>
  <c r="M17" i="2"/>
  <c r="N17" i="2"/>
  <c r="H18" i="2"/>
  <c r="M18" i="2"/>
  <c r="N18" i="2"/>
  <c r="H19" i="2"/>
  <c r="J19" i="2" s="1"/>
  <c r="M19" i="2"/>
  <c r="N19" i="2"/>
  <c r="H20" i="2"/>
  <c r="J20" i="2" s="1"/>
  <c r="M20" i="2"/>
  <c r="N20" i="2"/>
  <c r="H21" i="2"/>
  <c r="M21" i="2"/>
  <c r="N21" i="2"/>
  <c r="H22" i="2"/>
  <c r="M22" i="2"/>
  <c r="N22" i="2"/>
  <c r="H23" i="2"/>
  <c r="J23" i="2" s="1"/>
  <c r="M23" i="2"/>
  <c r="N23" i="2"/>
  <c r="H24" i="2"/>
  <c r="J24" i="2" s="1"/>
  <c r="M24" i="2"/>
  <c r="N24" i="2"/>
  <c r="H25" i="2"/>
  <c r="J25" i="2" s="1"/>
  <c r="K25" i="2" s="1"/>
  <c r="N25" i="2"/>
  <c r="H26" i="2"/>
  <c r="J26" i="2" s="1"/>
  <c r="N26" i="2"/>
  <c r="H27" i="2"/>
  <c r="J27" i="2" s="1"/>
  <c r="K27" i="2" s="1"/>
  <c r="N27" i="2"/>
  <c r="H28" i="2"/>
  <c r="J28" i="2" s="1"/>
  <c r="K28" i="2" s="1"/>
  <c r="N28" i="2"/>
  <c r="H29" i="2"/>
  <c r="J29" i="2" s="1"/>
  <c r="N29" i="2"/>
  <c r="H30" i="2"/>
  <c r="N30" i="2"/>
  <c r="H31" i="2"/>
  <c r="J31" i="2" s="1"/>
  <c r="K31" i="2" s="1"/>
  <c r="N31" i="2"/>
  <c r="H32" i="2"/>
  <c r="J32" i="2" s="1"/>
  <c r="K32" i="2" s="1"/>
  <c r="N32" i="2"/>
  <c r="H33" i="2"/>
  <c r="J33" i="2"/>
  <c r="K33" i="2" s="1"/>
  <c r="N33" i="2"/>
  <c r="H34" i="2"/>
  <c r="J34" i="2" s="1"/>
  <c r="K34" i="2" s="1"/>
  <c r="N34" i="2"/>
  <c r="E35" i="2"/>
  <c r="F35" i="2"/>
  <c r="I35" i="2"/>
  <c r="O31" i="2" l="1"/>
  <c r="O34" i="2"/>
  <c r="O27" i="2"/>
  <c r="O32" i="2"/>
  <c r="J21" i="2"/>
  <c r="K21" i="2" s="1"/>
  <c r="O21" i="2" s="1"/>
  <c r="J15" i="2"/>
  <c r="K15" i="2" s="1"/>
  <c r="O15" i="2" s="1"/>
  <c r="J17" i="2"/>
  <c r="K17" i="2" s="1"/>
  <c r="O17" i="2" s="1"/>
  <c r="J30" i="2"/>
  <c r="K30" i="2" s="1"/>
  <c r="O30" i="2" s="1"/>
  <c r="K29" i="2"/>
  <c r="K24" i="2"/>
  <c r="O24" i="2" s="1"/>
  <c r="O33" i="2"/>
  <c r="O25" i="2"/>
  <c r="J22" i="2"/>
  <c r="K22" i="2" s="1"/>
  <c r="O22" i="2" s="1"/>
  <c r="J14" i="2"/>
  <c r="K14" i="2" s="1"/>
  <c r="O14" i="2" s="1"/>
  <c r="H35" i="2"/>
  <c r="N35" i="2"/>
  <c r="G35" i="2"/>
  <c r="H11" i="1" s="1"/>
  <c r="K20" i="2"/>
  <c r="O20" i="2" s="1"/>
  <c r="M27" i="3"/>
  <c r="L28" i="3"/>
  <c r="J16" i="2"/>
  <c r="K16" i="2" s="1"/>
  <c r="O16" i="2" s="1"/>
  <c r="J18" i="2"/>
  <c r="K18" i="2" s="1"/>
  <c r="O18" i="2" s="1"/>
  <c r="J13" i="2"/>
  <c r="K13" i="2" s="1"/>
  <c r="O13" i="2" s="1"/>
  <c r="K19" i="2"/>
  <c r="O19" i="2" s="1"/>
  <c r="K12" i="2"/>
  <c r="O12" i="2" s="1"/>
  <c r="K26" i="2"/>
  <c r="O26" i="2" s="1"/>
  <c r="K11" i="2"/>
  <c r="O11" i="2" s="1"/>
  <c r="K23" i="2"/>
  <c r="O23" i="2" s="1"/>
  <c r="L29" i="3" l="1"/>
  <c r="M28" i="3"/>
  <c r="O35" i="2"/>
  <c r="J35" i="2"/>
  <c r="L30" i="3" l="1"/>
  <c r="M29" i="3"/>
  <c r="L31" i="3" l="1"/>
  <c r="M30" i="3"/>
  <c r="L32" i="3" l="1"/>
  <c r="M31" i="3"/>
  <c r="M32" i="3" l="1"/>
  <c r="L33" i="3"/>
  <c r="M33" i="3" s="1"/>
  <c r="L34" i="3"/>
  <c r="K37" i="3" s="1"/>
  <c r="M34" i="3" l="1"/>
  <c r="H16" i="1" l="1"/>
  <c r="H19" i="1" s="1"/>
  <c r="H21" i="1" s="1"/>
</calcChain>
</file>

<file path=xl/sharedStrings.xml><?xml version="1.0" encoding="utf-8"?>
<sst xmlns="http://schemas.openxmlformats.org/spreadsheetml/2006/main" count="197" uniqueCount="102">
  <si>
    <t>Domicilio:</t>
  </si>
  <si>
    <t>e-mail:</t>
  </si>
  <si>
    <t>floresdestrada5065@gmail.com</t>
  </si>
  <si>
    <t>Saldo al cierre</t>
  </si>
  <si>
    <t>Saldo anterior</t>
  </si>
  <si>
    <t>Punitorios mal cobrados</t>
  </si>
  <si>
    <t xml:space="preserve">Ingreso pago por expensas </t>
  </si>
  <si>
    <t>TOTALES</t>
  </si>
  <si>
    <t>PAWLAK, MARCOS</t>
  </si>
  <si>
    <t>0-COCHO 8</t>
  </si>
  <si>
    <t>NN</t>
  </si>
  <si>
    <t>0-COCHO 7</t>
  </si>
  <si>
    <t>NIEVA, PEDRO DANIEL</t>
  </si>
  <si>
    <t>0-COCHO 6</t>
  </si>
  <si>
    <t>ALCOLEAS, CRISTIAN</t>
  </si>
  <si>
    <t>0-COCHO 5</t>
  </si>
  <si>
    <t>BOSSIO, GERARDO</t>
  </si>
  <si>
    <t>0-COCHO 4</t>
  </si>
  <si>
    <t>BELON, SERGIO</t>
  </si>
  <si>
    <t>0-COCHO 3</t>
  </si>
  <si>
    <t>0-COCHO 2</t>
  </si>
  <si>
    <t>Tomas</t>
  </si>
  <si>
    <t>BEARZOTTI, EDGARDO OSCAR</t>
  </si>
  <si>
    <t>0-COCHO 1</t>
  </si>
  <si>
    <t>Fausto</t>
  </si>
  <si>
    <t xml:space="preserve">MOSQUERA FERNANDO </t>
  </si>
  <si>
    <t>7-B</t>
  </si>
  <si>
    <t>Raquel</t>
  </si>
  <si>
    <t>STARK, CARLOS L. FRANCIS</t>
  </si>
  <si>
    <t>7-A</t>
  </si>
  <si>
    <t>SORIA, JUAN CRUZ</t>
  </si>
  <si>
    <t>6-B</t>
  </si>
  <si>
    <t>BRESCIA, MELODY ELIZABETH</t>
  </si>
  <si>
    <t>6 -A</t>
  </si>
  <si>
    <t>4-C</t>
  </si>
  <si>
    <t>4-B</t>
  </si>
  <si>
    <t>4 -A</t>
  </si>
  <si>
    <t>Yoleidy</t>
  </si>
  <si>
    <t>3-C</t>
  </si>
  <si>
    <t>BALBIS, MARISA</t>
  </si>
  <si>
    <t>3-B</t>
  </si>
  <si>
    <t>Agustina</t>
  </si>
  <si>
    <t>NIEVA, DANIELA ANTONELA</t>
  </si>
  <si>
    <t>3-A</t>
  </si>
  <si>
    <t>Romina</t>
  </si>
  <si>
    <t>PUGLIESE, FRANCISCO</t>
  </si>
  <si>
    <t>2-C</t>
  </si>
  <si>
    <t>Juan</t>
  </si>
  <si>
    <t>ALONSO,GUSTAVO OSAVALDO</t>
  </si>
  <si>
    <t>2-B</t>
  </si>
  <si>
    <t>Gonzalo</t>
  </si>
  <si>
    <t>2 -A</t>
  </si>
  <si>
    <t xml:space="preserve">Antonella </t>
  </si>
  <si>
    <t>1-C</t>
  </si>
  <si>
    <t>Daniel</t>
  </si>
  <si>
    <t>1-B</t>
  </si>
  <si>
    <t>NICOLAU, IGNACIO</t>
  </si>
  <si>
    <t>1 -A</t>
  </si>
  <si>
    <t>Total a Pagar</t>
  </si>
  <si>
    <t>Gasto Extr.</t>
  </si>
  <si>
    <t>Gasto Ordinario</t>
  </si>
  <si>
    <t>Total con Mora</t>
  </si>
  <si>
    <t>Interés por Mora 8,8%</t>
  </si>
  <si>
    <t xml:space="preserve">DEUDA </t>
  </si>
  <si>
    <t xml:space="preserve">PAGOS </t>
  </si>
  <si>
    <t>SALDO MES ANTERIOR</t>
  </si>
  <si>
    <t xml:space="preserve">% </t>
  </si>
  <si>
    <t>INQUILINOS</t>
  </si>
  <si>
    <t>PROPIETARIOS</t>
  </si>
  <si>
    <t>PISO - DEPTO</t>
  </si>
  <si>
    <t>U.F.</t>
  </si>
  <si>
    <t>Gastos Extr.</t>
  </si>
  <si>
    <t>Gastos Ord.</t>
  </si>
  <si>
    <t>CUIT:</t>
  </si>
  <si>
    <t xml:space="preserve">CEL: </t>
  </si>
  <si>
    <t>Localidad:</t>
  </si>
  <si>
    <t>ADMINISTRADORA: CAROLINA CANCIANI</t>
  </si>
  <si>
    <t>FLORES DE ESTRADA Nº 5065</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</si>
  <si>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</si>
  <si>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</si>
  <si>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NOTA:</t>
  </si>
  <si>
    <t>ALONSO,GUSTAVO OSVALDO</t>
  </si>
  <si>
    <t>PRORRATEO FALTANTE</t>
  </si>
  <si>
    <t>% CONSUMO REAL</t>
  </si>
  <si>
    <t>EDESUR FINAL</t>
  </si>
  <si>
    <t>KWH</t>
  </si>
  <si>
    <t xml:space="preserve">EDESUR </t>
  </si>
  <si>
    <t>INTERES POR MORA 7%</t>
  </si>
  <si>
    <t>DEUDA</t>
  </si>
  <si>
    <t>CONSUMO ACTUAL</t>
  </si>
  <si>
    <t>CONSUMO ANT.</t>
  </si>
  <si>
    <t>%</t>
  </si>
  <si>
    <t>B1824</t>
  </si>
  <si>
    <t>C.P.:</t>
  </si>
  <si>
    <t>0-000000-0</t>
  </si>
  <si>
    <t>Lanus</t>
  </si>
  <si>
    <t>FLORES DE ESTRADA 5065</t>
  </si>
  <si>
    <t>Edesur</t>
  </si>
  <si>
    <t>EDESUR</t>
  </si>
  <si>
    <t>Egresos gastos del mes - FEBRERO ORDINARIO</t>
  </si>
  <si>
    <t>Egresos gastos del mes - FEBRERO EXTRAORDINARIO</t>
  </si>
  <si>
    <t>Estado de caja al 01/02/2026: $2.742.630,98 y se abonan  $35.500 de articulos de limpieza, $37.000 de articulos de limpieza (Adeudado), $85.000 de arreglo de camaras, $20.000 de electricista Facundo (24/02) y el abono de la jardineria de $70.000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</si>
</sst>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 #,##0;[Red]\-&quot;$&quot;\ #,##0"/>
    <numFmt numFmtId="8" formatCode="&quot;$&quot;\ #,##0.00;[Red]\-&quot;$&quot;\ #,##0.00"/>
    <numFmt numFmtId="44" formatCode="_-&quot;$&quot;\ * #,##0.00_-;\-&quot;$&quot;\ * #,##0.00_-;_-&quot;$&quot;\ * &quot;-&quot;??_-;_-@_-"/>
    <numFmt numFmtId="43" formatCode="_-* #,##0.00_-;\-* #,##0.00_-;_-* &quot;-&quot;??_-;_-@_-"/>
    <numFmt numFmtId="164" formatCode="_-&quot;$&quot;\ * #,##0_-;\-&quot;$&quot;\ * #,##0_-;_-&quot;$&quot;\ * &quot;-&quot;??_-;_-@_-"/>
    <numFmt numFmtId="165" formatCode="_-* #,##0_-;\-* #,##0_-;_-* &quot;-&quot;??_-;_-@_-"/>
    <numFmt numFmtId="166" formatCode="_-&quot;$&quot;\ * #,##0_-;\-&quot;$&quot;\ * #,##0_-;_-&quot;$&quot;\ * &quot;-&quot;??_-;_-@"/>
    <numFmt numFmtId="167" formatCode="_-&quot;$&quot;\ * #,##0.00_-;\-&quot;$&quot;\ * #,##0.00_-;_-&quot;$&quot;\ * &quot;-&quot;??_-;_-@"/>
    <numFmt numFmtId="168" formatCode="0.00;[Red]0.00"/>
    <numFmt numFmtId="169" formatCode="_-[$$-2C0A]\ * #,##0.00_-;\-[$$-2C0A]\ * #,##0.00_-;_-[$$-2C0A]\ * &quot;-&quot;??_-;_-@_-"/>
  </numFmts>
  <fonts count="26" x14ac:knownFonts="1">
    <font>
      <sz val="11"/>
      <color theme="1"/>
      <name val="Calibri"/>
      <family val="2"/>
      <scheme val="minor"/>
    </font>
    <font>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b/>
      <u/>
      <sz val="14"/>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b/>
      <sz val="10"/>
      <color theme="1"/>
      <name val="Calibri"/>
      <family val="2"/>
      <scheme val="minor"/>
    </font>
    <font>
      <b/>
      <sz val="8"/>
      <color theme="1"/>
      <name val="Calibri"/>
      <family val="2"/>
      <scheme val="minor"/>
    </font>
    <font>
      <b/>
      <sz val="12"/>
      <color theme="1"/>
      <name val="Calibri"/>
      <family val="2"/>
      <scheme val="minor"/>
    </font>
    <font>
      <sz val="9"/>
      <color theme="1"/>
      <name val="Calibri"/>
      <family val="2"/>
      <scheme val="minor"/>
    </font>
    <font>
      <b/>
      <sz val="9"/>
      <color theme="1"/>
      <name val="Calibri"/>
      <family val="2"/>
      <scheme val="minor"/>
    </font>
    <font>
      <b/>
      <sz val="16"/>
      <color theme="1"/>
      <name val="Calibri"/>
      <family val="2"/>
      <scheme val="minor"/>
    </font>
    <font>
      <sz val="11"/>
      <color theme="1"/>
      <name val="Calibri"/>
      <family val="2"/>
    </font>
    <font>
      <b/>
      <sz val="11"/>
      <color theme="1"/>
      <name val="Calibri"/>
      <family val="2"/>
    </font>
    <font>
      <sz val="11"/>
      <name val="Calibri"/>
      <family val="2"/>
    </font>
    <font>
      <sz val="10"/>
      <color theme="1"/>
      <name val="Calibri"/>
      <family val="2"/>
      <scheme val="minor"/>
    </font>
    <font>
      <sz val="11"/>
      <color rgb="FFFF0000"/>
      <name val="Calibri"/>
      <family val="2"/>
    </font>
    <font>
      <sz val="8"/>
      <color theme="1"/>
      <name val="Calibri"/>
      <family val="2"/>
      <scheme val="minor"/>
    </font>
    <font>
      <b/>
      <sz val="9"/>
      <color theme="1"/>
      <name val="Calibri"/>
      <family val="2"/>
    </font>
    <font>
      <b/>
      <sz val="10"/>
      <name val="Calibri"/>
      <family val="2"/>
    </font>
    <font>
      <b/>
      <sz val="16"/>
      <color theme="1"/>
      <name val="Calibri"/>
      <family val="2"/>
    </font>
  </fonts>
  <fills count="12">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bgColor indexed="64"/>
      </patternFill>
    </fill>
    <fill>
      <patternFill patternType="solid">
        <fgColor rgb="FFF4B083"/>
        <bgColor rgb="FFF4B083"/>
      </patternFill>
    </fill>
    <fill>
      <patternFill patternType="solid">
        <fgColor theme="2"/>
        <bgColor indexed="64"/>
      </patternFill>
    </fill>
    <fill>
      <patternFill patternType="solid">
        <fgColor rgb="FFFF0000"/>
        <bgColor indexed="64"/>
      </patternFill>
    </fill>
    <fill>
      <patternFill patternType="solid">
        <fgColor theme="0"/>
        <bgColor theme="0"/>
      </patternFill>
    </fill>
    <fill>
      <patternFill patternType="solid">
        <fgColor rgb="FF9CC2E5"/>
        <bgColor rgb="FF9CC2E5"/>
      </patternFill>
    </fill>
  </fills>
  <borders count="2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5">
    <xf numFmtId="0" fontId="0" fillId="0" borderId="0"/>
    <xf numFmtId="44" fontId="1" fillId="0" borderId="0" applyFont="0" applyFill="0" applyBorder="0" applyAlignment="0" applyProtection="0"/>
    <xf numFmtId="0" fontId="2"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38">
    <xf numFmtId="0" fontId="0" fillId="0" borderId="0" xfId="0"/>
    <xf numFmtId="0" fontId="0" fillId="3" borderId="0" xfId="0" applyFill="1"/>
    <xf numFmtId="8" fontId="0" fillId="0" borderId="0" xfId="0" applyNumberFormat="1"/>
    <xf numFmtId="0" fontId="3" fillId="0" borderId="0" xfId="0" applyFont="1"/>
    <xf numFmtId="0" fontId="6" fillId="3" borderId="4" xfId="0" applyFont="1" applyFill="1" applyBorder="1" applyAlignment="1">
      <alignment horizontal="left"/>
    </xf>
    <xf numFmtId="0" fontId="6" fillId="3" borderId="5" xfId="0" applyFont="1" applyFill="1" applyBorder="1" applyAlignment="1">
      <alignment horizontal="center"/>
    </xf>
    <xf numFmtId="0" fontId="3" fillId="0" borderId="4" xfId="0" applyFont="1" applyBorder="1"/>
    <xf numFmtId="0" fontId="3" fillId="0" borderId="5" xfId="0" applyFont="1" applyBorder="1"/>
    <xf numFmtId="8" fontId="3" fillId="0" borderId="3" xfId="1" applyNumberFormat="1" applyFont="1" applyBorder="1"/>
    <xf numFmtId="0" fontId="7" fillId="4" borderId="4" xfId="0" applyFont="1" applyFill="1" applyBorder="1"/>
    <xf numFmtId="0" fontId="6" fillId="4" borderId="5" xfId="0" applyFont="1" applyFill="1" applyBorder="1"/>
    <xf numFmtId="8" fontId="6" fillId="3" borderId="6" xfId="1" applyNumberFormat="1" applyFont="1" applyFill="1" applyBorder="1" applyAlignment="1">
      <alignment horizontal="center"/>
    </xf>
    <xf numFmtId="8" fontId="6" fillId="4" borderId="3" xfId="1" applyNumberFormat="1" applyFont="1" applyFill="1" applyBorder="1"/>
    <xf numFmtId="6" fontId="0" fillId="0" borderId="0" xfId="0" applyNumberFormat="1"/>
    <xf numFmtId="44" fontId="0" fillId="0" borderId="0" xfId="0" applyNumberFormat="1"/>
    <xf numFmtId="44" fontId="8" fillId="0" borderId="3" xfId="1" applyFont="1" applyBorder="1"/>
    <xf numFmtId="44" fontId="3" fillId="3" borderId="3" xfId="1" applyFont="1" applyFill="1" applyBorder="1"/>
    <xf numFmtId="164" fontId="0" fillId="0" borderId="0" xfId="1" applyNumberFormat="1" applyFont="1"/>
    <xf numFmtId="0" fontId="0" fillId="0" borderId="0" xfId="0" applyAlignment="1">
      <alignment horizontal="center"/>
    </xf>
    <xf numFmtId="164" fontId="0" fillId="0" borderId="0" xfId="1" applyNumberFormat="1" applyFont="1" applyBorder="1"/>
    <xf numFmtId="0" fontId="10" fillId="0" borderId="0" xfId="0" applyFont="1"/>
    <xf numFmtId="164" fontId="11" fillId="2" borderId="3" xfId="0" applyNumberFormat="1" applyFont="1" applyFill="1" applyBorder="1"/>
    <xf numFmtId="44" fontId="12" fillId="2" borderId="3" xfId="1" applyFont="1" applyFill="1" applyBorder="1"/>
    <xf numFmtId="164" fontId="13" fillId="2" borderId="3" xfId="1" applyNumberFormat="1" applyFont="1" applyFill="1" applyBorder="1"/>
    <xf numFmtId="44" fontId="13" fillId="2" borderId="3" xfId="0" applyNumberFormat="1" applyFont="1" applyFill="1" applyBorder="1"/>
    <xf numFmtId="164" fontId="5" fillId="2" borderId="3" xfId="1" applyNumberFormat="1" applyFont="1" applyFill="1" applyBorder="1"/>
    <xf numFmtId="44" fontId="13" fillId="2" borderId="3" xfId="1" applyFont="1" applyFill="1" applyBorder="1"/>
    <xf numFmtId="165" fontId="13" fillId="2" borderId="3" xfId="3" applyNumberFormat="1" applyFont="1" applyFill="1" applyBorder="1"/>
    <xf numFmtId="0" fontId="13" fillId="2" borderId="3" xfId="0" applyFont="1" applyFill="1" applyBorder="1" applyAlignment="1">
      <alignment horizontal="center"/>
    </xf>
    <xf numFmtId="164" fontId="0" fillId="0" borderId="3" xfId="0" applyNumberFormat="1" applyBorder="1"/>
    <xf numFmtId="164" fontId="0" fillId="0" borderId="3" xfId="1" applyNumberFormat="1" applyFont="1" applyBorder="1"/>
    <xf numFmtId="44" fontId="0" fillId="0" borderId="3" xfId="0" applyNumberFormat="1" applyBorder="1"/>
    <xf numFmtId="44" fontId="0" fillId="0" borderId="3" xfId="1" applyFont="1" applyBorder="1"/>
    <xf numFmtId="164" fontId="3" fillId="3" borderId="3" xfId="1" applyNumberFormat="1" applyFont="1" applyFill="1" applyBorder="1"/>
    <xf numFmtId="0" fontId="0" fillId="0" borderId="3" xfId="0" applyBorder="1"/>
    <xf numFmtId="0" fontId="14" fillId="0" borderId="3" xfId="0" applyFont="1" applyBorder="1"/>
    <xf numFmtId="0" fontId="0" fillId="0" borderId="3" xfId="0" applyBorder="1" applyAlignment="1">
      <alignment horizontal="center"/>
    </xf>
    <xf numFmtId="44" fontId="3" fillId="0" borderId="3" xfId="1" applyFont="1" applyBorder="1"/>
    <xf numFmtId="2" fontId="0" fillId="0" borderId="3" xfId="0" applyNumberFormat="1" applyBorder="1"/>
    <xf numFmtId="0" fontId="14" fillId="3" borderId="3" xfId="0" applyFont="1" applyFill="1" applyBorder="1"/>
    <xf numFmtId="0" fontId="0" fillId="3" borderId="3" xfId="0" applyFill="1" applyBorder="1" applyAlignment="1">
      <alignment horizontal="center"/>
    </xf>
    <xf numFmtId="164" fontId="0" fillId="0" borderId="0" xfId="0" applyNumberFormat="1"/>
    <xf numFmtId="43" fontId="0" fillId="0" borderId="3" xfId="3" applyFont="1" applyBorder="1"/>
    <xf numFmtId="0" fontId="9" fillId="2" borderId="13" xfId="0" applyFont="1" applyFill="1" applyBorder="1" applyAlignment="1">
      <alignment horizontal="center" vertical="center" wrapText="1"/>
    </xf>
    <xf numFmtId="164" fontId="9" fillId="2" borderId="13" xfId="1" applyNumberFormat="1" applyFont="1" applyFill="1" applyBorder="1" applyAlignment="1">
      <alignment horizontal="center" vertical="center" wrapText="1"/>
    </xf>
    <xf numFmtId="0" fontId="15" fillId="2" borderId="13" xfId="0" applyFont="1" applyFill="1" applyBorder="1" applyAlignment="1">
      <alignment horizontal="center" vertical="center"/>
    </xf>
    <xf numFmtId="0" fontId="9" fillId="2" borderId="13" xfId="0" applyFont="1" applyFill="1" applyBorder="1" applyAlignment="1">
      <alignment horizontal="center" vertical="center"/>
    </xf>
    <xf numFmtId="0" fontId="0" fillId="0" borderId="12" xfId="0" applyBorder="1"/>
    <xf numFmtId="0" fontId="0" fillId="0" borderId="2" xfId="0" applyBorder="1"/>
    <xf numFmtId="9" fontId="0" fillId="0" borderId="2" xfId="4" applyFont="1" applyBorder="1"/>
    <xf numFmtId="164" fontId="0" fillId="0" borderId="2" xfId="1" applyNumberFormat="1" applyFont="1" applyBorder="1"/>
    <xf numFmtId="44" fontId="0" fillId="0" borderId="2" xfId="1" applyFont="1" applyBorder="1"/>
    <xf numFmtId="0" fontId="9" fillId="0" borderId="11" xfId="0" applyFont="1" applyBorder="1" applyAlignment="1">
      <alignment horizontal="center"/>
    </xf>
    <xf numFmtId="0" fontId="0" fillId="0" borderId="10" xfId="0" applyBorder="1"/>
    <xf numFmtId="44" fontId="9" fillId="0" borderId="0" xfId="1" applyFont="1" applyBorder="1"/>
    <xf numFmtId="0" fontId="9" fillId="0" borderId="9" xfId="0" applyFont="1" applyBorder="1" applyAlignment="1">
      <alignment horizontal="left"/>
    </xf>
    <xf numFmtId="8" fontId="4" fillId="3" borderId="0" xfId="0" applyNumberFormat="1" applyFont="1" applyFill="1" applyAlignment="1">
      <alignment horizontal="right"/>
    </xf>
    <xf numFmtId="0" fontId="2" fillId="0" borderId="0" xfId="2" applyBorder="1"/>
    <xf numFmtId="164" fontId="9" fillId="0" borderId="0" xfId="1" applyNumberFormat="1" applyFont="1" applyBorder="1"/>
    <xf numFmtId="164" fontId="9" fillId="3" borderId="0" xfId="1" applyNumberFormat="1" applyFont="1" applyFill="1" applyBorder="1" applyAlignment="1">
      <alignment horizontal="center" vertical="center" wrapText="1"/>
    </xf>
    <xf numFmtId="0" fontId="14" fillId="0" borderId="0" xfId="0" applyFont="1" applyAlignment="1">
      <alignment horizontal="left"/>
    </xf>
    <xf numFmtId="164" fontId="9" fillId="0" borderId="0" xfId="1" applyNumberFormat="1" applyFont="1" applyBorder="1" applyAlignment="1"/>
    <xf numFmtId="0" fontId="9" fillId="0" borderId="0" xfId="0" applyFont="1"/>
    <xf numFmtId="0" fontId="0" fillId="0" borderId="9" xfId="0" applyBorder="1" applyAlignment="1">
      <alignment horizontal="left"/>
    </xf>
    <xf numFmtId="0" fontId="17" fillId="0" borderId="0" xfId="0" applyFont="1" applyAlignment="1">
      <alignment horizontal="center"/>
    </xf>
    <xf numFmtId="166" fontId="17" fillId="0" borderId="0" xfId="0" applyNumberFormat="1" applyFont="1"/>
    <xf numFmtId="166" fontId="0" fillId="0" borderId="0" xfId="0" applyNumberFormat="1"/>
    <xf numFmtId="167" fontId="0" fillId="0" borderId="0" xfId="0" applyNumberFormat="1"/>
    <xf numFmtId="0" fontId="18" fillId="7" borderId="0" xfId="0" applyFont="1" applyFill="1" applyAlignment="1">
      <alignment horizontal="left" vertical="center" wrapText="1"/>
    </xf>
    <xf numFmtId="166" fontId="17" fillId="0" borderId="14" xfId="0" applyNumberFormat="1" applyFont="1" applyBorder="1"/>
    <xf numFmtId="167" fontId="17" fillId="0" borderId="14" xfId="0" applyNumberFormat="1" applyFont="1" applyBorder="1"/>
    <xf numFmtId="0" fontId="17" fillId="0" borderId="14" xfId="0" applyFont="1" applyBorder="1"/>
    <xf numFmtId="0" fontId="17" fillId="0" borderId="15" xfId="0" applyFont="1" applyBorder="1"/>
    <xf numFmtId="0" fontId="17" fillId="0" borderId="0" xfId="0" applyFont="1"/>
    <xf numFmtId="167" fontId="17" fillId="0" borderId="16" xfId="0" applyNumberFormat="1" applyFont="1" applyBorder="1"/>
    <xf numFmtId="2" fontId="17" fillId="0" borderId="16" xfId="0" applyNumberFormat="1" applyFont="1" applyBorder="1" applyAlignment="1">
      <alignment horizontal="center"/>
    </xf>
    <xf numFmtId="168" fontId="17" fillId="0" borderId="0" xfId="0" applyNumberFormat="1" applyFont="1"/>
    <xf numFmtId="166" fontId="17" fillId="3" borderId="16" xfId="0" applyNumberFormat="1" applyFont="1" applyFill="1" applyBorder="1"/>
    <xf numFmtId="167" fontId="17" fillId="3" borderId="16" xfId="0" applyNumberFormat="1" applyFont="1" applyFill="1" applyBorder="1"/>
    <xf numFmtId="0" fontId="17" fillId="3" borderId="16" xfId="0" applyFont="1" applyFill="1" applyBorder="1"/>
    <xf numFmtId="0" fontId="20" fillId="3" borderId="3" xfId="0" applyFont="1" applyFill="1" applyBorder="1"/>
    <xf numFmtId="0" fontId="17" fillId="5" borderId="16" xfId="0" applyFont="1" applyFill="1" applyBorder="1"/>
    <xf numFmtId="166" fontId="17" fillId="5" borderId="16" xfId="0" applyNumberFormat="1" applyFont="1" applyFill="1" applyBorder="1"/>
    <xf numFmtId="167" fontId="17" fillId="5" borderId="16" xfId="0" applyNumberFormat="1" applyFont="1" applyFill="1" applyBorder="1"/>
    <xf numFmtId="166" fontId="17" fillId="0" borderId="16" xfId="0" applyNumberFormat="1" applyFont="1" applyBorder="1"/>
    <xf numFmtId="0" fontId="17" fillId="0" borderId="16" xfId="0" applyFont="1" applyBorder="1"/>
    <xf numFmtId="0" fontId="17" fillId="8" borderId="16" xfId="0" applyFont="1" applyFill="1" applyBorder="1"/>
    <xf numFmtId="166" fontId="17" fillId="9" borderId="16" xfId="0" applyNumberFormat="1" applyFont="1" applyFill="1" applyBorder="1"/>
    <xf numFmtId="167" fontId="17" fillId="9" borderId="16" xfId="0" applyNumberFormat="1" applyFont="1" applyFill="1" applyBorder="1"/>
    <xf numFmtId="0" fontId="19" fillId="9" borderId="16" xfId="0" applyFont="1" applyFill="1" applyBorder="1"/>
    <xf numFmtId="0" fontId="17" fillId="9" borderId="16" xfId="0" applyFont="1" applyFill="1" applyBorder="1"/>
    <xf numFmtId="0" fontId="19" fillId="3" borderId="16" xfId="0" applyFont="1" applyFill="1" applyBorder="1"/>
    <xf numFmtId="2" fontId="17" fillId="3" borderId="16" xfId="0" applyNumberFormat="1" applyFont="1" applyFill="1" applyBorder="1"/>
    <xf numFmtId="166" fontId="17" fillId="10" borderId="16" xfId="0" applyNumberFormat="1" applyFont="1" applyFill="1" applyBorder="1"/>
    <xf numFmtId="166" fontId="21" fillId="3" borderId="16" xfId="0" applyNumberFormat="1" applyFont="1" applyFill="1" applyBorder="1"/>
    <xf numFmtId="2" fontId="17" fillId="0" borderId="16" xfId="0" applyNumberFormat="1" applyFont="1" applyBorder="1"/>
    <xf numFmtId="44" fontId="22" fillId="3" borderId="0" xfId="0" applyNumberFormat="1" applyFont="1" applyFill="1"/>
    <xf numFmtId="2" fontId="17" fillId="3" borderId="16" xfId="0" applyNumberFormat="1" applyFont="1" applyFill="1" applyBorder="1" applyAlignment="1">
      <alignment horizontal="center"/>
    </xf>
    <xf numFmtId="168" fontId="17" fillId="3" borderId="0" xfId="0" applyNumberFormat="1" applyFont="1" applyFill="1"/>
    <xf numFmtId="2" fontId="17" fillId="5" borderId="16" xfId="0" applyNumberFormat="1" applyFont="1" applyFill="1" applyBorder="1"/>
    <xf numFmtId="0" fontId="19" fillId="5" borderId="16" xfId="0" applyFont="1" applyFill="1" applyBorder="1"/>
    <xf numFmtId="0" fontId="1" fillId="0" borderId="0" xfId="0" applyFont="1"/>
    <xf numFmtId="9" fontId="17" fillId="0" borderId="0" xfId="0" applyNumberFormat="1" applyFont="1"/>
    <xf numFmtId="2" fontId="17" fillId="9" borderId="16" xfId="0" applyNumberFormat="1" applyFont="1" applyFill="1" applyBorder="1"/>
    <xf numFmtId="0" fontId="18" fillId="11" borderId="16" xfId="0" applyFont="1" applyFill="1" applyBorder="1" applyAlignment="1">
      <alignment horizontal="center" vertical="center" wrapText="1"/>
    </xf>
    <xf numFmtId="0" fontId="18" fillId="11" borderId="0" xfId="0" applyFont="1" applyFill="1" applyAlignment="1">
      <alignment horizontal="center" vertical="center" wrapText="1"/>
    </xf>
    <xf numFmtId="166" fontId="18" fillId="11" borderId="16" xfId="0" applyNumberFormat="1" applyFont="1" applyFill="1" applyBorder="1" applyAlignment="1">
      <alignment horizontal="center" vertical="center" wrapText="1"/>
    </xf>
    <xf numFmtId="0" fontId="23" fillId="11" borderId="16" xfId="0" applyFont="1" applyFill="1" applyBorder="1" applyAlignment="1">
      <alignment horizontal="center" vertical="center" wrapText="1"/>
    </xf>
    <xf numFmtId="0" fontId="18" fillId="11" borderId="16" xfId="0" applyFont="1" applyFill="1" applyBorder="1" applyAlignment="1">
      <alignment horizontal="center" vertical="center"/>
    </xf>
    <xf numFmtId="0" fontId="17" fillId="0" borderId="17" xfId="0" applyFont="1" applyBorder="1"/>
    <xf numFmtId="0" fontId="17" fillId="0" borderId="18" xfId="0" applyFont="1" applyBorder="1"/>
    <xf numFmtId="166" fontId="17" fillId="0" borderId="18" xfId="0" applyNumberFormat="1" applyFont="1" applyBorder="1"/>
    <xf numFmtId="167" fontId="24" fillId="3" borderId="18" xfId="0" applyNumberFormat="1" applyFont="1" applyFill="1" applyBorder="1"/>
    <xf numFmtId="0" fontId="18" fillId="0" borderId="19" xfId="0" applyFont="1" applyBorder="1"/>
    <xf numFmtId="0" fontId="18" fillId="0" borderId="20" xfId="0" applyFont="1" applyBorder="1"/>
    <xf numFmtId="167" fontId="18" fillId="0" borderId="18" xfId="0" applyNumberFormat="1" applyFont="1" applyBorder="1"/>
    <xf numFmtId="0" fontId="17" fillId="0" borderId="21" xfId="0" applyFont="1" applyBorder="1"/>
    <xf numFmtId="0" fontId="17" fillId="0" borderId="19" xfId="0" applyFont="1" applyBorder="1"/>
    <xf numFmtId="0" fontId="25" fillId="11" borderId="0" xfId="0" applyFont="1" applyFill="1" applyAlignment="1">
      <alignment horizontal="center" vertical="center" wrapText="1"/>
    </xf>
    <xf numFmtId="169" fontId="8" fillId="0" borderId="3" xfId="1" applyNumberFormat="1" applyFont="1" applyBorder="1"/>
    <xf numFmtId="44" fontId="0" fillId="0" borderId="0" xfId="1" applyFont="1"/>
    <xf numFmtId="8" fontId="4" fillId="3" borderId="0" xfId="0" applyNumberFormat="1" applyFont="1" applyFill="1" applyBorder="1" applyAlignment="1">
      <alignment horizontal="right"/>
    </xf>
    <xf numFmtId="0" fontId="6" fillId="4" borderId="4" xfId="0" applyFont="1" applyFill="1" applyBorder="1" applyAlignment="1">
      <alignment horizontal="center"/>
    </xf>
    <xf numFmtId="0" fontId="6" fillId="4" borderId="5" xfId="0" applyFont="1" applyFill="1" applyBorder="1" applyAlignment="1">
      <alignment horizontal="center"/>
    </xf>
    <xf numFmtId="0" fontId="6" fillId="4" borderId="6" xfId="0" applyFont="1" applyFill="1" applyBorder="1" applyAlignment="1">
      <alignment horizontal="center"/>
    </xf>
    <xf numFmtId="0" fontId="6" fillId="6" borderId="0" xfId="0" applyFont="1" applyFill="1" applyAlignment="1">
      <alignment horizontal="left" vertical="center" wrapText="1"/>
    </xf>
    <xf numFmtId="0" fontId="13" fillId="2" borderId="3" xfId="0" applyFont="1" applyFill="1" applyBorder="1" applyAlignment="1">
      <alignment horizontal="center"/>
    </xf>
    <xf numFmtId="0" fontId="0" fillId="0" borderId="0" xfId="0" applyAlignment="1">
      <alignment horizontal="left"/>
    </xf>
    <xf numFmtId="0" fontId="0" fillId="0" borderId="10" xfId="0" applyBorder="1" applyAlignment="1">
      <alignment horizontal="left"/>
    </xf>
    <xf numFmtId="0" fontId="16" fillId="2" borderId="7"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25" fillId="11" borderId="15" xfId="0" applyFont="1" applyFill="1" applyBorder="1" applyAlignment="1">
      <alignment horizontal="center" vertical="center" wrapText="1"/>
    </xf>
    <xf numFmtId="0" fontId="19" fillId="0" borderId="14" xfId="0" applyFont="1" applyBorder="1"/>
    <xf numFmtId="0" fontId="19" fillId="0" borderId="22" xfId="0" applyFont="1" applyBorder="1"/>
    <xf numFmtId="0" fontId="18" fillId="7" borderId="15" xfId="0" applyFont="1" applyFill="1" applyBorder="1" applyAlignment="1">
      <alignment horizontal="left" vertical="center" wrapText="1"/>
    </xf>
    <xf numFmtId="0" fontId="9" fillId="5" borderId="0" xfId="0" applyFont="1" applyFill="1" applyAlignment="1">
      <alignment horizontal="left" vertical="center" wrapText="1"/>
    </xf>
    <xf numFmtId="0" fontId="9" fillId="5" borderId="0" xfId="0" applyFont="1" applyFill="1" applyAlignment="1">
      <alignment horizontal="left" vertical="center"/>
    </xf>
  </cellXfs>
  <cellStyles count="5">
    <cellStyle name="Hipervínculo" xfId="2" builtinId="8"/>
    <cellStyle name="Millares" xfId="3" builtinId="3"/>
    <cellStyle name="Moneda" xfId="1" builtinId="4"/>
    <cellStyle name="Normal" xfId="0" builtinId="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91089</xdr:colOff>
      <xdr:row>1</xdr:row>
      <xdr:rowOff>66675</xdr:rowOff>
    </xdr:from>
    <xdr:ext cx="3177891" cy="1210028"/>
    <xdr:pic>
      <xdr:nvPicPr>
        <xdr:cNvPr id="2" name="Imagen 1">
          <a:extLst>
            <a:ext uri="{FF2B5EF4-FFF2-40B4-BE49-F238E27FC236}">
              <a16:creationId xmlns:a16="http://schemas.microsoft.com/office/drawing/2014/main" id="{1BC26D6C-EBA6-43F4-8CEA-F50B5213D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1009" y="249555"/>
          <a:ext cx="3177891" cy="1210028"/>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floresdestrada5065@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zoomScale="101" zoomScaleNormal="100" workbookViewId="0">
      <selection sqref="A1:H6"/>
    </sheetView>
  </sheetViews>
  <sheetFormatPr baseColWidth="10" defaultRowHeight="15" x14ac:dyDescent="0.25"/>
  <cols>
    <col min="7" max="7" width="11.7109375" customWidth="1"/>
    <col min="8" max="8" width="19.5703125" bestFit="1" customWidth="1"/>
    <col min="9" max="9" width="14.7109375" bestFit="1" customWidth="1"/>
    <col min="10" max="10" width="13.7109375" bestFit="1" customWidth="1"/>
  </cols>
  <sheetData>
    <row r="1" spans="1:10" x14ac:dyDescent="0.25">
      <c r="A1" s="125" t="s">
        <v>101</v>
      </c>
      <c r="B1" s="125"/>
      <c r="C1" s="125"/>
      <c r="D1" s="125"/>
      <c r="E1" s="125"/>
      <c r="F1" s="125"/>
      <c r="G1" s="125"/>
      <c r="H1" s="125"/>
    </row>
    <row r="2" spans="1:10" x14ac:dyDescent="0.25">
      <c r="A2" s="125"/>
      <c r="B2" s="125"/>
      <c r="C2" s="125"/>
      <c r="D2" s="125"/>
      <c r="E2" s="125"/>
      <c r="F2" s="125"/>
      <c r="G2" s="125"/>
      <c r="H2" s="125"/>
    </row>
    <row r="3" spans="1:10" x14ac:dyDescent="0.25">
      <c r="A3" s="125"/>
      <c r="B3" s="125"/>
      <c r="C3" s="125"/>
      <c r="D3" s="125"/>
      <c r="E3" s="125"/>
      <c r="F3" s="125"/>
      <c r="G3" s="125"/>
      <c r="H3" s="125"/>
    </row>
    <row r="4" spans="1:10" x14ac:dyDescent="0.25">
      <c r="A4" s="125"/>
      <c r="B4" s="125"/>
      <c r="C4" s="125"/>
      <c r="D4" s="125"/>
      <c r="E4" s="125"/>
      <c r="F4" s="125"/>
      <c r="G4" s="125"/>
      <c r="H4" s="125"/>
    </row>
    <row r="5" spans="1:10" x14ac:dyDescent="0.25">
      <c r="A5" s="125"/>
      <c r="B5" s="125"/>
      <c r="C5" s="125"/>
      <c r="D5" s="125"/>
      <c r="E5" s="125"/>
      <c r="F5" s="125"/>
      <c r="G5" s="125"/>
      <c r="H5" s="125"/>
    </row>
    <row r="6" spans="1:10" x14ac:dyDescent="0.25">
      <c r="A6" s="125"/>
      <c r="B6" s="125"/>
      <c r="C6" s="125"/>
      <c r="D6" s="125"/>
      <c r="E6" s="125"/>
      <c r="F6" s="125"/>
      <c r="G6" s="125"/>
      <c r="H6" s="125"/>
    </row>
    <row r="7" spans="1:10" x14ac:dyDescent="0.25">
      <c r="A7" s="3"/>
      <c r="B7" s="3"/>
      <c r="C7" s="3"/>
      <c r="D7" s="3"/>
      <c r="E7" s="3"/>
      <c r="F7" s="3"/>
      <c r="G7" s="3"/>
      <c r="H7" s="3"/>
    </row>
    <row r="8" spans="1:10" x14ac:dyDescent="0.25">
      <c r="A8" s="3"/>
      <c r="B8" s="3"/>
      <c r="C8" s="3"/>
      <c r="D8" s="3"/>
      <c r="E8" s="3"/>
      <c r="F8" s="3"/>
      <c r="G8" s="3"/>
      <c r="H8" s="3"/>
    </row>
    <row r="9" spans="1:10" ht="18.75" x14ac:dyDescent="0.3">
      <c r="A9" s="122"/>
      <c r="B9" s="123"/>
      <c r="C9" s="123"/>
      <c r="D9" s="123"/>
      <c r="E9" s="123"/>
      <c r="F9" s="123"/>
      <c r="G9" s="123"/>
      <c r="H9" s="124"/>
      <c r="J9" s="2"/>
    </row>
    <row r="10" spans="1:10" ht="18.75" x14ac:dyDescent="0.3">
      <c r="A10" s="4" t="s">
        <v>4</v>
      </c>
      <c r="B10" s="5"/>
      <c r="C10" s="5"/>
      <c r="D10" s="5"/>
      <c r="E10" s="5"/>
      <c r="F10" s="5"/>
      <c r="G10" s="5"/>
      <c r="H10" s="11">
        <v>2742630.98377652</v>
      </c>
    </row>
    <row r="11" spans="1:10" x14ac:dyDescent="0.25">
      <c r="A11" s="6" t="s">
        <v>6</v>
      </c>
      <c r="B11" s="7"/>
      <c r="C11" s="7"/>
      <c r="D11" s="7"/>
      <c r="E11" s="7"/>
      <c r="F11" s="7"/>
      <c r="G11" s="7"/>
      <c r="H11" s="16">
        <f>Planilla!G35</f>
        <v>366619.88035452005</v>
      </c>
    </row>
    <row r="12" spans="1:10" x14ac:dyDescent="0.25">
      <c r="A12" s="6" t="s">
        <v>5</v>
      </c>
      <c r="B12" s="7"/>
      <c r="C12" s="7"/>
      <c r="D12" s="7"/>
      <c r="E12" s="7"/>
      <c r="F12" s="7"/>
      <c r="G12" s="7"/>
      <c r="H12" s="15"/>
      <c r="I12" s="13"/>
    </row>
    <row r="13" spans="1:10" x14ac:dyDescent="0.25">
      <c r="A13" s="6" t="s">
        <v>97</v>
      </c>
      <c r="B13" s="7"/>
      <c r="C13" s="7"/>
      <c r="D13" s="7"/>
      <c r="E13" s="7"/>
      <c r="F13" s="7"/>
      <c r="G13" s="7"/>
      <c r="H13" s="119">
        <v>0</v>
      </c>
      <c r="I13" s="13"/>
    </row>
    <row r="14" spans="1:10" x14ac:dyDescent="0.25">
      <c r="A14" s="6" t="s">
        <v>99</v>
      </c>
      <c r="B14" s="7"/>
      <c r="C14" s="7"/>
      <c r="D14" s="7"/>
      <c r="E14" s="7"/>
      <c r="F14" s="7"/>
      <c r="G14" s="7"/>
      <c r="H14" s="119">
        <f>-35500-37000-70000-85000-20000</f>
        <v>-247500</v>
      </c>
    </row>
    <row r="15" spans="1:10" x14ac:dyDescent="0.25">
      <c r="A15" s="6" t="s">
        <v>100</v>
      </c>
      <c r="B15" s="7"/>
      <c r="C15" s="7"/>
      <c r="D15" s="7"/>
      <c r="E15" s="7"/>
      <c r="F15" s="7"/>
      <c r="G15" s="7"/>
      <c r="H15" s="8"/>
    </row>
    <row r="16" spans="1:10" ht="18.75" x14ac:dyDescent="0.3">
      <c r="A16" s="9" t="s">
        <v>3</v>
      </c>
      <c r="B16" s="10"/>
      <c r="C16" s="10"/>
      <c r="D16" s="10"/>
      <c r="E16" s="10"/>
      <c r="F16" s="10"/>
      <c r="G16" s="10"/>
      <c r="H16" s="12">
        <f>SUM(H10:H15)</f>
        <v>2861750.8641310399</v>
      </c>
    </row>
    <row r="17" spans="1:8" x14ac:dyDescent="0.25">
      <c r="A17" s="3"/>
      <c r="B17" s="3"/>
      <c r="C17" s="3"/>
      <c r="D17" s="3"/>
      <c r="E17" s="3"/>
      <c r="F17" s="3"/>
      <c r="G17" s="3"/>
      <c r="H17" s="3"/>
    </row>
    <row r="19" spans="1:8" x14ac:dyDescent="0.25">
      <c r="H19" s="2">
        <f>H16-1200000</f>
        <v>1661750.8641310399</v>
      </c>
    </row>
    <row r="20" spans="1:8" x14ac:dyDescent="0.25">
      <c r="H20" s="120">
        <f>700*1430</f>
        <v>1001000</v>
      </c>
    </row>
    <row r="21" spans="1:8" x14ac:dyDescent="0.25">
      <c r="H21" s="2">
        <f>H19-H20</f>
        <v>660750.86413103994</v>
      </c>
    </row>
  </sheetData>
  <mergeCells count="2">
    <mergeCell ref="A9:H9"/>
    <mergeCell ref="A1:H6"/>
  </mergeCells>
  <pageMargins left="0.25" right="0.25" top="0.75" bottom="0.75" header="0.3" footer="0.3"/>
  <pageSetup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7022-5286-48BE-B3EA-F9F0CCFCF1F4}">
  <dimension ref="A1:Q37"/>
  <sheetViews>
    <sheetView topLeftCell="B17" zoomScaleNormal="100" workbookViewId="0">
      <selection activeCell="C36" sqref="C36:C37"/>
    </sheetView>
  </sheetViews>
  <sheetFormatPr baseColWidth="10" defaultRowHeight="15" x14ac:dyDescent="0.25"/>
  <cols>
    <col min="1" max="1" width="9.5703125" style="18" hidden="1" customWidth="1"/>
    <col min="2" max="2" width="12.7109375" bestFit="1" customWidth="1"/>
    <col min="3" max="3" width="22.42578125" customWidth="1"/>
    <col min="4" max="4" width="12.5703125" customWidth="1"/>
    <col min="5" max="5" width="7.28515625" bestFit="1" customWidth="1"/>
    <col min="6" max="6" width="18" style="17" bestFit="1" customWidth="1"/>
    <col min="7" max="7" width="14" style="17" bestFit="1" customWidth="1"/>
    <col min="8" max="8" width="15.140625" style="17" customWidth="1"/>
    <col min="9" max="9" width="8.42578125" style="17" hidden="1" customWidth="1"/>
    <col min="10" max="10" width="14.85546875" customWidth="1"/>
    <col min="11" max="12" width="12.140625" customWidth="1"/>
    <col min="13" max="13" width="14" customWidth="1"/>
    <col min="14" max="14" width="11" customWidth="1"/>
    <col min="15" max="15" width="12.85546875" bestFit="1" customWidth="1"/>
  </cols>
  <sheetData>
    <row r="1" spans="1:17" ht="26.25" customHeight="1" x14ac:dyDescent="0.25">
      <c r="A1" s="129" t="e">
        <f>RESUMEN!#REF!</f>
        <v>#REF!</v>
      </c>
      <c r="B1" s="130"/>
      <c r="C1" s="130"/>
      <c r="D1" s="130"/>
      <c r="E1" s="130"/>
      <c r="F1" s="130"/>
      <c r="G1" s="130"/>
      <c r="H1" s="130"/>
      <c r="I1" s="130"/>
      <c r="J1" s="130"/>
      <c r="K1" s="130"/>
      <c r="L1" s="130"/>
      <c r="M1" s="130"/>
      <c r="N1" s="130"/>
      <c r="O1" s="131"/>
    </row>
    <row r="2" spans="1:17" x14ac:dyDescent="0.25">
      <c r="A2" s="63"/>
      <c r="F2" s="19"/>
      <c r="G2" s="19"/>
      <c r="H2" s="19"/>
      <c r="I2" s="62" t="s">
        <v>77</v>
      </c>
      <c r="O2" s="53"/>
    </row>
    <row r="3" spans="1:17" x14ac:dyDescent="0.25">
      <c r="A3" s="55" t="s">
        <v>0</v>
      </c>
      <c r="F3" s="19"/>
      <c r="G3" s="19"/>
      <c r="I3" s="61" t="s">
        <v>76</v>
      </c>
      <c r="J3" s="60"/>
      <c r="O3" s="53"/>
    </row>
    <row r="4" spans="1:17" x14ac:dyDescent="0.25">
      <c r="A4" s="55" t="s">
        <v>75</v>
      </c>
      <c r="F4" s="19"/>
      <c r="G4" s="19"/>
      <c r="I4" s="58" t="s">
        <v>74</v>
      </c>
      <c r="J4" s="127">
        <v>1153202676</v>
      </c>
      <c r="K4" s="127"/>
      <c r="L4" s="127"/>
      <c r="M4" s="127"/>
      <c r="N4" s="127"/>
      <c r="O4" s="128"/>
    </row>
    <row r="5" spans="1:17" x14ac:dyDescent="0.25">
      <c r="A5" s="55" t="s">
        <v>73</v>
      </c>
      <c r="B5" s="59"/>
      <c r="F5" s="19"/>
      <c r="G5" s="19"/>
      <c r="I5" s="58" t="s">
        <v>1</v>
      </c>
      <c r="J5" s="57" t="s">
        <v>2</v>
      </c>
      <c r="O5" s="53"/>
    </row>
    <row r="6" spans="1:17" x14ac:dyDescent="0.25">
      <c r="A6" s="55"/>
      <c r="F6" s="19"/>
      <c r="G6" s="19"/>
      <c r="H6" s="19"/>
      <c r="I6" s="19"/>
      <c r="O6" s="53"/>
    </row>
    <row r="7" spans="1:17" x14ac:dyDescent="0.25">
      <c r="A7" s="55"/>
      <c r="B7" s="54" t="s">
        <v>72</v>
      </c>
      <c r="C7" s="121">
        <v>0</v>
      </c>
      <c r="D7" s="56"/>
      <c r="F7" s="19"/>
      <c r="G7" s="19"/>
      <c r="H7" s="19"/>
      <c r="I7" s="19"/>
      <c r="O7" s="53"/>
    </row>
    <row r="8" spans="1:17" x14ac:dyDescent="0.25">
      <c r="A8" s="55"/>
      <c r="B8" s="54" t="s">
        <v>71</v>
      </c>
      <c r="C8" s="54"/>
      <c r="D8" s="54"/>
      <c r="F8" s="19"/>
      <c r="G8" s="19"/>
      <c r="H8" s="19"/>
      <c r="I8" s="19"/>
      <c r="O8" s="53"/>
    </row>
    <row r="9" spans="1:17" x14ac:dyDescent="0.25">
      <c r="A9" s="52"/>
      <c r="B9" s="51"/>
      <c r="C9" s="51"/>
      <c r="D9" s="51"/>
      <c r="E9" s="48"/>
      <c r="F9" s="50"/>
      <c r="G9" s="50"/>
      <c r="H9" s="50"/>
      <c r="I9" s="49"/>
      <c r="J9" s="48"/>
      <c r="K9" s="48"/>
      <c r="L9" s="48"/>
      <c r="M9" s="48"/>
      <c r="N9" s="48"/>
      <c r="O9" s="47"/>
    </row>
    <row r="10" spans="1:17" ht="29.25" customHeight="1" x14ac:dyDescent="0.25">
      <c r="A10" s="46" t="s">
        <v>70</v>
      </c>
      <c r="B10" s="43" t="s">
        <v>69</v>
      </c>
      <c r="C10" s="45" t="s">
        <v>68</v>
      </c>
      <c r="D10" s="45" t="s">
        <v>67</v>
      </c>
      <c r="E10" s="44" t="s">
        <v>66</v>
      </c>
      <c r="F10" s="44" t="s">
        <v>65</v>
      </c>
      <c r="G10" s="44" t="s">
        <v>64</v>
      </c>
      <c r="H10" s="44" t="s">
        <v>63</v>
      </c>
      <c r="I10" s="44"/>
      <c r="J10" s="43" t="s">
        <v>62</v>
      </c>
      <c r="K10" s="43" t="s">
        <v>61</v>
      </c>
      <c r="L10" s="43" t="s">
        <v>97</v>
      </c>
      <c r="M10" s="43" t="s">
        <v>60</v>
      </c>
      <c r="N10" s="43" t="s">
        <v>59</v>
      </c>
      <c r="O10" s="43" t="s">
        <v>58</v>
      </c>
    </row>
    <row r="11" spans="1:17" x14ac:dyDescent="0.25">
      <c r="A11" s="36">
        <v>1</v>
      </c>
      <c r="B11" s="36" t="s">
        <v>57</v>
      </c>
      <c r="C11" s="35" t="s">
        <v>56</v>
      </c>
      <c r="D11" s="35"/>
      <c r="E11" s="42">
        <v>4.9000000000000004</v>
      </c>
      <c r="F11" s="30">
        <v>252786.91150008002</v>
      </c>
      <c r="G11" s="33"/>
      <c r="H11" s="32">
        <f>F11-G11</f>
        <v>252786.91150008002</v>
      </c>
      <c r="I11" s="32"/>
      <c r="J11" s="31">
        <f t="shared" ref="J11:J34" si="0">H11*8.8%</f>
        <v>22245.248212007045</v>
      </c>
      <c r="K11" s="29">
        <f>H11+J11</f>
        <v>275032.15971208707</v>
      </c>
      <c r="L11" s="29">
        <v>0</v>
      </c>
      <c r="M11" s="30">
        <f>C7*E11/100</f>
        <v>0</v>
      </c>
      <c r="N11" s="30">
        <f>C8*E11/100</f>
        <v>0</v>
      </c>
      <c r="O11" s="29">
        <f>K11+M11+N11+L11</f>
        <v>275032.15971208707</v>
      </c>
    </row>
    <row r="12" spans="1:17" x14ac:dyDescent="0.25">
      <c r="A12" s="36">
        <v>2</v>
      </c>
      <c r="B12" s="36" t="s">
        <v>55</v>
      </c>
      <c r="C12" s="35" t="s">
        <v>28</v>
      </c>
      <c r="D12" s="35" t="s">
        <v>54</v>
      </c>
      <c r="E12" s="34">
        <v>3.89</v>
      </c>
      <c r="F12" s="30">
        <v>1837297.0105966707</v>
      </c>
      <c r="G12" s="33"/>
      <c r="H12" s="32">
        <f t="shared" ref="H12:H34" si="1">F12-G12</f>
        <v>1837297.0105966707</v>
      </c>
      <c r="I12" s="30">
        <v>0</v>
      </c>
      <c r="J12" s="31">
        <f t="shared" si="0"/>
        <v>161682.13693250704</v>
      </c>
      <c r="K12" s="29">
        <f>H12+I12+J12</f>
        <v>1998979.1475291778</v>
      </c>
      <c r="L12" s="29">
        <v>0</v>
      </c>
      <c r="M12" s="30">
        <f>C7*E12/100</f>
        <v>0</v>
      </c>
      <c r="N12" s="30">
        <f>C8*E12/100</f>
        <v>0</v>
      </c>
      <c r="O12" s="29">
        <f t="shared" ref="O12:O34" si="2">K12+M12+N12+L12</f>
        <v>1998979.1475291778</v>
      </c>
    </row>
    <row r="13" spans="1:17" x14ac:dyDescent="0.25">
      <c r="A13" s="36">
        <v>3</v>
      </c>
      <c r="B13" s="36" t="s">
        <v>53</v>
      </c>
      <c r="C13" s="35" t="s">
        <v>16</v>
      </c>
      <c r="D13" s="35" t="s">
        <v>52</v>
      </c>
      <c r="E13" s="38">
        <v>4</v>
      </c>
      <c r="F13" s="30">
        <v>143096.76507200001</v>
      </c>
      <c r="G13" s="33"/>
      <c r="H13" s="32">
        <f t="shared" si="1"/>
        <v>143096.76507200001</v>
      </c>
      <c r="I13" s="30">
        <v>0</v>
      </c>
      <c r="J13" s="31">
        <f t="shared" si="0"/>
        <v>12592.515326336003</v>
      </c>
      <c r="K13" s="29">
        <f>H13+I13+J13</f>
        <v>155689.28039833601</v>
      </c>
      <c r="L13" s="29">
        <v>0</v>
      </c>
      <c r="M13" s="30">
        <f>C7*E13/100</f>
        <v>0</v>
      </c>
      <c r="N13" s="30">
        <f>C8*E13/100</f>
        <v>0</v>
      </c>
      <c r="O13" s="29">
        <f t="shared" si="2"/>
        <v>155689.28039833601</v>
      </c>
      <c r="Q13" s="41"/>
    </row>
    <row r="14" spans="1:17" x14ac:dyDescent="0.25">
      <c r="A14" s="36">
        <v>4</v>
      </c>
      <c r="B14" s="36" t="s">
        <v>51</v>
      </c>
      <c r="C14" s="35" t="s">
        <v>22</v>
      </c>
      <c r="D14" s="35" t="s">
        <v>50</v>
      </c>
      <c r="E14" s="38">
        <v>4.9000000000000004</v>
      </c>
      <c r="F14" s="30">
        <v>203903.24571319975</v>
      </c>
      <c r="G14" s="33"/>
      <c r="H14" s="32">
        <f t="shared" si="1"/>
        <v>203903.24571319975</v>
      </c>
      <c r="I14" s="32">
        <v>0</v>
      </c>
      <c r="J14" s="31">
        <f t="shared" si="0"/>
        <v>17943.485622761578</v>
      </c>
      <c r="K14" s="29">
        <f>H14+J14+I14</f>
        <v>221846.73133596132</v>
      </c>
      <c r="L14" s="29">
        <v>0</v>
      </c>
      <c r="M14" s="30">
        <f>C7*E14/100</f>
        <v>0</v>
      </c>
      <c r="N14" s="30">
        <f>C8*E14/100</f>
        <v>0</v>
      </c>
      <c r="O14" s="29">
        <f t="shared" si="2"/>
        <v>221846.73133596132</v>
      </c>
    </row>
    <row r="15" spans="1:17" x14ac:dyDescent="0.25">
      <c r="A15" s="36">
        <v>5</v>
      </c>
      <c r="B15" s="40" t="s">
        <v>49</v>
      </c>
      <c r="C15" s="39" t="s">
        <v>48</v>
      </c>
      <c r="D15" s="35" t="s">
        <v>47</v>
      </c>
      <c r="E15" s="34">
        <v>3.89</v>
      </c>
      <c r="F15" s="30">
        <v>170665.85028252006</v>
      </c>
      <c r="G15" s="33"/>
      <c r="H15" s="32">
        <f t="shared" si="1"/>
        <v>170665.85028252006</v>
      </c>
      <c r="I15" s="32">
        <v>0</v>
      </c>
      <c r="J15" s="31">
        <f t="shared" si="0"/>
        <v>15018.594824861766</v>
      </c>
      <c r="K15" s="29">
        <f>H15+J15+I15</f>
        <v>185684.44510738182</v>
      </c>
      <c r="L15" s="29">
        <v>0</v>
      </c>
      <c r="M15" s="30">
        <f>C7*E15/100</f>
        <v>0</v>
      </c>
      <c r="N15" s="30">
        <f>C8*E15/100</f>
        <v>0</v>
      </c>
      <c r="O15" s="29">
        <f t="shared" si="2"/>
        <v>185684.44510738182</v>
      </c>
      <c r="Q15" s="1"/>
    </row>
    <row r="16" spans="1:17" x14ac:dyDescent="0.25">
      <c r="A16" s="36">
        <v>6</v>
      </c>
      <c r="B16" s="36" t="s">
        <v>46</v>
      </c>
      <c r="C16" s="35" t="s">
        <v>45</v>
      </c>
      <c r="D16" s="35" t="s">
        <v>44</v>
      </c>
      <c r="E16" s="38">
        <v>4</v>
      </c>
      <c r="F16" s="30">
        <v>333071.1011626831</v>
      </c>
      <c r="G16" s="33"/>
      <c r="H16" s="32">
        <f t="shared" si="1"/>
        <v>333071.1011626831</v>
      </c>
      <c r="I16" s="30">
        <v>0</v>
      </c>
      <c r="J16" s="31">
        <f t="shared" si="0"/>
        <v>29310.256902316116</v>
      </c>
      <c r="K16" s="29">
        <f>H16+J16+I16</f>
        <v>362381.35806499922</v>
      </c>
      <c r="L16" s="29">
        <v>0</v>
      </c>
      <c r="M16" s="30">
        <f>C7*E16/100</f>
        <v>0</v>
      </c>
      <c r="N16" s="30">
        <f>C8*E16/100</f>
        <v>0</v>
      </c>
      <c r="O16" s="29">
        <f t="shared" si="2"/>
        <v>362381.35806499922</v>
      </c>
    </row>
    <row r="17" spans="1:15" x14ac:dyDescent="0.25">
      <c r="A17" s="36">
        <v>7</v>
      </c>
      <c r="B17" s="36" t="s">
        <v>43</v>
      </c>
      <c r="C17" s="35" t="s">
        <v>42</v>
      </c>
      <c r="D17" s="35" t="s">
        <v>41</v>
      </c>
      <c r="E17" s="38">
        <v>4.9000000000000004</v>
      </c>
      <c r="F17" s="30">
        <v>204287.74371319998</v>
      </c>
      <c r="G17" s="33"/>
      <c r="H17" s="32">
        <f t="shared" si="1"/>
        <v>204287.74371319998</v>
      </c>
      <c r="I17" s="30">
        <v>0</v>
      </c>
      <c r="J17" s="31">
        <f t="shared" si="0"/>
        <v>17977.321446761598</v>
      </c>
      <c r="K17" s="29">
        <f>H17+I17+J17</f>
        <v>222265.06515996158</v>
      </c>
      <c r="L17" s="29">
        <v>0</v>
      </c>
      <c r="M17" s="30">
        <f>C7*E17/100</f>
        <v>0</v>
      </c>
      <c r="N17" s="30">
        <f>C8*E17/100</f>
        <v>0</v>
      </c>
      <c r="O17" s="29">
        <f t="shared" si="2"/>
        <v>222265.06515996158</v>
      </c>
    </row>
    <row r="18" spans="1:15" x14ac:dyDescent="0.25">
      <c r="A18" s="36">
        <v>8</v>
      </c>
      <c r="B18" s="36" t="s">
        <v>40</v>
      </c>
      <c r="C18" s="35" t="s">
        <v>39</v>
      </c>
      <c r="D18" s="35"/>
      <c r="E18" s="34">
        <v>3.89</v>
      </c>
      <c r="F18" s="30">
        <v>142086.39528252004</v>
      </c>
      <c r="G18" s="33">
        <f>F18</f>
        <v>142086.39528252004</v>
      </c>
      <c r="H18" s="32">
        <f t="shared" si="1"/>
        <v>0</v>
      </c>
      <c r="I18" s="30">
        <v>0</v>
      </c>
      <c r="J18" s="31">
        <f t="shared" si="0"/>
        <v>0</v>
      </c>
      <c r="K18" s="29">
        <f>H18+J18+I18</f>
        <v>0</v>
      </c>
      <c r="L18" s="29">
        <v>0</v>
      </c>
      <c r="M18" s="30">
        <f>C7*E18/100</f>
        <v>0</v>
      </c>
      <c r="N18" s="30">
        <f>C8*E18/100</f>
        <v>0</v>
      </c>
      <c r="O18" s="29">
        <f t="shared" si="2"/>
        <v>0</v>
      </c>
    </row>
    <row r="19" spans="1:15" x14ac:dyDescent="0.25">
      <c r="A19" s="36">
        <v>9</v>
      </c>
      <c r="B19" s="36" t="s">
        <v>38</v>
      </c>
      <c r="C19" s="35" t="s">
        <v>12</v>
      </c>
      <c r="D19" s="35" t="s">
        <v>37</v>
      </c>
      <c r="E19" s="38">
        <v>4</v>
      </c>
      <c r="F19" s="30">
        <v>154725.48507200001</v>
      </c>
      <c r="G19" s="33">
        <f>F19</f>
        <v>154725.48507200001</v>
      </c>
      <c r="H19" s="32">
        <f t="shared" si="1"/>
        <v>0</v>
      </c>
      <c r="I19" s="30">
        <v>0</v>
      </c>
      <c r="J19" s="31">
        <f t="shared" si="0"/>
        <v>0</v>
      </c>
      <c r="K19" s="29">
        <f>H19+J19</f>
        <v>0</v>
      </c>
      <c r="L19" s="29">
        <v>0</v>
      </c>
      <c r="M19" s="30">
        <f>C7*E19/100</f>
        <v>0</v>
      </c>
      <c r="N19" s="30">
        <f>C8*E19/100</f>
        <v>0</v>
      </c>
      <c r="O19" s="29">
        <f t="shared" si="2"/>
        <v>0</v>
      </c>
    </row>
    <row r="20" spans="1:15" x14ac:dyDescent="0.25">
      <c r="A20" s="36">
        <v>10</v>
      </c>
      <c r="B20" s="36" t="s">
        <v>36</v>
      </c>
      <c r="C20" s="35" t="s">
        <v>14</v>
      </c>
      <c r="D20" s="35"/>
      <c r="E20" s="34">
        <v>12.66</v>
      </c>
      <c r="F20" s="30">
        <v>640710.7332634721</v>
      </c>
      <c r="G20" s="33"/>
      <c r="H20" s="32">
        <f t="shared" si="1"/>
        <v>640710.7332634721</v>
      </c>
      <c r="I20" s="30">
        <v>0</v>
      </c>
      <c r="J20" s="31">
        <f t="shared" si="0"/>
        <v>56382.54452718555</v>
      </c>
      <c r="K20" s="29">
        <f t="shared" ref="K20:K34" si="3">H20+J20+I20</f>
        <v>697093.27779065759</v>
      </c>
      <c r="L20" s="29">
        <v>0</v>
      </c>
      <c r="M20" s="30">
        <f>C7*E20/100</f>
        <v>0</v>
      </c>
      <c r="N20" s="30">
        <f>C8*E20/100</f>
        <v>0</v>
      </c>
      <c r="O20" s="29">
        <f t="shared" si="2"/>
        <v>697093.27779065759</v>
      </c>
    </row>
    <row r="21" spans="1:15" x14ac:dyDescent="0.25">
      <c r="A21" s="36">
        <v>11</v>
      </c>
      <c r="B21" s="36" t="s">
        <v>35</v>
      </c>
      <c r="C21" s="35" t="s">
        <v>22</v>
      </c>
      <c r="D21" s="35" t="s">
        <v>21</v>
      </c>
      <c r="E21" s="34">
        <v>7.75</v>
      </c>
      <c r="F21" s="30">
        <v>280560.65107700002</v>
      </c>
      <c r="G21" s="33"/>
      <c r="H21" s="32">
        <f t="shared" si="1"/>
        <v>280560.65107700002</v>
      </c>
      <c r="I21" s="30">
        <v>0</v>
      </c>
      <c r="J21" s="31">
        <f t="shared" si="0"/>
        <v>24689.337294776004</v>
      </c>
      <c r="K21" s="29">
        <f t="shared" si="3"/>
        <v>305249.98837177601</v>
      </c>
      <c r="L21" s="29">
        <v>0</v>
      </c>
      <c r="M21" s="30">
        <f>C7*E21/100</f>
        <v>0</v>
      </c>
      <c r="N21" s="30">
        <f>C8*E21/100</f>
        <v>0</v>
      </c>
      <c r="O21" s="29">
        <f t="shared" si="2"/>
        <v>305249.98837177601</v>
      </c>
    </row>
    <row r="22" spans="1:15" x14ac:dyDescent="0.25">
      <c r="A22" s="36">
        <v>12</v>
      </c>
      <c r="B22" s="36" t="s">
        <v>34</v>
      </c>
      <c r="C22" s="35" t="s">
        <v>8</v>
      </c>
      <c r="D22" s="35"/>
      <c r="E22" s="34">
        <v>7.51</v>
      </c>
      <c r="F22" s="30">
        <v>338766.48852359212</v>
      </c>
      <c r="G22" s="33"/>
      <c r="H22" s="32">
        <f t="shared" si="1"/>
        <v>338766.48852359212</v>
      </c>
      <c r="I22" s="30">
        <v>0</v>
      </c>
      <c r="J22" s="31">
        <f t="shared" si="0"/>
        <v>29811.450990076111</v>
      </c>
      <c r="K22" s="29">
        <f t="shared" si="3"/>
        <v>368577.93951366824</v>
      </c>
      <c r="L22" s="29">
        <v>0</v>
      </c>
      <c r="M22" s="30">
        <f>C7*E22/100</f>
        <v>0</v>
      </c>
      <c r="N22" s="30">
        <f>C8*E22/100</f>
        <v>0</v>
      </c>
      <c r="O22" s="29">
        <f t="shared" si="2"/>
        <v>368577.93951366824</v>
      </c>
    </row>
    <row r="23" spans="1:15" x14ac:dyDescent="0.25">
      <c r="A23" s="36">
        <v>13</v>
      </c>
      <c r="B23" s="36" t="s">
        <v>33</v>
      </c>
      <c r="C23" s="35" t="s">
        <v>32</v>
      </c>
      <c r="D23" s="35"/>
      <c r="E23" s="34">
        <v>4.45</v>
      </c>
      <c r="F23" s="30">
        <v>636850.88975723647</v>
      </c>
      <c r="G23" s="33"/>
      <c r="H23" s="32">
        <f t="shared" si="1"/>
        <v>636850.88975723647</v>
      </c>
      <c r="I23" s="30">
        <v>0</v>
      </c>
      <c r="J23" s="31">
        <f t="shared" si="0"/>
        <v>56042.878298636817</v>
      </c>
      <c r="K23" s="29">
        <f t="shared" si="3"/>
        <v>692893.76805587322</v>
      </c>
      <c r="L23" s="29">
        <v>0</v>
      </c>
      <c r="M23" s="30">
        <f>C7*E23/100</f>
        <v>0</v>
      </c>
      <c r="N23" s="30">
        <f>C8*E23/100</f>
        <v>0</v>
      </c>
      <c r="O23" s="29">
        <f t="shared" si="2"/>
        <v>692893.76805587322</v>
      </c>
    </row>
    <row r="24" spans="1:15" x14ac:dyDescent="0.25">
      <c r="A24" s="36">
        <v>14</v>
      </c>
      <c r="B24" s="36" t="s">
        <v>31</v>
      </c>
      <c r="C24" s="35" t="s">
        <v>30</v>
      </c>
      <c r="D24" s="35"/>
      <c r="E24" s="34">
        <v>6.17</v>
      </c>
      <c r="F24" s="30">
        <v>241768.33957356017</v>
      </c>
      <c r="G24" s="33"/>
      <c r="H24" s="32">
        <f t="shared" si="1"/>
        <v>241768.33957356017</v>
      </c>
      <c r="I24" s="30">
        <v>0</v>
      </c>
      <c r="J24" s="31">
        <f t="shared" si="0"/>
        <v>21275.613882473295</v>
      </c>
      <c r="K24" s="29">
        <f t="shared" si="3"/>
        <v>263043.95345603349</v>
      </c>
      <c r="L24" s="29">
        <v>0</v>
      </c>
      <c r="M24" s="30">
        <f>C7*E24/100</f>
        <v>0</v>
      </c>
      <c r="N24" s="30">
        <f>C8*E24/100</f>
        <v>0</v>
      </c>
      <c r="O24" s="29">
        <f t="shared" si="2"/>
        <v>263043.95345603349</v>
      </c>
    </row>
    <row r="25" spans="1:15" x14ac:dyDescent="0.25">
      <c r="A25" s="36">
        <v>15</v>
      </c>
      <c r="B25" s="36" t="s">
        <v>29</v>
      </c>
      <c r="C25" s="35" t="s">
        <v>28</v>
      </c>
      <c r="D25" s="35" t="s">
        <v>27</v>
      </c>
      <c r="E25" s="34">
        <v>4.45</v>
      </c>
      <c r="F25" s="30">
        <v>810388.55625719321</v>
      </c>
      <c r="G25" s="33"/>
      <c r="H25" s="32">
        <f t="shared" si="1"/>
        <v>810388.55625719321</v>
      </c>
      <c r="I25" s="30">
        <v>0</v>
      </c>
      <c r="J25" s="31">
        <f t="shared" si="0"/>
        <v>71314.192950633005</v>
      </c>
      <c r="K25" s="29">
        <f t="shared" si="3"/>
        <v>881702.74920782621</v>
      </c>
      <c r="L25" s="29">
        <v>0</v>
      </c>
      <c r="M25" s="30">
        <f>C7*E25/100</f>
        <v>0</v>
      </c>
      <c r="N25" s="30">
        <f>C8*E25/100</f>
        <v>0</v>
      </c>
      <c r="O25" s="29">
        <f t="shared" si="2"/>
        <v>881702.74920782621</v>
      </c>
    </row>
    <row r="26" spans="1:15" x14ac:dyDescent="0.25">
      <c r="A26" s="36">
        <v>16</v>
      </c>
      <c r="B26" s="36" t="s">
        <v>26</v>
      </c>
      <c r="C26" s="35" t="s">
        <v>25</v>
      </c>
      <c r="D26" s="35" t="s">
        <v>24</v>
      </c>
      <c r="E26" s="34">
        <v>9.19</v>
      </c>
      <c r="F26" s="30">
        <v>2258404.9749409957</v>
      </c>
      <c r="G26" s="33">
        <v>69808</v>
      </c>
      <c r="H26" s="32">
        <f t="shared" si="1"/>
        <v>2188596.9749409957</v>
      </c>
      <c r="I26" s="30">
        <v>0</v>
      </c>
      <c r="J26" s="31">
        <f t="shared" si="0"/>
        <v>192596.53379480765</v>
      </c>
      <c r="K26" s="29">
        <f t="shared" si="3"/>
        <v>2381193.5087358034</v>
      </c>
      <c r="L26" s="29">
        <v>0</v>
      </c>
      <c r="M26" s="30">
        <f>C$7*E26/100</f>
        <v>0</v>
      </c>
      <c r="N26" s="30">
        <f>C8*E26/100</f>
        <v>0</v>
      </c>
      <c r="O26" s="29">
        <f>K26+M28+N26+L26</f>
        <v>2381193.5087358034</v>
      </c>
    </row>
    <row r="27" spans="1:15" x14ac:dyDescent="0.25">
      <c r="A27" s="36">
        <v>17</v>
      </c>
      <c r="B27" s="36" t="s">
        <v>23</v>
      </c>
      <c r="C27" s="35" t="s">
        <v>22</v>
      </c>
      <c r="D27" s="35" t="s">
        <v>21</v>
      </c>
      <c r="E27" s="34">
        <v>1.18</v>
      </c>
      <c r="F27" s="30">
        <v>39862.717196240003</v>
      </c>
      <c r="G27" s="33"/>
      <c r="H27" s="32">
        <f t="shared" si="1"/>
        <v>39862.717196240003</v>
      </c>
      <c r="I27" s="30">
        <v>0</v>
      </c>
      <c r="J27" s="31">
        <f t="shared" si="0"/>
        <v>3507.9191132691208</v>
      </c>
      <c r="K27" s="29">
        <f t="shared" si="3"/>
        <v>43370.636309509122</v>
      </c>
      <c r="L27" s="29">
        <v>0</v>
      </c>
      <c r="M27" s="30">
        <f t="shared" ref="M27:M34" si="4">C$7*E27/100</f>
        <v>0</v>
      </c>
      <c r="N27" s="30">
        <f>C8*E27/100</f>
        <v>0</v>
      </c>
      <c r="O27" s="29">
        <f t="shared" si="2"/>
        <v>43370.636309509122</v>
      </c>
    </row>
    <row r="28" spans="1:15" x14ac:dyDescent="0.25">
      <c r="A28" s="36">
        <v>18</v>
      </c>
      <c r="B28" s="36" t="s">
        <v>20</v>
      </c>
      <c r="C28" s="35" t="s">
        <v>18</v>
      </c>
      <c r="D28" s="35"/>
      <c r="E28" s="34">
        <v>1.18</v>
      </c>
      <c r="F28" s="30">
        <v>313971.81388228718</v>
      </c>
      <c r="G28" s="33"/>
      <c r="H28" s="32">
        <f t="shared" si="1"/>
        <v>313971.81388228718</v>
      </c>
      <c r="I28" s="30">
        <v>0</v>
      </c>
      <c r="J28" s="31">
        <f t="shared" si="0"/>
        <v>27629.519621641273</v>
      </c>
      <c r="K28" s="29">
        <f t="shared" si="3"/>
        <v>341601.33350392844</v>
      </c>
      <c r="L28" s="29">
        <v>0</v>
      </c>
      <c r="M28" s="30">
        <f t="shared" si="4"/>
        <v>0</v>
      </c>
      <c r="N28" s="30">
        <f>C8*E28/100</f>
        <v>0</v>
      </c>
      <c r="O28" s="29">
        <f t="shared" si="2"/>
        <v>341601.33350392844</v>
      </c>
    </row>
    <row r="29" spans="1:15" x14ac:dyDescent="0.25">
      <c r="A29" s="36">
        <v>19</v>
      </c>
      <c r="B29" s="36" t="s">
        <v>19</v>
      </c>
      <c r="C29" s="35" t="s">
        <v>18</v>
      </c>
      <c r="D29" s="35"/>
      <c r="E29" s="34">
        <v>1.18</v>
      </c>
      <c r="F29" s="30">
        <v>313971.81388228718</v>
      </c>
      <c r="G29" s="33"/>
      <c r="H29" s="32">
        <f t="shared" si="1"/>
        <v>313971.81388228718</v>
      </c>
      <c r="I29" s="30">
        <v>0</v>
      </c>
      <c r="J29" s="31">
        <f t="shared" si="0"/>
        <v>27629.519621641273</v>
      </c>
      <c r="K29" s="29">
        <f t="shared" si="3"/>
        <v>341601.33350392844</v>
      </c>
      <c r="L29" s="29">
        <v>0</v>
      </c>
      <c r="M29" s="30">
        <f t="shared" si="4"/>
        <v>0</v>
      </c>
      <c r="N29" s="30">
        <f>C8*E29/100</f>
        <v>0</v>
      </c>
      <c r="O29" s="29">
        <f t="shared" si="2"/>
        <v>341601.33350392844</v>
      </c>
    </row>
    <row r="30" spans="1:15" x14ac:dyDescent="0.25">
      <c r="A30" s="36">
        <v>20</v>
      </c>
      <c r="B30" s="36" t="s">
        <v>17</v>
      </c>
      <c r="C30" s="35" t="s">
        <v>16</v>
      </c>
      <c r="D30" s="35"/>
      <c r="E30" s="34">
        <v>1.18</v>
      </c>
      <c r="F30" s="30">
        <v>39862.717196240003</v>
      </c>
      <c r="G30" s="33"/>
      <c r="H30" s="37">
        <f t="shared" si="1"/>
        <v>39862.717196240003</v>
      </c>
      <c r="I30" s="30">
        <v>0</v>
      </c>
      <c r="J30" s="31">
        <f t="shared" si="0"/>
        <v>3507.9191132691208</v>
      </c>
      <c r="K30" s="29">
        <f t="shared" si="3"/>
        <v>43370.636309509122</v>
      </c>
      <c r="L30" s="29">
        <v>0</v>
      </c>
      <c r="M30" s="30">
        <f t="shared" si="4"/>
        <v>0</v>
      </c>
      <c r="N30" s="30">
        <f>C8*E30/100</f>
        <v>0</v>
      </c>
      <c r="O30" s="29">
        <f t="shared" si="2"/>
        <v>43370.636309509122</v>
      </c>
    </row>
    <row r="31" spans="1:15" x14ac:dyDescent="0.25">
      <c r="A31" s="36">
        <v>21</v>
      </c>
      <c r="B31" s="36" t="s">
        <v>15</v>
      </c>
      <c r="C31" s="35" t="s">
        <v>14</v>
      </c>
      <c r="D31" s="35"/>
      <c r="E31" s="34">
        <v>1.18</v>
      </c>
      <c r="F31" s="30">
        <v>52769.012891856</v>
      </c>
      <c r="G31" s="33"/>
      <c r="H31" s="32">
        <f t="shared" si="1"/>
        <v>52769.012891856</v>
      </c>
      <c r="I31" s="30">
        <v>0</v>
      </c>
      <c r="J31" s="31">
        <f t="shared" si="0"/>
        <v>4643.6731344833288</v>
      </c>
      <c r="K31" s="29">
        <f t="shared" si="3"/>
        <v>57412.686026339332</v>
      </c>
      <c r="L31" s="29">
        <v>0</v>
      </c>
      <c r="M31" s="30">
        <f t="shared" si="4"/>
        <v>0</v>
      </c>
      <c r="N31" s="30">
        <f>C8*E31/100</f>
        <v>0</v>
      </c>
      <c r="O31" s="29">
        <f t="shared" si="2"/>
        <v>57412.686026339332</v>
      </c>
    </row>
    <row r="32" spans="1:15" x14ac:dyDescent="0.25">
      <c r="A32" s="36">
        <v>22</v>
      </c>
      <c r="B32" s="36" t="s">
        <v>13</v>
      </c>
      <c r="C32" s="35" t="s">
        <v>12</v>
      </c>
      <c r="D32" s="35"/>
      <c r="E32" s="34">
        <v>1.18</v>
      </c>
      <c r="F32" s="30">
        <v>39862.717196240003</v>
      </c>
      <c r="G32" s="33"/>
      <c r="H32" s="32">
        <f t="shared" si="1"/>
        <v>39862.717196240003</v>
      </c>
      <c r="I32" s="30">
        <v>0</v>
      </c>
      <c r="J32" s="31">
        <f t="shared" si="0"/>
        <v>3507.9191132691208</v>
      </c>
      <c r="K32" s="29">
        <f t="shared" si="3"/>
        <v>43370.636309509122</v>
      </c>
      <c r="L32" s="29">
        <v>0</v>
      </c>
      <c r="M32" s="30">
        <f t="shared" si="4"/>
        <v>0</v>
      </c>
      <c r="N32" s="30">
        <f>C8*E32/100</f>
        <v>0</v>
      </c>
      <c r="O32" s="29">
        <f t="shared" si="2"/>
        <v>43370.636309509122</v>
      </c>
    </row>
    <row r="33" spans="1:16" x14ac:dyDescent="0.25">
      <c r="A33" s="36">
        <v>23</v>
      </c>
      <c r="B33" s="36" t="s">
        <v>11</v>
      </c>
      <c r="C33" s="35" t="s">
        <v>10</v>
      </c>
      <c r="D33" s="35"/>
      <c r="E33" s="34">
        <v>1.18</v>
      </c>
      <c r="F33" s="30">
        <v>93603.265986768005</v>
      </c>
      <c r="G33" s="33"/>
      <c r="H33" s="32">
        <f t="shared" si="1"/>
        <v>93603.265986768005</v>
      </c>
      <c r="I33" s="30">
        <v>0</v>
      </c>
      <c r="J33" s="31">
        <f t="shared" si="0"/>
        <v>8237.0874068355861</v>
      </c>
      <c r="K33" s="29">
        <f t="shared" si="3"/>
        <v>101840.3533936036</v>
      </c>
      <c r="L33" s="29">
        <v>0</v>
      </c>
      <c r="M33" s="30">
        <f t="shared" si="4"/>
        <v>0</v>
      </c>
      <c r="N33" s="30">
        <f>C8*E33/100</f>
        <v>0</v>
      </c>
      <c r="O33" s="29">
        <f t="shared" si="2"/>
        <v>101840.3533936036</v>
      </c>
      <c r="P33" s="1"/>
    </row>
    <row r="34" spans="1:16" x14ac:dyDescent="0.25">
      <c r="A34" s="36">
        <v>24</v>
      </c>
      <c r="B34" s="36" t="s">
        <v>9</v>
      </c>
      <c r="C34" s="35" t="s">
        <v>8</v>
      </c>
      <c r="D34" s="35"/>
      <c r="E34" s="34">
        <v>1.18</v>
      </c>
      <c r="F34" s="30">
        <v>52769.012891856</v>
      </c>
      <c r="G34" s="33"/>
      <c r="H34" s="32">
        <f t="shared" si="1"/>
        <v>52769.012891856</v>
      </c>
      <c r="I34" s="30">
        <v>0</v>
      </c>
      <c r="J34" s="31">
        <f t="shared" si="0"/>
        <v>4643.6731344833288</v>
      </c>
      <c r="K34" s="29">
        <f t="shared" si="3"/>
        <v>57412.686026339332</v>
      </c>
      <c r="L34" s="29">
        <v>0</v>
      </c>
      <c r="M34" s="30">
        <f t="shared" si="4"/>
        <v>0</v>
      </c>
      <c r="N34" s="30">
        <f>C8*E34/100</f>
        <v>0</v>
      </c>
      <c r="O34" s="29">
        <f t="shared" si="2"/>
        <v>57412.686026339332</v>
      </c>
    </row>
    <row r="35" spans="1:16" s="20" customFormat="1" ht="21" x14ac:dyDescent="0.35">
      <c r="A35" s="126" t="s">
        <v>7</v>
      </c>
      <c r="B35" s="126"/>
      <c r="C35" s="126"/>
      <c r="D35" s="28"/>
      <c r="E35" s="27">
        <f>SUM(E11:E34)</f>
        <v>99.990000000000066</v>
      </c>
      <c r="F35" s="26">
        <f>SUM(F11:F34)</f>
        <v>9596044.2129116952</v>
      </c>
      <c r="G35" s="25">
        <f>SUM(G11:G34)</f>
        <v>366619.88035452005</v>
      </c>
      <c r="H35" s="23">
        <f>SUM(H11:H34)</f>
        <v>9229424.3325571753</v>
      </c>
      <c r="I35" s="23">
        <f>SUM(I12:I34)</f>
        <v>0</v>
      </c>
      <c r="J35" s="24">
        <f>SUM(J11:J34)</f>
        <v>812189.34126503149</v>
      </c>
      <c r="K35" s="24"/>
      <c r="L35" s="24"/>
      <c r="M35" s="23">
        <f>SUM(M11:M34)</f>
        <v>0</v>
      </c>
      <c r="N35" s="22">
        <f>SUM(N11:N34)</f>
        <v>0</v>
      </c>
      <c r="O35" s="21">
        <f>SUM(O11:O34)</f>
        <v>10041613.673822206</v>
      </c>
    </row>
    <row r="36" spans="1:16" x14ac:dyDescent="0.25">
      <c r="F36" s="19"/>
      <c r="G36" s="19"/>
      <c r="H36" s="19"/>
      <c r="I36" s="19"/>
    </row>
    <row r="37" spans="1:16" x14ac:dyDescent="0.25">
      <c r="F37" s="19"/>
      <c r="G37" s="19"/>
      <c r="H37" s="19"/>
      <c r="I37" s="19"/>
    </row>
  </sheetData>
  <mergeCells count="3">
    <mergeCell ref="A35:C35"/>
    <mergeCell ref="J4:O4"/>
    <mergeCell ref="A1:O1"/>
  </mergeCells>
  <hyperlinks>
    <hyperlink ref="J5" r:id="rId1" xr:uid="{0B4047C6-F122-41A7-B942-75A3A964FC5E}"/>
  </hyperlinks>
  <pageMargins left="0.25" right="0.25" top="0.75" bottom="0.75" header="0.3" footer="0.3"/>
  <pageSetup scale="7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EC43-F93A-440E-999B-59B587C24298}">
  <dimension ref="A1:Y1000"/>
  <sheetViews>
    <sheetView topLeftCell="B1" zoomScale="90" zoomScaleNormal="90" workbookViewId="0">
      <selection sqref="A1:M1"/>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0.140625" customWidth="1"/>
    <col min="7" max="7" width="8.85546875" hidden="1" customWidth="1"/>
    <col min="8" max="8" width="7.7109375" hidden="1" customWidth="1"/>
    <col min="9" max="9" width="10.42578125" hidden="1" customWidth="1"/>
    <col min="10" max="10" width="13.85546875" hidden="1" customWidth="1"/>
    <col min="11" max="11" width="15.42578125" hidden="1" customWidth="1"/>
    <col min="12" max="12" width="11.1406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132" t="s">
        <v>98</v>
      </c>
      <c r="B1" s="133"/>
      <c r="C1" s="133"/>
      <c r="D1" s="133"/>
      <c r="E1" s="133"/>
      <c r="F1" s="133"/>
      <c r="G1" s="133"/>
      <c r="H1" s="133"/>
      <c r="I1" s="133"/>
      <c r="J1" s="133"/>
      <c r="K1" s="133"/>
      <c r="L1" s="133"/>
      <c r="M1" s="134"/>
      <c r="N1" s="118"/>
      <c r="O1" s="64"/>
      <c r="P1" s="73"/>
      <c r="Q1" s="73"/>
    </row>
    <row r="2" spans="1:25" x14ac:dyDescent="0.25">
      <c r="A2" s="117"/>
      <c r="B2" s="117"/>
      <c r="C2" s="73"/>
      <c r="D2" s="73"/>
      <c r="E2" s="73"/>
      <c r="F2" s="73"/>
      <c r="G2" s="73"/>
      <c r="H2" s="65"/>
      <c r="I2" s="73"/>
      <c r="J2" s="73"/>
      <c r="K2" s="73"/>
      <c r="L2" s="73"/>
      <c r="M2" s="116"/>
      <c r="N2" s="73"/>
      <c r="O2" s="64"/>
      <c r="P2" s="73"/>
      <c r="Q2" s="73"/>
    </row>
    <row r="3" spans="1:25" x14ac:dyDescent="0.25">
      <c r="A3" s="113" t="s">
        <v>0</v>
      </c>
      <c r="B3" s="113" t="s">
        <v>0</v>
      </c>
      <c r="C3" s="73" t="s">
        <v>96</v>
      </c>
      <c r="E3" s="73"/>
      <c r="F3" s="73"/>
      <c r="G3" s="73"/>
      <c r="H3" s="65"/>
      <c r="I3" s="73"/>
      <c r="J3" s="73"/>
      <c r="K3" s="73"/>
      <c r="L3" s="73"/>
      <c r="M3" s="116"/>
      <c r="N3" s="73"/>
      <c r="O3" s="64"/>
      <c r="P3" s="73"/>
      <c r="Q3" s="73"/>
    </row>
    <row r="4" spans="1:25" x14ac:dyDescent="0.25">
      <c r="A4" s="113" t="s">
        <v>75</v>
      </c>
      <c r="B4" s="113" t="s">
        <v>75</v>
      </c>
      <c r="C4" s="73" t="s">
        <v>95</v>
      </c>
      <c r="E4" s="73"/>
      <c r="F4" s="73"/>
      <c r="G4" s="73"/>
      <c r="H4" s="65"/>
      <c r="I4" s="73"/>
      <c r="J4" s="73"/>
      <c r="K4" s="73"/>
      <c r="L4" s="73"/>
      <c r="M4" s="116"/>
      <c r="N4" s="73"/>
      <c r="O4" s="64"/>
    </row>
    <row r="5" spans="1:25" x14ac:dyDescent="0.25">
      <c r="A5" s="113" t="s">
        <v>73</v>
      </c>
      <c r="B5" s="113" t="s">
        <v>73</v>
      </c>
      <c r="C5" s="73" t="s">
        <v>94</v>
      </c>
      <c r="E5" s="73"/>
      <c r="F5" s="73"/>
      <c r="G5" s="73"/>
      <c r="H5" s="65"/>
      <c r="I5" s="73"/>
      <c r="J5" s="73"/>
      <c r="K5" s="73"/>
      <c r="L5" s="73"/>
      <c r="M5" s="116"/>
      <c r="N5" s="73"/>
      <c r="O5" s="64"/>
    </row>
    <row r="6" spans="1:25" x14ac:dyDescent="0.25">
      <c r="A6" s="113" t="s">
        <v>93</v>
      </c>
      <c r="B6" s="113" t="s">
        <v>93</v>
      </c>
      <c r="C6" s="73" t="s">
        <v>92</v>
      </c>
      <c r="E6" s="73"/>
      <c r="F6" s="73"/>
      <c r="G6" s="73"/>
      <c r="H6" s="65"/>
      <c r="I6" s="73"/>
      <c r="J6" s="73"/>
      <c r="K6" s="73"/>
      <c r="L6" s="73"/>
      <c r="M6" s="116"/>
      <c r="N6" s="73"/>
      <c r="O6" s="64"/>
    </row>
    <row r="7" spans="1:25" hidden="1" x14ac:dyDescent="0.25">
      <c r="A7" s="114" t="s">
        <v>86</v>
      </c>
      <c r="B7" s="114" t="s">
        <v>86</v>
      </c>
      <c r="C7" s="115">
        <v>78050</v>
      </c>
      <c r="E7" s="110"/>
      <c r="F7" s="110"/>
      <c r="G7" s="110"/>
      <c r="H7" s="111"/>
      <c r="I7" s="110"/>
      <c r="J7" s="110"/>
      <c r="K7" s="110"/>
      <c r="L7" s="110"/>
      <c r="M7" s="109"/>
      <c r="N7" s="73"/>
      <c r="O7" s="64"/>
    </row>
    <row r="8" spans="1:25" x14ac:dyDescent="0.25">
      <c r="A8" s="114"/>
      <c r="B8" s="113" t="s">
        <v>86</v>
      </c>
      <c r="C8" s="112">
        <v>1030338.54</v>
      </c>
      <c r="E8" s="110"/>
      <c r="F8" s="110"/>
      <c r="G8" s="110"/>
      <c r="H8" s="111"/>
      <c r="I8" s="110"/>
      <c r="J8" s="110"/>
      <c r="K8" s="110"/>
      <c r="L8" s="110"/>
      <c r="M8" s="109"/>
      <c r="N8" s="73"/>
      <c r="O8" s="64"/>
      <c r="S8" s="101"/>
    </row>
    <row r="9" spans="1:25" ht="36" customHeight="1" x14ac:dyDescent="0.25">
      <c r="A9" s="108" t="s">
        <v>70</v>
      </c>
      <c r="B9" s="108" t="s">
        <v>70</v>
      </c>
      <c r="C9" s="104" t="s">
        <v>69</v>
      </c>
      <c r="D9" s="108" t="s">
        <v>68</v>
      </c>
      <c r="E9" s="108" t="s">
        <v>91</v>
      </c>
      <c r="F9" s="104" t="s">
        <v>90</v>
      </c>
      <c r="G9" s="107" t="s">
        <v>89</v>
      </c>
      <c r="H9" s="106" t="s">
        <v>88</v>
      </c>
      <c r="I9" s="107" t="s">
        <v>87</v>
      </c>
      <c r="J9" s="104" t="s">
        <v>86</v>
      </c>
      <c r="K9" s="104" t="s">
        <v>85</v>
      </c>
      <c r="L9" s="106">
        <f>C8-J34</f>
        <v>622963.84679999994</v>
      </c>
      <c r="M9" s="104" t="s">
        <v>84</v>
      </c>
      <c r="N9" s="105"/>
      <c r="O9" s="104" t="s">
        <v>83</v>
      </c>
      <c r="P9" s="104" t="s">
        <v>82</v>
      </c>
    </row>
    <row r="10" spans="1:25" x14ac:dyDescent="0.25">
      <c r="A10" s="85">
        <v>1</v>
      </c>
      <c r="B10" s="85">
        <v>1</v>
      </c>
      <c r="C10" s="85" t="s">
        <v>57</v>
      </c>
      <c r="D10" s="85" t="s">
        <v>56</v>
      </c>
      <c r="E10" s="85">
        <v>4.9000000000000004</v>
      </c>
      <c r="F10" s="85">
        <v>20263.599999999999</v>
      </c>
      <c r="G10" s="91">
        <v>20622.599999999999</v>
      </c>
      <c r="H10" s="84">
        <v>0</v>
      </c>
      <c r="I10" s="74">
        <f t="shared" ref="I10:I33" si="0">H10*7%</f>
        <v>0</v>
      </c>
      <c r="J10" s="74">
        <f t="shared" ref="J10:J33" si="1">(G10-F10)*93.78</f>
        <v>33667.019999999997</v>
      </c>
      <c r="K10" s="95">
        <f t="shared" ref="K10:K25" si="2">G10-F10</f>
        <v>359</v>
      </c>
      <c r="L10" s="84">
        <f>L9*E10/100</f>
        <v>30525.2284932</v>
      </c>
      <c r="M10" s="84">
        <f>J10+L10+3</f>
        <v>64195.248493199993</v>
      </c>
      <c r="N10" s="76">
        <f>J10/C7*100</f>
        <v>43.135195387572068</v>
      </c>
      <c r="O10" s="75">
        <f>J10/L9*100</f>
        <v>5.4043296690391509</v>
      </c>
      <c r="P10" s="74">
        <f>C7*O10/100</f>
        <v>4218.0793066850574</v>
      </c>
      <c r="Q10" s="102">
        <v>0.31</v>
      </c>
      <c r="R10" s="101">
        <f>4000*Q10</f>
        <v>1240</v>
      </c>
      <c r="V10" s="36" t="s">
        <v>57</v>
      </c>
    </row>
    <row r="11" spans="1:25" x14ac:dyDescent="0.25">
      <c r="A11" s="85">
        <v>2</v>
      </c>
      <c r="B11" s="90">
        <v>2</v>
      </c>
      <c r="C11" s="90" t="s">
        <v>55</v>
      </c>
      <c r="D11" s="90" t="s">
        <v>28</v>
      </c>
      <c r="E11" s="90">
        <v>3.89</v>
      </c>
      <c r="F11" s="90">
        <v>17353.900000000001</v>
      </c>
      <c r="G11" s="89">
        <f>F11+70</f>
        <v>17423.900000000001</v>
      </c>
      <c r="H11" s="87">
        <v>0</v>
      </c>
      <c r="I11" s="88">
        <f t="shared" si="0"/>
        <v>0</v>
      </c>
      <c r="J11" s="88">
        <f t="shared" si="1"/>
        <v>6564.6</v>
      </c>
      <c r="K11" s="103">
        <f t="shared" si="2"/>
        <v>70</v>
      </c>
      <c r="L11" s="87">
        <f>L9*E11/100</f>
        <v>24233.293640520002</v>
      </c>
      <c r="M11" s="87">
        <f t="shared" ref="M11:M25" si="3">J11+L11+1</f>
        <v>30798.89364052</v>
      </c>
      <c r="N11" s="76" t="e">
        <f t="shared" ref="N11:N33" si="4">J11/C9*100</f>
        <v>#VALUE!</v>
      </c>
      <c r="O11" s="75">
        <f>L11/L9*100</f>
        <v>3.8900000000000006</v>
      </c>
      <c r="P11" s="74">
        <f>C7*O11/100</f>
        <v>3036.1450000000004</v>
      </c>
      <c r="Q11" s="102">
        <v>0.19</v>
      </c>
      <c r="R11" s="101">
        <f>4000*Q11</f>
        <v>760</v>
      </c>
      <c r="U11" s="66"/>
      <c r="V11" s="36" t="s">
        <v>55</v>
      </c>
    </row>
    <row r="12" spans="1:25" x14ac:dyDescent="0.25">
      <c r="A12" s="79">
        <v>3</v>
      </c>
      <c r="B12" s="79">
        <v>3</v>
      </c>
      <c r="C12" s="79" t="s">
        <v>53</v>
      </c>
      <c r="D12" s="79" t="s">
        <v>16</v>
      </c>
      <c r="E12" s="79">
        <v>4</v>
      </c>
      <c r="F12" s="79">
        <v>11841.3</v>
      </c>
      <c r="G12" s="91">
        <f>F12+85</f>
        <v>11926.3</v>
      </c>
      <c r="H12" s="77">
        <v>0</v>
      </c>
      <c r="I12" s="78">
        <f t="shared" si="0"/>
        <v>0</v>
      </c>
      <c r="J12" s="78">
        <f t="shared" si="1"/>
        <v>7971.3</v>
      </c>
      <c r="K12" s="92">
        <f t="shared" si="2"/>
        <v>85</v>
      </c>
      <c r="L12" s="77">
        <f>L9*E12/100</f>
        <v>24918.553871999997</v>
      </c>
      <c r="M12" s="77">
        <f t="shared" si="3"/>
        <v>32890.853872</v>
      </c>
      <c r="N12" s="76" t="e">
        <f t="shared" si="4"/>
        <v>#VALUE!</v>
      </c>
      <c r="O12" s="75">
        <f>J12/L9*100</f>
        <v>1.2795766625858713</v>
      </c>
      <c r="P12" s="74">
        <f>C7*O12/100</f>
        <v>998.70958514827259</v>
      </c>
      <c r="V12" s="36" t="s">
        <v>53</v>
      </c>
    </row>
    <row r="13" spans="1:25" x14ac:dyDescent="0.25">
      <c r="A13" s="85">
        <v>4</v>
      </c>
      <c r="B13" s="79">
        <v>4</v>
      </c>
      <c r="C13" s="79" t="s">
        <v>51</v>
      </c>
      <c r="D13" s="79" t="s">
        <v>22</v>
      </c>
      <c r="E13" s="79">
        <v>4.9000000000000004</v>
      </c>
      <c r="F13" s="79">
        <v>30278.400000000001</v>
      </c>
      <c r="G13" s="91">
        <v>30687.599999999999</v>
      </c>
      <c r="H13" s="93">
        <v>0</v>
      </c>
      <c r="I13" s="78">
        <f t="shared" si="0"/>
        <v>0</v>
      </c>
      <c r="J13" s="78">
        <f t="shared" si="1"/>
        <v>38374.775999999729</v>
      </c>
      <c r="K13" s="92">
        <f t="shared" si="2"/>
        <v>409.19999999999709</v>
      </c>
      <c r="L13" s="77">
        <f>L9*E13/100</f>
        <v>30525.2284932</v>
      </c>
      <c r="M13" s="77">
        <f t="shared" si="3"/>
        <v>68901.004493199725</v>
      </c>
      <c r="N13" s="76" t="e">
        <f t="shared" si="4"/>
        <v>#VALUE!</v>
      </c>
      <c r="O13" s="75">
        <f>J13/L9*100</f>
        <v>6.1600325921192338</v>
      </c>
      <c r="P13" s="74">
        <f>C7*O13/100</f>
        <v>4807.9054381490623</v>
      </c>
      <c r="V13" s="36" t="s">
        <v>51</v>
      </c>
    </row>
    <row r="14" spans="1:25" x14ac:dyDescent="0.25">
      <c r="A14" s="85">
        <v>5</v>
      </c>
      <c r="B14" s="79">
        <v>5</v>
      </c>
      <c r="C14" s="79" t="s">
        <v>49</v>
      </c>
      <c r="D14" s="79" t="s">
        <v>81</v>
      </c>
      <c r="E14" s="79">
        <v>3.89</v>
      </c>
      <c r="F14" s="79">
        <v>7623.9</v>
      </c>
      <c r="G14" s="91">
        <v>8042.5</v>
      </c>
      <c r="H14" s="93">
        <v>0</v>
      </c>
      <c r="I14" s="78">
        <f t="shared" si="0"/>
        <v>0</v>
      </c>
      <c r="J14" s="78">
        <f t="shared" si="1"/>
        <v>39256.308000000034</v>
      </c>
      <c r="K14" s="92">
        <f t="shared" si="2"/>
        <v>418.60000000000036</v>
      </c>
      <c r="L14" s="77">
        <f>L9*E14/100</f>
        <v>24233.293640520002</v>
      </c>
      <c r="M14" s="77">
        <f t="shared" si="3"/>
        <v>63490.601640520035</v>
      </c>
      <c r="N14" s="76" t="e">
        <f t="shared" si="4"/>
        <v>#VALUE!</v>
      </c>
      <c r="O14" s="75">
        <f>J14/L9*100</f>
        <v>6.3015387171581905</v>
      </c>
      <c r="P14" s="74">
        <f>C7*O14/100</f>
        <v>4918.3509687419682</v>
      </c>
      <c r="R14">
        <v>2540.8200000000002</v>
      </c>
      <c r="V14" s="40" t="s">
        <v>49</v>
      </c>
    </row>
    <row r="15" spans="1:25" s="1" customFormat="1" x14ac:dyDescent="0.25">
      <c r="A15" s="79">
        <v>6</v>
      </c>
      <c r="B15" s="81">
        <v>6</v>
      </c>
      <c r="C15" s="81" t="s">
        <v>46</v>
      </c>
      <c r="D15" s="81" t="s">
        <v>45</v>
      </c>
      <c r="E15" s="81">
        <v>4</v>
      </c>
      <c r="F15" s="81">
        <v>14706.7</v>
      </c>
      <c r="G15" s="100">
        <f>F15+270</f>
        <v>14976.7</v>
      </c>
      <c r="H15" s="82">
        <v>0</v>
      </c>
      <c r="I15" s="83">
        <f t="shared" si="0"/>
        <v>0</v>
      </c>
      <c r="J15" s="83">
        <f t="shared" si="1"/>
        <v>25320.6</v>
      </c>
      <c r="K15" s="99">
        <f t="shared" si="2"/>
        <v>270</v>
      </c>
      <c r="L15" s="82">
        <f>L9*E15/100</f>
        <v>24918.553871999997</v>
      </c>
      <c r="M15" s="82">
        <f t="shared" si="3"/>
        <v>50240.153871999995</v>
      </c>
      <c r="N15" s="98" t="e">
        <f t="shared" si="4"/>
        <v>#VALUE!</v>
      </c>
      <c r="O15" s="97">
        <f>J15/L9*100</f>
        <v>4.0645376340962969</v>
      </c>
      <c r="P15" s="78">
        <f>C7*O15/100</f>
        <v>3172.3716234121598</v>
      </c>
      <c r="V15" s="36" t="s">
        <v>46</v>
      </c>
      <c r="Y15" s="96"/>
    </row>
    <row r="16" spans="1:25" x14ac:dyDescent="0.25">
      <c r="A16" s="85">
        <v>7</v>
      </c>
      <c r="B16" s="85">
        <v>7</v>
      </c>
      <c r="C16" s="85" t="s">
        <v>43</v>
      </c>
      <c r="D16" s="85" t="s">
        <v>42</v>
      </c>
      <c r="E16" s="85">
        <v>4.9000000000000004</v>
      </c>
      <c r="F16" s="85">
        <v>20071.5</v>
      </c>
      <c r="G16" s="91">
        <v>20484.8</v>
      </c>
      <c r="H16" s="84">
        <v>0</v>
      </c>
      <c r="I16" s="74">
        <f t="shared" si="0"/>
        <v>0</v>
      </c>
      <c r="J16" s="74">
        <f t="shared" si="1"/>
        <v>38759.273999999932</v>
      </c>
      <c r="K16" s="95">
        <f t="shared" si="2"/>
        <v>413.29999999999927</v>
      </c>
      <c r="L16" s="84">
        <f>L9*E16/100</f>
        <v>30525.2284932</v>
      </c>
      <c r="M16" s="84">
        <f t="shared" si="3"/>
        <v>69285.502493199936</v>
      </c>
      <c r="N16" s="76" t="e">
        <f t="shared" si="4"/>
        <v>#VALUE!</v>
      </c>
      <c r="O16" s="75">
        <f>J16/L9*100</f>
        <v>6.2217533487851728</v>
      </c>
      <c r="P16" s="74">
        <f>C7*O16/100</f>
        <v>4856.0784887268273</v>
      </c>
      <c r="V16" s="36" t="s">
        <v>43</v>
      </c>
    </row>
    <row r="17" spans="1:22" x14ac:dyDescent="0.25">
      <c r="A17" s="85">
        <v>8</v>
      </c>
      <c r="B17" s="85">
        <v>8</v>
      </c>
      <c r="C17" s="85" t="s">
        <v>40</v>
      </c>
      <c r="D17" s="85" t="s">
        <v>39</v>
      </c>
      <c r="E17" s="85">
        <v>3.89</v>
      </c>
      <c r="F17" s="85">
        <v>6715.4</v>
      </c>
      <c r="G17" s="91">
        <v>6829.25</v>
      </c>
      <c r="H17" s="93">
        <v>0</v>
      </c>
      <c r="I17" s="74">
        <f t="shared" si="0"/>
        <v>0</v>
      </c>
      <c r="J17" s="74">
        <f t="shared" si="1"/>
        <v>10676.853000000034</v>
      </c>
      <c r="K17" s="95">
        <f t="shared" si="2"/>
        <v>113.85000000000036</v>
      </c>
      <c r="L17" s="84">
        <f>L9*E17/100</f>
        <v>24233.293640520002</v>
      </c>
      <c r="M17" s="84">
        <f t="shared" si="3"/>
        <v>34911.146640520034</v>
      </c>
      <c r="N17" s="76" t="e">
        <f t="shared" si="4"/>
        <v>#VALUE!</v>
      </c>
      <c r="O17" s="75">
        <f>J17/L9*100</f>
        <v>1.7138800357106108</v>
      </c>
      <c r="P17" s="74">
        <f>C7*O17/100</f>
        <v>1337.6833678721316</v>
      </c>
      <c r="V17" s="36" t="s">
        <v>40</v>
      </c>
    </row>
    <row r="18" spans="1:22" x14ac:dyDescent="0.25">
      <c r="A18" s="85">
        <v>9</v>
      </c>
      <c r="B18" s="79">
        <v>9</v>
      </c>
      <c r="C18" s="79" t="s">
        <v>38</v>
      </c>
      <c r="D18" s="79" t="s">
        <v>12</v>
      </c>
      <c r="E18" s="79">
        <v>4</v>
      </c>
      <c r="F18" s="79">
        <v>22279.9</v>
      </c>
      <c r="G18" s="91">
        <f>F18+209</f>
        <v>22488.9</v>
      </c>
      <c r="H18" s="94">
        <v>0</v>
      </c>
      <c r="I18" s="78">
        <f t="shared" si="0"/>
        <v>0</v>
      </c>
      <c r="J18" s="78">
        <f t="shared" si="1"/>
        <v>19600.02</v>
      </c>
      <c r="K18" s="92">
        <f t="shared" si="2"/>
        <v>209</v>
      </c>
      <c r="L18" s="77">
        <f>L9*E18/100</f>
        <v>24918.553871999997</v>
      </c>
      <c r="M18" s="77">
        <f t="shared" si="3"/>
        <v>44519.573871999994</v>
      </c>
      <c r="N18" s="76" t="e">
        <f t="shared" si="4"/>
        <v>#VALUE!</v>
      </c>
      <c r="O18" s="75">
        <f>J18/L9*100</f>
        <v>3.1462532056523189</v>
      </c>
      <c r="P18" s="74">
        <f>C7*O18/100</f>
        <v>2455.6506270116352</v>
      </c>
      <c r="V18" s="36" t="s">
        <v>38</v>
      </c>
    </row>
    <row r="19" spans="1:22" x14ac:dyDescent="0.25">
      <c r="A19" s="85">
        <v>10</v>
      </c>
      <c r="B19" s="79">
        <v>10</v>
      </c>
      <c r="C19" s="79" t="s">
        <v>36</v>
      </c>
      <c r="D19" s="79" t="s">
        <v>14</v>
      </c>
      <c r="E19" s="79">
        <v>12.66</v>
      </c>
      <c r="F19" s="79">
        <v>24404.2</v>
      </c>
      <c r="G19" s="91">
        <v>25199.5</v>
      </c>
      <c r="H19" s="77">
        <v>0</v>
      </c>
      <c r="I19" s="78">
        <f t="shared" si="0"/>
        <v>0</v>
      </c>
      <c r="J19" s="78">
        <f t="shared" si="1"/>
        <v>74583.233999999939</v>
      </c>
      <c r="K19" s="92">
        <f t="shared" si="2"/>
        <v>795.29999999999927</v>
      </c>
      <c r="L19" s="77">
        <f>L9*E19/100</f>
        <v>78867.223004879997</v>
      </c>
      <c r="M19" s="77">
        <f t="shared" si="3"/>
        <v>153451.45700487995</v>
      </c>
      <c r="N19" s="76" t="e">
        <f t="shared" si="4"/>
        <v>#VALUE!</v>
      </c>
      <c r="O19" s="75">
        <f>J19/L9*100</f>
        <v>11.972321408876972</v>
      </c>
      <c r="P19" s="74">
        <f>C7*O19/100</f>
        <v>9344.3968596284758</v>
      </c>
      <c r="V19" s="36" t="s">
        <v>36</v>
      </c>
    </row>
    <row r="20" spans="1:22" x14ac:dyDescent="0.25">
      <c r="A20" s="79">
        <v>11</v>
      </c>
      <c r="B20" s="79">
        <v>11</v>
      </c>
      <c r="C20" s="79" t="s">
        <v>35</v>
      </c>
      <c r="D20" s="79" t="s">
        <v>22</v>
      </c>
      <c r="E20" s="79">
        <v>7.75</v>
      </c>
      <c r="F20" s="79">
        <v>18945.099999999999</v>
      </c>
      <c r="G20" s="91">
        <f>F20+200</f>
        <v>19145.099999999999</v>
      </c>
      <c r="H20" s="93">
        <v>0</v>
      </c>
      <c r="I20" s="78">
        <f t="shared" si="0"/>
        <v>0</v>
      </c>
      <c r="J20" s="78">
        <f t="shared" si="1"/>
        <v>18756</v>
      </c>
      <c r="K20" s="92">
        <f t="shared" si="2"/>
        <v>200</v>
      </c>
      <c r="L20" s="77">
        <f>L9*E20/100</f>
        <v>48279.698126999996</v>
      </c>
      <c r="M20" s="77">
        <f t="shared" si="3"/>
        <v>67036.698126999996</v>
      </c>
      <c r="N20" s="76" t="e">
        <f t="shared" si="4"/>
        <v>#VALUE!</v>
      </c>
      <c r="O20" s="75">
        <f>J20/L9*100</f>
        <v>3.0107686178491093</v>
      </c>
      <c r="P20" s="74">
        <f>C7*O20/100</f>
        <v>2349.9049062312297</v>
      </c>
      <c r="V20" s="36" t="s">
        <v>35</v>
      </c>
    </row>
    <row r="21" spans="1:22" ht="15.75" customHeight="1" x14ac:dyDescent="0.25">
      <c r="A21" s="81">
        <v>12</v>
      </c>
      <c r="B21" s="79">
        <v>12</v>
      </c>
      <c r="C21" s="79" t="s">
        <v>34</v>
      </c>
      <c r="D21" s="80" t="s">
        <v>8</v>
      </c>
      <c r="E21" s="79">
        <v>7.51</v>
      </c>
      <c r="F21" s="79">
        <v>15306.9</v>
      </c>
      <c r="G21" s="91">
        <v>15338.2</v>
      </c>
      <c r="H21" s="93">
        <v>0</v>
      </c>
      <c r="I21" s="78">
        <f t="shared" si="0"/>
        <v>0</v>
      </c>
      <c r="J21" s="78">
        <f t="shared" si="1"/>
        <v>2935.3140000001022</v>
      </c>
      <c r="K21" s="92">
        <f t="shared" si="2"/>
        <v>31.300000000001091</v>
      </c>
      <c r="L21" s="77">
        <f>L9*E21/100</f>
        <v>46784.584894679989</v>
      </c>
      <c r="M21" s="77">
        <f t="shared" si="3"/>
        <v>49720.898894680089</v>
      </c>
      <c r="N21" s="76" t="e">
        <f t="shared" si="4"/>
        <v>#VALUE!</v>
      </c>
      <c r="O21" s="75">
        <f>J21/L9*100</f>
        <v>0.47118528869340198</v>
      </c>
      <c r="P21" s="74">
        <f>C7*O21/100</f>
        <v>367.76011782520021</v>
      </c>
      <c r="S21">
        <f>G21-F21</f>
        <v>31.300000000001091</v>
      </c>
      <c r="V21" s="36" t="s">
        <v>34</v>
      </c>
    </row>
    <row r="22" spans="1:22" ht="15.75" customHeight="1" x14ac:dyDescent="0.25">
      <c r="A22" s="79">
        <v>13</v>
      </c>
      <c r="B22" s="79">
        <v>13</v>
      </c>
      <c r="C22" s="79" t="s">
        <v>33</v>
      </c>
      <c r="D22" s="79" t="s">
        <v>32</v>
      </c>
      <c r="E22" s="79">
        <v>4.45</v>
      </c>
      <c r="F22" s="79">
        <v>12050.2</v>
      </c>
      <c r="G22" s="91">
        <f>F22+300</f>
        <v>12350.2</v>
      </c>
      <c r="H22" s="93">
        <v>0</v>
      </c>
      <c r="I22" s="78">
        <f t="shared" si="0"/>
        <v>0</v>
      </c>
      <c r="J22" s="78">
        <f t="shared" si="1"/>
        <v>28134</v>
      </c>
      <c r="K22" s="92">
        <f t="shared" si="2"/>
        <v>300</v>
      </c>
      <c r="L22" s="77">
        <f>L9*E22/100</f>
        <v>27721.8911826</v>
      </c>
      <c r="M22" s="77">
        <f t="shared" si="3"/>
        <v>55856.891182599997</v>
      </c>
      <c r="N22" s="76" t="e">
        <f t="shared" si="4"/>
        <v>#VALUE!</v>
      </c>
      <c r="O22" s="75">
        <f>J22/L9*100</f>
        <v>4.516152926773664</v>
      </c>
      <c r="P22" s="74">
        <f>C7*O22/100</f>
        <v>3524.8573593468445</v>
      </c>
      <c r="S22">
        <f>G22-F22</f>
        <v>300</v>
      </c>
      <c r="V22" s="36" t="s">
        <v>33</v>
      </c>
    </row>
    <row r="23" spans="1:22" ht="15.75" customHeight="1" x14ac:dyDescent="0.25">
      <c r="A23" s="85">
        <v>14</v>
      </c>
      <c r="B23" s="79">
        <v>14</v>
      </c>
      <c r="C23" s="79" t="s">
        <v>31</v>
      </c>
      <c r="D23" s="79" t="s">
        <v>30</v>
      </c>
      <c r="E23" s="79">
        <v>6.17</v>
      </c>
      <c r="F23" s="79">
        <v>20587.3</v>
      </c>
      <c r="G23" s="91">
        <v>20942.79</v>
      </c>
      <c r="H23" s="77">
        <v>0</v>
      </c>
      <c r="I23" s="78">
        <f t="shared" si="0"/>
        <v>0</v>
      </c>
      <c r="J23" s="78">
        <f t="shared" si="1"/>
        <v>33337.852200000154</v>
      </c>
      <c r="K23" s="92">
        <f t="shared" si="2"/>
        <v>355.4900000000016</v>
      </c>
      <c r="L23" s="77">
        <f>L9*E23/100</f>
        <v>38436.869347559994</v>
      </c>
      <c r="M23" s="77">
        <f t="shared" si="3"/>
        <v>71775.721547560155</v>
      </c>
      <c r="N23" s="76" t="e">
        <f t="shared" si="4"/>
        <v>#VALUE!</v>
      </c>
      <c r="O23" s="75">
        <f>J23/L9*100</f>
        <v>5.3514906797959236</v>
      </c>
      <c r="P23" s="74">
        <f>C7*O23/100</f>
        <v>4176.8384755807183</v>
      </c>
      <c r="V23" s="36" t="s">
        <v>31</v>
      </c>
    </row>
    <row r="24" spans="1:22" ht="15.75" customHeight="1" x14ac:dyDescent="0.25">
      <c r="A24" s="79">
        <v>15</v>
      </c>
      <c r="B24" s="79">
        <v>15</v>
      </c>
      <c r="C24" s="79" t="s">
        <v>29</v>
      </c>
      <c r="D24" s="79" t="s">
        <v>28</v>
      </c>
      <c r="E24" s="79">
        <v>4.45</v>
      </c>
      <c r="F24" s="79">
        <v>31465.9</v>
      </c>
      <c r="G24" s="91">
        <f>F24+180</f>
        <v>31645.9</v>
      </c>
      <c r="H24" s="77">
        <v>0</v>
      </c>
      <c r="I24" s="78">
        <f t="shared" si="0"/>
        <v>0</v>
      </c>
      <c r="J24" s="78">
        <f t="shared" si="1"/>
        <v>16880.400000000001</v>
      </c>
      <c r="K24" s="92">
        <f t="shared" si="2"/>
        <v>180</v>
      </c>
      <c r="L24" s="77">
        <f>L9*E24/100</f>
        <v>27721.8911826</v>
      </c>
      <c r="M24" s="77">
        <f t="shared" si="3"/>
        <v>44603.291182600005</v>
      </c>
      <c r="N24" s="76" t="e">
        <f t="shared" si="4"/>
        <v>#VALUE!</v>
      </c>
      <c r="O24" s="75">
        <f>J24/L9*100</f>
        <v>2.7096917560641987</v>
      </c>
      <c r="P24" s="74">
        <f>C7*O24/100</f>
        <v>2114.914415608107</v>
      </c>
      <c r="V24" s="36" t="s">
        <v>29</v>
      </c>
    </row>
    <row r="25" spans="1:22" ht="15.75" customHeight="1" x14ac:dyDescent="0.25">
      <c r="A25" s="79">
        <v>16</v>
      </c>
      <c r="B25" s="79">
        <v>16</v>
      </c>
      <c r="C25" s="79" t="s">
        <v>26</v>
      </c>
      <c r="D25" s="79" t="s">
        <v>25</v>
      </c>
      <c r="E25" s="79">
        <v>9.19</v>
      </c>
      <c r="F25" s="79">
        <v>12201.8</v>
      </c>
      <c r="G25" s="91">
        <v>12335.7</v>
      </c>
      <c r="H25" s="77">
        <v>0</v>
      </c>
      <c r="I25" s="78">
        <f t="shared" si="0"/>
        <v>0</v>
      </c>
      <c r="J25" s="78">
        <f t="shared" si="1"/>
        <v>12557.142000000136</v>
      </c>
      <c r="K25" s="92">
        <f t="shared" si="2"/>
        <v>133.90000000000146</v>
      </c>
      <c r="L25" s="77">
        <f>L9*E25/100</f>
        <v>57250.377520919988</v>
      </c>
      <c r="M25" s="77">
        <f t="shared" si="3"/>
        <v>69808.519520920119</v>
      </c>
      <c r="N25" s="76" t="e">
        <f t="shared" si="4"/>
        <v>#VALUE!</v>
      </c>
      <c r="O25" s="75">
        <f>J25/L9*100</f>
        <v>2.0157095896500006</v>
      </c>
      <c r="P25" s="74">
        <f>C7*O25/100</f>
        <v>1573.2613347218255</v>
      </c>
      <c r="V25" s="36" t="s">
        <v>26</v>
      </c>
    </row>
    <row r="26" spans="1:22" ht="15.75" customHeight="1" x14ac:dyDescent="0.25">
      <c r="A26" s="81">
        <v>17</v>
      </c>
      <c r="B26" s="79">
        <v>17</v>
      </c>
      <c r="C26" s="79" t="s">
        <v>23</v>
      </c>
      <c r="D26" s="79" t="s">
        <v>22</v>
      </c>
      <c r="E26" s="79">
        <v>1.18</v>
      </c>
      <c r="F26" s="79">
        <v>0</v>
      </c>
      <c r="G26" s="91">
        <v>0</v>
      </c>
      <c r="H26" s="77">
        <v>0</v>
      </c>
      <c r="I26" s="78">
        <f t="shared" si="0"/>
        <v>0</v>
      </c>
      <c r="J26" s="78">
        <f t="shared" si="1"/>
        <v>0</v>
      </c>
      <c r="K26" s="77"/>
      <c r="L26" s="77">
        <f>L9*E26/100</f>
        <v>7350.9733922399992</v>
      </c>
      <c r="M26" s="77">
        <f t="shared" ref="M26:M33" si="5">J26+L26</f>
        <v>7350.9733922399992</v>
      </c>
      <c r="N26" s="76" t="e">
        <f t="shared" si="4"/>
        <v>#VALUE!</v>
      </c>
      <c r="O26" s="75">
        <f>J26/L9*100</f>
        <v>0</v>
      </c>
      <c r="P26" s="74">
        <f>C7*O26/100</f>
        <v>0</v>
      </c>
      <c r="V26" s="36" t="s">
        <v>23</v>
      </c>
    </row>
    <row r="27" spans="1:22" ht="15.75" customHeight="1" x14ac:dyDescent="0.25">
      <c r="A27" s="85">
        <v>18</v>
      </c>
      <c r="B27" s="90">
        <v>18</v>
      </c>
      <c r="C27" s="90" t="s">
        <v>20</v>
      </c>
      <c r="D27" s="90" t="s">
        <v>18</v>
      </c>
      <c r="E27" s="90">
        <v>1.18</v>
      </c>
      <c r="F27" s="90">
        <v>0</v>
      </c>
      <c r="G27" s="89">
        <v>0</v>
      </c>
      <c r="H27" s="87">
        <v>0</v>
      </c>
      <c r="I27" s="88">
        <f t="shared" si="0"/>
        <v>0</v>
      </c>
      <c r="J27" s="88">
        <f t="shared" si="1"/>
        <v>0</v>
      </c>
      <c r="K27" s="87"/>
      <c r="L27" s="87">
        <f t="shared" ref="L27:L33" si="6">L26</f>
        <v>7350.9733922399992</v>
      </c>
      <c r="M27" s="87">
        <f t="shared" si="5"/>
        <v>7350.9733922399992</v>
      </c>
      <c r="N27" s="76" t="e">
        <f t="shared" si="4"/>
        <v>#VALUE!</v>
      </c>
      <c r="O27" s="75">
        <f>J27/L9*100</f>
        <v>0</v>
      </c>
      <c r="P27" s="74">
        <f>C7*O27/100</f>
        <v>0</v>
      </c>
      <c r="V27" s="36" t="s">
        <v>20</v>
      </c>
    </row>
    <row r="28" spans="1:22" ht="15.75" customHeight="1" x14ac:dyDescent="0.25">
      <c r="A28" s="85">
        <v>19</v>
      </c>
      <c r="B28" s="90">
        <v>19</v>
      </c>
      <c r="C28" s="90" t="s">
        <v>19</v>
      </c>
      <c r="D28" s="90" t="s">
        <v>18</v>
      </c>
      <c r="E28" s="90">
        <v>1.18</v>
      </c>
      <c r="F28" s="90">
        <v>0</v>
      </c>
      <c r="G28" s="89">
        <v>0</v>
      </c>
      <c r="H28" s="87">
        <v>0</v>
      </c>
      <c r="I28" s="88">
        <f t="shared" si="0"/>
        <v>0</v>
      </c>
      <c r="J28" s="88">
        <f t="shared" si="1"/>
        <v>0</v>
      </c>
      <c r="K28" s="87"/>
      <c r="L28" s="87">
        <f t="shared" si="6"/>
        <v>7350.9733922399992</v>
      </c>
      <c r="M28" s="87">
        <f t="shared" si="5"/>
        <v>7350.9733922399992</v>
      </c>
      <c r="N28" s="76" t="e">
        <f t="shared" si="4"/>
        <v>#VALUE!</v>
      </c>
      <c r="O28" s="75">
        <f>J28/L9*100</f>
        <v>0</v>
      </c>
      <c r="P28" s="74">
        <f>C7*O28/100</f>
        <v>0</v>
      </c>
      <c r="V28" s="36" t="s">
        <v>19</v>
      </c>
    </row>
    <row r="29" spans="1:22" ht="15.75" customHeight="1" x14ac:dyDescent="0.25">
      <c r="A29" s="79">
        <v>20</v>
      </c>
      <c r="B29" s="79">
        <v>20</v>
      </c>
      <c r="C29" s="79" t="s">
        <v>17</v>
      </c>
      <c r="D29" s="79" t="s">
        <v>16</v>
      </c>
      <c r="E29" s="79">
        <v>1.18</v>
      </c>
      <c r="F29" s="79">
        <v>0</v>
      </c>
      <c r="G29" s="79">
        <v>0</v>
      </c>
      <c r="H29" s="77">
        <v>0</v>
      </c>
      <c r="I29" s="78">
        <f t="shared" si="0"/>
        <v>0</v>
      </c>
      <c r="J29" s="78">
        <f t="shared" si="1"/>
        <v>0</v>
      </c>
      <c r="K29" s="77"/>
      <c r="L29" s="77">
        <f t="shared" si="6"/>
        <v>7350.9733922399992</v>
      </c>
      <c r="M29" s="77">
        <f t="shared" si="5"/>
        <v>7350.9733922399992</v>
      </c>
      <c r="N29" s="76" t="e">
        <f t="shared" si="4"/>
        <v>#VALUE!</v>
      </c>
      <c r="O29" s="75">
        <f>J29/L9*100</f>
        <v>0</v>
      </c>
      <c r="P29" s="74">
        <f>C7*O29/100</f>
        <v>0</v>
      </c>
      <c r="V29" s="36" t="s">
        <v>17</v>
      </c>
    </row>
    <row r="30" spans="1:22" ht="15.75" customHeight="1" x14ac:dyDescent="0.25">
      <c r="A30" s="85">
        <v>21</v>
      </c>
      <c r="B30" s="85">
        <v>21</v>
      </c>
      <c r="C30" s="85" t="s">
        <v>15</v>
      </c>
      <c r="D30" s="86" t="s">
        <v>14</v>
      </c>
      <c r="E30" s="85">
        <v>1.18</v>
      </c>
      <c r="F30" s="85">
        <v>0</v>
      </c>
      <c r="G30" s="85">
        <v>0</v>
      </c>
      <c r="H30" s="84">
        <v>0</v>
      </c>
      <c r="I30" s="74">
        <f t="shared" si="0"/>
        <v>0</v>
      </c>
      <c r="J30" s="74">
        <f t="shared" si="1"/>
        <v>0</v>
      </c>
      <c r="K30" s="84"/>
      <c r="L30" s="84">
        <f t="shared" si="6"/>
        <v>7350.9733922399992</v>
      </c>
      <c r="M30" s="84">
        <f t="shared" si="5"/>
        <v>7350.9733922399992</v>
      </c>
      <c r="N30" s="76" t="e">
        <f t="shared" si="4"/>
        <v>#VALUE!</v>
      </c>
      <c r="O30" s="75">
        <f>J30/L9*100</f>
        <v>0</v>
      </c>
      <c r="P30" s="74">
        <f>C7*O30/100</f>
        <v>0</v>
      </c>
      <c r="V30" s="36" t="s">
        <v>15</v>
      </c>
    </row>
    <row r="31" spans="1:22" ht="15.75" customHeight="1" x14ac:dyDescent="0.25">
      <c r="A31" s="85">
        <v>22</v>
      </c>
      <c r="B31" s="85">
        <v>22</v>
      </c>
      <c r="C31" s="85" t="s">
        <v>13</v>
      </c>
      <c r="D31" s="85" t="s">
        <v>12</v>
      </c>
      <c r="E31" s="85">
        <v>1.18</v>
      </c>
      <c r="F31" s="85">
        <v>0</v>
      </c>
      <c r="G31" s="85">
        <v>0</v>
      </c>
      <c r="H31" s="84">
        <v>0</v>
      </c>
      <c r="I31" s="74">
        <f t="shared" si="0"/>
        <v>0</v>
      </c>
      <c r="J31" s="74">
        <f t="shared" si="1"/>
        <v>0</v>
      </c>
      <c r="K31" s="84"/>
      <c r="L31" s="84">
        <f t="shared" si="6"/>
        <v>7350.9733922399992</v>
      </c>
      <c r="M31" s="84">
        <f t="shared" si="5"/>
        <v>7350.9733922399992</v>
      </c>
      <c r="N31" s="76" t="e">
        <f t="shared" si="4"/>
        <v>#VALUE!</v>
      </c>
      <c r="O31" s="75">
        <f>J31/L9*100</f>
        <v>0</v>
      </c>
      <c r="P31" s="74">
        <f>C7*O31/100</f>
        <v>0</v>
      </c>
      <c r="V31" s="36" t="s">
        <v>13</v>
      </c>
    </row>
    <row r="32" spans="1:22" ht="15.75" customHeight="1" x14ac:dyDescent="0.25">
      <c r="A32" s="81">
        <v>23</v>
      </c>
      <c r="B32" s="81">
        <v>23</v>
      </c>
      <c r="C32" s="81" t="s">
        <v>11</v>
      </c>
      <c r="D32" s="81" t="s">
        <v>10</v>
      </c>
      <c r="E32" s="81">
        <v>1.18</v>
      </c>
      <c r="F32" s="81">
        <v>0</v>
      </c>
      <c r="G32" s="81">
        <v>0</v>
      </c>
      <c r="H32" s="82">
        <v>0</v>
      </c>
      <c r="I32" s="83">
        <f t="shared" si="0"/>
        <v>0</v>
      </c>
      <c r="J32" s="83">
        <f t="shared" si="1"/>
        <v>0</v>
      </c>
      <c r="K32" s="82"/>
      <c r="L32" s="82">
        <f t="shared" si="6"/>
        <v>7350.9733922399992</v>
      </c>
      <c r="M32" s="82">
        <f t="shared" si="5"/>
        <v>7350.9733922399992</v>
      </c>
      <c r="N32" s="76" t="e">
        <f t="shared" si="4"/>
        <v>#VALUE!</v>
      </c>
      <c r="O32" s="75">
        <f>J32/L9*100</f>
        <v>0</v>
      </c>
      <c r="P32" s="74">
        <f>C7*O32/100</f>
        <v>0</v>
      </c>
      <c r="V32" s="36" t="s">
        <v>11</v>
      </c>
    </row>
    <row r="33" spans="1:22" x14ac:dyDescent="0.25">
      <c r="A33" s="81">
        <v>24</v>
      </c>
      <c r="B33" s="79">
        <v>24</v>
      </c>
      <c r="C33" s="79" t="s">
        <v>9</v>
      </c>
      <c r="D33" s="80" t="s">
        <v>8</v>
      </c>
      <c r="E33" s="79">
        <v>1.18</v>
      </c>
      <c r="F33" s="79">
        <v>0</v>
      </c>
      <c r="G33" s="79">
        <v>0</v>
      </c>
      <c r="H33" s="77">
        <v>0</v>
      </c>
      <c r="I33" s="78">
        <f t="shared" si="0"/>
        <v>0</v>
      </c>
      <c r="J33" s="78">
        <f t="shared" si="1"/>
        <v>0</v>
      </c>
      <c r="K33" s="77"/>
      <c r="L33" s="77">
        <f t="shared" si="6"/>
        <v>7350.9733922399992</v>
      </c>
      <c r="M33" s="77">
        <f t="shared" si="5"/>
        <v>7350.9733922399992</v>
      </c>
      <c r="N33" s="76" t="e">
        <f t="shared" si="4"/>
        <v>#VALUE!</v>
      </c>
      <c r="O33" s="75">
        <f>J33/L9*100</f>
        <v>0</v>
      </c>
      <c r="P33" s="74">
        <f>C7*O33/100</f>
        <v>0</v>
      </c>
      <c r="V33" s="36" t="s">
        <v>9</v>
      </c>
    </row>
    <row r="34" spans="1:22" hidden="1" x14ac:dyDescent="0.25">
      <c r="A34" s="73"/>
      <c r="C34" s="72"/>
      <c r="D34" s="71"/>
      <c r="E34" s="71"/>
      <c r="F34" s="71"/>
      <c r="G34" s="71"/>
      <c r="H34" s="69">
        <f t="shared" ref="H34:M34" si="7">SUM(H10:H33)</f>
        <v>0</v>
      </c>
      <c r="I34" s="70">
        <f t="shared" si="7"/>
        <v>0</v>
      </c>
      <c r="J34" s="70">
        <f t="shared" si="7"/>
        <v>407374.69320000004</v>
      </c>
      <c r="K34" s="69">
        <f t="shared" si="7"/>
        <v>4343.9400000000005</v>
      </c>
      <c r="L34" s="69">
        <f t="shared" si="7"/>
        <v>622901.55041531997</v>
      </c>
      <c r="M34" s="69">
        <f t="shared" si="7"/>
        <v>1030294.24361532</v>
      </c>
      <c r="N34" s="65"/>
      <c r="O34" s="64" t="e">
        <f>J34/C32*100</f>
        <v>#VALUE!</v>
      </c>
    </row>
    <row r="35" spans="1:22" ht="30" hidden="1" x14ac:dyDescent="0.25">
      <c r="A35" s="68" t="s">
        <v>80</v>
      </c>
      <c r="C35" s="135" t="s">
        <v>79</v>
      </c>
      <c r="D35" s="133"/>
      <c r="E35" s="133"/>
      <c r="F35" s="133"/>
      <c r="G35" s="133"/>
      <c r="H35" s="133"/>
      <c r="I35" s="133"/>
      <c r="J35" s="133"/>
      <c r="K35" s="133"/>
      <c r="L35" s="133"/>
      <c r="M35" s="133"/>
      <c r="N35" s="68"/>
      <c r="O35" s="64" t="e">
        <f>J35/C33*100</f>
        <v>#VALUE!</v>
      </c>
    </row>
    <row r="36" spans="1:22" x14ac:dyDescent="0.25">
      <c r="H36" s="65"/>
      <c r="J36" s="67"/>
      <c r="L36" s="67"/>
      <c r="M36" s="66"/>
      <c r="O36" s="64"/>
    </row>
    <row r="37" spans="1:22" ht="37.5" hidden="1" customHeight="1" x14ac:dyDescent="0.25">
      <c r="H37" s="65"/>
      <c r="K37" s="14">
        <f>J34+L34</f>
        <v>1030276.24361532</v>
      </c>
      <c r="L37" s="14"/>
      <c r="O37" s="64"/>
    </row>
    <row r="38" spans="1:22" ht="0.75" customHeight="1" x14ac:dyDescent="0.25">
      <c r="B38" s="136" t="s">
        <v>78</v>
      </c>
      <c r="C38" s="137"/>
      <c r="D38" s="137"/>
      <c r="E38" s="137"/>
      <c r="F38" s="137"/>
      <c r="G38" s="137"/>
      <c r="H38" s="137"/>
      <c r="I38" s="137"/>
      <c r="J38" s="137"/>
      <c r="K38" s="137"/>
      <c r="L38" s="137"/>
      <c r="M38" s="137"/>
      <c r="O38" s="64"/>
    </row>
    <row r="39" spans="1:22" ht="33.75" hidden="1" customHeight="1" x14ac:dyDescent="0.25">
      <c r="B39" s="137"/>
      <c r="C39" s="137"/>
      <c r="D39" s="137"/>
      <c r="E39" s="137"/>
      <c r="F39" s="137"/>
      <c r="G39" s="137"/>
      <c r="H39" s="137"/>
      <c r="I39" s="137"/>
      <c r="J39" s="137"/>
      <c r="K39" s="137"/>
      <c r="L39" s="137"/>
      <c r="M39" s="137"/>
      <c r="O39" s="64"/>
    </row>
    <row r="40" spans="1:22" ht="15.75" hidden="1" customHeight="1" x14ac:dyDescent="0.25">
      <c r="B40" s="137"/>
      <c r="C40" s="137"/>
      <c r="D40" s="137"/>
      <c r="E40" s="137"/>
      <c r="F40" s="137"/>
      <c r="G40" s="137"/>
      <c r="H40" s="137"/>
      <c r="I40" s="137"/>
      <c r="J40" s="137"/>
      <c r="K40" s="137"/>
      <c r="L40" s="137"/>
      <c r="M40" s="137"/>
      <c r="O40" s="64"/>
    </row>
    <row r="41" spans="1:22" ht="15.75" hidden="1" customHeight="1" x14ac:dyDescent="0.25">
      <c r="B41" s="137"/>
      <c r="C41" s="137"/>
      <c r="D41" s="137"/>
      <c r="E41" s="137"/>
      <c r="F41" s="137"/>
      <c r="G41" s="137"/>
      <c r="H41" s="137"/>
      <c r="I41" s="137"/>
      <c r="J41" s="137"/>
      <c r="K41" s="137"/>
      <c r="L41" s="137"/>
      <c r="M41" s="137"/>
      <c r="O41" s="64"/>
    </row>
    <row r="42" spans="1:22" ht="64.5" hidden="1" customHeight="1" x14ac:dyDescent="0.25">
      <c r="B42" s="137"/>
      <c r="C42" s="137"/>
      <c r="D42" s="137"/>
      <c r="E42" s="137"/>
      <c r="F42" s="137"/>
      <c r="G42" s="137"/>
      <c r="H42" s="137"/>
      <c r="I42" s="137"/>
      <c r="J42" s="137"/>
      <c r="K42" s="137"/>
      <c r="L42" s="137"/>
      <c r="M42" s="137"/>
      <c r="O42" s="64"/>
    </row>
    <row r="43" spans="1:22" ht="15.75" customHeight="1" x14ac:dyDescent="0.25">
      <c r="H43" s="65"/>
      <c r="O43" s="64"/>
    </row>
    <row r="44" spans="1:22" ht="15.75" customHeight="1" x14ac:dyDescent="0.25">
      <c r="H44" s="65"/>
      <c r="O44" s="64"/>
    </row>
    <row r="45" spans="1:22" ht="15.75" customHeight="1" x14ac:dyDescent="0.25">
      <c r="H45" s="65"/>
      <c r="O45" s="64"/>
    </row>
    <row r="46" spans="1:22" ht="15.75" customHeight="1" x14ac:dyDescent="0.25">
      <c r="H46" s="65"/>
      <c r="O46" s="64"/>
    </row>
    <row r="47" spans="1:22" ht="15.75" customHeight="1" x14ac:dyDescent="0.25">
      <c r="H47" s="65"/>
      <c r="O47" s="64"/>
    </row>
    <row r="48" spans="1:22" ht="15.75" customHeight="1" x14ac:dyDescent="0.25">
      <c r="H48" s="65"/>
      <c r="O48" s="64"/>
    </row>
    <row r="49" spans="8:15" ht="15.75" customHeight="1" x14ac:dyDescent="0.25">
      <c r="H49" s="65"/>
      <c r="O49" s="64"/>
    </row>
    <row r="50" spans="8:15" ht="15.75" customHeight="1" x14ac:dyDescent="0.25">
      <c r="H50" s="65"/>
      <c r="O50" s="64"/>
    </row>
    <row r="51" spans="8:15" ht="15.75" customHeight="1" x14ac:dyDescent="0.25">
      <c r="H51" s="65"/>
      <c r="O51" s="64"/>
    </row>
    <row r="52" spans="8:15" ht="15.75" customHeight="1" x14ac:dyDescent="0.25">
      <c r="H52" s="65"/>
      <c r="O52" s="64"/>
    </row>
    <row r="53" spans="8:15" ht="15.75" customHeight="1" x14ac:dyDescent="0.25">
      <c r="H53" s="65"/>
      <c r="O53" s="64"/>
    </row>
    <row r="54" spans="8:15" ht="15.75" customHeight="1" x14ac:dyDescent="0.25">
      <c r="H54" s="65"/>
      <c r="O54" s="64"/>
    </row>
    <row r="55" spans="8:15" ht="15.75" customHeight="1" x14ac:dyDescent="0.25">
      <c r="H55" s="65"/>
      <c r="O55" s="64"/>
    </row>
    <row r="56" spans="8:15" ht="15.75" customHeight="1" x14ac:dyDescent="0.25">
      <c r="H56" s="65"/>
      <c r="O56" s="64"/>
    </row>
    <row r="57" spans="8:15" ht="15.75" customHeight="1" x14ac:dyDescent="0.25">
      <c r="H57" s="65"/>
      <c r="O57" s="64"/>
    </row>
    <row r="58" spans="8:15" ht="15.75" customHeight="1" x14ac:dyDescent="0.25">
      <c r="H58" s="65"/>
      <c r="O58" s="64"/>
    </row>
    <row r="59" spans="8:15" ht="15.75" customHeight="1" x14ac:dyDescent="0.25">
      <c r="H59" s="65"/>
      <c r="O59" s="64"/>
    </row>
    <row r="60" spans="8:15" ht="15.75" customHeight="1" x14ac:dyDescent="0.25">
      <c r="H60" s="65"/>
      <c r="O60" s="64"/>
    </row>
    <row r="61" spans="8:15" ht="15.75" customHeight="1" x14ac:dyDescent="0.25">
      <c r="H61" s="65"/>
      <c r="O61" s="64"/>
    </row>
    <row r="62" spans="8:15" ht="15.75" customHeight="1" x14ac:dyDescent="0.25">
      <c r="H62" s="65"/>
      <c r="O62" s="64"/>
    </row>
    <row r="63" spans="8:15" ht="15.75" customHeight="1" x14ac:dyDescent="0.25">
      <c r="H63" s="65"/>
      <c r="O63" s="64"/>
    </row>
    <row r="64" spans="8:15" ht="15.75" customHeight="1" x14ac:dyDescent="0.25">
      <c r="H64" s="65"/>
      <c r="O64" s="64"/>
    </row>
    <row r="65" spans="8:15" ht="15.75" customHeight="1" x14ac:dyDescent="0.25">
      <c r="H65" s="65"/>
      <c r="O65" s="64"/>
    </row>
    <row r="66" spans="8:15" ht="15.75" customHeight="1" x14ac:dyDescent="0.25">
      <c r="H66" s="65"/>
      <c r="O66" s="64"/>
    </row>
    <row r="67" spans="8:15" ht="15.75" customHeight="1" x14ac:dyDescent="0.25">
      <c r="H67" s="65"/>
      <c r="O67" s="64"/>
    </row>
    <row r="68" spans="8:15" ht="15.75" customHeight="1" x14ac:dyDescent="0.25">
      <c r="H68" s="65"/>
      <c r="O68" s="64"/>
    </row>
    <row r="69" spans="8:15" ht="15.75" customHeight="1" x14ac:dyDescent="0.25">
      <c r="H69" s="65"/>
      <c r="O69" s="64"/>
    </row>
    <row r="70" spans="8:15" ht="15.75" customHeight="1" x14ac:dyDescent="0.25">
      <c r="H70" s="65"/>
      <c r="O70" s="64"/>
    </row>
    <row r="71" spans="8:15" ht="15.75" customHeight="1" x14ac:dyDescent="0.25">
      <c r="H71" s="65"/>
      <c r="O71" s="64"/>
    </row>
    <row r="72" spans="8:15" ht="15.75" customHeight="1" x14ac:dyDescent="0.25">
      <c r="H72" s="65"/>
      <c r="O72" s="64"/>
    </row>
    <row r="73" spans="8:15" ht="15.75" customHeight="1" x14ac:dyDescent="0.25">
      <c r="H73" s="65"/>
      <c r="O73" s="64"/>
    </row>
    <row r="74" spans="8:15" ht="15.75" customHeight="1" x14ac:dyDescent="0.25">
      <c r="H74" s="65"/>
      <c r="O74" s="64"/>
    </row>
    <row r="75" spans="8:15" ht="15.75" customHeight="1" x14ac:dyDescent="0.25">
      <c r="H75" s="65"/>
      <c r="O75" s="64"/>
    </row>
    <row r="76" spans="8:15" ht="15.75" customHeight="1" x14ac:dyDescent="0.25">
      <c r="H76" s="65"/>
      <c r="O76" s="64"/>
    </row>
    <row r="77" spans="8:15" ht="15.75" customHeight="1" x14ac:dyDescent="0.25">
      <c r="H77" s="65"/>
      <c r="O77" s="64"/>
    </row>
    <row r="78" spans="8:15" ht="15.75" customHeight="1" x14ac:dyDescent="0.25">
      <c r="H78" s="65"/>
      <c r="O78" s="64"/>
    </row>
    <row r="79" spans="8:15" ht="15.75" customHeight="1" x14ac:dyDescent="0.25">
      <c r="H79" s="65"/>
      <c r="O79" s="64"/>
    </row>
    <row r="80" spans="8:15" ht="15.75" customHeight="1" x14ac:dyDescent="0.25">
      <c r="H80" s="65"/>
      <c r="O80" s="64"/>
    </row>
    <row r="81" spans="8:15" ht="15.75" customHeight="1" x14ac:dyDescent="0.25">
      <c r="H81" s="65"/>
      <c r="O81" s="64"/>
    </row>
    <row r="82" spans="8:15" ht="15.75" customHeight="1" x14ac:dyDescent="0.25">
      <c r="H82" s="65"/>
      <c r="O82" s="64"/>
    </row>
    <row r="83" spans="8:15" ht="15.75" customHeight="1" x14ac:dyDescent="0.25">
      <c r="H83" s="65"/>
      <c r="O83" s="64"/>
    </row>
    <row r="84" spans="8:15" ht="15.75" customHeight="1" x14ac:dyDescent="0.25">
      <c r="H84" s="65"/>
      <c r="O84" s="64"/>
    </row>
    <row r="85" spans="8:15" ht="15.75" customHeight="1" x14ac:dyDescent="0.25">
      <c r="H85" s="65"/>
      <c r="O85" s="64"/>
    </row>
    <row r="86" spans="8:15" ht="15.75" customHeight="1" x14ac:dyDescent="0.25">
      <c r="H86" s="65"/>
      <c r="O86" s="64"/>
    </row>
    <row r="87" spans="8:15" ht="15.75" customHeight="1" x14ac:dyDescent="0.25">
      <c r="H87" s="65"/>
      <c r="O87" s="64"/>
    </row>
    <row r="88" spans="8:15" ht="15.75" customHeight="1" x14ac:dyDescent="0.25">
      <c r="H88" s="65"/>
      <c r="O88" s="64"/>
    </row>
    <row r="89" spans="8:15" ht="15.75" customHeight="1" x14ac:dyDescent="0.25">
      <c r="H89" s="65"/>
      <c r="O89" s="64"/>
    </row>
    <row r="90" spans="8:15" ht="15.75" customHeight="1" x14ac:dyDescent="0.25">
      <c r="H90" s="65"/>
      <c r="O90" s="64"/>
    </row>
    <row r="91" spans="8:15" ht="15.75" customHeight="1" x14ac:dyDescent="0.25">
      <c r="H91" s="65"/>
      <c r="O91" s="64"/>
    </row>
    <row r="92" spans="8:15" ht="15.75" customHeight="1" x14ac:dyDescent="0.25">
      <c r="H92" s="65"/>
      <c r="O92" s="64"/>
    </row>
    <row r="93" spans="8:15" ht="15.75" customHeight="1" x14ac:dyDescent="0.25">
      <c r="H93" s="65"/>
      <c r="O93" s="64"/>
    </row>
    <row r="94" spans="8:15" ht="15.75" customHeight="1" x14ac:dyDescent="0.25">
      <c r="H94" s="65"/>
      <c r="O94" s="64"/>
    </row>
    <row r="95" spans="8:15" ht="15.75" customHeight="1" x14ac:dyDescent="0.25">
      <c r="H95" s="65"/>
      <c r="O95" s="64"/>
    </row>
    <row r="96" spans="8:15" ht="15.75" customHeight="1" x14ac:dyDescent="0.25">
      <c r="H96" s="65"/>
      <c r="O96" s="64"/>
    </row>
    <row r="97" spans="8:15" ht="15.75" customHeight="1" x14ac:dyDescent="0.25">
      <c r="H97" s="65"/>
      <c r="O97" s="64"/>
    </row>
    <row r="98" spans="8:15" ht="15.75" customHeight="1" x14ac:dyDescent="0.25">
      <c r="H98" s="65"/>
      <c r="O98" s="64"/>
    </row>
    <row r="99" spans="8:15" ht="15.75" customHeight="1" x14ac:dyDescent="0.25">
      <c r="H99" s="65"/>
      <c r="O99" s="64"/>
    </row>
    <row r="100" spans="8:15" ht="15.75" customHeight="1" x14ac:dyDescent="0.25">
      <c r="H100" s="65"/>
      <c r="O100" s="64"/>
    </row>
    <row r="101" spans="8:15" ht="15.75" customHeight="1" x14ac:dyDescent="0.25">
      <c r="H101" s="65"/>
      <c r="O101" s="64"/>
    </row>
    <row r="102" spans="8:15" ht="15.75" customHeight="1" x14ac:dyDescent="0.25">
      <c r="H102" s="65"/>
      <c r="O102" s="64"/>
    </row>
    <row r="103" spans="8:15" ht="15.75" customHeight="1" x14ac:dyDescent="0.25">
      <c r="H103" s="65"/>
      <c r="O103" s="64"/>
    </row>
    <row r="104" spans="8:15" ht="15.75" customHeight="1" x14ac:dyDescent="0.25">
      <c r="H104" s="65"/>
      <c r="O104" s="64"/>
    </row>
    <row r="105" spans="8:15" ht="15.75" customHeight="1" x14ac:dyDescent="0.25">
      <c r="H105" s="65"/>
      <c r="O105" s="64"/>
    </row>
    <row r="106" spans="8:15" ht="15.75" customHeight="1" x14ac:dyDescent="0.25">
      <c r="H106" s="65"/>
      <c r="O106" s="64"/>
    </row>
    <row r="107" spans="8:15" ht="15.75" customHeight="1" x14ac:dyDescent="0.25">
      <c r="H107" s="65"/>
      <c r="O107" s="64"/>
    </row>
    <row r="108" spans="8:15" ht="15.75" customHeight="1" x14ac:dyDescent="0.25">
      <c r="H108" s="65"/>
      <c r="O108" s="64"/>
    </row>
    <row r="109" spans="8:15" ht="15.75" customHeight="1" x14ac:dyDescent="0.25">
      <c r="H109" s="65"/>
      <c r="O109" s="64"/>
    </row>
    <row r="110" spans="8:15" ht="15.75" customHeight="1" x14ac:dyDescent="0.25">
      <c r="H110" s="65"/>
      <c r="O110" s="64"/>
    </row>
    <row r="111" spans="8:15" ht="15.75" customHeight="1" x14ac:dyDescent="0.25">
      <c r="H111" s="65"/>
      <c r="O111" s="64"/>
    </row>
    <row r="112" spans="8:15" ht="15.75" customHeight="1" x14ac:dyDescent="0.25">
      <c r="H112" s="65"/>
      <c r="O112" s="64"/>
    </row>
    <row r="113" spans="8:15" ht="15.75" customHeight="1" x14ac:dyDescent="0.25">
      <c r="H113" s="65"/>
      <c r="O113" s="64"/>
    </row>
    <row r="114" spans="8:15" ht="15.75" customHeight="1" x14ac:dyDescent="0.25">
      <c r="H114" s="65"/>
      <c r="O114" s="64"/>
    </row>
    <row r="115" spans="8:15" ht="15.75" customHeight="1" x14ac:dyDescent="0.25">
      <c r="H115" s="65"/>
      <c r="O115" s="64"/>
    </row>
    <row r="116" spans="8:15" ht="15.75" customHeight="1" x14ac:dyDescent="0.25">
      <c r="H116" s="65"/>
      <c r="O116" s="64"/>
    </row>
    <row r="117" spans="8:15" ht="15.75" customHeight="1" x14ac:dyDescent="0.25">
      <c r="H117" s="65"/>
      <c r="O117" s="64"/>
    </row>
    <row r="118" spans="8:15" ht="15.75" customHeight="1" x14ac:dyDescent="0.25">
      <c r="H118" s="65"/>
      <c r="O118" s="64"/>
    </row>
    <row r="119" spans="8:15" ht="15.75" customHeight="1" x14ac:dyDescent="0.25">
      <c r="H119" s="65"/>
      <c r="O119" s="64"/>
    </row>
    <row r="120" spans="8:15" ht="15.75" customHeight="1" x14ac:dyDescent="0.25">
      <c r="H120" s="65"/>
      <c r="O120" s="64"/>
    </row>
    <row r="121" spans="8:15" ht="15.75" customHeight="1" x14ac:dyDescent="0.25">
      <c r="H121" s="65"/>
      <c r="O121" s="64"/>
    </row>
    <row r="122" spans="8:15" ht="15.75" customHeight="1" x14ac:dyDescent="0.25">
      <c r="H122" s="65"/>
      <c r="O122" s="64"/>
    </row>
    <row r="123" spans="8:15" ht="15.75" customHeight="1" x14ac:dyDescent="0.25">
      <c r="H123" s="65"/>
      <c r="O123" s="64"/>
    </row>
    <row r="124" spans="8:15" ht="15.75" customHeight="1" x14ac:dyDescent="0.25">
      <c r="H124" s="65"/>
      <c r="O124" s="64"/>
    </row>
    <row r="125" spans="8:15" ht="15.75" customHeight="1" x14ac:dyDescent="0.25">
      <c r="H125" s="65"/>
      <c r="O125" s="64"/>
    </row>
    <row r="126" spans="8:15" ht="15.75" customHeight="1" x14ac:dyDescent="0.25">
      <c r="H126" s="65"/>
      <c r="O126" s="64"/>
    </row>
    <row r="127" spans="8:15" ht="15.75" customHeight="1" x14ac:dyDescent="0.25">
      <c r="H127" s="65"/>
      <c r="O127" s="64"/>
    </row>
    <row r="128" spans="8:15" ht="15.75" customHeight="1" x14ac:dyDescent="0.25">
      <c r="H128" s="65"/>
      <c r="O128" s="64"/>
    </row>
    <row r="129" spans="8:15" ht="15.75" customHeight="1" x14ac:dyDescent="0.25">
      <c r="H129" s="65"/>
      <c r="O129" s="64"/>
    </row>
    <row r="130" spans="8:15" ht="15.75" customHeight="1" x14ac:dyDescent="0.25">
      <c r="H130" s="65"/>
      <c r="O130" s="64"/>
    </row>
    <row r="131" spans="8:15" ht="15.75" customHeight="1" x14ac:dyDescent="0.25">
      <c r="H131" s="65"/>
      <c r="O131" s="64"/>
    </row>
    <row r="132" spans="8:15" ht="15.75" customHeight="1" x14ac:dyDescent="0.25">
      <c r="H132" s="65"/>
      <c r="O132" s="64"/>
    </row>
    <row r="133" spans="8:15" ht="15.75" customHeight="1" x14ac:dyDescent="0.25">
      <c r="H133" s="65"/>
      <c r="O133" s="64"/>
    </row>
    <row r="134" spans="8:15" ht="15.75" customHeight="1" x14ac:dyDescent="0.25">
      <c r="H134" s="65"/>
      <c r="O134" s="64"/>
    </row>
    <row r="135" spans="8:15" ht="15.75" customHeight="1" x14ac:dyDescent="0.25">
      <c r="H135" s="65"/>
      <c r="O135" s="64"/>
    </row>
    <row r="136" spans="8:15" ht="15.75" customHeight="1" x14ac:dyDescent="0.25">
      <c r="H136" s="65"/>
      <c r="O136" s="64"/>
    </row>
    <row r="137" spans="8:15" ht="15.75" customHeight="1" x14ac:dyDescent="0.25">
      <c r="H137" s="65"/>
      <c r="O137" s="64"/>
    </row>
    <row r="138" spans="8:15" ht="15.75" customHeight="1" x14ac:dyDescent="0.25">
      <c r="H138" s="65"/>
      <c r="O138" s="64"/>
    </row>
    <row r="139" spans="8:15" ht="15.75" customHeight="1" x14ac:dyDescent="0.25">
      <c r="H139" s="65"/>
      <c r="O139" s="64"/>
    </row>
    <row r="140" spans="8:15" ht="15.75" customHeight="1" x14ac:dyDescent="0.25">
      <c r="H140" s="65"/>
      <c r="O140" s="64"/>
    </row>
    <row r="141" spans="8:15" ht="15.75" customHeight="1" x14ac:dyDescent="0.25">
      <c r="H141" s="65"/>
      <c r="O141" s="64"/>
    </row>
    <row r="142" spans="8:15" ht="15.75" customHeight="1" x14ac:dyDescent="0.25">
      <c r="H142" s="65"/>
      <c r="O142" s="64"/>
    </row>
    <row r="143" spans="8:15" ht="15.75" customHeight="1" x14ac:dyDescent="0.25">
      <c r="H143" s="65"/>
      <c r="O143" s="64"/>
    </row>
    <row r="144" spans="8:15" ht="15.75" customHeight="1" x14ac:dyDescent="0.25">
      <c r="H144" s="65"/>
      <c r="O144" s="64"/>
    </row>
    <row r="145" spans="8:15" ht="15.75" customHeight="1" x14ac:dyDescent="0.25">
      <c r="H145" s="65"/>
      <c r="O145" s="64"/>
    </row>
    <row r="146" spans="8:15" ht="15.75" customHeight="1" x14ac:dyDescent="0.25">
      <c r="H146" s="65"/>
      <c r="O146" s="64"/>
    </row>
    <row r="147" spans="8:15" ht="15.75" customHeight="1" x14ac:dyDescent="0.25">
      <c r="H147" s="65"/>
      <c r="O147" s="64"/>
    </row>
    <row r="148" spans="8:15" ht="15.75" customHeight="1" x14ac:dyDescent="0.25">
      <c r="H148" s="65"/>
      <c r="O148" s="64"/>
    </row>
    <row r="149" spans="8:15" ht="15.75" customHeight="1" x14ac:dyDescent="0.25">
      <c r="H149" s="65"/>
      <c r="O149" s="64"/>
    </row>
    <row r="150" spans="8:15" ht="15.75" customHeight="1" x14ac:dyDescent="0.25">
      <c r="H150" s="65"/>
      <c r="O150" s="64"/>
    </row>
    <row r="151" spans="8:15" ht="15.75" customHeight="1" x14ac:dyDescent="0.25">
      <c r="H151" s="65"/>
      <c r="O151" s="64"/>
    </row>
    <row r="152" spans="8:15" ht="15.75" customHeight="1" x14ac:dyDescent="0.25">
      <c r="H152" s="65"/>
      <c r="O152" s="64"/>
    </row>
    <row r="153" spans="8:15" ht="15.75" customHeight="1" x14ac:dyDescent="0.25">
      <c r="H153" s="65"/>
      <c r="O153" s="64"/>
    </row>
    <row r="154" spans="8:15" ht="15.75" customHeight="1" x14ac:dyDescent="0.25">
      <c r="H154" s="65"/>
      <c r="O154" s="64"/>
    </row>
    <row r="155" spans="8:15" ht="15.75" customHeight="1" x14ac:dyDescent="0.25">
      <c r="H155" s="65"/>
      <c r="O155" s="64"/>
    </row>
    <row r="156" spans="8:15" ht="15.75" customHeight="1" x14ac:dyDescent="0.25">
      <c r="H156" s="65"/>
      <c r="O156" s="64"/>
    </row>
    <row r="157" spans="8:15" ht="15.75" customHeight="1" x14ac:dyDescent="0.25">
      <c r="H157" s="65"/>
      <c r="O157" s="64"/>
    </row>
    <row r="158" spans="8:15" ht="15.75" customHeight="1" x14ac:dyDescent="0.25">
      <c r="H158" s="65"/>
      <c r="O158" s="64"/>
    </row>
    <row r="159" spans="8:15" ht="15.75" customHeight="1" x14ac:dyDescent="0.25">
      <c r="H159" s="65"/>
      <c r="O159" s="64"/>
    </row>
    <row r="160" spans="8:15" ht="15.75" customHeight="1" x14ac:dyDescent="0.25">
      <c r="H160" s="65"/>
      <c r="O160" s="64"/>
    </row>
    <row r="161" spans="8:15" ht="15.75" customHeight="1" x14ac:dyDescent="0.25">
      <c r="H161" s="65"/>
      <c r="O161" s="64"/>
    </row>
    <row r="162" spans="8:15" ht="15.75" customHeight="1" x14ac:dyDescent="0.25">
      <c r="H162" s="65"/>
      <c r="O162" s="64"/>
    </row>
    <row r="163" spans="8:15" ht="15.75" customHeight="1" x14ac:dyDescent="0.25">
      <c r="H163" s="65"/>
      <c r="O163" s="64"/>
    </row>
    <row r="164" spans="8:15" ht="15.75" customHeight="1" x14ac:dyDescent="0.25">
      <c r="H164" s="65"/>
      <c r="O164" s="64"/>
    </row>
    <row r="165" spans="8:15" ht="15.75" customHeight="1" x14ac:dyDescent="0.25">
      <c r="H165" s="65"/>
      <c r="O165" s="64"/>
    </row>
    <row r="166" spans="8:15" ht="15.75" customHeight="1" x14ac:dyDescent="0.25">
      <c r="H166" s="65"/>
      <c r="O166" s="64"/>
    </row>
    <row r="167" spans="8:15" ht="15.75" customHeight="1" x14ac:dyDescent="0.25">
      <c r="H167" s="65"/>
      <c r="O167" s="64"/>
    </row>
    <row r="168" spans="8:15" ht="15.75" customHeight="1" x14ac:dyDescent="0.25">
      <c r="H168" s="65"/>
      <c r="O168" s="64"/>
    </row>
    <row r="169" spans="8:15" ht="15.75" customHeight="1" x14ac:dyDescent="0.25">
      <c r="H169" s="65"/>
      <c r="O169" s="64"/>
    </row>
    <row r="170" spans="8:15" ht="15.75" customHeight="1" x14ac:dyDescent="0.25">
      <c r="H170" s="65"/>
      <c r="O170" s="64"/>
    </row>
    <row r="171" spans="8:15" ht="15.75" customHeight="1" x14ac:dyDescent="0.25">
      <c r="H171" s="65"/>
      <c r="O171" s="64"/>
    </row>
    <row r="172" spans="8:15" ht="15.75" customHeight="1" x14ac:dyDescent="0.25">
      <c r="H172" s="65"/>
      <c r="O172" s="64"/>
    </row>
    <row r="173" spans="8:15" ht="15.75" customHeight="1" x14ac:dyDescent="0.25">
      <c r="H173" s="65"/>
      <c r="O173" s="64"/>
    </row>
    <row r="174" spans="8:15" ht="15.75" customHeight="1" x14ac:dyDescent="0.25">
      <c r="H174" s="65"/>
      <c r="O174" s="64"/>
    </row>
    <row r="175" spans="8:15" ht="15.75" customHeight="1" x14ac:dyDescent="0.25">
      <c r="H175" s="65"/>
      <c r="O175" s="64"/>
    </row>
    <row r="176" spans="8:15" ht="15.75" customHeight="1" x14ac:dyDescent="0.25">
      <c r="H176" s="65"/>
      <c r="O176" s="64"/>
    </row>
    <row r="177" spans="8:15" ht="15.75" customHeight="1" x14ac:dyDescent="0.25">
      <c r="H177" s="65"/>
      <c r="O177" s="64"/>
    </row>
    <row r="178" spans="8:15" ht="15.75" customHeight="1" x14ac:dyDescent="0.25">
      <c r="H178" s="65"/>
      <c r="O178" s="64"/>
    </row>
    <row r="179" spans="8:15" ht="15.75" customHeight="1" x14ac:dyDescent="0.25">
      <c r="H179" s="65"/>
      <c r="O179" s="64"/>
    </row>
    <row r="180" spans="8:15" ht="15.75" customHeight="1" x14ac:dyDescent="0.25">
      <c r="H180" s="65"/>
      <c r="O180" s="64"/>
    </row>
    <row r="181" spans="8:15" ht="15.75" customHeight="1" x14ac:dyDescent="0.25">
      <c r="H181" s="65"/>
      <c r="O181" s="64"/>
    </row>
    <row r="182" spans="8:15" ht="15.75" customHeight="1" x14ac:dyDescent="0.25">
      <c r="H182" s="65"/>
      <c r="O182" s="64"/>
    </row>
    <row r="183" spans="8:15" ht="15.75" customHeight="1" x14ac:dyDescent="0.25">
      <c r="H183" s="65"/>
      <c r="O183" s="64"/>
    </row>
    <row r="184" spans="8:15" ht="15.75" customHeight="1" x14ac:dyDescent="0.25">
      <c r="H184" s="65"/>
      <c r="O184" s="64"/>
    </row>
    <row r="185" spans="8:15" ht="15.75" customHeight="1" x14ac:dyDescent="0.25">
      <c r="H185" s="65"/>
      <c r="O185" s="64"/>
    </row>
    <row r="186" spans="8:15" ht="15.75" customHeight="1" x14ac:dyDescent="0.25">
      <c r="H186" s="65"/>
      <c r="O186" s="64"/>
    </row>
    <row r="187" spans="8:15" ht="15.75" customHeight="1" x14ac:dyDescent="0.25">
      <c r="H187" s="65"/>
      <c r="O187" s="64"/>
    </row>
    <row r="188" spans="8:15" ht="15.75" customHeight="1" x14ac:dyDescent="0.25">
      <c r="H188" s="65"/>
      <c r="O188" s="64"/>
    </row>
    <row r="189" spans="8:15" ht="15.75" customHeight="1" x14ac:dyDescent="0.25">
      <c r="H189" s="65"/>
      <c r="O189" s="64"/>
    </row>
    <row r="190" spans="8:15" ht="15.75" customHeight="1" x14ac:dyDescent="0.25">
      <c r="H190" s="65"/>
      <c r="O190" s="64"/>
    </row>
    <row r="191" spans="8:15" ht="15.75" customHeight="1" x14ac:dyDescent="0.25">
      <c r="H191" s="65"/>
      <c r="O191" s="64"/>
    </row>
    <row r="192" spans="8:15" ht="15.75" customHeight="1" x14ac:dyDescent="0.25">
      <c r="H192" s="65"/>
      <c r="O192" s="64"/>
    </row>
    <row r="193" spans="8:15" ht="15.75" customHeight="1" x14ac:dyDescent="0.25">
      <c r="H193" s="65"/>
      <c r="O193" s="64"/>
    </row>
    <row r="194" spans="8:15" ht="15.75" customHeight="1" x14ac:dyDescent="0.25">
      <c r="H194" s="65"/>
      <c r="O194" s="64"/>
    </row>
    <row r="195" spans="8:15" ht="15.75" customHeight="1" x14ac:dyDescent="0.25">
      <c r="H195" s="65"/>
      <c r="O195" s="64"/>
    </row>
    <row r="196" spans="8:15" ht="15.75" customHeight="1" x14ac:dyDescent="0.25">
      <c r="H196" s="65"/>
      <c r="O196" s="64"/>
    </row>
    <row r="197" spans="8:15" ht="15.75" customHeight="1" x14ac:dyDescent="0.25">
      <c r="H197" s="65"/>
      <c r="O197" s="64"/>
    </row>
    <row r="198" spans="8:15" ht="15.75" customHeight="1" x14ac:dyDescent="0.25">
      <c r="H198" s="65"/>
      <c r="O198" s="64"/>
    </row>
    <row r="199" spans="8:15" ht="15.75" customHeight="1" x14ac:dyDescent="0.25">
      <c r="H199" s="65"/>
      <c r="O199" s="64"/>
    </row>
    <row r="200" spans="8:15" ht="15.75" customHeight="1" x14ac:dyDescent="0.25">
      <c r="H200" s="65"/>
      <c r="O200" s="64"/>
    </row>
    <row r="201" spans="8:15" ht="15.75" customHeight="1" x14ac:dyDescent="0.25">
      <c r="H201" s="65"/>
      <c r="O201" s="64"/>
    </row>
    <row r="202" spans="8:15" ht="15.75" customHeight="1" x14ac:dyDescent="0.25">
      <c r="H202" s="65"/>
      <c r="O202" s="64"/>
    </row>
    <row r="203" spans="8:15" ht="15.75" customHeight="1" x14ac:dyDescent="0.25">
      <c r="H203" s="65"/>
      <c r="O203" s="64"/>
    </row>
    <row r="204" spans="8:15" ht="15.75" customHeight="1" x14ac:dyDescent="0.25">
      <c r="H204" s="65"/>
      <c r="O204" s="64"/>
    </row>
    <row r="205" spans="8:15" ht="15.75" customHeight="1" x14ac:dyDescent="0.25">
      <c r="H205" s="65"/>
      <c r="O205" s="64"/>
    </row>
    <row r="206" spans="8:15" ht="15.75" customHeight="1" x14ac:dyDescent="0.25">
      <c r="H206" s="65"/>
      <c r="O206" s="64"/>
    </row>
    <row r="207" spans="8:15" ht="15.75" customHeight="1" x14ac:dyDescent="0.25">
      <c r="H207" s="65"/>
      <c r="O207" s="64"/>
    </row>
    <row r="208" spans="8:15" ht="15.75" customHeight="1" x14ac:dyDescent="0.25">
      <c r="H208" s="65"/>
      <c r="O208" s="64"/>
    </row>
    <row r="209" spans="8:15" ht="15.75" customHeight="1" x14ac:dyDescent="0.25">
      <c r="H209" s="65"/>
      <c r="O209" s="64"/>
    </row>
    <row r="210" spans="8:15" ht="15.75" customHeight="1" x14ac:dyDescent="0.25">
      <c r="H210" s="65"/>
      <c r="O210" s="64"/>
    </row>
    <row r="211" spans="8:15" ht="15.75" customHeight="1" x14ac:dyDescent="0.25">
      <c r="H211" s="65"/>
      <c r="O211" s="64"/>
    </row>
    <row r="212" spans="8:15" ht="15.75" customHeight="1" x14ac:dyDescent="0.25">
      <c r="H212" s="65"/>
      <c r="O212" s="64"/>
    </row>
    <row r="213" spans="8:15" ht="15.75" customHeight="1" x14ac:dyDescent="0.25">
      <c r="H213" s="65"/>
      <c r="O213" s="64"/>
    </row>
    <row r="214" spans="8:15" ht="15.75" customHeight="1" x14ac:dyDescent="0.25">
      <c r="H214" s="65"/>
      <c r="O214" s="64"/>
    </row>
    <row r="215" spans="8:15" ht="15.75" customHeight="1" x14ac:dyDescent="0.25">
      <c r="H215" s="65"/>
      <c r="O215" s="64"/>
    </row>
    <row r="216" spans="8:15" ht="15.75" customHeight="1" x14ac:dyDescent="0.25">
      <c r="H216" s="65"/>
      <c r="O216" s="64"/>
    </row>
    <row r="217" spans="8:15" ht="15.75" customHeight="1" x14ac:dyDescent="0.25">
      <c r="H217" s="65"/>
      <c r="O217" s="64"/>
    </row>
    <row r="218" spans="8:15" ht="15.75" customHeight="1" x14ac:dyDescent="0.25">
      <c r="H218" s="65"/>
      <c r="O218" s="64"/>
    </row>
    <row r="219" spans="8:15" ht="15.75" customHeight="1" x14ac:dyDescent="0.25">
      <c r="H219" s="65"/>
      <c r="O219" s="64"/>
    </row>
    <row r="220" spans="8:15" ht="15.75" customHeight="1" x14ac:dyDescent="0.25">
      <c r="H220" s="65"/>
      <c r="O220" s="64"/>
    </row>
    <row r="221" spans="8:15" ht="15.75" customHeight="1" x14ac:dyDescent="0.25">
      <c r="H221" s="65"/>
      <c r="O221" s="64"/>
    </row>
    <row r="222" spans="8:15" ht="15.75" customHeight="1" x14ac:dyDescent="0.25">
      <c r="H222" s="65"/>
      <c r="O222" s="64"/>
    </row>
    <row r="223" spans="8:15" ht="15.75" customHeight="1" x14ac:dyDescent="0.25">
      <c r="H223" s="65"/>
      <c r="O223" s="64"/>
    </row>
    <row r="224" spans="8:15" ht="15.75" customHeight="1" x14ac:dyDescent="0.25">
      <c r="H224" s="65"/>
      <c r="O224" s="64"/>
    </row>
    <row r="225" spans="8:15" ht="15.75" customHeight="1" x14ac:dyDescent="0.25">
      <c r="H225" s="65"/>
      <c r="O225" s="64"/>
    </row>
    <row r="226" spans="8:15" ht="15.75" customHeight="1" x14ac:dyDescent="0.25">
      <c r="H226" s="65"/>
      <c r="O226" s="64"/>
    </row>
    <row r="227" spans="8:15" ht="15.75" customHeight="1" x14ac:dyDescent="0.25">
      <c r="H227" s="65"/>
      <c r="O227" s="64"/>
    </row>
    <row r="228" spans="8:15" ht="15.75" customHeight="1" x14ac:dyDescent="0.25">
      <c r="H228" s="65"/>
      <c r="O228" s="64"/>
    </row>
    <row r="229" spans="8:15" ht="15.75" customHeight="1" x14ac:dyDescent="0.25">
      <c r="H229" s="65"/>
      <c r="O229" s="64"/>
    </row>
    <row r="230" spans="8:15" ht="15.75" customHeight="1" x14ac:dyDescent="0.25">
      <c r="H230" s="65"/>
      <c r="O230" s="64"/>
    </row>
    <row r="231" spans="8:15" ht="15.75" customHeight="1" x14ac:dyDescent="0.25">
      <c r="H231" s="65"/>
      <c r="O231" s="64"/>
    </row>
    <row r="232" spans="8:15" ht="15.75" customHeight="1" x14ac:dyDescent="0.25">
      <c r="H232" s="65"/>
      <c r="O232" s="64"/>
    </row>
    <row r="233" spans="8:15" ht="15.75" customHeight="1" x14ac:dyDescent="0.25">
      <c r="H233" s="65"/>
      <c r="O233" s="64"/>
    </row>
    <row r="234" spans="8:15" ht="15.75" customHeight="1" x14ac:dyDescent="0.25">
      <c r="H234" s="65"/>
      <c r="O234" s="64"/>
    </row>
    <row r="235" spans="8:15" ht="15.75" customHeight="1" x14ac:dyDescent="0.25">
      <c r="H235" s="65"/>
      <c r="O235" s="64"/>
    </row>
    <row r="236" spans="8:15" ht="15.75" customHeight="1" x14ac:dyDescent="0.25">
      <c r="H236" s="65"/>
      <c r="O236" s="64"/>
    </row>
    <row r="237" spans="8:15" ht="15.75" customHeight="1" x14ac:dyDescent="0.25">
      <c r="H237" s="65"/>
      <c r="O237" s="64"/>
    </row>
    <row r="238" spans="8:15" ht="15.75" customHeight="1" x14ac:dyDescent="0.25">
      <c r="H238" s="65"/>
      <c r="O238" s="64"/>
    </row>
    <row r="239" spans="8:15" ht="15.75" customHeight="1" x14ac:dyDescent="0.25">
      <c r="H239" s="65"/>
      <c r="O239" s="64"/>
    </row>
    <row r="240" spans="8:15" ht="15.75" customHeight="1" x14ac:dyDescent="0.25">
      <c r="H240" s="65"/>
      <c r="O240" s="64"/>
    </row>
    <row r="241" spans="8:15" ht="15.75" customHeight="1" x14ac:dyDescent="0.25">
      <c r="H241" s="65"/>
      <c r="O241" s="64"/>
    </row>
    <row r="242" spans="8:15" ht="15.75" customHeight="1" x14ac:dyDescent="0.25">
      <c r="H242" s="65"/>
      <c r="O242" s="64"/>
    </row>
    <row r="243" spans="8:15" ht="15.75" customHeight="1" x14ac:dyDescent="0.25">
      <c r="H243" s="65"/>
      <c r="O243" s="64"/>
    </row>
    <row r="244" spans="8:15" ht="15.75" customHeight="1" x14ac:dyDescent="0.25">
      <c r="H244" s="65"/>
      <c r="O244" s="64"/>
    </row>
    <row r="245" spans="8:15" ht="15.75" customHeight="1" x14ac:dyDescent="0.25">
      <c r="H245" s="65"/>
      <c r="O245" s="64"/>
    </row>
    <row r="246" spans="8:15" ht="15.75" customHeight="1" x14ac:dyDescent="0.25">
      <c r="H246" s="65"/>
      <c r="O246" s="64"/>
    </row>
    <row r="247" spans="8:15" ht="15.75" customHeight="1" x14ac:dyDescent="0.25">
      <c r="H247" s="65"/>
      <c r="O247" s="64"/>
    </row>
    <row r="248" spans="8:15" ht="15.75" customHeight="1" x14ac:dyDescent="0.25">
      <c r="H248" s="65"/>
      <c r="O248" s="64"/>
    </row>
    <row r="249" spans="8:15" ht="15.75" customHeight="1" x14ac:dyDescent="0.25">
      <c r="H249" s="65"/>
      <c r="O249" s="64"/>
    </row>
    <row r="250" spans="8:15" ht="15.75" customHeight="1" x14ac:dyDescent="0.25">
      <c r="H250" s="65"/>
      <c r="O250" s="64"/>
    </row>
    <row r="251" spans="8:15" ht="15.75" customHeight="1" x14ac:dyDescent="0.25">
      <c r="H251" s="65"/>
      <c r="O251" s="64"/>
    </row>
    <row r="252" spans="8:15" ht="15.75" customHeight="1" x14ac:dyDescent="0.25">
      <c r="H252" s="65"/>
      <c r="O252" s="64"/>
    </row>
    <row r="253" spans="8:15" ht="15.75" customHeight="1" x14ac:dyDescent="0.25">
      <c r="H253" s="65"/>
      <c r="O253" s="64"/>
    </row>
    <row r="254" spans="8:15" ht="15.75" customHeight="1" x14ac:dyDescent="0.25">
      <c r="H254" s="65"/>
      <c r="O254" s="64"/>
    </row>
    <row r="255" spans="8:15" ht="15.75" customHeight="1" x14ac:dyDescent="0.25">
      <c r="H255" s="65"/>
      <c r="O255" s="64"/>
    </row>
    <row r="256" spans="8:15" ht="15.75" customHeight="1" x14ac:dyDescent="0.25">
      <c r="H256" s="65"/>
      <c r="O256" s="64"/>
    </row>
    <row r="257" spans="8:15" ht="15.75" customHeight="1" x14ac:dyDescent="0.25">
      <c r="H257" s="65"/>
      <c r="O257" s="64"/>
    </row>
    <row r="258" spans="8:15" ht="15.75" customHeight="1" x14ac:dyDescent="0.25">
      <c r="H258" s="65"/>
      <c r="O258" s="64"/>
    </row>
    <row r="259" spans="8:15" ht="15.75" customHeight="1" x14ac:dyDescent="0.25">
      <c r="H259" s="65"/>
      <c r="O259" s="64"/>
    </row>
    <row r="260" spans="8:15" ht="15.75" customHeight="1" x14ac:dyDescent="0.25">
      <c r="H260" s="65"/>
      <c r="O260" s="64"/>
    </row>
    <row r="261" spans="8:15" ht="15.75" customHeight="1" x14ac:dyDescent="0.25">
      <c r="H261" s="65"/>
      <c r="O261" s="64"/>
    </row>
    <row r="262" spans="8:15" ht="15.75" customHeight="1" x14ac:dyDescent="0.25">
      <c r="H262" s="65"/>
      <c r="O262" s="64"/>
    </row>
    <row r="263" spans="8:15" ht="15.75" customHeight="1" x14ac:dyDescent="0.25">
      <c r="H263" s="65"/>
      <c r="O263" s="64"/>
    </row>
    <row r="264" spans="8:15" ht="15.75" customHeight="1" x14ac:dyDescent="0.25">
      <c r="H264" s="65"/>
      <c r="O264" s="64"/>
    </row>
    <row r="265" spans="8:15" ht="15.75" customHeight="1" x14ac:dyDescent="0.25">
      <c r="H265" s="65"/>
      <c r="O265" s="64"/>
    </row>
    <row r="266" spans="8:15" ht="15.75" customHeight="1" x14ac:dyDescent="0.25">
      <c r="H266" s="65"/>
      <c r="O266" s="64"/>
    </row>
    <row r="267" spans="8:15" ht="15.75" customHeight="1" x14ac:dyDescent="0.25">
      <c r="H267" s="65"/>
      <c r="O267" s="64"/>
    </row>
    <row r="268" spans="8:15" ht="15.75" customHeight="1" x14ac:dyDescent="0.25">
      <c r="H268" s="65"/>
      <c r="O268" s="64"/>
    </row>
    <row r="269" spans="8:15" ht="15.75" customHeight="1" x14ac:dyDescent="0.25">
      <c r="H269" s="65"/>
      <c r="O269" s="64"/>
    </row>
    <row r="270" spans="8:15" ht="15.75" customHeight="1" x14ac:dyDescent="0.25">
      <c r="H270" s="65"/>
      <c r="O270" s="64"/>
    </row>
    <row r="271" spans="8:15" ht="15.75" customHeight="1" x14ac:dyDescent="0.25">
      <c r="H271" s="65"/>
      <c r="O271" s="64"/>
    </row>
    <row r="272" spans="8:15" ht="15.75" customHeight="1" x14ac:dyDescent="0.25">
      <c r="H272" s="65"/>
      <c r="O272" s="64"/>
    </row>
    <row r="273" spans="8:15" ht="15.75" customHeight="1" x14ac:dyDescent="0.25">
      <c r="H273" s="65"/>
      <c r="O273" s="64"/>
    </row>
    <row r="274" spans="8:15" ht="15.75" customHeight="1" x14ac:dyDescent="0.25">
      <c r="H274" s="65"/>
      <c r="O274" s="64"/>
    </row>
    <row r="275" spans="8:15" ht="15.75" customHeight="1" x14ac:dyDescent="0.25">
      <c r="H275" s="65"/>
      <c r="O275" s="64"/>
    </row>
    <row r="276" spans="8:15" ht="15.75" customHeight="1" x14ac:dyDescent="0.25">
      <c r="H276" s="65"/>
      <c r="O276" s="64"/>
    </row>
    <row r="277" spans="8:15" ht="15.75" customHeight="1" x14ac:dyDescent="0.25">
      <c r="H277" s="65"/>
      <c r="O277" s="64"/>
    </row>
    <row r="278" spans="8:15" ht="15.75" customHeight="1" x14ac:dyDescent="0.25">
      <c r="H278" s="65"/>
      <c r="O278" s="64"/>
    </row>
    <row r="279" spans="8:15" ht="15.75" customHeight="1" x14ac:dyDescent="0.25">
      <c r="H279" s="65"/>
      <c r="O279" s="64"/>
    </row>
    <row r="280" spans="8:15" ht="15.75" customHeight="1" x14ac:dyDescent="0.25">
      <c r="H280" s="65"/>
      <c r="O280" s="64"/>
    </row>
    <row r="281" spans="8:15" ht="15.75" customHeight="1" x14ac:dyDescent="0.25">
      <c r="H281" s="65"/>
      <c r="O281" s="64"/>
    </row>
    <row r="282" spans="8:15" ht="15.75" customHeight="1" x14ac:dyDescent="0.25">
      <c r="H282" s="65"/>
      <c r="O282" s="64"/>
    </row>
    <row r="283" spans="8:15" ht="15.75" customHeight="1" x14ac:dyDescent="0.25">
      <c r="H283" s="65"/>
      <c r="O283" s="64"/>
    </row>
    <row r="284" spans="8:15" ht="15.75" customHeight="1" x14ac:dyDescent="0.25">
      <c r="H284" s="65"/>
      <c r="O284" s="64"/>
    </row>
    <row r="285" spans="8:15" ht="15.75" customHeight="1" x14ac:dyDescent="0.25">
      <c r="H285" s="65"/>
      <c r="O285" s="64"/>
    </row>
    <row r="286" spans="8:15" ht="15.75" customHeight="1" x14ac:dyDescent="0.25">
      <c r="H286" s="65"/>
      <c r="O286" s="64"/>
    </row>
    <row r="287" spans="8:15" ht="15.75" customHeight="1" x14ac:dyDescent="0.25">
      <c r="H287" s="65"/>
      <c r="O287" s="64"/>
    </row>
    <row r="288" spans="8:15" ht="15.75" customHeight="1" x14ac:dyDescent="0.25">
      <c r="H288" s="65"/>
      <c r="O288" s="64"/>
    </row>
    <row r="289" spans="8:15" ht="15.75" customHeight="1" x14ac:dyDescent="0.25">
      <c r="H289" s="65"/>
      <c r="O289" s="64"/>
    </row>
    <row r="290" spans="8:15" ht="15.75" customHeight="1" x14ac:dyDescent="0.25">
      <c r="H290" s="65"/>
      <c r="O290" s="64"/>
    </row>
    <row r="291" spans="8:15" ht="15.75" customHeight="1" x14ac:dyDescent="0.25">
      <c r="H291" s="65"/>
      <c r="O291" s="64"/>
    </row>
    <row r="292" spans="8:15" ht="15.75" customHeight="1" x14ac:dyDescent="0.25">
      <c r="H292" s="65"/>
      <c r="O292" s="64"/>
    </row>
    <row r="293" spans="8:15" ht="15.75" customHeight="1" x14ac:dyDescent="0.25">
      <c r="H293" s="65"/>
      <c r="O293" s="64"/>
    </row>
    <row r="294" spans="8:15" ht="15.75" customHeight="1" x14ac:dyDescent="0.25">
      <c r="H294" s="65"/>
      <c r="O294" s="64"/>
    </row>
    <row r="295" spans="8:15" ht="15.75" customHeight="1" x14ac:dyDescent="0.25">
      <c r="H295" s="65"/>
      <c r="O295" s="64"/>
    </row>
    <row r="296" spans="8:15" ht="15.75" customHeight="1" x14ac:dyDescent="0.25">
      <c r="H296" s="65"/>
      <c r="O296" s="64"/>
    </row>
    <row r="297" spans="8:15" ht="15.75" customHeight="1" x14ac:dyDescent="0.25">
      <c r="H297" s="65"/>
      <c r="O297" s="64"/>
    </row>
    <row r="298" spans="8:15" ht="15.75" customHeight="1" x14ac:dyDescent="0.25">
      <c r="H298" s="65"/>
      <c r="O298" s="64"/>
    </row>
    <row r="299" spans="8:15" ht="15.75" customHeight="1" x14ac:dyDescent="0.25">
      <c r="H299" s="65"/>
      <c r="O299" s="64"/>
    </row>
    <row r="300" spans="8:15" ht="15.75" customHeight="1" x14ac:dyDescent="0.25">
      <c r="H300" s="65"/>
      <c r="O300" s="64"/>
    </row>
    <row r="301" spans="8:15" ht="15.75" customHeight="1" x14ac:dyDescent="0.25">
      <c r="H301" s="65"/>
      <c r="O301" s="64"/>
    </row>
    <row r="302" spans="8:15" ht="15.75" customHeight="1" x14ac:dyDescent="0.25">
      <c r="H302" s="65"/>
      <c r="O302" s="64"/>
    </row>
    <row r="303" spans="8:15" ht="15.75" customHeight="1" x14ac:dyDescent="0.25">
      <c r="H303" s="65"/>
      <c r="O303" s="64"/>
    </row>
    <row r="304" spans="8:15" ht="15.75" customHeight="1" x14ac:dyDescent="0.25">
      <c r="H304" s="65"/>
      <c r="O304" s="64"/>
    </row>
    <row r="305" spans="8:15" ht="15.75" customHeight="1" x14ac:dyDescent="0.25">
      <c r="H305" s="65"/>
      <c r="O305" s="64"/>
    </row>
    <row r="306" spans="8:15" ht="15.75" customHeight="1" x14ac:dyDescent="0.25">
      <c r="H306" s="65"/>
      <c r="O306" s="64"/>
    </row>
    <row r="307" spans="8:15" ht="15.75" customHeight="1" x14ac:dyDescent="0.25">
      <c r="H307" s="65"/>
      <c r="O307" s="64"/>
    </row>
    <row r="308" spans="8:15" ht="15.75" customHeight="1" x14ac:dyDescent="0.25">
      <c r="H308" s="65"/>
      <c r="O308" s="64"/>
    </row>
    <row r="309" spans="8:15" ht="15.75" customHeight="1" x14ac:dyDescent="0.25">
      <c r="H309" s="65"/>
      <c r="O309" s="64"/>
    </row>
    <row r="310" spans="8:15" ht="15.75" customHeight="1" x14ac:dyDescent="0.25">
      <c r="H310" s="65"/>
      <c r="O310" s="64"/>
    </row>
    <row r="311" spans="8:15" ht="15.75" customHeight="1" x14ac:dyDescent="0.25">
      <c r="H311" s="65"/>
      <c r="O311" s="64"/>
    </row>
    <row r="312" spans="8:15" ht="15.75" customHeight="1" x14ac:dyDescent="0.25">
      <c r="H312" s="65"/>
      <c r="O312" s="64"/>
    </row>
    <row r="313" spans="8:15" ht="15.75" customHeight="1" x14ac:dyDescent="0.25">
      <c r="H313" s="65"/>
      <c r="O313" s="64"/>
    </row>
    <row r="314" spans="8:15" ht="15.75" customHeight="1" x14ac:dyDescent="0.25">
      <c r="H314" s="65"/>
      <c r="O314" s="64"/>
    </row>
    <row r="315" spans="8:15" ht="15.75" customHeight="1" x14ac:dyDescent="0.25">
      <c r="H315" s="65"/>
      <c r="O315" s="64"/>
    </row>
    <row r="316" spans="8:15" ht="15.75" customHeight="1" x14ac:dyDescent="0.25">
      <c r="H316" s="65"/>
      <c r="O316" s="64"/>
    </row>
    <row r="317" spans="8:15" ht="15.75" customHeight="1" x14ac:dyDescent="0.25">
      <c r="H317" s="65"/>
      <c r="O317" s="64"/>
    </row>
    <row r="318" spans="8:15" ht="15.75" customHeight="1" x14ac:dyDescent="0.25">
      <c r="H318" s="65"/>
      <c r="O318" s="64"/>
    </row>
    <row r="319" spans="8:15" ht="15.75" customHeight="1" x14ac:dyDescent="0.25">
      <c r="H319" s="65"/>
      <c r="O319" s="64"/>
    </row>
    <row r="320" spans="8:15" ht="15.75" customHeight="1" x14ac:dyDescent="0.25">
      <c r="H320" s="65"/>
      <c r="O320" s="64"/>
    </row>
    <row r="321" spans="8:15" ht="15.75" customHeight="1" x14ac:dyDescent="0.25">
      <c r="H321" s="65"/>
      <c r="O321" s="64"/>
    </row>
    <row r="322" spans="8:15" ht="15.75" customHeight="1" x14ac:dyDescent="0.25">
      <c r="H322" s="65"/>
      <c r="O322" s="64"/>
    </row>
    <row r="323" spans="8:15" ht="15.75" customHeight="1" x14ac:dyDescent="0.25">
      <c r="H323" s="65"/>
      <c r="O323" s="64"/>
    </row>
    <row r="324" spans="8:15" ht="15.75" customHeight="1" x14ac:dyDescent="0.25">
      <c r="H324" s="65"/>
      <c r="O324" s="64"/>
    </row>
    <row r="325" spans="8:15" ht="15.75" customHeight="1" x14ac:dyDescent="0.25">
      <c r="H325" s="65"/>
      <c r="O325" s="64"/>
    </row>
    <row r="326" spans="8:15" ht="15.75" customHeight="1" x14ac:dyDescent="0.25">
      <c r="H326" s="65"/>
      <c r="O326" s="64"/>
    </row>
    <row r="327" spans="8:15" ht="15.75" customHeight="1" x14ac:dyDescent="0.25">
      <c r="H327" s="65"/>
      <c r="O327" s="64"/>
    </row>
    <row r="328" spans="8:15" ht="15.75" customHeight="1" x14ac:dyDescent="0.25">
      <c r="H328" s="65"/>
      <c r="O328" s="64"/>
    </row>
    <row r="329" spans="8:15" ht="15.75" customHeight="1" x14ac:dyDescent="0.25">
      <c r="H329" s="65"/>
      <c r="O329" s="64"/>
    </row>
    <row r="330" spans="8:15" ht="15.75" customHeight="1" x14ac:dyDescent="0.25">
      <c r="H330" s="65"/>
      <c r="O330" s="64"/>
    </row>
    <row r="331" spans="8:15" ht="15.75" customHeight="1" x14ac:dyDescent="0.25">
      <c r="H331" s="65"/>
      <c r="O331" s="64"/>
    </row>
    <row r="332" spans="8:15" ht="15.75" customHeight="1" x14ac:dyDescent="0.25">
      <c r="H332" s="65"/>
      <c r="O332" s="64"/>
    </row>
    <row r="333" spans="8:15" ht="15.75" customHeight="1" x14ac:dyDescent="0.25">
      <c r="H333" s="65"/>
      <c r="O333" s="64"/>
    </row>
    <row r="334" spans="8:15" ht="15.75" customHeight="1" x14ac:dyDescent="0.25">
      <c r="H334" s="65"/>
      <c r="O334" s="64"/>
    </row>
    <row r="335" spans="8:15" ht="15.75" customHeight="1" x14ac:dyDescent="0.25">
      <c r="H335" s="65"/>
      <c r="O335" s="64"/>
    </row>
    <row r="336" spans="8:15" ht="15.75" customHeight="1" x14ac:dyDescent="0.25">
      <c r="H336" s="65"/>
      <c r="O336" s="64"/>
    </row>
    <row r="337" spans="8:15" ht="15.75" customHeight="1" x14ac:dyDescent="0.25">
      <c r="H337" s="65"/>
      <c r="O337" s="64"/>
    </row>
    <row r="338" spans="8:15" ht="15.75" customHeight="1" x14ac:dyDescent="0.25">
      <c r="H338" s="65"/>
      <c r="O338" s="64"/>
    </row>
    <row r="339" spans="8:15" ht="15.75" customHeight="1" x14ac:dyDescent="0.25">
      <c r="H339" s="65"/>
      <c r="O339" s="64"/>
    </row>
    <row r="340" spans="8:15" ht="15.75" customHeight="1" x14ac:dyDescent="0.25">
      <c r="H340" s="65"/>
      <c r="O340" s="64"/>
    </row>
    <row r="341" spans="8:15" ht="15.75" customHeight="1" x14ac:dyDescent="0.25">
      <c r="H341" s="65"/>
      <c r="O341" s="64"/>
    </row>
    <row r="342" spans="8:15" ht="15.75" customHeight="1" x14ac:dyDescent="0.25">
      <c r="H342" s="65"/>
      <c r="O342" s="64"/>
    </row>
    <row r="343" spans="8:15" ht="15.75" customHeight="1" x14ac:dyDescent="0.25">
      <c r="H343" s="65"/>
      <c r="O343" s="64"/>
    </row>
    <row r="344" spans="8:15" ht="15.75" customHeight="1" x14ac:dyDescent="0.25">
      <c r="H344" s="65"/>
      <c r="O344" s="64"/>
    </row>
    <row r="345" spans="8:15" ht="15.75" customHeight="1" x14ac:dyDescent="0.25">
      <c r="H345" s="65"/>
      <c r="O345" s="64"/>
    </row>
    <row r="346" spans="8:15" ht="15.75" customHeight="1" x14ac:dyDescent="0.25">
      <c r="H346" s="65"/>
      <c r="O346" s="64"/>
    </row>
    <row r="347" spans="8:15" ht="15.75" customHeight="1" x14ac:dyDescent="0.25">
      <c r="H347" s="65"/>
      <c r="O347" s="64"/>
    </row>
    <row r="348" spans="8:15" ht="15.75" customHeight="1" x14ac:dyDescent="0.25">
      <c r="H348" s="65"/>
      <c r="O348" s="64"/>
    </row>
    <row r="349" spans="8:15" ht="15.75" customHeight="1" x14ac:dyDescent="0.25">
      <c r="H349" s="65"/>
      <c r="O349" s="64"/>
    </row>
    <row r="350" spans="8:15" ht="15.75" customHeight="1" x14ac:dyDescent="0.25">
      <c r="H350" s="65"/>
      <c r="O350" s="64"/>
    </row>
    <row r="351" spans="8:15" ht="15.75" customHeight="1" x14ac:dyDescent="0.25">
      <c r="H351" s="65"/>
      <c r="O351" s="64"/>
    </row>
    <row r="352" spans="8:15" ht="15.75" customHeight="1" x14ac:dyDescent="0.25">
      <c r="H352" s="65"/>
      <c r="O352" s="64"/>
    </row>
    <row r="353" spans="8:15" ht="15.75" customHeight="1" x14ac:dyDescent="0.25">
      <c r="H353" s="65"/>
      <c r="O353" s="64"/>
    </row>
    <row r="354" spans="8:15" ht="15.75" customHeight="1" x14ac:dyDescent="0.25">
      <c r="H354" s="65"/>
      <c r="O354" s="64"/>
    </row>
    <row r="355" spans="8:15" ht="15.75" customHeight="1" x14ac:dyDescent="0.25">
      <c r="H355" s="65"/>
      <c r="O355" s="64"/>
    </row>
    <row r="356" spans="8:15" ht="15.75" customHeight="1" x14ac:dyDescent="0.25">
      <c r="H356" s="65"/>
      <c r="O356" s="64"/>
    </row>
    <row r="357" spans="8:15" ht="15.75" customHeight="1" x14ac:dyDescent="0.25">
      <c r="H357" s="65"/>
      <c r="O357" s="64"/>
    </row>
    <row r="358" spans="8:15" ht="15.75" customHeight="1" x14ac:dyDescent="0.25">
      <c r="H358" s="65"/>
      <c r="O358" s="64"/>
    </row>
    <row r="359" spans="8:15" ht="15.75" customHeight="1" x14ac:dyDescent="0.25">
      <c r="H359" s="65"/>
      <c r="O359" s="64"/>
    </row>
    <row r="360" spans="8:15" ht="15.75" customHeight="1" x14ac:dyDescent="0.25">
      <c r="H360" s="65"/>
      <c r="O360" s="64"/>
    </row>
    <row r="361" spans="8:15" ht="15.75" customHeight="1" x14ac:dyDescent="0.25">
      <c r="H361" s="65"/>
      <c r="O361" s="64"/>
    </row>
    <row r="362" spans="8:15" ht="15.75" customHeight="1" x14ac:dyDescent="0.25">
      <c r="H362" s="65"/>
      <c r="O362" s="64"/>
    </row>
    <row r="363" spans="8:15" ht="15.75" customHeight="1" x14ac:dyDescent="0.25">
      <c r="H363" s="65"/>
      <c r="O363" s="64"/>
    </row>
    <row r="364" spans="8:15" ht="15.75" customHeight="1" x14ac:dyDescent="0.25">
      <c r="H364" s="65"/>
      <c r="O364" s="64"/>
    </row>
    <row r="365" spans="8:15" ht="15.75" customHeight="1" x14ac:dyDescent="0.25">
      <c r="H365" s="65"/>
      <c r="O365" s="64"/>
    </row>
    <row r="366" spans="8:15" ht="15.75" customHeight="1" x14ac:dyDescent="0.25">
      <c r="H366" s="65"/>
      <c r="O366" s="64"/>
    </row>
    <row r="367" spans="8:15" ht="15.75" customHeight="1" x14ac:dyDescent="0.25">
      <c r="H367" s="65"/>
      <c r="O367" s="64"/>
    </row>
    <row r="368" spans="8:15" ht="15.75" customHeight="1" x14ac:dyDescent="0.25">
      <c r="H368" s="65"/>
      <c r="O368" s="64"/>
    </row>
    <row r="369" spans="8:15" ht="15.75" customHeight="1" x14ac:dyDescent="0.25">
      <c r="H369" s="65"/>
      <c r="O369" s="64"/>
    </row>
    <row r="370" spans="8:15" ht="15.75" customHeight="1" x14ac:dyDescent="0.25">
      <c r="H370" s="65"/>
      <c r="O370" s="64"/>
    </row>
    <row r="371" spans="8:15" ht="15.75" customHeight="1" x14ac:dyDescent="0.25">
      <c r="H371" s="65"/>
      <c r="O371" s="64"/>
    </row>
    <row r="372" spans="8:15" ht="15.75" customHeight="1" x14ac:dyDescent="0.25">
      <c r="H372" s="65"/>
      <c r="O372" s="64"/>
    </row>
    <row r="373" spans="8:15" ht="15.75" customHeight="1" x14ac:dyDescent="0.25">
      <c r="H373" s="65"/>
      <c r="O373" s="64"/>
    </row>
    <row r="374" spans="8:15" ht="15.75" customHeight="1" x14ac:dyDescent="0.25">
      <c r="H374" s="65"/>
      <c r="O374" s="64"/>
    </row>
    <row r="375" spans="8:15" ht="15.75" customHeight="1" x14ac:dyDescent="0.25">
      <c r="H375" s="65"/>
      <c r="O375" s="64"/>
    </row>
    <row r="376" spans="8:15" ht="15.75" customHeight="1" x14ac:dyDescent="0.25">
      <c r="H376" s="65"/>
      <c r="O376" s="64"/>
    </row>
    <row r="377" spans="8:15" ht="15.75" customHeight="1" x14ac:dyDescent="0.25">
      <c r="H377" s="65"/>
      <c r="O377" s="64"/>
    </row>
    <row r="378" spans="8:15" ht="15.75" customHeight="1" x14ac:dyDescent="0.25">
      <c r="H378" s="65"/>
      <c r="O378" s="64"/>
    </row>
    <row r="379" spans="8:15" ht="15.75" customHeight="1" x14ac:dyDescent="0.25">
      <c r="H379" s="65"/>
      <c r="O379" s="64"/>
    </row>
    <row r="380" spans="8:15" ht="15.75" customHeight="1" x14ac:dyDescent="0.25">
      <c r="H380" s="65"/>
      <c r="O380" s="64"/>
    </row>
    <row r="381" spans="8:15" ht="15.75" customHeight="1" x14ac:dyDescent="0.25">
      <c r="H381" s="65"/>
      <c r="O381" s="64"/>
    </row>
    <row r="382" spans="8:15" ht="15.75" customHeight="1" x14ac:dyDescent="0.25">
      <c r="H382" s="65"/>
      <c r="O382" s="64"/>
    </row>
    <row r="383" spans="8:15" ht="15.75" customHeight="1" x14ac:dyDescent="0.25">
      <c r="H383" s="65"/>
      <c r="O383" s="64"/>
    </row>
    <row r="384" spans="8:15" ht="15.75" customHeight="1" x14ac:dyDescent="0.25">
      <c r="H384" s="65"/>
      <c r="O384" s="64"/>
    </row>
    <row r="385" spans="8:15" ht="15.75" customHeight="1" x14ac:dyDescent="0.25">
      <c r="H385" s="65"/>
      <c r="O385" s="64"/>
    </row>
    <row r="386" spans="8:15" ht="15.75" customHeight="1" x14ac:dyDescent="0.25">
      <c r="H386" s="65"/>
      <c r="O386" s="64"/>
    </row>
    <row r="387" spans="8:15" ht="15.75" customHeight="1" x14ac:dyDescent="0.25">
      <c r="H387" s="65"/>
      <c r="O387" s="64"/>
    </row>
    <row r="388" spans="8:15" ht="15.75" customHeight="1" x14ac:dyDescent="0.25">
      <c r="H388" s="65"/>
      <c r="O388" s="64"/>
    </row>
    <row r="389" spans="8:15" ht="15.75" customHeight="1" x14ac:dyDescent="0.25">
      <c r="H389" s="65"/>
      <c r="O389" s="64"/>
    </row>
    <row r="390" spans="8:15" ht="15.75" customHeight="1" x14ac:dyDescent="0.25">
      <c r="H390" s="65"/>
      <c r="O390" s="64"/>
    </row>
    <row r="391" spans="8:15" ht="15.75" customHeight="1" x14ac:dyDescent="0.25">
      <c r="H391" s="65"/>
      <c r="O391" s="64"/>
    </row>
    <row r="392" spans="8:15" ht="15.75" customHeight="1" x14ac:dyDescent="0.25">
      <c r="H392" s="65"/>
      <c r="O392" s="64"/>
    </row>
    <row r="393" spans="8:15" ht="15.75" customHeight="1" x14ac:dyDescent="0.25">
      <c r="H393" s="65"/>
      <c r="O393" s="64"/>
    </row>
    <row r="394" spans="8:15" ht="15.75" customHeight="1" x14ac:dyDescent="0.25">
      <c r="H394" s="65"/>
      <c r="O394" s="64"/>
    </row>
    <row r="395" spans="8:15" ht="15.75" customHeight="1" x14ac:dyDescent="0.25">
      <c r="H395" s="65"/>
      <c r="O395" s="64"/>
    </row>
    <row r="396" spans="8:15" ht="15.75" customHeight="1" x14ac:dyDescent="0.25">
      <c r="H396" s="65"/>
      <c r="O396" s="64"/>
    </row>
    <row r="397" spans="8:15" ht="15.75" customHeight="1" x14ac:dyDescent="0.25">
      <c r="H397" s="65"/>
      <c r="O397" s="64"/>
    </row>
    <row r="398" spans="8:15" ht="15.75" customHeight="1" x14ac:dyDescent="0.25">
      <c r="H398" s="65"/>
      <c r="O398" s="64"/>
    </row>
    <row r="399" spans="8:15" ht="15.75" customHeight="1" x14ac:dyDescent="0.25">
      <c r="H399" s="65"/>
      <c r="O399" s="64"/>
    </row>
    <row r="400" spans="8:15" ht="15.75" customHeight="1" x14ac:dyDescent="0.25">
      <c r="H400" s="65"/>
      <c r="O400" s="64"/>
    </row>
    <row r="401" spans="8:15" ht="15.75" customHeight="1" x14ac:dyDescent="0.25">
      <c r="H401" s="65"/>
      <c r="O401" s="64"/>
    </row>
    <row r="402" spans="8:15" ht="15.75" customHeight="1" x14ac:dyDescent="0.25">
      <c r="H402" s="65"/>
      <c r="O402" s="64"/>
    </row>
    <row r="403" spans="8:15" ht="15.75" customHeight="1" x14ac:dyDescent="0.25">
      <c r="H403" s="65"/>
      <c r="O403" s="64"/>
    </row>
    <row r="404" spans="8:15" ht="15.75" customHeight="1" x14ac:dyDescent="0.25">
      <c r="H404" s="65"/>
      <c r="O404" s="64"/>
    </row>
    <row r="405" spans="8:15" ht="15.75" customHeight="1" x14ac:dyDescent="0.25">
      <c r="H405" s="65"/>
      <c r="O405" s="64"/>
    </row>
    <row r="406" spans="8:15" ht="15.75" customHeight="1" x14ac:dyDescent="0.25">
      <c r="H406" s="65"/>
      <c r="O406" s="64"/>
    </row>
    <row r="407" spans="8:15" ht="15.75" customHeight="1" x14ac:dyDescent="0.25">
      <c r="H407" s="65"/>
      <c r="O407" s="64"/>
    </row>
    <row r="408" spans="8:15" ht="15.75" customHeight="1" x14ac:dyDescent="0.25">
      <c r="H408" s="65"/>
      <c r="O408" s="64"/>
    </row>
    <row r="409" spans="8:15" ht="15.75" customHeight="1" x14ac:dyDescent="0.25">
      <c r="H409" s="65"/>
      <c r="O409" s="64"/>
    </row>
    <row r="410" spans="8:15" ht="15.75" customHeight="1" x14ac:dyDescent="0.25">
      <c r="H410" s="65"/>
      <c r="O410" s="64"/>
    </row>
    <row r="411" spans="8:15" ht="15.75" customHeight="1" x14ac:dyDescent="0.25">
      <c r="H411" s="65"/>
      <c r="O411" s="64"/>
    </row>
    <row r="412" spans="8:15" ht="15.75" customHeight="1" x14ac:dyDescent="0.25">
      <c r="H412" s="65"/>
      <c r="O412" s="64"/>
    </row>
    <row r="413" spans="8:15" ht="15.75" customHeight="1" x14ac:dyDescent="0.25">
      <c r="H413" s="65"/>
      <c r="O413" s="64"/>
    </row>
    <row r="414" spans="8:15" ht="15.75" customHeight="1" x14ac:dyDescent="0.25">
      <c r="H414" s="65"/>
      <c r="O414" s="64"/>
    </row>
    <row r="415" spans="8:15" ht="15.75" customHeight="1" x14ac:dyDescent="0.25">
      <c r="H415" s="65"/>
      <c r="O415" s="64"/>
    </row>
    <row r="416" spans="8:15" ht="15.75" customHeight="1" x14ac:dyDescent="0.25">
      <c r="H416" s="65"/>
      <c r="O416" s="64"/>
    </row>
    <row r="417" spans="8:15" ht="15.75" customHeight="1" x14ac:dyDescent="0.25">
      <c r="H417" s="65"/>
      <c r="O417" s="64"/>
    </row>
    <row r="418" spans="8:15" ht="15.75" customHeight="1" x14ac:dyDescent="0.25">
      <c r="H418" s="65"/>
      <c r="O418" s="64"/>
    </row>
    <row r="419" spans="8:15" ht="15.75" customHeight="1" x14ac:dyDescent="0.25">
      <c r="H419" s="65"/>
      <c r="O419" s="64"/>
    </row>
    <row r="420" spans="8:15" ht="15.75" customHeight="1" x14ac:dyDescent="0.25">
      <c r="H420" s="65"/>
      <c r="O420" s="64"/>
    </row>
    <row r="421" spans="8:15" ht="15.75" customHeight="1" x14ac:dyDescent="0.25">
      <c r="H421" s="65"/>
      <c r="O421" s="64"/>
    </row>
    <row r="422" spans="8:15" ht="15.75" customHeight="1" x14ac:dyDescent="0.25">
      <c r="H422" s="65"/>
      <c r="O422" s="64"/>
    </row>
    <row r="423" spans="8:15" ht="15.75" customHeight="1" x14ac:dyDescent="0.25">
      <c r="H423" s="65"/>
      <c r="O423" s="64"/>
    </row>
    <row r="424" spans="8:15" ht="15.75" customHeight="1" x14ac:dyDescent="0.25">
      <c r="H424" s="65"/>
      <c r="O424" s="64"/>
    </row>
    <row r="425" spans="8:15" ht="15.75" customHeight="1" x14ac:dyDescent="0.25">
      <c r="H425" s="65"/>
      <c r="O425" s="64"/>
    </row>
    <row r="426" spans="8:15" ht="15.75" customHeight="1" x14ac:dyDescent="0.25">
      <c r="H426" s="65"/>
      <c r="O426" s="64"/>
    </row>
    <row r="427" spans="8:15" ht="15.75" customHeight="1" x14ac:dyDescent="0.25">
      <c r="H427" s="65"/>
      <c r="O427" s="64"/>
    </row>
    <row r="428" spans="8:15" ht="15.75" customHeight="1" x14ac:dyDescent="0.25">
      <c r="H428" s="65"/>
      <c r="O428" s="64"/>
    </row>
    <row r="429" spans="8:15" ht="15.75" customHeight="1" x14ac:dyDescent="0.25">
      <c r="H429" s="65"/>
      <c r="O429" s="64"/>
    </row>
    <row r="430" spans="8:15" ht="15.75" customHeight="1" x14ac:dyDescent="0.25">
      <c r="H430" s="65"/>
      <c r="O430" s="64"/>
    </row>
    <row r="431" spans="8:15" ht="15.75" customHeight="1" x14ac:dyDescent="0.25">
      <c r="H431" s="65"/>
      <c r="O431" s="64"/>
    </row>
    <row r="432" spans="8:15" ht="15.75" customHeight="1" x14ac:dyDescent="0.25">
      <c r="H432" s="65"/>
      <c r="O432" s="64"/>
    </row>
    <row r="433" spans="8:15" ht="15.75" customHeight="1" x14ac:dyDescent="0.25">
      <c r="H433" s="65"/>
      <c r="O433" s="64"/>
    </row>
    <row r="434" spans="8:15" ht="15.75" customHeight="1" x14ac:dyDescent="0.25">
      <c r="H434" s="65"/>
      <c r="O434" s="64"/>
    </row>
    <row r="435" spans="8:15" ht="15.75" customHeight="1" x14ac:dyDescent="0.25">
      <c r="H435" s="65"/>
      <c r="O435" s="64"/>
    </row>
    <row r="436" spans="8:15" ht="15.75" customHeight="1" x14ac:dyDescent="0.25">
      <c r="H436" s="65"/>
      <c r="O436" s="64"/>
    </row>
    <row r="437" spans="8:15" ht="15.75" customHeight="1" x14ac:dyDescent="0.25">
      <c r="H437" s="65"/>
      <c r="O437" s="64"/>
    </row>
    <row r="438" spans="8:15" ht="15.75" customHeight="1" x14ac:dyDescent="0.25">
      <c r="H438" s="65"/>
      <c r="O438" s="64"/>
    </row>
    <row r="439" spans="8:15" ht="15.75" customHeight="1" x14ac:dyDescent="0.25">
      <c r="H439" s="65"/>
      <c r="O439" s="64"/>
    </row>
    <row r="440" spans="8:15" ht="15.75" customHeight="1" x14ac:dyDescent="0.25">
      <c r="H440" s="65"/>
      <c r="O440" s="64"/>
    </row>
    <row r="441" spans="8:15" ht="15.75" customHeight="1" x14ac:dyDescent="0.25">
      <c r="H441" s="65"/>
      <c r="O441" s="64"/>
    </row>
    <row r="442" spans="8:15" ht="15.75" customHeight="1" x14ac:dyDescent="0.25">
      <c r="H442" s="65"/>
      <c r="O442" s="64"/>
    </row>
    <row r="443" spans="8:15" ht="15.75" customHeight="1" x14ac:dyDescent="0.25">
      <c r="H443" s="65"/>
      <c r="O443" s="64"/>
    </row>
    <row r="444" spans="8:15" ht="15.75" customHeight="1" x14ac:dyDescent="0.25">
      <c r="H444" s="65"/>
      <c r="O444" s="64"/>
    </row>
    <row r="445" spans="8:15" ht="15.75" customHeight="1" x14ac:dyDescent="0.25">
      <c r="H445" s="65"/>
      <c r="O445" s="64"/>
    </row>
    <row r="446" spans="8:15" ht="15.75" customHeight="1" x14ac:dyDescent="0.25">
      <c r="H446" s="65"/>
      <c r="O446" s="64"/>
    </row>
    <row r="447" spans="8:15" ht="15.75" customHeight="1" x14ac:dyDescent="0.25">
      <c r="H447" s="65"/>
      <c r="O447" s="64"/>
    </row>
    <row r="448" spans="8:15" ht="15.75" customHeight="1" x14ac:dyDescent="0.25">
      <c r="H448" s="65"/>
      <c r="O448" s="64"/>
    </row>
    <row r="449" spans="8:15" ht="15.75" customHeight="1" x14ac:dyDescent="0.25">
      <c r="H449" s="65"/>
      <c r="O449" s="64"/>
    </row>
    <row r="450" spans="8:15" ht="15.75" customHeight="1" x14ac:dyDescent="0.25">
      <c r="H450" s="65"/>
      <c r="O450" s="64"/>
    </row>
    <row r="451" spans="8:15" ht="15.75" customHeight="1" x14ac:dyDescent="0.25">
      <c r="H451" s="65"/>
      <c r="O451" s="64"/>
    </row>
    <row r="452" spans="8:15" ht="15.75" customHeight="1" x14ac:dyDescent="0.25">
      <c r="H452" s="65"/>
      <c r="O452" s="64"/>
    </row>
    <row r="453" spans="8:15" ht="15.75" customHeight="1" x14ac:dyDescent="0.25">
      <c r="H453" s="65"/>
      <c r="O453" s="64"/>
    </row>
    <row r="454" spans="8:15" ht="15.75" customHeight="1" x14ac:dyDescent="0.25">
      <c r="H454" s="65"/>
      <c r="O454" s="64"/>
    </row>
    <row r="455" spans="8:15" ht="15.75" customHeight="1" x14ac:dyDescent="0.25">
      <c r="H455" s="65"/>
      <c r="O455" s="64"/>
    </row>
    <row r="456" spans="8:15" ht="15.75" customHeight="1" x14ac:dyDescent="0.25">
      <c r="H456" s="65"/>
      <c r="O456" s="64"/>
    </row>
    <row r="457" spans="8:15" ht="15.75" customHeight="1" x14ac:dyDescent="0.25">
      <c r="H457" s="65"/>
      <c r="O457" s="64"/>
    </row>
    <row r="458" spans="8:15" ht="15.75" customHeight="1" x14ac:dyDescent="0.25">
      <c r="H458" s="65"/>
      <c r="O458" s="64"/>
    </row>
    <row r="459" spans="8:15" ht="15.75" customHeight="1" x14ac:dyDescent="0.25">
      <c r="H459" s="65"/>
      <c r="O459" s="64"/>
    </row>
    <row r="460" spans="8:15" ht="15.75" customHeight="1" x14ac:dyDescent="0.25">
      <c r="H460" s="65"/>
      <c r="O460" s="64"/>
    </row>
    <row r="461" spans="8:15" ht="15.75" customHeight="1" x14ac:dyDescent="0.25">
      <c r="H461" s="65"/>
      <c r="O461" s="64"/>
    </row>
    <row r="462" spans="8:15" ht="15.75" customHeight="1" x14ac:dyDescent="0.25">
      <c r="H462" s="65"/>
      <c r="O462" s="64"/>
    </row>
    <row r="463" spans="8:15" ht="15.75" customHeight="1" x14ac:dyDescent="0.25">
      <c r="H463" s="65"/>
      <c r="O463" s="64"/>
    </row>
    <row r="464" spans="8:15" ht="15.75" customHeight="1" x14ac:dyDescent="0.25">
      <c r="H464" s="65"/>
      <c r="O464" s="64"/>
    </row>
    <row r="465" spans="8:15" ht="15.75" customHeight="1" x14ac:dyDescent="0.25">
      <c r="H465" s="65"/>
      <c r="O465" s="64"/>
    </row>
    <row r="466" spans="8:15" ht="15.75" customHeight="1" x14ac:dyDescent="0.25">
      <c r="H466" s="65"/>
      <c r="O466" s="64"/>
    </row>
    <row r="467" spans="8:15" ht="15.75" customHeight="1" x14ac:dyDescent="0.25">
      <c r="H467" s="65"/>
      <c r="O467" s="64"/>
    </row>
    <row r="468" spans="8:15" ht="15.75" customHeight="1" x14ac:dyDescent="0.25">
      <c r="H468" s="65"/>
      <c r="O468" s="64"/>
    </row>
    <row r="469" spans="8:15" ht="15.75" customHeight="1" x14ac:dyDescent="0.25">
      <c r="H469" s="65"/>
      <c r="O469" s="64"/>
    </row>
    <row r="470" spans="8:15" ht="15.75" customHeight="1" x14ac:dyDescent="0.25">
      <c r="H470" s="65"/>
      <c r="O470" s="64"/>
    </row>
    <row r="471" spans="8:15" ht="15.75" customHeight="1" x14ac:dyDescent="0.25">
      <c r="H471" s="65"/>
      <c r="O471" s="64"/>
    </row>
    <row r="472" spans="8:15" ht="15.75" customHeight="1" x14ac:dyDescent="0.25">
      <c r="H472" s="65"/>
      <c r="O472" s="64"/>
    </row>
    <row r="473" spans="8:15" ht="15.75" customHeight="1" x14ac:dyDescent="0.25">
      <c r="H473" s="65"/>
      <c r="O473" s="64"/>
    </row>
    <row r="474" spans="8:15" ht="15.75" customHeight="1" x14ac:dyDescent="0.25">
      <c r="H474" s="65"/>
      <c r="O474" s="64"/>
    </row>
    <row r="475" spans="8:15" ht="15.75" customHeight="1" x14ac:dyDescent="0.25">
      <c r="H475" s="65"/>
      <c r="O475" s="64"/>
    </row>
    <row r="476" spans="8:15" ht="15.75" customHeight="1" x14ac:dyDescent="0.25">
      <c r="H476" s="65"/>
      <c r="O476" s="64"/>
    </row>
    <row r="477" spans="8:15" ht="15.75" customHeight="1" x14ac:dyDescent="0.25">
      <c r="H477" s="65"/>
      <c r="O477" s="64"/>
    </row>
    <row r="478" spans="8:15" ht="15.75" customHeight="1" x14ac:dyDescent="0.25">
      <c r="H478" s="65"/>
      <c r="O478" s="64"/>
    </row>
    <row r="479" spans="8:15" ht="15.75" customHeight="1" x14ac:dyDescent="0.25">
      <c r="H479" s="65"/>
      <c r="O479" s="64"/>
    </row>
    <row r="480" spans="8:15" ht="15.75" customHeight="1" x14ac:dyDescent="0.25">
      <c r="H480" s="65"/>
      <c r="O480" s="64"/>
    </row>
    <row r="481" spans="8:15" ht="15.75" customHeight="1" x14ac:dyDescent="0.25">
      <c r="H481" s="65"/>
      <c r="O481" s="64"/>
    </row>
    <row r="482" spans="8:15" ht="15.75" customHeight="1" x14ac:dyDescent="0.25">
      <c r="H482" s="65"/>
      <c r="O482" s="64"/>
    </row>
    <row r="483" spans="8:15" ht="15.75" customHeight="1" x14ac:dyDescent="0.25">
      <c r="H483" s="65"/>
      <c r="O483" s="64"/>
    </row>
    <row r="484" spans="8:15" ht="15.75" customHeight="1" x14ac:dyDescent="0.25">
      <c r="H484" s="65"/>
      <c r="O484" s="64"/>
    </row>
    <row r="485" spans="8:15" ht="15.75" customHeight="1" x14ac:dyDescent="0.25">
      <c r="H485" s="65"/>
      <c r="O485" s="64"/>
    </row>
    <row r="486" spans="8:15" ht="15.75" customHeight="1" x14ac:dyDescent="0.25">
      <c r="H486" s="65"/>
      <c r="O486" s="64"/>
    </row>
    <row r="487" spans="8:15" ht="15.75" customHeight="1" x14ac:dyDescent="0.25">
      <c r="H487" s="65"/>
      <c r="O487" s="64"/>
    </row>
    <row r="488" spans="8:15" ht="15.75" customHeight="1" x14ac:dyDescent="0.25">
      <c r="H488" s="65"/>
      <c r="O488" s="64"/>
    </row>
    <row r="489" spans="8:15" ht="15.75" customHeight="1" x14ac:dyDescent="0.25">
      <c r="H489" s="65"/>
      <c r="O489" s="64"/>
    </row>
    <row r="490" spans="8:15" ht="15.75" customHeight="1" x14ac:dyDescent="0.25">
      <c r="H490" s="65"/>
      <c r="O490" s="64"/>
    </row>
    <row r="491" spans="8:15" ht="15.75" customHeight="1" x14ac:dyDescent="0.25">
      <c r="H491" s="65"/>
      <c r="O491" s="64"/>
    </row>
    <row r="492" spans="8:15" ht="15.75" customHeight="1" x14ac:dyDescent="0.25">
      <c r="H492" s="65"/>
      <c r="O492" s="64"/>
    </row>
    <row r="493" spans="8:15" ht="15.75" customHeight="1" x14ac:dyDescent="0.25">
      <c r="H493" s="65"/>
      <c r="O493" s="64"/>
    </row>
    <row r="494" spans="8:15" ht="15.75" customHeight="1" x14ac:dyDescent="0.25">
      <c r="H494" s="65"/>
      <c r="O494" s="64"/>
    </row>
    <row r="495" spans="8:15" ht="15.75" customHeight="1" x14ac:dyDescent="0.25">
      <c r="H495" s="65"/>
      <c r="O495" s="64"/>
    </row>
    <row r="496" spans="8:15" ht="15.75" customHeight="1" x14ac:dyDescent="0.25">
      <c r="H496" s="65"/>
      <c r="O496" s="64"/>
    </row>
    <row r="497" spans="8:15" ht="15.75" customHeight="1" x14ac:dyDescent="0.25">
      <c r="H497" s="65"/>
      <c r="O497" s="64"/>
    </row>
    <row r="498" spans="8:15" ht="15.75" customHeight="1" x14ac:dyDescent="0.25">
      <c r="H498" s="65"/>
      <c r="O498" s="64"/>
    </row>
    <row r="499" spans="8:15" ht="15.75" customHeight="1" x14ac:dyDescent="0.25">
      <c r="H499" s="65"/>
      <c r="O499" s="64"/>
    </row>
    <row r="500" spans="8:15" ht="15.75" customHeight="1" x14ac:dyDescent="0.25">
      <c r="H500" s="65"/>
      <c r="O500" s="64"/>
    </row>
    <row r="501" spans="8:15" ht="15.75" customHeight="1" x14ac:dyDescent="0.25">
      <c r="H501" s="65"/>
      <c r="O501" s="64"/>
    </row>
    <row r="502" spans="8:15" ht="15.75" customHeight="1" x14ac:dyDescent="0.25">
      <c r="H502" s="65"/>
      <c r="O502" s="64"/>
    </row>
    <row r="503" spans="8:15" ht="15.75" customHeight="1" x14ac:dyDescent="0.25">
      <c r="H503" s="65"/>
      <c r="O503" s="64"/>
    </row>
    <row r="504" spans="8:15" ht="15.75" customHeight="1" x14ac:dyDescent="0.25">
      <c r="H504" s="65"/>
      <c r="O504" s="64"/>
    </row>
    <row r="505" spans="8:15" ht="15.75" customHeight="1" x14ac:dyDescent="0.25">
      <c r="H505" s="65"/>
      <c r="O505" s="64"/>
    </row>
    <row r="506" spans="8:15" ht="15.75" customHeight="1" x14ac:dyDescent="0.25">
      <c r="H506" s="65"/>
      <c r="O506" s="64"/>
    </row>
    <row r="507" spans="8:15" ht="15.75" customHeight="1" x14ac:dyDescent="0.25">
      <c r="H507" s="65"/>
      <c r="O507" s="64"/>
    </row>
    <row r="508" spans="8:15" ht="15.75" customHeight="1" x14ac:dyDescent="0.25">
      <c r="H508" s="65"/>
      <c r="O508" s="64"/>
    </row>
    <row r="509" spans="8:15" ht="15.75" customHeight="1" x14ac:dyDescent="0.25">
      <c r="H509" s="65"/>
      <c r="O509" s="64"/>
    </row>
    <row r="510" spans="8:15" ht="15.75" customHeight="1" x14ac:dyDescent="0.25">
      <c r="H510" s="65"/>
      <c r="O510" s="64"/>
    </row>
    <row r="511" spans="8:15" ht="15.75" customHeight="1" x14ac:dyDescent="0.25">
      <c r="H511" s="65"/>
      <c r="O511" s="64"/>
    </row>
    <row r="512" spans="8:15" ht="15.75" customHeight="1" x14ac:dyDescent="0.25">
      <c r="H512" s="65"/>
      <c r="O512" s="64"/>
    </row>
    <row r="513" spans="8:15" ht="15.75" customHeight="1" x14ac:dyDescent="0.25">
      <c r="H513" s="65"/>
      <c r="O513" s="64"/>
    </row>
    <row r="514" spans="8:15" ht="15.75" customHeight="1" x14ac:dyDescent="0.25">
      <c r="H514" s="65"/>
      <c r="O514" s="64"/>
    </row>
    <row r="515" spans="8:15" ht="15.75" customHeight="1" x14ac:dyDescent="0.25">
      <c r="H515" s="65"/>
      <c r="O515" s="64"/>
    </row>
    <row r="516" spans="8:15" ht="15.75" customHeight="1" x14ac:dyDescent="0.25">
      <c r="H516" s="65"/>
      <c r="O516" s="64"/>
    </row>
    <row r="517" spans="8:15" ht="15.75" customHeight="1" x14ac:dyDescent="0.25">
      <c r="H517" s="65"/>
      <c r="O517" s="64"/>
    </row>
    <row r="518" spans="8:15" ht="15.75" customHeight="1" x14ac:dyDescent="0.25">
      <c r="H518" s="65"/>
      <c r="O518" s="64"/>
    </row>
    <row r="519" spans="8:15" ht="15.75" customHeight="1" x14ac:dyDescent="0.25">
      <c r="H519" s="65"/>
      <c r="O519" s="64"/>
    </row>
    <row r="520" spans="8:15" ht="15.75" customHeight="1" x14ac:dyDescent="0.25">
      <c r="H520" s="65"/>
      <c r="O520" s="64"/>
    </row>
    <row r="521" spans="8:15" ht="15.75" customHeight="1" x14ac:dyDescent="0.25">
      <c r="H521" s="65"/>
      <c r="O521" s="64"/>
    </row>
    <row r="522" spans="8:15" ht="15.75" customHeight="1" x14ac:dyDescent="0.25">
      <c r="H522" s="65"/>
      <c r="O522" s="64"/>
    </row>
    <row r="523" spans="8:15" ht="15.75" customHeight="1" x14ac:dyDescent="0.25">
      <c r="H523" s="65"/>
      <c r="O523" s="64"/>
    </row>
    <row r="524" spans="8:15" ht="15.75" customHeight="1" x14ac:dyDescent="0.25">
      <c r="H524" s="65"/>
      <c r="O524" s="64"/>
    </row>
    <row r="525" spans="8:15" ht="15.75" customHeight="1" x14ac:dyDescent="0.25">
      <c r="H525" s="65"/>
      <c r="O525" s="64"/>
    </row>
    <row r="526" spans="8:15" ht="15.75" customHeight="1" x14ac:dyDescent="0.25">
      <c r="H526" s="65"/>
      <c r="O526" s="64"/>
    </row>
    <row r="527" spans="8:15" ht="15.75" customHeight="1" x14ac:dyDescent="0.25">
      <c r="H527" s="65"/>
      <c r="O527" s="64"/>
    </row>
    <row r="528" spans="8:15" ht="15.75" customHeight="1" x14ac:dyDescent="0.25">
      <c r="H528" s="65"/>
      <c r="O528" s="64"/>
    </row>
    <row r="529" spans="8:15" ht="15.75" customHeight="1" x14ac:dyDescent="0.25">
      <c r="H529" s="65"/>
      <c r="O529" s="64"/>
    </row>
    <row r="530" spans="8:15" ht="15.75" customHeight="1" x14ac:dyDescent="0.25">
      <c r="H530" s="65"/>
      <c r="O530" s="64"/>
    </row>
    <row r="531" spans="8:15" ht="15.75" customHeight="1" x14ac:dyDescent="0.25">
      <c r="H531" s="65"/>
      <c r="O531" s="64"/>
    </row>
    <row r="532" spans="8:15" ht="15.75" customHeight="1" x14ac:dyDescent="0.25">
      <c r="H532" s="65"/>
      <c r="O532" s="64"/>
    </row>
    <row r="533" spans="8:15" ht="15.75" customHeight="1" x14ac:dyDescent="0.25">
      <c r="H533" s="65"/>
      <c r="O533" s="64"/>
    </row>
    <row r="534" spans="8:15" ht="15.75" customHeight="1" x14ac:dyDescent="0.25">
      <c r="H534" s="65"/>
      <c r="O534" s="64"/>
    </row>
    <row r="535" spans="8:15" ht="15.75" customHeight="1" x14ac:dyDescent="0.25">
      <c r="H535" s="65"/>
      <c r="O535" s="64"/>
    </row>
    <row r="536" spans="8:15" ht="15.75" customHeight="1" x14ac:dyDescent="0.25">
      <c r="H536" s="65"/>
      <c r="O536" s="64"/>
    </row>
    <row r="537" spans="8:15" ht="15.75" customHeight="1" x14ac:dyDescent="0.25">
      <c r="H537" s="65"/>
      <c r="O537" s="64"/>
    </row>
    <row r="538" spans="8:15" ht="15.75" customHeight="1" x14ac:dyDescent="0.25">
      <c r="H538" s="65"/>
      <c r="O538" s="64"/>
    </row>
    <row r="539" spans="8:15" ht="15.75" customHeight="1" x14ac:dyDescent="0.25">
      <c r="H539" s="65"/>
      <c r="O539" s="64"/>
    </row>
    <row r="540" spans="8:15" ht="15.75" customHeight="1" x14ac:dyDescent="0.25">
      <c r="H540" s="65"/>
      <c r="O540" s="64"/>
    </row>
    <row r="541" spans="8:15" ht="15.75" customHeight="1" x14ac:dyDescent="0.25">
      <c r="H541" s="65"/>
      <c r="O541" s="64"/>
    </row>
    <row r="542" spans="8:15" ht="15.75" customHeight="1" x14ac:dyDescent="0.25">
      <c r="H542" s="65"/>
      <c r="O542" s="64"/>
    </row>
    <row r="543" spans="8:15" ht="15.75" customHeight="1" x14ac:dyDescent="0.25">
      <c r="H543" s="65"/>
      <c r="O543" s="64"/>
    </row>
    <row r="544" spans="8:15" ht="15.75" customHeight="1" x14ac:dyDescent="0.25">
      <c r="H544" s="65"/>
      <c r="O544" s="64"/>
    </row>
    <row r="545" spans="8:15" ht="15.75" customHeight="1" x14ac:dyDescent="0.25">
      <c r="H545" s="65"/>
      <c r="O545" s="64"/>
    </row>
    <row r="546" spans="8:15" ht="15.75" customHeight="1" x14ac:dyDescent="0.25">
      <c r="H546" s="65"/>
      <c r="O546" s="64"/>
    </row>
    <row r="547" spans="8:15" ht="15.75" customHeight="1" x14ac:dyDescent="0.25">
      <c r="H547" s="65"/>
      <c r="O547" s="64"/>
    </row>
    <row r="548" spans="8:15" ht="15.75" customHeight="1" x14ac:dyDescent="0.25">
      <c r="H548" s="65"/>
      <c r="O548" s="64"/>
    </row>
    <row r="549" spans="8:15" ht="15.75" customHeight="1" x14ac:dyDescent="0.25">
      <c r="H549" s="65"/>
      <c r="O549" s="64"/>
    </row>
    <row r="550" spans="8:15" ht="15.75" customHeight="1" x14ac:dyDescent="0.25">
      <c r="H550" s="65"/>
      <c r="O550" s="64"/>
    </row>
    <row r="551" spans="8:15" ht="15.75" customHeight="1" x14ac:dyDescent="0.25">
      <c r="H551" s="65"/>
      <c r="O551" s="64"/>
    </row>
    <row r="552" spans="8:15" ht="15.75" customHeight="1" x14ac:dyDescent="0.25">
      <c r="H552" s="65"/>
      <c r="O552" s="64"/>
    </row>
    <row r="553" spans="8:15" ht="15.75" customHeight="1" x14ac:dyDescent="0.25">
      <c r="H553" s="65"/>
      <c r="O553" s="64"/>
    </row>
    <row r="554" spans="8:15" ht="15.75" customHeight="1" x14ac:dyDescent="0.25">
      <c r="H554" s="65"/>
      <c r="O554" s="64"/>
    </row>
    <row r="555" spans="8:15" ht="15.75" customHeight="1" x14ac:dyDescent="0.25">
      <c r="H555" s="65"/>
      <c r="O555" s="64"/>
    </row>
    <row r="556" spans="8:15" ht="15.75" customHeight="1" x14ac:dyDescent="0.25">
      <c r="H556" s="65"/>
      <c r="O556" s="64"/>
    </row>
    <row r="557" spans="8:15" ht="15.75" customHeight="1" x14ac:dyDescent="0.25">
      <c r="H557" s="65"/>
      <c r="O557" s="64"/>
    </row>
    <row r="558" spans="8:15" ht="15.75" customHeight="1" x14ac:dyDescent="0.25">
      <c r="H558" s="65"/>
      <c r="O558" s="64"/>
    </row>
    <row r="559" spans="8:15" ht="15.75" customHeight="1" x14ac:dyDescent="0.25">
      <c r="H559" s="65"/>
      <c r="O559" s="64"/>
    </row>
    <row r="560" spans="8:15" ht="15.75" customHeight="1" x14ac:dyDescent="0.25">
      <c r="H560" s="65"/>
      <c r="O560" s="64"/>
    </row>
    <row r="561" spans="8:15" ht="15.75" customHeight="1" x14ac:dyDescent="0.25">
      <c r="H561" s="65"/>
      <c r="O561" s="64"/>
    </row>
    <row r="562" spans="8:15" ht="15.75" customHeight="1" x14ac:dyDescent="0.25">
      <c r="H562" s="65"/>
      <c r="O562" s="64"/>
    </row>
    <row r="563" spans="8:15" ht="15.75" customHeight="1" x14ac:dyDescent="0.25">
      <c r="H563" s="65"/>
      <c r="O563" s="64"/>
    </row>
    <row r="564" spans="8:15" ht="15.75" customHeight="1" x14ac:dyDescent="0.25">
      <c r="H564" s="65"/>
      <c r="O564" s="64"/>
    </row>
    <row r="565" spans="8:15" ht="15.75" customHeight="1" x14ac:dyDescent="0.25">
      <c r="H565" s="65"/>
      <c r="O565" s="64"/>
    </row>
    <row r="566" spans="8:15" ht="15.75" customHeight="1" x14ac:dyDescent="0.25">
      <c r="H566" s="65"/>
      <c r="O566" s="64"/>
    </row>
    <row r="567" spans="8:15" ht="15.75" customHeight="1" x14ac:dyDescent="0.25">
      <c r="H567" s="65"/>
      <c r="O567" s="64"/>
    </row>
    <row r="568" spans="8:15" ht="15.75" customHeight="1" x14ac:dyDescent="0.25">
      <c r="H568" s="65"/>
      <c r="O568" s="64"/>
    </row>
    <row r="569" spans="8:15" ht="15.75" customHeight="1" x14ac:dyDescent="0.25">
      <c r="H569" s="65"/>
      <c r="O569" s="64"/>
    </row>
    <row r="570" spans="8:15" ht="15.75" customHeight="1" x14ac:dyDescent="0.25">
      <c r="H570" s="65"/>
      <c r="O570" s="64"/>
    </row>
    <row r="571" spans="8:15" ht="15.75" customHeight="1" x14ac:dyDescent="0.25">
      <c r="H571" s="65"/>
      <c r="O571" s="64"/>
    </row>
    <row r="572" spans="8:15" ht="15.75" customHeight="1" x14ac:dyDescent="0.25">
      <c r="H572" s="65"/>
      <c r="O572" s="64"/>
    </row>
    <row r="573" spans="8:15" ht="15.75" customHeight="1" x14ac:dyDescent="0.25">
      <c r="H573" s="65"/>
      <c r="O573" s="64"/>
    </row>
    <row r="574" spans="8:15" ht="15.75" customHeight="1" x14ac:dyDescent="0.25">
      <c r="H574" s="65"/>
      <c r="O574" s="64"/>
    </row>
    <row r="575" spans="8:15" ht="15.75" customHeight="1" x14ac:dyDescent="0.25">
      <c r="H575" s="65"/>
      <c r="O575" s="64"/>
    </row>
    <row r="576" spans="8:15" ht="15.75" customHeight="1" x14ac:dyDescent="0.25">
      <c r="H576" s="65"/>
      <c r="O576" s="64"/>
    </row>
    <row r="577" spans="8:15" ht="15.75" customHeight="1" x14ac:dyDescent="0.25">
      <c r="H577" s="65"/>
      <c r="O577" s="64"/>
    </row>
    <row r="578" spans="8:15" ht="15.75" customHeight="1" x14ac:dyDescent="0.25">
      <c r="H578" s="65"/>
      <c r="O578" s="64"/>
    </row>
    <row r="579" spans="8:15" ht="15.75" customHeight="1" x14ac:dyDescent="0.25">
      <c r="H579" s="65"/>
      <c r="O579" s="64"/>
    </row>
    <row r="580" spans="8:15" ht="15.75" customHeight="1" x14ac:dyDescent="0.25">
      <c r="H580" s="65"/>
      <c r="O580" s="64"/>
    </row>
    <row r="581" spans="8:15" ht="15.75" customHeight="1" x14ac:dyDescent="0.25">
      <c r="H581" s="65"/>
      <c r="O581" s="64"/>
    </row>
    <row r="582" spans="8:15" ht="15.75" customHeight="1" x14ac:dyDescent="0.25">
      <c r="H582" s="65"/>
      <c r="O582" s="64"/>
    </row>
    <row r="583" spans="8:15" ht="15.75" customHeight="1" x14ac:dyDescent="0.25">
      <c r="H583" s="65"/>
      <c r="O583" s="64"/>
    </row>
    <row r="584" spans="8:15" ht="15.75" customHeight="1" x14ac:dyDescent="0.25">
      <c r="H584" s="65"/>
      <c r="O584" s="64"/>
    </row>
    <row r="585" spans="8:15" ht="15.75" customHeight="1" x14ac:dyDescent="0.25">
      <c r="H585" s="65"/>
      <c r="O585" s="64"/>
    </row>
    <row r="586" spans="8:15" ht="15.75" customHeight="1" x14ac:dyDescent="0.25">
      <c r="H586" s="65"/>
      <c r="O586" s="64"/>
    </row>
    <row r="587" spans="8:15" ht="15.75" customHeight="1" x14ac:dyDescent="0.25">
      <c r="H587" s="65"/>
      <c r="O587" s="64"/>
    </row>
    <row r="588" spans="8:15" ht="15.75" customHeight="1" x14ac:dyDescent="0.25">
      <c r="H588" s="65"/>
      <c r="O588" s="64"/>
    </row>
    <row r="589" spans="8:15" ht="15.75" customHeight="1" x14ac:dyDescent="0.25">
      <c r="H589" s="65"/>
      <c r="O589" s="64"/>
    </row>
    <row r="590" spans="8:15" ht="15.75" customHeight="1" x14ac:dyDescent="0.25">
      <c r="H590" s="65"/>
      <c r="O590" s="64"/>
    </row>
    <row r="591" spans="8:15" ht="15.75" customHeight="1" x14ac:dyDescent="0.25">
      <c r="H591" s="65"/>
      <c r="O591" s="64"/>
    </row>
    <row r="592" spans="8:15" ht="15.75" customHeight="1" x14ac:dyDescent="0.25">
      <c r="H592" s="65"/>
      <c r="O592" s="64"/>
    </row>
    <row r="593" spans="8:15" ht="15.75" customHeight="1" x14ac:dyDescent="0.25">
      <c r="H593" s="65"/>
      <c r="O593" s="64"/>
    </row>
    <row r="594" spans="8:15" ht="15.75" customHeight="1" x14ac:dyDescent="0.25">
      <c r="H594" s="65"/>
      <c r="O594" s="64"/>
    </row>
    <row r="595" spans="8:15" ht="15.75" customHeight="1" x14ac:dyDescent="0.25">
      <c r="H595" s="65"/>
      <c r="O595" s="64"/>
    </row>
    <row r="596" spans="8:15" ht="15.75" customHeight="1" x14ac:dyDescent="0.25">
      <c r="H596" s="65"/>
      <c r="O596" s="64"/>
    </row>
    <row r="597" spans="8:15" ht="15.75" customHeight="1" x14ac:dyDescent="0.25">
      <c r="H597" s="65"/>
      <c r="O597" s="64"/>
    </row>
    <row r="598" spans="8:15" ht="15.75" customHeight="1" x14ac:dyDescent="0.25">
      <c r="H598" s="65"/>
      <c r="O598" s="64"/>
    </row>
    <row r="599" spans="8:15" ht="15.75" customHeight="1" x14ac:dyDescent="0.25">
      <c r="H599" s="65"/>
      <c r="O599" s="64"/>
    </row>
    <row r="600" spans="8:15" ht="15.75" customHeight="1" x14ac:dyDescent="0.25">
      <c r="H600" s="65"/>
      <c r="O600" s="64"/>
    </row>
    <row r="601" spans="8:15" ht="15.75" customHeight="1" x14ac:dyDescent="0.25">
      <c r="H601" s="65"/>
      <c r="O601" s="64"/>
    </row>
    <row r="602" spans="8:15" ht="15.75" customHeight="1" x14ac:dyDescent="0.25">
      <c r="H602" s="65"/>
      <c r="O602" s="64"/>
    </row>
    <row r="603" spans="8:15" ht="15.75" customHeight="1" x14ac:dyDescent="0.25">
      <c r="H603" s="65"/>
      <c r="O603" s="64"/>
    </row>
    <row r="604" spans="8:15" ht="15.75" customHeight="1" x14ac:dyDescent="0.25">
      <c r="H604" s="65"/>
      <c r="O604" s="64"/>
    </row>
    <row r="605" spans="8:15" ht="15.75" customHeight="1" x14ac:dyDescent="0.25">
      <c r="H605" s="65"/>
      <c r="O605" s="64"/>
    </row>
    <row r="606" spans="8:15" ht="15.75" customHeight="1" x14ac:dyDescent="0.25">
      <c r="H606" s="65"/>
      <c r="O606" s="64"/>
    </row>
    <row r="607" spans="8:15" ht="15.75" customHeight="1" x14ac:dyDescent="0.25">
      <c r="H607" s="65"/>
      <c r="O607" s="64"/>
    </row>
    <row r="608" spans="8:15" ht="15.75" customHeight="1" x14ac:dyDescent="0.25">
      <c r="H608" s="65"/>
      <c r="O608" s="64"/>
    </row>
    <row r="609" spans="8:15" ht="15.75" customHeight="1" x14ac:dyDescent="0.25">
      <c r="H609" s="65"/>
      <c r="O609" s="64"/>
    </row>
    <row r="610" spans="8:15" ht="15.75" customHeight="1" x14ac:dyDescent="0.25">
      <c r="H610" s="65"/>
      <c r="O610" s="64"/>
    </row>
    <row r="611" spans="8:15" ht="15.75" customHeight="1" x14ac:dyDescent="0.25">
      <c r="H611" s="65"/>
      <c r="O611" s="64"/>
    </row>
    <row r="612" spans="8:15" ht="15.75" customHeight="1" x14ac:dyDescent="0.25">
      <c r="H612" s="65"/>
      <c r="O612" s="64"/>
    </row>
    <row r="613" spans="8:15" ht="15.75" customHeight="1" x14ac:dyDescent="0.25">
      <c r="H613" s="65"/>
      <c r="O613" s="64"/>
    </row>
    <row r="614" spans="8:15" ht="15.75" customHeight="1" x14ac:dyDescent="0.25">
      <c r="H614" s="65"/>
      <c r="O614" s="64"/>
    </row>
    <row r="615" spans="8:15" ht="15.75" customHeight="1" x14ac:dyDescent="0.25">
      <c r="H615" s="65"/>
      <c r="O615" s="64"/>
    </row>
    <row r="616" spans="8:15" ht="15.75" customHeight="1" x14ac:dyDescent="0.25">
      <c r="H616" s="65"/>
      <c r="O616" s="64"/>
    </row>
    <row r="617" spans="8:15" ht="15.75" customHeight="1" x14ac:dyDescent="0.25">
      <c r="H617" s="65"/>
      <c r="O617" s="64"/>
    </row>
    <row r="618" spans="8:15" ht="15.75" customHeight="1" x14ac:dyDescent="0.25">
      <c r="H618" s="65"/>
      <c r="O618" s="64"/>
    </row>
    <row r="619" spans="8:15" ht="15.75" customHeight="1" x14ac:dyDescent="0.25">
      <c r="H619" s="65"/>
      <c r="O619" s="64"/>
    </row>
    <row r="620" spans="8:15" ht="15.75" customHeight="1" x14ac:dyDescent="0.25">
      <c r="H620" s="65"/>
      <c r="O620" s="64"/>
    </row>
    <row r="621" spans="8:15" ht="15.75" customHeight="1" x14ac:dyDescent="0.25">
      <c r="H621" s="65"/>
      <c r="O621" s="64"/>
    </row>
    <row r="622" spans="8:15" ht="15.75" customHeight="1" x14ac:dyDescent="0.25">
      <c r="H622" s="65"/>
      <c r="O622" s="64"/>
    </row>
    <row r="623" spans="8:15" ht="15.75" customHeight="1" x14ac:dyDescent="0.25">
      <c r="H623" s="65"/>
      <c r="O623" s="64"/>
    </row>
    <row r="624" spans="8:15" ht="15.75" customHeight="1" x14ac:dyDescent="0.25">
      <c r="H624" s="65"/>
      <c r="O624" s="64"/>
    </row>
    <row r="625" spans="8:15" ht="15.75" customHeight="1" x14ac:dyDescent="0.25">
      <c r="H625" s="65"/>
      <c r="O625" s="64"/>
    </row>
    <row r="626" spans="8:15" ht="15.75" customHeight="1" x14ac:dyDescent="0.25">
      <c r="H626" s="65"/>
      <c r="O626" s="64"/>
    </row>
    <row r="627" spans="8:15" ht="15.75" customHeight="1" x14ac:dyDescent="0.25">
      <c r="H627" s="65"/>
      <c r="O627" s="64"/>
    </row>
    <row r="628" spans="8:15" ht="15.75" customHeight="1" x14ac:dyDescent="0.25">
      <c r="H628" s="65"/>
      <c r="O628" s="64"/>
    </row>
    <row r="629" spans="8:15" ht="15.75" customHeight="1" x14ac:dyDescent="0.25">
      <c r="H629" s="65"/>
      <c r="O629" s="64"/>
    </row>
    <row r="630" spans="8:15" ht="15.75" customHeight="1" x14ac:dyDescent="0.25">
      <c r="H630" s="65"/>
      <c r="O630" s="64"/>
    </row>
    <row r="631" spans="8:15" ht="15.75" customHeight="1" x14ac:dyDescent="0.25">
      <c r="H631" s="65"/>
      <c r="O631" s="64"/>
    </row>
    <row r="632" spans="8:15" ht="15.75" customHeight="1" x14ac:dyDescent="0.25">
      <c r="H632" s="65"/>
      <c r="O632" s="64"/>
    </row>
    <row r="633" spans="8:15" ht="15.75" customHeight="1" x14ac:dyDescent="0.25">
      <c r="H633" s="65"/>
      <c r="O633" s="64"/>
    </row>
    <row r="634" spans="8:15" ht="15.75" customHeight="1" x14ac:dyDescent="0.25">
      <c r="H634" s="65"/>
      <c r="O634" s="64"/>
    </row>
    <row r="635" spans="8:15" ht="15.75" customHeight="1" x14ac:dyDescent="0.25">
      <c r="H635" s="65"/>
      <c r="O635" s="64"/>
    </row>
    <row r="636" spans="8:15" ht="15.75" customHeight="1" x14ac:dyDescent="0.25">
      <c r="H636" s="65"/>
      <c r="O636" s="64"/>
    </row>
    <row r="637" spans="8:15" ht="15.75" customHeight="1" x14ac:dyDescent="0.25">
      <c r="H637" s="65"/>
      <c r="O637" s="64"/>
    </row>
    <row r="638" spans="8:15" ht="15.75" customHeight="1" x14ac:dyDescent="0.25">
      <c r="H638" s="65"/>
      <c r="O638" s="64"/>
    </row>
    <row r="639" spans="8:15" ht="15.75" customHeight="1" x14ac:dyDescent="0.25">
      <c r="H639" s="65"/>
      <c r="O639" s="64"/>
    </row>
    <row r="640" spans="8:15" ht="15.75" customHeight="1" x14ac:dyDescent="0.25">
      <c r="H640" s="65"/>
      <c r="O640" s="64"/>
    </row>
    <row r="641" spans="8:15" ht="15.75" customHeight="1" x14ac:dyDescent="0.25">
      <c r="H641" s="65"/>
      <c r="O641" s="64"/>
    </row>
    <row r="642" spans="8:15" ht="15.75" customHeight="1" x14ac:dyDescent="0.25">
      <c r="H642" s="65"/>
      <c r="O642" s="64"/>
    </row>
    <row r="643" spans="8:15" ht="15.75" customHeight="1" x14ac:dyDescent="0.25">
      <c r="H643" s="65"/>
      <c r="O643" s="64"/>
    </row>
    <row r="644" spans="8:15" ht="15.75" customHeight="1" x14ac:dyDescent="0.25">
      <c r="H644" s="65"/>
      <c r="O644" s="64"/>
    </row>
    <row r="645" spans="8:15" ht="15.75" customHeight="1" x14ac:dyDescent="0.25">
      <c r="H645" s="65"/>
      <c r="O645" s="64"/>
    </row>
    <row r="646" spans="8:15" ht="15.75" customHeight="1" x14ac:dyDescent="0.25">
      <c r="H646" s="65"/>
      <c r="O646" s="64"/>
    </row>
    <row r="647" spans="8:15" ht="15.75" customHeight="1" x14ac:dyDescent="0.25">
      <c r="H647" s="65"/>
      <c r="O647" s="64"/>
    </row>
    <row r="648" spans="8:15" ht="15.75" customHeight="1" x14ac:dyDescent="0.25">
      <c r="H648" s="65"/>
      <c r="O648" s="64"/>
    </row>
    <row r="649" spans="8:15" ht="15.75" customHeight="1" x14ac:dyDescent="0.25">
      <c r="H649" s="65"/>
      <c r="O649" s="64"/>
    </row>
    <row r="650" spans="8:15" ht="15.75" customHeight="1" x14ac:dyDescent="0.25">
      <c r="H650" s="65"/>
      <c r="O650" s="64"/>
    </row>
    <row r="651" spans="8:15" ht="15.75" customHeight="1" x14ac:dyDescent="0.25">
      <c r="H651" s="65"/>
      <c r="O651" s="64"/>
    </row>
    <row r="652" spans="8:15" ht="15.75" customHeight="1" x14ac:dyDescent="0.25">
      <c r="H652" s="65"/>
      <c r="O652" s="64"/>
    </row>
    <row r="653" spans="8:15" ht="15.75" customHeight="1" x14ac:dyDescent="0.25">
      <c r="H653" s="65"/>
      <c r="O653" s="64"/>
    </row>
    <row r="654" spans="8:15" ht="15.75" customHeight="1" x14ac:dyDescent="0.25">
      <c r="H654" s="65"/>
      <c r="O654" s="64"/>
    </row>
    <row r="655" spans="8:15" ht="15.75" customHeight="1" x14ac:dyDescent="0.25">
      <c r="H655" s="65"/>
      <c r="O655" s="64"/>
    </row>
    <row r="656" spans="8:15" ht="15.75" customHeight="1" x14ac:dyDescent="0.25">
      <c r="H656" s="65"/>
      <c r="O656" s="64"/>
    </row>
    <row r="657" spans="8:15" ht="15.75" customHeight="1" x14ac:dyDescent="0.25">
      <c r="H657" s="65"/>
      <c r="O657" s="64"/>
    </row>
    <row r="658" spans="8:15" ht="15.75" customHeight="1" x14ac:dyDescent="0.25">
      <c r="H658" s="65"/>
      <c r="O658" s="64"/>
    </row>
    <row r="659" spans="8:15" ht="15.75" customHeight="1" x14ac:dyDescent="0.25">
      <c r="H659" s="65"/>
      <c r="O659" s="64"/>
    </row>
    <row r="660" spans="8:15" ht="15.75" customHeight="1" x14ac:dyDescent="0.25">
      <c r="H660" s="65"/>
      <c r="O660" s="64"/>
    </row>
    <row r="661" spans="8:15" ht="15.75" customHeight="1" x14ac:dyDescent="0.25">
      <c r="H661" s="65"/>
      <c r="O661" s="64"/>
    </row>
    <row r="662" spans="8:15" ht="15.75" customHeight="1" x14ac:dyDescent="0.25">
      <c r="H662" s="65"/>
      <c r="O662" s="64"/>
    </row>
    <row r="663" spans="8:15" ht="15.75" customHeight="1" x14ac:dyDescent="0.25">
      <c r="H663" s="65"/>
      <c r="O663" s="64"/>
    </row>
    <row r="664" spans="8:15" ht="15.75" customHeight="1" x14ac:dyDescent="0.25">
      <c r="H664" s="65"/>
      <c r="O664" s="64"/>
    </row>
    <row r="665" spans="8:15" ht="15.75" customHeight="1" x14ac:dyDescent="0.25">
      <c r="H665" s="65"/>
      <c r="O665" s="64"/>
    </row>
    <row r="666" spans="8:15" ht="15.75" customHeight="1" x14ac:dyDescent="0.25">
      <c r="H666" s="65"/>
      <c r="O666" s="64"/>
    </row>
    <row r="667" spans="8:15" ht="15.75" customHeight="1" x14ac:dyDescent="0.25">
      <c r="H667" s="65"/>
      <c r="O667" s="64"/>
    </row>
    <row r="668" spans="8:15" ht="15.75" customHeight="1" x14ac:dyDescent="0.25">
      <c r="H668" s="65"/>
      <c r="O668" s="64"/>
    </row>
    <row r="669" spans="8:15" ht="15.75" customHeight="1" x14ac:dyDescent="0.25">
      <c r="H669" s="65"/>
      <c r="O669" s="64"/>
    </row>
    <row r="670" spans="8:15" ht="15.75" customHeight="1" x14ac:dyDescent="0.25">
      <c r="H670" s="65"/>
      <c r="O670" s="64"/>
    </row>
    <row r="671" spans="8:15" ht="15.75" customHeight="1" x14ac:dyDescent="0.25">
      <c r="H671" s="65"/>
      <c r="O671" s="64"/>
    </row>
    <row r="672" spans="8:15" ht="15.75" customHeight="1" x14ac:dyDescent="0.25">
      <c r="H672" s="65"/>
      <c r="O672" s="64"/>
    </row>
    <row r="673" spans="8:15" ht="15.75" customHeight="1" x14ac:dyDescent="0.25">
      <c r="H673" s="65"/>
      <c r="O673" s="64"/>
    </row>
    <row r="674" spans="8:15" ht="15.75" customHeight="1" x14ac:dyDescent="0.25">
      <c r="H674" s="65"/>
      <c r="O674" s="64"/>
    </row>
    <row r="675" spans="8:15" ht="15.75" customHeight="1" x14ac:dyDescent="0.25">
      <c r="H675" s="65"/>
      <c r="O675" s="64"/>
    </row>
    <row r="676" spans="8:15" ht="15.75" customHeight="1" x14ac:dyDescent="0.25">
      <c r="H676" s="65"/>
      <c r="O676" s="64"/>
    </row>
    <row r="677" spans="8:15" ht="15.75" customHeight="1" x14ac:dyDescent="0.25">
      <c r="H677" s="65"/>
      <c r="O677" s="64"/>
    </row>
    <row r="678" spans="8:15" ht="15.75" customHeight="1" x14ac:dyDescent="0.25">
      <c r="H678" s="65"/>
      <c r="O678" s="64"/>
    </row>
    <row r="679" spans="8:15" ht="15.75" customHeight="1" x14ac:dyDescent="0.25">
      <c r="H679" s="65"/>
      <c r="O679" s="64"/>
    </row>
    <row r="680" spans="8:15" ht="15.75" customHeight="1" x14ac:dyDescent="0.25">
      <c r="H680" s="65"/>
      <c r="O680" s="64"/>
    </row>
    <row r="681" spans="8:15" ht="15.75" customHeight="1" x14ac:dyDescent="0.25">
      <c r="H681" s="65"/>
      <c r="O681" s="64"/>
    </row>
    <row r="682" spans="8:15" ht="15.75" customHeight="1" x14ac:dyDescent="0.25">
      <c r="H682" s="65"/>
      <c r="O682" s="64"/>
    </row>
    <row r="683" spans="8:15" ht="15.75" customHeight="1" x14ac:dyDescent="0.25">
      <c r="H683" s="65"/>
      <c r="O683" s="64"/>
    </row>
    <row r="684" spans="8:15" ht="15.75" customHeight="1" x14ac:dyDescent="0.25">
      <c r="H684" s="65"/>
      <c r="O684" s="64"/>
    </row>
    <row r="685" spans="8:15" ht="15.75" customHeight="1" x14ac:dyDescent="0.25">
      <c r="H685" s="65"/>
      <c r="O685" s="64"/>
    </row>
    <row r="686" spans="8:15" ht="15.75" customHeight="1" x14ac:dyDescent="0.25">
      <c r="H686" s="65"/>
      <c r="O686" s="64"/>
    </row>
    <row r="687" spans="8:15" ht="15.75" customHeight="1" x14ac:dyDescent="0.25">
      <c r="H687" s="65"/>
      <c r="O687" s="64"/>
    </row>
    <row r="688" spans="8:15" ht="15.75" customHeight="1" x14ac:dyDescent="0.25">
      <c r="H688" s="65"/>
      <c r="O688" s="64"/>
    </row>
    <row r="689" spans="8:15" ht="15.75" customHeight="1" x14ac:dyDescent="0.25">
      <c r="H689" s="65"/>
      <c r="O689" s="64"/>
    </row>
    <row r="690" spans="8:15" ht="15.75" customHeight="1" x14ac:dyDescent="0.25">
      <c r="H690" s="65"/>
      <c r="O690" s="64"/>
    </row>
    <row r="691" spans="8:15" ht="15.75" customHeight="1" x14ac:dyDescent="0.25">
      <c r="H691" s="65"/>
      <c r="O691" s="64"/>
    </row>
    <row r="692" spans="8:15" ht="15.75" customHeight="1" x14ac:dyDescent="0.25">
      <c r="H692" s="65"/>
      <c r="O692" s="64"/>
    </row>
    <row r="693" spans="8:15" ht="15.75" customHeight="1" x14ac:dyDescent="0.25">
      <c r="H693" s="65"/>
      <c r="O693" s="64"/>
    </row>
    <row r="694" spans="8:15" ht="15.75" customHeight="1" x14ac:dyDescent="0.25">
      <c r="H694" s="65"/>
      <c r="O694" s="64"/>
    </row>
    <row r="695" spans="8:15" ht="15.75" customHeight="1" x14ac:dyDescent="0.25">
      <c r="H695" s="65"/>
      <c r="O695" s="64"/>
    </row>
    <row r="696" spans="8:15" ht="15.75" customHeight="1" x14ac:dyDescent="0.25">
      <c r="H696" s="65"/>
      <c r="O696" s="64"/>
    </row>
    <row r="697" spans="8:15" ht="15.75" customHeight="1" x14ac:dyDescent="0.25">
      <c r="H697" s="65"/>
      <c r="O697" s="64"/>
    </row>
    <row r="698" spans="8:15" ht="15.75" customHeight="1" x14ac:dyDescent="0.25">
      <c r="H698" s="65"/>
      <c r="O698" s="64"/>
    </row>
    <row r="699" spans="8:15" ht="15.75" customHeight="1" x14ac:dyDescent="0.25">
      <c r="H699" s="65"/>
      <c r="O699" s="64"/>
    </row>
    <row r="700" spans="8:15" ht="15.75" customHeight="1" x14ac:dyDescent="0.25">
      <c r="H700" s="65"/>
      <c r="O700" s="64"/>
    </row>
    <row r="701" spans="8:15" ht="15.75" customHeight="1" x14ac:dyDescent="0.25">
      <c r="H701" s="65"/>
      <c r="O701" s="64"/>
    </row>
    <row r="702" spans="8:15" ht="15.75" customHeight="1" x14ac:dyDescent="0.25">
      <c r="H702" s="65"/>
      <c r="O702" s="64"/>
    </row>
    <row r="703" spans="8:15" ht="15.75" customHeight="1" x14ac:dyDescent="0.25">
      <c r="H703" s="65"/>
      <c r="O703" s="64"/>
    </row>
    <row r="704" spans="8:15" ht="15.75" customHeight="1" x14ac:dyDescent="0.25">
      <c r="H704" s="65"/>
      <c r="O704" s="64"/>
    </row>
    <row r="705" spans="8:15" ht="15.75" customHeight="1" x14ac:dyDescent="0.25">
      <c r="H705" s="65"/>
      <c r="O705" s="64"/>
    </row>
    <row r="706" spans="8:15" ht="15.75" customHeight="1" x14ac:dyDescent="0.25">
      <c r="H706" s="65"/>
      <c r="O706" s="64"/>
    </row>
    <row r="707" spans="8:15" ht="15.75" customHeight="1" x14ac:dyDescent="0.25">
      <c r="H707" s="65"/>
      <c r="O707" s="64"/>
    </row>
    <row r="708" spans="8:15" ht="15.75" customHeight="1" x14ac:dyDescent="0.25">
      <c r="H708" s="65"/>
      <c r="O708" s="64"/>
    </row>
    <row r="709" spans="8:15" ht="15.75" customHeight="1" x14ac:dyDescent="0.25">
      <c r="H709" s="65"/>
      <c r="O709" s="64"/>
    </row>
    <row r="710" spans="8:15" ht="15.75" customHeight="1" x14ac:dyDescent="0.25">
      <c r="H710" s="65"/>
      <c r="O710" s="64"/>
    </row>
    <row r="711" spans="8:15" ht="15.75" customHeight="1" x14ac:dyDescent="0.25">
      <c r="H711" s="65"/>
      <c r="O711" s="64"/>
    </row>
    <row r="712" spans="8:15" ht="15.75" customHeight="1" x14ac:dyDescent="0.25">
      <c r="H712" s="65"/>
      <c r="O712" s="64"/>
    </row>
    <row r="713" spans="8:15" ht="15.75" customHeight="1" x14ac:dyDescent="0.25">
      <c r="H713" s="65"/>
      <c r="O713" s="64"/>
    </row>
    <row r="714" spans="8:15" ht="15.75" customHeight="1" x14ac:dyDescent="0.25">
      <c r="H714" s="65"/>
      <c r="O714" s="64"/>
    </row>
    <row r="715" spans="8:15" ht="15.75" customHeight="1" x14ac:dyDescent="0.25">
      <c r="H715" s="65"/>
      <c r="O715" s="64"/>
    </row>
    <row r="716" spans="8:15" ht="15.75" customHeight="1" x14ac:dyDescent="0.25">
      <c r="H716" s="65"/>
      <c r="O716" s="64"/>
    </row>
    <row r="717" spans="8:15" ht="15.75" customHeight="1" x14ac:dyDescent="0.25">
      <c r="H717" s="65"/>
      <c r="O717" s="64"/>
    </row>
    <row r="718" spans="8:15" ht="15.75" customHeight="1" x14ac:dyDescent="0.25">
      <c r="H718" s="65"/>
      <c r="O718" s="64"/>
    </row>
    <row r="719" spans="8:15" ht="15.75" customHeight="1" x14ac:dyDescent="0.25">
      <c r="H719" s="65"/>
      <c r="O719" s="64"/>
    </row>
    <row r="720" spans="8:15" ht="15.75" customHeight="1" x14ac:dyDescent="0.25">
      <c r="H720" s="65"/>
      <c r="O720" s="64"/>
    </row>
    <row r="721" spans="8:15" ht="15.75" customHeight="1" x14ac:dyDescent="0.25">
      <c r="H721" s="65"/>
      <c r="O721" s="64"/>
    </row>
    <row r="722" spans="8:15" ht="15.75" customHeight="1" x14ac:dyDescent="0.25">
      <c r="H722" s="65"/>
      <c r="O722" s="64"/>
    </row>
    <row r="723" spans="8:15" ht="15.75" customHeight="1" x14ac:dyDescent="0.25">
      <c r="H723" s="65"/>
      <c r="O723" s="64"/>
    </row>
    <row r="724" spans="8:15" ht="15.75" customHeight="1" x14ac:dyDescent="0.25">
      <c r="H724" s="65"/>
      <c r="O724" s="64"/>
    </row>
    <row r="725" spans="8:15" ht="15.75" customHeight="1" x14ac:dyDescent="0.25">
      <c r="H725" s="65"/>
      <c r="O725" s="64"/>
    </row>
    <row r="726" spans="8:15" ht="15.75" customHeight="1" x14ac:dyDescent="0.25">
      <c r="H726" s="65"/>
      <c r="O726" s="64"/>
    </row>
    <row r="727" spans="8:15" ht="15.75" customHeight="1" x14ac:dyDescent="0.25">
      <c r="H727" s="65"/>
      <c r="O727" s="64"/>
    </row>
    <row r="728" spans="8:15" ht="15.75" customHeight="1" x14ac:dyDescent="0.25">
      <c r="H728" s="65"/>
      <c r="O728" s="64"/>
    </row>
    <row r="729" spans="8:15" ht="15.75" customHeight="1" x14ac:dyDescent="0.25">
      <c r="H729" s="65"/>
      <c r="O729" s="64"/>
    </row>
    <row r="730" spans="8:15" ht="15.75" customHeight="1" x14ac:dyDescent="0.25">
      <c r="H730" s="65"/>
      <c r="O730" s="64"/>
    </row>
    <row r="731" spans="8:15" ht="15.75" customHeight="1" x14ac:dyDescent="0.25">
      <c r="H731" s="65"/>
      <c r="O731" s="64"/>
    </row>
    <row r="732" spans="8:15" ht="15.75" customHeight="1" x14ac:dyDescent="0.25">
      <c r="H732" s="65"/>
      <c r="O732" s="64"/>
    </row>
    <row r="733" spans="8:15" ht="15.75" customHeight="1" x14ac:dyDescent="0.25">
      <c r="H733" s="65"/>
      <c r="O733" s="64"/>
    </row>
    <row r="734" spans="8:15" ht="15.75" customHeight="1" x14ac:dyDescent="0.25">
      <c r="H734" s="65"/>
      <c r="O734" s="64"/>
    </row>
    <row r="735" spans="8:15" ht="15.75" customHeight="1" x14ac:dyDescent="0.25">
      <c r="H735" s="65"/>
      <c r="O735" s="64"/>
    </row>
    <row r="736" spans="8:15" ht="15.75" customHeight="1" x14ac:dyDescent="0.25">
      <c r="H736" s="65"/>
      <c r="O736" s="64"/>
    </row>
    <row r="737" spans="8:15" ht="15.75" customHeight="1" x14ac:dyDescent="0.25">
      <c r="H737" s="65"/>
      <c r="O737" s="64"/>
    </row>
    <row r="738" spans="8:15" ht="15.75" customHeight="1" x14ac:dyDescent="0.25">
      <c r="H738" s="65"/>
      <c r="O738" s="64"/>
    </row>
    <row r="739" spans="8:15" ht="15.75" customHeight="1" x14ac:dyDescent="0.25">
      <c r="H739" s="65"/>
      <c r="O739" s="64"/>
    </row>
    <row r="740" spans="8:15" ht="15.75" customHeight="1" x14ac:dyDescent="0.25">
      <c r="H740" s="65"/>
      <c r="O740" s="64"/>
    </row>
    <row r="741" spans="8:15" ht="15.75" customHeight="1" x14ac:dyDescent="0.25">
      <c r="H741" s="65"/>
      <c r="O741" s="64"/>
    </row>
    <row r="742" spans="8:15" ht="15.75" customHeight="1" x14ac:dyDescent="0.25">
      <c r="H742" s="65"/>
      <c r="O742" s="64"/>
    </row>
    <row r="743" spans="8:15" ht="15.75" customHeight="1" x14ac:dyDescent="0.25">
      <c r="H743" s="65"/>
      <c r="O743" s="64"/>
    </row>
    <row r="744" spans="8:15" ht="15.75" customHeight="1" x14ac:dyDescent="0.25">
      <c r="H744" s="65"/>
      <c r="O744" s="64"/>
    </row>
    <row r="745" spans="8:15" ht="15.75" customHeight="1" x14ac:dyDescent="0.25">
      <c r="H745" s="65"/>
      <c r="O745" s="64"/>
    </row>
    <row r="746" spans="8:15" ht="15.75" customHeight="1" x14ac:dyDescent="0.25">
      <c r="H746" s="65"/>
      <c r="O746" s="64"/>
    </row>
    <row r="747" spans="8:15" ht="15.75" customHeight="1" x14ac:dyDescent="0.25">
      <c r="H747" s="65"/>
      <c r="O747" s="64"/>
    </row>
    <row r="748" spans="8:15" ht="15.75" customHeight="1" x14ac:dyDescent="0.25">
      <c r="H748" s="65"/>
      <c r="O748" s="64"/>
    </row>
    <row r="749" spans="8:15" ht="15.75" customHeight="1" x14ac:dyDescent="0.25">
      <c r="H749" s="65"/>
      <c r="O749" s="64"/>
    </row>
    <row r="750" spans="8:15" ht="15.75" customHeight="1" x14ac:dyDescent="0.25">
      <c r="H750" s="65"/>
      <c r="O750" s="64"/>
    </row>
    <row r="751" spans="8:15" ht="15.75" customHeight="1" x14ac:dyDescent="0.25">
      <c r="H751" s="65"/>
      <c r="O751" s="64"/>
    </row>
    <row r="752" spans="8:15" ht="15.75" customHeight="1" x14ac:dyDescent="0.25">
      <c r="H752" s="65"/>
      <c r="O752" s="64"/>
    </row>
    <row r="753" spans="8:15" ht="15.75" customHeight="1" x14ac:dyDescent="0.25">
      <c r="H753" s="65"/>
      <c r="O753" s="64"/>
    </row>
    <row r="754" spans="8:15" ht="15.75" customHeight="1" x14ac:dyDescent="0.25">
      <c r="H754" s="65"/>
      <c r="O754" s="64"/>
    </row>
    <row r="755" spans="8:15" ht="15.75" customHeight="1" x14ac:dyDescent="0.25">
      <c r="H755" s="65"/>
      <c r="O755" s="64"/>
    </row>
    <row r="756" spans="8:15" ht="15.75" customHeight="1" x14ac:dyDescent="0.25">
      <c r="H756" s="65"/>
      <c r="O756" s="64"/>
    </row>
    <row r="757" spans="8:15" ht="15.75" customHeight="1" x14ac:dyDescent="0.25">
      <c r="H757" s="65"/>
      <c r="O757" s="64"/>
    </row>
    <row r="758" spans="8:15" ht="15.75" customHeight="1" x14ac:dyDescent="0.25">
      <c r="H758" s="65"/>
      <c r="O758" s="64"/>
    </row>
    <row r="759" spans="8:15" ht="15.75" customHeight="1" x14ac:dyDescent="0.25">
      <c r="H759" s="65"/>
      <c r="O759" s="64"/>
    </row>
    <row r="760" spans="8:15" ht="15.75" customHeight="1" x14ac:dyDescent="0.25">
      <c r="H760" s="65"/>
      <c r="O760" s="64"/>
    </row>
    <row r="761" spans="8:15" ht="15.75" customHeight="1" x14ac:dyDescent="0.25">
      <c r="H761" s="65"/>
      <c r="O761" s="64"/>
    </row>
    <row r="762" spans="8:15" ht="15.75" customHeight="1" x14ac:dyDescent="0.25">
      <c r="H762" s="65"/>
      <c r="O762" s="64"/>
    </row>
    <row r="763" spans="8:15" ht="15.75" customHeight="1" x14ac:dyDescent="0.25">
      <c r="H763" s="65"/>
      <c r="O763" s="64"/>
    </row>
    <row r="764" spans="8:15" ht="15.75" customHeight="1" x14ac:dyDescent="0.25">
      <c r="H764" s="65"/>
      <c r="O764" s="64"/>
    </row>
    <row r="765" spans="8:15" ht="15.75" customHeight="1" x14ac:dyDescent="0.25">
      <c r="H765" s="65"/>
      <c r="O765" s="64"/>
    </row>
    <row r="766" spans="8:15" ht="15.75" customHeight="1" x14ac:dyDescent="0.25">
      <c r="H766" s="65"/>
      <c r="O766" s="64"/>
    </row>
    <row r="767" spans="8:15" ht="15.75" customHeight="1" x14ac:dyDescent="0.25">
      <c r="H767" s="65"/>
      <c r="O767" s="64"/>
    </row>
    <row r="768" spans="8:15" ht="15.75" customHeight="1" x14ac:dyDescent="0.25">
      <c r="H768" s="65"/>
      <c r="O768" s="64"/>
    </row>
    <row r="769" spans="8:15" ht="15.75" customHeight="1" x14ac:dyDescent="0.25">
      <c r="H769" s="65"/>
      <c r="O769" s="64"/>
    </row>
    <row r="770" spans="8:15" ht="15.75" customHeight="1" x14ac:dyDescent="0.25">
      <c r="H770" s="65"/>
      <c r="O770" s="64"/>
    </row>
    <row r="771" spans="8:15" ht="15.75" customHeight="1" x14ac:dyDescent="0.25">
      <c r="H771" s="65"/>
      <c r="O771" s="64"/>
    </row>
    <row r="772" spans="8:15" ht="15.75" customHeight="1" x14ac:dyDescent="0.25">
      <c r="H772" s="65"/>
      <c r="O772" s="64"/>
    </row>
    <row r="773" spans="8:15" ht="15.75" customHeight="1" x14ac:dyDescent="0.25">
      <c r="H773" s="65"/>
      <c r="O773" s="64"/>
    </row>
    <row r="774" spans="8:15" ht="15.75" customHeight="1" x14ac:dyDescent="0.25">
      <c r="H774" s="65"/>
      <c r="O774" s="64"/>
    </row>
    <row r="775" spans="8:15" ht="15.75" customHeight="1" x14ac:dyDescent="0.25">
      <c r="H775" s="65"/>
      <c r="O775" s="64"/>
    </row>
    <row r="776" spans="8:15" ht="15.75" customHeight="1" x14ac:dyDescent="0.25">
      <c r="H776" s="65"/>
      <c r="O776" s="64"/>
    </row>
    <row r="777" spans="8:15" ht="15.75" customHeight="1" x14ac:dyDescent="0.25">
      <c r="H777" s="65"/>
      <c r="O777" s="64"/>
    </row>
    <row r="778" spans="8:15" ht="15.75" customHeight="1" x14ac:dyDescent="0.25">
      <c r="H778" s="65"/>
      <c r="O778" s="64"/>
    </row>
    <row r="779" spans="8:15" ht="15.75" customHeight="1" x14ac:dyDescent="0.25">
      <c r="H779" s="65"/>
      <c r="O779" s="64"/>
    </row>
    <row r="780" spans="8:15" ht="15.75" customHeight="1" x14ac:dyDescent="0.25">
      <c r="H780" s="65"/>
      <c r="O780" s="64"/>
    </row>
    <row r="781" spans="8:15" ht="15.75" customHeight="1" x14ac:dyDescent="0.25">
      <c r="H781" s="65"/>
      <c r="O781" s="64"/>
    </row>
    <row r="782" spans="8:15" ht="15.75" customHeight="1" x14ac:dyDescent="0.25">
      <c r="H782" s="65"/>
      <c r="O782" s="64"/>
    </row>
    <row r="783" spans="8:15" ht="15.75" customHeight="1" x14ac:dyDescent="0.25">
      <c r="H783" s="65"/>
      <c r="O783" s="64"/>
    </row>
    <row r="784" spans="8:15" ht="15.75" customHeight="1" x14ac:dyDescent="0.25">
      <c r="H784" s="65"/>
      <c r="O784" s="64"/>
    </row>
    <row r="785" spans="8:15" ht="15.75" customHeight="1" x14ac:dyDescent="0.25">
      <c r="H785" s="65"/>
      <c r="O785" s="64"/>
    </row>
    <row r="786" spans="8:15" ht="15.75" customHeight="1" x14ac:dyDescent="0.25">
      <c r="H786" s="65"/>
      <c r="O786" s="64"/>
    </row>
    <row r="787" spans="8:15" ht="15.75" customHeight="1" x14ac:dyDescent="0.25">
      <c r="H787" s="65"/>
      <c r="O787" s="64"/>
    </row>
    <row r="788" spans="8:15" ht="15.75" customHeight="1" x14ac:dyDescent="0.25">
      <c r="H788" s="65"/>
      <c r="O788" s="64"/>
    </row>
    <row r="789" spans="8:15" ht="15.75" customHeight="1" x14ac:dyDescent="0.25">
      <c r="H789" s="65"/>
      <c r="O789" s="64"/>
    </row>
    <row r="790" spans="8:15" ht="15.75" customHeight="1" x14ac:dyDescent="0.25">
      <c r="H790" s="65"/>
      <c r="O790" s="64"/>
    </row>
    <row r="791" spans="8:15" ht="15.75" customHeight="1" x14ac:dyDescent="0.25">
      <c r="H791" s="65"/>
      <c r="O791" s="64"/>
    </row>
    <row r="792" spans="8:15" ht="15.75" customHeight="1" x14ac:dyDescent="0.25">
      <c r="H792" s="65"/>
      <c r="O792" s="64"/>
    </row>
    <row r="793" spans="8:15" ht="15.75" customHeight="1" x14ac:dyDescent="0.25">
      <c r="H793" s="65"/>
      <c r="O793" s="64"/>
    </row>
    <row r="794" spans="8:15" ht="15.75" customHeight="1" x14ac:dyDescent="0.25">
      <c r="H794" s="65"/>
      <c r="O794" s="64"/>
    </row>
    <row r="795" spans="8:15" ht="15.75" customHeight="1" x14ac:dyDescent="0.25">
      <c r="H795" s="65"/>
      <c r="O795" s="64"/>
    </row>
    <row r="796" spans="8:15" ht="15.75" customHeight="1" x14ac:dyDescent="0.25">
      <c r="H796" s="65"/>
      <c r="O796" s="64"/>
    </row>
    <row r="797" spans="8:15" ht="15.75" customHeight="1" x14ac:dyDescent="0.25">
      <c r="H797" s="65"/>
      <c r="O797" s="64"/>
    </row>
    <row r="798" spans="8:15" ht="15.75" customHeight="1" x14ac:dyDescent="0.25">
      <c r="H798" s="65"/>
      <c r="O798" s="64"/>
    </row>
    <row r="799" spans="8:15" ht="15.75" customHeight="1" x14ac:dyDescent="0.25">
      <c r="H799" s="65"/>
      <c r="O799" s="64"/>
    </row>
    <row r="800" spans="8:15" ht="15.75" customHeight="1" x14ac:dyDescent="0.25">
      <c r="H800" s="65"/>
      <c r="O800" s="64"/>
    </row>
    <row r="801" spans="8:15" ht="15.75" customHeight="1" x14ac:dyDescent="0.25">
      <c r="H801" s="65"/>
      <c r="O801" s="64"/>
    </row>
    <row r="802" spans="8:15" ht="15.75" customHeight="1" x14ac:dyDescent="0.25">
      <c r="H802" s="65"/>
      <c r="O802" s="64"/>
    </row>
    <row r="803" spans="8:15" ht="15.75" customHeight="1" x14ac:dyDescent="0.25">
      <c r="H803" s="65"/>
      <c r="O803" s="64"/>
    </row>
    <row r="804" spans="8:15" ht="15.75" customHeight="1" x14ac:dyDescent="0.25">
      <c r="H804" s="65"/>
      <c r="O804" s="64"/>
    </row>
    <row r="805" spans="8:15" ht="15.75" customHeight="1" x14ac:dyDescent="0.25">
      <c r="H805" s="65"/>
      <c r="O805" s="64"/>
    </row>
    <row r="806" spans="8:15" ht="15.75" customHeight="1" x14ac:dyDescent="0.25">
      <c r="H806" s="65"/>
      <c r="O806" s="64"/>
    </row>
    <row r="807" spans="8:15" ht="15.75" customHeight="1" x14ac:dyDescent="0.25">
      <c r="H807" s="65"/>
      <c r="O807" s="64"/>
    </row>
    <row r="808" spans="8:15" ht="15.75" customHeight="1" x14ac:dyDescent="0.25">
      <c r="H808" s="65"/>
      <c r="O808" s="64"/>
    </row>
    <row r="809" spans="8:15" ht="15.75" customHeight="1" x14ac:dyDescent="0.25">
      <c r="H809" s="65"/>
      <c r="O809" s="64"/>
    </row>
    <row r="810" spans="8:15" ht="15.75" customHeight="1" x14ac:dyDescent="0.25">
      <c r="H810" s="65"/>
      <c r="O810" s="64"/>
    </row>
    <row r="811" spans="8:15" ht="15.75" customHeight="1" x14ac:dyDescent="0.25">
      <c r="H811" s="65"/>
      <c r="O811" s="64"/>
    </row>
    <row r="812" spans="8:15" ht="15.75" customHeight="1" x14ac:dyDescent="0.25">
      <c r="H812" s="65"/>
      <c r="O812" s="64"/>
    </row>
    <row r="813" spans="8:15" ht="15.75" customHeight="1" x14ac:dyDescent="0.25">
      <c r="H813" s="65"/>
      <c r="O813" s="64"/>
    </row>
    <row r="814" spans="8:15" ht="15.75" customHeight="1" x14ac:dyDescent="0.25">
      <c r="H814" s="65"/>
      <c r="O814" s="64"/>
    </row>
    <row r="815" spans="8:15" ht="15.75" customHeight="1" x14ac:dyDescent="0.25">
      <c r="H815" s="65"/>
      <c r="O815" s="64"/>
    </row>
    <row r="816" spans="8:15" ht="15.75" customHeight="1" x14ac:dyDescent="0.25">
      <c r="H816" s="65"/>
      <c r="O816" s="64"/>
    </row>
    <row r="817" spans="8:15" ht="15.75" customHeight="1" x14ac:dyDescent="0.25">
      <c r="H817" s="65"/>
      <c r="O817" s="64"/>
    </row>
    <row r="818" spans="8:15" ht="15.75" customHeight="1" x14ac:dyDescent="0.25">
      <c r="H818" s="65"/>
      <c r="O818" s="64"/>
    </row>
    <row r="819" spans="8:15" ht="15.75" customHeight="1" x14ac:dyDescent="0.25">
      <c r="H819" s="65"/>
      <c r="O819" s="64"/>
    </row>
    <row r="820" spans="8:15" ht="15.75" customHeight="1" x14ac:dyDescent="0.25">
      <c r="H820" s="65"/>
      <c r="O820" s="64"/>
    </row>
    <row r="821" spans="8:15" ht="15.75" customHeight="1" x14ac:dyDescent="0.25">
      <c r="H821" s="65"/>
      <c r="O821" s="64"/>
    </row>
    <row r="822" spans="8:15" ht="15.75" customHeight="1" x14ac:dyDescent="0.25">
      <c r="H822" s="65"/>
      <c r="O822" s="64"/>
    </row>
    <row r="823" spans="8:15" ht="15.75" customHeight="1" x14ac:dyDescent="0.25">
      <c r="H823" s="65"/>
      <c r="O823" s="64"/>
    </row>
    <row r="824" spans="8:15" ht="15.75" customHeight="1" x14ac:dyDescent="0.25">
      <c r="H824" s="65"/>
      <c r="O824" s="64"/>
    </row>
    <row r="825" spans="8:15" ht="15.75" customHeight="1" x14ac:dyDescent="0.25">
      <c r="H825" s="65"/>
      <c r="O825" s="64"/>
    </row>
    <row r="826" spans="8:15" ht="15.75" customHeight="1" x14ac:dyDescent="0.25">
      <c r="H826" s="65"/>
      <c r="O826" s="64"/>
    </row>
    <row r="827" spans="8:15" ht="15.75" customHeight="1" x14ac:dyDescent="0.25">
      <c r="H827" s="65"/>
      <c r="O827" s="64"/>
    </row>
    <row r="828" spans="8:15" ht="15.75" customHeight="1" x14ac:dyDescent="0.25">
      <c r="H828" s="65"/>
      <c r="O828" s="64"/>
    </row>
    <row r="829" spans="8:15" ht="15.75" customHeight="1" x14ac:dyDescent="0.25">
      <c r="H829" s="65"/>
      <c r="O829" s="64"/>
    </row>
    <row r="830" spans="8:15" ht="15.75" customHeight="1" x14ac:dyDescent="0.25">
      <c r="H830" s="65"/>
      <c r="O830" s="64"/>
    </row>
    <row r="831" spans="8:15" ht="15.75" customHeight="1" x14ac:dyDescent="0.25">
      <c r="H831" s="65"/>
      <c r="O831" s="64"/>
    </row>
    <row r="832" spans="8:15" ht="15.75" customHeight="1" x14ac:dyDescent="0.25">
      <c r="H832" s="65"/>
      <c r="O832" s="64"/>
    </row>
    <row r="833" spans="8:15" ht="15.75" customHeight="1" x14ac:dyDescent="0.25">
      <c r="H833" s="65"/>
      <c r="O833" s="64"/>
    </row>
    <row r="834" spans="8:15" ht="15.75" customHeight="1" x14ac:dyDescent="0.25">
      <c r="H834" s="65"/>
      <c r="O834" s="64"/>
    </row>
    <row r="835" spans="8:15" ht="15.75" customHeight="1" x14ac:dyDescent="0.25">
      <c r="H835" s="65"/>
      <c r="O835" s="64"/>
    </row>
    <row r="836" spans="8:15" ht="15.75" customHeight="1" x14ac:dyDescent="0.25">
      <c r="H836" s="65"/>
      <c r="O836" s="64"/>
    </row>
    <row r="837" spans="8:15" ht="15.75" customHeight="1" x14ac:dyDescent="0.25">
      <c r="H837" s="65"/>
      <c r="O837" s="64"/>
    </row>
    <row r="838" spans="8:15" ht="15.75" customHeight="1" x14ac:dyDescent="0.25">
      <c r="H838" s="65"/>
      <c r="O838" s="64"/>
    </row>
    <row r="839" spans="8:15" ht="15.75" customHeight="1" x14ac:dyDescent="0.25">
      <c r="H839" s="65"/>
      <c r="O839" s="64"/>
    </row>
    <row r="840" spans="8:15" ht="15.75" customHeight="1" x14ac:dyDescent="0.25">
      <c r="H840" s="65"/>
      <c r="O840" s="64"/>
    </row>
    <row r="841" spans="8:15" ht="15.75" customHeight="1" x14ac:dyDescent="0.25">
      <c r="H841" s="65"/>
      <c r="O841" s="64"/>
    </row>
    <row r="842" spans="8:15" ht="15.75" customHeight="1" x14ac:dyDescent="0.25">
      <c r="H842" s="65"/>
      <c r="O842" s="64"/>
    </row>
    <row r="843" spans="8:15" ht="15.75" customHeight="1" x14ac:dyDescent="0.25">
      <c r="H843" s="65"/>
      <c r="O843" s="64"/>
    </row>
    <row r="844" spans="8:15" ht="15.75" customHeight="1" x14ac:dyDescent="0.25">
      <c r="H844" s="65"/>
      <c r="O844" s="64"/>
    </row>
    <row r="845" spans="8:15" ht="15.75" customHeight="1" x14ac:dyDescent="0.25">
      <c r="H845" s="65"/>
      <c r="O845" s="64"/>
    </row>
    <row r="846" spans="8:15" ht="15.75" customHeight="1" x14ac:dyDescent="0.25">
      <c r="H846" s="65"/>
      <c r="O846" s="64"/>
    </row>
    <row r="847" spans="8:15" ht="15.75" customHeight="1" x14ac:dyDescent="0.25">
      <c r="H847" s="65"/>
      <c r="O847" s="64"/>
    </row>
    <row r="848" spans="8:15" ht="15.75" customHeight="1" x14ac:dyDescent="0.25">
      <c r="H848" s="65"/>
      <c r="O848" s="64"/>
    </row>
    <row r="849" spans="8:15" ht="15.75" customHeight="1" x14ac:dyDescent="0.25">
      <c r="H849" s="65"/>
      <c r="O849" s="64"/>
    </row>
    <row r="850" spans="8:15" ht="15.75" customHeight="1" x14ac:dyDescent="0.25">
      <c r="H850" s="65"/>
      <c r="O850" s="64"/>
    </row>
    <row r="851" spans="8:15" ht="15.75" customHeight="1" x14ac:dyDescent="0.25">
      <c r="H851" s="65"/>
      <c r="O851" s="64"/>
    </row>
    <row r="852" spans="8:15" ht="15.75" customHeight="1" x14ac:dyDescent="0.25">
      <c r="H852" s="65"/>
      <c r="O852" s="64"/>
    </row>
    <row r="853" spans="8:15" ht="15.75" customHeight="1" x14ac:dyDescent="0.25">
      <c r="H853" s="65"/>
      <c r="O853" s="64"/>
    </row>
    <row r="854" spans="8:15" ht="15.75" customHeight="1" x14ac:dyDescent="0.25">
      <c r="H854" s="65"/>
      <c r="O854" s="64"/>
    </row>
    <row r="855" spans="8:15" ht="15.75" customHeight="1" x14ac:dyDescent="0.25">
      <c r="H855" s="65"/>
      <c r="O855" s="64"/>
    </row>
    <row r="856" spans="8:15" ht="15.75" customHeight="1" x14ac:dyDescent="0.25">
      <c r="H856" s="65"/>
      <c r="O856" s="64"/>
    </row>
    <row r="857" spans="8:15" ht="15.75" customHeight="1" x14ac:dyDescent="0.25">
      <c r="H857" s="65"/>
      <c r="O857" s="64"/>
    </row>
    <row r="858" spans="8:15" ht="15.75" customHeight="1" x14ac:dyDescent="0.25">
      <c r="H858" s="65"/>
      <c r="O858" s="64"/>
    </row>
    <row r="859" spans="8:15" ht="15.75" customHeight="1" x14ac:dyDescent="0.25">
      <c r="H859" s="65"/>
      <c r="O859" s="64"/>
    </row>
    <row r="860" spans="8:15" ht="15.75" customHeight="1" x14ac:dyDescent="0.25">
      <c r="H860" s="65"/>
      <c r="O860" s="64"/>
    </row>
    <row r="861" spans="8:15" ht="15.75" customHeight="1" x14ac:dyDescent="0.25">
      <c r="H861" s="65"/>
      <c r="O861" s="64"/>
    </row>
    <row r="862" spans="8:15" ht="15.75" customHeight="1" x14ac:dyDescent="0.25">
      <c r="H862" s="65"/>
      <c r="O862" s="64"/>
    </row>
    <row r="863" spans="8:15" ht="15.75" customHeight="1" x14ac:dyDescent="0.25">
      <c r="H863" s="65"/>
      <c r="O863" s="64"/>
    </row>
    <row r="864" spans="8:15" ht="15.75" customHeight="1" x14ac:dyDescent="0.25">
      <c r="H864" s="65"/>
      <c r="O864" s="64"/>
    </row>
    <row r="865" spans="8:15" ht="15.75" customHeight="1" x14ac:dyDescent="0.25">
      <c r="H865" s="65"/>
      <c r="O865" s="64"/>
    </row>
    <row r="866" spans="8:15" ht="15.75" customHeight="1" x14ac:dyDescent="0.25">
      <c r="H866" s="65"/>
      <c r="O866" s="64"/>
    </row>
    <row r="867" spans="8:15" ht="15.75" customHeight="1" x14ac:dyDescent="0.25">
      <c r="H867" s="65"/>
      <c r="O867" s="64"/>
    </row>
    <row r="868" spans="8:15" ht="15.75" customHeight="1" x14ac:dyDescent="0.25">
      <c r="H868" s="65"/>
      <c r="O868" s="64"/>
    </row>
    <row r="869" spans="8:15" ht="15.75" customHeight="1" x14ac:dyDescent="0.25">
      <c r="H869" s="65"/>
      <c r="O869" s="64"/>
    </row>
    <row r="870" spans="8:15" ht="15.75" customHeight="1" x14ac:dyDescent="0.25">
      <c r="H870" s="65"/>
      <c r="O870" s="64"/>
    </row>
    <row r="871" spans="8:15" ht="15.75" customHeight="1" x14ac:dyDescent="0.25">
      <c r="H871" s="65"/>
      <c r="O871" s="64"/>
    </row>
    <row r="872" spans="8:15" ht="15.75" customHeight="1" x14ac:dyDescent="0.25">
      <c r="H872" s="65"/>
      <c r="O872" s="64"/>
    </row>
    <row r="873" spans="8:15" ht="15.75" customHeight="1" x14ac:dyDescent="0.25">
      <c r="H873" s="65"/>
      <c r="O873" s="64"/>
    </row>
    <row r="874" spans="8:15" ht="15.75" customHeight="1" x14ac:dyDescent="0.25">
      <c r="H874" s="65"/>
      <c r="O874" s="64"/>
    </row>
    <row r="875" spans="8:15" ht="15.75" customHeight="1" x14ac:dyDescent="0.25">
      <c r="H875" s="65"/>
      <c r="O875" s="64"/>
    </row>
    <row r="876" spans="8:15" ht="15.75" customHeight="1" x14ac:dyDescent="0.25">
      <c r="H876" s="65"/>
      <c r="O876" s="64"/>
    </row>
    <row r="877" spans="8:15" ht="15.75" customHeight="1" x14ac:dyDescent="0.25">
      <c r="H877" s="65"/>
      <c r="O877" s="64"/>
    </row>
    <row r="878" spans="8:15" ht="15.75" customHeight="1" x14ac:dyDescent="0.25">
      <c r="H878" s="65"/>
      <c r="O878" s="64"/>
    </row>
    <row r="879" spans="8:15" ht="15.75" customHeight="1" x14ac:dyDescent="0.25">
      <c r="H879" s="65"/>
      <c r="O879" s="64"/>
    </row>
    <row r="880" spans="8:15" ht="15.75" customHeight="1" x14ac:dyDescent="0.25">
      <c r="H880" s="65"/>
      <c r="O880" s="64"/>
    </row>
    <row r="881" spans="8:15" ht="15.75" customHeight="1" x14ac:dyDescent="0.25">
      <c r="H881" s="65"/>
      <c r="O881" s="64"/>
    </row>
    <row r="882" spans="8:15" ht="15.75" customHeight="1" x14ac:dyDescent="0.25">
      <c r="H882" s="65"/>
      <c r="O882" s="64"/>
    </row>
    <row r="883" spans="8:15" ht="15.75" customHeight="1" x14ac:dyDescent="0.25">
      <c r="H883" s="65"/>
      <c r="O883" s="64"/>
    </row>
    <row r="884" spans="8:15" ht="15.75" customHeight="1" x14ac:dyDescent="0.25">
      <c r="H884" s="65"/>
      <c r="O884" s="64"/>
    </row>
    <row r="885" spans="8:15" ht="15.75" customHeight="1" x14ac:dyDescent="0.25">
      <c r="H885" s="65"/>
      <c r="O885" s="64"/>
    </row>
    <row r="886" spans="8:15" ht="15.75" customHeight="1" x14ac:dyDescent="0.25">
      <c r="H886" s="65"/>
      <c r="O886" s="64"/>
    </row>
    <row r="887" spans="8:15" ht="15.75" customHeight="1" x14ac:dyDescent="0.25">
      <c r="H887" s="65"/>
      <c r="O887" s="64"/>
    </row>
    <row r="888" spans="8:15" ht="15.75" customHeight="1" x14ac:dyDescent="0.25">
      <c r="H888" s="65"/>
      <c r="O888" s="64"/>
    </row>
    <row r="889" spans="8:15" ht="15.75" customHeight="1" x14ac:dyDescent="0.25">
      <c r="H889" s="65"/>
      <c r="O889" s="64"/>
    </row>
    <row r="890" spans="8:15" ht="15.75" customHeight="1" x14ac:dyDescent="0.25">
      <c r="H890" s="65"/>
      <c r="O890" s="64"/>
    </row>
    <row r="891" spans="8:15" ht="15.75" customHeight="1" x14ac:dyDescent="0.25">
      <c r="H891" s="65"/>
      <c r="O891" s="64"/>
    </row>
    <row r="892" spans="8:15" ht="15.75" customHeight="1" x14ac:dyDescent="0.25">
      <c r="H892" s="65"/>
      <c r="O892" s="64"/>
    </row>
    <row r="893" spans="8:15" ht="15.75" customHeight="1" x14ac:dyDescent="0.25">
      <c r="H893" s="65"/>
      <c r="O893" s="64"/>
    </row>
    <row r="894" spans="8:15" ht="15.75" customHeight="1" x14ac:dyDescent="0.25">
      <c r="H894" s="65"/>
      <c r="O894" s="64"/>
    </row>
    <row r="895" spans="8:15" ht="15.75" customHeight="1" x14ac:dyDescent="0.25">
      <c r="H895" s="65"/>
      <c r="O895" s="64"/>
    </row>
    <row r="896" spans="8:15" ht="15.75" customHeight="1" x14ac:dyDescent="0.25">
      <c r="H896" s="65"/>
      <c r="O896" s="64"/>
    </row>
    <row r="897" spans="8:15" ht="15.75" customHeight="1" x14ac:dyDescent="0.25">
      <c r="H897" s="65"/>
      <c r="O897" s="64"/>
    </row>
    <row r="898" spans="8:15" ht="15.75" customHeight="1" x14ac:dyDescent="0.25">
      <c r="H898" s="65"/>
      <c r="O898" s="64"/>
    </row>
    <row r="899" spans="8:15" ht="15.75" customHeight="1" x14ac:dyDescent="0.25">
      <c r="H899" s="65"/>
      <c r="O899" s="64"/>
    </row>
    <row r="900" spans="8:15" ht="15.75" customHeight="1" x14ac:dyDescent="0.25">
      <c r="H900" s="65"/>
      <c r="O900" s="64"/>
    </row>
    <row r="901" spans="8:15" ht="15.75" customHeight="1" x14ac:dyDescent="0.25">
      <c r="H901" s="65"/>
      <c r="O901" s="64"/>
    </row>
    <row r="902" spans="8:15" ht="15.75" customHeight="1" x14ac:dyDescent="0.25">
      <c r="H902" s="65"/>
      <c r="O902" s="64"/>
    </row>
    <row r="903" spans="8:15" ht="15.75" customHeight="1" x14ac:dyDescent="0.25">
      <c r="H903" s="65"/>
      <c r="O903" s="64"/>
    </row>
    <row r="904" spans="8:15" ht="15.75" customHeight="1" x14ac:dyDescent="0.25">
      <c r="H904" s="65"/>
      <c r="O904" s="64"/>
    </row>
    <row r="905" spans="8:15" ht="15.75" customHeight="1" x14ac:dyDescent="0.25">
      <c r="H905" s="65"/>
      <c r="O905" s="64"/>
    </row>
    <row r="906" spans="8:15" ht="15.75" customHeight="1" x14ac:dyDescent="0.25">
      <c r="H906" s="65"/>
      <c r="O906" s="64"/>
    </row>
    <row r="907" spans="8:15" ht="15.75" customHeight="1" x14ac:dyDescent="0.25">
      <c r="H907" s="65"/>
      <c r="O907" s="64"/>
    </row>
    <row r="908" spans="8:15" ht="15.75" customHeight="1" x14ac:dyDescent="0.25">
      <c r="H908" s="65"/>
      <c r="O908" s="64"/>
    </row>
    <row r="909" spans="8:15" ht="15.75" customHeight="1" x14ac:dyDescent="0.25">
      <c r="H909" s="65"/>
      <c r="O909" s="64"/>
    </row>
    <row r="910" spans="8:15" ht="15.75" customHeight="1" x14ac:dyDescent="0.25">
      <c r="H910" s="65"/>
      <c r="O910" s="64"/>
    </row>
    <row r="911" spans="8:15" ht="15.75" customHeight="1" x14ac:dyDescent="0.25">
      <c r="H911" s="65"/>
      <c r="O911" s="64"/>
    </row>
    <row r="912" spans="8:15" ht="15.75" customHeight="1" x14ac:dyDescent="0.25">
      <c r="H912" s="65"/>
      <c r="O912" s="64"/>
    </row>
    <row r="913" spans="8:15" ht="15.75" customHeight="1" x14ac:dyDescent="0.25">
      <c r="H913" s="65"/>
      <c r="O913" s="64"/>
    </row>
    <row r="914" spans="8:15" ht="15.75" customHeight="1" x14ac:dyDescent="0.25">
      <c r="H914" s="65"/>
      <c r="O914" s="64"/>
    </row>
    <row r="915" spans="8:15" ht="15.75" customHeight="1" x14ac:dyDescent="0.25">
      <c r="H915" s="65"/>
      <c r="O915" s="64"/>
    </row>
    <row r="916" spans="8:15" ht="15.75" customHeight="1" x14ac:dyDescent="0.25">
      <c r="H916" s="65"/>
      <c r="O916" s="64"/>
    </row>
    <row r="917" spans="8:15" ht="15.75" customHeight="1" x14ac:dyDescent="0.25">
      <c r="H917" s="65"/>
      <c r="O917" s="64"/>
    </row>
    <row r="918" spans="8:15" ht="15.75" customHeight="1" x14ac:dyDescent="0.25">
      <c r="H918" s="65"/>
      <c r="O918" s="64"/>
    </row>
    <row r="919" spans="8:15" ht="15.75" customHeight="1" x14ac:dyDescent="0.25">
      <c r="H919" s="65"/>
      <c r="O919" s="64"/>
    </row>
    <row r="920" spans="8:15" ht="15.75" customHeight="1" x14ac:dyDescent="0.25">
      <c r="H920" s="65"/>
      <c r="O920" s="64"/>
    </row>
    <row r="921" spans="8:15" ht="15.75" customHeight="1" x14ac:dyDescent="0.25">
      <c r="H921" s="65"/>
      <c r="O921" s="64"/>
    </row>
    <row r="922" spans="8:15" ht="15.75" customHeight="1" x14ac:dyDescent="0.25">
      <c r="H922" s="65"/>
      <c r="O922" s="64"/>
    </row>
    <row r="923" spans="8:15" ht="15.75" customHeight="1" x14ac:dyDescent="0.25">
      <c r="H923" s="65"/>
      <c r="O923" s="64"/>
    </row>
    <row r="924" spans="8:15" ht="15.75" customHeight="1" x14ac:dyDescent="0.25">
      <c r="H924" s="65"/>
      <c r="O924" s="64"/>
    </row>
    <row r="925" spans="8:15" ht="15.75" customHeight="1" x14ac:dyDescent="0.25">
      <c r="H925" s="65"/>
      <c r="O925" s="64"/>
    </row>
    <row r="926" spans="8:15" ht="15.75" customHeight="1" x14ac:dyDescent="0.25">
      <c r="H926" s="65"/>
      <c r="O926" s="64"/>
    </row>
    <row r="927" spans="8:15" ht="15.75" customHeight="1" x14ac:dyDescent="0.25">
      <c r="H927" s="65"/>
      <c r="O927" s="64"/>
    </row>
    <row r="928" spans="8:15" ht="15.75" customHeight="1" x14ac:dyDescent="0.25">
      <c r="H928" s="65"/>
      <c r="O928" s="64"/>
    </row>
    <row r="929" spans="8:15" ht="15.75" customHeight="1" x14ac:dyDescent="0.25">
      <c r="H929" s="65"/>
      <c r="O929" s="64"/>
    </row>
    <row r="930" spans="8:15" ht="15.75" customHeight="1" x14ac:dyDescent="0.25">
      <c r="H930" s="65"/>
      <c r="O930" s="64"/>
    </row>
    <row r="931" spans="8:15" ht="15.75" customHeight="1" x14ac:dyDescent="0.25">
      <c r="H931" s="65"/>
      <c r="O931" s="64"/>
    </row>
    <row r="932" spans="8:15" ht="15.75" customHeight="1" x14ac:dyDescent="0.25">
      <c r="H932" s="65"/>
      <c r="O932" s="64"/>
    </row>
    <row r="933" spans="8:15" ht="15.75" customHeight="1" x14ac:dyDescent="0.25">
      <c r="H933" s="65"/>
      <c r="O933" s="64"/>
    </row>
    <row r="934" spans="8:15" ht="15.75" customHeight="1" x14ac:dyDescent="0.25">
      <c r="H934" s="65"/>
      <c r="O934" s="64"/>
    </row>
    <row r="935" spans="8:15" ht="15.75" customHeight="1" x14ac:dyDescent="0.25">
      <c r="H935" s="65"/>
      <c r="O935" s="64"/>
    </row>
    <row r="936" spans="8:15" ht="15.75" customHeight="1" x14ac:dyDescent="0.25">
      <c r="H936" s="65"/>
      <c r="O936" s="64"/>
    </row>
    <row r="937" spans="8:15" ht="15.75" customHeight="1" x14ac:dyDescent="0.25">
      <c r="H937" s="65"/>
      <c r="O937" s="64"/>
    </row>
    <row r="938" spans="8:15" ht="15.75" customHeight="1" x14ac:dyDescent="0.25">
      <c r="H938" s="65"/>
      <c r="O938" s="64"/>
    </row>
    <row r="939" spans="8:15" ht="15.75" customHeight="1" x14ac:dyDescent="0.25">
      <c r="H939" s="65"/>
      <c r="O939" s="64"/>
    </row>
    <row r="940" spans="8:15" ht="15.75" customHeight="1" x14ac:dyDescent="0.25">
      <c r="H940" s="65"/>
      <c r="O940" s="64"/>
    </row>
    <row r="941" spans="8:15" ht="15.75" customHeight="1" x14ac:dyDescent="0.25">
      <c r="H941" s="65"/>
      <c r="O941" s="64"/>
    </row>
    <row r="942" spans="8:15" ht="15.75" customHeight="1" x14ac:dyDescent="0.25">
      <c r="H942" s="65"/>
      <c r="O942" s="64"/>
    </row>
    <row r="943" spans="8:15" ht="15.75" customHeight="1" x14ac:dyDescent="0.25">
      <c r="H943" s="65"/>
      <c r="O943" s="64"/>
    </row>
    <row r="944" spans="8:15" ht="15.75" customHeight="1" x14ac:dyDescent="0.25">
      <c r="H944" s="65"/>
      <c r="O944" s="64"/>
    </row>
    <row r="945" spans="8:15" ht="15.75" customHeight="1" x14ac:dyDescent="0.25">
      <c r="H945" s="65"/>
      <c r="O945" s="64"/>
    </row>
    <row r="946" spans="8:15" ht="15.75" customHeight="1" x14ac:dyDescent="0.25">
      <c r="H946" s="65"/>
      <c r="O946" s="64"/>
    </row>
    <row r="947" spans="8:15" ht="15.75" customHeight="1" x14ac:dyDescent="0.25">
      <c r="H947" s="65"/>
      <c r="O947" s="64"/>
    </row>
    <row r="948" spans="8:15" ht="15.75" customHeight="1" x14ac:dyDescent="0.25">
      <c r="H948" s="65"/>
      <c r="O948" s="64"/>
    </row>
    <row r="949" spans="8:15" ht="15.75" customHeight="1" x14ac:dyDescent="0.25">
      <c r="H949" s="65"/>
      <c r="O949" s="64"/>
    </row>
    <row r="950" spans="8:15" ht="15.75" customHeight="1" x14ac:dyDescent="0.25">
      <c r="H950" s="65"/>
      <c r="O950" s="64"/>
    </row>
    <row r="951" spans="8:15" ht="15.75" customHeight="1" x14ac:dyDescent="0.25">
      <c r="H951" s="65"/>
      <c r="O951" s="64"/>
    </row>
    <row r="952" spans="8:15" ht="15.75" customHeight="1" x14ac:dyDescent="0.25">
      <c r="H952" s="65"/>
      <c r="O952" s="64"/>
    </row>
    <row r="953" spans="8:15" ht="15.75" customHeight="1" x14ac:dyDescent="0.25">
      <c r="H953" s="65"/>
      <c r="O953" s="64"/>
    </row>
    <row r="954" spans="8:15" ht="15.75" customHeight="1" x14ac:dyDescent="0.25">
      <c r="H954" s="65"/>
      <c r="O954" s="64"/>
    </row>
    <row r="955" spans="8:15" ht="15.75" customHeight="1" x14ac:dyDescent="0.25">
      <c r="H955" s="65"/>
      <c r="O955" s="64"/>
    </row>
    <row r="956" spans="8:15" ht="15.75" customHeight="1" x14ac:dyDescent="0.25">
      <c r="H956" s="65"/>
      <c r="O956" s="64"/>
    </row>
    <row r="957" spans="8:15" ht="15.75" customHeight="1" x14ac:dyDescent="0.25">
      <c r="H957" s="65"/>
      <c r="O957" s="64"/>
    </row>
    <row r="958" spans="8:15" ht="15.75" customHeight="1" x14ac:dyDescent="0.25">
      <c r="H958" s="65"/>
      <c r="O958" s="64"/>
    </row>
    <row r="959" spans="8:15" ht="15.75" customHeight="1" x14ac:dyDescent="0.25">
      <c r="H959" s="65"/>
      <c r="O959" s="64"/>
    </row>
    <row r="960" spans="8:15" ht="15.75" customHeight="1" x14ac:dyDescent="0.25">
      <c r="H960" s="65"/>
      <c r="O960" s="64"/>
    </row>
    <row r="961" spans="8:15" ht="15.75" customHeight="1" x14ac:dyDescent="0.25">
      <c r="H961" s="65"/>
      <c r="O961" s="64"/>
    </row>
    <row r="962" spans="8:15" ht="15.75" customHeight="1" x14ac:dyDescent="0.25">
      <c r="H962" s="65"/>
      <c r="O962" s="64"/>
    </row>
    <row r="963" spans="8:15" ht="15.75" customHeight="1" x14ac:dyDescent="0.25">
      <c r="H963" s="65"/>
      <c r="O963" s="64"/>
    </row>
    <row r="964" spans="8:15" ht="15.75" customHeight="1" x14ac:dyDescent="0.25">
      <c r="H964" s="65"/>
      <c r="O964" s="64"/>
    </row>
    <row r="965" spans="8:15" ht="15.75" customHeight="1" x14ac:dyDescent="0.25">
      <c r="H965" s="65"/>
      <c r="O965" s="64"/>
    </row>
    <row r="966" spans="8:15" ht="15.75" customHeight="1" x14ac:dyDescent="0.25">
      <c r="H966" s="65"/>
      <c r="O966" s="64"/>
    </row>
    <row r="967" spans="8:15" ht="15.75" customHeight="1" x14ac:dyDescent="0.25">
      <c r="H967" s="65"/>
      <c r="O967" s="64"/>
    </row>
    <row r="968" spans="8:15" ht="15.75" customHeight="1" x14ac:dyDescent="0.25">
      <c r="H968" s="65"/>
      <c r="O968" s="64"/>
    </row>
    <row r="969" spans="8:15" ht="15.75" customHeight="1" x14ac:dyDescent="0.25">
      <c r="H969" s="65"/>
      <c r="O969" s="64"/>
    </row>
    <row r="970" spans="8:15" ht="15.75" customHeight="1" x14ac:dyDescent="0.25">
      <c r="H970" s="65"/>
      <c r="O970" s="64"/>
    </row>
    <row r="971" spans="8:15" ht="15.75" customHeight="1" x14ac:dyDescent="0.25">
      <c r="H971" s="65"/>
      <c r="O971" s="64"/>
    </row>
    <row r="972" spans="8:15" ht="15.75" customHeight="1" x14ac:dyDescent="0.25">
      <c r="H972" s="65"/>
      <c r="O972" s="64"/>
    </row>
    <row r="973" spans="8:15" ht="15.75" customHeight="1" x14ac:dyDescent="0.25">
      <c r="H973" s="65"/>
      <c r="O973" s="64"/>
    </row>
    <row r="974" spans="8:15" ht="15.75" customHeight="1" x14ac:dyDescent="0.25">
      <c r="H974" s="65"/>
      <c r="O974" s="64"/>
    </row>
    <row r="975" spans="8:15" ht="15.75" customHeight="1" x14ac:dyDescent="0.25">
      <c r="H975" s="65"/>
      <c r="O975" s="64"/>
    </row>
    <row r="976" spans="8:15" ht="15.75" customHeight="1" x14ac:dyDescent="0.25">
      <c r="H976" s="65"/>
      <c r="O976" s="64"/>
    </row>
    <row r="977" spans="8:15" ht="15.75" customHeight="1" x14ac:dyDescent="0.25">
      <c r="H977" s="65"/>
      <c r="O977" s="64"/>
    </row>
    <row r="978" spans="8:15" ht="15.75" customHeight="1" x14ac:dyDescent="0.25">
      <c r="H978" s="65"/>
      <c r="O978" s="64"/>
    </row>
    <row r="979" spans="8:15" ht="15.75" customHeight="1" x14ac:dyDescent="0.25">
      <c r="H979" s="65"/>
      <c r="O979" s="64"/>
    </row>
    <row r="980" spans="8:15" ht="15.75" customHeight="1" x14ac:dyDescent="0.25">
      <c r="H980" s="65"/>
      <c r="O980" s="64"/>
    </row>
    <row r="981" spans="8:15" ht="15.75" customHeight="1" x14ac:dyDescent="0.25">
      <c r="H981" s="65"/>
      <c r="O981" s="64"/>
    </row>
    <row r="982" spans="8:15" ht="15.75" customHeight="1" x14ac:dyDescent="0.25">
      <c r="H982" s="65"/>
      <c r="O982" s="64"/>
    </row>
    <row r="983" spans="8:15" ht="15.75" customHeight="1" x14ac:dyDescent="0.25">
      <c r="H983" s="65"/>
      <c r="O983" s="64"/>
    </row>
    <row r="984" spans="8:15" ht="15.75" customHeight="1" x14ac:dyDescent="0.25">
      <c r="H984" s="65"/>
      <c r="O984" s="64"/>
    </row>
    <row r="985" spans="8:15" ht="15.75" customHeight="1" x14ac:dyDescent="0.25">
      <c r="H985" s="65"/>
      <c r="O985" s="64"/>
    </row>
    <row r="986" spans="8:15" ht="15.75" customHeight="1" x14ac:dyDescent="0.25">
      <c r="H986" s="65"/>
      <c r="O986" s="64"/>
    </row>
    <row r="987" spans="8:15" ht="15.75" customHeight="1" x14ac:dyDescent="0.25">
      <c r="H987" s="65"/>
      <c r="O987" s="64"/>
    </row>
    <row r="988" spans="8:15" ht="15.75" customHeight="1" x14ac:dyDescent="0.25">
      <c r="H988" s="65"/>
      <c r="O988" s="64"/>
    </row>
    <row r="989" spans="8:15" ht="15.75" customHeight="1" x14ac:dyDescent="0.25">
      <c r="H989" s="65"/>
      <c r="O989" s="64"/>
    </row>
    <row r="990" spans="8:15" ht="15.75" customHeight="1" x14ac:dyDescent="0.25">
      <c r="H990" s="65"/>
      <c r="O990" s="64"/>
    </row>
    <row r="991" spans="8:15" ht="15.75" customHeight="1" x14ac:dyDescent="0.25">
      <c r="H991" s="65"/>
      <c r="O991" s="64"/>
    </row>
    <row r="992" spans="8:15" ht="15.75" customHeight="1" x14ac:dyDescent="0.25">
      <c r="H992" s="65"/>
      <c r="O992" s="64"/>
    </row>
    <row r="993" spans="8:15" ht="15.75" customHeight="1" x14ac:dyDescent="0.25">
      <c r="H993" s="65"/>
      <c r="O993" s="64"/>
    </row>
    <row r="994" spans="8:15" ht="15.75" customHeight="1" x14ac:dyDescent="0.25">
      <c r="H994" s="65"/>
      <c r="O994" s="64"/>
    </row>
    <row r="995" spans="8:15" ht="15.75" customHeight="1" x14ac:dyDescent="0.25">
      <c r="H995" s="65"/>
      <c r="O995" s="64"/>
    </row>
    <row r="996" spans="8:15" ht="15.75" customHeight="1" x14ac:dyDescent="0.25">
      <c r="H996" s="65"/>
      <c r="O996" s="64"/>
    </row>
    <row r="997" spans="8:15" ht="15.75" customHeight="1" x14ac:dyDescent="0.25">
      <c r="H997" s="65"/>
      <c r="O997" s="64"/>
    </row>
    <row r="998" spans="8:15" ht="15.75" customHeight="1" x14ac:dyDescent="0.25">
      <c r="H998" s="65"/>
      <c r="O998" s="64"/>
    </row>
    <row r="999" spans="8:15" ht="15.75" customHeight="1" x14ac:dyDescent="0.25">
      <c r="H999" s="65"/>
      <c r="O999" s="64"/>
    </row>
    <row r="1000" spans="8:15" ht="15.75" customHeight="1" x14ac:dyDescent="0.25">
      <c r="H1000" s="65"/>
      <c r="O1000" s="64"/>
    </row>
  </sheetData>
  <mergeCells count="3">
    <mergeCell ref="A1:M1"/>
    <mergeCell ref="C35:M35"/>
    <mergeCell ref="B38:M42"/>
  </mergeCells>
  <pageMargins left="0.25" right="0.25" top="0.75" bottom="0.75" header="0" footer="0"/>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Planilla</vt:lpstr>
      <vt:lpstr>Edesur</vt:lpstr>
      <vt:lpstr>Edesur!Área_de_impresión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2026-03-05T00:34:56Z</cp:lastPrinted>
  <dcterms:created xsi:type="dcterms:W3CDTF">2021-11-02T15:18:42Z</dcterms:created>
  <dcterms:modified xsi:type="dcterms:W3CDTF">2026-03-05T11:15:55Z</dcterms:modified>
</cp:coreProperties>
</file>