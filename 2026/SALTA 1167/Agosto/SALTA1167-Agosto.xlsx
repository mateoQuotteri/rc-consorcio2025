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Agosto\"/>
    </mc:Choice>
  </mc:AlternateContent>
  <xr:revisionPtr revIDLastSave="0" documentId="13_ncr:1_{BD9B951C-E2CA-4EDC-ACD3-0CC4DA347267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Anotaciones" sheetId="4" r:id="rId3"/>
    <sheet name="EDESUR" sheetId="5" r:id="rId4"/>
  </sheets>
  <definedNames>
    <definedName name="_xlnm.Print_Area" localSheetId="1">PRORRATEO!$A$1:$P$44</definedName>
    <definedName name="_xlnm.Print_Area" localSheetId="0">RESUMEN!$A$1:$E$95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2" l="1"/>
  <c r="F21" i="2"/>
  <c r="G14" i="2" l="1"/>
  <c r="G16" i="2"/>
  <c r="G26" i="2"/>
  <c r="G20" i="2"/>
  <c r="G19" i="2"/>
  <c r="G17" i="2"/>
  <c r="G35" i="2"/>
  <c r="G15" i="2"/>
  <c r="G24" i="2"/>
  <c r="G21" i="2"/>
  <c r="G28" i="2"/>
  <c r="G18" i="2"/>
  <c r="G33" i="2"/>
  <c r="G31" i="2"/>
  <c r="G23" i="2"/>
  <c r="L29" i="2" l="1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H39" i="5"/>
  <c r="K19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D37" i="1"/>
  <c r="E39" i="1" s="1"/>
  <c r="E34" i="1"/>
  <c r="F32" i="5" l="1"/>
  <c r="G4" i="5" s="1"/>
  <c r="F18" i="5"/>
  <c r="G8" i="5"/>
  <c r="G10" i="5"/>
  <c r="G14" i="5"/>
  <c r="G7" i="5"/>
  <c r="G11" i="5"/>
  <c r="G15" i="5"/>
  <c r="F34" i="5" l="1"/>
  <c r="H34" i="5" s="1"/>
  <c r="G17" i="5"/>
  <c r="G13" i="5"/>
  <c r="G9" i="5"/>
  <c r="G5" i="5"/>
  <c r="G16" i="5"/>
  <c r="G3" i="5"/>
  <c r="G6" i="5"/>
  <c r="G12" i="5"/>
  <c r="J27" i="5" l="1"/>
  <c r="K27" i="5" s="1"/>
  <c r="J25" i="5"/>
  <c r="K25" i="5" s="1"/>
  <c r="J23" i="5"/>
  <c r="K23" i="5" s="1"/>
  <c r="J21" i="5"/>
  <c r="K21" i="5" s="1"/>
  <c r="J14" i="5"/>
  <c r="J10" i="5"/>
  <c r="J6" i="5"/>
  <c r="J17" i="5"/>
  <c r="J13" i="5"/>
  <c r="J9" i="5"/>
  <c r="J5" i="5"/>
  <c r="H32" i="5"/>
  <c r="J26" i="5"/>
  <c r="K26" i="5" s="1"/>
  <c r="J24" i="5"/>
  <c r="K24" i="5" s="1"/>
  <c r="J22" i="5"/>
  <c r="K22" i="5" s="1"/>
  <c r="J20" i="5"/>
  <c r="J16" i="5"/>
  <c r="J12" i="5"/>
  <c r="J8" i="5"/>
  <c r="J4" i="5"/>
  <c r="J15" i="5"/>
  <c r="J11" i="5"/>
  <c r="J7" i="5"/>
  <c r="J3" i="5"/>
  <c r="J18" i="5" s="1"/>
  <c r="H36" i="5" l="1"/>
  <c r="H15" i="5"/>
  <c r="K15" i="5" s="1"/>
  <c r="H10" i="5"/>
  <c r="K10" i="5" s="1"/>
  <c r="H3" i="5"/>
  <c r="H7" i="5"/>
  <c r="K7" i="5" s="1"/>
  <c r="H6" i="5"/>
  <c r="K6" i="5" s="1"/>
  <c r="H5" i="5"/>
  <c r="K5" i="5" s="1"/>
  <c r="H12" i="5"/>
  <c r="K12" i="5" s="1"/>
  <c r="H14" i="5"/>
  <c r="K14" i="5" s="1"/>
  <c r="H8" i="5"/>
  <c r="K8" i="5" s="1"/>
  <c r="H11" i="5"/>
  <c r="K11" i="5" s="1"/>
  <c r="H17" i="5"/>
  <c r="K17" i="5" s="1"/>
  <c r="H16" i="5"/>
  <c r="K16" i="5" s="1"/>
  <c r="H9" i="5"/>
  <c r="K9" i="5" s="1"/>
  <c r="H4" i="5"/>
  <c r="K4" i="5" s="1"/>
  <c r="H13" i="5"/>
  <c r="K13" i="5" s="1"/>
  <c r="K20" i="5"/>
  <c r="J28" i="5"/>
  <c r="K28" i="5" s="1"/>
  <c r="H18" i="5" l="1"/>
  <c r="K18" i="5" s="1"/>
  <c r="K30" i="5" s="1"/>
  <c r="K3" i="5"/>
  <c r="G29" i="2" l="1"/>
  <c r="G13" i="2" s="1"/>
  <c r="G30" i="2"/>
  <c r="E46" i="1" l="1"/>
  <c r="E42" i="1"/>
  <c r="G27" i="2" l="1"/>
  <c r="G32" i="2" l="1"/>
  <c r="E27" i="1"/>
  <c r="H22" i="2" l="1"/>
  <c r="E30" i="1" l="1"/>
  <c r="E24" i="1" l="1"/>
  <c r="E50" i="1" s="1"/>
  <c r="B80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8" i="1" l="1"/>
  <c r="E63" i="1" s="1"/>
  <c r="B67" i="1" s="1"/>
  <c r="B79" i="1" l="1"/>
  <c r="B83" i="1" s="1"/>
  <c r="B94" i="1"/>
  <c r="B73" i="1" l="1"/>
  <c r="H27" i="2" l="1"/>
  <c r="N12" i="2" l="1"/>
  <c r="Q14" i="2" l="1"/>
  <c r="Q15" i="2" l="1"/>
  <c r="B74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8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6" i="1"/>
  <c r="B72" i="1" s="1"/>
  <c r="B76" i="1" s="1"/>
  <c r="O19" i="2" l="1"/>
  <c r="P19" i="2"/>
  <c r="Q21" i="2"/>
  <c r="B65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<sst xmlns="http://schemas.openxmlformats.org/spreadsheetml/2006/main" count="199" uniqueCount="158">
  <si>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</si>
  <si>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</si>
  <si>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</si>
  <si>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</si>
  <si>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</si>
  <si>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</si>
  <si>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</si>
  <si>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</si>
  <si>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</si>
  <si>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</si>
  <si>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</si>
  <si>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</si>
  <si>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</si>
  <si>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</si>
  <si>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</si>
  <si>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</si>
  <si>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</si>
  <si>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</si>
  <si>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</si>
  <si>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</si>
  <si>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</si>
  <si>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</si>
  <si>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</si>
  <si>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</si>
  <si>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</si>
  <si>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</si>
  <si>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</si>
  <si>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</si>
  <si>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</si>
  <si>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</si>
  <si>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</si>
  <si>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</si>
  <si>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</si>
  <si>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</si>
  <si>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</si>
  <si>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</si>
  <si>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</si>
  <si>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</si>
  <si>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</si>
  <si>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</si>
  <si>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</si>
  <si>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</si>
  <si>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</si>
  <si>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</si>
  <si>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</si>
  <si>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</si>
  <si>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</si>
  <si>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</si>
  <si>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</si>
  <si>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</si>
  <si>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</si>
  <si>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</si>
  <si>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</si>
  <si>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</si>
  <si>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</si>
  <si>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</si>
  <si>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</si>
  <si>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</si>
  <si>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</si>
  <si>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</si>
  <si>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</si>
  <si>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</si>
  <si>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</si>
  <si>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</si>
  <si>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</si>
  <si>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</si>
  <si>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</si>
  <si>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</si>
  <si>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</si>
  <si>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</si>
  <si>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</si>
  <si>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</si>
  <si>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</si>
  <si>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</si>
  <si>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</si>
  <si>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</si>
  <si>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</si>
  <si>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</si>
  <si>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</si>
  <si>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</si>
  <si>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</si>
  <si>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</si>
  <si>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</si>
  <si>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</si>
  <si>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</si>
  <si>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</si>
  <si>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</si>
  <si>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</si>
  <si>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</si>
  <si>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</si>
  <si>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</si>
  <si>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</si>
  <si>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</si>
  <si>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</si>
  <si>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</si>
  <si>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</si>
  <si>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</si>
  <si>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</si>
  <si>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</si>
  <si>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</si>
  <si>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</si>
  <si>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</si>
  <si>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</si>
  <si>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</si>
  <si>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</si>
  <si>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</si>
  <si>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</si>
  <si>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</si>
  <si>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</si>
  <si>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</si>
  <si>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</si>
  <si>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</si>
  <si>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</si>
  <si>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</si>
  <si>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</si>
  <si>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</si>
  <si>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</si>
  <si>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</si>
  <si>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</si>
  <si>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</si>
  <si>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</si>
  <si>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</si>
  <si>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</si>
  <si>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</si>
  <si>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</si>
  <si>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</si>
  <si>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26/052026</t>
  </si>
  <si>
    <t>25/062026</t>
  </si>
  <si>
    <t>Consumo Kw</t>
  </si>
  <si>
    <t>% Consumido</t>
  </si>
  <si>
    <t xml:space="preserve">Consumo x Dep </t>
  </si>
  <si>
    <t>Cons Esp Com</t>
  </si>
  <si>
    <t>Total x Depto</t>
  </si>
  <si>
    <t>Cons Deptos</t>
  </si>
  <si>
    <t>Cons Coch</t>
  </si>
  <si>
    <t>Total Consumo s/Edesur</t>
  </si>
  <si>
    <t>Total x cons Edesur</t>
  </si>
  <si>
    <t>Total Consumo Medidores</t>
  </si>
  <si>
    <t>Consumo Esp Comunes</t>
  </si>
  <si>
    <t>Cons Esp Com $</t>
  </si>
  <si>
    <t>TOTAL FACT EDESUR</t>
  </si>
  <si>
    <t>Lecturas EDESUR s/facturas</t>
  </si>
  <si>
    <t>Cons s/EDESUR</t>
  </si>
  <si>
    <t>Lect Med Edesur 01</t>
  </si>
  <si>
    <t>A gaston le doble cobramos un sum erroneamente el mes pasado, corregir en agosto - Debe abonar 132.216,09 , pago 182.216,09</t>
  </si>
  <si>
    <t>VTO 17/09</t>
  </si>
  <si>
    <t>PERÍODO: AGOSTO</t>
  </si>
  <si>
    <t xml:space="preserve">Honorario administracion - Mes de AGOSTO </t>
  </si>
  <si>
    <t>Transf 05/08</t>
  </si>
  <si>
    <t>Transf 13/08</t>
  </si>
  <si>
    <t>Transf 04/08</t>
  </si>
  <si>
    <t>Transf 06/08</t>
  </si>
  <si>
    <t>Megasec - Compra de matafuegos - Cuota 2/2</t>
  </si>
  <si>
    <t>Transf 31/08</t>
  </si>
  <si>
    <t>Easy Barracas - Compra de termotanque - Cuota 6  - Resta 0 cuotas de $157.988,29</t>
  </si>
  <si>
    <t>SUM Mal cobrado</t>
  </si>
  <si>
    <t>Mantenimiento de cuenta</t>
  </si>
  <si>
    <t>SALDO A 30/08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</si>
</sst>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  <numFmt numFmtId="171" formatCode="0.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8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4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23" fillId="0" borderId="1" xfId="2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8" fontId="0" fillId="2" borderId="1" xfId="0" applyNumberFormat="1" applyFill="1" applyBorder="1" applyAlignment="1">
      <alignment horizontal="right"/>
    </xf>
    <xf numFmtId="44" fontId="2" fillId="4" borderId="6" xfId="1" applyFont="1" applyFill="1" applyBorder="1"/>
    <xf numFmtId="44" fontId="2" fillId="4" borderId="1" xfId="1" applyFont="1" applyFill="1" applyBorder="1"/>
    <xf numFmtId="44" fontId="0" fillId="4" borderId="1" xfId="1" applyFont="1" applyFill="1" applyBorder="1"/>
    <xf numFmtId="44" fontId="0" fillId="2" borderId="1" xfId="1" applyFont="1" applyFill="1" applyBorder="1"/>
    <xf numFmtId="44" fontId="2" fillId="4" borderId="6" xfId="1" applyFont="1" applyFill="1" applyBorder="1" applyAlignment="1">
      <alignment horizontal="center"/>
    </xf>
    <xf numFmtId="8" fontId="11" fillId="4" borderId="1" xfId="0" applyNumberFormat="1" applyFont="1" applyFill="1" applyBorder="1"/>
    <xf numFmtId="8" fontId="2" fillId="4" borderId="6" xfId="0" applyNumberFormat="1" applyFont="1" applyFill="1" applyBorder="1"/>
    <xf numFmtId="8" fontId="2" fillId="4" borderId="22" xfId="0" applyNumberFormat="1" applyFont="1" applyFill="1" applyBorder="1"/>
    <xf numFmtId="14" fontId="0" fillId="0" borderId="1" xfId="0" applyNumberForma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1" fontId="25" fillId="0" borderId="1" xfId="0" applyNumberFormat="1" applyFont="1" applyBorder="1" applyAlignment="1">
      <alignment horizontal="center"/>
    </xf>
    <xf numFmtId="2" fontId="25" fillId="0" borderId="1" xfId="0" applyNumberFormat="1" applyFont="1" applyBorder="1" applyAlignment="1">
      <alignment horizontal="center"/>
    </xf>
    <xf numFmtId="10" fontId="25" fillId="0" borderId="1" xfId="3" applyNumberFormat="1" applyFont="1" applyBorder="1" applyAlignment="1">
      <alignment horizontal="center"/>
    </xf>
    <xf numFmtId="164" fontId="2" fillId="0" borderId="1" xfId="2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171" fontId="22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0" fontId="2" fillId="0" borderId="1" xfId="3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7" fontId="2" fillId="0" borderId="1" xfId="2" applyNumberFormat="1" applyFon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3" fillId="0" borderId="1" xfId="0" applyNumberFormat="1" applyFont="1" applyBorder="1"/>
    <xf numFmtId="164" fontId="0" fillId="0" borderId="1" xfId="2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2" fillId="0" borderId="1" xfId="0" applyNumberFormat="1" applyFon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7" fontId="26" fillId="0" borderId="1" xfId="0" applyNumberFormat="1" applyFont="1" applyBorder="1" applyAlignment="1">
      <alignment horizontal="center"/>
    </xf>
    <xf numFmtId="167" fontId="27" fillId="0" borderId="1" xfId="0" applyNumberFormat="1" applyFont="1" applyBorder="1" applyAlignment="1">
      <alignment horizontal="center"/>
    </xf>
    <xf numFmtId="14" fontId="28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0" fillId="13" borderId="0" xfId="0" applyFill="1"/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7" fillId="0" borderId="6" xfId="0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1" xfId="1" applyFont="1" applyFill="1" applyBorder="1" applyAlignment="1"/>
    <xf numFmtId="8" fontId="7" fillId="2" borderId="6" xfId="0" applyNumberFormat="1" applyFont="1" applyFill="1" applyBorder="1" applyAlignment="1">
      <alignment horizontal="right"/>
    </xf>
    <xf numFmtId="44" fontId="7" fillId="2" borderId="6" xfId="1" applyFont="1" applyFill="1" applyBorder="1"/>
    <xf numFmtId="44" fontId="29" fillId="2" borderId="1" xfId="1" applyFont="1" applyFill="1" applyBorder="1"/>
    <xf numFmtId="44" fontId="29" fillId="2" borderId="2" xfId="1" applyFont="1" applyFill="1" applyBorder="1"/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"/>
  <sheetViews>
    <sheetView tabSelected="1" topLeftCell="A71" workbookViewId="0">
      <selection activeCell="A89" sqref="A89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2"/>
      <c r="B1" s="44" t="s">
        <v>73</v>
      </c>
      <c r="C1" s="44"/>
      <c r="D1" s="44"/>
      <c r="E1" s="45"/>
    </row>
    <row r="2" spans="1:5" x14ac:dyDescent="0.25">
      <c r="A2" s="13"/>
      <c r="B2" s="46" t="s">
        <v>14</v>
      </c>
      <c r="C2" s="46"/>
      <c r="D2" s="46"/>
      <c r="E2" s="47"/>
    </row>
    <row r="3" spans="1:5" ht="70.5" customHeight="1" thickBot="1" x14ac:dyDescent="0.3">
      <c r="A3" s="13"/>
      <c r="B3" s="216" t="s">
        <v>75</v>
      </c>
      <c r="C3" s="216"/>
      <c r="D3" s="216"/>
      <c r="E3" s="217"/>
    </row>
    <row r="4" spans="1:5" ht="15.75" thickBot="1" x14ac:dyDescent="0.3">
      <c r="A4" s="16" t="s">
        <v>0</v>
      </c>
      <c r="B4" s="62" t="s">
        <v>21</v>
      </c>
      <c r="C4" s="17"/>
      <c r="D4" s="17"/>
      <c r="E4" s="18"/>
    </row>
    <row r="5" spans="1:5" ht="15.75" thickBot="1" x14ac:dyDescent="0.3">
      <c r="A5" s="13" t="s">
        <v>74</v>
      </c>
      <c r="B5" s="17" t="s">
        <v>146</v>
      </c>
      <c r="C5" s="14"/>
      <c r="D5" s="46" t="s">
        <v>15</v>
      </c>
      <c r="E5" s="15"/>
    </row>
    <row r="6" spans="1:5" ht="15.75" thickBot="1" x14ac:dyDescent="0.3">
      <c r="A6" s="16" t="s">
        <v>122</v>
      </c>
      <c r="B6" s="17"/>
      <c r="C6" s="17"/>
      <c r="D6" s="17" t="s">
        <v>120</v>
      </c>
      <c r="E6" s="18"/>
    </row>
    <row r="8" spans="1:5" x14ac:dyDescent="0.25">
      <c r="B8" s="219" t="s">
        <v>145</v>
      </c>
      <c r="C8" s="219"/>
    </row>
    <row r="9" spans="1:5" x14ac:dyDescent="0.25">
      <c r="B9" s="219"/>
      <c r="C9" s="219"/>
    </row>
    <row r="10" spans="1:5" x14ac:dyDescent="0.25">
      <c r="B10" s="219"/>
      <c r="C10" s="219"/>
    </row>
    <row r="12" spans="1:5" hidden="1" x14ac:dyDescent="0.25"/>
    <row r="13" spans="1:5" ht="15" customHeight="1" x14ac:dyDescent="0.25">
      <c r="A13" s="218" t="s">
        <v>98</v>
      </c>
      <c r="B13" s="218"/>
      <c r="C13" s="218"/>
      <c r="D13" s="218"/>
      <c r="E13" s="218"/>
    </row>
    <row r="14" spans="1:5" ht="15" customHeight="1" x14ac:dyDescent="0.25">
      <c r="A14" s="218"/>
      <c r="B14" s="218"/>
      <c r="C14" s="218"/>
      <c r="D14" s="218"/>
      <c r="E14" s="218"/>
    </row>
    <row r="15" spans="1:5" ht="15" customHeight="1" x14ac:dyDescent="0.25">
      <c r="A15" s="218"/>
      <c r="B15" s="218"/>
      <c r="C15" s="218"/>
      <c r="D15" s="218"/>
      <c r="E15" s="218"/>
    </row>
    <row r="16" spans="1:5" ht="53.25" customHeight="1" x14ac:dyDescent="0.25">
      <c r="A16" s="218"/>
      <c r="B16" s="218"/>
      <c r="C16" s="218"/>
      <c r="D16" s="218"/>
      <c r="E16" s="218"/>
    </row>
    <row r="17" spans="1:8" ht="14.25" customHeight="1" thickBot="1" x14ac:dyDescent="0.3"/>
    <row r="18" spans="1:8" hidden="1" x14ac:dyDescent="0.25">
      <c r="A18" s="1"/>
    </row>
    <row r="19" spans="1:8" ht="15.75" hidden="1" thickBot="1" x14ac:dyDescent="0.3"/>
    <row r="20" spans="1:8" x14ac:dyDescent="0.25">
      <c r="A20" s="8" t="s">
        <v>101</v>
      </c>
      <c r="B20" s="9"/>
      <c r="C20" s="10"/>
      <c r="D20" s="6"/>
      <c r="E20" s="11"/>
    </row>
    <row r="21" spans="1:8" x14ac:dyDescent="0.25">
      <c r="A21" s="22" t="s">
        <v>76</v>
      </c>
      <c r="B21" s="22"/>
      <c r="C21" s="22"/>
      <c r="D21" s="98"/>
      <c r="E21" s="93"/>
    </row>
    <row r="22" spans="1:8" ht="15" customHeight="1" x14ac:dyDescent="0.25">
      <c r="A22" s="212" t="s">
        <v>112</v>
      </c>
      <c r="B22" s="213"/>
      <c r="C22" s="152"/>
      <c r="D22" s="253">
        <v>510846.85</v>
      </c>
      <c r="E22" s="146" t="s">
        <v>148</v>
      </c>
      <c r="H22" s="82"/>
    </row>
    <row r="23" spans="1:8" ht="15" customHeight="1" x14ac:dyDescent="0.25">
      <c r="A23" s="212"/>
      <c r="B23" s="213"/>
      <c r="C23" s="152"/>
      <c r="D23" s="172"/>
      <c r="E23" s="94"/>
      <c r="H23" s="82"/>
    </row>
    <row r="24" spans="1:8" x14ac:dyDescent="0.25">
      <c r="A24" s="153" t="s">
        <v>9</v>
      </c>
      <c r="B24" s="153"/>
      <c r="C24" s="153"/>
      <c r="D24" s="173"/>
      <c r="E24" s="137">
        <f>SUM(D22:D23)</f>
        <v>510846.85</v>
      </c>
    </row>
    <row r="25" spans="1:8" x14ac:dyDescent="0.25">
      <c r="A25" s="154" t="s">
        <v>17</v>
      </c>
      <c r="B25" s="153"/>
      <c r="C25" s="153"/>
      <c r="D25" s="174"/>
      <c r="E25" s="138"/>
    </row>
    <row r="26" spans="1:8" ht="30" customHeight="1" x14ac:dyDescent="0.25">
      <c r="A26" s="212" t="s">
        <v>117</v>
      </c>
      <c r="B26" s="213"/>
      <c r="C26" s="155"/>
      <c r="D26" s="254">
        <v>79873.05</v>
      </c>
      <c r="E26" s="96" t="s">
        <v>151</v>
      </c>
    </row>
    <row r="27" spans="1:8" x14ac:dyDescent="0.25">
      <c r="A27" s="153" t="s">
        <v>1</v>
      </c>
      <c r="B27" s="153"/>
      <c r="C27" s="153"/>
      <c r="D27" s="173"/>
      <c r="E27" s="104">
        <f>SUM(D26:D26)</f>
        <v>79873.05</v>
      </c>
    </row>
    <row r="28" spans="1:8" x14ac:dyDescent="0.25">
      <c r="A28" s="154" t="s">
        <v>10</v>
      </c>
      <c r="B28" s="156"/>
      <c r="C28" s="156"/>
      <c r="D28" s="175"/>
      <c r="E28" s="139"/>
    </row>
    <row r="29" spans="1:8" ht="14.25" customHeight="1" x14ac:dyDescent="0.25">
      <c r="A29" s="65" t="s">
        <v>66</v>
      </c>
      <c r="B29" s="65"/>
      <c r="C29" s="65"/>
      <c r="D29" s="252">
        <v>14396.25</v>
      </c>
      <c r="E29" s="96" t="s">
        <v>148</v>
      </c>
    </row>
    <row r="30" spans="1:8" x14ac:dyDescent="0.25">
      <c r="A30" s="65" t="s">
        <v>65</v>
      </c>
      <c r="B30" s="65"/>
      <c r="C30" s="65"/>
      <c r="D30" s="252">
        <v>6644.39</v>
      </c>
      <c r="E30" s="146" t="str">
        <f>E31</f>
        <v>Transf 04/08</v>
      </c>
    </row>
    <row r="31" spans="1:8" x14ac:dyDescent="0.25">
      <c r="A31" s="65" t="s">
        <v>65</v>
      </c>
      <c r="B31" s="157"/>
      <c r="C31" s="65"/>
      <c r="D31" s="252">
        <v>482119.34</v>
      </c>
      <c r="E31" s="96" t="s">
        <v>150</v>
      </c>
    </row>
    <row r="32" spans="1:8" x14ac:dyDescent="0.25">
      <c r="A32" s="214" t="s">
        <v>67</v>
      </c>
      <c r="B32" s="215"/>
      <c r="C32" s="65"/>
      <c r="D32" s="252">
        <v>872785.72</v>
      </c>
      <c r="E32" s="96" t="s">
        <v>149</v>
      </c>
    </row>
    <row r="33" spans="1:5" x14ac:dyDescent="0.25">
      <c r="A33" s="158" t="s">
        <v>77</v>
      </c>
      <c r="B33" s="159"/>
      <c r="C33" s="65"/>
      <c r="D33" s="252">
        <v>28704.880000000001</v>
      </c>
      <c r="E33" s="96" t="s">
        <v>151</v>
      </c>
    </row>
    <row r="34" spans="1:5" ht="15.75" thickBot="1" x14ac:dyDescent="0.3">
      <c r="A34" s="153" t="s">
        <v>2</v>
      </c>
      <c r="B34" s="153"/>
      <c r="C34" s="153"/>
      <c r="D34" s="177"/>
      <c r="E34" s="140">
        <f>SUM(D29:D33)</f>
        <v>1404650.5799999998</v>
      </c>
    </row>
    <row r="35" spans="1:5" ht="15" customHeight="1" thickBot="1" x14ac:dyDescent="0.3">
      <c r="A35" s="154"/>
      <c r="B35" s="153"/>
      <c r="C35" s="153"/>
      <c r="D35" s="173"/>
      <c r="E35" s="141"/>
    </row>
    <row r="36" spans="1:5" ht="32.25" customHeight="1" x14ac:dyDescent="0.25">
      <c r="A36" s="212" t="s">
        <v>114</v>
      </c>
      <c r="B36" s="213"/>
      <c r="C36" s="65"/>
      <c r="D36" s="252">
        <v>82000</v>
      </c>
      <c r="E36" s="96" t="s">
        <v>149</v>
      </c>
    </row>
    <row r="37" spans="1:5" ht="19.5" customHeight="1" x14ac:dyDescent="0.25">
      <c r="A37" s="160" t="s">
        <v>152</v>
      </c>
      <c r="B37" s="161"/>
      <c r="C37" s="65"/>
      <c r="D37" s="252">
        <f>199530</f>
        <v>199530</v>
      </c>
      <c r="E37" s="96" t="s">
        <v>149</v>
      </c>
    </row>
    <row r="38" spans="1:5" ht="36.75" customHeight="1" x14ac:dyDescent="0.25">
      <c r="A38" s="212" t="s">
        <v>154</v>
      </c>
      <c r="B38" s="213"/>
      <c r="C38" s="65"/>
      <c r="D38" s="256">
        <v>157988.29</v>
      </c>
      <c r="E38" s="96"/>
    </row>
    <row r="39" spans="1:5" x14ac:dyDescent="0.25">
      <c r="A39" s="153" t="s">
        <v>6</v>
      </c>
      <c r="B39" s="154"/>
      <c r="C39" s="154"/>
      <c r="D39" s="22"/>
      <c r="E39" s="104">
        <f>SUM(D36:D38)</f>
        <v>439518.29000000004</v>
      </c>
    </row>
    <row r="40" spans="1:5" x14ac:dyDescent="0.25">
      <c r="A40" s="154" t="s">
        <v>11</v>
      </c>
      <c r="B40" s="154"/>
      <c r="C40" s="154"/>
      <c r="D40" s="178"/>
      <c r="E40" s="142"/>
    </row>
    <row r="41" spans="1:5" ht="33.75" customHeight="1" x14ac:dyDescent="0.25">
      <c r="A41" s="212" t="s">
        <v>147</v>
      </c>
      <c r="B41" s="213"/>
      <c r="C41" s="152"/>
      <c r="D41" s="255">
        <v>190000</v>
      </c>
      <c r="E41" s="143" t="s">
        <v>153</v>
      </c>
    </row>
    <row r="42" spans="1:5" x14ac:dyDescent="0.25">
      <c r="A42" s="153" t="s">
        <v>9</v>
      </c>
      <c r="B42" s="153"/>
      <c r="C42" s="153"/>
      <c r="D42" s="173"/>
      <c r="E42" s="137">
        <f>SUM(D41:D41)</f>
        <v>190000</v>
      </c>
    </row>
    <row r="43" spans="1:5" x14ac:dyDescent="0.25">
      <c r="A43" s="154" t="s">
        <v>8</v>
      </c>
      <c r="B43" s="162"/>
      <c r="C43" s="153"/>
      <c r="D43" s="179"/>
      <c r="E43" s="104"/>
    </row>
    <row r="44" spans="1:5" x14ac:dyDescent="0.25">
      <c r="A44" s="65" t="s">
        <v>156</v>
      </c>
      <c r="B44" s="65"/>
      <c r="C44" s="65"/>
      <c r="D44" s="252"/>
      <c r="E44" s="144"/>
    </row>
    <row r="45" spans="1:5" x14ac:dyDescent="0.25">
      <c r="A45" s="65" t="s">
        <v>113</v>
      </c>
      <c r="B45" s="65"/>
      <c r="C45" s="65"/>
      <c r="D45" s="176">
        <v>44926.11</v>
      </c>
      <c r="E45" s="145"/>
    </row>
    <row r="46" spans="1:5" x14ac:dyDescent="0.25">
      <c r="A46" s="163" t="s">
        <v>9</v>
      </c>
      <c r="B46" s="163"/>
      <c r="C46" s="163"/>
      <c r="D46" s="180"/>
      <c r="E46" s="104">
        <f>SUM(D44:D45)</f>
        <v>44926.11</v>
      </c>
    </row>
    <row r="47" spans="1:5" x14ac:dyDescent="0.25">
      <c r="A47" s="65"/>
      <c r="B47" s="65"/>
      <c r="C47" s="65"/>
      <c r="D47" s="4"/>
      <c r="E47" s="70"/>
    </row>
    <row r="48" spans="1:5" x14ac:dyDescent="0.25">
      <c r="A48" s="164" t="s">
        <v>97</v>
      </c>
      <c r="B48" s="164"/>
      <c r="C48" s="164"/>
      <c r="D48" s="71"/>
      <c r="E48" s="105"/>
    </row>
    <row r="49" spans="1:8" ht="15.75" thickBot="1" x14ac:dyDescent="0.3">
      <c r="A49" s="165"/>
      <c r="B49" s="72"/>
      <c r="C49" s="72"/>
      <c r="D49" s="72"/>
      <c r="E49" s="73"/>
      <c r="F49" s="27"/>
    </row>
    <row r="50" spans="1:8" ht="15.75" thickBot="1" x14ac:dyDescent="0.3">
      <c r="A50" s="166" t="s">
        <v>93</v>
      </c>
      <c r="B50" s="167"/>
      <c r="C50" s="74"/>
      <c r="D50" s="74"/>
      <c r="E50" s="75">
        <f>(SUM(E21:E48))</f>
        <v>2669814.88</v>
      </c>
      <c r="F50" s="92"/>
      <c r="G50" s="27"/>
    </row>
    <row r="51" spans="1:8" x14ac:dyDescent="0.25">
      <c r="A51" s="72"/>
      <c r="B51" s="72"/>
      <c r="C51" s="72"/>
      <c r="D51" s="72"/>
      <c r="E51" s="72"/>
    </row>
    <row r="52" spans="1:8" ht="15.75" thickBot="1" x14ac:dyDescent="0.3">
      <c r="A52" s="72"/>
      <c r="B52" s="72"/>
      <c r="C52" s="72"/>
      <c r="D52" s="72"/>
      <c r="E52" s="72"/>
      <c r="H52" s="99"/>
    </row>
    <row r="53" spans="1:8" x14ac:dyDescent="0.25">
      <c r="A53" s="168" t="s">
        <v>94</v>
      </c>
      <c r="B53" s="169"/>
      <c r="C53" s="170"/>
      <c r="D53" s="76"/>
      <c r="E53" s="77"/>
    </row>
    <row r="54" spans="1:8" ht="15" customHeight="1" x14ac:dyDescent="0.25">
      <c r="A54" s="171"/>
      <c r="B54" s="159"/>
      <c r="C54" s="65"/>
      <c r="D54" s="68"/>
      <c r="E54" s="66"/>
    </row>
    <row r="55" spans="1:8" ht="15" customHeight="1" x14ac:dyDescent="0.25">
      <c r="A55" s="211"/>
      <c r="B55" s="211"/>
      <c r="C55" s="65"/>
      <c r="D55" s="95"/>
      <c r="E55" s="66"/>
    </row>
    <row r="56" spans="1:8" ht="15.75" customHeight="1" x14ac:dyDescent="0.25">
      <c r="A56" s="4"/>
      <c r="B56" s="4"/>
      <c r="C56" s="4"/>
      <c r="D56" s="4"/>
      <c r="E56" s="4"/>
    </row>
    <row r="57" spans="1:8" x14ac:dyDescent="0.25">
      <c r="A57" s="67"/>
      <c r="B57" s="69"/>
      <c r="C57" s="4"/>
      <c r="D57" s="68"/>
      <c r="E57" s="66"/>
    </row>
    <row r="58" spans="1:8" x14ac:dyDescent="0.25">
      <c r="A58" s="32"/>
      <c r="B58" s="31"/>
      <c r="C58" s="31"/>
      <c r="D58" s="36"/>
      <c r="E58" s="36">
        <f>SUM(D54:D57)</f>
        <v>0</v>
      </c>
    </row>
    <row r="59" spans="1:8" ht="15" customHeight="1" x14ac:dyDescent="0.25"/>
    <row r="60" spans="1:8" ht="15.75" hidden="1" thickBot="1" x14ac:dyDescent="0.3"/>
    <row r="61" spans="1:8" x14ac:dyDescent="0.25">
      <c r="A61" s="20" t="s">
        <v>96</v>
      </c>
      <c r="B61" s="20"/>
      <c r="C61" s="20"/>
      <c r="D61" s="21"/>
      <c r="E61" s="135"/>
    </row>
    <row r="62" spans="1:8" ht="15.75" thickBot="1" x14ac:dyDescent="0.3"/>
    <row r="63" spans="1:8" ht="15.75" thickBot="1" x14ac:dyDescent="0.3">
      <c r="A63" s="2" t="s">
        <v>95</v>
      </c>
      <c r="B63" s="7"/>
      <c r="C63" s="3"/>
      <c r="D63" s="3"/>
      <c r="E63" s="43">
        <f>E58+E61</f>
        <v>0</v>
      </c>
    </row>
    <row r="64" spans="1:8" ht="15.75" thickBot="1" x14ac:dyDescent="0.3"/>
    <row r="65" spans="1:5" ht="15.75" thickBot="1" x14ac:dyDescent="0.3">
      <c r="A65" s="63" t="s">
        <v>102</v>
      </c>
      <c r="B65" s="64">
        <f>E50</f>
        <v>2669814.88</v>
      </c>
    </row>
    <row r="66" spans="1:5" ht="15.75" thickBot="1" x14ac:dyDescent="0.3">
      <c r="A66" s="63" t="s">
        <v>103</v>
      </c>
      <c r="B66" s="64">
        <f>E50-E48</f>
        <v>2669814.88</v>
      </c>
    </row>
    <row r="67" spans="1:5" ht="15.75" thickBot="1" x14ac:dyDescent="0.3">
      <c r="A67" s="63" t="s">
        <v>104</v>
      </c>
      <c r="B67" s="64">
        <f>E63-E61</f>
        <v>0</v>
      </c>
    </row>
    <row r="68" spans="1:5" ht="15.75" thickBot="1" x14ac:dyDescent="0.3">
      <c r="A68" s="63" t="s">
        <v>105</v>
      </c>
      <c r="B68" s="64">
        <f>E63</f>
        <v>0</v>
      </c>
    </row>
    <row r="70" spans="1:5" s="25" customFormat="1" x14ac:dyDescent="0.25">
      <c r="A70"/>
      <c r="B70" s="26"/>
      <c r="C70" s="24"/>
    </row>
    <row r="71" spans="1:5" s="25" customFormat="1" x14ac:dyDescent="0.25">
      <c r="A71" s="84" t="s">
        <v>106</v>
      </c>
      <c r="B71" s="111">
        <v>231226.35000000335</v>
      </c>
      <c r="C71" s="24"/>
      <c r="D71" s="30"/>
    </row>
    <row r="72" spans="1:5" x14ac:dyDescent="0.25">
      <c r="A72" s="35" t="s">
        <v>99</v>
      </c>
      <c r="B72" s="89">
        <f>-B66</f>
        <v>-2669814.88</v>
      </c>
      <c r="E72" s="27"/>
    </row>
    <row r="73" spans="1:5" x14ac:dyDescent="0.25">
      <c r="A73" s="35" t="s">
        <v>25</v>
      </c>
      <c r="B73" s="89">
        <f>B94</f>
        <v>0</v>
      </c>
    </row>
    <row r="74" spans="1:5" x14ac:dyDescent="0.25">
      <c r="A74" s="35" t="s">
        <v>108</v>
      </c>
      <c r="B74" s="90">
        <f>PRORRATEO!G36-B81</f>
        <v>3248082.4500000007</v>
      </c>
    </row>
    <row r="75" spans="1:5" x14ac:dyDescent="0.25">
      <c r="A75" s="91" t="s">
        <v>155</v>
      </c>
      <c r="B75" s="100">
        <v>-50000</v>
      </c>
    </row>
    <row r="76" spans="1:5" ht="15.75" thickBot="1" x14ac:dyDescent="0.3">
      <c r="A76" s="87" t="s">
        <v>110</v>
      </c>
      <c r="B76" s="88">
        <f>SUM(B71:C75)</f>
        <v>759493.92000000412</v>
      </c>
      <c r="D76" s="27"/>
    </row>
    <row r="77" spans="1:5" x14ac:dyDescent="0.25">
      <c r="A77" s="85"/>
      <c r="B77" s="85"/>
      <c r="D77" s="27"/>
      <c r="E77" s="26"/>
    </row>
    <row r="78" spans="1:5" x14ac:dyDescent="0.25">
      <c r="A78" s="84" t="s">
        <v>107</v>
      </c>
      <c r="B78" s="111">
        <v>1000000</v>
      </c>
      <c r="D78" s="26"/>
      <c r="E78" s="27"/>
    </row>
    <row r="79" spans="1:5" x14ac:dyDescent="0.25">
      <c r="A79" s="35" t="s">
        <v>100</v>
      </c>
      <c r="B79" s="89">
        <f>-B67</f>
        <v>0</v>
      </c>
      <c r="D79" s="27"/>
      <c r="E79" s="27"/>
    </row>
    <row r="80" spans="1:5" x14ac:dyDescent="0.25">
      <c r="A80" s="35" t="s">
        <v>25</v>
      </c>
      <c r="B80" s="89">
        <f>B102</f>
        <v>0</v>
      </c>
      <c r="D80" s="27"/>
    </row>
    <row r="81" spans="1:13" x14ac:dyDescent="0.25">
      <c r="A81" s="35" t="s">
        <v>109</v>
      </c>
      <c r="B81" s="90">
        <v>0</v>
      </c>
      <c r="D81" s="136"/>
    </row>
    <row r="82" spans="1:13" x14ac:dyDescent="0.25">
      <c r="A82" s="91" t="s">
        <v>24</v>
      </c>
      <c r="B82" s="100"/>
      <c r="D82" s="27"/>
      <c r="E82" s="27"/>
      <c r="F82" s="26"/>
    </row>
    <row r="83" spans="1:13" ht="15.75" thickBot="1" x14ac:dyDescent="0.3">
      <c r="A83" s="87" t="s">
        <v>111</v>
      </c>
      <c r="B83" s="88">
        <f>SUM(B78:C82)</f>
        <v>1000000</v>
      </c>
      <c r="D83" s="27"/>
      <c r="F83" s="27"/>
    </row>
    <row r="84" spans="1:13" x14ac:dyDescent="0.25">
      <c r="A84" s="85"/>
      <c r="B84" s="85"/>
    </row>
    <row r="85" spans="1:13" x14ac:dyDescent="0.25">
      <c r="A85" s="85"/>
      <c r="B85" s="85"/>
    </row>
    <row r="86" spans="1:13" x14ac:dyDescent="0.25">
      <c r="A86" s="84" t="s">
        <v>124</v>
      </c>
      <c r="B86" s="111">
        <v>0</v>
      </c>
    </row>
    <row r="87" spans="1:13" x14ac:dyDescent="0.25">
      <c r="A87" s="35" t="s">
        <v>125</v>
      </c>
      <c r="B87" s="89">
        <v>1025063.51</v>
      </c>
    </row>
    <row r="88" spans="1:13" ht="15.75" thickBot="1" x14ac:dyDescent="0.3">
      <c r="A88" s="87" t="s">
        <v>157</v>
      </c>
      <c r="B88" s="88">
        <v>1054849.6000000001</v>
      </c>
    </row>
    <row r="89" spans="1:13" ht="34.5" customHeight="1" x14ac:dyDescent="0.25"/>
    <row r="90" spans="1:13" x14ac:dyDescent="0.25">
      <c r="A90" s="210" t="s">
        <v>18</v>
      </c>
      <c r="B90" s="210"/>
      <c r="C90" s="210"/>
    </row>
    <row r="91" spans="1:13" x14ac:dyDescent="0.25">
      <c r="A91" s="210"/>
      <c r="B91" s="210"/>
      <c r="C91" s="210"/>
    </row>
    <row r="92" spans="1:13" ht="35.25" customHeight="1" x14ac:dyDescent="0.25">
      <c r="A92" s="79"/>
      <c r="B92" s="23"/>
      <c r="C92" s="23">
        <v>40000</v>
      </c>
      <c r="E92" s="92"/>
    </row>
    <row r="93" spans="1:13" ht="27" customHeight="1" x14ac:dyDescent="0.25">
      <c r="A93" s="79"/>
      <c r="B93" s="81"/>
      <c r="C93" s="78"/>
      <c r="D93" s="92"/>
    </row>
    <row r="94" spans="1:13" x14ac:dyDescent="0.25">
      <c r="A94" s="28" t="s">
        <v>6</v>
      </c>
      <c r="B94" s="80">
        <f>SUM(B92:B93)</f>
        <v>0</v>
      </c>
      <c r="C94" s="29"/>
    </row>
    <row r="95" spans="1:13" x14ac:dyDescent="0.25">
      <c r="M95" s="5"/>
    </row>
    <row r="96" spans="1:13" ht="15" customHeight="1" x14ac:dyDescent="0.25">
      <c r="A96" s="209"/>
      <c r="B96" s="209"/>
      <c r="C96" s="209"/>
      <c r="D96" s="209"/>
      <c r="E96" s="209"/>
    </row>
    <row r="97" spans="1:5" x14ac:dyDescent="0.25">
      <c r="A97" s="209"/>
      <c r="B97" s="209"/>
      <c r="C97" s="209"/>
      <c r="D97" s="209"/>
      <c r="E97" s="209"/>
    </row>
    <row r="98" spans="1:5" x14ac:dyDescent="0.25">
      <c r="A98" s="209"/>
      <c r="B98" s="209"/>
      <c r="C98" s="209"/>
      <c r="D98" s="209"/>
      <c r="E98" s="209"/>
    </row>
    <row r="99" spans="1:5" x14ac:dyDescent="0.25">
      <c r="A99" s="209"/>
      <c r="B99" s="209"/>
      <c r="C99" s="209"/>
      <c r="D99" s="209"/>
      <c r="E99" s="209"/>
    </row>
  </sheetData>
  <mergeCells count="13">
    <mergeCell ref="A32:B32"/>
    <mergeCell ref="A23:B23"/>
    <mergeCell ref="A22:B22"/>
    <mergeCell ref="B3:E3"/>
    <mergeCell ref="A13:E16"/>
    <mergeCell ref="B8:C10"/>
    <mergeCell ref="A26:B26"/>
    <mergeCell ref="A96:E99"/>
    <mergeCell ref="A90:C91"/>
    <mergeCell ref="A55:B55"/>
    <mergeCell ref="A36:B36"/>
    <mergeCell ref="A38:B38"/>
    <mergeCell ref="A41:B4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13" zoomScaleNormal="100" workbookViewId="0">
      <selection activeCell="G22" sqref="G22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12"/>
      <c r="B1" s="113"/>
      <c r="C1" s="114"/>
      <c r="D1" s="114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113"/>
      <c r="P1" s="115"/>
    </row>
    <row r="2" spans="1:17" ht="12.95" customHeight="1" x14ac:dyDescent="0.25">
      <c r="A2" s="116"/>
      <c r="B2" s="117"/>
      <c r="C2" s="118"/>
      <c r="D2" s="119"/>
      <c r="E2" s="119" t="s">
        <v>92</v>
      </c>
      <c r="F2" s="119"/>
      <c r="G2" s="120">
        <v>0</v>
      </c>
      <c r="H2" s="119"/>
      <c r="I2" s="119"/>
      <c r="J2" s="119" t="s">
        <v>91</v>
      </c>
      <c r="K2" s="121">
        <v>2700000</v>
      </c>
      <c r="L2" s="121"/>
      <c r="M2" s="121"/>
      <c r="N2" s="122"/>
      <c r="O2" s="123"/>
      <c r="P2" s="124"/>
      <c r="Q2" s="19"/>
    </row>
    <row r="3" spans="1:17" ht="15.75" thickBot="1" x14ac:dyDescent="0.3">
      <c r="A3" s="116"/>
      <c r="B3" s="117"/>
      <c r="C3" s="118"/>
      <c r="D3" s="118"/>
      <c r="E3" s="118"/>
      <c r="F3" s="118"/>
      <c r="G3" s="125"/>
      <c r="H3" s="118"/>
      <c r="I3" s="118"/>
      <c r="J3" s="118"/>
      <c r="K3" s="118"/>
      <c r="L3" s="118"/>
      <c r="M3" s="118"/>
      <c r="N3" s="122"/>
      <c r="O3" s="123"/>
      <c r="P3" s="124"/>
      <c r="Q3" s="19"/>
    </row>
    <row r="4" spans="1:17" x14ac:dyDescent="0.25">
      <c r="A4" s="232" t="s">
        <v>119</v>
      </c>
      <c r="B4" s="233"/>
      <c r="C4" s="233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P4" s="234"/>
      <c r="Q4" s="19"/>
    </row>
    <row r="5" spans="1:17" x14ac:dyDescent="0.25">
      <c r="A5" s="235"/>
      <c r="B5" s="236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7"/>
      <c r="Q5" s="19"/>
    </row>
    <row r="6" spans="1:17" ht="12.95" customHeight="1" x14ac:dyDescent="0.25">
      <c r="A6" s="235"/>
      <c r="B6" s="236"/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7"/>
      <c r="Q6" s="19"/>
    </row>
    <row r="7" spans="1:17" ht="12.95" customHeight="1" x14ac:dyDescent="0.25">
      <c r="A7" s="235"/>
      <c r="B7" s="236"/>
      <c r="C7" s="236"/>
      <c r="D7" s="236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7"/>
      <c r="Q7" s="19"/>
    </row>
    <row r="8" spans="1:17" ht="33.75" customHeight="1" thickBot="1" x14ac:dyDescent="0.3">
      <c r="A8" s="238"/>
      <c r="B8" s="239"/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40"/>
    </row>
    <row r="9" spans="1:17" ht="48" customHeight="1" thickBot="1" x14ac:dyDescent="0.3">
      <c r="A9" s="243" t="s">
        <v>118</v>
      </c>
      <c r="B9" s="244"/>
      <c r="C9" s="244"/>
      <c r="D9" s="244"/>
      <c r="E9" s="244"/>
      <c r="F9" s="244"/>
      <c r="G9" s="244"/>
      <c r="H9" s="244"/>
      <c r="I9" s="244"/>
      <c r="J9" s="244"/>
      <c r="K9" s="244"/>
      <c r="L9" s="244"/>
      <c r="M9" s="244"/>
      <c r="N9" s="244"/>
      <c r="O9" s="244"/>
      <c r="P9" s="244"/>
    </row>
    <row r="10" spans="1:17" ht="48" customHeight="1" thickBot="1" x14ac:dyDescent="0.3">
      <c r="A10" s="245" t="s">
        <v>116</v>
      </c>
      <c r="B10" s="245"/>
      <c r="C10" s="245"/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</row>
    <row r="11" spans="1:17" x14ac:dyDescent="0.25">
      <c r="A11" s="220" t="s">
        <v>3</v>
      </c>
      <c r="B11" s="101"/>
      <c r="C11" s="220" t="s">
        <v>4</v>
      </c>
      <c r="D11" s="220" t="s">
        <v>13</v>
      </c>
      <c r="E11" s="220" t="s">
        <v>7</v>
      </c>
      <c r="F11" s="223" t="s">
        <v>23</v>
      </c>
      <c r="G11" s="220" t="s">
        <v>5</v>
      </c>
      <c r="H11" s="228" t="s">
        <v>16</v>
      </c>
      <c r="I11" s="223" t="s">
        <v>22</v>
      </c>
      <c r="J11" s="223" t="s">
        <v>91</v>
      </c>
      <c r="K11" s="230" t="s">
        <v>92</v>
      </c>
      <c r="L11" s="223" t="s">
        <v>78</v>
      </c>
      <c r="M11" s="223" t="s">
        <v>123</v>
      </c>
      <c r="N11" s="39" t="s">
        <v>20</v>
      </c>
      <c r="O11" s="226" t="s">
        <v>12</v>
      </c>
      <c r="P11" s="241" t="s">
        <v>19</v>
      </c>
    </row>
    <row r="12" spans="1:17" ht="15.75" customHeight="1" x14ac:dyDescent="0.25">
      <c r="A12" s="222"/>
      <c r="B12" s="102"/>
      <c r="C12" s="222"/>
      <c r="D12" s="221"/>
      <c r="E12" s="222"/>
      <c r="F12" s="224"/>
      <c r="G12" s="222"/>
      <c r="H12" s="229"/>
      <c r="I12" s="224"/>
      <c r="J12" s="224"/>
      <c r="K12" s="231"/>
      <c r="L12" s="224"/>
      <c r="M12" s="224"/>
      <c r="N12" s="37" t="str">
        <f>RESUMEN!B8</f>
        <v>VTO 17/09</v>
      </c>
      <c r="O12" s="227"/>
      <c r="P12" s="242"/>
    </row>
    <row r="13" spans="1:17" ht="17.100000000000001" customHeight="1" x14ac:dyDescent="0.25">
      <c r="A13" s="40">
        <v>1</v>
      </c>
      <c r="B13" s="40" t="s">
        <v>26</v>
      </c>
      <c r="C13" s="40" t="s">
        <v>27</v>
      </c>
      <c r="D13" s="40"/>
      <c r="E13" s="48">
        <v>12</v>
      </c>
      <c r="F13" s="49">
        <v>364055.01</v>
      </c>
      <c r="G13" s="257">
        <f>400461-G29-G30</f>
        <v>364054.65</v>
      </c>
      <c r="H13" s="51">
        <f t="shared" ref="H13:H35" si="0">F13-G13</f>
        <v>0.35999999998603016</v>
      </c>
      <c r="I13" s="51">
        <f>IF(H13&gt;0,H13*3%,0)</f>
        <v>1.0799999999580905E-2</v>
      </c>
      <c r="J13" s="97">
        <f t="shared" ref="J13:J35" si="1">K$2*E13/100</f>
        <v>324000</v>
      </c>
      <c r="K13" s="97">
        <f t="shared" ref="K13:K35" si="2">G$2*E13/100</f>
        <v>0</v>
      </c>
      <c r="L13" s="134">
        <f>EDESUR!K3</f>
        <v>29460.826927751194</v>
      </c>
      <c r="M13" s="148"/>
      <c r="N13" s="133">
        <f>ROUND(SUM(H13:M13),0) + Q13</f>
        <v>353461.01</v>
      </c>
      <c r="O13" s="52">
        <f>ROUND(N13*6% + N13,0) + Q13</f>
        <v>374669.01</v>
      </c>
      <c r="P13" s="53">
        <f>ROUND(N13*3%,0) + N13</f>
        <v>364065.01</v>
      </c>
      <c r="Q13" s="27">
        <v>0.01</v>
      </c>
    </row>
    <row r="14" spans="1:17" ht="17.100000000000001" customHeight="1" x14ac:dyDescent="0.25">
      <c r="A14" s="126">
        <v>2</v>
      </c>
      <c r="B14" s="126" t="s">
        <v>28</v>
      </c>
      <c r="C14" s="126" t="s">
        <v>29</v>
      </c>
      <c r="D14" s="127"/>
      <c r="E14" s="128">
        <v>6.6</v>
      </c>
      <c r="F14" s="50">
        <v>326822.02</v>
      </c>
      <c r="G14" s="257">
        <f>F14</f>
        <v>326822.02</v>
      </c>
      <c r="H14" s="129">
        <f t="shared" si="0"/>
        <v>0</v>
      </c>
      <c r="I14" s="129">
        <f t="shared" ref="I14:I35" si="3">IF(H14&gt;0,H14*3%,0)</f>
        <v>0</v>
      </c>
      <c r="J14" s="130">
        <f t="shared" si="1"/>
        <v>178200</v>
      </c>
      <c r="K14" s="130">
        <f t="shared" si="2"/>
        <v>0</v>
      </c>
      <c r="L14" s="134">
        <f>EDESUR!K4</f>
        <v>149105.45982222489</v>
      </c>
      <c r="M14" s="149"/>
      <c r="N14" s="133">
        <f t="shared" ref="N14:N35" si="4">ROUND(SUM(H14:M14),0) + Q14</f>
        <v>327305.02</v>
      </c>
      <c r="O14" s="131">
        <f t="shared" ref="O14:O30" si="5">ROUND(N14*6% + N14,0) + Q14</f>
        <v>346943.02</v>
      </c>
      <c r="P14" s="132">
        <f t="shared" ref="P14:P35" si="6">ROUND(N14*3%,0) + N14</f>
        <v>337124.02</v>
      </c>
      <c r="Q14" s="27">
        <f>Q13+0.01</f>
        <v>0.02</v>
      </c>
    </row>
    <row r="15" spans="1:17" ht="17.100000000000001" customHeight="1" x14ac:dyDescent="0.25">
      <c r="A15" s="40">
        <v>3</v>
      </c>
      <c r="B15" s="40" t="s">
        <v>30</v>
      </c>
      <c r="C15" s="40" t="s">
        <v>31</v>
      </c>
      <c r="D15" s="41" t="s">
        <v>68</v>
      </c>
      <c r="E15" s="48">
        <v>5.4</v>
      </c>
      <c r="F15" s="49">
        <v>159057.03</v>
      </c>
      <c r="G15" s="257">
        <f>F15</f>
        <v>159057.03</v>
      </c>
      <c r="H15" s="51">
        <f t="shared" si="0"/>
        <v>0</v>
      </c>
      <c r="I15" s="51">
        <f t="shared" si="3"/>
        <v>0</v>
      </c>
      <c r="J15" s="97">
        <f t="shared" si="1"/>
        <v>145800.00000000003</v>
      </c>
      <c r="K15" s="97">
        <f t="shared" si="2"/>
        <v>0</v>
      </c>
      <c r="L15" s="134">
        <f>EDESUR!K5</f>
        <v>13257.372117488037</v>
      </c>
      <c r="M15" s="147"/>
      <c r="N15" s="133">
        <f t="shared" si="4"/>
        <v>159057.03</v>
      </c>
      <c r="O15" s="52">
        <f t="shared" si="5"/>
        <v>168600.03</v>
      </c>
      <c r="P15" s="53">
        <f t="shared" si="6"/>
        <v>163829.03</v>
      </c>
      <c r="Q15" s="27">
        <f t="shared" ref="Q15:Q30" si="7">Q14+0.01</f>
        <v>0.03</v>
      </c>
    </row>
    <row r="16" spans="1:17" ht="26.25" customHeight="1" x14ac:dyDescent="0.25">
      <c r="A16" s="40">
        <v>4</v>
      </c>
      <c r="B16" s="40" t="s">
        <v>32</v>
      </c>
      <c r="C16" s="40" t="s">
        <v>33</v>
      </c>
      <c r="D16" s="41" t="s">
        <v>121</v>
      </c>
      <c r="E16" s="48">
        <v>6.6</v>
      </c>
      <c r="F16" s="49">
        <v>194400.04</v>
      </c>
      <c r="G16" s="257">
        <f>218435-G32</f>
        <v>200761.8</v>
      </c>
      <c r="H16" s="51">
        <f t="shared" si="0"/>
        <v>-6361.7599999999802</v>
      </c>
      <c r="I16" s="51">
        <f t="shared" si="3"/>
        <v>0</v>
      </c>
      <c r="J16" s="97">
        <f t="shared" si="1"/>
        <v>178200</v>
      </c>
      <c r="K16" s="97">
        <f t="shared" si="2"/>
        <v>0</v>
      </c>
      <c r="L16" s="134">
        <f>EDESUR!K7</f>
        <v>16203.454810263158</v>
      </c>
      <c r="M16" s="148"/>
      <c r="N16" s="133">
        <f t="shared" si="4"/>
        <v>188042.04</v>
      </c>
      <c r="O16" s="52">
        <f t="shared" si="5"/>
        <v>199325.04</v>
      </c>
      <c r="P16" s="53">
        <f t="shared" si="6"/>
        <v>193683.04</v>
      </c>
      <c r="Q16" s="27">
        <f t="shared" si="7"/>
        <v>0.04</v>
      </c>
    </row>
    <row r="17" spans="1:18" ht="17.100000000000001" customHeight="1" x14ac:dyDescent="0.25">
      <c r="A17" s="126">
        <v>5</v>
      </c>
      <c r="B17" s="126" t="s">
        <v>34</v>
      </c>
      <c r="C17" s="126" t="s">
        <v>35</v>
      </c>
      <c r="D17" s="126" t="s">
        <v>90</v>
      </c>
      <c r="E17" s="128">
        <v>6.6</v>
      </c>
      <c r="F17" s="50">
        <v>194403.05</v>
      </c>
      <c r="G17" s="257">
        <f>F17</f>
        <v>194403.05</v>
      </c>
      <c r="H17" s="129">
        <f t="shared" si="0"/>
        <v>0</v>
      </c>
      <c r="I17" s="129">
        <f t="shared" si="3"/>
        <v>0</v>
      </c>
      <c r="J17" s="130">
        <f t="shared" si="1"/>
        <v>178200</v>
      </c>
      <c r="K17" s="130">
        <f t="shared" si="2"/>
        <v>0</v>
      </c>
      <c r="L17" s="134">
        <f>EDESUR!K8</f>
        <v>16203.454810263158</v>
      </c>
      <c r="M17" s="149">
        <v>0</v>
      </c>
      <c r="N17" s="133">
        <f t="shared" si="4"/>
        <v>194403.05</v>
      </c>
      <c r="O17" s="131">
        <f t="shared" si="5"/>
        <v>206067.05</v>
      </c>
      <c r="P17" s="132">
        <f t="shared" si="6"/>
        <v>200235.05</v>
      </c>
      <c r="Q17" s="27">
        <f t="shared" si="7"/>
        <v>0.05</v>
      </c>
      <c r="R17" t="s">
        <v>115</v>
      </c>
    </row>
    <row r="18" spans="1:18" ht="17.100000000000001" customHeight="1" x14ac:dyDescent="0.25">
      <c r="A18" s="40">
        <v>6</v>
      </c>
      <c r="B18" s="40" t="s">
        <v>36</v>
      </c>
      <c r="C18" s="40" t="s">
        <v>37</v>
      </c>
      <c r="D18" s="40" t="s">
        <v>87</v>
      </c>
      <c r="E18" s="48">
        <v>5.4</v>
      </c>
      <c r="F18" s="49">
        <v>187201.06</v>
      </c>
      <c r="G18" s="257">
        <f>F18</f>
        <v>187201.06</v>
      </c>
      <c r="H18" s="51">
        <f t="shared" si="0"/>
        <v>0</v>
      </c>
      <c r="I18" s="51">
        <f t="shared" si="3"/>
        <v>0</v>
      </c>
      <c r="J18" s="97">
        <f t="shared" si="1"/>
        <v>145800.00000000003</v>
      </c>
      <c r="K18" s="97">
        <f t="shared" si="2"/>
        <v>0</v>
      </c>
      <c r="L18" s="134">
        <f>EDESUR!K9</f>
        <v>13257.372117488037</v>
      </c>
      <c r="M18" s="148"/>
      <c r="N18" s="133">
        <f t="shared" si="4"/>
        <v>159057.06</v>
      </c>
      <c r="O18" s="52">
        <f t="shared" si="5"/>
        <v>168600.06</v>
      </c>
      <c r="P18" s="53">
        <f t="shared" si="6"/>
        <v>163829.06</v>
      </c>
      <c r="Q18" s="27">
        <f t="shared" si="7"/>
        <v>6.0000000000000005E-2</v>
      </c>
    </row>
    <row r="19" spans="1:18" ht="17.100000000000001" customHeight="1" x14ac:dyDescent="0.25">
      <c r="A19" s="126">
        <v>7</v>
      </c>
      <c r="B19" s="126" t="s">
        <v>38</v>
      </c>
      <c r="C19" s="126" t="s">
        <v>39</v>
      </c>
      <c r="D19" s="126" t="s">
        <v>88</v>
      </c>
      <c r="E19" s="128">
        <v>5.4</v>
      </c>
      <c r="F19" s="50">
        <v>159057.07</v>
      </c>
      <c r="G19" s="257">
        <f>F19</f>
        <v>159057.07</v>
      </c>
      <c r="H19" s="129">
        <f t="shared" si="0"/>
        <v>0</v>
      </c>
      <c r="I19" s="129">
        <f t="shared" si="3"/>
        <v>0</v>
      </c>
      <c r="J19" s="130">
        <f t="shared" si="1"/>
        <v>145800.00000000003</v>
      </c>
      <c r="K19" s="130">
        <f t="shared" si="2"/>
        <v>0</v>
      </c>
      <c r="L19" s="134">
        <f>EDESUR!K6</f>
        <v>13257.372117488037</v>
      </c>
      <c r="M19" s="148"/>
      <c r="N19" s="133">
        <f t="shared" si="4"/>
        <v>159057.07</v>
      </c>
      <c r="O19" s="131">
        <f t="shared" si="5"/>
        <v>168600.07</v>
      </c>
      <c r="P19" s="132">
        <f t="shared" si="6"/>
        <v>163829.07</v>
      </c>
      <c r="Q19" s="27">
        <f t="shared" si="7"/>
        <v>7.0000000000000007E-2</v>
      </c>
    </row>
    <row r="20" spans="1:18" ht="17.100000000000001" customHeight="1" x14ac:dyDescent="0.25">
      <c r="A20" s="126">
        <v>8</v>
      </c>
      <c r="B20" s="126" t="s">
        <v>40</v>
      </c>
      <c r="C20" s="126" t="s">
        <v>41</v>
      </c>
      <c r="D20" s="127" t="s">
        <v>69</v>
      </c>
      <c r="E20" s="128">
        <v>6.6</v>
      </c>
      <c r="F20" s="50">
        <v>258648.08</v>
      </c>
      <c r="G20" s="257">
        <f>F20</f>
        <v>258648.08</v>
      </c>
      <c r="H20" s="129">
        <f t="shared" si="0"/>
        <v>0</v>
      </c>
      <c r="I20" s="129">
        <f t="shared" si="3"/>
        <v>0</v>
      </c>
      <c r="J20" s="130">
        <f t="shared" si="1"/>
        <v>178200</v>
      </c>
      <c r="K20" s="130">
        <f t="shared" si="2"/>
        <v>0</v>
      </c>
      <c r="L20" s="134">
        <f>EDESUR!K11</f>
        <v>80448.24873370814</v>
      </c>
      <c r="M20" s="148"/>
      <c r="N20" s="133">
        <f t="shared" si="4"/>
        <v>258648.08</v>
      </c>
      <c r="O20" s="131">
        <f t="shared" si="5"/>
        <v>274167.08</v>
      </c>
      <c r="P20" s="132">
        <f t="shared" si="6"/>
        <v>266407.07999999996</v>
      </c>
      <c r="Q20" s="27">
        <f t="shared" si="7"/>
        <v>0.08</v>
      </c>
    </row>
    <row r="21" spans="1:18" ht="17.100000000000001" customHeight="1" x14ac:dyDescent="0.25">
      <c r="A21" s="126">
        <v>9</v>
      </c>
      <c r="B21" s="126" t="s">
        <v>42</v>
      </c>
      <c r="C21" s="126" t="s">
        <v>43</v>
      </c>
      <c r="D21" s="127" t="s">
        <v>72</v>
      </c>
      <c r="E21" s="48">
        <v>6.6</v>
      </c>
      <c r="F21" s="49">
        <f>50000+182216.09</f>
        <v>232216.09</v>
      </c>
      <c r="G21" s="257">
        <f>F21</f>
        <v>232216.09</v>
      </c>
      <c r="H21" s="51">
        <f t="shared" si="0"/>
        <v>0</v>
      </c>
      <c r="I21" s="51">
        <f t="shared" si="3"/>
        <v>0</v>
      </c>
      <c r="J21" s="97">
        <f t="shared" si="1"/>
        <v>178200</v>
      </c>
      <c r="K21" s="97">
        <f t="shared" si="2"/>
        <v>0</v>
      </c>
      <c r="L21" s="134">
        <f>EDESUR!K12</f>
        <v>16203.454810263158</v>
      </c>
      <c r="M21" s="148">
        <v>0</v>
      </c>
      <c r="N21" s="133">
        <f t="shared" si="4"/>
        <v>194403.09</v>
      </c>
      <c r="O21" s="52">
        <f t="shared" si="5"/>
        <v>206067.09</v>
      </c>
      <c r="P21" s="53">
        <f t="shared" si="6"/>
        <v>200235.09</v>
      </c>
      <c r="Q21" s="27">
        <f t="shared" si="7"/>
        <v>0.09</v>
      </c>
    </row>
    <row r="22" spans="1:18" ht="17.100000000000001" customHeight="1" x14ac:dyDescent="0.25">
      <c r="A22" s="126">
        <v>10</v>
      </c>
      <c r="B22" s="126" t="s">
        <v>44</v>
      </c>
      <c r="C22" s="126" t="s">
        <v>45</v>
      </c>
      <c r="D22" s="127" t="s">
        <v>70</v>
      </c>
      <c r="E22" s="48">
        <v>5.4</v>
      </c>
      <c r="F22" s="49">
        <v>13257.1</v>
      </c>
      <c r="G22" s="257">
        <f>F22+RESUMEN!D38</f>
        <v>171245.39</v>
      </c>
      <c r="H22" s="51">
        <f>F22-G22</f>
        <v>-157988.29</v>
      </c>
      <c r="I22" s="51">
        <f t="shared" si="3"/>
        <v>0</v>
      </c>
      <c r="J22" s="97">
        <f t="shared" si="1"/>
        <v>145800.00000000003</v>
      </c>
      <c r="K22" s="97">
        <f t="shared" si="2"/>
        <v>0</v>
      </c>
      <c r="L22" s="134">
        <f>EDESUR!K13</f>
        <v>13257.372117488037</v>
      </c>
      <c r="M22" s="148"/>
      <c r="N22" s="133">
        <f t="shared" si="4"/>
        <v>1069.0999999999999</v>
      </c>
      <c r="O22" s="52">
        <f t="shared" si="5"/>
        <v>1133.0999999999999</v>
      </c>
      <c r="P22" s="53">
        <f t="shared" si="6"/>
        <v>1101.0999999999999</v>
      </c>
      <c r="Q22" s="27">
        <f t="shared" si="7"/>
        <v>9.9999999999999992E-2</v>
      </c>
    </row>
    <row r="23" spans="1:18" ht="17.100000000000001" customHeight="1" x14ac:dyDescent="0.25">
      <c r="A23" s="40">
        <v>11</v>
      </c>
      <c r="B23" s="40" t="s">
        <v>46</v>
      </c>
      <c r="C23" s="40" t="s">
        <v>47</v>
      </c>
      <c r="D23" s="41"/>
      <c r="E23" s="48">
        <v>5.4</v>
      </c>
      <c r="F23" s="49">
        <v>159057.10999999999</v>
      </c>
      <c r="G23" s="257">
        <f>167894.33-G34</f>
        <v>159057.10999999999</v>
      </c>
      <c r="H23" s="51">
        <f t="shared" si="0"/>
        <v>0</v>
      </c>
      <c r="I23" s="51">
        <f t="shared" si="3"/>
        <v>0</v>
      </c>
      <c r="J23" s="97">
        <f t="shared" si="1"/>
        <v>145800.00000000003</v>
      </c>
      <c r="K23" s="97">
        <f t="shared" si="2"/>
        <v>0</v>
      </c>
      <c r="L23" s="134">
        <f>EDESUR!K10</f>
        <v>13257.372117488037</v>
      </c>
      <c r="M23" s="148"/>
      <c r="N23" s="133">
        <f t="shared" si="4"/>
        <v>159057.10999999999</v>
      </c>
      <c r="O23" s="52">
        <f t="shared" si="5"/>
        <v>168601.11</v>
      </c>
      <c r="P23" s="53">
        <f t="shared" si="6"/>
        <v>163829.10999999999</v>
      </c>
      <c r="Q23" s="27">
        <f t="shared" si="7"/>
        <v>0.10999999999999999</v>
      </c>
      <c r="R23" t="s">
        <v>89</v>
      </c>
    </row>
    <row r="24" spans="1:18" ht="30" customHeight="1" x14ac:dyDescent="0.25">
      <c r="A24" s="40">
        <v>12</v>
      </c>
      <c r="B24" s="40" t="s">
        <v>48</v>
      </c>
      <c r="C24" s="40" t="s">
        <v>49</v>
      </c>
      <c r="D24" s="41" t="s">
        <v>71</v>
      </c>
      <c r="E24" s="48">
        <v>6.6</v>
      </c>
      <c r="F24" s="49">
        <v>194403.12</v>
      </c>
      <c r="G24" s="257">
        <f>F24</f>
        <v>194403.12</v>
      </c>
      <c r="H24" s="51">
        <f t="shared" si="0"/>
        <v>0</v>
      </c>
      <c r="I24" s="51">
        <f t="shared" si="3"/>
        <v>0</v>
      </c>
      <c r="J24" s="97">
        <f t="shared" si="1"/>
        <v>178200</v>
      </c>
      <c r="K24" s="97">
        <f t="shared" si="2"/>
        <v>0</v>
      </c>
      <c r="L24" s="134">
        <f>EDESUR!K15</f>
        <v>16203.454810263158</v>
      </c>
      <c r="M24" s="148"/>
      <c r="N24" s="133">
        <f t="shared" si="4"/>
        <v>194403.12</v>
      </c>
      <c r="O24" s="52">
        <f t="shared" si="5"/>
        <v>206067.12</v>
      </c>
      <c r="P24" s="53">
        <f t="shared" si="6"/>
        <v>200235.12</v>
      </c>
      <c r="Q24" s="27">
        <f t="shared" si="7"/>
        <v>0.11999999999999998</v>
      </c>
    </row>
    <row r="25" spans="1:18" ht="17.100000000000001" customHeight="1" x14ac:dyDescent="0.25">
      <c r="A25" s="40">
        <v>13</v>
      </c>
      <c r="B25" s="40" t="s">
        <v>50</v>
      </c>
      <c r="C25" s="40" t="s">
        <v>51</v>
      </c>
      <c r="D25" s="41" t="s">
        <v>86</v>
      </c>
      <c r="E25" s="48">
        <v>6.6</v>
      </c>
      <c r="F25" s="49">
        <v>194403.13</v>
      </c>
      <c r="G25" s="257">
        <v>200235.13</v>
      </c>
      <c r="H25" s="51">
        <f t="shared" si="0"/>
        <v>-5832</v>
      </c>
      <c r="I25" s="51">
        <f t="shared" si="3"/>
        <v>0</v>
      </c>
      <c r="J25" s="97">
        <f t="shared" si="1"/>
        <v>178200</v>
      </c>
      <c r="K25" s="97">
        <f t="shared" si="2"/>
        <v>0</v>
      </c>
      <c r="L25" s="134">
        <f>EDESUR!K16</f>
        <v>16203.454810263158</v>
      </c>
      <c r="M25" s="148"/>
      <c r="N25" s="133">
        <f t="shared" si="4"/>
        <v>188571.13</v>
      </c>
      <c r="O25" s="52">
        <f t="shared" si="5"/>
        <v>199885.13</v>
      </c>
      <c r="P25" s="53">
        <f t="shared" si="6"/>
        <v>194228.13</v>
      </c>
      <c r="Q25" s="27">
        <f t="shared" si="7"/>
        <v>0.12999999999999998</v>
      </c>
    </row>
    <row r="26" spans="1:18" ht="17.100000000000001" customHeight="1" x14ac:dyDescent="0.25">
      <c r="A26" s="126">
        <v>14</v>
      </c>
      <c r="B26" s="126" t="s">
        <v>52</v>
      </c>
      <c r="C26" s="126" t="s">
        <v>53</v>
      </c>
      <c r="D26" s="127"/>
      <c r="E26" s="128">
        <v>5.4</v>
      </c>
      <c r="F26" s="50">
        <v>159057.14000000001</v>
      </c>
      <c r="G26" s="257">
        <f>F26</f>
        <v>159057.14000000001</v>
      </c>
      <c r="H26" s="129">
        <f t="shared" si="0"/>
        <v>0</v>
      </c>
      <c r="I26" s="129">
        <f t="shared" si="3"/>
        <v>0</v>
      </c>
      <c r="J26" s="130">
        <f t="shared" si="1"/>
        <v>145800.00000000003</v>
      </c>
      <c r="K26" s="130">
        <f t="shared" si="2"/>
        <v>0</v>
      </c>
      <c r="L26" s="134">
        <f>EDESUR!K17</f>
        <v>13257.372117488037</v>
      </c>
      <c r="M26" s="149"/>
      <c r="N26" s="133">
        <f t="shared" si="4"/>
        <v>159057.14000000001</v>
      </c>
      <c r="O26" s="131">
        <f t="shared" si="5"/>
        <v>168601.14</v>
      </c>
      <c r="P26" s="132">
        <f t="shared" si="6"/>
        <v>163829.14000000001</v>
      </c>
      <c r="Q26" s="27">
        <f t="shared" si="7"/>
        <v>0.13999999999999999</v>
      </c>
    </row>
    <row r="27" spans="1:18" ht="17.100000000000001" customHeight="1" x14ac:dyDescent="0.25">
      <c r="A27" s="40">
        <v>15</v>
      </c>
      <c r="B27" s="40" t="s">
        <v>54</v>
      </c>
      <c r="C27" s="40" t="s">
        <v>55</v>
      </c>
      <c r="D27" s="41"/>
      <c r="E27" s="48">
        <v>5.4</v>
      </c>
      <c r="F27" s="49">
        <v>159057.15</v>
      </c>
      <c r="G27" s="257">
        <f>F27</f>
        <v>159057.15</v>
      </c>
      <c r="H27" s="51">
        <f t="shared" si="0"/>
        <v>0</v>
      </c>
      <c r="I27" s="51">
        <f t="shared" si="3"/>
        <v>0</v>
      </c>
      <c r="J27" s="97">
        <f t="shared" si="1"/>
        <v>145800.00000000003</v>
      </c>
      <c r="K27" s="97">
        <f t="shared" si="2"/>
        <v>0</v>
      </c>
      <c r="L27" s="134">
        <f>EDESUR!K14</f>
        <v>13257.372117488037</v>
      </c>
      <c r="M27" s="148"/>
      <c r="N27" s="133">
        <f t="shared" si="4"/>
        <v>159057.15</v>
      </c>
      <c r="O27" s="52">
        <f t="shared" si="5"/>
        <v>168601.15</v>
      </c>
      <c r="P27" s="53">
        <f t="shared" si="6"/>
        <v>163829.15</v>
      </c>
      <c r="Q27" s="27">
        <f t="shared" si="7"/>
        <v>0.15</v>
      </c>
    </row>
    <row r="28" spans="1:18" ht="17.100000000000001" customHeight="1" x14ac:dyDescent="0.25">
      <c r="A28" s="126">
        <v>16</v>
      </c>
      <c r="B28" s="126" t="s">
        <v>56</v>
      </c>
      <c r="C28" s="126" t="s">
        <v>37</v>
      </c>
      <c r="D28" s="40" t="s">
        <v>87</v>
      </c>
      <c r="E28" s="48">
        <v>0.7</v>
      </c>
      <c r="F28" s="49">
        <v>24542.16</v>
      </c>
      <c r="G28" s="257">
        <f>F28</f>
        <v>24542.16</v>
      </c>
      <c r="H28" s="51">
        <f t="shared" si="0"/>
        <v>0</v>
      </c>
      <c r="I28" s="51">
        <f t="shared" si="3"/>
        <v>0</v>
      </c>
      <c r="J28" s="97">
        <f t="shared" si="1"/>
        <v>18899.999999999996</v>
      </c>
      <c r="K28" s="97">
        <f t="shared" si="2"/>
        <v>0</v>
      </c>
      <c r="L28" s="134">
        <f>EDESUR!K20</f>
        <v>1718.548237452153</v>
      </c>
      <c r="M28" s="148"/>
      <c r="N28" s="133">
        <f t="shared" si="4"/>
        <v>20619.16</v>
      </c>
      <c r="O28" s="52">
        <f t="shared" si="5"/>
        <v>21856.16</v>
      </c>
      <c r="P28" s="53">
        <f t="shared" si="6"/>
        <v>21238.16</v>
      </c>
      <c r="Q28" s="27">
        <f t="shared" si="7"/>
        <v>0.16</v>
      </c>
    </row>
    <row r="29" spans="1:18" ht="17.100000000000001" customHeight="1" x14ac:dyDescent="0.25">
      <c r="A29" s="126">
        <v>17</v>
      </c>
      <c r="B29" s="126" t="s">
        <v>57</v>
      </c>
      <c r="C29" s="126" t="s">
        <v>27</v>
      </c>
      <c r="D29" s="41"/>
      <c r="E29" s="48">
        <v>0.6</v>
      </c>
      <c r="F29" s="50">
        <v>18203.169999999998</v>
      </c>
      <c r="G29" s="257">
        <f>F29</f>
        <v>18203.169999999998</v>
      </c>
      <c r="H29" s="51">
        <f t="shared" si="0"/>
        <v>0</v>
      </c>
      <c r="I29" s="51">
        <f t="shared" si="3"/>
        <v>0</v>
      </c>
      <c r="J29" s="97">
        <f t="shared" si="1"/>
        <v>16200</v>
      </c>
      <c r="K29" s="97">
        <f t="shared" si="2"/>
        <v>0</v>
      </c>
      <c r="L29" s="134">
        <f>EDESUR!K21</f>
        <v>1473.0413463875598</v>
      </c>
      <c r="M29" s="148"/>
      <c r="N29" s="133">
        <f t="shared" si="4"/>
        <v>17673.169999999998</v>
      </c>
      <c r="O29" s="52">
        <f t="shared" si="5"/>
        <v>18734.169999999998</v>
      </c>
      <c r="P29" s="53">
        <f t="shared" si="6"/>
        <v>18203.169999999998</v>
      </c>
      <c r="Q29" s="27">
        <f t="shared" si="7"/>
        <v>0.17</v>
      </c>
    </row>
    <row r="30" spans="1:18" ht="17.100000000000001" customHeight="1" x14ac:dyDescent="0.25">
      <c r="A30" s="40">
        <v>18</v>
      </c>
      <c r="B30" s="40" t="s">
        <v>58</v>
      </c>
      <c r="C30" s="40" t="s">
        <v>27</v>
      </c>
      <c r="D30" s="83"/>
      <c r="E30" s="48">
        <v>0.6</v>
      </c>
      <c r="F30" s="49">
        <v>18203.18</v>
      </c>
      <c r="G30" s="257">
        <f>F30</f>
        <v>18203.18</v>
      </c>
      <c r="H30" s="51">
        <f t="shared" si="0"/>
        <v>0</v>
      </c>
      <c r="I30" s="51">
        <f t="shared" si="3"/>
        <v>0</v>
      </c>
      <c r="J30" s="97">
        <f t="shared" si="1"/>
        <v>16200</v>
      </c>
      <c r="K30" s="97">
        <f t="shared" si="2"/>
        <v>0</v>
      </c>
      <c r="L30" s="134">
        <f>EDESUR!K22</f>
        <v>1473.0413463875598</v>
      </c>
      <c r="M30" s="148"/>
      <c r="N30" s="133">
        <f t="shared" si="4"/>
        <v>17673.18</v>
      </c>
      <c r="O30" s="52">
        <f t="shared" si="5"/>
        <v>18734.18</v>
      </c>
      <c r="P30" s="53">
        <f t="shared" si="6"/>
        <v>18203.18</v>
      </c>
      <c r="Q30" s="27">
        <f t="shared" si="7"/>
        <v>0.18000000000000002</v>
      </c>
    </row>
    <row r="31" spans="1:18" x14ac:dyDescent="0.25">
      <c r="A31" s="126">
        <v>19</v>
      </c>
      <c r="B31" s="126" t="s">
        <v>59</v>
      </c>
      <c r="C31" s="126" t="s">
        <v>49</v>
      </c>
      <c r="D31" s="127"/>
      <c r="E31" s="128">
        <v>0.6</v>
      </c>
      <c r="F31" s="50">
        <v>17673.189999999999</v>
      </c>
      <c r="G31" s="257">
        <f>F31</f>
        <v>17673.189999999999</v>
      </c>
      <c r="H31" s="129">
        <f t="shared" si="0"/>
        <v>0</v>
      </c>
      <c r="I31" s="129">
        <f t="shared" si="3"/>
        <v>0</v>
      </c>
      <c r="J31" s="130">
        <f t="shared" si="1"/>
        <v>16200</v>
      </c>
      <c r="K31" s="130">
        <f t="shared" si="2"/>
        <v>0</v>
      </c>
      <c r="L31" s="134">
        <f>EDESUR!K23</f>
        <v>1473.0413463875598</v>
      </c>
      <c r="M31" s="149"/>
      <c r="N31" s="133">
        <f t="shared" si="4"/>
        <v>17673.189999999999</v>
      </c>
      <c r="O31" s="131"/>
      <c r="P31" s="132">
        <f t="shared" si="6"/>
        <v>18203.189999999999</v>
      </c>
      <c r="Q31" s="27">
        <f>Q30+0.01</f>
        <v>0.19000000000000003</v>
      </c>
    </row>
    <row r="32" spans="1:18" ht="23.25" x14ac:dyDescent="0.25">
      <c r="A32" s="54">
        <v>20</v>
      </c>
      <c r="B32" s="54" t="s">
        <v>60</v>
      </c>
      <c r="C32" s="40" t="s">
        <v>33</v>
      </c>
      <c r="D32" s="41" t="s">
        <v>121</v>
      </c>
      <c r="E32" s="48">
        <v>0.6</v>
      </c>
      <c r="F32" s="56">
        <v>17673.2</v>
      </c>
      <c r="G32" s="257">
        <f>F32</f>
        <v>17673.2</v>
      </c>
      <c r="H32" s="51">
        <f t="shared" si="0"/>
        <v>0</v>
      </c>
      <c r="I32" s="51">
        <f t="shared" si="3"/>
        <v>0</v>
      </c>
      <c r="J32" s="97">
        <f t="shared" si="1"/>
        <v>16200</v>
      </c>
      <c r="K32" s="97">
        <f t="shared" si="2"/>
        <v>0</v>
      </c>
      <c r="L32" s="134">
        <f>EDESUR!K24</f>
        <v>1473.0413463875598</v>
      </c>
      <c r="M32" s="148"/>
      <c r="N32" s="133">
        <f t="shared" si="4"/>
        <v>17673.2</v>
      </c>
      <c r="O32" s="52"/>
      <c r="P32" s="53">
        <f t="shared" si="6"/>
        <v>18203.2</v>
      </c>
      <c r="Q32" s="27">
        <f t="shared" ref="Q32:Q35" si="8">Q31+0.01</f>
        <v>0.20000000000000004</v>
      </c>
    </row>
    <row r="33" spans="1:17" x14ac:dyDescent="0.25">
      <c r="A33" s="54">
        <v>21</v>
      </c>
      <c r="B33" s="54" t="s">
        <v>61</v>
      </c>
      <c r="C33" s="42" t="s">
        <v>45</v>
      </c>
      <c r="D33" s="41" t="s">
        <v>70</v>
      </c>
      <c r="E33" s="48">
        <v>0.3</v>
      </c>
      <c r="F33" s="56">
        <v>8837.2099999999991</v>
      </c>
      <c r="G33" s="257">
        <f>F33</f>
        <v>8837.2099999999991</v>
      </c>
      <c r="H33" s="51">
        <f t="shared" si="0"/>
        <v>0</v>
      </c>
      <c r="I33" s="51">
        <f t="shared" si="3"/>
        <v>0</v>
      </c>
      <c r="J33" s="97">
        <f t="shared" si="1"/>
        <v>8100</v>
      </c>
      <c r="K33" s="97">
        <f t="shared" si="2"/>
        <v>0</v>
      </c>
      <c r="L33" s="134">
        <f>EDESUR!K25</f>
        <v>736.52067319377988</v>
      </c>
      <c r="M33" s="148"/>
      <c r="N33" s="133">
        <f t="shared" si="4"/>
        <v>8837.2099999999991</v>
      </c>
      <c r="O33" s="52"/>
      <c r="P33" s="53">
        <f t="shared" si="6"/>
        <v>9102.2099999999991</v>
      </c>
      <c r="Q33" s="27">
        <f t="shared" si="8"/>
        <v>0.21000000000000005</v>
      </c>
    </row>
    <row r="34" spans="1:17" x14ac:dyDescent="0.25">
      <c r="A34" s="55">
        <v>22</v>
      </c>
      <c r="B34" s="55" t="s">
        <v>62</v>
      </c>
      <c r="C34" s="40" t="s">
        <v>47</v>
      </c>
      <c r="D34" s="41"/>
      <c r="E34" s="48">
        <v>0.3</v>
      </c>
      <c r="F34" s="56">
        <v>8837.2199999999993</v>
      </c>
      <c r="G34" s="258">
        <f t="shared" ref="G34" si="9">F34</f>
        <v>8837.2199999999993</v>
      </c>
      <c r="H34" s="51">
        <f t="shared" si="0"/>
        <v>0</v>
      </c>
      <c r="I34" s="51">
        <f t="shared" si="3"/>
        <v>0</v>
      </c>
      <c r="J34" s="97">
        <f t="shared" si="1"/>
        <v>8100</v>
      </c>
      <c r="K34" s="97">
        <f t="shared" si="2"/>
        <v>0</v>
      </c>
      <c r="L34" s="134">
        <f>EDESUR!K26</f>
        <v>736.52067319377988</v>
      </c>
      <c r="M34" s="148"/>
      <c r="N34" s="133">
        <f t="shared" si="4"/>
        <v>8837.2199999999993</v>
      </c>
      <c r="O34" s="52"/>
      <c r="P34" s="53">
        <f t="shared" si="6"/>
        <v>9102.2199999999993</v>
      </c>
      <c r="Q34" s="27">
        <f t="shared" si="8"/>
        <v>0.22000000000000006</v>
      </c>
    </row>
    <row r="35" spans="1:17" ht="17.100000000000001" customHeight="1" thickBot="1" x14ac:dyDescent="0.3">
      <c r="A35" s="40">
        <v>23</v>
      </c>
      <c r="B35" s="57" t="s">
        <v>63</v>
      </c>
      <c r="C35" s="57" t="s">
        <v>64</v>
      </c>
      <c r="D35" s="41" t="s">
        <v>68</v>
      </c>
      <c r="E35" s="48">
        <v>0.3</v>
      </c>
      <c r="F35" s="56">
        <v>8837.23</v>
      </c>
      <c r="G35" s="257">
        <f>F35</f>
        <v>8837.23</v>
      </c>
      <c r="H35" s="51">
        <f t="shared" si="0"/>
        <v>0</v>
      </c>
      <c r="I35" s="51">
        <f t="shared" si="3"/>
        <v>0</v>
      </c>
      <c r="J35" s="97">
        <f t="shared" si="1"/>
        <v>8100</v>
      </c>
      <c r="K35" s="97">
        <f t="shared" si="2"/>
        <v>0</v>
      </c>
      <c r="L35" s="134">
        <f>EDESUR!K27</f>
        <v>736.52067319377988</v>
      </c>
      <c r="M35" s="148"/>
      <c r="N35" s="133">
        <f t="shared" si="4"/>
        <v>8837.23</v>
      </c>
      <c r="O35" s="58"/>
      <c r="P35" s="53">
        <f t="shared" si="6"/>
        <v>9102.23</v>
      </c>
      <c r="Q35" s="27">
        <f t="shared" si="8"/>
        <v>0.23000000000000007</v>
      </c>
    </row>
    <row r="36" spans="1:17" ht="17.100000000000001" customHeight="1" thickBot="1" x14ac:dyDescent="0.3">
      <c r="A36" s="59"/>
      <c r="B36" s="59"/>
      <c r="C36" s="60"/>
      <c r="D36" s="60"/>
      <c r="E36" s="103">
        <f>SUM(E13:E35)</f>
        <v>99.999999999999986</v>
      </c>
      <c r="F36" s="34">
        <f>SUM(F13:F35)</f>
        <v>3077900.7600000012</v>
      </c>
      <c r="G36" s="38">
        <f>SUM(G13:G35)</f>
        <v>3248082.4500000007</v>
      </c>
      <c r="H36" s="38">
        <f>SUM(H13:H35)</f>
        <v>-170181.69</v>
      </c>
      <c r="I36" s="38">
        <f t="shared" ref="I36:O36" si="10">SUM(I13:I35)</f>
        <v>1.0799999999580905E-2</v>
      </c>
      <c r="J36" s="86">
        <f t="shared" si="10"/>
        <v>2700000</v>
      </c>
      <c r="K36" s="38">
        <f t="shared" si="10"/>
        <v>0</v>
      </c>
      <c r="L36" s="61">
        <f>SUM(L13:L35)</f>
        <v>442653.69000000029</v>
      </c>
      <c r="M36" s="61"/>
      <c r="N36" s="61">
        <f>SUM(N13:N35)</f>
        <v>2972471.7600000012</v>
      </c>
      <c r="O36" s="61">
        <f t="shared" si="10"/>
        <v>3085251.7100000004</v>
      </c>
      <c r="P36" s="61">
        <f>SUM(P13:P35)</f>
        <v>3061645.7600000012</v>
      </c>
    </row>
    <row r="37" spans="1:17" ht="12.75" customHeight="1" x14ac:dyDescent="0.25">
      <c r="C37" s="33"/>
      <c r="D37" s="33"/>
    </row>
    <row r="38" spans="1:17" hidden="1" x14ac:dyDescent="0.25"/>
    <row r="39" spans="1:17" ht="9" customHeight="1" x14ac:dyDescent="0.25">
      <c r="C39" s="20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9"/>
      <c r="E39" s="209"/>
      <c r="F39" s="209"/>
      <c r="G39" s="209"/>
      <c r="H39" s="209"/>
      <c r="I39" s="209"/>
      <c r="J39" s="209"/>
      <c r="K39" s="209"/>
      <c r="L39" s="209"/>
      <c r="M39" s="209"/>
      <c r="N39" s="209"/>
    </row>
    <row r="40" spans="1:17" ht="12" hidden="1" customHeight="1" x14ac:dyDescent="0.25">
      <c r="C40" s="209"/>
      <c r="D40" s="209"/>
      <c r="E40" s="209"/>
      <c r="F40" s="209"/>
      <c r="G40" s="209"/>
      <c r="H40" s="209"/>
      <c r="I40" s="209"/>
      <c r="J40" s="209"/>
      <c r="K40" s="209"/>
      <c r="L40" s="209"/>
      <c r="M40" s="209"/>
      <c r="N40" s="209"/>
    </row>
    <row r="41" spans="1:17" ht="12" hidden="1" customHeight="1" x14ac:dyDescent="0.25"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</row>
    <row r="42" spans="1:17" ht="12" hidden="1" customHeight="1" x14ac:dyDescent="0.25">
      <c r="C42" s="209"/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09"/>
    </row>
    <row r="43" spans="1:17" ht="12" hidden="1" customHeight="1" x14ac:dyDescent="0.25"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</row>
    <row r="44" spans="1:17" ht="67.5" customHeight="1" x14ac:dyDescent="0.25">
      <c r="C44" s="209"/>
      <c r="D44" s="209"/>
      <c r="E44" s="209"/>
      <c r="F44" s="209"/>
      <c r="G44" s="209"/>
      <c r="H44" s="209"/>
      <c r="I44" s="209"/>
      <c r="J44" s="209"/>
      <c r="K44" s="209"/>
      <c r="L44" s="209"/>
      <c r="M44" s="209"/>
      <c r="N44" s="209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5" x14ac:dyDescent="0.25"/>
  <sheetData>
    <row r="3" spans="3:3" x14ac:dyDescent="0.25">
      <c r="C3" s="208" t="s">
        <v>144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2E191-9409-46F3-B653-02D2C9674BEA}">
  <dimension ref="B2:K39"/>
  <sheetViews>
    <sheetView topLeftCell="A10" workbookViewId="0">
      <selection activeCell="K17" sqref="K17"/>
    </sheetView>
  </sheetViews>
  <sheetFormatPr baseColWidth="10" defaultColWidth="9.140625" defaultRowHeight="15" x14ac:dyDescent="0.25"/>
  <cols>
    <col min="1" max="1" width="3.140625" style="1" customWidth="1"/>
    <col min="2" max="2" width="9" style="1" customWidth="1"/>
    <col min="3" max="3" width="6.7109375" style="1" customWidth="1"/>
    <col min="4" max="4" width="13.140625" style="1" customWidth="1"/>
    <col min="5" max="5" width="13.28515625" style="199" customWidth="1"/>
    <col min="6" max="6" width="13" style="199" customWidth="1"/>
    <col min="7" max="7" width="18.140625" style="199" customWidth="1"/>
    <col min="8" max="8" width="18.42578125" style="199" customWidth="1"/>
    <col min="9" max="9" width="11.5703125" style="1" customWidth="1"/>
    <col min="10" max="10" width="15" style="1" customWidth="1"/>
    <col min="11" max="11" width="15.7109375" style="199" customWidth="1"/>
    <col min="12" max="12" width="2.7109375" style="1" customWidth="1"/>
    <col min="13" max="16384" width="9.140625" style="1"/>
  </cols>
  <sheetData>
    <row r="2" spans="2:11" x14ac:dyDescent="0.25">
      <c r="B2" s="106" t="s">
        <v>79</v>
      </c>
      <c r="C2" s="106" t="s">
        <v>80</v>
      </c>
      <c r="D2" s="181" t="s">
        <v>126</v>
      </c>
      <c r="E2" s="181" t="s">
        <v>127</v>
      </c>
      <c r="F2" s="106" t="s">
        <v>128</v>
      </c>
      <c r="G2" s="106" t="s">
        <v>129</v>
      </c>
      <c r="H2" s="107" t="s">
        <v>130</v>
      </c>
      <c r="I2" s="106"/>
      <c r="J2" s="182" t="s">
        <v>131</v>
      </c>
      <c r="K2" s="107" t="s">
        <v>132</v>
      </c>
    </row>
    <row r="3" spans="2:11" x14ac:dyDescent="0.25">
      <c r="B3" s="183">
        <v>1</v>
      </c>
      <c r="C3" s="183" t="s">
        <v>81</v>
      </c>
      <c r="D3" s="184">
        <v>8687.5</v>
      </c>
      <c r="E3" s="184">
        <v>8687.5</v>
      </c>
      <c r="F3" s="185">
        <f>(E3-D3)</f>
        <v>0</v>
      </c>
      <c r="G3" s="186">
        <f>F3/F32</f>
        <v>0</v>
      </c>
      <c r="H3" s="187">
        <f>(F3/F32)*H32</f>
        <v>0</v>
      </c>
      <c r="I3" s="188">
        <v>0.12</v>
      </c>
      <c r="J3" s="151">
        <f>H34*I3</f>
        <v>29460.826927751194</v>
      </c>
      <c r="K3" s="150">
        <f>H3+J3</f>
        <v>29460.826927751194</v>
      </c>
    </row>
    <row r="4" spans="2:11" x14ac:dyDescent="0.25">
      <c r="B4" s="189">
        <v>1</v>
      </c>
      <c r="C4" s="189" t="s">
        <v>82</v>
      </c>
      <c r="D4" s="190">
        <v>4488.6000000000004</v>
      </c>
      <c r="E4" s="190">
        <v>4865.1000000000004</v>
      </c>
      <c r="F4" s="191">
        <f>(E4-D4)</f>
        <v>376.5</v>
      </c>
      <c r="G4" s="192">
        <f>F4/F32</f>
        <v>0.67412712623097581</v>
      </c>
      <c r="H4" s="187">
        <f>(F4/F32)*H32</f>
        <v>132902.00501196174</v>
      </c>
      <c r="I4" s="193">
        <v>6.6000000000000003E-2</v>
      </c>
      <c r="J4" s="151">
        <f>H34*I4</f>
        <v>16203.454810263158</v>
      </c>
      <c r="K4" s="150">
        <f t="shared" ref="K4:K28" si="0">H4+J4</f>
        <v>149105.45982222489</v>
      </c>
    </row>
    <row r="5" spans="2:11" x14ac:dyDescent="0.25">
      <c r="B5" s="189">
        <v>1</v>
      </c>
      <c r="C5" s="189" t="s">
        <v>83</v>
      </c>
      <c r="D5" s="184">
        <v>2366.38</v>
      </c>
      <c r="E5" s="184">
        <v>2366.38</v>
      </c>
      <c r="F5" s="185">
        <f t="shared" ref="F5:F17" si="1">(E5-D5)</f>
        <v>0</v>
      </c>
      <c r="G5" s="186">
        <f>F5/F32</f>
        <v>0</v>
      </c>
      <c r="H5" s="187">
        <f>(F5/F32)*H32</f>
        <v>0</v>
      </c>
      <c r="I5" s="193">
        <v>5.3999999999999999E-2</v>
      </c>
      <c r="J5" s="151">
        <f>H34*I5</f>
        <v>13257.372117488037</v>
      </c>
      <c r="K5" s="150">
        <f t="shared" si="0"/>
        <v>13257.372117488037</v>
      </c>
    </row>
    <row r="6" spans="2:11" x14ac:dyDescent="0.25">
      <c r="B6" s="183">
        <v>2</v>
      </c>
      <c r="C6" s="183" t="s">
        <v>81</v>
      </c>
      <c r="D6" s="184">
        <v>3731.1</v>
      </c>
      <c r="E6" s="184">
        <v>3731.1</v>
      </c>
      <c r="F6" s="185">
        <f t="shared" si="1"/>
        <v>0</v>
      </c>
      <c r="G6" s="186">
        <f>F6/F32</f>
        <v>0</v>
      </c>
      <c r="H6" s="187">
        <f>(F6/F32)*H32</f>
        <v>0</v>
      </c>
      <c r="I6" s="193">
        <v>5.3999999999999999E-2</v>
      </c>
      <c r="J6" s="151">
        <f>H34*I6</f>
        <v>13257.372117488037</v>
      </c>
      <c r="K6" s="150">
        <f t="shared" si="0"/>
        <v>13257.372117488037</v>
      </c>
    </row>
    <row r="7" spans="2:11" x14ac:dyDescent="0.25">
      <c r="B7" s="183">
        <v>2</v>
      </c>
      <c r="C7" s="183" t="s">
        <v>84</v>
      </c>
      <c r="D7" s="184">
        <v>3897.7</v>
      </c>
      <c r="E7" s="184">
        <v>3897.7</v>
      </c>
      <c r="F7" s="185">
        <f t="shared" si="1"/>
        <v>0</v>
      </c>
      <c r="G7" s="186">
        <f>F7/F32</f>
        <v>0</v>
      </c>
      <c r="H7" s="187">
        <f>(F7/F32)*H32</f>
        <v>0</v>
      </c>
      <c r="I7" s="193">
        <v>6.6000000000000003E-2</v>
      </c>
      <c r="J7" s="151">
        <f>H34*I7</f>
        <v>16203.454810263158</v>
      </c>
      <c r="K7" s="150">
        <f t="shared" si="0"/>
        <v>16203.454810263158</v>
      </c>
    </row>
    <row r="8" spans="2:11" x14ac:dyDescent="0.25">
      <c r="B8" s="183">
        <v>2</v>
      </c>
      <c r="C8" s="183" t="s">
        <v>82</v>
      </c>
      <c r="D8" s="184">
        <v>2956.2</v>
      </c>
      <c r="E8" s="184">
        <v>2956.2</v>
      </c>
      <c r="F8" s="185">
        <f t="shared" si="1"/>
        <v>0</v>
      </c>
      <c r="G8" s="186">
        <f>F8/F32</f>
        <v>0</v>
      </c>
      <c r="H8" s="187">
        <f>(F8/F32)*H32</f>
        <v>0</v>
      </c>
      <c r="I8" s="193">
        <v>6.6000000000000003E-2</v>
      </c>
      <c r="J8" s="151">
        <f>H34*I8</f>
        <v>16203.454810263158</v>
      </c>
      <c r="K8" s="150">
        <f t="shared" si="0"/>
        <v>16203.454810263158</v>
      </c>
    </row>
    <row r="9" spans="2:11" x14ac:dyDescent="0.25">
      <c r="B9" s="183">
        <v>2</v>
      </c>
      <c r="C9" s="183" t="s">
        <v>83</v>
      </c>
      <c r="D9" s="184">
        <v>3923.7</v>
      </c>
      <c r="E9" s="184">
        <v>3923.7</v>
      </c>
      <c r="F9" s="185">
        <f t="shared" si="1"/>
        <v>0</v>
      </c>
      <c r="G9" s="186">
        <f>F9/F32</f>
        <v>0</v>
      </c>
      <c r="H9" s="194">
        <f>(F9/F32)*H32</f>
        <v>0</v>
      </c>
      <c r="I9" s="193">
        <v>5.3999999999999999E-2</v>
      </c>
      <c r="J9" s="151">
        <f>H34*I9</f>
        <v>13257.372117488037</v>
      </c>
      <c r="K9" s="150">
        <f t="shared" si="0"/>
        <v>13257.372117488037</v>
      </c>
    </row>
    <row r="10" spans="2:11" x14ac:dyDescent="0.25">
      <c r="B10" s="183">
        <v>3</v>
      </c>
      <c r="C10" s="183" t="s">
        <v>81</v>
      </c>
      <c r="D10" s="184">
        <v>2881.8</v>
      </c>
      <c r="E10" s="184">
        <v>2881.8</v>
      </c>
      <c r="F10" s="185">
        <f t="shared" si="1"/>
        <v>0</v>
      </c>
      <c r="G10" s="186">
        <f>F10/F32</f>
        <v>0</v>
      </c>
      <c r="H10" s="187">
        <f>(F10/F32)*H32</f>
        <v>0</v>
      </c>
      <c r="I10" s="193">
        <v>5.3999999999999999E-2</v>
      </c>
      <c r="J10" s="151">
        <f>H34*I10</f>
        <v>13257.372117488037</v>
      </c>
      <c r="K10" s="150">
        <f t="shared" si="0"/>
        <v>13257.372117488037</v>
      </c>
    </row>
    <row r="11" spans="2:11" x14ac:dyDescent="0.25">
      <c r="B11" s="189">
        <v>3</v>
      </c>
      <c r="C11" s="189" t="s">
        <v>84</v>
      </c>
      <c r="D11" s="190">
        <v>4646</v>
      </c>
      <c r="E11" s="190">
        <v>4828</v>
      </c>
      <c r="F11" s="191">
        <f t="shared" si="1"/>
        <v>182</v>
      </c>
      <c r="G11" s="192">
        <f>F11/F32</f>
        <v>0.32587287376902419</v>
      </c>
      <c r="H11" s="187">
        <f>(F11/F32)*H32</f>
        <v>64244.793923444988</v>
      </c>
      <c r="I11" s="193">
        <v>6.6000000000000003E-2</v>
      </c>
      <c r="J11" s="151">
        <f>H34*I11</f>
        <v>16203.454810263158</v>
      </c>
      <c r="K11" s="150">
        <f t="shared" si="0"/>
        <v>80448.24873370814</v>
      </c>
    </row>
    <row r="12" spans="2:11" x14ac:dyDescent="0.25">
      <c r="B12" s="183">
        <v>3</v>
      </c>
      <c r="C12" s="183" t="s">
        <v>82</v>
      </c>
      <c r="D12" s="184">
        <v>4554.6000000000004</v>
      </c>
      <c r="E12" s="184">
        <v>4554.6000000000004</v>
      </c>
      <c r="F12" s="185">
        <f t="shared" si="1"/>
        <v>0</v>
      </c>
      <c r="G12" s="186">
        <f>F12/F32</f>
        <v>0</v>
      </c>
      <c r="H12" s="187">
        <f>(F12/F32)*H32</f>
        <v>0</v>
      </c>
      <c r="I12" s="193">
        <v>6.6000000000000003E-2</v>
      </c>
      <c r="J12" s="151">
        <f>H34*I12</f>
        <v>16203.454810263158</v>
      </c>
      <c r="K12" s="150">
        <f t="shared" si="0"/>
        <v>16203.454810263158</v>
      </c>
    </row>
    <row r="13" spans="2:11" x14ac:dyDescent="0.25">
      <c r="B13" s="183">
        <v>3</v>
      </c>
      <c r="C13" s="183" t="s">
        <v>83</v>
      </c>
      <c r="D13" s="184">
        <v>4138.6000000000004</v>
      </c>
      <c r="E13" s="184">
        <v>4138.6000000000004</v>
      </c>
      <c r="F13" s="185">
        <f t="shared" si="1"/>
        <v>0</v>
      </c>
      <c r="G13" s="186">
        <f>F13/F32</f>
        <v>0</v>
      </c>
      <c r="H13" s="187">
        <f>(F13/F32)*H32</f>
        <v>0</v>
      </c>
      <c r="I13" s="193">
        <v>5.3999999999999999E-2</v>
      </c>
      <c r="J13" s="151">
        <f>H34*I13</f>
        <v>13257.372117488037</v>
      </c>
      <c r="K13" s="150">
        <f t="shared" si="0"/>
        <v>13257.372117488037</v>
      </c>
    </row>
    <row r="14" spans="2:11" x14ac:dyDescent="0.25">
      <c r="B14" s="183">
        <v>4</v>
      </c>
      <c r="C14" s="183" t="s">
        <v>81</v>
      </c>
      <c r="D14" s="184">
        <v>8190.4</v>
      </c>
      <c r="E14" s="184">
        <v>8190.4</v>
      </c>
      <c r="F14" s="185">
        <f t="shared" si="1"/>
        <v>0</v>
      </c>
      <c r="G14" s="186">
        <f>F14/F32</f>
        <v>0</v>
      </c>
      <c r="H14" s="187">
        <f>(F14/F32)*H32</f>
        <v>0</v>
      </c>
      <c r="I14" s="193">
        <v>5.3999999999999999E-2</v>
      </c>
      <c r="J14" s="151">
        <f>H34*I14</f>
        <v>13257.372117488037</v>
      </c>
      <c r="K14" s="150">
        <f t="shared" si="0"/>
        <v>13257.372117488037</v>
      </c>
    </row>
    <row r="15" spans="2:11" x14ac:dyDescent="0.25">
      <c r="B15" s="183">
        <v>4</v>
      </c>
      <c r="C15" s="183" t="s">
        <v>84</v>
      </c>
      <c r="D15" s="184">
        <v>3475.3</v>
      </c>
      <c r="E15" s="184">
        <v>3475.3</v>
      </c>
      <c r="F15" s="185">
        <f t="shared" si="1"/>
        <v>0</v>
      </c>
      <c r="G15" s="186">
        <f>F15/F32</f>
        <v>0</v>
      </c>
      <c r="H15" s="187">
        <f>(F15/F32)*H32</f>
        <v>0</v>
      </c>
      <c r="I15" s="193">
        <v>6.6000000000000003E-2</v>
      </c>
      <c r="J15" s="151">
        <f>H34*I15</f>
        <v>16203.454810263158</v>
      </c>
      <c r="K15" s="150">
        <f t="shared" si="0"/>
        <v>16203.454810263158</v>
      </c>
    </row>
    <row r="16" spans="2:11" x14ac:dyDescent="0.25">
      <c r="B16" s="183">
        <v>4</v>
      </c>
      <c r="C16" s="183" t="s">
        <v>82</v>
      </c>
      <c r="D16" s="184">
        <v>4363.3</v>
      </c>
      <c r="E16" s="184">
        <v>4363.3</v>
      </c>
      <c r="F16" s="185">
        <f t="shared" si="1"/>
        <v>0</v>
      </c>
      <c r="G16" s="186">
        <f>F16/F32</f>
        <v>0</v>
      </c>
      <c r="H16" s="187">
        <f>(F16/F32)*H32</f>
        <v>0</v>
      </c>
      <c r="I16" s="193">
        <v>6.6000000000000003E-2</v>
      </c>
      <c r="J16" s="151">
        <f>H34*I16</f>
        <v>16203.454810263158</v>
      </c>
      <c r="K16" s="150">
        <f t="shared" si="0"/>
        <v>16203.454810263158</v>
      </c>
    </row>
    <row r="17" spans="2:11" x14ac:dyDescent="0.25">
      <c r="B17" s="183">
        <v>4</v>
      </c>
      <c r="C17" s="183" t="s">
        <v>83</v>
      </c>
      <c r="D17" s="184">
        <v>6036.6</v>
      </c>
      <c r="E17" s="184">
        <v>6036.6</v>
      </c>
      <c r="F17" s="185">
        <f t="shared" si="1"/>
        <v>0</v>
      </c>
      <c r="G17" s="186">
        <f>F17/F32</f>
        <v>0</v>
      </c>
      <c r="H17" s="187">
        <f>(F17/F32)*H32</f>
        <v>0</v>
      </c>
      <c r="I17" s="193">
        <v>5.3999999999999999E-2</v>
      </c>
      <c r="J17" s="151">
        <f>H34*I17</f>
        <v>13257.372117488037</v>
      </c>
      <c r="K17" s="150">
        <f t="shared" si="0"/>
        <v>13257.372117488037</v>
      </c>
    </row>
    <row r="18" spans="2:11" x14ac:dyDescent="0.25">
      <c r="B18" s="106"/>
      <c r="C18" s="106"/>
      <c r="D18" s="195"/>
      <c r="E18" s="195"/>
      <c r="F18" s="196">
        <f>SUM(F3:F17)</f>
        <v>558.5</v>
      </c>
      <c r="G18" s="107" t="s">
        <v>133</v>
      </c>
      <c r="H18" s="187">
        <f>SUM(H3:H17)</f>
        <v>197146.79893540672</v>
      </c>
      <c r="I18" s="106"/>
      <c r="J18" s="197">
        <f>SUM(J3:J17)</f>
        <v>235686.61542200952</v>
      </c>
      <c r="K18" s="150">
        <f t="shared" si="0"/>
        <v>432833.41435741622</v>
      </c>
    </row>
    <row r="19" spans="2:11" x14ac:dyDescent="0.25">
      <c r="B19" s="106"/>
      <c r="C19" s="106"/>
      <c r="D19" s="106"/>
      <c r="E19" s="106"/>
      <c r="F19" s="106"/>
      <c r="G19" s="106"/>
      <c r="H19" s="198"/>
      <c r="K19" s="150">
        <f t="shared" si="0"/>
        <v>0</v>
      </c>
    </row>
    <row r="20" spans="2:11" x14ac:dyDescent="0.25">
      <c r="B20" s="106" t="s">
        <v>85</v>
      </c>
      <c r="C20" s="106">
        <v>1</v>
      </c>
      <c r="D20" s="106"/>
      <c r="E20" s="106"/>
      <c r="F20" s="106"/>
      <c r="G20" s="106"/>
      <c r="H20" s="106"/>
      <c r="I20" s="193">
        <v>7.0000000000000001E-3</v>
      </c>
      <c r="J20" s="151">
        <f>H34*I20</f>
        <v>1718.548237452153</v>
      </c>
      <c r="K20" s="150">
        <f t="shared" si="0"/>
        <v>1718.548237452153</v>
      </c>
    </row>
    <row r="21" spans="2:11" x14ac:dyDescent="0.25">
      <c r="B21" s="106" t="s">
        <v>85</v>
      </c>
      <c r="C21" s="106">
        <v>2</v>
      </c>
      <c r="D21" s="106"/>
      <c r="E21" s="106"/>
      <c r="F21" s="106"/>
      <c r="G21" s="106"/>
      <c r="H21" s="106"/>
      <c r="I21" s="193">
        <v>6.0000000000000001E-3</v>
      </c>
      <c r="J21" s="151">
        <f>H34*I21</f>
        <v>1473.0413463875598</v>
      </c>
      <c r="K21" s="150">
        <f t="shared" si="0"/>
        <v>1473.0413463875598</v>
      </c>
    </row>
    <row r="22" spans="2:11" x14ac:dyDescent="0.25">
      <c r="B22" s="106" t="s">
        <v>85</v>
      </c>
      <c r="C22" s="106">
        <v>3</v>
      </c>
      <c r="D22" s="106"/>
      <c r="E22" s="106"/>
      <c r="F22" s="106"/>
      <c r="G22" s="106"/>
      <c r="H22" s="106"/>
      <c r="I22" s="193">
        <v>6.0000000000000001E-3</v>
      </c>
      <c r="J22" s="151">
        <f>H34*I22</f>
        <v>1473.0413463875598</v>
      </c>
      <c r="K22" s="150">
        <f t="shared" si="0"/>
        <v>1473.0413463875598</v>
      </c>
    </row>
    <row r="23" spans="2:11" x14ac:dyDescent="0.25">
      <c r="B23" s="106" t="s">
        <v>85</v>
      </c>
      <c r="C23" s="106">
        <v>4</v>
      </c>
      <c r="D23" s="106"/>
      <c r="E23" s="106"/>
      <c r="F23" s="106"/>
      <c r="G23" s="106"/>
      <c r="H23" s="106"/>
      <c r="I23" s="193">
        <v>6.0000000000000001E-3</v>
      </c>
      <c r="J23" s="151">
        <f>H34*I23</f>
        <v>1473.0413463875598</v>
      </c>
      <c r="K23" s="150">
        <f t="shared" si="0"/>
        <v>1473.0413463875598</v>
      </c>
    </row>
    <row r="24" spans="2:11" x14ac:dyDescent="0.25">
      <c r="B24" s="106" t="s">
        <v>85</v>
      </c>
      <c r="C24" s="106">
        <v>5</v>
      </c>
      <c r="D24" s="106"/>
      <c r="E24" s="106"/>
      <c r="F24" s="106"/>
      <c r="G24" s="106"/>
      <c r="H24" s="106"/>
      <c r="I24" s="193">
        <v>6.0000000000000001E-3</v>
      </c>
      <c r="J24" s="151">
        <f>H34*I24</f>
        <v>1473.0413463875598</v>
      </c>
      <c r="K24" s="150">
        <f t="shared" si="0"/>
        <v>1473.0413463875598</v>
      </c>
    </row>
    <row r="25" spans="2:11" x14ac:dyDescent="0.25">
      <c r="B25" s="106" t="s">
        <v>85</v>
      </c>
      <c r="C25" s="106">
        <v>6</v>
      </c>
      <c r="D25" s="106"/>
      <c r="E25" s="106"/>
      <c r="F25" s="106"/>
      <c r="G25" s="106"/>
      <c r="H25" s="106"/>
      <c r="I25" s="193">
        <v>3.0000000000000001E-3</v>
      </c>
      <c r="J25" s="151">
        <f>H34*I25</f>
        <v>736.52067319377988</v>
      </c>
      <c r="K25" s="150">
        <f t="shared" si="0"/>
        <v>736.52067319377988</v>
      </c>
    </row>
    <row r="26" spans="2:11" x14ac:dyDescent="0.25">
      <c r="B26" s="106" t="s">
        <v>85</v>
      </c>
      <c r="C26" s="106">
        <v>7</v>
      </c>
      <c r="D26" s="106"/>
      <c r="E26" s="106"/>
      <c r="F26" s="106"/>
      <c r="G26" s="106"/>
      <c r="H26" s="106"/>
      <c r="I26" s="193">
        <v>3.0000000000000001E-3</v>
      </c>
      <c r="J26" s="151">
        <f>H34*I26</f>
        <v>736.52067319377988</v>
      </c>
      <c r="K26" s="150">
        <f t="shared" si="0"/>
        <v>736.52067319377988</v>
      </c>
    </row>
    <row r="27" spans="2:11" x14ac:dyDescent="0.25">
      <c r="B27" s="106" t="s">
        <v>85</v>
      </c>
      <c r="C27" s="106">
        <v>8</v>
      </c>
      <c r="D27" s="106"/>
      <c r="E27" s="106"/>
      <c r="F27" s="106"/>
      <c r="G27" s="106"/>
      <c r="H27" s="106"/>
      <c r="I27" s="193">
        <v>3.0000000000000001E-3</v>
      </c>
      <c r="J27" s="151">
        <f>H34*I27</f>
        <v>736.52067319377988</v>
      </c>
      <c r="K27" s="150">
        <f t="shared" si="0"/>
        <v>736.52067319377988</v>
      </c>
    </row>
    <row r="28" spans="2:11" x14ac:dyDescent="0.25">
      <c r="B28" s="109"/>
      <c r="C28" s="109"/>
      <c r="D28" s="109"/>
      <c r="E28" s="109"/>
      <c r="F28" s="109"/>
      <c r="G28" s="109"/>
      <c r="H28" s="109"/>
      <c r="I28" s="107" t="s">
        <v>134</v>
      </c>
      <c r="J28" s="151">
        <f>SUM(J20:J27)</f>
        <v>9820.2756425837306</v>
      </c>
      <c r="K28" s="150">
        <f t="shared" si="0"/>
        <v>9820.2756425837306</v>
      </c>
    </row>
    <row r="29" spans="2:11" x14ac:dyDescent="0.25">
      <c r="F29" s="109"/>
    </row>
    <row r="30" spans="2:11" x14ac:dyDescent="0.25">
      <c r="D30" s="250" t="s">
        <v>135</v>
      </c>
      <c r="E30" s="251"/>
      <c r="F30" s="108">
        <v>1254</v>
      </c>
      <c r="G30" s="107" t="s">
        <v>136</v>
      </c>
      <c r="H30" s="200">
        <v>442653.69</v>
      </c>
      <c r="K30" s="150">
        <f>K18+K28</f>
        <v>442653.68999999994</v>
      </c>
    </row>
    <row r="31" spans="2:11" x14ac:dyDescent="0.25">
      <c r="D31" s="109"/>
      <c r="E31" s="109"/>
      <c r="F31" s="110"/>
      <c r="H31" s="201"/>
      <c r="K31" s="202"/>
    </row>
    <row r="32" spans="2:11" x14ac:dyDescent="0.25">
      <c r="D32" s="250" t="s">
        <v>137</v>
      </c>
      <c r="E32" s="251"/>
      <c r="F32" s="196">
        <f>SUM(F3:F17)</f>
        <v>558.5</v>
      </c>
      <c r="G32" s="107" t="s">
        <v>133</v>
      </c>
      <c r="H32" s="203">
        <f>H30-H34</f>
        <v>197146.79893540672</v>
      </c>
      <c r="K32" s="202"/>
    </row>
    <row r="33" spans="4:11" x14ac:dyDescent="0.25">
      <c r="D33" s="250"/>
      <c r="E33" s="251"/>
      <c r="F33" s="108"/>
      <c r="G33" s="107"/>
      <c r="H33" s="204"/>
      <c r="K33" s="202"/>
    </row>
    <row r="34" spans="4:11" x14ac:dyDescent="0.25">
      <c r="D34" s="250" t="s">
        <v>138</v>
      </c>
      <c r="E34" s="251"/>
      <c r="F34" s="196">
        <f>F30-F32</f>
        <v>695.5</v>
      </c>
      <c r="G34" s="107" t="s">
        <v>139</v>
      </c>
      <c r="H34" s="203">
        <f>(H30*F34)/F30</f>
        <v>245506.89106459328</v>
      </c>
      <c r="K34" s="1"/>
    </row>
    <row r="36" spans="4:11" ht="15.75" x14ac:dyDescent="0.25">
      <c r="F36" s="246" t="s">
        <v>140</v>
      </c>
      <c r="G36" s="247"/>
      <c r="H36" s="205">
        <f>H32+H33+H34</f>
        <v>442653.69</v>
      </c>
    </row>
    <row r="38" spans="4:11" x14ac:dyDescent="0.25">
      <c r="D38" s="248" t="s">
        <v>141</v>
      </c>
      <c r="E38" s="249"/>
      <c r="F38" s="206">
        <v>46164</v>
      </c>
      <c r="G38" s="206">
        <v>46197</v>
      </c>
      <c r="H38" s="207" t="s">
        <v>142</v>
      </c>
    </row>
    <row r="39" spans="4:11" x14ac:dyDescent="0.25">
      <c r="D39" s="248" t="s">
        <v>143</v>
      </c>
      <c r="E39" s="249"/>
      <c r="F39" s="207">
        <v>274268</v>
      </c>
      <c r="G39" s="207">
        <v>275522</v>
      </c>
      <c r="H39" s="207">
        <f>G39-F39</f>
        <v>1254</v>
      </c>
    </row>
  </sheetData>
  <mergeCells count="7">
    <mergeCell ref="F36:G36"/>
    <mergeCell ref="D38:E38"/>
    <mergeCell ref="D39:E39"/>
    <mergeCell ref="D30:E30"/>
    <mergeCell ref="D32:E32"/>
    <mergeCell ref="D33:E33"/>
    <mergeCell ref="D34:E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Anotaciones</vt:lpstr>
      <vt:lpstr>EDESUR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2026-08-02T21:17:05Z</cp:lastPrinted>
  <dcterms:created xsi:type="dcterms:W3CDTF">2023-09-17T12:29:07Z</dcterms:created>
  <dcterms:modified xsi:type="dcterms:W3CDTF">2026-08-30T18:48:47Z</dcterms:modified>
</cp:coreProperties>
</file>