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LTA 1167\Abril\"/>
    </mc:Choice>
  </mc:AlternateContent>
  <xr:revisionPtr revIDLastSave="0" documentId="13_ncr:1_{A0470B3B-843A-47A7-8601-6B9933DB82C3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PRORRATEO!$A$1:$P$44</definedName>
    <definedName name="_xlnm.Print_Area" localSheetId="0">RESUMEN!$A$1:$E$99</definedName>
  </definedNames>
  <calcPr calcId="181029"/>
</workbook>
</file>

<file path=xl/calcChain.xml><?xml version="1.0" encoding="utf-8"?>
<calcChain xmlns="http://schemas.openxmlformats.org/spreadsheetml/2006/main">
  <c r="D52" i="1" l="1"/>
  <c r="E45" i="1"/>
  <c r="N14" i="2" l="1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13" i="2"/>
  <c r="G21" i="2"/>
  <c r="G22" i="2"/>
  <c r="G17" i="2"/>
  <c r="G35" i="2"/>
  <c r="G15" i="2"/>
  <c r="G25" i="2"/>
  <c r="G19" i="2"/>
  <c r="G24" i="2"/>
  <c r="G32" i="2"/>
  <c r="G16" i="2"/>
  <c r="G13" i="2"/>
  <c r="G28" i="2"/>
  <c r="G18" i="2"/>
  <c r="G33" i="2"/>
  <c r="E28" i="1"/>
  <c r="H22" i="2" l="1"/>
  <c r="E55" i="1"/>
  <c r="G26" i="2" l="1"/>
  <c r="E31" i="1" l="1"/>
  <c r="G12" i="3" l="1"/>
  <c r="E21" i="3"/>
  <c r="G18" i="3"/>
  <c r="G19" i="3"/>
  <c r="G17" i="3"/>
  <c r="G16" i="3"/>
  <c r="G15" i="3"/>
  <c r="G14" i="3"/>
  <c r="G11" i="3"/>
  <c r="G10" i="3"/>
  <c r="G9" i="3"/>
  <c r="G8" i="3"/>
  <c r="G5" i="3"/>
  <c r="G30" i="2"/>
  <c r="G29" i="2"/>
  <c r="G31" i="2"/>
  <c r="E30" i="3"/>
  <c r="E35" i="1"/>
  <c r="G20" i="2"/>
  <c r="G21" i="3" l="1"/>
  <c r="E24" i="1"/>
  <c r="G23" i="3" l="1"/>
  <c r="G24" i="3"/>
  <c r="G25" i="3"/>
  <c r="G26" i="3"/>
  <c r="G27" i="3"/>
  <c r="G28" i="3"/>
  <c r="G29" i="3"/>
  <c r="G22" i="3"/>
  <c r="B87" i="1" l="1"/>
  <c r="E33" i="3"/>
  <c r="G30" i="3"/>
  <c r="I21" i="3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3" i="2"/>
  <c r="K13" i="2"/>
  <c r="G34" i="2"/>
  <c r="G23" i="2" s="1"/>
  <c r="E49" i="1"/>
  <c r="I22" i="3"/>
  <c r="L28" i="2" s="1"/>
  <c r="I23" i="3"/>
  <c r="L29" i="2" s="1"/>
  <c r="I24" i="3"/>
  <c r="L30" i="2" s="1"/>
  <c r="I25" i="3"/>
  <c r="L31" i="2" s="1"/>
  <c r="I26" i="3"/>
  <c r="L32" i="2" s="1"/>
  <c r="I27" i="3"/>
  <c r="L33" i="2" s="1"/>
  <c r="I28" i="3"/>
  <c r="L34" i="2" s="1"/>
  <c r="I29" i="3"/>
  <c r="L35" i="2" s="1"/>
  <c r="I6" i="3"/>
  <c r="L14" i="2" s="1"/>
  <c r="I7" i="3"/>
  <c r="L15" i="2" s="1"/>
  <c r="I8" i="3"/>
  <c r="I9" i="3"/>
  <c r="L16" i="2" s="1"/>
  <c r="I10" i="3"/>
  <c r="L17" i="2" s="1"/>
  <c r="I11" i="3"/>
  <c r="L18" i="2" s="1"/>
  <c r="I12" i="3"/>
  <c r="I13" i="3"/>
  <c r="L20" i="2" s="1"/>
  <c r="I14" i="3"/>
  <c r="L21" i="2" s="1"/>
  <c r="I15" i="3"/>
  <c r="L22" i="2" s="1"/>
  <c r="I16" i="3"/>
  <c r="L27" i="2" s="1"/>
  <c r="I17" i="3"/>
  <c r="L24" i="2" s="1"/>
  <c r="I18" i="3"/>
  <c r="L25" i="2" s="1"/>
  <c r="I19" i="3"/>
  <c r="L26" i="2" s="1"/>
  <c r="I5" i="3"/>
  <c r="L13" i="2" s="1"/>
  <c r="I31" i="3"/>
  <c r="I30" i="3" l="1"/>
  <c r="G33" i="3"/>
  <c r="I33" i="3" s="1"/>
  <c r="L23" i="2"/>
  <c r="L19" i="2"/>
  <c r="L36" i="2" s="1"/>
  <c r="K31" i="2" l="1"/>
  <c r="K32" i="2"/>
  <c r="K33" i="2"/>
  <c r="K34" i="2"/>
  <c r="K35" i="2"/>
  <c r="H31" i="2"/>
  <c r="I31" i="2" s="1"/>
  <c r="H32" i="2"/>
  <c r="I32" i="2" s="1"/>
  <c r="H33" i="2"/>
  <c r="I33" i="2" s="1"/>
  <c r="H34" i="2"/>
  <c r="I34" i="2" s="1"/>
  <c r="H35" i="2"/>
  <c r="I35" i="2" s="1"/>
  <c r="E36" i="2"/>
  <c r="E53" i="1" l="1"/>
  <c r="E57" i="1" l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39" i="2" l="1"/>
  <c r="H24" i="2" l="1"/>
  <c r="E65" i="1" l="1"/>
  <c r="E70" i="1" s="1"/>
  <c r="B74" i="1" s="1"/>
  <c r="B86" i="1" l="1"/>
  <c r="B90" i="1" s="1"/>
  <c r="B98" i="1"/>
  <c r="B80" i="1" l="1"/>
  <c r="H27" i="2" l="1"/>
  <c r="N12" i="2" l="1"/>
  <c r="Q14" i="2" l="1"/>
  <c r="Q15" i="2" l="1"/>
  <c r="G36" i="2"/>
  <c r="B81" i="1" s="1"/>
  <c r="F36" i="2"/>
  <c r="Q16" i="2" l="1"/>
  <c r="H14" i="2"/>
  <c r="H15" i="2"/>
  <c r="H16" i="2"/>
  <c r="H17" i="2"/>
  <c r="H18" i="2"/>
  <c r="H19" i="2"/>
  <c r="H20" i="2"/>
  <c r="H21" i="2"/>
  <c r="H23" i="2"/>
  <c r="H25" i="2"/>
  <c r="H26" i="2"/>
  <c r="H28" i="2"/>
  <c r="H29" i="2"/>
  <c r="H30" i="2"/>
  <c r="H13" i="2"/>
  <c r="Q17" i="2" l="1"/>
  <c r="B75" i="1"/>
  <c r="H36" i="2"/>
  <c r="I30" i="2"/>
  <c r="I18" i="2"/>
  <c r="I29" i="2"/>
  <c r="I25" i="2"/>
  <c r="I21" i="2"/>
  <c r="I17" i="2"/>
  <c r="I26" i="2"/>
  <c r="I14" i="2"/>
  <c r="I28" i="2"/>
  <c r="I24" i="2"/>
  <c r="I20" i="2"/>
  <c r="I16" i="2"/>
  <c r="I22" i="2"/>
  <c r="I27" i="2"/>
  <c r="I23" i="2"/>
  <c r="I19" i="2"/>
  <c r="I15" i="2"/>
  <c r="I13" i="2"/>
  <c r="Q18" i="2" l="1"/>
  <c r="I36" i="2"/>
  <c r="P18" i="2" l="1"/>
  <c r="Q19" i="2"/>
  <c r="P14" i="2"/>
  <c r="P13" i="2"/>
  <c r="P17" i="2"/>
  <c r="P16" i="2"/>
  <c r="P15" i="2"/>
  <c r="O16" i="2"/>
  <c r="O13" i="2"/>
  <c r="O15" i="2"/>
  <c r="O17" i="2"/>
  <c r="O14" i="2"/>
  <c r="J36" i="2"/>
  <c r="Q20" i="2" l="1"/>
  <c r="O18" i="2"/>
  <c r="B73" i="1"/>
  <c r="B79" i="1" s="1"/>
  <c r="B83" i="1" s="1"/>
  <c r="O19" i="2" l="1"/>
  <c r="P19" i="2"/>
  <c r="Q21" i="2"/>
  <c r="B72" i="1"/>
  <c r="P20" i="2" l="1"/>
  <c r="O20" i="2"/>
  <c r="Q22" i="2"/>
  <c r="K36" i="2"/>
  <c r="O21" i="2" l="1"/>
  <c r="P21" i="2"/>
  <c r="Q23" i="2"/>
  <c r="O22" i="2" l="1"/>
  <c r="P22" i="2"/>
  <c r="Q24" i="2"/>
  <c r="O23" i="2" l="1"/>
  <c r="P23" i="2"/>
  <c r="Q25" i="2"/>
  <c r="P24" i="2" l="1"/>
  <c r="O24" i="2"/>
  <c r="Q26" i="2"/>
  <c r="P25" i="2" l="1"/>
  <c r="O25" i="2"/>
  <c r="Q27" i="2"/>
  <c r="P26" i="2" l="1"/>
  <c r="O26" i="2"/>
  <c r="Q28" i="2"/>
  <c r="P27" i="2" l="1"/>
  <c r="O27" i="2"/>
  <c r="Q29" i="2"/>
  <c r="P28" i="2" l="1"/>
  <c r="O28" i="2"/>
  <c r="Q30" i="2"/>
  <c r="O29" i="2" l="1"/>
  <c r="P29" i="2"/>
  <c r="Q31" i="2"/>
  <c r="P31" i="2" l="1"/>
  <c r="Q32" i="2"/>
  <c r="O30" i="2"/>
  <c r="O36" i="2" s="1"/>
  <c r="P30" i="2"/>
  <c r="Q33" i="2" l="1"/>
  <c r="P33" i="2" l="1"/>
  <c r="Q34" i="2"/>
  <c r="P32" i="2"/>
  <c r="Q35" i="2" l="1"/>
  <c r="P35" i="2" s="1"/>
  <c r="P34" i="2" l="1"/>
  <c r="P36" i="2" s="1"/>
  <c r="N36" i="2"/>
</calcChain>
</file>

<file path=xl/sharedStrings.xml><?xml version="1.0" encoding="utf-8"?>
<sst xmlns="http://schemas.openxmlformats.org/spreadsheetml/2006/main" count="194" uniqueCount="151">
  <si>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</si>
  <si>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</si>
  <si>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</si>
  <si>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</si>
  <si>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</si>
  <si>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</si>
  <si>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</si>
  <si>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</si>
  <si>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</si>
  <si>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</si>
  <si>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</si>
  <si>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</si>
  <si>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</si>
  <si>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</si>
  <si>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</si>
  <si>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</si>
  <si>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</si>
  <si>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</si>
  <si>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</si>
  <si>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</si>
  <si>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</si>
  <si>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</si>
  <si>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</si>
  <si>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</si>
  <si>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</si>
  <si>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</si>
  <si>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Mantenimiento de cuenta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</si>
  <si>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</si>
  <si>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</si>
  <si>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</si>
  <si>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</si>
  <si>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</si>
  <si>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</si>
  <si>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</si>
  <si>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</si>
  <si>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</si>
  <si>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</si>
  <si>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</si>
  <si>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</si>
  <si>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</si>
  <si>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</si>
  <si>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</si>
  <si>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</si>
  <si>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</si>
  <si>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</si>
  <si>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</si>
  <si>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</si>
  <si>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</si>
  <si>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</si>
  <si>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</si>
  <si>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</si>
  <si>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</si>
  <si>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</si>
  <si>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</si>
  <si>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</si>
  <si>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</si>
  <si>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</si>
  <si>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</si>
  <si>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</si>
  <si>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</si>
  <si>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</si>
  <si>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</si>
  <si>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</si>
  <si>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</si>
  <si>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</si>
  <si>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</si>
  <si>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</si>
  <si>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</si>
  <si>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</si>
  <si>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</si>
  <si>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</si>
  <si>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</si>
  <si>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</si>
  <si>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</si>
  <si>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</si>
  <si>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</si>
  <si>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</si>
  <si>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</si>
  <si>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</si>
  <si>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</si>
  <si>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</si>
  <si>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</si>
  <si>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</si>
  <si>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</si>
  <si>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</si>
  <si>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</si>
  <si>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</si>
  <si>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Total Edesur x Depto</t>
  </si>
  <si>
    <t>SALDO a PAGAR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</si>
  <si>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</si>
  <si>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</si>
  <si>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</si>
  <si>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</si>
  <si>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</si>
  <si>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</si>
  <si>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</si>
  <si>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</si>
  <si>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</si>
  <si>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</si>
  <si>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</si>
  <si>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</si>
  <si>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</si>
  <si>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</si>
  <si>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</si>
  <si>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</si>
  <si>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</si>
  <si>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</si>
  <si>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</si>
  <si>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</si>
  <si>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</si>
  <si>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</si>
  <si>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</si>
  <si>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</si>
  <si>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</si>
  <si>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</si>
  <si>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</si>
  <si>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</si>
  <si>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</si>
  <si>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</si>
  <si>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</si>
  <si>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Totales</t>
  </si>
  <si>
    <t>Federacion patronal  Seguro obligatorio de consorcio - Poliza nro. 1-2249124-0</t>
  </si>
  <si>
    <t>Subidos en en3r0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</si>
  <si>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</si>
  <si>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</si>
  <si>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10 A 15HS - EMERGENCIAS 24HS</t>
  </si>
  <si>
    <t>Cristian Rodrigo Centurion</t>
  </si>
  <si>
    <t>CONSORCIO DE PROPIETARIOS DEL EDIFICIO CALLE SALTA 1167</t>
  </si>
  <si>
    <t>VTO 15/05</t>
  </si>
  <si>
    <t>PERÍODO: ABRIL</t>
  </si>
  <si>
    <t>Transf 24/04</t>
  </si>
  <si>
    <t>Sagitario pintureria - Recubrick Ceramico</t>
  </si>
  <si>
    <t>Transf 06/04</t>
  </si>
  <si>
    <t>Pintureria Indugar - Recuplast, pulso de colorante C, B e I</t>
  </si>
  <si>
    <t>Transf 07/04</t>
  </si>
  <si>
    <t>Debito 06/04</t>
  </si>
  <si>
    <t>De Maio Hector - Mantenimiento piscina y reparacion caño bomba</t>
  </si>
  <si>
    <t>Arreglo de porton - Sr. Herrero</t>
  </si>
  <si>
    <t>Transf 16/04</t>
  </si>
  <si>
    <t>Transf 30/04</t>
  </si>
  <si>
    <t>Pintureria Indugar - Compra de materiales: Recuplast frente y colorante</t>
  </si>
  <si>
    <t>Pricemania compra de cajita portallave</t>
  </si>
  <si>
    <t>Transf 17/04</t>
  </si>
  <si>
    <t>Federacion patronal - Seguro silleteros</t>
  </si>
  <si>
    <t>Transf 27/04</t>
  </si>
  <si>
    <t xml:space="preserve">Bonificado x EDESUR </t>
  </si>
  <si>
    <t>Honorario administracion - Mes de abril</t>
  </si>
  <si>
    <t>Honorarios administracion - Mes anterior</t>
  </si>
  <si>
    <t>Efectivo</t>
  </si>
  <si>
    <t>SUM</t>
  </si>
  <si>
    <t>Easy Barracas - Compra de termotanque - Cuota 2  - Restan 4 cuotas de $157.988,29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</si>
</sst>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1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10" fillId="4" borderId="1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8" fontId="6" fillId="4" borderId="22" xfId="0" applyNumberFormat="1" applyFont="1" applyFill="1" applyBorder="1"/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0" fontId="0" fillId="4" borderId="1" xfId="0" applyFill="1" applyBorder="1"/>
    <xf numFmtId="0" fontId="0" fillId="0" borderId="7" xfId="0" applyBorder="1" applyAlignment="1">
      <alignment horizontal="left" vertical="center" wrapText="1"/>
    </xf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3" fillId="0" borderId="6" xfId="1" applyNumberFormat="1" applyFont="1" applyBorder="1"/>
    <xf numFmtId="8" fontId="6" fillId="4" borderId="6" xfId="0" applyNumberFormat="1" applyFont="1" applyFill="1" applyBorder="1"/>
    <xf numFmtId="8" fontId="10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164" fontId="25" fillId="0" borderId="1" xfId="2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0" xfId="0" applyFill="1"/>
    <xf numFmtId="164" fontId="6" fillId="9" borderId="1" xfId="0" applyNumberFormat="1" applyFont="1" applyFill="1" applyBorder="1" applyAlignment="1">
      <alignment horizontal="center"/>
    </xf>
    <xf numFmtId="0" fontId="4" fillId="9" borderId="0" xfId="0" applyFont="1" applyFill="1"/>
    <xf numFmtId="0" fontId="6" fillId="9" borderId="0" xfId="0" applyFont="1" applyFill="1"/>
    <xf numFmtId="0" fontId="4" fillId="9" borderId="1" xfId="0" applyFont="1" applyFill="1" applyBorder="1"/>
    <xf numFmtId="0" fontId="6" fillId="9" borderId="1" xfId="0" applyFont="1" applyFill="1" applyBorder="1"/>
    <xf numFmtId="0" fontId="23" fillId="0" borderId="1" xfId="0" applyFont="1" applyBorder="1" applyAlignment="1">
      <alignment horizontal="center" wrapText="1"/>
    </xf>
    <xf numFmtId="44" fontId="17" fillId="2" borderId="2" xfId="1" applyFont="1" applyFill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44" fontId="17" fillId="0" borderId="7" xfId="1" applyFont="1" applyBorder="1"/>
    <xf numFmtId="165" fontId="13" fillId="0" borderId="1" xfId="1" applyNumberFormat="1" applyFont="1" applyBorder="1"/>
    <xf numFmtId="44" fontId="12" fillId="8" borderId="1" xfId="1" applyFont="1" applyFill="1" applyBorder="1" applyAlignment="1">
      <alignment vertical="center"/>
    </xf>
    <xf numFmtId="170" fontId="0" fillId="0" borderId="0" xfId="0" applyNumberFormat="1"/>
    <xf numFmtId="165" fontId="13" fillId="2" borderId="1" xfId="1" applyNumberFormat="1" applyFont="1" applyFill="1" applyBorder="1"/>
    <xf numFmtId="44" fontId="19" fillId="2" borderId="1" xfId="1" applyFont="1" applyFill="1" applyBorder="1" applyAlignment="1">
      <alignment wrapText="1"/>
    </xf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6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0" fillId="2" borderId="6" xfId="0" applyFill="1" applyBorder="1" applyAlignment="1">
      <alignment horizontal="left" vertical="center"/>
    </xf>
    <xf numFmtId="0" fontId="14" fillId="2" borderId="1" xfId="0" applyFont="1" applyFill="1" applyBorder="1"/>
    <xf numFmtId="165" fontId="13" fillId="0" borderId="7" xfId="1" applyNumberFormat="1" applyFont="1" applyBorder="1"/>
    <xf numFmtId="44" fontId="13" fillId="0" borderId="7" xfId="1" applyFont="1" applyBorder="1"/>
    <xf numFmtId="44" fontId="13" fillId="2" borderId="7" xfId="1" applyFont="1" applyFill="1" applyBorder="1"/>
    <xf numFmtId="44" fontId="4" fillId="2" borderId="1" xfId="1" applyFont="1" applyFill="1" applyBorder="1" applyAlignment="1"/>
    <xf numFmtId="44" fontId="4" fillId="2" borderId="6" xfId="1" applyFont="1" applyFill="1" applyBorder="1" applyAlignment="1"/>
    <xf numFmtId="8" fontId="4" fillId="2" borderId="6" xfId="0" applyNumberFormat="1" applyFont="1" applyFill="1" applyBorder="1" applyAlignment="1">
      <alignment horizontal="right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topLeftCell="A32" workbookViewId="0">
      <selection activeCell="D88" sqref="D88"/>
    </sheetView>
  </sheetViews>
  <sheetFormatPr baseColWidth="10" defaultColWidth="10.88671875" defaultRowHeight="14.4" x14ac:dyDescent="0.3"/>
  <cols>
    <col min="1" max="1" width="37.5546875" customWidth="1"/>
    <col min="2" max="2" width="24.5546875" customWidth="1"/>
    <col min="3" max="3" width="15.88671875" hidden="1" customWidth="1"/>
    <col min="4" max="4" width="21.5546875" customWidth="1"/>
    <col min="5" max="5" width="14.554687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44140625" customWidth="1"/>
  </cols>
  <sheetData>
    <row r="1" spans="1:5" x14ac:dyDescent="0.3">
      <c r="A1" s="13"/>
      <c r="B1" s="50" t="s">
        <v>74</v>
      </c>
      <c r="C1" s="50"/>
      <c r="D1" s="50"/>
      <c r="E1" s="51"/>
    </row>
    <row r="2" spans="1:5" x14ac:dyDescent="0.3">
      <c r="A2" s="14"/>
      <c r="B2" s="52" t="s">
        <v>14</v>
      </c>
      <c r="C2" s="52"/>
      <c r="D2" s="52"/>
      <c r="E2" s="53"/>
    </row>
    <row r="3" spans="1:5" ht="70.5" customHeight="1" thickBot="1" x14ac:dyDescent="0.35">
      <c r="A3" s="14"/>
      <c r="B3" s="197" t="s">
        <v>76</v>
      </c>
      <c r="C3" s="197"/>
      <c r="D3" s="197"/>
      <c r="E3" s="198"/>
    </row>
    <row r="4" spans="1:5" ht="15" thickBot="1" x14ac:dyDescent="0.35">
      <c r="A4" s="17" t="s">
        <v>0</v>
      </c>
      <c r="B4" s="68" t="s">
        <v>21</v>
      </c>
      <c r="C4" s="18"/>
      <c r="D4" s="18"/>
      <c r="E4" s="19"/>
    </row>
    <row r="5" spans="1:5" ht="15" thickBot="1" x14ac:dyDescent="0.35">
      <c r="A5" s="14" t="s">
        <v>75</v>
      </c>
      <c r="B5" s="18" t="s">
        <v>129</v>
      </c>
      <c r="C5" s="15"/>
      <c r="D5" s="52" t="s">
        <v>15</v>
      </c>
      <c r="E5" s="16"/>
    </row>
    <row r="6" spans="1:5" ht="15" thickBot="1" x14ac:dyDescent="0.35">
      <c r="A6" s="17" t="s">
        <v>127</v>
      </c>
      <c r="B6" s="18"/>
      <c r="C6" s="18"/>
      <c r="D6" s="18" t="s">
        <v>125</v>
      </c>
      <c r="E6" s="19"/>
    </row>
    <row r="8" spans="1:5" x14ac:dyDescent="0.3">
      <c r="B8" s="200" t="s">
        <v>128</v>
      </c>
      <c r="C8" s="200"/>
    </row>
    <row r="9" spans="1:5" x14ac:dyDescent="0.3">
      <c r="B9" s="200"/>
      <c r="C9" s="200"/>
    </row>
    <row r="10" spans="1:5" x14ac:dyDescent="0.3">
      <c r="B10" s="200"/>
      <c r="C10" s="200"/>
    </row>
    <row r="12" spans="1:5" hidden="1" x14ac:dyDescent="0.3"/>
    <row r="13" spans="1:5" ht="15" customHeight="1" x14ac:dyDescent="0.3">
      <c r="A13" s="199" t="s">
        <v>101</v>
      </c>
      <c r="B13" s="199"/>
      <c r="C13" s="199"/>
      <c r="D13" s="199"/>
      <c r="E13" s="199"/>
    </row>
    <row r="14" spans="1:5" ht="15" customHeight="1" x14ac:dyDescent="0.3">
      <c r="A14" s="199"/>
      <c r="B14" s="199"/>
      <c r="C14" s="199"/>
      <c r="D14" s="199"/>
      <c r="E14" s="199"/>
    </row>
    <row r="15" spans="1:5" ht="15" customHeight="1" x14ac:dyDescent="0.3">
      <c r="A15" s="199"/>
      <c r="B15" s="199"/>
      <c r="C15" s="199"/>
      <c r="D15" s="199"/>
      <c r="E15" s="199"/>
    </row>
    <row r="16" spans="1:5" ht="53.25" customHeight="1" x14ac:dyDescent="0.3">
      <c r="A16" s="199"/>
      <c r="B16" s="199"/>
      <c r="C16" s="199"/>
      <c r="D16" s="199"/>
      <c r="E16" s="199"/>
    </row>
    <row r="17" spans="1:8" ht="14.25" customHeight="1" thickBot="1" x14ac:dyDescent="0.35"/>
    <row r="18" spans="1:8" hidden="1" x14ac:dyDescent="0.3">
      <c r="A18" s="2"/>
    </row>
    <row r="19" spans="1:8" ht="15" hidden="1" thickBot="1" x14ac:dyDescent="0.35"/>
    <row r="20" spans="1:8" x14ac:dyDescent="0.3">
      <c r="A20" s="9" t="s">
        <v>104</v>
      </c>
      <c r="B20" s="10"/>
      <c r="C20" s="11"/>
      <c r="D20" s="7"/>
      <c r="E20" s="12"/>
    </row>
    <row r="21" spans="1:8" x14ac:dyDescent="0.3">
      <c r="A21" s="25" t="s">
        <v>77</v>
      </c>
      <c r="B21" s="25"/>
      <c r="C21" s="25"/>
      <c r="D21" s="109"/>
      <c r="E21" s="100"/>
    </row>
    <row r="22" spans="1:8" ht="15" customHeight="1" x14ac:dyDescent="0.3">
      <c r="A22" s="190" t="s">
        <v>115</v>
      </c>
      <c r="B22" s="191"/>
      <c r="C22" s="38"/>
      <c r="D22" s="110">
        <v>523618.18</v>
      </c>
      <c r="E22" s="183" t="s">
        <v>132</v>
      </c>
      <c r="H22" s="89"/>
    </row>
    <row r="23" spans="1:8" ht="15" customHeight="1" x14ac:dyDescent="0.3">
      <c r="A23" s="190"/>
      <c r="B23" s="191"/>
      <c r="C23" s="38"/>
      <c r="D23" s="110"/>
      <c r="E23" s="103"/>
      <c r="H23" s="89"/>
    </row>
    <row r="24" spans="1:8" x14ac:dyDescent="0.3">
      <c r="A24" s="21" t="s">
        <v>9</v>
      </c>
      <c r="B24" s="21"/>
      <c r="C24" s="21"/>
      <c r="D24" s="111"/>
      <c r="E24" s="173">
        <f>SUM(D22:D23)</f>
        <v>523618.18</v>
      </c>
    </row>
    <row r="25" spans="1:8" x14ac:dyDescent="0.3">
      <c r="A25" s="25" t="s">
        <v>17</v>
      </c>
      <c r="B25" s="21"/>
      <c r="C25" s="21"/>
      <c r="D25" s="112"/>
      <c r="E25" s="174"/>
    </row>
    <row r="26" spans="1:8" ht="30" customHeight="1" x14ac:dyDescent="0.3">
      <c r="A26" s="190" t="s">
        <v>121</v>
      </c>
      <c r="B26" s="191"/>
      <c r="C26" s="40"/>
      <c r="D26" s="187">
        <v>75267</v>
      </c>
      <c r="E26" s="172" t="s">
        <v>135</v>
      </c>
    </row>
    <row r="27" spans="1:8" ht="30" customHeight="1" x14ac:dyDescent="0.3">
      <c r="A27" s="121" t="s">
        <v>143</v>
      </c>
      <c r="B27" s="122"/>
      <c r="C27" s="40"/>
      <c r="D27" s="188">
        <v>29150</v>
      </c>
      <c r="E27" s="172" t="s">
        <v>144</v>
      </c>
    </row>
    <row r="28" spans="1:8" x14ac:dyDescent="0.3">
      <c r="A28" s="21" t="s">
        <v>1</v>
      </c>
      <c r="B28" s="21"/>
      <c r="C28" s="21"/>
      <c r="D28" s="111"/>
      <c r="E28" s="123">
        <f>SUM(D26:D27)</f>
        <v>104417</v>
      </c>
    </row>
    <row r="29" spans="1:8" x14ac:dyDescent="0.3">
      <c r="A29" s="25" t="s">
        <v>10</v>
      </c>
      <c r="B29" s="101"/>
      <c r="C29" s="101"/>
      <c r="D29" s="113"/>
      <c r="E29" s="175"/>
    </row>
    <row r="30" spans="1:8" ht="14.25" customHeight="1" x14ac:dyDescent="0.3">
      <c r="A30" s="5" t="s">
        <v>67</v>
      </c>
      <c r="B30" s="5"/>
      <c r="C30" s="5"/>
      <c r="D30" s="104">
        <v>0</v>
      </c>
      <c r="E30" s="183"/>
    </row>
    <row r="31" spans="1:8" x14ac:dyDescent="0.3">
      <c r="A31" s="5" t="s">
        <v>66</v>
      </c>
      <c r="B31" s="5"/>
      <c r="C31" s="5"/>
      <c r="D31" s="104">
        <v>6027.33</v>
      </c>
      <c r="E31" s="183" t="str">
        <f>E32</f>
        <v>Transf 06/04</v>
      </c>
    </row>
    <row r="32" spans="1:8" x14ac:dyDescent="0.3">
      <c r="A32" s="5" t="s">
        <v>66</v>
      </c>
      <c r="B32" s="120"/>
      <c r="C32" s="5"/>
      <c r="D32" s="104">
        <v>245756.65</v>
      </c>
      <c r="E32" s="105" t="s">
        <v>132</v>
      </c>
    </row>
    <row r="33" spans="1:7" x14ac:dyDescent="0.3">
      <c r="A33" s="195" t="s">
        <v>68</v>
      </c>
      <c r="B33" s="196"/>
      <c r="C33" s="5"/>
      <c r="D33" s="104">
        <v>193996.95</v>
      </c>
      <c r="E33" s="105" t="s">
        <v>132</v>
      </c>
    </row>
    <row r="34" spans="1:7" x14ac:dyDescent="0.3">
      <c r="A34" s="106" t="s">
        <v>78</v>
      </c>
      <c r="B34" s="102"/>
      <c r="C34" s="5"/>
      <c r="D34" s="104">
        <v>23979.77</v>
      </c>
      <c r="E34" s="105" t="s">
        <v>132</v>
      </c>
    </row>
    <row r="35" spans="1:7" ht="15" thickBot="1" x14ac:dyDescent="0.35">
      <c r="A35" s="21" t="s">
        <v>2</v>
      </c>
      <c r="B35" s="21"/>
      <c r="C35" s="21"/>
      <c r="D35" s="114"/>
      <c r="E35" s="176">
        <f>SUM(D30:D34)</f>
        <v>469760.7</v>
      </c>
    </row>
    <row r="36" spans="1:7" ht="15" customHeight="1" thickBot="1" x14ac:dyDescent="0.35">
      <c r="A36" s="25"/>
      <c r="B36" s="21"/>
      <c r="C36" s="21"/>
      <c r="D36" s="111"/>
      <c r="E36" s="177"/>
    </row>
    <row r="37" spans="1:7" ht="32.25" customHeight="1" x14ac:dyDescent="0.3">
      <c r="A37" s="190" t="s">
        <v>117</v>
      </c>
      <c r="B37" s="191"/>
      <c r="C37" s="5"/>
      <c r="D37" s="104">
        <v>82000</v>
      </c>
      <c r="E37" s="105" t="s">
        <v>134</v>
      </c>
    </row>
    <row r="38" spans="1:7" ht="16.5" customHeight="1" x14ac:dyDescent="0.3">
      <c r="A38" s="182" t="s">
        <v>133</v>
      </c>
      <c r="B38" s="122"/>
      <c r="C38" s="5"/>
      <c r="D38" s="74">
        <v>73711</v>
      </c>
      <c r="E38" s="105" t="s">
        <v>132</v>
      </c>
    </row>
    <row r="39" spans="1:7" ht="33.75" customHeight="1" x14ac:dyDescent="0.3">
      <c r="A39" s="190" t="s">
        <v>140</v>
      </c>
      <c r="B39" s="191"/>
      <c r="C39" s="5"/>
      <c r="D39" s="74">
        <v>110433.63</v>
      </c>
      <c r="E39" s="105" t="s">
        <v>139</v>
      </c>
    </row>
    <row r="40" spans="1:7" ht="16.5" customHeight="1" x14ac:dyDescent="0.3">
      <c r="A40" s="121" t="s">
        <v>131</v>
      </c>
      <c r="B40" s="122"/>
      <c r="C40" s="5"/>
      <c r="D40" s="74">
        <v>84133</v>
      </c>
      <c r="E40" s="105" t="s">
        <v>132</v>
      </c>
    </row>
    <row r="41" spans="1:7" ht="16.5" customHeight="1" x14ac:dyDescent="0.3">
      <c r="A41" s="121" t="s">
        <v>141</v>
      </c>
      <c r="B41" s="122"/>
      <c r="C41" s="5"/>
      <c r="D41" s="74">
        <v>13394</v>
      </c>
      <c r="E41" s="105" t="s">
        <v>142</v>
      </c>
    </row>
    <row r="42" spans="1:7" ht="16.5" customHeight="1" x14ac:dyDescent="0.3">
      <c r="A42" s="121" t="s">
        <v>137</v>
      </c>
      <c r="B42" s="122"/>
      <c r="C42" s="5"/>
      <c r="D42" s="74">
        <v>48900</v>
      </c>
      <c r="E42" s="105" t="s">
        <v>138</v>
      </c>
    </row>
    <row r="43" spans="1:7" ht="36.75" customHeight="1" x14ac:dyDescent="0.3">
      <c r="A43" s="190" t="s">
        <v>150</v>
      </c>
      <c r="B43" s="191"/>
      <c r="C43" s="5"/>
      <c r="D43" s="74">
        <v>157988.29</v>
      </c>
      <c r="E43" s="105"/>
    </row>
    <row r="44" spans="1:7" ht="16.5" customHeight="1" x14ac:dyDescent="0.3">
      <c r="A44" s="190" t="s">
        <v>136</v>
      </c>
      <c r="B44" s="191"/>
      <c r="C44" s="5"/>
      <c r="D44" s="74">
        <v>30000</v>
      </c>
      <c r="E44" s="105" t="s">
        <v>130</v>
      </c>
    </row>
    <row r="45" spans="1:7" x14ac:dyDescent="0.3">
      <c r="A45" s="21" t="s">
        <v>6</v>
      </c>
      <c r="B45" s="25"/>
      <c r="C45" s="25"/>
      <c r="D45" s="24"/>
      <c r="E45" s="123">
        <f>SUM(D37:D44)</f>
        <v>600559.92000000004</v>
      </c>
    </row>
    <row r="46" spans="1:7" x14ac:dyDescent="0.3">
      <c r="A46" s="25" t="s">
        <v>11</v>
      </c>
      <c r="B46" s="25"/>
      <c r="C46" s="25"/>
      <c r="D46" s="109"/>
      <c r="E46" s="178"/>
    </row>
    <row r="47" spans="1:7" ht="15.75" customHeight="1" x14ac:dyDescent="0.3">
      <c r="A47" s="190" t="s">
        <v>147</v>
      </c>
      <c r="B47" s="191"/>
      <c r="C47" s="38"/>
      <c r="D47" s="110">
        <v>150000</v>
      </c>
      <c r="E47" s="179"/>
      <c r="G47" t="s">
        <v>122</v>
      </c>
    </row>
    <row r="48" spans="1:7" ht="15.75" customHeight="1" x14ac:dyDescent="0.3">
      <c r="A48" s="121" t="s">
        <v>146</v>
      </c>
      <c r="B48" s="122"/>
      <c r="C48" s="38"/>
      <c r="D48" s="189">
        <v>150000</v>
      </c>
      <c r="E48" s="179" t="s">
        <v>148</v>
      </c>
    </row>
    <row r="49" spans="1:8" x14ac:dyDescent="0.3">
      <c r="A49" s="21" t="s">
        <v>9</v>
      </c>
      <c r="B49" s="21"/>
      <c r="C49" s="21"/>
      <c r="D49" s="111"/>
      <c r="E49" s="173">
        <f>SUM(D47:D48)</f>
        <v>300000</v>
      </c>
    </row>
    <row r="50" spans="1:8" x14ac:dyDescent="0.3">
      <c r="A50" s="25" t="s">
        <v>8</v>
      </c>
      <c r="B50" s="48"/>
      <c r="C50" s="21"/>
      <c r="D50" s="108"/>
      <c r="E50" s="123"/>
    </row>
    <row r="51" spans="1:8" x14ac:dyDescent="0.3">
      <c r="A51" s="5" t="s">
        <v>26</v>
      </c>
      <c r="B51" s="5"/>
      <c r="C51" s="5"/>
      <c r="D51" s="104">
        <v>0</v>
      </c>
      <c r="E51" s="180"/>
    </row>
    <row r="52" spans="1:8" x14ac:dyDescent="0.3">
      <c r="A52" s="5" t="s">
        <v>116</v>
      </c>
      <c r="B52" s="5"/>
      <c r="C52" s="5"/>
      <c r="D52" s="104">
        <f>2585+28980.86</f>
        <v>31565.86</v>
      </c>
      <c r="E52" s="181"/>
    </row>
    <row r="53" spans="1:8" x14ac:dyDescent="0.3">
      <c r="A53" s="37" t="s">
        <v>9</v>
      </c>
      <c r="B53" s="37"/>
      <c r="C53" s="37"/>
      <c r="D53" s="76"/>
      <c r="E53" s="123">
        <f>SUM(D51:D52)</f>
        <v>31565.86</v>
      </c>
    </row>
    <row r="54" spans="1:8" x14ac:dyDescent="0.3">
      <c r="A54" s="5"/>
      <c r="B54" s="5"/>
      <c r="C54" s="5"/>
      <c r="D54" s="71"/>
      <c r="E54" s="77"/>
    </row>
    <row r="55" spans="1:8" x14ac:dyDescent="0.3">
      <c r="A55" s="22" t="s">
        <v>100</v>
      </c>
      <c r="B55" s="22"/>
      <c r="C55" s="22"/>
      <c r="D55" s="78"/>
      <c r="E55" s="124">
        <f>(2200000)-1314557.42-60000-39.8</f>
        <v>825402.78</v>
      </c>
    </row>
    <row r="56" spans="1:8" ht="15" thickBot="1" x14ac:dyDescent="0.35">
      <c r="A56" s="1"/>
      <c r="D56" s="79"/>
      <c r="E56" s="80"/>
      <c r="F56" s="30"/>
    </row>
    <row r="57" spans="1:8" ht="15" thickBot="1" x14ac:dyDescent="0.35">
      <c r="A57" s="3" t="s">
        <v>96</v>
      </c>
      <c r="B57" s="8"/>
      <c r="C57" s="4"/>
      <c r="D57" s="81"/>
      <c r="E57" s="82">
        <f>(SUM(E21:E55))</f>
        <v>2855324.44</v>
      </c>
      <c r="F57" s="99"/>
      <c r="G57" s="30"/>
    </row>
    <row r="58" spans="1:8" x14ac:dyDescent="0.3">
      <c r="D58" s="79"/>
      <c r="E58" s="79"/>
    </row>
    <row r="59" spans="1:8" ht="15" thickBot="1" x14ac:dyDescent="0.35">
      <c r="D59" s="79"/>
      <c r="E59" s="79"/>
      <c r="H59" s="115"/>
    </row>
    <row r="60" spans="1:8" x14ac:dyDescent="0.3">
      <c r="A60" s="9" t="s">
        <v>97</v>
      </c>
      <c r="B60" s="10"/>
      <c r="C60" s="11"/>
      <c r="D60" s="83"/>
      <c r="E60" s="84"/>
    </row>
    <row r="61" spans="1:8" ht="15" customHeight="1" x14ac:dyDescent="0.3">
      <c r="A61" s="73"/>
      <c r="B61" s="102"/>
      <c r="C61" s="5"/>
      <c r="D61" s="74"/>
      <c r="E61" s="72"/>
    </row>
    <row r="62" spans="1:8" ht="15" customHeight="1" x14ac:dyDescent="0.3">
      <c r="A62" s="194"/>
      <c r="B62" s="194"/>
      <c r="C62" s="5"/>
      <c r="D62" s="104"/>
      <c r="E62" s="72"/>
    </row>
    <row r="63" spans="1:8" ht="15.75" customHeight="1" x14ac:dyDescent="0.3">
      <c r="A63" s="5"/>
      <c r="B63" s="5"/>
      <c r="C63" s="5"/>
      <c r="D63" s="5"/>
      <c r="E63" s="5"/>
    </row>
    <row r="64" spans="1:8" x14ac:dyDescent="0.3">
      <c r="A64" s="73"/>
      <c r="B64" s="75"/>
      <c r="C64" s="5"/>
      <c r="D64" s="74"/>
      <c r="E64" s="72"/>
    </row>
    <row r="65" spans="1:5" x14ac:dyDescent="0.3">
      <c r="A65" s="35"/>
      <c r="B65" s="34"/>
      <c r="C65" s="34"/>
      <c r="D65" s="41"/>
      <c r="E65" s="41">
        <f>SUM(D61:D64)</f>
        <v>0</v>
      </c>
    </row>
    <row r="66" spans="1:5" ht="15" customHeight="1" x14ac:dyDescent="0.3"/>
    <row r="67" spans="1:5" ht="15" hidden="1" thickBot="1" x14ac:dyDescent="0.35"/>
    <row r="68" spans="1:5" x14ac:dyDescent="0.3">
      <c r="A68" s="22" t="s">
        <v>99</v>
      </c>
      <c r="B68" s="22"/>
      <c r="C68" s="22"/>
      <c r="D68" s="23"/>
      <c r="E68" s="169"/>
    </row>
    <row r="69" spans="1:5" ht="15" thickBot="1" x14ac:dyDescent="0.35"/>
    <row r="70" spans="1:5" ht="15" thickBot="1" x14ac:dyDescent="0.35">
      <c r="A70" s="3" t="s">
        <v>98</v>
      </c>
      <c r="B70" s="8"/>
      <c r="C70" s="4"/>
      <c r="D70" s="4"/>
      <c r="E70" s="49">
        <f>E65+E68</f>
        <v>0</v>
      </c>
    </row>
    <row r="71" spans="1:5" ht="15" thickBot="1" x14ac:dyDescent="0.35"/>
    <row r="72" spans="1:5" ht="15" thickBot="1" x14ac:dyDescent="0.35">
      <c r="A72" s="69" t="s">
        <v>105</v>
      </c>
      <c r="B72" s="70">
        <f>E57</f>
        <v>2855324.44</v>
      </c>
    </row>
    <row r="73" spans="1:5" ht="15" thickBot="1" x14ac:dyDescent="0.35">
      <c r="A73" s="69" t="s">
        <v>106</v>
      </c>
      <c r="B73" s="70">
        <f>E57-E55</f>
        <v>2029921.66</v>
      </c>
    </row>
    <row r="74" spans="1:5" ht="15" thickBot="1" x14ac:dyDescent="0.35">
      <c r="A74" s="69" t="s">
        <v>107</v>
      </c>
      <c r="B74" s="70">
        <f>E70-E68</f>
        <v>0</v>
      </c>
    </row>
    <row r="75" spans="1:5" ht="15" thickBot="1" x14ac:dyDescent="0.35">
      <c r="A75" s="69" t="s">
        <v>108</v>
      </c>
      <c r="B75" s="70">
        <f>E70</f>
        <v>0</v>
      </c>
    </row>
    <row r="77" spans="1:5" s="28" customFormat="1" x14ac:dyDescent="0.3">
      <c r="A77"/>
      <c r="B77" s="29"/>
      <c r="C77" s="27"/>
    </row>
    <row r="78" spans="1:5" s="28" customFormat="1" x14ac:dyDescent="0.3">
      <c r="A78" s="91" t="s">
        <v>109</v>
      </c>
      <c r="B78" s="136">
        <v>577835.94999999995</v>
      </c>
      <c r="C78" s="27"/>
      <c r="D78" s="33"/>
    </row>
    <row r="79" spans="1:5" x14ac:dyDescent="0.3">
      <c r="A79" s="40" t="s">
        <v>102</v>
      </c>
      <c r="B79" s="96">
        <f>-B73</f>
        <v>-2029921.66</v>
      </c>
    </row>
    <row r="80" spans="1:5" x14ac:dyDescent="0.3">
      <c r="A80" s="40" t="s">
        <v>25</v>
      </c>
      <c r="B80" s="96">
        <f>B98</f>
        <v>0</v>
      </c>
    </row>
    <row r="81" spans="1:5" x14ac:dyDescent="0.3">
      <c r="A81" s="40" t="s">
        <v>111</v>
      </c>
      <c r="B81" s="97">
        <f>PRORRATEO!G36-B88</f>
        <v>2409066.1000000006</v>
      </c>
    </row>
    <row r="82" spans="1:5" x14ac:dyDescent="0.3">
      <c r="A82" s="98" t="s">
        <v>24</v>
      </c>
      <c r="B82" s="116"/>
    </row>
    <row r="83" spans="1:5" ht="15" thickBot="1" x14ac:dyDescent="0.35">
      <c r="A83" s="94" t="s">
        <v>113</v>
      </c>
      <c r="B83" s="95">
        <f>SUM(B78:C82)</f>
        <v>956980.3900000006</v>
      </c>
      <c r="D83" s="30"/>
    </row>
    <row r="84" spans="1:5" x14ac:dyDescent="0.3">
      <c r="A84" s="92"/>
      <c r="B84" s="92"/>
      <c r="D84" s="30"/>
      <c r="E84" s="29"/>
    </row>
    <row r="85" spans="1:5" x14ac:dyDescent="0.3">
      <c r="A85" s="91" t="s">
        <v>110</v>
      </c>
      <c r="B85" s="136">
        <v>2000000</v>
      </c>
      <c r="D85" s="29"/>
      <c r="E85" s="30"/>
    </row>
    <row r="86" spans="1:5" x14ac:dyDescent="0.3">
      <c r="A86" s="40" t="s">
        <v>103</v>
      </c>
      <c r="B86" s="96">
        <f>-B74</f>
        <v>0</v>
      </c>
      <c r="D86" s="30"/>
      <c r="E86" s="30"/>
    </row>
    <row r="87" spans="1:5" x14ac:dyDescent="0.3">
      <c r="A87" s="40" t="s">
        <v>25</v>
      </c>
      <c r="B87" s="96">
        <f>B106</f>
        <v>0</v>
      </c>
      <c r="D87" s="30"/>
    </row>
    <row r="88" spans="1:5" x14ac:dyDescent="0.3">
      <c r="A88" s="40" t="s">
        <v>112</v>
      </c>
      <c r="B88" s="97">
        <v>0</v>
      </c>
      <c r="D88" s="170"/>
    </row>
    <row r="89" spans="1:5" x14ac:dyDescent="0.3">
      <c r="A89" s="98" t="s">
        <v>24</v>
      </c>
      <c r="B89" s="116"/>
    </row>
    <row r="90" spans="1:5" ht="15" thickBot="1" x14ac:dyDescent="0.35">
      <c r="A90" s="94" t="s">
        <v>114</v>
      </c>
      <c r="B90" s="95">
        <f>SUM(B85:C89)</f>
        <v>2000000</v>
      </c>
    </row>
    <row r="91" spans="1:5" x14ac:dyDescent="0.3">
      <c r="A91" s="92"/>
      <c r="B91" s="92"/>
    </row>
    <row r="92" spans="1:5" x14ac:dyDescent="0.3">
      <c r="A92" s="92"/>
      <c r="B92" s="92"/>
    </row>
    <row r="93" spans="1:5" ht="34.5" customHeight="1" x14ac:dyDescent="0.3"/>
    <row r="94" spans="1:5" x14ac:dyDescent="0.3">
      <c r="A94" s="193" t="s">
        <v>18</v>
      </c>
      <c r="B94" s="193"/>
      <c r="C94" s="193"/>
    </row>
    <row r="95" spans="1:5" x14ac:dyDescent="0.3">
      <c r="A95" s="193"/>
      <c r="B95" s="193"/>
      <c r="C95" s="193"/>
    </row>
    <row r="96" spans="1:5" ht="35.25" customHeight="1" x14ac:dyDescent="0.3">
      <c r="A96" s="86"/>
      <c r="B96" s="26"/>
      <c r="C96" s="26">
        <v>40000</v>
      </c>
      <c r="E96" s="99"/>
    </row>
    <row r="97" spans="1:13" ht="27" customHeight="1" x14ac:dyDescent="0.3">
      <c r="A97" s="86"/>
      <c r="B97" s="88"/>
      <c r="C97" s="85"/>
      <c r="D97" s="99"/>
    </row>
    <row r="98" spans="1:13" x14ac:dyDescent="0.3">
      <c r="A98" s="31" t="s">
        <v>6</v>
      </c>
      <c r="B98" s="87">
        <f>SUM(B96:B97)</f>
        <v>0</v>
      </c>
      <c r="C98" s="32"/>
    </row>
    <row r="99" spans="1:13" x14ac:dyDescent="0.3">
      <c r="M99" s="6"/>
    </row>
    <row r="100" spans="1:13" ht="15" customHeight="1" x14ac:dyDescent="0.3">
      <c r="A100" s="192"/>
      <c r="B100" s="192"/>
      <c r="C100" s="192"/>
      <c r="D100" s="192"/>
      <c r="E100" s="192"/>
    </row>
    <row r="101" spans="1:13" x14ac:dyDescent="0.3">
      <c r="A101" s="192"/>
      <c r="B101" s="192"/>
      <c r="C101" s="192"/>
      <c r="D101" s="192"/>
      <c r="E101" s="192"/>
    </row>
    <row r="102" spans="1:13" x14ac:dyDescent="0.3">
      <c r="A102" s="192"/>
      <c r="B102" s="192"/>
      <c r="C102" s="192"/>
      <c r="D102" s="192"/>
      <c r="E102" s="192"/>
    </row>
    <row r="103" spans="1:13" x14ac:dyDescent="0.3">
      <c r="A103" s="192"/>
      <c r="B103" s="192"/>
      <c r="C103" s="192"/>
      <c r="D103" s="192"/>
      <c r="E103" s="192"/>
    </row>
  </sheetData>
  <mergeCells count="15">
    <mergeCell ref="A33:B33"/>
    <mergeCell ref="A23:B23"/>
    <mergeCell ref="A22:B22"/>
    <mergeCell ref="B3:E3"/>
    <mergeCell ref="A13:E16"/>
    <mergeCell ref="B8:C10"/>
    <mergeCell ref="A26:B26"/>
    <mergeCell ref="A47:B47"/>
    <mergeCell ref="A100:E103"/>
    <mergeCell ref="A94:C95"/>
    <mergeCell ref="A62:B62"/>
    <mergeCell ref="A37:B37"/>
    <mergeCell ref="A44:B44"/>
    <mergeCell ref="A43:B43"/>
    <mergeCell ref="A39:B3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zoomScaleNormal="100" workbookViewId="0">
      <selection activeCell="M15" sqref="M15"/>
    </sheetView>
  </sheetViews>
  <sheetFormatPr baseColWidth="10" defaultColWidth="10.88671875" defaultRowHeight="14.4" x14ac:dyDescent="0.3"/>
  <cols>
    <col min="1" max="2" width="4.44140625" customWidth="1"/>
    <col min="3" max="3" width="18.5546875" customWidth="1"/>
    <col min="4" max="4" width="16" customWidth="1"/>
    <col min="5" max="5" width="8.44140625" customWidth="1"/>
    <col min="6" max="6" width="14.109375" customWidth="1"/>
    <col min="7" max="7" width="12.44140625" customWidth="1"/>
    <col min="8" max="8" width="10.5546875" customWidth="1"/>
    <col min="9" max="9" width="9.5546875" customWidth="1"/>
    <col min="10" max="10" width="12.44140625" customWidth="1"/>
    <col min="11" max="11" width="14.5546875" bestFit="1" customWidth="1"/>
    <col min="12" max="12" width="14.5546875" customWidth="1"/>
    <col min="13" max="13" width="13.44140625" customWidth="1"/>
    <col min="14" max="14" width="14.5546875" customWidth="1"/>
    <col min="15" max="15" width="12" hidden="1" customWidth="1"/>
    <col min="16" max="16" width="14.44140625" customWidth="1"/>
    <col min="17" max="17" width="7.44140625" hidden="1" customWidth="1"/>
    <col min="18" max="18" width="12" bestFit="1" customWidth="1"/>
    <col min="19" max="19" width="13" bestFit="1" customWidth="1"/>
  </cols>
  <sheetData>
    <row r="1" spans="1:17" ht="12.9" customHeight="1" x14ac:dyDescent="0.3">
      <c r="A1" s="137"/>
      <c r="B1" s="138"/>
      <c r="C1" s="139"/>
      <c r="D1" s="139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138"/>
      <c r="P1" s="140"/>
    </row>
    <row r="2" spans="1:17" ht="12.9" customHeight="1" x14ac:dyDescent="0.3">
      <c r="A2" s="141"/>
      <c r="B2" s="142"/>
      <c r="C2" s="143"/>
      <c r="D2" s="144"/>
      <c r="E2" s="144" t="s">
        <v>95</v>
      </c>
      <c r="F2" s="144"/>
      <c r="G2" s="145">
        <v>0</v>
      </c>
      <c r="H2" s="144"/>
      <c r="I2" s="144"/>
      <c r="J2" s="144" t="s">
        <v>94</v>
      </c>
      <c r="K2" s="146">
        <v>2200000</v>
      </c>
      <c r="L2" s="146"/>
      <c r="M2" s="146"/>
      <c r="N2" s="147"/>
      <c r="O2" s="148"/>
      <c r="P2" s="149"/>
      <c r="Q2" s="20"/>
    </row>
    <row r="3" spans="1:17" ht="15" thickBot="1" x14ac:dyDescent="0.35">
      <c r="A3" s="141"/>
      <c r="B3" s="142"/>
      <c r="C3" s="143"/>
      <c r="D3" s="143"/>
      <c r="E3" s="143"/>
      <c r="F3" s="143"/>
      <c r="G3" s="150"/>
      <c r="H3" s="143"/>
      <c r="I3" s="143"/>
      <c r="J3" s="143"/>
      <c r="K3" s="143"/>
      <c r="L3" s="143"/>
      <c r="M3" s="143"/>
      <c r="N3" s="147"/>
      <c r="O3" s="148"/>
      <c r="P3" s="149"/>
      <c r="Q3" s="20"/>
    </row>
    <row r="4" spans="1:17" x14ac:dyDescent="0.3">
      <c r="A4" s="213" t="s">
        <v>124</v>
      </c>
      <c r="B4" s="214"/>
      <c r="C4" s="214"/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5"/>
      <c r="Q4" s="20"/>
    </row>
    <row r="5" spans="1:17" x14ac:dyDescent="0.3">
      <c r="A5" s="216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8"/>
      <c r="Q5" s="20"/>
    </row>
    <row r="6" spans="1:17" ht="12.9" customHeight="1" x14ac:dyDescent="0.3">
      <c r="A6" s="216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8"/>
      <c r="Q6" s="20"/>
    </row>
    <row r="7" spans="1:17" ht="12.9" customHeight="1" x14ac:dyDescent="0.3">
      <c r="A7" s="216"/>
      <c r="B7" s="217"/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  <c r="P7" s="218"/>
      <c r="Q7" s="20"/>
    </row>
    <row r="8" spans="1:17" ht="33.75" customHeight="1" thickBot="1" x14ac:dyDescent="0.35">
      <c r="A8" s="219"/>
      <c r="B8" s="22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1"/>
    </row>
    <row r="9" spans="1:17" ht="48" customHeight="1" thickBot="1" x14ac:dyDescent="0.35">
      <c r="A9" s="224" t="s">
        <v>123</v>
      </c>
      <c r="B9" s="225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5"/>
    </row>
    <row r="10" spans="1:17" ht="48" customHeight="1" thickBot="1" x14ac:dyDescent="0.35">
      <c r="A10" s="226" t="s">
        <v>119</v>
      </c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</row>
    <row r="11" spans="1:17" x14ac:dyDescent="0.3">
      <c r="A11" s="201" t="s">
        <v>3</v>
      </c>
      <c r="B11" s="117"/>
      <c r="C11" s="201" t="s">
        <v>4</v>
      </c>
      <c r="D11" s="201" t="s">
        <v>13</v>
      </c>
      <c r="E11" s="201" t="s">
        <v>7</v>
      </c>
      <c r="F11" s="204" t="s">
        <v>23</v>
      </c>
      <c r="G11" s="201" t="s">
        <v>5</v>
      </c>
      <c r="H11" s="209" t="s">
        <v>16</v>
      </c>
      <c r="I11" s="204" t="s">
        <v>22</v>
      </c>
      <c r="J11" s="204" t="s">
        <v>94</v>
      </c>
      <c r="K11" s="211" t="s">
        <v>95</v>
      </c>
      <c r="L11" s="204" t="s">
        <v>79</v>
      </c>
      <c r="M11" s="204" t="s">
        <v>149</v>
      </c>
      <c r="N11" s="44" t="s">
        <v>20</v>
      </c>
      <c r="O11" s="207" t="s">
        <v>12</v>
      </c>
      <c r="P11" s="222" t="s">
        <v>19</v>
      </c>
    </row>
    <row r="12" spans="1:17" ht="15.75" customHeight="1" x14ac:dyDescent="0.3">
      <c r="A12" s="203"/>
      <c r="B12" s="118"/>
      <c r="C12" s="203"/>
      <c r="D12" s="202"/>
      <c r="E12" s="203"/>
      <c r="F12" s="205"/>
      <c r="G12" s="203"/>
      <c r="H12" s="210"/>
      <c r="I12" s="205"/>
      <c r="J12" s="205"/>
      <c r="K12" s="212"/>
      <c r="L12" s="205"/>
      <c r="M12" s="205"/>
      <c r="N12" s="42" t="str">
        <f>RESUMEN!B8</f>
        <v>VTO 15/05</v>
      </c>
      <c r="O12" s="208"/>
      <c r="P12" s="223"/>
    </row>
    <row r="13" spans="1:17" ht="17.100000000000001" customHeight="1" x14ac:dyDescent="0.3">
      <c r="A13" s="45">
        <v>1</v>
      </c>
      <c r="B13" s="45" t="s">
        <v>27</v>
      </c>
      <c r="C13" s="45" t="s">
        <v>28</v>
      </c>
      <c r="D13" s="45"/>
      <c r="E13" s="54">
        <v>12</v>
      </c>
      <c r="F13" s="55">
        <v>264000.01</v>
      </c>
      <c r="G13" s="56">
        <f>290400.01-F29-F30</f>
        <v>263999.66000000003</v>
      </c>
      <c r="H13" s="57">
        <f t="shared" ref="H13:H35" si="0">F13-G13</f>
        <v>0.34999999997671694</v>
      </c>
      <c r="I13" s="57">
        <f>IF(H13&gt;0,H13*3%,0)</f>
        <v>1.0499999999301507E-2</v>
      </c>
      <c r="J13" s="107">
        <f t="shared" ref="J13:J35" si="1">K$2*E13/100</f>
        <v>264000</v>
      </c>
      <c r="K13" s="107">
        <f t="shared" ref="K13:K35" si="2">G$2*E13/100</f>
        <v>0</v>
      </c>
      <c r="L13" s="168">
        <f>EDESUR!I5</f>
        <v>0</v>
      </c>
      <c r="M13" s="185"/>
      <c r="N13" s="167">
        <f>ROUND(SUM(H13:M13),0) + Q13</f>
        <v>264000.01</v>
      </c>
      <c r="O13" s="58">
        <f>ROUND(N13*6% + N13,0) + Q13</f>
        <v>279840.01</v>
      </c>
      <c r="P13" s="59">
        <f>ROUND(N13*3%,0) + N13</f>
        <v>271920.01</v>
      </c>
      <c r="Q13" s="30">
        <v>0.01</v>
      </c>
    </row>
    <row r="14" spans="1:17" ht="17.100000000000001" customHeight="1" x14ac:dyDescent="0.3">
      <c r="A14" s="160">
        <v>2</v>
      </c>
      <c r="B14" s="160" t="s">
        <v>29</v>
      </c>
      <c r="C14" s="160" t="s">
        <v>30</v>
      </c>
      <c r="D14" s="161"/>
      <c r="E14" s="162">
        <v>6.6</v>
      </c>
      <c r="F14" s="56">
        <v>176956.02</v>
      </c>
      <c r="G14" s="56">
        <v>177000</v>
      </c>
      <c r="H14" s="163">
        <f t="shared" si="0"/>
        <v>-43.980000000010477</v>
      </c>
      <c r="I14" s="163">
        <f t="shared" ref="I14:I35" si="3">IF(H14&gt;0,H14*3%,0)</f>
        <v>0</v>
      </c>
      <c r="J14" s="164">
        <f t="shared" si="1"/>
        <v>145200</v>
      </c>
      <c r="K14" s="164">
        <f t="shared" si="2"/>
        <v>0</v>
      </c>
      <c r="L14" s="171">
        <f>EDESUR!I6</f>
        <v>34733.22</v>
      </c>
      <c r="M14" s="186"/>
      <c r="N14" s="167">
        <f t="shared" ref="N14:N35" si="4">ROUND(SUM(H14:M14),0) + Q14</f>
        <v>179889.02</v>
      </c>
      <c r="O14" s="165">
        <f t="shared" ref="O14:O30" si="5">ROUND(N14*6% + N14,0) + Q14</f>
        <v>190682.02</v>
      </c>
      <c r="P14" s="166">
        <f t="shared" ref="P14:P35" si="6">ROUND(N14*3%,0) + N14</f>
        <v>185286.02</v>
      </c>
      <c r="Q14" s="30">
        <f>Q13+0.01</f>
        <v>0.02</v>
      </c>
    </row>
    <row r="15" spans="1:17" ht="17.100000000000001" customHeight="1" x14ac:dyDescent="0.3">
      <c r="A15" s="45">
        <v>3</v>
      </c>
      <c r="B15" s="45" t="s">
        <v>31</v>
      </c>
      <c r="C15" s="45" t="s">
        <v>32</v>
      </c>
      <c r="D15" s="46" t="s">
        <v>69</v>
      </c>
      <c r="E15" s="54">
        <v>5.4</v>
      </c>
      <c r="F15" s="55">
        <v>156679.03</v>
      </c>
      <c r="G15" s="56">
        <f>F15</f>
        <v>156679.03</v>
      </c>
      <c r="H15" s="57">
        <f t="shared" si="0"/>
        <v>0</v>
      </c>
      <c r="I15" s="57">
        <f t="shared" si="3"/>
        <v>0</v>
      </c>
      <c r="J15" s="107">
        <f t="shared" si="1"/>
        <v>118800</v>
      </c>
      <c r="K15" s="107">
        <f t="shared" si="2"/>
        <v>0</v>
      </c>
      <c r="L15" s="168">
        <f>EDESUR!I7</f>
        <v>19275.349999999999</v>
      </c>
      <c r="M15" s="184">
        <v>50000</v>
      </c>
      <c r="N15" s="167">
        <f t="shared" si="4"/>
        <v>188075.03</v>
      </c>
      <c r="O15" s="58">
        <f t="shared" si="5"/>
        <v>199360.03</v>
      </c>
      <c r="P15" s="59">
        <f t="shared" si="6"/>
        <v>193717.03</v>
      </c>
      <c r="Q15" s="30">
        <f t="shared" ref="Q15:Q30" si="7">Q14+0.01</f>
        <v>0.03</v>
      </c>
    </row>
    <row r="16" spans="1:17" ht="26.25" customHeight="1" x14ac:dyDescent="0.3">
      <c r="A16" s="45">
        <v>4</v>
      </c>
      <c r="B16" s="45" t="s">
        <v>33</v>
      </c>
      <c r="C16" s="45" t="s">
        <v>34</v>
      </c>
      <c r="D16" s="46" t="s">
        <v>126</v>
      </c>
      <c r="E16" s="54">
        <v>6.6</v>
      </c>
      <c r="F16" s="55">
        <v>145200.04</v>
      </c>
      <c r="G16" s="56">
        <f>F16</f>
        <v>145200.04</v>
      </c>
      <c r="H16" s="57">
        <f t="shared" si="0"/>
        <v>0</v>
      </c>
      <c r="I16" s="57">
        <f t="shared" si="3"/>
        <v>0</v>
      </c>
      <c r="J16" s="107">
        <f t="shared" si="1"/>
        <v>145200</v>
      </c>
      <c r="K16" s="107">
        <f t="shared" si="2"/>
        <v>0</v>
      </c>
      <c r="L16" s="168">
        <f>EDESUR!I9</f>
        <v>0</v>
      </c>
      <c r="M16" s="185"/>
      <c r="N16" s="167">
        <f t="shared" si="4"/>
        <v>145200.04</v>
      </c>
      <c r="O16" s="58">
        <f t="shared" si="5"/>
        <v>153912.04</v>
      </c>
      <c r="P16" s="59">
        <f t="shared" si="6"/>
        <v>149556.04</v>
      </c>
      <c r="Q16" s="30">
        <f t="shared" si="7"/>
        <v>0.04</v>
      </c>
    </row>
    <row r="17" spans="1:18" ht="17.100000000000001" customHeight="1" x14ac:dyDescent="0.3">
      <c r="A17" s="160">
        <v>5</v>
      </c>
      <c r="B17" s="160" t="s">
        <v>35</v>
      </c>
      <c r="C17" s="160" t="s">
        <v>36</v>
      </c>
      <c r="D17" s="160" t="s">
        <v>93</v>
      </c>
      <c r="E17" s="162">
        <v>6.6</v>
      </c>
      <c r="F17" s="56">
        <v>144400.04999999999</v>
      </c>
      <c r="G17" s="56">
        <f>F17</f>
        <v>144400.04999999999</v>
      </c>
      <c r="H17" s="163">
        <f t="shared" si="0"/>
        <v>0</v>
      </c>
      <c r="I17" s="163">
        <f t="shared" si="3"/>
        <v>0</v>
      </c>
      <c r="J17" s="164">
        <f t="shared" si="1"/>
        <v>145200</v>
      </c>
      <c r="K17" s="164">
        <f t="shared" si="2"/>
        <v>0</v>
      </c>
      <c r="L17" s="171">
        <f>EDESUR!I10</f>
        <v>0</v>
      </c>
      <c r="M17" s="186"/>
      <c r="N17" s="167">
        <f t="shared" si="4"/>
        <v>145200.04999999999</v>
      </c>
      <c r="O17" s="165">
        <f t="shared" si="5"/>
        <v>153912.04999999999</v>
      </c>
      <c r="P17" s="166">
        <f t="shared" si="6"/>
        <v>149556.04999999999</v>
      </c>
      <c r="Q17" s="30">
        <f t="shared" si="7"/>
        <v>0.05</v>
      </c>
      <c r="R17" t="s">
        <v>118</v>
      </c>
    </row>
    <row r="18" spans="1:18" ht="17.100000000000001" customHeight="1" x14ac:dyDescent="0.3">
      <c r="A18" s="45">
        <v>6</v>
      </c>
      <c r="B18" s="45" t="s">
        <v>37</v>
      </c>
      <c r="C18" s="45" t="s">
        <v>38</v>
      </c>
      <c r="D18" s="45" t="s">
        <v>90</v>
      </c>
      <c r="E18" s="54">
        <v>5.4</v>
      </c>
      <c r="F18" s="55">
        <v>118800.06</v>
      </c>
      <c r="G18" s="56">
        <f t="shared" ref="G18" si="8">F18</f>
        <v>118800.06</v>
      </c>
      <c r="H18" s="57">
        <f t="shared" si="0"/>
        <v>0</v>
      </c>
      <c r="I18" s="57">
        <f t="shared" si="3"/>
        <v>0</v>
      </c>
      <c r="J18" s="107">
        <f t="shared" si="1"/>
        <v>118800</v>
      </c>
      <c r="K18" s="107">
        <f t="shared" si="2"/>
        <v>0</v>
      </c>
      <c r="L18" s="168">
        <f>EDESUR!I11</f>
        <v>0</v>
      </c>
      <c r="M18" s="185"/>
      <c r="N18" s="167">
        <f t="shared" si="4"/>
        <v>118800.06</v>
      </c>
      <c r="O18" s="58">
        <f t="shared" si="5"/>
        <v>125928.06</v>
      </c>
      <c r="P18" s="59">
        <f t="shared" si="6"/>
        <v>122364.06</v>
      </c>
      <c r="Q18" s="30">
        <f t="shared" si="7"/>
        <v>6.0000000000000005E-2</v>
      </c>
    </row>
    <row r="19" spans="1:18" ht="17.100000000000001" customHeight="1" x14ac:dyDescent="0.3">
      <c r="A19" s="160">
        <v>7</v>
      </c>
      <c r="B19" s="160" t="s">
        <v>39</v>
      </c>
      <c r="C19" s="160" t="s">
        <v>40</v>
      </c>
      <c r="D19" s="160" t="s">
        <v>91</v>
      </c>
      <c r="E19" s="162">
        <v>5.4</v>
      </c>
      <c r="F19" s="56">
        <v>267756.07</v>
      </c>
      <c r="G19" s="56">
        <f>F19</f>
        <v>267756.07</v>
      </c>
      <c r="H19" s="163">
        <f t="shared" si="0"/>
        <v>0</v>
      </c>
      <c r="I19" s="163">
        <f t="shared" si="3"/>
        <v>0</v>
      </c>
      <c r="J19" s="164">
        <f t="shared" si="1"/>
        <v>118800</v>
      </c>
      <c r="K19" s="164">
        <f t="shared" si="2"/>
        <v>0</v>
      </c>
      <c r="L19" s="168">
        <f>EDESUR!I12</f>
        <v>0</v>
      </c>
      <c r="M19" s="185"/>
      <c r="N19" s="167">
        <f t="shared" si="4"/>
        <v>118800.07</v>
      </c>
      <c r="O19" s="165">
        <f t="shared" si="5"/>
        <v>125928.07</v>
      </c>
      <c r="P19" s="166">
        <f t="shared" si="6"/>
        <v>122364.07</v>
      </c>
      <c r="Q19" s="30">
        <f t="shared" si="7"/>
        <v>7.0000000000000007E-2</v>
      </c>
    </row>
    <row r="20" spans="1:18" ht="17.100000000000001" customHeight="1" x14ac:dyDescent="0.3">
      <c r="A20" s="160">
        <v>8</v>
      </c>
      <c r="B20" s="160" t="s">
        <v>41</v>
      </c>
      <c r="C20" s="160" t="s">
        <v>42</v>
      </c>
      <c r="D20" s="161" t="s">
        <v>70</v>
      </c>
      <c r="E20" s="162">
        <v>6.6</v>
      </c>
      <c r="F20" s="56">
        <v>245886.07999999999</v>
      </c>
      <c r="G20" s="56">
        <f>F20</f>
        <v>245886.07999999999</v>
      </c>
      <c r="H20" s="163">
        <f t="shared" si="0"/>
        <v>0</v>
      </c>
      <c r="I20" s="163">
        <f t="shared" si="3"/>
        <v>0</v>
      </c>
      <c r="J20" s="164">
        <f t="shared" si="1"/>
        <v>145200</v>
      </c>
      <c r="K20" s="164">
        <f t="shared" si="2"/>
        <v>0</v>
      </c>
      <c r="L20" s="168">
        <f>EDESUR!I13</f>
        <v>70460.03</v>
      </c>
      <c r="M20" s="185"/>
      <c r="N20" s="167">
        <f t="shared" si="4"/>
        <v>215660.08</v>
      </c>
      <c r="O20" s="165">
        <f t="shared" si="5"/>
        <v>228600.08</v>
      </c>
      <c r="P20" s="166">
        <f t="shared" si="6"/>
        <v>222130.08</v>
      </c>
      <c r="Q20" s="30">
        <f t="shared" si="7"/>
        <v>0.08</v>
      </c>
    </row>
    <row r="21" spans="1:18" ht="17.100000000000001" customHeight="1" x14ac:dyDescent="0.3">
      <c r="A21" s="45">
        <v>9</v>
      </c>
      <c r="B21" s="45" t="s">
        <v>43</v>
      </c>
      <c r="C21" s="45" t="s">
        <v>44</v>
      </c>
      <c r="D21" s="46" t="s">
        <v>73</v>
      </c>
      <c r="E21" s="54">
        <v>6.6</v>
      </c>
      <c r="F21" s="55">
        <v>106012.09</v>
      </c>
      <c r="G21" s="56">
        <f>F21+39187.9</f>
        <v>145199.99</v>
      </c>
      <c r="H21" s="57">
        <f t="shared" si="0"/>
        <v>-39187.899999999994</v>
      </c>
      <c r="I21" s="57">
        <f t="shared" si="3"/>
        <v>0</v>
      </c>
      <c r="J21" s="107">
        <f t="shared" si="1"/>
        <v>145200</v>
      </c>
      <c r="K21" s="107">
        <f t="shared" si="2"/>
        <v>0</v>
      </c>
      <c r="L21" s="168">
        <f>EDESUR!I14</f>
        <v>0</v>
      </c>
      <c r="M21" s="185"/>
      <c r="N21" s="167">
        <f t="shared" si="4"/>
        <v>106012.09</v>
      </c>
      <c r="O21" s="58">
        <f t="shared" si="5"/>
        <v>112373.09</v>
      </c>
      <c r="P21" s="59">
        <f t="shared" si="6"/>
        <v>109192.09</v>
      </c>
      <c r="Q21" s="30">
        <f t="shared" si="7"/>
        <v>0.09</v>
      </c>
    </row>
    <row r="22" spans="1:18" ht="17.100000000000001" customHeight="1" x14ac:dyDescent="0.3">
      <c r="A22" s="45">
        <v>10</v>
      </c>
      <c r="B22" s="45" t="s">
        <v>45</v>
      </c>
      <c r="C22" s="45" t="s">
        <v>46</v>
      </c>
      <c r="D22" s="46" t="s">
        <v>71</v>
      </c>
      <c r="E22" s="54">
        <v>5.4</v>
      </c>
      <c r="F22" s="55">
        <v>9.9999999999999992E-2</v>
      </c>
      <c r="G22" s="56">
        <f>RESUMEN!D43-39187.9</f>
        <v>118800.39000000001</v>
      </c>
      <c r="H22" s="57">
        <f>F22-G22</f>
        <v>-118800.29000000001</v>
      </c>
      <c r="I22" s="57">
        <f t="shared" si="3"/>
        <v>0</v>
      </c>
      <c r="J22" s="107">
        <f t="shared" si="1"/>
        <v>118800</v>
      </c>
      <c r="K22" s="107">
        <f t="shared" si="2"/>
        <v>0</v>
      </c>
      <c r="L22" s="168">
        <f>EDESUR!I15</f>
        <v>0</v>
      </c>
      <c r="M22" s="185"/>
      <c r="N22" s="167">
        <f t="shared" si="4"/>
        <v>9.9999999999999992E-2</v>
      </c>
      <c r="O22" s="58">
        <f t="shared" si="5"/>
        <v>9.9999999999999992E-2</v>
      </c>
      <c r="P22" s="59">
        <f t="shared" si="6"/>
        <v>9.9999999999999992E-2</v>
      </c>
      <c r="Q22" s="30">
        <f t="shared" si="7"/>
        <v>9.9999999999999992E-2</v>
      </c>
    </row>
    <row r="23" spans="1:18" ht="17.100000000000001" customHeight="1" x14ac:dyDescent="0.3">
      <c r="A23" s="45">
        <v>11</v>
      </c>
      <c r="B23" s="45" t="s">
        <v>47</v>
      </c>
      <c r="C23" s="45" t="s">
        <v>48</v>
      </c>
      <c r="D23" s="46"/>
      <c r="E23" s="54">
        <v>5.4</v>
      </c>
      <c r="F23" s="55">
        <v>118800.11</v>
      </c>
      <c r="G23" s="56">
        <f>125400-G34</f>
        <v>118799.78</v>
      </c>
      <c r="H23" s="57">
        <f t="shared" si="0"/>
        <v>0.33000000000174623</v>
      </c>
      <c r="I23" s="57">
        <f t="shared" si="3"/>
        <v>9.900000000052386E-3</v>
      </c>
      <c r="J23" s="107">
        <f t="shared" si="1"/>
        <v>118800</v>
      </c>
      <c r="K23" s="107">
        <f t="shared" si="2"/>
        <v>0</v>
      </c>
      <c r="L23" s="168">
        <f>EDESUR!I12</f>
        <v>0</v>
      </c>
      <c r="M23" s="185"/>
      <c r="N23" s="167">
        <f t="shared" si="4"/>
        <v>118800.11</v>
      </c>
      <c r="O23" s="58">
        <f t="shared" si="5"/>
        <v>125928.11</v>
      </c>
      <c r="P23" s="59">
        <f t="shared" si="6"/>
        <v>122364.11</v>
      </c>
      <c r="Q23" s="30">
        <f t="shared" si="7"/>
        <v>0.10999999999999999</v>
      </c>
      <c r="R23" t="s">
        <v>92</v>
      </c>
    </row>
    <row r="24" spans="1:18" ht="30" customHeight="1" x14ac:dyDescent="0.3">
      <c r="A24" s="45">
        <v>12</v>
      </c>
      <c r="B24" s="45" t="s">
        <v>49</v>
      </c>
      <c r="C24" s="45" t="s">
        <v>50</v>
      </c>
      <c r="D24" s="46" t="s">
        <v>72</v>
      </c>
      <c r="E24" s="54">
        <v>6.6</v>
      </c>
      <c r="F24" s="55">
        <v>158784.12</v>
      </c>
      <c r="G24" s="56">
        <f>F24</f>
        <v>158784.12</v>
      </c>
      <c r="H24" s="57">
        <f t="shared" si="0"/>
        <v>0</v>
      </c>
      <c r="I24" s="57">
        <f t="shared" si="3"/>
        <v>0</v>
      </c>
      <c r="J24" s="107">
        <f t="shared" si="1"/>
        <v>145200</v>
      </c>
      <c r="K24" s="107">
        <f t="shared" si="2"/>
        <v>0</v>
      </c>
      <c r="L24" s="168">
        <f>EDESUR!I17</f>
        <v>0</v>
      </c>
      <c r="M24" s="185"/>
      <c r="N24" s="167">
        <f t="shared" si="4"/>
        <v>145200.12</v>
      </c>
      <c r="O24" s="58">
        <f t="shared" si="5"/>
        <v>153912.12</v>
      </c>
      <c r="P24" s="59">
        <f t="shared" si="6"/>
        <v>149556.12</v>
      </c>
      <c r="Q24" s="30">
        <f t="shared" si="7"/>
        <v>0.11999999999999998</v>
      </c>
    </row>
    <row r="25" spans="1:18" ht="17.100000000000001" customHeight="1" x14ac:dyDescent="0.3">
      <c r="A25" s="45">
        <v>13</v>
      </c>
      <c r="B25" s="45" t="s">
        <v>51</v>
      </c>
      <c r="C25" s="45" t="s">
        <v>52</v>
      </c>
      <c r="D25" s="46" t="s">
        <v>89</v>
      </c>
      <c r="E25" s="54">
        <v>6.6</v>
      </c>
      <c r="F25" s="55">
        <v>140959.13</v>
      </c>
      <c r="G25" s="56">
        <f>F25</f>
        <v>140959.13</v>
      </c>
      <c r="H25" s="57">
        <f t="shared" si="0"/>
        <v>0</v>
      </c>
      <c r="I25" s="57">
        <f t="shared" si="3"/>
        <v>0</v>
      </c>
      <c r="J25" s="107">
        <f t="shared" si="1"/>
        <v>145200</v>
      </c>
      <c r="K25" s="107">
        <f t="shared" si="2"/>
        <v>0</v>
      </c>
      <c r="L25" s="168">
        <f>EDESUR!I18</f>
        <v>0</v>
      </c>
      <c r="M25" s="185"/>
      <c r="N25" s="167">
        <f t="shared" si="4"/>
        <v>145200.13</v>
      </c>
      <c r="O25" s="58">
        <f t="shared" si="5"/>
        <v>153912.13</v>
      </c>
      <c r="P25" s="59">
        <f t="shared" si="6"/>
        <v>149556.13</v>
      </c>
      <c r="Q25" s="30">
        <f t="shared" si="7"/>
        <v>0.12999999999999998</v>
      </c>
    </row>
    <row r="26" spans="1:18" ht="17.100000000000001" customHeight="1" x14ac:dyDescent="0.3">
      <c r="A26" s="160">
        <v>14</v>
      </c>
      <c r="B26" s="160" t="s">
        <v>53</v>
      </c>
      <c r="C26" s="160" t="s">
        <v>54</v>
      </c>
      <c r="D26" s="161"/>
      <c r="E26" s="162">
        <v>5.4</v>
      </c>
      <c r="F26" s="56">
        <v>118800.14</v>
      </c>
      <c r="G26" s="56">
        <f>F26</f>
        <v>118800.14</v>
      </c>
      <c r="H26" s="163">
        <f t="shared" si="0"/>
        <v>0</v>
      </c>
      <c r="I26" s="163">
        <f t="shared" si="3"/>
        <v>0</v>
      </c>
      <c r="J26" s="164">
        <f t="shared" si="1"/>
        <v>118800</v>
      </c>
      <c r="K26" s="164">
        <f t="shared" si="2"/>
        <v>0</v>
      </c>
      <c r="L26" s="171">
        <f>EDESUR!I19</f>
        <v>0</v>
      </c>
      <c r="M26" s="186"/>
      <c r="N26" s="167">
        <f t="shared" si="4"/>
        <v>118800.14</v>
      </c>
      <c r="O26" s="165">
        <f t="shared" si="5"/>
        <v>125928.14</v>
      </c>
      <c r="P26" s="166">
        <f t="shared" si="6"/>
        <v>122364.14</v>
      </c>
      <c r="Q26" s="30">
        <f t="shared" si="7"/>
        <v>0.13999999999999999</v>
      </c>
    </row>
    <row r="27" spans="1:18" ht="17.100000000000001" customHeight="1" x14ac:dyDescent="0.3">
      <c r="A27" s="45">
        <v>15</v>
      </c>
      <c r="B27" s="45" t="s">
        <v>55</v>
      </c>
      <c r="C27" s="45" t="s">
        <v>56</v>
      </c>
      <c r="D27" s="46"/>
      <c r="E27" s="54">
        <v>5.4</v>
      </c>
      <c r="F27" s="55">
        <v>118800.15</v>
      </c>
      <c r="G27" s="56">
        <v>0</v>
      </c>
      <c r="H27" s="57">
        <f t="shared" si="0"/>
        <v>118800.15</v>
      </c>
      <c r="I27" s="57">
        <f t="shared" si="3"/>
        <v>3564.0044999999996</v>
      </c>
      <c r="J27" s="107">
        <f t="shared" si="1"/>
        <v>118800</v>
      </c>
      <c r="K27" s="107">
        <f t="shared" si="2"/>
        <v>0</v>
      </c>
      <c r="L27" s="168">
        <f>EDESUR!I16</f>
        <v>0</v>
      </c>
      <c r="M27" s="185"/>
      <c r="N27" s="167">
        <f t="shared" si="4"/>
        <v>241164.15</v>
      </c>
      <c r="O27" s="58">
        <f t="shared" si="5"/>
        <v>255634.15</v>
      </c>
      <c r="P27" s="59">
        <f t="shared" si="6"/>
        <v>248399.15</v>
      </c>
      <c r="Q27" s="30">
        <f t="shared" si="7"/>
        <v>0.15</v>
      </c>
    </row>
    <row r="28" spans="1:18" ht="17.100000000000001" customHeight="1" x14ac:dyDescent="0.3">
      <c r="A28" s="45">
        <v>16</v>
      </c>
      <c r="B28" s="45" t="s">
        <v>57</v>
      </c>
      <c r="C28" s="45" t="s">
        <v>38</v>
      </c>
      <c r="D28" s="45" t="s">
        <v>90</v>
      </c>
      <c r="E28" s="54">
        <v>0.7</v>
      </c>
      <c r="F28" s="55">
        <v>15400.16</v>
      </c>
      <c r="G28" s="56">
        <f t="shared" ref="G28:G34" si="9">F28</f>
        <v>15400.16</v>
      </c>
      <c r="H28" s="57">
        <f t="shared" si="0"/>
        <v>0</v>
      </c>
      <c r="I28" s="57">
        <f t="shared" si="3"/>
        <v>0</v>
      </c>
      <c r="J28" s="107">
        <f t="shared" si="1"/>
        <v>15400</v>
      </c>
      <c r="K28" s="107">
        <f t="shared" si="2"/>
        <v>0</v>
      </c>
      <c r="L28" s="168">
        <f>EDESUR!I22</f>
        <v>0</v>
      </c>
      <c r="M28" s="185"/>
      <c r="N28" s="167">
        <f t="shared" si="4"/>
        <v>15400.16</v>
      </c>
      <c r="O28" s="58">
        <f t="shared" si="5"/>
        <v>16324.16</v>
      </c>
      <c r="P28" s="59">
        <f t="shared" si="6"/>
        <v>15862.16</v>
      </c>
      <c r="Q28" s="30">
        <f t="shared" si="7"/>
        <v>0.16</v>
      </c>
    </row>
    <row r="29" spans="1:18" ht="17.100000000000001" customHeight="1" x14ac:dyDescent="0.3">
      <c r="A29" s="45">
        <v>17</v>
      </c>
      <c r="B29" s="45" t="s">
        <v>58</v>
      </c>
      <c r="C29" s="45" t="s">
        <v>28</v>
      </c>
      <c r="D29" s="46"/>
      <c r="E29" s="54">
        <v>0.6</v>
      </c>
      <c r="F29" s="56">
        <v>13200.17</v>
      </c>
      <c r="G29" s="56">
        <f t="shared" si="9"/>
        <v>13200.17</v>
      </c>
      <c r="H29" s="57">
        <f t="shared" si="0"/>
        <v>0</v>
      </c>
      <c r="I29" s="57">
        <f t="shared" si="3"/>
        <v>0</v>
      </c>
      <c r="J29" s="107">
        <f t="shared" si="1"/>
        <v>13200</v>
      </c>
      <c r="K29" s="107">
        <f t="shared" si="2"/>
        <v>0</v>
      </c>
      <c r="L29" s="168">
        <f>EDESUR!I23</f>
        <v>0</v>
      </c>
      <c r="M29" s="185"/>
      <c r="N29" s="167">
        <f t="shared" si="4"/>
        <v>13200.17</v>
      </c>
      <c r="O29" s="58">
        <f t="shared" si="5"/>
        <v>13992.17</v>
      </c>
      <c r="P29" s="59">
        <f t="shared" si="6"/>
        <v>13596.17</v>
      </c>
      <c r="Q29" s="30">
        <f t="shared" si="7"/>
        <v>0.17</v>
      </c>
    </row>
    <row r="30" spans="1:18" ht="17.100000000000001" customHeight="1" x14ac:dyDescent="0.3">
      <c r="A30" s="45">
        <v>18</v>
      </c>
      <c r="B30" s="45" t="s">
        <v>59</v>
      </c>
      <c r="C30" s="45" t="s">
        <v>28</v>
      </c>
      <c r="D30" s="90"/>
      <c r="E30" s="54">
        <v>0.6</v>
      </c>
      <c r="F30" s="55">
        <v>13200.18</v>
      </c>
      <c r="G30" s="56">
        <f t="shared" si="9"/>
        <v>13200.18</v>
      </c>
      <c r="H30" s="57">
        <f t="shared" si="0"/>
        <v>0</v>
      </c>
      <c r="I30" s="57">
        <f t="shared" si="3"/>
        <v>0</v>
      </c>
      <c r="J30" s="107">
        <f t="shared" si="1"/>
        <v>13200</v>
      </c>
      <c r="K30" s="107">
        <f t="shared" si="2"/>
        <v>0</v>
      </c>
      <c r="L30" s="168">
        <f>EDESUR!I24</f>
        <v>0</v>
      </c>
      <c r="M30" s="185"/>
      <c r="N30" s="167">
        <f t="shared" si="4"/>
        <v>13200.18</v>
      </c>
      <c r="O30" s="58">
        <f t="shared" si="5"/>
        <v>13992.18</v>
      </c>
      <c r="P30" s="59">
        <f t="shared" si="6"/>
        <v>13596.18</v>
      </c>
      <c r="Q30" s="30">
        <f t="shared" si="7"/>
        <v>0.18000000000000002</v>
      </c>
    </row>
    <row r="31" spans="1:18" x14ac:dyDescent="0.3">
      <c r="A31" s="160">
        <v>19</v>
      </c>
      <c r="B31" s="160" t="s">
        <v>60</v>
      </c>
      <c r="C31" s="160" t="s">
        <v>50</v>
      </c>
      <c r="D31" s="161"/>
      <c r="E31" s="162">
        <v>0.6</v>
      </c>
      <c r="F31" s="56">
        <v>13200.19</v>
      </c>
      <c r="G31" s="56">
        <f t="shared" si="9"/>
        <v>13200.19</v>
      </c>
      <c r="H31" s="163">
        <f t="shared" si="0"/>
        <v>0</v>
      </c>
      <c r="I31" s="163">
        <f t="shared" si="3"/>
        <v>0</v>
      </c>
      <c r="J31" s="164">
        <f t="shared" si="1"/>
        <v>13200</v>
      </c>
      <c r="K31" s="164">
        <f t="shared" si="2"/>
        <v>0</v>
      </c>
      <c r="L31" s="171">
        <f>EDESUR!I25</f>
        <v>0</v>
      </c>
      <c r="M31" s="186"/>
      <c r="N31" s="167">
        <f t="shared" si="4"/>
        <v>13200.19</v>
      </c>
      <c r="O31" s="165"/>
      <c r="P31" s="166">
        <f t="shared" si="6"/>
        <v>13596.19</v>
      </c>
      <c r="Q31" s="30">
        <f>Q30+0.01</f>
        <v>0.19000000000000003</v>
      </c>
    </row>
    <row r="32" spans="1:18" ht="21.6" x14ac:dyDescent="0.3">
      <c r="A32" s="60">
        <v>20</v>
      </c>
      <c r="B32" s="60" t="s">
        <v>61</v>
      </c>
      <c r="C32" s="45" t="s">
        <v>34</v>
      </c>
      <c r="D32" s="46" t="s">
        <v>126</v>
      </c>
      <c r="E32" s="54">
        <v>0.6</v>
      </c>
      <c r="F32" s="62">
        <v>13200.2</v>
      </c>
      <c r="G32" s="56">
        <f>F32</f>
        <v>13200.2</v>
      </c>
      <c r="H32" s="57">
        <f t="shared" si="0"/>
        <v>0</v>
      </c>
      <c r="I32" s="57">
        <f t="shared" si="3"/>
        <v>0</v>
      </c>
      <c r="J32" s="107">
        <f t="shared" si="1"/>
        <v>13200</v>
      </c>
      <c r="K32" s="107">
        <f t="shared" si="2"/>
        <v>0</v>
      </c>
      <c r="L32" s="168">
        <f>EDESUR!I26</f>
        <v>0</v>
      </c>
      <c r="M32" s="185"/>
      <c r="N32" s="167">
        <f t="shared" si="4"/>
        <v>13200.2</v>
      </c>
      <c r="O32" s="58"/>
      <c r="P32" s="59">
        <f t="shared" si="6"/>
        <v>13596.2</v>
      </c>
      <c r="Q32" s="30">
        <f t="shared" ref="Q32:Q35" si="10">Q31+0.01</f>
        <v>0.20000000000000004</v>
      </c>
    </row>
    <row r="33" spans="1:17" x14ac:dyDescent="0.3">
      <c r="A33" s="60">
        <v>21</v>
      </c>
      <c r="B33" s="60" t="s">
        <v>62</v>
      </c>
      <c r="C33" s="47" t="s">
        <v>46</v>
      </c>
      <c r="D33" s="46" t="s">
        <v>71</v>
      </c>
      <c r="E33" s="54">
        <v>0.3</v>
      </c>
      <c r="F33" s="62">
        <v>6600.21</v>
      </c>
      <c r="G33" s="56">
        <f t="shared" si="9"/>
        <v>6600.21</v>
      </c>
      <c r="H33" s="57">
        <f t="shared" si="0"/>
        <v>0</v>
      </c>
      <c r="I33" s="57">
        <f t="shared" si="3"/>
        <v>0</v>
      </c>
      <c r="J33" s="107">
        <f t="shared" si="1"/>
        <v>6600</v>
      </c>
      <c r="K33" s="107">
        <f t="shared" si="2"/>
        <v>0</v>
      </c>
      <c r="L33" s="168">
        <f>EDESUR!I27</f>
        <v>0</v>
      </c>
      <c r="M33" s="185"/>
      <c r="N33" s="167">
        <f t="shared" si="4"/>
        <v>6600.21</v>
      </c>
      <c r="O33" s="58"/>
      <c r="P33" s="59">
        <f t="shared" si="6"/>
        <v>6798.21</v>
      </c>
      <c r="Q33" s="30">
        <f t="shared" si="10"/>
        <v>0.21000000000000005</v>
      </c>
    </row>
    <row r="34" spans="1:17" x14ac:dyDescent="0.3">
      <c r="A34" s="61">
        <v>22</v>
      </c>
      <c r="B34" s="61" t="s">
        <v>63</v>
      </c>
      <c r="C34" s="45" t="s">
        <v>48</v>
      </c>
      <c r="D34" s="46"/>
      <c r="E34" s="54">
        <v>0.3</v>
      </c>
      <c r="F34" s="62">
        <v>6600.22</v>
      </c>
      <c r="G34" s="159">
        <f t="shared" si="9"/>
        <v>6600.22</v>
      </c>
      <c r="H34" s="57">
        <f t="shared" si="0"/>
        <v>0</v>
      </c>
      <c r="I34" s="57">
        <f t="shared" si="3"/>
        <v>0</v>
      </c>
      <c r="J34" s="107">
        <f t="shared" si="1"/>
        <v>6600</v>
      </c>
      <c r="K34" s="107">
        <f t="shared" si="2"/>
        <v>0</v>
      </c>
      <c r="L34" s="168">
        <f>EDESUR!I28</f>
        <v>0</v>
      </c>
      <c r="M34" s="185"/>
      <c r="N34" s="167">
        <f t="shared" si="4"/>
        <v>6600.22</v>
      </c>
      <c r="O34" s="58"/>
      <c r="P34" s="59">
        <f t="shared" si="6"/>
        <v>6798.22</v>
      </c>
      <c r="Q34" s="30">
        <f t="shared" si="10"/>
        <v>0.22000000000000006</v>
      </c>
    </row>
    <row r="35" spans="1:17" ht="17.100000000000001" customHeight="1" thickBot="1" x14ac:dyDescent="0.35">
      <c r="A35" s="45">
        <v>23</v>
      </c>
      <c r="B35" s="63" t="s">
        <v>64</v>
      </c>
      <c r="C35" s="63" t="s">
        <v>65</v>
      </c>
      <c r="D35" s="46" t="s">
        <v>69</v>
      </c>
      <c r="E35" s="54">
        <v>0.3</v>
      </c>
      <c r="F35" s="62">
        <v>6600.23</v>
      </c>
      <c r="G35" s="56">
        <f>F35</f>
        <v>6600.23</v>
      </c>
      <c r="H35" s="57">
        <f t="shared" si="0"/>
        <v>0</v>
      </c>
      <c r="I35" s="57">
        <f t="shared" si="3"/>
        <v>0</v>
      </c>
      <c r="J35" s="107">
        <f t="shared" si="1"/>
        <v>6600</v>
      </c>
      <c r="K35" s="107">
        <f t="shared" si="2"/>
        <v>0</v>
      </c>
      <c r="L35" s="168">
        <f>EDESUR!I29</f>
        <v>0</v>
      </c>
      <c r="M35" s="185"/>
      <c r="N35" s="167">
        <f t="shared" si="4"/>
        <v>6600.23</v>
      </c>
      <c r="O35" s="64"/>
      <c r="P35" s="59">
        <f t="shared" si="6"/>
        <v>6798.23</v>
      </c>
      <c r="Q35" s="30">
        <f t="shared" si="10"/>
        <v>0.23000000000000007</v>
      </c>
    </row>
    <row r="36" spans="1:17" ht="17.100000000000001" customHeight="1" thickBot="1" x14ac:dyDescent="0.35">
      <c r="A36" s="65"/>
      <c r="B36" s="65"/>
      <c r="C36" s="66"/>
      <c r="D36" s="66"/>
      <c r="E36" s="119">
        <f>SUM(E13:E35)</f>
        <v>99.999999999999986</v>
      </c>
      <c r="F36" s="39">
        <f>SUM(F13:F35)</f>
        <v>2369834.7600000012</v>
      </c>
      <c r="G36" s="43">
        <f>SUM(G13:G35)</f>
        <v>2409066.1000000006</v>
      </c>
      <c r="H36" s="43">
        <f>SUM(H13:H35)</f>
        <v>-39231.340000000055</v>
      </c>
      <c r="I36" s="43">
        <f t="shared" ref="I36:O36" si="11">SUM(I13:I35)</f>
        <v>3564.024899999999</v>
      </c>
      <c r="J36" s="93">
        <f t="shared" si="11"/>
        <v>2200000</v>
      </c>
      <c r="K36" s="43">
        <f t="shared" si="11"/>
        <v>0</v>
      </c>
      <c r="L36" s="67">
        <f>SUM(L13:L35)</f>
        <v>124468.6</v>
      </c>
      <c r="M36" s="67"/>
      <c r="N36" s="67">
        <f>SUM(N13:N35)</f>
        <v>2338802.7600000012</v>
      </c>
      <c r="O36" s="67">
        <f t="shared" si="11"/>
        <v>2430158.7100000009</v>
      </c>
      <c r="P36" s="67">
        <f>SUM(P13:P35)</f>
        <v>2408966.7600000012</v>
      </c>
    </row>
    <row r="37" spans="1:17" ht="12.75" customHeight="1" x14ac:dyDescent="0.3">
      <c r="C37" s="36"/>
      <c r="D37" s="36"/>
    </row>
    <row r="38" spans="1:17" hidden="1" x14ac:dyDescent="0.3"/>
    <row r="39" spans="1:17" ht="9" customHeight="1" x14ac:dyDescent="0.3">
      <c r="C39" s="192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</row>
    <row r="40" spans="1:17" ht="12" hidden="1" customHeight="1" x14ac:dyDescent="0.3"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</row>
    <row r="41" spans="1:17" ht="12" hidden="1" customHeight="1" x14ac:dyDescent="0.3"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</row>
    <row r="42" spans="1:17" ht="12" hidden="1" customHeight="1" x14ac:dyDescent="0.3"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</row>
    <row r="43" spans="1:17" ht="12" hidden="1" customHeight="1" x14ac:dyDescent="0.3"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</row>
    <row r="44" spans="1:17" ht="67.5" customHeight="1" x14ac:dyDescent="0.3"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</row>
  </sheetData>
  <mergeCells count="19">
    <mergeCell ref="E1:N1"/>
    <mergeCell ref="I11:I12"/>
    <mergeCell ref="F11:F12"/>
    <mergeCell ref="O11:O12"/>
    <mergeCell ref="G11:G12"/>
    <mergeCell ref="H11:H12"/>
    <mergeCell ref="J11:J12"/>
    <mergeCell ref="K11:K12"/>
    <mergeCell ref="A4:P8"/>
    <mergeCell ref="P11:P12"/>
    <mergeCell ref="A9:P9"/>
    <mergeCell ref="A10:P10"/>
    <mergeCell ref="L11:L12"/>
    <mergeCell ref="C39:N44"/>
    <mergeCell ref="D11:D12"/>
    <mergeCell ref="A11:A12"/>
    <mergeCell ref="C11:C12"/>
    <mergeCell ref="E11:E12"/>
    <mergeCell ref="M11:M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topLeftCell="A15" workbookViewId="0">
      <selection activeCell="I33" sqref="I33:J33"/>
    </sheetView>
  </sheetViews>
  <sheetFormatPr baseColWidth="10" defaultColWidth="10.88671875" defaultRowHeight="14.4" x14ac:dyDescent="0.3"/>
  <cols>
    <col min="4" max="4" width="4" customWidth="1"/>
    <col min="5" max="5" width="21.5546875" customWidth="1"/>
    <col min="6" max="6" width="4.5546875" customWidth="1"/>
    <col min="7" max="7" width="24.44140625" customWidth="1"/>
    <col min="8" max="8" width="5" customWidth="1"/>
    <col min="10" max="10" width="19.5546875" customWidth="1"/>
  </cols>
  <sheetData>
    <row r="3" spans="2:10" ht="30" customHeight="1" x14ac:dyDescent="0.3">
      <c r="B3" s="125" t="s">
        <v>80</v>
      </c>
      <c r="C3" s="125" t="s">
        <v>81</v>
      </c>
      <c r="E3" s="127" t="s">
        <v>87</v>
      </c>
      <c r="G3" s="158" t="s">
        <v>145</v>
      </c>
      <c r="I3" s="229" t="s">
        <v>88</v>
      </c>
      <c r="J3" s="230"/>
    </row>
    <row r="4" spans="2:10" x14ac:dyDescent="0.3">
      <c r="B4" s="125"/>
      <c r="C4" s="125"/>
      <c r="E4" s="125"/>
      <c r="G4" s="128"/>
      <c r="I4" s="229"/>
      <c r="J4" s="230"/>
    </row>
    <row r="5" spans="2:10" x14ac:dyDescent="0.3">
      <c r="B5" s="125">
        <v>1</v>
      </c>
      <c r="C5" s="125" t="s">
        <v>82</v>
      </c>
      <c r="E5" s="129">
        <v>11844.04</v>
      </c>
      <c r="F5" s="2"/>
      <c r="G5" s="130">
        <f>E5</f>
        <v>11844.04</v>
      </c>
      <c r="I5" s="227">
        <f>E5-G5</f>
        <v>0</v>
      </c>
      <c r="J5" s="228"/>
    </row>
    <row r="6" spans="2:10" x14ac:dyDescent="0.3">
      <c r="B6" s="125">
        <v>1</v>
      </c>
      <c r="C6" s="125" t="s">
        <v>83</v>
      </c>
      <c r="E6" s="129">
        <v>34733.22</v>
      </c>
      <c r="F6" s="2"/>
      <c r="G6" s="130">
        <v>0</v>
      </c>
      <c r="I6" s="227">
        <f t="shared" ref="I6:I19" si="0">E6-G6</f>
        <v>34733.22</v>
      </c>
      <c r="J6" s="228"/>
    </row>
    <row r="7" spans="2:10" x14ac:dyDescent="0.3">
      <c r="B7" s="125">
        <v>1</v>
      </c>
      <c r="C7" s="125" t="s">
        <v>84</v>
      </c>
      <c r="E7" s="129">
        <v>19275.349999999999</v>
      </c>
      <c r="F7" s="2"/>
      <c r="G7" s="130"/>
      <c r="I7" s="227">
        <f t="shared" si="0"/>
        <v>19275.349999999999</v>
      </c>
      <c r="J7" s="228"/>
    </row>
    <row r="8" spans="2:10" x14ac:dyDescent="0.3">
      <c r="B8" s="125">
        <v>2</v>
      </c>
      <c r="C8" s="125" t="s">
        <v>82</v>
      </c>
      <c r="E8" s="129">
        <v>5329.82</v>
      </c>
      <c r="F8" s="2"/>
      <c r="G8" s="130">
        <f>E8</f>
        <v>5329.82</v>
      </c>
      <c r="I8" s="227">
        <f t="shared" si="0"/>
        <v>0</v>
      </c>
      <c r="J8" s="228"/>
    </row>
    <row r="9" spans="2:10" x14ac:dyDescent="0.3">
      <c r="B9" s="126">
        <v>2</v>
      </c>
      <c r="C9" s="126" t="s">
        <v>85</v>
      </c>
      <c r="E9" s="129">
        <v>6514.22</v>
      </c>
      <c r="F9" s="2"/>
      <c r="G9" s="130">
        <f>E9</f>
        <v>6514.22</v>
      </c>
      <c r="I9" s="227">
        <f t="shared" si="0"/>
        <v>0</v>
      </c>
      <c r="J9" s="228"/>
    </row>
    <row r="10" spans="2:10" x14ac:dyDescent="0.3">
      <c r="B10" s="126">
        <v>2</v>
      </c>
      <c r="C10" s="126" t="s">
        <v>83</v>
      </c>
      <c r="E10" s="129">
        <v>6514.22</v>
      </c>
      <c r="F10" s="2"/>
      <c r="G10" s="130">
        <f>E10</f>
        <v>6514.22</v>
      </c>
      <c r="I10" s="227">
        <f t="shared" si="0"/>
        <v>0</v>
      </c>
      <c r="J10" s="228"/>
    </row>
    <row r="11" spans="2:10" x14ac:dyDescent="0.3">
      <c r="B11" s="126">
        <v>2</v>
      </c>
      <c r="C11" s="126" t="s">
        <v>84</v>
      </c>
      <c r="E11" s="129">
        <v>5329.82</v>
      </c>
      <c r="F11" s="2"/>
      <c r="G11" s="130">
        <f>E11</f>
        <v>5329.82</v>
      </c>
      <c r="I11" s="227">
        <f t="shared" si="0"/>
        <v>0</v>
      </c>
      <c r="J11" s="228"/>
    </row>
    <row r="12" spans="2:10" x14ac:dyDescent="0.3">
      <c r="B12" s="126">
        <v>3</v>
      </c>
      <c r="C12" s="126" t="s">
        <v>82</v>
      </c>
      <c r="E12" s="129">
        <v>5329.82</v>
      </c>
      <c r="F12" s="2"/>
      <c r="G12" s="130">
        <f>E12</f>
        <v>5329.82</v>
      </c>
      <c r="I12" s="227">
        <f t="shared" si="0"/>
        <v>0</v>
      </c>
      <c r="J12" s="228"/>
    </row>
    <row r="13" spans="2:10" x14ac:dyDescent="0.3">
      <c r="B13" s="125">
        <v>3</v>
      </c>
      <c r="C13" s="125" t="s">
        <v>85</v>
      </c>
      <c r="E13" s="129">
        <v>70460.03</v>
      </c>
      <c r="F13" s="2"/>
      <c r="G13" s="130"/>
      <c r="I13" s="227">
        <f t="shared" si="0"/>
        <v>70460.03</v>
      </c>
      <c r="J13" s="228"/>
    </row>
    <row r="14" spans="2:10" x14ac:dyDescent="0.3">
      <c r="B14" s="126">
        <v>3</v>
      </c>
      <c r="C14" s="126" t="s">
        <v>83</v>
      </c>
      <c r="E14" s="129">
        <v>6514.22</v>
      </c>
      <c r="F14" s="2"/>
      <c r="G14" s="130">
        <f t="shared" ref="G14:G19" si="1">E14</f>
        <v>6514.22</v>
      </c>
      <c r="I14" s="227">
        <f t="shared" si="0"/>
        <v>0</v>
      </c>
      <c r="J14" s="228"/>
    </row>
    <row r="15" spans="2:10" x14ac:dyDescent="0.3">
      <c r="B15" s="126">
        <v>3</v>
      </c>
      <c r="C15" s="126" t="s">
        <v>84</v>
      </c>
      <c r="E15" s="129">
        <v>5329.82</v>
      </c>
      <c r="F15" s="2"/>
      <c r="G15" s="130">
        <f t="shared" si="1"/>
        <v>5329.82</v>
      </c>
      <c r="I15" s="227">
        <f t="shared" si="0"/>
        <v>0</v>
      </c>
      <c r="J15" s="228"/>
    </row>
    <row r="16" spans="2:10" x14ac:dyDescent="0.3">
      <c r="B16" s="125">
        <v>4</v>
      </c>
      <c r="C16" s="125" t="s">
        <v>82</v>
      </c>
      <c r="E16" s="129">
        <v>5329.82</v>
      </c>
      <c r="F16" s="2"/>
      <c r="G16" s="130">
        <f t="shared" si="1"/>
        <v>5329.82</v>
      </c>
      <c r="I16" s="227">
        <f t="shared" si="0"/>
        <v>0</v>
      </c>
      <c r="J16" s="228"/>
    </row>
    <row r="17" spans="2:10" x14ac:dyDescent="0.3">
      <c r="B17" s="126">
        <v>4</v>
      </c>
      <c r="C17" s="126" t="s">
        <v>85</v>
      </c>
      <c r="E17" s="129">
        <v>6514.22</v>
      </c>
      <c r="F17" s="2"/>
      <c r="G17" s="130">
        <f t="shared" si="1"/>
        <v>6514.22</v>
      </c>
      <c r="I17" s="227">
        <f t="shared" si="0"/>
        <v>0</v>
      </c>
      <c r="J17" s="228"/>
    </row>
    <row r="18" spans="2:10" x14ac:dyDescent="0.3">
      <c r="B18" s="125">
        <v>4</v>
      </c>
      <c r="C18" s="125" t="s">
        <v>83</v>
      </c>
      <c r="E18" s="129">
        <v>6514.22</v>
      </c>
      <c r="F18" s="2"/>
      <c r="G18" s="130">
        <f t="shared" si="1"/>
        <v>6514.22</v>
      </c>
      <c r="I18" s="227">
        <f t="shared" si="0"/>
        <v>0</v>
      </c>
      <c r="J18" s="228"/>
    </row>
    <row r="19" spans="2:10" x14ac:dyDescent="0.3">
      <c r="B19" s="126">
        <v>4</v>
      </c>
      <c r="C19" s="126" t="s">
        <v>84</v>
      </c>
      <c r="E19" s="129">
        <v>5329.82</v>
      </c>
      <c r="F19" s="2"/>
      <c r="G19" s="130">
        <f t="shared" si="1"/>
        <v>5329.82</v>
      </c>
      <c r="I19" s="227">
        <f t="shared" si="0"/>
        <v>0</v>
      </c>
      <c r="J19" s="228"/>
    </row>
    <row r="20" spans="2:10" x14ac:dyDescent="0.3">
      <c r="B20" s="125"/>
      <c r="C20" s="125"/>
      <c r="E20" s="125"/>
      <c r="G20" s="128"/>
      <c r="I20" s="227"/>
      <c r="J20" s="228"/>
    </row>
    <row r="21" spans="2:10" x14ac:dyDescent="0.3">
      <c r="B21" s="151" t="s">
        <v>120</v>
      </c>
      <c r="C21" s="151"/>
      <c r="D21" s="152"/>
      <c r="E21" s="153">
        <f>SUM(E5:E20)</f>
        <v>200862.66000000003</v>
      </c>
      <c r="F21" s="154"/>
      <c r="G21" s="153">
        <f>SUM(G5:G20)</f>
        <v>76394.06</v>
      </c>
      <c r="I21" s="227">
        <f>E21-G21</f>
        <v>124468.60000000003</v>
      </c>
      <c r="J21" s="228"/>
    </row>
    <row r="22" spans="2:10" x14ac:dyDescent="0.3">
      <c r="B22" s="125" t="s">
        <v>86</v>
      </c>
      <c r="C22" s="125">
        <v>1</v>
      </c>
      <c r="E22" s="134">
        <v>690.9</v>
      </c>
      <c r="G22" s="135">
        <f>E22</f>
        <v>690.9</v>
      </c>
      <c r="I22" s="227">
        <f t="shared" ref="I22" si="2">E22-G22</f>
        <v>0</v>
      </c>
      <c r="J22" s="228"/>
    </row>
    <row r="23" spans="2:10" x14ac:dyDescent="0.3">
      <c r="B23" s="125" t="s">
        <v>86</v>
      </c>
      <c r="C23" s="125">
        <v>2</v>
      </c>
      <c r="E23" s="134">
        <v>592.20000000000005</v>
      </c>
      <c r="G23" s="135">
        <f t="shared" ref="G23:G29" si="3">E23</f>
        <v>592.20000000000005</v>
      </c>
      <c r="I23" s="227">
        <f t="shared" ref="I23:I31" si="4">E23-G23</f>
        <v>0</v>
      </c>
      <c r="J23" s="228"/>
    </row>
    <row r="24" spans="2:10" x14ac:dyDescent="0.3">
      <c r="B24" s="125" t="s">
        <v>86</v>
      </c>
      <c r="C24" s="125">
        <v>3</v>
      </c>
      <c r="E24" s="134">
        <v>592.20000000000005</v>
      </c>
      <c r="G24" s="135">
        <f t="shared" si="3"/>
        <v>592.20000000000005</v>
      </c>
      <c r="I24" s="227">
        <f t="shared" si="4"/>
        <v>0</v>
      </c>
      <c r="J24" s="228"/>
    </row>
    <row r="25" spans="2:10" x14ac:dyDescent="0.3">
      <c r="B25" s="125" t="s">
        <v>86</v>
      </c>
      <c r="C25" s="125">
        <v>4</v>
      </c>
      <c r="E25" s="134">
        <v>592.20000000000005</v>
      </c>
      <c r="G25" s="135">
        <f t="shared" si="3"/>
        <v>592.20000000000005</v>
      </c>
      <c r="I25" s="227">
        <f t="shared" si="4"/>
        <v>0</v>
      </c>
      <c r="J25" s="228"/>
    </row>
    <row r="26" spans="2:10" x14ac:dyDescent="0.3">
      <c r="B26" s="125" t="s">
        <v>86</v>
      </c>
      <c r="C26" s="125">
        <v>5</v>
      </c>
      <c r="E26" s="134">
        <v>592.20000000000005</v>
      </c>
      <c r="G26" s="135">
        <f t="shared" si="3"/>
        <v>592.20000000000005</v>
      </c>
      <c r="I26" s="227">
        <f t="shared" si="4"/>
        <v>0</v>
      </c>
      <c r="J26" s="228"/>
    </row>
    <row r="27" spans="2:10" x14ac:dyDescent="0.3">
      <c r="B27" s="125" t="s">
        <v>86</v>
      </c>
      <c r="C27" s="125">
        <v>6</v>
      </c>
      <c r="E27" s="134">
        <v>296.10000000000002</v>
      </c>
      <c r="G27" s="135">
        <f t="shared" si="3"/>
        <v>296.10000000000002</v>
      </c>
      <c r="I27" s="227">
        <f t="shared" si="4"/>
        <v>0</v>
      </c>
      <c r="J27" s="228"/>
    </row>
    <row r="28" spans="2:10" x14ac:dyDescent="0.3">
      <c r="B28" s="125" t="s">
        <v>86</v>
      </c>
      <c r="C28" s="125">
        <v>7</v>
      </c>
      <c r="E28" s="134">
        <v>296.10000000000002</v>
      </c>
      <c r="G28" s="135">
        <f t="shared" si="3"/>
        <v>296.10000000000002</v>
      </c>
      <c r="I28" s="227">
        <f t="shared" si="4"/>
        <v>0</v>
      </c>
      <c r="J28" s="228"/>
    </row>
    <row r="29" spans="2:10" x14ac:dyDescent="0.3">
      <c r="B29" s="125" t="s">
        <v>86</v>
      </c>
      <c r="C29" s="125">
        <v>8</v>
      </c>
      <c r="E29" s="134">
        <v>296.10000000000002</v>
      </c>
      <c r="G29" s="135">
        <f t="shared" si="3"/>
        <v>296.10000000000002</v>
      </c>
      <c r="I29" s="227">
        <f t="shared" si="4"/>
        <v>0</v>
      </c>
      <c r="J29" s="228"/>
    </row>
    <row r="30" spans="2:10" x14ac:dyDescent="0.3">
      <c r="B30" s="156" t="s">
        <v>120</v>
      </c>
      <c r="C30" s="157"/>
      <c r="D30" s="155"/>
      <c r="E30" s="153">
        <f>SUM(E22:E29)</f>
        <v>3947.9999999999995</v>
      </c>
      <c r="F30" s="155"/>
      <c r="G30" s="153">
        <f>SUM(G22:G29)</f>
        <v>3947.9999999999995</v>
      </c>
      <c r="I30" s="227">
        <f t="shared" si="4"/>
        <v>0</v>
      </c>
      <c r="J30" s="228"/>
    </row>
    <row r="31" spans="2:10" x14ac:dyDescent="0.3">
      <c r="E31" s="133"/>
      <c r="G31" s="130"/>
      <c r="I31" s="227">
        <f t="shared" si="4"/>
        <v>0</v>
      </c>
      <c r="J31" s="228"/>
    </row>
    <row r="32" spans="2:10" x14ac:dyDescent="0.3">
      <c r="E32" s="131"/>
      <c r="G32" s="132"/>
      <c r="I32" s="227"/>
      <c r="J32" s="228"/>
    </row>
    <row r="33" spans="5:10" x14ac:dyDescent="0.3">
      <c r="E33" s="133">
        <f>E30+E21</f>
        <v>204810.66000000003</v>
      </c>
      <c r="G33" s="130">
        <f>G21+G30</f>
        <v>80342.06</v>
      </c>
      <c r="I33" s="227">
        <f>E33-G33</f>
        <v>124468.60000000003</v>
      </c>
      <c r="J33" s="228"/>
    </row>
  </sheetData>
  <mergeCells count="31"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2026-05-04T15:11:15Z</cp:lastPrinted>
  <dcterms:created xsi:type="dcterms:W3CDTF">2023-09-17T12:29:07Z</dcterms:created>
  <dcterms:modified xsi:type="dcterms:W3CDTF">2026-05-04T15:11:20Z</dcterms:modified>
</cp:coreProperties>
</file>