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LTA 1167\Mayo\"/>
    </mc:Choice>
  </mc:AlternateContent>
  <xr:revisionPtr revIDLastSave="0" documentId="13_ncr:1_{F38AC16E-EA39-49B9-A52B-4AAADCAAD06C}" xr6:coauthVersionLast="47" xr6:coauthVersionMax="47" xr10:uidLastSave="{00000000-0000-0000-0000-000000000000}"/>
  <bookViews>
    <workbookView xWindow="-120" yWindow="-120" windowWidth="20730" windowHeight="11040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PRORRATEO!$A$1:$P$44</definedName>
    <definedName name="_xlnm.Print_Area" localSheetId="0">RESUMEN!$A$1:$E$97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2" l="1"/>
  <c r="G27" i="2" l="1"/>
  <c r="G18" i="2"/>
  <c r="G13" i="2"/>
  <c r="G35" i="2"/>
  <c r="G16" i="2"/>
  <c r="G21" i="2"/>
  <c r="G31" i="2"/>
  <c r="E44" i="1" l="1"/>
  <c r="G17" i="2" l="1"/>
  <c r="G15" i="2"/>
  <c r="G19" i="2"/>
  <c r="G24" i="2"/>
  <c r="G32" i="2"/>
  <c r="G28" i="2"/>
  <c r="E28" i="1"/>
  <c r="H22" i="2" l="1"/>
  <c r="G26" i="2" l="1"/>
  <c r="E31" i="1" l="1"/>
  <c r="E21" i="3" l="1"/>
  <c r="E30" i="3"/>
  <c r="E35" i="1"/>
  <c r="G20" i="2"/>
  <c r="G21" i="3" l="1"/>
  <c r="E24" i="1"/>
  <c r="G23" i="3" l="1"/>
  <c r="G24" i="3"/>
  <c r="G25" i="3"/>
  <c r="G26" i="3"/>
  <c r="G27" i="3"/>
  <c r="G28" i="3"/>
  <c r="G29" i="3"/>
  <c r="G22" i="3"/>
  <c r="B85" i="1" l="1"/>
  <c r="E33" i="3"/>
  <c r="G30" i="3"/>
  <c r="I21" i="3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23" i="2" s="1"/>
  <c r="E47" i="1"/>
  <c r="I22" i="3"/>
  <c r="L28" i="2" s="1"/>
  <c r="I23" i="3"/>
  <c r="L29" i="2" s="1"/>
  <c r="I24" i="3"/>
  <c r="L30" i="2" s="1"/>
  <c r="I25" i="3"/>
  <c r="L31" i="2" s="1"/>
  <c r="I26" i="3"/>
  <c r="L32" i="2" s="1"/>
  <c r="I27" i="3"/>
  <c r="L33" i="2" s="1"/>
  <c r="I28" i="3"/>
  <c r="L34" i="2" s="1"/>
  <c r="I29" i="3"/>
  <c r="L35" i="2" s="1"/>
  <c r="I6" i="3"/>
  <c r="L14" i="2" s="1"/>
  <c r="I7" i="3"/>
  <c r="L15" i="2" s="1"/>
  <c r="I8" i="3"/>
  <c r="I9" i="3"/>
  <c r="L16" i="2" s="1"/>
  <c r="I10" i="3"/>
  <c r="L17" i="2" s="1"/>
  <c r="I11" i="3"/>
  <c r="L18" i="2" s="1"/>
  <c r="I12" i="3"/>
  <c r="I13" i="3"/>
  <c r="L20" i="2" s="1"/>
  <c r="I14" i="3"/>
  <c r="L21" i="2" s="1"/>
  <c r="I15" i="3"/>
  <c r="L22" i="2" s="1"/>
  <c r="I16" i="3"/>
  <c r="L27" i="2" s="1"/>
  <c r="I17" i="3"/>
  <c r="L24" i="2" s="1"/>
  <c r="I18" i="3"/>
  <c r="L25" i="2" s="1"/>
  <c r="I19" i="3"/>
  <c r="L26" i="2" s="1"/>
  <c r="I5" i="3"/>
  <c r="L13" i="2" s="1"/>
  <c r="I31" i="3"/>
  <c r="I30" i="3" l="1"/>
  <c r="G33" i="3"/>
  <c r="I33" i="3" s="1"/>
  <c r="L23" i="2"/>
  <c r="L19" i="2"/>
  <c r="L36" i="2" s="1"/>
  <c r="K31" i="2" l="1"/>
  <c r="K32" i="2"/>
  <c r="K33" i="2"/>
  <c r="K34" i="2"/>
  <c r="K35" i="2"/>
  <c r="H31" i="2"/>
  <c r="H32" i="2"/>
  <c r="H33" i="2"/>
  <c r="H34" i="2"/>
  <c r="H35" i="2"/>
  <c r="E36" i="2"/>
  <c r="I33" i="2" l="1"/>
  <c r="N33" i="2"/>
  <c r="I32" i="2"/>
  <c r="N32" i="2"/>
  <c r="I35" i="2"/>
  <c r="N35" i="2" s="1"/>
  <c r="I31" i="2"/>
  <c r="N31" i="2"/>
  <c r="I34" i="2"/>
  <c r="N34" i="2"/>
  <c r="E51" i="1"/>
  <c r="E55" i="1" l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63" i="1" l="1"/>
  <c r="E68" i="1" s="1"/>
  <c r="B72" i="1" s="1"/>
  <c r="B84" i="1" l="1"/>
  <c r="B88" i="1" s="1"/>
  <c r="B96" i="1"/>
  <c r="B78" i="1" l="1"/>
  <c r="H27" i="2" l="1"/>
  <c r="N12" i="2" l="1"/>
  <c r="Q14" i="2" l="1"/>
  <c r="Q15" i="2" l="1"/>
  <c r="G36" i="2"/>
  <c r="B79" i="1" s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N23" i="2" l="1"/>
  <c r="Q17" i="2"/>
  <c r="B73" i="1"/>
  <c r="H36" i="2"/>
  <c r="I30" i="2"/>
  <c r="N30" i="2" s="1"/>
  <c r="I18" i="2"/>
  <c r="N18" i="2" s="1"/>
  <c r="I29" i="2"/>
  <c r="N29" i="2" s="1"/>
  <c r="I25" i="2"/>
  <c r="N25" i="2" s="1"/>
  <c r="I21" i="2"/>
  <c r="N21" i="2" s="1"/>
  <c r="I17" i="2"/>
  <c r="N17" i="2" s="1"/>
  <c r="I26" i="2"/>
  <c r="N26" i="2" s="1"/>
  <c r="I14" i="2"/>
  <c r="N14" i="2" s="1"/>
  <c r="I28" i="2"/>
  <c r="N28" i="2" s="1"/>
  <c r="I24" i="2"/>
  <c r="N24" i="2" s="1"/>
  <c r="I20" i="2"/>
  <c r="N20" i="2" s="1"/>
  <c r="I16" i="2"/>
  <c r="N16" i="2" s="1"/>
  <c r="I22" i="2"/>
  <c r="N22" i="2" s="1"/>
  <c r="I27" i="2"/>
  <c r="N27" i="2" s="1"/>
  <c r="I23" i="2"/>
  <c r="I19" i="2"/>
  <c r="N19" i="2" s="1"/>
  <c r="I15" i="2"/>
  <c r="N15" i="2" s="1"/>
  <c r="I13" i="2"/>
  <c r="N13" i="2" s="1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71" i="1"/>
  <c r="B77" i="1" s="1"/>
  <c r="B81" i="1" s="1"/>
  <c r="O19" i="2" l="1"/>
  <c r="P19" i="2"/>
  <c r="Q21" i="2"/>
  <c r="B70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<sst xmlns="http://schemas.openxmlformats.org/spreadsheetml/2006/main" count="189" uniqueCount="148">
  <si>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</si>
  <si>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</si>
  <si>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</si>
  <si>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</si>
  <si>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</si>
  <si>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</si>
  <si>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</si>
  <si>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</si>
  <si>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</si>
  <si>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</si>
  <si>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</si>
  <si>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</si>
  <si>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</si>
  <si>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</si>
  <si>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</si>
  <si>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</si>
  <si>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</si>
  <si>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</si>
  <si>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</si>
  <si>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</si>
  <si>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</si>
  <si>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</si>
  <si>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</si>
  <si>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</si>
  <si>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</si>
  <si>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</si>
  <si>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Mantenimiento de cuenta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</si>
  <si>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</si>
  <si>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</si>
  <si>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</si>
  <si>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</si>
  <si>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</si>
  <si>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</si>
  <si>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</si>
  <si>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</si>
  <si>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</si>
  <si>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</si>
  <si>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</si>
  <si>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</si>
  <si>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</si>
  <si>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</si>
  <si>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</si>
  <si>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</si>
  <si>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</si>
  <si>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</si>
  <si>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</si>
  <si>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</si>
  <si>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</si>
  <si>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</si>
  <si>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</si>
  <si>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</si>
  <si>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</si>
  <si>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</si>
  <si>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</si>
  <si>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</si>
  <si>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</si>
  <si>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</si>
  <si>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</si>
  <si>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</si>
  <si>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</si>
  <si>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</si>
  <si>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</si>
  <si>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</si>
  <si>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</si>
  <si>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</si>
  <si>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</si>
  <si>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</si>
  <si>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</si>
  <si>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</si>
  <si>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</si>
  <si>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</si>
  <si>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</si>
  <si>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</si>
  <si>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</si>
  <si>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</si>
  <si>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</si>
  <si>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</si>
  <si>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</si>
  <si>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</si>
  <si>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</si>
  <si>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</si>
  <si>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</si>
  <si>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</si>
  <si>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</si>
  <si>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</si>
  <si>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</si>
  <si>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</si>
  <si>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</si>
  <si>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</si>
  <si>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</si>
  <si>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</si>
  <si>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</si>
  <si>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</si>
  <si>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</si>
  <si>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</si>
  <si>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</si>
  <si>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</si>
  <si>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</si>
  <si>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</si>
  <si>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</si>
  <si>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</si>
  <si>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</si>
  <si>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</si>
  <si>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</si>
  <si>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</si>
  <si>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</si>
  <si>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</si>
  <si>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</si>
  <si>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</si>
  <si>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</si>
  <si>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</si>
  <si>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</si>
  <si>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</si>
  <si>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</si>
  <si>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</si>
  <si>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</si>
  <si>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</si>
  <si>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</si>
  <si>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</si>
  <si>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</si>
  <si>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Totales</t>
  </si>
  <si>
    <t>Federacion patronal  Seguro obligatorio de consorcio - Poliza nro. 1-2249124-0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</si>
  <si>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</si>
  <si>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</si>
  <si>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</si>
  <si>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</si>
  <si>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</si>
  <si>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Federacion patronal - Seguro silleteros</t>
  </si>
  <si>
    <t>Transf 27/04</t>
  </si>
  <si>
    <t xml:space="preserve">Bonificado x EDESUR </t>
  </si>
  <si>
    <t>SUM</t>
  </si>
  <si>
    <t xml:space="preserve">  </t>
  </si>
  <si>
    <t>VTO 18/06</t>
  </si>
  <si>
    <t>PERÍODO: MAYO</t>
  </si>
  <si>
    <t>Honorario administracion - Mes de MAYO</t>
  </si>
  <si>
    <t>Transf 06/05</t>
  </si>
  <si>
    <t>Transf 08/05</t>
  </si>
  <si>
    <t>Recarga de matafuegos</t>
  </si>
  <si>
    <t>Transf 05/05</t>
  </si>
  <si>
    <t>Debito 06/05</t>
  </si>
  <si>
    <t>Pintor - Sr. Gabriel - Trabajo en medianeras</t>
  </si>
  <si>
    <t>Transf 07/05</t>
  </si>
  <si>
    <t>Sr. Herrero - Tacho de basura</t>
  </si>
  <si>
    <t>Transf 18/05</t>
  </si>
  <si>
    <t>Lema - Ascensores - Alineacion cabina de ascensores (se desmontan los rodillos, se limpian, se egrasan, retiran y se vuelven a colocar alineadas las cuneas para no ocasionar mas ruido con la cabina al deslizarse desnivelada)</t>
  </si>
  <si>
    <t>Transf 27/05</t>
  </si>
  <si>
    <t>Easy Barracas - Compra de termotanque - Cuota 3  - Restan 3 cuotas de $157.988,29</t>
  </si>
  <si>
    <t>Transf 29/05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</si>
</sst>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6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0" fillId="4" borderId="1" xfId="0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165" fontId="13" fillId="2" borderId="1" xfId="1" applyNumberFormat="1" applyFont="1" applyFill="1" applyBorder="1"/>
    <xf numFmtId="44" fontId="19" fillId="2" borderId="1" xfId="1" applyFont="1" applyFill="1" applyBorder="1" applyAlignment="1">
      <alignment wrapText="1"/>
    </xf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5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0" fillId="2" borderId="6" xfId="0" applyFill="1" applyBorder="1" applyAlignment="1">
      <alignment horizontal="left" vertical="center"/>
    </xf>
    <xf numFmtId="0" fontId="14" fillId="2" borderId="1" xfId="0" applyFont="1" applyFill="1" applyBorder="1"/>
    <xf numFmtId="165" fontId="13" fillId="0" borderId="7" xfId="1" applyNumberFormat="1" applyFont="1" applyBorder="1"/>
    <xf numFmtId="44" fontId="13" fillId="0" borderId="7" xfId="1" applyFont="1" applyBorder="1"/>
    <xf numFmtId="44" fontId="13" fillId="2" borderId="7" xfId="1" applyFont="1" applyFill="1" applyBorder="1"/>
    <xf numFmtId="44" fontId="4" fillId="2" borderId="6" xfId="1" applyFont="1" applyFill="1" applyBorder="1" applyAlignment="1"/>
    <xf numFmtId="44" fontId="7" fillId="2" borderId="1" xfId="1" applyFont="1" applyFill="1" applyBorder="1"/>
    <xf numFmtId="8" fontId="7" fillId="2" borderId="1" xfId="0" applyNumberFormat="1" applyFont="1" applyFill="1" applyBorder="1" applyAlignment="1">
      <alignment horizontal="right"/>
    </xf>
    <xf numFmtId="44" fontId="7" fillId="2" borderId="6" xfId="1" applyFont="1" applyFill="1" applyBorder="1"/>
    <xf numFmtId="44" fontId="7" fillId="2" borderId="1" xfId="1" applyFont="1" applyFill="1" applyBorder="1" applyAlignment="1"/>
    <xf numFmtId="8" fontId="7" fillId="2" borderId="6" xfId="0" applyNumberFormat="1" applyFont="1" applyFill="1" applyBorder="1" applyAlignment="1">
      <alignment horizontal="right"/>
    </xf>
    <xf numFmtId="44" fontId="4" fillId="9" borderId="1" xfId="1" applyFont="1" applyFill="1" applyBorder="1"/>
    <xf numFmtId="164" fontId="2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24" fillId="0" borderId="1" xfId="2" applyFont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41" workbookViewId="0">
      <selection activeCell="E53" sqref="E53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3"/>
      <c r="B1" s="50" t="s">
        <v>74</v>
      </c>
      <c r="C1" s="50"/>
      <c r="D1" s="50"/>
      <c r="E1" s="51"/>
    </row>
    <row r="2" spans="1:5" x14ac:dyDescent="0.25">
      <c r="A2" s="14"/>
      <c r="B2" s="52" t="s">
        <v>14</v>
      </c>
      <c r="C2" s="52"/>
      <c r="D2" s="52"/>
      <c r="E2" s="53"/>
    </row>
    <row r="3" spans="1:5" ht="70.5" customHeight="1" thickBot="1" x14ac:dyDescent="0.3">
      <c r="A3" s="14"/>
      <c r="B3" s="199" t="s">
        <v>76</v>
      </c>
      <c r="C3" s="199"/>
      <c r="D3" s="199"/>
      <c r="E3" s="200"/>
    </row>
    <row r="4" spans="1:5" ht="15.75" thickBot="1" x14ac:dyDescent="0.3">
      <c r="A4" s="17" t="s">
        <v>0</v>
      </c>
      <c r="B4" s="68" t="s">
        <v>21</v>
      </c>
      <c r="C4" s="18"/>
      <c r="D4" s="18"/>
      <c r="E4" s="19"/>
    </row>
    <row r="5" spans="1:5" ht="15.75" thickBot="1" x14ac:dyDescent="0.3">
      <c r="A5" s="14" t="s">
        <v>75</v>
      </c>
      <c r="B5" s="18" t="s">
        <v>133</v>
      </c>
      <c r="C5" s="15"/>
      <c r="D5" s="52" t="s">
        <v>15</v>
      </c>
      <c r="E5" s="16"/>
    </row>
    <row r="6" spans="1:5" ht="15.75" thickBot="1" x14ac:dyDescent="0.3">
      <c r="A6" s="17" t="s">
        <v>126</v>
      </c>
      <c r="B6" s="18"/>
      <c r="C6" s="18"/>
      <c r="D6" s="18" t="s">
        <v>124</v>
      </c>
      <c r="E6" s="19"/>
    </row>
    <row r="8" spans="1:5" x14ac:dyDescent="0.25">
      <c r="B8" s="202" t="s">
        <v>132</v>
      </c>
      <c r="C8" s="202"/>
    </row>
    <row r="9" spans="1:5" x14ac:dyDescent="0.25">
      <c r="B9" s="202"/>
      <c r="C9" s="202"/>
    </row>
    <row r="10" spans="1:5" x14ac:dyDescent="0.25">
      <c r="B10" s="202"/>
      <c r="C10" s="202"/>
    </row>
    <row r="12" spans="1:5" hidden="1" x14ac:dyDescent="0.25"/>
    <row r="13" spans="1:5" ht="15" customHeight="1" x14ac:dyDescent="0.25">
      <c r="A13" s="201" t="s">
        <v>101</v>
      </c>
      <c r="B13" s="201"/>
      <c r="C13" s="201"/>
      <c r="D13" s="201"/>
      <c r="E13" s="201"/>
    </row>
    <row r="14" spans="1:5" ht="15" customHeight="1" x14ac:dyDescent="0.25">
      <c r="A14" s="201"/>
      <c r="B14" s="201"/>
      <c r="C14" s="201"/>
      <c r="D14" s="201"/>
      <c r="E14" s="201"/>
    </row>
    <row r="15" spans="1:5" ht="15" customHeight="1" x14ac:dyDescent="0.25">
      <c r="A15" s="201"/>
      <c r="B15" s="201"/>
      <c r="C15" s="201"/>
      <c r="D15" s="201"/>
      <c r="E15" s="201"/>
    </row>
    <row r="16" spans="1:5" ht="53.25" customHeight="1" x14ac:dyDescent="0.25">
      <c r="A16" s="201"/>
      <c r="B16" s="201"/>
      <c r="C16" s="201"/>
      <c r="D16" s="201"/>
      <c r="E16" s="201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9" t="s">
        <v>104</v>
      </c>
      <c r="B20" s="10"/>
      <c r="C20" s="11"/>
      <c r="D20" s="7"/>
      <c r="E20" s="12"/>
    </row>
    <row r="21" spans="1:8" x14ac:dyDescent="0.25">
      <c r="A21" s="25" t="s">
        <v>77</v>
      </c>
      <c r="B21" s="25"/>
      <c r="C21" s="25"/>
      <c r="D21" s="109"/>
      <c r="E21" s="100"/>
    </row>
    <row r="22" spans="1:8" ht="15" customHeight="1" x14ac:dyDescent="0.25">
      <c r="A22" s="197" t="s">
        <v>115</v>
      </c>
      <c r="B22" s="198"/>
      <c r="C22" s="38"/>
      <c r="D22" s="187">
        <v>510846.85</v>
      </c>
      <c r="E22" s="181" t="s">
        <v>135</v>
      </c>
      <c r="H22" s="89"/>
    </row>
    <row r="23" spans="1:8" ht="15" customHeight="1" x14ac:dyDescent="0.25">
      <c r="A23" s="197"/>
      <c r="B23" s="198"/>
      <c r="C23" s="38"/>
      <c r="D23" s="110"/>
      <c r="E23" s="103"/>
      <c r="H23" s="89"/>
    </row>
    <row r="24" spans="1:8" x14ac:dyDescent="0.25">
      <c r="A24" s="21" t="s">
        <v>9</v>
      </c>
      <c r="B24" s="21"/>
      <c r="C24" s="21"/>
      <c r="D24" s="111"/>
      <c r="E24" s="171">
        <f>SUM(D22:D23)</f>
        <v>510846.85</v>
      </c>
    </row>
    <row r="25" spans="1:8" x14ac:dyDescent="0.25">
      <c r="A25" s="25" t="s">
        <v>17</v>
      </c>
      <c r="B25" s="21"/>
      <c r="C25" s="21"/>
      <c r="D25" s="112"/>
      <c r="E25" s="172"/>
    </row>
    <row r="26" spans="1:8" ht="30" customHeight="1" x14ac:dyDescent="0.25">
      <c r="A26" s="197" t="s">
        <v>121</v>
      </c>
      <c r="B26" s="198"/>
      <c r="C26" s="40"/>
      <c r="D26" s="189">
        <v>75267</v>
      </c>
      <c r="E26" s="170" t="s">
        <v>139</v>
      </c>
    </row>
    <row r="27" spans="1:8" ht="30" customHeight="1" x14ac:dyDescent="0.25">
      <c r="A27" s="121" t="s">
        <v>127</v>
      </c>
      <c r="B27" s="122"/>
      <c r="C27" s="40"/>
      <c r="D27" s="185">
        <v>29150</v>
      </c>
      <c r="E27" s="170" t="s">
        <v>128</v>
      </c>
    </row>
    <row r="28" spans="1:8" x14ac:dyDescent="0.25">
      <c r="A28" s="21" t="s">
        <v>1</v>
      </c>
      <c r="B28" s="21"/>
      <c r="C28" s="21"/>
      <c r="D28" s="111"/>
      <c r="E28" s="123">
        <f>SUM(D26:D27)</f>
        <v>104417</v>
      </c>
    </row>
    <row r="29" spans="1:8" x14ac:dyDescent="0.25">
      <c r="A29" s="25" t="s">
        <v>10</v>
      </c>
      <c r="B29" s="101"/>
      <c r="C29" s="101"/>
      <c r="D29" s="113"/>
      <c r="E29" s="173"/>
    </row>
    <row r="30" spans="1:8" ht="14.25" customHeight="1" x14ac:dyDescent="0.25">
      <c r="A30" s="5" t="s">
        <v>67</v>
      </c>
      <c r="B30" s="5"/>
      <c r="C30" s="5"/>
      <c r="D30" s="104">
        <v>0</v>
      </c>
      <c r="E30" s="181"/>
    </row>
    <row r="31" spans="1:8" x14ac:dyDescent="0.25">
      <c r="A31" s="5" t="s">
        <v>66</v>
      </c>
      <c r="B31" s="5"/>
      <c r="C31" s="5"/>
      <c r="D31" s="186">
        <v>6420.51</v>
      </c>
      <c r="E31" s="181" t="str">
        <f>E32</f>
        <v>Transf 05/05</v>
      </c>
    </row>
    <row r="32" spans="1:8" x14ac:dyDescent="0.25">
      <c r="A32" s="5" t="s">
        <v>66</v>
      </c>
      <c r="B32" s="120"/>
      <c r="C32" s="5"/>
      <c r="D32" s="186">
        <v>330512.58</v>
      </c>
      <c r="E32" s="105" t="s">
        <v>138</v>
      </c>
    </row>
    <row r="33" spans="1:5" x14ac:dyDescent="0.25">
      <c r="A33" s="195" t="s">
        <v>68</v>
      </c>
      <c r="B33" s="196"/>
      <c r="C33" s="5"/>
      <c r="D33" s="186">
        <v>193996.95</v>
      </c>
      <c r="E33" s="105" t="s">
        <v>138</v>
      </c>
    </row>
    <row r="34" spans="1:5" x14ac:dyDescent="0.25">
      <c r="A34" s="106" t="s">
        <v>78</v>
      </c>
      <c r="B34" s="102"/>
      <c r="C34" s="5"/>
      <c r="D34" s="186">
        <v>24915.01</v>
      </c>
      <c r="E34" s="105" t="s">
        <v>138</v>
      </c>
    </row>
    <row r="35" spans="1:5" ht="15.75" thickBot="1" x14ac:dyDescent="0.3">
      <c r="A35" s="21" t="s">
        <v>2</v>
      </c>
      <c r="B35" s="21"/>
      <c r="C35" s="21"/>
      <c r="D35" s="114"/>
      <c r="E35" s="174">
        <f>SUM(D30:D34)</f>
        <v>555845.05000000005</v>
      </c>
    </row>
    <row r="36" spans="1:5" ht="15" customHeight="1" thickBot="1" x14ac:dyDescent="0.3">
      <c r="A36" s="25"/>
      <c r="B36" s="21"/>
      <c r="C36" s="21"/>
      <c r="D36" s="111"/>
      <c r="E36" s="175"/>
    </row>
    <row r="37" spans="1:5" ht="32.25" customHeight="1" x14ac:dyDescent="0.25">
      <c r="A37" s="197" t="s">
        <v>117</v>
      </c>
      <c r="B37" s="198"/>
      <c r="C37" s="5"/>
      <c r="D37" s="186">
        <v>82000</v>
      </c>
      <c r="E37" s="105" t="s">
        <v>136</v>
      </c>
    </row>
    <row r="38" spans="1:5" ht="64.5" customHeight="1" x14ac:dyDescent="0.25">
      <c r="A38" s="197" t="s">
        <v>144</v>
      </c>
      <c r="B38" s="198"/>
      <c r="C38" s="5"/>
      <c r="D38" s="188">
        <v>300000</v>
      </c>
      <c r="E38" s="105" t="s">
        <v>145</v>
      </c>
    </row>
    <row r="39" spans="1:5" ht="16.5" customHeight="1" x14ac:dyDescent="0.25">
      <c r="A39" s="180" t="s">
        <v>140</v>
      </c>
      <c r="B39" s="122"/>
      <c r="C39" s="5"/>
      <c r="D39" s="188">
        <v>900000</v>
      </c>
      <c r="E39" s="105" t="s">
        <v>135</v>
      </c>
    </row>
    <row r="40" spans="1:5" ht="20.45" customHeight="1" x14ac:dyDescent="0.25">
      <c r="A40" s="197" t="s">
        <v>137</v>
      </c>
      <c r="B40" s="198"/>
      <c r="C40" s="5"/>
      <c r="D40" s="188">
        <v>148155</v>
      </c>
      <c r="E40" s="105" t="s">
        <v>141</v>
      </c>
    </row>
    <row r="41" spans="1:5" ht="16.5" customHeight="1" x14ac:dyDescent="0.25">
      <c r="A41" s="121" t="s">
        <v>142</v>
      </c>
      <c r="B41" s="122"/>
      <c r="C41" s="5"/>
      <c r="D41" s="188">
        <v>120000</v>
      </c>
      <c r="E41" s="105" t="s">
        <v>143</v>
      </c>
    </row>
    <row r="42" spans="1:5" ht="36.75" customHeight="1" x14ac:dyDescent="0.25">
      <c r="A42" s="197" t="s">
        <v>146</v>
      </c>
      <c r="B42" s="198"/>
      <c r="C42" s="5"/>
      <c r="D42" s="188">
        <v>157988.29</v>
      </c>
      <c r="E42" s="105"/>
    </row>
    <row r="43" spans="1:5" ht="16.5" customHeight="1" x14ac:dyDescent="0.25">
      <c r="A43" s="197"/>
      <c r="B43" s="198"/>
      <c r="C43" s="5"/>
      <c r="D43" s="74"/>
      <c r="E43" s="105"/>
    </row>
    <row r="44" spans="1:5" x14ac:dyDescent="0.25">
      <c r="A44" s="21" t="s">
        <v>6</v>
      </c>
      <c r="B44" s="25"/>
      <c r="C44" s="25"/>
      <c r="D44" s="24"/>
      <c r="E44" s="123">
        <f>SUM(D37:D43)</f>
        <v>1708143.29</v>
      </c>
    </row>
    <row r="45" spans="1:5" x14ac:dyDescent="0.25">
      <c r="A45" s="25" t="s">
        <v>11</v>
      </c>
      <c r="B45" s="25"/>
      <c r="C45" s="25"/>
      <c r="D45" s="109"/>
      <c r="E45" s="176"/>
    </row>
    <row r="46" spans="1:5" ht="15.75" customHeight="1" x14ac:dyDescent="0.25">
      <c r="A46" s="121" t="s">
        <v>134</v>
      </c>
      <c r="B46" s="122"/>
      <c r="C46" s="38"/>
      <c r="D46" s="190">
        <v>150000</v>
      </c>
      <c r="E46" s="177" t="s">
        <v>147</v>
      </c>
    </row>
    <row r="47" spans="1:5" x14ac:dyDescent="0.25">
      <c r="A47" s="21" t="s">
        <v>9</v>
      </c>
      <c r="B47" s="21"/>
      <c r="C47" s="21"/>
      <c r="D47" s="111"/>
      <c r="E47" s="171">
        <f>SUM(D46:D46)</f>
        <v>150000</v>
      </c>
    </row>
    <row r="48" spans="1:5" x14ac:dyDescent="0.25">
      <c r="A48" s="25" t="s">
        <v>8</v>
      </c>
      <c r="B48" s="48"/>
      <c r="C48" s="21"/>
      <c r="D48" s="108"/>
      <c r="E48" s="123"/>
    </row>
    <row r="49" spans="1:8" x14ac:dyDescent="0.25">
      <c r="A49" s="5" t="s">
        <v>26</v>
      </c>
      <c r="B49" s="5"/>
      <c r="C49" s="5"/>
      <c r="D49" s="191">
        <v>0</v>
      </c>
      <c r="E49" s="178"/>
    </row>
    <row r="50" spans="1:8" x14ac:dyDescent="0.25">
      <c r="A50" s="5" t="s">
        <v>116</v>
      </c>
      <c r="B50" s="5"/>
      <c r="C50" s="5"/>
      <c r="D50" s="191">
        <v>0</v>
      </c>
      <c r="E50" s="179"/>
    </row>
    <row r="51" spans="1:8" x14ac:dyDescent="0.25">
      <c r="A51" s="37" t="s">
        <v>9</v>
      </c>
      <c r="B51" s="37"/>
      <c r="C51" s="37"/>
      <c r="D51" s="76"/>
      <c r="E51" s="123">
        <f>SUM(D49:D50)</f>
        <v>0</v>
      </c>
    </row>
    <row r="52" spans="1:8" x14ac:dyDescent="0.25">
      <c r="A52" s="5"/>
      <c r="B52" s="5"/>
      <c r="C52" s="5"/>
      <c r="D52" s="71"/>
      <c r="E52" s="77"/>
    </row>
    <row r="53" spans="1:8" x14ac:dyDescent="0.25">
      <c r="A53" s="22" t="s">
        <v>100</v>
      </c>
      <c r="B53" s="22"/>
      <c r="C53" s="22"/>
      <c r="D53" s="78"/>
      <c r="E53" s="124"/>
    </row>
    <row r="54" spans="1:8" ht="15.75" thickBot="1" x14ac:dyDescent="0.3">
      <c r="A54" s="1"/>
      <c r="D54" s="79"/>
      <c r="E54" s="80"/>
      <c r="F54" s="30"/>
    </row>
    <row r="55" spans="1:8" ht="15.75" thickBot="1" x14ac:dyDescent="0.3">
      <c r="A55" s="3" t="s">
        <v>96</v>
      </c>
      <c r="B55" s="8"/>
      <c r="C55" s="4"/>
      <c r="D55" s="81"/>
      <c r="E55" s="82">
        <f>(SUM(E21:E53))</f>
        <v>3029252.19</v>
      </c>
      <c r="F55" s="99"/>
      <c r="G55" s="30"/>
    </row>
    <row r="56" spans="1:8" x14ac:dyDescent="0.25">
      <c r="D56" s="79"/>
      <c r="E56" s="79"/>
    </row>
    <row r="57" spans="1:8" ht="15.75" thickBot="1" x14ac:dyDescent="0.3">
      <c r="D57" s="79"/>
      <c r="E57" s="79"/>
      <c r="H57" s="115"/>
    </row>
    <row r="58" spans="1:8" x14ac:dyDescent="0.25">
      <c r="A58" s="9" t="s">
        <v>97</v>
      </c>
      <c r="B58" s="10"/>
      <c r="C58" s="11"/>
      <c r="D58" s="83"/>
      <c r="E58" s="84"/>
    </row>
    <row r="59" spans="1:8" ht="15" customHeight="1" x14ac:dyDescent="0.25">
      <c r="A59" s="73"/>
      <c r="B59" s="102"/>
      <c r="C59" s="5"/>
      <c r="D59" s="74"/>
      <c r="E59" s="72"/>
    </row>
    <row r="60" spans="1:8" ht="15" customHeight="1" x14ac:dyDescent="0.25">
      <c r="A60" s="205"/>
      <c r="B60" s="205"/>
      <c r="C60" s="5"/>
      <c r="D60" s="104"/>
      <c r="E60" s="72"/>
    </row>
    <row r="61" spans="1:8" ht="15.75" customHeight="1" x14ac:dyDescent="0.25">
      <c r="A61" s="5"/>
      <c r="B61" s="5"/>
      <c r="C61" s="5"/>
      <c r="D61" s="5"/>
      <c r="E61" s="5"/>
    </row>
    <row r="62" spans="1:8" x14ac:dyDescent="0.25">
      <c r="A62" s="73"/>
      <c r="B62" s="75"/>
      <c r="C62" s="5"/>
      <c r="D62" s="74"/>
      <c r="E62" s="72"/>
    </row>
    <row r="63" spans="1:8" x14ac:dyDescent="0.25">
      <c r="A63" s="35"/>
      <c r="B63" s="34"/>
      <c r="C63" s="34"/>
      <c r="D63" s="41"/>
      <c r="E63" s="41">
        <f>SUM(D59:D62)</f>
        <v>0</v>
      </c>
    </row>
    <row r="64" spans="1:8" ht="15" customHeight="1" x14ac:dyDescent="0.25"/>
    <row r="65" spans="1:5" ht="15.75" hidden="1" thickBot="1" x14ac:dyDescent="0.3"/>
    <row r="66" spans="1:5" x14ac:dyDescent="0.25">
      <c r="A66" s="22" t="s">
        <v>99</v>
      </c>
      <c r="B66" s="22"/>
      <c r="C66" s="22"/>
      <c r="D66" s="23"/>
      <c r="E66" s="167"/>
    </row>
    <row r="67" spans="1:5" ht="15.75" thickBot="1" x14ac:dyDescent="0.3"/>
    <row r="68" spans="1:5" ht="15.75" thickBot="1" x14ac:dyDescent="0.3">
      <c r="A68" s="3" t="s">
        <v>98</v>
      </c>
      <c r="B68" s="8"/>
      <c r="C68" s="4"/>
      <c r="D68" s="4"/>
      <c r="E68" s="49">
        <f>E63+E66</f>
        <v>0</v>
      </c>
    </row>
    <row r="69" spans="1:5" ht="15.75" thickBot="1" x14ac:dyDescent="0.3"/>
    <row r="70" spans="1:5" ht="15.75" thickBot="1" x14ac:dyDescent="0.3">
      <c r="A70" s="69" t="s">
        <v>105</v>
      </c>
      <c r="B70" s="70">
        <f>E55</f>
        <v>3029252.19</v>
      </c>
    </row>
    <row r="71" spans="1:5" ht="15.75" thickBot="1" x14ac:dyDescent="0.3">
      <c r="A71" s="69" t="s">
        <v>106</v>
      </c>
      <c r="B71" s="70">
        <f>E55-E53</f>
        <v>3029252.19</v>
      </c>
    </row>
    <row r="72" spans="1:5" ht="15.75" thickBot="1" x14ac:dyDescent="0.3">
      <c r="A72" s="69" t="s">
        <v>107</v>
      </c>
      <c r="B72" s="70">
        <f>E68-E66</f>
        <v>0</v>
      </c>
    </row>
    <row r="73" spans="1:5" ht="15.75" thickBot="1" x14ac:dyDescent="0.3">
      <c r="A73" s="69" t="s">
        <v>108</v>
      </c>
      <c r="B73" s="70">
        <f>E68</f>
        <v>0</v>
      </c>
    </row>
    <row r="75" spans="1:5" s="28" customFormat="1" x14ac:dyDescent="0.25">
      <c r="A75"/>
      <c r="B75" s="29"/>
      <c r="C75" s="27"/>
    </row>
    <row r="76" spans="1:5" s="28" customFormat="1" x14ac:dyDescent="0.25">
      <c r="A76" s="91" t="s">
        <v>109</v>
      </c>
      <c r="B76" s="134">
        <v>956980.3900000006</v>
      </c>
      <c r="C76" s="27"/>
      <c r="D76" s="33"/>
    </row>
    <row r="77" spans="1:5" x14ac:dyDescent="0.25">
      <c r="A77" s="40" t="s">
        <v>102</v>
      </c>
      <c r="B77" s="96">
        <f>-B71</f>
        <v>-3029252.19</v>
      </c>
    </row>
    <row r="78" spans="1:5" x14ac:dyDescent="0.25">
      <c r="A78" s="40" t="s">
        <v>25</v>
      </c>
      <c r="B78" s="96">
        <f>B96</f>
        <v>0</v>
      </c>
    </row>
    <row r="79" spans="1:5" x14ac:dyDescent="0.25">
      <c r="A79" s="40" t="s">
        <v>111</v>
      </c>
      <c r="B79" s="97">
        <f>PRORRATEO!G36-B86</f>
        <v>2504691.1700000009</v>
      </c>
    </row>
    <row r="80" spans="1:5" x14ac:dyDescent="0.25">
      <c r="A80" s="98" t="s">
        <v>24</v>
      </c>
      <c r="B80" s="116"/>
    </row>
    <row r="81" spans="1:5" ht="15.75" thickBot="1" x14ac:dyDescent="0.3">
      <c r="A81" s="94" t="s">
        <v>113</v>
      </c>
      <c r="B81" s="95">
        <f>SUM(B76:C80)</f>
        <v>432419.37000000151</v>
      </c>
      <c r="D81" s="30"/>
    </row>
    <row r="82" spans="1:5" x14ac:dyDescent="0.25">
      <c r="A82" s="92"/>
      <c r="B82" s="92"/>
      <c r="D82" s="30"/>
      <c r="E82" s="29"/>
    </row>
    <row r="83" spans="1:5" x14ac:dyDescent="0.25">
      <c r="A83" s="91" t="s">
        <v>110</v>
      </c>
      <c r="B83" s="134">
        <v>2000000</v>
      </c>
      <c r="D83" s="29"/>
      <c r="E83" s="30"/>
    </row>
    <row r="84" spans="1:5" x14ac:dyDescent="0.25">
      <c r="A84" s="40" t="s">
        <v>103</v>
      </c>
      <c r="B84" s="96">
        <f>-B72</f>
        <v>0</v>
      </c>
      <c r="D84" s="30"/>
      <c r="E84" s="30"/>
    </row>
    <row r="85" spans="1:5" x14ac:dyDescent="0.25">
      <c r="A85" s="40" t="s">
        <v>25</v>
      </c>
      <c r="B85" s="96">
        <f>B104</f>
        <v>0</v>
      </c>
      <c r="D85" s="30"/>
    </row>
    <row r="86" spans="1:5" x14ac:dyDescent="0.25">
      <c r="A86" s="40" t="s">
        <v>112</v>
      </c>
      <c r="B86" s="97">
        <v>0</v>
      </c>
      <c r="D86" s="168" t="s">
        <v>131</v>
      </c>
    </row>
    <row r="87" spans="1:5" x14ac:dyDescent="0.25">
      <c r="A87" s="98" t="s">
        <v>24</v>
      </c>
      <c r="B87" s="116"/>
    </row>
    <row r="88" spans="1:5" ht="15.75" thickBot="1" x14ac:dyDescent="0.3">
      <c r="A88" s="94" t="s">
        <v>114</v>
      </c>
      <c r="B88" s="95">
        <f>SUM(B83:C87)</f>
        <v>2000000</v>
      </c>
    </row>
    <row r="89" spans="1:5" x14ac:dyDescent="0.25">
      <c r="A89" s="92"/>
      <c r="B89" s="92"/>
    </row>
    <row r="90" spans="1:5" x14ac:dyDescent="0.25">
      <c r="A90" s="92"/>
      <c r="B90" s="92"/>
    </row>
    <row r="91" spans="1:5" ht="34.5" customHeight="1" x14ac:dyDescent="0.25"/>
    <row r="92" spans="1:5" x14ac:dyDescent="0.25">
      <c r="A92" s="204" t="s">
        <v>18</v>
      </c>
      <c r="B92" s="204"/>
      <c r="C92" s="204"/>
    </row>
    <row r="93" spans="1:5" x14ac:dyDescent="0.25">
      <c r="A93" s="204"/>
      <c r="B93" s="204"/>
      <c r="C93" s="204"/>
    </row>
    <row r="94" spans="1:5" ht="35.25" customHeight="1" x14ac:dyDescent="0.25">
      <c r="A94" s="86"/>
      <c r="B94" s="26"/>
      <c r="C94" s="26">
        <v>40000</v>
      </c>
      <c r="E94" s="99"/>
    </row>
    <row r="95" spans="1:5" ht="27" customHeight="1" x14ac:dyDescent="0.25">
      <c r="A95" s="86"/>
      <c r="B95" s="88"/>
      <c r="C95" s="85"/>
      <c r="D95" s="99"/>
    </row>
    <row r="96" spans="1:5" x14ac:dyDescent="0.25">
      <c r="A96" s="31" t="s">
        <v>6</v>
      </c>
      <c r="B96" s="87">
        <f>SUM(B94:B95)</f>
        <v>0</v>
      </c>
      <c r="C96" s="32"/>
    </row>
    <row r="97" spans="1:13" x14ac:dyDescent="0.25">
      <c r="M97" s="6"/>
    </row>
    <row r="98" spans="1:13" ht="15" customHeight="1" x14ac:dyDescent="0.25">
      <c r="A98" s="203"/>
      <c r="B98" s="203"/>
      <c r="C98" s="203"/>
      <c r="D98" s="203"/>
      <c r="E98" s="203"/>
    </row>
    <row r="99" spans="1:13" x14ac:dyDescent="0.25">
      <c r="A99" s="203"/>
      <c r="B99" s="203"/>
      <c r="C99" s="203"/>
      <c r="D99" s="203"/>
      <c r="E99" s="203"/>
    </row>
    <row r="100" spans="1:13" x14ac:dyDescent="0.25">
      <c r="A100" s="203"/>
      <c r="B100" s="203"/>
      <c r="C100" s="203"/>
      <c r="D100" s="203"/>
      <c r="E100" s="203"/>
    </row>
    <row r="101" spans="1:13" x14ac:dyDescent="0.25">
      <c r="A101" s="203"/>
      <c r="B101" s="203"/>
      <c r="C101" s="203"/>
      <c r="D101" s="203"/>
      <c r="E101" s="203"/>
    </row>
  </sheetData>
  <mergeCells count="15">
    <mergeCell ref="A98:E101"/>
    <mergeCell ref="A92:C93"/>
    <mergeCell ref="A60:B60"/>
    <mergeCell ref="A37:B37"/>
    <mergeCell ref="A43:B43"/>
    <mergeCell ref="A42:B42"/>
    <mergeCell ref="A40:B40"/>
    <mergeCell ref="A38:B38"/>
    <mergeCell ref="A33:B33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zoomScaleNormal="100" workbookViewId="0">
      <selection activeCell="K3" sqref="K3"/>
    </sheetView>
  </sheetViews>
  <sheetFormatPr baseColWidth="10" defaultColWidth="10.85546875" defaultRowHeight="15" x14ac:dyDescent="0.25"/>
  <cols>
    <col min="1" max="2" width="4.425781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42578125" customWidth="1"/>
    <col min="8" max="8" width="10.5703125" customWidth="1"/>
    <col min="9" max="9" width="9.5703125" customWidth="1"/>
    <col min="10" max="10" width="12.42578125" customWidth="1"/>
    <col min="11" max="11" width="14.5703125" bestFit="1" customWidth="1"/>
    <col min="12" max="12" width="14.5703125" customWidth="1"/>
    <col min="13" max="13" width="13.42578125" customWidth="1"/>
    <col min="14" max="14" width="14.5703125" customWidth="1"/>
    <col min="15" max="15" width="12" hidden="1" customWidth="1"/>
    <col min="16" max="16" width="14.425781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7" ht="12.95" customHeight="1" x14ac:dyDescent="0.25">
      <c r="A1" s="135"/>
      <c r="B1" s="136"/>
      <c r="C1" s="137"/>
      <c r="D1" s="137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136"/>
      <c r="P1" s="138"/>
    </row>
    <row r="2" spans="1:17" ht="12.95" customHeight="1" x14ac:dyDescent="0.25">
      <c r="A2" s="139"/>
      <c r="B2" s="140"/>
      <c r="C2" s="141"/>
      <c r="D2" s="142"/>
      <c r="E2" s="142" t="s">
        <v>95</v>
      </c>
      <c r="F2" s="142"/>
      <c r="G2" s="143">
        <v>0</v>
      </c>
      <c r="H2" s="142"/>
      <c r="I2" s="142"/>
      <c r="J2" s="142" t="s">
        <v>94</v>
      </c>
      <c r="K2" s="144">
        <v>2400000</v>
      </c>
      <c r="L2" s="144"/>
      <c r="M2" s="144"/>
      <c r="N2" s="145"/>
      <c r="O2" s="146"/>
      <c r="P2" s="147"/>
      <c r="Q2" s="20"/>
    </row>
    <row r="3" spans="1:17" ht="15.75" thickBot="1" x14ac:dyDescent="0.3">
      <c r="A3" s="139"/>
      <c r="B3" s="140"/>
      <c r="C3" s="141"/>
      <c r="D3" s="141"/>
      <c r="E3" s="141"/>
      <c r="F3" s="141"/>
      <c r="G3" s="148"/>
      <c r="H3" s="141"/>
      <c r="I3" s="141"/>
      <c r="J3" s="141"/>
      <c r="K3" s="141"/>
      <c r="L3" s="141"/>
      <c r="M3" s="141"/>
      <c r="N3" s="145"/>
      <c r="O3" s="146"/>
      <c r="P3" s="147"/>
      <c r="Q3" s="20"/>
    </row>
    <row r="4" spans="1:17" x14ac:dyDescent="0.25">
      <c r="A4" s="217" t="s">
        <v>123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9"/>
      <c r="Q4" s="20"/>
    </row>
    <row r="5" spans="1:17" x14ac:dyDescent="0.25">
      <c r="A5" s="220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2"/>
      <c r="Q5" s="20"/>
    </row>
    <row r="6" spans="1:17" ht="12.95" customHeight="1" x14ac:dyDescent="0.25">
      <c r="A6" s="220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2"/>
      <c r="Q6" s="20"/>
    </row>
    <row r="7" spans="1:17" ht="12.95" customHeight="1" x14ac:dyDescent="0.25">
      <c r="A7" s="220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2"/>
      <c r="Q7" s="20"/>
    </row>
    <row r="8" spans="1:17" ht="33.75" customHeight="1" thickBot="1" x14ac:dyDescent="0.3">
      <c r="A8" s="223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5"/>
    </row>
    <row r="9" spans="1:17" ht="48" customHeight="1" thickBot="1" x14ac:dyDescent="0.3">
      <c r="A9" s="228" t="s">
        <v>122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</row>
    <row r="10" spans="1:17" ht="48" customHeight="1" thickBot="1" x14ac:dyDescent="0.3">
      <c r="A10" s="230" t="s">
        <v>119</v>
      </c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7" x14ac:dyDescent="0.25">
      <c r="A11" s="211" t="s">
        <v>3</v>
      </c>
      <c r="B11" s="117"/>
      <c r="C11" s="211" t="s">
        <v>4</v>
      </c>
      <c r="D11" s="211" t="s">
        <v>13</v>
      </c>
      <c r="E11" s="211" t="s">
        <v>7</v>
      </c>
      <c r="F11" s="207" t="s">
        <v>23</v>
      </c>
      <c r="G11" s="211" t="s">
        <v>5</v>
      </c>
      <c r="H11" s="213" t="s">
        <v>16</v>
      </c>
      <c r="I11" s="207" t="s">
        <v>22</v>
      </c>
      <c r="J11" s="207" t="s">
        <v>94</v>
      </c>
      <c r="K11" s="215" t="s">
        <v>95</v>
      </c>
      <c r="L11" s="207" t="s">
        <v>79</v>
      </c>
      <c r="M11" s="207" t="s">
        <v>130</v>
      </c>
      <c r="N11" s="44" t="s">
        <v>20</v>
      </c>
      <c r="O11" s="209" t="s">
        <v>12</v>
      </c>
      <c r="P11" s="226" t="s">
        <v>19</v>
      </c>
    </row>
    <row r="12" spans="1:17" ht="15.75" customHeight="1" x14ac:dyDescent="0.25">
      <c r="A12" s="212"/>
      <c r="B12" s="118"/>
      <c r="C12" s="212"/>
      <c r="D12" s="231"/>
      <c r="E12" s="212"/>
      <c r="F12" s="208"/>
      <c r="G12" s="212"/>
      <c r="H12" s="214"/>
      <c r="I12" s="208"/>
      <c r="J12" s="208"/>
      <c r="K12" s="216"/>
      <c r="L12" s="208"/>
      <c r="M12" s="208"/>
      <c r="N12" s="42" t="str">
        <f>RESUMEN!B8</f>
        <v>VTO 18/06</v>
      </c>
      <c r="O12" s="210"/>
      <c r="P12" s="227"/>
    </row>
    <row r="13" spans="1:17" ht="17.100000000000001" customHeight="1" x14ac:dyDescent="0.25">
      <c r="A13" s="45">
        <v>1</v>
      </c>
      <c r="B13" s="45" t="s">
        <v>27</v>
      </c>
      <c r="C13" s="45" t="s">
        <v>28</v>
      </c>
      <c r="D13" s="45"/>
      <c r="E13" s="54">
        <v>12</v>
      </c>
      <c r="F13" s="55">
        <v>264000.01</v>
      </c>
      <c r="G13" s="56">
        <f>F13</f>
        <v>264000.01</v>
      </c>
      <c r="H13" s="57">
        <f t="shared" ref="H13:H35" si="0">F13-G13</f>
        <v>0</v>
      </c>
      <c r="I13" s="57">
        <f>IF(H13&gt;0,H13*3%,0)</f>
        <v>0</v>
      </c>
      <c r="J13" s="107">
        <f t="shared" ref="J13:J35" si="1">K$2*E13/100</f>
        <v>288000</v>
      </c>
      <c r="K13" s="107">
        <f t="shared" ref="K13:K35" si="2">G$2*E13/100</f>
        <v>0</v>
      </c>
      <c r="L13" s="166">
        <f>EDESUR!I5</f>
        <v>0</v>
      </c>
      <c r="M13" s="183"/>
      <c r="N13" s="165">
        <f>ROUND(SUM(H13:M13),0) + Q13</f>
        <v>288000.01</v>
      </c>
      <c r="O13" s="58">
        <f>ROUND(N13*6% + N13,0) + Q13</f>
        <v>305280.01</v>
      </c>
      <c r="P13" s="59">
        <f>ROUND(N13*3%,0) + N13</f>
        <v>296640.01</v>
      </c>
      <c r="Q13" s="30">
        <v>0.01</v>
      </c>
    </row>
    <row r="14" spans="1:17" ht="17.100000000000001" customHeight="1" x14ac:dyDescent="0.25">
      <c r="A14" s="158">
        <v>2</v>
      </c>
      <c r="B14" s="158" t="s">
        <v>29</v>
      </c>
      <c r="C14" s="158" t="s">
        <v>30</v>
      </c>
      <c r="D14" s="159"/>
      <c r="E14" s="160">
        <v>6.6</v>
      </c>
      <c r="F14" s="56">
        <v>179889.02</v>
      </c>
      <c r="G14" s="56">
        <v>180000</v>
      </c>
      <c r="H14" s="161">
        <f t="shared" si="0"/>
        <v>-110.98000000001048</v>
      </c>
      <c r="I14" s="161">
        <f t="shared" ref="I14:I35" si="3">IF(H14&gt;0,H14*3%,0)</f>
        <v>0</v>
      </c>
      <c r="J14" s="162">
        <f t="shared" si="1"/>
        <v>158400</v>
      </c>
      <c r="K14" s="162">
        <f t="shared" si="2"/>
        <v>0</v>
      </c>
      <c r="L14" s="169">
        <f>EDESUR!I6</f>
        <v>31125.624497318255</v>
      </c>
      <c r="M14" s="184"/>
      <c r="N14" s="165">
        <f t="shared" ref="N14:N35" si="4">ROUND(SUM(H14:M14),0) + Q14</f>
        <v>189415.02</v>
      </c>
      <c r="O14" s="163">
        <f t="shared" ref="O14:O30" si="5">ROUND(N14*6% + N14,0) + Q14</f>
        <v>200780.02</v>
      </c>
      <c r="P14" s="164">
        <f t="shared" ref="P14:P35" si="6">ROUND(N14*3%,0) + N14</f>
        <v>195097.02</v>
      </c>
      <c r="Q14" s="30">
        <f>Q13+0.01</f>
        <v>0.02</v>
      </c>
    </row>
    <row r="15" spans="1:17" ht="17.100000000000001" customHeight="1" x14ac:dyDescent="0.25">
      <c r="A15" s="45">
        <v>3</v>
      </c>
      <c r="B15" s="45" t="s">
        <v>31</v>
      </c>
      <c r="C15" s="45" t="s">
        <v>32</v>
      </c>
      <c r="D15" s="46" t="s">
        <v>69</v>
      </c>
      <c r="E15" s="54">
        <v>5.4</v>
      </c>
      <c r="F15" s="55">
        <v>188075.03</v>
      </c>
      <c r="G15" s="56">
        <f>F15</f>
        <v>188075.03</v>
      </c>
      <c r="H15" s="57">
        <f t="shared" si="0"/>
        <v>0</v>
      </c>
      <c r="I15" s="57">
        <f t="shared" si="3"/>
        <v>0</v>
      </c>
      <c r="J15" s="107">
        <f t="shared" si="1"/>
        <v>129600</v>
      </c>
      <c r="K15" s="107">
        <f t="shared" si="2"/>
        <v>0</v>
      </c>
      <c r="L15" s="166">
        <f>EDESUR!I7</f>
        <v>5421.0502503392572</v>
      </c>
      <c r="M15" s="182"/>
      <c r="N15" s="165">
        <f t="shared" si="4"/>
        <v>135021.03</v>
      </c>
      <c r="O15" s="58">
        <f t="shared" si="5"/>
        <v>143122.03</v>
      </c>
      <c r="P15" s="59">
        <f t="shared" si="6"/>
        <v>139072.03</v>
      </c>
      <c r="Q15" s="30">
        <f t="shared" ref="Q15:Q30" si="7">Q14+0.01</f>
        <v>0.03</v>
      </c>
    </row>
    <row r="16" spans="1:17" ht="26.25" customHeight="1" x14ac:dyDescent="0.25">
      <c r="A16" s="45">
        <v>4</v>
      </c>
      <c r="B16" s="45" t="s">
        <v>33</v>
      </c>
      <c r="C16" s="45" t="s">
        <v>34</v>
      </c>
      <c r="D16" s="46" t="s">
        <v>125</v>
      </c>
      <c r="E16" s="54">
        <v>6.6</v>
      </c>
      <c r="F16" s="55">
        <v>145200.04</v>
      </c>
      <c r="G16" s="56">
        <f>158400.2-G32</f>
        <v>145200</v>
      </c>
      <c r="H16" s="57">
        <f t="shared" si="0"/>
        <v>4.0000000008149073E-2</v>
      </c>
      <c r="I16" s="57">
        <f t="shared" si="3"/>
        <v>1.2000000002444721E-3</v>
      </c>
      <c r="J16" s="107">
        <f t="shared" si="1"/>
        <v>158400</v>
      </c>
      <c r="K16" s="107">
        <f t="shared" si="2"/>
        <v>0</v>
      </c>
      <c r="L16" s="166">
        <f>EDESUR!I9</f>
        <v>0</v>
      </c>
      <c r="M16" s="183"/>
      <c r="N16" s="165">
        <f t="shared" si="4"/>
        <v>158400.04</v>
      </c>
      <c r="O16" s="58">
        <f t="shared" si="5"/>
        <v>167904.04</v>
      </c>
      <c r="P16" s="59">
        <f t="shared" si="6"/>
        <v>163152.04</v>
      </c>
      <c r="Q16" s="30">
        <f t="shared" si="7"/>
        <v>0.04</v>
      </c>
    </row>
    <row r="17" spans="1:18" ht="17.100000000000001" customHeight="1" x14ac:dyDescent="0.25">
      <c r="A17" s="158">
        <v>5</v>
      </c>
      <c r="B17" s="158" t="s">
        <v>35</v>
      </c>
      <c r="C17" s="158" t="s">
        <v>36</v>
      </c>
      <c r="D17" s="158" t="s">
        <v>93</v>
      </c>
      <c r="E17" s="160">
        <v>6.6</v>
      </c>
      <c r="F17" s="56">
        <v>145200.04999999999</v>
      </c>
      <c r="G17" s="56">
        <f>F17</f>
        <v>145200.04999999999</v>
      </c>
      <c r="H17" s="161">
        <f t="shared" si="0"/>
        <v>0</v>
      </c>
      <c r="I17" s="161">
        <f t="shared" si="3"/>
        <v>0</v>
      </c>
      <c r="J17" s="162">
        <f t="shared" si="1"/>
        <v>158400</v>
      </c>
      <c r="K17" s="162">
        <f t="shared" si="2"/>
        <v>0</v>
      </c>
      <c r="L17" s="169">
        <f>EDESUR!I10</f>
        <v>0</v>
      </c>
      <c r="M17" s="184">
        <v>50000</v>
      </c>
      <c r="N17" s="165">
        <f t="shared" si="4"/>
        <v>208400.05</v>
      </c>
      <c r="O17" s="163">
        <f t="shared" si="5"/>
        <v>220904.05</v>
      </c>
      <c r="P17" s="164">
        <f t="shared" si="6"/>
        <v>214652.05</v>
      </c>
      <c r="Q17" s="30">
        <f t="shared" si="7"/>
        <v>0.05</v>
      </c>
      <c r="R17" t="s">
        <v>118</v>
      </c>
    </row>
    <row r="18" spans="1:18" ht="17.100000000000001" customHeight="1" x14ac:dyDescent="0.25">
      <c r="A18" s="45">
        <v>6</v>
      </c>
      <c r="B18" s="45" t="s">
        <v>37</v>
      </c>
      <c r="C18" s="45" t="s">
        <v>38</v>
      </c>
      <c r="D18" s="45" t="s">
        <v>90</v>
      </c>
      <c r="E18" s="54">
        <v>5.4</v>
      </c>
      <c r="F18" s="55">
        <v>118800.06</v>
      </c>
      <c r="G18" s="56">
        <f t="shared" ref="G18" si="8">F18</f>
        <v>118800.06</v>
      </c>
      <c r="H18" s="57">
        <f t="shared" si="0"/>
        <v>0</v>
      </c>
      <c r="I18" s="57">
        <f t="shared" si="3"/>
        <v>0</v>
      </c>
      <c r="J18" s="107">
        <f t="shared" si="1"/>
        <v>129600</v>
      </c>
      <c r="K18" s="107">
        <f t="shared" si="2"/>
        <v>0</v>
      </c>
      <c r="L18" s="166">
        <f>EDESUR!I11</f>
        <v>0</v>
      </c>
      <c r="M18" s="183"/>
      <c r="N18" s="165">
        <f t="shared" si="4"/>
        <v>129600.06</v>
      </c>
      <c r="O18" s="58">
        <f t="shared" si="5"/>
        <v>137376.06</v>
      </c>
      <c r="P18" s="59">
        <f t="shared" si="6"/>
        <v>133488.06</v>
      </c>
      <c r="Q18" s="30">
        <f t="shared" si="7"/>
        <v>6.0000000000000005E-2</v>
      </c>
    </row>
    <row r="19" spans="1:18" ht="17.100000000000001" customHeight="1" x14ac:dyDescent="0.25">
      <c r="A19" s="158">
        <v>7</v>
      </c>
      <c r="B19" s="158" t="s">
        <v>39</v>
      </c>
      <c r="C19" s="158" t="s">
        <v>40</v>
      </c>
      <c r="D19" s="158" t="s">
        <v>91</v>
      </c>
      <c r="E19" s="160">
        <v>5.4</v>
      </c>
      <c r="F19" s="56">
        <v>122364.07</v>
      </c>
      <c r="G19" s="56">
        <f>F19</f>
        <v>122364.07</v>
      </c>
      <c r="H19" s="161">
        <f t="shared" si="0"/>
        <v>0</v>
      </c>
      <c r="I19" s="161">
        <f t="shared" si="3"/>
        <v>0</v>
      </c>
      <c r="J19" s="162">
        <f t="shared" si="1"/>
        <v>129600</v>
      </c>
      <c r="K19" s="162">
        <f t="shared" si="2"/>
        <v>0</v>
      </c>
      <c r="L19" s="166">
        <f>EDESUR!I12</f>
        <v>0</v>
      </c>
      <c r="M19" s="183"/>
      <c r="N19" s="165">
        <f t="shared" si="4"/>
        <v>129600.07</v>
      </c>
      <c r="O19" s="163">
        <f t="shared" si="5"/>
        <v>137376.07</v>
      </c>
      <c r="P19" s="164">
        <f t="shared" si="6"/>
        <v>133488.07</v>
      </c>
      <c r="Q19" s="30">
        <f t="shared" si="7"/>
        <v>7.0000000000000007E-2</v>
      </c>
    </row>
    <row r="20" spans="1:18" ht="17.100000000000001" customHeight="1" x14ac:dyDescent="0.25">
      <c r="A20" s="158">
        <v>8</v>
      </c>
      <c r="B20" s="158" t="s">
        <v>41</v>
      </c>
      <c r="C20" s="158" t="s">
        <v>42</v>
      </c>
      <c r="D20" s="159" t="s">
        <v>70</v>
      </c>
      <c r="E20" s="160">
        <v>6.6</v>
      </c>
      <c r="F20" s="56">
        <v>222130.08</v>
      </c>
      <c r="G20" s="56">
        <f>F20</f>
        <v>222130.08</v>
      </c>
      <c r="H20" s="161">
        <f t="shared" si="0"/>
        <v>0</v>
      </c>
      <c r="I20" s="161">
        <f t="shared" si="3"/>
        <v>0</v>
      </c>
      <c r="J20" s="162">
        <f t="shared" si="1"/>
        <v>158400</v>
      </c>
      <c r="K20" s="162">
        <f t="shared" si="2"/>
        <v>0</v>
      </c>
      <c r="L20" s="166">
        <f>EDESUR!I13</f>
        <v>66680.352219450724</v>
      </c>
      <c r="M20" s="183"/>
      <c r="N20" s="165">
        <f t="shared" si="4"/>
        <v>225080.08</v>
      </c>
      <c r="O20" s="163">
        <f t="shared" si="5"/>
        <v>238585.08</v>
      </c>
      <c r="P20" s="164">
        <f t="shared" si="6"/>
        <v>231832.08</v>
      </c>
      <c r="Q20" s="30">
        <f t="shared" si="7"/>
        <v>0.08</v>
      </c>
    </row>
    <row r="21" spans="1:18" ht="17.100000000000001" customHeight="1" x14ac:dyDescent="0.25">
      <c r="A21" s="45">
        <v>9</v>
      </c>
      <c r="B21" s="45" t="s">
        <v>43</v>
      </c>
      <c r="C21" s="45" t="s">
        <v>44</v>
      </c>
      <c r="D21" s="46" t="s">
        <v>73</v>
      </c>
      <c r="E21" s="54">
        <v>6.6</v>
      </c>
      <c r="F21" s="55">
        <v>106012.09</v>
      </c>
      <c r="G21" s="56">
        <f>F21</f>
        <v>106012.09</v>
      </c>
      <c r="H21" s="57">
        <f t="shared" si="0"/>
        <v>0</v>
      </c>
      <c r="I21" s="57">
        <f t="shared" si="3"/>
        <v>0</v>
      </c>
      <c r="J21" s="107">
        <f t="shared" si="1"/>
        <v>158400</v>
      </c>
      <c r="K21" s="107">
        <f t="shared" si="2"/>
        <v>0</v>
      </c>
      <c r="L21" s="166">
        <f>EDESUR!I14</f>
        <v>0</v>
      </c>
      <c r="M21" s="183"/>
      <c r="N21" s="165">
        <f t="shared" si="4"/>
        <v>158400.09</v>
      </c>
      <c r="O21" s="58">
        <f t="shared" si="5"/>
        <v>167904.09</v>
      </c>
      <c r="P21" s="59">
        <f t="shared" si="6"/>
        <v>163152.09</v>
      </c>
      <c r="Q21" s="30">
        <f t="shared" si="7"/>
        <v>0.09</v>
      </c>
    </row>
    <row r="22" spans="1:18" ht="17.100000000000001" customHeight="1" x14ac:dyDescent="0.25">
      <c r="A22" s="45">
        <v>10</v>
      </c>
      <c r="B22" s="45" t="s">
        <v>45</v>
      </c>
      <c r="C22" s="45" t="s">
        <v>46</v>
      </c>
      <c r="D22" s="46" t="s">
        <v>71</v>
      </c>
      <c r="E22" s="54">
        <v>5.4</v>
      </c>
      <c r="F22" s="55">
        <v>9.9999999999999992E-2</v>
      </c>
      <c r="G22" s="56">
        <f>RESUMEN!D42</f>
        <v>157988.29</v>
      </c>
      <c r="H22" s="57">
        <f>F22-G22</f>
        <v>-157988.19</v>
      </c>
      <c r="I22" s="57">
        <f t="shared" si="3"/>
        <v>0</v>
      </c>
      <c r="J22" s="107">
        <f t="shared" si="1"/>
        <v>129600</v>
      </c>
      <c r="K22" s="107">
        <f t="shared" si="2"/>
        <v>0</v>
      </c>
      <c r="L22" s="166">
        <f>EDESUR!I15</f>
        <v>0</v>
      </c>
      <c r="M22" s="183"/>
      <c r="N22" s="165">
        <f t="shared" si="4"/>
        <v>-28387.9</v>
      </c>
      <c r="O22" s="58">
        <f t="shared" si="5"/>
        <v>-30090.9</v>
      </c>
      <c r="P22" s="59">
        <f t="shared" si="6"/>
        <v>-29239.9</v>
      </c>
      <c r="Q22" s="30">
        <f t="shared" si="7"/>
        <v>9.9999999999999992E-2</v>
      </c>
    </row>
    <row r="23" spans="1:18" ht="17.100000000000001" customHeight="1" x14ac:dyDescent="0.25">
      <c r="A23" s="45">
        <v>11</v>
      </c>
      <c r="B23" s="45" t="s">
        <v>47</v>
      </c>
      <c r="C23" s="45" t="s">
        <v>48</v>
      </c>
      <c r="D23" s="46"/>
      <c r="E23" s="54">
        <v>5.4</v>
      </c>
      <c r="F23" s="55">
        <v>118800.11</v>
      </c>
      <c r="G23" s="56">
        <f>125400-G34</f>
        <v>118799.78</v>
      </c>
      <c r="H23" s="57">
        <f t="shared" si="0"/>
        <v>0.33000000000174623</v>
      </c>
      <c r="I23" s="57">
        <f t="shared" si="3"/>
        <v>9.900000000052386E-3</v>
      </c>
      <c r="J23" s="107">
        <f t="shared" si="1"/>
        <v>129600</v>
      </c>
      <c r="K23" s="107">
        <f t="shared" si="2"/>
        <v>0</v>
      </c>
      <c r="L23" s="166">
        <f>EDESUR!I12</f>
        <v>0</v>
      </c>
      <c r="M23" s="183"/>
      <c r="N23" s="165">
        <f t="shared" si="4"/>
        <v>129600.11</v>
      </c>
      <c r="O23" s="58">
        <f t="shared" si="5"/>
        <v>137376.10999999999</v>
      </c>
      <c r="P23" s="59">
        <f t="shared" si="6"/>
        <v>133488.10999999999</v>
      </c>
      <c r="Q23" s="30">
        <f t="shared" si="7"/>
        <v>0.10999999999999999</v>
      </c>
      <c r="R23" t="s">
        <v>92</v>
      </c>
    </row>
    <row r="24" spans="1:18" ht="30" customHeight="1" x14ac:dyDescent="0.25">
      <c r="A24" s="45">
        <v>12</v>
      </c>
      <c r="B24" s="45" t="s">
        <v>49</v>
      </c>
      <c r="C24" s="45" t="s">
        <v>50</v>
      </c>
      <c r="D24" s="46" t="s">
        <v>72</v>
      </c>
      <c r="E24" s="54">
        <v>6.6</v>
      </c>
      <c r="F24" s="55">
        <v>145200.12</v>
      </c>
      <c r="G24" s="56">
        <f>F24</f>
        <v>145200.12</v>
      </c>
      <c r="H24" s="57">
        <f t="shared" si="0"/>
        <v>0</v>
      </c>
      <c r="I24" s="57">
        <f t="shared" si="3"/>
        <v>0</v>
      </c>
      <c r="J24" s="107">
        <f t="shared" si="1"/>
        <v>158400</v>
      </c>
      <c r="K24" s="107">
        <f t="shared" si="2"/>
        <v>0</v>
      </c>
      <c r="L24" s="166">
        <f>EDESUR!I17</f>
        <v>0</v>
      </c>
      <c r="M24" s="183"/>
      <c r="N24" s="165">
        <f t="shared" si="4"/>
        <v>158400.12</v>
      </c>
      <c r="O24" s="58">
        <f t="shared" si="5"/>
        <v>167904.12</v>
      </c>
      <c r="P24" s="59">
        <f t="shared" si="6"/>
        <v>163152.12</v>
      </c>
      <c r="Q24" s="30">
        <f t="shared" si="7"/>
        <v>0.11999999999999998</v>
      </c>
    </row>
    <row r="25" spans="1:18" ht="17.100000000000001" customHeight="1" x14ac:dyDescent="0.25">
      <c r="A25" s="45">
        <v>13</v>
      </c>
      <c r="B25" s="45" t="s">
        <v>51</v>
      </c>
      <c r="C25" s="45" t="s">
        <v>52</v>
      </c>
      <c r="D25" s="46" t="s">
        <v>89</v>
      </c>
      <c r="E25" s="54">
        <v>6.6</v>
      </c>
      <c r="F25" s="55">
        <v>145200.13</v>
      </c>
      <c r="G25" s="56">
        <v>149556.13</v>
      </c>
      <c r="H25" s="57">
        <f t="shared" si="0"/>
        <v>-4356</v>
      </c>
      <c r="I25" s="57">
        <f t="shared" si="3"/>
        <v>0</v>
      </c>
      <c r="J25" s="107">
        <f t="shared" si="1"/>
        <v>158400</v>
      </c>
      <c r="K25" s="107">
        <f t="shared" si="2"/>
        <v>0</v>
      </c>
      <c r="L25" s="166">
        <f>EDESUR!I18</f>
        <v>0</v>
      </c>
      <c r="M25" s="183"/>
      <c r="N25" s="165">
        <f t="shared" si="4"/>
        <v>154044.13</v>
      </c>
      <c r="O25" s="58">
        <f t="shared" si="5"/>
        <v>163287.13</v>
      </c>
      <c r="P25" s="59">
        <f t="shared" si="6"/>
        <v>158665.13</v>
      </c>
      <c r="Q25" s="30">
        <f t="shared" si="7"/>
        <v>0.12999999999999998</v>
      </c>
    </row>
    <row r="26" spans="1:18" ht="17.100000000000001" customHeight="1" x14ac:dyDescent="0.25">
      <c r="A26" s="158">
        <v>14</v>
      </c>
      <c r="B26" s="158" t="s">
        <v>53</v>
      </c>
      <c r="C26" s="158" t="s">
        <v>54</v>
      </c>
      <c r="D26" s="159"/>
      <c r="E26" s="160">
        <v>5.4</v>
      </c>
      <c r="F26" s="56">
        <v>118800.14</v>
      </c>
      <c r="G26" s="56">
        <f>F26</f>
        <v>118800.14</v>
      </c>
      <c r="H26" s="161">
        <f t="shared" si="0"/>
        <v>0</v>
      </c>
      <c r="I26" s="161">
        <f t="shared" si="3"/>
        <v>0</v>
      </c>
      <c r="J26" s="162">
        <f t="shared" si="1"/>
        <v>129600</v>
      </c>
      <c r="K26" s="162">
        <f t="shared" si="2"/>
        <v>0</v>
      </c>
      <c r="L26" s="169">
        <f>EDESUR!I19</f>
        <v>0</v>
      </c>
      <c r="M26" s="184"/>
      <c r="N26" s="165">
        <f t="shared" si="4"/>
        <v>129600.14</v>
      </c>
      <c r="O26" s="163">
        <f t="shared" si="5"/>
        <v>137376.14000000001</v>
      </c>
      <c r="P26" s="164">
        <f t="shared" si="6"/>
        <v>133488.14000000001</v>
      </c>
      <c r="Q26" s="30">
        <f t="shared" si="7"/>
        <v>0.13999999999999999</v>
      </c>
    </row>
    <row r="27" spans="1:18" ht="17.100000000000001" customHeight="1" x14ac:dyDescent="0.25">
      <c r="A27" s="45">
        <v>15</v>
      </c>
      <c r="B27" s="45" t="s">
        <v>55</v>
      </c>
      <c r="C27" s="45" t="s">
        <v>56</v>
      </c>
      <c r="D27" s="46"/>
      <c r="E27" s="54">
        <v>5.4</v>
      </c>
      <c r="F27" s="55">
        <v>241164.15</v>
      </c>
      <c r="G27" s="56">
        <f>F27</f>
        <v>241164.15</v>
      </c>
      <c r="H27" s="57">
        <f t="shared" si="0"/>
        <v>0</v>
      </c>
      <c r="I27" s="57">
        <f t="shared" si="3"/>
        <v>0</v>
      </c>
      <c r="J27" s="107">
        <f t="shared" si="1"/>
        <v>129600</v>
      </c>
      <c r="K27" s="107">
        <f t="shared" si="2"/>
        <v>0</v>
      </c>
      <c r="L27" s="166">
        <f>EDESUR!I16</f>
        <v>0</v>
      </c>
      <c r="M27" s="183"/>
      <c r="N27" s="165">
        <f t="shared" si="4"/>
        <v>129600.15</v>
      </c>
      <c r="O27" s="58">
        <f t="shared" si="5"/>
        <v>137376.15</v>
      </c>
      <c r="P27" s="59">
        <f t="shared" si="6"/>
        <v>133488.15</v>
      </c>
      <c r="Q27" s="30">
        <f t="shared" si="7"/>
        <v>0.15</v>
      </c>
    </row>
    <row r="28" spans="1:18" ht="17.100000000000001" customHeight="1" x14ac:dyDescent="0.25">
      <c r="A28" s="45">
        <v>16</v>
      </c>
      <c r="B28" s="45" t="s">
        <v>57</v>
      </c>
      <c r="C28" s="45" t="s">
        <v>38</v>
      </c>
      <c r="D28" s="45" t="s">
        <v>90</v>
      </c>
      <c r="E28" s="54">
        <v>0.7</v>
      </c>
      <c r="F28" s="55">
        <v>15400.16</v>
      </c>
      <c r="G28" s="56">
        <f t="shared" ref="G28:G34" si="9">F28</f>
        <v>15400.16</v>
      </c>
      <c r="H28" s="57">
        <f t="shared" si="0"/>
        <v>0</v>
      </c>
      <c r="I28" s="57">
        <f t="shared" si="3"/>
        <v>0</v>
      </c>
      <c r="J28" s="107">
        <f t="shared" si="1"/>
        <v>16800</v>
      </c>
      <c r="K28" s="107">
        <f t="shared" si="2"/>
        <v>0</v>
      </c>
      <c r="L28" s="166">
        <f>EDESUR!I22</f>
        <v>0</v>
      </c>
      <c r="M28" s="183"/>
      <c r="N28" s="165">
        <f t="shared" si="4"/>
        <v>16800.16</v>
      </c>
      <c r="O28" s="58">
        <f t="shared" si="5"/>
        <v>17808.16</v>
      </c>
      <c r="P28" s="59">
        <f t="shared" si="6"/>
        <v>17304.16</v>
      </c>
      <c r="Q28" s="30">
        <f t="shared" si="7"/>
        <v>0.16</v>
      </c>
    </row>
    <row r="29" spans="1:18" ht="17.100000000000001" customHeight="1" x14ac:dyDescent="0.25">
      <c r="A29" s="45">
        <v>17</v>
      </c>
      <c r="B29" s="45" t="s">
        <v>58</v>
      </c>
      <c r="C29" s="45" t="s">
        <v>28</v>
      </c>
      <c r="D29" s="46"/>
      <c r="E29" s="54">
        <v>0.6</v>
      </c>
      <c r="F29" s="56">
        <v>13200.17</v>
      </c>
      <c r="G29" s="56">
        <v>26400.17</v>
      </c>
      <c r="H29" s="57">
        <f t="shared" si="0"/>
        <v>-13199.999999999998</v>
      </c>
      <c r="I29" s="57">
        <f t="shared" si="3"/>
        <v>0</v>
      </c>
      <c r="J29" s="107">
        <f t="shared" si="1"/>
        <v>14400</v>
      </c>
      <c r="K29" s="107">
        <f t="shared" si="2"/>
        <v>0</v>
      </c>
      <c r="L29" s="166">
        <f>EDESUR!I23</f>
        <v>0</v>
      </c>
      <c r="M29" s="183"/>
      <c r="N29" s="165">
        <f t="shared" si="4"/>
        <v>1200.17</v>
      </c>
      <c r="O29" s="58">
        <f t="shared" si="5"/>
        <v>1272.17</v>
      </c>
      <c r="P29" s="59">
        <f t="shared" si="6"/>
        <v>1236.17</v>
      </c>
      <c r="Q29" s="30">
        <f t="shared" si="7"/>
        <v>0.17</v>
      </c>
    </row>
    <row r="30" spans="1:18" ht="17.100000000000001" customHeight="1" x14ac:dyDescent="0.25">
      <c r="A30" s="45">
        <v>18</v>
      </c>
      <c r="B30" s="45" t="s">
        <v>59</v>
      </c>
      <c r="C30" s="45" t="s">
        <v>28</v>
      </c>
      <c r="D30" s="90"/>
      <c r="E30" s="54">
        <v>0.6</v>
      </c>
      <c r="F30" s="55">
        <v>13200.18</v>
      </c>
      <c r="G30" s="56">
        <v>0</v>
      </c>
      <c r="H30" s="57">
        <f t="shared" si="0"/>
        <v>13200.18</v>
      </c>
      <c r="I30" s="57">
        <f t="shared" si="3"/>
        <v>396.00540000000001</v>
      </c>
      <c r="J30" s="107">
        <f t="shared" si="1"/>
        <v>14400</v>
      </c>
      <c r="K30" s="107">
        <f t="shared" si="2"/>
        <v>0</v>
      </c>
      <c r="L30" s="166">
        <f>EDESUR!I24</f>
        <v>0</v>
      </c>
      <c r="M30" s="183"/>
      <c r="N30" s="165">
        <f t="shared" si="4"/>
        <v>27996.18</v>
      </c>
      <c r="O30" s="58">
        <f t="shared" si="5"/>
        <v>29676.18</v>
      </c>
      <c r="P30" s="59">
        <f t="shared" si="6"/>
        <v>28836.18</v>
      </c>
      <c r="Q30" s="30">
        <f t="shared" si="7"/>
        <v>0.18000000000000002</v>
      </c>
    </row>
    <row r="31" spans="1:18" x14ac:dyDescent="0.25">
      <c r="A31" s="158">
        <v>19</v>
      </c>
      <c r="B31" s="158" t="s">
        <v>60</v>
      </c>
      <c r="C31" s="158" t="s">
        <v>50</v>
      </c>
      <c r="D31" s="159"/>
      <c r="E31" s="160">
        <v>0.6</v>
      </c>
      <c r="F31" s="56">
        <v>13200.19</v>
      </c>
      <c r="G31" s="56">
        <f>F31</f>
        <v>13200.19</v>
      </c>
      <c r="H31" s="161">
        <f t="shared" si="0"/>
        <v>0</v>
      </c>
      <c r="I31" s="161">
        <f t="shared" si="3"/>
        <v>0</v>
      </c>
      <c r="J31" s="162">
        <f t="shared" si="1"/>
        <v>14400</v>
      </c>
      <c r="K31" s="162">
        <f t="shared" si="2"/>
        <v>0</v>
      </c>
      <c r="L31" s="169">
        <f>EDESUR!I25</f>
        <v>0</v>
      </c>
      <c r="M31" s="184"/>
      <c r="N31" s="165">
        <f t="shared" si="4"/>
        <v>14400.19</v>
      </c>
      <c r="O31" s="163"/>
      <c r="P31" s="164">
        <f t="shared" si="6"/>
        <v>14832.19</v>
      </c>
      <c r="Q31" s="30">
        <f>Q30+0.01</f>
        <v>0.19000000000000003</v>
      </c>
    </row>
    <row r="32" spans="1:18" ht="23.25" x14ac:dyDescent="0.25">
      <c r="A32" s="60">
        <v>20</v>
      </c>
      <c r="B32" s="60" t="s">
        <v>61</v>
      </c>
      <c r="C32" s="45" t="s">
        <v>34</v>
      </c>
      <c r="D32" s="46" t="s">
        <v>125</v>
      </c>
      <c r="E32" s="54">
        <v>0.6</v>
      </c>
      <c r="F32" s="62">
        <v>13200.2</v>
      </c>
      <c r="G32" s="56">
        <f>F32</f>
        <v>13200.2</v>
      </c>
      <c r="H32" s="57">
        <f t="shared" si="0"/>
        <v>0</v>
      </c>
      <c r="I32" s="57">
        <f t="shared" si="3"/>
        <v>0</v>
      </c>
      <c r="J32" s="107">
        <f t="shared" si="1"/>
        <v>14400</v>
      </c>
      <c r="K32" s="107">
        <f t="shared" si="2"/>
        <v>0</v>
      </c>
      <c r="L32" s="166">
        <f>EDESUR!I26</f>
        <v>0</v>
      </c>
      <c r="M32" s="183"/>
      <c r="N32" s="165">
        <f t="shared" si="4"/>
        <v>14400.2</v>
      </c>
      <c r="O32" s="58"/>
      <c r="P32" s="59">
        <f t="shared" si="6"/>
        <v>14832.2</v>
      </c>
      <c r="Q32" s="30">
        <f t="shared" ref="Q32:Q35" si="10">Q31+0.01</f>
        <v>0.20000000000000004</v>
      </c>
    </row>
    <row r="33" spans="1:17" x14ac:dyDescent="0.25">
      <c r="A33" s="60">
        <v>21</v>
      </c>
      <c r="B33" s="60" t="s">
        <v>62</v>
      </c>
      <c r="C33" s="47" t="s">
        <v>46</v>
      </c>
      <c r="D33" s="46" t="s">
        <v>71</v>
      </c>
      <c r="E33" s="54">
        <v>0.3</v>
      </c>
      <c r="F33" s="62">
        <v>6600.21</v>
      </c>
      <c r="G33" s="56">
        <v>0</v>
      </c>
      <c r="H33" s="57">
        <f t="shared" si="0"/>
        <v>6600.21</v>
      </c>
      <c r="I33" s="57">
        <f t="shared" si="3"/>
        <v>198.00629999999998</v>
      </c>
      <c r="J33" s="107">
        <f t="shared" si="1"/>
        <v>7200</v>
      </c>
      <c r="K33" s="107">
        <f t="shared" si="2"/>
        <v>0</v>
      </c>
      <c r="L33" s="166">
        <f>EDESUR!I27</f>
        <v>0</v>
      </c>
      <c r="M33" s="183"/>
      <c r="N33" s="165">
        <f t="shared" si="4"/>
        <v>13998.21</v>
      </c>
      <c r="O33" s="58"/>
      <c r="P33" s="59">
        <f t="shared" si="6"/>
        <v>14418.21</v>
      </c>
      <c r="Q33" s="30">
        <f t="shared" si="10"/>
        <v>0.21000000000000005</v>
      </c>
    </row>
    <row r="34" spans="1:17" x14ac:dyDescent="0.25">
      <c r="A34" s="61">
        <v>22</v>
      </c>
      <c r="B34" s="61" t="s">
        <v>63</v>
      </c>
      <c r="C34" s="45" t="s">
        <v>48</v>
      </c>
      <c r="D34" s="46"/>
      <c r="E34" s="54">
        <v>0.3</v>
      </c>
      <c r="F34" s="62">
        <v>6600.22</v>
      </c>
      <c r="G34" s="157">
        <f t="shared" si="9"/>
        <v>6600.22</v>
      </c>
      <c r="H34" s="57">
        <f t="shared" si="0"/>
        <v>0</v>
      </c>
      <c r="I34" s="57">
        <f t="shared" si="3"/>
        <v>0</v>
      </c>
      <c r="J34" s="107">
        <f t="shared" si="1"/>
        <v>7200</v>
      </c>
      <c r="K34" s="107">
        <f t="shared" si="2"/>
        <v>0</v>
      </c>
      <c r="L34" s="166">
        <f>EDESUR!I28</f>
        <v>0</v>
      </c>
      <c r="M34" s="183"/>
      <c r="N34" s="165">
        <f t="shared" si="4"/>
        <v>7200.22</v>
      </c>
      <c r="O34" s="58"/>
      <c r="P34" s="59">
        <f t="shared" si="6"/>
        <v>7416.22</v>
      </c>
      <c r="Q34" s="30">
        <f t="shared" si="10"/>
        <v>0.22000000000000006</v>
      </c>
    </row>
    <row r="35" spans="1:17" ht="17.100000000000001" customHeight="1" thickBot="1" x14ac:dyDescent="0.3">
      <c r="A35" s="45">
        <v>23</v>
      </c>
      <c r="B35" s="63" t="s">
        <v>64</v>
      </c>
      <c r="C35" s="63" t="s">
        <v>65</v>
      </c>
      <c r="D35" s="46" t="s">
        <v>69</v>
      </c>
      <c r="E35" s="54">
        <v>0.3</v>
      </c>
      <c r="F35" s="62">
        <v>6600.23</v>
      </c>
      <c r="G35" s="56">
        <f>F35</f>
        <v>6600.23</v>
      </c>
      <c r="H35" s="57">
        <f t="shared" si="0"/>
        <v>0</v>
      </c>
      <c r="I35" s="57">
        <f t="shared" si="3"/>
        <v>0</v>
      </c>
      <c r="J35" s="107">
        <f t="shared" si="1"/>
        <v>7200</v>
      </c>
      <c r="K35" s="107">
        <f t="shared" si="2"/>
        <v>0</v>
      </c>
      <c r="L35" s="166">
        <f>EDESUR!I29</f>
        <v>0</v>
      </c>
      <c r="M35" s="183"/>
      <c r="N35" s="165">
        <f t="shared" si="4"/>
        <v>7200.23</v>
      </c>
      <c r="O35" s="64"/>
      <c r="P35" s="59">
        <f t="shared" si="6"/>
        <v>7416.23</v>
      </c>
      <c r="Q35" s="30">
        <f t="shared" si="10"/>
        <v>0.23000000000000007</v>
      </c>
    </row>
    <row r="36" spans="1:17" ht="17.100000000000001" customHeight="1" thickBot="1" x14ac:dyDescent="0.3">
      <c r="A36" s="65"/>
      <c r="B36" s="65"/>
      <c r="C36" s="66"/>
      <c r="D36" s="66"/>
      <c r="E36" s="119">
        <f>SUM(E13:E35)</f>
        <v>99.999999999999986</v>
      </c>
      <c r="F36" s="39">
        <f>SUM(F13:F35)</f>
        <v>2348836.7600000012</v>
      </c>
      <c r="G36" s="43">
        <f>SUM(G13:G35)</f>
        <v>2504691.1700000009</v>
      </c>
      <c r="H36" s="43">
        <f>SUM(H13:H35)</f>
        <v>-155854.41</v>
      </c>
      <c r="I36" s="43">
        <f t="shared" ref="I36:O36" si="11">SUM(I13:I35)</f>
        <v>594.0228000000003</v>
      </c>
      <c r="J36" s="93">
        <f t="shared" si="11"/>
        <v>2400000</v>
      </c>
      <c r="K36" s="43">
        <f t="shared" si="11"/>
        <v>0</v>
      </c>
      <c r="L36" s="67">
        <f>SUM(L13:L35)</f>
        <v>103227.02696710824</v>
      </c>
      <c r="M36" s="67"/>
      <c r="N36" s="67">
        <f>SUM(N13:N35)</f>
        <v>2397968.7600000012</v>
      </c>
      <c r="O36" s="67">
        <f t="shared" si="11"/>
        <v>2481216.7100000009</v>
      </c>
      <c r="P36" s="67">
        <f>SUM(P13:P35)</f>
        <v>2469906.7600000012</v>
      </c>
    </row>
    <row r="37" spans="1:17" ht="12.75" customHeight="1" x14ac:dyDescent="0.25">
      <c r="C37" s="36"/>
      <c r="D37" s="36"/>
    </row>
    <row r="38" spans="1:17" hidden="1" x14ac:dyDescent="0.25"/>
    <row r="39" spans="1:17" ht="9" customHeight="1" x14ac:dyDescent="0.25">
      <c r="C39" s="203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</row>
    <row r="40" spans="1:17" ht="12" hidden="1" customHeight="1" x14ac:dyDescent="0.25"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</row>
    <row r="41" spans="1:17" ht="12" hidden="1" customHeight="1" x14ac:dyDescent="0.25"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</row>
    <row r="42" spans="1:17" ht="12" hidden="1" customHeight="1" x14ac:dyDescent="0.25"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</row>
    <row r="43" spans="1:17" ht="12" hidden="1" customHeight="1" x14ac:dyDescent="0.25"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</row>
    <row r="44" spans="1:17" ht="67.5" customHeight="1" x14ac:dyDescent="0.25"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</row>
  </sheetData>
  <mergeCells count="19">
    <mergeCell ref="C39:N44"/>
    <mergeCell ref="D11:D12"/>
    <mergeCell ref="A11:A12"/>
    <mergeCell ref="C11:C12"/>
    <mergeCell ref="E11:E12"/>
    <mergeCell ref="M11:M12"/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topLeftCell="A5" workbookViewId="0">
      <selection activeCell="K27" sqref="I6:K27"/>
    </sheetView>
  </sheetViews>
  <sheetFormatPr baseColWidth="10" defaultColWidth="10.85546875" defaultRowHeight="15" x14ac:dyDescent="0.25"/>
  <cols>
    <col min="4" max="4" width="4" customWidth="1"/>
    <col min="5" max="5" width="21.570312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ht="30" customHeight="1" x14ac:dyDescent="0.25">
      <c r="B3" s="125" t="s">
        <v>80</v>
      </c>
      <c r="C3" s="125" t="s">
        <v>81</v>
      </c>
      <c r="E3" s="127" t="s">
        <v>87</v>
      </c>
      <c r="G3" s="156" t="s">
        <v>129</v>
      </c>
      <c r="I3" s="234" t="s">
        <v>88</v>
      </c>
      <c r="J3" s="235"/>
    </row>
    <row r="4" spans="2:10" x14ac:dyDescent="0.25">
      <c r="B4" s="125"/>
      <c r="C4" s="125"/>
      <c r="E4" s="125"/>
      <c r="G4" s="128"/>
      <c r="I4" s="234"/>
      <c r="J4" s="235"/>
    </row>
    <row r="5" spans="2:10" x14ac:dyDescent="0.25">
      <c r="B5" s="125">
        <v>1</v>
      </c>
      <c r="C5" s="125" t="s">
        <v>82</v>
      </c>
      <c r="E5" s="192">
        <v>12046.778334087237</v>
      </c>
      <c r="F5" s="2"/>
      <c r="G5" s="193">
        <v>12046.778334087237</v>
      </c>
      <c r="I5" s="232">
        <f>E5-G5</f>
        <v>0</v>
      </c>
      <c r="J5" s="233"/>
    </row>
    <row r="6" spans="2:10" x14ac:dyDescent="0.25">
      <c r="B6" s="125">
        <v>1</v>
      </c>
      <c r="C6" s="125" t="s">
        <v>83</v>
      </c>
      <c r="E6" s="192">
        <v>31125.624497318255</v>
      </c>
      <c r="F6" s="2"/>
      <c r="G6" s="193">
        <v>0</v>
      </c>
      <c r="I6" s="232">
        <f t="shared" ref="I6:I19" si="0">E6-G6</f>
        <v>31125.624497318255</v>
      </c>
      <c r="J6" s="233"/>
    </row>
    <row r="7" spans="2:10" x14ac:dyDescent="0.25">
      <c r="B7" s="125">
        <v>1</v>
      </c>
      <c r="C7" s="125" t="s">
        <v>84</v>
      </c>
      <c r="E7" s="192">
        <v>5421.0502503392572</v>
      </c>
      <c r="F7" s="2"/>
      <c r="G7" s="193">
        <v>0</v>
      </c>
      <c r="I7" s="232">
        <f t="shared" si="0"/>
        <v>5421.0502503392572</v>
      </c>
      <c r="J7" s="233"/>
    </row>
    <row r="8" spans="2:10" x14ac:dyDescent="0.25">
      <c r="B8" s="125">
        <v>2</v>
      </c>
      <c r="C8" s="125" t="s">
        <v>82</v>
      </c>
      <c r="E8" s="192">
        <v>5421.0502503392572</v>
      </c>
      <c r="F8" s="2"/>
      <c r="G8" s="193">
        <v>5421.0502503392572</v>
      </c>
      <c r="I8" s="232">
        <f t="shared" si="0"/>
        <v>0</v>
      </c>
      <c r="J8" s="233"/>
    </row>
    <row r="9" spans="2:10" x14ac:dyDescent="0.25">
      <c r="B9" s="126">
        <v>2</v>
      </c>
      <c r="C9" s="126" t="s">
        <v>85</v>
      </c>
      <c r="E9" s="192">
        <v>6625.7280837479811</v>
      </c>
      <c r="F9" s="2"/>
      <c r="G9" s="193">
        <v>6625.7280837479811</v>
      </c>
      <c r="I9" s="232">
        <f t="shared" si="0"/>
        <v>0</v>
      </c>
      <c r="J9" s="233"/>
    </row>
    <row r="10" spans="2:10" x14ac:dyDescent="0.25">
      <c r="B10" s="126">
        <v>2</v>
      </c>
      <c r="C10" s="126" t="s">
        <v>83</v>
      </c>
      <c r="E10" s="192">
        <v>6625.7280837479811</v>
      </c>
      <c r="F10" s="2"/>
      <c r="G10" s="193">
        <v>6625.7280837479811</v>
      </c>
      <c r="I10" s="232">
        <f t="shared" si="0"/>
        <v>0</v>
      </c>
      <c r="J10" s="233"/>
    </row>
    <row r="11" spans="2:10" x14ac:dyDescent="0.25">
      <c r="B11" s="126">
        <v>2</v>
      </c>
      <c r="C11" s="126" t="s">
        <v>84</v>
      </c>
      <c r="E11" s="192">
        <v>5421.0502503392572</v>
      </c>
      <c r="F11" s="2"/>
      <c r="G11" s="193">
        <v>5421.0502503392572</v>
      </c>
      <c r="I11" s="232">
        <f t="shared" si="0"/>
        <v>0</v>
      </c>
      <c r="J11" s="233"/>
    </row>
    <row r="12" spans="2:10" x14ac:dyDescent="0.25">
      <c r="B12" s="126">
        <v>3</v>
      </c>
      <c r="C12" s="126" t="s">
        <v>82</v>
      </c>
      <c r="E12" s="192">
        <v>5421.0502503392572</v>
      </c>
      <c r="F12" s="2"/>
      <c r="G12" s="193">
        <v>5421.0502503392572</v>
      </c>
      <c r="I12" s="232">
        <f t="shared" si="0"/>
        <v>0</v>
      </c>
      <c r="J12" s="233"/>
    </row>
    <row r="13" spans="2:10" x14ac:dyDescent="0.25">
      <c r="B13" s="125">
        <v>3</v>
      </c>
      <c r="C13" s="125" t="s">
        <v>85</v>
      </c>
      <c r="E13" s="192">
        <v>66680.352219450724</v>
      </c>
      <c r="F13" s="2"/>
      <c r="G13" s="193">
        <v>0</v>
      </c>
      <c r="I13" s="232">
        <f t="shared" si="0"/>
        <v>66680.352219450724</v>
      </c>
      <c r="J13" s="233"/>
    </row>
    <row r="14" spans="2:10" x14ac:dyDescent="0.25">
      <c r="B14" s="126">
        <v>3</v>
      </c>
      <c r="C14" s="126" t="s">
        <v>83</v>
      </c>
      <c r="E14" s="192">
        <v>6625.7280837479811</v>
      </c>
      <c r="F14" s="2"/>
      <c r="G14" s="193">
        <v>6625.7280837479811</v>
      </c>
      <c r="I14" s="232">
        <f t="shared" si="0"/>
        <v>0</v>
      </c>
      <c r="J14" s="233"/>
    </row>
    <row r="15" spans="2:10" x14ac:dyDescent="0.25">
      <c r="B15" s="126">
        <v>3</v>
      </c>
      <c r="C15" s="126" t="s">
        <v>84</v>
      </c>
      <c r="E15" s="192">
        <v>5421.0502503392572</v>
      </c>
      <c r="F15" s="2"/>
      <c r="G15" s="193">
        <v>5421.0502503392572</v>
      </c>
      <c r="I15" s="232">
        <f t="shared" si="0"/>
        <v>0</v>
      </c>
      <c r="J15" s="233"/>
    </row>
    <row r="16" spans="2:10" x14ac:dyDescent="0.25">
      <c r="B16" s="125">
        <v>4</v>
      </c>
      <c r="C16" s="125" t="s">
        <v>82</v>
      </c>
      <c r="E16" s="192">
        <v>5421.0502503392572</v>
      </c>
      <c r="F16" s="2"/>
      <c r="G16" s="193">
        <v>5421.0502503392572</v>
      </c>
      <c r="I16" s="232">
        <f t="shared" si="0"/>
        <v>0</v>
      </c>
      <c r="J16" s="233"/>
    </row>
    <row r="17" spans="2:10" x14ac:dyDescent="0.25">
      <c r="B17" s="126">
        <v>4</v>
      </c>
      <c r="C17" s="126" t="s">
        <v>85</v>
      </c>
      <c r="E17" s="192">
        <v>6625.7280837479811</v>
      </c>
      <c r="F17" s="2"/>
      <c r="G17" s="193">
        <v>6625.7280837479811</v>
      </c>
      <c r="I17" s="232">
        <f t="shared" si="0"/>
        <v>0</v>
      </c>
      <c r="J17" s="233"/>
    </row>
    <row r="18" spans="2:10" x14ac:dyDescent="0.25">
      <c r="B18" s="125">
        <v>4</v>
      </c>
      <c r="C18" s="125" t="s">
        <v>83</v>
      </c>
      <c r="E18" s="192">
        <v>6625.7280837479811</v>
      </c>
      <c r="F18" s="2"/>
      <c r="G18" s="193">
        <v>6625.7280837479811</v>
      </c>
      <c r="I18" s="232">
        <f t="shared" si="0"/>
        <v>0</v>
      </c>
      <c r="J18" s="233"/>
    </row>
    <row r="19" spans="2:10" x14ac:dyDescent="0.25">
      <c r="B19" s="126">
        <v>4</v>
      </c>
      <c r="C19" s="126" t="s">
        <v>84</v>
      </c>
      <c r="E19" s="192">
        <v>5421.0502503392572</v>
      </c>
      <c r="F19" s="2"/>
      <c r="G19" s="193">
        <v>5421.0502503392572</v>
      </c>
      <c r="I19" s="232">
        <f t="shared" si="0"/>
        <v>0</v>
      </c>
      <c r="J19" s="233"/>
    </row>
    <row r="20" spans="2:10" x14ac:dyDescent="0.25">
      <c r="B20" s="125"/>
      <c r="C20" s="125"/>
      <c r="E20" s="125"/>
      <c r="G20" s="128"/>
      <c r="I20" s="232"/>
      <c r="J20" s="233"/>
    </row>
    <row r="21" spans="2:10" x14ac:dyDescent="0.25">
      <c r="B21" s="149" t="s">
        <v>120</v>
      </c>
      <c r="C21" s="149"/>
      <c r="D21" s="150"/>
      <c r="E21" s="151">
        <f>SUM(E5:E20)</f>
        <v>180928.74722197096</v>
      </c>
      <c r="F21" s="152"/>
      <c r="G21" s="151">
        <f>SUM(G5:G20)</f>
        <v>77701.720254862681</v>
      </c>
      <c r="I21" s="232">
        <f>E21-G21</f>
        <v>103227.02696710828</v>
      </c>
      <c r="J21" s="233"/>
    </row>
    <row r="22" spans="2:10" x14ac:dyDescent="0.25">
      <c r="B22" s="125" t="s">
        <v>86</v>
      </c>
      <c r="C22" s="125">
        <v>1</v>
      </c>
      <c r="E22" s="194">
        <v>702.72873615508888</v>
      </c>
      <c r="G22" s="133">
        <f>E22</f>
        <v>702.72873615508888</v>
      </c>
      <c r="I22" s="232">
        <f t="shared" ref="I22" si="1">E22-G22</f>
        <v>0</v>
      </c>
      <c r="J22" s="233"/>
    </row>
    <row r="23" spans="2:10" x14ac:dyDescent="0.25">
      <c r="B23" s="125" t="s">
        <v>86</v>
      </c>
      <c r="C23" s="125">
        <v>2</v>
      </c>
      <c r="E23" s="194">
        <v>602.33891670436185</v>
      </c>
      <c r="G23" s="133">
        <f t="shared" ref="G23:G29" si="2">E23</f>
        <v>602.33891670436185</v>
      </c>
      <c r="I23" s="232">
        <f t="shared" ref="I23:I31" si="3">E23-G23</f>
        <v>0</v>
      </c>
      <c r="J23" s="233"/>
    </row>
    <row r="24" spans="2:10" x14ac:dyDescent="0.25">
      <c r="B24" s="125" t="s">
        <v>86</v>
      </c>
      <c r="C24" s="125">
        <v>3</v>
      </c>
      <c r="E24" s="194">
        <v>602.33891670436185</v>
      </c>
      <c r="G24" s="133">
        <f t="shared" si="2"/>
        <v>602.33891670436185</v>
      </c>
      <c r="I24" s="232">
        <f t="shared" si="3"/>
        <v>0</v>
      </c>
      <c r="J24" s="233"/>
    </row>
    <row r="25" spans="2:10" x14ac:dyDescent="0.25">
      <c r="B25" s="125" t="s">
        <v>86</v>
      </c>
      <c r="C25" s="125">
        <v>4</v>
      </c>
      <c r="E25" s="194">
        <v>602.33891670436185</v>
      </c>
      <c r="G25" s="133">
        <f t="shared" si="2"/>
        <v>602.33891670436185</v>
      </c>
      <c r="I25" s="232">
        <f t="shared" si="3"/>
        <v>0</v>
      </c>
      <c r="J25" s="233"/>
    </row>
    <row r="26" spans="2:10" x14ac:dyDescent="0.25">
      <c r="B26" s="125" t="s">
        <v>86</v>
      </c>
      <c r="C26" s="125">
        <v>5</v>
      </c>
      <c r="E26" s="194">
        <v>602.33891670436185</v>
      </c>
      <c r="G26" s="133">
        <f t="shared" si="2"/>
        <v>602.33891670436185</v>
      </c>
      <c r="I26" s="232">
        <f t="shared" si="3"/>
        <v>0</v>
      </c>
      <c r="J26" s="233"/>
    </row>
    <row r="27" spans="2:10" x14ac:dyDescent="0.25">
      <c r="B27" s="125" t="s">
        <v>86</v>
      </c>
      <c r="C27" s="125">
        <v>6</v>
      </c>
      <c r="E27" s="194">
        <v>301.16945835218092</v>
      </c>
      <c r="G27" s="133">
        <f t="shared" si="2"/>
        <v>301.16945835218092</v>
      </c>
      <c r="I27" s="232">
        <f t="shared" si="3"/>
        <v>0</v>
      </c>
      <c r="J27" s="233"/>
    </row>
    <row r="28" spans="2:10" x14ac:dyDescent="0.25">
      <c r="B28" s="125" t="s">
        <v>86</v>
      </c>
      <c r="C28" s="125">
        <v>7</v>
      </c>
      <c r="E28" s="194">
        <v>301.16945835218092</v>
      </c>
      <c r="G28" s="133">
        <f t="shared" si="2"/>
        <v>301.16945835218092</v>
      </c>
      <c r="I28" s="232">
        <f t="shared" si="3"/>
        <v>0</v>
      </c>
      <c r="J28" s="233"/>
    </row>
    <row r="29" spans="2:10" x14ac:dyDescent="0.25">
      <c r="B29" s="125" t="s">
        <v>86</v>
      </c>
      <c r="C29" s="125">
        <v>8</v>
      </c>
      <c r="E29" s="194">
        <v>301.16945835218092</v>
      </c>
      <c r="G29" s="133">
        <f t="shared" si="2"/>
        <v>301.16945835218092</v>
      </c>
      <c r="I29" s="232">
        <f t="shared" si="3"/>
        <v>0</v>
      </c>
      <c r="J29" s="233"/>
    </row>
    <row r="30" spans="2:10" x14ac:dyDescent="0.25">
      <c r="B30" s="154" t="s">
        <v>120</v>
      </c>
      <c r="C30" s="155"/>
      <c r="D30" s="153"/>
      <c r="E30" s="151">
        <f>SUM(E22:E29)</f>
        <v>4015.592778029079</v>
      </c>
      <c r="F30" s="153"/>
      <c r="G30" s="151">
        <f>SUM(G22:G29)</f>
        <v>4015.592778029079</v>
      </c>
      <c r="I30" s="232">
        <f t="shared" si="3"/>
        <v>0</v>
      </c>
      <c r="J30" s="233"/>
    </row>
    <row r="31" spans="2:10" x14ac:dyDescent="0.25">
      <c r="E31" s="132"/>
      <c r="G31" s="129"/>
      <c r="I31" s="232">
        <f t="shared" si="3"/>
        <v>0</v>
      </c>
      <c r="J31" s="233"/>
    </row>
    <row r="32" spans="2:10" x14ac:dyDescent="0.25">
      <c r="E32" s="130"/>
      <c r="G32" s="131"/>
      <c r="I32" s="232"/>
      <c r="J32" s="233"/>
    </row>
    <row r="33" spans="5:10" x14ac:dyDescent="0.25">
      <c r="E33" s="132">
        <f>E30+E21</f>
        <v>184944.34000000003</v>
      </c>
      <c r="G33" s="129">
        <f>G21+G30</f>
        <v>81717.313032891761</v>
      </c>
      <c r="I33" s="232">
        <f>E33-G33</f>
        <v>103227.02696710826</v>
      </c>
      <c r="J33" s="233"/>
    </row>
  </sheetData>
  <mergeCells count="31"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2026-05-04T15:11:15Z</cp:lastPrinted>
  <dcterms:created xsi:type="dcterms:W3CDTF">2023-09-17T12:29:07Z</dcterms:created>
  <dcterms:modified xsi:type="dcterms:W3CDTF">2026-05-31T17:41:57Z</dcterms:modified>
</cp:coreProperties>
</file>