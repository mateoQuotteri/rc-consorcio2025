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6\SALTA 1167\ENERO\"/>
    </mc:Choice>
  </mc:AlternateContent>
  <xr:revisionPtr revIDLastSave="0" documentId="13_ncr:1_{109F7098-0678-457B-B445-2750C577F4C3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  <sheet name="Hoja1" sheetId="4" r:id="rId3"/>
    <sheet name="EDESUR" sheetId="3" r:id="rId4"/>
  </sheets>
  <definedNames>
    <definedName name="_xlnm.Print_Area" localSheetId="3">EDESUR!$B$3:$J$35</definedName>
    <definedName name="_xlnm.Print_Area" localSheetId="1">PRORRATEO!$A$1:$P$44</definedName>
    <definedName name="_xlnm.Print_Area" localSheetId="0">RESUMEN!$A$1:$E$93</definedName>
  </definedNames>
  <calcPr calcId="181029"/>
</workbook>
</file>

<file path=xl/calcChain.xml><?xml version="1.0" encoding="utf-8"?>
<calcChain xmlns="http://schemas.openxmlformats.org/spreadsheetml/2006/main">
  <c r="E48" i="1" l="1"/>
  <c r="E34" i="1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13" i="2"/>
  <c r="M29" i="2"/>
  <c r="M30" i="2"/>
  <c r="M31" i="2"/>
  <c r="M32" i="2"/>
  <c r="M33" i="2"/>
  <c r="M34" i="2"/>
  <c r="M35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4" i="2"/>
  <c r="M15" i="2"/>
  <c r="M13" i="2"/>
  <c r="G20" i="2"/>
  <c r="G14" i="2"/>
  <c r="G30" i="2"/>
  <c r="G26" i="2" l="1"/>
  <c r="I30" i="4" l="1"/>
  <c r="K29" i="4"/>
  <c r="K28" i="4"/>
  <c r="M28" i="4" s="1"/>
  <c r="O28" i="4" s="1"/>
  <c r="M27" i="4"/>
  <c r="O27" i="4" s="1"/>
  <c r="K27" i="4"/>
  <c r="K26" i="4"/>
  <c r="K25" i="4"/>
  <c r="K24" i="4"/>
  <c r="M24" i="4" s="1"/>
  <c r="O24" i="4" s="1"/>
  <c r="M23" i="4"/>
  <c r="O23" i="4" s="1"/>
  <c r="K23" i="4"/>
  <c r="K22" i="4"/>
  <c r="I20" i="4"/>
  <c r="I32" i="4" s="1"/>
  <c r="F20" i="4"/>
  <c r="D20" i="4"/>
  <c r="M18" i="4"/>
  <c r="K18" i="4"/>
  <c r="O18" i="4" s="1"/>
  <c r="K17" i="4"/>
  <c r="K16" i="4"/>
  <c r="M16" i="4" s="1"/>
  <c r="O16" i="4" s="1"/>
  <c r="K15" i="4"/>
  <c r="M15" i="4" s="1"/>
  <c r="O15" i="4" s="1"/>
  <c r="M14" i="4"/>
  <c r="K14" i="4"/>
  <c r="O14" i="4" s="1"/>
  <c r="K13" i="4"/>
  <c r="M12" i="4"/>
  <c r="O12" i="4" s="1"/>
  <c r="K12" i="4"/>
  <c r="K11" i="4"/>
  <c r="M11" i="4" s="1"/>
  <c r="O11" i="4" s="1"/>
  <c r="M10" i="4"/>
  <c r="K10" i="4"/>
  <c r="O10" i="4" s="1"/>
  <c r="K9" i="4"/>
  <c r="O8" i="4"/>
  <c r="M8" i="4"/>
  <c r="K8" i="4"/>
  <c r="O7" i="4"/>
  <c r="M7" i="4"/>
  <c r="K7" i="4"/>
  <c r="M6" i="4"/>
  <c r="K6" i="4"/>
  <c r="O6" i="4" s="1"/>
  <c r="O5" i="4"/>
  <c r="K5" i="4"/>
  <c r="K4" i="4"/>
  <c r="M4" i="4" s="1"/>
  <c r="O4" i="4" l="1"/>
  <c r="O26" i="4"/>
  <c r="O13" i="4"/>
  <c r="M9" i="4"/>
  <c r="M20" i="4" s="1"/>
  <c r="M13" i="4"/>
  <c r="M17" i="4"/>
  <c r="O17" i="4" s="1"/>
  <c r="K20" i="4"/>
  <c r="M22" i="4"/>
  <c r="O22" i="4" s="1"/>
  <c r="O30" i="4" s="1"/>
  <c r="M26" i="4"/>
  <c r="K30" i="4"/>
  <c r="M25" i="4"/>
  <c r="O25" i="4" s="1"/>
  <c r="M29" i="4"/>
  <c r="O29" i="4" s="1"/>
  <c r="O20" i="4" l="1"/>
  <c r="O32" i="4" s="1"/>
  <c r="M30" i="4"/>
  <c r="M32" i="4" s="1"/>
  <c r="K32" i="4"/>
  <c r="O9" i="4"/>
  <c r="E24" i="1"/>
  <c r="E27" i="1"/>
  <c r="G23" i="3" l="1"/>
  <c r="G24" i="3"/>
  <c r="G25" i="3"/>
  <c r="G26" i="3"/>
  <c r="G27" i="3"/>
  <c r="G28" i="3"/>
  <c r="G29" i="3"/>
  <c r="G22" i="3"/>
  <c r="E30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5" i="3"/>
  <c r="E21" i="3"/>
  <c r="E38" i="1"/>
  <c r="G32" i="2"/>
  <c r="G16" i="2" s="1"/>
  <c r="G22" i="2"/>
  <c r="G33" i="2"/>
  <c r="G21" i="2"/>
  <c r="B81" i="1" l="1"/>
  <c r="E33" i="3"/>
  <c r="G30" i="3"/>
  <c r="I30" i="3" s="1"/>
  <c r="G21" i="3"/>
  <c r="I21" i="3" s="1"/>
  <c r="J29" i="2" s="1"/>
  <c r="G24" i="2"/>
  <c r="G17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13" i="2"/>
  <c r="L13" i="2"/>
  <c r="G34" i="2"/>
  <c r="G23" i="2" s="1"/>
  <c r="G35" i="2"/>
  <c r="G15" i="2"/>
  <c r="G29" i="2"/>
  <c r="G13" i="2" s="1"/>
  <c r="G28" i="2"/>
  <c r="G18" i="2"/>
  <c r="E42" i="1"/>
  <c r="I22" i="3"/>
  <c r="J30" i="2" s="1"/>
  <c r="J15" i="2"/>
  <c r="J18" i="2"/>
  <c r="I23" i="3"/>
  <c r="J31" i="2" s="1"/>
  <c r="I24" i="3"/>
  <c r="J32" i="2" s="1"/>
  <c r="I25" i="3"/>
  <c r="J33" i="2" s="1"/>
  <c r="I26" i="3"/>
  <c r="J34" i="2" s="1"/>
  <c r="I27" i="3"/>
  <c r="J35" i="2" s="1"/>
  <c r="I28" i="3"/>
  <c r="I29" i="3"/>
  <c r="I6" i="3"/>
  <c r="J14" i="2" s="1"/>
  <c r="I7" i="3"/>
  <c r="I8" i="3"/>
  <c r="J16" i="2" s="1"/>
  <c r="I9" i="3"/>
  <c r="J17" i="2" s="1"/>
  <c r="I10" i="3"/>
  <c r="I11" i="3"/>
  <c r="J19" i="2" s="1"/>
  <c r="I12" i="3"/>
  <c r="J20" i="2" s="1"/>
  <c r="I13" i="3"/>
  <c r="J21" i="2" s="1"/>
  <c r="I14" i="3"/>
  <c r="J22" i="2" s="1"/>
  <c r="I15" i="3"/>
  <c r="J23" i="2" s="1"/>
  <c r="I16" i="3"/>
  <c r="J24" i="2" s="1"/>
  <c r="I17" i="3"/>
  <c r="J25" i="2" s="1"/>
  <c r="I18" i="3"/>
  <c r="J26" i="2" s="1"/>
  <c r="I19" i="3"/>
  <c r="J27" i="2" s="1"/>
  <c r="I5" i="3"/>
  <c r="J13" i="2" s="1"/>
  <c r="I31" i="3"/>
  <c r="G33" i="3" l="1"/>
  <c r="I33" i="3" s="1"/>
  <c r="J28" i="2"/>
  <c r="L31" i="2" l="1"/>
  <c r="L32" i="2"/>
  <c r="L33" i="2"/>
  <c r="L34" i="2"/>
  <c r="L35" i="2"/>
  <c r="H31" i="2"/>
  <c r="I31" i="2" s="1"/>
  <c r="H32" i="2"/>
  <c r="I32" i="2" s="1"/>
  <c r="H33" i="2"/>
  <c r="I33" i="2" s="1"/>
  <c r="H34" i="2"/>
  <c r="I34" i="2" s="1"/>
  <c r="H35" i="2"/>
  <c r="I35" i="2" s="1"/>
  <c r="E36" i="2"/>
  <c r="E46" i="1" l="1"/>
  <c r="E50" i="1" l="1"/>
  <c r="G27" i="2"/>
  <c r="L14" i="2" l="1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C39" i="2" l="1"/>
  <c r="H24" i="2" l="1"/>
  <c r="E58" i="1" l="1"/>
  <c r="E63" i="1" s="1"/>
  <c r="B67" i="1" s="1"/>
  <c r="B80" i="1" l="1"/>
  <c r="B84" i="1" s="1"/>
  <c r="B92" i="1"/>
  <c r="B73" i="1" l="1"/>
  <c r="H27" i="2" l="1"/>
  <c r="N12" i="2" l="1"/>
  <c r="Q14" i="2" l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P31" i="2" l="1"/>
  <c r="Q32" i="2"/>
  <c r="G36" i="2"/>
  <c r="B74" i="1" s="1"/>
  <c r="F36" i="2"/>
  <c r="Q33" i="2" l="1"/>
  <c r="P32" i="2"/>
  <c r="H14" i="2"/>
  <c r="H15" i="2"/>
  <c r="H16" i="2"/>
  <c r="H17" i="2"/>
  <c r="H18" i="2"/>
  <c r="H19" i="2"/>
  <c r="H20" i="2"/>
  <c r="H21" i="2"/>
  <c r="H22" i="2"/>
  <c r="H23" i="2"/>
  <c r="H25" i="2"/>
  <c r="H26" i="2"/>
  <c r="H28" i="2"/>
  <c r="H29" i="2"/>
  <c r="H30" i="2"/>
  <c r="H13" i="2"/>
  <c r="Q34" i="2" l="1"/>
  <c r="P33" i="2"/>
  <c r="B68" i="1"/>
  <c r="H36" i="2"/>
  <c r="I30" i="2"/>
  <c r="I18" i="2"/>
  <c r="I29" i="2"/>
  <c r="I25" i="2"/>
  <c r="I21" i="2"/>
  <c r="I17" i="2"/>
  <c r="I26" i="2"/>
  <c r="I14" i="2"/>
  <c r="I28" i="2"/>
  <c r="I24" i="2"/>
  <c r="I20" i="2"/>
  <c r="I16" i="2"/>
  <c r="I22" i="2"/>
  <c r="I27" i="2"/>
  <c r="I23" i="2"/>
  <c r="I19" i="2"/>
  <c r="I15" i="2"/>
  <c r="I13" i="2"/>
  <c r="J36" i="2"/>
  <c r="Q35" i="2" l="1"/>
  <c r="P35" i="2" s="1"/>
  <c r="P34" i="2"/>
  <c r="I36" i="2"/>
  <c r="N36" i="2" l="1"/>
  <c r="P30" i="2"/>
  <c r="P26" i="2"/>
  <c r="P22" i="2"/>
  <c r="P18" i="2"/>
  <c r="P14" i="2"/>
  <c r="P13" i="2"/>
  <c r="P29" i="2"/>
  <c r="P25" i="2"/>
  <c r="P21" i="2"/>
  <c r="P17" i="2"/>
  <c r="P28" i="2"/>
  <c r="P24" i="2"/>
  <c r="P20" i="2"/>
  <c r="P16" i="2"/>
  <c r="P27" i="2"/>
  <c r="P23" i="2"/>
  <c r="P19" i="2"/>
  <c r="P15" i="2"/>
  <c r="O21" i="2"/>
  <c r="O28" i="2"/>
  <c r="O24" i="2"/>
  <c r="O20" i="2"/>
  <c r="O16" i="2"/>
  <c r="O13" i="2"/>
  <c r="O25" i="2"/>
  <c r="O27" i="2"/>
  <c r="O23" i="2"/>
  <c r="O19" i="2"/>
  <c r="O15" i="2"/>
  <c r="O29" i="2"/>
  <c r="O17" i="2"/>
  <c r="O30" i="2"/>
  <c r="O26" i="2"/>
  <c r="O22" i="2"/>
  <c r="O18" i="2"/>
  <c r="O14" i="2"/>
  <c r="K36" i="2"/>
  <c r="P36" i="2" l="1"/>
  <c r="B66" i="1"/>
  <c r="B72" i="1" s="1"/>
  <c r="B77" i="1" s="1"/>
  <c r="B65" i="1" l="1"/>
  <c r="L36" i="2" l="1"/>
  <c r="O36" i="2" l="1"/>
</calcChain>
</file>

<file path=xl/sharedStrings.xml><?xml version="1.0" encoding="utf-8"?>
<sst xmlns="http://schemas.openxmlformats.org/spreadsheetml/2006/main" count="220" uniqueCount="150">
  <si>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</si>
  <si>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</si>
  <si>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</si>
  <si>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</si>
  <si>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</si>
  <si>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</si>
  <si>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</si>
  <si>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</si>
  <si>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</si>
  <si>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</si>
  <si>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</si>
  <si>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</si>
  <si>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</si>
  <si>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</si>
  <si>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</si>
  <si>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</si>
  <si>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</si>
  <si>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</si>
  <si>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</si>
  <si>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</si>
  <si>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</si>
  <si>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</si>
  <si>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</si>
  <si>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</si>
  <si>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</si>
  <si>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</si>
  <si>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CONSORCIO DE PROPIETARIOS DEL EDIFICIO CALLE YRIGOYEN 9730</t>
  </si>
  <si>
    <t>Pagos sin identificar</t>
  </si>
  <si>
    <t>Mantenimiento de cuenta</t>
  </si>
  <si>
    <t>Honorarios administracion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</si>
  <si>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</si>
  <si>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</si>
  <si>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</si>
  <si>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</si>
  <si>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</si>
  <si>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</si>
  <si>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</si>
  <si>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</si>
  <si>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</si>
  <si>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</si>
  <si>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</si>
  <si>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</si>
  <si>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</si>
  <si>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</si>
  <si>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</si>
  <si>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</si>
  <si>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</si>
  <si>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</si>
  <si>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</si>
  <si>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</si>
  <si>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</si>
  <si>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</si>
  <si>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</si>
  <si>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</si>
  <si>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</si>
  <si>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</si>
  <si>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</si>
  <si>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</si>
  <si>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</si>
  <si>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</si>
  <si>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</si>
  <si>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</si>
  <si>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</si>
  <si>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</si>
  <si>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</si>
  <si>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</si>
  <si>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</si>
  <si>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</si>
  <si>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</si>
  <si>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</si>
  <si>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</si>
  <si>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</si>
  <si>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</si>
  <si>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Cristian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</si>
  <si>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</si>
  <si>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</si>
  <si>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</si>
  <si>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</si>
  <si>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</si>
  <si>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</si>
  <si>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</si>
  <si>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</si>
  <si>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</si>
  <si>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</si>
  <si>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</si>
  <si>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</si>
  <si>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</si>
  <si>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</si>
  <si>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</si>
  <si>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</si>
  <si>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</si>
  <si>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</si>
  <si>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</si>
  <si>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</si>
  <si>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</si>
  <si>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</si>
  <si>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</si>
  <si>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</si>
  <si>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</si>
  <si>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</si>
  <si>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</si>
  <si>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</si>
  <si>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</si>
  <si>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</si>
  <si>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</si>
  <si>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</si>
  <si>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</si>
  <si>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</si>
  <si>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</si>
  <si>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</si>
  <si>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</si>
  <si>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</si>
  <si>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</si>
  <si>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</si>
  <si>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</si>
  <si>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</si>
  <si>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</si>
  <si>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</si>
  <si>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</si>
  <si>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</si>
  <si>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</si>
  <si>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</si>
  <si>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</si>
  <si>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</si>
  <si>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Totales</t>
  </si>
  <si>
    <t>Bonificado x EDESUR Noviembre</t>
  </si>
  <si>
    <t>Sr. Hector Piletero</t>
  </si>
  <si>
    <t>Federacion patronal  Seguro obligatorio de consorcio - Poliza nro. 1-2249124-0</t>
  </si>
  <si>
    <t>VTO 16/02</t>
  </si>
  <si>
    <t>PERÍODO: ENERO</t>
  </si>
  <si>
    <t>Transf 08/01</t>
  </si>
  <si>
    <t>Consumos PARTICULARES</t>
  </si>
  <si>
    <t>Consumos GENERALES</t>
  </si>
  <si>
    <t>Bonificado x EDESUR</t>
  </si>
  <si>
    <t>Consumo Kw</t>
  </si>
  <si>
    <t>% Consumido</t>
  </si>
  <si>
    <t xml:space="preserve">Consumo x Dep </t>
  </si>
  <si>
    <t>Porcentaje</t>
  </si>
  <si>
    <t>Cons Esp Com</t>
  </si>
  <si>
    <t>Cons Coch</t>
  </si>
  <si>
    <t>TOTAL FACT EDESUR</t>
  </si>
  <si>
    <t>Bonificacion apertura de cuenta bancaria</t>
  </si>
  <si>
    <t>Debito 06/01</t>
  </si>
  <si>
    <t>Transf 07/01</t>
  </si>
  <si>
    <t>Transf 26/01</t>
  </si>
  <si>
    <t>Ef.</t>
  </si>
  <si>
    <t>Subidos en en3r0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</si>
  <si>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</si>
  <si>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</si>
  <si>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A transferir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</si>
</sst>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3" fillId="0" borderId="1" xfId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44" fontId="5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5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5" fillId="4" borderId="13" xfId="1" applyFont="1" applyFill="1" applyBorder="1"/>
    <xf numFmtId="44" fontId="3" fillId="2" borderId="3" xfId="1" applyFont="1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5" fillId="4" borderId="3" xfId="1" applyFont="1" applyFill="1" applyBorder="1"/>
    <xf numFmtId="8" fontId="5" fillId="4" borderId="1" xfId="1" applyNumberFormat="1" applyFont="1" applyFill="1" applyBorder="1"/>
    <xf numFmtId="44" fontId="9" fillId="4" borderId="1" xfId="1" applyFont="1" applyFill="1" applyBorder="1"/>
    <xf numFmtId="44" fontId="9" fillId="8" borderId="1" xfId="1" applyFont="1" applyFill="1" applyBorder="1"/>
    <xf numFmtId="44" fontId="3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8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center"/>
    </xf>
    <xf numFmtId="44" fontId="17" fillId="12" borderId="1" xfId="1" applyFont="1" applyFill="1" applyBorder="1"/>
    <xf numFmtId="165" fontId="13" fillId="12" borderId="1" xfId="0" applyNumberFormat="1" applyFont="1" applyFill="1" applyBorder="1"/>
    <xf numFmtId="44" fontId="13" fillId="12" borderId="1" xfId="1" applyFont="1" applyFill="1" applyBorder="1"/>
    <xf numFmtId="165" fontId="13" fillId="12" borderId="6" xfId="1" applyNumberFormat="1" applyFont="1" applyFill="1" applyBorder="1"/>
    <xf numFmtId="44" fontId="17" fillId="12" borderId="6" xfId="1" applyFont="1" applyFill="1" applyBorder="1"/>
    <xf numFmtId="44" fontId="17" fillId="12" borderId="28" xfId="1" applyFont="1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164" fontId="6" fillId="9" borderId="1" xfId="0" applyNumberFormat="1" applyFont="1" applyFill="1" applyBorder="1" applyAlignment="1">
      <alignment horizontal="center"/>
    </xf>
    <xf numFmtId="0" fontId="4" fillId="9" borderId="0" xfId="0" applyFont="1" applyFill="1"/>
    <xf numFmtId="0" fontId="6" fillId="9" borderId="0" xfId="0" applyFont="1" applyFill="1"/>
    <xf numFmtId="0" fontId="4" fillId="9" borderId="1" xfId="0" applyFont="1" applyFill="1" applyBorder="1"/>
    <xf numFmtId="0" fontId="6" fillId="9" borderId="1" xfId="0" applyFont="1" applyFill="1" applyBorder="1"/>
    <xf numFmtId="0" fontId="23" fillId="0" borderId="1" xfId="0" applyFont="1" applyBorder="1" applyAlignment="1">
      <alignment horizontal="center" wrapText="1"/>
    </xf>
    <xf numFmtId="44" fontId="17" fillId="2" borderId="2" xfId="1" applyFont="1" applyFill="1" applyBorder="1"/>
    <xf numFmtId="44" fontId="4" fillId="2" borderId="1" xfId="1" applyFont="1" applyFill="1" applyBorder="1" applyAlignment="1"/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24" fillId="0" borderId="1" xfId="2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7" fontId="1" fillId="0" borderId="1" xfId="2" applyNumberFormat="1" applyFont="1" applyBorder="1" applyAlignment="1">
      <alignment horizontal="center"/>
    </xf>
    <xf numFmtId="164" fontId="2" fillId="0" borderId="1" xfId="2" applyFont="1" applyBorder="1" applyAlignment="1">
      <alignment horizontal="center"/>
    </xf>
    <xf numFmtId="164" fontId="24" fillId="0" borderId="1" xfId="0" applyNumberFormat="1" applyFont="1" applyBorder="1"/>
    <xf numFmtId="9" fontId="0" fillId="0" borderId="1" xfId="0" applyNumberFormat="1" applyBorder="1"/>
    <xf numFmtId="0" fontId="2" fillId="0" borderId="0" xfId="0" applyFont="1" applyAlignment="1">
      <alignment horizontal="center"/>
    </xf>
    <xf numFmtId="164" fontId="23" fillId="0" borderId="1" xfId="2" applyFont="1" applyBorder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4" fontId="27" fillId="0" borderId="1" xfId="0" applyNumberFormat="1" applyFont="1" applyBorder="1"/>
    <xf numFmtId="0" fontId="13" fillId="12" borderId="1" xfId="0" applyFont="1" applyFill="1" applyBorder="1" applyAlignment="1">
      <alignment wrapText="1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44" fontId="13" fillId="2" borderId="1" xfId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165" fontId="13" fillId="4" borderId="21" xfId="0" applyNumberFormat="1" applyFont="1" applyFill="1" applyBorder="1"/>
    <xf numFmtId="44" fontId="17" fillId="0" borderId="7" xfId="1" applyFont="1" applyBorder="1"/>
    <xf numFmtId="44" fontId="17" fillId="12" borderId="7" xfId="1" applyFont="1" applyFill="1" applyBorder="1"/>
    <xf numFmtId="165" fontId="13" fillId="0" borderId="1" xfId="1" applyNumberFormat="1" applyFont="1" applyBorder="1"/>
    <xf numFmtId="165" fontId="13" fillId="12" borderId="1" xfId="1" applyNumberFormat="1" applyFont="1" applyFill="1" applyBorder="1"/>
    <xf numFmtId="44" fontId="12" fillId="8" borderId="1" xfId="1" applyFont="1" applyFill="1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topLeftCell="A35" workbookViewId="0">
      <selection activeCell="E48" sqref="E48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3"/>
      <c r="B1" s="51" t="s">
        <v>78</v>
      </c>
      <c r="C1" s="51"/>
      <c r="D1" s="51"/>
      <c r="E1" s="52"/>
    </row>
    <row r="2" spans="1:5" x14ac:dyDescent="0.25">
      <c r="A2" s="14"/>
      <c r="B2" s="53" t="s">
        <v>14</v>
      </c>
      <c r="C2" s="53"/>
      <c r="D2" s="53"/>
      <c r="E2" s="54"/>
    </row>
    <row r="3" spans="1:5" ht="70.5" customHeight="1" thickBot="1" x14ac:dyDescent="0.3">
      <c r="A3" s="14"/>
      <c r="B3" s="220" t="s">
        <v>80</v>
      </c>
      <c r="C3" s="220"/>
      <c r="D3" s="220"/>
      <c r="E3" s="221"/>
    </row>
    <row r="4" spans="1:5" ht="15.75" thickBot="1" x14ac:dyDescent="0.3">
      <c r="A4" s="17" t="s">
        <v>0</v>
      </c>
      <c r="B4" s="70" t="s">
        <v>22</v>
      </c>
      <c r="C4" s="18"/>
      <c r="D4" s="18"/>
      <c r="E4" s="19"/>
    </row>
    <row r="5" spans="1:5" ht="15.75" thickBot="1" x14ac:dyDescent="0.3">
      <c r="A5" s="14" t="s">
        <v>79</v>
      </c>
      <c r="B5" s="18" t="s">
        <v>129</v>
      </c>
      <c r="C5" s="15"/>
      <c r="D5" s="53" t="s">
        <v>15</v>
      </c>
      <c r="E5" s="16"/>
    </row>
    <row r="6" spans="1:5" ht="15.75" thickBot="1" x14ac:dyDescent="0.3">
      <c r="A6" s="17" t="s">
        <v>26</v>
      </c>
      <c r="B6" s="18"/>
      <c r="C6" s="18"/>
      <c r="D6" s="18" t="s">
        <v>16</v>
      </c>
      <c r="E6" s="19"/>
    </row>
    <row r="8" spans="1:5" x14ac:dyDescent="0.25">
      <c r="B8" s="223" t="s">
        <v>128</v>
      </c>
      <c r="C8" s="223"/>
    </row>
    <row r="9" spans="1:5" x14ac:dyDescent="0.25">
      <c r="B9" s="223"/>
      <c r="C9" s="223"/>
    </row>
    <row r="10" spans="1:5" x14ac:dyDescent="0.25">
      <c r="B10" s="223"/>
      <c r="C10" s="223"/>
    </row>
    <row r="12" spans="1:5" hidden="1" x14ac:dyDescent="0.25"/>
    <row r="13" spans="1:5" ht="15" customHeight="1" x14ac:dyDescent="0.25">
      <c r="A13" s="222" t="s">
        <v>105</v>
      </c>
      <c r="B13" s="222"/>
      <c r="C13" s="222"/>
      <c r="D13" s="222"/>
      <c r="E13" s="222"/>
    </row>
    <row r="14" spans="1:5" ht="15" customHeight="1" x14ac:dyDescent="0.25">
      <c r="A14" s="222"/>
      <c r="B14" s="222"/>
      <c r="C14" s="222"/>
      <c r="D14" s="222"/>
      <c r="E14" s="222"/>
    </row>
    <row r="15" spans="1:5" ht="15" customHeight="1" x14ac:dyDescent="0.25">
      <c r="A15" s="222"/>
      <c r="B15" s="222"/>
      <c r="C15" s="222"/>
      <c r="D15" s="222"/>
      <c r="E15" s="222"/>
    </row>
    <row r="16" spans="1:5" ht="53.25" customHeight="1" x14ac:dyDescent="0.25">
      <c r="A16" s="222"/>
      <c r="B16" s="222"/>
      <c r="C16" s="222"/>
      <c r="D16" s="222"/>
      <c r="E16" s="222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9" t="s">
        <v>108</v>
      </c>
      <c r="B20" s="10"/>
      <c r="C20" s="11"/>
      <c r="D20" s="7"/>
      <c r="E20" s="12"/>
    </row>
    <row r="21" spans="1:8" x14ac:dyDescent="0.25">
      <c r="A21" s="25" t="s">
        <v>81</v>
      </c>
      <c r="B21" s="25"/>
      <c r="C21" s="25"/>
      <c r="D21" s="117"/>
      <c r="E21" s="102"/>
    </row>
    <row r="22" spans="1:8" ht="15" customHeight="1" x14ac:dyDescent="0.25">
      <c r="A22" s="218" t="s">
        <v>119</v>
      </c>
      <c r="B22" s="219"/>
      <c r="C22" s="39"/>
      <c r="D22" s="118">
        <v>465000.72</v>
      </c>
      <c r="E22" s="111" t="s">
        <v>130</v>
      </c>
      <c r="H22" s="91"/>
    </row>
    <row r="23" spans="1:8" ht="15" customHeight="1" x14ac:dyDescent="0.25">
      <c r="A23" s="218"/>
      <c r="B23" s="219"/>
      <c r="C23" s="39"/>
      <c r="D23" s="118"/>
      <c r="E23" s="111"/>
      <c r="H23" s="91"/>
    </row>
    <row r="24" spans="1:8" x14ac:dyDescent="0.25">
      <c r="A24" s="21" t="s">
        <v>9</v>
      </c>
      <c r="B24" s="21"/>
      <c r="C24" s="21"/>
      <c r="D24" s="119"/>
      <c r="E24" s="132">
        <f>SUM(D22:D23)</f>
        <v>465000.72</v>
      </c>
    </row>
    <row r="25" spans="1:8" x14ac:dyDescent="0.25">
      <c r="A25" s="25" t="s">
        <v>18</v>
      </c>
      <c r="B25" s="21"/>
      <c r="C25" s="21"/>
      <c r="D25" s="120"/>
      <c r="E25" s="131"/>
    </row>
    <row r="26" spans="1:8" ht="30" customHeight="1" x14ac:dyDescent="0.25">
      <c r="A26" s="218" t="s">
        <v>127</v>
      </c>
      <c r="B26" s="219"/>
      <c r="C26" s="41"/>
      <c r="D26" s="182">
        <v>74584</v>
      </c>
      <c r="E26" s="104" t="s">
        <v>142</v>
      </c>
    </row>
    <row r="27" spans="1:8" x14ac:dyDescent="0.25">
      <c r="A27" s="21" t="s">
        <v>1</v>
      </c>
      <c r="B27" s="21"/>
      <c r="C27" s="21"/>
      <c r="D27" s="119"/>
      <c r="E27" s="103">
        <f>SUM(D26:D26)</f>
        <v>74584</v>
      </c>
    </row>
    <row r="28" spans="1:8" x14ac:dyDescent="0.25">
      <c r="A28" s="25" t="s">
        <v>10</v>
      </c>
      <c r="B28" s="106"/>
      <c r="C28" s="106"/>
      <c r="D28" s="121"/>
      <c r="E28" s="107"/>
    </row>
    <row r="29" spans="1:8" ht="14.25" customHeight="1" x14ac:dyDescent="0.25">
      <c r="A29" s="5" t="s">
        <v>70</v>
      </c>
      <c r="B29" s="5"/>
      <c r="C29" s="5"/>
      <c r="D29" s="112">
        <v>0</v>
      </c>
      <c r="E29" s="111"/>
    </row>
    <row r="30" spans="1:8" x14ac:dyDescent="0.25">
      <c r="A30" s="5" t="s">
        <v>69</v>
      </c>
      <c r="B30" s="5"/>
      <c r="C30" s="5"/>
      <c r="D30" s="112">
        <v>5760.77</v>
      </c>
      <c r="E30" s="111" t="s">
        <v>143</v>
      </c>
    </row>
    <row r="31" spans="1:8" x14ac:dyDescent="0.25">
      <c r="A31" s="5" t="s">
        <v>69</v>
      </c>
      <c r="B31" s="128"/>
      <c r="C31" s="5"/>
      <c r="D31" s="112">
        <v>275296.83</v>
      </c>
      <c r="E31" s="111" t="s">
        <v>143</v>
      </c>
    </row>
    <row r="32" spans="1:8" x14ac:dyDescent="0.25">
      <c r="A32" s="216" t="s">
        <v>71</v>
      </c>
      <c r="B32" s="217"/>
      <c r="C32" s="5"/>
      <c r="D32" s="112">
        <v>358176.46</v>
      </c>
      <c r="E32" s="111" t="s">
        <v>143</v>
      </c>
    </row>
    <row r="33" spans="1:7" x14ac:dyDescent="0.25">
      <c r="A33" s="114" t="s">
        <v>82</v>
      </c>
      <c r="B33" s="110"/>
      <c r="C33" s="5"/>
      <c r="D33" s="112">
        <v>22064.59</v>
      </c>
      <c r="E33" s="111" t="s">
        <v>143</v>
      </c>
    </row>
    <row r="34" spans="1:7" ht="15.75" thickBot="1" x14ac:dyDescent="0.3">
      <c r="A34" s="21" t="s">
        <v>2</v>
      </c>
      <c r="B34" s="21"/>
      <c r="C34" s="21"/>
      <c r="D34" s="122"/>
      <c r="E34" s="105">
        <f>SUM(D29:D33)</f>
        <v>661298.65</v>
      </c>
    </row>
    <row r="35" spans="1:7" ht="15" customHeight="1" thickBot="1" x14ac:dyDescent="0.3">
      <c r="A35" s="25"/>
      <c r="B35" s="21"/>
      <c r="C35" s="21"/>
      <c r="D35" s="119"/>
      <c r="E35" s="108"/>
    </row>
    <row r="36" spans="1:7" ht="33" customHeight="1" x14ac:dyDescent="0.25">
      <c r="A36" s="218" t="s">
        <v>121</v>
      </c>
      <c r="B36" s="219"/>
      <c r="C36" s="5"/>
      <c r="D36" s="112">
        <v>75000</v>
      </c>
      <c r="E36" s="113" t="s">
        <v>145</v>
      </c>
    </row>
    <row r="37" spans="1:7" ht="19.899999999999999" customHeight="1" x14ac:dyDescent="0.25">
      <c r="A37" s="129" t="s">
        <v>126</v>
      </c>
      <c r="B37" s="130"/>
      <c r="C37" s="5"/>
      <c r="D37" s="76">
        <v>103200</v>
      </c>
      <c r="E37" s="113" t="s">
        <v>144</v>
      </c>
    </row>
    <row r="38" spans="1:7" x14ac:dyDescent="0.25">
      <c r="A38" s="21" t="s">
        <v>6</v>
      </c>
      <c r="B38" s="25"/>
      <c r="C38" s="25"/>
      <c r="D38" s="24"/>
      <c r="E38" s="103">
        <f>SUM(D36:D37)</f>
        <v>178200</v>
      </c>
    </row>
    <row r="39" spans="1:7" x14ac:dyDescent="0.25">
      <c r="A39" s="25" t="s">
        <v>11</v>
      </c>
      <c r="B39" s="25"/>
      <c r="C39" s="25"/>
      <c r="D39" s="117"/>
      <c r="E39" s="102"/>
    </row>
    <row r="40" spans="1:7" ht="15.75" customHeight="1" x14ac:dyDescent="0.25">
      <c r="A40" s="218" t="s">
        <v>29</v>
      </c>
      <c r="B40" s="219"/>
      <c r="C40" s="39"/>
      <c r="D40" s="118">
        <v>150000</v>
      </c>
      <c r="E40" s="135" t="s">
        <v>149</v>
      </c>
      <c r="G40" t="s">
        <v>146</v>
      </c>
    </row>
    <row r="41" spans="1:7" ht="15.75" customHeight="1" x14ac:dyDescent="0.25">
      <c r="A41" s="129"/>
      <c r="B41" s="130"/>
      <c r="C41" s="39"/>
      <c r="D41" s="145"/>
      <c r="E41" s="135"/>
    </row>
    <row r="42" spans="1:7" x14ac:dyDescent="0.25">
      <c r="A42" s="21" t="s">
        <v>9</v>
      </c>
      <c r="B42" s="21"/>
      <c r="C42" s="21"/>
      <c r="D42" s="119"/>
      <c r="E42" s="132">
        <f>SUM(D40:D41)</f>
        <v>150000</v>
      </c>
    </row>
    <row r="43" spans="1:7" x14ac:dyDescent="0.25">
      <c r="A43" s="25" t="s">
        <v>8</v>
      </c>
      <c r="B43" s="49"/>
      <c r="C43" s="21"/>
      <c r="D43" s="116"/>
      <c r="E43" s="103"/>
    </row>
    <row r="44" spans="1:7" x14ac:dyDescent="0.25">
      <c r="A44" s="5" t="s">
        <v>28</v>
      </c>
      <c r="B44" s="5"/>
      <c r="C44" s="5"/>
      <c r="D44" s="112"/>
      <c r="E44" s="109"/>
    </row>
    <row r="45" spans="1:7" x14ac:dyDescent="0.25">
      <c r="A45" s="5" t="s">
        <v>120</v>
      </c>
      <c r="B45" s="5"/>
      <c r="C45" s="5"/>
      <c r="D45" s="112">
        <v>21725.200000000001</v>
      </c>
      <c r="E45" s="29"/>
    </row>
    <row r="46" spans="1:7" x14ac:dyDescent="0.25">
      <c r="A46" s="38" t="s">
        <v>9</v>
      </c>
      <c r="B46" s="38"/>
      <c r="C46" s="38"/>
      <c r="D46" s="78"/>
      <c r="E46" s="133">
        <f>SUM(D44:D45)</f>
        <v>21725.200000000001</v>
      </c>
    </row>
    <row r="47" spans="1:7" x14ac:dyDescent="0.25">
      <c r="A47" s="5"/>
      <c r="B47" s="5"/>
      <c r="C47" s="5"/>
      <c r="D47" s="73"/>
      <c r="E47" s="79"/>
    </row>
    <row r="48" spans="1:7" x14ac:dyDescent="0.25">
      <c r="A48" s="22" t="s">
        <v>104</v>
      </c>
      <c r="B48" s="22"/>
      <c r="C48" s="22"/>
      <c r="D48" s="80"/>
      <c r="E48" s="134">
        <f>2000000-1550508.57-300</f>
        <v>449191.42999999993</v>
      </c>
    </row>
    <row r="49" spans="1:8" ht="15.75" thickBot="1" x14ac:dyDescent="0.3">
      <c r="A49" s="1"/>
      <c r="D49" s="81"/>
      <c r="E49" s="82"/>
      <c r="F49" s="31"/>
    </row>
    <row r="50" spans="1:8" ht="15.75" thickBot="1" x14ac:dyDescent="0.3">
      <c r="A50" s="3" t="s">
        <v>100</v>
      </c>
      <c r="B50" s="8"/>
      <c r="C50" s="4"/>
      <c r="D50" s="83"/>
      <c r="E50" s="84">
        <f>(SUM(E21:E48))</f>
        <v>2000000</v>
      </c>
      <c r="F50" s="101"/>
      <c r="G50" s="31"/>
    </row>
    <row r="51" spans="1:8" x14ac:dyDescent="0.25">
      <c r="D51" s="81"/>
      <c r="E51" s="81"/>
    </row>
    <row r="52" spans="1:8" ht="15.75" thickBot="1" x14ac:dyDescent="0.3">
      <c r="D52" s="81"/>
      <c r="E52" s="81"/>
      <c r="H52" s="123"/>
    </row>
    <row r="53" spans="1:8" x14ac:dyDescent="0.25">
      <c r="A53" s="9" t="s">
        <v>101</v>
      </c>
      <c r="B53" s="10"/>
      <c r="C53" s="11"/>
      <c r="D53" s="85"/>
      <c r="E53" s="86"/>
    </row>
    <row r="54" spans="1:8" ht="15" customHeight="1" x14ac:dyDescent="0.25">
      <c r="A54" s="75"/>
      <c r="B54" s="110"/>
      <c r="C54" s="5"/>
      <c r="D54" s="76"/>
      <c r="E54" s="74"/>
    </row>
    <row r="55" spans="1:8" ht="15" customHeight="1" x14ac:dyDescent="0.25">
      <c r="A55" s="226"/>
      <c r="B55" s="226"/>
      <c r="C55" s="5"/>
      <c r="D55" s="112"/>
      <c r="E55" s="74"/>
    </row>
    <row r="56" spans="1:8" ht="15.75" customHeight="1" x14ac:dyDescent="0.25">
      <c r="A56" s="5"/>
      <c r="B56" s="5"/>
      <c r="C56" s="5"/>
      <c r="D56" s="5"/>
      <c r="E56" s="5"/>
    </row>
    <row r="57" spans="1:8" x14ac:dyDescent="0.25">
      <c r="A57" s="75"/>
      <c r="B57" s="77"/>
      <c r="C57" s="5"/>
      <c r="D57" s="76"/>
      <c r="E57" s="74"/>
    </row>
    <row r="58" spans="1:8" x14ac:dyDescent="0.25">
      <c r="A58" s="36"/>
      <c r="B58" s="35"/>
      <c r="C58" s="35"/>
      <c r="D58" s="42"/>
      <c r="E58" s="42">
        <f>SUM(D54:D57)</f>
        <v>0</v>
      </c>
    </row>
    <row r="59" spans="1:8" ht="15" customHeight="1" x14ac:dyDescent="0.25"/>
    <row r="60" spans="1:8" ht="15.75" hidden="1" thickBot="1" x14ac:dyDescent="0.3"/>
    <row r="61" spans="1:8" x14ac:dyDescent="0.25">
      <c r="A61" s="22" t="s">
        <v>103</v>
      </c>
      <c r="B61" s="22"/>
      <c r="C61" s="22"/>
      <c r="D61" s="23"/>
      <c r="E61" s="215"/>
    </row>
    <row r="62" spans="1:8" ht="15.75" thickBot="1" x14ac:dyDescent="0.3"/>
    <row r="63" spans="1:8" ht="15.75" thickBot="1" x14ac:dyDescent="0.3">
      <c r="A63" s="3" t="s">
        <v>102</v>
      </c>
      <c r="B63" s="8"/>
      <c r="C63" s="4"/>
      <c r="D63" s="4"/>
      <c r="E63" s="50">
        <f>E58+E61</f>
        <v>0</v>
      </c>
    </row>
    <row r="64" spans="1:8" ht="15.75" thickBot="1" x14ac:dyDescent="0.3"/>
    <row r="65" spans="1:5" ht="15.75" thickBot="1" x14ac:dyDescent="0.3">
      <c r="A65" s="71" t="s">
        <v>109</v>
      </c>
      <c r="B65" s="72">
        <f>E50</f>
        <v>2000000</v>
      </c>
    </row>
    <row r="66" spans="1:5" ht="15.75" thickBot="1" x14ac:dyDescent="0.3">
      <c r="A66" s="71" t="s">
        <v>110</v>
      </c>
      <c r="B66" s="72">
        <f>E50-E48</f>
        <v>1550808.57</v>
      </c>
    </row>
    <row r="67" spans="1:5" ht="15.75" thickBot="1" x14ac:dyDescent="0.3">
      <c r="A67" s="71" t="s">
        <v>111</v>
      </c>
      <c r="B67" s="72">
        <f>E63-E61</f>
        <v>0</v>
      </c>
    </row>
    <row r="68" spans="1:5" ht="15.75" thickBot="1" x14ac:dyDescent="0.3">
      <c r="A68" s="71" t="s">
        <v>112</v>
      </c>
      <c r="B68" s="72">
        <f>E63</f>
        <v>0</v>
      </c>
    </row>
    <row r="70" spans="1:5" s="28" customFormat="1" x14ac:dyDescent="0.25">
      <c r="A70"/>
      <c r="B70" s="30"/>
      <c r="C70" s="27"/>
    </row>
    <row r="71" spans="1:5" s="28" customFormat="1" x14ac:dyDescent="0.25">
      <c r="A71" s="93" t="s">
        <v>113</v>
      </c>
      <c r="B71" s="148">
        <v>-991192.32999999973</v>
      </c>
      <c r="C71" s="27"/>
      <c r="D71" s="34"/>
    </row>
    <row r="72" spans="1:5" x14ac:dyDescent="0.25">
      <c r="A72" s="41" t="s">
        <v>106</v>
      </c>
      <c r="B72" s="98">
        <f>-B66</f>
        <v>-1550808.57</v>
      </c>
    </row>
    <row r="73" spans="1:5" x14ac:dyDescent="0.25">
      <c r="A73" s="41" t="s">
        <v>27</v>
      </c>
      <c r="B73" s="98">
        <f>B92</f>
        <v>0</v>
      </c>
    </row>
    <row r="74" spans="1:5" x14ac:dyDescent="0.25">
      <c r="A74" s="41" t="s">
        <v>115</v>
      </c>
      <c r="B74" s="99">
        <f>PRORRATEO!G36-B82</f>
        <v>1869474.7999999996</v>
      </c>
    </row>
    <row r="75" spans="1:5" x14ac:dyDescent="0.25">
      <c r="A75" s="41" t="s">
        <v>141</v>
      </c>
      <c r="B75" s="99"/>
    </row>
    <row r="76" spans="1:5" x14ac:dyDescent="0.25">
      <c r="A76" s="100" t="s">
        <v>25</v>
      </c>
      <c r="B76" s="124"/>
    </row>
    <row r="77" spans="1:5" ht="15.75" thickBot="1" x14ac:dyDescent="0.3">
      <c r="A77" s="96" t="s">
        <v>117</v>
      </c>
      <c r="B77" s="97">
        <f>SUM(B71:C76)</f>
        <v>-672526.10000000033</v>
      </c>
    </row>
    <row r="78" spans="1:5" x14ac:dyDescent="0.25">
      <c r="A78" s="94"/>
      <c r="B78" s="94"/>
      <c r="D78" s="31"/>
      <c r="E78" s="30"/>
    </row>
    <row r="79" spans="1:5" x14ac:dyDescent="0.25">
      <c r="A79" s="93" t="s">
        <v>114</v>
      </c>
      <c r="B79" s="148">
        <v>2000000</v>
      </c>
      <c r="D79" s="30"/>
      <c r="E79" s="31"/>
    </row>
    <row r="80" spans="1:5" x14ac:dyDescent="0.25">
      <c r="A80" s="41" t="s">
        <v>107</v>
      </c>
      <c r="B80" s="98">
        <f>-B67</f>
        <v>0</v>
      </c>
      <c r="D80" s="31"/>
    </row>
    <row r="81" spans="1:13" x14ac:dyDescent="0.25">
      <c r="A81" s="41" t="s">
        <v>27</v>
      </c>
      <c r="B81" s="98">
        <f>B100</f>
        <v>0</v>
      </c>
      <c r="D81" s="31"/>
    </row>
    <row r="82" spans="1:13" x14ac:dyDescent="0.25">
      <c r="A82" s="41" t="s">
        <v>116</v>
      </c>
      <c r="B82" s="99">
        <v>0</v>
      </c>
    </row>
    <row r="83" spans="1:13" x14ac:dyDescent="0.25">
      <c r="A83" s="100" t="s">
        <v>25</v>
      </c>
      <c r="B83" s="124"/>
    </row>
    <row r="84" spans="1:13" ht="15.75" thickBot="1" x14ac:dyDescent="0.3">
      <c r="A84" s="96" t="s">
        <v>118</v>
      </c>
      <c r="B84" s="97">
        <f>SUM(B79:C83)</f>
        <v>2000000</v>
      </c>
    </row>
    <row r="85" spans="1:13" x14ac:dyDescent="0.25">
      <c r="A85" s="94"/>
      <c r="B85" s="94"/>
    </row>
    <row r="86" spans="1:13" x14ac:dyDescent="0.25">
      <c r="A86" s="94"/>
      <c r="B86" s="94"/>
    </row>
    <row r="87" spans="1:13" ht="34.5" customHeight="1" x14ac:dyDescent="0.25"/>
    <row r="88" spans="1:13" x14ac:dyDescent="0.25">
      <c r="A88" s="225" t="s">
        <v>19</v>
      </c>
      <c r="B88" s="225"/>
      <c r="C88" s="225"/>
    </row>
    <row r="89" spans="1:13" x14ac:dyDescent="0.25">
      <c r="A89" s="225"/>
      <c r="B89" s="225"/>
      <c r="C89" s="225"/>
    </row>
    <row r="90" spans="1:13" ht="35.25" customHeight="1" x14ac:dyDescent="0.25">
      <c r="A90" s="88"/>
      <c r="B90" s="26"/>
      <c r="C90" s="26">
        <v>40000</v>
      </c>
      <c r="E90" s="101"/>
    </row>
    <row r="91" spans="1:13" ht="27" customHeight="1" x14ac:dyDescent="0.25">
      <c r="A91" s="88"/>
      <c r="B91" s="90"/>
      <c r="C91" s="87"/>
      <c r="D91" s="101"/>
    </row>
    <row r="92" spans="1:13" x14ac:dyDescent="0.25">
      <c r="A92" s="32" t="s">
        <v>6</v>
      </c>
      <c r="B92" s="89">
        <f>SUM(B90:B91)</f>
        <v>0</v>
      </c>
      <c r="C92" s="33"/>
    </row>
    <row r="93" spans="1:13" x14ac:dyDescent="0.25">
      <c r="M93" s="6"/>
    </row>
    <row r="94" spans="1:13" ht="15" customHeight="1" x14ac:dyDescent="0.25">
      <c r="A94" s="224"/>
      <c r="B94" s="224"/>
      <c r="C94" s="224"/>
      <c r="D94" s="224"/>
      <c r="E94" s="224"/>
    </row>
    <row r="95" spans="1:13" x14ac:dyDescent="0.25">
      <c r="A95" s="224"/>
      <c r="B95" s="224"/>
      <c r="C95" s="224"/>
      <c r="D95" s="224"/>
      <c r="E95" s="224"/>
    </row>
    <row r="96" spans="1:13" x14ac:dyDescent="0.25">
      <c r="A96" s="224"/>
      <c r="B96" s="224"/>
      <c r="C96" s="224"/>
      <c r="D96" s="224"/>
      <c r="E96" s="224"/>
    </row>
    <row r="97" spans="1:5" x14ac:dyDescent="0.25">
      <c r="A97" s="224"/>
      <c r="B97" s="224"/>
      <c r="C97" s="224"/>
      <c r="D97" s="224"/>
      <c r="E97" s="224"/>
    </row>
  </sheetData>
  <mergeCells count="12">
    <mergeCell ref="A40:B40"/>
    <mergeCell ref="A94:E97"/>
    <mergeCell ref="A88:C89"/>
    <mergeCell ref="A55:B55"/>
    <mergeCell ref="A36:B36"/>
    <mergeCell ref="A32:B32"/>
    <mergeCell ref="A23:B23"/>
    <mergeCell ref="A22:B22"/>
    <mergeCell ref="B3:E3"/>
    <mergeCell ref="A13:E16"/>
    <mergeCell ref="B8:C10"/>
    <mergeCell ref="A26:B2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opLeftCell="A22" zoomScaleNormal="100" workbookViewId="0">
      <selection activeCell="C39" sqref="C39:N44"/>
    </sheetView>
  </sheetViews>
  <sheetFormatPr baseColWidth="10" defaultRowHeight="15" x14ac:dyDescent="0.25"/>
  <cols>
    <col min="1" max="2" width="4.285156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28515625" customWidth="1"/>
    <col min="8" max="8" width="10.5703125" customWidth="1"/>
    <col min="9" max="9" width="9.5703125" customWidth="1"/>
    <col min="10" max="10" width="12.28515625" customWidth="1"/>
    <col min="11" max="11" width="12.42578125" customWidth="1"/>
    <col min="12" max="12" width="14.5703125" bestFit="1" customWidth="1"/>
    <col min="13" max="13" width="14.5703125" customWidth="1"/>
    <col min="14" max="14" width="14.7109375" customWidth="1"/>
    <col min="15" max="15" width="12" hidden="1" customWidth="1"/>
    <col min="16" max="16" width="14.28515625" customWidth="1"/>
    <col min="17" max="17" width="7.28515625" hidden="1" customWidth="1"/>
    <col min="18" max="18" width="12" bestFit="1" customWidth="1"/>
    <col min="19" max="19" width="13" bestFit="1" customWidth="1"/>
  </cols>
  <sheetData>
    <row r="1" spans="1:17" ht="12.95" customHeight="1" x14ac:dyDescent="0.25">
      <c r="A1" s="149"/>
      <c r="B1" s="150"/>
      <c r="C1" s="151"/>
      <c r="D1" s="151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150"/>
      <c r="P1" s="152"/>
    </row>
    <row r="2" spans="1:17" ht="12.95" customHeight="1" x14ac:dyDescent="0.25">
      <c r="A2" s="153"/>
      <c r="B2" s="154"/>
      <c r="C2" s="155"/>
      <c r="D2" s="156"/>
      <c r="E2" s="156" t="s">
        <v>99</v>
      </c>
      <c r="F2" s="156"/>
      <c r="G2" s="157">
        <v>0</v>
      </c>
      <c r="H2" s="156"/>
      <c r="I2" s="156"/>
      <c r="J2" s="158"/>
      <c r="K2" s="156" t="s">
        <v>98</v>
      </c>
      <c r="L2" s="159">
        <v>2000000</v>
      </c>
      <c r="M2" s="159"/>
      <c r="N2" s="160"/>
      <c r="O2" s="161"/>
      <c r="P2" s="162"/>
      <c r="Q2" s="20"/>
    </row>
    <row r="3" spans="1:17" ht="15.75" thickBot="1" x14ac:dyDescent="0.3">
      <c r="A3" s="153"/>
      <c r="B3" s="154"/>
      <c r="C3" s="155"/>
      <c r="D3" s="155"/>
      <c r="E3" s="155"/>
      <c r="F3" s="155"/>
      <c r="G3" s="163"/>
      <c r="H3" s="155"/>
      <c r="I3" s="155"/>
      <c r="J3" s="164"/>
      <c r="K3" s="155"/>
      <c r="L3" s="155"/>
      <c r="M3" s="155"/>
      <c r="N3" s="160"/>
      <c r="O3" s="161"/>
      <c r="P3" s="162"/>
      <c r="Q3" s="20"/>
    </row>
    <row r="4" spans="1:17" x14ac:dyDescent="0.25">
      <c r="A4" s="239" t="s">
        <v>148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1"/>
      <c r="Q4" s="20"/>
    </row>
    <row r="5" spans="1:17" x14ac:dyDescent="0.25">
      <c r="A5" s="242"/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4"/>
      <c r="Q5" s="20"/>
    </row>
    <row r="6" spans="1:17" ht="12.95" customHeight="1" x14ac:dyDescent="0.25">
      <c r="A6" s="242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4"/>
      <c r="Q6" s="20"/>
    </row>
    <row r="7" spans="1:17" ht="12.95" customHeight="1" x14ac:dyDescent="0.25">
      <c r="A7" s="242"/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4"/>
      <c r="Q7" s="20"/>
    </row>
    <row r="8" spans="1:17" ht="33.75" customHeight="1" thickBot="1" x14ac:dyDescent="0.3">
      <c r="A8" s="245"/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7"/>
    </row>
    <row r="9" spans="1:17" ht="48" customHeight="1" thickBot="1" x14ac:dyDescent="0.3">
      <c r="A9" s="250" t="s">
        <v>147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1:17" ht="48" customHeight="1" thickBot="1" x14ac:dyDescent="0.3">
      <c r="A10" s="252" t="s">
        <v>123</v>
      </c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1:17" x14ac:dyDescent="0.25">
      <c r="A11" s="232" t="s">
        <v>3</v>
      </c>
      <c r="B11" s="125"/>
      <c r="C11" s="232" t="s">
        <v>4</v>
      </c>
      <c r="D11" s="232" t="s">
        <v>13</v>
      </c>
      <c r="E11" s="232" t="s">
        <v>7</v>
      </c>
      <c r="F11" s="228" t="s">
        <v>24</v>
      </c>
      <c r="G11" s="232" t="s">
        <v>5</v>
      </c>
      <c r="H11" s="234" t="s">
        <v>17</v>
      </c>
      <c r="I11" s="228" t="s">
        <v>23</v>
      </c>
      <c r="J11" s="228" t="s">
        <v>83</v>
      </c>
      <c r="K11" s="228" t="s">
        <v>98</v>
      </c>
      <c r="L11" s="237" t="s">
        <v>99</v>
      </c>
      <c r="M11" s="228" t="s">
        <v>83</v>
      </c>
      <c r="N11" s="45" t="s">
        <v>21</v>
      </c>
      <c r="O11" s="230" t="s">
        <v>12</v>
      </c>
      <c r="P11" s="248" t="s">
        <v>20</v>
      </c>
    </row>
    <row r="12" spans="1:17" ht="15.75" customHeight="1" x14ac:dyDescent="0.25">
      <c r="A12" s="233"/>
      <c r="B12" s="126"/>
      <c r="C12" s="233"/>
      <c r="D12" s="253"/>
      <c r="E12" s="233"/>
      <c r="F12" s="229"/>
      <c r="G12" s="233"/>
      <c r="H12" s="235"/>
      <c r="I12" s="229"/>
      <c r="J12" s="236"/>
      <c r="K12" s="229"/>
      <c r="L12" s="238"/>
      <c r="M12" s="229"/>
      <c r="N12" s="43" t="str">
        <f>RESUMEN!B8</f>
        <v>VTO 16/02</v>
      </c>
      <c r="O12" s="231"/>
      <c r="P12" s="249"/>
    </row>
    <row r="13" spans="1:17" ht="17.100000000000001" customHeight="1" x14ac:dyDescent="0.25">
      <c r="A13" s="46">
        <v>1</v>
      </c>
      <c r="B13" s="46" t="s">
        <v>30</v>
      </c>
      <c r="C13" s="46" t="s">
        <v>31</v>
      </c>
      <c r="D13" s="46"/>
      <c r="E13" s="55">
        <v>12</v>
      </c>
      <c r="F13" s="56">
        <v>240000.01</v>
      </c>
      <c r="G13" s="57">
        <f>264000-G29-G30</f>
        <v>239999.65</v>
      </c>
      <c r="H13" s="58">
        <f t="shared" ref="H13:H35" si="0">F13-G13</f>
        <v>0.36000000001513399</v>
      </c>
      <c r="I13" s="58">
        <f>IF(H13&gt;0,H13*3%,0)</f>
        <v>1.0800000000454019E-2</v>
      </c>
      <c r="J13" s="59">
        <f>EDESUR!I5</f>
        <v>0</v>
      </c>
      <c r="K13" s="115">
        <f>L$2*E13/100</f>
        <v>240000</v>
      </c>
      <c r="L13" s="115">
        <f>G$2*E13/100</f>
        <v>0</v>
      </c>
      <c r="M13" s="213">
        <f>Hoja1!O4</f>
        <v>0</v>
      </c>
      <c r="N13" s="211">
        <f>ROUND(SUM(H13:M13),0) + Q13</f>
        <v>240000.01</v>
      </c>
      <c r="O13" s="60">
        <f>ROUND(N13*6% + N13,0) + Q13</f>
        <v>254400.01</v>
      </c>
      <c r="P13" s="61">
        <f>ROUND(N13*3%,0) + N13</f>
        <v>247200.01</v>
      </c>
      <c r="Q13" s="31">
        <v>0.01</v>
      </c>
    </row>
    <row r="14" spans="1:17" ht="17.100000000000001" customHeight="1" x14ac:dyDescent="0.25">
      <c r="A14" s="46">
        <v>2</v>
      </c>
      <c r="B14" s="46" t="s">
        <v>32</v>
      </c>
      <c r="C14" s="46" t="s">
        <v>33</v>
      </c>
      <c r="D14" s="47"/>
      <c r="E14" s="55">
        <v>6.6</v>
      </c>
      <c r="F14" s="56">
        <v>132000.01999999999</v>
      </c>
      <c r="G14" s="57">
        <f>130000</f>
        <v>130000</v>
      </c>
      <c r="H14" s="58">
        <f t="shared" si="0"/>
        <v>2000.0199999999895</v>
      </c>
      <c r="I14" s="58">
        <f t="shared" ref="I14:I35" si="1">IF(H14&gt;0,H14*3%,0)</f>
        <v>60.000599999999686</v>
      </c>
      <c r="J14" s="59">
        <f>EDESUR!I6</f>
        <v>0</v>
      </c>
      <c r="K14" s="115">
        <f t="shared" ref="K14:K35" si="2">L$2*E14/100</f>
        <v>132000</v>
      </c>
      <c r="L14" s="115">
        <f t="shared" ref="L14:L35" si="3">G$2*E14/100</f>
        <v>0</v>
      </c>
      <c r="M14" s="213">
        <f>Hoja1!O5</f>
        <v>9105.9822987988518</v>
      </c>
      <c r="N14" s="211">
        <f t="shared" ref="N14:N35" si="4">ROUND(SUM(H14:M14),0) + Q14</f>
        <v>143166.01999999999</v>
      </c>
      <c r="O14" s="60">
        <f t="shared" ref="O14:O30" si="5">ROUND(N14*6% + N14,0) + Q14</f>
        <v>151756.01999999999</v>
      </c>
      <c r="P14" s="61">
        <f t="shared" ref="P14:P35" si="6">ROUND(N14*3%,0) + N14</f>
        <v>147461.01999999999</v>
      </c>
      <c r="Q14" s="31">
        <f>Q13+0.01</f>
        <v>0.02</v>
      </c>
    </row>
    <row r="15" spans="1:17" ht="17.100000000000001" customHeight="1" x14ac:dyDescent="0.25">
      <c r="A15" s="46">
        <v>3</v>
      </c>
      <c r="B15" s="46" t="s">
        <v>34</v>
      </c>
      <c r="C15" s="46" t="s">
        <v>35</v>
      </c>
      <c r="D15" s="47" t="s">
        <v>72</v>
      </c>
      <c r="E15" s="55">
        <v>5.4</v>
      </c>
      <c r="F15" s="56">
        <v>108000.03</v>
      </c>
      <c r="G15" s="57">
        <f>F15</f>
        <v>108000.03</v>
      </c>
      <c r="H15" s="58">
        <f t="shared" si="0"/>
        <v>0</v>
      </c>
      <c r="I15" s="58">
        <f t="shared" si="1"/>
        <v>0</v>
      </c>
      <c r="J15" s="59">
        <f>EDESUR!I7</f>
        <v>0</v>
      </c>
      <c r="K15" s="115">
        <f t="shared" si="2"/>
        <v>108000</v>
      </c>
      <c r="L15" s="115">
        <f t="shared" si="3"/>
        <v>0</v>
      </c>
      <c r="M15" s="213">
        <f>Hoja1!O6</f>
        <v>0</v>
      </c>
      <c r="N15" s="211">
        <f t="shared" si="4"/>
        <v>108000.03</v>
      </c>
      <c r="O15" s="60">
        <f t="shared" si="5"/>
        <v>114480.03</v>
      </c>
      <c r="P15" s="61">
        <f t="shared" si="6"/>
        <v>111240.03</v>
      </c>
      <c r="Q15" s="31">
        <f t="shared" ref="Q15:Q30" si="7">Q14+0.01</f>
        <v>0.03</v>
      </c>
    </row>
    <row r="16" spans="1:17" ht="17.100000000000001" customHeight="1" x14ac:dyDescent="0.25">
      <c r="A16" s="46">
        <v>4</v>
      </c>
      <c r="B16" s="46" t="s">
        <v>36</v>
      </c>
      <c r="C16" s="46" t="s">
        <v>37</v>
      </c>
      <c r="D16" s="47" t="s">
        <v>73</v>
      </c>
      <c r="E16" s="55">
        <v>6.6</v>
      </c>
      <c r="F16" s="56">
        <v>132000.04</v>
      </c>
      <c r="G16" s="57">
        <f>144000.25-G32</f>
        <v>132000.04999999999</v>
      </c>
      <c r="H16" s="58">
        <f t="shared" si="0"/>
        <v>-9.9999999802093953E-3</v>
      </c>
      <c r="I16" s="58">
        <f t="shared" si="1"/>
        <v>0</v>
      </c>
      <c r="J16" s="59">
        <f>EDESUR!I8</f>
        <v>0</v>
      </c>
      <c r="K16" s="115">
        <f t="shared" si="2"/>
        <v>132000</v>
      </c>
      <c r="L16" s="115">
        <f t="shared" si="3"/>
        <v>0</v>
      </c>
      <c r="M16" s="213">
        <f>Hoja1!O8</f>
        <v>0</v>
      </c>
      <c r="N16" s="211">
        <f t="shared" si="4"/>
        <v>132000.04</v>
      </c>
      <c r="O16" s="60">
        <f t="shared" si="5"/>
        <v>139920.04</v>
      </c>
      <c r="P16" s="61">
        <f t="shared" si="6"/>
        <v>135960.04</v>
      </c>
      <c r="Q16" s="31">
        <f t="shared" si="7"/>
        <v>0.04</v>
      </c>
    </row>
    <row r="17" spans="1:18" ht="17.100000000000001" customHeight="1" x14ac:dyDescent="0.25">
      <c r="A17" s="165">
        <v>5</v>
      </c>
      <c r="B17" s="165" t="s">
        <v>38</v>
      </c>
      <c r="C17" s="165" t="s">
        <v>39</v>
      </c>
      <c r="D17" s="165" t="s">
        <v>97</v>
      </c>
      <c r="E17" s="166">
        <v>6.6</v>
      </c>
      <c r="F17" s="167">
        <v>132000.04999999999</v>
      </c>
      <c r="G17" s="167">
        <f t="shared" ref="G17:G21" si="8">F17</f>
        <v>132000.04999999999</v>
      </c>
      <c r="H17" s="168">
        <f t="shared" si="0"/>
        <v>0</v>
      </c>
      <c r="I17" s="168">
        <f t="shared" si="1"/>
        <v>0</v>
      </c>
      <c r="J17" s="169">
        <f>EDESUR!I9</f>
        <v>0</v>
      </c>
      <c r="K17" s="170">
        <f t="shared" si="2"/>
        <v>132000</v>
      </c>
      <c r="L17" s="170">
        <f t="shared" si="3"/>
        <v>0</v>
      </c>
      <c r="M17" s="214">
        <f>Hoja1!O9</f>
        <v>0</v>
      </c>
      <c r="N17" s="212">
        <f t="shared" si="4"/>
        <v>132000.04999999999</v>
      </c>
      <c r="O17" s="171">
        <f t="shared" si="5"/>
        <v>139920.04999999999</v>
      </c>
      <c r="P17" s="172">
        <f t="shared" si="6"/>
        <v>135960.04999999999</v>
      </c>
      <c r="Q17" s="31">
        <f t="shared" si="7"/>
        <v>0.05</v>
      </c>
      <c r="R17" t="s">
        <v>122</v>
      </c>
    </row>
    <row r="18" spans="1:18" ht="17.100000000000001" customHeight="1" x14ac:dyDescent="0.25">
      <c r="A18" s="46">
        <v>6</v>
      </c>
      <c r="B18" s="46" t="s">
        <v>40</v>
      </c>
      <c r="C18" s="46" t="s">
        <v>41</v>
      </c>
      <c r="D18" s="46" t="s">
        <v>94</v>
      </c>
      <c r="E18" s="55">
        <v>5.4</v>
      </c>
      <c r="F18" s="56">
        <v>108000.06</v>
      </c>
      <c r="G18" s="57">
        <f t="shared" si="8"/>
        <v>108000.06</v>
      </c>
      <c r="H18" s="58">
        <f t="shared" si="0"/>
        <v>0</v>
      </c>
      <c r="I18" s="58">
        <f t="shared" si="1"/>
        <v>0</v>
      </c>
      <c r="J18" s="59">
        <f>EDESUR!I10</f>
        <v>0</v>
      </c>
      <c r="K18" s="115">
        <f t="shared" si="2"/>
        <v>108000</v>
      </c>
      <c r="L18" s="115">
        <f t="shared" si="3"/>
        <v>0</v>
      </c>
      <c r="M18" s="213">
        <f>Hoja1!O10</f>
        <v>0</v>
      </c>
      <c r="N18" s="211">
        <f t="shared" si="4"/>
        <v>108000.06</v>
      </c>
      <c r="O18" s="60">
        <f t="shared" si="5"/>
        <v>114480.06</v>
      </c>
      <c r="P18" s="61">
        <f t="shared" si="6"/>
        <v>111240.06</v>
      </c>
      <c r="Q18" s="31">
        <f t="shared" si="7"/>
        <v>6.0000000000000005E-2</v>
      </c>
    </row>
    <row r="19" spans="1:18" ht="17.100000000000001" customHeight="1" x14ac:dyDescent="0.25">
      <c r="A19" s="202">
        <v>7</v>
      </c>
      <c r="B19" s="202" t="s">
        <v>42</v>
      </c>
      <c r="C19" s="202" t="s">
        <v>43</v>
      </c>
      <c r="D19" s="202" t="s">
        <v>95</v>
      </c>
      <c r="E19" s="204">
        <v>5.4</v>
      </c>
      <c r="F19" s="57">
        <v>108000.07</v>
      </c>
      <c r="G19" s="57"/>
      <c r="H19" s="205">
        <f t="shared" si="0"/>
        <v>108000.07</v>
      </c>
      <c r="I19" s="205">
        <f t="shared" si="1"/>
        <v>3240.0021000000002</v>
      </c>
      <c r="J19" s="206">
        <f>EDESUR!I11</f>
        <v>0</v>
      </c>
      <c r="K19" s="207">
        <f t="shared" si="2"/>
        <v>108000</v>
      </c>
      <c r="L19" s="207">
        <f t="shared" si="3"/>
        <v>0</v>
      </c>
      <c r="M19" s="213">
        <f>Hoja1!O7</f>
        <v>0</v>
      </c>
      <c r="N19" s="211">
        <f t="shared" si="4"/>
        <v>219240.07</v>
      </c>
      <c r="O19" s="208">
        <f t="shared" si="5"/>
        <v>232394.07</v>
      </c>
      <c r="P19" s="209">
        <f t="shared" si="6"/>
        <v>225817.07</v>
      </c>
      <c r="Q19" s="31">
        <f t="shared" si="7"/>
        <v>7.0000000000000007E-2</v>
      </c>
    </row>
    <row r="20" spans="1:18" ht="17.100000000000001" customHeight="1" x14ac:dyDescent="0.25">
      <c r="A20" s="202">
        <v>8</v>
      </c>
      <c r="B20" s="202" t="s">
        <v>44</v>
      </c>
      <c r="C20" s="202" t="s">
        <v>45</v>
      </c>
      <c r="D20" s="203" t="s">
        <v>74</v>
      </c>
      <c r="E20" s="204">
        <v>6.6</v>
      </c>
      <c r="F20" s="57">
        <v>135960.07999999999</v>
      </c>
      <c r="G20" s="57">
        <f>F20</f>
        <v>135960.07999999999</v>
      </c>
      <c r="H20" s="205">
        <f t="shared" si="0"/>
        <v>0</v>
      </c>
      <c r="I20" s="205">
        <f t="shared" si="1"/>
        <v>0</v>
      </c>
      <c r="J20" s="206">
        <f>EDESUR!I12</f>
        <v>0</v>
      </c>
      <c r="K20" s="207">
        <f t="shared" si="2"/>
        <v>132000</v>
      </c>
      <c r="L20" s="207">
        <f t="shared" si="3"/>
        <v>0</v>
      </c>
      <c r="M20" s="213">
        <f>Hoja1!O12</f>
        <v>0</v>
      </c>
      <c r="N20" s="211">
        <f t="shared" si="4"/>
        <v>132000.07999999999</v>
      </c>
      <c r="O20" s="208">
        <f t="shared" si="5"/>
        <v>139920.07999999999</v>
      </c>
      <c r="P20" s="209">
        <f t="shared" si="6"/>
        <v>135960.07999999999</v>
      </c>
      <c r="Q20" s="31">
        <f t="shared" si="7"/>
        <v>0.08</v>
      </c>
    </row>
    <row r="21" spans="1:18" ht="17.100000000000001" customHeight="1" x14ac:dyDescent="0.25">
      <c r="A21" s="46">
        <v>9</v>
      </c>
      <c r="B21" s="46" t="s">
        <v>46</v>
      </c>
      <c r="C21" s="46" t="s">
        <v>47</v>
      </c>
      <c r="D21" s="47" t="s">
        <v>77</v>
      </c>
      <c r="E21" s="55">
        <v>6.6</v>
      </c>
      <c r="F21" s="56">
        <v>132000.09</v>
      </c>
      <c r="G21" s="57">
        <f t="shared" si="8"/>
        <v>132000.09</v>
      </c>
      <c r="H21" s="58">
        <f t="shared" si="0"/>
        <v>0</v>
      </c>
      <c r="I21" s="58">
        <f t="shared" si="1"/>
        <v>0</v>
      </c>
      <c r="J21" s="59">
        <f>EDESUR!I13</f>
        <v>0</v>
      </c>
      <c r="K21" s="115">
        <f t="shared" si="2"/>
        <v>132000</v>
      </c>
      <c r="L21" s="115">
        <f t="shared" si="3"/>
        <v>0</v>
      </c>
      <c r="M21" s="213">
        <f>Hoja1!O13</f>
        <v>0</v>
      </c>
      <c r="N21" s="211">
        <f t="shared" si="4"/>
        <v>132000.09</v>
      </c>
      <c r="O21" s="60">
        <f t="shared" si="5"/>
        <v>139920.09</v>
      </c>
      <c r="P21" s="61">
        <f t="shared" si="6"/>
        <v>135960.09</v>
      </c>
      <c r="Q21" s="31">
        <f t="shared" si="7"/>
        <v>0.09</v>
      </c>
    </row>
    <row r="22" spans="1:18" ht="17.100000000000001" customHeight="1" x14ac:dyDescent="0.25">
      <c r="A22" s="46">
        <v>10</v>
      </c>
      <c r="B22" s="46" t="s">
        <v>48</v>
      </c>
      <c r="C22" s="46" t="s">
        <v>49</v>
      </c>
      <c r="D22" s="47" t="s">
        <v>75</v>
      </c>
      <c r="E22" s="55">
        <v>5.4</v>
      </c>
      <c r="F22" s="56">
        <v>108000.1</v>
      </c>
      <c r="G22" s="57">
        <f>F22</f>
        <v>108000.1</v>
      </c>
      <c r="H22" s="58">
        <f t="shared" si="0"/>
        <v>0</v>
      </c>
      <c r="I22" s="58">
        <f t="shared" si="1"/>
        <v>0</v>
      </c>
      <c r="J22" s="59">
        <f>EDESUR!I14</f>
        <v>0</v>
      </c>
      <c r="K22" s="115">
        <f t="shared" si="2"/>
        <v>108000</v>
      </c>
      <c r="L22" s="115">
        <f t="shared" si="3"/>
        <v>0</v>
      </c>
      <c r="M22" s="213">
        <f>Hoja1!O14</f>
        <v>0</v>
      </c>
      <c r="N22" s="211">
        <f t="shared" si="4"/>
        <v>108000.1</v>
      </c>
      <c r="O22" s="60">
        <f t="shared" si="5"/>
        <v>114480.1</v>
      </c>
      <c r="P22" s="61">
        <f t="shared" si="6"/>
        <v>111240.1</v>
      </c>
      <c r="Q22" s="31">
        <f t="shared" si="7"/>
        <v>9.9999999999999992E-2</v>
      </c>
    </row>
    <row r="23" spans="1:18" ht="17.100000000000001" customHeight="1" x14ac:dyDescent="0.25">
      <c r="A23" s="46">
        <v>11</v>
      </c>
      <c r="B23" s="46" t="s">
        <v>50</v>
      </c>
      <c r="C23" s="46" t="s">
        <v>51</v>
      </c>
      <c r="D23" s="47"/>
      <c r="E23" s="55">
        <v>5.4</v>
      </c>
      <c r="F23" s="56">
        <v>108000.11</v>
      </c>
      <c r="G23" s="57">
        <f>114033-G34</f>
        <v>108032.78</v>
      </c>
      <c r="H23" s="58">
        <f t="shared" si="0"/>
        <v>-32.669999999998254</v>
      </c>
      <c r="I23" s="58">
        <f t="shared" si="1"/>
        <v>0</v>
      </c>
      <c r="J23" s="59">
        <f>EDESUR!I15</f>
        <v>0</v>
      </c>
      <c r="K23" s="115">
        <f t="shared" si="2"/>
        <v>108000</v>
      </c>
      <c r="L23" s="115">
        <f t="shared" si="3"/>
        <v>0</v>
      </c>
      <c r="M23" s="213">
        <f>Hoja1!O11</f>
        <v>0</v>
      </c>
      <c r="N23" s="211">
        <f t="shared" si="4"/>
        <v>107967.11</v>
      </c>
      <c r="O23" s="60">
        <f t="shared" si="5"/>
        <v>114445.11</v>
      </c>
      <c r="P23" s="61">
        <f t="shared" si="6"/>
        <v>111206.11</v>
      </c>
      <c r="Q23" s="31">
        <f t="shared" si="7"/>
        <v>0.10999999999999999</v>
      </c>
      <c r="R23" t="s">
        <v>96</v>
      </c>
    </row>
    <row r="24" spans="1:18" ht="30" customHeight="1" x14ac:dyDescent="0.25">
      <c r="A24" s="46">
        <v>12</v>
      </c>
      <c r="B24" s="46" t="s">
        <v>52</v>
      </c>
      <c r="C24" s="46" t="s">
        <v>53</v>
      </c>
      <c r="D24" s="47" t="s">
        <v>76</v>
      </c>
      <c r="E24" s="55">
        <v>6.6</v>
      </c>
      <c r="F24" s="56">
        <v>132000.12</v>
      </c>
      <c r="G24" s="57">
        <f>F24</f>
        <v>132000.12</v>
      </c>
      <c r="H24" s="58">
        <f t="shared" si="0"/>
        <v>0</v>
      </c>
      <c r="I24" s="58">
        <f t="shared" si="1"/>
        <v>0</v>
      </c>
      <c r="J24" s="59">
        <f>EDESUR!I16</f>
        <v>0</v>
      </c>
      <c r="K24" s="115">
        <f t="shared" si="2"/>
        <v>132000</v>
      </c>
      <c r="L24" s="115">
        <f t="shared" si="3"/>
        <v>0</v>
      </c>
      <c r="M24" s="213">
        <f>Hoja1!O16</f>
        <v>0</v>
      </c>
      <c r="N24" s="211">
        <f t="shared" si="4"/>
        <v>132000.12</v>
      </c>
      <c r="O24" s="60">
        <f t="shared" si="5"/>
        <v>139920.12</v>
      </c>
      <c r="P24" s="61">
        <f t="shared" si="6"/>
        <v>135960.12</v>
      </c>
      <c r="Q24" s="31">
        <f t="shared" si="7"/>
        <v>0.11999999999999998</v>
      </c>
    </row>
    <row r="25" spans="1:18" ht="17.100000000000001" customHeight="1" x14ac:dyDescent="0.25">
      <c r="A25" s="46">
        <v>13</v>
      </c>
      <c r="B25" s="46" t="s">
        <v>54</v>
      </c>
      <c r="C25" s="46" t="s">
        <v>55</v>
      </c>
      <c r="D25" s="47" t="s">
        <v>93</v>
      </c>
      <c r="E25" s="55">
        <v>6.6</v>
      </c>
      <c r="F25" s="56">
        <v>128159.13</v>
      </c>
      <c r="G25" s="57">
        <v>132004.13</v>
      </c>
      <c r="H25" s="58">
        <f t="shared" si="0"/>
        <v>-3845</v>
      </c>
      <c r="I25" s="58">
        <f t="shared" si="1"/>
        <v>0</v>
      </c>
      <c r="J25" s="59">
        <f>EDESUR!I17</f>
        <v>0</v>
      </c>
      <c r="K25" s="115">
        <f t="shared" si="2"/>
        <v>132000</v>
      </c>
      <c r="L25" s="115">
        <f t="shared" si="3"/>
        <v>0</v>
      </c>
      <c r="M25" s="213">
        <f>Hoja1!O17</f>
        <v>0</v>
      </c>
      <c r="N25" s="211">
        <f t="shared" si="4"/>
        <v>128155.13</v>
      </c>
      <c r="O25" s="60">
        <f t="shared" si="5"/>
        <v>135844.13</v>
      </c>
      <c r="P25" s="61">
        <f t="shared" si="6"/>
        <v>132000.13</v>
      </c>
      <c r="Q25" s="31">
        <f t="shared" si="7"/>
        <v>0.12999999999999998</v>
      </c>
    </row>
    <row r="26" spans="1:18" ht="17.100000000000001" customHeight="1" x14ac:dyDescent="0.25">
      <c r="A26" s="46">
        <v>14</v>
      </c>
      <c r="B26" s="46" t="s">
        <v>56</v>
      </c>
      <c r="C26" s="46" t="s">
        <v>57</v>
      </c>
      <c r="D26" s="47"/>
      <c r="E26" s="55">
        <v>5.4</v>
      </c>
      <c r="F26" s="56">
        <v>83116.14</v>
      </c>
      <c r="G26" s="57">
        <f>F26</f>
        <v>83116.14</v>
      </c>
      <c r="H26" s="58">
        <f t="shared" si="0"/>
        <v>0</v>
      </c>
      <c r="I26" s="58">
        <f t="shared" si="1"/>
        <v>0</v>
      </c>
      <c r="J26" s="59">
        <f>EDESUR!I18</f>
        <v>0</v>
      </c>
      <c r="K26" s="115">
        <f t="shared" si="2"/>
        <v>108000</v>
      </c>
      <c r="L26" s="115">
        <f t="shared" si="3"/>
        <v>0</v>
      </c>
      <c r="M26" s="213">
        <f>Hoja1!O18</f>
        <v>0</v>
      </c>
      <c r="N26" s="211">
        <f t="shared" si="4"/>
        <v>108000.14</v>
      </c>
      <c r="O26" s="60">
        <f t="shared" si="5"/>
        <v>114480.14</v>
      </c>
      <c r="P26" s="61">
        <f t="shared" si="6"/>
        <v>111240.14</v>
      </c>
      <c r="Q26" s="31">
        <f t="shared" si="7"/>
        <v>0.13999999999999999</v>
      </c>
    </row>
    <row r="27" spans="1:18" ht="17.100000000000001" customHeight="1" x14ac:dyDescent="0.25">
      <c r="A27" s="46">
        <v>15</v>
      </c>
      <c r="B27" s="46" t="s">
        <v>58</v>
      </c>
      <c r="C27" s="46" t="s">
        <v>59</v>
      </c>
      <c r="D27" s="47"/>
      <c r="E27" s="55">
        <v>5.4</v>
      </c>
      <c r="F27" s="56">
        <v>108000.15</v>
      </c>
      <c r="G27" s="57">
        <f>F27</f>
        <v>108000.15</v>
      </c>
      <c r="H27" s="58">
        <f t="shared" si="0"/>
        <v>0</v>
      </c>
      <c r="I27" s="58">
        <f t="shared" si="1"/>
        <v>0</v>
      </c>
      <c r="J27" s="59">
        <f>EDESUR!I19</f>
        <v>0</v>
      </c>
      <c r="K27" s="115">
        <f t="shared" si="2"/>
        <v>108000</v>
      </c>
      <c r="L27" s="115">
        <f t="shared" si="3"/>
        <v>0</v>
      </c>
      <c r="M27" s="213">
        <f>Hoja1!O15</f>
        <v>0</v>
      </c>
      <c r="N27" s="211">
        <f t="shared" si="4"/>
        <v>108000.15</v>
      </c>
      <c r="O27" s="60">
        <f t="shared" si="5"/>
        <v>114480.15</v>
      </c>
      <c r="P27" s="61">
        <f t="shared" si="6"/>
        <v>111240.15</v>
      </c>
      <c r="Q27" s="31">
        <f t="shared" si="7"/>
        <v>0.15</v>
      </c>
    </row>
    <row r="28" spans="1:18" ht="17.100000000000001" customHeight="1" x14ac:dyDescent="0.25">
      <c r="A28" s="46">
        <v>16</v>
      </c>
      <c r="B28" s="46" t="s">
        <v>60</v>
      </c>
      <c r="C28" s="46" t="s">
        <v>41</v>
      </c>
      <c r="D28" s="46" t="s">
        <v>94</v>
      </c>
      <c r="E28" s="55">
        <v>0.7</v>
      </c>
      <c r="F28" s="56">
        <v>14000.16</v>
      </c>
      <c r="G28" s="57">
        <f>F28</f>
        <v>14000.16</v>
      </c>
      <c r="H28" s="58">
        <f t="shared" si="0"/>
        <v>0</v>
      </c>
      <c r="I28" s="58">
        <f t="shared" si="1"/>
        <v>0</v>
      </c>
      <c r="J28" s="59">
        <f>EDESUR!I22</f>
        <v>0</v>
      </c>
      <c r="K28" s="115">
        <f t="shared" si="2"/>
        <v>14000</v>
      </c>
      <c r="L28" s="115">
        <f t="shared" si="3"/>
        <v>0</v>
      </c>
      <c r="M28" s="213">
        <f>Hoja1!O22</f>
        <v>0</v>
      </c>
      <c r="N28" s="211">
        <f t="shared" si="4"/>
        <v>14000.16</v>
      </c>
      <c r="O28" s="60">
        <f t="shared" si="5"/>
        <v>14840.16</v>
      </c>
      <c r="P28" s="61">
        <f t="shared" si="6"/>
        <v>14420.16</v>
      </c>
      <c r="Q28" s="31">
        <f t="shared" si="7"/>
        <v>0.16</v>
      </c>
    </row>
    <row r="29" spans="1:18" ht="17.100000000000001" customHeight="1" x14ac:dyDescent="0.25">
      <c r="A29" s="46">
        <v>17</v>
      </c>
      <c r="B29" s="46" t="s">
        <v>61</v>
      </c>
      <c r="C29" s="46" t="s">
        <v>31</v>
      </c>
      <c r="D29" s="47"/>
      <c r="E29" s="55">
        <v>0.6</v>
      </c>
      <c r="F29" s="57">
        <v>12000.17</v>
      </c>
      <c r="G29" s="57">
        <f t="shared" ref="G29" si="9">F29</f>
        <v>12000.17</v>
      </c>
      <c r="H29" s="58">
        <f t="shared" si="0"/>
        <v>0</v>
      </c>
      <c r="I29" s="58">
        <f t="shared" si="1"/>
        <v>0</v>
      </c>
      <c r="J29" s="59">
        <f>EDESUR!I21</f>
        <v>0</v>
      </c>
      <c r="K29" s="115">
        <f t="shared" si="2"/>
        <v>12000</v>
      </c>
      <c r="L29" s="115">
        <f t="shared" si="3"/>
        <v>0</v>
      </c>
      <c r="M29" s="213">
        <f>Hoja1!O23</f>
        <v>0</v>
      </c>
      <c r="N29" s="211">
        <f t="shared" si="4"/>
        <v>12000.17</v>
      </c>
      <c r="O29" s="60">
        <f t="shared" si="5"/>
        <v>12720.17</v>
      </c>
      <c r="P29" s="61">
        <f t="shared" si="6"/>
        <v>12360.17</v>
      </c>
      <c r="Q29" s="31">
        <f t="shared" si="7"/>
        <v>0.17</v>
      </c>
    </row>
    <row r="30" spans="1:18" ht="17.100000000000001" customHeight="1" x14ac:dyDescent="0.25">
      <c r="A30" s="46">
        <v>18</v>
      </c>
      <c r="B30" s="46" t="s">
        <v>62</v>
      </c>
      <c r="C30" s="46" t="s">
        <v>31</v>
      </c>
      <c r="D30" s="92"/>
      <c r="E30" s="55">
        <v>0.6</v>
      </c>
      <c r="F30" s="56">
        <v>12000.18</v>
      </c>
      <c r="G30" s="57">
        <f>F30</f>
        <v>12000.18</v>
      </c>
      <c r="H30" s="58">
        <f t="shared" si="0"/>
        <v>0</v>
      </c>
      <c r="I30" s="58">
        <f t="shared" si="1"/>
        <v>0</v>
      </c>
      <c r="J30" s="59">
        <f>EDESUR!I22</f>
        <v>0</v>
      </c>
      <c r="K30" s="115">
        <f t="shared" si="2"/>
        <v>12000</v>
      </c>
      <c r="L30" s="115">
        <f t="shared" si="3"/>
        <v>0</v>
      </c>
      <c r="M30" s="213">
        <f>Hoja1!O24</f>
        <v>0</v>
      </c>
      <c r="N30" s="211">
        <f t="shared" si="4"/>
        <v>12000.18</v>
      </c>
      <c r="O30" s="60">
        <f t="shared" si="5"/>
        <v>12720.18</v>
      </c>
      <c r="P30" s="61">
        <f t="shared" si="6"/>
        <v>12360.18</v>
      </c>
      <c r="Q30" s="31">
        <f t="shared" si="7"/>
        <v>0.18000000000000002</v>
      </c>
    </row>
    <row r="31" spans="1:18" x14ac:dyDescent="0.25">
      <c r="A31" s="165">
        <v>19</v>
      </c>
      <c r="B31" s="165" t="s">
        <v>63</v>
      </c>
      <c r="C31" s="165" t="s">
        <v>53</v>
      </c>
      <c r="D31" s="201"/>
      <c r="E31" s="166">
        <v>0.6</v>
      </c>
      <c r="F31" s="167">
        <v>12000.19</v>
      </c>
      <c r="G31" s="167">
        <v>12360</v>
      </c>
      <c r="H31" s="168">
        <f t="shared" si="0"/>
        <v>-359.80999999999949</v>
      </c>
      <c r="I31" s="168">
        <f t="shared" si="1"/>
        <v>0</v>
      </c>
      <c r="J31" s="169">
        <f>EDESUR!I23</f>
        <v>0</v>
      </c>
      <c r="K31" s="170">
        <f t="shared" si="2"/>
        <v>12000</v>
      </c>
      <c r="L31" s="170">
        <f t="shared" si="3"/>
        <v>0</v>
      </c>
      <c r="M31" s="214">
        <f>Hoja1!O25</f>
        <v>0</v>
      </c>
      <c r="N31" s="212">
        <f t="shared" si="4"/>
        <v>11640.19</v>
      </c>
      <c r="O31" s="171"/>
      <c r="P31" s="172">
        <f t="shared" si="6"/>
        <v>11989.19</v>
      </c>
      <c r="Q31" s="31">
        <f>Q30+0.01</f>
        <v>0.19000000000000003</v>
      </c>
    </row>
    <row r="32" spans="1:18" x14ac:dyDescent="0.25">
      <c r="A32" s="62">
        <v>20</v>
      </c>
      <c r="B32" s="62" t="s">
        <v>64</v>
      </c>
      <c r="C32" s="46" t="s">
        <v>37</v>
      </c>
      <c r="D32" s="47" t="s">
        <v>73</v>
      </c>
      <c r="E32" s="55">
        <v>0.6</v>
      </c>
      <c r="F32" s="64">
        <v>12000.2</v>
      </c>
      <c r="G32" s="57">
        <f>F32</f>
        <v>12000.2</v>
      </c>
      <c r="H32" s="58">
        <f t="shared" si="0"/>
        <v>0</v>
      </c>
      <c r="I32" s="58">
        <f t="shared" si="1"/>
        <v>0</v>
      </c>
      <c r="J32" s="59">
        <f>EDESUR!I24</f>
        <v>0</v>
      </c>
      <c r="K32" s="115">
        <f t="shared" si="2"/>
        <v>12000</v>
      </c>
      <c r="L32" s="115">
        <f t="shared" si="3"/>
        <v>0</v>
      </c>
      <c r="M32" s="213">
        <f>Hoja1!O26</f>
        <v>0</v>
      </c>
      <c r="N32" s="211">
        <f t="shared" si="4"/>
        <v>12000.2</v>
      </c>
      <c r="O32" s="60"/>
      <c r="P32" s="61">
        <f t="shared" si="6"/>
        <v>12360.2</v>
      </c>
      <c r="Q32" s="31">
        <f t="shared" ref="Q32:Q35" si="10">Q31+0.01</f>
        <v>0.20000000000000004</v>
      </c>
    </row>
    <row r="33" spans="1:17" x14ac:dyDescent="0.25">
      <c r="A33" s="62">
        <v>21</v>
      </c>
      <c r="B33" s="62" t="s">
        <v>65</v>
      </c>
      <c r="C33" s="48" t="s">
        <v>49</v>
      </c>
      <c r="D33" s="47" t="s">
        <v>75</v>
      </c>
      <c r="E33" s="55">
        <v>0.3</v>
      </c>
      <c r="F33" s="64">
        <v>6000.21</v>
      </c>
      <c r="G33" s="181">
        <f>F33</f>
        <v>6000.21</v>
      </c>
      <c r="H33" s="58">
        <f t="shared" si="0"/>
        <v>0</v>
      </c>
      <c r="I33" s="58">
        <f t="shared" si="1"/>
        <v>0</v>
      </c>
      <c r="J33" s="59">
        <f>EDESUR!I25</f>
        <v>0</v>
      </c>
      <c r="K33" s="115">
        <f t="shared" si="2"/>
        <v>6000</v>
      </c>
      <c r="L33" s="115">
        <f t="shared" si="3"/>
        <v>0</v>
      </c>
      <c r="M33" s="213">
        <f>Hoja1!O27</f>
        <v>0</v>
      </c>
      <c r="N33" s="211">
        <f t="shared" si="4"/>
        <v>6000.21</v>
      </c>
      <c r="O33" s="60"/>
      <c r="P33" s="61">
        <f t="shared" si="6"/>
        <v>6180.21</v>
      </c>
      <c r="Q33" s="31">
        <f t="shared" si="10"/>
        <v>0.21000000000000005</v>
      </c>
    </row>
    <row r="34" spans="1:17" x14ac:dyDescent="0.25">
      <c r="A34" s="63">
        <v>22</v>
      </c>
      <c r="B34" s="63" t="s">
        <v>66</v>
      </c>
      <c r="C34" s="46" t="s">
        <v>51</v>
      </c>
      <c r="D34" s="47"/>
      <c r="E34" s="55">
        <v>0.3</v>
      </c>
      <c r="F34" s="64">
        <v>6000.22</v>
      </c>
      <c r="G34" s="181">
        <f>F34</f>
        <v>6000.22</v>
      </c>
      <c r="H34" s="58">
        <f t="shared" si="0"/>
        <v>0</v>
      </c>
      <c r="I34" s="58">
        <f t="shared" si="1"/>
        <v>0</v>
      </c>
      <c r="J34" s="59">
        <f>EDESUR!I26</f>
        <v>0</v>
      </c>
      <c r="K34" s="115">
        <f t="shared" si="2"/>
        <v>6000</v>
      </c>
      <c r="L34" s="115">
        <f t="shared" si="3"/>
        <v>0</v>
      </c>
      <c r="M34" s="213">
        <f>Hoja1!O28</f>
        <v>0</v>
      </c>
      <c r="N34" s="211">
        <f t="shared" si="4"/>
        <v>6000.22</v>
      </c>
      <c r="O34" s="60"/>
      <c r="P34" s="61">
        <f t="shared" si="6"/>
        <v>6180.22</v>
      </c>
      <c r="Q34" s="31">
        <f t="shared" si="10"/>
        <v>0.22000000000000006</v>
      </c>
    </row>
    <row r="35" spans="1:17" ht="17.100000000000001" customHeight="1" thickBot="1" x14ac:dyDescent="0.3">
      <c r="A35" s="46">
        <v>23</v>
      </c>
      <c r="B35" s="65" t="s">
        <v>67</v>
      </c>
      <c r="C35" s="65" t="s">
        <v>68</v>
      </c>
      <c r="D35" s="47" t="s">
        <v>72</v>
      </c>
      <c r="E35" s="55">
        <v>0.3</v>
      </c>
      <c r="F35" s="64">
        <v>6000.23</v>
      </c>
      <c r="G35" s="181">
        <f>F35</f>
        <v>6000.23</v>
      </c>
      <c r="H35" s="58">
        <f t="shared" si="0"/>
        <v>0</v>
      </c>
      <c r="I35" s="58">
        <f t="shared" si="1"/>
        <v>0</v>
      </c>
      <c r="J35" s="59">
        <f>EDESUR!I27</f>
        <v>0</v>
      </c>
      <c r="K35" s="115">
        <f t="shared" si="2"/>
        <v>6000</v>
      </c>
      <c r="L35" s="115">
        <f t="shared" si="3"/>
        <v>0</v>
      </c>
      <c r="M35" s="213">
        <f>Hoja1!O29</f>
        <v>0</v>
      </c>
      <c r="N35" s="211">
        <f t="shared" si="4"/>
        <v>6000.23</v>
      </c>
      <c r="O35" s="66"/>
      <c r="P35" s="61">
        <f t="shared" si="6"/>
        <v>6180.23</v>
      </c>
      <c r="Q35" s="31">
        <f t="shared" si="10"/>
        <v>0.23000000000000007</v>
      </c>
    </row>
    <row r="36" spans="1:17" ht="17.100000000000001" customHeight="1" thickBot="1" x14ac:dyDescent="0.3">
      <c r="A36" s="67"/>
      <c r="B36" s="67"/>
      <c r="C36" s="68"/>
      <c r="D36" s="68"/>
      <c r="E36" s="127">
        <f>SUM(E13:E35)</f>
        <v>99.999999999999986</v>
      </c>
      <c r="F36" s="40">
        <f>SUM(F13:F35)</f>
        <v>1975237.76</v>
      </c>
      <c r="G36" s="44">
        <f>SUM(G13:G35)</f>
        <v>1869474.7999999996</v>
      </c>
      <c r="H36" s="44">
        <f>SUM(H13:H35)</f>
        <v>105762.96000000004</v>
      </c>
      <c r="I36" s="44">
        <f t="shared" ref="I36:O36" si="11">SUM(I13:I35)</f>
        <v>3300.0135000000005</v>
      </c>
      <c r="J36" s="44">
        <f t="shared" si="11"/>
        <v>0</v>
      </c>
      <c r="K36" s="95">
        <f t="shared" si="11"/>
        <v>2000000</v>
      </c>
      <c r="L36" s="44">
        <f t="shared" si="11"/>
        <v>0</v>
      </c>
      <c r="M36" s="210"/>
      <c r="N36" s="69">
        <f>SUM(N13:N35)</f>
        <v>2118170.7600000002</v>
      </c>
      <c r="O36" s="69">
        <f t="shared" si="11"/>
        <v>2201120.7100000009</v>
      </c>
      <c r="P36" s="69">
        <f>SUM(P13:P35)</f>
        <v>2181715.7600000012</v>
      </c>
    </row>
    <row r="37" spans="1:17" ht="12.75" customHeight="1" x14ac:dyDescent="0.25">
      <c r="C37" s="37"/>
      <c r="D37" s="37"/>
    </row>
    <row r="38" spans="1:17" hidden="1" x14ac:dyDescent="0.25"/>
    <row r="39" spans="1:17" ht="9" customHeight="1" x14ac:dyDescent="0.25">
      <c r="C39" s="224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</row>
    <row r="40" spans="1:17" ht="12" hidden="1" customHeight="1" x14ac:dyDescent="0.25"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</row>
    <row r="41" spans="1:17" ht="12" hidden="1" customHeight="1" x14ac:dyDescent="0.25"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</row>
    <row r="42" spans="1:17" ht="12" hidden="1" customHeight="1" x14ac:dyDescent="0.25"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</row>
    <row r="43" spans="1:17" ht="12" hidden="1" customHeight="1" x14ac:dyDescent="0.25"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</row>
    <row r="44" spans="1:17" ht="67.5" customHeight="1" x14ac:dyDescent="0.25"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</row>
  </sheetData>
  <mergeCells count="19">
    <mergeCell ref="C39:N44"/>
    <mergeCell ref="D11:D12"/>
    <mergeCell ref="A11:A12"/>
    <mergeCell ref="C11:C12"/>
    <mergeCell ref="E11:E12"/>
    <mergeCell ref="E1:N1"/>
    <mergeCell ref="I11:I12"/>
    <mergeCell ref="F11:F12"/>
    <mergeCell ref="O11:O12"/>
    <mergeCell ref="G11:G12"/>
    <mergeCell ref="H11:H12"/>
    <mergeCell ref="J11:J12"/>
    <mergeCell ref="K11:K12"/>
    <mergeCell ref="L11:L12"/>
    <mergeCell ref="A4:P8"/>
    <mergeCell ref="P11:P12"/>
    <mergeCell ref="A9:P9"/>
    <mergeCell ref="A10:P10"/>
    <mergeCell ref="M11:M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D2C4-E422-4A1F-8D41-68B110E9BD73}">
  <dimension ref="B2:O32"/>
  <sheetViews>
    <sheetView topLeftCell="A16" workbookViewId="0">
      <selection activeCell="O5" sqref="O5"/>
    </sheetView>
  </sheetViews>
  <sheetFormatPr baseColWidth="10" defaultColWidth="9.140625" defaultRowHeight="15" x14ac:dyDescent="0.25"/>
  <cols>
    <col min="1" max="1" width="4" customWidth="1"/>
    <col min="2" max="2" width="8.42578125" customWidth="1"/>
    <col min="3" max="3" width="8" customWidth="1"/>
    <col min="4" max="4" width="12.5703125" customWidth="1"/>
    <col min="5" max="5" width="13.28515625" customWidth="1"/>
    <col min="6" max="6" width="15.28515625" customWidth="1"/>
    <col min="7" max="7" width="1.85546875" customWidth="1"/>
    <col min="8" max="8" width="10.5703125" customWidth="1"/>
    <col min="9" max="9" width="14.28515625" customWidth="1"/>
    <col min="10" max="10" width="1.85546875" customWidth="1"/>
    <col min="11" max="11" width="19.5703125" style="142" customWidth="1"/>
    <col min="12" max="12" width="2.140625" customWidth="1"/>
    <col min="13" max="13" width="19.7109375" style="143" customWidth="1"/>
    <col min="14" max="14" width="2" customWidth="1"/>
    <col min="15" max="15" width="15.28515625" style="197" customWidth="1"/>
  </cols>
  <sheetData>
    <row r="2" spans="2:15" x14ac:dyDescent="0.25">
      <c r="D2" s="254" t="s">
        <v>131</v>
      </c>
      <c r="E2" s="254"/>
      <c r="F2" s="254"/>
      <c r="G2" s="2"/>
      <c r="H2" s="255" t="s">
        <v>132</v>
      </c>
      <c r="I2" s="256"/>
      <c r="J2" s="2"/>
      <c r="K2" s="138" t="s">
        <v>91</v>
      </c>
      <c r="M2" s="183" t="s">
        <v>133</v>
      </c>
      <c r="O2" s="138" t="s">
        <v>92</v>
      </c>
    </row>
    <row r="3" spans="2:15" x14ac:dyDescent="0.25">
      <c r="B3" s="136" t="s">
        <v>84</v>
      </c>
      <c r="C3" s="136" t="s">
        <v>85</v>
      </c>
      <c r="D3" s="136" t="s">
        <v>134</v>
      </c>
      <c r="E3" s="136" t="s">
        <v>135</v>
      </c>
      <c r="F3" s="138" t="s">
        <v>136</v>
      </c>
      <c r="H3" s="136" t="s">
        <v>137</v>
      </c>
      <c r="I3" s="184" t="s">
        <v>138</v>
      </c>
      <c r="K3" s="136"/>
      <c r="M3" s="139"/>
      <c r="O3" s="138"/>
    </row>
    <row r="4" spans="2:15" x14ac:dyDescent="0.25">
      <c r="B4" s="136">
        <v>1</v>
      </c>
      <c r="C4" s="136" t="s">
        <v>86</v>
      </c>
      <c r="D4" s="185">
        <v>132.44000000000014</v>
      </c>
      <c r="E4" s="186">
        <v>0.14153201675643337</v>
      </c>
      <c r="F4" s="187">
        <v>27650.646458296778</v>
      </c>
      <c r="H4" s="188">
        <v>0.12</v>
      </c>
      <c r="I4" s="189">
        <v>5091.8611170500353</v>
      </c>
      <c r="K4" s="140">
        <f>I4+F4</f>
        <v>32742.507575346812</v>
      </c>
      <c r="M4" s="190">
        <f>K4</f>
        <v>32742.507575346812</v>
      </c>
      <c r="O4" s="140">
        <f>K4-M4</f>
        <v>0</v>
      </c>
    </row>
    <row r="5" spans="2:15" x14ac:dyDescent="0.25">
      <c r="B5" s="136">
        <v>1</v>
      </c>
      <c r="C5" s="136" t="s">
        <v>87</v>
      </c>
      <c r="D5" s="191">
        <v>107.16000000000004</v>
      </c>
      <c r="E5" s="186">
        <v>0.11451654270325724</v>
      </c>
      <c r="F5" s="187">
        <v>22372.721794556637</v>
      </c>
      <c r="H5" s="192">
        <v>6.6000000000000003E-2</v>
      </c>
      <c r="I5" s="189">
        <v>2800.5236143775196</v>
      </c>
      <c r="K5" s="140">
        <f t="shared" ref="K5:K18" si="0">I5+F5</f>
        <v>25173.245408934155</v>
      </c>
      <c r="M5" s="190">
        <v>16067.263110135304</v>
      </c>
      <c r="O5" s="140">
        <f t="shared" ref="O5:O18" si="1">K5-M5</f>
        <v>9105.9822987988518</v>
      </c>
    </row>
    <row r="6" spans="2:15" x14ac:dyDescent="0.25">
      <c r="B6" s="136">
        <v>1</v>
      </c>
      <c r="C6" s="136" t="s">
        <v>88</v>
      </c>
      <c r="D6" s="191">
        <v>102.28000000000002</v>
      </c>
      <c r="E6" s="186">
        <v>0.10930153030691628</v>
      </c>
      <c r="F6" s="187">
        <v>21353.881906935912</v>
      </c>
      <c r="H6" s="192">
        <v>5.3999999999999999E-2</v>
      </c>
      <c r="I6" s="189">
        <v>2291.3375026725157</v>
      </c>
      <c r="K6" s="140">
        <f t="shared" si="0"/>
        <v>23645.219409608428</v>
      </c>
      <c r="M6" s="190">
        <f t="shared" ref="M6:M18" si="2">K6</f>
        <v>23645.219409608428</v>
      </c>
      <c r="O6" s="140">
        <f t="shared" si="1"/>
        <v>0</v>
      </c>
    </row>
    <row r="7" spans="2:15" x14ac:dyDescent="0.25">
      <c r="B7" s="137">
        <v>2</v>
      </c>
      <c r="C7" s="137" t="s">
        <v>86</v>
      </c>
      <c r="D7" s="185">
        <v>20.160000000000036</v>
      </c>
      <c r="E7" s="186">
        <v>2.154398563734294E-2</v>
      </c>
      <c r="F7" s="187">
        <v>4208.977896400359</v>
      </c>
      <c r="H7" s="192">
        <v>5.3999999999999999E-2</v>
      </c>
      <c r="I7" s="189">
        <v>2291.3375026725157</v>
      </c>
      <c r="K7" s="140">
        <f t="shared" si="0"/>
        <v>6500.3153990728752</v>
      </c>
      <c r="M7" s="190">
        <f t="shared" si="2"/>
        <v>6500.3153990728752</v>
      </c>
      <c r="O7" s="140">
        <f t="shared" si="1"/>
        <v>0</v>
      </c>
    </row>
    <row r="8" spans="2:15" x14ac:dyDescent="0.25">
      <c r="B8" s="137">
        <v>2</v>
      </c>
      <c r="C8" s="137" t="s">
        <v>89</v>
      </c>
      <c r="D8" s="185">
        <v>0</v>
      </c>
      <c r="E8" s="186">
        <v>0</v>
      </c>
      <c r="F8" s="187">
        <v>0</v>
      </c>
      <c r="H8" s="192">
        <v>6.6000000000000003E-2</v>
      </c>
      <c r="I8" s="189">
        <v>2800.5236143775196</v>
      </c>
      <c r="K8" s="140">
        <f t="shared" si="0"/>
        <v>2800.5236143775196</v>
      </c>
      <c r="M8" s="190">
        <f t="shared" si="2"/>
        <v>2800.5236143775196</v>
      </c>
      <c r="O8" s="140">
        <f t="shared" si="1"/>
        <v>0</v>
      </c>
    </row>
    <row r="9" spans="2:15" x14ac:dyDescent="0.25">
      <c r="B9" s="137">
        <v>2</v>
      </c>
      <c r="C9" s="137" t="s">
        <v>87</v>
      </c>
      <c r="D9" s="185">
        <v>0</v>
      </c>
      <c r="E9" s="186">
        <v>0</v>
      </c>
      <c r="F9" s="187">
        <v>0</v>
      </c>
      <c r="H9" s="192">
        <v>6.6000000000000003E-2</v>
      </c>
      <c r="I9" s="189">
        <v>2800.5236143775196</v>
      </c>
      <c r="K9" s="140">
        <f t="shared" si="0"/>
        <v>2800.5236143775196</v>
      </c>
      <c r="M9" s="190">
        <f t="shared" si="2"/>
        <v>2800.5236143775196</v>
      </c>
      <c r="O9" s="140">
        <f t="shared" si="1"/>
        <v>0</v>
      </c>
    </row>
    <row r="10" spans="2:15" x14ac:dyDescent="0.25">
      <c r="B10" s="137">
        <v>2</v>
      </c>
      <c r="C10" s="137" t="s">
        <v>88</v>
      </c>
      <c r="D10" s="185">
        <v>0</v>
      </c>
      <c r="E10" s="186">
        <v>0</v>
      </c>
      <c r="F10" s="193">
        <v>0</v>
      </c>
      <c r="H10" s="192">
        <v>5.3999999999999999E-2</v>
      </c>
      <c r="I10" s="189">
        <v>2291.3375026725157</v>
      </c>
      <c r="K10" s="140">
        <f t="shared" si="0"/>
        <v>2291.3375026725157</v>
      </c>
      <c r="M10" s="190">
        <f t="shared" si="2"/>
        <v>2291.3375026725157</v>
      </c>
      <c r="O10" s="140">
        <f t="shared" si="1"/>
        <v>0</v>
      </c>
    </row>
    <row r="11" spans="2:15" x14ac:dyDescent="0.25">
      <c r="B11" s="137">
        <v>3</v>
      </c>
      <c r="C11" s="137" t="s">
        <v>86</v>
      </c>
      <c r="D11" s="185">
        <v>0</v>
      </c>
      <c r="E11" s="186">
        <v>0</v>
      </c>
      <c r="F11" s="187">
        <v>0</v>
      </c>
      <c r="H11" s="192">
        <v>5.3999999999999999E-2</v>
      </c>
      <c r="I11" s="189">
        <v>2291.3375026725157</v>
      </c>
      <c r="K11" s="140">
        <f t="shared" si="0"/>
        <v>2291.3375026725157</v>
      </c>
      <c r="M11" s="190">
        <f t="shared" si="2"/>
        <v>2291.3375026725157</v>
      </c>
      <c r="O11" s="140">
        <f t="shared" si="1"/>
        <v>0</v>
      </c>
    </row>
    <row r="12" spans="2:15" x14ac:dyDescent="0.25">
      <c r="B12" s="136">
        <v>3</v>
      </c>
      <c r="C12" s="136" t="s">
        <v>89</v>
      </c>
      <c r="D12" s="191">
        <v>253.12000000000006</v>
      </c>
      <c r="E12" s="186">
        <v>0.27049670855774982</v>
      </c>
      <c r="F12" s="187">
        <v>52846.055810359976</v>
      </c>
      <c r="H12" s="192">
        <v>6.6000000000000003E-2</v>
      </c>
      <c r="I12" s="189">
        <v>2800.5236143775196</v>
      </c>
      <c r="K12" s="140">
        <f t="shared" si="0"/>
        <v>55646.579424737494</v>
      </c>
      <c r="M12" s="190">
        <f t="shared" si="2"/>
        <v>55646.579424737494</v>
      </c>
      <c r="O12" s="140">
        <f t="shared" si="1"/>
        <v>0</v>
      </c>
    </row>
    <row r="13" spans="2:15" x14ac:dyDescent="0.25">
      <c r="B13" s="137">
        <v>3</v>
      </c>
      <c r="C13" s="137" t="s">
        <v>87</v>
      </c>
      <c r="D13" s="185">
        <v>0</v>
      </c>
      <c r="E13" s="186">
        <v>0</v>
      </c>
      <c r="F13" s="187">
        <v>0</v>
      </c>
      <c r="H13" s="192">
        <v>6.6000000000000003E-2</v>
      </c>
      <c r="I13" s="189">
        <v>2800.5236143775196</v>
      </c>
      <c r="K13" s="140">
        <f t="shared" si="0"/>
        <v>2800.5236143775196</v>
      </c>
      <c r="M13" s="190">
        <f t="shared" si="2"/>
        <v>2800.5236143775196</v>
      </c>
      <c r="O13" s="140">
        <f t="shared" si="1"/>
        <v>0</v>
      </c>
    </row>
    <row r="14" spans="2:15" x14ac:dyDescent="0.25">
      <c r="B14" s="137">
        <v>3</v>
      </c>
      <c r="C14" s="137" t="s">
        <v>88</v>
      </c>
      <c r="D14" s="185">
        <v>0</v>
      </c>
      <c r="E14" s="186">
        <v>0</v>
      </c>
      <c r="F14" s="187">
        <v>0</v>
      </c>
      <c r="H14" s="192">
        <v>5.3999999999999999E-2</v>
      </c>
      <c r="I14" s="189">
        <v>2291.3375026725157</v>
      </c>
      <c r="K14" s="140">
        <f t="shared" si="0"/>
        <v>2291.3375026725157</v>
      </c>
      <c r="M14" s="190">
        <f t="shared" si="2"/>
        <v>2291.3375026725157</v>
      </c>
      <c r="O14" s="140">
        <f t="shared" si="1"/>
        <v>0</v>
      </c>
    </row>
    <row r="15" spans="2:15" x14ac:dyDescent="0.25">
      <c r="B15" s="136">
        <v>4</v>
      </c>
      <c r="C15" s="136" t="s">
        <v>86</v>
      </c>
      <c r="D15" s="191">
        <v>281.23999999999978</v>
      </c>
      <c r="E15" s="186">
        <v>0.30054714884158296</v>
      </c>
      <c r="F15" s="187">
        <v>58716.91188410882</v>
      </c>
      <c r="H15" s="192">
        <v>5.3999999999999999E-2</v>
      </c>
      <c r="I15" s="189">
        <v>2291.3375026725157</v>
      </c>
      <c r="K15" s="140">
        <f t="shared" si="0"/>
        <v>61008.249386781339</v>
      </c>
      <c r="M15" s="190">
        <f t="shared" si="2"/>
        <v>61008.249386781339</v>
      </c>
      <c r="O15" s="140">
        <f t="shared" si="1"/>
        <v>0</v>
      </c>
    </row>
    <row r="16" spans="2:15" x14ac:dyDescent="0.25">
      <c r="B16" s="137">
        <v>4</v>
      </c>
      <c r="C16" s="137" t="s">
        <v>89</v>
      </c>
      <c r="D16" s="185">
        <v>0</v>
      </c>
      <c r="E16" s="186">
        <v>0</v>
      </c>
      <c r="F16" s="187">
        <v>0</v>
      </c>
      <c r="H16" s="192">
        <v>6.6000000000000003E-2</v>
      </c>
      <c r="I16" s="189">
        <v>2800.5236143775196</v>
      </c>
      <c r="K16" s="140">
        <f t="shared" si="0"/>
        <v>2800.5236143775196</v>
      </c>
      <c r="M16" s="190">
        <f t="shared" si="2"/>
        <v>2800.5236143775196</v>
      </c>
      <c r="O16" s="140">
        <f t="shared" si="1"/>
        <v>0</v>
      </c>
    </row>
    <row r="17" spans="2:15" x14ac:dyDescent="0.25">
      <c r="B17" s="137">
        <v>4</v>
      </c>
      <c r="C17" s="137" t="s">
        <v>87</v>
      </c>
      <c r="D17" s="185">
        <v>39.36000000000022</v>
      </c>
      <c r="E17" s="186">
        <v>4.2062067196717325E-2</v>
      </c>
      <c r="F17" s="187">
        <v>8217.5282739245413</v>
      </c>
      <c r="H17" s="192">
        <v>6.6000000000000003E-2</v>
      </c>
      <c r="I17" s="189">
        <v>2800.5236143775196</v>
      </c>
      <c r="K17" s="140">
        <f t="shared" si="0"/>
        <v>11018.051888302061</v>
      </c>
      <c r="M17" s="190">
        <f t="shared" si="2"/>
        <v>11018.051888302061</v>
      </c>
      <c r="O17" s="140">
        <f t="shared" si="1"/>
        <v>0</v>
      </c>
    </row>
    <row r="18" spans="2:15" x14ac:dyDescent="0.25">
      <c r="B18" s="137">
        <v>4</v>
      </c>
      <c r="C18" s="137" t="s">
        <v>88</v>
      </c>
      <c r="D18" s="185">
        <v>0</v>
      </c>
      <c r="E18" s="186">
        <v>0</v>
      </c>
      <c r="F18" s="187">
        <v>0</v>
      </c>
      <c r="H18" s="192">
        <v>5.3999999999999999E-2</v>
      </c>
      <c r="I18" s="189">
        <v>2291.3375026725157</v>
      </c>
      <c r="K18" s="140">
        <f t="shared" si="0"/>
        <v>2291.3375026725157</v>
      </c>
      <c r="M18" s="190">
        <f t="shared" si="2"/>
        <v>2291.3375026725157</v>
      </c>
      <c r="O18" s="140">
        <f t="shared" si="1"/>
        <v>0</v>
      </c>
    </row>
    <row r="19" spans="2:15" x14ac:dyDescent="0.25">
      <c r="B19" s="137"/>
      <c r="C19" s="137"/>
      <c r="D19" s="185"/>
      <c r="E19" s="186"/>
      <c r="F19" s="194"/>
      <c r="H19" s="136"/>
      <c r="I19" s="195"/>
      <c r="K19" s="136"/>
      <c r="M19" s="139"/>
      <c r="O19" s="138"/>
    </row>
    <row r="20" spans="2:15" x14ac:dyDescent="0.25">
      <c r="B20" s="136"/>
      <c r="C20" s="136" t="s">
        <v>124</v>
      </c>
      <c r="D20" s="191">
        <f>SUM(D4:D19)</f>
        <v>935.76000000000033</v>
      </c>
      <c r="E20" s="138"/>
      <c r="F20" s="194">
        <f>SUM(F4:F19)</f>
        <v>195366.72402458303</v>
      </c>
      <c r="H20" s="196"/>
      <c r="I20" s="195">
        <f>SUM(I4:I19)</f>
        <v>40734.888936400283</v>
      </c>
      <c r="K20" s="140">
        <f>SUM(K4:K19)</f>
        <v>236101.61296098327</v>
      </c>
      <c r="M20" s="141">
        <f>SUM(M4:M19)</f>
        <v>226995.63066218441</v>
      </c>
      <c r="O20" s="140">
        <f>SUM(O4:O19)</f>
        <v>9105.9822987988518</v>
      </c>
    </row>
    <row r="21" spans="2:15" x14ac:dyDescent="0.25">
      <c r="B21" s="136"/>
      <c r="C21" s="136"/>
      <c r="D21" s="5"/>
      <c r="E21" s="5"/>
      <c r="F21" s="5"/>
    </row>
    <row r="22" spans="2:15" x14ac:dyDescent="0.25">
      <c r="B22" s="136" t="s">
        <v>90</v>
      </c>
      <c r="C22" s="136">
        <v>1</v>
      </c>
      <c r="D22" s="5"/>
      <c r="E22" s="5"/>
      <c r="F22" s="5"/>
      <c r="H22" s="192">
        <v>7.0000000000000001E-3</v>
      </c>
      <c r="I22" s="189">
        <v>297.02523182791873</v>
      </c>
      <c r="K22" s="189">
        <f>I22</f>
        <v>297.02523182791873</v>
      </c>
      <c r="M22" s="198">
        <f>K22</f>
        <v>297.02523182791873</v>
      </c>
      <c r="O22" s="140">
        <f t="shared" ref="O22:O29" si="3">K22-M22</f>
        <v>0</v>
      </c>
    </row>
    <row r="23" spans="2:15" x14ac:dyDescent="0.25">
      <c r="B23" s="136" t="s">
        <v>90</v>
      </c>
      <c r="C23" s="136">
        <v>2</v>
      </c>
      <c r="D23" s="5"/>
      <c r="E23" s="5"/>
      <c r="F23" s="5"/>
      <c r="H23" s="192">
        <v>6.0000000000000001E-3</v>
      </c>
      <c r="I23" s="189">
        <v>254.59305585250178</v>
      </c>
      <c r="K23" s="189">
        <f t="shared" ref="K23:K29" si="4">I23</f>
        <v>254.59305585250178</v>
      </c>
      <c r="M23" s="198">
        <f t="shared" ref="M23:M29" si="5">K23</f>
        <v>254.59305585250178</v>
      </c>
      <c r="O23" s="140">
        <f t="shared" si="3"/>
        <v>0</v>
      </c>
    </row>
    <row r="24" spans="2:15" x14ac:dyDescent="0.25">
      <c r="B24" s="136" t="s">
        <v>90</v>
      </c>
      <c r="C24" s="136">
        <v>3</v>
      </c>
      <c r="D24" s="5"/>
      <c r="E24" s="5"/>
      <c r="F24" s="5"/>
      <c r="H24" s="192">
        <v>6.0000000000000001E-3</v>
      </c>
      <c r="I24" s="189">
        <v>254.59305585250178</v>
      </c>
      <c r="K24" s="189">
        <f t="shared" si="4"/>
        <v>254.59305585250178</v>
      </c>
      <c r="M24" s="198">
        <f t="shared" si="5"/>
        <v>254.59305585250178</v>
      </c>
      <c r="O24" s="140">
        <f t="shared" si="3"/>
        <v>0</v>
      </c>
    </row>
    <row r="25" spans="2:15" x14ac:dyDescent="0.25">
      <c r="B25" s="136" t="s">
        <v>90</v>
      </c>
      <c r="C25" s="136">
        <v>4</v>
      </c>
      <c r="D25" s="5"/>
      <c r="E25" s="5"/>
      <c r="F25" s="5"/>
      <c r="H25" s="192">
        <v>6.0000000000000001E-3</v>
      </c>
      <c r="I25" s="189">
        <v>254.59305585250178</v>
      </c>
      <c r="K25" s="189">
        <f t="shared" si="4"/>
        <v>254.59305585250178</v>
      </c>
      <c r="M25" s="198">
        <f t="shared" si="5"/>
        <v>254.59305585250178</v>
      </c>
      <c r="O25" s="140">
        <f t="shared" si="3"/>
        <v>0</v>
      </c>
    </row>
    <row r="26" spans="2:15" x14ac:dyDescent="0.25">
      <c r="B26" s="136" t="s">
        <v>90</v>
      </c>
      <c r="C26" s="136">
        <v>5</v>
      </c>
      <c r="D26" s="5"/>
      <c r="E26" s="5"/>
      <c r="F26" s="5"/>
      <c r="H26" s="192">
        <v>6.0000000000000001E-3</v>
      </c>
      <c r="I26" s="189">
        <v>254.59305585250178</v>
      </c>
      <c r="K26" s="189">
        <f t="shared" si="4"/>
        <v>254.59305585250178</v>
      </c>
      <c r="M26" s="198">
        <f t="shared" si="5"/>
        <v>254.59305585250178</v>
      </c>
      <c r="O26" s="140">
        <f t="shared" si="3"/>
        <v>0</v>
      </c>
    </row>
    <row r="27" spans="2:15" x14ac:dyDescent="0.25">
      <c r="B27" s="136" t="s">
        <v>90</v>
      </c>
      <c r="C27" s="136">
        <v>6</v>
      </c>
      <c r="D27" s="5"/>
      <c r="E27" s="5"/>
      <c r="F27" s="5"/>
      <c r="H27" s="192">
        <v>3.0000000000000001E-3</v>
      </c>
      <c r="I27" s="189">
        <v>127.29652792625089</v>
      </c>
      <c r="K27" s="189">
        <f t="shared" si="4"/>
        <v>127.29652792625089</v>
      </c>
      <c r="M27" s="198">
        <f t="shared" si="5"/>
        <v>127.29652792625089</v>
      </c>
      <c r="O27" s="140">
        <f t="shared" si="3"/>
        <v>0</v>
      </c>
    </row>
    <row r="28" spans="2:15" x14ac:dyDescent="0.25">
      <c r="B28" s="136" t="s">
        <v>90</v>
      </c>
      <c r="C28" s="136">
        <v>7</v>
      </c>
      <c r="D28" s="5"/>
      <c r="E28" s="5"/>
      <c r="F28" s="5"/>
      <c r="H28" s="192">
        <v>3.0000000000000001E-3</v>
      </c>
      <c r="I28" s="189">
        <v>127.29652792625089</v>
      </c>
      <c r="K28" s="189">
        <f t="shared" si="4"/>
        <v>127.29652792625089</v>
      </c>
      <c r="M28" s="198">
        <f t="shared" si="5"/>
        <v>127.29652792625089</v>
      </c>
      <c r="O28" s="140">
        <f t="shared" si="3"/>
        <v>0</v>
      </c>
    </row>
    <row r="29" spans="2:15" x14ac:dyDescent="0.25">
      <c r="B29" s="136" t="s">
        <v>90</v>
      </c>
      <c r="C29" s="136">
        <v>8</v>
      </c>
      <c r="D29" s="5"/>
      <c r="E29" s="5"/>
      <c r="F29" s="5"/>
      <c r="H29" s="192">
        <v>3.0000000000000001E-3</v>
      </c>
      <c r="I29" s="189">
        <v>127.29652792625089</v>
      </c>
      <c r="K29" s="189">
        <f t="shared" si="4"/>
        <v>127.29652792625089</v>
      </c>
      <c r="M29" s="198">
        <f t="shared" si="5"/>
        <v>127.29652792625089</v>
      </c>
      <c r="O29" s="140">
        <f t="shared" si="3"/>
        <v>0</v>
      </c>
    </row>
    <row r="30" spans="2:15" x14ac:dyDescent="0.25">
      <c r="H30" s="138" t="s">
        <v>139</v>
      </c>
      <c r="I30" s="189">
        <f>SUM(I22:I29)</f>
        <v>1697.2870390166786</v>
      </c>
      <c r="K30" s="144">
        <f>SUM(K22:K29)</f>
        <v>1697.2870390166786</v>
      </c>
      <c r="M30" s="141">
        <f>SUM(M22:M29)</f>
        <v>1697.2870390166786</v>
      </c>
      <c r="O30" s="140">
        <f>SUM(O22:O29)</f>
        <v>0</v>
      </c>
    </row>
    <row r="31" spans="2:15" x14ac:dyDescent="0.25">
      <c r="O31" s="140"/>
    </row>
    <row r="32" spans="2:15" ht="15.75" x14ac:dyDescent="0.25">
      <c r="D32" s="257" t="s">
        <v>140</v>
      </c>
      <c r="E32" s="258"/>
      <c r="F32" s="199">
        <v>237798.9</v>
      </c>
      <c r="I32" s="200">
        <f>F20+I20+I30</f>
        <v>237798.89999999997</v>
      </c>
      <c r="K32" s="140">
        <f>K20+K30</f>
        <v>237798.89999999994</v>
      </c>
      <c r="M32" s="141">
        <f>M20+M30</f>
        <v>228692.91770120108</v>
      </c>
      <c r="O32" s="140">
        <f>O20+O30</f>
        <v>9105.9822987988518</v>
      </c>
    </row>
  </sheetData>
  <mergeCells count="3">
    <mergeCell ref="D2:F2"/>
    <mergeCell ref="H2:I2"/>
    <mergeCell ref="D32:E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workbookViewId="0">
      <selection activeCell="G3" sqref="G3"/>
    </sheetView>
  </sheetViews>
  <sheetFormatPr baseColWidth="10" defaultRowHeight="15" x14ac:dyDescent="0.25"/>
  <cols>
    <col min="4" max="4" width="4" customWidth="1"/>
    <col min="5" max="5" width="21.710937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ht="30" customHeight="1" x14ac:dyDescent="0.25">
      <c r="B3" s="136" t="s">
        <v>84</v>
      </c>
      <c r="C3" s="136" t="s">
        <v>85</v>
      </c>
      <c r="E3" s="138" t="s">
        <v>91</v>
      </c>
      <c r="G3" s="180" t="s">
        <v>125</v>
      </c>
      <c r="I3" s="255" t="s">
        <v>92</v>
      </c>
      <c r="J3" s="256"/>
    </row>
    <row r="4" spans="2:10" x14ac:dyDescent="0.25">
      <c r="B4" s="136"/>
      <c r="C4" s="136"/>
      <c r="E4" s="136"/>
      <c r="G4" s="139"/>
      <c r="I4" s="255"/>
      <c r="J4" s="256"/>
    </row>
    <row r="5" spans="2:10" x14ac:dyDescent="0.25">
      <c r="B5" s="136">
        <v>1</v>
      </c>
      <c r="C5" s="136" t="s">
        <v>86</v>
      </c>
      <c r="E5" s="140">
        <v>26132.02</v>
      </c>
      <c r="F5" s="2"/>
      <c r="G5" s="141">
        <f>E5</f>
        <v>26132.02</v>
      </c>
      <c r="I5" s="259">
        <f>E5-G5</f>
        <v>0</v>
      </c>
      <c r="J5" s="260"/>
    </row>
    <row r="6" spans="2:10" x14ac:dyDescent="0.25">
      <c r="B6" s="136">
        <v>1</v>
      </c>
      <c r="C6" s="136" t="s">
        <v>87</v>
      </c>
      <c r="E6" s="140">
        <v>12925.66</v>
      </c>
      <c r="F6" s="2"/>
      <c r="G6" s="141">
        <f t="shared" ref="G6:G19" si="0">E6</f>
        <v>12925.66</v>
      </c>
      <c r="I6" s="259">
        <f t="shared" ref="I6:I21" si="1">E6-G6</f>
        <v>0</v>
      </c>
      <c r="J6" s="260"/>
    </row>
    <row r="7" spans="2:10" x14ac:dyDescent="0.25">
      <c r="B7" s="136">
        <v>1</v>
      </c>
      <c r="C7" s="136" t="s">
        <v>88</v>
      </c>
      <c r="E7" s="140">
        <v>10709.96</v>
      </c>
      <c r="F7" s="2"/>
      <c r="G7" s="141">
        <f t="shared" si="0"/>
        <v>10709.96</v>
      </c>
      <c r="I7" s="259">
        <f t="shared" si="1"/>
        <v>0</v>
      </c>
      <c r="J7" s="260"/>
    </row>
    <row r="8" spans="2:10" x14ac:dyDescent="0.25">
      <c r="B8" s="136">
        <v>2</v>
      </c>
      <c r="C8" s="136" t="s">
        <v>86</v>
      </c>
      <c r="E8" s="140">
        <v>5448.33</v>
      </c>
      <c r="F8" s="2"/>
      <c r="G8" s="141">
        <f t="shared" si="0"/>
        <v>5448.33</v>
      </c>
      <c r="I8" s="259">
        <f t="shared" si="1"/>
        <v>0</v>
      </c>
      <c r="J8" s="260"/>
    </row>
    <row r="9" spans="2:10" x14ac:dyDescent="0.25">
      <c r="B9" s="137">
        <v>2</v>
      </c>
      <c r="C9" s="137" t="s">
        <v>89</v>
      </c>
      <c r="E9" s="140">
        <v>2716.04</v>
      </c>
      <c r="F9" s="2"/>
      <c r="G9" s="141">
        <f t="shared" si="0"/>
        <v>2716.04</v>
      </c>
      <c r="I9" s="259">
        <f t="shared" si="1"/>
        <v>0</v>
      </c>
      <c r="J9" s="260"/>
    </row>
    <row r="10" spans="2:10" x14ac:dyDescent="0.25">
      <c r="B10" s="137">
        <v>2</v>
      </c>
      <c r="C10" s="137" t="s">
        <v>87</v>
      </c>
      <c r="E10" s="140">
        <v>2716.04</v>
      </c>
      <c r="F10" s="2"/>
      <c r="G10" s="141">
        <f t="shared" si="0"/>
        <v>2716.04</v>
      </c>
      <c r="I10" s="259">
        <f t="shared" si="1"/>
        <v>0</v>
      </c>
      <c r="J10" s="260"/>
    </row>
    <row r="11" spans="2:10" x14ac:dyDescent="0.25">
      <c r="B11" s="137">
        <v>2</v>
      </c>
      <c r="C11" s="137" t="s">
        <v>88</v>
      </c>
      <c r="E11" s="140">
        <v>2222.21</v>
      </c>
      <c r="F11" s="2"/>
      <c r="G11" s="141">
        <f t="shared" si="0"/>
        <v>2222.21</v>
      </c>
      <c r="I11" s="259">
        <f t="shared" si="1"/>
        <v>0</v>
      </c>
      <c r="J11" s="260"/>
    </row>
    <row r="12" spans="2:10" x14ac:dyDescent="0.25">
      <c r="B12" s="137">
        <v>3</v>
      </c>
      <c r="C12" s="137" t="s">
        <v>86</v>
      </c>
      <c r="E12" s="140">
        <v>2222.21</v>
      </c>
      <c r="F12" s="2"/>
      <c r="G12" s="141">
        <f t="shared" si="0"/>
        <v>2222.21</v>
      </c>
      <c r="I12" s="259">
        <f t="shared" si="1"/>
        <v>0</v>
      </c>
      <c r="J12" s="260"/>
    </row>
    <row r="13" spans="2:10" x14ac:dyDescent="0.25">
      <c r="B13" s="136">
        <v>3</v>
      </c>
      <c r="C13" s="136" t="s">
        <v>89</v>
      </c>
      <c r="E13" s="140">
        <v>24018.62</v>
      </c>
      <c r="F13" s="2"/>
      <c r="G13" s="141">
        <f t="shared" si="0"/>
        <v>24018.62</v>
      </c>
      <c r="I13" s="259">
        <f t="shared" si="1"/>
        <v>0</v>
      </c>
      <c r="J13" s="260"/>
    </row>
    <row r="14" spans="2:10" x14ac:dyDescent="0.25">
      <c r="B14" s="137">
        <v>3</v>
      </c>
      <c r="C14" s="137" t="s">
        <v>87</v>
      </c>
      <c r="E14" s="140">
        <v>2716.04</v>
      </c>
      <c r="F14" s="2"/>
      <c r="G14" s="141">
        <f t="shared" si="0"/>
        <v>2716.04</v>
      </c>
      <c r="I14" s="259">
        <f t="shared" si="1"/>
        <v>0</v>
      </c>
      <c r="J14" s="260"/>
    </row>
    <row r="15" spans="2:10" x14ac:dyDescent="0.25">
      <c r="B15" s="137">
        <v>3</v>
      </c>
      <c r="C15" s="137" t="s">
        <v>88</v>
      </c>
      <c r="E15" s="140">
        <v>2222.21</v>
      </c>
      <c r="F15" s="2"/>
      <c r="G15" s="141">
        <f t="shared" si="0"/>
        <v>2222.21</v>
      </c>
      <c r="I15" s="259">
        <f t="shared" si="1"/>
        <v>0</v>
      </c>
      <c r="J15" s="260"/>
    </row>
    <row r="16" spans="2:10" x14ac:dyDescent="0.25">
      <c r="B16" s="136">
        <v>4</v>
      </c>
      <c r="C16" s="136" t="s">
        <v>86</v>
      </c>
      <c r="E16" s="140">
        <v>36166.800000000003</v>
      </c>
      <c r="F16" s="2"/>
      <c r="G16" s="141">
        <f t="shared" si="0"/>
        <v>36166.800000000003</v>
      </c>
      <c r="I16" s="259">
        <f t="shared" si="1"/>
        <v>0</v>
      </c>
      <c r="J16" s="260"/>
    </row>
    <row r="17" spans="2:10" x14ac:dyDescent="0.25">
      <c r="B17" s="137">
        <v>4</v>
      </c>
      <c r="C17" s="137" t="s">
        <v>89</v>
      </c>
      <c r="E17" s="140">
        <v>2716.04</v>
      </c>
      <c r="F17" s="2"/>
      <c r="G17" s="141">
        <f t="shared" si="0"/>
        <v>2716.04</v>
      </c>
      <c r="I17" s="259">
        <f t="shared" si="1"/>
        <v>0</v>
      </c>
      <c r="J17" s="260"/>
    </row>
    <row r="18" spans="2:10" x14ac:dyDescent="0.25">
      <c r="B18" s="136">
        <v>4</v>
      </c>
      <c r="C18" s="136" t="s">
        <v>87</v>
      </c>
      <c r="E18" s="140">
        <v>9014.634</v>
      </c>
      <c r="F18" s="2"/>
      <c r="G18" s="141">
        <f t="shared" si="0"/>
        <v>9014.634</v>
      </c>
      <c r="I18" s="259">
        <f t="shared" si="1"/>
        <v>0</v>
      </c>
      <c r="J18" s="260"/>
    </row>
    <row r="19" spans="2:10" x14ac:dyDescent="0.25">
      <c r="B19" s="137">
        <v>4</v>
      </c>
      <c r="C19" s="137" t="s">
        <v>88</v>
      </c>
      <c r="E19" s="140">
        <v>2222.21</v>
      </c>
      <c r="F19" s="2"/>
      <c r="G19" s="141">
        <f t="shared" si="0"/>
        <v>2222.21</v>
      </c>
      <c r="I19" s="259">
        <f t="shared" si="1"/>
        <v>0</v>
      </c>
      <c r="J19" s="260"/>
    </row>
    <row r="20" spans="2:10" x14ac:dyDescent="0.25">
      <c r="B20" s="136"/>
      <c r="C20" s="136"/>
      <c r="E20" s="136"/>
      <c r="G20" s="139"/>
      <c r="I20" s="259"/>
      <c r="J20" s="260"/>
    </row>
    <row r="21" spans="2:10" x14ac:dyDescent="0.25">
      <c r="B21" s="173" t="s">
        <v>124</v>
      </c>
      <c r="C21" s="173"/>
      <c r="D21" s="174"/>
      <c r="E21" s="175">
        <f>SUM(E5:E20)</f>
        <v>144169.02399999998</v>
      </c>
      <c r="F21" s="176"/>
      <c r="G21" s="175">
        <f>SUM(G5:G20)</f>
        <v>144169.02399999998</v>
      </c>
      <c r="I21" s="259">
        <f t="shared" si="1"/>
        <v>0</v>
      </c>
      <c r="J21" s="260"/>
    </row>
    <row r="22" spans="2:10" x14ac:dyDescent="0.25">
      <c r="B22" s="136" t="s">
        <v>90</v>
      </c>
      <c r="C22" s="136">
        <v>1</v>
      </c>
      <c r="E22" s="146">
        <v>288.06</v>
      </c>
      <c r="G22" s="147">
        <f>E22</f>
        <v>288.06</v>
      </c>
      <c r="I22" s="259">
        <f t="shared" ref="I22" si="2">E22-G22</f>
        <v>0</v>
      </c>
      <c r="J22" s="260"/>
    </row>
    <row r="23" spans="2:10" x14ac:dyDescent="0.25">
      <c r="B23" s="136" t="s">
        <v>90</v>
      </c>
      <c r="C23" s="136">
        <v>2</v>
      </c>
      <c r="E23" s="146">
        <v>246.91</v>
      </c>
      <c r="G23" s="147">
        <f t="shared" ref="G23:G29" si="3">E23</f>
        <v>246.91</v>
      </c>
      <c r="I23" s="259">
        <f t="shared" ref="I23:I31" si="4">E23-G23</f>
        <v>0</v>
      </c>
      <c r="J23" s="260"/>
    </row>
    <row r="24" spans="2:10" x14ac:dyDescent="0.25">
      <c r="B24" s="136" t="s">
        <v>90</v>
      </c>
      <c r="C24" s="136">
        <v>3</v>
      </c>
      <c r="E24" s="146">
        <v>246.91</v>
      </c>
      <c r="G24" s="147">
        <f t="shared" si="3"/>
        <v>246.91</v>
      </c>
      <c r="I24" s="259">
        <f t="shared" si="4"/>
        <v>0</v>
      </c>
      <c r="J24" s="260"/>
    </row>
    <row r="25" spans="2:10" x14ac:dyDescent="0.25">
      <c r="B25" s="136" t="s">
        <v>90</v>
      </c>
      <c r="C25" s="136">
        <v>4</v>
      </c>
      <c r="E25" s="146">
        <v>246.91</v>
      </c>
      <c r="G25" s="147">
        <f t="shared" si="3"/>
        <v>246.91</v>
      </c>
      <c r="I25" s="259">
        <f t="shared" si="4"/>
        <v>0</v>
      </c>
      <c r="J25" s="260"/>
    </row>
    <row r="26" spans="2:10" x14ac:dyDescent="0.25">
      <c r="B26" s="136" t="s">
        <v>90</v>
      </c>
      <c r="C26" s="136">
        <v>5</v>
      </c>
      <c r="E26" s="146">
        <v>246.91</v>
      </c>
      <c r="G26" s="147">
        <f t="shared" si="3"/>
        <v>246.91</v>
      </c>
      <c r="I26" s="259">
        <f t="shared" si="4"/>
        <v>0</v>
      </c>
      <c r="J26" s="260"/>
    </row>
    <row r="27" spans="2:10" x14ac:dyDescent="0.25">
      <c r="B27" s="136" t="s">
        <v>90</v>
      </c>
      <c r="C27" s="136">
        <v>6</v>
      </c>
      <c r="E27" s="146">
        <v>123.46</v>
      </c>
      <c r="G27" s="147">
        <f t="shared" si="3"/>
        <v>123.46</v>
      </c>
      <c r="I27" s="259">
        <f t="shared" si="4"/>
        <v>0</v>
      </c>
      <c r="J27" s="260"/>
    </row>
    <row r="28" spans="2:10" x14ac:dyDescent="0.25">
      <c r="B28" s="136" t="s">
        <v>90</v>
      </c>
      <c r="C28" s="136">
        <v>7</v>
      </c>
      <c r="E28" s="146">
        <v>123.46</v>
      </c>
      <c r="G28" s="147">
        <f t="shared" si="3"/>
        <v>123.46</v>
      </c>
      <c r="I28" s="259">
        <f t="shared" si="4"/>
        <v>0</v>
      </c>
      <c r="J28" s="260"/>
    </row>
    <row r="29" spans="2:10" x14ac:dyDescent="0.25">
      <c r="B29" s="136" t="s">
        <v>90</v>
      </c>
      <c r="C29" s="136">
        <v>8</v>
      </c>
      <c r="E29" s="146">
        <v>123.46</v>
      </c>
      <c r="G29" s="147">
        <f t="shared" si="3"/>
        <v>123.46</v>
      </c>
      <c r="I29" s="259">
        <f t="shared" si="4"/>
        <v>0</v>
      </c>
      <c r="J29" s="260"/>
    </row>
    <row r="30" spans="2:10" x14ac:dyDescent="0.25">
      <c r="B30" s="178" t="s">
        <v>124</v>
      </c>
      <c r="C30" s="179"/>
      <c r="D30" s="177"/>
      <c r="E30" s="175">
        <f>SUM(E22:E29)</f>
        <v>1646.0800000000002</v>
      </c>
      <c r="F30" s="177"/>
      <c r="G30" s="175">
        <f>SUM(G22:G29)</f>
        <v>1646.0800000000002</v>
      </c>
      <c r="I30" s="259">
        <f t="shared" si="4"/>
        <v>0</v>
      </c>
      <c r="J30" s="260"/>
    </row>
    <row r="31" spans="2:10" x14ac:dyDescent="0.25">
      <c r="E31" s="144"/>
      <c r="G31" s="141"/>
      <c r="I31" s="259">
        <f t="shared" si="4"/>
        <v>0</v>
      </c>
      <c r="J31" s="260"/>
    </row>
    <row r="32" spans="2:10" x14ac:dyDescent="0.25">
      <c r="E32" s="142"/>
      <c r="G32" s="143"/>
      <c r="I32" s="259"/>
      <c r="J32" s="260"/>
    </row>
    <row r="33" spans="5:10" x14ac:dyDescent="0.25">
      <c r="E33" s="144">
        <f>E30+E21</f>
        <v>145815.10399999996</v>
      </c>
      <c r="G33" s="141">
        <f>G21+G30</f>
        <v>145815.10399999996</v>
      </c>
      <c r="I33" s="259">
        <f>E33-G33</f>
        <v>0</v>
      </c>
      <c r="J33" s="260"/>
    </row>
  </sheetData>
  <mergeCells count="31"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PRORRATEO</vt:lpstr>
      <vt:lpstr>Hoja1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2026-02-02T22:37:43Z</cp:lastPrinted>
  <dcterms:created xsi:type="dcterms:W3CDTF">2023-09-17T12:29:07Z</dcterms:created>
  <dcterms:modified xsi:type="dcterms:W3CDTF">2026-02-02T22:37:53Z</dcterms:modified>
</cp:coreProperties>
</file>