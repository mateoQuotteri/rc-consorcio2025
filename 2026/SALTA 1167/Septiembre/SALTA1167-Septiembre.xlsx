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LTA 1167\Septiembre\"/>
    </mc:Choice>
  </mc:AlternateContent>
  <xr:revisionPtr revIDLastSave="0" documentId="13_ncr:1_{A98DFE70-CCD2-4F04-B478-D603059DBF73}" xr6:coauthVersionLast="47" xr6:coauthVersionMax="47" xr10:uidLastSave="{00000000-0000-0000-0000-000000000000}"/>
  <bookViews>
    <workbookView xWindow="-108" yWindow="-108" windowWidth="23256" windowHeight="12576" tabRatio="850" activeTab="1" xr2:uid="{00000000-000D-0000-FFFF-FFFF00000000}"/>
  </bookViews>
  <sheets>
    <sheet name="RESUMEN" sheetId="1" r:id="rId1"/>
    <sheet name="PRORRATEO" sheetId="2" r:id="rId2"/>
    <sheet name="EDESUR" sheetId="7" r:id="rId3"/>
    <sheet name="Anotaciones" sheetId="4" r:id="rId4"/>
  </sheets>
  <definedNames>
    <definedName name="_xlnm.Print_Area" localSheetId="1">PRORRATEO!$A$1:$P$44</definedName>
    <definedName name="_xlnm.Print_Area" localSheetId="0">RESUMEN!$A$1:$E$94</definedName>
  </definedNames>
  <calcPr calcId="181029"/>
</workbook>
</file>

<file path=xl/calcChain.xml><?xml version="1.0" encoding="utf-8"?>
<calcChain xmlns="http://schemas.openxmlformats.org/spreadsheetml/2006/main">
  <c r="E48" i="1" l="1"/>
  <c r="G13" i="2"/>
  <c r="G14" i="2"/>
  <c r="G35" i="2"/>
  <c r="G15" i="2"/>
  <c r="G28" i="2"/>
  <c r="G18" i="2"/>
  <c r="G20" i="2"/>
  <c r="G21" i="2"/>
  <c r="G33" i="2"/>
  <c r="G22" i="2"/>
  <c r="G24" i="2"/>
  <c r="G23" i="2"/>
  <c r="G16" i="2"/>
  <c r="G30" i="2"/>
  <c r="L20" i="2" l="1"/>
  <c r="L15" i="2"/>
  <c r="L16" i="2"/>
  <c r="L17" i="2"/>
  <c r="L18" i="2"/>
  <c r="L19" i="2"/>
  <c r="L22" i="2"/>
  <c r="L23" i="2"/>
  <c r="L24" i="2"/>
  <c r="L25" i="2"/>
  <c r="L26" i="2"/>
  <c r="L27" i="2"/>
  <c r="L28" i="2"/>
  <c r="L30" i="2"/>
  <c r="L31" i="2"/>
  <c r="L32" i="2"/>
  <c r="L33" i="2"/>
  <c r="L34" i="2"/>
  <c r="L35" i="2"/>
  <c r="L13" i="2"/>
  <c r="L14" i="2"/>
  <c r="M30" i="7"/>
  <c r="I30" i="7"/>
  <c r="K29" i="7"/>
  <c r="O29" i="7" s="1"/>
  <c r="K28" i="7"/>
  <c r="O28" i="7" s="1"/>
  <c r="K27" i="7"/>
  <c r="O27" i="7" s="1"/>
  <c r="K26" i="7"/>
  <c r="O26" i="7" s="1"/>
  <c r="K25" i="7"/>
  <c r="O25" i="7" s="1"/>
  <c r="K24" i="7"/>
  <c r="O24" i="7" s="1"/>
  <c r="K23" i="7"/>
  <c r="O23" i="7" s="1"/>
  <c r="K22" i="7"/>
  <c r="K30" i="7" s="1"/>
  <c r="I20" i="7"/>
  <c r="I32" i="7" s="1"/>
  <c r="F20" i="7"/>
  <c r="D20" i="7"/>
  <c r="M18" i="7"/>
  <c r="K18" i="7"/>
  <c r="O18" i="7" s="1"/>
  <c r="K17" i="7"/>
  <c r="M16" i="7"/>
  <c r="K16" i="7"/>
  <c r="O16" i="7" s="1"/>
  <c r="K15" i="7"/>
  <c r="M15" i="7" s="1"/>
  <c r="O15" i="7" s="1"/>
  <c r="M14" i="7"/>
  <c r="O14" i="7" s="1"/>
  <c r="K14" i="7"/>
  <c r="K13" i="7"/>
  <c r="K12" i="7"/>
  <c r="O12" i="7" s="1"/>
  <c r="M11" i="7"/>
  <c r="O11" i="7" s="1"/>
  <c r="K11" i="7"/>
  <c r="K10" i="7"/>
  <c r="M9" i="7"/>
  <c r="K9" i="7"/>
  <c r="O9" i="7" s="1"/>
  <c r="K8" i="7"/>
  <c r="M8" i="7" s="1"/>
  <c r="O8" i="7" s="1"/>
  <c r="M7" i="7"/>
  <c r="O7" i="7" s="1"/>
  <c r="K7" i="7"/>
  <c r="K6" i="7"/>
  <c r="K5" i="7"/>
  <c r="O5" i="7" s="1"/>
  <c r="M4" i="7"/>
  <c r="K4" i="7"/>
  <c r="K20" i="7" s="1"/>
  <c r="O13" i="7" l="1"/>
  <c r="K32" i="7"/>
  <c r="O4" i="7"/>
  <c r="M6" i="7"/>
  <c r="M20" i="7" s="1"/>
  <c r="M32" i="7" s="1"/>
  <c r="M10" i="7"/>
  <c r="O10" i="7" s="1"/>
  <c r="M13" i="7"/>
  <c r="M17" i="7"/>
  <c r="O17" i="7" s="1"/>
  <c r="O22" i="7"/>
  <c r="O30" i="7" s="1"/>
  <c r="O6" i="7" l="1"/>
  <c r="O20" i="7" s="1"/>
  <c r="O32" i="7" s="1"/>
  <c r="G26" i="2" l="1"/>
  <c r="G19" i="2"/>
  <c r="G17" i="2"/>
  <c r="G31" i="2"/>
  <c r="E39" i="1" l="1"/>
  <c r="E34" i="1"/>
  <c r="G29" i="2" l="1"/>
  <c r="E46" i="1" l="1"/>
  <c r="E42" i="1"/>
  <c r="G27" i="2" l="1"/>
  <c r="G32" i="2" l="1"/>
  <c r="E27" i="1"/>
  <c r="H22" i="2" l="1"/>
  <c r="E30" i="1" l="1"/>
  <c r="E24" i="1" l="1"/>
  <c r="E50" i="1" s="1"/>
  <c r="B79" i="1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3" i="2"/>
  <c r="K13" i="2"/>
  <c r="G34" i="2"/>
  <c r="G36" i="2" l="1"/>
  <c r="L36" i="2"/>
  <c r="K31" i="2" l="1"/>
  <c r="K32" i="2"/>
  <c r="K33" i="2"/>
  <c r="K34" i="2"/>
  <c r="K35" i="2"/>
  <c r="H31" i="2"/>
  <c r="H32" i="2"/>
  <c r="H33" i="2"/>
  <c r="H34" i="2"/>
  <c r="H35" i="2"/>
  <c r="E36" i="2"/>
  <c r="I33" i="2" l="1"/>
  <c r="N33" i="2" s="1"/>
  <c r="I32" i="2"/>
  <c r="N32" i="2" s="1"/>
  <c r="I35" i="2"/>
  <c r="N35" i="2" s="1"/>
  <c r="I31" i="2"/>
  <c r="N31" i="2" s="1"/>
  <c r="I34" i="2"/>
  <c r="N34" i="2" s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39" i="2" l="1"/>
  <c r="H24" i="2" l="1"/>
  <c r="E58" i="1" l="1"/>
  <c r="E63" i="1" s="1"/>
  <c r="B67" i="1" s="1"/>
  <c r="B78" i="1" l="1"/>
  <c r="B82" i="1" s="1"/>
  <c r="B93" i="1"/>
  <c r="B73" i="1" l="1"/>
  <c r="H27" i="2" l="1"/>
  <c r="N12" i="2" l="1"/>
  <c r="Q14" i="2" l="1"/>
  <c r="Q15" i="2" l="1"/>
  <c r="B74" i="1"/>
  <c r="F36" i="2"/>
  <c r="Q16" i="2" l="1"/>
  <c r="H14" i="2"/>
  <c r="H15" i="2"/>
  <c r="H16" i="2"/>
  <c r="H17" i="2"/>
  <c r="H18" i="2"/>
  <c r="H19" i="2"/>
  <c r="H20" i="2"/>
  <c r="H21" i="2"/>
  <c r="H23" i="2"/>
  <c r="H25" i="2"/>
  <c r="H26" i="2"/>
  <c r="H28" i="2"/>
  <c r="H29" i="2"/>
  <c r="H30" i="2"/>
  <c r="H13" i="2"/>
  <c r="Q17" i="2" l="1"/>
  <c r="B68" i="1"/>
  <c r="H36" i="2"/>
  <c r="I30" i="2"/>
  <c r="N30" i="2" s="1"/>
  <c r="I18" i="2"/>
  <c r="N18" i="2" s="1"/>
  <c r="I29" i="2"/>
  <c r="N29" i="2" s="1"/>
  <c r="I25" i="2"/>
  <c r="N25" i="2" s="1"/>
  <c r="I21" i="2"/>
  <c r="N21" i="2" s="1"/>
  <c r="I17" i="2"/>
  <c r="N17" i="2" s="1"/>
  <c r="I26" i="2"/>
  <c r="N26" i="2" s="1"/>
  <c r="I14" i="2"/>
  <c r="N14" i="2" s="1"/>
  <c r="I28" i="2"/>
  <c r="N28" i="2" s="1"/>
  <c r="I24" i="2"/>
  <c r="N24" i="2" s="1"/>
  <c r="I20" i="2"/>
  <c r="N20" i="2" s="1"/>
  <c r="I16" i="2"/>
  <c r="N16" i="2" s="1"/>
  <c r="I22" i="2"/>
  <c r="N22" i="2" s="1"/>
  <c r="I27" i="2"/>
  <c r="N27" i="2" s="1"/>
  <c r="I23" i="2"/>
  <c r="N23" i="2" s="1"/>
  <c r="I19" i="2"/>
  <c r="N19" i="2" s="1"/>
  <c r="I15" i="2"/>
  <c r="N15" i="2" s="1"/>
  <c r="I13" i="2"/>
  <c r="N13" i="2" s="1"/>
  <c r="Q18" i="2" l="1"/>
  <c r="I36" i="2"/>
  <c r="P18" i="2" l="1"/>
  <c r="Q19" i="2"/>
  <c r="P14" i="2"/>
  <c r="P13" i="2"/>
  <c r="P17" i="2"/>
  <c r="P16" i="2"/>
  <c r="P15" i="2"/>
  <c r="O16" i="2"/>
  <c r="O13" i="2"/>
  <c r="O15" i="2"/>
  <c r="O17" i="2"/>
  <c r="O14" i="2"/>
  <c r="J36" i="2"/>
  <c r="Q20" i="2" l="1"/>
  <c r="O18" i="2"/>
  <c r="B66" i="1"/>
  <c r="B72" i="1" s="1"/>
  <c r="B75" i="1" s="1"/>
  <c r="O19" i="2" l="1"/>
  <c r="P19" i="2"/>
  <c r="Q21" i="2"/>
  <c r="B65" i="1"/>
  <c r="P20" i="2" l="1"/>
  <c r="O20" i="2"/>
  <c r="Q22" i="2"/>
  <c r="K36" i="2"/>
  <c r="O21" i="2" l="1"/>
  <c r="P21" i="2"/>
  <c r="Q23" i="2"/>
  <c r="O22" i="2" l="1"/>
  <c r="P22" i="2"/>
  <c r="Q24" i="2"/>
  <c r="O23" i="2" l="1"/>
  <c r="P23" i="2"/>
  <c r="Q25" i="2"/>
  <c r="P24" i="2" l="1"/>
  <c r="O24" i="2"/>
  <c r="Q26" i="2"/>
  <c r="P25" i="2" l="1"/>
  <c r="O25" i="2"/>
  <c r="Q27" i="2"/>
  <c r="P26" i="2" l="1"/>
  <c r="O26" i="2"/>
  <c r="Q28" i="2"/>
  <c r="P27" i="2" l="1"/>
  <c r="O27" i="2"/>
  <c r="Q29" i="2"/>
  <c r="P28" i="2" l="1"/>
  <c r="O28" i="2"/>
  <c r="Q30" i="2"/>
  <c r="O29" i="2" l="1"/>
  <c r="P29" i="2"/>
  <c r="Q31" i="2"/>
  <c r="P31" i="2" l="1"/>
  <c r="Q32" i="2"/>
  <c r="O30" i="2"/>
  <c r="O36" i="2" s="1"/>
  <c r="P30" i="2"/>
  <c r="Q33" i="2" l="1"/>
  <c r="P33" i="2" l="1"/>
  <c r="Q34" i="2"/>
  <c r="P32" i="2"/>
  <c r="Q35" i="2" l="1"/>
  <c r="P35" i="2" s="1"/>
  <c r="P34" i="2" l="1"/>
  <c r="P36" i="2" s="1"/>
  <c r="N36" i="2"/>
</calcChain>
</file>

<file path=xl/sharedStrings.xml><?xml version="1.0" encoding="utf-8"?>
<sst xmlns="http://schemas.openxmlformats.org/spreadsheetml/2006/main" count="196" uniqueCount="157">
  <si>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</si>
  <si>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</si>
  <si>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</si>
  <si>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</si>
  <si>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</si>
  <si>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</si>
  <si>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</si>
  <si>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</si>
  <si>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</si>
  <si>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</si>
  <si>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</si>
  <si>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</si>
  <si>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</si>
  <si>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</si>
  <si>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</si>
  <si>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</si>
  <si>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</si>
  <si>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</si>
  <si>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</si>
  <si>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</si>
  <si>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</si>
  <si>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</si>
  <si>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</si>
  <si>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</si>
  <si>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</si>
  <si>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</si>
  <si>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</si>
  <si>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</si>
  <si>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</si>
  <si>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</si>
  <si>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</si>
  <si>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</si>
  <si>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</si>
  <si>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</si>
  <si>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</si>
  <si>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</si>
  <si>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</si>
  <si>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</si>
  <si>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</si>
  <si>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</si>
  <si>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</si>
  <si>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</si>
  <si>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</si>
  <si>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</si>
  <si>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</si>
  <si>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</si>
  <si>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</si>
  <si>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</si>
  <si>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</si>
  <si>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</si>
  <si>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</si>
  <si>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</si>
  <si>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</si>
  <si>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</si>
  <si>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</si>
  <si>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</si>
  <si>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</si>
  <si>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</si>
  <si>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</si>
  <si>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</si>
  <si>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</si>
  <si>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</si>
  <si>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</si>
  <si>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</si>
  <si>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</si>
  <si>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</si>
  <si>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</si>
  <si>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</si>
  <si>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</si>
  <si>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</si>
  <si>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</si>
  <si>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</si>
  <si>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</si>
  <si>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</si>
  <si>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</si>
  <si>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</si>
  <si>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</si>
  <si>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</si>
  <si>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</si>
  <si>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</si>
  <si>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</si>
  <si>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</si>
  <si>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</si>
  <si>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</si>
  <si>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</si>
  <si>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</si>
  <si>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</si>
  <si>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</si>
  <si>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</si>
  <si>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</si>
  <si>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</si>
  <si>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</si>
  <si>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</si>
  <si>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</si>
  <si>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</si>
  <si>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</si>
  <si>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</si>
  <si>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</si>
  <si>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</si>
  <si>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</si>
  <si>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</si>
  <si>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</si>
  <si>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</si>
  <si>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</si>
  <si>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</si>
  <si>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</si>
  <si>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</si>
  <si>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</si>
  <si>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</si>
  <si>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</si>
  <si>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</si>
  <si>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</si>
  <si>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</si>
  <si>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</si>
  <si>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</si>
  <si>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</si>
  <si>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</si>
  <si>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Federacion patronal  Seguro obligatorio de consorcio - Poliza nro. 1-2249124-0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</si>
  <si>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</si>
  <si>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</si>
  <si>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10 A 15HS - EMERGENCIAS 24HS</t>
  </si>
  <si>
    <t>Cristian Rodrigo Centurion</t>
  </si>
  <si>
    <t>CONSORCIO DE PROPIETARIOS DEL EDIFICIO CALLE SALTA 1167</t>
  </si>
  <si>
    <t>SUM</t>
  </si>
  <si>
    <t>FCI FIMA</t>
  </si>
  <si>
    <t>Saldo al 01/07</t>
  </si>
  <si>
    <t>Consumo Kw</t>
  </si>
  <si>
    <t>% Consumido</t>
  </si>
  <si>
    <t xml:space="preserve">Consumo x Dep </t>
  </si>
  <si>
    <t>Cons Esp Com</t>
  </si>
  <si>
    <t>Cons Coch</t>
  </si>
  <si>
    <t>TOTAL FACT EDESUR</t>
  </si>
  <si>
    <t>A gaston le doble cobramos un sum erroneamente el mes pasado, corregir en agosto - Debe abonar 132.216,09 , pago 182.216,09</t>
  </si>
  <si>
    <t>Mantenimiento de cuenta</t>
  </si>
  <si>
    <t>Bonificado</t>
  </si>
  <si>
    <t>Consumos PARTICULARES</t>
  </si>
  <si>
    <t>Consumos GENERALES</t>
  </si>
  <si>
    <t>Total Edesur x Depto</t>
  </si>
  <si>
    <t>Bonificado x EDESUR</t>
  </si>
  <si>
    <t>SALDO a PAGAR</t>
  </si>
  <si>
    <t>Porcentaje</t>
  </si>
  <si>
    <t>Totales</t>
  </si>
  <si>
    <t>Mes ANTERIOR</t>
  </si>
  <si>
    <t>VTO 16/10</t>
  </si>
  <si>
    <t>PERÍODO: SEPTIEMBRE</t>
  </si>
  <si>
    <t xml:space="preserve">Honorario administracion - Mes de SEPTIEMBRE </t>
  </si>
  <si>
    <t>Transf 18/09</t>
  </si>
  <si>
    <t>Transf 07/09</t>
  </si>
  <si>
    <t>Transf 13/09</t>
  </si>
  <si>
    <t>Transf 01/09</t>
  </si>
  <si>
    <t>Transf 30/09</t>
  </si>
  <si>
    <t>Gonzalez Matias - Compra de paneles de luz fria y lamparas</t>
  </si>
  <si>
    <t>Arreglo Cielorraso - Dpto. 1C</t>
  </si>
  <si>
    <t>Transferido 1C</t>
  </si>
  <si>
    <t>SALDO A 30/09</t>
  </si>
  <si>
    <t>Transf 28/09</t>
  </si>
  <si>
    <t>Cristian oscar Rifici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</si>
</sst>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0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10" fontId="2" fillId="5" borderId="10" xfId="0" applyNumberFormat="1" applyFont="1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8" borderId="1" xfId="0" applyFont="1" applyFill="1" applyBorder="1"/>
    <xf numFmtId="0" fontId="2" fillId="8" borderId="6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3" fillId="3" borderId="1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2" fillId="0" borderId="1" xfId="0" applyFont="1" applyBorder="1" applyAlignment="1">
      <alignment horizontal="center"/>
    </xf>
    <xf numFmtId="44" fontId="14" fillId="0" borderId="1" xfId="1" applyFont="1" applyBorder="1"/>
    <xf numFmtId="44" fontId="14" fillId="2" borderId="1" xfId="1" applyFont="1" applyFill="1" applyBorder="1"/>
    <xf numFmtId="165" fontId="12" fillId="0" borderId="1" xfId="0" applyNumberFormat="1" applyFont="1" applyBorder="1"/>
    <xf numFmtId="44" fontId="14" fillId="0" borderId="6" xfId="1" applyFont="1" applyBorder="1"/>
    <xf numFmtId="44" fontId="14" fillId="0" borderId="28" xfId="1" applyFont="1" applyBorder="1"/>
    <xf numFmtId="0" fontId="12" fillId="0" borderId="7" xfId="0" applyFont="1" applyBorder="1"/>
    <xf numFmtId="0" fontId="12" fillId="0" borderId="23" xfId="0" applyFont="1" applyBorder="1"/>
    <xf numFmtId="44" fontId="14" fillId="0" borderId="2" xfId="1" applyFont="1" applyBorder="1"/>
    <xf numFmtId="0" fontId="12" fillId="0" borderId="2" xfId="0" applyFont="1" applyBorder="1"/>
    <xf numFmtId="44" fontId="14" fillId="0" borderId="27" xfId="1" applyFont="1" applyBorder="1"/>
    <xf numFmtId="0" fontId="12" fillId="4" borderId="26" xfId="0" applyFont="1" applyFill="1" applyBorder="1"/>
    <xf numFmtId="0" fontId="12" fillId="4" borderId="13" xfId="0" applyFont="1" applyFill="1" applyBorder="1"/>
    <xf numFmtId="44" fontId="12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6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0" fontId="16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6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5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2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16" fillId="2" borderId="1" xfId="0" applyFont="1" applyFill="1" applyBorder="1"/>
    <xf numFmtId="44" fontId="4" fillId="2" borderId="1" xfId="1" applyFont="1" applyFill="1" applyBorder="1"/>
    <xf numFmtId="0" fontId="13" fillId="0" borderId="1" xfId="1" applyNumberFormat="1" applyFont="1" applyBorder="1"/>
    <xf numFmtId="165" fontId="12" fillId="0" borderId="6" xfId="1" applyNumberFormat="1" applyFont="1" applyBorder="1"/>
    <xf numFmtId="8" fontId="10" fillId="4" borderId="1" xfId="0" applyNumberFormat="1" applyFont="1" applyFill="1" applyBorder="1"/>
    <xf numFmtId="166" fontId="0" fillId="2" borderId="0" xfId="1" applyNumberFormat="1" applyFont="1" applyFill="1" applyAlignment="1"/>
    <xf numFmtId="44" fontId="17" fillId="0" borderId="1" xfId="1" applyFont="1" applyBorder="1" applyAlignment="1">
      <alignment horizontal="left" vertical="center" wrapText="1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168" fontId="12" fillId="4" borderId="13" xfId="0" applyNumberFormat="1" applyFont="1" applyFill="1" applyBorder="1" applyAlignment="1">
      <alignment horizontal="center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12" fillId="2" borderId="1" xfId="0" applyFont="1" applyFill="1" applyBorder="1"/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165" fontId="12" fillId="2" borderId="1" xfId="0" applyNumberFormat="1" applyFont="1" applyFill="1" applyBorder="1"/>
    <xf numFmtId="165" fontId="12" fillId="2" borderId="6" xfId="1" applyNumberFormat="1" applyFont="1" applyFill="1" applyBorder="1"/>
    <xf numFmtId="44" fontId="14" fillId="2" borderId="6" xfId="1" applyFont="1" applyFill="1" applyBorder="1"/>
    <xf numFmtId="44" fontId="14" fillId="2" borderId="28" xfId="1" applyFont="1" applyFill="1" applyBorder="1"/>
    <xf numFmtId="44" fontId="14" fillId="0" borderId="7" xfId="1" applyFont="1" applyBorder="1"/>
    <xf numFmtId="165" fontId="12" fillId="0" borderId="1" xfId="1" applyNumberFormat="1" applyFont="1" applyBorder="1"/>
    <xf numFmtId="44" fontId="11" fillId="8" borderId="1" xfId="1" applyFont="1" applyFill="1" applyBorder="1" applyAlignment="1">
      <alignment vertical="center"/>
    </xf>
    <xf numFmtId="170" fontId="0" fillId="0" borderId="0" xfId="0" applyNumberFormat="1"/>
    <xf numFmtId="8" fontId="9" fillId="4" borderId="1" xfId="1" applyNumberFormat="1" applyFont="1" applyFill="1" applyBorder="1"/>
    <xf numFmtId="44" fontId="9" fillId="4" borderId="3" xfId="1" applyFont="1" applyFill="1" applyBorder="1"/>
    <xf numFmtId="44" fontId="16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0" fillId="4" borderId="3" xfId="1" applyFont="1" applyFill="1" applyBorder="1"/>
    <xf numFmtId="44" fontId="16" fillId="0" borderId="1" xfId="1" applyFont="1" applyBorder="1" applyAlignment="1">
      <alignment wrapText="1"/>
    </xf>
    <xf numFmtId="44" fontId="16" fillId="2" borderId="3" xfId="1" applyFont="1" applyFill="1" applyBorder="1"/>
    <xf numFmtId="44" fontId="16" fillId="2" borderId="1" xfId="1" applyFont="1" applyFill="1" applyBorder="1"/>
    <xf numFmtId="0" fontId="13" fillId="2" borderId="1" xfId="0" applyFont="1" applyFill="1" applyBorder="1"/>
    <xf numFmtId="165" fontId="12" fillId="0" borderId="7" xfId="1" applyNumberFormat="1" applyFont="1" applyBorder="1"/>
    <xf numFmtId="44" fontId="12" fillId="0" borderId="7" xfId="1" applyFont="1" applyBorder="1"/>
    <xf numFmtId="44" fontId="12" fillId="2" borderId="7" xfId="1" applyFont="1" applyFill="1" applyBorder="1"/>
    <xf numFmtId="164" fontId="2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6" fillId="8" borderId="1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0" fontId="6" fillId="5" borderId="12" xfId="0" applyNumberFormat="1" applyFont="1" applyFill="1" applyBorder="1"/>
    <xf numFmtId="0" fontId="4" fillId="0" borderId="6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19" fillId="0" borderId="1" xfId="0" applyNumberFormat="1" applyFont="1" applyBorder="1"/>
    <xf numFmtId="0" fontId="2" fillId="0" borderId="0" xfId="0" applyFont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0" fontId="0" fillId="13" borderId="0" xfId="0" applyFill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8" fontId="6" fillId="4" borderId="6" xfId="0" applyNumberFormat="1" applyFont="1" applyFill="1" applyBorder="1"/>
    <xf numFmtId="8" fontId="6" fillId="4" borderId="22" xfId="0" applyNumberFormat="1" applyFont="1" applyFill="1" applyBorder="1"/>
    <xf numFmtId="0" fontId="18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9" fillId="0" borderId="1" xfId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9" fontId="0" fillId="0" borderId="1" xfId="0" applyNumberFormat="1" applyBorder="1"/>
    <xf numFmtId="164" fontId="18" fillId="0" borderId="1" xfId="0" applyNumberFormat="1" applyFont="1" applyBorder="1" applyAlignment="1">
      <alignment horizontal="center"/>
    </xf>
    <xf numFmtId="44" fontId="18" fillId="0" borderId="1" xfId="1" applyFont="1" applyBorder="1" applyAlignment="1">
      <alignment horizontal="center"/>
    </xf>
    <xf numFmtId="164" fontId="2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4" fillId="2" borderId="7" xfId="0" applyFont="1" applyFill="1" applyBorder="1" applyAlignment="1">
      <alignment horizontal="left" vertical="center" wrapText="1"/>
    </xf>
    <xf numFmtId="164" fontId="19" fillId="0" borderId="1" xfId="0" applyNumberFormat="1" applyFont="1" applyBorder="1" applyAlignment="1">
      <alignment horizontal="center"/>
    </xf>
    <xf numFmtId="0" fontId="6" fillId="0" borderId="0" xfId="0" applyFont="1"/>
    <xf numFmtId="44" fontId="4" fillId="2" borderId="1" xfId="1" applyFont="1" applyFill="1" applyBorder="1" applyAlignment="1"/>
    <xf numFmtId="8" fontId="4" fillId="2" borderId="6" xfId="0" applyNumberFormat="1" applyFont="1" applyFill="1" applyBorder="1" applyAlignment="1">
      <alignment horizontal="right"/>
    </xf>
    <xf numFmtId="44" fontId="14" fillId="2" borderId="2" xfId="1" applyFont="1" applyFill="1" applyBorder="1"/>
    <xf numFmtId="165" fontId="14" fillId="4" borderId="13" xfId="0" applyNumberFormat="1" applyFont="1" applyFill="1" applyBorder="1"/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23" fillId="7" borderId="0" xfId="0" applyFont="1" applyFill="1" applyAlignment="1">
      <alignment horizontal="center" vertical="center" wrapText="1"/>
    </xf>
    <xf numFmtId="0" fontId="24" fillId="9" borderId="0" xfId="0" applyFont="1" applyFill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</cellXfs>
  <cellStyles count="4">
    <cellStyle name="Moneda" xfId="1" builtinId="4"/>
    <cellStyle name="Moneda 2" xfId="2" xr:uid="{00000000-0005-0000-0000-000002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opLeftCell="A46" workbookViewId="0">
      <selection activeCell="E49" sqref="E49"/>
    </sheetView>
  </sheetViews>
  <sheetFormatPr baseColWidth="10" defaultColWidth="10.88671875" defaultRowHeight="14.4" x14ac:dyDescent="0.3"/>
  <cols>
    <col min="1" max="1" width="37.5546875" customWidth="1"/>
    <col min="2" max="2" width="24.5546875" customWidth="1"/>
    <col min="3" max="3" width="15.88671875" hidden="1" customWidth="1"/>
    <col min="4" max="4" width="21.5546875" customWidth="1"/>
    <col min="5" max="5" width="14.554687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44140625" customWidth="1"/>
  </cols>
  <sheetData>
    <row r="1" spans="1:5" x14ac:dyDescent="0.3">
      <c r="A1" s="7"/>
      <c r="B1" s="38" t="s">
        <v>73</v>
      </c>
      <c r="C1" s="38"/>
      <c r="D1" s="38"/>
      <c r="E1" s="39"/>
    </row>
    <row r="2" spans="1:5" x14ac:dyDescent="0.3">
      <c r="A2" s="8"/>
      <c r="B2" s="40" t="s">
        <v>14</v>
      </c>
      <c r="C2" s="40"/>
      <c r="D2" s="40"/>
      <c r="E2" s="41"/>
    </row>
    <row r="3" spans="1:5" ht="70.5" customHeight="1" thickBot="1" x14ac:dyDescent="0.35">
      <c r="A3" s="8"/>
      <c r="B3" s="205" t="s">
        <v>75</v>
      </c>
      <c r="C3" s="205"/>
      <c r="D3" s="205"/>
      <c r="E3" s="206"/>
    </row>
    <row r="4" spans="1:5" ht="15" thickBot="1" x14ac:dyDescent="0.35">
      <c r="A4" s="11" t="s">
        <v>0</v>
      </c>
      <c r="B4" s="56" t="s">
        <v>21</v>
      </c>
      <c r="C4" s="12"/>
      <c r="D4" s="12"/>
      <c r="E4" s="13"/>
    </row>
    <row r="5" spans="1:5" ht="15" thickBot="1" x14ac:dyDescent="0.35">
      <c r="A5" s="8" t="s">
        <v>74</v>
      </c>
      <c r="B5" s="12" t="s">
        <v>144</v>
      </c>
      <c r="C5" s="9"/>
      <c r="D5" s="40" t="s">
        <v>15</v>
      </c>
      <c r="E5" s="10"/>
    </row>
    <row r="6" spans="1:5" ht="15" thickBot="1" x14ac:dyDescent="0.35">
      <c r="A6" s="11" t="s">
        <v>122</v>
      </c>
      <c r="B6" s="12"/>
      <c r="C6" s="12"/>
      <c r="D6" s="12" t="s">
        <v>120</v>
      </c>
      <c r="E6" s="13"/>
    </row>
    <row r="8" spans="1:5" x14ac:dyDescent="0.3">
      <c r="A8" s="66"/>
      <c r="B8" s="208" t="s">
        <v>143</v>
      </c>
      <c r="C8" s="208"/>
      <c r="D8" s="66"/>
      <c r="E8" s="66"/>
    </row>
    <row r="9" spans="1:5" x14ac:dyDescent="0.3">
      <c r="A9" s="66"/>
      <c r="B9" s="208"/>
      <c r="C9" s="208"/>
      <c r="D9" s="66"/>
      <c r="E9" s="66"/>
    </row>
    <row r="10" spans="1:5" x14ac:dyDescent="0.3">
      <c r="A10" s="66"/>
      <c r="B10" s="208"/>
      <c r="C10" s="208"/>
      <c r="D10" s="66"/>
      <c r="E10" s="66"/>
    </row>
    <row r="11" spans="1:5" x14ac:dyDescent="0.3">
      <c r="A11" s="66"/>
      <c r="B11" s="66"/>
      <c r="C11" s="66"/>
      <c r="D11" s="66"/>
      <c r="E11" s="66"/>
    </row>
    <row r="12" spans="1:5" hidden="1" x14ac:dyDescent="0.3">
      <c r="A12" s="66"/>
      <c r="B12" s="66"/>
      <c r="C12" s="66"/>
      <c r="D12" s="66"/>
      <c r="E12" s="66"/>
    </row>
    <row r="13" spans="1:5" ht="15" customHeight="1" x14ac:dyDescent="0.3">
      <c r="A13" s="207" t="s">
        <v>98</v>
      </c>
      <c r="B13" s="207"/>
      <c r="C13" s="207"/>
      <c r="D13" s="207"/>
      <c r="E13" s="207"/>
    </row>
    <row r="14" spans="1:5" ht="15" customHeight="1" x14ac:dyDescent="0.3">
      <c r="A14" s="207"/>
      <c r="B14" s="207"/>
      <c r="C14" s="207"/>
      <c r="D14" s="207"/>
      <c r="E14" s="207"/>
    </row>
    <row r="15" spans="1:5" ht="15" customHeight="1" x14ac:dyDescent="0.3">
      <c r="A15" s="207"/>
      <c r="B15" s="207"/>
      <c r="C15" s="207"/>
      <c r="D15" s="207"/>
      <c r="E15" s="207"/>
    </row>
    <row r="16" spans="1:5" ht="53.25" customHeight="1" x14ac:dyDescent="0.3">
      <c r="A16" s="207"/>
      <c r="B16" s="207"/>
      <c r="C16" s="207"/>
      <c r="D16" s="207"/>
      <c r="E16" s="207"/>
    </row>
    <row r="17" spans="1:8" ht="14.25" customHeight="1" thickBot="1" x14ac:dyDescent="0.35">
      <c r="A17" s="66"/>
      <c r="B17" s="66"/>
      <c r="C17" s="66"/>
      <c r="D17" s="66"/>
      <c r="E17" s="66"/>
    </row>
    <row r="18" spans="1:8" hidden="1" x14ac:dyDescent="0.3">
      <c r="A18" s="193"/>
      <c r="B18" s="66"/>
      <c r="C18" s="66"/>
      <c r="D18" s="66"/>
      <c r="E18" s="66"/>
    </row>
    <row r="19" spans="1:8" ht="15" hidden="1" thickBot="1" x14ac:dyDescent="0.35">
      <c r="A19" s="66"/>
      <c r="B19" s="66"/>
      <c r="C19" s="66"/>
      <c r="D19" s="66"/>
      <c r="E19" s="66"/>
    </row>
    <row r="20" spans="1:8" x14ac:dyDescent="0.3">
      <c r="A20" s="158" t="s">
        <v>101</v>
      </c>
      <c r="B20" s="159"/>
      <c r="C20" s="160"/>
      <c r="D20" s="70"/>
      <c r="E20" s="71"/>
    </row>
    <row r="21" spans="1:8" x14ac:dyDescent="0.3">
      <c r="A21" s="145" t="s">
        <v>76</v>
      </c>
      <c r="B21" s="145"/>
      <c r="C21" s="145"/>
      <c r="D21" s="91"/>
      <c r="E21" s="134"/>
    </row>
    <row r="22" spans="1:8" ht="15" customHeight="1" x14ac:dyDescent="0.3">
      <c r="A22" s="201" t="s">
        <v>112</v>
      </c>
      <c r="B22" s="202"/>
      <c r="C22" s="143"/>
      <c r="D22" s="170">
        <v>510846.85</v>
      </c>
      <c r="E22" s="138" t="s">
        <v>148</v>
      </c>
      <c r="H22" s="76"/>
    </row>
    <row r="23" spans="1:8" ht="15" customHeight="1" x14ac:dyDescent="0.3">
      <c r="A23" s="201"/>
      <c r="B23" s="202"/>
      <c r="C23" s="143"/>
      <c r="D23" s="170"/>
      <c r="E23" s="87"/>
      <c r="H23" s="76"/>
    </row>
    <row r="24" spans="1:8" x14ac:dyDescent="0.3">
      <c r="A24" s="144" t="s">
        <v>9</v>
      </c>
      <c r="B24" s="144"/>
      <c r="C24" s="144"/>
      <c r="D24" s="171"/>
      <c r="E24" s="129">
        <f>SUM(D22:D23)</f>
        <v>510846.85</v>
      </c>
    </row>
    <row r="25" spans="1:8" x14ac:dyDescent="0.3">
      <c r="A25" s="145" t="s">
        <v>17</v>
      </c>
      <c r="B25" s="144"/>
      <c r="C25" s="144"/>
      <c r="D25" s="172"/>
      <c r="E25" s="130"/>
    </row>
    <row r="26" spans="1:8" ht="30" customHeight="1" x14ac:dyDescent="0.3">
      <c r="A26" s="201" t="s">
        <v>117</v>
      </c>
      <c r="B26" s="202"/>
      <c r="C26" s="146"/>
      <c r="D26" s="194">
        <v>74244</v>
      </c>
      <c r="E26" s="89" t="s">
        <v>147</v>
      </c>
    </row>
    <row r="27" spans="1:8" x14ac:dyDescent="0.3">
      <c r="A27" s="144" t="s">
        <v>1</v>
      </c>
      <c r="B27" s="144"/>
      <c r="C27" s="144"/>
      <c r="D27" s="171"/>
      <c r="E27" s="97">
        <f>SUM(D26:D26)</f>
        <v>74244</v>
      </c>
    </row>
    <row r="28" spans="1:8" x14ac:dyDescent="0.3">
      <c r="A28" s="145" t="s">
        <v>10</v>
      </c>
      <c r="B28" s="147"/>
      <c r="C28" s="147"/>
      <c r="D28" s="173"/>
      <c r="E28" s="131"/>
    </row>
    <row r="29" spans="1:8" ht="14.25" customHeight="1" x14ac:dyDescent="0.3">
      <c r="A29" s="59" t="s">
        <v>66</v>
      </c>
      <c r="B29" s="59"/>
      <c r="C29" s="59"/>
      <c r="D29" s="88">
        <v>233485</v>
      </c>
      <c r="E29" s="89" t="s">
        <v>155</v>
      </c>
    </row>
    <row r="30" spans="1:8" x14ac:dyDescent="0.3">
      <c r="A30" s="59" t="s">
        <v>65</v>
      </c>
      <c r="B30" s="59"/>
      <c r="C30" s="59"/>
      <c r="D30" s="88">
        <v>8972.48</v>
      </c>
      <c r="E30" s="138" t="str">
        <f>E31</f>
        <v>Transf 07/09</v>
      </c>
    </row>
    <row r="31" spans="1:8" x14ac:dyDescent="0.3">
      <c r="A31" s="59" t="s">
        <v>65</v>
      </c>
      <c r="B31" s="148"/>
      <c r="C31" s="59"/>
      <c r="D31" s="88">
        <v>550258.93999999994</v>
      </c>
      <c r="E31" s="89" t="s">
        <v>147</v>
      </c>
    </row>
    <row r="32" spans="1:8" x14ac:dyDescent="0.3">
      <c r="A32" s="203" t="s">
        <v>67</v>
      </c>
      <c r="B32" s="204"/>
      <c r="C32" s="59"/>
      <c r="D32" s="88">
        <v>872785.72</v>
      </c>
      <c r="E32" s="89" t="s">
        <v>147</v>
      </c>
    </row>
    <row r="33" spans="1:5" x14ac:dyDescent="0.3">
      <c r="A33" s="149" t="s">
        <v>77</v>
      </c>
      <c r="B33" s="150"/>
      <c r="C33" s="59"/>
      <c r="D33" s="88">
        <v>30111.39</v>
      </c>
      <c r="E33" s="89" t="s">
        <v>147</v>
      </c>
    </row>
    <row r="34" spans="1:5" ht="15" thickBot="1" x14ac:dyDescent="0.35">
      <c r="A34" s="144" t="s">
        <v>2</v>
      </c>
      <c r="B34" s="144"/>
      <c r="C34" s="144"/>
      <c r="D34" s="174"/>
      <c r="E34" s="132">
        <f>SUM(D29:D33)</f>
        <v>1695613.5299999998</v>
      </c>
    </row>
    <row r="35" spans="1:5" ht="15" customHeight="1" thickBot="1" x14ac:dyDescent="0.35">
      <c r="A35" s="145"/>
      <c r="B35" s="144"/>
      <c r="C35" s="144"/>
      <c r="D35" s="171"/>
      <c r="E35" s="133"/>
    </row>
    <row r="36" spans="1:5" ht="32.25" customHeight="1" x14ac:dyDescent="0.3">
      <c r="A36" s="201" t="s">
        <v>114</v>
      </c>
      <c r="B36" s="202"/>
      <c r="C36" s="59"/>
      <c r="D36" s="88">
        <v>82000</v>
      </c>
      <c r="E36" s="89" t="s">
        <v>149</v>
      </c>
    </row>
    <row r="37" spans="1:5" ht="19.5" customHeight="1" x14ac:dyDescent="0.3">
      <c r="A37" s="151" t="s">
        <v>151</v>
      </c>
      <c r="B37" s="191"/>
      <c r="C37" s="59"/>
      <c r="D37" s="88">
        <v>52253.440000000002</v>
      </c>
      <c r="E37" s="89" t="s">
        <v>146</v>
      </c>
    </row>
    <row r="38" spans="1:5" ht="15" customHeight="1" x14ac:dyDescent="0.3">
      <c r="A38" s="201" t="s">
        <v>152</v>
      </c>
      <c r="B38" s="202"/>
      <c r="C38" s="59"/>
      <c r="D38" s="62">
        <v>200000</v>
      </c>
      <c r="E38" s="89" t="s">
        <v>153</v>
      </c>
    </row>
    <row r="39" spans="1:5" x14ac:dyDescent="0.3">
      <c r="A39" s="144" t="s">
        <v>6</v>
      </c>
      <c r="B39" s="145"/>
      <c r="C39" s="145"/>
      <c r="D39" s="145"/>
      <c r="E39" s="97">
        <f>SUM(D36:D38)</f>
        <v>334253.44</v>
      </c>
    </row>
    <row r="40" spans="1:5" x14ac:dyDescent="0.3">
      <c r="A40" s="145" t="s">
        <v>11</v>
      </c>
      <c r="B40" s="145"/>
      <c r="C40" s="145"/>
      <c r="D40" s="91"/>
      <c r="E40" s="134"/>
    </row>
    <row r="41" spans="1:5" ht="33.75" customHeight="1" x14ac:dyDescent="0.3">
      <c r="A41" s="201" t="s">
        <v>145</v>
      </c>
      <c r="B41" s="202"/>
      <c r="C41" s="143"/>
      <c r="D41" s="195">
        <v>190000</v>
      </c>
      <c r="E41" s="135" t="s">
        <v>150</v>
      </c>
    </row>
    <row r="42" spans="1:5" x14ac:dyDescent="0.3">
      <c r="A42" s="144" t="s">
        <v>9</v>
      </c>
      <c r="B42" s="144"/>
      <c r="C42" s="144"/>
      <c r="D42" s="171"/>
      <c r="E42" s="129">
        <f>SUM(D41:D41)</f>
        <v>190000</v>
      </c>
    </row>
    <row r="43" spans="1:5" x14ac:dyDescent="0.3">
      <c r="A43" s="145" t="s">
        <v>8</v>
      </c>
      <c r="B43" s="152"/>
      <c r="C43" s="144"/>
      <c r="D43" s="175"/>
      <c r="E43" s="97"/>
    </row>
    <row r="44" spans="1:5" x14ac:dyDescent="0.3">
      <c r="A44" s="59" t="s">
        <v>133</v>
      </c>
      <c r="B44" s="59" t="s">
        <v>134</v>
      </c>
      <c r="C44" s="59"/>
      <c r="D44" s="88"/>
      <c r="E44" s="136"/>
    </row>
    <row r="45" spans="1:5" x14ac:dyDescent="0.3">
      <c r="A45" s="59" t="s">
        <v>113</v>
      </c>
      <c r="B45" s="59"/>
      <c r="C45" s="59"/>
      <c r="D45" s="88">
        <v>35494.269999999997</v>
      </c>
      <c r="E45" s="137"/>
    </row>
    <row r="46" spans="1:5" x14ac:dyDescent="0.3">
      <c r="A46" s="153" t="s">
        <v>9</v>
      </c>
      <c r="B46" s="153"/>
      <c r="C46" s="153"/>
      <c r="D46" s="176"/>
      <c r="E46" s="97">
        <f>SUM(D44:D45)</f>
        <v>35494.269999999997</v>
      </c>
    </row>
    <row r="47" spans="1:5" x14ac:dyDescent="0.3">
      <c r="A47" s="59"/>
      <c r="B47" s="59"/>
      <c r="C47" s="59"/>
      <c r="D47" s="59"/>
      <c r="E47" s="64"/>
    </row>
    <row r="48" spans="1:5" x14ac:dyDescent="0.3">
      <c r="A48" s="154" t="s">
        <v>97</v>
      </c>
      <c r="B48" s="154"/>
      <c r="C48" s="154"/>
      <c r="D48" s="65"/>
      <c r="E48" s="98">
        <f>3000000-2840452.09</f>
        <v>159547.91000000015</v>
      </c>
    </row>
    <row r="49" spans="1:8" ht="15" thickBot="1" x14ac:dyDescent="0.35">
      <c r="A49" s="155"/>
      <c r="B49" s="66"/>
      <c r="C49" s="66"/>
      <c r="D49" s="66"/>
      <c r="E49" s="67"/>
      <c r="F49" s="21"/>
    </row>
    <row r="50" spans="1:8" ht="15" thickBot="1" x14ac:dyDescent="0.35">
      <c r="A50" s="156" t="s">
        <v>93</v>
      </c>
      <c r="B50" s="157"/>
      <c r="C50" s="68"/>
      <c r="D50" s="68"/>
      <c r="E50" s="69">
        <f>(SUM(E21:E48))</f>
        <v>3000000</v>
      </c>
      <c r="F50" s="86"/>
      <c r="G50" s="21"/>
    </row>
    <row r="51" spans="1:8" x14ac:dyDescent="0.3">
      <c r="A51" s="66"/>
      <c r="B51" s="66"/>
      <c r="C51" s="66"/>
      <c r="D51" s="66"/>
      <c r="E51" s="66"/>
    </row>
    <row r="52" spans="1:8" ht="15" thickBot="1" x14ac:dyDescent="0.35">
      <c r="A52" s="66"/>
      <c r="B52" s="66"/>
      <c r="C52" s="66"/>
      <c r="D52" s="66"/>
      <c r="E52" s="66"/>
      <c r="H52" s="92"/>
    </row>
    <row r="53" spans="1:8" x14ac:dyDescent="0.3">
      <c r="A53" s="158" t="s">
        <v>94</v>
      </c>
      <c r="B53" s="159"/>
      <c r="C53" s="160"/>
      <c r="D53" s="70"/>
      <c r="E53" s="71"/>
    </row>
    <row r="54" spans="1:8" ht="15" customHeight="1" x14ac:dyDescent="0.3">
      <c r="A54" s="161"/>
      <c r="B54" s="150"/>
      <c r="C54" s="59"/>
      <c r="D54" s="62"/>
      <c r="E54" s="60"/>
    </row>
    <row r="55" spans="1:8" ht="15" customHeight="1" x14ac:dyDescent="0.3">
      <c r="A55" s="200"/>
      <c r="B55" s="200"/>
      <c r="C55" s="59"/>
      <c r="D55" s="88"/>
      <c r="E55" s="60"/>
    </row>
    <row r="56" spans="1:8" ht="15.75" customHeight="1" x14ac:dyDescent="0.3">
      <c r="A56" s="4"/>
      <c r="B56" s="4"/>
      <c r="C56" s="4"/>
      <c r="D56" s="4"/>
      <c r="E56" s="4"/>
    </row>
    <row r="57" spans="1:8" x14ac:dyDescent="0.3">
      <c r="A57" s="61"/>
      <c r="B57" s="63"/>
      <c r="C57" s="4"/>
      <c r="D57" s="62"/>
      <c r="E57" s="60"/>
    </row>
    <row r="58" spans="1:8" x14ac:dyDescent="0.3">
      <c r="A58" s="26"/>
      <c r="B58" s="25"/>
      <c r="C58" s="25"/>
      <c r="D58" s="30"/>
      <c r="E58" s="30">
        <f>SUM(D54:D57)</f>
        <v>0</v>
      </c>
    </row>
    <row r="59" spans="1:8" ht="15" customHeight="1" x14ac:dyDescent="0.3"/>
    <row r="60" spans="1:8" ht="15" hidden="1" thickBot="1" x14ac:dyDescent="0.35"/>
    <row r="61" spans="1:8" x14ac:dyDescent="0.3">
      <c r="A61" s="15" t="s">
        <v>96</v>
      </c>
      <c r="B61" s="15"/>
      <c r="C61" s="15"/>
      <c r="D61" s="16"/>
      <c r="E61" s="127"/>
    </row>
    <row r="62" spans="1:8" ht="15" thickBot="1" x14ac:dyDescent="0.35"/>
    <row r="63" spans="1:8" ht="15" thickBot="1" x14ac:dyDescent="0.35">
      <c r="A63" s="2" t="s">
        <v>95</v>
      </c>
      <c r="B63" s="6"/>
      <c r="C63" s="3"/>
      <c r="D63" s="3"/>
      <c r="E63" s="37">
        <f>E58+E61</f>
        <v>0</v>
      </c>
    </row>
    <row r="64" spans="1:8" ht="15" thickBot="1" x14ac:dyDescent="0.35"/>
    <row r="65" spans="1:5" ht="15" thickBot="1" x14ac:dyDescent="0.35">
      <c r="A65" s="57" t="s">
        <v>102</v>
      </c>
      <c r="B65" s="58">
        <f>E50</f>
        <v>3000000</v>
      </c>
    </row>
    <row r="66" spans="1:5" ht="15" thickBot="1" x14ac:dyDescent="0.35">
      <c r="A66" s="57" t="s">
        <v>103</v>
      </c>
      <c r="B66" s="58">
        <f>E50-E48</f>
        <v>2840452.09</v>
      </c>
    </row>
    <row r="67" spans="1:5" ht="15" thickBot="1" x14ac:dyDescent="0.35">
      <c r="A67" s="57" t="s">
        <v>104</v>
      </c>
      <c r="B67" s="58">
        <f>E63-E61</f>
        <v>0</v>
      </c>
    </row>
    <row r="68" spans="1:5" ht="15" thickBot="1" x14ac:dyDescent="0.35">
      <c r="A68" s="57" t="s">
        <v>105</v>
      </c>
      <c r="B68" s="58">
        <f>E63</f>
        <v>0</v>
      </c>
    </row>
    <row r="70" spans="1:5" s="19" customFormat="1" x14ac:dyDescent="0.3">
      <c r="A70"/>
      <c r="B70" s="20"/>
      <c r="C70" s="18"/>
    </row>
    <row r="71" spans="1:5" s="19" customFormat="1" x14ac:dyDescent="0.3">
      <c r="A71" s="78" t="s">
        <v>106</v>
      </c>
      <c r="B71" s="103">
        <v>502577.06</v>
      </c>
      <c r="C71" s="18"/>
      <c r="D71" s="24"/>
    </row>
    <row r="72" spans="1:5" x14ac:dyDescent="0.3">
      <c r="A72" s="29" t="s">
        <v>99</v>
      </c>
      <c r="B72" s="83">
        <f>-B66</f>
        <v>-2840452.09</v>
      </c>
      <c r="E72" s="21"/>
    </row>
    <row r="73" spans="1:5" x14ac:dyDescent="0.3">
      <c r="A73" s="29" t="s">
        <v>25</v>
      </c>
      <c r="B73" s="83">
        <f>B93</f>
        <v>0</v>
      </c>
    </row>
    <row r="74" spans="1:5" x14ac:dyDescent="0.3">
      <c r="A74" s="29" t="s">
        <v>108</v>
      </c>
      <c r="B74" s="84">
        <f>PRORRATEO!G36-B80</f>
        <v>3060391.1300000008</v>
      </c>
    </row>
    <row r="75" spans="1:5" ht="15" thickBot="1" x14ac:dyDescent="0.35">
      <c r="A75" s="81" t="s">
        <v>110</v>
      </c>
      <c r="B75" s="82">
        <f>SUM(B71:C74)</f>
        <v>722516.10000000102</v>
      </c>
      <c r="D75" s="21"/>
    </row>
    <row r="76" spans="1:5" x14ac:dyDescent="0.3">
      <c r="A76" s="79"/>
      <c r="B76" s="79"/>
      <c r="D76" s="21"/>
      <c r="E76" s="20"/>
    </row>
    <row r="77" spans="1:5" x14ac:dyDescent="0.3">
      <c r="A77" s="78" t="s">
        <v>107</v>
      </c>
      <c r="B77" s="103">
        <v>1000000</v>
      </c>
      <c r="D77" s="20"/>
      <c r="E77" s="21"/>
    </row>
    <row r="78" spans="1:5" x14ac:dyDescent="0.3">
      <c r="A78" s="29" t="s">
        <v>100</v>
      </c>
      <c r="B78" s="83">
        <f>-B67</f>
        <v>0</v>
      </c>
      <c r="D78" s="21"/>
      <c r="E78" s="21"/>
    </row>
    <row r="79" spans="1:5" x14ac:dyDescent="0.3">
      <c r="A79" s="29" t="s">
        <v>25</v>
      </c>
      <c r="B79" s="83">
        <f>B101</f>
        <v>0</v>
      </c>
      <c r="D79" s="21"/>
    </row>
    <row r="80" spans="1:5" x14ac:dyDescent="0.3">
      <c r="A80" s="29" t="s">
        <v>109</v>
      </c>
      <c r="B80" s="84">
        <v>0</v>
      </c>
      <c r="D80" s="128"/>
    </row>
    <row r="81" spans="1:13" x14ac:dyDescent="0.3">
      <c r="A81" s="85" t="s">
        <v>24</v>
      </c>
      <c r="B81" s="93"/>
      <c r="D81" s="21"/>
      <c r="E81" s="21"/>
      <c r="F81" s="20"/>
    </row>
    <row r="82" spans="1:13" ht="15" thickBot="1" x14ac:dyDescent="0.35">
      <c r="A82" s="81" t="s">
        <v>111</v>
      </c>
      <c r="B82" s="82">
        <f>SUM(B77:C81)</f>
        <v>1000000</v>
      </c>
      <c r="D82" s="21"/>
      <c r="E82" s="21"/>
      <c r="F82" s="21"/>
    </row>
    <row r="83" spans="1:13" x14ac:dyDescent="0.3">
      <c r="A83" s="79"/>
      <c r="B83" s="79"/>
    </row>
    <row r="84" spans="1:13" x14ac:dyDescent="0.3">
      <c r="A84" s="79"/>
      <c r="B84" s="79"/>
    </row>
    <row r="85" spans="1:13" x14ac:dyDescent="0.3">
      <c r="A85" s="78" t="s">
        <v>124</v>
      </c>
      <c r="B85" s="103">
        <v>0</v>
      </c>
    </row>
    <row r="86" spans="1:13" x14ac:dyDescent="0.3">
      <c r="A86" s="29" t="s">
        <v>125</v>
      </c>
      <c r="B86" s="83">
        <v>1054849.6000000001</v>
      </c>
    </row>
    <row r="87" spans="1:13" ht="15" thickBot="1" x14ac:dyDescent="0.35">
      <c r="A87" s="81" t="s">
        <v>154</v>
      </c>
      <c r="B87" s="82">
        <v>1070612.72</v>
      </c>
    </row>
    <row r="88" spans="1:13" ht="34.5" customHeight="1" x14ac:dyDescent="0.3"/>
    <row r="89" spans="1:13" x14ac:dyDescent="0.3">
      <c r="A89" s="199" t="s">
        <v>18</v>
      </c>
      <c r="B89" s="199"/>
      <c r="C89" s="199"/>
    </row>
    <row r="90" spans="1:13" x14ac:dyDescent="0.3">
      <c r="A90" s="199"/>
      <c r="B90" s="199"/>
      <c r="C90" s="199"/>
    </row>
    <row r="91" spans="1:13" ht="35.25" customHeight="1" x14ac:dyDescent="0.3">
      <c r="A91" s="73"/>
      <c r="B91" s="17"/>
      <c r="C91" s="17">
        <v>40000</v>
      </c>
      <c r="E91" s="86"/>
    </row>
    <row r="92" spans="1:13" ht="27" customHeight="1" x14ac:dyDescent="0.3">
      <c r="A92" s="73"/>
      <c r="B92" s="75"/>
      <c r="C92" s="72"/>
      <c r="D92" s="86"/>
    </row>
    <row r="93" spans="1:13" x14ac:dyDescent="0.3">
      <c r="A93" s="22" t="s">
        <v>6</v>
      </c>
      <c r="B93" s="74">
        <f>SUM(B91:B92)</f>
        <v>0</v>
      </c>
      <c r="C93" s="23"/>
    </row>
    <row r="94" spans="1:13" x14ac:dyDescent="0.3">
      <c r="M94" s="5"/>
    </row>
    <row r="95" spans="1:13" ht="15" customHeight="1" x14ac:dyDescent="0.3">
      <c r="A95" s="198"/>
      <c r="B95" s="198"/>
      <c r="C95" s="198"/>
      <c r="D95" s="198"/>
      <c r="E95" s="198"/>
    </row>
    <row r="96" spans="1:13" x14ac:dyDescent="0.3">
      <c r="A96" s="198"/>
      <c r="B96" s="198"/>
      <c r="C96" s="198"/>
      <c r="D96" s="198"/>
      <c r="E96" s="198"/>
    </row>
    <row r="97" spans="1:5" x14ac:dyDescent="0.3">
      <c r="A97" s="198"/>
      <c r="B97" s="198"/>
      <c r="C97" s="198"/>
      <c r="D97" s="198"/>
      <c r="E97" s="198"/>
    </row>
    <row r="98" spans="1:5" x14ac:dyDescent="0.3">
      <c r="A98" s="198"/>
      <c r="B98" s="198"/>
      <c r="C98" s="198"/>
      <c r="D98" s="198"/>
      <c r="E98" s="198"/>
    </row>
  </sheetData>
  <mergeCells count="13">
    <mergeCell ref="A32:B32"/>
    <mergeCell ref="A23:B23"/>
    <mergeCell ref="A22:B22"/>
    <mergeCell ref="B3:E3"/>
    <mergeCell ref="A13:E16"/>
    <mergeCell ref="B8:C10"/>
    <mergeCell ref="A26:B26"/>
    <mergeCell ref="A95:E98"/>
    <mergeCell ref="A89:C90"/>
    <mergeCell ref="A55:B55"/>
    <mergeCell ref="A36:B36"/>
    <mergeCell ref="A38:B38"/>
    <mergeCell ref="A41:B4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abSelected="1" topLeftCell="A13" zoomScaleNormal="100" workbookViewId="0">
      <selection activeCell="R16" sqref="R16"/>
    </sheetView>
  </sheetViews>
  <sheetFormatPr baseColWidth="10" defaultColWidth="10.88671875" defaultRowHeight="14.4" x14ac:dyDescent="0.3"/>
  <cols>
    <col min="1" max="2" width="4.44140625" customWidth="1"/>
    <col min="3" max="3" width="18.5546875" customWidth="1"/>
    <col min="4" max="4" width="16" customWidth="1"/>
    <col min="5" max="5" width="8.44140625" customWidth="1"/>
    <col min="6" max="6" width="14.109375" customWidth="1"/>
    <col min="7" max="7" width="12.44140625" customWidth="1"/>
    <col min="8" max="8" width="10.5546875" customWidth="1"/>
    <col min="9" max="9" width="9.5546875" customWidth="1"/>
    <col min="10" max="10" width="12.44140625" customWidth="1"/>
    <col min="11" max="11" width="14.5546875" bestFit="1" customWidth="1"/>
    <col min="12" max="12" width="14.5546875" customWidth="1"/>
    <col min="13" max="13" width="13.44140625" customWidth="1"/>
    <col min="14" max="14" width="14.5546875" customWidth="1"/>
    <col min="15" max="15" width="12" hidden="1" customWidth="1"/>
    <col min="16" max="16" width="14.44140625" customWidth="1"/>
    <col min="17" max="17" width="7.44140625" hidden="1" customWidth="1"/>
    <col min="18" max="18" width="12" bestFit="1" customWidth="1"/>
    <col min="19" max="19" width="13" bestFit="1" customWidth="1"/>
  </cols>
  <sheetData>
    <row r="1" spans="1:18" ht="12.9" customHeight="1" x14ac:dyDescent="0.3">
      <c r="A1" s="104"/>
      <c r="B1" s="105"/>
      <c r="C1" s="106"/>
      <c r="D1" s="106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105"/>
      <c r="P1" s="107"/>
    </row>
    <row r="2" spans="1:18" ht="12.9" customHeight="1" x14ac:dyDescent="0.3">
      <c r="A2" s="108"/>
      <c r="B2" s="109"/>
      <c r="C2" s="110"/>
      <c r="D2" s="111"/>
      <c r="E2" s="111" t="s">
        <v>92</v>
      </c>
      <c r="F2" s="111"/>
      <c r="G2" s="112">
        <v>0</v>
      </c>
      <c r="H2" s="111"/>
      <c r="I2" s="111"/>
      <c r="J2" s="111" t="s">
        <v>91</v>
      </c>
      <c r="K2" s="113">
        <v>3000000</v>
      </c>
      <c r="L2" s="113"/>
      <c r="M2" s="113"/>
      <c r="N2" s="114"/>
      <c r="O2" s="115"/>
      <c r="P2" s="116"/>
      <c r="Q2" s="14"/>
    </row>
    <row r="3" spans="1:18" ht="15" thickBot="1" x14ac:dyDescent="0.35">
      <c r="A3" s="108"/>
      <c r="B3" s="109"/>
      <c r="C3" s="110"/>
      <c r="D3" s="110"/>
      <c r="E3" s="110"/>
      <c r="F3" s="110"/>
      <c r="G3" s="117"/>
      <c r="H3" s="110"/>
      <c r="I3" s="110"/>
      <c r="J3" s="110"/>
      <c r="K3" s="110"/>
      <c r="L3" s="110"/>
      <c r="M3" s="110"/>
      <c r="N3" s="114"/>
      <c r="O3" s="115"/>
      <c r="P3" s="116"/>
      <c r="Q3" s="14"/>
    </row>
    <row r="4" spans="1:18" x14ac:dyDescent="0.3">
      <c r="A4" s="221" t="s">
        <v>119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  <c r="Q4" s="14"/>
    </row>
    <row r="5" spans="1:18" x14ac:dyDescent="0.3">
      <c r="A5" s="224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  <c r="Q5" s="14"/>
    </row>
    <row r="6" spans="1:18" ht="12.9" customHeight="1" x14ac:dyDescent="0.3">
      <c r="A6" s="224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6"/>
      <c r="Q6" s="14"/>
    </row>
    <row r="7" spans="1:18" ht="12.9" customHeight="1" x14ac:dyDescent="0.3">
      <c r="A7" s="224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6"/>
      <c r="Q7" s="14"/>
    </row>
    <row r="8" spans="1:18" ht="33.75" customHeight="1" thickBot="1" x14ac:dyDescent="0.35">
      <c r="A8" s="227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9"/>
    </row>
    <row r="9" spans="1:18" ht="48" customHeight="1" thickBot="1" x14ac:dyDescent="0.35">
      <c r="A9" s="232" t="s">
        <v>118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</row>
    <row r="10" spans="1:18" ht="48" customHeight="1" thickBot="1" x14ac:dyDescent="0.35">
      <c r="A10" s="234" t="s">
        <v>116</v>
      </c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</row>
    <row r="11" spans="1:18" x14ac:dyDescent="0.3">
      <c r="A11" s="209" t="s">
        <v>3</v>
      </c>
      <c r="B11" s="94"/>
      <c r="C11" s="209" t="s">
        <v>4</v>
      </c>
      <c r="D11" s="209" t="s">
        <v>13</v>
      </c>
      <c r="E11" s="209" t="s">
        <v>7</v>
      </c>
      <c r="F11" s="212" t="s">
        <v>23</v>
      </c>
      <c r="G11" s="209" t="s">
        <v>5</v>
      </c>
      <c r="H11" s="217" t="s">
        <v>16</v>
      </c>
      <c r="I11" s="212" t="s">
        <v>22</v>
      </c>
      <c r="J11" s="212" t="s">
        <v>91</v>
      </c>
      <c r="K11" s="219" t="s">
        <v>92</v>
      </c>
      <c r="L11" s="212" t="s">
        <v>78</v>
      </c>
      <c r="M11" s="212" t="s">
        <v>123</v>
      </c>
      <c r="N11" s="33" t="s">
        <v>20</v>
      </c>
      <c r="O11" s="215" t="s">
        <v>12</v>
      </c>
      <c r="P11" s="230" t="s">
        <v>19</v>
      </c>
    </row>
    <row r="12" spans="1:18" ht="15.75" customHeight="1" x14ac:dyDescent="0.3">
      <c r="A12" s="211"/>
      <c r="B12" s="95"/>
      <c r="C12" s="211"/>
      <c r="D12" s="210"/>
      <c r="E12" s="211"/>
      <c r="F12" s="213"/>
      <c r="G12" s="211"/>
      <c r="H12" s="218"/>
      <c r="I12" s="213"/>
      <c r="J12" s="213"/>
      <c r="K12" s="220"/>
      <c r="L12" s="213"/>
      <c r="M12" s="213"/>
      <c r="N12" s="31" t="str">
        <f>RESUMEN!B8</f>
        <v>VTO 16/10</v>
      </c>
      <c r="O12" s="216"/>
      <c r="P12" s="231"/>
    </row>
    <row r="13" spans="1:18" ht="17.100000000000001" customHeight="1" x14ac:dyDescent="0.3">
      <c r="A13" s="34">
        <v>1</v>
      </c>
      <c r="B13" s="34" t="s">
        <v>26</v>
      </c>
      <c r="C13" s="34" t="s">
        <v>27</v>
      </c>
      <c r="D13" s="34"/>
      <c r="E13" s="42">
        <v>12</v>
      </c>
      <c r="F13" s="43">
        <v>360000.01</v>
      </c>
      <c r="G13" s="44">
        <f>396280-G29-G31</f>
        <v>359999.64</v>
      </c>
      <c r="H13" s="45">
        <f t="shared" ref="H13:H35" si="0">F13-G13</f>
        <v>0.36999999999534339</v>
      </c>
      <c r="I13" s="45">
        <f>IF(H13&gt;0,H13*3%,0)</f>
        <v>1.1099999999860301E-2</v>
      </c>
      <c r="J13" s="90">
        <f t="shared" ref="J13:J35" si="1">K$2*E13/100</f>
        <v>360000</v>
      </c>
      <c r="K13" s="90">
        <f t="shared" ref="K13:K35" si="2">G$2*E13/100</f>
        <v>0</v>
      </c>
      <c r="L13" s="126">
        <f>EDESUR!O4</f>
        <v>0</v>
      </c>
      <c r="M13" s="140"/>
      <c r="N13" s="125">
        <f>ROUND(SUM(H13:M13),0) + Q13</f>
        <v>360000.01</v>
      </c>
      <c r="O13" s="46">
        <f>ROUND(N13*6% + N13,0) + Q13</f>
        <v>381600.01</v>
      </c>
      <c r="P13" s="47">
        <f>ROUND(N13*3%,0) + N13</f>
        <v>370800.01</v>
      </c>
      <c r="Q13" s="21">
        <v>0.01</v>
      </c>
    </row>
    <row r="14" spans="1:18" ht="17.100000000000001" customHeight="1" x14ac:dyDescent="0.3">
      <c r="A14" s="118">
        <v>2</v>
      </c>
      <c r="B14" s="118" t="s">
        <v>28</v>
      </c>
      <c r="C14" s="118" t="s">
        <v>29</v>
      </c>
      <c r="D14" s="119"/>
      <c r="E14" s="120">
        <v>6.6</v>
      </c>
      <c r="F14" s="44">
        <v>339673.02</v>
      </c>
      <c r="G14" s="44">
        <f>200000+140000</f>
        <v>340000</v>
      </c>
      <c r="H14" s="121">
        <f t="shared" si="0"/>
        <v>-326.97999999998137</v>
      </c>
      <c r="I14" s="121">
        <f t="shared" ref="I14:I35" si="3">IF(H14&gt;0,H14*3%,0)</f>
        <v>0</v>
      </c>
      <c r="J14" s="122">
        <f t="shared" si="1"/>
        <v>198000</v>
      </c>
      <c r="K14" s="122">
        <f t="shared" si="2"/>
        <v>0</v>
      </c>
      <c r="L14" s="126">
        <f>EDESUR!O5</f>
        <v>125263.16548665638</v>
      </c>
      <c r="M14" s="141">
        <v>0</v>
      </c>
      <c r="N14" s="125">
        <f t="shared" ref="N14:N35" si="4">ROUND(SUM(H14:M14),0) + Q14</f>
        <v>322936.02</v>
      </c>
      <c r="O14" s="123">
        <f t="shared" ref="O14:O30" si="5">ROUND(N14*6% + N14,0) + Q14</f>
        <v>342312.02</v>
      </c>
      <c r="P14" s="124">
        <f t="shared" ref="P14:P35" si="6">ROUND(N14*3%,0) + N14</f>
        <v>332624.02</v>
      </c>
      <c r="Q14" s="21">
        <f>Q13+0.01</f>
        <v>0.02</v>
      </c>
    </row>
    <row r="15" spans="1:18" ht="17.100000000000001" customHeight="1" x14ac:dyDescent="0.3">
      <c r="A15" s="34">
        <v>3</v>
      </c>
      <c r="B15" s="34" t="s">
        <v>30</v>
      </c>
      <c r="C15" s="34" t="s">
        <v>31</v>
      </c>
      <c r="D15" s="35" t="s">
        <v>68</v>
      </c>
      <c r="E15" s="42">
        <v>5.4</v>
      </c>
      <c r="F15" s="43">
        <v>162000.03</v>
      </c>
      <c r="G15" s="44">
        <f>F15</f>
        <v>162000.03</v>
      </c>
      <c r="H15" s="45">
        <f t="shared" si="0"/>
        <v>0</v>
      </c>
      <c r="I15" s="45">
        <f t="shared" si="3"/>
        <v>0</v>
      </c>
      <c r="J15" s="90">
        <f t="shared" si="1"/>
        <v>162000.00000000003</v>
      </c>
      <c r="K15" s="90">
        <f t="shared" si="2"/>
        <v>0</v>
      </c>
      <c r="L15" s="126">
        <f>EDESUR!O6</f>
        <v>0</v>
      </c>
      <c r="M15" s="139"/>
      <c r="N15" s="125">
        <f t="shared" si="4"/>
        <v>162000.03</v>
      </c>
      <c r="O15" s="46">
        <f t="shared" si="5"/>
        <v>171720.03</v>
      </c>
      <c r="P15" s="47">
        <f t="shared" si="6"/>
        <v>166860.03</v>
      </c>
      <c r="Q15" s="21">
        <f t="shared" ref="Q15:Q30" si="7">Q14+0.01</f>
        <v>0.03</v>
      </c>
    </row>
    <row r="16" spans="1:18" ht="26.25" customHeight="1" x14ac:dyDescent="0.3">
      <c r="A16" s="34">
        <v>4</v>
      </c>
      <c r="B16" s="34" t="s">
        <v>32</v>
      </c>
      <c r="C16" s="34" t="s">
        <v>33</v>
      </c>
      <c r="D16" s="35" t="s">
        <v>121</v>
      </c>
      <c r="E16" s="42">
        <v>6.6</v>
      </c>
      <c r="F16" s="43">
        <v>191638.04</v>
      </c>
      <c r="G16" s="44">
        <f>209778-G32</f>
        <v>191637.8</v>
      </c>
      <c r="H16" s="45">
        <f t="shared" si="0"/>
        <v>0.2400000000197906</v>
      </c>
      <c r="I16" s="45">
        <f t="shared" si="3"/>
        <v>7.2000000005937176E-3</v>
      </c>
      <c r="J16" s="90">
        <f t="shared" si="1"/>
        <v>198000</v>
      </c>
      <c r="K16" s="90">
        <f t="shared" si="2"/>
        <v>0</v>
      </c>
      <c r="L16" s="126">
        <f>EDESUR!O7</f>
        <v>0</v>
      </c>
      <c r="M16" s="140"/>
      <c r="N16" s="125">
        <f t="shared" si="4"/>
        <v>198000.04</v>
      </c>
      <c r="O16" s="46">
        <f t="shared" si="5"/>
        <v>209880.04</v>
      </c>
      <c r="P16" s="47">
        <f t="shared" si="6"/>
        <v>203940.04</v>
      </c>
      <c r="Q16" s="21">
        <f t="shared" si="7"/>
        <v>0.04</v>
      </c>
      <c r="R16" t="s">
        <v>156</v>
      </c>
    </row>
    <row r="17" spans="1:18" ht="17.100000000000001" customHeight="1" x14ac:dyDescent="0.3">
      <c r="A17" s="118">
        <v>5</v>
      </c>
      <c r="B17" s="118" t="s">
        <v>34</v>
      </c>
      <c r="C17" s="118" t="s">
        <v>35</v>
      </c>
      <c r="D17" s="118" t="s">
        <v>90</v>
      </c>
      <c r="E17" s="120">
        <v>6.6</v>
      </c>
      <c r="F17" s="44">
        <v>198000.05</v>
      </c>
      <c r="G17" s="44">
        <f t="shared" ref="G17:G22" si="8">F17</f>
        <v>198000.05</v>
      </c>
      <c r="H17" s="121">
        <f t="shared" si="0"/>
        <v>0</v>
      </c>
      <c r="I17" s="121">
        <f t="shared" si="3"/>
        <v>0</v>
      </c>
      <c r="J17" s="122">
        <f t="shared" si="1"/>
        <v>198000</v>
      </c>
      <c r="K17" s="122">
        <f t="shared" si="2"/>
        <v>0</v>
      </c>
      <c r="L17" s="126">
        <f>EDESUR!O8</f>
        <v>0</v>
      </c>
      <c r="M17" s="141">
        <v>0</v>
      </c>
      <c r="N17" s="125">
        <f t="shared" si="4"/>
        <v>198000.05</v>
      </c>
      <c r="O17" s="123">
        <f t="shared" si="5"/>
        <v>209880.05</v>
      </c>
      <c r="P17" s="124">
        <f t="shared" si="6"/>
        <v>203940.05</v>
      </c>
      <c r="Q17" s="21">
        <f t="shared" si="7"/>
        <v>0.05</v>
      </c>
      <c r="R17" t="s">
        <v>115</v>
      </c>
    </row>
    <row r="18" spans="1:18" ht="17.100000000000001" customHeight="1" x14ac:dyDescent="0.3">
      <c r="A18" s="34">
        <v>6</v>
      </c>
      <c r="B18" s="34" t="s">
        <v>36</v>
      </c>
      <c r="C18" s="34" t="s">
        <v>37</v>
      </c>
      <c r="D18" s="34" t="s">
        <v>87</v>
      </c>
      <c r="E18" s="42">
        <v>5.4</v>
      </c>
      <c r="F18" s="43">
        <v>162000.06</v>
      </c>
      <c r="G18" s="44">
        <f t="shared" si="8"/>
        <v>162000.06</v>
      </c>
      <c r="H18" s="45">
        <f t="shared" si="0"/>
        <v>0</v>
      </c>
      <c r="I18" s="45">
        <f t="shared" si="3"/>
        <v>0</v>
      </c>
      <c r="J18" s="90">
        <f t="shared" si="1"/>
        <v>162000.00000000003</v>
      </c>
      <c r="K18" s="90">
        <f t="shared" si="2"/>
        <v>0</v>
      </c>
      <c r="L18" s="126">
        <f>EDESUR!O9</f>
        <v>0</v>
      </c>
      <c r="M18" s="140"/>
      <c r="N18" s="125">
        <f t="shared" si="4"/>
        <v>162000.06</v>
      </c>
      <c r="O18" s="46">
        <f t="shared" si="5"/>
        <v>171720.06</v>
      </c>
      <c r="P18" s="47">
        <f t="shared" si="6"/>
        <v>166860.06</v>
      </c>
      <c r="Q18" s="21">
        <f t="shared" si="7"/>
        <v>6.0000000000000005E-2</v>
      </c>
    </row>
    <row r="19" spans="1:18" ht="17.100000000000001" customHeight="1" x14ac:dyDescent="0.3">
      <c r="A19" s="118">
        <v>7</v>
      </c>
      <c r="B19" s="118" t="s">
        <v>38</v>
      </c>
      <c r="C19" s="118" t="s">
        <v>39</v>
      </c>
      <c r="D19" s="118" t="s">
        <v>88</v>
      </c>
      <c r="E19" s="120">
        <v>5.4</v>
      </c>
      <c r="F19" s="44">
        <v>166860.07</v>
      </c>
      <c r="G19" s="44">
        <f t="shared" si="8"/>
        <v>166860.07</v>
      </c>
      <c r="H19" s="121">
        <f t="shared" si="0"/>
        <v>0</v>
      </c>
      <c r="I19" s="121">
        <f t="shared" si="3"/>
        <v>0</v>
      </c>
      <c r="J19" s="122">
        <f t="shared" si="1"/>
        <v>162000.00000000003</v>
      </c>
      <c r="K19" s="122">
        <f t="shared" si="2"/>
        <v>0</v>
      </c>
      <c r="L19" s="126">
        <f>EDESUR!O10</f>
        <v>0</v>
      </c>
      <c r="M19" s="140"/>
      <c r="N19" s="125">
        <f t="shared" si="4"/>
        <v>162000.07</v>
      </c>
      <c r="O19" s="123">
        <f t="shared" si="5"/>
        <v>171720.07</v>
      </c>
      <c r="P19" s="124">
        <f t="shared" si="6"/>
        <v>166860.07</v>
      </c>
      <c r="Q19" s="21">
        <f t="shared" si="7"/>
        <v>7.0000000000000007E-2</v>
      </c>
    </row>
    <row r="20" spans="1:18" ht="17.100000000000001" customHeight="1" x14ac:dyDescent="0.3">
      <c r="A20" s="118">
        <v>8</v>
      </c>
      <c r="B20" s="118" t="s">
        <v>40</v>
      </c>
      <c r="C20" s="118" t="s">
        <v>41</v>
      </c>
      <c r="D20" s="119" t="s">
        <v>69</v>
      </c>
      <c r="E20" s="120">
        <v>6.6</v>
      </c>
      <c r="F20" s="44">
        <v>275013.08</v>
      </c>
      <c r="G20" s="44">
        <f t="shared" si="8"/>
        <v>275013.08</v>
      </c>
      <c r="H20" s="121">
        <f t="shared" si="0"/>
        <v>0</v>
      </c>
      <c r="I20" s="121">
        <f t="shared" si="3"/>
        <v>0</v>
      </c>
      <c r="J20" s="122">
        <f t="shared" si="1"/>
        <v>198000</v>
      </c>
      <c r="K20" s="122">
        <f t="shared" si="2"/>
        <v>0</v>
      </c>
      <c r="L20" s="126">
        <f>EDESUR!O12</f>
        <v>98658.340164570633</v>
      </c>
      <c r="M20" s="140"/>
      <c r="N20" s="125">
        <f t="shared" si="4"/>
        <v>296658.08</v>
      </c>
      <c r="O20" s="123">
        <f t="shared" si="5"/>
        <v>314458.08</v>
      </c>
      <c r="P20" s="124">
        <f t="shared" si="6"/>
        <v>305558.08</v>
      </c>
      <c r="Q20" s="21">
        <f t="shared" si="7"/>
        <v>0.08</v>
      </c>
    </row>
    <row r="21" spans="1:18" ht="17.100000000000001" customHeight="1" x14ac:dyDescent="0.3">
      <c r="A21" s="118">
        <v>9</v>
      </c>
      <c r="B21" s="118" t="s">
        <v>42</v>
      </c>
      <c r="C21" s="118" t="s">
        <v>43</v>
      </c>
      <c r="D21" s="119" t="s">
        <v>72</v>
      </c>
      <c r="E21" s="42">
        <v>6.6</v>
      </c>
      <c r="F21" s="43">
        <v>198000.09</v>
      </c>
      <c r="G21" s="44">
        <f t="shared" si="8"/>
        <v>198000.09</v>
      </c>
      <c r="H21" s="45">
        <f t="shared" si="0"/>
        <v>0</v>
      </c>
      <c r="I21" s="45">
        <f t="shared" si="3"/>
        <v>0</v>
      </c>
      <c r="J21" s="90">
        <f t="shared" si="1"/>
        <v>198000</v>
      </c>
      <c r="K21" s="90">
        <f t="shared" si="2"/>
        <v>0</v>
      </c>
      <c r="L21" s="126">
        <v>0</v>
      </c>
      <c r="M21" s="140">
        <v>50000</v>
      </c>
      <c r="N21" s="125">
        <f t="shared" si="4"/>
        <v>248000.09</v>
      </c>
      <c r="O21" s="46">
        <f t="shared" si="5"/>
        <v>262880.09000000003</v>
      </c>
      <c r="P21" s="47">
        <f t="shared" si="6"/>
        <v>255440.09</v>
      </c>
      <c r="Q21" s="21">
        <f t="shared" si="7"/>
        <v>0.09</v>
      </c>
    </row>
    <row r="22" spans="1:18" ht="17.100000000000001" customHeight="1" x14ac:dyDescent="0.3">
      <c r="A22" s="118">
        <v>10</v>
      </c>
      <c r="B22" s="118" t="s">
        <v>44</v>
      </c>
      <c r="C22" s="118" t="s">
        <v>45</v>
      </c>
      <c r="D22" s="119" t="s">
        <v>70</v>
      </c>
      <c r="E22" s="42">
        <v>5.4</v>
      </c>
      <c r="F22" s="43">
        <v>4012.1</v>
      </c>
      <c r="G22" s="44">
        <f t="shared" si="8"/>
        <v>4012.1</v>
      </c>
      <c r="H22" s="45">
        <f>F22-G22</f>
        <v>0</v>
      </c>
      <c r="I22" s="45">
        <f t="shared" si="3"/>
        <v>0</v>
      </c>
      <c r="J22" s="90">
        <f t="shared" si="1"/>
        <v>162000.00000000003</v>
      </c>
      <c r="K22" s="90">
        <f t="shared" si="2"/>
        <v>0</v>
      </c>
      <c r="L22" s="126">
        <f>EDESUR!O13</f>
        <v>0</v>
      </c>
      <c r="M22" s="140"/>
      <c r="N22" s="125">
        <f t="shared" si="4"/>
        <v>162000.1</v>
      </c>
      <c r="O22" s="46">
        <f t="shared" si="5"/>
        <v>171720.1</v>
      </c>
      <c r="P22" s="47">
        <f t="shared" si="6"/>
        <v>166860.1</v>
      </c>
      <c r="Q22" s="21">
        <f t="shared" si="7"/>
        <v>9.9999999999999992E-2</v>
      </c>
    </row>
    <row r="23" spans="1:18" ht="17.100000000000001" customHeight="1" x14ac:dyDescent="0.3">
      <c r="A23" s="34">
        <v>11</v>
      </c>
      <c r="B23" s="34" t="s">
        <v>46</v>
      </c>
      <c r="C23" s="34" t="s">
        <v>47</v>
      </c>
      <c r="D23" s="35"/>
      <c r="E23" s="42">
        <v>5.4</v>
      </c>
      <c r="F23" s="43">
        <v>162000.10999999999</v>
      </c>
      <c r="G23" s="44">
        <f>171070.33-G34</f>
        <v>162000.10999999999</v>
      </c>
      <c r="H23" s="45">
        <f t="shared" si="0"/>
        <v>0</v>
      </c>
      <c r="I23" s="45">
        <f t="shared" si="3"/>
        <v>0</v>
      </c>
      <c r="J23" s="90">
        <f t="shared" si="1"/>
        <v>162000.00000000003</v>
      </c>
      <c r="K23" s="90">
        <f t="shared" si="2"/>
        <v>0</v>
      </c>
      <c r="L23" s="126">
        <f>EDESUR!O14</f>
        <v>0</v>
      </c>
      <c r="M23" s="140"/>
      <c r="N23" s="125">
        <f t="shared" si="4"/>
        <v>162000.10999999999</v>
      </c>
      <c r="O23" s="46">
        <f t="shared" si="5"/>
        <v>171720.11</v>
      </c>
      <c r="P23" s="47">
        <f t="shared" si="6"/>
        <v>166860.10999999999</v>
      </c>
      <c r="Q23" s="21">
        <f t="shared" si="7"/>
        <v>0.10999999999999999</v>
      </c>
      <c r="R23" t="s">
        <v>89</v>
      </c>
    </row>
    <row r="24" spans="1:18" ht="30" customHeight="1" x14ac:dyDescent="0.3">
      <c r="A24" s="34">
        <v>12</v>
      </c>
      <c r="B24" s="34" t="s">
        <v>48</v>
      </c>
      <c r="C24" s="34" t="s">
        <v>49</v>
      </c>
      <c r="D24" s="35" t="s">
        <v>71</v>
      </c>
      <c r="E24" s="42">
        <v>6.6</v>
      </c>
      <c r="F24" s="43">
        <v>198000.12</v>
      </c>
      <c r="G24" s="44">
        <f>F24</f>
        <v>198000.12</v>
      </c>
      <c r="H24" s="45">
        <f t="shared" si="0"/>
        <v>0</v>
      </c>
      <c r="I24" s="45">
        <f t="shared" si="3"/>
        <v>0</v>
      </c>
      <c r="J24" s="90">
        <f t="shared" si="1"/>
        <v>198000</v>
      </c>
      <c r="K24" s="90">
        <f t="shared" si="2"/>
        <v>0</v>
      </c>
      <c r="L24" s="126">
        <f>EDESUR!O15</f>
        <v>0</v>
      </c>
      <c r="M24" s="140"/>
      <c r="N24" s="125">
        <f t="shared" si="4"/>
        <v>198000.12</v>
      </c>
      <c r="O24" s="46">
        <f t="shared" si="5"/>
        <v>209880.12</v>
      </c>
      <c r="P24" s="47">
        <f t="shared" si="6"/>
        <v>203940.12</v>
      </c>
      <c r="Q24" s="21">
        <f t="shared" si="7"/>
        <v>0.11999999999999998</v>
      </c>
    </row>
    <row r="25" spans="1:18" ht="17.100000000000001" customHeight="1" x14ac:dyDescent="0.3">
      <c r="A25" s="34">
        <v>13</v>
      </c>
      <c r="B25" s="34" t="s">
        <v>50</v>
      </c>
      <c r="C25" s="34" t="s">
        <v>51</v>
      </c>
      <c r="D25" s="35" t="s">
        <v>86</v>
      </c>
      <c r="E25" s="42">
        <v>6.6</v>
      </c>
      <c r="F25" s="43">
        <v>192168.13</v>
      </c>
      <c r="G25" s="44">
        <v>197933.13</v>
      </c>
      <c r="H25" s="45">
        <f t="shared" si="0"/>
        <v>-5765</v>
      </c>
      <c r="I25" s="45">
        <f t="shared" si="3"/>
        <v>0</v>
      </c>
      <c r="J25" s="90">
        <f t="shared" si="1"/>
        <v>198000</v>
      </c>
      <c r="K25" s="90">
        <f t="shared" si="2"/>
        <v>0</v>
      </c>
      <c r="L25" s="126">
        <f>EDESUR!O16</f>
        <v>0</v>
      </c>
      <c r="M25" s="140"/>
      <c r="N25" s="125">
        <f t="shared" si="4"/>
        <v>192235.13</v>
      </c>
      <c r="O25" s="46">
        <f t="shared" si="5"/>
        <v>203769.13</v>
      </c>
      <c r="P25" s="47">
        <f t="shared" si="6"/>
        <v>198002.13</v>
      </c>
      <c r="Q25" s="21">
        <f t="shared" si="7"/>
        <v>0.12999999999999998</v>
      </c>
    </row>
    <row r="26" spans="1:18" ht="17.100000000000001" customHeight="1" x14ac:dyDescent="0.3">
      <c r="A26" s="118">
        <v>14</v>
      </c>
      <c r="B26" s="118" t="s">
        <v>52</v>
      </c>
      <c r="C26" s="118" t="s">
        <v>53</v>
      </c>
      <c r="D26" s="119"/>
      <c r="E26" s="120">
        <v>5.4</v>
      </c>
      <c r="F26" s="44">
        <v>162000.14000000001</v>
      </c>
      <c r="G26" s="44">
        <f t="shared" ref="G26:G32" si="9">F26</f>
        <v>162000.14000000001</v>
      </c>
      <c r="H26" s="121">
        <f t="shared" si="0"/>
        <v>0</v>
      </c>
      <c r="I26" s="121">
        <f t="shared" si="3"/>
        <v>0</v>
      </c>
      <c r="J26" s="122">
        <f t="shared" si="1"/>
        <v>162000.00000000003</v>
      </c>
      <c r="K26" s="122">
        <f t="shared" si="2"/>
        <v>0</v>
      </c>
      <c r="L26" s="126">
        <f>EDESUR!O17</f>
        <v>0</v>
      </c>
      <c r="M26" s="141"/>
      <c r="N26" s="125">
        <f t="shared" si="4"/>
        <v>162000.14000000001</v>
      </c>
      <c r="O26" s="123">
        <f t="shared" si="5"/>
        <v>171720.14</v>
      </c>
      <c r="P26" s="124">
        <f t="shared" si="6"/>
        <v>166860.14000000001</v>
      </c>
      <c r="Q26" s="21">
        <f t="shared" si="7"/>
        <v>0.13999999999999999</v>
      </c>
    </row>
    <row r="27" spans="1:18" ht="17.100000000000001" customHeight="1" x14ac:dyDescent="0.3">
      <c r="A27" s="34">
        <v>15</v>
      </c>
      <c r="B27" s="34" t="s">
        <v>54</v>
      </c>
      <c r="C27" s="34" t="s">
        <v>55</v>
      </c>
      <c r="D27" s="35"/>
      <c r="E27" s="42">
        <v>5.4</v>
      </c>
      <c r="F27" s="43">
        <v>162000.15</v>
      </c>
      <c r="G27" s="44">
        <f t="shared" si="9"/>
        <v>162000.15</v>
      </c>
      <c r="H27" s="45">
        <f t="shared" si="0"/>
        <v>0</v>
      </c>
      <c r="I27" s="45">
        <f t="shared" si="3"/>
        <v>0</v>
      </c>
      <c r="J27" s="90">
        <f t="shared" si="1"/>
        <v>162000.00000000003</v>
      </c>
      <c r="K27" s="90">
        <f t="shared" si="2"/>
        <v>0</v>
      </c>
      <c r="L27" s="126">
        <f>EDESUR!O18</f>
        <v>0</v>
      </c>
      <c r="M27" s="140"/>
      <c r="N27" s="125">
        <f t="shared" si="4"/>
        <v>162000.15</v>
      </c>
      <c r="O27" s="46">
        <f t="shared" si="5"/>
        <v>171720.15</v>
      </c>
      <c r="P27" s="47">
        <f t="shared" si="6"/>
        <v>166860.15</v>
      </c>
      <c r="Q27" s="21">
        <f t="shared" si="7"/>
        <v>0.15</v>
      </c>
    </row>
    <row r="28" spans="1:18" ht="17.100000000000001" customHeight="1" x14ac:dyDescent="0.3">
      <c r="A28" s="118">
        <v>16</v>
      </c>
      <c r="B28" s="118" t="s">
        <v>56</v>
      </c>
      <c r="C28" s="118" t="s">
        <v>37</v>
      </c>
      <c r="D28" s="34" t="s">
        <v>87</v>
      </c>
      <c r="E28" s="42">
        <v>0.7</v>
      </c>
      <c r="F28" s="43">
        <v>21163.16</v>
      </c>
      <c r="G28" s="44">
        <f>F28</f>
        <v>21163.16</v>
      </c>
      <c r="H28" s="45">
        <f t="shared" si="0"/>
        <v>0</v>
      </c>
      <c r="I28" s="45">
        <f t="shared" si="3"/>
        <v>0</v>
      </c>
      <c r="J28" s="90">
        <f t="shared" si="1"/>
        <v>21000</v>
      </c>
      <c r="K28" s="90">
        <f t="shared" si="2"/>
        <v>0</v>
      </c>
      <c r="L28" s="126">
        <f>EDESUR!O19</f>
        <v>0</v>
      </c>
      <c r="M28" s="140"/>
      <c r="N28" s="125">
        <f t="shared" si="4"/>
        <v>21000.16</v>
      </c>
      <c r="O28" s="46">
        <f t="shared" si="5"/>
        <v>22260.16</v>
      </c>
      <c r="P28" s="47">
        <f t="shared" si="6"/>
        <v>21630.16</v>
      </c>
      <c r="Q28" s="21">
        <f t="shared" si="7"/>
        <v>0.16</v>
      </c>
    </row>
    <row r="29" spans="1:18" ht="17.100000000000001" customHeight="1" x14ac:dyDescent="0.3">
      <c r="A29" s="118">
        <v>17</v>
      </c>
      <c r="B29" s="118" t="s">
        <v>57</v>
      </c>
      <c r="C29" s="118" t="s">
        <v>27</v>
      </c>
      <c r="D29" s="35"/>
      <c r="E29" s="42">
        <v>0.6</v>
      </c>
      <c r="F29" s="44">
        <v>18140.169999999998</v>
      </c>
      <c r="G29" s="44">
        <f t="shared" si="9"/>
        <v>18140.169999999998</v>
      </c>
      <c r="H29" s="45">
        <f t="shared" si="0"/>
        <v>0</v>
      </c>
      <c r="I29" s="45">
        <f t="shared" si="3"/>
        <v>0</v>
      </c>
      <c r="J29" s="90">
        <f t="shared" si="1"/>
        <v>18000</v>
      </c>
      <c r="K29" s="90">
        <f t="shared" si="2"/>
        <v>0</v>
      </c>
      <c r="L29" s="126">
        <v>0</v>
      </c>
      <c r="M29" s="140"/>
      <c r="N29" s="125">
        <f t="shared" si="4"/>
        <v>18000.169999999998</v>
      </c>
      <c r="O29" s="46">
        <f t="shared" si="5"/>
        <v>19080.169999999998</v>
      </c>
      <c r="P29" s="47">
        <f t="shared" si="6"/>
        <v>18540.169999999998</v>
      </c>
      <c r="Q29" s="21">
        <f t="shared" si="7"/>
        <v>0.17</v>
      </c>
    </row>
    <row r="30" spans="1:18" ht="17.100000000000001" customHeight="1" x14ac:dyDescent="0.3">
      <c r="A30" s="34">
        <v>18</v>
      </c>
      <c r="B30" s="34" t="s">
        <v>58</v>
      </c>
      <c r="C30" s="34" t="s">
        <v>27</v>
      </c>
      <c r="D30" s="77"/>
      <c r="E30" s="42">
        <v>0.6</v>
      </c>
      <c r="F30" s="43">
        <v>18140.18</v>
      </c>
      <c r="G30" s="44">
        <f>F30</f>
        <v>18140.18</v>
      </c>
      <c r="H30" s="45">
        <f t="shared" si="0"/>
        <v>0</v>
      </c>
      <c r="I30" s="45">
        <f t="shared" si="3"/>
        <v>0</v>
      </c>
      <c r="J30" s="90">
        <f t="shared" si="1"/>
        <v>18000</v>
      </c>
      <c r="K30" s="90">
        <f t="shared" si="2"/>
        <v>0</v>
      </c>
      <c r="L30" s="126">
        <f>EDESUR!O21</f>
        <v>0</v>
      </c>
      <c r="M30" s="140"/>
      <c r="N30" s="125">
        <f t="shared" si="4"/>
        <v>18000.18</v>
      </c>
      <c r="O30" s="46">
        <f t="shared" si="5"/>
        <v>19080.18</v>
      </c>
      <c r="P30" s="47">
        <f t="shared" si="6"/>
        <v>18540.18</v>
      </c>
      <c r="Q30" s="21">
        <f t="shared" si="7"/>
        <v>0.18000000000000002</v>
      </c>
    </row>
    <row r="31" spans="1:18" x14ac:dyDescent="0.3">
      <c r="A31" s="118">
        <v>19</v>
      </c>
      <c r="B31" s="118" t="s">
        <v>59</v>
      </c>
      <c r="C31" s="118" t="s">
        <v>49</v>
      </c>
      <c r="D31" s="119"/>
      <c r="E31" s="120">
        <v>0.6</v>
      </c>
      <c r="F31" s="44">
        <v>18140.189999999999</v>
      </c>
      <c r="G31" s="44">
        <f t="shared" si="9"/>
        <v>18140.189999999999</v>
      </c>
      <c r="H31" s="121">
        <f t="shared" si="0"/>
        <v>0</v>
      </c>
      <c r="I31" s="121">
        <f t="shared" si="3"/>
        <v>0</v>
      </c>
      <c r="J31" s="122">
        <f t="shared" si="1"/>
        <v>18000</v>
      </c>
      <c r="K31" s="122">
        <f t="shared" si="2"/>
        <v>0</v>
      </c>
      <c r="L31" s="126">
        <f>EDESUR!O22</f>
        <v>0</v>
      </c>
      <c r="M31" s="141"/>
      <c r="N31" s="125">
        <f t="shared" si="4"/>
        <v>18000.189999999999</v>
      </c>
      <c r="O31" s="123"/>
      <c r="P31" s="124">
        <f t="shared" si="6"/>
        <v>18540.189999999999</v>
      </c>
      <c r="Q31" s="21">
        <f>Q30+0.01</f>
        <v>0.19000000000000003</v>
      </c>
    </row>
    <row r="32" spans="1:18" ht="21.6" x14ac:dyDescent="0.3">
      <c r="A32" s="48">
        <v>20</v>
      </c>
      <c r="B32" s="48" t="s">
        <v>60</v>
      </c>
      <c r="C32" s="34" t="s">
        <v>33</v>
      </c>
      <c r="D32" s="35" t="s">
        <v>121</v>
      </c>
      <c r="E32" s="42">
        <v>0.6</v>
      </c>
      <c r="F32" s="50">
        <v>18140.2</v>
      </c>
      <c r="G32" s="44">
        <f t="shared" si="9"/>
        <v>18140.2</v>
      </c>
      <c r="H32" s="45">
        <f t="shared" si="0"/>
        <v>0</v>
      </c>
      <c r="I32" s="45">
        <f t="shared" si="3"/>
        <v>0</v>
      </c>
      <c r="J32" s="90">
        <f t="shared" si="1"/>
        <v>18000</v>
      </c>
      <c r="K32" s="90">
        <f t="shared" si="2"/>
        <v>0</v>
      </c>
      <c r="L32" s="126">
        <f>EDESUR!O23</f>
        <v>0</v>
      </c>
      <c r="M32" s="140"/>
      <c r="N32" s="125">
        <f t="shared" si="4"/>
        <v>18000.2</v>
      </c>
      <c r="O32" s="46"/>
      <c r="P32" s="47">
        <f t="shared" si="6"/>
        <v>18540.2</v>
      </c>
      <c r="Q32" s="21">
        <f t="shared" ref="Q32:Q35" si="10">Q31+0.01</f>
        <v>0.20000000000000004</v>
      </c>
    </row>
    <row r="33" spans="1:17" x14ac:dyDescent="0.3">
      <c r="A33" s="48">
        <v>21</v>
      </c>
      <c r="B33" s="48" t="s">
        <v>61</v>
      </c>
      <c r="C33" s="36" t="s">
        <v>45</v>
      </c>
      <c r="D33" s="35" t="s">
        <v>70</v>
      </c>
      <c r="E33" s="42">
        <v>0.3</v>
      </c>
      <c r="F33" s="50">
        <v>9070.2099999999991</v>
      </c>
      <c r="G33" s="44">
        <f>F33</f>
        <v>9070.2099999999991</v>
      </c>
      <c r="H33" s="45">
        <f t="shared" si="0"/>
        <v>0</v>
      </c>
      <c r="I33" s="45">
        <f t="shared" si="3"/>
        <v>0</v>
      </c>
      <c r="J33" s="90">
        <f t="shared" si="1"/>
        <v>9000</v>
      </c>
      <c r="K33" s="90">
        <f t="shared" si="2"/>
        <v>0</v>
      </c>
      <c r="L33" s="126">
        <f>EDESUR!O24</f>
        <v>0</v>
      </c>
      <c r="M33" s="140"/>
      <c r="N33" s="125">
        <f t="shared" si="4"/>
        <v>9000.2099999999991</v>
      </c>
      <c r="O33" s="46"/>
      <c r="P33" s="47">
        <f t="shared" si="6"/>
        <v>9270.2099999999991</v>
      </c>
      <c r="Q33" s="21">
        <f t="shared" si="10"/>
        <v>0.21000000000000005</v>
      </c>
    </row>
    <row r="34" spans="1:17" x14ac:dyDescent="0.3">
      <c r="A34" s="49">
        <v>22</v>
      </c>
      <c r="B34" s="49" t="s">
        <v>62</v>
      </c>
      <c r="C34" s="34" t="s">
        <v>47</v>
      </c>
      <c r="D34" s="35"/>
      <c r="E34" s="42">
        <v>0.3</v>
      </c>
      <c r="F34" s="50">
        <v>9070.2199999999993</v>
      </c>
      <c r="G34" s="196">
        <f t="shared" ref="G34" si="11">F34</f>
        <v>9070.2199999999993</v>
      </c>
      <c r="H34" s="45">
        <f t="shared" si="0"/>
        <v>0</v>
      </c>
      <c r="I34" s="45">
        <f t="shared" si="3"/>
        <v>0</v>
      </c>
      <c r="J34" s="90">
        <f t="shared" si="1"/>
        <v>9000</v>
      </c>
      <c r="K34" s="90">
        <f t="shared" si="2"/>
        <v>0</v>
      </c>
      <c r="L34" s="126">
        <f>EDESUR!O25</f>
        <v>0</v>
      </c>
      <c r="M34" s="140"/>
      <c r="N34" s="125">
        <f t="shared" si="4"/>
        <v>9000.2199999999993</v>
      </c>
      <c r="O34" s="46"/>
      <c r="P34" s="47">
        <f t="shared" si="6"/>
        <v>9270.2199999999993</v>
      </c>
      <c r="Q34" s="21">
        <f t="shared" si="10"/>
        <v>0.22000000000000006</v>
      </c>
    </row>
    <row r="35" spans="1:17" ht="17.100000000000001" customHeight="1" thickBot="1" x14ac:dyDescent="0.35">
      <c r="A35" s="34">
        <v>23</v>
      </c>
      <c r="B35" s="51" t="s">
        <v>63</v>
      </c>
      <c r="C35" s="51" t="s">
        <v>64</v>
      </c>
      <c r="D35" s="35" t="s">
        <v>68</v>
      </c>
      <c r="E35" s="42">
        <v>0.3</v>
      </c>
      <c r="F35" s="50">
        <v>9070.23</v>
      </c>
      <c r="G35" s="44">
        <f>F35</f>
        <v>9070.23</v>
      </c>
      <c r="H35" s="45">
        <f t="shared" si="0"/>
        <v>0</v>
      </c>
      <c r="I35" s="45">
        <f t="shared" si="3"/>
        <v>0</v>
      </c>
      <c r="J35" s="90">
        <f t="shared" si="1"/>
        <v>9000</v>
      </c>
      <c r="K35" s="90">
        <f t="shared" si="2"/>
        <v>0</v>
      </c>
      <c r="L35" s="126">
        <f>EDESUR!O26</f>
        <v>0</v>
      </c>
      <c r="M35" s="140"/>
      <c r="N35" s="125">
        <f t="shared" si="4"/>
        <v>9000.23</v>
      </c>
      <c r="O35" s="52"/>
      <c r="P35" s="47">
        <f t="shared" si="6"/>
        <v>9270.23</v>
      </c>
      <c r="Q35" s="21">
        <f t="shared" si="10"/>
        <v>0.23000000000000007</v>
      </c>
    </row>
    <row r="36" spans="1:17" ht="17.100000000000001" customHeight="1" thickBot="1" x14ac:dyDescent="0.35">
      <c r="A36" s="53"/>
      <c r="B36" s="53"/>
      <c r="C36" s="54"/>
      <c r="D36" s="54"/>
      <c r="E36" s="96">
        <f>SUM(E13:E35)</f>
        <v>99.999999999999986</v>
      </c>
      <c r="F36" s="28">
        <f>SUM(F13:F35)</f>
        <v>3054299.7600000012</v>
      </c>
      <c r="G36" s="197">
        <f>SUM(G13:G35)</f>
        <v>3060391.1300000008</v>
      </c>
      <c r="H36" s="32">
        <f>SUM(H13:H35)</f>
        <v>-6091.3699999999662</v>
      </c>
      <c r="I36" s="32">
        <f t="shared" ref="I36:O36" si="12">SUM(I13:I35)</f>
        <v>1.8300000000454019E-2</v>
      </c>
      <c r="J36" s="80">
        <f t="shared" si="12"/>
        <v>3000000</v>
      </c>
      <c r="K36" s="32">
        <f t="shared" si="12"/>
        <v>0</v>
      </c>
      <c r="L36" s="55">
        <f>SUM(L13:L35)</f>
        <v>223921.50565122702</v>
      </c>
      <c r="M36" s="55"/>
      <c r="N36" s="55">
        <f>SUM(N13:N35)</f>
        <v>3267831.7600000007</v>
      </c>
      <c r="O36" s="55">
        <f t="shared" si="12"/>
        <v>3397120.7100000004</v>
      </c>
      <c r="P36" s="55">
        <f>SUM(P13:P35)</f>
        <v>3365866.7600000007</v>
      </c>
    </row>
    <row r="37" spans="1:17" ht="12.75" customHeight="1" x14ac:dyDescent="0.3">
      <c r="C37" s="27"/>
      <c r="D37" s="27"/>
    </row>
    <row r="38" spans="1:17" hidden="1" x14ac:dyDescent="0.3"/>
    <row r="39" spans="1:17" ht="9" customHeight="1" x14ac:dyDescent="0.3">
      <c r="C39" s="19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</row>
    <row r="40" spans="1:17" ht="12" hidden="1" customHeight="1" x14ac:dyDescent="0.3"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</row>
    <row r="41" spans="1:17" ht="12" hidden="1" customHeight="1" x14ac:dyDescent="0.3"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</row>
    <row r="42" spans="1:17" ht="12" hidden="1" customHeight="1" x14ac:dyDescent="0.3"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</row>
    <row r="43" spans="1:17" ht="12" hidden="1" customHeight="1" x14ac:dyDescent="0.3"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</row>
    <row r="44" spans="1:17" ht="67.5" customHeight="1" x14ac:dyDescent="0.3"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</row>
  </sheetData>
  <mergeCells count="19">
    <mergeCell ref="E1:N1"/>
    <mergeCell ref="I11:I12"/>
    <mergeCell ref="F11:F12"/>
    <mergeCell ref="O11:O12"/>
    <mergeCell ref="G11:G12"/>
    <mergeCell ref="H11:H12"/>
    <mergeCell ref="J11:J12"/>
    <mergeCell ref="K11:K12"/>
    <mergeCell ref="A4:P8"/>
    <mergeCell ref="P11:P12"/>
    <mergeCell ref="A9:P9"/>
    <mergeCell ref="A10:P10"/>
    <mergeCell ref="L11:L12"/>
    <mergeCell ref="C39:N44"/>
    <mergeCell ref="D11:D12"/>
    <mergeCell ref="A11:A12"/>
    <mergeCell ref="C11:C12"/>
    <mergeCell ref="E11:E12"/>
    <mergeCell ref="M11:M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DE44-94AC-4627-8367-E065E39D764D}">
  <dimension ref="B2:O32"/>
  <sheetViews>
    <sheetView topLeftCell="A10" workbookViewId="0">
      <selection activeCell="O5" sqref="O5"/>
    </sheetView>
  </sheetViews>
  <sheetFormatPr baseColWidth="10" defaultColWidth="9.109375" defaultRowHeight="14.4" x14ac:dyDescent="0.3"/>
  <cols>
    <col min="1" max="1" width="4" customWidth="1"/>
    <col min="2" max="2" width="8.44140625" customWidth="1"/>
    <col min="3" max="3" width="8" customWidth="1"/>
    <col min="4" max="4" width="12.5546875" customWidth="1"/>
    <col min="5" max="5" width="14" customWidth="1"/>
    <col min="6" max="6" width="15.33203125" customWidth="1"/>
    <col min="7" max="7" width="1.88671875" customWidth="1"/>
    <col min="8" max="8" width="10.5546875" customWidth="1"/>
    <col min="9" max="9" width="14.33203125" customWidth="1"/>
    <col min="10" max="10" width="1.88671875" customWidth="1"/>
    <col min="11" max="11" width="19.5546875" style="101" customWidth="1"/>
    <col min="12" max="12" width="2.109375" customWidth="1"/>
    <col min="13" max="13" width="19.6640625" style="102" customWidth="1"/>
    <col min="14" max="14" width="2" customWidth="1"/>
    <col min="15" max="15" width="15.33203125" style="167" customWidth="1"/>
  </cols>
  <sheetData>
    <row r="2" spans="2:15" x14ac:dyDescent="0.3">
      <c r="D2" s="235" t="s">
        <v>135</v>
      </c>
      <c r="E2" s="235"/>
      <c r="F2" s="235"/>
      <c r="G2" s="1"/>
      <c r="H2" s="236" t="s">
        <v>136</v>
      </c>
      <c r="I2" s="237"/>
      <c r="J2" s="1"/>
      <c r="K2" s="190" t="s">
        <v>137</v>
      </c>
      <c r="M2" s="177" t="s">
        <v>138</v>
      </c>
      <c r="O2" s="190" t="s">
        <v>139</v>
      </c>
    </row>
    <row r="3" spans="2:15" x14ac:dyDescent="0.3">
      <c r="B3" s="99" t="s">
        <v>79</v>
      </c>
      <c r="C3" s="99" t="s">
        <v>80</v>
      </c>
      <c r="D3" s="99" t="s">
        <v>126</v>
      </c>
      <c r="E3" s="99" t="s">
        <v>127</v>
      </c>
      <c r="F3" s="190" t="s">
        <v>128</v>
      </c>
      <c r="H3" s="99" t="s">
        <v>140</v>
      </c>
      <c r="I3" s="162" t="s">
        <v>129</v>
      </c>
      <c r="K3" s="99"/>
      <c r="M3" s="100"/>
      <c r="O3" s="190"/>
    </row>
    <row r="4" spans="2:15" x14ac:dyDescent="0.3">
      <c r="B4" s="178">
        <v>1</v>
      </c>
      <c r="C4" s="178" t="s">
        <v>81</v>
      </c>
      <c r="D4" s="179">
        <v>0</v>
      </c>
      <c r="E4" s="180">
        <v>0</v>
      </c>
      <c r="F4" s="181">
        <v>0</v>
      </c>
      <c r="H4" s="163">
        <v>0.12</v>
      </c>
      <c r="I4" s="182">
        <v>5711.4946104294486</v>
      </c>
      <c r="K4" s="142">
        <f>I4+F4</f>
        <v>5711.4946104294486</v>
      </c>
      <c r="M4" s="183">
        <f>K4</f>
        <v>5711.4946104294486</v>
      </c>
      <c r="O4" s="142">
        <f>K4-M4</f>
        <v>0</v>
      </c>
    </row>
    <row r="5" spans="2:15" x14ac:dyDescent="0.3">
      <c r="B5" s="99">
        <v>1</v>
      </c>
      <c r="C5" s="99" t="s">
        <v>82</v>
      </c>
      <c r="D5" s="165">
        <v>300.19999999999982</v>
      </c>
      <c r="E5" s="180">
        <v>0.56112149532710243</v>
      </c>
      <c r="F5" s="181">
        <v>122121.84345092018</v>
      </c>
      <c r="H5" s="164">
        <v>6.6000000000000003E-2</v>
      </c>
      <c r="I5" s="182">
        <v>3141.322035736197</v>
      </c>
      <c r="K5" s="142">
        <f t="shared" ref="K5:K18" si="0">I5+F5</f>
        <v>125263.16548665638</v>
      </c>
      <c r="M5" s="183">
        <v>0</v>
      </c>
      <c r="O5" s="142">
        <f t="shared" ref="O5:O18" si="1">K5-M5</f>
        <v>125263.16548665638</v>
      </c>
    </row>
    <row r="6" spans="2:15" x14ac:dyDescent="0.3">
      <c r="B6" s="178">
        <v>1</v>
      </c>
      <c r="C6" s="178" t="s">
        <v>83</v>
      </c>
      <c r="D6" s="179">
        <v>0</v>
      </c>
      <c r="E6" s="180">
        <v>0</v>
      </c>
      <c r="F6" s="181">
        <v>0</v>
      </c>
      <c r="H6" s="164">
        <v>5.3999999999999999E-2</v>
      </c>
      <c r="I6" s="182">
        <v>2570.172574693252</v>
      </c>
      <c r="K6" s="142">
        <f t="shared" si="0"/>
        <v>2570.172574693252</v>
      </c>
      <c r="M6" s="183">
        <f t="shared" ref="M6:M18" si="2">K6</f>
        <v>2570.172574693252</v>
      </c>
      <c r="O6" s="142">
        <f t="shared" si="1"/>
        <v>0</v>
      </c>
    </row>
    <row r="7" spans="2:15" x14ac:dyDescent="0.3">
      <c r="B7" s="178">
        <v>2</v>
      </c>
      <c r="C7" s="178" t="s">
        <v>81</v>
      </c>
      <c r="D7" s="179">
        <v>0</v>
      </c>
      <c r="E7" s="180">
        <v>0</v>
      </c>
      <c r="F7" s="181">
        <v>0</v>
      </c>
      <c r="H7" s="164">
        <v>5.3999999999999999E-2</v>
      </c>
      <c r="I7" s="182">
        <v>2570.172574693252</v>
      </c>
      <c r="K7" s="142">
        <f t="shared" si="0"/>
        <v>2570.172574693252</v>
      </c>
      <c r="M7" s="183">
        <f t="shared" si="2"/>
        <v>2570.172574693252</v>
      </c>
      <c r="O7" s="142">
        <f t="shared" si="1"/>
        <v>0</v>
      </c>
    </row>
    <row r="8" spans="2:15" x14ac:dyDescent="0.3">
      <c r="B8" s="178">
        <v>2</v>
      </c>
      <c r="C8" s="178" t="s">
        <v>84</v>
      </c>
      <c r="D8" s="179">
        <v>0</v>
      </c>
      <c r="E8" s="180">
        <v>0</v>
      </c>
      <c r="F8" s="181">
        <v>0</v>
      </c>
      <c r="H8" s="164">
        <v>6.6000000000000003E-2</v>
      </c>
      <c r="I8" s="182">
        <v>3141.322035736197</v>
      </c>
      <c r="K8" s="142">
        <f t="shared" si="0"/>
        <v>3141.322035736197</v>
      </c>
      <c r="M8" s="183">
        <f t="shared" si="2"/>
        <v>3141.322035736197</v>
      </c>
      <c r="O8" s="142">
        <f t="shared" si="1"/>
        <v>0</v>
      </c>
    </row>
    <row r="9" spans="2:15" x14ac:dyDescent="0.3">
      <c r="B9" s="178">
        <v>2</v>
      </c>
      <c r="C9" s="178" t="s">
        <v>82</v>
      </c>
      <c r="D9" s="179">
        <v>0</v>
      </c>
      <c r="E9" s="180">
        <v>0</v>
      </c>
      <c r="F9" s="181">
        <v>0</v>
      </c>
      <c r="H9" s="164">
        <v>6.6000000000000003E-2</v>
      </c>
      <c r="I9" s="182">
        <v>3141.322035736197</v>
      </c>
      <c r="K9" s="142">
        <f t="shared" si="0"/>
        <v>3141.322035736197</v>
      </c>
      <c r="M9" s="183">
        <f t="shared" si="2"/>
        <v>3141.322035736197</v>
      </c>
      <c r="O9" s="142">
        <f t="shared" si="1"/>
        <v>0</v>
      </c>
    </row>
    <row r="10" spans="2:15" x14ac:dyDescent="0.3">
      <c r="B10" s="178">
        <v>2</v>
      </c>
      <c r="C10" s="178" t="s">
        <v>83</v>
      </c>
      <c r="D10" s="179">
        <v>0</v>
      </c>
      <c r="E10" s="180">
        <v>0</v>
      </c>
      <c r="F10" s="184">
        <v>0</v>
      </c>
      <c r="H10" s="164">
        <v>5.3999999999999999E-2</v>
      </c>
      <c r="I10" s="182">
        <v>2570.172574693252</v>
      </c>
      <c r="K10" s="142">
        <f t="shared" si="0"/>
        <v>2570.172574693252</v>
      </c>
      <c r="M10" s="183">
        <f t="shared" si="2"/>
        <v>2570.172574693252</v>
      </c>
      <c r="O10" s="142">
        <f t="shared" si="1"/>
        <v>0</v>
      </c>
    </row>
    <row r="11" spans="2:15" x14ac:dyDescent="0.3">
      <c r="B11" s="178">
        <v>3</v>
      </c>
      <c r="C11" s="178" t="s">
        <v>81</v>
      </c>
      <c r="D11" s="179">
        <v>0</v>
      </c>
      <c r="E11" s="180">
        <v>0</v>
      </c>
      <c r="F11" s="181">
        <v>0</v>
      </c>
      <c r="H11" s="164">
        <v>5.3999999999999999E-2</v>
      </c>
      <c r="I11" s="182">
        <v>2570.172574693252</v>
      </c>
      <c r="K11" s="142">
        <f t="shared" si="0"/>
        <v>2570.172574693252</v>
      </c>
      <c r="M11" s="183">
        <f t="shared" si="2"/>
        <v>2570.172574693252</v>
      </c>
      <c r="O11" s="142">
        <f t="shared" si="1"/>
        <v>0</v>
      </c>
    </row>
    <row r="12" spans="2:15" x14ac:dyDescent="0.3">
      <c r="B12" s="99">
        <v>3</v>
      </c>
      <c r="C12" s="99" t="s">
        <v>84</v>
      </c>
      <c r="D12" s="165">
        <v>234.80000000000018</v>
      </c>
      <c r="E12" s="180">
        <v>0.43887850467289752</v>
      </c>
      <c r="F12" s="181">
        <v>95517.018128834432</v>
      </c>
      <c r="H12" s="164">
        <v>6.6000000000000003E-2</v>
      </c>
      <c r="I12" s="182">
        <v>3141.322035736197</v>
      </c>
      <c r="K12" s="142">
        <f t="shared" si="0"/>
        <v>98658.340164570633</v>
      </c>
      <c r="M12" s="183">
        <v>0</v>
      </c>
      <c r="O12" s="142">
        <f t="shared" si="1"/>
        <v>98658.340164570633</v>
      </c>
    </row>
    <row r="13" spans="2:15" x14ac:dyDescent="0.3">
      <c r="B13" s="178">
        <v>3</v>
      </c>
      <c r="C13" s="178" t="s">
        <v>82</v>
      </c>
      <c r="D13" s="179">
        <v>0</v>
      </c>
      <c r="E13" s="180">
        <v>0</v>
      </c>
      <c r="F13" s="181">
        <v>0</v>
      </c>
      <c r="H13" s="164">
        <v>6.6000000000000003E-2</v>
      </c>
      <c r="I13" s="182">
        <v>3141.322035736197</v>
      </c>
      <c r="K13" s="142">
        <f t="shared" si="0"/>
        <v>3141.322035736197</v>
      </c>
      <c r="M13" s="183">
        <f t="shared" si="2"/>
        <v>3141.322035736197</v>
      </c>
      <c r="O13" s="142">
        <f t="shared" si="1"/>
        <v>0</v>
      </c>
    </row>
    <row r="14" spans="2:15" x14ac:dyDescent="0.3">
      <c r="B14" s="178">
        <v>3</v>
      </c>
      <c r="C14" s="178" t="s">
        <v>83</v>
      </c>
      <c r="D14" s="179">
        <v>0</v>
      </c>
      <c r="E14" s="180">
        <v>0</v>
      </c>
      <c r="F14" s="181">
        <v>0</v>
      </c>
      <c r="H14" s="164">
        <v>5.3999999999999999E-2</v>
      </c>
      <c r="I14" s="182">
        <v>2570.172574693252</v>
      </c>
      <c r="K14" s="142">
        <f t="shared" si="0"/>
        <v>2570.172574693252</v>
      </c>
      <c r="M14" s="183">
        <f t="shared" si="2"/>
        <v>2570.172574693252</v>
      </c>
      <c r="O14" s="142">
        <f t="shared" si="1"/>
        <v>0</v>
      </c>
    </row>
    <row r="15" spans="2:15" x14ac:dyDescent="0.3">
      <c r="B15" s="178">
        <v>4</v>
      </c>
      <c r="C15" s="178" t="s">
        <v>81</v>
      </c>
      <c r="D15" s="179">
        <v>0</v>
      </c>
      <c r="E15" s="180">
        <v>0</v>
      </c>
      <c r="F15" s="181">
        <v>0</v>
      </c>
      <c r="H15" s="164">
        <v>5.3999999999999999E-2</v>
      </c>
      <c r="I15" s="182">
        <v>2570.172574693252</v>
      </c>
      <c r="K15" s="142">
        <f t="shared" si="0"/>
        <v>2570.172574693252</v>
      </c>
      <c r="M15" s="183">
        <f t="shared" si="2"/>
        <v>2570.172574693252</v>
      </c>
      <c r="O15" s="142">
        <f t="shared" si="1"/>
        <v>0</v>
      </c>
    </row>
    <row r="16" spans="2:15" x14ac:dyDescent="0.3">
      <c r="B16" s="178">
        <v>4</v>
      </c>
      <c r="C16" s="178" t="s">
        <v>84</v>
      </c>
      <c r="D16" s="179">
        <v>0</v>
      </c>
      <c r="E16" s="180">
        <v>0</v>
      </c>
      <c r="F16" s="181">
        <v>0</v>
      </c>
      <c r="H16" s="164">
        <v>6.6000000000000003E-2</v>
      </c>
      <c r="I16" s="182">
        <v>3141.322035736197</v>
      </c>
      <c r="K16" s="142">
        <f t="shared" si="0"/>
        <v>3141.322035736197</v>
      </c>
      <c r="M16" s="183">
        <f t="shared" si="2"/>
        <v>3141.322035736197</v>
      </c>
      <c r="O16" s="142">
        <f t="shared" si="1"/>
        <v>0</v>
      </c>
    </row>
    <row r="17" spans="2:15" x14ac:dyDescent="0.3">
      <c r="B17" s="178">
        <v>4</v>
      </c>
      <c r="C17" s="178" t="s">
        <v>82</v>
      </c>
      <c r="D17" s="179">
        <v>0</v>
      </c>
      <c r="E17" s="180">
        <v>0</v>
      </c>
      <c r="F17" s="181">
        <v>0</v>
      </c>
      <c r="H17" s="164">
        <v>6.6000000000000003E-2</v>
      </c>
      <c r="I17" s="182">
        <v>3141.322035736197</v>
      </c>
      <c r="K17" s="142">
        <f t="shared" si="0"/>
        <v>3141.322035736197</v>
      </c>
      <c r="M17" s="183">
        <f t="shared" si="2"/>
        <v>3141.322035736197</v>
      </c>
      <c r="O17" s="142">
        <f t="shared" si="1"/>
        <v>0</v>
      </c>
    </row>
    <row r="18" spans="2:15" x14ac:dyDescent="0.3">
      <c r="B18" s="178">
        <v>4</v>
      </c>
      <c r="C18" s="178" t="s">
        <v>83</v>
      </c>
      <c r="D18" s="179">
        <v>0</v>
      </c>
      <c r="E18" s="180">
        <v>0</v>
      </c>
      <c r="F18" s="181">
        <v>0</v>
      </c>
      <c r="H18" s="164">
        <v>5.3999999999999999E-2</v>
      </c>
      <c r="I18" s="182">
        <v>2570.172574693252</v>
      </c>
      <c r="K18" s="142">
        <f t="shared" si="0"/>
        <v>2570.172574693252</v>
      </c>
      <c r="M18" s="183">
        <f t="shared" si="2"/>
        <v>2570.172574693252</v>
      </c>
      <c r="O18" s="142">
        <f t="shared" si="1"/>
        <v>0</v>
      </c>
    </row>
    <row r="19" spans="2:15" x14ac:dyDescent="0.3">
      <c r="B19" s="178"/>
      <c r="C19" s="178"/>
      <c r="D19" s="179"/>
      <c r="E19" s="180"/>
      <c r="F19" s="185"/>
      <c r="H19" s="99"/>
      <c r="I19" s="166"/>
      <c r="K19" s="99"/>
      <c r="M19" s="100"/>
      <c r="O19" s="190"/>
    </row>
    <row r="20" spans="2:15" x14ac:dyDescent="0.3">
      <c r="B20" s="99"/>
      <c r="C20" s="99" t="s">
        <v>141</v>
      </c>
      <c r="D20" s="165">
        <f>SUM(D4:D19)</f>
        <v>535</v>
      </c>
      <c r="E20" s="190"/>
      <c r="F20" s="185">
        <f>SUM(F4:F19)</f>
        <v>217638.86157975462</v>
      </c>
      <c r="H20" s="186"/>
      <c r="I20" s="166">
        <f>SUM(I4:I19)</f>
        <v>45691.956883435589</v>
      </c>
      <c r="K20" s="142">
        <f>SUM(K4:K19)</f>
        <v>263330.81846319023</v>
      </c>
      <c r="M20" s="187">
        <f>SUM(M4:M19)</f>
        <v>39409.312811963202</v>
      </c>
      <c r="O20" s="142">
        <f>SUM(O4:O19)</f>
        <v>223921.50565122702</v>
      </c>
    </row>
    <row r="21" spans="2:15" x14ac:dyDescent="0.3">
      <c r="B21" s="99"/>
      <c r="C21" s="99"/>
      <c r="D21" s="4"/>
      <c r="E21" s="4" t="s">
        <v>142</v>
      </c>
      <c r="F21" s="4"/>
    </row>
    <row r="22" spans="2:15" x14ac:dyDescent="0.3">
      <c r="B22" s="99" t="s">
        <v>85</v>
      </c>
      <c r="C22" s="99">
        <v>1</v>
      </c>
      <c r="D22" s="4"/>
      <c r="E22" s="4"/>
      <c r="F22" s="4"/>
      <c r="H22" s="164">
        <v>7.0000000000000001E-3</v>
      </c>
      <c r="I22" s="182">
        <v>333.17051894171789</v>
      </c>
      <c r="K22" s="182">
        <f>I22</f>
        <v>333.17051894171789</v>
      </c>
      <c r="M22" s="188">
        <v>333.17051894171789</v>
      </c>
      <c r="O22" s="142">
        <f>K22-M22</f>
        <v>0</v>
      </c>
    </row>
    <row r="23" spans="2:15" x14ac:dyDescent="0.3">
      <c r="B23" s="99" t="s">
        <v>85</v>
      </c>
      <c r="C23" s="99">
        <v>2</v>
      </c>
      <c r="D23" s="4"/>
      <c r="E23" s="4"/>
      <c r="F23" s="4"/>
      <c r="H23" s="164">
        <v>6.0000000000000001E-3</v>
      </c>
      <c r="I23" s="182">
        <v>285.57473052147247</v>
      </c>
      <c r="K23" s="182">
        <f t="shared" ref="K23:K29" si="3">I23</f>
        <v>285.57473052147247</v>
      </c>
      <c r="M23" s="188">
        <v>285.57473052147247</v>
      </c>
      <c r="O23" s="142">
        <f t="shared" ref="O23:O29" si="4">K23-M23</f>
        <v>0</v>
      </c>
    </row>
    <row r="24" spans="2:15" x14ac:dyDescent="0.3">
      <c r="B24" s="99" t="s">
        <v>85</v>
      </c>
      <c r="C24" s="99">
        <v>3</v>
      </c>
      <c r="D24" s="4"/>
      <c r="E24" s="4"/>
      <c r="F24" s="4"/>
      <c r="H24" s="164">
        <v>6.0000000000000001E-3</v>
      </c>
      <c r="I24" s="182">
        <v>285.57473052147247</v>
      </c>
      <c r="K24" s="182">
        <f t="shared" si="3"/>
        <v>285.57473052147247</v>
      </c>
      <c r="M24" s="188">
        <v>285.57473052147247</v>
      </c>
      <c r="O24" s="142">
        <f t="shared" si="4"/>
        <v>0</v>
      </c>
    </row>
    <row r="25" spans="2:15" x14ac:dyDescent="0.3">
      <c r="B25" s="99" t="s">
        <v>85</v>
      </c>
      <c r="C25" s="99">
        <v>4</v>
      </c>
      <c r="D25" s="4"/>
      <c r="E25" s="4"/>
      <c r="F25" s="4"/>
      <c r="H25" s="164">
        <v>6.0000000000000001E-3</v>
      </c>
      <c r="I25" s="182">
        <v>285.57473052147247</v>
      </c>
      <c r="K25" s="182">
        <f t="shared" si="3"/>
        <v>285.57473052147247</v>
      </c>
      <c r="M25" s="188">
        <v>285.57473052147247</v>
      </c>
      <c r="O25" s="142">
        <f t="shared" si="4"/>
        <v>0</v>
      </c>
    </row>
    <row r="26" spans="2:15" x14ac:dyDescent="0.3">
      <c r="B26" s="99" t="s">
        <v>85</v>
      </c>
      <c r="C26" s="99">
        <v>5</v>
      </c>
      <c r="D26" s="4"/>
      <c r="E26" s="4"/>
      <c r="F26" s="4"/>
      <c r="H26" s="164">
        <v>6.0000000000000001E-3</v>
      </c>
      <c r="I26" s="182">
        <v>285.57473052147247</v>
      </c>
      <c r="K26" s="182">
        <f t="shared" si="3"/>
        <v>285.57473052147247</v>
      </c>
      <c r="M26" s="188">
        <v>285.57473052147247</v>
      </c>
      <c r="O26" s="142">
        <f t="shared" si="4"/>
        <v>0</v>
      </c>
    </row>
    <row r="27" spans="2:15" x14ac:dyDescent="0.3">
      <c r="B27" s="99" t="s">
        <v>85</v>
      </c>
      <c r="C27" s="99">
        <v>6</v>
      </c>
      <c r="D27" s="4"/>
      <c r="E27" s="4"/>
      <c r="F27" s="4"/>
      <c r="H27" s="164">
        <v>3.0000000000000001E-3</v>
      </c>
      <c r="I27" s="182">
        <v>142.78736526073624</v>
      </c>
      <c r="K27" s="182">
        <f t="shared" si="3"/>
        <v>142.78736526073624</v>
      </c>
      <c r="M27" s="188">
        <v>142.78736526073624</v>
      </c>
      <c r="O27" s="142">
        <f t="shared" si="4"/>
        <v>0</v>
      </c>
    </row>
    <row r="28" spans="2:15" x14ac:dyDescent="0.3">
      <c r="B28" s="99" t="s">
        <v>85</v>
      </c>
      <c r="C28" s="99">
        <v>7</v>
      </c>
      <c r="D28" s="4"/>
      <c r="E28" s="4"/>
      <c r="F28" s="4"/>
      <c r="H28" s="164">
        <v>3.0000000000000001E-3</v>
      </c>
      <c r="I28" s="182">
        <v>142.78736526073624</v>
      </c>
      <c r="K28" s="182">
        <f t="shared" si="3"/>
        <v>142.78736526073624</v>
      </c>
      <c r="M28" s="188">
        <v>142.78736526073624</v>
      </c>
      <c r="O28" s="142">
        <f t="shared" si="4"/>
        <v>0</v>
      </c>
    </row>
    <row r="29" spans="2:15" x14ac:dyDescent="0.3">
      <c r="B29" s="99" t="s">
        <v>85</v>
      </c>
      <c r="C29" s="99">
        <v>8</v>
      </c>
      <c r="D29" s="4"/>
      <c r="E29" s="4"/>
      <c r="F29" s="4"/>
      <c r="H29" s="164">
        <v>3.0000000000000001E-3</v>
      </c>
      <c r="I29" s="182">
        <v>142.78736526073624</v>
      </c>
      <c r="K29" s="182">
        <f t="shared" si="3"/>
        <v>142.78736526073624</v>
      </c>
      <c r="M29" s="188">
        <v>142.78736526073624</v>
      </c>
      <c r="O29" s="142">
        <f t="shared" si="4"/>
        <v>0</v>
      </c>
    </row>
    <row r="30" spans="2:15" x14ac:dyDescent="0.3">
      <c r="H30" s="190" t="s">
        <v>130</v>
      </c>
      <c r="I30" s="182">
        <f>SUM(I22:I29)</f>
        <v>1903.8315368098165</v>
      </c>
      <c r="K30" s="192">
        <f>SUM(K22:K29)</f>
        <v>1903.8315368098165</v>
      </c>
      <c r="M30" s="187">
        <f>SUM(M22:M29)</f>
        <v>1903.8315368098165</v>
      </c>
      <c r="O30" s="142">
        <f>SUM(O22:O29)</f>
        <v>0</v>
      </c>
    </row>
    <row r="31" spans="2:15" x14ac:dyDescent="0.3">
      <c r="O31" s="142"/>
    </row>
    <row r="32" spans="2:15" ht="15.6" x14ac:dyDescent="0.3">
      <c r="D32" s="238" t="s">
        <v>131</v>
      </c>
      <c r="E32" s="239"/>
      <c r="F32" s="168">
        <v>265234.65000000002</v>
      </c>
      <c r="I32" s="189">
        <f>F20+I20+I30</f>
        <v>265234.65000000002</v>
      </c>
      <c r="K32" s="142">
        <f>K20+K30</f>
        <v>265234.65000000002</v>
      </c>
      <c r="M32" s="187">
        <f>M20+M30</f>
        <v>41313.144348773021</v>
      </c>
      <c r="O32" s="142">
        <f>O20+O30</f>
        <v>223921.50565122702</v>
      </c>
    </row>
  </sheetData>
  <mergeCells count="3">
    <mergeCell ref="D2:F2"/>
    <mergeCell ref="H2:I2"/>
    <mergeCell ref="D32:E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4AF3-BA14-4AC3-BE41-D99CD4C43EE8}">
  <dimension ref="C3"/>
  <sheetViews>
    <sheetView workbookViewId="0">
      <selection activeCell="C7" sqref="C7"/>
    </sheetView>
  </sheetViews>
  <sheetFormatPr baseColWidth="10" defaultRowHeight="14.4" x14ac:dyDescent="0.3"/>
  <sheetData>
    <row r="3" spans="3:3" x14ac:dyDescent="0.3">
      <c r="C3" s="16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EDESUR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2026-10-06T13:31:58Z</cp:lastPrinted>
  <dcterms:created xsi:type="dcterms:W3CDTF">2023-09-17T12:29:07Z</dcterms:created>
  <dcterms:modified xsi:type="dcterms:W3CDTF">2026-10-17T21:12:50Z</dcterms:modified>
</cp:coreProperties>
</file>