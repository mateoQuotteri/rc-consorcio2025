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788620F2-D56D-4390-8FE6-5A1FC8001B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" i="1" l="1"/>
  <c r="I30" i="1"/>
  <c r="K29" i="1"/>
  <c r="O29" i="1" s="1"/>
  <c r="K28" i="1"/>
  <c r="O28" i="1" s="1"/>
  <c r="K27" i="1"/>
  <c r="O27" i="1" s="1"/>
  <c r="K26" i="1"/>
  <c r="O26" i="1" s="1"/>
  <c r="K25" i="1"/>
  <c r="O25" i="1" s="1"/>
  <c r="K24" i="1"/>
  <c r="O24" i="1" s="1"/>
  <c r="K23" i="1"/>
  <c r="O23" i="1" s="1"/>
  <c r="K22" i="1"/>
  <c r="O22" i="1" s="1"/>
  <c r="O30" i="1" s="1"/>
  <c r="I20" i="1"/>
  <c r="F20" i="1"/>
  <c r="I32" i="1" s="1"/>
  <c r="D20" i="1"/>
  <c r="M18" i="1"/>
  <c r="O18" i="1" s="1"/>
  <c r="K18" i="1"/>
  <c r="K17" i="1"/>
  <c r="K16" i="1"/>
  <c r="K15" i="1"/>
  <c r="M15" i="1" s="1"/>
  <c r="K14" i="1"/>
  <c r="K13" i="1"/>
  <c r="K12" i="1"/>
  <c r="O12" i="1" s="1"/>
  <c r="K11" i="1"/>
  <c r="K10" i="1"/>
  <c r="M10" i="1" s="1"/>
  <c r="K9" i="1"/>
  <c r="K8" i="1"/>
  <c r="M8" i="1" s="1"/>
  <c r="M7" i="1"/>
  <c r="O7" i="1" s="1"/>
  <c r="K7" i="1"/>
  <c r="K6" i="1"/>
  <c r="K5" i="1"/>
  <c r="O5" i="1" s="1"/>
  <c r="K4" i="1"/>
  <c r="O11" i="1" l="1"/>
  <c r="O16" i="1"/>
  <c r="M13" i="1"/>
  <c r="O13" i="1" s="1"/>
  <c r="O8" i="1"/>
  <c r="M14" i="1"/>
  <c r="O14" i="1" s="1"/>
  <c r="M9" i="1"/>
  <c r="O9" i="1" s="1"/>
  <c r="M4" i="1"/>
  <c r="M20" i="1" s="1"/>
  <c r="M32" i="1" s="1"/>
  <c r="O15" i="1"/>
  <c r="K30" i="1"/>
  <c r="O10" i="1"/>
  <c r="M16" i="1"/>
  <c r="M11" i="1"/>
  <c r="K20" i="1"/>
  <c r="M6" i="1"/>
  <c r="O6" i="1" s="1"/>
  <c r="M17" i="1"/>
  <c r="O17" i="1" s="1"/>
  <c r="K32" i="1" l="1"/>
  <c r="O4" i="1"/>
  <c r="O20" i="1" s="1"/>
  <c r="O32" i="1" s="1"/>
</calcChain>
</file>

<file path=xl/sharedStrings.xml><?xml version="1.0" encoding="utf-8"?>
<sst xmlns="http://schemas.openxmlformats.org/spreadsheetml/2006/main" count="39" uniqueCount="21">
  <si>
    <t>Consumos PARTICULARES</t>
  </si>
  <si>
    <t>Consumos GENERALES</t>
  </si>
  <si>
    <t>Total Edesur x Depto</t>
  </si>
  <si>
    <t>Bonificado x EDESUR</t>
  </si>
  <si>
    <t>SALDO a PAGAR</t>
  </si>
  <si>
    <t>Piso</t>
  </si>
  <si>
    <t>Depto</t>
  </si>
  <si>
    <t>Consumo Kw</t>
  </si>
  <si>
    <t>% Consumido</t>
  </si>
  <si>
    <t xml:space="preserve">Consumo x Dep </t>
  </si>
  <si>
    <t>Porcentaje</t>
  </si>
  <si>
    <t>Cons Esp Com</t>
  </si>
  <si>
    <t>A</t>
  </si>
  <si>
    <t>C</t>
  </si>
  <si>
    <t>D</t>
  </si>
  <si>
    <t>B</t>
  </si>
  <si>
    <t>Totales</t>
  </si>
  <si>
    <t>Mes ANTERIOR</t>
  </si>
  <si>
    <t>Cochera</t>
  </si>
  <si>
    <t>Cons Coch</t>
  </si>
  <si>
    <t>TOTAL FACT EDESUR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</si>
</sst>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4" fontId="5" fillId="0" borderId="1" xfId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164" fontId="5" fillId="0" borderId="1" xfId="0" applyNumberFormat="1" applyFont="1" applyBorder="1"/>
    <xf numFmtId="9" fontId="0" fillId="0" borderId="1" xfId="0" applyNumberFormat="1" applyBorder="1"/>
    <xf numFmtId="16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4" fillId="0" borderId="1" xfId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8" fillId="0" borderId="1" xfId="0" applyNumberFormat="1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2"/>
  <sheetViews>
    <sheetView tabSelected="1" workbookViewId="0">
      <selection activeCell="O37" sqref="O37"/>
    </sheetView>
  </sheetViews>
  <sheetFormatPr baseColWidth="10" defaultColWidth="9.1796875" defaultRowHeight="14.5" x14ac:dyDescent="0.35"/>
  <cols>
    <col min="1" max="1" width="4" customWidth="1"/>
    <col min="2" max="2" width="8.453125" customWidth="1"/>
    <col min="3" max="3" width="8" customWidth="1"/>
    <col min="4" max="4" width="12.54296875" customWidth="1"/>
    <col min="5" max="5" width="14" customWidth="1"/>
    <col min="6" max="6" width="15.26953125" customWidth="1"/>
    <col min="7" max="7" width="1.81640625" customWidth="1"/>
    <col min="8" max="8" width="10.54296875" customWidth="1"/>
    <col min="9" max="9" width="14.26953125" customWidth="1"/>
    <col min="10" max="10" width="1.81640625" customWidth="1"/>
    <col min="11" max="11" width="19.54296875" style="26" customWidth="1"/>
    <col min="12" max="12" width="2.1796875" customWidth="1"/>
    <col min="13" max="13" width="19.7265625" style="27" customWidth="1"/>
    <col min="14" max="14" width="2" customWidth="1"/>
    <col min="15" max="15" width="15.26953125" style="28" customWidth="1"/>
  </cols>
  <sheetData>
    <row r="2" spans="2:15" x14ac:dyDescent="0.35">
      <c r="D2" s="1" t="s">
        <v>0</v>
      </c>
      <c r="E2" s="1"/>
      <c r="F2" s="1"/>
      <c r="G2" s="2"/>
      <c r="H2" s="3" t="s">
        <v>1</v>
      </c>
      <c r="I2" s="4"/>
      <c r="J2" s="2"/>
      <c r="K2" s="5" t="s">
        <v>2</v>
      </c>
      <c r="M2" s="6" t="s">
        <v>3</v>
      </c>
      <c r="O2" s="5" t="s">
        <v>4</v>
      </c>
    </row>
    <row r="3" spans="2:15" x14ac:dyDescent="0.35">
      <c r="B3" s="7" t="s">
        <v>5</v>
      </c>
      <c r="C3" s="7" t="s">
        <v>6</v>
      </c>
      <c r="D3" s="7" t="s">
        <v>7</v>
      </c>
      <c r="E3" s="7" t="s">
        <v>8</v>
      </c>
      <c r="F3" s="5" t="s">
        <v>9</v>
      </c>
      <c r="H3" s="7" t="s">
        <v>10</v>
      </c>
      <c r="I3" s="8" t="s">
        <v>11</v>
      </c>
      <c r="K3" s="7"/>
      <c r="M3" s="9"/>
      <c r="O3" s="5"/>
    </row>
    <row r="4" spans="2:15" x14ac:dyDescent="0.35">
      <c r="B4" s="10">
        <v>1</v>
      </c>
      <c r="C4" s="10" t="s">
        <v>12</v>
      </c>
      <c r="D4" s="11">
        <v>0</v>
      </c>
      <c r="E4" s="12">
        <v>0</v>
      </c>
      <c r="F4" s="13">
        <v>0</v>
      </c>
      <c r="H4" s="14">
        <v>0.12</v>
      </c>
      <c r="I4" s="15">
        <v>5711.4946104294486</v>
      </c>
      <c r="K4" s="16">
        <f>I4+F4</f>
        <v>5711.4946104294486</v>
      </c>
      <c r="M4" s="17">
        <f>K4</f>
        <v>5711.4946104294486</v>
      </c>
      <c r="O4" s="16">
        <f>K4-M4</f>
        <v>0</v>
      </c>
    </row>
    <row r="5" spans="2:15" x14ac:dyDescent="0.35">
      <c r="B5" s="7">
        <v>1</v>
      </c>
      <c r="C5" s="7" t="s">
        <v>13</v>
      </c>
      <c r="D5" s="18">
        <v>300.19999999999982</v>
      </c>
      <c r="E5" s="12">
        <v>0.56112149532710243</v>
      </c>
      <c r="F5" s="13">
        <v>122121.84345092018</v>
      </c>
      <c r="H5" s="19">
        <v>6.6000000000000003E-2</v>
      </c>
      <c r="I5" s="15">
        <v>3141.322035736197</v>
      </c>
      <c r="K5" s="16">
        <f t="shared" ref="K5:K18" si="0">I5+F5</f>
        <v>125263.16548665638</v>
      </c>
      <c r="M5" s="17">
        <v>0</v>
      </c>
      <c r="O5" s="16">
        <f t="shared" ref="O5:O18" si="1">K5-M5</f>
        <v>125263.16548665638</v>
      </c>
    </row>
    <row r="6" spans="2:15" x14ac:dyDescent="0.35">
      <c r="B6" s="10">
        <v>1</v>
      </c>
      <c r="C6" s="10" t="s">
        <v>14</v>
      </c>
      <c r="D6" s="11">
        <v>0</v>
      </c>
      <c r="E6" s="12">
        <v>0</v>
      </c>
      <c r="F6" s="13">
        <v>0</v>
      </c>
      <c r="H6" s="19">
        <v>5.3999999999999999E-2</v>
      </c>
      <c r="I6" s="15">
        <v>2570.172574693252</v>
      </c>
      <c r="K6" s="16">
        <f t="shared" si="0"/>
        <v>2570.172574693252</v>
      </c>
      <c r="M6" s="17">
        <f t="shared" ref="M6:M18" si="2">K6</f>
        <v>2570.172574693252</v>
      </c>
      <c r="O6" s="16">
        <f t="shared" si="1"/>
        <v>0</v>
      </c>
    </row>
    <row r="7" spans="2:15" x14ac:dyDescent="0.35">
      <c r="B7" s="10">
        <v>2</v>
      </c>
      <c r="C7" s="10" t="s">
        <v>12</v>
      </c>
      <c r="D7" s="11">
        <v>0</v>
      </c>
      <c r="E7" s="12">
        <v>0</v>
      </c>
      <c r="F7" s="13">
        <v>0</v>
      </c>
      <c r="H7" s="19">
        <v>5.3999999999999999E-2</v>
      </c>
      <c r="I7" s="15">
        <v>2570.172574693252</v>
      </c>
      <c r="K7" s="16">
        <f t="shared" si="0"/>
        <v>2570.172574693252</v>
      </c>
      <c r="M7" s="17">
        <f t="shared" si="2"/>
        <v>2570.172574693252</v>
      </c>
      <c r="O7" s="16">
        <f t="shared" si="1"/>
        <v>0</v>
      </c>
    </row>
    <row r="8" spans="2:15" x14ac:dyDescent="0.35">
      <c r="B8" s="10">
        <v>2</v>
      </c>
      <c r="C8" s="10" t="s">
        <v>15</v>
      </c>
      <c r="D8" s="11">
        <v>0</v>
      </c>
      <c r="E8" s="12">
        <v>0</v>
      </c>
      <c r="F8" s="13">
        <v>0</v>
      </c>
      <c r="H8" s="19">
        <v>6.6000000000000003E-2</v>
      </c>
      <c r="I8" s="15">
        <v>3141.322035736197</v>
      </c>
      <c r="K8" s="16">
        <f t="shared" si="0"/>
        <v>3141.322035736197</v>
      </c>
      <c r="M8" s="17">
        <f t="shared" si="2"/>
        <v>3141.322035736197</v>
      </c>
      <c r="O8" s="16">
        <f t="shared" si="1"/>
        <v>0</v>
      </c>
    </row>
    <row r="9" spans="2:15" x14ac:dyDescent="0.35">
      <c r="B9" s="10">
        <v>2</v>
      </c>
      <c r="C9" s="10" t="s">
        <v>13</v>
      </c>
      <c r="D9" s="11">
        <v>0</v>
      </c>
      <c r="E9" s="12">
        <v>0</v>
      </c>
      <c r="F9" s="13">
        <v>0</v>
      </c>
      <c r="H9" s="19">
        <v>6.6000000000000003E-2</v>
      </c>
      <c r="I9" s="15">
        <v>3141.322035736197</v>
      </c>
      <c r="K9" s="16">
        <f t="shared" si="0"/>
        <v>3141.322035736197</v>
      </c>
      <c r="M9" s="17">
        <f t="shared" si="2"/>
        <v>3141.322035736197</v>
      </c>
      <c r="O9" s="16">
        <f t="shared" si="1"/>
        <v>0</v>
      </c>
    </row>
    <row r="10" spans="2:15" x14ac:dyDescent="0.35">
      <c r="B10" s="10">
        <v>2</v>
      </c>
      <c r="C10" s="10" t="s">
        <v>14</v>
      </c>
      <c r="D10" s="11">
        <v>0</v>
      </c>
      <c r="E10" s="12">
        <v>0</v>
      </c>
      <c r="F10" s="20">
        <v>0</v>
      </c>
      <c r="H10" s="19">
        <v>5.3999999999999999E-2</v>
      </c>
      <c r="I10" s="15">
        <v>2570.172574693252</v>
      </c>
      <c r="K10" s="16">
        <f t="shared" si="0"/>
        <v>2570.172574693252</v>
      </c>
      <c r="M10" s="17">
        <f t="shared" si="2"/>
        <v>2570.172574693252</v>
      </c>
      <c r="O10" s="16">
        <f t="shared" si="1"/>
        <v>0</v>
      </c>
    </row>
    <row r="11" spans="2:15" x14ac:dyDescent="0.35">
      <c r="B11" s="10">
        <v>3</v>
      </c>
      <c r="C11" s="10" t="s">
        <v>12</v>
      </c>
      <c r="D11" s="11">
        <v>0</v>
      </c>
      <c r="E11" s="12">
        <v>0</v>
      </c>
      <c r="F11" s="13">
        <v>0</v>
      </c>
      <c r="H11" s="19">
        <v>5.3999999999999999E-2</v>
      </c>
      <c r="I11" s="15">
        <v>2570.172574693252</v>
      </c>
      <c r="K11" s="16">
        <f t="shared" si="0"/>
        <v>2570.172574693252</v>
      </c>
      <c r="M11" s="17">
        <f t="shared" si="2"/>
        <v>2570.172574693252</v>
      </c>
      <c r="O11" s="16">
        <f t="shared" si="1"/>
        <v>0</v>
      </c>
    </row>
    <row r="12" spans="2:15" x14ac:dyDescent="0.35">
      <c r="B12" s="7">
        <v>3</v>
      </c>
      <c r="C12" s="7" t="s">
        <v>15</v>
      </c>
      <c r="D12" s="18">
        <v>234.80000000000018</v>
      </c>
      <c r="E12" s="12">
        <v>0.43887850467289752</v>
      </c>
      <c r="F12" s="13">
        <v>95517.018128834432</v>
      </c>
      <c r="H12" s="19">
        <v>6.6000000000000003E-2</v>
      </c>
      <c r="I12" s="15">
        <v>3141.322035736197</v>
      </c>
      <c r="K12" s="16">
        <f t="shared" si="0"/>
        <v>98658.340164570633</v>
      </c>
      <c r="M12" s="17">
        <v>0</v>
      </c>
      <c r="O12" s="16">
        <f t="shared" si="1"/>
        <v>98658.340164570633</v>
      </c>
    </row>
    <row r="13" spans="2:15" x14ac:dyDescent="0.35">
      <c r="B13" s="10">
        <v>3</v>
      </c>
      <c r="C13" s="10" t="s">
        <v>13</v>
      </c>
      <c r="D13" s="11">
        <v>0</v>
      </c>
      <c r="E13" s="12">
        <v>0</v>
      </c>
      <c r="F13" s="13">
        <v>0</v>
      </c>
      <c r="H13" s="19">
        <v>6.6000000000000003E-2</v>
      </c>
      <c r="I13" s="15">
        <v>3141.322035736197</v>
      </c>
      <c r="K13" s="16">
        <f t="shared" si="0"/>
        <v>3141.322035736197</v>
      </c>
      <c r="M13" s="17">
        <f t="shared" si="2"/>
        <v>3141.322035736197</v>
      </c>
      <c r="O13" s="16">
        <f t="shared" si="1"/>
        <v>0</v>
      </c>
    </row>
    <row r="14" spans="2:15" x14ac:dyDescent="0.35">
      <c r="B14" s="10">
        <v>3</v>
      </c>
      <c r="C14" s="10" t="s">
        <v>14</v>
      </c>
      <c r="D14" s="11">
        <v>0</v>
      </c>
      <c r="E14" s="12">
        <v>0</v>
      </c>
      <c r="F14" s="13">
        <v>0</v>
      </c>
      <c r="H14" s="19">
        <v>5.3999999999999999E-2</v>
      </c>
      <c r="I14" s="15">
        <v>2570.172574693252</v>
      </c>
      <c r="K14" s="16">
        <f t="shared" si="0"/>
        <v>2570.172574693252</v>
      </c>
      <c r="M14" s="17">
        <f t="shared" si="2"/>
        <v>2570.172574693252</v>
      </c>
      <c r="O14" s="16">
        <f t="shared" si="1"/>
        <v>0</v>
      </c>
    </row>
    <row r="15" spans="2:15" x14ac:dyDescent="0.35">
      <c r="B15" s="10">
        <v>4</v>
      </c>
      <c r="C15" s="10" t="s">
        <v>12</v>
      </c>
      <c r="D15" s="11">
        <v>0</v>
      </c>
      <c r="E15" s="12">
        <v>0</v>
      </c>
      <c r="F15" s="13">
        <v>0</v>
      </c>
      <c r="H15" s="19">
        <v>5.3999999999999999E-2</v>
      </c>
      <c r="I15" s="15">
        <v>2570.172574693252</v>
      </c>
      <c r="K15" s="16">
        <f t="shared" si="0"/>
        <v>2570.172574693252</v>
      </c>
      <c r="M15" s="17">
        <f t="shared" si="2"/>
        <v>2570.172574693252</v>
      </c>
      <c r="O15" s="16">
        <f t="shared" si="1"/>
        <v>0</v>
      </c>
    </row>
    <row r="16" spans="2:15" x14ac:dyDescent="0.35">
      <c r="B16" s="10">
        <v>4</v>
      </c>
      <c r="C16" s="10" t="s">
        <v>15</v>
      </c>
      <c r="D16" s="11">
        <v>0</v>
      </c>
      <c r="E16" s="12">
        <v>0</v>
      </c>
      <c r="F16" s="13">
        <v>0</v>
      </c>
      <c r="H16" s="19">
        <v>6.6000000000000003E-2</v>
      </c>
      <c r="I16" s="15">
        <v>3141.322035736197</v>
      </c>
      <c r="K16" s="16">
        <f t="shared" si="0"/>
        <v>3141.322035736197</v>
      </c>
      <c r="M16" s="17">
        <f t="shared" si="2"/>
        <v>3141.322035736197</v>
      </c>
      <c r="O16" s="16">
        <f t="shared" si="1"/>
        <v>0</v>
      </c>
    </row>
    <row r="17" spans="2:15" x14ac:dyDescent="0.35">
      <c r="B17" s="10">
        <v>4</v>
      </c>
      <c r="C17" s="10" t="s">
        <v>13</v>
      </c>
      <c r="D17" s="11">
        <v>0</v>
      </c>
      <c r="E17" s="12">
        <v>0</v>
      </c>
      <c r="F17" s="13">
        <v>0</v>
      </c>
      <c r="H17" s="19">
        <v>6.6000000000000003E-2</v>
      </c>
      <c r="I17" s="15">
        <v>3141.322035736197</v>
      </c>
      <c r="K17" s="16">
        <f t="shared" si="0"/>
        <v>3141.322035736197</v>
      </c>
      <c r="M17" s="17">
        <f t="shared" si="2"/>
        <v>3141.322035736197</v>
      </c>
      <c r="O17" s="16">
        <f t="shared" si="1"/>
        <v>0</v>
      </c>
    </row>
    <row r="18" spans="2:15" x14ac:dyDescent="0.35">
      <c r="B18" s="10">
        <v>4</v>
      </c>
      <c r="C18" s="10" t="s">
        <v>14</v>
      </c>
      <c r="D18" s="11">
        <v>0</v>
      </c>
      <c r="E18" s="12">
        <v>0</v>
      </c>
      <c r="F18" s="13">
        <v>0</v>
      </c>
      <c r="H18" s="19">
        <v>5.3999999999999999E-2</v>
      </c>
      <c r="I18" s="15">
        <v>2570.172574693252</v>
      </c>
      <c r="K18" s="16">
        <f t="shared" si="0"/>
        <v>2570.172574693252</v>
      </c>
      <c r="M18" s="17">
        <f t="shared" si="2"/>
        <v>2570.172574693252</v>
      </c>
      <c r="O18" s="16">
        <f t="shared" si="1"/>
        <v>0</v>
      </c>
    </row>
    <row r="19" spans="2:15" x14ac:dyDescent="0.35">
      <c r="B19" s="10"/>
      <c r="C19" s="10"/>
      <c r="D19" s="11"/>
      <c r="E19" s="12"/>
      <c r="F19" s="21"/>
      <c r="H19" s="7"/>
      <c r="I19" s="22"/>
      <c r="K19" s="7"/>
      <c r="M19" s="9"/>
      <c r="O19" s="5"/>
    </row>
    <row r="20" spans="2:15" x14ac:dyDescent="0.35">
      <c r="B20" s="7"/>
      <c r="C20" s="7" t="s">
        <v>16</v>
      </c>
      <c r="D20" s="18">
        <f>SUM(D4:D19)</f>
        <v>535</v>
      </c>
      <c r="E20" s="5"/>
      <c r="F20" s="21">
        <f>SUM(F4:F19)</f>
        <v>217638.86157975462</v>
      </c>
      <c r="H20" s="23"/>
      <c r="I20" s="22">
        <f>SUM(I4:I19)</f>
        <v>45691.956883435589</v>
      </c>
      <c r="K20" s="16">
        <f>SUM(K4:K19)</f>
        <v>263330.81846319023</v>
      </c>
      <c r="M20" s="24">
        <f>SUM(M4:M19)</f>
        <v>39409.312811963202</v>
      </c>
      <c r="O20" s="16">
        <f>SUM(O4:O19)</f>
        <v>223921.50565122702</v>
      </c>
    </row>
    <row r="21" spans="2:15" x14ac:dyDescent="0.35">
      <c r="B21" s="7"/>
      <c r="C21" s="7"/>
      <c r="D21" s="25"/>
      <c r="E21" s="25" t="s">
        <v>17</v>
      </c>
      <c r="F21" s="25"/>
    </row>
    <row r="22" spans="2:15" x14ac:dyDescent="0.35">
      <c r="B22" s="7" t="s">
        <v>18</v>
      </c>
      <c r="C22" s="7">
        <v>1</v>
      </c>
      <c r="D22" s="25"/>
      <c r="E22" s="25"/>
      <c r="F22" s="25"/>
      <c r="H22" s="19">
        <v>7.0000000000000001E-3</v>
      </c>
      <c r="I22" s="15">
        <v>333.17051894171789</v>
      </c>
      <c r="K22" s="15">
        <f>I22</f>
        <v>333.17051894171789</v>
      </c>
      <c r="M22" s="29">
        <v>333.17051894171789</v>
      </c>
      <c r="O22" s="16">
        <f>K22-M22</f>
        <v>0</v>
      </c>
    </row>
    <row r="23" spans="2:15" x14ac:dyDescent="0.35">
      <c r="B23" s="7" t="s">
        <v>18</v>
      </c>
      <c r="C23" s="7">
        <v>2</v>
      </c>
      <c r="D23" s="25"/>
      <c r="E23" s="25"/>
      <c r="F23" s="25"/>
      <c r="H23" s="19">
        <v>6.0000000000000001E-3</v>
      </c>
      <c r="I23" s="15">
        <v>285.57473052147247</v>
      </c>
      <c r="K23" s="15">
        <f t="shared" ref="K23:K29" si="3">I23</f>
        <v>285.57473052147247</v>
      </c>
      <c r="M23" s="29">
        <v>285.57473052147247</v>
      </c>
      <c r="O23" s="16">
        <f t="shared" ref="O23:O29" si="4">K23-M23</f>
        <v>0</v>
      </c>
    </row>
    <row r="24" spans="2:15" x14ac:dyDescent="0.35">
      <c r="B24" s="7" t="s">
        <v>18</v>
      </c>
      <c r="C24" s="7">
        <v>3</v>
      </c>
      <c r="D24" s="25"/>
      <c r="E24" s="25"/>
      <c r="F24" s="25"/>
      <c r="H24" s="19">
        <v>6.0000000000000001E-3</v>
      </c>
      <c r="I24" s="15">
        <v>285.57473052147247</v>
      </c>
      <c r="K24" s="15">
        <f t="shared" si="3"/>
        <v>285.57473052147247</v>
      </c>
      <c r="M24" s="29">
        <v>285.57473052147247</v>
      </c>
      <c r="O24" s="16">
        <f t="shared" si="4"/>
        <v>0</v>
      </c>
    </row>
    <row r="25" spans="2:15" x14ac:dyDescent="0.35">
      <c r="B25" s="7" t="s">
        <v>18</v>
      </c>
      <c r="C25" s="7">
        <v>4</v>
      </c>
      <c r="D25" s="25"/>
      <c r="E25" s="25"/>
      <c r="F25" s="25"/>
      <c r="H25" s="19">
        <v>6.0000000000000001E-3</v>
      </c>
      <c r="I25" s="15">
        <v>285.57473052147247</v>
      </c>
      <c r="K25" s="15">
        <f t="shared" si="3"/>
        <v>285.57473052147247</v>
      </c>
      <c r="M25" s="29">
        <v>285.57473052147247</v>
      </c>
      <c r="O25" s="16">
        <f t="shared" si="4"/>
        <v>0</v>
      </c>
    </row>
    <row r="26" spans="2:15" x14ac:dyDescent="0.35">
      <c r="B26" s="7" t="s">
        <v>18</v>
      </c>
      <c r="C26" s="7">
        <v>5</v>
      </c>
      <c r="D26" s="25"/>
      <c r="E26" s="25"/>
      <c r="F26" s="25"/>
      <c r="H26" s="19">
        <v>6.0000000000000001E-3</v>
      </c>
      <c r="I26" s="15">
        <v>285.57473052147247</v>
      </c>
      <c r="K26" s="15">
        <f t="shared" si="3"/>
        <v>285.57473052147247</v>
      </c>
      <c r="M26" s="29">
        <v>285.57473052147247</v>
      </c>
      <c r="O26" s="16">
        <f t="shared" si="4"/>
        <v>0</v>
      </c>
    </row>
    <row r="27" spans="2:15" x14ac:dyDescent="0.35">
      <c r="B27" s="7" t="s">
        <v>18</v>
      </c>
      <c r="C27" s="7">
        <v>6</v>
      </c>
      <c r="D27" s="25"/>
      <c r="E27" s="25"/>
      <c r="F27" s="25"/>
      <c r="H27" s="19">
        <v>3.0000000000000001E-3</v>
      </c>
      <c r="I27" s="15">
        <v>142.78736526073624</v>
      </c>
      <c r="K27" s="15">
        <f t="shared" si="3"/>
        <v>142.78736526073624</v>
      </c>
      <c r="M27" s="29">
        <v>142.78736526073624</v>
      </c>
      <c r="O27" s="16">
        <f t="shared" si="4"/>
        <v>0</v>
      </c>
    </row>
    <row r="28" spans="2:15" x14ac:dyDescent="0.35">
      <c r="B28" s="7" t="s">
        <v>18</v>
      </c>
      <c r="C28" s="7">
        <v>7</v>
      </c>
      <c r="D28" s="25"/>
      <c r="E28" s="25"/>
      <c r="F28" s="25"/>
      <c r="H28" s="19">
        <v>3.0000000000000001E-3</v>
      </c>
      <c r="I28" s="15">
        <v>142.78736526073624</v>
      </c>
      <c r="K28" s="15">
        <f t="shared" si="3"/>
        <v>142.78736526073624</v>
      </c>
      <c r="M28" s="29">
        <v>142.78736526073624</v>
      </c>
      <c r="O28" s="16">
        <f t="shared" si="4"/>
        <v>0</v>
      </c>
    </row>
    <row r="29" spans="2:15" x14ac:dyDescent="0.35">
      <c r="B29" s="7" t="s">
        <v>18</v>
      </c>
      <c r="C29" s="7">
        <v>8</v>
      </c>
      <c r="D29" s="25"/>
      <c r="E29" s="25"/>
      <c r="F29" s="25"/>
      <c r="H29" s="19">
        <v>3.0000000000000001E-3</v>
      </c>
      <c r="I29" s="15">
        <v>142.78736526073624</v>
      </c>
      <c r="K29" s="15">
        <f t="shared" si="3"/>
        <v>142.78736526073624</v>
      </c>
      <c r="M29" s="29">
        <v>142.78736526073624</v>
      </c>
      <c r="O29" s="16">
        <f t="shared" si="4"/>
        <v>0</v>
      </c>
    </row>
    <row r="30" spans="2:15" x14ac:dyDescent="0.35">
      <c r="H30" s="5" t="s">
        <v>19</v>
      </c>
      <c r="I30" s="15">
        <f>SUM(I22:I29)</f>
        <v>1903.8315368098165</v>
      </c>
      <c r="K30" s="30">
        <f>SUM(K22:K29)</f>
        <v>1903.8315368098165</v>
      </c>
      <c r="M30" s="24">
        <f>SUM(M22:M29)</f>
        <v>1903.8315368098165</v>
      </c>
      <c r="O30" s="16">
        <f>SUM(O22:O29)</f>
        <v>0</v>
      </c>
    </row>
    <row r="31" spans="2:15" x14ac:dyDescent="0.35">
      <c r="O31" s="16"/>
    </row>
    <row r="32" spans="2:15" ht="15.5" x14ac:dyDescent="0.35">
      <c r="D32" s="31" t="s">
        <v>20</v>
      </c>
      <c r="E32" s="32"/>
      <c r="F32" s="33">
        <v>265234.65000000002</v>
      </c>
      <c r="I32" s="34">
        <f>F20+I20+I30</f>
        <v>265234.65000000002</v>
      </c>
      <c r="K32" s="16">
        <f>K20+K30</f>
        <v>265234.65000000002</v>
      </c>
      <c r="M32" s="24">
        <f>M20+M30</f>
        <v>41313.144348773021</v>
      </c>
      <c r="O32" s="16">
        <f>O20+O30</f>
        <v>223921.50565122702</v>
      </c>
    </row>
  </sheetData>
  <mergeCells count="3">
    <mergeCell ref="D2:F2"/>
    <mergeCell ref="H2:I2"/>
    <mergeCell ref="D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miguel bertolo</cp:lastModifiedBy>
  <dcterms:created xsi:type="dcterms:W3CDTF">2015-06-05T18:19:34Z</dcterms:created>
  <dcterms:modified xsi:type="dcterms:W3CDTF">2026-09-17T20:34:52Z</dcterms:modified>
</cp:coreProperties>
</file>