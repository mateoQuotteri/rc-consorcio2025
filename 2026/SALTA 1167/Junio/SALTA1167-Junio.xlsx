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SALTA 1167\Junio\"/>
    </mc:Choice>
  </mc:AlternateContent>
  <xr:revisionPtr revIDLastSave="0" documentId="13_ncr:1_{D940FCAB-2447-4936-AE42-6005C81BB42B}" xr6:coauthVersionLast="47" xr6:coauthVersionMax="47" xr10:uidLastSave="{00000000-0000-0000-0000-000000000000}"/>
  <bookViews>
    <workbookView xWindow="-120" yWindow="-120" windowWidth="20730" windowHeight="11040" tabRatio="850" activeTab="1" xr2:uid="{00000000-000D-0000-FFFF-FFFF00000000}"/>
  </bookViews>
  <sheets>
    <sheet name="RESUMEN" sheetId="1" r:id="rId1"/>
    <sheet name="PRORRATEO" sheetId="2" r:id="rId2"/>
    <sheet name="EDESUR" sheetId="3" r:id="rId3"/>
    <sheet name="Anotaciones" sheetId="4" r:id="rId4"/>
  </sheets>
  <definedNames>
    <definedName name="_xlnm.Print_Area" localSheetId="2">EDESUR!$B$3:$J$35</definedName>
    <definedName name="_xlnm.Print_Area" localSheetId="1">PRORRATEO!$A$1:$P$44</definedName>
    <definedName name="_xlnm.Print_Area" localSheetId="0">RESUMEN!$A$1:$E$99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" i="1" l="1"/>
  <c r="E41" i="1"/>
  <c r="F85" i="1"/>
  <c r="E29" i="3"/>
  <c r="E28" i="3"/>
  <c r="E26" i="3"/>
  <c r="E25" i="3"/>
  <c r="E24" i="3"/>
  <c r="G19" i="3"/>
  <c r="G18" i="3"/>
  <c r="G17" i="3"/>
  <c r="G16" i="3"/>
  <c r="G15" i="3"/>
  <c r="G14" i="3"/>
  <c r="G12" i="3"/>
  <c r="G11" i="3"/>
  <c r="G10" i="3"/>
  <c r="G9" i="3"/>
  <c r="G8" i="3"/>
  <c r="G5" i="3"/>
  <c r="E19" i="3"/>
  <c r="E18" i="3"/>
  <c r="E17" i="3"/>
  <c r="E16" i="3"/>
  <c r="E15" i="3"/>
  <c r="E14" i="3"/>
  <c r="G21" i="2"/>
  <c r="G22" i="2"/>
  <c r="G16" i="2"/>
  <c r="G13" i="2"/>
  <c r="G29" i="2"/>
  <c r="G30" i="2"/>
  <c r="G33" i="2"/>
  <c r="G23" i="2"/>
  <c r="E49" i="1" l="1"/>
  <c r="E44" i="1"/>
  <c r="G27" i="2" l="1"/>
  <c r="G35" i="2"/>
  <c r="G31" i="2"/>
  <c r="G17" i="2" l="1"/>
  <c r="G15" i="2"/>
  <c r="G24" i="2"/>
  <c r="G32" i="2"/>
  <c r="E27" i="1"/>
  <c r="H22" i="2" l="1"/>
  <c r="G26" i="2" l="1"/>
  <c r="E30" i="1" l="1"/>
  <c r="E21" i="3" l="1"/>
  <c r="E30" i="3"/>
  <c r="G20" i="2"/>
  <c r="G21" i="3" l="1"/>
  <c r="E24" i="1"/>
  <c r="B83" i="1" l="1"/>
  <c r="E33" i="3"/>
  <c r="G30" i="3"/>
  <c r="I21" i="3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I22" i="3"/>
  <c r="L28" i="2" s="1"/>
  <c r="I23" i="3"/>
  <c r="L29" i="2" s="1"/>
  <c r="I24" i="3"/>
  <c r="L30" i="2" s="1"/>
  <c r="I25" i="3"/>
  <c r="L31" i="2" s="1"/>
  <c r="I26" i="3"/>
  <c r="L32" i="2" s="1"/>
  <c r="I27" i="3"/>
  <c r="L33" i="2" s="1"/>
  <c r="I28" i="3"/>
  <c r="L34" i="2" s="1"/>
  <c r="I29" i="3"/>
  <c r="L35" i="2" s="1"/>
  <c r="I6" i="3"/>
  <c r="L14" i="2" s="1"/>
  <c r="I7" i="3"/>
  <c r="L15" i="2" s="1"/>
  <c r="I8" i="3"/>
  <c r="I9" i="3"/>
  <c r="L16" i="2" s="1"/>
  <c r="I10" i="3"/>
  <c r="L17" i="2" s="1"/>
  <c r="I11" i="3"/>
  <c r="L18" i="2" s="1"/>
  <c r="I12" i="3"/>
  <c r="I13" i="3"/>
  <c r="L20" i="2" s="1"/>
  <c r="I14" i="3"/>
  <c r="L21" i="2" s="1"/>
  <c r="I15" i="3"/>
  <c r="L22" i="2" s="1"/>
  <c r="I16" i="3"/>
  <c r="L27" i="2" s="1"/>
  <c r="I17" i="3"/>
  <c r="L24" i="2" s="1"/>
  <c r="I18" i="3"/>
  <c r="L25" i="2" s="1"/>
  <c r="I19" i="3"/>
  <c r="L26" i="2" s="1"/>
  <c r="I5" i="3"/>
  <c r="L13" i="2" s="1"/>
  <c r="I31" i="3"/>
  <c r="I30" i="3" l="1"/>
  <c r="G33" i="3"/>
  <c r="I33" i="3" s="1"/>
  <c r="L23" i="2"/>
  <c r="L19" i="2"/>
  <c r="L36" i="2" s="1"/>
  <c r="K31" i="2" l="1"/>
  <c r="K32" i="2"/>
  <c r="K33" i="2"/>
  <c r="K34" i="2"/>
  <c r="K35" i="2"/>
  <c r="H31" i="2"/>
  <c r="H32" i="2"/>
  <c r="H33" i="2"/>
  <c r="H34" i="2"/>
  <c r="H35" i="2"/>
  <c r="E36" i="2"/>
  <c r="I33" i="2" l="1"/>
  <c r="N33" i="2" s="1"/>
  <c r="I32" i="2"/>
  <c r="N32" i="2" s="1"/>
  <c r="I35" i="2"/>
  <c r="N35" i="2" s="1"/>
  <c r="I31" i="2"/>
  <c r="N31" i="2" s="1"/>
  <c r="I34" i="2"/>
  <c r="N34" i="2"/>
  <c r="E53" i="1" l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61" i="1" l="1"/>
  <c r="E66" i="1" s="1"/>
  <c r="B70" i="1" s="1"/>
  <c r="B82" i="1" l="1"/>
  <c r="B86" i="1" s="1"/>
  <c r="B98" i="1"/>
  <c r="B76" i="1" l="1"/>
  <c r="H27" i="2" l="1"/>
  <c r="N12" i="2" l="1"/>
  <c r="Q14" i="2" l="1"/>
  <c r="Q15" i="2" l="1"/>
  <c r="G36" i="2"/>
  <c r="B77" i="1" s="1"/>
  <c r="F36" i="2"/>
  <c r="Q16" i="2" l="1"/>
  <c r="H14" i="2"/>
  <c r="H15" i="2"/>
  <c r="H16" i="2"/>
  <c r="H17" i="2"/>
  <c r="H18" i="2"/>
  <c r="H19" i="2"/>
  <c r="H20" i="2"/>
  <c r="H21" i="2"/>
  <c r="H23" i="2"/>
  <c r="H25" i="2"/>
  <c r="H26" i="2"/>
  <c r="H28" i="2"/>
  <c r="H29" i="2"/>
  <c r="H30" i="2"/>
  <c r="H13" i="2"/>
  <c r="Q17" i="2" l="1"/>
  <c r="B71" i="1"/>
  <c r="H36" i="2"/>
  <c r="I30" i="2"/>
  <c r="N30" i="2" s="1"/>
  <c r="I18" i="2"/>
  <c r="N18" i="2" s="1"/>
  <c r="I29" i="2"/>
  <c r="N29" i="2" s="1"/>
  <c r="I25" i="2"/>
  <c r="N25" i="2" s="1"/>
  <c r="I21" i="2"/>
  <c r="N21" i="2" s="1"/>
  <c r="I17" i="2"/>
  <c r="N17" i="2" s="1"/>
  <c r="I26" i="2"/>
  <c r="N26" i="2" s="1"/>
  <c r="I14" i="2"/>
  <c r="N14" i="2" s="1"/>
  <c r="I28" i="2"/>
  <c r="N28" i="2" s="1"/>
  <c r="I24" i="2"/>
  <c r="N24" i="2" s="1"/>
  <c r="I20" i="2"/>
  <c r="N20" i="2" s="1"/>
  <c r="I16" i="2"/>
  <c r="N16" i="2" s="1"/>
  <c r="I22" i="2"/>
  <c r="N22" i="2" s="1"/>
  <c r="I27" i="2"/>
  <c r="N27" i="2" s="1"/>
  <c r="I23" i="2"/>
  <c r="N23" i="2" s="1"/>
  <c r="I19" i="2"/>
  <c r="N19" i="2" s="1"/>
  <c r="I15" i="2"/>
  <c r="N15" i="2" s="1"/>
  <c r="I13" i="2"/>
  <c r="N13" i="2" s="1"/>
  <c r="Q18" i="2" l="1"/>
  <c r="I36" i="2"/>
  <c r="P18" i="2" l="1"/>
  <c r="Q19" i="2"/>
  <c r="P14" i="2"/>
  <c r="P13" i="2"/>
  <c r="P17" i="2"/>
  <c r="P16" i="2"/>
  <c r="P15" i="2"/>
  <c r="O16" i="2"/>
  <c r="O13" i="2"/>
  <c r="O15" i="2"/>
  <c r="O17" i="2"/>
  <c r="O14" i="2"/>
  <c r="J36" i="2"/>
  <c r="Q20" i="2" l="1"/>
  <c r="O18" i="2"/>
  <c r="B69" i="1"/>
  <c r="B75" i="1" s="1"/>
  <c r="B79" i="1" s="1"/>
  <c r="E85" i="1" s="1"/>
  <c r="F86" i="1" s="1"/>
  <c r="O19" i="2" l="1"/>
  <c r="P19" i="2"/>
  <c r="Q21" i="2"/>
  <c r="B68" i="1"/>
  <c r="P20" i="2" l="1"/>
  <c r="O20" i="2"/>
  <c r="Q22" i="2"/>
  <c r="K36" i="2"/>
  <c r="O21" i="2" l="1"/>
  <c r="P21" i="2"/>
  <c r="Q23" i="2"/>
  <c r="O22" i="2" l="1"/>
  <c r="P22" i="2"/>
  <c r="Q24" i="2"/>
  <c r="O23" i="2" l="1"/>
  <c r="P23" i="2"/>
  <c r="Q25" i="2"/>
  <c r="P24" i="2" l="1"/>
  <c r="O24" i="2"/>
  <c r="Q26" i="2"/>
  <c r="P25" i="2" l="1"/>
  <c r="O25" i="2"/>
  <c r="Q27" i="2"/>
  <c r="P26" i="2" l="1"/>
  <c r="O26" i="2"/>
  <c r="Q28" i="2"/>
  <c r="P27" i="2" l="1"/>
  <c r="O27" i="2"/>
  <c r="Q29" i="2"/>
  <c r="P28" i="2" l="1"/>
  <c r="O28" i="2"/>
  <c r="Q30" i="2"/>
  <c r="O29" i="2" l="1"/>
  <c r="P29" i="2"/>
  <c r="Q31" i="2"/>
  <c r="P31" i="2" l="1"/>
  <c r="Q32" i="2"/>
  <c r="O30" i="2"/>
  <c r="O36" i="2" s="1"/>
  <c r="P30" i="2"/>
  <c r="Q33" i="2" l="1"/>
  <c r="P33" i="2" l="1"/>
  <c r="Q34" i="2"/>
  <c r="P32" i="2"/>
  <c r="Q35" i="2" l="1"/>
  <c r="P35" i="2" s="1"/>
  <c r="P34" i="2" l="1"/>
  <c r="P36" i="2" s="1"/>
  <c r="N36" i="2"/>
</calcChain>
</file>

<file path=xl/sharedStrings.xml><?xml version="1.0" encoding="utf-8"?>
<sst xmlns="http://schemas.openxmlformats.org/spreadsheetml/2006/main" count="187" uniqueCount="146">
  <si>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</si>
  <si>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</si>
  <si>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</si>
  <si>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</si>
  <si>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</si>
  <si>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</si>
  <si>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</si>
  <si>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</si>
  <si>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</si>
  <si>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</si>
  <si>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</si>
  <si>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</si>
  <si>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</si>
  <si>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</si>
  <si>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</si>
  <si>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</si>
  <si>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</si>
  <si>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</si>
  <si>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</si>
  <si>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</si>
  <si>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</si>
  <si>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</si>
  <si>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</si>
  <si>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</si>
  <si>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</si>
  <si>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</si>
  <si>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Mantenimiento de cuenta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</si>
  <si>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</si>
  <si>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</si>
  <si>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</si>
  <si>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</si>
  <si>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</si>
  <si>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</si>
  <si>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</si>
  <si>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</si>
  <si>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</si>
  <si>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</si>
  <si>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</si>
  <si>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</si>
  <si>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</si>
  <si>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</si>
  <si>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</si>
  <si>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</si>
  <si>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</si>
  <si>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</si>
  <si>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</si>
  <si>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</si>
  <si>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</si>
  <si>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</si>
  <si>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</si>
  <si>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</si>
  <si>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</si>
  <si>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</si>
  <si>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</si>
  <si>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</si>
  <si>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</si>
  <si>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</si>
  <si>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</si>
  <si>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</si>
  <si>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</si>
  <si>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</si>
  <si>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</si>
  <si>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</si>
  <si>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</si>
  <si>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</si>
  <si>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</si>
  <si>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</si>
  <si>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</si>
  <si>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</si>
  <si>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</si>
  <si>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</si>
  <si>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</si>
  <si>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</si>
  <si>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</si>
  <si>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</si>
  <si>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</si>
  <si>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</si>
  <si>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</si>
  <si>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</si>
  <si>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</si>
  <si>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</si>
  <si>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</si>
  <si>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</si>
  <si>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</si>
  <si>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</si>
  <si>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</si>
  <si>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</si>
  <si>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</si>
  <si>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</si>
  <si>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</si>
  <si>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</si>
  <si>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</si>
  <si>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</si>
  <si>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</si>
  <si>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</si>
  <si>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</si>
  <si>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</si>
  <si>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</si>
  <si>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</si>
  <si>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</si>
  <si>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</si>
  <si>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</si>
  <si>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</si>
  <si>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</si>
  <si>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</si>
  <si>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</si>
  <si>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</si>
  <si>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</si>
  <si>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</si>
  <si>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</si>
  <si>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</si>
  <si>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</si>
  <si>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</si>
  <si>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</si>
  <si>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</si>
  <si>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</si>
  <si>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</si>
  <si>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</si>
  <si>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</si>
  <si>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</si>
  <si>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Totales</t>
  </si>
  <si>
    <t>Federacion patronal  Seguro obligatorio de consorcio - Poliza nro. 1-2249124-0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</si>
  <si>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</si>
  <si>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</si>
  <si>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</si>
  <si>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</si>
  <si>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</si>
  <si>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 xml:space="preserve">Bonificado x EDESUR </t>
  </si>
  <si>
    <t>SUM</t>
  </si>
  <si>
    <t>FCI FIMA</t>
  </si>
  <si>
    <t xml:space="preserve">Ingreso 05/05 </t>
  </si>
  <si>
    <t>VTO 17/07</t>
  </si>
  <si>
    <t>PERÍODO: JUNIO</t>
  </si>
  <si>
    <t>Transf 02/06</t>
  </si>
  <si>
    <t>Transf 04/06</t>
  </si>
  <si>
    <t>Cambio de caja de piso</t>
  </si>
  <si>
    <t>Cambio de cierrapuerta de blindex</t>
  </si>
  <si>
    <t>Transf 05/06</t>
  </si>
  <si>
    <t>Transf 08/06</t>
  </si>
  <si>
    <t>Horas extra Sra. Carina</t>
  </si>
  <si>
    <t>Transf 16/06</t>
  </si>
  <si>
    <t>Easy Barracas - Compra de termotanque - Cuota 4  - Restan 2 cuotas de $157.988,29</t>
  </si>
  <si>
    <t xml:space="preserve">Honorario administracion - Mes de JUNIO </t>
  </si>
  <si>
    <t>Transf 30/06</t>
  </si>
  <si>
    <t>Comision cuenta dolares - Reclamo enviado - El banco evaluara una bonificacion</t>
  </si>
  <si>
    <t>SALDO A FIN DE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</si>
</sst>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6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0" fontId="0" fillId="4" borderId="1" xfId="0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44" fontId="6" fillId="4" borderId="6" xfId="1" applyFont="1" applyFill="1" applyBorder="1"/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7" xfId="0" applyFill="1" applyBorder="1" applyAlignment="1">
      <alignment horizontal="left" vertical="center" wrapText="1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/>
    <xf numFmtId="164" fontId="6" fillId="9" borderId="1" xfId="0" applyNumberFormat="1" applyFont="1" applyFill="1" applyBorder="1" applyAlignment="1">
      <alignment horizontal="center"/>
    </xf>
    <xf numFmtId="0" fontId="4" fillId="9" borderId="0" xfId="0" applyFont="1" applyFill="1"/>
    <xf numFmtId="0" fontId="6" fillId="9" borderId="0" xfId="0" applyFont="1" applyFill="1"/>
    <xf numFmtId="0" fontId="4" fillId="9" borderId="1" xfId="0" applyFont="1" applyFill="1" applyBorder="1"/>
    <xf numFmtId="0" fontId="6" fillId="9" borderId="1" xfId="0" applyFont="1" applyFill="1" applyBorder="1"/>
    <xf numFmtId="0" fontId="23" fillId="0" borderId="1" xfId="0" applyFont="1" applyBorder="1" applyAlignment="1">
      <alignment horizontal="center" wrapText="1"/>
    </xf>
    <xf numFmtId="44" fontId="17" fillId="2" borderId="2" xfId="1" applyFont="1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170" fontId="0" fillId="0" borderId="0" xfId="0" applyNumberFormat="1"/>
    <xf numFmtId="165" fontId="13" fillId="2" borderId="1" xfId="1" applyNumberFormat="1" applyFont="1" applyFill="1" applyBorder="1"/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5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0" fillId="2" borderId="6" xfId="0" applyFill="1" applyBorder="1" applyAlignment="1">
      <alignment horizontal="left" vertical="center"/>
    </xf>
    <xf numFmtId="0" fontId="14" fillId="2" borderId="1" xfId="0" applyFont="1" applyFill="1" applyBorder="1"/>
    <xf numFmtId="165" fontId="13" fillId="0" borderId="7" xfId="1" applyNumberFormat="1" applyFont="1" applyBorder="1"/>
    <xf numFmtId="44" fontId="13" fillId="0" borderId="7" xfId="1" applyFont="1" applyBorder="1"/>
    <xf numFmtId="44" fontId="13" fillId="2" borderId="7" xfId="1" applyFont="1" applyFill="1" applyBorder="1"/>
    <xf numFmtId="164" fontId="2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24" fillId="0" borderId="1" xfId="2" applyFont="1" applyBorder="1" applyAlignment="1">
      <alignment horizontal="center"/>
    </xf>
    <xf numFmtId="44" fontId="2" fillId="4" borderId="6" xfId="1" applyFont="1" applyFill="1" applyBorder="1"/>
    <xf numFmtId="44" fontId="2" fillId="4" borderId="1" xfId="1" applyFont="1" applyFill="1" applyBorder="1"/>
    <xf numFmtId="44" fontId="0" fillId="4" borderId="1" xfId="1" applyFont="1" applyFill="1" applyBorder="1"/>
    <xf numFmtId="44" fontId="0" fillId="2" borderId="1" xfId="1" applyFont="1" applyFill="1" applyBorder="1"/>
    <xf numFmtId="44" fontId="2" fillId="4" borderId="6" xfId="1" applyFont="1" applyFill="1" applyBorder="1" applyAlignment="1">
      <alignment horizontal="center"/>
    </xf>
    <xf numFmtId="44" fontId="0" fillId="2" borderId="6" xfId="1" applyFont="1" applyFill="1" applyBorder="1"/>
    <xf numFmtId="8" fontId="11" fillId="4" borderId="1" xfId="0" applyNumberFormat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4" fontId="7" fillId="2" borderId="1" xfId="1" applyFont="1" applyFill="1" applyBorder="1"/>
    <xf numFmtId="8" fontId="7" fillId="2" borderId="1" xfId="0" applyNumberFormat="1" applyFont="1" applyFill="1" applyBorder="1" applyAlignment="1">
      <alignment horizontal="right"/>
    </xf>
    <xf numFmtId="44" fontId="7" fillId="2" borderId="6" xfId="1" applyFont="1" applyFill="1" applyBorder="1"/>
    <xf numFmtId="44" fontId="7" fillId="2" borderId="1" xfId="1" applyFont="1" applyFill="1" applyBorder="1" applyAlignment="1"/>
    <xf numFmtId="8" fontId="7" fillId="2" borderId="6" xfId="0" applyNumberFormat="1" applyFont="1" applyFill="1" applyBorder="1" applyAlignment="1">
      <alignment horizontal="righ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A29" workbookViewId="0">
      <selection activeCell="E35" sqref="E35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5.85546875" hidden="1" customWidth="1"/>
    <col min="4" max="4" width="21.5703125" customWidth="1"/>
    <col min="5" max="5" width="14.570312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42578125" customWidth="1"/>
  </cols>
  <sheetData>
    <row r="1" spans="1:5" x14ac:dyDescent="0.25">
      <c r="A1" s="13"/>
      <c r="B1" s="49" t="s">
        <v>74</v>
      </c>
      <c r="C1" s="49"/>
      <c r="D1" s="49"/>
      <c r="E1" s="50"/>
    </row>
    <row r="2" spans="1:5" x14ac:dyDescent="0.25">
      <c r="A2" s="14"/>
      <c r="B2" s="51" t="s">
        <v>14</v>
      </c>
      <c r="C2" s="51"/>
      <c r="D2" s="51"/>
      <c r="E2" s="52"/>
    </row>
    <row r="3" spans="1:5" ht="70.5" customHeight="1" thickBot="1" x14ac:dyDescent="0.3">
      <c r="A3" s="14"/>
      <c r="B3" s="192" t="s">
        <v>76</v>
      </c>
      <c r="C3" s="192"/>
      <c r="D3" s="192"/>
      <c r="E3" s="193"/>
    </row>
    <row r="4" spans="1:5" ht="15.75" thickBot="1" x14ac:dyDescent="0.3">
      <c r="A4" s="17" t="s">
        <v>0</v>
      </c>
      <c r="B4" s="67" t="s">
        <v>21</v>
      </c>
      <c r="C4" s="18"/>
      <c r="D4" s="18"/>
      <c r="E4" s="19"/>
    </row>
    <row r="5" spans="1:5" ht="15.75" thickBot="1" x14ac:dyDescent="0.3">
      <c r="A5" s="14" t="s">
        <v>75</v>
      </c>
      <c r="B5" s="18" t="s">
        <v>132</v>
      </c>
      <c r="C5" s="15"/>
      <c r="D5" s="51" t="s">
        <v>15</v>
      </c>
      <c r="E5" s="16"/>
    </row>
    <row r="6" spans="1:5" ht="15.75" thickBot="1" x14ac:dyDescent="0.3">
      <c r="A6" s="17" t="s">
        <v>126</v>
      </c>
      <c r="B6" s="18"/>
      <c r="C6" s="18"/>
      <c r="D6" s="18" t="s">
        <v>124</v>
      </c>
      <c r="E6" s="19"/>
    </row>
    <row r="8" spans="1:5" x14ac:dyDescent="0.25">
      <c r="B8" s="195" t="s">
        <v>131</v>
      </c>
      <c r="C8" s="195"/>
    </row>
    <row r="9" spans="1:5" x14ac:dyDescent="0.25">
      <c r="B9" s="195"/>
      <c r="C9" s="195"/>
    </row>
    <row r="10" spans="1:5" x14ac:dyDescent="0.25">
      <c r="B10" s="195"/>
      <c r="C10" s="195"/>
    </row>
    <row r="12" spans="1:5" hidden="1" x14ac:dyDescent="0.25"/>
    <row r="13" spans="1:5" ht="15" customHeight="1" x14ac:dyDescent="0.25">
      <c r="A13" s="194" t="s">
        <v>101</v>
      </c>
      <c r="B13" s="194"/>
      <c r="C13" s="194"/>
      <c r="D13" s="194"/>
      <c r="E13" s="194"/>
    </row>
    <row r="14" spans="1:5" ht="15" customHeight="1" x14ac:dyDescent="0.25">
      <c r="A14" s="194"/>
      <c r="B14" s="194"/>
      <c r="C14" s="194"/>
      <c r="D14" s="194"/>
      <c r="E14" s="194"/>
    </row>
    <row r="15" spans="1:5" ht="15" customHeight="1" x14ac:dyDescent="0.25">
      <c r="A15" s="194"/>
      <c r="B15" s="194"/>
      <c r="C15" s="194"/>
      <c r="D15" s="194"/>
      <c r="E15" s="194"/>
    </row>
    <row r="16" spans="1:5" ht="53.25" customHeight="1" x14ac:dyDescent="0.25">
      <c r="A16" s="194"/>
      <c r="B16" s="194"/>
      <c r="C16" s="194"/>
      <c r="D16" s="194"/>
      <c r="E16" s="194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9" t="s">
        <v>104</v>
      </c>
      <c r="B20" s="10"/>
      <c r="C20" s="11"/>
      <c r="D20" s="7"/>
      <c r="E20" s="12"/>
    </row>
    <row r="21" spans="1:8" x14ac:dyDescent="0.25">
      <c r="A21" s="24" t="s">
        <v>77</v>
      </c>
      <c r="B21" s="24"/>
      <c r="C21" s="24"/>
      <c r="D21" s="108"/>
      <c r="E21" s="99"/>
    </row>
    <row r="22" spans="1:8" ht="15" customHeight="1" x14ac:dyDescent="0.25">
      <c r="A22" s="190" t="s">
        <v>115</v>
      </c>
      <c r="B22" s="191"/>
      <c r="C22" s="37"/>
      <c r="D22" s="230">
        <v>510846.85</v>
      </c>
      <c r="E22" s="174" t="s">
        <v>134</v>
      </c>
      <c r="H22" s="88"/>
    </row>
    <row r="23" spans="1:8" ht="15" customHeight="1" x14ac:dyDescent="0.25">
      <c r="A23" s="190" t="s">
        <v>139</v>
      </c>
      <c r="B23" s="191"/>
      <c r="C23" s="37"/>
      <c r="D23" s="230">
        <v>15000</v>
      </c>
      <c r="E23" s="102"/>
      <c r="H23" s="88"/>
    </row>
    <row r="24" spans="1:8" x14ac:dyDescent="0.25">
      <c r="A24" s="21" t="s">
        <v>9</v>
      </c>
      <c r="B24" s="21"/>
      <c r="C24" s="21"/>
      <c r="D24" s="181"/>
      <c r="E24" s="164">
        <f>SUM(D22:D23)</f>
        <v>525846.85</v>
      </c>
    </row>
    <row r="25" spans="1:8" x14ac:dyDescent="0.25">
      <c r="A25" s="24" t="s">
        <v>17</v>
      </c>
      <c r="B25" s="21"/>
      <c r="C25" s="21"/>
      <c r="D25" s="182"/>
      <c r="E25" s="165"/>
    </row>
    <row r="26" spans="1:8" ht="30" customHeight="1" x14ac:dyDescent="0.25">
      <c r="A26" s="190" t="s">
        <v>121</v>
      </c>
      <c r="B26" s="191"/>
      <c r="C26" s="39"/>
      <c r="D26" s="232">
        <v>79864</v>
      </c>
      <c r="E26" s="104" t="s">
        <v>138</v>
      </c>
    </row>
    <row r="27" spans="1:8" x14ac:dyDescent="0.25">
      <c r="A27" s="21" t="s">
        <v>1</v>
      </c>
      <c r="B27" s="21"/>
      <c r="C27" s="21"/>
      <c r="D27" s="181"/>
      <c r="E27" s="117">
        <f>SUM(D26:D26)</f>
        <v>79864</v>
      </c>
    </row>
    <row r="28" spans="1:8" x14ac:dyDescent="0.25">
      <c r="A28" s="24" t="s">
        <v>10</v>
      </c>
      <c r="B28" s="100"/>
      <c r="C28" s="100"/>
      <c r="D28" s="183"/>
      <c r="E28" s="166"/>
    </row>
    <row r="29" spans="1:8" ht="14.25" customHeight="1" x14ac:dyDescent="0.25">
      <c r="A29" s="5" t="s">
        <v>67</v>
      </c>
      <c r="B29" s="5"/>
      <c r="C29" s="5"/>
      <c r="D29" s="184">
        <v>0</v>
      </c>
      <c r="E29" s="174"/>
    </row>
    <row r="30" spans="1:8" x14ac:dyDescent="0.25">
      <c r="A30" s="5" t="s">
        <v>66</v>
      </c>
      <c r="B30" s="5"/>
      <c r="C30" s="5"/>
      <c r="D30" s="229">
        <v>6403.1</v>
      </c>
      <c r="E30" s="174" t="str">
        <f>E31</f>
        <v>Transf 02/06</v>
      </c>
    </row>
    <row r="31" spans="1:8" x14ac:dyDescent="0.25">
      <c r="A31" s="5" t="s">
        <v>66</v>
      </c>
      <c r="B31" s="115"/>
      <c r="C31" s="5"/>
      <c r="D31" s="229">
        <v>329815.06</v>
      </c>
      <c r="E31" s="104" t="s">
        <v>133</v>
      </c>
    </row>
    <row r="32" spans="1:8" x14ac:dyDescent="0.25">
      <c r="A32" s="188" t="s">
        <v>68</v>
      </c>
      <c r="B32" s="189"/>
      <c r="C32" s="5"/>
      <c r="D32" s="229">
        <v>640644</v>
      </c>
      <c r="E32" s="104" t="s">
        <v>140</v>
      </c>
    </row>
    <row r="33" spans="1:5" x14ac:dyDescent="0.25">
      <c r="A33" s="105" t="s">
        <v>78</v>
      </c>
      <c r="B33" s="101"/>
      <c r="C33" s="5"/>
      <c r="D33" s="229">
        <v>26036.19</v>
      </c>
      <c r="E33" s="104" t="s">
        <v>133</v>
      </c>
    </row>
    <row r="34" spans="1:5" ht="15.75" thickBot="1" x14ac:dyDescent="0.3">
      <c r="A34" s="21" t="s">
        <v>2</v>
      </c>
      <c r="B34" s="21"/>
      <c r="C34" s="21"/>
      <c r="D34" s="185"/>
      <c r="E34" s="167">
        <f>SUM(D29:D33)</f>
        <v>1002898.3499999999</v>
      </c>
    </row>
    <row r="35" spans="1:5" ht="15" customHeight="1" thickBot="1" x14ac:dyDescent="0.3">
      <c r="A35" s="24"/>
      <c r="B35" s="21"/>
      <c r="C35" s="21"/>
      <c r="D35" s="181"/>
      <c r="E35" s="168"/>
    </row>
    <row r="36" spans="1:5" ht="32.25" customHeight="1" x14ac:dyDescent="0.25">
      <c r="A36" s="190" t="s">
        <v>117</v>
      </c>
      <c r="B36" s="191"/>
      <c r="C36" s="5"/>
      <c r="D36" s="229">
        <v>82000</v>
      </c>
      <c r="E36" s="104" t="s">
        <v>137</v>
      </c>
    </row>
    <row r="37" spans="1:5" ht="16.5" customHeight="1" x14ac:dyDescent="0.25">
      <c r="A37" s="173" t="s">
        <v>135</v>
      </c>
      <c r="B37" s="116"/>
      <c r="C37" s="5"/>
      <c r="D37" s="231">
        <v>150000</v>
      </c>
      <c r="E37" s="104" t="s">
        <v>137</v>
      </c>
    </row>
    <row r="38" spans="1:5" ht="20.45" customHeight="1" x14ac:dyDescent="0.25">
      <c r="A38" s="190" t="s">
        <v>136</v>
      </c>
      <c r="B38" s="191"/>
      <c r="C38" s="5"/>
      <c r="D38" s="231">
        <v>500000</v>
      </c>
      <c r="E38" s="104" t="s">
        <v>137</v>
      </c>
    </row>
    <row r="39" spans="1:5" ht="36.75" customHeight="1" x14ac:dyDescent="0.25">
      <c r="A39" s="190" t="s">
        <v>141</v>
      </c>
      <c r="B39" s="191"/>
      <c r="C39" s="5"/>
      <c r="D39" s="231">
        <v>157988.29</v>
      </c>
      <c r="E39" s="104"/>
    </row>
    <row r="40" spans="1:5" ht="16.5" customHeight="1" x14ac:dyDescent="0.25">
      <c r="A40" s="190"/>
      <c r="B40" s="191"/>
      <c r="C40" s="5"/>
      <c r="D40" s="186"/>
      <c r="E40" s="104"/>
    </row>
    <row r="41" spans="1:5" x14ac:dyDescent="0.25">
      <c r="A41" s="21" t="s">
        <v>6</v>
      </c>
      <c r="B41" s="24"/>
      <c r="C41" s="24"/>
      <c r="D41" s="24"/>
      <c r="E41" s="117">
        <f>SUM(D36:D40)</f>
        <v>889988.29</v>
      </c>
    </row>
    <row r="42" spans="1:5" x14ac:dyDescent="0.25">
      <c r="A42" s="24" t="s">
        <v>11</v>
      </c>
      <c r="B42" s="24"/>
      <c r="C42" s="24"/>
      <c r="D42" s="187"/>
      <c r="E42" s="169"/>
    </row>
    <row r="43" spans="1:5" ht="33.75" customHeight="1" x14ac:dyDescent="0.25">
      <c r="A43" s="190" t="s">
        <v>142</v>
      </c>
      <c r="B43" s="191"/>
      <c r="C43" s="37"/>
      <c r="D43" s="233">
        <v>170000</v>
      </c>
      <c r="E43" s="170" t="s">
        <v>143</v>
      </c>
    </row>
    <row r="44" spans="1:5" x14ac:dyDescent="0.25">
      <c r="A44" s="21" t="s">
        <v>9</v>
      </c>
      <c r="B44" s="21"/>
      <c r="C44" s="21"/>
      <c r="D44" s="109"/>
      <c r="E44" s="164">
        <f>SUM(D43:D43)</f>
        <v>170000</v>
      </c>
    </row>
    <row r="45" spans="1:5" x14ac:dyDescent="0.25">
      <c r="A45" s="24" t="s">
        <v>8</v>
      </c>
      <c r="B45" s="47"/>
      <c r="C45" s="21"/>
      <c r="D45" s="107"/>
      <c r="E45" s="117"/>
    </row>
    <row r="46" spans="1:5" x14ac:dyDescent="0.25">
      <c r="A46" s="5" t="s">
        <v>26</v>
      </c>
      <c r="B46" s="5"/>
      <c r="C46" s="5"/>
      <c r="D46" s="229">
        <v>69000</v>
      </c>
      <c r="E46" s="171"/>
    </row>
    <row r="47" spans="1:5" ht="30.75" customHeight="1" x14ac:dyDescent="0.25">
      <c r="A47" s="234" t="s">
        <v>144</v>
      </c>
      <c r="B47" s="235"/>
      <c r="C47" s="5"/>
      <c r="D47" s="229">
        <v>14770</v>
      </c>
      <c r="E47" s="171"/>
    </row>
    <row r="48" spans="1:5" x14ac:dyDescent="0.25">
      <c r="A48" s="5" t="s">
        <v>116</v>
      </c>
      <c r="B48" s="5"/>
      <c r="C48" s="5"/>
      <c r="D48" s="229">
        <v>56522.84</v>
      </c>
      <c r="E48" s="172"/>
    </row>
    <row r="49" spans="1:8" x14ac:dyDescent="0.25">
      <c r="A49" s="36" t="s">
        <v>9</v>
      </c>
      <c r="B49" s="36"/>
      <c r="C49" s="36"/>
      <c r="D49" s="75"/>
      <c r="E49" s="117">
        <f>SUM(D46:D48)</f>
        <v>140292.84</v>
      </c>
    </row>
    <row r="50" spans="1:8" x14ac:dyDescent="0.25">
      <c r="A50" s="5"/>
      <c r="B50" s="5"/>
      <c r="C50" s="5"/>
      <c r="D50" s="70"/>
      <c r="E50" s="76"/>
    </row>
    <row r="51" spans="1:8" x14ac:dyDescent="0.25">
      <c r="A51" s="22" t="s">
        <v>100</v>
      </c>
      <c r="B51" s="22"/>
      <c r="C51" s="22"/>
      <c r="D51" s="77"/>
      <c r="E51" s="118"/>
    </row>
    <row r="52" spans="1:8" ht="15.75" thickBot="1" x14ac:dyDescent="0.3">
      <c r="A52" s="1"/>
      <c r="D52" s="78"/>
      <c r="E52" s="79"/>
      <c r="F52" s="29"/>
    </row>
    <row r="53" spans="1:8" ht="15.75" thickBot="1" x14ac:dyDescent="0.3">
      <c r="A53" s="3" t="s">
        <v>96</v>
      </c>
      <c r="B53" s="8"/>
      <c r="C53" s="4"/>
      <c r="D53" s="80"/>
      <c r="E53" s="81">
        <f>(SUM(E21:E51))</f>
        <v>2808890.3299999996</v>
      </c>
      <c r="F53" s="98"/>
      <c r="G53" s="29"/>
    </row>
    <row r="54" spans="1:8" x14ac:dyDescent="0.25">
      <c r="D54" s="78"/>
      <c r="E54" s="78"/>
    </row>
    <row r="55" spans="1:8" ht="15.75" thickBot="1" x14ac:dyDescent="0.3">
      <c r="D55" s="78"/>
      <c r="E55" s="78"/>
      <c r="H55" s="110"/>
    </row>
    <row r="56" spans="1:8" x14ac:dyDescent="0.25">
      <c r="A56" s="9" t="s">
        <v>97</v>
      </c>
      <c r="B56" s="10"/>
      <c r="C56" s="11"/>
      <c r="D56" s="82"/>
      <c r="E56" s="83"/>
    </row>
    <row r="57" spans="1:8" ht="15" customHeight="1" x14ac:dyDescent="0.25">
      <c r="A57" s="72"/>
      <c r="B57" s="101"/>
      <c r="C57" s="5"/>
      <c r="D57" s="73"/>
      <c r="E57" s="71"/>
    </row>
    <row r="58" spans="1:8" ht="15" customHeight="1" x14ac:dyDescent="0.25">
      <c r="A58" s="198"/>
      <c r="B58" s="198"/>
      <c r="C58" s="5"/>
      <c r="D58" s="103"/>
      <c r="E58" s="71"/>
    </row>
    <row r="59" spans="1:8" ht="15.75" customHeight="1" x14ac:dyDescent="0.25">
      <c r="A59" s="5"/>
      <c r="B59" s="5"/>
      <c r="C59" s="5"/>
      <c r="D59" s="5"/>
      <c r="E59" s="5"/>
    </row>
    <row r="60" spans="1:8" x14ac:dyDescent="0.25">
      <c r="A60" s="72"/>
      <c r="B60" s="74"/>
      <c r="C60" s="5"/>
      <c r="D60" s="73"/>
      <c r="E60" s="71"/>
    </row>
    <row r="61" spans="1:8" x14ac:dyDescent="0.25">
      <c r="A61" s="34"/>
      <c r="B61" s="33"/>
      <c r="C61" s="33"/>
      <c r="D61" s="40"/>
      <c r="E61" s="40">
        <f>SUM(D57:D60)</f>
        <v>0</v>
      </c>
    </row>
    <row r="62" spans="1:8" ht="15" customHeight="1" x14ac:dyDescent="0.25"/>
    <row r="63" spans="1:8" ht="15.75" hidden="1" thickBot="1" x14ac:dyDescent="0.3"/>
    <row r="64" spans="1:8" x14ac:dyDescent="0.25">
      <c r="A64" s="22" t="s">
        <v>99</v>
      </c>
      <c r="B64" s="22"/>
      <c r="C64" s="22"/>
      <c r="D64" s="23"/>
      <c r="E64" s="161"/>
    </row>
    <row r="65" spans="1:5" ht="15.75" thickBot="1" x14ac:dyDescent="0.3"/>
    <row r="66" spans="1:5" ht="15.75" thickBot="1" x14ac:dyDescent="0.3">
      <c r="A66" s="3" t="s">
        <v>98</v>
      </c>
      <c r="B66" s="8"/>
      <c r="C66" s="4"/>
      <c r="D66" s="4"/>
      <c r="E66" s="48">
        <f>E61+E64</f>
        <v>0</v>
      </c>
    </row>
    <row r="67" spans="1:5" ht="15.75" thickBot="1" x14ac:dyDescent="0.3"/>
    <row r="68" spans="1:5" ht="15.75" thickBot="1" x14ac:dyDescent="0.3">
      <c r="A68" s="68" t="s">
        <v>105</v>
      </c>
      <c r="B68" s="69">
        <f>E53</f>
        <v>2808890.3299999996</v>
      </c>
    </row>
    <row r="69" spans="1:5" ht="15.75" thickBot="1" x14ac:dyDescent="0.3">
      <c r="A69" s="68" t="s">
        <v>106</v>
      </c>
      <c r="B69" s="69">
        <f>E53-E51</f>
        <v>2808890.3299999996</v>
      </c>
    </row>
    <row r="70" spans="1:5" ht="15.75" thickBot="1" x14ac:dyDescent="0.3">
      <c r="A70" s="68" t="s">
        <v>107</v>
      </c>
      <c r="B70" s="69">
        <f>E66-E64</f>
        <v>0</v>
      </c>
    </row>
    <row r="71" spans="1:5" ht="15.75" thickBot="1" x14ac:dyDescent="0.3">
      <c r="A71" s="68" t="s">
        <v>108</v>
      </c>
      <c r="B71" s="69">
        <f>E66</f>
        <v>0</v>
      </c>
    </row>
    <row r="73" spans="1:5" s="27" customFormat="1" x14ac:dyDescent="0.25">
      <c r="A73"/>
      <c r="B73" s="28"/>
      <c r="C73" s="26"/>
    </row>
    <row r="74" spans="1:5" s="27" customFormat="1" x14ac:dyDescent="0.25">
      <c r="A74" s="90" t="s">
        <v>109</v>
      </c>
      <c r="B74" s="128">
        <v>291888.99000000162</v>
      </c>
      <c r="C74" s="26"/>
      <c r="D74" s="32"/>
    </row>
    <row r="75" spans="1:5" x14ac:dyDescent="0.25">
      <c r="A75" s="39" t="s">
        <v>102</v>
      </c>
      <c r="B75" s="95">
        <f>-B69</f>
        <v>-2808890.3299999996</v>
      </c>
    </row>
    <row r="76" spans="1:5" x14ac:dyDescent="0.25">
      <c r="A76" s="39" t="s">
        <v>25</v>
      </c>
      <c r="B76" s="95">
        <f>B98</f>
        <v>0</v>
      </c>
    </row>
    <row r="77" spans="1:5" x14ac:dyDescent="0.25">
      <c r="A77" s="39" t="s">
        <v>111</v>
      </c>
      <c r="B77" s="96">
        <f>PRORRATEO!G36-B84</f>
        <v>2367966.9600000004</v>
      </c>
    </row>
    <row r="78" spans="1:5" x14ac:dyDescent="0.25">
      <c r="A78" s="97" t="s">
        <v>24</v>
      </c>
      <c r="B78" s="111"/>
    </row>
    <row r="79" spans="1:5" ht="15.75" thickBot="1" x14ac:dyDescent="0.3">
      <c r="A79" s="93" t="s">
        <v>113</v>
      </c>
      <c r="B79" s="94">
        <f>SUM(B74:C78)</f>
        <v>-149034.37999999756</v>
      </c>
      <c r="D79" s="29"/>
    </row>
    <row r="80" spans="1:5" x14ac:dyDescent="0.25">
      <c r="A80" s="91"/>
      <c r="B80" s="91"/>
      <c r="D80" s="29"/>
      <c r="E80" s="28"/>
    </row>
    <row r="81" spans="1:6" x14ac:dyDescent="0.25">
      <c r="A81" s="90" t="s">
        <v>110</v>
      </c>
      <c r="B81" s="128">
        <v>1000000</v>
      </c>
      <c r="D81" s="28"/>
      <c r="E81" s="29"/>
    </row>
    <row r="82" spans="1:6" x14ac:dyDescent="0.25">
      <c r="A82" s="39" t="s">
        <v>103</v>
      </c>
      <c r="B82" s="95">
        <f>-B70</f>
        <v>0</v>
      </c>
      <c r="D82" s="29"/>
      <c r="E82" s="29"/>
    </row>
    <row r="83" spans="1:6" x14ac:dyDescent="0.25">
      <c r="A83" s="39" t="s">
        <v>25</v>
      </c>
      <c r="B83" s="95">
        <f>B106</f>
        <v>0</v>
      </c>
      <c r="D83" s="29"/>
    </row>
    <row r="84" spans="1:6" x14ac:dyDescent="0.25">
      <c r="A84" s="39" t="s">
        <v>112</v>
      </c>
      <c r="B84" s="96">
        <v>0</v>
      </c>
      <c r="D84" s="162"/>
    </row>
    <row r="85" spans="1:6" x14ac:dyDescent="0.25">
      <c r="A85" s="97" t="s">
        <v>24</v>
      </c>
      <c r="B85" s="111"/>
      <c r="E85" s="29">
        <f>B86+B79</f>
        <v>850965.62000000244</v>
      </c>
      <c r="F85">
        <f>1006974.16-20000</f>
        <v>986974.16</v>
      </c>
    </row>
    <row r="86" spans="1:6" ht="15.75" thickBot="1" x14ac:dyDescent="0.3">
      <c r="A86" s="93" t="s">
        <v>114</v>
      </c>
      <c r="B86" s="94">
        <f>SUM(B81:C85)</f>
        <v>1000000</v>
      </c>
      <c r="F86" s="29">
        <f>F85-E85</f>
        <v>136008.53999999759</v>
      </c>
    </row>
    <row r="87" spans="1:6" x14ac:dyDescent="0.25">
      <c r="A87" s="91"/>
      <c r="B87" s="91"/>
    </row>
    <row r="88" spans="1:6" x14ac:dyDescent="0.25">
      <c r="A88" s="91"/>
      <c r="B88" s="91"/>
    </row>
    <row r="89" spans="1:6" x14ac:dyDescent="0.25">
      <c r="A89" s="90" t="s">
        <v>129</v>
      </c>
      <c r="B89" s="128">
        <v>0</v>
      </c>
    </row>
    <row r="90" spans="1:6" x14ac:dyDescent="0.25">
      <c r="A90" s="39" t="s">
        <v>130</v>
      </c>
      <c r="B90" s="95">
        <v>1000000</v>
      </c>
    </row>
    <row r="91" spans="1:6" x14ac:dyDescent="0.25">
      <c r="A91" s="97"/>
      <c r="B91" s="111"/>
    </row>
    <row r="92" spans="1:6" ht="15.75" thickBot="1" x14ac:dyDescent="0.3">
      <c r="A92" s="93" t="s">
        <v>145</v>
      </c>
      <c r="B92" s="94">
        <v>1025063.51</v>
      </c>
    </row>
    <row r="93" spans="1:6" ht="34.5" customHeight="1" x14ac:dyDescent="0.25"/>
    <row r="94" spans="1:6" x14ac:dyDescent="0.25">
      <c r="A94" s="197" t="s">
        <v>18</v>
      </c>
      <c r="B94" s="197"/>
      <c r="C94" s="197"/>
    </row>
    <row r="95" spans="1:6" x14ac:dyDescent="0.25">
      <c r="A95" s="197"/>
      <c r="B95" s="197"/>
      <c r="C95" s="197"/>
    </row>
    <row r="96" spans="1:6" ht="35.25" customHeight="1" x14ac:dyDescent="0.25">
      <c r="A96" s="85"/>
      <c r="B96" s="25"/>
      <c r="C96" s="25">
        <v>40000</v>
      </c>
      <c r="E96" s="98"/>
    </row>
    <row r="97" spans="1:13" ht="27" customHeight="1" x14ac:dyDescent="0.25">
      <c r="A97" s="85"/>
      <c r="B97" s="87"/>
      <c r="C97" s="84"/>
      <c r="D97" s="98"/>
    </row>
    <row r="98" spans="1:13" x14ac:dyDescent="0.25">
      <c r="A98" s="30" t="s">
        <v>6</v>
      </c>
      <c r="B98" s="86">
        <f>SUM(B96:B97)</f>
        <v>0</v>
      </c>
      <c r="C98" s="31"/>
    </row>
    <row r="99" spans="1:13" x14ac:dyDescent="0.25">
      <c r="M99" s="6"/>
    </row>
    <row r="100" spans="1:13" ht="15" customHeight="1" x14ac:dyDescent="0.25">
      <c r="A100" s="196"/>
      <c r="B100" s="196"/>
      <c r="C100" s="196"/>
      <c r="D100" s="196"/>
      <c r="E100" s="196"/>
    </row>
    <row r="101" spans="1:13" x14ac:dyDescent="0.25">
      <c r="A101" s="196"/>
      <c r="B101" s="196"/>
      <c r="C101" s="196"/>
      <c r="D101" s="196"/>
      <c r="E101" s="196"/>
    </row>
    <row r="102" spans="1:13" x14ac:dyDescent="0.25">
      <c r="A102" s="196"/>
      <c r="B102" s="196"/>
      <c r="C102" s="196"/>
      <c r="D102" s="196"/>
      <c r="E102" s="196"/>
    </row>
    <row r="103" spans="1:13" x14ac:dyDescent="0.25">
      <c r="A103" s="196"/>
      <c r="B103" s="196"/>
      <c r="C103" s="196"/>
      <c r="D103" s="196"/>
      <c r="E103" s="196"/>
    </row>
  </sheetData>
  <mergeCells count="16">
    <mergeCell ref="A100:E103"/>
    <mergeCell ref="A94:C95"/>
    <mergeCell ref="A58:B58"/>
    <mergeCell ref="A36:B36"/>
    <mergeCell ref="A40:B40"/>
    <mergeCell ref="A39:B39"/>
    <mergeCell ref="A38:B38"/>
    <mergeCell ref="A43:B43"/>
    <mergeCell ref="A47:B47"/>
    <mergeCell ref="A32:B32"/>
    <mergeCell ref="A23:B23"/>
    <mergeCell ref="A22:B22"/>
    <mergeCell ref="B3:E3"/>
    <mergeCell ref="A13:E16"/>
    <mergeCell ref="B8:C10"/>
    <mergeCell ref="A26:B2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abSelected="1" zoomScaleNormal="100" workbookViewId="0">
      <selection activeCell="G23" sqref="G23"/>
    </sheetView>
  </sheetViews>
  <sheetFormatPr baseColWidth="10" defaultColWidth="10.85546875" defaultRowHeight="15" x14ac:dyDescent="0.25"/>
  <cols>
    <col min="1" max="2" width="4.425781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42578125" customWidth="1"/>
    <col min="8" max="8" width="10.5703125" customWidth="1"/>
    <col min="9" max="9" width="9.5703125" customWidth="1"/>
    <col min="10" max="10" width="12.42578125" customWidth="1"/>
    <col min="11" max="11" width="14.5703125" bestFit="1" customWidth="1"/>
    <col min="12" max="12" width="14.5703125" customWidth="1"/>
    <col min="13" max="13" width="13.42578125" customWidth="1"/>
    <col min="14" max="14" width="14.5703125" customWidth="1"/>
    <col min="15" max="15" width="12" hidden="1" customWidth="1"/>
    <col min="16" max="16" width="14.425781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17" ht="12.95" customHeight="1" x14ac:dyDescent="0.25">
      <c r="A1" s="129"/>
      <c r="B1" s="130"/>
      <c r="C1" s="131"/>
      <c r="D1" s="131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30"/>
      <c r="P1" s="132"/>
    </row>
    <row r="2" spans="1:17" ht="12.95" customHeight="1" x14ac:dyDescent="0.25">
      <c r="A2" s="133"/>
      <c r="B2" s="134"/>
      <c r="C2" s="135"/>
      <c r="D2" s="136"/>
      <c r="E2" s="136" t="s">
        <v>95</v>
      </c>
      <c r="F2" s="136"/>
      <c r="G2" s="137">
        <v>0</v>
      </c>
      <c r="H2" s="136"/>
      <c r="I2" s="136"/>
      <c r="J2" s="136" t="s">
        <v>94</v>
      </c>
      <c r="K2" s="138">
        <v>2400000</v>
      </c>
      <c r="L2" s="138"/>
      <c r="M2" s="138"/>
      <c r="N2" s="139"/>
      <c r="O2" s="140"/>
      <c r="P2" s="141"/>
      <c r="Q2" s="20"/>
    </row>
    <row r="3" spans="1:17" ht="15.75" thickBot="1" x14ac:dyDescent="0.3">
      <c r="A3" s="133"/>
      <c r="B3" s="134"/>
      <c r="C3" s="135"/>
      <c r="D3" s="135"/>
      <c r="E3" s="135"/>
      <c r="F3" s="135"/>
      <c r="G3" s="142"/>
      <c r="H3" s="135"/>
      <c r="I3" s="135"/>
      <c r="J3" s="135"/>
      <c r="K3" s="135"/>
      <c r="L3" s="135"/>
      <c r="M3" s="135"/>
      <c r="N3" s="139"/>
      <c r="O3" s="140"/>
      <c r="P3" s="141"/>
      <c r="Q3" s="20"/>
    </row>
    <row r="4" spans="1:17" x14ac:dyDescent="0.25">
      <c r="A4" s="210" t="s">
        <v>123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  <c r="Q4" s="20"/>
    </row>
    <row r="5" spans="1:17" x14ac:dyDescent="0.25">
      <c r="A5" s="213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  <c r="Q5" s="20"/>
    </row>
    <row r="6" spans="1:17" ht="12.95" customHeight="1" x14ac:dyDescent="0.25">
      <c r="A6" s="213"/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5"/>
      <c r="Q6" s="20"/>
    </row>
    <row r="7" spans="1:17" ht="12.95" customHeight="1" x14ac:dyDescent="0.25">
      <c r="A7" s="213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5"/>
      <c r="Q7" s="20"/>
    </row>
    <row r="8" spans="1:17" ht="33.75" customHeight="1" thickBot="1" x14ac:dyDescent="0.3">
      <c r="A8" s="216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8"/>
    </row>
    <row r="9" spans="1:17" ht="48" customHeight="1" thickBot="1" x14ac:dyDescent="0.3">
      <c r="A9" s="221" t="s">
        <v>122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</row>
    <row r="10" spans="1:17" ht="48" customHeight="1" thickBot="1" x14ac:dyDescent="0.3">
      <c r="A10" s="223" t="s">
        <v>119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</row>
    <row r="11" spans="1:17" x14ac:dyDescent="0.25">
      <c r="A11" s="204" t="s">
        <v>3</v>
      </c>
      <c r="B11" s="112"/>
      <c r="C11" s="204" t="s">
        <v>4</v>
      </c>
      <c r="D11" s="204" t="s">
        <v>13</v>
      </c>
      <c r="E11" s="204" t="s">
        <v>7</v>
      </c>
      <c r="F11" s="200" t="s">
        <v>23</v>
      </c>
      <c r="G11" s="204" t="s">
        <v>5</v>
      </c>
      <c r="H11" s="206" t="s">
        <v>16</v>
      </c>
      <c r="I11" s="200" t="s">
        <v>22</v>
      </c>
      <c r="J11" s="200" t="s">
        <v>94</v>
      </c>
      <c r="K11" s="208" t="s">
        <v>95</v>
      </c>
      <c r="L11" s="200" t="s">
        <v>79</v>
      </c>
      <c r="M11" s="200" t="s">
        <v>128</v>
      </c>
      <c r="N11" s="43" t="s">
        <v>20</v>
      </c>
      <c r="O11" s="202" t="s">
        <v>12</v>
      </c>
      <c r="P11" s="219" t="s">
        <v>19</v>
      </c>
    </row>
    <row r="12" spans="1:17" ht="15.75" customHeight="1" x14ac:dyDescent="0.25">
      <c r="A12" s="205"/>
      <c r="B12" s="113"/>
      <c r="C12" s="205"/>
      <c r="D12" s="224"/>
      <c r="E12" s="205"/>
      <c r="F12" s="201"/>
      <c r="G12" s="205"/>
      <c r="H12" s="207"/>
      <c r="I12" s="201"/>
      <c r="J12" s="201"/>
      <c r="K12" s="209"/>
      <c r="L12" s="201"/>
      <c r="M12" s="201"/>
      <c r="N12" s="41" t="str">
        <f>RESUMEN!B8</f>
        <v>VTO 17/07</v>
      </c>
      <c r="O12" s="203"/>
      <c r="P12" s="220"/>
    </row>
    <row r="13" spans="1:17" ht="17.100000000000001" customHeight="1" x14ac:dyDescent="0.25">
      <c r="A13" s="44">
        <v>1</v>
      </c>
      <c r="B13" s="44" t="s">
        <v>27</v>
      </c>
      <c r="C13" s="44" t="s">
        <v>28</v>
      </c>
      <c r="D13" s="44"/>
      <c r="E13" s="53">
        <v>12</v>
      </c>
      <c r="F13" s="54">
        <v>288000.01</v>
      </c>
      <c r="G13" s="55">
        <f>316800.01+396-G29-G30</f>
        <v>287999.66000000003</v>
      </c>
      <c r="H13" s="56">
        <f t="shared" ref="H13:H35" si="0">F13-G13</f>
        <v>0.34999999997671694</v>
      </c>
      <c r="I13" s="56">
        <f>IF(H13&gt;0,H13*3%,0)</f>
        <v>1.0499999999301507E-2</v>
      </c>
      <c r="J13" s="106">
        <f t="shared" ref="J13:J35" si="1">K$2*E13/100</f>
        <v>288000</v>
      </c>
      <c r="K13" s="106">
        <f t="shared" ref="K13:K35" si="2">G$2*E13/100</f>
        <v>0</v>
      </c>
      <c r="L13" s="160">
        <f>EDESUR!I5</f>
        <v>0</v>
      </c>
      <c r="M13" s="176"/>
      <c r="N13" s="159">
        <f>ROUND(SUM(H13:M13),0) + Q13</f>
        <v>288000.01</v>
      </c>
      <c r="O13" s="57">
        <f>ROUND(N13*6% + N13,0) + Q13</f>
        <v>305280.01</v>
      </c>
      <c r="P13" s="58">
        <f>ROUND(N13*3%,0) + N13</f>
        <v>296640.01</v>
      </c>
      <c r="Q13" s="29">
        <v>0.01</v>
      </c>
    </row>
    <row r="14" spans="1:17" ht="17.100000000000001" customHeight="1" x14ac:dyDescent="0.25">
      <c r="A14" s="152">
        <v>2</v>
      </c>
      <c r="B14" s="152" t="s">
        <v>29</v>
      </c>
      <c r="C14" s="152" t="s">
        <v>30</v>
      </c>
      <c r="D14" s="153"/>
      <c r="E14" s="154">
        <v>6.6</v>
      </c>
      <c r="F14" s="55">
        <v>189415.02</v>
      </c>
      <c r="G14" s="55">
        <v>190000</v>
      </c>
      <c r="H14" s="155">
        <f t="shared" si="0"/>
        <v>-584.98000000001048</v>
      </c>
      <c r="I14" s="155">
        <f t="shared" ref="I14:I35" si="3">IF(H14&gt;0,H14*3%,0)</f>
        <v>0</v>
      </c>
      <c r="J14" s="156">
        <f t="shared" si="1"/>
        <v>158400</v>
      </c>
      <c r="K14" s="156">
        <f t="shared" si="2"/>
        <v>0</v>
      </c>
      <c r="L14" s="163">
        <f>EDESUR!I6</f>
        <v>102901.79</v>
      </c>
      <c r="M14" s="177"/>
      <c r="N14" s="159">
        <f t="shared" ref="N14:N35" si="4">ROUND(SUM(H14:M14),0) + Q14</f>
        <v>260717.02</v>
      </c>
      <c r="O14" s="157">
        <f t="shared" ref="O14:O30" si="5">ROUND(N14*6% + N14,0) + Q14</f>
        <v>276360.02</v>
      </c>
      <c r="P14" s="158">
        <f t="shared" ref="P14:P35" si="6">ROUND(N14*3%,0) + N14</f>
        <v>268539.02</v>
      </c>
      <c r="Q14" s="29">
        <f>Q13+0.01</f>
        <v>0.02</v>
      </c>
    </row>
    <row r="15" spans="1:17" ht="17.100000000000001" customHeight="1" x14ac:dyDescent="0.25">
      <c r="A15" s="44">
        <v>3</v>
      </c>
      <c r="B15" s="44" t="s">
        <v>31</v>
      </c>
      <c r="C15" s="44" t="s">
        <v>32</v>
      </c>
      <c r="D15" s="45" t="s">
        <v>69</v>
      </c>
      <c r="E15" s="53">
        <v>5.4</v>
      </c>
      <c r="F15" s="54">
        <v>135021.03</v>
      </c>
      <c r="G15" s="55">
        <f>F15</f>
        <v>135021.03</v>
      </c>
      <c r="H15" s="56">
        <f t="shared" si="0"/>
        <v>0</v>
      </c>
      <c r="I15" s="56">
        <f t="shared" si="3"/>
        <v>0</v>
      </c>
      <c r="J15" s="106">
        <f t="shared" si="1"/>
        <v>129600</v>
      </c>
      <c r="K15" s="106">
        <f t="shared" si="2"/>
        <v>0</v>
      </c>
      <c r="L15" s="160">
        <f>EDESUR!I7</f>
        <v>3655.79</v>
      </c>
      <c r="M15" s="175"/>
      <c r="N15" s="159">
        <f t="shared" si="4"/>
        <v>133256.03</v>
      </c>
      <c r="O15" s="57">
        <f t="shared" si="5"/>
        <v>141251.03</v>
      </c>
      <c r="P15" s="58">
        <f t="shared" si="6"/>
        <v>137254.03</v>
      </c>
      <c r="Q15" s="29">
        <f t="shared" ref="Q15:Q30" si="7">Q14+0.01</f>
        <v>0.03</v>
      </c>
    </row>
    <row r="16" spans="1:17" ht="26.25" customHeight="1" x14ac:dyDescent="0.25">
      <c r="A16" s="44">
        <v>4</v>
      </c>
      <c r="B16" s="44" t="s">
        <v>33</v>
      </c>
      <c r="C16" s="44" t="s">
        <v>34</v>
      </c>
      <c r="D16" s="45" t="s">
        <v>125</v>
      </c>
      <c r="E16" s="53">
        <v>6.6</v>
      </c>
      <c r="F16" s="54">
        <v>158400.04</v>
      </c>
      <c r="G16" s="55">
        <f>178400.24-G32</f>
        <v>164000.03999999998</v>
      </c>
      <c r="H16" s="56">
        <f t="shared" si="0"/>
        <v>-5599.9999999999709</v>
      </c>
      <c r="I16" s="56">
        <f t="shared" si="3"/>
        <v>0</v>
      </c>
      <c r="J16" s="106">
        <f t="shared" si="1"/>
        <v>158400</v>
      </c>
      <c r="K16" s="106">
        <f t="shared" si="2"/>
        <v>0</v>
      </c>
      <c r="L16" s="160">
        <f>EDESUR!I9</f>
        <v>0</v>
      </c>
      <c r="M16" s="176"/>
      <c r="N16" s="159">
        <f t="shared" si="4"/>
        <v>152800.04</v>
      </c>
      <c r="O16" s="57">
        <f t="shared" si="5"/>
        <v>161968.04</v>
      </c>
      <c r="P16" s="58">
        <f t="shared" si="6"/>
        <v>157384.04</v>
      </c>
      <c r="Q16" s="29">
        <f t="shared" si="7"/>
        <v>0.04</v>
      </c>
    </row>
    <row r="17" spans="1:18" ht="17.100000000000001" customHeight="1" x14ac:dyDescent="0.25">
      <c r="A17" s="152">
        <v>5</v>
      </c>
      <c r="B17" s="152" t="s">
        <v>35</v>
      </c>
      <c r="C17" s="152" t="s">
        <v>36</v>
      </c>
      <c r="D17" s="152" t="s">
        <v>93</v>
      </c>
      <c r="E17" s="154">
        <v>6.6</v>
      </c>
      <c r="F17" s="55">
        <v>158400.04999999999</v>
      </c>
      <c r="G17" s="55">
        <f>F17</f>
        <v>158400.04999999999</v>
      </c>
      <c r="H17" s="155">
        <f t="shared" si="0"/>
        <v>0</v>
      </c>
      <c r="I17" s="155">
        <f t="shared" si="3"/>
        <v>0</v>
      </c>
      <c r="J17" s="156">
        <f t="shared" si="1"/>
        <v>158400</v>
      </c>
      <c r="K17" s="156">
        <f t="shared" si="2"/>
        <v>0</v>
      </c>
      <c r="L17" s="163">
        <f>EDESUR!I10</f>
        <v>0</v>
      </c>
      <c r="M17" s="177">
        <v>0</v>
      </c>
      <c r="N17" s="159">
        <f t="shared" si="4"/>
        <v>158400.04999999999</v>
      </c>
      <c r="O17" s="157">
        <f t="shared" si="5"/>
        <v>167904.05</v>
      </c>
      <c r="P17" s="158">
        <f t="shared" si="6"/>
        <v>163152.04999999999</v>
      </c>
      <c r="Q17" s="29">
        <f t="shared" si="7"/>
        <v>0.05</v>
      </c>
      <c r="R17" t="s">
        <v>118</v>
      </c>
    </row>
    <row r="18" spans="1:18" ht="17.100000000000001" customHeight="1" x14ac:dyDescent="0.25">
      <c r="A18" s="44">
        <v>6</v>
      </c>
      <c r="B18" s="44" t="s">
        <v>37</v>
      </c>
      <c r="C18" s="44" t="s">
        <v>38</v>
      </c>
      <c r="D18" s="44" t="s">
        <v>90</v>
      </c>
      <c r="E18" s="53">
        <v>5.4</v>
      </c>
      <c r="F18" s="54">
        <v>129600.06</v>
      </c>
      <c r="G18" s="55">
        <v>118800</v>
      </c>
      <c r="H18" s="56">
        <f t="shared" si="0"/>
        <v>10800.059999999998</v>
      </c>
      <c r="I18" s="56">
        <f t="shared" si="3"/>
        <v>324.00179999999995</v>
      </c>
      <c r="J18" s="106">
        <f t="shared" si="1"/>
        <v>129600</v>
      </c>
      <c r="K18" s="106">
        <f t="shared" si="2"/>
        <v>0</v>
      </c>
      <c r="L18" s="160">
        <f>EDESUR!I11</f>
        <v>0</v>
      </c>
      <c r="M18" s="176"/>
      <c r="N18" s="159">
        <f t="shared" si="4"/>
        <v>140724.06</v>
      </c>
      <c r="O18" s="57">
        <f t="shared" si="5"/>
        <v>149168.06</v>
      </c>
      <c r="P18" s="58">
        <f t="shared" si="6"/>
        <v>144946.06</v>
      </c>
      <c r="Q18" s="29">
        <f t="shared" si="7"/>
        <v>6.0000000000000005E-2</v>
      </c>
    </row>
    <row r="19" spans="1:18" ht="17.100000000000001" customHeight="1" x14ac:dyDescent="0.25">
      <c r="A19" s="152">
        <v>7</v>
      </c>
      <c r="B19" s="152" t="s">
        <v>39</v>
      </c>
      <c r="C19" s="152" t="s">
        <v>40</v>
      </c>
      <c r="D19" s="152" t="s">
        <v>91</v>
      </c>
      <c r="E19" s="154">
        <v>5.4</v>
      </c>
      <c r="F19" s="55">
        <v>129600.07</v>
      </c>
      <c r="G19" s="55"/>
      <c r="H19" s="155">
        <f t="shared" si="0"/>
        <v>129600.07</v>
      </c>
      <c r="I19" s="155">
        <f t="shared" si="3"/>
        <v>3888.0021000000002</v>
      </c>
      <c r="J19" s="156">
        <f t="shared" si="1"/>
        <v>129600</v>
      </c>
      <c r="K19" s="156">
        <f t="shared" si="2"/>
        <v>0</v>
      </c>
      <c r="L19" s="160">
        <f>EDESUR!I12</f>
        <v>0</v>
      </c>
      <c r="M19" s="176"/>
      <c r="N19" s="159">
        <f t="shared" si="4"/>
        <v>263088.07</v>
      </c>
      <c r="O19" s="157">
        <f t="shared" si="5"/>
        <v>278873.07</v>
      </c>
      <c r="P19" s="158">
        <f t="shared" si="6"/>
        <v>270981.07</v>
      </c>
      <c r="Q19" s="29">
        <f t="shared" si="7"/>
        <v>7.0000000000000007E-2</v>
      </c>
    </row>
    <row r="20" spans="1:18" ht="17.100000000000001" customHeight="1" x14ac:dyDescent="0.25">
      <c r="A20" s="152">
        <v>8</v>
      </c>
      <c r="B20" s="152" t="s">
        <v>41</v>
      </c>
      <c r="C20" s="152" t="s">
        <v>42</v>
      </c>
      <c r="D20" s="153" t="s">
        <v>70</v>
      </c>
      <c r="E20" s="154">
        <v>6.6</v>
      </c>
      <c r="F20" s="55">
        <v>225080.08</v>
      </c>
      <c r="G20" s="55">
        <f>F20</f>
        <v>225080.08</v>
      </c>
      <c r="H20" s="155">
        <f t="shared" si="0"/>
        <v>0</v>
      </c>
      <c r="I20" s="155">
        <f t="shared" si="3"/>
        <v>0</v>
      </c>
      <c r="J20" s="156">
        <f t="shared" si="1"/>
        <v>158400</v>
      </c>
      <c r="K20" s="156">
        <f t="shared" si="2"/>
        <v>0</v>
      </c>
      <c r="L20" s="160">
        <f>EDESUR!I13</f>
        <v>63231.57</v>
      </c>
      <c r="M20" s="176"/>
      <c r="N20" s="159">
        <f t="shared" si="4"/>
        <v>221632.08</v>
      </c>
      <c r="O20" s="157">
        <f t="shared" si="5"/>
        <v>234930.08</v>
      </c>
      <c r="P20" s="158">
        <f t="shared" si="6"/>
        <v>228281.08</v>
      </c>
      <c r="Q20" s="29">
        <f t="shared" si="7"/>
        <v>0.08</v>
      </c>
    </row>
    <row r="21" spans="1:18" ht="17.100000000000001" customHeight="1" x14ac:dyDescent="0.25">
      <c r="A21" s="44">
        <v>9</v>
      </c>
      <c r="B21" s="44" t="s">
        <v>43</v>
      </c>
      <c r="C21" s="44" t="s">
        <v>44</v>
      </c>
      <c r="D21" s="45" t="s">
        <v>73</v>
      </c>
      <c r="E21" s="53">
        <v>6.6</v>
      </c>
      <c r="F21" s="54">
        <v>130013.09</v>
      </c>
      <c r="G21" s="55">
        <f>F21+28387</f>
        <v>158400.09</v>
      </c>
      <c r="H21" s="56">
        <f t="shared" si="0"/>
        <v>-28387</v>
      </c>
      <c r="I21" s="56">
        <f t="shared" si="3"/>
        <v>0</v>
      </c>
      <c r="J21" s="106">
        <f t="shared" si="1"/>
        <v>158400</v>
      </c>
      <c r="K21" s="106">
        <f t="shared" si="2"/>
        <v>0</v>
      </c>
      <c r="L21" s="160">
        <f>EDESUR!I14</f>
        <v>0</v>
      </c>
      <c r="M21" s="176"/>
      <c r="N21" s="159">
        <f t="shared" si="4"/>
        <v>130013.09</v>
      </c>
      <c r="O21" s="57">
        <f t="shared" si="5"/>
        <v>137814.09</v>
      </c>
      <c r="P21" s="58">
        <f t="shared" si="6"/>
        <v>133913.09</v>
      </c>
      <c r="Q21" s="29">
        <f t="shared" si="7"/>
        <v>0.09</v>
      </c>
    </row>
    <row r="22" spans="1:18" ht="17.100000000000001" customHeight="1" x14ac:dyDescent="0.25">
      <c r="A22" s="44">
        <v>10</v>
      </c>
      <c r="B22" s="44" t="s">
        <v>45</v>
      </c>
      <c r="C22" s="44" t="s">
        <v>46</v>
      </c>
      <c r="D22" s="45" t="s">
        <v>71</v>
      </c>
      <c r="E22" s="53">
        <v>5.4</v>
      </c>
      <c r="F22" s="54">
        <v>-0.9</v>
      </c>
      <c r="G22" s="55">
        <f>RESUMEN!D39-28387</f>
        <v>129601.29000000001</v>
      </c>
      <c r="H22" s="56">
        <f>F22-G22</f>
        <v>-129602.19</v>
      </c>
      <c r="I22" s="56">
        <f t="shared" si="3"/>
        <v>0</v>
      </c>
      <c r="J22" s="106">
        <f t="shared" si="1"/>
        <v>129600</v>
      </c>
      <c r="K22" s="106">
        <f t="shared" si="2"/>
        <v>0</v>
      </c>
      <c r="L22" s="160">
        <f>EDESUR!I15</f>
        <v>0</v>
      </c>
      <c r="M22" s="176"/>
      <c r="N22" s="159">
        <f t="shared" si="4"/>
        <v>-1.9</v>
      </c>
      <c r="O22" s="57">
        <f t="shared" si="5"/>
        <v>-1.9</v>
      </c>
      <c r="P22" s="58">
        <f t="shared" si="6"/>
        <v>-1.9</v>
      </c>
      <c r="Q22" s="29">
        <f t="shared" si="7"/>
        <v>9.9999999999999992E-2</v>
      </c>
    </row>
    <row r="23" spans="1:18" ht="17.100000000000001" customHeight="1" x14ac:dyDescent="0.25">
      <c r="A23" s="44">
        <v>11</v>
      </c>
      <c r="B23" s="44" t="s">
        <v>47</v>
      </c>
      <c r="C23" s="44" t="s">
        <v>48</v>
      </c>
      <c r="D23" s="45"/>
      <c r="E23" s="53">
        <v>5.4</v>
      </c>
      <c r="F23" s="54">
        <v>129600.11</v>
      </c>
      <c r="G23" s="55">
        <f>136800-G34</f>
        <v>129599.78</v>
      </c>
      <c r="H23" s="56">
        <f t="shared" si="0"/>
        <v>0.33000000000174623</v>
      </c>
      <c r="I23" s="56">
        <f t="shared" si="3"/>
        <v>9.900000000052386E-3</v>
      </c>
      <c r="J23" s="106">
        <f t="shared" si="1"/>
        <v>129600</v>
      </c>
      <c r="K23" s="106">
        <f t="shared" si="2"/>
        <v>0</v>
      </c>
      <c r="L23" s="160">
        <f>EDESUR!I12</f>
        <v>0</v>
      </c>
      <c r="M23" s="176"/>
      <c r="N23" s="159">
        <f t="shared" si="4"/>
        <v>129600.11</v>
      </c>
      <c r="O23" s="57">
        <f t="shared" si="5"/>
        <v>137376.10999999999</v>
      </c>
      <c r="P23" s="58">
        <f t="shared" si="6"/>
        <v>133488.10999999999</v>
      </c>
      <c r="Q23" s="29">
        <f t="shared" si="7"/>
        <v>0.10999999999999999</v>
      </c>
      <c r="R23" t="s">
        <v>92</v>
      </c>
    </row>
    <row r="24" spans="1:18" ht="30" customHeight="1" x14ac:dyDescent="0.25">
      <c r="A24" s="44">
        <v>12</v>
      </c>
      <c r="B24" s="44" t="s">
        <v>49</v>
      </c>
      <c r="C24" s="44" t="s">
        <v>50</v>
      </c>
      <c r="D24" s="45" t="s">
        <v>72</v>
      </c>
      <c r="E24" s="53">
        <v>6.6</v>
      </c>
      <c r="F24" s="54">
        <v>158400.12</v>
      </c>
      <c r="G24" s="55">
        <f>F24</f>
        <v>158400.12</v>
      </c>
      <c r="H24" s="56">
        <f t="shared" si="0"/>
        <v>0</v>
      </c>
      <c r="I24" s="56">
        <f t="shared" si="3"/>
        <v>0</v>
      </c>
      <c r="J24" s="106">
        <f t="shared" si="1"/>
        <v>158400</v>
      </c>
      <c r="K24" s="106">
        <f t="shared" si="2"/>
        <v>0</v>
      </c>
      <c r="L24" s="160">
        <f>EDESUR!I17</f>
        <v>0</v>
      </c>
      <c r="M24" s="176"/>
      <c r="N24" s="159">
        <f t="shared" si="4"/>
        <v>158400.12</v>
      </c>
      <c r="O24" s="57">
        <f t="shared" si="5"/>
        <v>167904.12</v>
      </c>
      <c r="P24" s="58">
        <f t="shared" si="6"/>
        <v>163152.12</v>
      </c>
      <c r="Q24" s="29">
        <f t="shared" si="7"/>
        <v>0.11999999999999998</v>
      </c>
    </row>
    <row r="25" spans="1:18" ht="17.100000000000001" customHeight="1" x14ac:dyDescent="0.25">
      <c r="A25" s="44">
        <v>13</v>
      </c>
      <c r="B25" s="44" t="s">
        <v>51</v>
      </c>
      <c r="C25" s="44" t="s">
        <v>52</v>
      </c>
      <c r="D25" s="45" t="s">
        <v>89</v>
      </c>
      <c r="E25" s="53">
        <v>6.6</v>
      </c>
      <c r="F25" s="54">
        <v>154044.13</v>
      </c>
      <c r="G25" s="55">
        <v>158665.13</v>
      </c>
      <c r="H25" s="56">
        <f t="shared" si="0"/>
        <v>-4621</v>
      </c>
      <c r="I25" s="56">
        <f t="shared" si="3"/>
        <v>0</v>
      </c>
      <c r="J25" s="106">
        <f t="shared" si="1"/>
        <v>158400</v>
      </c>
      <c r="K25" s="106">
        <f t="shared" si="2"/>
        <v>0</v>
      </c>
      <c r="L25" s="160">
        <f>EDESUR!I18</f>
        <v>0</v>
      </c>
      <c r="M25" s="176"/>
      <c r="N25" s="159">
        <f t="shared" si="4"/>
        <v>153779.13</v>
      </c>
      <c r="O25" s="57">
        <f t="shared" si="5"/>
        <v>163006.13</v>
      </c>
      <c r="P25" s="58">
        <f t="shared" si="6"/>
        <v>158392.13</v>
      </c>
      <c r="Q25" s="29">
        <f t="shared" si="7"/>
        <v>0.12999999999999998</v>
      </c>
    </row>
    <row r="26" spans="1:18" ht="17.100000000000001" customHeight="1" x14ac:dyDescent="0.25">
      <c r="A26" s="152">
        <v>14</v>
      </c>
      <c r="B26" s="152" t="s">
        <v>53</v>
      </c>
      <c r="C26" s="152" t="s">
        <v>54</v>
      </c>
      <c r="D26" s="153"/>
      <c r="E26" s="154">
        <v>5.4</v>
      </c>
      <c r="F26" s="55">
        <v>129600.14</v>
      </c>
      <c r="G26" s="55">
        <f>F26</f>
        <v>129600.14</v>
      </c>
      <c r="H26" s="155">
        <f t="shared" si="0"/>
        <v>0</v>
      </c>
      <c r="I26" s="155">
        <f t="shared" si="3"/>
        <v>0</v>
      </c>
      <c r="J26" s="156">
        <f t="shared" si="1"/>
        <v>129600</v>
      </c>
      <c r="K26" s="156">
        <f t="shared" si="2"/>
        <v>0</v>
      </c>
      <c r="L26" s="163">
        <f>EDESUR!I19</f>
        <v>0</v>
      </c>
      <c r="M26" s="177"/>
      <c r="N26" s="159">
        <f t="shared" si="4"/>
        <v>129600.14</v>
      </c>
      <c r="O26" s="157">
        <f t="shared" si="5"/>
        <v>137376.14000000001</v>
      </c>
      <c r="P26" s="158">
        <f t="shared" si="6"/>
        <v>133488.14000000001</v>
      </c>
      <c r="Q26" s="29">
        <f t="shared" si="7"/>
        <v>0.13999999999999999</v>
      </c>
    </row>
    <row r="27" spans="1:18" ht="17.100000000000001" customHeight="1" x14ac:dyDescent="0.25">
      <c r="A27" s="44">
        <v>15</v>
      </c>
      <c r="B27" s="44" t="s">
        <v>55</v>
      </c>
      <c r="C27" s="44" t="s">
        <v>56</v>
      </c>
      <c r="D27" s="45"/>
      <c r="E27" s="53">
        <v>5.4</v>
      </c>
      <c r="F27" s="54">
        <v>129600.15</v>
      </c>
      <c r="G27" s="55">
        <f>F27</f>
        <v>129600.15</v>
      </c>
      <c r="H27" s="56">
        <f t="shared" si="0"/>
        <v>0</v>
      </c>
      <c r="I27" s="56">
        <f t="shared" si="3"/>
        <v>0</v>
      </c>
      <c r="J27" s="106">
        <f t="shared" si="1"/>
        <v>129600</v>
      </c>
      <c r="K27" s="106">
        <f t="shared" si="2"/>
        <v>0</v>
      </c>
      <c r="L27" s="160">
        <f>EDESUR!I16</f>
        <v>0</v>
      </c>
      <c r="M27" s="176"/>
      <c r="N27" s="159">
        <f t="shared" si="4"/>
        <v>129600.15</v>
      </c>
      <c r="O27" s="57">
        <f t="shared" si="5"/>
        <v>137376.15</v>
      </c>
      <c r="P27" s="58">
        <f t="shared" si="6"/>
        <v>133488.15</v>
      </c>
      <c r="Q27" s="29">
        <f t="shared" si="7"/>
        <v>0.15</v>
      </c>
    </row>
    <row r="28" spans="1:18" ht="17.100000000000001" customHeight="1" x14ac:dyDescent="0.25">
      <c r="A28" s="152">
        <v>16</v>
      </c>
      <c r="B28" s="152" t="s">
        <v>57</v>
      </c>
      <c r="C28" s="152" t="s">
        <v>38</v>
      </c>
      <c r="D28" s="44" t="s">
        <v>90</v>
      </c>
      <c r="E28" s="53">
        <v>0.7</v>
      </c>
      <c r="F28" s="54">
        <v>16800.16</v>
      </c>
      <c r="G28" s="55">
        <v>15400</v>
      </c>
      <c r="H28" s="56">
        <f t="shared" si="0"/>
        <v>1400.1599999999999</v>
      </c>
      <c r="I28" s="56">
        <f t="shared" si="3"/>
        <v>42.004799999999996</v>
      </c>
      <c r="J28" s="106">
        <f t="shared" si="1"/>
        <v>16800</v>
      </c>
      <c r="K28" s="106">
        <f t="shared" si="2"/>
        <v>0</v>
      </c>
      <c r="L28" s="160">
        <f>EDESUR!I22</f>
        <v>266.88</v>
      </c>
      <c r="M28" s="176"/>
      <c r="N28" s="159">
        <f t="shared" si="4"/>
        <v>18509.16</v>
      </c>
      <c r="O28" s="57">
        <f t="shared" si="5"/>
        <v>19620.16</v>
      </c>
      <c r="P28" s="58">
        <f t="shared" si="6"/>
        <v>19064.16</v>
      </c>
      <c r="Q28" s="29">
        <f t="shared" si="7"/>
        <v>0.16</v>
      </c>
    </row>
    <row r="29" spans="1:18" ht="17.100000000000001" customHeight="1" x14ac:dyDescent="0.25">
      <c r="A29" s="152">
        <v>17</v>
      </c>
      <c r="B29" s="152" t="s">
        <v>58</v>
      </c>
      <c r="C29" s="152" t="s">
        <v>28</v>
      </c>
      <c r="D29" s="45"/>
      <c r="E29" s="53">
        <v>0.6</v>
      </c>
      <c r="F29" s="55">
        <v>1200.17</v>
      </c>
      <c r="G29" s="55">
        <f>F29</f>
        <v>1200.17</v>
      </c>
      <c r="H29" s="56">
        <f t="shared" si="0"/>
        <v>0</v>
      </c>
      <c r="I29" s="56">
        <f t="shared" si="3"/>
        <v>0</v>
      </c>
      <c r="J29" s="106">
        <f t="shared" si="1"/>
        <v>14400</v>
      </c>
      <c r="K29" s="106">
        <f t="shared" si="2"/>
        <v>0</v>
      </c>
      <c r="L29" s="160">
        <f>EDESUR!I23</f>
        <v>228.75</v>
      </c>
      <c r="M29" s="176"/>
      <c r="N29" s="159">
        <f t="shared" si="4"/>
        <v>14629.17</v>
      </c>
      <c r="O29" s="57">
        <f t="shared" si="5"/>
        <v>15507.17</v>
      </c>
      <c r="P29" s="58">
        <f t="shared" si="6"/>
        <v>15068.17</v>
      </c>
      <c r="Q29" s="29">
        <f t="shared" si="7"/>
        <v>0.17</v>
      </c>
    </row>
    <row r="30" spans="1:18" ht="17.100000000000001" customHeight="1" x14ac:dyDescent="0.25">
      <c r="A30" s="44">
        <v>18</v>
      </c>
      <c r="B30" s="44" t="s">
        <v>59</v>
      </c>
      <c r="C30" s="44" t="s">
        <v>28</v>
      </c>
      <c r="D30" s="89"/>
      <c r="E30" s="53">
        <v>0.6</v>
      </c>
      <c r="F30" s="54">
        <v>27996.18</v>
      </c>
      <c r="G30" s="55">
        <f>F30</f>
        <v>27996.18</v>
      </c>
      <c r="H30" s="56">
        <f t="shared" si="0"/>
        <v>0</v>
      </c>
      <c r="I30" s="56">
        <f t="shared" si="3"/>
        <v>0</v>
      </c>
      <c r="J30" s="106">
        <f t="shared" si="1"/>
        <v>14400</v>
      </c>
      <c r="K30" s="106">
        <f t="shared" si="2"/>
        <v>0</v>
      </c>
      <c r="L30" s="160">
        <f>EDESUR!I24</f>
        <v>228.75</v>
      </c>
      <c r="M30" s="176"/>
      <c r="N30" s="159">
        <f t="shared" si="4"/>
        <v>14629.18</v>
      </c>
      <c r="O30" s="57">
        <f t="shared" si="5"/>
        <v>15507.18</v>
      </c>
      <c r="P30" s="58">
        <f t="shared" si="6"/>
        <v>15068.18</v>
      </c>
      <c r="Q30" s="29">
        <f t="shared" si="7"/>
        <v>0.18000000000000002</v>
      </c>
    </row>
    <row r="31" spans="1:18" x14ac:dyDescent="0.25">
      <c r="A31" s="152">
        <v>19</v>
      </c>
      <c r="B31" s="152" t="s">
        <v>60</v>
      </c>
      <c r="C31" s="152" t="s">
        <v>50</v>
      </c>
      <c r="D31" s="153"/>
      <c r="E31" s="154">
        <v>0.6</v>
      </c>
      <c r="F31" s="55">
        <v>14400.19</v>
      </c>
      <c r="G31" s="55">
        <f>F31</f>
        <v>14400.19</v>
      </c>
      <c r="H31" s="155">
        <f t="shared" si="0"/>
        <v>0</v>
      </c>
      <c r="I31" s="155">
        <f t="shared" si="3"/>
        <v>0</v>
      </c>
      <c r="J31" s="156">
        <f t="shared" si="1"/>
        <v>14400</v>
      </c>
      <c r="K31" s="156">
        <f t="shared" si="2"/>
        <v>0</v>
      </c>
      <c r="L31" s="163">
        <f>EDESUR!I25</f>
        <v>228.75</v>
      </c>
      <c r="M31" s="177"/>
      <c r="N31" s="159">
        <f t="shared" si="4"/>
        <v>14629.19</v>
      </c>
      <c r="O31" s="157"/>
      <c r="P31" s="158">
        <f t="shared" si="6"/>
        <v>15068.19</v>
      </c>
      <c r="Q31" s="29">
        <f>Q30+0.01</f>
        <v>0.19000000000000003</v>
      </c>
    </row>
    <row r="32" spans="1:18" ht="23.25" x14ac:dyDescent="0.25">
      <c r="A32" s="59">
        <v>20</v>
      </c>
      <c r="B32" s="59" t="s">
        <v>61</v>
      </c>
      <c r="C32" s="44" t="s">
        <v>34</v>
      </c>
      <c r="D32" s="45" t="s">
        <v>125</v>
      </c>
      <c r="E32" s="53">
        <v>0.6</v>
      </c>
      <c r="F32" s="61">
        <v>14400.2</v>
      </c>
      <c r="G32" s="55">
        <f>F32</f>
        <v>14400.2</v>
      </c>
      <c r="H32" s="56">
        <f t="shared" si="0"/>
        <v>0</v>
      </c>
      <c r="I32" s="56">
        <f t="shared" si="3"/>
        <v>0</v>
      </c>
      <c r="J32" s="106">
        <f t="shared" si="1"/>
        <v>14400</v>
      </c>
      <c r="K32" s="106">
        <f t="shared" si="2"/>
        <v>0</v>
      </c>
      <c r="L32" s="160">
        <f>EDESUR!I26</f>
        <v>228.75</v>
      </c>
      <c r="M32" s="176"/>
      <c r="N32" s="159">
        <f t="shared" si="4"/>
        <v>14629.2</v>
      </c>
      <c r="O32" s="57"/>
      <c r="P32" s="58">
        <f t="shared" si="6"/>
        <v>15068.2</v>
      </c>
      <c r="Q32" s="29">
        <f t="shared" ref="Q32:Q35" si="8">Q31+0.01</f>
        <v>0.20000000000000004</v>
      </c>
    </row>
    <row r="33" spans="1:17" x14ac:dyDescent="0.25">
      <c r="A33" s="59">
        <v>21</v>
      </c>
      <c r="B33" s="59" t="s">
        <v>62</v>
      </c>
      <c r="C33" s="46" t="s">
        <v>46</v>
      </c>
      <c r="D33" s="45" t="s">
        <v>71</v>
      </c>
      <c r="E33" s="53">
        <v>0.3</v>
      </c>
      <c r="F33" s="61">
        <v>7002.21</v>
      </c>
      <c r="G33" s="55">
        <f>F33</f>
        <v>7002.21</v>
      </c>
      <c r="H33" s="56">
        <f t="shared" si="0"/>
        <v>0</v>
      </c>
      <c r="I33" s="56">
        <f t="shared" si="3"/>
        <v>0</v>
      </c>
      <c r="J33" s="106">
        <f t="shared" si="1"/>
        <v>7200</v>
      </c>
      <c r="K33" s="106">
        <f t="shared" si="2"/>
        <v>0</v>
      </c>
      <c r="L33" s="160">
        <f>EDESUR!I27</f>
        <v>114.38</v>
      </c>
      <c r="M33" s="176"/>
      <c r="N33" s="159">
        <f t="shared" si="4"/>
        <v>7314.21</v>
      </c>
      <c r="O33" s="57"/>
      <c r="P33" s="58">
        <f t="shared" si="6"/>
        <v>7533.21</v>
      </c>
      <c r="Q33" s="29">
        <f t="shared" si="8"/>
        <v>0.21000000000000005</v>
      </c>
    </row>
    <row r="34" spans="1:17" x14ac:dyDescent="0.25">
      <c r="A34" s="60">
        <v>22</v>
      </c>
      <c r="B34" s="60" t="s">
        <v>63</v>
      </c>
      <c r="C34" s="44" t="s">
        <v>48</v>
      </c>
      <c r="D34" s="45"/>
      <c r="E34" s="53">
        <v>0.3</v>
      </c>
      <c r="F34" s="61">
        <v>7200.22</v>
      </c>
      <c r="G34" s="151">
        <f t="shared" ref="G28:G34" si="9">F34</f>
        <v>7200.22</v>
      </c>
      <c r="H34" s="56">
        <f t="shared" si="0"/>
        <v>0</v>
      </c>
      <c r="I34" s="56">
        <f t="shared" si="3"/>
        <v>0</v>
      </c>
      <c r="J34" s="106">
        <f t="shared" si="1"/>
        <v>7200</v>
      </c>
      <c r="K34" s="106">
        <f t="shared" si="2"/>
        <v>0</v>
      </c>
      <c r="L34" s="160">
        <f>EDESUR!I28</f>
        <v>114.38</v>
      </c>
      <c r="M34" s="176"/>
      <c r="N34" s="159">
        <f t="shared" si="4"/>
        <v>7314.22</v>
      </c>
      <c r="O34" s="57"/>
      <c r="P34" s="58">
        <f t="shared" si="6"/>
        <v>7533.22</v>
      </c>
      <c r="Q34" s="29">
        <f t="shared" si="8"/>
        <v>0.22000000000000006</v>
      </c>
    </row>
    <row r="35" spans="1:17" ht="17.100000000000001" customHeight="1" thickBot="1" x14ac:dyDescent="0.3">
      <c r="A35" s="44">
        <v>23</v>
      </c>
      <c r="B35" s="62" t="s">
        <v>64</v>
      </c>
      <c r="C35" s="62" t="s">
        <v>65</v>
      </c>
      <c r="D35" s="45" t="s">
        <v>69</v>
      </c>
      <c r="E35" s="53">
        <v>0.3</v>
      </c>
      <c r="F35" s="61">
        <v>7200.23</v>
      </c>
      <c r="G35" s="55">
        <f>F35</f>
        <v>7200.23</v>
      </c>
      <c r="H35" s="56">
        <f t="shared" si="0"/>
        <v>0</v>
      </c>
      <c r="I35" s="56">
        <f t="shared" si="3"/>
        <v>0</v>
      </c>
      <c r="J35" s="106">
        <f t="shared" si="1"/>
        <v>7200</v>
      </c>
      <c r="K35" s="106">
        <f t="shared" si="2"/>
        <v>0</v>
      </c>
      <c r="L35" s="160">
        <f>EDESUR!I29</f>
        <v>114.38</v>
      </c>
      <c r="M35" s="176"/>
      <c r="N35" s="159">
        <f t="shared" si="4"/>
        <v>7314.23</v>
      </c>
      <c r="O35" s="63"/>
      <c r="P35" s="58">
        <f t="shared" si="6"/>
        <v>7533.23</v>
      </c>
      <c r="Q35" s="29">
        <f t="shared" si="8"/>
        <v>0.23000000000000007</v>
      </c>
    </row>
    <row r="36" spans="1:17" ht="17.100000000000001" customHeight="1" thickBot="1" x14ac:dyDescent="0.3">
      <c r="A36" s="64"/>
      <c r="B36" s="64"/>
      <c r="C36" s="65"/>
      <c r="D36" s="65"/>
      <c r="E36" s="114">
        <f>SUM(E13:E35)</f>
        <v>99.999999999999986</v>
      </c>
      <c r="F36" s="38">
        <f>SUM(F13:F35)</f>
        <v>2340972.7600000012</v>
      </c>
      <c r="G36" s="42">
        <f>SUM(G13:G35)</f>
        <v>2367966.9600000004</v>
      </c>
      <c r="H36" s="42">
        <f>SUM(H13:H35)</f>
        <v>-26994.2</v>
      </c>
      <c r="I36" s="42">
        <f t="shared" ref="I36:O36" si="10">SUM(I13:I35)</f>
        <v>4254.0290999999988</v>
      </c>
      <c r="J36" s="92">
        <f t="shared" si="10"/>
        <v>2400000</v>
      </c>
      <c r="K36" s="42">
        <f t="shared" si="10"/>
        <v>0</v>
      </c>
      <c r="L36" s="66">
        <f>SUM(L13:L35)</f>
        <v>171314.17</v>
      </c>
      <c r="M36" s="66"/>
      <c r="N36" s="66">
        <f>SUM(N13:N35)</f>
        <v>2548576.7600000012</v>
      </c>
      <c r="O36" s="66">
        <f t="shared" si="10"/>
        <v>2647219.7100000009</v>
      </c>
      <c r="P36" s="66">
        <f>SUM(P13:P35)</f>
        <v>2625033.7600000012</v>
      </c>
    </row>
    <row r="37" spans="1:17" ht="12.75" customHeight="1" x14ac:dyDescent="0.25">
      <c r="C37" s="35"/>
      <c r="D37" s="35"/>
    </row>
    <row r="38" spans="1:17" hidden="1" x14ac:dyDescent="0.25"/>
    <row r="39" spans="1:17" ht="9" customHeight="1" x14ac:dyDescent="0.25">
      <c r="C39" s="196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</row>
    <row r="40" spans="1:17" ht="12" hidden="1" customHeight="1" x14ac:dyDescent="0.25"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</row>
    <row r="41" spans="1:17" ht="12" hidden="1" customHeight="1" x14ac:dyDescent="0.25"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</row>
    <row r="42" spans="1:17" ht="12" hidden="1" customHeight="1" x14ac:dyDescent="0.25"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</row>
    <row r="43" spans="1:17" ht="12" hidden="1" customHeight="1" x14ac:dyDescent="0.25"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</row>
    <row r="44" spans="1:17" ht="67.5" customHeight="1" x14ac:dyDescent="0.25"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</row>
  </sheetData>
  <mergeCells count="19">
    <mergeCell ref="C39:N44"/>
    <mergeCell ref="D11:D12"/>
    <mergeCell ref="A11:A12"/>
    <mergeCell ref="C11:C12"/>
    <mergeCell ref="E11:E12"/>
    <mergeCell ref="M11:M12"/>
    <mergeCell ref="E1:N1"/>
    <mergeCell ref="I11:I12"/>
    <mergeCell ref="F11:F12"/>
    <mergeCell ref="O11:O12"/>
    <mergeCell ref="G11:G12"/>
    <mergeCell ref="H11:H12"/>
    <mergeCell ref="J11:J12"/>
    <mergeCell ref="K11:K12"/>
    <mergeCell ref="A4:P8"/>
    <mergeCell ref="P11:P12"/>
    <mergeCell ref="A9:P9"/>
    <mergeCell ref="A10:P10"/>
    <mergeCell ref="L11:L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workbookViewId="0">
      <selection activeCell="G29" sqref="G29"/>
    </sheetView>
  </sheetViews>
  <sheetFormatPr baseColWidth="10" defaultColWidth="10.85546875" defaultRowHeight="15" x14ac:dyDescent="0.25"/>
  <cols>
    <col min="4" max="4" width="4" customWidth="1"/>
    <col min="5" max="5" width="21.570312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ht="30" customHeight="1" x14ac:dyDescent="0.25">
      <c r="B3" s="119" t="s">
        <v>80</v>
      </c>
      <c r="C3" s="119" t="s">
        <v>81</v>
      </c>
      <c r="E3" s="121" t="s">
        <v>87</v>
      </c>
      <c r="G3" s="150" t="s">
        <v>127</v>
      </c>
      <c r="I3" s="227" t="s">
        <v>88</v>
      </c>
      <c r="J3" s="228"/>
    </row>
    <row r="4" spans="2:10" x14ac:dyDescent="0.25">
      <c r="B4" s="119"/>
      <c r="C4" s="119"/>
      <c r="E4" s="119"/>
      <c r="G4" s="122"/>
      <c r="I4" s="227"/>
      <c r="J4" s="228"/>
    </row>
    <row r="5" spans="2:10" x14ac:dyDescent="0.25">
      <c r="B5" s="119">
        <v>1</v>
      </c>
      <c r="C5" s="119" t="s">
        <v>82</v>
      </c>
      <c r="E5" s="178">
        <v>8123.99</v>
      </c>
      <c r="F5" s="2"/>
      <c r="G5" s="179">
        <f>E5</f>
        <v>8123.99</v>
      </c>
      <c r="I5" s="225">
        <f>E5-G5</f>
        <v>0</v>
      </c>
      <c r="J5" s="226"/>
    </row>
    <row r="6" spans="2:10" x14ac:dyDescent="0.25">
      <c r="B6" s="119">
        <v>1</v>
      </c>
      <c r="C6" s="119" t="s">
        <v>83</v>
      </c>
      <c r="E6" s="178">
        <v>102901.79</v>
      </c>
      <c r="F6" s="2"/>
      <c r="G6" s="179">
        <v>0</v>
      </c>
      <c r="I6" s="225">
        <f t="shared" ref="I6:I19" si="0">E6-G6</f>
        <v>102901.79</v>
      </c>
      <c r="J6" s="226"/>
    </row>
    <row r="7" spans="2:10" x14ac:dyDescent="0.25">
      <c r="B7" s="119">
        <v>1</v>
      </c>
      <c r="C7" s="119" t="s">
        <v>84</v>
      </c>
      <c r="E7" s="178">
        <v>3655.79</v>
      </c>
      <c r="F7" s="2"/>
      <c r="G7" s="179">
        <v>0</v>
      </c>
      <c r="I7" s="225">
        <f t="shared" si="0"/>
        <v>3655.79</v>
      </c>
      <c r="J7" s="226"/>
    </row>
    <row r="8" spans="2:10" x14ac:dyDescent="0.25">
      <c r="B8" s="119">
        <v>2</v>
      </c>
      <c r="C8" s="119" t="s">
        <v>82</v>
      </c>
      <c r="E8" s="178">
        <v>3655.79</v>
      </c>
      <c r="F8" s="2"/>
      <c r="G8" s="179">
        <f>E8</f>
        <v>3655.79</v>
      </c>
      <c r="I8" s="225">
        <f t="shared" si="0"/>
        <v>0</v>
      </c>
      <c r="J8" s="226"/>
    </row>
    <row r="9" spans="2:10" x14ac:dyDescent="0.25">
      <c r="B9" s="120">
        <v>2</v>
      </c>
      <c r="C9" s="120" t="s">
        <v>85</v>
      </c>
      <c r="E9" s="178">
        <v>4468.1899999999996</v>
      </c>
      <c r="F9" s="2"/>
      <c r="G9" s="179">
        <f>E9</f>
        <v>4468.1899999999996</v>
      </c>
      <c r="I9" s="225">
        <f t="shared" si="0"/>
        <v>0</v>
      </c>
      <c r="J9" s="226"/>
    </row>
    <row r="10" spans="2:10" x14ac:dyDescent="0.25">
      <c r="B10" s="120">
        <v>2</v>
      </c>
      <c r="C10" s="120" t="s">
        <v>83</v>
      </c>
      <c r="E10" s="178">
        <v>4468.1899999999996</v>
      </c>
      <c r="F10" s="2"/>
      <c r="G10" s="179">
        <f>E10</f>
        <v>4468.1899999999996</v>
      </c>
      <c r="I10" s="225">
        <f t="shared" si="0"/>
        <v>0</v>
      </c>
      <c r="J10" s="226"/>
    </row>
    <row r="11" spans="2:10" x14ac:dyDescent="0.25">
      <c r="B11" s="120">
        <v>2</v>
      </c>
      <c r="C11" s="120" t="s">
        <v>84</v>
      </c>
      <c r="E11" s="178">
        <v>3655.79</v>
      </c>
      <c r="F11" s="2"/>
      <c r="G11" s="179">
        <f>E11</f>
        <v>3655.79</v>
      </c>
      <c r="I11" s="225">
        <f t="shared" si="0"/>
        <v>0</v>
      </c>
      <c r="J11" s="226"/>
    </row>
    <row r="12" spans="2:10" x14ac:dyDescent="0.25">
      <c r="B12" s="120">
        <v>3</v>
      </c>
      <c r="C12" s="120" t="s">
        <v>82</v>
      </c>
      <c r="E12" s="178">
        <v>3655.79</v>
      </c>
      <c r="F12" s="2"/>
      <c r="G12" s="179">
        <f>E12</f>
        <v>3655.79</v>
      </c>
      <c r="I12" s="225">
        <f t="shared" si="0"/>
        <v>0</v>
      </c>
      <c r="J12" s="226"/>
    </row>
    <row r="13" spans="2:10" x14ac:dyDescent="0.25">
      <c r="B13" s="119">
        <v>3</v>
      </c>
      <c r="C13" s="119" t="s">
        <v>85</v>
      </c>
      <c r="E13" s="178">
        <v>63231.57</v>
      </c>
      <c r="F13" s="2"/>
      <c r="G13" s="179">
        <v>0</v>
      </c>
      <c r="I13" s="225">
        <f t="shared" si="0"/>
        <v>63231.57</v>
      </c>
      <c r="J13" s="226"/>
    </row>
    <row r="14" spans="2:10" x14ac:dyDescent="0.25">
      <c r="B14" s="120">
        <v>3</v>
      </c>
      <c r="C14" s="120" t="s">
        <v>83</v>
      </c>
      <c r="E14" s="178">
        <f>E10</f>
        <v>4468.1899999999996</v>
      </c>
      <c r="F14" s="2"/>
      <c r="G14" s="179">
        <f>E14</f>
        <v>4468.1899999999996</v>
      </c>
      <c r="I14" s="225">
        <f t="shared" si="0"/>
        <v>0</v>
      </c>
      <c r="J14" s="226"/>
    </row>
    <row r="15" spans="2:10" x14ac:dyDescent="0.25">
      <c r="B15" s="120">
        <v>3</v>
      </c>
      <c r="C15" s="120" t="s">
        <v>84</v>
      </c>
      <c r="E15" s="178">
        <f>E12</f>
        <v>3655.79</v>
      </c>
      <c r="F15" s="2"/>
      <c r="G15" s="179">
        <f>E15</f>
        <v>3655.79</v>
      </c>
      <c r="I15" s="225">
        <f t="shared" si="0"/>
        <v>0</v>
      </c>
      <c r="J15" s="226"/>
    </row>
    <row r="16" spans="2:10" x14ac:dyDescent="0.25">
      <c r="B16" s="119">
        <v>4</v>
      </c>
      <c r="C16" s="119" t="s">
        <v>82</v>
      </c>
      <c r="E16" s="178">
        <f>E15</f>
        <v>3655.79</v>
      </c>
      <c r="F16" s="2"/>
      <c r="G16" s="179">
        <f>E16</f>
        <v>3655.79</v>
      </c>
      <c r="I16" s="225">
        <f t="shared" si="0"/>
        <v>0</v>
      </c>
      <c r="J16" s="226"/>
    </row>
    <row r="17" spans="2:10" x14ac:dyDescent="0.25">
      <c r="B17" s="120">
        <v>4</v>
      </c>
      <c r="C17" s="120" t="s">
        <v>85</v>
      </c>
      <c r="E17" s="178">
        <f>E14</f>
        <v>4468.1899999999996</v>
      </c>
      <c r="F17" s="2"/>
      <c r="G17" s="179">
        <f>E17</f>
        <v>4468.1899999999996</v>
      </c>
      <c r="I17" s="225">
        <f t="shared" si="0"/>
        <v>0</v>
      </c>
      <c r="J17" s="226"/>
    </row>
    <row r="18" spans="2:10" x14ac:dyDescent="0.25">
      <c r="B18" s="119">
        <v>4</v>
      </c>
      <c r="C18" s="119" t="s">
        <v>83</v>
      </c>
      <c r="E18" s="178">
        <f>E17</f>
        <v>4468.1899999999996</v>
      </c>
      <c r="F18" s="2"/>
      <c r="G18" s="179">
        <f>E18</f>
        <v>4468.1899999999996</v>
      </c>
      <c r="I18" s="225">
        <f t="shared" si="0"/>
        <v>0</v>
      </c>
      <c r="J18" s="226"/>
    </row>
    <row r="19" spans="2:10" x14ac:dyDescent="0.25">
      <c r="B19" s="120">
        <v>4</v>
      </c>
      <c r="C19" s="120" t="s">
        <v>84</v>
      </c>
      <c r="E19" s="178">
        <f>E16</f>
        <v>3655.79</v>
      </c>
      <c r="F19" s="2"/>
      <c r="G19" s="179">
        <f>E19</f>
        <v>3655.79</v>
      </c>
      <c r="I19" s="225">
        <f t="shared" si="0"/>
        <v>0</v>
      </c>
      <c r="J19" s="226"/>
    </row>
    <row r="20" spans="2:10" x14ac:dyDescent="0.25">
      <c r="B20" s="119"/>
      <c r="C20" s="119"/>
      <c r="E20" s="119"/>
      <c r="G20" s="122"/>
      <c r="I20" s="225"/>
      <c r="J20" s="226"/>
    </row>
    <row r="21" spans="2:10" x14ac:dyDescent="0.25">
      <c r="B21" s="143" t="s">
        <v>120</v>
      </c>
      <c r="C21" s="143"/>
      <c r="D21" s="144"/>
      <c r="E21" s="145">
        <f>SUM(E5:E20)</f>
        <v>222188.83000000002</v>
      </c>
      <c r="F21" s="146"/>
      <c r="G21" s="145">
        <f>SUM(G5:G20)</f>
        <v>52399.68</v>
      </c>
      <c r="I21" s="225">
        <f>E21-G21</f>
        <v>169789.15000000002</v>
      </c>
      <c r="J21" s="226"/>
    </row>
    <row r="22" spans="2:10" x14ac:dyDescent="0.25">
      <c r="B22" s="119" t="s">
        <v>86</v>
      </c>
      <c r="C22" s="119">
        <v>1</v>
      </c>
      <c r="E22" s="180">
        <v>473.9</v>
      </c>
      <c r="G22" s="127">
        <v>207.02</v>
      </c>
      <c r="I22" s="225">
        <f t="shared" ref="I22" si="1">E22-G22</f>
        <v>266.88</v>
      </c>
      <c r="J22" s="226"/>
    </row>
    <row r="23" spans="2:10" x14ac:dyDescent="0.25">
      <c r="B23" s="119" t="s">
        <v>86</v>
      </c>
      <c r="C23" s="119">
        <v>2</v>
      </c>
      <c r="E23" s="180">
        <v>406.2</v>
      </c>
      <c r="G23" s="127">
        <v>177.45</v>
      </c>
      <c r="I23" s="225">
        <f t="shared" ref="I23:I31" si="2">E23-G23</f>
        <v>228.75</v>
      </c>
      <c r="J23" s="226"/>
    </row>
    <row r="24" spans="2:10" x14ac:dyDescent="0.25">
      <c r="B24" s="119" t="s">
        <v>86</v>
      </c>
      <c r="C24" s="119">
        <v>3</v>
      </c>
      <c r="E24" s="180">
        <f>E23</f>
        <v>406.2</v>
      </c>
      <c r="G24" s="127">
        <v>177.45</v>
      </c>
      <c r="I24" s="225">
        <f t="shared" si="2"/>
        <v>228.75</v>
      </c>
      <c r="J24" s="226"/>
    </row>
    <row r="25" spans="2:10" x14ac:dyDescent="0.25">
      <c r="B25" s="119" t="s">
        <v>86</v>
      </c>
      <c r="C25" s="119">
        <v>4</v>
      </c>
      <c r="E25" s="180">
        <f>E24</f>
        <v>406.2</v>
      </c>
      <c r="G25" s="127">
        <v>177.45</v>
      </c>
      <c r="I25" s="225">
        <f t="shared" si="2"/>
        <v>228.75</v>
      </c>
      <c r="J25" s="226"/>
    </row>
    <row r="26" spans="2:10" x14ac:dyDescent="0.25">
      <c r="B26" s="119" t="s">
        <v>86</v>
      </c>
      <c r="C26" s="119">
        <v>5</v>
      </c>
      <c r="E26" s="180">
        <f>E25</f>
        <v>406.2</v>
      </c>
      <c r="G26" s="127">
        <v>177.45</v>
      </c>
      <c r="I26" s="225">
        <f t="shared" si="2"/>
        <v>228.75</v>
      </c>
      <c r="J26" s="226"/>
    </row>
    <row r="27" spans="2:10" x14ac:dyDescent="0.25">
      <c r="B27" s="119" t="s">
        <v>86</v>
      </c>
      <c r="C27" s="119">
        <v>6</v>
      </c>
      <c r="E27" s="180">
        <v>203.1</v>
      </c>
      <c r="G27" s="127">
        <v>88.72</v>
      </c>
      <c r="I27" s="225">
        <f t="shared" si="2"/>
        <v>114.38</v>
      </c>
      <c r="J27" s="226"/>
    </row>
    <row r="28" spans="2:10" x14ac:dyDescent="0.25">
      <c r="B28" s="119" t="s">
        <v>86</v>
      </c>
      <c r="C28" s="119">
        <v>7</v>
      </c>
      <c r="E28" s="180">
        <f>E27</f>
        <v>203.1</v>
      </c>
      <c r="G28" s="127">
        <v>88.72</v>
      </c>
      <c r="I28" s="225">
        <f t="shared" si="2"/>
        <v>114.38</v>
      </c>
      <c r="J28" s="226"/>
    </row>
    <row r="29" spans="2:10" x14ac:dyDescent="0.25">
      <c r="B29" s="119" t="s">
        <v>86</v>
      </c>
      <c r="C29" s="119">
        <v>8</v>
      </c>
      <c r="E29" s="180">
        <f>E28</f>
        <v>203.1</v>
      </c>
      <c r="G29" s="127">
        <v>88.72</v>
      </c>
      <c r="I29" s="225">
        <f t="shared" si="2"/>
        <v>114.38</v>
      </c>
      <c r="J29" s="226"/>
    </row>
    <row r="30" spans="2:10" x14ac:dyDescent="0.25">
      <c r="B30" s="148" t="s">
        <v>120</v>
      </c>
      <c r="C30" s="149"/>
      <c r="D30" s="147"/>
      <c r="E30" s="145">
        <f>SUM(E22:E29)</f>
        <v>2707.9999999999995</v>
      </c>
      <c r="F30" s="147"/>
      <c r="G30" s="145">
        <f>SUM(G22:G29)</f>
        <v>1182.9800000000002</v>
      </c>
      <c r="I30" s="225">
        <f t="shared" si="2"/>
        <v>1525.0199999999993</v>
      </c>
      <c r="J30" s="226"/>
    </row>
    <row r="31" spans="2:10" x14ac:dyDescent="0.25">
      <c r="E31" s="126"/>
      <c r="G31" s="123"/>
      <c r="I31" s="225">
        <f t="shared" si="2"/>
        <v>0</v>
      </c>
      <c r="J31" s="226"/>
    </row>
    <row r="32" spans="2:10" x14ac:dyDescent="0.25">
      <c r="E32" s="124"/>
      <c r="G32" s="125"/>
      <c r="I32" s="225"/>
      <c r="J32" s="226"/>
    </row>
    <row r="33" spans="5:10" x14ac:dyDescent="0.25">
      <c r="E33" s="126">
        <f>E30+E21</f>
        <v>224896.83000000002</v>
      </c>
      <c r="G33" s="123">
        <f>G21+G30</f>
        <v>53582.66</v>
      </c>
      <c r="I33" s="225">
        <f>E33-G33</f>
        <v>171314.17</v>
      </c>
      <c r="J33" s="226"/>
    </row>
  </sheetData>
  <mergeCells count="31"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</mergeCells>
  <pageMargins left="0.7" right="0.7" top="0.75" bottom="0.75" header="0.3" footer="0.3"/>
  <pageSetup paperSize="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4AF3-BA14-4AC3-BE41-D99CD4C43EE8}">
  <dimension ref="A1"/>
  <sheetViews>
    <sheetView workbookViewId="0">
      <selection activeCell="I10" sqref="I1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PRORRATEO</vt:lpstr>
      <vt:lpstr>EDESUR</vt:lpstr>
      <vt:lpstr>Anotaciones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2026-06-02T16:09:52Z</cp:lastPrinted>
  <dcterms:created xsi:type="dcterms:W3CDTF">2023-09-17T12:29:07Z</dcterms:created>
  <dcterms:modified xsi:type="dcterms:W3CDTF">2026-07-01T00:10:57Z</dcterms:modified>
</cp:coreProperties>
</file>