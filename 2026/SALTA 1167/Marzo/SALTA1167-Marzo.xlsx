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SALTA 1167\Marzo\"/>
    </mc:Choice>
  </mc:AlternateContent>
  <xr:revisionPtr revIDLastSave="0" documentId="13_ncr:1_{747566AE-820F-4B08-81FD-394621C17F82}" xr6:coauthVersionLast="47" xr6:coauthVersionMax="47" xr10:uidLastSave="{00000000-0000-0000-0000-000000000000}"/>
  <bookViews>
    <workbookView xWindow="-120" yWindow="-120" windowWidth="20730" windowHeight="11160" tabRatio="850" activeTab="1" xr2:uid="{00000000-000D-0000-FFFF-FFFF00000000}"/>
  </bookViews>
  <sheets>
    <sheet name="RESUMEN" sheetId="1" r:id="rId1"/>
    <sheet name="PRORRATEO" sheetId="2" r:id="rId2"/>
    <sheet name="EDESUR" sheetId="3" r:id="rId3"/>
  </sheets>
  <definedNames>
    <definedName name="_xlnm.Print_Area" localSheetId="2">EDESUR!$B$3:$J$35</definedName>
    <definedName name="_xlnm.Print_Area" localSheetId="1">PRORRATEO!$A$1:$O$44</definedName>
    <definedName name="_xlnm.Print_Area" localSheetId="0">RESUMEN!$A$1:$E$96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1" i="1" l="1"/>
  <c r="G26" i="2" l="1"/>
  <c r="G16" i="2"/>
  <c r="G13" i="2"/>
  <c r="G23" i="2"/>
  <c r="G22" i="2" l="1"/>
  <c r="E30" i="1"/>
  <c r="G21" i="3" l="1"/>
  <c r="G33" i="3" s="1"/>
  <c r="G12" i="3"/>
  <c r="E21" i="3"/>
  <c r="G18" i="3"/>
  <c r="G19" i="3"/>
  <c r="G17" i="3"/>
  <c r="G16" i="3"/>
  <c r="G15" i="3"/>
  <c r="G14" i="3"/>
  <c r="G11" i="3"/>
  <c r="G10" i="3"/>
  <c r="G9" i="3"/>
  <c r="G8" i="3"/>
  <c r="G5" i="3"/>
  <c r="E41" i="1"/>
  <c r="G30" i="2"/>
  <c r="G29" i="2"/>
  <c r="G35" i="2"/>
  <c r="G15" i="2"/>
  <c r="G33" i="2"/>
  <c r="G21" i="2"/>
  <c r="G31" i="2"/>
  <c r="E30" i="3"/>
  <c r="E34" i="1"/>
  <c r="G20" i="2"/>
  <c r="E24" i="1" l="1"/>
  <c r="E27" i="1"/>
  <c r="G23" i="3" l="1"/>
  <c r="G24" i="3"/>
  <c r="G25" i="3"/>
  <c r="G26" i="3"/>
  <c r="G27" i="3"/>
  <c r="G28" i="3"/>
  <c r="G29" i="3"/>
  <c r="G22" i="3"/>
  <c r="G32" i="2"/>
  <c r="B84" i="1" l="1"/>
  <c r="E33" i="3"/>
  <c r="G30" i="3"/>
  <c r="I30" i="3" s="1"/>
  <c r="I21" i="3"/>
  <c r="J14" i="2"/>
  <c r="J15" i="2"/>
  <c r="J16" i="2"/>
  <c r="J17" i="2"/>
  <c r="J18" i="2"/>
  <c r="J19" i="2"/>
  <c r="J20" i="2"/>
  <c r="M20" i="2" s="1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13" i="2"/>
  <c r="K13" i="2"/>
  <c r="G34" i="2"/>
  <c r="G28" i="2"/>
  <c r="G18" i="2"/>
  <c r="E45" i="1"/>
  <c r="I22" i="3"/>
  <c r="L28" i="2" s="1"/>
  <c r="I23" i="3"/>
  <c r="L29" i="2" s="1"/>
  <c r="I24" i="3"/>
  <c r="L30" i="2" s="1"/>
  <c r="I25" i="3"/>
  <c r="L31" i="2" s="1"/>
  <c r="I26" i="3"/>
  <c r="L32" i="2" s="1"/>
  <c r="I27" i="3"/>
  <c r="L33" i="2" s="1"/>
  <c r="I28" i="3"/>
  <c r="L34" i="2" s="1"/>
  <c r="I29" i="3"/>
  <c r="L35" i="2" s="1"/>
  <c r="I6" i="3"/>
  <c r="L14" i="2" s="1"/>
  <c r="I7" i="3"/>
  <c r="L15" i="2" s="1"/>
  <c r="I8" i="3"/>
  <c r="I9" i="3"/>
  <c r="L16" i="2" s="1"/>
  <c r="I10" i="3"/>
  <c r="L17" i="2" s="1"/>
  <c r="I11" i="3"/>
  <c r="L18" i="2" s="1"/>
  <c r="I12" i="3"/>
  <c r="I13" i="3"/>
  <c r="L20" i="2" s="1"/>
  <c r="I14" i="3"/>
  <c r="L21" i="2" s="1"/>
  <c r="I15" i="3"/>
  <c r="L22" i="2" s="1"/>
  <c r="I16" i="3"/>
  <c r="L27" i="2" s="1"/>
  <c r="I17" i="3"/>
  <c r="L24" i="2" s="1"/>
  <c r="I18" i="3"/>
  <c r="L25" i="2" s="1"/>
  <c r="I19" i="3"/>
  <c r="L26" i="2" s="1"/>
  <c r="I5" i="3"/>
  <c r="L13" i="2" s="1"/>
  <c r="I31" i="3"/>
  <c r="L23" i="2" l="1"/>
  <c r="L19" i="2"/>
  <c r="I33" i="3"/>
  <c r="K31" i="2" l="1"/>
  <c r="K32" i="2"/>
  <c r="K33" i="2"/>
  <c r="K34" i="2"/>
  <c r="K35" i="2"/>
  <c r="H31" i="2"/>
  <c r="I31" i="2" s="1"/>
  <c r="H32" i="2"/>
  <c r="I32" i="2" s="1"/>
  <c r="H33" i="2"/>
  <c r="I33" i="2" s="1"/>
  <c r="H34" i="2"/>
  <c r="I34" i="2" s="1"/>
  <c r="H35" i="2"/>
  <c r="I35" i="2" s="1"/>
  <c r="E36" i="2"/>
  <c r="E49" i="1" l="1"/>
  <c r="E53" i="1" l="1"/>
  <c r="G27" i="2"/>
  <c r="K14" i="2" l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C39" i="2" l="1"/>
  <c r="H24" i="2" l="1"/>
  <c r="E61" i="1" l="1"/>
  <c r="E66" i="1" s="1"/>
  <c r="B70" i="1" s="1"/>
  <c r="B83" i="1" l="1"/>
  <c r="B87" i="1" s="1"/>
  <c r="B95" i="1"/>
  <c r="B76" i="1" l="1"/>
  <c r="H27" i="2" l="1"/>
  <c r="M12" i="2" l="1"/>
  <c r="P14" i="2" l="1"/>
  <c r="P15" i="2" l="1"/>
  <c r="G36" i="2"/>
  <c r="B77" i="1" s="1"/>
  <c r="F36" i="2"/>
  <c r="P16" i="2" l="1"/>
  <c r="H14" i="2"/>
  <c r="H15" i="2"/>
  <c r="H16" i="2"/>
  <c r="H17" i="2"/>
  <c r="H18" i="2"/>
  <c r="H19" i="2"/>
  <c r="H20" i="2"/>
  <c r="H21" i="2"/>
  <c r="H22" i="2"/>
  <c r="H23" i="2"/>
  <c r="H25" i="2"/>
  <c r="H26" i="2"/>
  <c r="H28" i="2"/>
  <c r="H29" i="2"/>
  <c r="H30" i="2"/>
  <c r="H13" i="2"/>
  <c r="P17" i="2" l="1"/>
  <c r="B71" i="1"/>
  <c r="H36" i="2"/>
  <c r="I30" i="2"/>
  <c r="I18" i="2"/>
  <c r="I29" i="2"/>
  <c r="I25" i="2"/>
  <c r="I21" i="2"/>
  <c r="I17" i="2"/>
  <c r="I26" i="2"/>
  <c r="I14" i="2"/>
  <c r="M14" i="2" s="1"/>
  <c r="I28" i="2"/>
  <c r="I24" i="2"/>
  <c r="I20" i="2"/>
  <c r="I16" i="2"/>
  <c r="M16" i="2" s="1"/>
  <c r="I22" i="2"/>
  <c r="I27" i="2"/>
  <c r="I23" i="2"/>
  <c r="I19" i="2"/>
  <c r="I15" i="2"/>
  <c r="M15" i="2" s="1"/>
  <c r="I13" i="2"/>
  <c r="M13" i="2" s="1"/>
  <c r="M17" i="2" l="1"/>
  <c r="P18" i="2"/>
  <c r="I36" i="2"/>
  <c r="M18" i="2" l="1"/>
  <c r="O18" i="2" s="1"/>
  <c r="P19" i="2"/>
  <c r="O14" i="2"/>
  <c r="O13" i="2"/>
  <c r="O17" i="2"/>
  <c r="O16" i="2"/>
  <c r="O15" i="2"/>
  <c r="N16" i="2"/>
  <c r="N13" i="2"/>
  <c r="N15" i="2"/>
  <c r="N17" i="2"/>
  <c r="N14" i="2"/>
  <c r="J36" i="2"/>
  <c r="M19" i="2" l="1"/>
  <c r="P20" i="2"/>
  <c r="N18" i="2"/>
  <c r="B69" i="1"/>
  <c r="B75" i="1" s="1"/>
  <c r="B80" i="1" s="1"/>
  <c r="N19" i="2" l="1"/>
  <c r="O19" i="2"/>
  <c r="P21" i="2"/>
  <c r="B68" i="1"/>
  <c r="O20" i="2" l="1"/>
  <c r="N20" i="2"/>
  <c r="M21" i="2"/>
  <c r="P22" i="2"/>
  <c r="K36" i="2"/>
  <c r="N21" i="2" l="1"/>
  <c r="O21" i="2"/>
  <c r="M22" i="2"/>
  <c r="P23" i="2"/>
  <c r="N22" i="2" l="1"/>
  <c r="O22" i="2"/>
  <c r="M23" i="2"/>
  <c r="P24" i="2"/>
  <c r="N23" i="2" l="1"/>
  <c r="O23" i="2"/>
  <c r="M24" i="2"/>
  <c r="P25" i="2"/>
  <c r="O24" i="2" l="1"/>
  <c r="N24" i="2"/>
  <c r="M25" i="2"/>
  <c r="P26" i="2"/>
  <c r="O25" i="2" l="1"/>
  <c r="N25" i="2"/>
  <c r="M26" i="2"/>
  <c r="P27" i="2"/>
  <c r="O26" i="2" l="1"/>
  <c r="N26" i="2"/>
  <c r="M27" i="2"/>
  <c r="P28" i="2"/>
  <c r="O27" i="2" l="1"/>
  <c r="N27" i="2"/>
  <c r="M28" i="2"/>
  <c r="P29" i="2"/>
  <c r="O28" i="2" l="1"/>
  <c r="N28" i="2"/>
  <c r="M29" i="2"/>
  <c r="P30" i="2"/>
  <c r="N29" i="2" l="1"/>
  <c r="O29" i="2"/>
  <c r="M30" i="2"/>
  <c r="P31" i="2"/>
  <c r="M31" i="2" l="1"/>
  <c r="O31" i="2" s="1"/>
  <c r="P32" i="2"/>
  <c r="N30" i="2"/>
  <c r="N36" i="2" s="1"/>
  <c r="O30" i="2"/>
  <c r="M32" i="2" l="1"/>
  <c r="P33" i="2"/>
  <c r="M33" i="2" l="1"/>
  <c r="O33" i="2" s="1"/>
  <c r="P34" i="2"/>
  <c r="O32" i="2"/>
  <c r="M34" i="2" l="1"/>
  <c r="P35" i="2"/>
  <c r="M35" i="2" s="1"/>
  <c r="O35" i="2" s="1"/>
  <c r="O34" i="2" l="1"/>
  <c r="O36" i="2" s="1"/>
  <c r="M36" i="2"/>
</calcChain>
</file>

<file path=xl/sharedStrings.xml><?xml version="1.0" encoding="utf-8"?>
<sst xmlns="http://schemas.openxmlformats.org/spreadsheetml/2006/main" count="185" uniqueCount="143">
  <si>
    <t>LIQUIDACION DE EXPENSAS</t>
  </si>
  <si>
    <t>TOTAL IMPUESTO</t>
  </si>
  <si>
    <t>TOTAL ABONOS Y SERVICIOS</t>
  </si>
  <si>
    <t>UF</t>
  </si>
  <si>
    <t>Propietario</t>
  </si>
  <si>
    <t xml:space="preserve">Ingreso </t>
  </si>
  <si>
    <t>TOTAL</t>
  </si>
  <si>
    <t xml:space="preserve"> (%)</t>
  </si>
  <si>
    <t>GASTOS BANCARIOS</t>
  </si>
  <si>
    <t xml:space="preserve">TOTAL </t>
  </si>
  <si>
    <t>ABONOS Y SERVICIOS</t>
  </si>
  <si>
    <t>HONORARIOS</t>
  </si>
  <si>
    <t>Total 2do Vto.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</si>
  <si>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</si>
  <si>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</si>
  <si>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</si>
  <si>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</si>
  <si>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</si>
  <si>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</si>
  <si>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Total 2do Vto</t>
  </si>
  <si>
    <t>Total 1er Vto</t>
  </si>
  <si>
    <t>ADMINISTRADORA: CAROLINA CANCIANI MP:1148</t>
  </si>
  <si>
    <t>Interes 3%</t>
  </si>
  <si>
    <t xml:space="preserve">Saldo Ord </t>
  </si>
  <si>
    <t xml:space="preserve">Punitorios mal cobrados </t>
  </si>
  <si>
    <t>Pagos sin identificar</t>
  </si>
  <si>
    <t>Mantenimiento de cuenta</t>
  </si>
  <si>
    <t>Honorarios administracion</t>
  </si>
  <si>
    <t>1  A</t>
  </si>
  <si>
    <t>MIRAGLIA NORBERTO JOSE</t>
  </si>
  <si>
    <t>1  C</t>
  </si>
  <si>
    <t>ADAMO PABLO MARIANO</t>
  </si>
  <si>
    <t>1  D</t>
  </si>
  <si>
    <t>REDONDO</t>
  </si>
  <si>
    <t>2  B</t>
  </si>
  <si>
    <t>CRUZ ADRIANA BEATRIZ</t>
  </si>
  <si>
    <t>2  C</t>
  </si>
  <si>
    <t>D AMURI  JOSE  LUIS</t>
  </si>
  <si>
    <t>2  D</t>
  </si>
  <si>
    <t>CAMPOLONGO LUIS</t>
  </si>
  <si>
    <t>2  A</t>
  </si>
  <si>
    <t>PEREZ FERNANDO ARIEL</t>
  </si>
  <si>
    <t>3  B</t>
  </si>
  <si>
    <t>BURGOA CARINA</t>
  </si>
  <si>
    <t>3  C</t>
  </si>
  <si>
    <t>GIL ROSANNA MABEL</t>
  </si>
  <si>
    <t>3  D</t>
  </si>
  <si>
    <t>FELIX ALBERTO</t>
  </si>
  <si>
    <t>3  A</t>
  </si>
  <si>
    <t>CAMPANA WALTER CESAR</t>
  </si>
  <si>
    <t>4  B</t>
  </si>
  <si>
    <t>PALMA JOSE  AGUSTIN</t>
  </si>
  <si>
    <t>4  C</t>
  </si>
  <si>
    <t>BENITEZ EMILIA ISABEL</t>
  </si>
  <si>
    <t>4  D</t>
  </si>
  <si>
    <t>PUCHETA SANTIAGO / CLARA</t>
  </si>
  <si>
    <t>4  A</t>
  </si>
  <si>
    <t>CAMPANA MIRIAM NOEMI</t>
  </si>
  <si>
    <t>COC 1</t>
  </si>
  <si>
    <t>COC 2</t>
  </si>
  <si>
    <t>COC 3</t>
  </si>
  <si>
    <t>COC 4</t>
  </si>
  <si>
    <t>COC 5</t>
  </si>
  <si>
    <t>COC 6</t>
  </si>
  <si>
    <t>COC 7</t>
  </si>
  <si>
    <t>COC 8</t>
  </si>
  <si>
    <t>REDONDO HECTOR</t>
  </si>
  <si>
    <t>Metrogas</t>
  </si>
  <si>
    <t>Edesur</t>
  </si>
  <si>
    <t>AySa</t>
  </si>
  <si>
    <t>Gilmer</t>
  </si>
  <si>
    <t>Alan/Ailen</t>
  </si>
  <si>
    <t>Jhonatan</t>
  </si>
  <si>
    <t>Juan Ignacio / Mariel Cruz</t>
  </si>
  <si>
    <t>Gaston ibarra</t>
  </si>
  <si>
    <t xml:space="preserve">MAIL: salta1167rc@gmail.com
</t>
  </si>
  <si>
    <t>CUIT DEL EDIFICIO: 30-719118061-9</t>
  </si>
  <si>
    <t>CONSORCIO DE PROPIETARIOS EDIFICIO CALLE SALTA 1167/1169                                                                                                                                                                                           C DE P SALTA 1167 1169 LANUS           
CTA CTE $   039 - 22273/6  CBU: 0720039720000002227368</t>
  </si>
  <si>
    <t xml:space="preserve">LIMPIEZA </t>
  </si>
  <si>
    <t>Servicio de interet Claro</t>
  </si>
  <si>
    <t>EDESUR</t>
  </si>
  <si>
    <t>Piso</t>
  </si>
  <si>
    <t>Depto</t>
  </si>
  <si>
    <t>A</t>
  </si>
  <si>
    <t>C</t>
  </si>
  <si>
    <t>D</t>
  </si>
  <si>
    <t>B</t>
  </si>
  <si>
    <t>Cochera</t>
  </si>
  <si>
    <t>Total Edesur x Depto</t>
  </si>
  <si>
    <t>SALDO a PAGAR</t>
  </si>
  <si>
    <t>Daniel Leiva</t>
  </si>
  <si>
    <t>Leandro Gonzalez</t>
  </si>
  <si>
    <t xml:space="preserve">Gaston Miranda </t>
  </si>
  <si>
    <t>Antonella</t>
  </si>
  <si>
    <t>Martina Belen Carbone</t>
  </si>
  <si>
    <t>Gastos A</t>
  </si>
  <si>
    <t>Gastos B</t>
  </si>
  <si>
    <t>TOTAL GASTOS A</t>
  </si>
  <si>
    <t>GASTOS B:</t>
  </si>
  <si>
    <t>TOTAL GASTOS B:</t>
  </si>
  <si>
    <t>PREVISION GASTOS B</t>
  </si>
  <si>
    <t>PREVISION GASTOS 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</si>
  <si>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</si>
  <si>
    <t>Egresos del mes gastos A</t>
  </si>
  <si>
    <t>Egresos del mes gastos B</t>
  </si>
  <si>
    <t>GASTOS A - UNIDADES FUNCIONALES:</t>
  </si>
  <si>
    <t>GASTOS A + PREVISION (A) :</t>
  </si>
  <si>
    <t>GASTOS A SIN PREVISION:</t>
  </si>
  <si>
    <t>GASTOS B SIN PREVISION:</t>
  </si>
  <si>
    <t>GASTOS B CON PREVISION (B):</t>
  </si>
  <si>
    <t>SALDO CAJA A</t>
  </si>
  <si>
    <t>SALDO CAJA B</t>
  </si>
  <si>
    <t>Ingresos cobros tipo A</t>
  </si>
  <si>
    <t>Ingresos cobros tipo B</t>
  </si>
  <si>
    <t>CAJA A</t>
  </si>
  <si>
    <t>CAJA B</t>
  </si>
  <si>
    <t>Full Clean - Servicio de limpieza</t>
  </si>
  <si>
    <t>Gastos bancarios</t>
  </si>
  <si>
    <t>Lema - Ascensores - Servicio de mantenimiento - Se abona a mes vencido</t>
  </si>
  <si>
    <t>Alejo Moreno</t>
  </si>
  <si>
    <t>QUIENES ESTAN EN VIOLETA NO ESTAN RESPETANDO LOS CENTAVOS AL ABONAR.</t>
  </si>
  <si>
    <t>Totales</t>
  </si>
  <si>
    <t>Bonificado x EDESUR Noviembre</t>
  </si>
  <si>
    <t>Federacion patronal  Seguro obligatorio de consorcio - Poliza nro. 1-2249124-0</t>
  </si>
  <si>
    <t>Bonificacion apertura de cuenta bancaria</t>
  </si>
  <si>
    <t>Subidos en en3r0</t>
  </si>
  <si>
    <t>REITERAMOS QUE LOS DATOS DE LA CUENTA EN DONDE DEBEN ABONAR LAS EXPENSAS SON: CONSORCIO DE PROPIETARIOS EDIFICIO CALLE SALTA 1167/1169  - C DE P SALTA 1167 1169 LANUS - CTA CTE $   039 - 22273/6   CBU: 0720039720000002227368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</si>
  <si>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
Muchas gracias por su colaboración.</t>
  </si>
  <si>
    <t>10 A 15HS - EMERGENCIAS 24HS</t>
  </si>
  <si>
    <t>Cristian Rodrigo Centurion</t>
  </si>
  <si>
    <t>CONSORCIO DE PROPIETARIOS DEL EDIFICIO CALLE SALTA 1167</t>
  </si>
  <si>
    <t>VTO 17/04</t>
  </si>
  <si>
    <t>PERÍODO: MARZO</t>
  </si>
  <si>
    <t>Transf 03/03</t>
  </si>
  <si>
    <t>Transf 04/03</t>
  </si>
  <si>
    <t>Debito 06/03</t>
  </si>
  <si>
    <t>Sr. Herrero - Arreglo porton - Diego Martin Giuffre</t>
  </si>
  <si>
    <t>Transf 16/03</t>
  </si>
  <si>
    <t>No se transfeiere</t>
  </si>
  <si>
    <t>Compra de pilas - SUM</t>
  </si>
  <si>
    <t xml:space="preserve">Efectivo </t>
  </si>
  <si>
    <t xml:space="preserve">Colocacion termo </t>
  </si>
  <si>
    <t>Easy Barracas - Compra de termotanque - Cuota 1  - Restan 5 cuotas de $157.988,29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</si>
</sst>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[$$-2C0A]\ * #,##0.00_-;\-[$$-2C0A]\ * #,##0.00_-;_-[$$-2C0A]\ * &quot;-&quot;??_-;_-@_-"/>
    <numFmt numFmtId="168" formatCode="0.000"/>
    <numFmt numFmtId="169" formatCode="_-[$$-2C0A]\ * #,##0.0_-;\-[$$-2C0A]\ * #,##0.0_-;_-[$$-2C0A]\ * &quot;-&quot;??_-;_-@_-"/>
    <numFmt numFmtId="170" formatCode="_-* #,##0.00\ _€_-;\-* #,##0.00\ _€_-;_-* &quot;-&quot;??\ _€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u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1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10" fillId="4" borderId="1" xfId="0" applyFont="1" applyFill="1" applyBorder="1"/>
    <xf numFmtId="0" fontId="11" fillId="4" borderId="1" xfId="0" applyFont="1" applyFill="1" applyBorder="1"/>
    <xf numFmtId="44" fontId="0" fillId="0" borderId="1" xfId="1" applyFont="1" applyBorder="1"/>
    <xf numFmtId="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0" fillId="0" borderId="0" xfId="0" applyNumberFormat="1" applyAlignment="1">
      <alignment wrapText="1"/>
    </xf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3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5" fillId="5" borderId="11" xfId="0" applyNumberFormat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0" xfId="0" applyFont="1" applyFill="1"/>
    <xf numFmtId="0" fontId="5" fillId="3" borderId="17" xfId="0" applyFont="1" applyFill="1" applyBorder="1"/>
    <xf numFmtId="0" fontId="13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3" fillId="0" borderId="1" xfId="0" applyNumberFormat="1" applyFont="1" applyBorder="1"/>
    <xf numFmtId="44" fontId="17" fillId="0" borderId="6" xfId="1" applyFont="1" applyBorder="1"/>
    <xf numFmtId="44" fontId="17" fillId="0" borderId="28" xfId="1" applyFont="1" applyBorder="1"/>
    <xf numFmtId="0" fontId="13" fillId="0" borderId="7" xfId="0" applyFont="1" applyBorder="1"/>
    <xf numFmtId="0" fontId="13" fillId="0" borderId="23" xfId="0" applyFont="1" applyBorder="1"/>
    <xf numFmtId="44" fontId="17" fillId="0" borderId="2" xfId="1" applyFont="1" applyBorder="1"/>
    <xf numFmtId="0" fontId="13" fillId="0" borderId="2" xfId="0" applyFont="1" applyBorder="1"/>
    <xf numFmtId="44" fontId="17" fillId="0" borderId="27" xfId="1" applyFont="1" applyBorder="1"/>
    <xf numFmtId="0" fontId="13" fillId="4" borderId="26" xfId="0" applyFont="1" applyFill="1" applyBorder="1"/>
    <xf numFmtId="0" fontId="13" fillId="4" borderId="13" xfId="0" applyFont="1" applyFill="1" applyBorder="1"/>
    <xf numFmtId="44" fontId="13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8" fontId="6" fillId="4" borderId="22" xfId="0" applyNumberFormat="1" applyFont="1" applyFill="1" applyBorder="1"/>
    <xf numFmtId="0" fontId="19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0" fillId="2" borderId="0" xfId="0" applyFill="1"/>
    <xf numFmtId="0" fontId="18" fillId="0" borderId="1" xfId="0" applyFont="1" applyBorder="1"/>
    <xf numFmtId="0" fontId="8" fillId="6" borderId="2" xfId="0" applyFont="1" applyFill="1" applyBorder="1"/>
    <xf numFmtId="0" fontId="0" fillId="0" borderId="0" xfId="0" applyAlignment="1">
      <alignment horizontal="left" vertical="center" wrapText="1"/>
    </xf>
    <xf numFmtId="166" fontId="13" fillId="4" borderId="13" xfId="0" applyNumberFormat="1" applyFont="1" applyFill="1" applyBorder="1"/>
    <xf numFmtId="0" fontId="2" fillId="10" borderId="29" xfId="0" applyFont="1" applyFill="1" applyBorder="1" applyAlignment="1">
      <alignment horizontal="left" vertical="center" wrapText="1"/>
    </xf>
    <xf numFmtId="44" fontId="2" fillId="10" borderId="26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44" fontId="20" fillId="4" borderId="3" xfId="1" applyFont="1" applyFill="1" applyBorder="1"/>
    <xf numFmtId="0" fontId="0" fillId="4" borderId="1" xfId="0" applyFill="1" applyBorder="1"/>
    <xf numFmtId="0" fontId="0" fillId="0" borderId="7" xfId="0" applyBorder="1" applyAlignment="1">
      <alignment horizontal="left" vertical="center" wrapText="1"/>
    </xf>
    <xf numFmtId="0" fontId="19" fillId="2" borderId="1" xfId="0" applyFont="1" applyFill="1" applyBorder="1"/>
    <xf numFmtId="44" fontId="4" fillId="2" borderId="1" xfId="1" applyFont="1" applyFill="1" applyBorder="1"/>
    <xf numFmtId="0" fontId="14" fillId="0" borderId="1" xfId="1" applyNumberFormat="1" applyFont="1" applyBorder="1"/>
    <xf numFmtId="0" fontId="0" fillId="0" borderId="6" xfId="0" applyBorder="1" applyAlignment="1">
      <alignment horizontal="left" vertical="center"/>
    </xf>
    <xf numFmtId="165" fontId="13" fillId="0" borderId="6" xfId="1" applyNumberFormat="1" applyFont="1" applyBorder="1"/>
    <xf numFmtId="8" fontId="6" fillId="4" borderId="6" xfId="0" applyNumberFormat="1" applyFont="1" applyFill="1" applyBorder="1"/>
    <xf numFmtId="8" fontId="10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6" fillId="4" borderId="6" xfId="1" applyFont="1" applyFill="1" applyBorder="1"/>
    <xf numFmtId="44" fontId="6" fillId="4" borderId="1" xfId="1" applyFont="1" applyFill="1" applyBorder="1"/>
    <xf numFmtId="44" fontId="4" fillId="4" borderId="1" xfId="1" applyFont="1" applyFill="1" applyBorder="1"/>
    <xf numFmtId="44" fontId="6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44" fontId="21" fillId="0" borderId="1" xfId="1" applyFont="1" applyBorder="1" applyAlignment="1">
      <alignment horizontal="left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168" fontId="13" fillId="4" borderId="13" xfId="0" applyNumberFormat="1" applyFont="1" applyFill="1" applyBorder="1" applyAlignment="1">
      <alignment horizontal="center"/>
    </xf>
    <xf numFmtId="0" fontId="0" fillId="0" borderId="7" xfId="0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44" fontId="9" fillId="4" borderId="1" xfId="1" applyFont="1" applyFill="1" applyBorder="1"/>
    <xf numFmtId="44" fontId="9" fillId="8" borderId="1" xfId="1" applyFont="1" applyFill="1" applyBorder="1"/>
    <xf numFmtId="0" fontId="0" fillId="0" borderId="1" xfId="0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8" fontId="4" fillId="2" borderId="6" xfId="0" applyNumberFormat="1" applyFont="1" applyFill="1" applyBorder="1" applyAlignment="1">
      <alignment horizontal="right"/>
    </xf>
    <xf numFmtId="164" fontId="25" fillId="0" borderId="1" xfId="2" applyFont="1" applyBorder="1" applyAlignment="1">
      <alignment horizontal="center"/>
    </xf>
    <xf numFmtId="164" fontId="7" fillId="0" borderId="1" xfId="2" applyFont="1" applyBorder="1" applyAlignment="1">
      <alignment horizontal="center"/>
    </xf>
    <xf numFmtId="44" fontId="8" fillId="6" borderId="2" xfId="1" applyFont="1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44" fontId="2" fillId="3" borderId="0" xfId="1" applyFont="1" applyFill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44" fontId="0" fillId="3" borderId="0" xfId="1" applyFont="1" applyFill="1" applyBorder="1" applyAlignment="1"/>
    <xf numFmtId="44" fontId="0" fillId="3" borderId="17" xfId="1" applyFont="1" applyFill="1" applyBorder="1" applyAlignment="1"/>
    <xf numFmtId="167" fontId="0" fillId="3" borderId="0" xfId="0" applyNumberFormat="1" applyFill="1" applyAlignment="1">
      <alignment horizontal="center"/>
    </xf>
    <xf numFmtId="0" fontId="13" fillId="12" borderId="1" xfId="0" applyFont="1" applyFill="1" applyBorder="1"/>
    <xf numFmtId="0" fontId="13" fillId="12" borderId="1" xfId="0" applyFont="1" applyFill="1" applyBorder="1" applyAlignment="1">
      <alignment horizontal="center"/>
    </xf>
    <xf numFmtId="44" fontId="17" fillId="12" borderId="1" xfId="1" applyFont="1" applyFill="1" applyBorder="1"/>
    <xf numFmtId="165" fontId="13" fillId="12" borderId="1" xfId="0" applyNumberFormat="1" applyFont="1" applyFill="1" applyBorder="1"/>
    <xf numFmtId="165" fontId="13" fillId="12" borderId="6" xfId="1" applyNumberFormat="1" applyFont="1" applyFill="1" applyBorder="1"/>
    <xf numFmtId="44" fontId="17" fillId="12" borderId="6" xfId="1" applyFont="1" applyFill="1" applyBorder="1"/>
    <xf numFmtId="44" fontId="17" fillId="12" borderId="28" xfId="1" applyFont="1" applyFill="1" applyBorder="1"/>
    <xf numFmtId="0" fontId="0" fillId="9" borderId="1" xfId="0" applyFill="1" applyBorder="1" applyAlignment="1">
      <alignment horizontal="center"/>
    </xf>
    <xf numFmtId="0" fontId="0" fillId="9" borderId="0" xfId="0" applyFill="1"/>
    <xf numFmtId="164" fontId="6" fillId="9" borderId="1" xfId="0" applyNumberFormat="1" applyFont="1" applyFill="1" applyBorder="1" applyAlignment="1">
      <alignment horizontal="center"/>
    </xf>
    <xf numFmtId="0" fontId="4" fillId="9" borderId="0" xfId="0" applyFont="1" applyFill="1"/>
    <xf numFmtId="0" fontId="6" fillId="9" borderId="0" xfId="0" applyFont="1" applyFill="1"/>
    <xf numFmtId="0" fontId="4" fillId="9" borderId="1" xfId="0" applyFont="1" applyFill="1" applyBorder="1"/>
    <xf numFmtId="0" fontId="6" fillId="9" borderId="1" xfId="0" applyFont="1" applyFill="1" applyBorder="1"/>
    <xf numFmtId="0" fontId="23" fillId="0" borderId="1" xfId="0" applyFont="1" applyBorder="1" applyAlignment="1">
      <alignment horizontal="center" wrapText="1"/>
    </xf>
    <xf numFmtId="44" fontId="17" fillId="2" borderId="2" xfId="1" applyFont="1" applyFill="1" applyBorder="1"/>
    <xf numFmtId="44" fontId="4" fillId="2" borderId="1" xfId="1" applyFont="1" applyFill="1" applyBorder="1" applyAlignment="1"/>
    <xf numFmtId="0" fontId="13" fillId="12" borderId="1" xfId="0" applyFont="1" applyFill="1" applyBorder="1" applyAlignment="1">
      <alignment wrapText="1"/>
    </xf>
    <xf numFmtId="0" fontId="13" fillId="2" borderId="1" xfId="0" applyFont="1" applyFill="1" applyBorder="1"/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165" fontId="13" fillId="2" borderId="1" xfId="0" applyNumberFormat="1" applyFont="1" applyFill="1" applyBorder="1"/>
    <xf numFmtId="165" fontId="13" fillId="2" borderId="6" xfId="1" applyNumberFormat="1" applyFont="1" applyFill="1" applyBorder="1"/>
    <xf numFmtId="44" fontId="17" fillId="2" borderId="6" xfId="1" applyFont="1" applyFill="1" applyBorder="1"/>
    <xf numFmtId="44" fontId="17" fillId="2" borderId="28" xfId="1" applyFont="1" applyFill="1" applyBorder="1"/>
    <xf numFmtId="165" fontId="13" fillId="4" borderId="21" xfId="0" applyNumberFormat="1" applyFont="1" applyFill="1" applyBorder="1"/>
    <xf numFmtId="44" fontId="17" fillId="0" borderId="7" xfId="1" applyFont="1" applyBorder="1"/>
    <xf numFmtId="44" fontId="17" fillId="12" borderId="7" xfId="1" applyFont="1" applyFill="1" applyBorder="1"/>
    <xf numFmtId="165" fontId="13" fillId="0" borderId="1" xfId="1" applyNumberFormat="1" applyFont="1" applyBorder="1"/>
    <xf numFmtId="165" fontId="13" fillId="12" borderId="1" xfId="1" applyNumberFormat="1" applyFont="1" applyFill="1" applyBorder="1"/>
    <xf numFmtId="44" fontId="12" fillId="8" borderId="1" xfId="1" applyFont="1" applyFill="1" applyBorder="1" applyAlignment="1">
      <alignment vertical="center"/>
    </xf>
    <xf numFmtId="170" fontId="0" fillId="0" borderId="0" xfId="0" applyNumberFormat="1"/>
    <xf numFmtId="165" fontId="13" fillId="2" borderId="1" xfId="1" applyNumberFormat="1" applyFont="1" applyFill="1" applyBorder="1"/>
    <xf numFmtId="44" fontId="17" fillId="2" borderId="7" xfId="1" applyFont="1" applyFill="1" applyBorder="1"/>
    <xf numFmtId="44" fontId="19" fillId="2" borderId="1" xfId="1" applyFont="1" applyFill="1" applyBorder="1" applyAlignment="1">
      <alignment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8" fontId="9" fillId="4" borderId="1" xfId="1" applyNumberFormat="1" applyFont="1" applyFill="1" applyBorder="1"/>
    <xf numFmtId="44" fontId="9" fillId="4" borderId="3" xfId="1" applyFont="1" applyFill="1" applyBorder="1"/>
    <xf numFmtId="44" fontId="19" fillId="4" borderId="3" xfId="1" applyFont="1" applyFill="1" applyBorder="1"/>
    <xf numFmtId="44" fontId="9" fillId="4" borderId="21" xfId="1" applyFont="1" applyFill="1" applyBorder="1"/>
    <xf numFmtId="44" fontId="9" fillId="4" borderId="13" xfId="1" applyFont="1" applyFill="1" applyBorder="1"/>
    <xf numFmtId="44" fontId="26" fillId="4" borderId="3" xfId="1" applyFont="1" applyFill="1" applyBorder="1"/>
    <xf numFmtId="44" fontId="19" fillId="0" borderId="1" xfId="1" applyFont="1" applyBorder="1" applyAlignment="1">
      <alignment wrapText="1"/>
    </xf>
    <xf numFmtId="44" fontId="19" fillId="2" borderId="3" xfId="1" applyFont="1" applyFill="1" applyBorder="1"/>
    <xf numFmtId="44" fontId="19" fillId="2" borderId="1" xfId="1" applyFont="1" applyFill="1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/>
    </xf>
    <xf numFmtId="0" fontId="2" fillId="3" borderId="15" xfId="0" applyFont="1" applyFill="1" applyBorder="1" applyAlignment="1">
      <alignment horizontal="left" vertical="top"/>
    </xf>
    <xf numFmtId="0" fontId="2" fillId="3" borderId="16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17" xfId="0" applyFont="1" applyFill="1" applyBorder="1" applyAlignment="1">
      <alignment horizontal="left" vertical="top"/>
    </xf>
    <xf numFmtId="0" fontId="2" fillId="3" borderId="29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2" fillId="3" borderId="26" xfId="0" applyFont="1" applyFill="1" applyBorder="1" applyAlignment="1">
      <alignment horizontal="left" vertical="top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left" vertical="center"/>
    </xf>
    <xf numFmtId="0" fontId="8" fillId="12" borderId="10" xfId="0" applyFont="1" applyFill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opLeftCell="A37" workbookViewId="0">
      <selection activeCell="E51" sqref="E51"/>
    </sheetView>
  </sheetViews>
  <sheetFormatPr baseColWidth="10" defaultColWidth="10.85546875" defaultRowHeight="15" x14ac:dyDescent="0.25"/>
  <cols>
    <col min="1" max="1" width="37.5703125" customWidth="1"/>
    <col min="2" max="2" width="24.5703125" customWidth="1"/>
    <col min="3" max="3" width="15.85546875" hidden="1" customWidth="1"/>
    <col min="4" max="4" width="21.5703125" customWidth="1"/>
    <col min="5" max="5" width="14.570312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42578125" customWidth="1"/>
  </cols>
  <sheetData>
    <row r="1" spans="1:5" x14ac:dyDescent="0.25">
      <c r="A1" s="13"/>
      <c r="B1" s="50" t="s">
        <v>75</v>
      </c>
      <c r="C1" s="50"/>
      <c r="D1" s="50"/>
      <c r="E1" s="51"/>
    </row>
    <row r="2" spans="1:5" x14ac:dyDescent="0.25">
      <c r="A2" s="14"/>
      <c r="B2" s="52" t="s">
        <v>14</v>
      </c>
      <c r="C2" s="52"/>
      <c r="D2" s="52"/>
      <c r="E2" s="53"/>
    </row>
    <row r="3" spans="1:5" ht="70.5" customHeight="1" thickBot="1" x14ac:dyDescent="0.3">
      <c r="A3" s="14"/>
      <c r="B3" s="207" t="s">
        <v>77</v>
      </c>
      <c r="C3" s="207"/>
      <c r="D3" s="207"/>
      <c r="E3" s="208"/>
    </row>
    <row r="4" spans="1:5" ht="15.75" thickBot="1" x14ac:dyDescent="0.3">
      <c r="A4" s="17" t="s">
        <v>0</v>
      </c>
      <c r="B4" s="68" t="s">
        <v>21</v>
      </c>
      <c r="C4" s="18"/>
      <c r="D4" s="18"/>
      <c r="E4" s="19"/>
    </row>
    <row r="5" spans="1:5" ht="15.75" thickBot="1" x14ac:dyDescent="0.3">
      <c r="A5" s="14" t="s">
        <v>76</v>
      </c>
      <c r="B5" s="18" t="s">
        <v>132</v>
      </c>
      <c r="C5" s="15"/>
      <c r="D5" s="52" t="s">
        <v>15</v>
      </c>
      <c r="E5" s="16"/>
    </row>
    <row r="6" spans="1:5" ht="15.75" thickBot="1" x14ac:dyDescent="0.3">
      <c r="A6" s="17" t="s">
        <v>130</v>
      </c>
      <c r="B6" s="18"/>
      <c r="C6" s="18"/>
      <c r="D6" s="18" t="s">
        <v>128</v>
      </c>
      <c r="E6" s="19"/>
    </row>
    <row r="8" spans="1:5" x14ac:dyDescent="0.25">
      <c r="B8" s="210" t="s">
        <v>131</v>
      </c>
      <c r="C8" s="210"/>
    </row>
    <row r="9" spans="1:5" x14ac:dyDescent="0.25">
      <c r="B9" s="210"/>
      <c r="C9" s="210"/>
    </row>
    <row r="10" spans="1:5" x14ac:dyDescent="0.25">
      <c r="B10" s="210"/>
      <c r="C10" s="210"/>
    </row>
    <row r="12" spans="1:5" hidden="1" x14ac:dyDescent="0.25"/>
    <row r="13" spans="1:5" ht="15" customHeight="1" x14ac:dyDescent="0.25">
      <c r="A13" s="209" t="s">
        <v>102</v>
      </c>
      <c r="B13" s="209"/>
      <c r="C13" s="209"/>
      <c r="D13" s="209"/>
      <c r="E13" s="209"/>
    </row>
    <row r="14" spans="1:5" ht="15" customHeight="1" x14ac:dyDescent="0.25">
      <c r="A14" s="209"/>
      <c r="B14" s="209"/>
      <c r="C14" s="209"/>
      <c r="D14" s="209"/>
      <c r="E14" s="209"/>
    </row>
    <row r="15" spans="1:5" ht="15" customHeight="1" x14ac:dyDescent="0.25">
      <c r="A15" s="209"/>
      <c r="B15" s="209"/>
      <c r="C15" s="209"/>
      <c r="D15" s="209"/>
      <c r="E15" s="209"/>
    </row>
    <row r="16" spans="1:5" ht="53.25" customHeight="1" x14ac:dyDescent="0.25">
      <c r="A16" s="209"/>
      <c r="B16" s="209"/>
      <c r="C16" s="209"/>
      <c r="D16" s="209"/>
      <c r="E16" s="209"/>
    </row>
    <row r="17" spans="1:8" ht="14.25" customHeight="1" thickBot="1" x14ac:dyDescent="0.3"/>
    <row r="18" spans="1:8" hidden="1" x14ac:dyDescent="0.25">
      <c r="A18" s="2"/>
    </row>
    <row r="19" spans="1:8" ht="15.75" hidden="1" thickBot="1" x14ac:dyDescent="0.3"/>
    <row r="20" spans="1:8" x14ac:dyDescent="0.25">
      <c r="A20" s="9" t="s">
        <v>105</v>
      </c>
      <c r="B20" s="10"/>
      <c r="C20" s="11"/>
      <c r="D20" s="7"/>
      <c r="E20" s="12"/>
    </row>
    <row r="21" spans="1:8" x14ac:dyDescent="0.25">
      <c r="A21" s="25" t="s">
        <v>78</v>
      </c>
      <c r="B21" s="25"/>
      <c r="C21" s="25"/>
      <c r="D21" s="109"/>
      <c r="E21" s="100"/>
    </row>
    <row r="22" spans="1:8" ht="15" customHeight="1" x14ac:dyDescent="0.25">
      <c r="A22" s="200" t="s">
        <v>116</v>
      </c>
      <c r="B22" s="201"/>
      <c r="C22" s="38"/>
      <c r="D22" s="110">
        <v>473045</v>
      </c>
      <c r="E22" s="105" t="s">
        <v>133</v>
      </c>
      <c r="H22" s="89"/>
    </row>
    <row r="23" spans="1:8" ht="15" customHeight="1" x14ac:dyDescent="0.25">
      <c r="A23" s="200"/>
      <c r="B23" s="201"/>
      <c r="C23" s="38"/>
      <c r="D23" s="110"/>
      <c r="E23" s="103"/>
      <c r="H23" s="89"/>
    </row>
    <row r="24" spans="1:8" x14ac:dyDescent="0.25">
      <c r="A24" s="21" t="s">
        <v>9</v>
      </c>
      <c r="B24" s="21"/>
      <c r="C24" s="21"/>
      <c r="D24" s="111"/>
      <c r="E24" s="189">
        <f>SUM(D22:D23)</f>
        <v>473045</v>
      </c>
    </row>
    <row r="25" spans="1:8" x14ac:dyDescent="0.25">
      <c r="A25" s="25" t="s">
        <v>17</v>
      </c>
      <c r="B25" s="21"/>
      <c r="C25" s="21"/>
      <c r="D25" s="112"/>
      <c r="E25" s="190"/>
    </row>
    <row r="26" spans="1:8" ht="30" customHeight="1" x14ac:dyDescent="0.25">
      <c r="A26" s="200" t="s">
        <v>123</v>
      </c>
      <c r="B26" s="201"/>
      <c r="C26" s="40"/>
      <c r="D26" s="168">
        <v>75267</v>
      </c>
      <c r="E26" s="186" t="s">
        <v>135</v>
      </c>
    </row>
    <row r="27" spans="1:8" x14ac:dyDescent="0.25">
      <c r="A27" s="21" t="s">
        <v>1</v>
      </c>
      <c r="B27" s="21"/>
      <c r="C27" s="21"/>
      <c r="D27" s="111"/>
      <c r="E27" s="123">
        <f>SUM(D26:D26)</f>
        <v>75267</v>
      </c>
    </row>
    <row r="28" spans="1:8" x14ac:dyDescent="0.25">
      <c r="A28" s="25" t="s">
        <v>10</v>
      </c>
      <c r="B28" s="101"/>
      <c r="C28" s="101"/>
      <c r="D28" s="113"/>
      <c r="E28" s="191"/>
    </row>
    <row r="29" spans="1:8" ht="14.25" customHeight="1" x14ac:dyDescent="0.25">
      <c r="A29" s="5" t="s">
        <v>68</v>
      </c>
      <c r="B29" s="5"/>
      <c r="C29" s="5"/>
      <c r="D29" s="104"/>
      <c r="E29" s="103"/>
    </row>
    <row r="30" spans="1:8" x14ac:dyDescent="0.25">
      <c r="A30" s="5" t="s">
        <v>67</v>
      </c>
      <c r="B30" s="5"/>
      <c r="C30" s="5"/>
      <c r="D30" s="104">
        <v>6040.73</v>
      </c>
      <c r="E30" s="103" t="str">
        <f>E31</f>
        <v>Transf 04/03</v>
      </c>
    </row>
    <row r="31" spans="1:8" x14ac:dyDescent="0.25">
      <c r="A31" s="5" t="s">
        <v>67</v>
      </c>
      <c r="B31" s="120"/>
      <c r="C31" s="5"/>
      <c r="D31" s="104">
        <v>247384</v>
      </c>
      <c r="E31" s="103" t="s">
        <v>134</v>
      </c>
    </row>
    <row r="32" spans="1:8" x14ac:dyDescent="0.25">
      <c r="A32" s="205" t="s">
        <v>69</v>
      </c>
      <c r="B32" s="206"/>
      <c r="C32" s="5"/>
      <c r="D32" s="104">
        <v>174848.74</v>
      </c>
      <c r="E32" s="103" t="s">
        <v>134</v>
      </c>
    </row>
    <row r="33" spans="1:7" x14ac:dyDescent="0.25">
      <c r="A33" s="106" t="s">
        <v>79</v>
      </c>
      <c r="B33" s="102"/>
      <c r="C33" s="5"/>
      <c r="D33" s="104">
        <v>23057.47</v>
      </c>
      <c r="E33" s="103" t="s">
        <v>134</v>
      </c>
    </row>
    <row r="34" spans="1:7" ht="15.75" thickBot="1" x14ac:dyDescent="0.3">
      <c r="A34" s="21" t="s">
        <v>2</v>
      </c>
      <c r="B34" s="21"/>
      <c r="C34" s="21"/>
      <c r="D34" s="114"/>
      <c r="E34" s="192">
        <f>SUM(D29:D33)</f>
        <v>451330.93999999994</v>
      </c>
    </row>
    <row r="35" spans="1:7" ht="15" customHeight="1" thickBot="1" x14ac:dyDescent="0.3">
      <c r="A35" s="25"/>
      <c r="B35" s="21"/>
      <c r="C35" s="21"/>
      <c r="D35" s="111"/>
      <c r="E35" s="193"/>
    </row>
    <row r="36" spans="1:7" ht="32.25" customHeight="1" x14ac:dyDescent="0.25">
      <c r="A36" s="200" t="s">
        <v>118</v>
      </c>
      <c r="B36" s="201"/>
      <c r="C36" s="5"/>
      <c r="D36" s="104">
        <v>75000</v>
      </c>
      <c r="E36" s="105" t="s">
        <v>133</v>
      </c>
    </row>
    <row r="37" spans="1:7" ht="16.5" customHeight="1" x14ac:dyDescent="0.25">
      <c r="A37" s="187" t="s">
        <v>139</v>
      </c>
      <c r="B37" s="188"/>
      <c r="C37" s="5"/>
      <c r="D37" s="74">
        <v>4800</v>
      </c>
      <c r="E37" s="105" t="s">
        <v>140</v>
      </c>
    </row>
    <row r="38" spans="1:7" ht="16.5" customHeight="1" x14ac:dyDescent="0.25">
      <c r="A38" s="198" t="s">
        <v>141</v>
      </c>
      <c r="B38" s="199"/>
      <c r="C38" s="5"/>
      <c r="D38" s="74">
        <v>60000</v>
      </c>
      <c r="E38" s="105" t="s">
        <v>140</v>
      </c>
    </row>
    <row r="39" spans="1:7" ht="36.75" customHeight="1" x14ac:dyDescent="0.25">
      <c r="A39" s="200" t="s">
        <v>142</v>
      </c>
      <c r="B39" s="201"/>
      <c r="C39" s="5"/>
      <c r="D39" s="74">
        <v>157988.29</v>
      </c>
      <c r="E39" s="105"/>
    </row>
    <row r="40" spans="1:7" ht="16.5" customHeight="1" x14ac:dyDescent="0.25">
      <c r="A40" s="200" t="s">
        <v>136</v>
      </c>
      <c r="B40" s="201"/>
      <c r="C40" s="5"/>
      <c r="D40" s="74">
        <v>50000</v>
      </c>
      <c r="E40" s="105" t="s">
        <v>137</v>
      </c>
    </row>
    <row r="41" spans="1:7" x14ac:dyDescent="0.25">
      <c r="A41" s="21" t="s">
        <v>6</v>
      </c>
      <c r="B41" s="25"/>
      <c r="C41" s="25"/>
      <c r="D41" s="24"/>
      <c r="E41" s="123">
        <f>SUM(D36:D40)</f>
        <v>347788.29000000004</v>
      </c>
    </row>
    <row r="42" spans="1:7" x14ac:dyDescent="0.25">
      <c r="A42" s="25" t="s">
        <v>11</v>
      </c>
      <c r="B42" s="25"/>
      <c r="C42" s="25"/>
      <c r="D42" s="109"/>
      <c r="E42" s="194"/>
    </row>
    <row r="43" spans="1:7" ht="15.75" customHeight="1" x14ac:dyDescent="0.25">
      <c r="A43" s="200" t="s">
        <v>27</v>
      </c>
      <c r="B43" s="201"/>
      <c r="C43" s="38"/>
      <c r="D43" s="110" t="s">
        <v>138</v>
      </c>
      <c r="E43" s="195"/>
      <c r="G43" t="s">
        <v>125</v>
      </c>
    </row>
    <row r="44" spans="1:7" ht="15.75" customHeight="1" x14ac:dyDescent="0.25">
      <c r="A44" s="121"/>
      <c r="B44" s="122"/>
      <c r="C44" s="38"/>
      <c r="D44" s="134"/>
      <c r="E44" s="195"/>
    </row>
    <row r="45" spans="1:7" x14ac:dyDescent="0.25">
      <c r="A45" s="21" t="s">
        <v>9</v>
      </c>
      <c r="B45" s="21"/>
      <c r="C45" s="21"/>
      <c r="D45" s="111"/>
      <c r="E45" s="189">
        <f>SUM(D43:D44)</f>
        <v>0</v>
      </c>
    </row>
    <row r="46" spans="1:7" x14ac:dyDescent="0.25">
      <c r="A46" s="25" t="s">
        <v>8</v>
      </c>
      <c r="B46" s="48"/>
      <c r="C46" s="21"/>
      <c r="D46" s="108"/>
      <c r="E46" s="123"/>
    </row>
    <row r="47" spans="1:7" x14ac:dyDescent="0.25">
      <c r="A47" s="5" t="s">
        <v>26</v>
      </c>
      <c r="B47" s="5"/>
      <c r="C47" s="5"/>
      <c r="D47" s="104"/>
      <c r="E47" s="196"/>
    </row>
    <row r="48" spans="1:7" x14ac:dyDescent="0.25">
      <c r="A48" s="5" t="s">
        <v>117</v>
      </c>
      <c r="B48" s="5"/>
      <c r="C48" s="5"/>
      <c r="D48" s="104">
        <v>27165.99</v>
      </c>
      <c r="E48" s="197"/>
    </row>
    <row r="49" spans="1:8" x14ac:dyDescent="0.25">
      <c r="A49" s="37" t="s">
        <v>9</v>
      </c>
      <c r="B49" s="37"/>
      <c r="C49" s="37"/>
      <c r="D49" s="76"/>
      <c r="E49" s="123">
        <f>SUM(D47:D48)</f>
        <v>27165.99</v>
      </c>
    </row>
    <row r="50" spans="1:8" x14ac:dyDescent="0.25">
      <c r="A50" s="5"/>
      <c r="B50" s="5"/>
      <c r="C50" s="5"/>
      <c r="D50" s="71"/>
      <c r="E50" s="77"/>
    </row>
    <row r="51" spans="1:8" x14ac:dyDescent="0.25">
      <c r="A51" s="22" t="s">
        <v>101</v>
      </c>
      <c r="B51" s="22"/>
      <c r="C51" s="22"/>
      <c r="D51" s="78"/>
      <c r="E51" s="124">
        <f>(2200000)-1314557.42-60000-39.8</f>
        <v>825402.78</v>
      </c>
    </row>
    <row r="52" spans="1:8" ht="15.75" thickBot="1" x14ac:dyDescent="0.3">
      <c r="A52" s="1"/>
      <c r="D52" s="79"/>
      <c r="E52" s="80"/>
      <c r="F52" s="30"/>
    </row>
    <row r="53" spans="1:8" ht="15.75" thickBot="1" x14ac:dyDescent="0.3">
      <c r="A53" s="3" t="s">
        <v>97</v>
      </c>
      <c r="B53" s="8"/>
      <c r="C53" s="4"/>
      <c r="D53" s="81"/>
      <c r="E53" s="82">
        <f>(SUM(E21:E51))</f>
        <v>2200000</v>
      </c>
      <c r="F53" s="99"/>
      <c r="G53" s="30"/>
    </row>
    <row r="54" spans="1:8" x14ac:dyDescent="0.25">
      <c r="D54" s="79"/>
      <c r="E54" s="79"/>
    </row>
    <row r="55" spans="1:8" ht="15.75" thickBot="1" x14ac:dyDescent="0.3">
      <c r="D55" s="79"/>
      <c r="E55" s="79"/>
      <c r="H55" s="115"/>
    </row>
    <row r="56" spans="1:8" x14ac:dyDescent="0.25">
      <c r="A56" s="9" t="s">
        <v>98</v>
      </c>
      <c r="B56" s="10"/>
      <c r="C56" s="11"/>
      <c r="D56" s="83"/>
      <c r="E56" s="84"/>
    </row>
    <row r="57" spans="1:8" ht="15" customHeight="1" x14ac:dyDescent="0.25">
      <c r="A57" s="73"/>
      <c r="B57" s="102"/>
      <c r="C57" s="5"/>
      <c r="D57" s="74"/>
      <c r="E57" s="72"/>
    </row>
    <row r="58" spans="1:8" ht="15" customHeight="1" x14ac:dyDescent="0.25">
      <c r="A58" s="204"/>
      <c r="B58" s="204"/>
      <c r="C58" s="5"/>
      <c r="D58" s="104"/>
      <c r="E58" s="72"/>
    </row>
    <row r="59" spans="1:8" ht="15.75" customHeight="1" x14ac:dyDescent="0.25">
      <c r="A59" s="5"/>
      <c r="B59" s="5"/>
      <c r="C59" s="5"/>
      <c r="D59" s="5"/>
      <c r="E59" s="5"/>
    </row>
    <row r="60" spans="1:8" x14ac:dyDescent="0.25">
      <c r="A60" s="73"/>
      <c r="B60" s="75"/>
      <c r="C60" s="5"/>
      <c r="D60" s="74"/>
      <c r="E60" s="72"/>
    </row>
    <row r="61" spans="1:8" x14ac:dyDescent="0.25">
      <c r="A61" s="35"/>
      <c r="B61" s="34"/>
      <c r="C61" s="34"/>
      <c r="D61" s="41"/>
      <c r="E61" s="41">
        <f>SUM(D57:D60)</f>
        <v>0</v>
      </c>
    </row>
    <row r="62" spans="1:8" ht="15" customHeight="1" x14ac:dyDescent="0.25"/>
    <row r="63" spans="1:8" ht="15.75" hidden="1" thickBot="1" x14ac:dyDescent="0.3"/>
    <row r="64" spans="1:8" x14ac:dyDescent="0.25">
      <c r="A64" s="22" t="s">
        <v>100</v>
      </c>
      <c r="B64" s="22"/>
      <c r="C64" s="22"/>
      <c r="D64" s="23"/>
      <c r="E64" s="182"/>
    </row>
    <row r="65" spans="1:5" ht="15.75" thickBot="1" x14ac:dyDescent="0.3"/>
    <row r="66" spans="1:5" ht="15.75" thickBot="1" x14ac:dyDescent="0.3">
      <c r="A66" s="3" t="s">
        <v>99</v>
      </c>
      <c r="B66" s="8"/>
      <c r="C66" s="4"/>
      <c r="D66" s="4"/>
      <c r="E66" s="49">
        <f>E61+E64</f>
        <v>0</v>
      </c>
    </row>
    <row r="67" spans="1:5" ht="15.75" thickBot="1" x14ac:dyDescent="0.3"/>
    <row r="68" spans="1:5" ht="15.75" thickBot="1" x14ac:dyDescent="0.3">
      <c r="A68" s="69" t="s">
        <v>106</v>
      </c>
      <c r="B68" s="70">
        <f>E53</f>
        <v>2200000</v>
      </c>
    </row>
    <row r="69" spans="1:5" ht="15.75" thickBot="1" x14ac:dyDescent="0.3">
      <c r="A69" s="69" t="s">
        <v>107</v>
      </c>
      <c r="B69" s="70">
        <f>E53-E51</f>
        <v>1374597.22</v>
      </c>
    </row>
    <row r="70" spans="1:5" ht="15.75" thickBot="1" x14ac:dyDescent="0.3">
      <c r="A70" s="69" t="s">
        <v>108</v>
      </c>
      <c r="B70" s="70">
        <f>E66-E64</f>
        <v>0</v>
      </c>
    </row>
    <row r="71" spans="1:5" ht="15.75" thickBot="1" x14ac:dyDescent="0.3">
      <c r="A71" s="69" t="s">
        <v>109</v>
      </c>
      <c r="B71" s="70">
        <f>E66</f>
        <v>0</v>
      </c>
    </row>
    <row r="73" spans="1:5" s="28" customFormat="1" x14ac:dyDescent="0.25">
      <c r="A73"/>
      <c r="B73" s="29"/>
      <c r="C73" s="27"/>
    </row>
    <row r="74" spans="1:5" s="28" customFormat="1" x14ac:dyDescent="0.25">
      <c r="A74" s="91" t="s">
        <v>110</v>
      </c>
      <c r="B74" s="137">
        <v>-481117.02000000095</v>
      </c>
      <c r="C74" s="27"/>
      <c r="D74" s="33"/>
    </row>
    <row r="75" spans="1:5" x14ac:dyDescent="0.25">
      <c r="A75" s="40" t="s">
        <v>103</v>
      </c>
      <c r="B75" s="96">
        <f>-B69</f>
        <v>-1374597.22</v>
      </c>
    </row>
    <row r="76" spans="1:5" x14ac:dyDescent="0.25">
      <c r="A76" s="40" t="s">
        <v>25</v>
      </c>
      <c r="B76" s="96">
        <f>B95</f>
        <v>0</v>
      </c>
    </row>
    <row r="77" spans="1:5" x14ac:dyDescent="0.25">
      <c r="A77" s="40" t="s">
        <v>112</v>
      </c>
      <c r="B77" s="97">
        <f>PRORRATEO!G36-B85</f>
        <v>2275561.9000000008</v>
      </c>
    </row>
    <row r="78" spans="1:5" x14ac:dyDescent="0.25">
      <c r="A78" s="40" t="s">
        <v>124</v>
      </c>
      <c r="B78" s="97"/>
    </row>
    <row r="79" spans="1:5" x14ac:dyDescent="0.25">
      <c r="A79" s="98" t="s">
        <v>24</v>
      </c>
      <c r="B79" s="116"/>
    </row>
    <row r="80" spans="1:5" ht="15.75" thickBot="1" x14ac:dyDescent="0.3">
      <c r="A80" s="94" t="s">
        <v>114</v>
      </c>
      <c r="B80" s="95">
        <f>SUM(B74:C79)</f>
        <v>419847.65999999992</v>
      </c>
    </row>
    <row r="81" spans="1:13" x14ac:dyDescent="0.25">
      <c r="A81" s="92"/>
      <c r="B81" s="92"/>
      <c r="D81" s="30"/>
      <c r="E81" s="29"/>
    </row>
    <row r="82" spans="1:13" x14ac:dyDescent="0.25">
      <c r="A82" s="91" t="s">
        <v>111</v>
      </c>
      <c r="B82" s="137">
        <v>2000000</v>
      </c>
      <c r="D82" s="29"/>
      <c r="E82" s="30"/>
    </row>
    <row r="83" spans="1:13" x14ac:dyDescent="0.25">
      <c r="A83" s="40" t="s">
        <v>104</v>
      </c>
      <c r="B83" s="96">
        <f>-B70</f>
        <v>0</v>
      </c>
      <c r="D83" s="30"/>
    </row>
    <row r="84" spans="1:13" x14ac:dyDescent="0.25">
      <c r="A84" s="40" t="s">
        <v>25</v>
      </c>
      <c r="B84" s="96">
        <f>B103</f>
        <v>0</v>
      </c>
      <c r="D84" s="30"/>
    </row>
    <row r="85" spans="1:13" x14ac:dyDescent="0.25">
      <c r="A85" s="40" t="s">
        <v>113</v>
      </c>
      <c r="B85" s="97">
        <v>0</v>
      </c>
      <c r="D85" s="183"/>
    </row>
    <row r="86" spans="1:13" x14ac:dyDescent="0.25">
      <c r="A86" s="98" t="s">
        <v>24</v>
      </c>
      <c r="B86" s="116"/>
    </row>
    <row r="87" spans="1:13" ht="15.75" thickBot="1" x14ac:dyDescent="0.3">
      <c r="A87" s="94" t="s">
        <v>115</v>
      </c>
      <c r="B87" s="95">
        <f>SUM(B82:C86)</f>
        <v>2000000</v>
      </c>
    </row>
    <row r="88" spans="1:13" x14ac:dyDescent="0.25">
      <c r="A88" s="92"/>
      <c r="B88" s="92"/>
    </row>
    <row r="89" spans="1:13" x14ac:dyDescent="0.25">
      <c r="A89" s="92"/>
      <c r="B89" s="92"/>
    </row>
    <row r="90" spans="1:13" ht="34.5" customHeight="1" x14ac:dyDescent="0.25"/>
    <row r="91" spans="1:13" x14ac:dyDescent="0.25">
      <c r="A91" s="203" t="s">
        <v>18</v>
      </c>
      <c r="B91" s="203"/>
      <c r="C91" s="203"/>
    </row>
    <row r="92" spans="1:13" x14ac:dyDescent="0.25">
      <c r="A92" s="203"/>
      <c r="B92" s="203"/>
      <c r="C92" s="203"/>
    </row>
    <row r="93" spans="1:13" ht="35.25" customHeight="1" x14ac:dyDescent="0.25">
      <c r="A93" s="86"/>
      <c r="B93" s="26"/>
      <c r="C93" s="26">
        <v>40000</v>
      </c>
      <c r="E93" s="99"/>
    </row>
    <row r="94" spans="1:13" ht="27" customHeight="1" x14ac:dyDescent="0.25">
      <c r="A94" s="86"/>
      <c r="B94" s="88"/>
      <c r="C94" s="85"/>
      <c r="D94" s="99"/>
    </row>
    <row r="95" spans="1:13" x14ac:dyDescent="0.25">
      <c r="A95" s="31" t="s">
        <v>6</v>
      </c>
      <c r="B95" s="87">
        <f>SUM(B93:B94)</f>
        <v>0</v>
      </c>
      <c r="C95" s="32"/>
    </row>
    <row r="96" spans="1:13" x14ac:dyDescent="0.25">
      <c r="M96" s="6"/>
    </row>
    <row r="97" spans="1:5" ht="15" customHeight="1" x14ac:dyDescent="0.25">
      <c r="A97" s="202"/>
      <c r="B97" s="202"/>
      <c r="C97" s="202"/>
      <c r="D97" s="202"/>
      <c r="E97" s="202"/>
    </row>
    <row r="98" spans="1:5" x14ac:dyDescent="0.25">
      <c r="A98" s="202"/>
      <c r="B98" s="202"/>
      <c r="C98" s="202"/>
      <c r="D98" s="202"/>
      <c r="E98" s="202"/>
    </row>
    <row r="99" spans="1:5" x14ac:dyDescent="0.25">
      <c r="A99" s="202"/>
      <c r="B99" s="202"/>
      <c r="C99" s="202"/>
      <c r="D99" s="202"/>
      <c r="E99" s="202"/>
    </row>
    <row r="100" spans="1:5" x14ac:dyDescent="0.25">
      <c r="A100" s="202"/>
      <c r="B100" s="202"/>
      <c r="C100" s="202"/>
      <c r="D100" s="202"/>
      <c r="E100" s="202"/>
    </row>
  </sheetData>
  <mergeCells count="14">
    <mergeCell ref="A32:B32"/>
    <mergeCell ref="A23:B23"/>
    <mergeCell ref="A22:B22"/>
    <mergeCell ref="B3:E3"/>
    <mergeCell ref="A13:E16"/>
    <mergeCell ref="B8:C10"/>
    <mergeCell ref="A26:B26"/>
    <mergeCell ref="A43:B43"/>
    <mergeCell ref="A97:E100"/>
    <mergeCell ref="A91:C92"/>
    <mergeCell ref="A58:B58"/>
    <mergeCell ref="A36:B36"/>
    <mergeCell ref="A40:B40"/>
    <mergeCell ref="A39:B39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4"/>
  <sheetViews>
    <sheetView tabSelected="1" topLeftCell="A2" zoomScaleNormal="100" workbookViewId="0">
      <selection activeCell="K2" sqref="K2"/>
    </sheetView>
  </sheetViews>
  <sheetFormatPr baseColWidth="10" defaultColWidth="10.85546875" defaultRowHeight="15" x14ac:dyDescent="0.25"/>
  <cols>
    <col min="1" max="2" width="4.42578125" customWidth="1"/>
    <col min="3" max="3" width="18.5703125" customWidth="1"/>
    <col min="4" max="4" width="16" customWidth="1"/>
    <col min="5" max="5" width="8.42578125" customWidth="1"/>
    <col min="6" max="6" width="14.140625" customWidth="1"/>
    <col min="7" max="7" width="12.42578125" customWidth="1"/>
    <col min="8" max="8" width="10.5703125" customWidth="1"/>
    <col min="9" max="9" width="9.5703125" customWidth="1"/>
    <col min="10" max="10" width="12.42578125" customWidth="1"/>
    <col min="11" max="11" width="14.5703125" bestFit="1" customWidth="1"/>
    <col min="12" max="13" width="14.5703125" customWidth="1"/>
    <col min="14" max="14" width="12" hidden="1" customWidth="1"/>
    <col min="15" max="15" width="14.42578125" customWidth="1"/>
    <col min="16" max="16" width="7.42578125" hidden="1" customWidth="1"/>
    <col min="17" max="17" width="12" bestFit="1" customWidth="1"/>
    <col min="18" max="18" width="13" bestFit="1" customWidth="1"/>
  </cols>
  <sheetData>
    <row r="1" spans="1:16" ht="12.95" customHeight="1" x14ac:dyDescent="0.25">
      <c r="A1" s="138"/>
      <c r="B1" s="139"/>
      <c r="C1" s="140"/>
      <c r="D1" s="140"/>
      <c r="E1" s="214"/>
      <c r="F1" s="214"/>
      <c r="G1" s="214"/>
      <c r="H1" s="214"/>
      <c r="I1" s="214"/>
      <c r="J1" s="214"/>
      <c r="K1" s="214"/>
      <c r="L1" s="214"/>
      <c r="M1" s="214"/>
      <c r="N1" s="139"/>
      <c r="O1" s="141"/>
    </row>
    <row r="2" spans="1:16" ht="12.95" customHeight="1" x14ac:dyDescent="0.25">
      <c r="A2" s="142"/>
      <c r="B2" s="143"/>
      <c r="C2" s="144"/>
      <c r="D2" s="145"/>
      <c r="E2" s="145" t="s">
        <v>96</v>
      </c>
      <c r="F2" s="145"/>
      <c r="G2" s="146">
        <v>0</v>
      </c>
      <c r="H2" s="145"/>
      <c r="I2" s="145"/>
      <c r="J2" s="145" t="s">
        <v>95</v>
      </c>
      <c r="K2" s="147">
        <v>2200000</v>
      </c>
      <c r="L2" s="147"/>
      <c r="M2" s="148"/>
      <c r="N2" s="149"/>
      <c r="O2" s="150"/>
      <c r="P2" s="20"/>
    </row>
    <row r="3" spans="1:16" ht="15.75" thickBot="1" x14ac:dyDescent="0.3">
      <c r="A3" s="142"/>
      <c r="B3" s="143"/>
      <c r="C3" s="144"/>
      <c r="D3" s="144"/>
      <c r="E3" s="144"/>
      <c r="F3" s="144"/>
      <c r="G3" s="151"/>
      <c r="H3" s="144"/>
      <c r="I3" s="144"/>
      <c r="J3" s="144"/>
      <c r="K3" s="144"/>
      <c r="L3" s="144"/>
      <c r="M3" s="148"/>
      <c r="N3" s="149"/>
      <c r="O3" s="150"/>
      <c r="P3" s="20"/>
    </row>
    <row r="4" spans="1:16" x14ac:dyDescent="0.25">
      <c r="A4" s="223" t="s">
        <v>127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20"/>
    </row>
    <row r="5" spans="1:16" x14ac:dyDescent="0.25">
      <c r="A5" s="226"/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8"/>
      <c r="P5" s="20"/>
    </row>
    <row r="6" spans="1:16" ht="12.95" customHeight="1" x14ac:dyDescent="0.25">
      <c r="A6" s="226"/>
      <c r="B6" s="227"/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8"/>
      <c r="P6" s="20"/>
    </row>
    <row r="7" spans="1:16" ht="12.95" customHeight="1" x14ac:dyDescent="0.25">
      <c r="A7" s="226"/>
      <c r="B7" s="227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  <c r="P7" s="20"/>
    </row>
    <row r="8" spans="1:16" ht="33.75" customHeight="1" thickBot="1" x14ac:dyDescent="0.3">
      <c r="A8" s="229"/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1"/>
    </row>
    <row r="9" spans="1:16" ht="48" customHeight="1" thickBot="1" x14ac:dyDescent="0.3">
      <c r="A9" s="234" t="s">
        <v>126</v>
      </c>
      <c r="B9" s="235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</row>
    <row r="10" spans="1:16" ht="48" customHeight="1" thickBot="1" x14ac:dyDescent="0.3">
      <c r="A10" s="236" t="s">
        <v>120</v>
      </c>
      <c r="B10" s="236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</row>
    <row r="11" spans="1:16" x14ac:dyDescent="0.25">
      <c r="A11" s="211" t="s">
        <v>3</v>
      </c>
      <c r="B11" s="117"/>
      <c r="C11" s="211" t="s">
        <v>4</v>
      </c>
      <c r="D11" s="211" t="s">
        <v>13</v>
      </c>
      <c r="E11" s="211" t="s">
        <v>7</v>
      </c>
      <c r="F11" s="215" t="s">
        <v>23</v>
      </c>
      <c r="G11" s="211" t="s">
        <v>5</v>
      </c>
      <c r="H11" s="219" t="s">
        <v>16</v>
      </c>
      <c r="I11" s="215" t="s">
        <v>22</v>
      </c>
      <c r="J11" s="215" t="s">
        <v>95</v>
      </c>
      <c r="K11" s="221" t="s">
        <v>96</v>
      </c>
      <c r="L11" s="215" t="s">
        <v>80</v>
      </c>
      <c r="M11" s="44" t="s">
        <v>20</v>
      </c>
      <c r="N11" s="217" t="s">
        <v>12</v>
      </c>
      <c r="O11" s="232" t="s">
        <v>19</v>
      </c>
    </row>
    <row r="12" spans="1:16" ht="15.75" customHeight="1" x14ac:dyDescent="0.25">
      <c r="A12" s="213"/>
      <c r="B12" s="118"/>
      <c r="C12" s="213"/>
      <c r="D12" s="212"/>
      <c r="E12" s="213"/>
      <c r="F12" s="216"/>
      <c r="G12" s="213"/>
      <c r="H12" s="220"/>
      <c r="I12" s="216"/>
      <c r="J12" s="216"/>
      <c r="K12" s="222"/>
      <c r="L12" s="216"/>
      <c r="M12" s="42" t="str">
        <f>RESUMEN!B8</f>
        <v>VTO 17/04</v>
      </c>
      <c r="N12" s="218"/>
      <c r="O12" s="233"/>
    </row>
    <row r="13" spans="1:16" ht="17.100000000000001" customHeight="1" x14ac:dyDescent="0.25">
      <c r="A13" s="45">
        <v>1</v>
      </c>
      <c r="B13" s="45" t="s">
        <v>28</v>
      </c>
      <c r="C13" s="45" t="s">
        <v>29</v>
      </c>
      <c r="D13" s="45"/>
      <c r="E13" s="54">
        <v>12</v>
      </c>
      <c r="F13" s="55">
        <v>288720.01</v>
      </c>
      <c r="G13" s="56">
        <f>315120.01-F29-F30</f>
        <v>288719.66000000003</v>
      </c>
      <c r="H13" s="57">
        <f t="shared" ref="H13:H35" si="0">F13-G13</f>
        <v>0.34999999997671694</v>
      </c>
      <c r="I13" s="57">
        <f>IF(H13&gt;0,H13*3%,0)</f>
        <v>1.0499999999301507E-2</v>
      </c>
      <c r="J13" s="107">
        <f t="shared" ref="J13:J35" si="1">K$2*E13/100</f>
        <v>264000</v>
      </c>
      <c r="K13" s="107">
        <f t="shared" ref="K13:K35" si="2">G$2*E13/100</f>
        <v>0</v>
      </c>
      <c r="L13" s="180">
        <f>EDESUR!I5</f>
        <v>0</v>
      </c>
      <c r="M13" s="178">
        <f t="shared" ref="M13:M35" si="3">ROUND(SUM(H13:L13),0) + P13</f>
        <v>264000.01</v>
      </c>
      <c r="N13" s="58">
        <f>ROUND(M13*6% + M13,0) + P13</f>
        <v>279840.01</v>
      </c>
      <c r="O13" s="59">
        <f>ROUND(M13*3%,0) + M13</f>
        <v>271920.01</v>
      </c>
      <c r="P13" s="30">
        <v>0.01</v>
      </c>
    </row>
    <row r="14" spans="1:16" ht="17.100000000000001" customHeight="1" x14ac:dyDescent="0.25">
      <c r="A14" s="152">
        <v>2</v>
      </c>
      <c r="B14" s="152" t="s">
        <v>30</v>
      </c>
      <c r="C14" s="152" t="s">
        <v>31</v>
      </c>
      <c r="D14" s="169"/>
      <c r="E14" s="153">
        <v>6.6</v>
      </c>
      <c r="F14" s="154">
        <v>164469.01999999999</v>
      </c>
      <c r="G14" s="154">
        <v>165000</v>
      </c>
      <c r="H14" s="155">
        <f t="shared" si="0"/>
        <v>-530.98000000001048</v>
      </c>
      <c r="I14" s="155">
        <f t="shared" ref="I14:I35" si="4">IF(H14&gt;0,H14*3%,0)</f>
        <v>0</v>
      </c>
      <c r="J14" s="156">
        <f t="shared" si="1"/>
        <v>145200</v>
      </c>
      <c r="K14" s="156">
        <f t="shared" si="2"/>
        <v>0</v>
      </c>
      <c r="L14" s="181">
        <f>EDESUR!I6</f>
        <v>32287.37</v>
      </c>
      <c r="M14" s="179">
        <f t="shared" si="3"/>
        <v>176956.02</v>
      </c>
      <c r="N14" s="157">
        <f t="shared" ref="N14:N30" si="5">ROUND(M14*6% + M14,0) + P14</f>
        <v>187573.02</v>
      </c>
      <c r="O14" s="158">
        <f t="shared" ref="O14:O35" si="6">ROUND(M14*3%,0) + M14</f>
        <v>182265.02</v>
      </c>
      <c r="P14" s="30">
        <f>P13+0.01</f>
        <v>0.02</v>
      </c>
    </row>
    <row r="15" spans="1:16" ht="17.100000000000001" customHeight="1" x14ac:dyDescent="0.25">
      <c r="A15" s="45">
        <v>3</v>
      </c>
      <c r="B15" s="45" t="s">
        <v>32</v>
      </c>
      <c r="C15" s="45" t="s">
        <v>33</v>
      </c>
      <c r="D15" s="46" t="s">
        <v>70</v>
      </c>
      <c r="E15" s="54">
        <v>5.4</v>
      </c>
      <c r="F15" s="55">
        <v>139551.03</v>
      </c>
      <c r="G15" s="56">
        <f>F15</f>
        <v>139551.03</v>
      </c>
      <c r="H15" s="57">
        <f t="shared" si="0"/>
        <v>0</v>
      </c>
      <c r="I15" s="57">
        <f t="shared" si="4"/>
        <v>0</v>
      </c>
      <c r="J15" s="107">
        <f t="shared" si="1"/>
        <v>118800</v>
      </c>
      <c r="K15" s="107">
        <f t="shared" si="2"/>
        <v>0</v>
      </c>
      <c r="L15" s="180">
        <f>EDESUR!I7</f>
        <v>37878.74</v>
      </c>
      <c r="M15" s="178">
        <f t="shared" si="3"/>
        <v>156679.03</v>
      </c>
      <c r="N15" s="58">
        <f t="shared" si="5"/>
        <v>166080.03</v>
      </c>
      <c r="O15" s="59">
        <f t="shared" si="6"/>
        <v>161379.03</v>
      </c>
      <c r="P15" s="30">
        <f t="shared" ref="P15:P30" si="7">P14+0.01</f>
        <v>0.03</v>
      </c>
    </row>
    <row r="16" spans="1:16" ht="17.100000000000001" customHeight="1" x14ac:dyDescent="0.25">
      <c r="A16" s="45">
        <v>4</v>
      </c>
      <c r="B16" s="45" t="s">
        <v>34</v>
      </c>
      <c r="C16" s="45" t="s">
        <v>35</v>
      </c>
      <c r="D16" s="46" t="s">
        <v>129</v>
      </c>
      <c r="E16" s="54">
        <v>6.6</v>
      </c>
      <c r="F16" s="55">
        <v>144840.04</v>
      </c>
      <c r="G16" s="56">
        <f>144840.04</f>
        <v>144840.04</v>
      </c>
      <c r="H16" s="57">
        <f t="shared" si="0"/>
        <v>0</v>
      </c>
      <c r="I16" s="57">
        <f t="shared" si="4"/>
        <v>0</v>
      </c>
      <c r="J16" s="107">
        <f t="shared" si="1"/>
        <v>145200</v>
      </c>
      <c r="K16" s="107">
        <f t="shared" si="2"/>
        <v>0</v>
      </c>
      <c r="L16" s="180">
        <f>EDESUR!I9</f>
        <v>0</v>
      </c>
      <c r="M16" s="178">
        <f t="shared" si="3"/>
        <v>145200.04</v>
      </c>
      <c r="N16" s="58">
        <f t="shared" si="5"/>
        <v>153912.04</v>
      </c>
      <c r="O16" s="59">
        <f t="shared" si="6"/>
        <v>149556.04</v>
      </c>
      <c r="P16" s="30">
        <f t="shared" si="7"/>
        <v>0.04</v>
      </c>
    </row>
    <row r="17" spans="1:17" ht="17.100000000000001" customHeight="1" x14ac:dyDescent="0.25">
      <c r="A17" s="152">
        <v>5</v>
      </c>
      <c r="B17" s="152" t="s">
        <v>36</v>
      </c>
      <c r="C17" s="152" t="s">
        <v>37</v>
      </c>
      <c r="D17" s="152" t="s">
        <v>94</v>
      </c>
      <c r="E17" s="153">
        <v>6.6</v>
      </c>
      <c r="F17" s="154">
        <v>145200.04999999999</v>
      </c>
      <c r="G17" s="154">
        <v>146000</v>
      </c>
      <c r="H17" s="155">
        <f t="shared" si="0"/>
        <v>-799.95000000001164</v>
      </c>
      <c r="I17" s="155">
        <f t="shared" si="4"/>
        <v>0</v>
      </c>
      <c r="J17" s="156">
        <f t="shared" si="1"/>
        <v>145200</v>
      </c>
      <c r="K17" s="156">
        <f t="shared" si="2"/>
        <v>0</v>
      </c>
      <c r="L17" s="181">
        <f>EDESUR!I10</f>
        <v>0</v>
      </c>
      <c r="M17" s="179">
        <f t="shared" si="3"/>
        <v>144400.04999999999</v>
      </c>
      <c r="N17" s="157">
        <f t="shared" si="5"/>
        <v>153064.04999999999</v>
      </c>
      <c r="O17" s="158">
        <f t="shared" si="6"/>
        <v>148732.04999999999</v>
      </c>
      <c r="P17" s="30">
        <f t="shared" si="7"/>
        <v>0.05</v>
      </c>
      <c r="Q17" t="s">
        <v>119</v>
      </c>
    </row>
    <row r="18" spans="1:17" ht="17.100000000000001" customHeight="1" x14ac:dyDescent="0.25">
      <c r="A18" s="45">
        <v>6</v>
      </c>
      <c r="B18" s="45" t="s">
        <v>38</v>
      </c>
      <c r="C18" s="45" t="s">
        <v>39</v>
      </c>
      <c r="D18" s="45" t="s">
        <v>91</v>
      </c>
      <c r="E18" s="54">
        <v>5.4</v>
      </c>
      <c r="F18" s="55">
        <v>118800.06</v>
      </c>
      <c r="G18" s="56">
        <f t="shared" ref="G18" si="8">F18</f>
        <v>118800.06</v>
      </c>
      <c r="H18" s="57">
        <f t="shared" si="0"/>
        <v>0</v>
      </c>
      <c r="I18" s="57">
        <f t="shared" si="4"/>
        <v>0</v>
      </c>
      <c r="J18" s="107">
        <f t="shared" si="1"/>
        <v>118800</v>
      </c>
      <c r="K18" s="107">
        <f t="shared" si="2"/>
        <v>0</v>
      </c>
      <c r="L18" s="180">
        <f>EDESUR!I11</f>
        <v>0</v>
      </c>
      <c r="M18" s="178">
        <f t="shared" si="3"/>
        <v>118800.06</v>
      </c>
      <c r="N18" s="58">
        <f t="shared" si="5"/>
        <v>125928.06</v>
      </c>
      <c r="O18" s="59">
        <f t="shared" si="6"/>
        <v>122364.06</v>
      </c>
      <c r="P18" s="30">
        <f t="shared" si="7"/>
        <v>6.0000000000000005E-2</v>
      </c>
    </row>
    <row r="19" spans="1:17" ht="17.100000000000001" customHeight="1" x14ac:dyDescent="0.25">
      <c r="A19" s="170">
        <v>7</v>
      </c>
      <c r="B19" s="170" t="s">
        <v>40</v>
      </c>
      <c r="C19" s="170" t="s">
        <v>41</v>
      </c>
      <c r="D19" s="170" t="s">
        <v>92</v>
      </c>
      <c r="E19" s="172">
        <v>5.4</v>
      </c>
      <c r="F19" s="56">
        <v>344617.07</v>
      </c>
      <c r="G19" s="56">
        <v>200000.07</v>
      </c>
      <c r="H19" s="173">
        <f t="shared" si="0"/>
        <v>144617</v>
      </c>
      <c r="I19" s="173">
        <f t="shared" si="4"/>
        <v>4338.51</v>
      </c>
      <c r="J19" s="174">
        <f t="shared" si="1"/>
        <v>118800</v>
      </c>
      <c r="K19" s="174">
        <f t="shared" si="2"/>
        <v>0</v>
      </c>
      <c r="L19" s="180">
        <f>EDESUR!I12</f>
        <v>0</v>
      </c>
      <c r="M19" s="178">
        <f t="shared" si="3"/>
        <v>267756.07</v>
      </c>
      <c r="N19" s="175">
        <f t="shared" si="5"/>
        <v>283821.07</v>
      </c>
      <c r="O19" s="176">
        <f t="shared" si="6"/>
        <v>275789.07</v>
      </c>
      <c r="P19" s="30">
        <f t="shared" si="7"/>
        <v>7.0000000000000007E-2</v>
      </c>
    </row>
    <row r="20" spans="1:17" ht="17.100000000000001" customHeight="1" x14ac:dyDescent="0.25">
      <c r="A20" s="170">
        <v>8</v>
      </c>
      <c r="B20" s="170" t="s">
        <v>42</v>
      </c>
      <c r="C20" s="170" t="s">
        <v>43</v>
      </c>
      <c r="D20" s="171" t="s">
        <v>71</v>
      </c>
      <c r="E20" s="172">
        <v>6.6</v>
      </c>
      <c r="F20" s="56">
        <v>194649.09</v>
      </c>
      <c r="G20" s="56">
        <f>F20</f>
        <v>194649.09</v>
      </c>
      <c r="H20" s="173">
        <f t="shared" si="0"/>
        <v>0</v>
      </c>
      <c r="I20" s="173">
        <f t="shared" si="4"/>
        <v>0</v>
      </c>
      <c r="J20" s="174">
        <f t="shared" si="1"/>
        <v>145200</v>
      </c>
      <c r="K20" s="174">
        <f t="shared" si="2"/>
        <v>0</v>
      </c>
      <c r="L20" s="180">
        <f>EDESUR!I13</f>
        <v>93523.69</v>
      </c>
      <c r="M20" s="178">
        <f>ROUND(SUM(H20:L20),0) + P20</f>
        <v>238724.08</v>
      </c>
      <c r="N20" s="175">
        <f t="shared" si="5"/>
        <v>253048.08</v>
      </c>
      <c r="O20" s="176">
        <f t="shared" si="6"/>
        <v>245886.07999999999</v>
      </c>
      <c r="P20" s="30">
        <f t="shared" si="7"/>
        <v>0.08</v>
      </c>
    </row>
    <row r="21" spans="1:17" ht="17.100000000000001" customHeight="1" x14ac:dyDescent="0.25">
      <c r="A21" s="45">
        <v>9</v>
      </c>
      <c r="B21" s="45" t="s">
        <v>44</v>
      </c>
      <c r="C21" s="45" t="s">
        <v>45</v>
      </c>
      <c r="D21" s="46" t="s">
        <v>74</v>
      </c>
      <c r="E21" s="54">
        <v>6.6</v>
      </c>
      <c r="F21" s="55">
        <v>145200.09</v>
      </c>
      <c r="G21" s="56">
        <f>F21</f>
        <v>145200.09</v>
      </c>
      <c r="H21" s="57">
        <f t="shared" si="0"/>
        <v>0</v>
      </c>
      <c r="I21" s="57">
        <f t="shared" si="4"/>
        <v>0</v>
      </c>
      <c r="J21" s="107">
        <f t="shared" si="1"/>
        <v>145200</v>
      </c>
      <c r="K21" s="107">
        <f t="shared" si="2"/>
        <v>0</v>
      </c>
      <c r="L21" s="180">
        <f>EDESUR!I14</f>
        <v>0</v>
      </c>
      <c r="M21" s="178">
        <f t="shared" si="3"/>
        <v>145200.09</v>
      </c>
      <c r="N21" s="58">
        <f t="shared" si="5"/>
        <v>153912.09</v>
      </c>
      <c r="O21" s="59">
        <f t="shared" si="6"/>
        <v>149556.09</v>
      </c>
      <c r="P21" s="30">
        <f t="shared" si="7"/>
        <v>0.09</v>
      </c>
    </row>
    <row r="22" spans="1:17" ht="17.100000000000001" customHeight="1" x14ac:dyDescent="0.25">
      <c r="A22" s="45">
        <v>10</v>
      </c>
      <c r="B22" s="45" t="s">
        <v>46</v>
      </c>
      <c r="C22" s="45" t="s">
        <v>47</v>
      </c>
      <c r="D22" s="46" t="s">
        <v>72</v>
      </c>
      <c r="E22" s="54">
        <v>5.4</v>
      </c>
      <c r="F22" s="55">
        <v>2552.1</v>
      </c>
      <c r="G22" s="56">
        <f>F22</f>
        <v>2552.1</v>
      </c>
      <c r="H22" s="57">
        <f t="shared" si="0"/>
        <v>0</v>
      </c>
      <c r="I22" s="57">
        <f t="shared" si="4"/>
        <v>0</v>
      </c>
      <c r="J22" s="107">
        <f t="shared" si="1"/>
        <v>118800</v>
      </c>
      <c r="K22" s="107">
        <f t="shared" si="2"/>
        <v>0</v>
      </c>
      <c r="L22" s="180">
        <f>EDESUR!I15</f>
        <v>0</v>
      </c>
      <c r="M22" s="178">
        <f t="shared" si="3"/>
        <v>118800.1</v>
      </c>
      <c r="N22" s="58">
        <f t="shared" si="5"/>
        <v>125928.1</v>
      </c>
      <c r="O22" s="59">
        <f t="shared" si="6"/>
        <v>122364.1</v>
      </c>
      <c r="P22" s="30">
        <f t="shared" si="7"/>
        <v>9.9999999999999992E-2</v>
      </c>
    </row>
    <row r="23" spans="1:17" ht="17.100000000000001" customHeight="1" x14ac:dyDescent="0.25">
      <c r="A23" s="45">
        <v>11</v>
      </c>
      <c r="B23" s="45" t="s">
        <v>48</v>
      </c>
      <c r="C23" s="45" t="s">
        <v>49</v>
      </c>
      <c r="D23" s="46"/>
      <c r="E23" s="54">
        <v>5.4</v>
      </c>
      <c r="F23" s="55">
        <v>118800.11</v>
      </c>
      <c r="G23" s="56">
        <f>125400-G34</f>
        <v>118799.78</v>
      </c>
      <c r="H23" s="57">
        <f t="shared" si="0"/>
        <v>0.33000000000174623</v>
      </c>
      <c r="I23" s="57">
        <f t="shared" si="4"/>
        <v>9.900000000052386E-3</v>
      </c>
      <c r="J23" s="107">
        <f t="shared" si="1"/>
        <v>118800</v>
      </c>
      <c r="K23" s="107">
        <f t="shared" si="2"/>
        <v>0</v>
      </c>
      <c r="L23" s="180">
        <f>EDESUR!I12</f>
        <v>0</v>
      </c>
      <c r="M23" s="178">
        <f t="shared" si="3"/>
        <v>118800.11</v>
      </c>
      <c r="N23" s="58">
        <f t="shared" si="5"/>
        <v>125928.11</v>
      </c>
      <c r="O23" s="59">
        <f t="shared" si="6"/>
        <v>122364.11</v>
      </c>
      <c r="P23" s="30">
        <f t="shared" si="7"/>
        <v>0.10999999999999999</v>
      </c>
      <c r="Q23" t="s">
        <v>93</v>
      </c>
    </row>
    <row r="24" spans="1:17" ht="30" customHeight="1" x14ac:dyDescent="0.25">
      <c r="A24" s="45">
        <v>12</v>
      </c>
      <c r="B24" s="45" t="s">
        <v>50</v>
      </c>
      <c r="C24" s="45" t="s">
        <v>51</v>
      </c>
      <c r="D24" s="46" t="s">
        <v>73</v>
      </c>
      <c r="E24" s="54">
        <v>6.6</v>
      </c>
      <c r="F24" s="55">
        <v>145200.12</v>
      </c>
      <c r="G24" s="56">
        <v>132012</v>
      </c>
      <c r="H24" s="57">
        <f t="shared" si="0"/>
        <v>13188.119999999995</v>
      </c>
      <c r="I24" s="57">
        <f t="shared" si="4"/>
        <v>395.64359999999982</v>
      </c>
      <c r="J24" s="107">
        <f t="shared" si="1"/>
        <v>145200</v>
      </c>
      <c r="K24" s="107">
        <f t="shared" si="2"/>
        <v>0</v>
      </c>
      <c r="L24" s="180">
        <f>EDESUR!I17</f>
        <v>0</v>
      </c>
      <c r="M24" s="178">
        <f t="shared" si="3"/>
        <v>158784.12</v>
      </c>
      <c r="N24" s="58">
        <f t="shared" si="5"/>
        <v>168311.12</v>
      </c>
      <c r="O24" s="59">
        <f t="shared" si="6"/>
        <v>163548.12</v>
      </c>
      <c r="P24" s="30">
        <f t="shared" si="7"/>
        <v>0.11999999999999998</v>
      </c>
    </row>
    <row r="25" spans="1:17" ht="17.100000000000001" customHeight="1" x14ac:dyDescent="0.25">
      <c r="A25" s="45">
        <v>13</v>
      </c>
      <c r="B25" s="45" t="s">
        <v>52</v>
      </c>
      <c r="C25" s="45" t="s">
        <v>53</v>
      </c>
      <c r="D25" s="46" t="s">
        <v>90</v>
      </c>
      <c r="E25" s="54">
        <v>6.6</v>
      </c>
      <c r="F25" s="55">
        <v>141355.13</v>
      </c>
      <c r="G25" s="56">
        <v>145596.13</v>
      </c>
      <c r="H25" s="57">
        <f t="shared" si="0"/>
        <v>-4241</v>
      </c>
      <c r="I25" s="57">
        <f t="shared" si="4"/>
        <v>0</v>
      </c>
      <c r="J25" s="107">
        <f t="shared" si="1"/>
        <v>145200</v>
      </c>
      <c r="K25" s="107">
        <f t="shared" si="2"/>
        <v>0</v>
      </c>
      <c r="L25" s="180">
        <f>EDESUR!I18</f>
        <v>0</v>
      </c>
      <c r="M25" s="178">
        <f t="shared" si="3"/>
        <v>140959.13</v>
      </c>
      <c r="N25" s="58">
        <f t="shared" si="5"/>
        <v>149417.13</v>
      </c>
      <c r="O25" s="59">
        <f t="shared" si="6"/>
        <v>145188.13</v>
      </c>
      <c r="P25" s="30">
        <f t="shared" si="7"/>
        <v>0.12999999999999998</v>
      </c>
    </row>
    <row r="26" spans="1:17" ht="17.100000000000001" customHeight="1" x14ac:dyDescent="0.25">
      <c r="A26" s="170">
        <v>14</v>
      </c>
      <c r="B26" s="170" t="s">
        <v>54</v>
      </c>
      <c r="C26" s="170" t="s">
        <v>55</v>
      </c>
      <c r="D26" s="171"/>
      <c r="E26" s="172">
        <v>5.4</v>
      </c>
      <c r="F26" s="56">
        <v>127040.14</v>
      </c>
      <c r="G26" s="56">
        <f>F26</f>
        <v>127040.14</v>
      </c>
      <c r="H26" s="173">
        <f t="shared" si="0"/>
        <v>0</v>
      </c>
      <c r="I26" s="173">
        <f t="shared" si="4"/>
        <v>0</v>
      </c>
      <c r="J26" s="174">
        <f t="shared" si="1"/>
        <v>118800</v>
      </c>
      <c r="K26" s="174">
        <f t="shared" si="2"/>
        <v>0</v>
      </c>
      <c r="L26" s="184">
        <f>EDESUR!I19</f>
        <v>0</v>
      </c>
      <c r="M26" s="185">
        <f t="shared" si="3"/>
        <v>118800.14</v>
      </c>
      <c r="N26" s="175">
        <f t="shared" si="5"/>
        <v>125928.14</v>
      </c>
      <c r="O26" s="176">
        <f t="shared" si="6"/>
        <v>122364.14</v>
      </c>
      <c r="P26" s="30">
        <f t="shared" si="7"/>
        <v>0.13999999999999999</v>
      </c>
    </row>
    <row r="27" spans="1:17" ht="17.100000000000001" customHeight="1" x14ac:dyDescent="0.25">
      <c r="A27" s="45">
        <v>15</v>
      </c>
      <c r="B27" s="45" t="s">
        <v>56</v>
      </c>
      <c r="C27" s="45" t="s">
        <v>57</v>
      </c>
      <c r="D27" s="46"/>
      <c r="E27" s="54">
        <v>5.4</v>
      </c>
      <c r="F27" s="55">
        <v>118800.15</v>
      </c>
      <c r="G27" s="56">
        <f t="shared" ref="G27:G35" si="9">F27</f>
        <v>118800.15</v>
      </c>
      <c r="H27" s="57">
        <f t="shared" si="0"/>
        <v>0</v>
      </c>
      <c r="I27" s="57">
        <f t="shared" si="4"/>
        <v>0</v>
      </c>
      <c r="J27" s="107">
        <f t="shared" si="1"/>
        <v>118800</v>
      </c>
      <c r="K27" s="107">
        <f t="shared" si="2"/>
        <v>0</v>
      </c>
      <c r="L27" s="180">
        <f>EDESUR!I16</f>
        <v>0</v>
      </c>
      <c r="M27" s="178">
        <f t="shared" si="3"/>
        <v>118800.15</v>
      </c>
      <c r="N27" s="58">
        <f t="shared" si="5"/>
        <v>125928.15</v>
      </c>
      <c r="O27" s="59">
        <f t="shared" si="6"/>
        <v>122364.15</v>
      </c>
      <c r="P27" s="30">
        <f t="shared" si="7"/>
        <v>0.15</v>
      </c>
    </row>
    <row r="28" spans="1:17" ht="17.100000000000001" customHeight="1" x14ac:dyDescent="0.25">
      <c r="A28" s="45">
        <v>16</v>
      </c>
      <c r="B28" s="45" t="s">
        <v>58</v>
      </c>
      <c r="C28" s="45" t="s">
        <v>39</v>
      </c>
      <c r="D28" s="45" t="s">
        <v>91</v>
      </c>
      <c r="E28" s="54">
        <v>0.7</v>
      </c>
      <c r="F28" s="55">
        <v>15400.16</v>
      </c>
      <c r="G28" s="56">
        <f t="shared" si="9"/>
        <v>15400.16</v>
      </c>
      <c r="H28" s="57">
        <f t="shared" si="0"/>
        <v>0</v>
      </c>
      <c r="I28" s="57">
        <f t="shared" si="4"/>
        <v>0</v>
      </c>
      <c r="J28" s="107">
        <f t="shared" si="1"/>
        <v>15400</v>
      </c>
      <c r="K28" s="107">
        <f t="shared" si="2"/>
        <v>0</v>
      </c>
      <c r="L28" s="180">
        <f>EDESUR!I22</f>
        <v>0</v>
      </c>
      <c r="M28" s="178">
        <f t="shared" si="3"/>
        <v>15400.16</v>
      </c>
      <c r="N28" s="58">
        <f t="shared" si="5"/>
        <v>16324.16</v>
      </c>
      <c r="O28" s="59">
        <f t="shared" si="6"/>
        <v>15862.16</v>
      </c>
      <c r="P28" s="30">
        <f t="shared" si="7"/>
        <v>0.16</v>
      </c>
    </row>
    <row r="29" spans="1:17" ht="17.100000000000001" customHeight="1" x14ac:dyDescent="0.25">
      <c r="A29" s="45">
        <v>17</v>
      </c>
      <c r="B29" s="45" t="s">
        <v>59</v>
      </c>
      <c r="C29" s="45" t="s">
        <v>29</v>
      </c>
      <c r="D29" s="46"/>
      <c r="E29" s="54">
        <v>0.6</v>
      </c>
      <c r="F29" s="56">
        <v>13200.17</v>
      </c>
      <c r="G29" s="56">
        <f t="shared" si="9"/>
        <v>13200.17</v>
      </c>
      <c r="H29" s="57">
        <f t="shared" si="0"/>
        <v>0</v>
      </c>
      <c r="I29" s="57">
        <f t="shared" si="4"/>
        <v>0</v>
      </c>
      <c r="J29" s="107">
        <f t="shared" si="1"/>
        <v>13200</v>
      </c>
      <c r="K29" s="107">
        <f t="shared" si="2"/>
        <v>0</v>
      </c>
      <c r="L29" s="180">
        <f>EDESUR!I23</f>
        <v>0</v>
      </c>
      <c r="M29" s="178">
        <f t="shared" si="3"/>
        <v>13200.17</v>
      </c>
      <c r="N29" s="58">
        <f t="shared" si="5"/>
        <v>13992.17</v>
      </c>
      <c r="O29" s="59">
        <f t="shared" si="6"/>
        <v>13596.17</v>
      </c>
      <c r="P29" s="30">
        <f t="shared" si="7"/>
        <v>0.17</v>
      </c>
    </row>
    <row r="30" spans="1:17" ht="17.100000000000001" customHeight="1" x14ac:dyDescent="0.25">
      <c r="A30" s="45">
        <v>18</v>
      </c>
      <c r="B30" s="45" t="s">
        <v>60</v>
      </c>
      <c r="C30" s="45" t="s">
        <v>29</v>
      </c>
      <c r="D30" s="90"/>
      <c r="E30" s="54">
        <v>0.6</v>
      </c>
      <c r="F30" s="55">
        <v>13200.18</v>
      </c>
      <c r="G30" s="56">
        <f t="shared" si="9"/>
        <v>13200.18</v>
      </c>
      <c r="H30" s="57">
        <f t="shared" si="0"/>
        <v>0</v>
      </c>
      <c r="I30" s="57">
        <f t="shared" si="4"/>
        <v>0</v>
      </c>
      <c r="J30" s="107">
        <f t="shared" si="1"/>
        <v>13200</v>
      </c>
      <c r="K30" s="107">
        <f t="shared" si="2"/>
        <v>0</v>
      </c>
      <c r="L30" s="180">
        <f>EDESUR!I24</f>
        <v>0</v>
      </c>
      <c r="M30" s="178">
        <f t="shared" si="3"/>
        <v>13200.18</v>
      </c>
      <c r="N30" s="58">
        <f t="shared" si="5"/>
        <v>13992.18</v>
      </c>
      <c r="O30" s="59">
        <f t="shared" si="6"/>
        <v>13596.18</v>
      </c>
      <c r="P30" s="30">
        <f t="shared" si="7"/>
        <v>0.18000000000000002</v>
      </c>
    </row>
    <row r="31" spans="1:17" x14ac:dyDescent="0.25">
      <c r="A31" s="170">
        <v>19</v>
      </c>
      <c r="B31" s="170" t="s">
        <v>61</v>
      </c>
      <c r="C31" s="170" t="s">
        <v>51</v>
      </c>
      <c r="D31" s="171"/>
      <c r="E31" s="172">
        <v>0.6</v>
      </c>
      <c r="F31" s="56">
        <v>13200.19</v>
      </c>
      <c r="G31" s="56">
        <f t="shared" si="9"/>
        <v>13200.19</v>
      </c>
      <c r="H31" s="173">
        <f t="shared" si="0"/>
        <v>0</v>
      </c>
      <c r="I31" s="173">
        <f t="shared" si="4"/>
        <v>0</v>
      </c>
      <c r="J31" s="174">
        <f t="shared" si="1"/>
        <v>13200</v>
      </c>
      <c r="K31" s="174">
        <f t="shared" si="2"/>
        <v>0</v>
      </c>
      <c r="L31" s="184">
        <f>EDESUR!I25</f>
        <v>0</v>
      </c>
      <c r="M31" s="185">
        <f t="shared" si="3"/>
        <v>13200.19</v>
      </c>
      <c r="N31" s="175"/>
      <c r="O31" s="176">
        <f t="shared" si="6"/>
        <v>13596.19</v>
      </c>
      <c r="P31" s="30">
        <f>P30+0.01</f>
        <v>0.19000000000000003</v>
      </c>
    </row>
    <row r="32" spans="1:17" ht="23.25" x14ac:dyDescent="0.25">
      <c r="A32" s="60">
        <v>20</v>
      </c>
      <c r="B32" s="60" t="s">
        <v>62</v>
      </c>
      <c r="C32" s="45" t="s">
        <v>35</v>
      </c>
      <c r="D32" s="46" t="s">
        <v>129</v>
      </c>
      <c r="E32" s="54">
        <v>0.6</v>
      </c>
      <c r="F32" s="62">
        <v>13200.2</v>
      </c>
      <c r="G32" s="56">
        <f t="shared" si="9"/>
        <v>13200.2</v>
      </c>
      <c r="H32" s="57">
        <f t="shared" si="0"/>
        <v>0</v>
      </c>
      <c r="I32" s="57">
        <f t="shared" si="4"/>
        <v>0</v>
      </c>
      <c r="J32" s="107">
        <f t="shared" si="1"/>
        <v>13200</v>
      </c>
      <c r="K32" s="107">
        <f t="shared" si="2"/>
        <v>0</v>
      </c>
      <c r="L32" s="180">
        <f>EDESUR!I26</f>
        <v>0</v>
      </c>
      <c r="M32" s="178">
        <f t="shared" si="3"/>
        <v>13200.2</v>
      </c>
      <c r="N32" s="58"/>
      <c r="O32" s="59">
        <f t="shared" si="6"/>
        <v>13596.2</v>
      </c>
      <c r="P32" s="30">
        <f t="shared" ref="P32:P35" si="10">P31+0.01</f>
        <v>0.20000000000000004</v>
      </c>
    </row>
    <row r="33" spans="1:16" x14ac:dyDescent="0.25">
      <c r="A33" s="60">
        <v>21</v>
      </c>
      <c r="B33" s="60" t="s">
        <v>63</v>
      </c>
      <c r="C33" s="47" t="s">
        <v>47</v>
      </c>
      <c r="D33" s="46" t="s">
        <v>72</v>
      </c>
      <c r="E33" s="54">
        <v>0.3</v>
      </c>
      <c r="F33" s="62">
        <v>6600.21</v>
      </c>
      <c r="G33" s="56">
        <f t="shared" si="9"/>
        <v>6600.21</v>
      </c>
      <c r="H33" s="57">
        <f t="shared" si="0"/>
        <v>0</v>
      </c>
      <c r="I33" s="57">
        <f t="shared" si="4"/>
        <v>0</v>
      </c>
      <c r="J33" s="107">
        <f t="shared" si="1"/>
        <v>6600</v>
      </c>
      <c r="K33" s="107">
        <f t="shared" si="2"/>
        <v>0</v>
      </c>
      <c r="L33" s="180">
        <f>EDESUR!I27</f>
        <v>0</v>
      </c>
      <c r="M33" s="178">
        <f t="shared" si="3"/>
        <v>6600.21</v>
      </c>
      <c r="N33" s="58"/>
      <c r="O33" s="59">
        <f t="shared" si="6"/>
        <v>6798.21</v>
      </c>
      <c r="P33" s="30">
        <f t="shared" si="10"/>
        <v>0.21000000000000005</v>
      </c>
    </row>
    <row r="34" spans="1:16" x14ac:dyDescent="0.25">
      <c r="A34" s="61">
        <v>22</v>
      </c>
      <c r="B34" s="61" t="s">
        <v>64</v>
      </c>
      <c r="C34" s="45" t="s">
        <v>49</v>
      </c>
      <c r="D34" s="46"/>
      <c r="E34" s="54">
        <v>0.3</v>
      </c>
      <c r="F34" s="62">
        <v>6600.22</v>
      </c>
      <c r="G34" s="167">
        <f t="shared" si="9"/>
        <v>6600.22</v>
      </c>
      <c r="H34" s="57">
        <f t="shared" si="0"/>
        <v>0</v>
      </c>
      <c r="I34" s="57">
        <f t="shared" si="4"/>
        <v>0</v>
      </c>
      <c r="J34" s="107">
        <f t="shared" si="1"/>
        <v>6600</v>
      </c>
      <c r="K34" s="107">
        <f t="shared" si="2"/>
        <v>0</v>
      </c>
      <c r="L34" s="180">
        <f>EDESUR!I28</f>
        <v>0</v>
      </c>
      <c r="M34" s="178">
        <f t="shared" si="3"/>
        <v>6600.22</v>
      </c>
      <c r="N34" s="58"/>
      <c r="O34" s="59">
        <f t="shared" si="6"/>
        <v>6798.22</v>
      </c>
      <c r="P34" s="30">
        <f t="shared" si="10"/>
        <v>0.22000000000000006</v>
      </c>
    </row>
    <row r="35" spans="1:16" ht="17.100000000000001" customHeight="1" thickBot="1" x14ac:dyDescent="0.3">
      <c r="A35" s="45">
        <v>23</v>
      </c>
      <c r="B35" s="63" t="s">
        <v>65</v>
      </c>
      <c r="C35" s="63" t="s">
        <v>66</v>
      </c>
      <c r="D35" s="46" t="s">
        <v>70</v>
      </c>
      <c r="E35" s="54">
        <v>0.3</v>
      </c>
      <c r="F35" s="62">
        <v>6600.23</v>
      </c>
      <c r="G35" s="56">
        <f t="shared" si="9"/>
        <v>6600.23</v>
      </c>
      <c r="H35" s="57">
        <f t="shared" si="0"/>
        <v>0</v>
      </c>
      <c r="I35" s="57">
        <f t="shared" si="4"/>
        <v>0</v>
      </c>
      <c r="J35" s="107">
        <f t="shared" si="1"/>
        <v>6600</v>
      </c>
      <c r="K35" s="107">
        <f t="shared" si="2"/>
        <v>0</v>
      </c>
      <c r="L35" s="180">
        <f>EDESUR!I29</f>
        <v>0</v>
      </c>
      <c r="M35" s="178">
        <f t="shared" si="3"/>
        <v>6600.23</v>
      </c>
      <c r="N35" s="64"/>
      <c r="O35" s="59">
        <f t="shared" si="6"/>
        <v>6798.23</v>
      </c>
      <c r="P35" s="30">
        <f t="shared" si="10"/>
        <v>0.23000000000000007</v>
      </c>
    </row>
    <row r="36" spans="1:16" ht="17.100000000000001" customHeight="1" thickBot="1" x14ac:dyDescent="0.3">
      <c r="A36" s="65"/>
      <c r="B36" s="65"/>
      <c r="C36" s="66"/>
      <c r="D36" s="66"/>
      <c r="E36" s="119">
        <f>SUM(E13:E35)</f>
        <v>99.999999999999986</v>
      </c>
      <c r="F36" s="39">
        <f>SUM(F13:F35)</f>
        <v>2427795.7700000009</v>
      </c>
      <c r="G36" s="43">
        <f>SUM(G13:G35)</f>
        <v>2275561.9000000008</v>
      </c>
      <c r="H36" s="43">
        <f>SUM(H13:H35)</f>
        <v>152233.86999999994</v>
      </c>
      <c r="I36" s="43">
        <f t="shared" ref="I36:N36" si="11">SUM(I13:I35)</f>
        <v>4734.1739999999991</v>
      </c>
      <c r="J36" s="93">
        <f t="shared" si="11"/>
        <v>2200000</v>
      </c>
      <c r="K36" s="43">
        <f t="shared" si="11"/>
        <v>0</v>
      </c>
      <c r="L36" s="177"/>
      <c r="M36" s="67">
        <f>SUM(M13:M35)</f>
        <v>2520660.7600000012</v>
      </c>
      <c r="N36" s="67">
        <f t="shared" si="11"/>
        <v>2622927.7100000009</v>
      </c>
      <c r="O36" s="67">
        <f>SUM(O13:O35)</f>
        <v>2596281.7600000012</v>
      </c>
    </row>
    <row r="37" spans="1:16" ht="12.75" customHeight="1" x14ac:dyDescent="0.25">
      <c r="C37" s="36"/>
      <c r="D37" s="36"/>
    </row>
    <row r="38" spans="1:16" hidden="1" x14ac:dyDescent="0.25"/>
    <row r="39" spans="1:16" ht="9" customHeight="1" x14ac:dyDescent="0.25">
      <c r="C39" s="202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D39" s="202"/>
      <c r="E39" s="202"/>
      <c r="F39" s="202"/>
      <c r="G39" s="202"/>
      <c r="H39" s="202"/>
      <c r="I39" s="202"/>
      <c r="J39" s="202"/>
      <c r="K39" s="202"/>
      <c r="L39" s="202"/>
      <c r="M39" s="202"/>
    </row>
    <row r="40" spans="1:16" ht="12" hidden="1" customHeight="1" x14ac:dyDescent="0.25"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</row>
    <row r="41" spans="1:16" ht="12" hidden="1" customHeight="1" x14ac:dyDescent="0.25"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</row>
    <row r="42" spans="1:16" ht="12" hidden="1" customHeight="1" x14ac:dyDescent="0.25"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</row>
    <row r="43" spans="1:16" ht="12" hidden="1" customHeight="1" x14ac:dyDescent="0.25"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</row>
    <row r="44" spans="1:16" ht="67.5" customHeight="1" x14ac:dyDescent="0.25"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</row>
  </sheetData>
  <mergeCells count="18">
    <mergeCell ref="E1:M1"/>
    <mergeCell ref="I11:I12"/>
    <mergeCell ref="F11:F12"/>
    <mergeCell ref="N11:N12"/>
    <mergeCell ref="G11:G12"/>
    <mergeCell ref="H11:H12"/>
    <mergeCell ref="J11:J12"/>
    <mergeCell ref="K11:K12"/>
    <mergeCell ref="A4:O8"/>
    <mergeCell ref="O11:O12"/>
    <mergeCell ref="A9:O9"/>
    <mergeCell ref="A10:O10"/>
    <mergeCell ref="L11:L12"/>
    <mergeCell ref="C39:M44"/>
    <mergeCell ref="D11:D12"/>
    <mergeCell ref="A11:A12"/>
    <mergeCell ref="C11:C12"/>
    <mergeCell ref="E11:E12"/>
  </mergeCells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B3:J33"/>
  <sheetViews>
    <sheetView workbookViewId="0">
      <selection activeCell="G22" sqref="G22"/>
    </sheetView>
  </sheetViews>
  <sheetFormatPr baseColWidth="10" defaultColWidth="10.85546875" defaultRowHeight="15" x14ac:dyDescent="0.25"/>
  <cols>
    <col min="4" max="4" width="4" customWidth="1"/>
    <col min="5" max="5" width="21.5703125" customWidth="1"/>
    <col min="6" max="6" width="4.5703125" customWidth="1"/>
    <col min="7" max="7" width="24.42578125" customWidth="1"/>
    <col min="8" max="8" width="5" customWidth="1"/>
    <col min="10" max="10" width="19.5703125" customWidth="1"/>
  </cols>
  <sheetData>
    <row r="3" spans="2:10" ht="30" customHeight="1" x14ac:dyDescent="0.25">
      <c r="B3" s="125" t="s">
        <v>81</v>
      </c>
      <c r="C3" s="125" t="s">
        <v>82</v>
      </c>
      <c r="E3" s="127" t="s">
        <v>88</v>
      </c>
      <c r="G3" s="166" t="s">
        <v>122</v>
      </c>
      <c r="I3" s="239" t="s">
        <v>89</v>
      </c>
      <c r="J3" s="240"/>
    </row>
    <row r="4" spans="2:10" x14ac:dyDescent="0.25">
      <c r="B4" s="125"/>
      <c r="C4" s="125"/>
      <c r="E4" s="125"/>
      <c r="G4" s="128"/>
      <c r="I4" s="239"/>
      <c r="J4" s="240"/>
    </row>
    <row r="5" spans="2:10" x14ac:dyDescent="0.25">
      <c r="B5" s="125">
        <v>1</v>
      </c>
      <c r="C5" s="125" t="s">
        <v>83</v>
      </c>
      <c r="E5" s="129">
        <v>4778.67</v>
      </c>
      <c r="F5" s="2"/>
      <c r="G5" s="130">
        <f>E5</f>
        <v>4778.67</v>
      </c>
      <c r="I5" s="237">
        <f>E5-G5</f>
        <v>0</v>
      </c>
      <c r="J5" s="238"/>
    </row>
    <row r="6" spans="2:10" x14ac:dyDescent="0.25">
      <c r="B6" s="125">
        <v>1</v>
      </c>
      <c r="C6" s="125" t="s">
        <v>84</v>
      </c>
      <c r="E6" s="129">
        <v>32287.37</v>
      </c>
      <c r="F6" s="2"/>
      <c r="G6" s="130">
        <v>0</v>
      </c>
      <c r="I6" s="237">
        <f t="shared" ref="I6:I19" si="0">E6-G6</f>
        <v>32287.37</v>
      </c>
      <c r="J6" s="238"/>
    </row>
    <row r="7" spans="2:10" x14ac:dyDescent="0.25">
      <c r="B7" s="125">
        <v>1</v>
      </c>
      <c r="C7" s="125" t="s">
        <v>85</v>
      </c>
      <c r="E7" s="129">
        <v>37878.74</v>
      </c>
      <c r="F7" s="2"/>
      <c r="G7" s="130"/>
      <c r="I7" s="237">
        <f t="shared" si="0"/>
        <v>37878.74</v>
      </c>
      <c r="J7" s="238"/>
    </row>
    <row r="8" spans="2:10" x14ac:dyDescent="0.25">
      <c r="B8" s="125">
        <v>2</v>
      </c>
      <c r="C8" s="125" t="s">
        <v>83</v>
      </c>
      <c r="E8" s="129">
        <v>2150.4</v>
      </c>
      <c r="F8" s="2"/>
      <c r="G8" s="130">
        <f>E8</f>
        <v>2150.4</v>
      </c>
      <c r="I8" s="237">
        <f t="shared" si="0"/>
        <v>0</v>
      </c>
      <c r="J8" s="238"/>
    </row>
    <row r="9" spans="2:10" x14ac:dyDescent="0.25">
      <c r="B9" s="126">
        <v>2</v>
      </c>
      <c r="C9" s="126" t="s">
        <v>86</v>
      </c>
      <c r="E9" s="129">
        <v>2628.27</v>
      </c>
      <c r="F9" s="2"/>
      <c r="G9" s="130">
        <f>E9</f>
        <v>2628.27</v>
      </c>
      <c r="I9" s="237">
        <f t="shared" si="0"/>
        <v>0</v>
      </c>
      <c r="J9" s="238"/>
    </row>
    <row r="10" spans="2:10" x14ac:dyDescent="0.25">
      <c r="B10" s="126">
        <v>2</v>
      </c>
      <c r="C10" s="126" t="s">
        <v>84</v>
      </c>
      <c r="E10" s="129">
        <v>2628.27</v>
      </c>
      <c r="F10" s="2"/>
      <c r="G10" s="130">
        <f>E10</f>
        <v>2628.27</v>
      </c>
      <c r="I10" s="237">
        <f t="shared" si="0"/>
        <v>0</v>
      </c>
      <c r="J10" s="238"/>
    </row>
    <row r="11" spans="2:10" x14ac:dyDescent="0.25">
      <c r="B11" s="126">
        <v>2</v>
      </c>
      <c r="C11" s="126" t="s">
        <v>85</v>
      </c>
      <c r="E11" s="129">
        <v>2150.4</v>
      </c>
      <c r="F11" s="2"/>
      <c r="G11" s="130">
        <f>E11</f>
        <v>2150.4</v>
      </c>
      <c r="I11" s="237">
        <f t="shared" si="0"/>
        <v>0</v>
      </c>
      <c r="J11" s="238"/>
    </row>
    <row r="12" spans="2:10" x14ac:dyDescent="0.25">
      <c r="B12" s="126">
        <v>3</v>
      </c>
      <c r="C12" s="126" t="s">
        <v>83</v>
      </c>
      <c r="E12" s="129">
        <v>2150.4</v>
      </c>
      <c r="F12" s="2"/>
      <c r="G12" s="130">
        <f>E12</f>
        <v>2150.4</v>
      </c>
      <c r="I12" s="237">
        <f t="shared" si="0"/>
        <v>0</v>
      </c>
      <c r="J12" s="238"/>
    </row>
    <row r="13" spans="2:10" x14ac:dyDescent="0.25">
      <c r="B13" s="125">
        <v>3</v>
      </c>
      <c r="C13" s="125" t="s">
        <v>86</v>
      </c>
      <c r="E13" s="129">
        <v>93523.69</v>
      </c>
      <c r="F13" s="2"/>
      <c r="G13" s="130"/>
      <c r="I13" s="237">
        <f t="shared" si="0"/>
        <v>93523.69</v>
      </c>
      <c r="J13" s="238"/>
    </row>
    <row r="14" spans="2:10" x14ac:dyDescent="0.25">
      <c r="B14" s="126">
        <v>3</v>
      </c>
      <c r="C14" s="126" t="s">
        <v>84</v>
      </c>
      <c r="E14" s="129">
        <v>2628.27</v>
      </c>
      <c r="F14" s="2"/>
      <c r="G14" s="130">
        <f t="shared" ref="G14:G19" si="1">E14</f>
        <v>2628.27</v>
      </c>
      <c r="I14" s="237">
        <f t="shared" si="0"/>
        <v>0</v>
      </c>
      <c r="J14" s="238"/>
    </row>
    <row r="15" spans="2:10" x14ac:dyDescent="0.25">
      <c r="B15" s="126">
        <v>3</v>
      </c>
      <c r="C15" s="126" t="s">
        <v>85</v>
      </c>
      <c r="E15" s="129">
        <v>2150.4</v>
      </c>
      <c r="F15" s="2"/>
      <c r="G15" s="130">
        <f t="shared" si="1"/>
        <v>2150.4</v>
      </c>
      <c r="I15" s="237">
        <f t="shared" si="0"/>
        <v>0</v>
      </c>
      <c r="J15" s="238"/>
    </row>
    <row r="16" spans="2:10" x14ac:dyDescent="0.25">
      <c r="B16" s="125">
        <v>4</v>
      </c>
      <c r="C16" s="125" t="s">
        <v>83</v>
      </c>
      <c r="E16" s="129">
        <v>2150.4</v>
      </c>
      <c r="F16" s="2"/>
      <c r="G16" s="130">
        <f t="shared" si="1"/>
        <v>2150.4</v>
      </c>
      <c r="I16" s="237">
        <f t="shared" si="0"/>
        <v>0</v>
      </c>
      <c r="J16" s="238"/>
    </row>
    <row r="17" spans="2:10" x14ac:dyDescent="0.25">
      <c r="B17" s="126">
        <v>4</v>
      </c>
      <c r="C17" s="126" t="s">
        <v>86</v>
      </c>
      <c r="E17" s="129">
        <v>2628.27</v>
      </c>
      <c r="F17" s="2"/>
      <c r="G17" s="130">
        <f t="shared" si="1"/>
        <v>2628.27</v>
      </c>
      <c r="I17" s="237">
        <f t="shared" si="0"/>
        <v>0</v>
      </c>
      <c r="J17" s="238"/>
    </row>
    <row r="18" spans="2:10" x14ac:dyDescent="0.25">
      <c r="B18" s="125">
        <v>4</v>
      </c>
      <c r="C18" s="125" t="s">
        <v>84</v>
      </c>
      <c r="E18" s="129">
        <v>2628.27</v>
      </c>
      <c r="F18" s="2"/>
      <c r="G18" s="130">
        <f t="shared" si="1"/>
        <v>2628.27</v>
      </c>
      <c r="I18" s="237">
        <f t="shared" si="0"/>
        <v>0</v>
      </c>
      <c r="J18" s="238"/>
    </row>
    <row r="19" spans="2:10" x14ac:dyDescent="0.25">
      <c r="B19" s="126">
        <v>4</v>
      </c>
      <c r="C19" s="126" t="s">
        <v>85</v>
      </c>
      <c r="E19" s="129">
        <v>2150.4</v>
      </c>
      <c r="F19" s="2"/>
      <c r="G19" s="130">
        <f t="shared" si="1"/>
        <v>2150.4</v>
      </c>
      <c r="I19" s="237">
        <f t="shared" si="0"/>
        <v>0</v>
      </c>
      <c r="J19" s="238"/>
    </row>
    <row r="20" spans="2:10" x14ac:dyDescent="0.25">
      <c r="B20" s="125"/>
      <c r="C20" s="125"/>
      <c r="E20" s="125"/>
      <c r="G20" s="128"/>
      <c r="I20" s="237"/>
      <c r="J20" s="238"/>
    </row>
    <row r="21" spans="2:10" x14ac:dyDescent="0.25">
      <c r="B21" s="159" t="s">
        <v>121</v>
      </c>
      <c r="C21" s="159"/>
      <c r="D21" s="160"/>
      <c r="E21" s="161">
        <f>SUM(E5:E20)</f>
        <v>194512.21999999994</v>
      </c>
      <c r="F21" s="162"/>
      <c r="G21" s="161">
        <f>SUM(G5:G20)</f>
        <v>30822.420000000006</v>
      </c>
      <c r="I21" s="237">
        <f>E21-G21</f>
        <v>163689.79999999993</v>
      </c>
      <c r="J21" s="238"/>
    </row>
    <row r="22" spans="2:10" x14ac:dyDescent="0.25">
      <c r="B22" s="125" t="s">
        <v>87</v>
      </c>
      <c r="C22" s="125">
        <v>1</v>
      </c>
      <c r="E22" s="135">
        <v>278.76</v>
      </c>
      <c r="G22" s="136">
        <f>E22</f>
        <v>278.76</v>
      </c>
      <c r="I22" s="237">
        <f t="shared" ref="I22" si="2">E22-G22</f>
        <v>0</v>
      </c>
      <c r="J22" s="238"/>
    </row>
    <row r="23" spans="2:10" x14ac:dyDescent="0.25">
      <c r="B23" s="125" t="s">
        <v>87</v>
      </c>
      <c r="C23" s="125">
        <v>2</v>
      </c>
      <c r="E23" s="135">
        <v>238.93</v>
      </c>
      <c r="G23" s="136">
        <f t="shared" ref="G23:G29" si="3">E23</f>
        <v>238.93</v>
      </c>
      <c r="I23" s="237">
        <f t="shared" ref="I23:I31" si="4">E23-G23</f>
        <v>0</v>
      </c>
      <c r="J23" s="238"/>
    </row>
    <row r="24" spans="2:10" x14ac:dyDescent="0.25">
      <c r="B24" s="125" t="s">
        <v>87</v>
      </c>
      <c r="C24" s="125">
        <v>3</v>
      </c>
      <c r="E24" s="135">
        <v>238.93</v>
      </c>
      <c r="G24" s="136">
        <f t="shared" si="3"/>
        <v>238.93</v>
      </c>
      <c r="I24" s="237">
        <f t="shared" si="4"/>
        <v>0</v>
      </c>
      <c r="J24" s="238"/>
    </row>
    <row r="25" spans="2:10" x14ac:dyDescent="0.25">
      <c r="B25" s="125" t="s">
        <v>87</v>
      </c>
      <c r="C25" s="125">
        <v>4</v>
      </c>
      <c r="E25" s="135">
        <v>238.93</v>
      </c>
      <c r="G25" s="136">
        <f t="shared" si="3"/>
        <v>238.93</v>
      </c>
      <c r="I25" s="237">
        <f t="shared" si="4"/>
        <v>0</v>
      </c>
      <c r="J25" s="238"/>
    </row>
    <row r="26" spans="2:10" x14ac:dyDescent="0.25">
      <c r="B26" s="125" t="s">
        <v>87</v>
      </c>
      <c r="C26" s="125">
        <v>5</v>
      </c>
      <c r="E26" s="135">
        <v>238.93</v>
      </c>
      <c r="G26" s="136">
        <f t="shared" si="3"/>
        <v>238.93</v>
      </c>
      <c r="I26" s="237">
        <f t="shared" si="4"/>
        <v>0</v>
      </c>
      <c r="J26" s="238"/>
    </row>
    <row r="27" spans="2:10" x14ac:dyDescent="0.25">
      <c r="B27" s="125" t="s">
        <v>87</v>
      </c>
      <c r="C27" s="125">
        <v>6</v>
      </c>
      <c r="E27" s="135">
        <v>119.47</v>
      </c>
      <c r="G27" s="136">
        <f t="shared" si="3"/>
        <v>119.47</v>
      </c>
      <c r="I27" s="237">
        <f t="shared" si="4"/>
        <v>0</v>
      </c>
      <c r="J27" s="238"/>
    </row>
    <row r="28" spans="2:10" x14ac:dyDescent="0.25">
      <c r="B28" s="125" t="s">
        <v>87</v>
      </c>
      <c r="C28" s="125">
        <v>7</v>
      </c>
      <c r="E28" s="135">
        <v>119.47</v>
      </c>
      <c r="G28" s="136">
        <f t="shared" si="3"/>
        <v>119.47</v>
      </c>
      <c r="I28" s="237">
        <f t="shared" si="4"/>
        <v>0</v>
      </c>
      <c r="J28" s="238"/>
    </row>
    <row r="29" spans="2:10" x14ac:dyDescent="0.25">
      <c r="B29" s="125" t="s">
        <v>87</v>
      </c>
      <c r="C29" s="125">
        <v>8</v>
      </c>
      <c r="E29" s="135">
        <v>119.47</v>
      </c>
      <c r="G29" s="136">
        <f t="shared" si="3"/>
        <v>119.47</v>
      </c>
      <c r="I29" s="237">
        <f t="shared" si="4"/>
        <v>0</v>
      </c>
      <c r="J29" s="238"/>
    </row>
    <row r="30" spans="2:10" x14ac:dyDescent="0.25">
      <c r="B30" s="164" t="s">
        <v>121</v>
      </c>
      <c r="C30" s="165"/>
      <c r="D30" s="163"/>
      <c r="E30" s="161">
        <f>SUM(E22:E29)</f>
        <v>1592.8900000000003</v>
      </c>
      <c r="F30" s="163"/>
      <c r="G30" s="161">
        <f>SUM(G22:G29)</f>
        <v>1592.8900000000003</v>
      </c>
      <c r="I30" s="237">
        <f t="shared" si="4"/>
        <v>0</v>
      </c>
      <c r="J30" s="238"/>
    </row>
    <row r="31" spans="2:10" x14ac:dyDescent="0.25">
      <c r="E31" s="133"/>
      <c r="G31" s="130"/>
      <c r="I31" s="237">
        <f t="shared" si="4"/>
        <v>0</v>
      </c>
      <c r="J31" s="238"/>
    </row>
    <row r="32" spans="2:10" x14ac:dyDescent="0.25">
      <c r="E32" s="131"/>
      <c r="G32" s="132"/>
      <c r="I32" s="237"/>
      <c r="J32" s="238"/>
    </row>
    <row r="33" spans="5:10" x14ac:dyDescent="0.25">
      <c r="E33" s="133">
        <f>E30+E21</f>
        <v>196105.10999999996</v>
      </c>
      <c r="G33" s="130">
        <f>G21+G30</f>
        <v>32415.310000000005</v>
      </c>
      <c r="I33" s="237">
        <f>E33-G33</f>
        <v>163689.79999999996</v>
      </c>
      <c r="J33" s="238"/>
    </row>
  </sheetData>
  <mergeCells count="31">
    <mergeCell ref="I31:J31"/>
    <mergeCell ref="I32:J32"/>
    <mergeCell ref="I33:J33"/>
    <mergeCell ref="I4:J4"/>
    <mergeCell ref="I25:J25"/>
    <mergeCell ref="I26:J26"/>
    <mergeCell ref="I27:J27"/>
    <mergeCell ref="I28:J28"/>
    <mergeCell ref="I29:J29"/>
    <mergeCell ref="I30:J30"/>
    <mergeCell ref="I19:J19"/>
    <mergeCell ref="I20:J20"/>
    <mergeCell ref="I21:J21"/>
    <mergeCell ref="I22:J22"/>
    <mergeCell ref="I23:J23"/>
    <mergeCell ref="I24:J24"/>
    <mergeCell ref="I18:J18"/>
    <mergeCell ref="I3:J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</mergeCells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EDESUR</vt:lpstr>
      <vt:lpstr>EDESUR!Área_de_impresión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2026-04-01T16:33:31Z</cp:lastPrinted>
  <dcterms:created xsi:type="dcterms:W3CDTF">2023-09-17T12:29:07Z</dcterms:created>
  <dcterms:modified xsi:type="dcterms:W3CDTF">2026-04-01T16:33:34Z</dcterms:modified>
</cp:coreProperties>
</file>