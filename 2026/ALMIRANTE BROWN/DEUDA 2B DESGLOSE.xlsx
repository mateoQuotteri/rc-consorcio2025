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2026\ALMIRANTE BROWN\"/>
    </mc:Choice>
  </mc:AlternateContent>
  <xr:revisionPtr revIDLastSave="0" documentId="13_ncr:1_{8D63AE42-B0C5-4667-BAC9-C880FE20A3D6}" xr6:coauthVersionLast="47" xr6:coauthVersionMax="47" xr10:uidLastSave="{00000000-0000-0000-0000-000000000000}"/>
  <bookViews>
    <workbookView xWindow="-108" yWindow="-108" windowWidth="23256" windowHeight="12576" xr2:uid="{A27F3F32-B1E2-4C64-9A07-11000E6797D9}"/>
  </bookViews>
  <sheets>
    <sheet name="Hoja1" sheetId="1" r:id="rId1"/>
  </sheets>
  <definedNames>
    <definedName name="_xlnm.Print_Area" localSheetId="0">Hoja1!$C$2:$M$30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1" l="1"/>
  <c r="G30" i="1" s="1"/>
  <c r="C18" i="1"/>
  <c r="G18" i="1" s="1"/>
  <c r="C12" i="1"/>
  <c r="G12" i="1"/>
  <c r="M6" i="1"/>
  <c r="I6" i="1"/>
  <c r="G6" i="1"/>
  <c r="I30" i="1" l="1"/>
  <c r="M30" i="1"/>
  <c r="I18" i="1"/>
  <c r="M18" i="1" s="1"/>
  <c r="C24" i="1" s="1"/>
  <c r="G24" i="1" s="1"/>
  <c r="I24" i="1" s="1"/>
  <c r="M24" i="1" s="1"/>
  <c r="I12" i="1"/>
  <c r="M12" i="1" s="1"/>
</calcChain>
</file>

<file path=xl/sharedStrings.xml><?xml version="1.0" encoding="utf-8"?>
<sst xmlns="http://schemas.openxmlformats.org/spreadsheetml/2006/main" count="35" uniqueCount="15">
  <si>
    <t>Mes de Enero 2026</t>
  </si>
  <si>
    <t>Tenia que abonar:</t>
  </si>
  <si>
    <t>Abono:</t>
  </si>
  <si>
    <t>Deuda:</t>
  </si>
  <si>
    <t>Intereses</t>
  </si>
  <si>
    <t>Expensas ordinarias</t>
  </si>
  <si>
    <t>A abonar en febrero:</t>
  </si>
  <si>
    <t>Mes de Febrero 2026</t>
  </si>
  <si>
    <t>Mes de Marzo 2026</t>
  </si>
  <si>
    <t>Mes de Abril 2026</t>
  </si>
  <si>
    <t>A abonar en Marzo:</t>
  </si>
  <si>
    <t>A abonar en Abril:</t>
  </si>
  <si>
    <t>A abonar en Mayo</t>
  </si>
  <si>
    <t>Mes de Mayo 2026</t>
  </si>
  <si>
    <t>A abonar en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</si>
</sst>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0" fillId="0" borderId="0" xfId="0" applyAlignment="1">
      <alignment horizontal="left" vertical="center" wrapText="1"/>
    </xf>
    <xf numFmtId="44" fontId="0" fillId="0" borderId="0" xfId="0" applyNumberFormat="1"/>
    <xf numFmtId="8" fontId="0" fillId="0" borderId="0" xfId="1" applyNumberFormat="1" applyFont="1"/>
    <xf numFmtId="0" fontId="2" fillId="0" borderId="0" xfId="0" applyFont="1" applyAlignment="1">
      <alignment horizontal="left" vertical="center" wrapText="1"/>
    </xf>
    <xf numFmtId="44" fontId="2" fillId="0" borderId="0" xfId="0" applyNumberFormat="1" applyFont="1"/>
    <xf numFmtId="0" fontId="2" fillId="2" borderId="0" xfId="0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A984-28D2-4505-B07F-4758A9A0C065}">
  <dimension ref="C3:M30"/>
  <sheetViews>
    <sheetView tabSelected="1" workbookViewId="0">
      <selection activeCell="C2" sqref="C2:M30"/>
    </sheetView>
  </sheetViews>
  <sheetFormatPr baseColWidth="10" defaultRowHeight="14.4" x14ac:dyDescent="0.3"/>
  <cols>
    <col min="3" max="3" width="13.21875" customWidth="1"/>
    <col min="4" max="4" width="12.77734375" bestFit="1" customWidth="1"/>
    <col min="7" max="7" width="12.77734375" bestFit="1" customWidth="1"/>
    <col min="11" max="11" width="13.21875" customWidth="1"/>
    <col min="13" max="13" width="12.77734375" bestFit="1" customWidth="1"/>
  </cols>
  <sheetData>
    <row r="3" spans="3:13" x14ac:dyDescent="0.3">
      <c r="C3" s="7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</row>
    <row r="5" spans="3:13" ht="40.200000000000003" customHeight="1" x14ac:dyDescent="0.3">
      <c r="C5" s="2" t="s">
        <v>1</v>
      </c>
      <c r="D5" s="2"/>
      <c r="E5" s="2" t="s">
        <v>2</v>
      </c>
      <c r="F5" s="2"/>
      <c r="G5" s="2" t="s">
        <v>3</v>
      </c>
      <c r="H5" s="2"/>
      <c r="I5" s="2" t="s">
        <v>4</v>
      </c>
      <c r="J5" s="2"/>
      <c r="K5" s="2" t="s">
        <v>5</v>
      </c>
      <c r="L5" s="2"/>
      <c r="M5" s="2" t="s">
        <v>6</v>
      </c>
    </row>
    <row r="6" spans="3:13" x14ac:dyDescent="0.3">
      <c r="C6" s="1">
        <v>112694.1339672</v>
      </c>
      <c r="D6" s="1"/>
      <c r="E6" s="1">
        <v>0</v>
      </c>
      <c r="F6" s="1"/>
      <c r="G6" s="1">
        <f>C6-E6</f>
        <v>112694.1339672</v>
      </c>
      <c r="H6" s="1"/>
      <c r="I6" s="1">
        <f>G6*3%</f>
        <v>3380.824019016</v>
      </c>
      <c r="J6" s="1"/>
      <c r="K6" s="1">
        <v>129600</v>
      </c>
      <c r="L6" s="1"/>
      <c r="M6" s="3">
        <f>SUM(G6:L6)</f>
        <v>245674.957986216</v>
      </c>
    </row>
    <row r="9" spans="3:13" x14ac:dyDescent="0.3">
      <c r="C9" s="7" t="s">
        <v>7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1" spans="3:13" ht="28.8" x14ac:dyDescent="0.3">
      <c r="C11" s="2" t="s">
        <v>1</v>
      </c>
      <c r="D11" s="2"/>
      <c r="E11" s="2" t="s">
        <v>2</v>
      </c>
      <c r="F11" s="2"/>
      <c r="G11" s="2" t="s">
        <v>3</v>
      </c>
      <c r="H11" s="2"/>
      <c r="I11" s="2" t="s">
        <v>4</v>
      </c>
      <c r="J11" s="2"/>
      <c r="K11" s="2" t="s">
        <v>5</v>
      </c>
      <c r="L11" s="2"/>
      <c r="M11" s="2" t="s">
        <v>10</v>
      </c>
    </row>
    <row r="12" spans="3:13" x14ac:dyDescent="0.3">
      <c r="C12" s="1">
        <f>M6</f>
        <v>245674.957986216</v>
      </c>
      <c r="D12" s="1"/>
      <c r="E12" s="1">
        <v>0</v>
      </c>
      <c r="F12" s="1"/>
      <c r="G12" s="1">
        <f>C12-E12</f>
        <v>245674.957986216</v>
      </c>
      <c r="H12" s="1"/>
      <c r="I12" s="1">
        <f>G12*3%</f>
        <v>7370.24873958648</v>
      </c>
      <c r="J12" s="1"/>
      <c r="K12" s="1">
        <v>129600</v>
      </c>
      <c r="L12" s="1"/>
      <c r="M12" s="3">
        <f>SUM(G12:L12)</f>
        <v>382645.20672580251</v>
      </c>
    </row>
    <row r="15" spans="3:13" x14ac:dyDescent="0.3">
      <c r="C15" s="7" t="s">
        <v>8</v>
      </c>
      <c r="D15" s="7"/>
      <c r="E15" s="7"/>
      <c r="F15" s="7"/>
      <c r="G15" s="7"/>
      <c r="H15" s="7"/>
      <c r="I15" s="7"/>
      <c r="J15" s="7"/>
      <c r="K15" s="7"/>
      <c r="L15" s="7"/>
      <c r="M15" s="7"/>
    </row>
    <row r="17" spans="3:13" ht="28.8" x14ac:dyDescent="0.3">
      <c r="C17" s="2" t="s">
        <v>1</v>
      </c>
      <c r="D17" s="2"/>
      <c r="E17" s="2" t="s">
        <v>2</v>
      </c>
      <c r="F17" s="2"/>
      <c r="G17" s="2" t="s">
        <v>3</v>
      </c>
      <c r="H17" s="2"/>
      <c r="I17" s="2" t="s">
        <v>4</v>
      </c>
      <c r="J17" s="2"/>
      <c r="K17" s="2" t="s">
        <v>5</v>
      </c>
      <c r="L17" s="2"/>
      <c r="M17" s="2" t="s">
        <v>11</v>
      </c>
    </row>
    <row r="18" spans="3:13" x14ac:dyDescent="0.3">
      <c r="C18" s="1">
        <f>M12</f>
        <v>382645.20672580251</v>
      </c>
      <c r="D18" s="1"/>
      <c r="E18" s="4">
        <v>382645</v>
      </c>
      <c r="F18" s="1"/>
      <c r="G18" s="1">
        <f>C18-E18</f>
        <v>0.20672580250538886</v>
      </c>
      <c r="H18" s="1"/>
      <c r="I18" s="1">
        <f>G18*3%</f>
        <v>6.2017740751616653E-3</v>
      </c>
      <c r="J18" s="1"/>
      <c r="K18" s="1">
        <v>142560</v>
      </c>
      <c r="L18" s="1"/>
      <c r="M18" s="3">
        <f>SUM(G18:L18)</f>
        <v>142560.21292757659</v>
      </c>
    </row>
    <row r="21" spans="3:13" x14ac:dyDescent="0.3">
      <c r="C21" s="7" t="s">
        <v>9</v>
      </c>
      <c r="D21" s="7"/>
      <c r="E21" s="7"/>
      <c r="F21" s="7"/>
      <c r="G21" s="7"/>
      <c r="H21" s="7"/>
      <c r="I21" s="7"/>
      <c r="J21" s="7"/>
      <c r="K21" s="7"/>
      <c r="L21" s="7"/>
      <c r="M21" s="7"/>
    </row>
    <row r="23" spans="3:13" ht="28.8" x14ac:dyDescent="0.3">
      <c r="C23" s="2" t="s">
        <v>1</v>
      </c>
      <c r="D23" s="2"/>
      <c r="E23" s="2" t="s">
        <v>2</v>
      </c>
      <c r="F23" s="2"/>
      <c r="G23" s="2" t="s">
        <v>3</v>
      </c>
      <c r="H23" s="2"/>
      <c r="I23" s="2" t="s">
        <v>4</v>
      </c>
      <c r="J23" s="2"/>
      <c r="K23" s="2" t="s">
        <v>5</v>
      </c>
      <c r="L23" s="2"/>
      <c r="M23" s="2" t="s">
        <v>12</v>
      </c>
    </row>
    <row r="24" spans="3:13" x14ac:dyDescent="0.3">
      <c r="C24" s="1">
        <f>M18</f>
        <v>142560.21292757659</v>
      </c>
      <c r="D24" s="1"/>
      <c r="E24" s="1">
        <v>0</v>
      </c>
      <c r="F24" s="1"/>
      <c r="G24" s="1">
        <f>C24-E24</f>
        <v>142560.21292757659</v>
      </c>
      <c r="H24" s="1"/>
      <c r="I24" s="1">
        <f>G24*3%</f>
        <v>4276.8063878272978</v>
      </c>
      <c r="J24" s="1"/>
      <c r="K24" s="1">
        <v>142560</v>
      </c>
      <c r="L24" s="1"/>
      <c r="M24" s="3">
        <f>SUM(G24:L24)</f>
        <v>289397.01931540389</v>
      </c>
    </row>
    <row r="27" spans="3:13" x14ac:dyDescent="0.3">
      <c r="C27" s="7" t="s">
        <v>13</v>
      </c>
      <c r="D27" s="7"/>
      <c r="E27" s="7"/>
      <c r="F27" s="7"/>
      <c r="G27" s="7"/>
      <c r="H27" s="7"/>
      <c r="I27" s="7"/>
      <c r="J27" s="7"/>
      <c r="K27" s="7"/>
      <c r="L27" s="7"/>
      <c r="M27" s="7"/>
    </row>
    <row r="29" spans="3:13" ht="28.8" x14ac:dyDescent="0.3">
      <c r="C29" s="2" t="s">
        <v>1</v>
      </c>
      <c r="D29" s="2"/>
      <c r="E29" s="2" t="s">
        <v>2</v>
      </c>
      <c r="F29" s="2"/>
      <c r="G29" s="2" t="s">
        <v>3</v>
      </c>
      <c r="H29" s="2"/>
      <c r="I29" s="2" t="s">
        <v>4</v>
      </c>
      <c r="J29" s="2"/>
      <c r="K29" s="2" t="s">
        <v>5</v>
      </c>
      <c r="L29" s="2"/>
      <c r="M29" s="5" t="s">
        <v>14</v>
      </c>
    </row>
    <row r="30" spans="3:13" x14ac:dyDescent="0.3">
      <c r="C30" s="1">
        <f>M24</f>
        <v>289397.01931540389</v>
      </c>
      <c r="D30" s="1"/>
      <c r="E30" s="1">
        <v>0</v>
      </c>
      <c r="F30" s="1"/>
      <c r="G30" s="1">
        <f>C30-E30</f>
        <v>289397.01931540389</v>
      </c>
      <c r="H30" s="1"/>
      <c r="I30" s="1">
        <f>G30*3%</f>
        <v>8681.9105794621155</v>
      </c>
      <c r="J30" s="1"/>
      <c r="K30" s="1">
        <v>142560</v>
      </c>
      <c r="L30" s="1"/>
      <c r="M30" s="6">
        <f>SUM(G30:L30)</f>
        <v>440638.92989486601</v>
      </c>
    </row>
  </sheetData>
  <pageMargins left="0.23622047244094491" right="0.2362204724409449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cp:lastPrinted>2026-06-08T12:20:31Z</cp:lastPrinted>
  <dcterms:created xsi:type="dcterms:W3CDTF">2026-06-08T12:12:27Z</dcterms:created>
  <dcterms:modified xsi:type="dcterms:W3CDTF">2026-06-08T12:20:36Z</dcterms:modified>
</cp:coreProperties>
</file>