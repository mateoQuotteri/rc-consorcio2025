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Downloads\"/>
    </mc:Choice>
  </mc:AlternateContent>
  <xr:revisionPtr revIDLastSave="0" documentId="13_ncr:1_{C06E1970-1529-4AC8-9F98-040AECD28F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81029"/>
</workbook>
</file>

<file path=xl/calcChain.xml><?xml version="1.0" encoding="utf-8"?>
<calcChain xmlns="http://schemas.openxmlformats.org/spreadsheetml/2006/main">
  <c r="K31" i="1" l="1"/>
  <c r="K142" i="1"/>
  <c r="K139" i="1" l="1"/>
  <c r="K133" i="1"/>
  <c r="K127" i="1"/>
  <c r="K121" i="1"/>
  <c r="K115" i="1"/>
  <c r="K109" i="1"/>
  <c r="K103" i="1"/>
  <c r="K97" i="1"/>
  <c r="K91" i="1"/>
  <c r="K85" i="1"/>
  <c r="K79" i="1"/>
  <c r="K73" i="1"/>
  <c r="K67" i="1"/>
  <c r="K61" i="1"/>
  <c r="K55" i="1"/>
  <c r="K49" i="1"/>
  <c r="K43" i="1"/>
  <c r="K37" i="1"/>
  <c r="K25" i="1"/>
  <c r="K19" i="1"/>
  <c r="K13" i="1"/>
  <c r="K143" i="1" l="1"/>
  <c r="K144" i="1" s="1"/>
</calcChain>
</file>

<file path=xl/sharedStrings.xml><?xml version="1.0" encoding="utf-8"?>
<sst xmlns="http://schemas.openxmlformats.org/spreadsheetml/2006/main" count="115" uniqueCount="32">
  <si>
    <t>Desglose deuda - General Paz 138 - Unoidad funcional nro. 1 Skotonica Irene Graciela</t>
  </si>
  <si>
    <t>Inicio de enero - Deuda de:</t>
  </si>
  <si>
    <t>Periodo: Enero 2025</t>
  </si>
  <si>
    <t>Expensas ordinarias:</t>
  </si>
  <si>
    <t>Expensas extraordinarias:</t>
  </si>
  <si>
    <t>Gastos particulares:</t>
  </si>
  <si>
    <t>Intereses:</t>
  </si>
  <si>
    <t>Periodo: Febrero 2025</t>
  </si>
  <si>
    <t>Periodo: Marzo 2025</t>
  </si>
  <si>
    <t>Periodo: Mayo 2025</t>
  </si>
  <si>
    <t>Periodo: Junio 2025</t>
  </si>
  <si>
    <t>Periodo: Julio 2025</t>
  </si>
  <si>
    <t>Periodo: Agosto 2025</t>
  </si>
  <si>
    <t>Periodo: Septiembre 2025</t>
  </si>
  <si>
    <t>Periodo: Octubre 2025</t>
  </si>
  <si>
    <t>Periodo: Noviembre 2025</t>
  </si>
  <si>
    <t>Periodo: Diciembre 2025</t>
  </si>
  <si>
    <t>Periodo: Enero 2026</t>
  </si>
  <si>
    <t>Periodo: Febrero 2026</t>
  </si>
  <si>
    <t>Periodo: Marzo 2026</t>
  </si>
  <si>
    <t>Periodo: Abril 2026</t>
  </si>
  <si>
    <t>Periodo: Mayo 2026</t>
  </si>
  <si>
    <t>Periodo: Junio 2026</t>
  </si>
  <si>
    <t>Periodo: Julio 2026</t>
  </si>
  <si>
    <t>Periodo: Agosto 2026</t>
  </si>
  <si>
    <t>Periodo: Septiembre 2026</t>
  </si>
  <si>
    <t>Periodo: Octubre 2026</t>
  </si>
  <si>
    <t>Periodo: Abril 2025</t>
  </si>
  <si>
    <t>Intereses 3%:</t>
  </si>
  <si>
    <t>Solo expensas (ordinarias, extraordinarias o gastos particulares):</t>
  </si>
  <si>
    <t>Solo intereses: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</si>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</sst>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/>
  </cellStyleXfs>
  <cellXfs count="9">
    <xf numFmtId="0" fontId="0" fillId="0" borderId="0" xfId="0"/>
    <xf numFmtId="44" fontId="0" fillId="0" borderId="0" xfId="1" applyFont="1"/>
    <xf numFmtId="0" fontId="2" fillId="0" borderId="0" xfId="0" applyFont="1"/>
    <xf numFmtId="44" fontId="0" fillId="0" borderId="0" xfId="1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44" fontId="1" fillId="0" borderId="0" xfId="1"/>
    <xf numFmtId="4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L144"/>
  <sheetViews>
    <sheetView tabSelected="1" topLeftCell="A130" workbookViewId="0">
      <selection activeCell="H31" sqref="H31:I31"/>
    </sheetView>
  </sheetViews>
  <sheetFormatPr baseColWidth="10" defaultRowHeight="14.4" x14ac:dyDescent="0.3"/>
  <cols>
    <col min="6" max="6" width="15.109375" customWidth="1"/>
  </cols>
  <sheetData>
    <row r="6" spans="4:12" x14ac:dyDescent="0.3">
      <c r="D6" s="5" t="s">
        <v>0</v>
      </c>
      <c r="E6" s="4"/>
      <c r="F6" s="4"/>
      <c r="G6" s="4"/>
      <c r="H6" s="4"/>
      <c r="I6" s="4"/>
      <c r="J6" s="4"/>
      <c r="K6" s="4"/>
      <c r="L6" s="4"/>
    </row>
    <row r="8" spans="4:12" x14ac:dyDescent="0.3">
      <c r="D8" t="s">
        <v>1</v>
      </c>
      <c r="F8" s="1">
        <v>105380</v>
      </c>
    </row>
    <row r="10" spans="4:12" x14ac:dyDescent="0.3">
      <c r="D10" s="2" t="s">
        <v>2</v>
      </c>
    </row>
    <row r="12" spans="4:12" x14ac:dyDescent="0.3">
      <c r="D12" t="s">
        <v>3</v>
      </c>
      <c r="F12" t="s">
        <v>4</v>
      </c>
      <c r="H12" t="s">
        <v>5</v>
      </c>
      <c r="K12" t="s">
        <v>28</v>
      </c>
    </row>
    <row r="13" spans="4:12" x14ac:dyDescent="0.3">
      <c r="D13" s="3">
        <v>48160</v>
      </c>
      <c r="E13" s="4"/>
      <c r="F13" s="3"/>
      <c r="G13" s="4"/>
      <c r="H13" s="3"/>
      <c r="I13" s="4"/>
      <c r="K13" s="3">
        <f>(H13+F13+D13)*3%</f>
        <v>1444.8</v>
      </c>
      <c r="L13" s="4"/>
    </row>
    <row r="16" spans="4:12" x14ac:dyDescent="0.3">
      <c r="D16" s="2" t="s">
        <v>7</v>
      </c>
    </row>
    <row r="18" spans="4:12" x14ac:dyDescent="0.3">
      <c r="D18" t="s">
        <v>3</v>
      </c>
      <c r="F18" t="s">
        <v>4</v>
      </c>
      <c r="H18" t="s">
        <v>5</v>
      </c>
      <c r="K18" t="s">
        <v>6</v>
      </c>
    </row>
    <row r="19" spans="4:12" x14ac:dyDescent="0.3">
      <c r="D19" s="3">
        <v>50400</v>
      </c>
      <c r="E19" s="4"/>
      <c r="F19" s="3"/>
      <c r="G19" s="4"/>
      <c r="H19" s="3">
        <v>0</v>
      </c>
      <c r="I19" s="4"/>
      <c r="K19" s="3">
        <f>(H19+F19+D19)*3%</f>
        <v>1512</v>
      </c>
      <c r="L19" s="4"/>
    </row>
    <row r="22" spans="4:12" x14ac:dyDescent="0.3">
      <c r="D22" s="2" t="s">
        <v>8</v>
      </c>
    </row>
    <row r="24" spans="4:12" x14ac:dyDescent="0.3">
      <c r="D24" t="s">
        <v>3</v>
      </c>
      <c r="F24" t="s">
        <v>4</v>
      </c>
      <c r="H24" t="s">
        <v>5</v>
      </c>
      <c r="K24" t="s">
        <v>6</v>
      </c>
    </row>
    <row r="25" spans="4:12" x14ac:dyDescent="0.3">
      <c r="D25" s="3">
        <v>56000</v>
      </c>
      <c r="E25" s="4"/>
      <c r="F25" s="3"/>
      <c r="G25" s="4"/>
      <c r="H25" s="3">
        <v>0</v>
      </c>
      <c r="I25" s="4"/>
      <c r="K25" s="3">
        <f>(H25+F25+D25)*3%</f>
        <v>1680</v>
      </c>
      <c r="L25" s="4"/>
    </row>
    <row r="28" spans="4:12" x14ac:dyDescent="0.3">
      <c r="D28" s="2" t="s">
        <v>27</v>
      </c>
    </row>
    <row r="30" spans="4:12" x14ac:dyDescent="0.3">
      <c r="D30" t="s">
        <v>3</v>
      </c>
      <c r="F30" t="s">
        <v>4</v>
      </c>
      <c r="H30" t="s">
        <v>5</v>
      </c>
      <c r="K30" t="s">
        <v>6</v>
      </c>
    </row>
    <row r="31" spans="4:12" x14ac:dyDescent="0.3">
      <c r="D31" s="3">
        <v>61600</v>
      </c>
      <c r="E31" s="4"/>
      <c r="F31" s="3">
        <v>0</v>
      </c>
      <c r="G31" s="4"/>
      <c r="H31" s="3">
        <v>0</v>
      </c>
      <c r="I31" s="4"/>
      <c r="K31" s="3">
        <f>(H31+F31+D31)*3%</f>
        <v>1848</v>
      </c>
      <c r="L31" s="4"/>
    </row>
    <row r="34" spans="4:12" x14ac:dyDescent="0.3">
      <c r="D34" s="2" t="s">
        <v>9</v>
      </c>
    </row>
    <row r="36" spans="4:12" x14ac:dyDescent="0.3">
      <c r="D36" t="s">
        <v>3</v>
      </c>
      <c r="F36" t="s">
        <v>4</v>
      </c>
      <c r="H36" t="s">
        <v>5</v>
      </c>
      <c r="K36" t="s">
        <v>6</v>
      </c>
    </row>
    <row r="37" spans="4:12" x14ac:dyDescent="0.3">
      <c r="D37" s="3">
        <v>64960</v>
      </c>
      <c r="E37" s="4"/>
      <c r="F37" s="3"/>
      <c r="G37" s="4"/>
      <c r="H37" s="3"/>
      <c r="I37" s="4"/>
      <c r="K37" s="3">
        <f>(H37+F37+D37)*3%</f>
        <v>1948.8</v>
      </c>
      <c r="L37" s="4"/>
    </row>
    <row r="40" spans="4:12" x14ac:dyDescent="0.3">
      <c r="D40" s="2" t="s">
        <v>10</v>
      </c>
    </row>
    <row r="42" spans="4:12" x14ac:dyDescent="0.3">
      <c r="D42" t="s">
        <v>3</v>
      </c>
      <c r="F42" t="s">
        <v>4</v>
      </c>
      <c r="H42" t="s">
        <v>5</v>
      </c>
      <c r="K42" t="s">
        <v>6</v>
      </c>
    </row>
    <row r="43" spans="4:12" x14ac:dyDescent="0.3">
      <c r="D43" s="3">
        <v>64960</v>
      </c>
      <c r="E43" s="4"/>
      <c r="F43" s="3"/>
      <c r="G43" s="4"/>
      <c r="H43" s="3"/>
      <c r="I43" s="4"/>
      <c r="K43" s="3">
        <f>(H43+F43+D43)*3%</f>
        <v>1948.8</v>
      </c>
      <c r="L43" s="4"/>
    </row>
    <row r="46" spans="4:12" x14ac:dyDescent="0.3">
      <c r="D46" s="2" t="s">
        <v>11</v>
      </c>
    </row>
    <row r="48" spans="4:12" x14ac:dyDescent="0.3">
      <c r="D48" t="s">
        <v>3</v>
      </c>
      <c r="F48" t="s">
        <v>4</v>
      </c>
      <c r="H48" t="s">
        <v>5</v>
      </c>
      <c r="K48" t="s">
        <v>6</v>
      </c>
    </row>
    <row r="49" spans="4:12" x14ac:dyDescent="0.3">
      <c r="D49" s="3">
        <v>68320</v>
      </c>
      <c r="E49" s="4"/>
      <c r="F49" s="3"/>
      <c r="G49" s="4"/>
      <c r="H49" s="3"/>
      <c r="I49" s="4"/>
      <c r="K49" s="3">
        <f>(H49+F49+D49)*3%</f>
        <v>2049.6</v>
      </c>
      <c r="L49" s="4"/>
    </row>
    <row r="52" spans="4:12" x14ac:dyDescent="0.3">
      <c r="D52" s="2" t="s">
        <v>12</v>
      </c>
    </row>
    <row r="54" spans="4:12" x14ac:dyDescent="0.3">
      <c r="D54" t="s">
        <v>3</v>
      </c>
      <c r="F54" t="s">
        <v>4</v>
      </c>
      <c r="H54" t="s">
        <v>5</v>
      </c>
      <c r="K54" t="s">
        <v>6</v>
      </c>
    </row>
    <row r="55" spans="4:12" x14ac:dyDescent="0.3">
      <c r="D55" s="3">
        <v>72800</v>
      </c>
      <c r="E55" s="4"/>
      <c r="F55" s="3"/>
      <c r="G55" s="4"/>
      <c r="H55" s="3"/>
      <c r="I55" s="4"/>
      <c r="K55" s="3">
        <f>(H55+F55+D55)*3%</f>
        <v>2184</v>
      </c>
      <c r="L55" s="4"/>
    </row>
    <row r="58" spans="4:12" x14ac:dyDescent="0.3">
      <c r="D58" s="2" t="s">
        <v>13</v>
      </c>
    </row>
    <row r="60" spans="4:12" x14ac:dyDescent="0.3">
      <c r="D60" t="s">
        <v>3</v>
      </c>
      <c r="F60" t="s">
        <v>4</v>
      </c>
      <c r="H60" t="s">
        <v>5</v>
      </c>
      <c r="K60" t="s">
        <v>6</v>
      </c>
    </row>
    <row r="61" spans="4:12" x14ac:dyDescent="0.3">
      <c r="D61" s="3">
        <v>76160</v>
      </c>
      <c r="E61" s="4"/>
      <c r="F61" s="3"/>
      <c r="G61" s="4"/>
      <c r="H61" s="3"/>
      <c r="I61" s="4"/>
      <c r="K61" s="3">
        <f>(H61+F61+D61)*3%</f>
        <v>2284.7999999999997</v>
      </c>
      <c r="L61" s="4"/>
    </row>
    <row r="64" spans="4:12" x14ac:dyDescent="0.3">
      <c r="D64" s="2" t="s">
        <v>14</v>
      </c>
    </row>
    <row r="66" spans="4:12" x14ac:dyDescent="0.3">
      <c r="D66" t="s">
        <v>3</v>
      </c>
      <c r="F66" t="s">
        <v>4</v>
      </c>
      <c r="H66" t="s">
        <v>5</v>
      </c>
      <c r="K66" t="s">
        <v>6</v>
      </c>
    </row>
    <row r="67" spans="4:12" x14ac:dyDescent="0.3">
      <c r="D67" s="3">
        <v>84000</v>
      </c>
      <c r="E67" s="4"/>
      <c r="F67" s="3"/>
      <c r="G67" s="4"/>
      <c r="H67" s="3"/>
      <c r="I67" s="4"/>
      <c r="K67" s="3">
        <f>(H67+F67+D67)*3%</f>
        <v>2520</v>
      </c>
      <c r="L67" s="4"/>
    </row>
    <row r="70" spans="4:12" x14ac:dyDescent="0.3">
      <c r="D70" s="2" t="s">
        <v>15</v>
      </c>
    </row>
    <row r="72" spans="4:12" x14ac:dyDescent="0.3">
      <c r="D72" t="s">
        <v>3</v>
      </c>
      <c r="F72" t="s">
        <v>4</v>
      </c>
      <c r="H72" t="s">
        <v>5</v>
      </c>
      <c r="K72" t="s">
        <v>6</v>
      </c>
    </row>
    <row r="73" spans="4:12" x14ac:dyDescent="0.3">
      <c r="D73" s="3">
        <v>89600</v>
      </c>
      <c r="E73" s="4"/>
      <c r="F73" s="3"/>
      <c r="G73" s="4"/>
      <c r="H73" s="3"/>
      <c r="I73" s="4"/>
      <c r="K73" s="3">
        <f>(H73+F73+D73)*3%</f>
        <v>2688</v>
      </c>
      <c r="L73" s="4"/>
    </row>
    <row r="76" spans="4:12" x14ac:dyDescent="0.3">
      <c r="D76" s="2" t="s">
        <v>16</v>
      </c>
    </row>
    <row r="78" spans="4:12" x14ac:dyDescent="0.3">
      <c r="D78" t="s">
        <v>3</v>
      </c>
      <c r="F78" t="s">
        <v>4</v>
      </c>
      <c r="H78" t="s">
        <v>5</v>
      </c>
      <c r="K78" t="s">
        <v>6</v>
      </c>
    </row>
    <row r="79" spans="4:12" x14ac:dyDescent="0.3">
      <c r="D79" s="3">
        <v>95200</v>
      </c>
      <c r="E79" s="4"/>
      <c r="F79" s="3"/>
      <c r="G79" s="4"/>
      <c r="H79" s="3"/>
      <c r="I79" s="4"/>
      <c r="K79" s="3">
        <f>(H79+F79+D79)*3%</f>
        <v>2856</v>
      </c>
      <c r="L79" s="4"/>
    </row>
    <row r="82" spans="4:12" x14ac:dyDescent="0.3">
      <c r="D82" s="2" t="s">
        <v>17</v>
      </c>
    </row>
    <row r="84" spans="4:12" x14ac:dyDescent="0.3">
      <c r="D84" t="s">
        <v>3</v>
      </c>
      <c r="F84" t="s">
        <v>4</v>
      </c>
      <c r="H84" t="s">
        <v>5</v>
      </c>
      <c r="K84" t="s">
        <v>6</v>
      </c>
    </row>
    <row r="85" spans="4:12" x14ac:dyDescent="0.3">
      <c r="D85" s="3">
        <v>100800</v>
      </c>
      <c r="E85" s="4"/>
      <c r="F85" s="3"/>
      <c r="G85" s="4"/>
      <c r="H85" s="3"/>
      <c r="I85" s="4"/>
      <c r="K85" s="3">
        <f>(H85+F85+D85)*3%</f>
        <v>3024</v>
      </c>
      <c r="L85" s="4"/>
    </row>
    <row r="88" spans="4:12" x14ac:dyDescent="0.3">
      <c r="D88" s="2" t="s">
        <v>18</v>
      </c>
    </row>
    <row r="90" spans="4:12" x14ac:dyDescent="0.3">
      <c r="D90" t="s">
        <v>3</v>
      </c>
      <c r="F90" t="s">
        <v>4</v>
      </c>
      <c r="H90" t="s">
        <v>5</v>
      </c>
      <c r="K90" t="s">
        <v>6</v>
      </c>
    </row>
    <row r="91" spans="4:12" x14ac:dyDescent="0.3">
      <c r="D91" s="3">
        <v>100800</v>
      </c>
      <c r="E91" s="4"/>
      <c r="F91" s="3"/>
      <c r="G91" s="4"/>
      <c r="H91" s="3"/>
      <c r="I91" s="4"/>
      <c r="K91" s="3">
        <f>(H91+F91+D91)*3%</f>
        <v>3024</v>
      </c>
      <c r="L91" s="4"/>
    </row>
    <row r="94" spans="4:12" x14ac:dyDescent="0.3">
      <c r="D94" s="2" t="s">
        <v>19</v>
      </c>
    </row>
    <row r="96" spans="4:12" x14ac:dyDescent="0.3">
      <c r="D96" t="s">
        <v>3</v>
      </c>
      <c r="F96" t="s">
        <v>4</v>
      </c>
      <c r="H96" t="s">
        <v>5</v>
      </c>
      <c r="K96" t="s">
        <v>6</v>
      </c>
    </row>
    <row r="97" spans="4:12" x14ac:dyDescent="0.3">
      <c r="D97" s="3">
        <v>100800</v>
      </c>
      <c r="E97" s="4"/>
      <c r="F97" s="3"/>
      <c r="G97" s="4"/>
      <c r="H97" s="3">
        <v>140000</v>
      </c>
      <c r="I97" s="4"/>
      <c r="K97" s="3">
        <f>(H97+F97+D97)*3%</f>
        <v>7224</v>
      </c>
      <c r="L97" s="4"/>
    </row>
    <row r="100" spans="4:12" x14ac:dyDescent="0.3">
      <c r="D100" s="2" t="s">
        <v>20</v>
      </c>
    </row>
    <row r="102" spans="4:12" x14ac:dyDescent="0.3">
      <c r="D102" t="s">
        <v>3</v>
      </c>
      <c r="F102" t="s">
        <v>4</v>
      </c>
      <c r="H102" t="s">
        <v>5</v>
      </c>
      <c r="K102" t="s">
        <v>6</v>
      </c>
    </row>
    <row r="103" spans="4:12" x14ac:dyDescent="0.3">
      <c r="D103" s="3">
        <v>35266.223999999995</v>
      </c>
      <c r="E103" s="4"/>
      <c r="F103" s="3"/>
      <c r="G103" s="4"/>
      <c r="H103" s="3"/>
      <c r="I103" s="4"/>
      <c r="K103" s="3">
        <f>(H103+F103+D103)*3%</f>
        <v>1057.9867199999999</v>
      </c>
      <c r="L103" s="4"/>
    </row>
    <row r="106" spans="4:12" x14ac:dyDescent="0.3">
      <c r="D106" s="2" t="s">
        <v>21</v>
      </c>
    </row>
    <row r="108" spans="4:12" x14ac:dyDescent="0.3">
      <c r="D108" t="s">
        <v>3</v>
      </c>
      <c r="F108" t="s">
        <v>4</v>
      </c>
      <c r="H108" t="s">
        <v>5</v>
      </c>
      <c r="K108" t="s">
        <v>6</v>
      </c>
    </row>
    <row r="109" spans="4:12" x14ac:dyDescent="0.3">
      <c r="D109" s="3">
        <v>112000</v>
      </c>
      <c r="E109" s="4"/>
      <c r="F109" s="3"/>
      <c r="G109" s="4"/>
      <c r="H109" s="3"/>
      <c r="I109" s="4"/>
      <c r="K109" s="3">
        <f>(H109+F109+D109)*3%</f>
        <v>3360</v>
      </c>
      <c r="L109" s="4"/>
    </row>
    <row r="112" spans="4:12" x14ac:dyDescent="0.3">
      <c r="D112" s="2" t="s">
        <v>22</v>
      </c>
    </row>
    <row r="114" spans="4:12" x14ac:dyDescent="0.3">
      <c r="D114" t="s">
        <v>3</v>
      </c>
      <c r="F114" t="s">
        <v>4</v>
      </c>
      <c r="H114" t="s">
        <v>5</v>
      </c>
      <c r="K114" t="s">
        <v>6</v>
      </c>
    </row>
    <row r="115" spans="4:12" x14ac:dyDescent="0.3">
      <c r="D115" s="3">
        <v>150208</v>
      </c>
      <c r="E115" s="4"/>
      <c r="F115" s="3"/>
      <c r="G115" s="4"/>
      <c r="H115" s="3"/>
      <c r="I115" s="4"/>
      <c r="K115" s="3">
        <f>(H115+F115+D115)*3%</f>
        <v>4506.24</v>
      </c>
      <c r="L115" s="4"/>
    </row>
    <row r="118" spans="4:12" x14ac:dyDescent="0.3">
      <c r="D118" s="2" t="s">
        <v>23</v>
      </c>
    </row>
    <row r="120" spans="4:12" x14ac:dyDescent="0.3">
      <c r="D120" t="s">
        <v>3</v>
      </c>
      <c r="F120" t="s">
        <v>4</v>
      </c>
      <c r="H120" t="s">
        <v>5</v>
      </c>
      <c r="K120" t="s">
        <v>6</v>
      </c>
    </row>
    <row r="121" spans="4:12" x14ac:dyDescent="0.3">
      <c r="D121" s="3">
        <v>112000</v>
      </c>
      <c r="E121" s="4"/>
      <c r="F121" s="3"/>
      <c r="G121" s="4"/>
      <c r="H121" s="3"/>
      <c r="I121" s="4"/>
      <c r="K121" s="3">
        <f>(H121+F121+D121)*3%</f>
        <v>3360</v>
      </c>
      <c r="L121" s="4"/>
    </row>
    <row r="124" spans="4:12" x14ac:dyDescent="0.3">
      <c r="D124" s="2" t="s">
        <v>24</v>
      </c>
    </row>
    <row r="126" spans="4:12" x14ac:dyDescent="0.3">
      <c r="D126" t="s">
        <v>3</v>
      </c>
      <c r="F126" t="s">
        <v>4</v>
      </c>
      <c r="H126" t="s">
        <v>5</v>
      </c>
      <c r="K126" t="s">
        <v>6</v>
      </c>
    </row>
    <row r="127" spans="4:12" x14ac:dyDescent="0.3">
      <c r="D127" s="3">
        <v>156800</v>
      </c>
      <c r="E127" s="4"/>
      <c r="F127" s="3"/>
      <c r="G127" s="4"/>
      <c r="H127" s="3"/>
      <c r="I127" s="4"/>
      <c r="K127" s="3">
        <f>(H127+F127+D127)*3%</f>
        <v>4704</v>
      </c>
      <c r="L127" s="4"/>
    </row>
    <row r="130" spans="4:12" x14ac:dyDescent="0.3">
      <c r="D130" s="2" t="s">
        <v>25</v>
      </c>
    </row>
    <row r="132" spans="4:12" x14ac:dyDescent="0.3">
      <c r="D132" t="s">
        <v>3</v>
      </c>
      <c r="F132" t="s">
        <v>4</v>
      </c>
      <c r="H132" t="s">
        <v>5</v>
      </c>
      <c r="K132" t="s">
        <v>6</v>
      </c>
    </row>
    <row r="133" spans="4:12" x14ac:dyDescent="0.3">
      <c r="D133" s="3">
        <v>156800</v>
      </c>
      <c r="E133" s="4"/>
      <c r="F133" s="3"/>
      <c r="G133" s="4"/>
      <c r="H133" s="3"/>
      <c r="I133" s="4"/>
      <c r="K133" s="3">
        <f>(H133+F133+D133)*3%</f>
        <v>4704</v>
      </c>
      <c r="L133" s="4"/>
    </row>
    <row r="136" spans="4:12" x14ac:dyDescent="0.3">
      <c r="D136" s="2" t="s">
        <v>26</v>
      </c>
    </row>
    <row r="138" spans="4:12" x14ac:dyDescent="0.3">
      <c r="D138" t="s">
        <v>3</v>
      </c>
      <c r="F138" t="s">
        <v>4</v>
      </c>
      <c r="H138" t="s">
        <v>5</v>
      </c>
      <c r="K138" t="s">
        <v>6</v>
      </c>
    </row>
    <row r="139" spans="4:12" x14ac:dyDescent="0.3">
      <c r="D139" s="3"/>
      <c r="E139" s="4"/>
      <c r="F139" s="3"/>
      <c r="G139" s="4"/>
      <c r="H139" s="3"/>
      <c r="I139" s="4"/>
      <c r="K139" s="3">
        <f>(H139+F139+D139)*3%</f>
        <v>0</v>
      </c>
      <c r="L139" s="4"/>
    </row>
    <row r="142" spans="4:12" x14ac:dyDescent="0.3">
      <c r="D142" t="s">
        <v>29</v>
      </c>
      <c r="K142" s="6">
        <f>F8+D13+F13+H13+F19+H19+D19+D25+F25+H25+H31+F31+D31+D37+F37+H37+H43+F43+D43+D49+F49+H49+H55+F55+D55+H61+F61+D61+F67+D67+H67+H73+F73+D79+F79+H79+H85+F85+D85+D91+F91+H91+F97+H97+D97+D103+F103+H103+H109+F109+D109+H115+F115+D115+D121+F121+H121+H127+F127+D127+D133+F133+H133+H139+F139+D139</f>
        <v>2013414.2239999999</v>
      </c>
      <c r="L142" s="6"/>
    </row>
    <row r="143" spans="4:12" x14ac:dyDescent="0.3">
      <c r="D143" t="s">
        <v>30</v>
      </c>
      <c r="K143" s="6">
        <f>SUM(K13:L134)</f>
        <v>59929.026720000002</v>
      </c>
      <c r="L143" s="6"/>
    </row>
    <row r="144" spans="4:12" x14ac:dyDescent="0.3">
      <c r="D144" s="2" t="s">
        <v>31</v>
      </c>
      <c r="E144" s="2"/>
      <c r="F144" s="2"/>
      <c r="G144" s="2"/>
      <c r="H144" s="2"/>
      <c r="I144" s="2"/>
      <c r="J144" s="2"/>
      <c r="K144" s="7">
        <f>SUM(K142:L143)</f>
        <v>2073343.2507199999</v>
      </c>
      <c r="L144" s="8"/>
    </row>
  </sheetData>
  <mergeCells count="92">
    <mergeCell ref="K142:L142"/>
    <mergeCell ref="K143:L143"/>
    <mergeCell ref="K144:L144"/>
    <mergeCell ref="D121:E121"/>
    <mergeCell ref="F37:G37"/>
    <mergeCell ref="K103:L103"/>
    <mergeCell ref="D6:L6"/>
    <mergeCell ref="K127:L127"/>
    <mergeCell ref="K121:L121"/>
    <mergeCell ref="H103:I103"/>
    <mergeCell ref="K139:L139"/>
    <mergeCell ref="F127:G127"/>
    <mergeCell ref="H127:I127"/>
    <mergeCell ref="H115:I115"/>
    <mergeCell ref="D139:E139"/>
    <mergeCell ref="H73:I73"/>
    <mergeCell ref="K109:L109"/>
    <mergeCell ref="F139:G139"/>
    <mergeCell ref="D49:E49"/>
    <mergeCell ref="D91:E91"/>
    <mergeCell ref="F91:G91"/>
    <mergeCell ref="F115:G115"/>
    <mergeCell ref="K97:L97"/>
    <mergeCell ref="D55:E55"/>
    <mergeCell ref="K73:L73"/>
    <mergeCell ref="D67:E67"/>
    <mergeCell ref="D133:E133"/>
    <mergeCell ref="F49:G49"/>
    <mergeCell ref="D85:E85"/>
    <mergeCell ref="H67:I67"/>
    <mergeCell ref="H139:I139"/>
    <mergeCell ref="D73:E73"/>
    <mergeCell ref="K37:L37"/>
    <mergeCell ref="K13:L13"/>
    <mergeCell ref="H91:I91"/>
    <mergeCell ref="D115:E115"/>
    <mergeCell ref="D19:E19"/>
    <mergeCell ref="K133:L133"/>
    <mergeCell ref="F19:G19"/>
    <mergeCell ref="K55:L55"/>
    <mergeCell ref="K79:L79"/>
    <mergeCell ref="H25:I25"/>
    <mergeCell ref="H49:I49"/>
    <mergeCell ref="F85:G85"/>
    <mergeCell ref="H85:I85"/>
    <mergeCell ref="F109:G109"/>
    <mergeCell ref="K115:L115"/>
    <mergeCell ref="F121:G121"/>
    <mergeCell ref="H37:I37"/>
    <mergeCell ref="F13:G13"/>
    <mergeCell ref="D127:E127"/>
    <mergeCell ref="H13:I13"/>
    <mergeCell ref="F43:G43"/>
    <mergeCell ref="K43:L43"/>
    <mergeCell ref="H109:I109"/>
    <mergeCell ref="D103:E103"/>
    <mergeCell ref="D37:E37"/>
    <mergeCell ref="F31:G31"/>
    <mergeCell ref="H19:I19"/>
    <mergeCell ref="F61:G61"/>
    <mergeCell ref="K19:L19"/>
    <mergeCell ref="H97:I97"/>
    <mergeCell ref="F133:G133"/>
    <mergeCell ref="H133:I133"/>
    <mergeCell ref="D13:E13"/>
    <mergeCell ref="D61:E61"/>
    <mergeCell ref="F79:G79"/>
    <mergeCell ref="H79:I79"/>
    <mergeCell ref="D79:E79"/>
    <mergeCell ref="F73:G73"/>
    <mergeCell ref="H43:I43"/>
    <mergeCell ref="H31:I31"/>
    <mergeCell ref="H121:I121"/>
    <mergeCell ref="D25:E25"/>
    <mergeCell ref="D109:E109"/>
    <mergeCell ref="F55:G55"/>
    <mergeCell ref="H61:I61"/>
    <mergeCell ref="D97:E97"/>
    <mergeCell ref="K49:L49"/>
    <mergeCell ref="F25:G25"/>
    <mergeCell ref="F103:G103"/>
    <mergeCell ref="H55:I55"/>
    <mergeCell ref="D31:E31"/>
    <mergeCell ref="K67:L67"/>
    <mergeCell ref="K25:L25"/>
    <mergeCell ref="K31:L31"/>
    <mergeCell ref="K91:L91"/>
    <mergeCell ref="K85:L85"/>
    <mergeCell ref="F97:G97"/>
    <mergeCell ref="D43:E43"/>
    <mergeCell ref="K61:L61"/>
    <mergeCell ref="F67:G6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dcterms:created xsi:type="dcterms:W3CDTF">2026-10-21T17:31:05Z</dcterms:created>
  <dcterms:modified xsi:type="dcterms:W3CDTF">2026-10-21T18:19:18Z</dcterms:modified>
</cp:coreProperties>
</file>