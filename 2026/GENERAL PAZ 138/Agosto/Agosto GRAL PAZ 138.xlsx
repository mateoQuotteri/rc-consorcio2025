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x\Desktop\rc-consorcio2025\2026\GENERAL PAZ 138\Agosto\"/>
    </mc:Choice>
  </mc:AlternateContent>
  <xr:revisionPtr revIDLastSave="0" documentId="13_ncr:1_{8DCFEAC7-20A2-4846-A773-71000D8A0CC2}" xr6:coauthVersionLast="47" xr6:coauthVersionMax="47" xr10:uidLastSave="{00000000-0000-0000-0000-000000000000}"/>
  <bookViews>
    <workbookView xWindow="-120" yWindow="-120" windowWidth="20730" windowHeight="11040" tabRatio="793" xr2:uid="{00000000-000D-0000-FFFF-FFFF00000000}"/>
  </bookViews>
  <sheets>
    <sheet name="RESUMEN" sheetId="1" r:id="rId1"/>
    <sheet name="PRORRATEO" sheetId="2" r:id="rId2"/>
  </sheets>
  <definedNames>
    <definedName name="_xlnm.Print_Area" localSheetId="1">PRORRATEO!$A$1:$P$27</definedName>
    <definedName name="_xlnm.Print_Area" localSheetId="0">RESUMEN!$A$1:$D$101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8" i="1" l="1"/>
  <c r="D60" i="1"/>
  <c r="D50" i="1" l="1"/>
  <c r="D35" i="1" l="1"/>
  <c r="H12" i="2"/>
  <c r="D39" i="1" l="1"/>
  <c r="L7" i="2"/>
  <c r="D53" i="1" l="1"/>
  <c r="M7" i="2" l="1"/>
  <c r="U7" i="2"/>
  <c r="U8" i="2"/>
  <c r="U9" i="2"/>
  <c r="U10" i="2"/>
  <c r="U11" i="2"/>
  <c r="U12" i="2"/>
  <c r="U13" i="2"/>
  <c r="U14" i="2"/>
  <c r="U15" i="2"/>
  <c r="U16" i="2"/>
  <c r="U6" i="2"/>
  <c r="B1" i="2"/>
  <c r="D56" i="1" l="1"/>
  <c r="J15" i="2" l="1"/>
  <c r="D45" i="1"/>
  <c r="C24" i="1" l="1"/>
  <c r="C29" i="1"/>
  <c r="J8" i="2"/>
  <c r="J12" i="2"/>
  <c r="J9" i="2"/>
  <c r="K9" i="2" s="1"/>
  <c r="J10" i="2"/>
  <c r="K10" i="2" s="1"/>
  <c r="J11" i="2"/>
  <c r="K11" i="2" s="1"/>
  <c r="J13" i="2"/>
  <c r="K13" i="2" s="1"/>
  <c r="J14" i="2"/>
  <c r="K14" i="2" s="1"/>
  <c r="J16" i="2"/>
  <c r="K16" i="2" s="1"/>
  <c r="K12" i="2" l="1"/>
  <c r="K8" i="2"/>
  <c r="D30" i="1"/>
  <c r="I18" i="2"/>
  <c r="J17" i="2" l="1"/>
  <c r="L17" i="2"/>
  <c r="M17" i="2"/>
  <c r="B100" i="1" l="1"/>
  <c r="L8" i="2" l="1"/>
  <c r="L9" i="2"/>
  <c r="L10" i="2"/>
  <c r="L11" i="2"/>
  <c r="L12" i="2"/>
  <c r="L13" i="2"/>
  <c r="L14" i="2"/>
  <c r="L15" i="2"/>
  <c r="L16" i="2"/>
  <c r="D67" i="1" l="1"/>
  <c r="D72" i="1" s="1"/>
  <c r="B76" i="1" s="1"/>
  <c r="B93" i="1" s="1"/>
  <c r="B91" i="1" l="1"/>
  <c r="O6" i="2" l="1"/>
  <c r="Q8" i="2" l="1"/>
  <c r="Q9" i="2" s="1"/>
  <c r="Q10" i="2" s="1"/>
  <c r="Q11" i="2" s="1"/>
  <c r="Q12" i="2" s="1"/>
  <c r="Q13" i="2" s="1"/>
  <c r="Q14" i="2" s="1"/>
  <c r="Q15" i="2" s="1"/>
  <c r="Q16" i="2" s="1"/>
  <c r="H18" i="2" l="1"/>
  <c r="B90" i="1" s="1"/>
  <c r="F18" i="2"/>
  <c r="G18" i="2"/>
  <c r="J7" i="2" l="1"/>
  <c r="K7" i="2" l="1"/>
  <c r="O7" i="2" s="1"/>
  <c r="B77" i="1"/>
  <c r="L18" i="2"/>
  <c r="B75" i="1" l="1"/>
  <c r="B92" i="1" s="1"/>
  <c r="B94" i="1" s="1"/>
  <c r="M8" i="2"/>
  <c r="O8" i="2" s="1"/>
  <c r="M9" i="2"/>
  <c r="O9" i="2" s="1"/>
  <c r="M10" i="2"/>
  <c r="O10" i="2" s="1"/>
  <c r="M11" i="2"/>
  <c r="O11" i="2" s="1"/>
  <c r="M12" i="2"/>
  <c r="O12" i="2" s="1"/>
  <c r="M13" i="2"/>
  <c r="O13" i="2" s="1"/>
  <c r="M14" i="2"/>
  <c r="O14" i="2" s="1"/>
  <c r="M15" i="2"/>
  <c r="O15" i="2" s="1"/>
  <c r="M16" i="2"/>
  <c r="O16" i="2" s="1"/>
  <c r="P8" i="2" l="1"/>
  <c r="M18" i="2"/>
  <c r="P16" i="2"/>
  <c r="P12" i="2"/>
  <c r="P7" i="2"/>
  <c r="P15" i="2"/>
  <c r="P11" i="2"/>
  <c r="P14" i="2"/>
  <c r="P10" i="2"/>
  <c r="P13" i="2"/>
  <c r="P9" i="2"/>
  <c r="P18" i="2" l="1"/>
  <c r="O18" i="2"/>
  <c r="B74" i="1" l="1"/>
  <c r="N18" i="2" l="1"/>
</calcChain>
</file>

<file path=xl/sharedStrings.xml><?xml version="1.0" encoding="utf-8"?>
<sst xmlns="http://schemas.openxmlformats.org/spreadsheetml/2006/main" count="122" uniqueCount="106">
  <si>
    <t>TOTAL SUELDO</t>
  </si>
  <si>
    <t>TOTAL IMPUESTO</t>
  </si>
  <si>
    <t>TOTAL Aportes y Contribuciones - Sindicato</t>
  </si>
  <si>
    <t>TOTAL ABONOS Y SERVICIOS</t>
  </si>
  <si>
    <t>Gastos Ordinarios:</t>
  </si>
  <si>
    <t>Piso</t>
  </si>
  <si>
    <t>Dpto.</t>
  </si>
  <si>
    <t>UF</t>
  </si>
  <si>
    <t>Propietario</t>
  </si>
  <si>
    <t xml:space="preserve">Ingreso </t>
  </si>
  <si>
    <t>Expensas extraor.</t>
  </si>
  <si>
    <t>TOTAL</t>
  </si>
  <si>
    <t>PB</t>
  </si>
  <si>
    <t>3º</t>
  </si>
  <si>
    <t>4º</t>
  </si>
  <si>
    <t>5º</t>
  </si>
  <si>
    <t>6º</t>
  </si>
  <si>
    <t>7º</t>
  </si>
  <si>
    <t>GASTOS ORDINARIOS UNIDADES FUNCIONALES:</t>
  </si>
  <si>
    <t>COC</t>
  </si>
  <si>
    <t xml:space="preserve"> (%)</t>
  </si>
  <si>
    <t>GASTOS BANCARIOS</t>
  </si>
  <si>
    <t xml:space="preserve">TOTAL ORDINARIOS </t>
  </si>
  <si>
    <t>GASTOS ORDINARIOS + PREVISION :</t>
  </si>
  <si>
    <t>GASTOS ORDINARIOS SIN PREVISION:</t>
  </si>
  <si>
    <t xml:space="preserve">TOTAL </t>
  </si>
  <si>
    <t>APORTES Y CONTRIBUCIONES</t>
  </si>
  <si>
    <t>GASTOS GENERALES / MANTENIMIENTO</t>
  </si>
  <si>
    <t>ABONOS Y SERVICIOS</t>
  </si>
  <si>
    <t>HONORARIOS</t>
  </si>
  <si>
    <t>GASTOS EXTRAORDINARIOS UNIDADES FUNCIONALES:</t>
  </si>
  <si>
    <t>PREVISION EXTRAORDINARIA</t>
  </si>
  <si>
    <t xml:space="preserve">TOTAL EXTRAORDINARIOS </t>
  </si>
  <si>
    <t>GASTOS EXTRAORDINARIOS SIN PREVISION:</t>
  </si>
  <si>
    <t>Egresos Ordinarios</t>
  </si>
  <si>
    <t>Egresos Extraordinarios</t>
  </si>
  <si>
    <t>Expensas ord.</t>
  </si>
  <si>
    <t>Interes</t>
  </si>
  <si>
    <t>Inquilinos</t>
  </si>
  <si>
    <t>Pago por</t>
  </si>
  <si>
    <t>Deuda o Saldo a favor</t>
  </si>
  <si>
    <t xml:space="preserve">SEGUROS </t>
  </si>
  <si>
    <t>DEPOSITOS NO IDENTIFICADOS</t>
  </si>
  <si>
    <t>RESUMEN</t>
  </si>
  <si>
    <t>Neto</t>
  </si>
  <si>
    <t>Total 2do Vto</t>
  </si>
  <si>
    <t>Total 1er Vto</t>
  </si>
  <si>
    <t>Gastos part.</t>
  </si>
  <si>
    <t>GASTOS EXTRAORDINARIOS CON PREVISION:</t>
  </si>
  <si>
    <t>Saldo Ord</t>
  </si>
  <si>
    <t xml:space="preserve">Deposito sin identificar </t>
  </si>
  <si>
    <t>Ingreso Ordinarias</t>
  </si>
  <si>
    <t>Gastos Extraordinarios:</t>
  </si>
  <si>
    <t>162450.31</t>
  </si>
  <si>
    <t>ADMINISTRADORA: CAROLINA CANCIANI MP:1148 - CUIT ADMINISTRACION: 27231256879</t>
  </si>
  <si>
    <t>Arca931</t>
  </si>
  <si>
    <t>Sindicatos :  Seracarh</t>
  </si>
  <si>
    <t>Sindicatos :  Suther</t>
  </si>
  <si>
    <t>Sindicatos :  Fatherhy</t>
  </si>
  <si>
    <t>SI EN LA COLUMNA LLAMADA DEUDA O SALDO A FAVOR FIGURA UN NUMERO EN NEGATIVO SIGNIFICA QUE LA UF POSEE DINERO A FAVOR (ES DECIR PAGO DE MAS)</t>
  </si>
  <si>
    <t>Local 1/ Entrep.</t>
  </si>
  <si>
    <t>1° A</t>
  </si>
  <si>
    <t>1° B</t>
  </si>
  <si>
    <t>1° C</t>
  </si>
  <si>
    <t>2° A</t>
  </si>
  <si>
    <t>2° B</t>
  </si>
  <si>
    <t>2° C</t>
  </si>
  <si>
    <t xml:space="preserve">3° A </t>
  </si>
  <si>
    <t>3° B</t>
  </si>
  <si>
    <t>3° C</t>
  </si>
  <si>
    <t>ESTIMADOS PROPIETARIOS E INQUILINOS: POR FAVOR LOS QUE ABONAN EN PRIMER VENCIMIENTO ABONEN EL MONTO DE PRIMER VENCIMIENTO, ASI AGILIZAN LA LIQUIDACION, RESPETEN LOS CENTAVOS CORRESPONDIENTES A LA UNIDAD FUNCIONAL. SOLICITAMOS RESPETAR LOS CENTAVOS AL ABONAR.</t>
  </si>
  <si>
    <t>SOLICITAMOS RESPETAR LOS CENTAVOS AL ABONAR.</t>
  </si>
  <si>
    <t>SERVICIO DE LIMPIEZA</t>
  </si>
  <si>
    <t>Mes de DICIEMBRE</t>
  </si>
  <si>
    <t>PREVISION ORDINARIA</t>
  </si>
  <si>
    <t>LUERCHO ROMINA</t>
  </si>
  <si>
    <t>COLUSSI HUGO ALFREDO</t>
  </si>
  <si>
    <t>VILLAVERDE ADRIANA</t>
  </si>
  <si>
    <t>TANCREDI MARCELO</t>
  </si>
  <si>
    <t>AYSA - NºCliente 3371074</t>
  </si>
  <si>
    <t>TELEFONO : 11-5320-2676 - MAIL: consorciosrc13@gmail.com - OFICINA CON CITA PREVIA - DR MELO 2958 8° PISO</t>
  </si>
  <si>
    <t>EDESUR: NºCLIENTE 4139927 -  Nº Medidor 8142186</t>
  </si>
  <si>
    <t>ARNALDO</t>
  </si>
  <si>
    <t>CRISTIANO ALEJANDRA</t>
  </si>
  <si>
    <t>ALONSO SAMANTA</t>
  </si>
  <si>
    <t>SKOTNICA IRENE GRACIELA</t>
  </si>
  <si>
    <t>MICAELA</t>
  </si>
  <si>
    <t>KUSSELEWSKI MAXIMO</t>
  </si>
  <si>
    <t>MARSANO ADRIANA</t>
  </si>
  <si>
    <t>FED. PATRONAL - Seguro integral - Póliza Nº 2318491</t>
  </si>
  <si>
    <t>Transf 12/06</t>
  </si>
  <si>
    <t>TRANSFERIR A  : Cuenta SANTANDER  533-033257/4 CBU :  0720533020000003325740 - CUIT: 30-71953248-5</t>
  </si>
  <si>
    <t>Debito 24/07</t>
  </si>
  <si>
    <t>Honorarios administracion - Junio y Julio</t>
  </si>
  <si>
    <t>Honorarios administrativos - Gestion ARCA</t>
  </si>
  <si>
    <t>Gustavo Padron - Sr contador - Gestion ARCA</t>
  </si>
  <si>
    <t>Escribania Romanatti - Digitalizacion rubrica de libro - Acta designacion - Documento administracion</t>
  </si>
  <si>
    <t>Transf 21/08</t>
  </si>
  <si>
    <t>Se adeuda AGOSTO</t>
  </si>
  <si>
    <t>Transf 31/07</t>
  </si>
  <si>
    <t>Transf 18/08</t>
  </si>
  <si>
    <t>Debito 20/08</t>
  </si>
  <si>
    <t>LOS GASTOS COLOREADOS EN AMARILLO CORRESPONDEN A EGRESOS PROPIOS DE MESES ANTERIORES AL MES DE AGOSTO</t>
  </si>
  <si>
    <t>VTO 17/09</t>
  </si>
  <si>
    <t xml:space="preserve">Gastos bancarios </t>
  </si>
  <si>
    <t>Saldo anterior -  A fin de Junio 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</si>
</sst>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&quot;$&quot;\ * #,##0_-;\-&quot;$&quot;\ * #,##0_-;_-&quot;$&quot;\ * &quot;-&quot;??_-;_-@_-"/>
    <numFmt numFmtId="166" formatCode="_ * #,##0.00_ ;_ * \-#,##0.00_ ;_ * &quot;-&quot;??_ ;_ @_ "/>
    <numFmt numFmtId="167" formatCode="&quot;$&quot;\ #,##0.00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8"/>
      <name val="Calibri"/>
      <family val="2"/>
      <scheme val="minor"/>
    </font>
    <font>
      <sz val="8"/>
      <color theme="0"/>
      <name val="Calibri"/>
      <family val="2"/>
      <scheme val="minor"/>
    </font>
    <font>
      <b/>
      <i/>
      <u/>
      <sz val="10"/>
      <name val="Calibri"/>
      <family val="2"/>
      <scheme val="minor"/>
    </font>
    <font>
      <sz val="10"/>
      <name val="Calibri"/>
      <family val="2"/>
      <scheme val="minor"/>
    </font>
    <font>
      <sz val="10"/>
      <name val="Arial1"/>
    </font>
    <font>
      <sz val="11"/>
      <color indexed="8"/>
      <name val="Arial1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color indexed="8"/>
      <name val="Arial1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b/>
      <sz val="18"/>
      <color indexed="56"/>
      <name val="Cambria"/>
      <family val="1"/>
    </font>
    <font>
      <b/>
      <sz val="13"/>
      <color indexed="56"/>
      <name val="Calibri"/>
      <family val="2"/>
    </font>
    <font>
      <b/>
      <sz val="9"/>
      <name val="Calibri"/>
      <family val="2"/>
      <scheme val="minor"/>
    </font>
    <font>
      <b/>
      <sz val="10"/>
      <name val="Arial1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hair">
        <color indexed="63"/>
      </left>
      <right style="hair">
        <color indexed="63"/>
      </right>
      <top style="hair">
        <color indexed="63"/>
      </top>
      <bottom style="hair">
        <color indexed="63"/>
      </bottom>
      <diagonal/>
    </border>
    <border>
      <left/>
      <right/>
      <top/>
      <bottom style="hair">
        <color indexed="22"/>
      </bottom>
      <diagonal/>
    </border>
    <border>
      <left/>
      <right/>
      <top/>
      <bottom style="hair">
        <color indexed="30"/>
      </bottom>
      <diagonal/>
    </border>
    <border>
      <left/>
      <right/>
      <top style="hair">
        <color indexed="62"/>
      </top>
      <bottom style="double">
        <color indexed="6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0" fillId="0" borderId="0"/>
    <xf numFmtId="0" fontId="22" fillId="12" borderId="0" applyBorder="0" applyProtection="0"/>
    <xf numFmtId="0" fontId="22" fillId="13" borderId="0" applyBorder="0" applyProtection="0"/>
    <xf numFmtId="0" fontId="22" fillId="14" borderId="0" applyBorder="0" applyProtection="0"/>
    <xf numFmtId="0" fontId="22" fillId="15" borderId="0" applyBorder="0" applyProtection="0"/>
    <xf numFmtId="0" fontId="22" fillId="16" borderId="0" applyBorder="0" applyProtection="0"/>
    <xf numFmtId="0" fontId="22" fillId="17" borderId="0" applyBorder="0" applyProtection="0"/>
    <xf numFmtId="0" fontId="22" fillId="18" borderId="0" applyBorder="0" applyProtection="0"/>
    <xf numFmtId="0" fontId="22" fillId="19" borderId="0" applyBorder="0" applyProtection="0"/>
    <xf numFmtId="0" fontId="22" fillId="20" borderId="0" applyBorder="0" applyProtection="0"/>
    <xf numFmtId="0" fontId="22" fillId="15" borderId="0" applyBorder="0" applyProtection="0"/>
    <xf numFmtId="0" fontId="22" fillId="18" borderId="0" applyBorder="0" applyProtection="0"/>
    <xf numFmtId="0" fontId="22" fillId="21" borderId="0" applyBorder="0" applyProtection="0"/>
    <xf numFmtId="0" fontId="23" fillId="22" borderId="0" applyBorder="0" applyProtection="0"/>
    <xf numFmtId="0" fontId="23" fillId="19" borderId="0" applyBorder="0" applyProtection="0"/>
    <xf numFmtId="0" fontId="23" fillId="20" borderId="0" applyBorder="0" applyProtection="0"/>
    <xf numFmtId="0" fontId="23" fillId="23" borderId="0" applyBorder="0" applyProtection="0"/>
    <xf numFmtId="0" fontId="23" fillId="24" borderId="0" applyBorder="0" applyProtection="0"/>
    <xf numFmtId="0" fontId="23" fillId="25" borderId="0" applyBorder="0" applyProtection="0"/>
    <xf numFmtId="0" fontId="26" fillId="26" borderId="29" applyProtection="0"/>
    <xf numFmtId="0" fontId="24" fillId="27" borderId="30" applyProtection="0"/>
    <xf numFmtId="0" fontId="25" fillId="0" borderId="31" applyProtection="0"/>
    <xf numFmtId="0" fontId="27" fillId="0" borderId="0" applyBorder="0" applyProtection="0"/>
    <xf numFmtId="0" fontId="23" fillId="28" borderId="0" applyBorder="0" applyProtection="0"/>
    <xf numFmtId="0" fontId="23" fillId="29" borderId="0" applyBorder="0" applyProtection="0"/>
    <xf numFmtId="0" fontId="23" fillId="30" borderId="0" applyBorder="0" applyProtection="0"/>
    <xf numFmtId="0" fontId="23" fillId="23" borderId="0" applyBorder="0" applyProtection="0"/>
    <xf numFmtId="0" fontId="23" fillId="24" borderId="0" applyBorder="0" applyProtection="0"/>
    <xf numFmtId="0" fontId="23" fillId="31" borderId="0" applyBorder="0" applyProtection="0"/>
    <xf numFmtId="0" fontId="28" fillId="17" borderId="29" applyProtection="0"/>
    <xf numFmtId="0" fontId="29" fillId="13" borderId="0" applyBorder="0" applyProtection="0"/>
    <xf numFmtId="166" fontId="21" fillId="0" borderId="0" applyFill="0" applyBorder="0" applyAlignment="0" applyProtection="0"/>
    <xf numFmtId="0" fontId="30" fillId="32" borderId="0" applyBorder="0" applyProtection="0"/>
    <xf numFmtId="0" fontId="31" fillId="33" borderId="32" applyProtection="0"/>
    <xf numFmtId="0" fontId="32" fillId="26" borderId="33" applyProtection="0"/>
    <xf numFmtId="0" fontId="33" fillId="0" borderId="0" applyBorder="0" applyProtection="0"/>
    <xf numFmtId="0" fontId="34" fillId="0" borderId="0" applyBorder="0" applyProtection="0"/>
    <xf numFmtId="0" fontId="36" fillId="0" borderId="0" applyBorder="0" applyProtection="0"/>
    <xf numFmtId="0" fontId="37" fillId="0" borderId="34" applyProtection="0"/>
    <xf numFmtId="0" fontId="27" fillId="0" borderId="35" applyProtection="0"/>
    <xf numFmtId="0" fontId="35" fillId="0" borderId="36" applyProtection="0"/>
  </cellStyleXfs>
  <cellXfs count="180">
    <xf numFmtId="0" fontId="0" fillId="0" borderId="0" xfId="0"/>
    <xf numFmtId="0" fontId="0" fillId="0" borderId="1" xfId="0" applyBorder="1"/>
    <xf numFmtId="0" fontId="0" fillId="3" borderId="0" xfId="0" applyFill="1"/>
    <xf numFmtId="0" fontId="0" fillId="0" borderId="5" xfId="0" applyBorder="1"/>
    <xf numFmtId="8" fontId="0" fillId="0" borderId="0" xfId="0" applyNumberFormat="1"/>
    <xf numFmtId="8" fontId="6" fillId="4" borderId="6" xfId="0" applyNumberFormat="1" applyFont="1" applyFill="1" applyBorder="1"/>
    <xf numFmtId="0" fontId="2" fillId="0" borderId="1" xfId="0" applyFont="1" applyBorder="1"/>
    <xf numFmtId="0" fontId="9" fillId="4" borderId="1" xfId="0" applyFont="1" applyFill="1" applyBorder="1"/>
    <xf numFmtId="0" fontId="6" fillId="4" borderId="1" xfId="0" applyFont="1" applyFill="1" applyBorder="1"/>
    <xf numFmtId="8" fontId="9" fillId="4" borderId="1" xfId="0" applyNumberFormat="1" applyFont="1" applyFill="1" applyBorder="1"/>
    <xf numFmtId="44" fontId="6" fillId="4" borderId="1" xfId="1" applyFont="1" applyFill="1" applyBorder="1"/>
    <xf numFmtId="44" fontId="0" fillId="0" borderId="1" xfId="1" applyFont="1" applyBorder="1"/>
    <xf numFmtId="44" fontId="6" fillId="4" borderId="6" xfId="1" applyFont="1" applyFill="1" applyBorder="1"/>
    <xf numFmtId="44" fontId="4" fillId="4" borderId="1" xfId="1" applyFont="1" applyFill="1" applyBorder="1"/>
    <xf numFmtId="44" fontId="4" fillId="4" borderId="6" xfId="1" applyFont="1" applyFill="1" applyBorder="1"/>
    <xf numFmtId="44" fontId="0" fillId="0" borderId="0" xfId="1" applyFont="1"/>
    <xf numFmtId="44" fontId="0" fillId="0" borderId="0" xfId="0" applyNumberFormat="1"/>
    <xf numFmtId="0" fontId="7" fillId="6" borderId="0" xfId="0" applyFont="1" applyFill="1"/>
    <xf numFmtId="0" fontId="10" fillId="0" borderId="0" xfId="0" applyFont="1"/>
    <xf numFmtId="44" fontId="11" fillId="4" borderId="13" xfId="0" applyNumberFormat="1" applyFont="1" applyFill="1" applyBorder="1"/>
    <xf numFmtId="8" fontId="14" fillId="11" borderId="6" xfId="0" applyNumberFormat="1" applyFont="1" applyFill="1" applyBorder="1"/>
    <xf numFmtId="0" fontId="12" fillId="3" borderId="20" xfId="0" applyFont="1" applyFill="1" applyBorder="1" applyAlignment="1">
      <alignment horizontal="center" vertical="center" wrapText="1"/>
    </xf>
    <xf numFmtId="165" fontId="11" fillId="4" borderId="13" xfId="0" applyNumberFormat="1" applyFont="1" applyFill="1" applyBorder="1"/>
    <xf numFmtId="0" fontId="11" fillId="0" borderId="1" xfId="0" applyFont="1" applyBorder="1"/>
    <xf numFmtId="0" fontId="11" fillId="0" borderId="1" xfId="0" applyFont="1" applyBorder="1" applyAlignment="1">
      <alignment wrapText="1"/>
    </xf>
    <xf numFmtId="44" fontId="8" fillId="4" borderId="1" xfId="1" applyFont="1" applyFill="1" applyBorder="1"/>
    <xf numFmtId="0" fontId="11" fillId="0" borderId="1" xfId="0" applyFont="1" applyBorder="1" applyAlignment="1">
      <alignment horizontal="center"/>
    </xf>
    <xf numFmtId="44" fontId="15" fillId="0" borderId="1" xfId="1" applyFont="1" applyBorder="1"/>
    <xf numFmtId="44" fontId="15" fillId="2" borderId="1" xfId="1" applyFont="1" applyFill="1" applyBorder="1"/>
    <xf numFmtId="165" fontId="15" fillId="2" borderId="1" xfId="1" applyNumberFormat="1" applyFont="1" applyFill="1" applyBorder="1"/>
    <xf numFmtId="165" fontId="11" fillId="0" borderId="1" xfId="0" applyNumberFormat="1" applyFont="1" applyBorder="1"/>
    <xf numFmtId="165" fontId="11" fillId="0" borderId="1" xfId="1" applyNumberFormat="1" applyFont="1" applyBorder="1"/>
    <xf numFmtId="44" fontId="11" fillId="0" borderId="6" xfId="1" applyFont="1" applyBorder="1"/>
    <xf numFmtId="44" fontId="15" fillId="0" borderId="25" xfId="1" applyFont="1" applyBorder="1"/>
    <xf numFmtId="44" fontId="15" fillId="0" borderId="27" xfId="1" applyFont="1" applyBorder="1"/>
    <xf numFmtId="44" fontId="16" fillId="0" borderId="1" xfId="1" applyFont="1" applyBorder="1"/>
    <xf numFmtId="165" fontId="16" fillId="2" borderId="1" xfId="1" applyNumberFormat="1" applyFont="1" applyFill="1" applyBorder="1"/>
    <xf numFmtId="165" fontId="16" fillId="0" borderId="1" xfId="0" applyNumberFormat="1" applyFont="1" applyBorder="1"/>
    <xf numFmtId="165" fontId="16" fillId="0" borderId="1" xfId="1" applyNumberFormat="1" applyFont="1" applyBorder="1"/>
    <xf numFmtId="44" fontId="16" fillId="0" borderId="6" xfId="1" applyFont="1" applyBorder="1"/>
    <xf numFmtId="0" fontId="11" fillId="10" borderId="21" xfId="0" applyFont="1" applyFill="1" applyBorder="1"/>
    <xf numFmtId="0" fontId="11" fillId="4" borderId="26" xfId="0" applyFont="1" applyFill="1" applyBorder="1"/>
    <xf numFmtId="0" fontId="11" fillId="4" borderId="13" xfId="0" applyFont="1" applyFill="1" applyBorder="1"/>
    <xf numFmtId="0" fontId="11" fillId="4" borderId="13" xfId="0" applyFont="1" applyFill="1" applyBorder="1" applyAlignment="1">
      <alignment horizontal="center"/>
    </xf>
    <xf numFmtId="44" fontId="11" fillId="4" borderId="21" xfId="0" applyNumberFormat="1" applyFont="1" applyFill="1" applyBorder="1"/>
    <xf numFmtId="0" fontId="4" fillId="0" borderId="1" xfId="0" applyFont="1" applyBorder="1"/>
    <xf numFmtId="0" fontId="4" fillId="11" borderId="1" xfId="0" applyFont="1" applyFill="1" applyBorder="1"/>
    <xf numFmtId="8" fontId="8" fillId="4" borderId="21" xfId="1" applyNumberFormat="1" applyFont="1" applyFill="1" applyBorder="1"/>
    <xf numFmtId="44" fontId="17" fillId="4" borderId="3" xfId="1" applyFont="1" applyFill="1" applyBorder="1"/>
    <xf numFmtId="44" fontId="8" fillId="4" borderId="21" xfId="1" applyFont="1" applyFill="1" applyBorder="1"/>
    <xf numFmtId="44" fontId="18" fillId="4" borderId="3" xfId="1" applyFont="1" applyFill="1" applyBorder="1"/>
    <xf numFmtId="0" fontId="18" fillId="0" borderId="1" xfId="1" applyNumberFormat="1" applyFont="1" applyBorder="1" applyAlignment="1">
      <alignment horizontal="left"/>
    </xf>
    <xf numFmtId="44" fontId="8" fillId="4" borderId="13" xfId="1" applyFont="1" applyFill="1" applyBorder="1"/>
    <xf numFmtId="44" fontId="18" fillId="2" borderId="1" xfId="1" applyFont="1" applyFill="1" applyBorder="1"/>
    <xf numFmtId="44" fontId="8" fillId="4" borderId="2" xfId="1" applyFont="1" applyFill="1" applyBorder="1"/>
    <xf numFmtId="44" fontId="18" fillId="2" borderId="3" xfId="1" applyFont="1" applyFill="1" applyBorder="1"/>
    <xf numFmtId="8" fontId="6" fillId="4" borderId="22" xfId="0" applyNumberFormat="1" applyFont="1" applyFill="1" applyBorder="1"/>
    <xf numFmtId="0" fontId="18" fillId="0" borderId="4" xfId="0" applyFont="1" applyBorder="1"/>
    <xf numFmtId="44" fontId="8" fillId="8" borderId="13" xfId="1" applyFont="1" applyFill="1" applyBorder="1"/>
    <xf numFmtId="0" fontId="4" fillId="0" borderId="0" xfId="0" applyFont="1"/>
    <xf numFmtId="0" fontId="18" fillId="0" borderId="17" xfId="0" applyFont="1" applyBorder="1"/>
    <xf numFmtId="0" fontId="6" fillId="5" borderId="10" xfId="0" applyFont="1" applyFill="1" applyBorder="1"/>
    <xf numFmtId="44" fontId="8" fillId="5" borderId="11" xfId="0" applyNumberFormat="1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0" fontId="3" fillId="0" borderId="1" xfId="0" applyFont="1" applyBorder="1" applyAlignment="1">
      <alignment vertical="center" wrapText="1"/>
    </xf>
    <xf numFmtId="44" fontId="7" fillId="6" borderId="0" xfId="0" applyNumberFormat="1" applyFont="1" applyFill="1"/>
    <xf numFmtId="8" fontId="14" fillId="11" borderId="1" xfId="0" applyNumberFormat="1" applyFont="1" applyFill="1" applyBorder="1"/>
    <xf numFmtId="0" fontId="2" fillId="3" borderId="0" xfId="0" applyFont="1" applyFill="1" applyAlignment="1">
      <alignment horizontal="left"/>
    </xf>
    <xf numFmtId="0" fontId="5" fillId="3" borderId="0" xfId="0" applyFont="1" applyFill="1"/>
    <xf numFmtId="0" fontId="2" fillId="3" borderId="0" xfId="0" applyFont="1" applyFill="1" applyAlignment="1">
      <alignment vertical="center" wrapText="1"/>
    </xf>
    <xf numFmtId="0" fontId="4" fillId="2" borderId="1" xfId="0" applyFont="1" applyFill="1" applyBorder="1"/>
    <xf numFmtId="0" fontId="5" fillId="3" borderId="0" xfId="0" applyFont="1" applyFill="1" applyAlignment="1">
      <alignment horizontal="left"/>
    </xf>
    <xf numFmtId="0" fontId="0" fillId="2" borderId="0" xfId="0" applyFill="1"/>
    <xf numFmtId="43" fontId="0" fillId="0" borderId="0" xfId="0" applyNumberFormat="1"/>
    <xf numFmtId="0" fontId="12" fillId="2" borderId="1" xfId="1" applyNumberFormat="1" applyFont="1" applyFill="1" applyBorder="1" applyAlignment="1">
      <alignment wrapText="1"/>
    </xf>
    <xf numFmtId="0" fontId="11" fillId="2" borderId="1" xfId="0" applyFont="1" applyFill="1" applyBorder="1"/>
    <xf numFmtId="0" fontId="12" fillId="2" borderId="1" xfId="1" applyNumberFormat="1" applyFont="1" applyFill="1" applyBorder="1" applyAlignment="1">
      <alignment horizontal="left"/>
    </xf>
    <xf numFmtId="0" fontId="12" fillId="2" borderId="2" xfId="1" applyNumberFormat="1" applyFont="1" applyFill="1" applyBorder="1" applyAlignment="1"/>
    <xf numFmtId="0" fontId="12" fillId="2" borderId="1" xfId="1" applyNumberFormat="1" applyFont="1" applyFill="1" applyBorder="1" applyAlignment="1"/>
    <xf numFmtId="44" fontId="12" fillId="0" borderId="1" xfId="1" applyFont="1" applyBorder="1"/>
    <xf numFmtId="8" fontId="4" fillId="2" borderId="1" xfId="0" applyNumberFormat="1" applyFont="1" applyFill="1" applyBorder="1"/>
    <xf numFmtId="8" fontId="4" fillId="2" borderId="6" xfId="0" applyNumberFormat="1" applyFont="1" applyFill="1" applyBorder="1"/>
    <xf numFmtId="44" fontId="4" fillId="0" borderId="1" xfId="1" applyFont="1" applyBorder="1"/>
    <xf numFmtId="44" fontId="4" fillId="2" borderId="1" xfId="1" applyFont="1" applyFill="1" applyBorder="1"/>
    <xf numFmtId="0" fontId="12" fillId="3" borderId="19" xfId="0" applyFont="1" applyFill="1" applyBorder="1" applyAlignment="1">
      <alignment horizontal="center" vertical="center" wrapText="1"/>
    </xf>
    <xf numFmtId="44" fontId="19" fillId="0" borderId="1" xfId="1" applyFont="1" applyBorder="1"/>
    <xf numFmtId="0" fontId="11" fillId="2" borderId="1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wrapText="1"/>
    </xf>
    <xf numFmtId="0" fontId="11" fillId="2" borderId="1" xfId="0" applyFont="1" applyFill="1" applyBorder="1" applyAlignment="1">
      <alignment horizontal="center"/>
    </xf>
    <xf numFmtId="165" fontId="11" fillId="2" borderId="1" xfId="0" applyNumberFormat="1" applyFont="1" applyFill="1" applyBorder="1"/>
    <xf numFmtId="165" fontId="11" fillId="2" borderId="1" xfId="1" applyNumberFormat="1" applyFont="1" applyFill="1" applyBorder="1"/>
    <xf numFmtId="44" fontId="11" fillId="2" borderId="6" xfId="1" applyFont="1" applyFill="1" applyBorder="1"/>
    <xf numFmtId="44" fontId="15" fillId="2" borderId="25" xfId="1" applyFont="1" applyFill="1" applyBorder="1"/>
    <xf numFmtId="44" fontId="15" fillId="2" borderId="27" xfId="1" applyFont="1" applyFill="1" applyBorder="1"/>
    <xf numFmtId="0" fontId="4" fillId="0" borderId="1" xfId="0" applyFont="1" applyBorder="1" applyAlignment="1">
      <alignment horizontal="left" vertical="center"/>
    </xf>
    <xf numFmtId="167" fontId="6" fillId="0" borderId="1" xfId="1" applyNumberFormat="1" applyFont="1" applyBorder="1"/>
    <xf numFmtId="0" fontId="0" fillId="3" borderId="14" xfId="0" applyFill="1" applyBorder="1"/>
    <xf numFmtId="0" fontId="0" fillId="3" borderId="12" xfId="0" applyFill="1" applyBorder="1"/>
    <xf numFmtId="0" fontId="0" fillId="3" borderId="15" xfId="0" applyFill="1" applyBorder="1"/>
    <xf numFmtId="0" fontId="0" fillId="3" borderId="16" xfId="0" applyFill="1" applyBorder="1"/>
    <xf numFmtId="8" fontId="0" fillId="3" borderId="0" xfId="0" applyNumberFormat="1" applyFill="1"/>
    <xf numFmtId="44" fontId="0" fillId="3" borderId="17" xfId="1" applyFont="1" applyFill="1" applyBorder="1" applyAlignment="1"/>
    <xf numFmtId="0" fontId="0" fillId="3" borderId="38" xfId="0" applyFill="1" applyBorder="1"/>
    <xf numFmtId="8" fontId="0" fillId="3" borderId="8" xfId="0" applyNumberFormat="1" applyFill="1" applyBorder="1"/>
    <xf numFmtId="0" fontId="0" fillId="3" borderId="8" xfId="0" applyFill="1" applyBorder="1"/>
    <xf numFmtId="44" fontId="0" fillId="3" borderId="26" xfId="1" applyFont="1" applyFill="1" applyBorder="1" applyAlignment="1">
      <alignment vertical="center"/>
    </xf>
    <xf numFmtId="44" fontId="0" fillId="2" borderId="0" xfId="1" applyFont="1" applyFill="1"/>
    <xf numFmtId="44" fontId="0" fillId="3" borderId="0" xfId="1" applyFont="1" applyFill="1" applyBorder="1" applyAlignment="1"/>
    <xf numFmtId="44" fontId="0" fillId="3" borderId="8" xfId="1" applyFont="1" applyFill="1" applyBorder="1" applyAlignment="1">
      <alignment vertical="center"/>
    </xf>
    <xf numFmtId="44" fontId="4" fillId="0" borderId="37" xfId="1" applyFont="1" applyBorder="1"/>
    <xf numFmtId="0" fontId="14" fillId="11" borderId="1" xfId="0" applyFont="1" applyFill="1" applyBorder="1"/>
    <xf numFmtId="0" fontId="14" fillId="11" borderId="3" xfId="0" applyFont="1" applyFill="1" applyBorder="1"/>
    <xf numFmtId="0" fontId="4" fillId="0" borderId="7" xfId="0" applyFont="1" applyBorder="1"/>
    <xf numFmtId="0" fontId="4" fillId="4" borderId="1" xfId="0" applyFont="1" applyFill="1" applyBorder="1"/>
    <xf numFmtId="0" fontId="6" fillId="4" borderId="1" xfId="0" applyFont="1" applyFill="1" applyBorder="1" applyAlignment="1">
      <alignment wrapText="1"/>
    </xf>
    <xf numFmtId="0" fontId="6" fillId="4" borderId="3" xfId="0" applyFont="1" applyFill="1" applyBorder="1"/>
    <xf numFmtId="0" fontId="4" fillId="0" borderId="16" xfId="0" applyFont="1" applyBorder="1"/>
    <xf numFmtId="0" fontId="6" fillId="5" borderId="9" xfId="0" applyFont="1" applyFill="1" applyBorder="1"/>
    <xf numFmtId="10" fontId="6" fillId="5" borderId="10" xfId="0" applyNumberFormat="1" applyFont="1" applyFill="1" applyBorder="1"/>
    <xf numFmtId="0" fontId="6" fillId="5" borderId="14" xfId="0" applyFont="1" applyFill="1" applyBorder="1"/>
    <xf numFmtId="0" fontId="6" fillId="5" borderId="12" xfId="0" applyFont="1" applyFill="1" applyBorder="1"/>
    <xf numFmtId="165" fontId="11" fillId="0" borderId="6" xfId="1" applyNumberFormat="1" applyFont="1" applyBorder="1"/>
    <xf numFmtId="167" fontId="0" fillId="0" borderId="0" xfId="0" applyNumberFormat="1"/>
    <xf numFmtId="0" fontId="4" fillId="2" borderId="6" xfId="0" applyFont="1" applyFill="1" applyBorder="1" applyAlignment="1">
      <alignment horizontal="left" vertical="center" wrapText="1"/>
    </xf>
    <xf numFmtId="0" fontId="4" fillId="2" borderId="24" xfId="0" applyFont="1" applyFill="1" applyBorder="1" applyAlignment="1">
      <alignment horizontal="left" vertical="center" wrapText="1"/>
    </xf>
    <xf numFmtId="0" fontId="6" fillId="4" borderId="0" xfId="0" applyFont="1" applyFill="1"/>
    <xf numFmtId="0" fontId="4" fillId="4" borderId="0" xfId="0" applyFont="1" applyFill="1"/>
    <xf numFmtId="44" fontId="4" fillId="4" borderId="0" xfId="1" applyFont="1" applyFill="1"/>
    <xf numFmtId="0" fontId="6" fillId="8" borderId="1" xfId="0" applyFont="1" applyFill="1" applyBorder="1"/>
    <xf numFmtId="0" fontId="6" fillId="8" borderId="6" xfId="0" applyFont="1" applyFill="1" applyBorder="1"/>
    <xf numFmtId="0" fontId="8" fillId="7" borderId="9" xfId="0" applyFont="1" applyFill="1" applyBorder="1"/>
    <xf numFmtId="44" fontId="8" fillId="7" borderId="11" xfId="0" applyNumberFormat="1" applyFont="1" applyFill="1" applyBorder="1"/>
    <xf numFmtId="44" fontId="4" fillId="0" borderId="0" xfId="0" applyNumberFormat="1" applyFont="1"/>
    <xf numFmtId="0" fontId="8" fillId="6" borderId="0" xfId="0" applyFont="1" applyFill="1"/>
    <xf numFmtId="44" fontId="8" fillId="6" borderId="1" xfId="1" applyFont="1" applyFill="1" applyBorder="1"/>
    <xf numFmtId="167" fontId="39" fillId="2" borderId="13" xfId="3" applyNumberFormat="1" applyFont="1" applyFill="1" applyBorder="1"/>
    <xf numFmtId="0" fontId="8" fillId="0" borderId="1" xfId="0" applyFont="1" applyBorder="1"/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top" wrapText="1"/>
    </xf>
    <xf numFmtId="44" fontId="11" fillId="2" borderId="1" xfId="1" applyFont="1" applyFill="1" applyBorder="1"/>
    <xf numFmtId="0" fontId="6" fillId="0" borderId="0" xfId="0" applyFont="1"/>
    <xf numFmtId="44" fontId="8" fillId="8" borderId="1" xfId="1" applyFont="1" applyFill="1" applyBorder="1" applyAlignment="1">
      <alignment vertical="center"/>
    </xf>
    <xf numFmtId="0" fontId="12" fillId="2" borderId="0" xfId="1" applyNumberFormat="1" applyFont="1" applyFill="1" applyBorder="1" applyAlignment="1"/>
    <xf numFmtId="0" fontId="4" fillId="0" borderId="7" xfId="0" applyFont="1" applyBorder="1" applyAlignment="1">
      <alignment vertical="center"/>
    </xf>
    <xf numFmtId="8" fontId="4" fillId="9" borderId="1" xfId="0" applyNumberFormat="1" applyFont="1" applyFill="1" applyBorder="1"/>
    <xf numFmtId="8" fontId="4" fillId="9" borderId="6" xfId="0" applyNumberFormat="1" applyFont="1" applyFill="1" applyBorder="1"/>
    <xf numFmtId="44" fontId="4" fillId="9" borderId="1" xfId="1" applyFont="1" applyFill="1" applyBorder="1" applyAlignment="1"/>
    <xf numFmtId="44" fontId="4" fillId="9" borderId="6" xfId="1" applyFont="1" applyFill="1" applyBorder="1" applyAlignment="1"/>
    <xf numFmtId="44" fontId="4" fillId="9" borderId="1" xfId="1" applyFont="1" applyFill="1" applyBorder="1"/>
    <xf numFmtId="0" fontId="8" fillId="2" borderId="0" xfId="0" applyFont="1" applyFill="1" applyAlignment="1">
      <alignment vertical="center"/>
    </xf>
    <xf numFmtId="0" fontId="5" fillId="3" borderId="0" xfId="0" applyFont="1" applyFill="1" applyAlignment="1">
      <alignment horizontal="left" vertical="top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0" fillId="3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/>
    </xf>
    <xf numFmtId="0" fontId="38" fillId="8" borderId="6" xfId="0" applyFont="1" applyFill="1" applyBorder="1" applyAlignment="1">
      <alignment horizontal="left" vertical="center" wrapText="1"/>
    </xf>
    <xf numFmtId="0" fontId="38" fillId="8" borderId="24" xfId="0" applyFont="1" applyFill="1" applyBorder="1" applyAlignment="1">
      <alignment horizontal="left" vertical="center" wrapText="1"/>
    </xf>
    <xf numFmtId="0" fontId="38" fillId="8" borderId="28" xfId="0" applyFont="1" applyFill="1" applyBorder="1" applyAlignment="1">
      <alignment horizontal="left" vertical="center" wrapText="1"/>
    </xf>
    <xf numFmtId="0" fontId="13" fillId="9" borderId="0" xfId="0" applyFont="1" applyFill="1" applyAlignment="1">
      <alignment horizontal="center" vertical="center"/>
    </xf>
    <xf numFmtId="0" fontId="41" fillId="9" borderId="0" xfId="0" applyFont="1" applyFill="1" applyAlignment="1">
      <alignment horizontal="left" vertical="center" wrapText="1"/>
    </xf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10" fillId="3" borderId="19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12" fillId="3" borderId="19" xfId="0" applyFont="1" applyFill="1" applyBorder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0" fontId="10" fillId="3" borderId="20" xfId="0" applyFont="1" applyFill="1" applyBorder="1" applyAlignment="1">
      <alignment horizontal="center" vertical="center"/>
    </xf>
    <xf numFmtId="0" fontId="10" fillId="3" borderId="19" xfId="0" applyFont="1" applyFill="1" applyBorder="1" applyAlignment="1">
      <alignment horizontal="center" vertical="center" wrapText="1"/>
    </xf>
    <xf numFmtId="0" fontId="10" fillId="3" borderId="20" xfId="0" applyFont="1" applyFill="1" applyBorder="1" applyAlignment="1">
      <alignment horizontal="center" vertical="center" wrapText="1"/>
    </xf>
    <xf numFmtId="0" fontId="11" fillId="3" borderId="19" xfId="0" applyFont="1" applyFill="1" applyBorder="1" applyAlignment="1">
      <alignment horizontal="center" vertical="center" wrapText="1"/>
    </xf>
    <xf numFmtId="0" fontId="11" fillId="3" borderId="20" xfId="0" applyFont="1" applyFill="1" applyBorder="1" applyAlignment="1">
      <alignment horizontal="center" vertical="center" wrapText="1"/>
    </xf>
    <xf numFmtId="0" fontId="10" fillId="3" borderId="16" xfId="0" applyFont="1" applyFill="1" applyBorder="1" applyAlignment="1">
      <alignment horizontal="center" vertical="center" wrapText="1"/>
    </xf>
    <xf numFmtId="0" fontId="10" fillId="3" borderId="23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2" fillId="9" borderId="10" xfId="0" applyFont="1" applyFill="1" applyBorder="1" applyAlignment="1">
      <alignment horizontal="center" vertical="center" wrapText="1"/>
    </xf>
    <xf numFmtId="0" fontId="2" fillId="9" borderId="11" xfId="0" applyFont="1" applyFill="1" applyBorder="1" applyAlignment="1">
      <alignment horizontal="center" vertical="center" wrapText="1"/>
    </xf>
  </cellXfs>
  <cellStyles count="44">
    <cellStyle name="20% - Énfasis1 2" xfId="4" xr:uid="{E13FD6FD-4381-40A3-9669-15D4AFB54255}"/>
    <cellStyle name="20% - Énfasis2 2" xfId="5" xr:uid="{FB1D3088-3BD5-4614-AE97-665886B25C3F}"/>
    <cellStyle name="20% - Énfasis3 2" xfId="6" xr:uid="{2048DE1C-600D-4DF9-B14A-EB161A4BCEE4}"/>
    <cellStyle name="20% - Énfasis4 2" xfId="7" xr:uid="{3681032A-EADB-401C-A2B4-5D06020EBAE5}"/>
    <cellStyle name="20% - Énfasis5 2" xfId="8" xr:uid="{8B574127-04AD-4FF2-B127-9FF990AA5A86}"/>
    <cellStyle name="20% - Énfasis6 2" xfId="9" xr:uid="{FBD85523-B7B4-4D60-A059-34D397324412}"/>
    <cellStyle name="40% - Énfasis1 2" xfId="10" xr:uid="{658F8453-5CE7-4F34-88F2-F3B9080DFD3A}"/>
    <cellStyle name="40% - Énfasis2 2" xfId="11" xr:uid="{3062A6E4-64FE-43FC-BE1C-583AC9BE0B2C}"/>
    <cellStyle name="40% - Énfasis3 2" xfId="12" xr:uid="{CD07ACDD-9725-44C1-8E02-8EA2AE2897AA}"/>
    <cellStyle name="40% - Énfasis4 2" xfId="13" xr:uid="{0D2D23E3-A8C9-4E78-BDA8-02FFEB767B52}"/>
    <cellStyle name="40% - Énfasis5 2" xfId="14" xr:uid="{0326C29A-C787-4894-BBAF-2E8EF6E297E3}"/>
    <cellStyle name="40% - Énfasis6 2" xfId="15" xr:uid="{8626AB17-A835-4825-835C-2281808C7F0E}"/>
    <cellStyle name="60% - Énfasis1 2" xfId="16" xr:uid="{4BC6C3A3-6C19-4E97-BCAE-463134ACFDEA}"/>
    <cellStyle name="60% - Énfasis2 2" xfId="17" xr:uid="{1E1D01E8-8CCD-4B90-91B3-E1432951D070}"/>
    <cellStyle name="60% - Énfasis3 2" xfId="18" xr:uid="{0C250BA9-8CA1-4CCA-B02A-2A7A1A57AE8B}"/>
    <cellStyle name="60% - Énfasis4 2" xfId="19" xr:uid="{D550B637-078A-47F2-9984-EF83F74DA830}"/>
    <cellStyle name="60% - Énfasis5 2" xfId="20" xr:uid="{924A9EE7-38EA-4EE8-B43F-6FCB71B4E03F}"/>
    <cellStyle name="60% - Énfasis6 2" xfId="21" xr:uid="{5EEACD1B-EAE9-47BD-B901-8070AAAC05DE}"/>
    <cellStyle name="Cálculo 2" xfId="22" xr:uid="{5DDC7345-2013-4BA0-B393-D7F50017E39C}"/>
    <cellStyle name="Celda de comprobación 2" xfId="23" xr:uid="{32660078-FEED-4771-A8AC-AFB2B89D5E4D}"/>
    <cellStyle name="Celda vinculada 2" xfId="24" xr:uid="{B998DEB6-DE70-4D45-A62B-FA28EF37E632}"/>
    <cellStyle name="Encabezado 4 2" xfId="25" xr:uid="{B1AB0FED-13EA-453A-9B9C-4CA09E699B8F}"/>
    <cellStyle name="Énfasis1 2" xfId="26" xr:uid="{04F50100-4954-4998-B09B-2CC7AE2484A8}"/>
    <cellStyle name="Énfasis2 2" xfId="27" xr:uid="{5CC356DF-1E7E-442C-8384-E18E84D3E28E}"/>
    <cellStyle name="Énfasis3 2" xfId="28" xr:uid="{F459F5FB-44F3-4616-AFB6-4523314A16A9}"/>
    <cellStyle name="Énfasis4 2" xfId="29" xr:uid="{EC77ACE5-ECD3-4460-9513-E26FD4C82F90}"/>
    <cellStyle name="Énfasis5 2" xfId="30" xr:uid="{C134D331-9BC5-4D1D-8F7C-90096BD0884D}"/>
    <cellStyle name="Énfasis6 2" xfId="31" xr:uid="{D8A672FE-588F-4CC0-AC9E-6E19AECAA293}"/>
    <cellStyle name="Entrada 2" xfId="32" xr:uid="{9FA1A61F-E6A2-461E-AFCD-08B9FCB59845}"/>
    <cellStyle name="Incorrecto 2" xfId="33" xr:uid="{8B71B7CD-8A40-4418-BF71-2C8879BA2658}"/>
    <cellStyle name="Millares 2" xfId="34" xr:uid="{56C01B94-F339-40C9-90E0-200DBE88D06C}"/>
    <cellStyle name="Moneda" xfId="1" builtinId="4"/>
    <cellStyle name="Moneda 2" xfId="2" xr:uid="{00000000-0005-0000-0000-000002000000}"/>
    <cellStyle name="Neutral 2" xfId="35" xr:uid="{A17FD7D2-4FF9-4847-828E-484B55F91644}"/>
    <cellStyle name="Normal" xfId="0" builtinId="0"/>
    <cellStyle name="Normal 2" xfId="3" xr:uid="{10D858FA-29AC-46A1-9D21-691759CBFBB0}"/>
    <cellStyle name="Notas 2" xfId="36" xr:uid="{9B3F8274-62A1-4A83-B3F3-83B0D17525D0}"/>
    <cellStyle name="Salida 2" xfId="37" xr:uid="{29C48C4C-8C3D-49E2-A29D-14BA2A5064B4}"/>
    <cellStyle name="Texto de advertencia 2" xfId="38" xr:uid="{B402005B-EA21-45C4-8F56-9C5997EBB0BE}"/>
    <cellStyle name="Texto explicativo 2" xfId="39" xr:uid="{8AF87B15-0749-48F8-89F6-9680A62EEFCD}"/>
    <cellStyle name="Título 2 2" xfId="41" xr:uid="{5F7D13ED-B241-4AEA-8791-859662F13FF9}"/>
    <cellStyle name="Título 3 2" xfId="42" xr:uid="{0B6C3E3C-D932-4C69-B3F8-8D5AA55A22FC}"/>
    <cellStyle name="Título 4" xfId="40" xr:uid="{671D0A88-9964-49B2-A583-2C0C4CBDE76E}"/>
    <cellStyle name="Total 2" xfId="43" xr:uid="{B518079A-4044-4E88-8FD9-85854A264D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340995</xdr:colOff>
      <xdr:row>2</xdr:row>
      <xdr:rowOff>76201</xdr:rowOff>
    </xdr:from>
    <xdr:ext cx="1838325" cy="617220"/>
    <xdr:pic>
      <xdr:nvPicPr>
        <xdr:cNvPr id="2" name="image1.jpg">
          <a:extLst>
            <a:ext uri="{FF2B5EF4-FFF2-40B4-BE49-F238E27FC236}">
              <a16:creationId xmlns:a16="http://schemas.microsoft.com/office/drawing/2014/main" id="{78213757-0993-4C8E-8FA0-24F832C0FCA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93895" y="457201"/>
          <a:ext cx="1838325" cy="617220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tabSelected="1" topLeftCell="A15" workbookViewId="0">
      <selection activeCell="D58" sqref="D58"/>
    </sheetView>
  </sheetViews>
  <sheetFormatPr baseColWidth="10" defaultRowHeight="15"/>
  <cols>
    <col min="1" max="1" width="37.5703125" customWidth="1"/>
    <col min="2" max="2" width="24.7109375" customWidth="1"/>
    <col min="3" max="3" width="18.42578125" customWidth="1"/>
    <col min="4" max="4" width="15.7109375" customWidth="1"/>
    <col min="5" max="5" width="14.5703125" bestFit="1" customWidth="1"/>
    <col min="6" max="7" width="13.140625" bestFit="1" customWidth="1"/>
    <col min="10" max="10" width="18" customWidth="1"/>
    <col min="11" max="11" width="18.28515625" customWidth="1"/>
  </cols>
  <sheetData>
    <row r="1" spans="1:4">
      <c r="A1" s="72" t="s">
        <v>54</v>
      </c>
      <c r="B1" s="68"/>
      <c r="C1" s="2"/>
      <c r="D1" s="2"/>
    </row>
    <row r="2" spans="1:4">
      <c r="A2" s="69" t="s">
        <v>80</v>
      </c>
      <c r="B2" s="69"/>
      <c r="C2" s="69"/>
      <c r="D2" s="69"/>
    </row>
    <row r="3" spans="1:4" ht="16.899999999999999" customHeight="1">
      <c r="A3" s="69"/>
      <c r="B3" s="69"/>
      <c r="C3" s="69"/>
      <c r="D3" s="69"/>
    </row>
    <row r="4" spans="1:4" ht="30" customHeight="1">
      <c r="A4" s="151" t="s">
        <v>91</v>
      </c>
      <c r="B4" s="151"/>
      <c r="C4" s="70"/>
      <c r="D4" s="70"/>
    </row>
    <row r="5" spans="1:4" ht="15" hidden="1" customHeight="1">
      <c r="A5" s="151"/>
      <c r="B5" s="151"/>
      <c r="C5" s="70"/>
      <c r="D5" s="70"/>
    </row>
    <row r="6" spans="1:4" ht="15" hidden="1" customHeight="1">
      <c r="A6" s="151"/>
      <c r="B6" s="151"/>
      <c r="C6" s="70"/>
      <c r="D6" s="70"/>
    </row>
    <row r="7" spans="1:4" ht="13.5" customHeight="1">
      <c r="A7" s="151"/>
      <c r="B7" s="151"/>
      <c r="C7" s="70"/>
      <c r="D7" s="70"/>
    </row>
    <row r="9" spans="1:4">
      <c r="B9" s="159" t="s">
        <v>103</v>
      </c>
    </row>
    <row r="10" spans="1:4">
      <c r="B10" s="159"/>
    </row>
    <row r="11" spans="1:4">
      <c r="B11" s="159"/>
    </row>
    <row r="13" spans="1:4" hidden="1"/>
    <row r="14" spans="1:4" ht="15" customHeight="1">
      <c r="A14" s="154" t="s">
        <v>70</v>
      </c>
      <c r="B14" s="154"/>
      <c r="C14" s="154"/>
      <c r="D14" s="154"/>
    </row>
    <row r="15" spans="1:4" ht="15" customHeight="1">
      <c r="A15" s="154"/>
      <c r="B15" s="154"/>
      <c r="C15" s="154"/>
      <c r="D15" s="154"/>
    </row>
    <row r="16" spans="1:4" ht="15" customHeight="1">
      <c r="A16" s="154"/>
      <c r="B16" s="154"/>
      <c r="C16" s="154"/>
      <c r="D16" s="154"/>
    </row>
    <row r="17" spans="1:7" ht="53.25" customHeight="1">
      <c r="A17" s="154"/>
      <c r="B17" s="154"/>
      <c r="C17" s="154"/>
      <c r="D17" s="154"/>
    </row>
    <row r="18" spans="1:7" ht="14.25" customHeight="1" thickBot="1">
      <c r="A18" s="59"/>
      <c r="B18" s="59"/>
      <c r="C18" s="59"/>
      <c r="D18" s="59"/>
    </row>
    <row r="19" spans="1:7" ht="15.75" hidden="1" thickBot="1">
      <c r="A19" s="141"/>
      <c r="B19" s="59"/>
      <c r="C19" s="59"/>
      <c r="D19" s="59"/>
    </row>
    <row r="20" spans="1:7" ht="15.75" hidden="1" thickBot="1">
      <c r="A20" s="59"/>
      <c r="B20" s="59"/>
      <c r="C20" s="59"/>
      <c r="D20" s="59"/>
    </row>
    <row r="21" spans="1:7">
      <c r="A21" s="120" t="s">
        <v>18</v>
      </c>
      <c r="B21" s="121"/>
      <c r="C21" s="63"/>
      <c r="D21" s="64"/>
    </row>
    <row r="22" spans="1:7">
      <c r="A22" s="7" t="s">
        <v>72</v>
      </c>
      <c r="B22" s="7"/>
      <c r="C22" s="7"/>
      <c r="D22" s="7"/>
      <c r="G22" s="15"/>
    </row>
    <row r="23" spans="1:7" ht="14.25" customHeight="1">
      <c r="A23" s="45"/>
      <c r="B23" s="45"/>
      <c r="C23" s="110">
        <v>0</v>
      </c>
      <c r="D23" s="45"/>
    </row>
    <row r="24" spans="1:7">
      <c r="A24" s="111" t="s">
        <v>44</v>
      </c>
      <c r="B24" s="111"/>
      <c r="C24" s="67">
        <f>SUM(C23:C23)</f>
        <v>0</v>
      </c>
      <c r="D24" s="46"/>
    </row>
    <row r="25" spans="1:7" ht="0.6" customHeight="1">
      <c r="A25" s="45"/>
      <c r="B25" s="45"/>
      <c r="C25" s="81"/>
      <c r="D25" s="71"/>
    </row>
    <row r="26" spans="1:7" hidden="1">
      <c r="A26" s="45"/>
      <c r="B26" s="45"/>
      <c r="C26" s="81"/>
      <c r="D26" s="71"/>
    </row>
    <row r="27" spans="1:7" hidden="1">
      <c r="A27" s="45"/>
      <c r="B27" s="45"/>
      <c r="C27" s="81"/>
      <c r="D27" s="71"/>
    </row>
    <row r="28" spans="1:7" hidden="1">
      <c r="A28" s="45"/>
      <c r="B28" s="45"/>
      <c r="C28" s="82"/>
      <c r="D28" s="71"/>
    </row>
    <row r="29" spans="1:7" hidden="1">
      <c r="A29" s="111" t="s">
        <v>44</v>
      </c>
      <c r="B29" s="112"/>
      <c r="C29" s="20">
        <f>SUM(C25:C28)</f>
        <v>0</v>
      </c>
      <c r="D29" s="46"/>
    </row>
    <row r="30" spans="1:7" ht="14.25" customHeight="1" thickBot="1">
      <c r="A30" s="8" t="s">
        <v>0</v>
      </c>
      <c r="B30" s="8"/>
      <c r="C30" s="5"/>
      <c r="D30" s="47">
        <f>C24+C29</f>
        <v>0</v>
      </c>
      <c r="E30" s="4"/>
      <c r="F30" s="4"/>
    </row>
    <row r="31" spans="1:7">
      <c r="A31" s="7" t="s">
        <v>29</v>
      </c>
      <c r="B31" s="7"/>
      <c r="C31" s="9"/>
      <c r="D31" s="48"/>
      <c r="F31" s="4"/>
    </row>
    <row r="32" spans="1:7" ht="22.5" customHeight="1">
      <c r="A32" s="95" t="s">
        <v>93</v>
      </c>
      <c r="B32" s="144" t="s">
        <v>98</v>
      </c>
      <c r="C32" s="145">
        <v>130000</v>
      </c>
      <c r="D32" s="80" t="s">
        <v>99</v>
      </c>
      <c r="F32" s="15"/>
      <c r="G32" s="4"/>
    </row>
    <row r="33" spans="1:7" ht="22.5" customHeight="1">
      <c r="A33" s="95" t="s">
        <v>94</v>
      </c>
      <c r="B33" s="113"/>
      <c r="C33" s="146">
        <v>70000</v>
      </c>
      <c r="D33" s="80" t="s">
        <v>99</v>
      </c>
      <c r="F33" s="15"/>
      <c r="G33" s="4"/>
    </row>
    <row r="34" spans="1:7" ht="22.5" customHeight="1">
      <c r="A34" s="95" t="s">
        <v>95</v>
      </c>
      <c r="B34" s="113"/>
      <c r="C34" s="146">
        <v>130000</v>
      </c>
      <c r="D34" s="80" t="s">
        <v>99</v>
      </c>
      <c r="F34" s="15"/>
      <c r="G34" s="4"/>
    </row>
    <row r="35" spans="1:7" ht="15.75" thickBot="1">
      <c r="A35" s="8" t="s">
        <v>25</v>
      </c>
      <c r="B35" s="8"/>
      <c r="C35" s="12"/>
      <c r="D35" s="47">
        <f>SUM(C32:C34)</f>
        <v>330000</v>
      </c>
    </row>
    <row r="36" spans="1:7" ht="16.5" customHeight="1">
      <c r="A36" s="7" t="s">
        <v>41</v>
      </c>
      <c r="B36" s="8"/>
      <c r="C36" s="10"/>
      <c r="D36" s="25"/>
    </row>
    <row r="37" spans="1:7" ht="18.75" customHeight="1">
      <c r="A37" s="152" t="s">
        <v>89</v>
      </c>
      <c r="B37" s="153"/>
      <c r="C37" s="147">
        <v>87914</v>
      </c>
      <c r="D37" s="79" t="s">
        <v>92</v>
      </c>
    </row>
    <row r="38" spans="1:7" ht="18.75" customHeight="1">
      <c r="A38" s="152" t="s">
        <v>89</v>
      </c>
      <c r="B38" s="153"/>
      <c r="C38" s="148">
        <v>84333</v>
      </c>
      <c r="D38" s="143" t="s">
        <v>101</v>
      </c>
    </row>
    <row r="39" spans="1:7" ht="15.75" thickBot="1">
      <c r="A39" s="8" t="s">
        <v>1</v>
      </c>
      <c r="B39" s="8"/>
      <c r="C39" s="12"/>
      <c r="D39" s="49">
        <f>SUM(C37:C37)</f>
        <v>87914</v>
      </c>
    </row>
    <row r="40" spans="1:7" hidden="1">
      <c r="A40" s="7" t="s">
        <v>26</v>
      </c>
      <c r="B40" s="114"/>
      <c r="C40" s="13"/>
      <c r="D40" s="50"/>
    </row>
    <row r="41" spans="1:7" hidden="1">
      <c r="A41" s="45" t="s">
        <v>55</v>
      </c>
      <c r="B41" s="45" t="s">
        <v>73</v>
      </c>
      <c r="C41" s="83"/>
      <c r="D41" s="79"/>
      <c r="F41" s="73"/>
    </row>
    <row r="42" spans="1:7" hidden="1">
      <c r="A42" s="45" t="s">
        <v>56</v>
      </c>
      <c r="B42" s="45" t="s">
        <v>73</v>
      </c>
      <c r="C42" s="84"/>
      <c r="D42" s="79"/>
    </row>
    <row r="43" spans="1:7" hidden="1">
      <c r="A43" s="45" t="s">
        <v>57</v>
      </c>
      <c r="B43" s="45" t="s">
        <v>73</v>
      </c>
      <c r="C43" s="84"/>
      <c r="D43" s="79"/>
    </row>
    <row r="44" spans="1:7" hidden="1">
      <c r="A44" s="45" t="s">
        <v>58</v>
      </c>
      <c r="B44" s="45" t="s">
        <v>73</v>
      </c>
      <c r="C44" s="84"/>
      <c r="D44" s="78"/>
    </row>
    <row r="45" spans="1:7" ht="15" hidden="1" customHeight="1" thickBot="1">
      <c r="A45" s="8" t="s">
        <v>2</v>
      </c>
      <c r="B45" s="114"/>
      <c r="C45" s="14"/>
      <c r="D45" s="49">
        <f>SUM(C41:C44)</f>
        <v>0</v>
      </c>
    </row>
    <row r="46" spans="1:7">
      <c r="A46" s="7" t="s">
        <v>28</v>
      </c>
      <c r="B46" s="114"/>
      <c r="C46" s="13"/>
      <c r="D46" s="50"/>
    </row>
    <row r="47" spans="1:7" ht="14.25" customHeight="1">
      <c r="A47" s="59" t="s">
        <v>81</v>
      </c>
      <c r="B47" s="45"/>
      <c r="C47" s="84">
        <v>81160.509999999995</v>
      </c>
      <c r="D47" s="77" t="s">
        <v>97</v>
      </c>
    </row>
    <row r="48" spans="1:7" ht="14.25" customHeight="1">
      <c r="A48" s="45" t="s">
        <v>79</v>
      </c>
      <c r="B48" s="45"/>
      <c r="C48" s="84">
        <v>223478.44</v>
      </c>
      <c r="D48" s="77" t="s">
        <v>100</v>
      </c>
    </row>
    <row r="49" spans="1:6" ht="14.25" customHeight="1">
      <c r="A49" s="45" t="s">
        <v>79</v>
      </c>
      <c r="B49" s="45"/>
      <c r="C49" s="149">
        <v>204474.88</v>
      </c>
      <c r="D49" s="77" t="s">
        <v>90</v>
      </c>
    </row>
    <row r="50" spans="1:6" ht="15.75" thickBot="1">
      <c r="A50" s="8" t="s">
        <v>3</v>
      </c>
      <c r="B50" s="8"/>
      <c r="C50" s="12"/>
      <c r="D50" s="49">
        <f>SUM(C47:C49)</f>
        <v>509113.83</v>
      </c>
    </row>
    <row r="51" spans="1:6" ht="15.75" thickBot="1">
      <c r="A51" s="7" t="s">
        <v>27</v>
      </c>
      <c r="B51" s="8"/>
      <c r="C51" s="12"/>
      <c r="D51" s="52"/>
    </row>
    <row r="52" spans="1:6" ht="39.6" customHeight="1">
      <c r="A52" s="152" t="s">
        <v>96</v>
      </c>
      <c r="B52" s="153"/>
      <c r="C52" s="149">
        <v>102680</v>
      </c>
      <c r="D52" s="75"/>
    </row>
    <row r="53" spans="1:6" ht="15.75" thickBot="1">
      <c r="A53" s="8" t="s">
        <v>11</v>
      </c>
      <c r="B53" s="7"/>
      <c r="C53" s="7"/>
      <c r="D53" s="54">
        <f>SUM(C52:C52)</f>
        <v>102680</v>
      </c>
    </row>
    <row r="54" spans="1:6" ht="15.75" thickBot="1">
      <c r="A54" s="7" t="s">
        <v>21</v>
      </c>
      <c r="B54" s="115"/>
      <c r="C54" s="5"/>
      <c r="D54" s="52"/>
    </row>
    <row r="55" spans="1:6">
      <c r="A55" s="45" t="s">
        <v>104</v>
      </c>
      <c r="B55" s="45"/>
      <c r="C55" s="86">
        <v>8607.9599999999991</v>
      </c>
      <c r="D55" s="55"/>
    </row>
    <row r="56" spans="1:6" ht="15.75" thickBot="1">
      <c r="A56" s="116" t="s">
        <v>25</v>
      </c>
      <c r="B56" s="116"/>
      <c r="C56" s="56"/>
      <c r="D56" s="49">
        <f>SUM(C55:C55)</f>
        <v>8607.9599999999991</v>
      </c>
    </row>
    <row r="57" spans="1:6" ht="15.75" thickBot="1">
      <c r="A57" s="45"/>
      <c r="B57" s="45"/>
      <c r="C57" s="45"/>
      <c r="D57" s="57"/>
    </row>
    <row r="58" spans="1:6" ht="20.25" customHeight="1" thickBot="1">
      <c r="A58" s="156" t="s">
        <v>74</v>
      </c>
      <c r="B58" s="157"/>
      <c r="C58" s="158"/>
      <c r="D58" s="58">
        <f>1400000-1038315.79</f>
        <v>361684.20999999996</v>
      </c>
    </row>
    <row r="59" spans="1:6" ht="15.75" thickBot="1">
      <c r="A59" s="117"/>
      <c r="B59" s="59"/>
      <c r="C59" s="59"/>
      <c r="D59" s="60"/>
      <c r="E59" s="16"/>
    </row>
    <row r="60" spans="1:6" ht="15.75" thickBot="1">
      <c r="A60" s="118" t="s">
        <v>22</v>
      </c>
      <c r="B60" s="119"/>
      <c r="C60" s="61"/>
      <c r="D60" s="62">
        <f>(SUM(D25:D58))</f>
        <v>1400000</v>
      </c>
      <c r="E60" s="16"/>
      <c r="F60" s="16"/>
    </row>
    <row r="61" spans="1:6">
      <c r="A61" s="59"/>
      <c r="B61" s="59"/>
      <c r="C61" s="59"/>
      <c r="D61" s="59"/>
      <c r="F61" s="74"/>
    </row>
    <row r="62" spans="1:6" ht="15.75" thickBot="1">
      <c r="A62" s="59"/>
      <c r="B62" s="59"/>
      <c r="C62" s="59"/>
      <c r="D62" s="59"/>
    </row>
    <row r="63" spans="1:6">
      <c r="A63" s="120" t="s">
        <v>30</v>
      </c>
      <c r="B63" s="121"/>
      <c r="C63" s="63"/>
      <c r="D63" s="64"/>
    </row>
    <row r="64" spans="1:6">
      <c r="A64" s="152"/>
      <c r="B64" s="153"/>
      <c r="C64" s="84"/>
      <c r="D64" s="75"/>
    </row>
    <row r="65" spans="1:4">
      <c r="A65" s="152"/>
      <c r="B65" s="153"/>
      <c r="C65" s="84"/>
      <c r="D65" s="51"/>
    </row>
    <row r="66" spans="1:4">
      <c r="A66" s="124"/>
      <c r="B66" s="125"/>
      <c r="C66" s="84"/>
      <c r="D66" s="51"/>
    </row>
    <row r="67" spans="1:4">
      <c r="A67" s="126"/>
      <c r="B67" s="127"/>
      <c r="C67" s="128"/>
      <c r="D67" s="128">
        <f>SUM(C64:C66)</f>
        <v>0</v>
      </c>
    </row>
    <row r="68" spans="1:4" ht="15" customHeight="1">
      <c r="A68" s="59"/>
      <c r="B68" s="59"/>
      <c r="C68" s="59"/>
      <c r="D68" s="59"/>
    </row>
    <row r="69" spans="1:4" hidden="1">
      <c r="A69" s="59"/>
      <c r="B69" s="59"/>
      <c r="C69" s="59"/>
      <c r="D69" s="59"/>
    </row>
    <row r="70" spans="1:4">
      <c r="A70" s="129" t="s">
        <v>31</v>
      </c>
      <c r="B70" s="129"/>
      <c r="C70" s="130"/>
      <c r="D70" s="142">
        <v>0</v>
      </c>
    </row>
    <row r="71" spans="1:4" ht="15.75" thickBot="1">
      <c r="A71" s="59"/>
      <c r="B71" s="59"/>
      <c r="C71" s="59"/>
      <c r="D71" s="59"/>
    </row>
    <row r="72" spans="1:4" ht="15.75" thickBot="1">
      <c r="A72" s="118" t="s">
        <v>32</v>
      </c>
      <c r="B72" s="119"/>
      <c r="C72" s="61"/>
      <c r="D72" s="62">
        <f>D67+D70</f>
        <v>0</v>
      </c>
    </row>
    <row r="73" spans="1:4" ht="15.75" thickBot="1">
      <c r="A73" s="59"/>
      <c r="B73" s="59"/>
      <c r="C73" s="59"/>
      <c r="D73" s="59"/>
    </row>
    <row r="74" spans="1:4" ht="15.75" thickBot="1">
      <c r="A74" s="131" t="s">
        <v>23</v>
      </c>
      <c r="B74" s="132">
        <f>D60</f>
        <v>1400000</v>
      </c>
      <c r="C74" s="133"/>
      <c r="D74" s="59"/>
    </row>
    <row r="75" spans="1:4" ht="15.75" thickBot="1">
      <c r="A75" s="131" t="s">
        <v>24</v>
      </c>
      <c r="B75" s="132">
        <f>D60-D58</f>
        <v>1038315.79</v>
      </c>
      <c r="C75" s="59"/>
      <c r="D75" s="59"/>
    </row>
    <row r="76" spans="1:4" ht="15.75" thickBot="1">
      <c r="A76" s="131" t="s">
        <v>33</v>
      </c>
      <c r="B76" s="132">
        <f>D72-D70</f>
        <v>0</v>
      </c>
      <c r="C76" s="59"/>
      <c r="D76" s="59"/>
    </row>
    <row r="77" spans="1:4" ht="15.75" thickBot="1">
      <c r="A77" s="131" t="s">
        <v>48</v>
      </c>
      <c r="B77" s="132">
        <f>D72</f>
        <v>0</v>
      </c>
      <c r="C77" s="59"/>
      <c r="D77" s="59"/>
    </row>
    <row r="78" spans="1:4">
      <c r="A78" s="59"/>
      <c r="B78" s="59"/>
      <c r="C78" s="59"/>
      <c r="D78" s="59"/>
    </row>
    <row r="79" spans="1:4">
      <c r="A79" s="160" t="s">
        <v>102</v>
      </c>
      <c r="B79" s="160"/>
      <c r="C79" s="160"/>
      <c r="D79" s="160"/>
    </row>
    <row r="80" spans="1:4">
      <c r="A80" s="160"/>
      <c r="B80" s="160"/>
      <c r="C80" s="160"/>
      <c r="D80" s="160"/>
    </row>
    <row r="81" spans="1:4">
      <c r="A81" s="160"/>
      <c r="B81" s="160"/>
      <c r="C81" s="160"/>
      <c r="D81" s="160"/>
    </row>
    <row r="82" spans="1:4">
      <c r="A82" s="160"/>
      <c r="B82" s="160"/>
      <c r="C82" s="160"/>
      <c r="D82" s="160"/>
    </row>
    <row r="83" spans="1:4">
      <c r="A83" s="160"/>
      <c r="B83" s="160"/>
      <c r="C83" s="160"/>
      <c r="D83" s="160"/>
    </row>
    <row r="84" spans="1:4">
      <c r="A84" s="160"/>
      <c r="B84" s="160"/>
      <c r="C84" s="160"/>
      <c r="D84" s="160"/>
    </row>
    <row r="85" spans="1:4">
      <c r="A85" s="59"/>
      <c r="B85" s="59"/>
      <c r="C85" s="59"/>
      <c r="D85" s="59"/>
    </row>
    <row r="86" spans="1:4">
      <c r="A86" s="59"/>
      <c r="B86" s="59"/>
      <c r="C86" s="59"/>
      <c r="D86" s="59"/>
    </row>
    <row r="87" spans="1:4">
      <c r="A87" s="59"/>
      <c r="B87" s="59"/>
      <c r="C87" s="59"/>
      <c r="D87" s="59"/>
    </row>
    <row r="88" spans="1:4" ht="15.75" thickBot="1">
      <c r="A88" s="134" t="s">
        <v>43</v>
      </c>
      <c r="B88" s="135"/>
      <c r="C88" s="59"/>
      <c r="D88" s="59"/>
    </row>
    <row r="89" spans="1:4" ht="21.75" customHeight="1" thickBot="1">
      <c r="A89" s="150" t="s">
        <v>105</v>
      </c>
      <c r="B89" s="136">
        <v>-167155.70999999996</v>
      </c>
      <c r="C89" s="59"/>
    </row>
    <row r="90" spans="1:4" ht="14.25" customHeight="1">
      <c r="A90" s="137" t="s">
        <v>51</v>
      </c>
      <c r="B90" s="53">
        <f>PRORRATEO!H18</f>
        <v>985688.32</v>
      </c>
      <c r="C90" s="59"/>
    </row>
    <row r="91" spans="1:4" ht="14.25" customHeight="1">
      <c r="A91" s="137" t="s">
        <v>50</v>
      </c>
      <c r="B91" s="53">
        <f>B100</f>
        <v>0</v>
      </c>
      <c r="C91" s="59"/>
    </row>
    <row r="92" spans="1:4">
      <c r="A92" s="139" t="s">
        <v>34</v>
      </c>
      <c r="B92" s="53">
        <f>-B75</f>
        <v>-1038315.79</v>
      </c>
      <c r="C92" s="59"/>
    </row>
    <row r="93" spans="1:4">
      <c r="A93" s="138" t="s">
        <v>35</v>
      </c>
      <c r="B93" s="53">
        <f>-(B76)</f>
        <v>0</v>
      </c>
      <c r="C93" s="59"/>
    </row>
    <row r="94" spans="1:4">
      <c r="A94" s="6" t="s">
        <v>11</v>
      </c>
      <c r="B94" s="96">
        <f>SUM(B89:B93)</f>
        <v>-219783.18000000005</v>
      </c>
      <c r="C94" s="123"/>
    </row>
    <row r="95" spans="1:4" ht="34.5" customHeight="1">
      <c r="B95" s="15"/>
      <c r="C95" s="16"/>
      <c r="D95" s="123"/>
    </row>
    <row r="96" spans="1:4">
      <c r="A96" s="155" t="s">
        <v>42</v>
      </c>
      <c r="B96" s="155"/>
    </row>
    <row r="97" spans="1:12" ht="27.75" customHeight="1">
      <c r="A97" s="155"/>
      <c r="B97" s="155"/>
    </row>
    <row r="98" spans="1:12" ht="32.25" customHeight="1">
      <c r="A98" s="65"/>
      <c r="B98" s="11"/>
    </row>
    <row r="99" spans="1:12" ht="32.25" customHeight="1">
      <c r="A99" s="65"/>
      <c r="B99" s="11"/>
    </row>
    <row r="100" spans="1:12">
      <c r="A100" s="17" t="s">
        <v>11</v>
      </c>
      <c r="B100" s="66">
        <f>SUM(B98:B99)</f>
        <v>0</v>
      </c>
    </row>
    <row r="101" spans="1:12">
      <c r="L101" s="3"/>
    </row>
  </sheetData>
  <mergeCells count="11">
    <mergeCell ref="A4:B7"/>
    <mergeCell ref="A37:B37"/>
    <mergeCell ref="A14:D17"/>
    <mergeCell ref="A96:B97"/>
    <mergeCell ref="A65:B65"/>
    <mergeCell ref="A58:C58"/>
    <mergeCell ref="B9:B11"/>
    <mergeCell ref="A52:B52"/>
    <mergeCell ref="A64:B64"/>
    <mergeCell ref="A38:B38"/>
    <mergeCell ref="A79:D84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6"/>
  <sheetViews>
    <sheetView topLeftCell="B7" zoomScaleNormal="100" workbookViewId="0">
      <selection activeCell="O2" sqref="O2"/>
    </sheetView>
  </sheetViews>
  <sheetFormatPr baseColWidth="10" defaultRowHeight="15"/>
  <cols>
    <col min="1" max="1" width="5" hidden="1" customWidth="1"/>
    <col min="2" max="2" width="5.5703125" customWidth="1"/>
    <col min="3" max="3" width="6" customWidth="1"/>
    <col min="4" max="4" width="18.42578125" customWidth="1"/>
    <col min="5" max="5" width="11.5703125" customWidth="1"/>
    <col min="6" max="6" width="5.140625" customWidth="1"/>
    <col min="7" max="7" width="14.140625" customWidth="1"/>
    <col min="8" max="8" width="14" customWidth="1"/>
    <col min="9" max="9" width="7.7109375" hidden="1" customWidth="1"/>
    <col min="10" max="10" width="10.5703125" customWidth="1"/>
    <col min="11" max="11" width="11.140625" customWidth="1"/>
    <col min="12" max="12" width="14.42578125" customWidth="1"/>
    <col min="13" max="13" width="12.42578125" customWidth="1"/>
    <col min="14" max="14" width="11.5703125" bestFit="1" customWidth="1"/>
    <col min="15" max="15" width="15.28515625" customWidth="1"/>
    <col min="16" max="16" width="14.140625" customWidth="1"/>
    <col min="17" max="17" width="7.42578125" bestFit="1" customWidth="1"/>
    <col min="18" max="18" width="12" bestFit="1" customWidth="1"/>
    <col min="19" max="20" width="14.5703125" bestFit="1" customWidth="1"/>
    <col min="21" max="21" width="13" bestFit="1" customWidth="1"/>
  </cols>
  <sheetData>
    <row r="1" spans="1:21" ht="12.95" customHeight="1">
      <c r="A1" s="97"/>
      <c r="B1" s="165" t="str">
        <f>RESUMEN!A4</f>
        <v>TRANSFERIR A  : Cuenta SANTANDER  533-033257/4 CBU :  0720533020000003325740 - CUIT: 30-71953248-5</v>
      </c>
      <c r="C1" s="165"/>
      <c r="D1" s="165"/>
      <c r="E1" s="165"/>
      <c r="F1" s="165"/>
      <c r="G1" s="165"/>
      <c r="H1" s="165"/>
      <c r="I1" s="165"/>
      <c r="J1" s="165"/>
      <c r="K1" s="165"/>
      <c r="L1" s="98"/>
      <c r="M1" s="98"/>
      <c r="N1" s="98"/>
      <c r="O1" s="98"/>
      <c r="P1" s="99"/>
    </row>
    <row r="2" spans="1:21" ht="14.25" customHeight="1">
      <c r="A2" s="100"/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01"/>
      <c r="M2" s="101" t="s">
        <v>4</v>
      </c>
      <c r="N2" s="2"/>
      <c r="O2" s="108">
        <v>1400000</v>
      </c>
      <c r="P2" s="102"/>
      <c r="Q2" s="4"/>
      <c r="R2">
        <v>1406361.51</v>
      </c>
    </row>
    <row r="3" spans="1:21" ht="16.5" customHeight="1" thickBot="1">
      <c r="A3" s="103"/>
      <c r="B3" s="167"/>
      <c r="C3" s="167"/>
      <c r="D3" s="167"/>
      <c r="E3" s="167"/>
      <c r="F3" s="167"/>
      <c r="G3" s="167"/>
      <c r="H3" s="167"/>
      <c r="I3" s="167"/>
      <c r="J3" s="167"/>
      <c r="K3" s="167"/>
      <c r="L3" s="104"/>
      <c r="M3" s="104" t="s">
        <v>52</v>
      </c>
      <c r="N3" s="105"/>
      <c r="O3" s="109">
        <v>0</v>
      </c>
      <c r="P3" s="106"/>
    </row>
    <row r="4" spans="1:21" ht="30.6" customHeight="1" thickBot="1">
      <c r="A4" s="2"/>
      <c r="B4" s="177" t="s">
        <v>71</v>
      </c>
      <c r="C4" s="178"/>
      <c r="D4" s="178"/>
      <c r="E4" s="178"/>
      <c r="F4" s="178"/>
      <c r="G4" s="178"/>
      <c r="H4" s="178"/>
      <c r="I4" s="178"/>
      <c r="J4" s="178"/>
      <c r="K4" s="178"/>
      <c r="L4" s="178"/>
      <c r="M4" s="178"/>
      <c r="N4" s="178"/>
      <c r="O4" s="178"/>
      <c r="P4" s="179"/>
    </row>
    <row r="5" spans="1:21">
      <c r="A5" s="161" t="s">
        <v>5</v>
      </c>
      <c r="B5" s="163" t="s">
        <v>6</v>
      </c>
      <c r="C5" s="164" t="s">
        <v>7</v>
      </c>
      <c r="D5" s="164" t="s">
        <v>8</v>
      </c>
      <c r="E5" s="164" t="s">
        <v>38</v>
      </c>
      <c r="F5" s="164" t="s">
        <v>20</v>
      </c>
      <c r="G5" s="164" t="s">
        <v>49</v>
      </c>
      <c r="H5" s="164" t="s">
        <v>9</v>
      </c>
      <c r="I5" s="164" t="s">
        <v>39</v>
      </c>
      <c r="J5" s="173" t="s">
        <v>40</v>
      </c>
      <c r="K5" s="171" t="s">
        <v>37</v>
      </c>
      <c r="L5" s="171" t="s">
        <v>10</v>
      </c>
      <c r="M5" s="171" t="s">
        <v>36</v>
      </c>
      <c r="N5" s="175" t="s">
        <v>47</v>
      </c>
      <c r="O5" s="85" t="s">
        <v>46</v>
      </c>
      <c r="P5" s="168" t="s">
        <v>45</v>
      </c>
      <c r="S5" s="16"/>
      <c r="T5" s="15"/>
    </row>
    <row r="6" spans="1:21" ht="15.75" customHeight="1">
      <c r="A6" s="162"/>
      <c r="B6" s="163"/>
      <c r="C6" s="164"/>
      <c r="D6" s="164"/>
      <c r="E6" s="170"/>
      <c r="F6" s="164"/>
      <c r="G6" s="164"/>
      <c r="H6" s="164"/>
      <c r="I6" s="170"/>
      <c r="J6" s="174"/>
      <c r="K6" s="172"/>
      <c r="L6" s="171"/>
      <c r="M6" s="172"/>
      <c r="N6" s="176"/>
      <c r="O6" s="21" t="str">
        <f>RESUMEN!B9</f>
        <v>VTO 17/09</v>
      </c>
      <c r="P6" s="168"/>
      <c r="S6" s="15">
        <v>65160</v>
      </c>
      <c r="T6" s="15">
        <v>157470</v>
      </c>
      <c r="U6" s="16">
        <f>T6+S6</f>
        <v>222630</v>
      </c>
    </row>
    <row r="7" spans="1:21" ht="17.100000000000001" customHeight="1">
      <c r="A7" s="1" t="s">
        <v>12</v>
      </c>
      <c r="B7" s="76">
        <v>1</v>
      </c>
      <c r="C7" s="76" t="s">
        <v>60</v>
      </c>
      <c r="D7" s="76" t="s">
        <v>85</v>
      </c>
      <c r="E7" s="76"/>
      <c r="F7" s="89">
        <v>11.2</v>
      </c>
      <c r="G7" s="28">
        <v>1487190.01</v>
      </c>
      <c r="H7" s="28">
        <v>0</v>
      </c>
      <c r="I7" s="29"/>
      <c r="J7" s="90">
        <f>G7-H7</f>
        <v>1487190.01</v>
      </c>
      <c r="K7" s="90">
        <f>IF(J7&gt;0,J7*3%,0)</f>
        <v>44615.700299999997</v>
      </c>
      <c r="L7" s="140">
        <f>O$3*F7%</f>
        <v>0</v>
      </c>
      <c r="M7" s="91">
        <f>O$2*F7%</f>
        <v>156799.99999999997</v>
      </c>
      <c r="N7" s="92">
        <v>0</v>
      </c>
      <c r="O7" s="93">
        <f>ROUND(SUM(J7:N7),0) + Q7</f>
        <v>1688606.01</v>
      </c>
      <c r="P7" s="94">
        <f t="shared" ref="P7:P16" si="0">ROUND(O7*3%,0) + O7</f>
        <v>1739264.01</v>
      </c>
      <c r="Q7" s="16">
        <v>0.01</v>
      </c>
      <c r="S7" s="15">
        <v>66960</v>
      </c>
      <c r="T7" s="15">
        <v>161820</v>
      </c>
      <c r="U7" s="16">
        <f t="shared" ref="U7:U16" si="1">T7+S7</f>
        <v>228780</v>
      </c>
    </row>
    <row r="8" spans="1:21" ht="17.100000000000001" customHeight="1">
      <c r="A8" s="1" t="s">
        <v>13</v>
      </c>
      <c r="B8" s="23">
        <v>2</v>
      </c>
      <c r="C8" s="23" t="s">
        <v>61</v>
      </c>
      <c r="D8" s="23" t="s">
        <v>75</v>
      </c>
      <c r="E8" s="24"/>
      <c r="F8" s="26">
        <v>11.2</v>
      </c>
      <c r="G8" s="27">
        <v>413951.02</v>
      </c>
      <c r="H8" s="28">
        <v>0</v>
      </c>
      <c r="I8" s="29"/>
      <c r="J8" s="30">
        <f t="shared" ref="J8:J16" si="2">G8-H8</f>
        <v>413951.02</v>
      </c>
      <c r="K8" s="30">
        <f t="shared" ref="K8:K16" si="3">IF(J8&gt;0,J8*3%,0)</f>
        <v>12418.5306</v>
      </c>
      <c r="L8" s="31">
        <f t="shared" ref="L8:L17" si="4">O$3*F8%</f>
        <v>0</v>
      </c>
      <c r="M8" s="31">
        <f t="shared" ref="M8:M17" si="5">O$2*F8%</f>
        <v>156799.99999999997</v>
      </c>
      <c r="N8" s="32">
        <v>0</v>
      </c>
      <c r="O8" s="33">
        <f>ROUND(SUM(J8:N8),0) + Q8</f>
        <v>583170.02</v>
      </c>
      <c r="P8" s="34">
        <f t="shared" si="0"/>
        <v>600665.02</v>
      </c>
      <c r="Q8" s="16">
        <f>Q7+0.01</f>
        <v>0.02</v>
      </c>
      <c r="R8" s="16"/>
      <c r="S8" s="15">
        <v>41700</v>
      </c>
      <c r="T8" s="15">
        <v>100775</v>
      </c>
      <c r="U8" s="16">
        <f t="shared" si="1"/>
        <v>142475</v>
      </c>
    </row>
    <row r="9" spans="1:21" ht="17.100000000000001" customHeight="1">
      <c r="A9" s="1" t="s">
        <v>13</v>
      </c>
      <c r="B9" s="23">
        <v>3</v>
      </c>
      <c r="C9" s="76" t="s">
        <v>62</v>
      </c>
      <c r="D9" s="87" t="s">
        <v>76</v>
      </c>
      <c r="E9" s="76"/>
      <c r="F9" s="89">
        <v>8.9</v>
      </c>
      <c r="G9" s="28">
        <v>180670.03</v>
      </c>
      <c r="H9" s="28">
        <v>187000</v>
      </c>
      <c r="I9" s="29"/>
      <c r="J9" s="90">
        <f t="shared" si="2"/>
        <v>-6329.9700000000012</v>
      </c>
      <c r="K9" s="30">
        <f t="shared" si="3"/>
        <v>0</v>
      </c>
      <c r="L9" s="91">
        <f t="shared" si="4"/>
        <v>0</v>
      </c>
      <c r="M9" s="91">
        <f t="shared" si="5"/>
        <v>124600.00000000001</v>
      </c>
      <c r="N9" s="92">
        <v>0</v>
      </c>
      <c r="O9" s="93">
        <f t="shared" ref="O9:O16" si="6">ROUND(SUM(J9:N9),0) + Q9</f>
        <v>118270.03</v>
      </c>
      <c r="P9" s="94">
        <f t="shared" si="0"/>
        <v>121818.03</v>
      </c>
      <c r="Q9" s="16">
        <f t="shared" ref="Q9:Q16" si="7">Q8+0.01</f>
        <v>0.03</v>
      </c>
      <c r="S9" s="15">
        <v>44220</v>
      </c>
      <c r="T9" s="15">
        <v>106865</v>
      </c>
      <c r="U9" s="16">
        <f t="shared" si="1"/>
        <v>151085</v>
      </c>
    </row>
    <row r="10" spans="1:21" ht="17.100000000000001" customHeight="1">
      <c r="A10" s="1" t="s">
        <v>14</v>
      </c>
      <c r="B10" s="23">
        <v>4</v>
      </c>
      <c r="C10" s="23" t="s">
        <v>63</v>
      </c>
      <c r="D10" s="23" t="s">
        <v>77</v>
      </c>
      <c r="E10" s="23"/>
      <c r="F10" s="89">
        <v>8.9</v>
      </c>
      <c r="G10" s="27">
        <v>94474.04</v>
      </c>
      <c r="H10" s="28">
        <v>95000</v>
      </c>
      <c r="I10" s="29"/>
      <c r="J10" s="30">
        <f t="shared" si="2"/>
        <v>-525.9600000000064</v>
      </c>
      <c r="K10" s="30">
        <f t="shared" si="3"/>
        <v>0</v>
      </c>
      <c r="L10" s="31">
        <f t="shared" si="4"/>
        <v>0</v>
      </c>
      <c r="M10" s="31">
        <f t="shared" si="5"/>
        <v>124600.00000000001</v>
      </c>
      <c r="N10" s="32">
        <v>0</v>
      </c>
      <c r="O10" s="33">
        <f t="shared" si="6"/>
        <v>124074.04</v>
      </c>
      <c r="P10" s="34">
        <f t="shared" si="0"/>
        <v>127796.04</v>
      </c>
      <c r="Q10" s="16">
        <f t="shared" si="7"/>
        <v>0.04</v>
      </c>
      <c r="S10" s="15">
        <v>64080</v>
      </c>
      <c r="T10" s="15">
        <v>154860</v>
      </c>
      <c r="U10" s="16">
        <f t="shared" si="1"/>
        <v>218940</v>
      </c>
    </row>
    <row r="11" spans="1:21" ht="17.100000000000001" customHeight="1">
      <c r="A11" s="1" t="s">
        <v>14</v>
      </c>
      <c r="B11" s="23">
        <v>5</v>
      </c>
      <c r="C11" s="23" t="s">
        <v>64</v>
      </c>
      <c r="D11" s="23" t="s">
        <v>83</v>
      </c>
      <c r="E11" s="24"/>
      <c r="F11" s="26">
        <v>9.8000000000000007</v>
      </c>
      <c r="G11" s="27">
        <v>98000.05</v>
      </c>
      <c r="H11" s="28">
        <v>98100</v>
      </c>
      <c r="I11" s="29"/>
      <c r="J11" s="30">
        <f t="shared" si="2"/>
        <v>-99.94999999999709</v>
      </c>
      <c r="K11" s="30">
        <f t="shared" si="3"/>
        <v>0</v>
      </c>
      <c r="L11" s="31">
        <f t="shared" si="4"/>
        <v>0</v>
      </c>
      <c r="M11" s="31">
        <f t="shared" si="5"/>
        <v>137200</v>
      </c>
      <c r="N11" s="32">
        <v>0</v>
      </c>
      <c r="O11" s="33">
        <f t="shared" si="6"/>
        <v>137100.04999999999</v>
      </c>
      <c r="P11" s="34">
        <f t="shared" si="0"/>
        <v>141213.04999999999</v>
      </c>
      <c r="Q11" s="16">
        <f t="shared" si="7"/>
        <v>0.05</v>
      </c>
      <c r="S11" s="15">
        <v>41700</v>
      </c>
      <c r="T11" s="15">
        <v>100775</v>
      </c>
      <c r="U11" s="16">
        <f t="shared" si="1"/>
        <v>142475</v>
      </c>
    </row>
    <row r="12" spans="1:21" ht="17.100000000000001" customHeight="1">
      <c r="A12" s="1" t="s">
        <v>15</v>
      </c>
      <c r="B12" s="23">
        <v>6</v>
      </c>
      <c r="C12" s="23" t="s">
        <v>65</v>
      </c>
      <c r="D12" s="23" t="s">
        <v>88</v>
      </c>
      <c r="E12" s="23"/>
      <c r="F12" s="26">
        <v>9.8000000000000007</v>
      </c>
      <c r="G12" s="27">
        <v>98000.06</v>
      </c>
      <c r="H12" s="28">
        <f>G12</f>
        <v>98000.06</v>
      </c>
      <c r="I12" s="29"/>
      <c r="J12" s="30">
        <f t="shared" si="2"/>
        <v>0</v>
      </c>
      <c r="K12" s="30">
        <f t="shared" si="3"/>
        <v>0</v>
      </c>
      <c r="L12" s="31">
        <f t="shared" si="4"/>
        <v>0</v>
      </c>
      <c r="M12" s="31">
        <f t="shared" si="5"/>
        <v>137200</v>
      </c>
      <c r="N12" s="122">
        <v>0</v>
      </c>
      <c r="O12" s="33">
        <f>ROUND(SUM(J12:N12),0) + Q12</f>
        <v>137200.06</v>
      </c>
      <c r="P12" s="34">
        <f t="shared" si="0"/>
        <v>141316.06</v>
      </c>
      <c r="Q12" s="16">
        <f t="shared" si="7"/>
        <v>6.0000000000000005E-2</v>
      </c>
      <c r="S12" s="15">
        <v>41340</v>
      </c>
      <c r="T12" s="15">
        <v>99905</v>
      </c>
      <c r="U12" s="16">
        <f t="shared" si="1"/>
        <v>141245</v>
      </c>
    </row>
    <row r="13" spans="1:21" ht="17.100000000000001" customHeight="1">
      <c r="A13" s="1" t="s">
        <v>15</v>
      </c>
      <c r="B13" s="23">
        <v>7</v>
      </c>
      <c r="C13" s="76" t="s">
        <v>66</v>
      </c>
      <c r="D13" s="23" t="s">
        <v>87</v>
      </c>
      <c r="E13" s="23"/>
      <c r="F13" s="89">
        <v>8.9</v>
      </c>
      <c r="G13" s="27">
        <v>89000.07</v>
      </c>
      <c r="H13" s="28">
        <v>91670.07</v>
      </c>
      <c r="I13" s="29"/>
      <c r="J13" s="30">
        <f t="shared" si="2"/>
        <v>-2670</v>
      </c>
      <c r="K13" s="30">
        <f t="shared" si="3"/>
        <v>0</v>
      </c>
      <c r="L13" s="31">
        <f t="shared" si="4"/>
        <v>0</v>
      </c>
      <c r="M13" s="31">
        <f t="shared" si="5"/>
        <v>124600.00000000001</v>
      </c>
      <c r="N13" s="32">
        <v>0</v>
      </c>
      <c r="O13" s="33">
        <f t="shared" si="6"/>
        <v>121930.07</v>
      </c>
      <c r="P13" s="34">
        <f t="shared" si="0"/>
        <v>125588.07</v>
      </c>
      <c r="Q13" s="16">
        <f t="shared" si="7"/>
        <v>7.0000000000000007E-2</v>
      </c>
      <c r="R13" s="74"/>
      <c r="S13" s="107">
        <v>64080</v>
      </c>
      <c r="T13" s="15">
        <v>154860</v>
      </c>
      <c r="U13" s="16">
        <f t="shared" si="1"/>
        <v>218940</v>
      </c>
    </row>
    <row r="14" spans="1:21" ht="17.100000000000001" customHeight="1">
      <c r="A14" s="1" t="s">
        <v>16</v>
      </c>
      <c r="B14" s="23">
        <v>8</v>
      </c>
      <c r="C14" s="23" t="s">
        <v>67</v>
      </c>
      <c r="D14" s="23" t="s">
        <v>78</v>
      </c>
      <c r="E14" s="23" t="s">
        <v>82</v>
      </c>
      <c r="F14" s="89">
        <v>8.9</v>
      </c>
      <c r="G14" s="27">
        <v>185198.07999999999</v>
      </c>
      <c r="H14" s="28">
        <v>185198</v>
      </c>
      <c r="I14" s="29"/>
      <c r="J14" s="30">
        <f t="shared" si="2"/>
        <v>7.9999999987194315E-2</v>
      </c>
      <c r="K14" s="30">
        <f t="shared" si="3"/>
        <v>2.3999999996158292E-3</v>
      </c>
      <c r="L14" s="31">
        <f t="shared" si="4"/>
        <v>0</v>
      </c>
      <c r="M14" s="31">
        <f t="shared" si="5"/>
        <v>124600.00000000001</v>
      </c>
      <c r="N14" s="32">
        <v>0</v>
      </c>
      <c r="O14" s="33">
        <f t="shared" si="6"/>
        <v>124600.08</v>
      </c>
      <c r="P14" s="34">
        <f t="shared" si="0"/>
        <v>128338.08</v>
      </c>
      <c r="Q14" s="16">
        <f t="shared" si="7"/>
        <v>0.08</v>
      </c>
      <c r="S14" s="15">
        <v>41700</v>
      </c>
      <c r="T14" s="15">
        <v>100775</v>
      </c>
      <c r="U14" s="16">
        <f t="shared" si="1"/>
        <v>142475</v>
      </c>
    </row>
    <row r="15" spans="1:21" ht="17.100000000000001" customHeight="1">
      <c r="A15" s="1" t="s">
        <v>16</v>
      </c>
      <c r="B15" s="76">
        <v>9</v>
      </c>
      <c r="C15" s="76" t="s">
        <v>68</v>
      </c>
      <c r="D15" s="76" t="s">
        <v>78</v>
      </c>
      <c r="E15" s="88" t="s">
        <v>86</v>
      </c>
      <c r="F15" s="26">
        <v>11.2</v>
      </c>
      <c r="G15" s="28">
        <v>112000.09</v>
      </c>
      <c r="H15" s="28">
        <v>115360.09</v>
      </c>
      <c r="I15" s="29"/>
      <c r="J15" s="90">
        <f t="shared" si="2"/>
        <v>-3360</v>
      </c>
      <c r="K15" s="90">
        <v>0</v>
      </c>
      <c r="L15" s="91">
        <f t="shared" si="4"/>
        <v>0</v>
      </c>
      <c r="M15" s="91">
        <f t="shared" si="5"/>
        <v>156799.99999999997</v>
      </c>
      <c r="N15" s="92">
        <v>0</v>
      </c>
      <c r="O15" s="93">
        <f t="shared" si="6"/>
        <v>153440.09</v>
      </c>
      <c r="P15" s="94">
        <f t="shared" si="0"/>
        <v>158043.09</v>
      </c>
      <c r="Q15" s="16">
        <f t="shared" si="7"/>
        <v>0.09</v>
      </c>
      <c r="S15" s="15">
        <v>41340</v>
      </c>
      <c r="T15" s="15">
        <v>99905</v>
      </c>
      <c r="U15" s="16">
        <f t="shared" si="1"/>
        <v>141245</v>
      </c>
    </row>
    <row r="16" spans="1:21" ht="16.149999999999999" customHeight="1">
      <c r="A16" s="1" t="s">
        <v>17</v>
      </c>
      <c r="B16" s="76">
        <v>10</v>
      </c>
      <c r="C16" s="23" t="s">
        <v>69</v>
      </c>
      <c r="D16" s="23" t="s">
        <v>84</v>
      </c>
      <c r="E16" s="88"/>
      <c r="F16" s="26">
        <v>11.2</v>
      </c>
      <c r="G16" s="27">
        <v>112000.1</v>
      </c>
      <c r="H16" s="28">
        <v>115360.1</v>
      </c>
      <c r="I16" s="29"/>
      <c r="J16" s="30">
        <f t="shared" si="2"/>
        <v>-3360</v>
      </c>
      <c r="K16" s="30">
        <f t="shared" si="3"/>
        <v>0</v>
      </c>
      <c r="L16" s="31">
        <f t="shared" si="4"/>
        <v>0</v>
      </c>
      <c r="M16" s="31">
        <f t="shared" si="5"/>
        <v>156799.99999999997</v>
      </c>
      <c r="N16" s="32">
        <v>0</v>
      </c>
      <c r="O16" s="33">
        <f t="shared" si="6"/>
        <v>153440.1</v>
      </c>
      <c r="P16" s="34">
        <f t="shared" si="0"/>
        <v>158043.1</v>
      </c>
      <c r="Q16" s="16">
        <f t="shared" si="7"/>
        <v>9.9999999999999992E-2</v>
      </c>
      <c r="S16" s="15">
        <v>71280</v>
      </c>
      <c r="T16" s="15">
        <v>172260</v>
      </c>
      <c r="U16" s="16">
        <f t="shared" si="1"/>
        <v>243540</v>
      </c>
    </row>
    <row r="17" spans="1:17" ht="15.75" thickBot="1">
      <c r="A17" s="1" t="s">
        <v>19</v>
      </c>
      <c r="B17" s="23"/>
      <c r="C17" s="23"/>
      <c r="D17" s="23"/>
      <c r="E17" s="23"/>
      <c r="F17" s="26"/>
      <c r="G17" s="35" t="s">
        <v>53</v>
      </c>
      <c r="H17" s="28"/>
      <c r="I17" s="36"/>
      <c r="J17" s="37" t="e">
        <f t="shared" ref="J17" si="8">G17-H17</f>
        <v>#VALUE!</v>
      </c>
      <c r="K17" s="30"/>
      <c r="L17" s="31">
        <f t="shared" si="4"/>
        <v>0</v>
      </c>
      <c r="M17" s="38">
        <f t="shared" si="5"/>
        <v>0</v>
      </c>
      <c r="N17" s="39">
        <v>0</v>
      </c>
      <c r="O17" s="33"/>
      <c r="P17" s="34"/>
      <c r="Q17" s="16"/>
    </row>
    <row r="18" spans="1:17" ht="15.75" thickBot="1">
      <c r="B18" s="40"/>
      <c r="C18" s="41"/>
      <c r="D18" s="42"/>
      <c r="E18" s="42"/>
      <c r="F18" s="43">
        <f>SUM(F7:F17)</f>
        <v>100.00000000000001</v>
      </c>
      <c r="G18" s="19">
        <f>SUM(G7:G17)</f>
        <v>2870483.55</v>
      </c>
      <c r="H18" s="19">
        <f>SUM(H7:H17)</f>
        <v>985688.32</v>
      </c>
      <c r="I18" s="22">
        <f>SUM(I7:I17)</f>
        <v>0</v>
      </c>
      <c r="J18" s="22"/>
      <c r="K18" s="22"/>
      <c r="L18" s="22">
        <f>SUM(L7:L17)</f>
        <v>0</v>
      </c>
      <c r="M18" s="22">
        <f>SUM(M7:M17)</f>
        <v>1400000</v>
      </c>
      <c r="N18" s="22">
        <f>SUM(N7:N17)</f>
        <v>0</v>
      </c>
      <c r="O18" s="44">
        <f>SUM(O7:O16)</f>
        <v>3341830.55</v>
      </c>
      <c r="P18" s="44">
        <f>SUM(P7:P16)</f>
        <v>3442084.55</v>
      </c>
    </row>
    <row r="19" spans="1:17">
      <c r="D19" s="18"/>
      <c r="E19" s="18"/>
    </row>
    <row r="21" spans="1:17">
      <c r="D21" s="169" t="s">
        <v>59</v>
      </c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69"/>
    </row>
    <row r="22" spans="1:17">
      <c r="D22" s="169"/>
      <c r="E22" s="169"/>
      <c r="F22" s="169"/>
      <c r="G22" s="169"/>
      <c r="H22" s="169"/>
      <c r="I22" s="169"/>
      <c r="J22" s="169"/>
      <c r="K22" s="169"/>
      <c r="L22" s="169"/>
      <c r="M22" s="169"/>
      <c r="N22" s="169"/>
      <c r="O22" s="169"/>
    </row>
    <row r="23" spans="1:17">
      <c r="D23" s="169"/>
      <c r="E23" s="169"/>
      <c r="F23" s="169"/>
      <c r="G23" s="169"/>
      <c r="H23" s="169"/>
      <c r="I23" s="169"/>
      <c r="J23" s="169"/>
      <c r="K23" s="169"/>
      <c r="L23" s="169"/>
      <c r="M23" s="169"/>
      <c r="N23" s="169"/>
      <c r="O23" s="169"/>
    </row>
    <row r="24" spans="1:17">
      <c r="D24" s="169"/>
      <c r="E24" s="169"/>
      <c r="F24" s="169"/>
      <c r="G24" s="169"/>
      <c r="H24" s="169"/>
      <c r="I24" s="169"/>
      <c r="J24" s="169"/>
      <c r="K24" s="169"/>
      <c r="L24" s="169"/>
      <c r="M24" s="169"/>
      <c r="N24" s="169"/>
      <c r="O24" s="169"/>
    </row>
    <row r="25" spans="1:17">
      <c r="D25" s="169"/>
      <c r="E25" s="169"/>
      <c r="F25" s="169"/>
      <c r="G25" s="169"/>
      <c r="H25" s="169"/>
      <c r="I25" s="169"/>
      <c r="J25" s="169"/>
      <c r="K25" s="169"/>
      <c r="L25" s="169"/>
      <c r="M25" s="169"/>
      <c r="N25" s="169"/>
      <c r="O25" s="169"/>
    </row>
    <row r="26" spans="1:17" ht="65.25" customHeight="1">
      <c r="D26" s="169"/>
      <c r="E26" s="169"/>
      <c r="F26" s="169"/>
      <c r="G26" s="169"/>
      <c r="H26" s="169"/>
      <c r="I26" s="169"/>
      <c r="J26" s="169"/>
      <c r="K26" s="169"/>
      <c r="L26" s="169"/>
      <c r="M26" s="169"/>
      <c r="N26" s="169"/>
      <c r="O26" s="169"/>
    </row>
  </sheetData>
  <mergeCells count="18">
    <mergeCell ref="B1:K3"/>
    <mergeCell ref="P5:P6"/>
    <mergeCell ref="D21:O26"/>
    <mergeCell ref="E5:E6"/>
    <mergeCell ref="I5:I6"/>
    <mergeCell ref="K5:K6"/>
    <mergeCell ref="G5:G6"/>
    <mergeCell ref="H5:H6"/>
    <mergeCell ref="J5:J6"/>
    <mergeCell ref="L5:L6"/>
    <mergeCell ref="M5:M6"/>
    <mergeCell ref="N5:N6"/>
    <mergeCell ref="B4:P4"/>
    <mergeCell ref="A5:A6"/>
    <mergeCell ref="B5:B6"/>
    <mergeCell ref="C5:C6"/>
    <mergeCell ref="D5:D6"/>
    <mergeCell ref="F5:F6"/>
  </mergeCells>
  <pageMargins left="0.25" right="0.25" top="0.75" bottom="0.75" header="0.3" footer="0.3"/>
  <pageSetup paperSize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RESUMEN</vt:lpstr>
      <vt:lpstr>PRORRATEO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2026-09-02T14:01:51Z</cp:lastPrinted>
  <dcterms:created xsi:type="dcterms:W3CDTF">2023-09-17T12:29:07Z</dcterms:created>
  <dcterms:modified xsi:type="dcterms:W3CDTF">2026-10-07T14:49:23Z</dcterms:modified>
</cp:coreProperties>
</file>