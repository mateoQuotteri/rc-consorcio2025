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GENERAL PAZ 138\Julio\"/>
    </mc:Choice>
  </mc:AlternateContent>
  <xr:revisionPtr revIDLastSave="0" documentId="13_ncr:1_{1F5DDEB5-22A2-4390-BE11-3CDB45A5902D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RESUMEN!$A$1:$D$90</definedName>
  </definedNames>
  <calcPr calcId="181029"/>
</workbook>
</file>

<file path=xl/calcChain.xml><?xml version="1.0" encoding="utf-8"?>
<calcChain xmlns="http://schemas.openxmlformats.org/spreadsheetml/2006/main">
  <c r="H11" i="2" l="1"/>
  <c r="H12" i="2"/>
  <c r="H13" i="2"/>
  <c r="D36" i="1" l="1"/>
  <c r="L7" i="2"/>
  <c r="D49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46" i="1" l="1"/>
  <c r="D33" i="1" l="1"/>
  <c r="D52" i="1"/>
  <c r="J15" i="2" l="1"/>
  <c r="D42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I18" i="2"/>
  <c r="J17" i="2" l="1"/>
  <c r="L17" i="2"/>
  <c r="M17" i="2"/>
  <c r="B89" i="1" l="1"/>
  <c r="L8" i="2" l="1"/>
  <c r="L9" i="2"/>
  <c r="L10" i="2"/>
  <c r="L11" i="2"/>
  <c r="L12" i="2"/>
  <c r="L13" i="2"/>
  <c r="L14" i="2"/>
  <c r="L15" i="2"/>
  <c r="L16" i="2"/>
  <c r="D63" i="1" l="1"/>
  <c r="D68" i="1" s="1"/>
  <c r="B72" i="1" s="1"/>
  <c r="B82" i="1" s="1"/>
  <c r="B80" i="1" l="1"/>
  <c r="D56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79" i="1" s="1"/>
  <c r="F18" i="2"/>
  <c r="G18" i="2"/>
  <c r="J7" i="2" l="1"/>
  <c r="K7" i="2" l="1"/>
  <c r="O7" i="2" s="1"/>
  <c r="B73" i="1"/>
  <c r="L18" i="2"/>
  <c r="B71" i="1" l="1"/>
  <c r="B81" i="1" s="1"/>
  <c r="B83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0" i="1" l="1"/>
  <c r="N18" i="2" l="1"/>
</calcChain>
</file>

<file path=xl/sharedStrings.xml><?xml version="1.0" encoding="utf-8"?>
<sst xmlns="http://schemas.openxmlformats.org/spreadsheetml/2006/main" count="110" uniqueCount="98">
  <si>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</si>
  <si>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</si>
  <si>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</si>
  <si>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</si>
  <si>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</si>
  <si>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</si>
  <si>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</si>
  <si>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</si>
  <si>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</si>
  <si>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</si>
  <si>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</si>
  <si>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</si>
  <si>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</si>
  <si>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</si>
  <si>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</si>
  <si>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</si>
  <si>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</si>
  <si>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</si>
  <si>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</si>
  <si>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</si>
  <si>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</si>
  <si>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</si>
  <si>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</si>
  <si>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</si>
  <si>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</si>
  <si>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</si>
  <si>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</si>
  <si>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</si>
  <si>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</si>
  <si>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</si>
  <si>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</si>
  <si>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</si>
  <si>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</si>
  <si>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</si>
  <si>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</si>
  <si>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</si>
  <si>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</si>
  <si>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</si>
  <si>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</si>
  <si>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</si>
  <si>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</si>
  <si>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</si>
  <si>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</si>
  <si>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</si>
  <si>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</si>
  <si>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</si>
  <si>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</si>
  <si>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</si>
  <si>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</si>
  <si>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</si>
  <si>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</si>
  <si>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</si>
  <si>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</si>
  <si>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</si>
  <si>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</si>
  <si>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</si>
  <si>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</si>
  <si>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</si>
  <si>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</si>
  <si>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</si>
  <si>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</si>
  <si>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</si>
  <si>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</si>
  <si>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</si>
  <si>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</si>
  <si>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</si>
  <si>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</si>
  <si>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</si>
  <si>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</si>
  <si>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</si>
  <si>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</si>
  <si>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</si>
  <si>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</si>
  <si>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</si>
  <si>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</si>
  <si>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</si>
  <si>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</si>
  <si>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</si>
  <si>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</si>
  <si>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</si>
  <si>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</si>
  <si>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TRANSFERIR A  : carolina.rc.adm - CVU: 0000003100054616492658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</si>
  <si>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</si>
  <si>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</si>
  <si>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</si>
  <si>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</si>
  <si>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</si>
  <si>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</si>
  <si>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</si>
  <si>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</si>
  <si>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</si>
  <si>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FED. PATRONAL - Seguro integral - Póliza Nº 2318491</t>
  </si>
  <si>
    <t>Debito 18/06</t>
  </si>
  <si>
    <t>Transf 12/06</t>
  </si>
  <si>
    <t>Escribania Rabolini - Digitalizacion reglamento original</t>
  </si>
  <si>
    <t>VTO 17/08</t>
  </si>
  <si>
    <t>Honorarios administracion - SE ADEUDA JULIO</t>
  </si>
  <si>
    <t>Transf 24/07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</si>
</sst>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22" fillId="12" borderId="0" applyBorder="0" applyProtection="0"/>
    <xf numFmtId="0" fontId="22" fillId="13" borderId="0" applyBorder="0" applyProtection="0"/>
    <xf numFmtId="0" fontId="22" fillId="14" borderId="0" applyBorder="0" applyProtection="0"/>
    <xf numFmtId="0" fontId="22" fillId="15" borderId="0" applyBorder="0" applyProtection="0"/>
    <xf numFmtId="0" fontId="22" fillId="16" borderId="0" applyBorder="0" applyProtection="0"/>
    <xf numFmtId="0" fontId="22" fillId="17" borderId="0" applyBorder="0" applyProtection="0"/>
    <xf numFmtId="0" fontId="22" fillId="18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15" borderId="0" applyBorder="0" applyProtection="0"/>
    <xf numFmtId="0" fontId="22" fillId="18" borderId="0" applyBorder="0" applyProtection="0"/>
    <xf numFmtId="0" fontId="22" fillId="21" borderId="0" applyBorder="0" applyProtection="0"/>
    <xf numFmtId="0" fontId="23" fillId="22" borderId="0" applyBorder="0" applyProtection="0"/>
    <xf numFmtId="0" fontId="23" fillId="19" borderId="0" applyBorder="0" applyProtection="0"/>
    <xf numFmtId="0" fontId="23" fillId="2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25" borderId="0" applyBorder="0" applyProtection="0"/>
    <xf numFmtId="0" fontId="26" fillId="26" borderId="29" applyProtection="0"/>
    <xf numFmtId="0" fontId="24" fillId="27" borderId="30" applyProtection="0"/>
    <xf numFmtId="0" fontId="25" fillId="0" borderId="31" applyProtection="0"/>
    <xf numFmtId="0" fontId="27" fillId="0" borderId="0" applyBorder="0" applyProtection="0"/>
    <xf numFmtId="0" fontId="23" fillId="28" borderId="0" applyBorder="0" applyProtection="0"/>
    <xf numFmtId="0" fontId="23" fillId="29" borderId="0" applyBorder="0" applyProtection="0"/>
    <xf numFmtId="0" fontId="23" fillId="3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31" borderId="0" applyBorder="0" applyProtection="0"/>
    <xf numFmtId="0" fontId="28" fillId="17" borderId="29" applyProtection="0"/>
    <xf numFmtId="0" fontId="29" fillId="13" borderId="0" applyBorder="0" applyProtection="0"/>
    <xf numFmtId="166" fontId="21" fillId="0" borderId="0" applyFill="0" applyBorder="0" applyAlignment="0" applyProtection="0"/>
    <xf numFmtId="0" fontId="30" fillId="32" borderId="0" applyBorder="0" applyProtection="0"/>
    <xf numFmtId="0" fontId="31" fillId="33" borderId="32" applyProtection="0"/>
    <xf numFmtId="0" fontId="32" fillId="26" borderId="33" applyProtection="0"/>
    <xf numFmtId="0" fontId="33" fillId="0" borderId="0" applyBorder="0" applyProtection="0"/>
    <xf numFmtId="0" fontId="34" fillId="0" borderId="0" applyBorder="0" applyProtection="0"/>
    <xf numFmtId="0" fontId="36" fillId="0" borderId="0" applyBorder="0" applyProtection="0"/>
    <xf numFmtId="0" fontId="37" fillId="0" borderId="34" applyProtection="0"/>
    <xf numFmtId="0" fontId="27" fillId="0" borderId="35" applyProtection="0"/>
    <xf numFmtId="0" fontId="35" fillId="0" borderId="36" applyProtection="0"/>
  </cellStyleXfs>
  <cellXfs count="174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8" fillId="2" borderId="0" xfId="0" applyFont="1" applyFill="1"/>
    <xf numFmtId="0" fontId="9" fillId="4" borderId="1" xfId="0" applyFont="1" applyFill="1" applyBorder="1"/>
    <xf numFmtId="0" fontId="6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0" fillId="0" borderId="0" xfId="0" applyFont="1"/>
    <xf numFmtId="44" fontId="11" fillId="4" borderId="13" xfId="0" applyNumberFormat="1" applyFont="1" applyFill="1" applyBorder="1"/>
    <xf numFmtId="8" fontId="14" fillId="11" borderId="6" xfId="0" applyNumberFormat="1" applyFont="1" applyFill="1" applyBorder="1"/>
    <xf numFmtId="0" fontId="12" fillId="3" borderId="20" xfId="0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44" fontId="8" fillId="4" borderId="1" xfId="1" applyFont="1" applyFill="1" applyBorder="1"/>
    <xf numFmtId="0" fontId="11" fillId="0" borderId="1" xfId="0" applyFont="1" applyBorder="1" applyAlignment="1">
      <alignment horizontal="center"/>
    </xf>
    <xf numFmtId="44" fontId="15" fillId="0" borderId="1" xfId="1" applyFont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1" fillId="0" borderId="1" xfId="0" applyNumberFormat="1" applyFont="1" applyBorder="1"/>
    <xf numFmtId="165" fontId="11" fillId="0" borderId="1" xfId="1" applyNumberFormat="1" applyFont="1" applyBorder="1"/>
    <xf numFmtId="44" fontId="11" fillId="0" borderId="6" xfId="1" applyFont="1" applyBorder="1"/>
    <xf numFmtId="44" fontId="15" fillId="0" borderId="25" xfId="1" applyFont="1" applyBorder="1"/>
    <xf numFmtId="44" fontId="15" fillId="0" borderId="27" xfId="1" applyFont="1" applyBorder="1"/>
    <xf numFmtId="44" fontId="16" fillId="0" borderId="1" xfId="1" applyFont="1" applyBorder="1"/>
    <xf numFmtId="165" fontId="16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44" fontId="16" fillId="0" borderId="6" xfId="1" applyFont="1" applyBorder="1"/>
    <xf numFmtId="0" fontId="11" fillId="10" borderId="21" xfId="0" applyFont="1" applyFill="1" applyBorder="1"/>
    <xf numFmtId="0" fontId="11" fillId="4" borderId="26" xfId="0" applyFont="1" applyFill="1" applyBorder="1"/>
    <xf numFmtId="0" fontId="11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44" fontId="11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7" fillId="4" borderId="3" xfId="1" applyFont="1" applyFill="1" applyBorder="1"/>
    <xf numFmtId="44" fontId="8" fillId="4" borderId="21" xfId="1" applyFont="1" applyFill="1" applyBorder="1"/>
    <xf numFmtId="44" fontId="18" fillId="4" borderId="3" xfId="1" applyFont="1" applyFill="1" applyBorder="1"/>
    <xf numFmtId="0" fontId="18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18" fillId="2" borderId="1" xfId="1" applyFont="1" applyFill="1" applyBorder="1"/>
    <xf numFmtId="44" fontId="8" fillId="4" borderId="2" xfId="1" applyFont="1" applyFill="1" applyBorder="1"/>
    <xf numFmtId="44" fontId="18" fillId="2" borderId="3" xfId="1" applyFont="1" applyFill="1" applyBorder="1"/>
    <xf numFmtId="8" fontId="6" fillId="4" borderId="22" xfId="0" applyNumberFormat="1" applyFont="1" applyFill="1" applyBorder="1"/>
    <xf numFmtId="0" fontId="18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8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4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2" fillId="2" borderId="1" xfId="1" applyNumberFormat="1" applyFont="1" applyFill="1" applyBorder="1" applyAlignment="1">
      <alignment wrapText="1"/>
    </xf>
    <xf numFmtId="0" fontId="11" fillId="2" borderId="1" xfId="0" applyFont="1" applyFill="1" applyBorder="1"/>
    <xf numFmtId="0" fontId="12" fillId="2" borderId="1" xfId="1" applyNumberFormat="1" applyFont="1" applyFill="1" applyBorder="1" applyAlignment="1">
      <alignment horizontal="left"/>
    </xf>
    <xf numFmtId="0" fontId="12" fillId="2" borderId="2" xfId="1" applyNumberFormat="1" applyFont="1" applyFill="1" applyBorder="1" applyAlignment="1"/>
    <xf numFmtId="0" fontId="12" fillId="2" borderId="1" xfId="1" applyNumberFormat="1" applyFont="1" applyFill="1" applyBorder="1" applyAlignment="1"/>
    <xf numFmtId="44" fontId="12" fillId="0" borderId="1" xfId="1" applyFont="1" applyBorder="1"/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2" fillId="3" borderId="19" xfId="0" applyFont="1" applyFill="1" applyBorder="1" applyAlignment="1">
      <alignment horizontal="center" vertical="center" wrapText="1"/>
    </xf>
    <xf numFmtId="44" fontId="19" fillId="0" borderId="1" xfId="1" applyFont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/>
    </xf>
    <xf numFmtId="165" fontId="11" fillId="2" borderId="1" xfId="0" applyNumberFormat="1" applyFont="1" applyFill="1" applyBorder="1"/>
    <xf numFmtId="165" fontId="11" fillId="2" borderId="1" xfId="1" applyNumberFormat="1" applyFont="1" applyFill="1" applyBorder="1"/>
    <xf numFmtId="44" fontId="11" fillId="2" borderId="6" xfId="1" applyFont="1" applyFill="1" applyBorder="1"/>
    <xf numFmtId="44" fontId="15" fillId="2" borderId="25" xfId="1" applyFont="1" applyFill="1" applyBorder="1"/>
    <xf numFmtId="44" fontId="15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4" fillId="11" borderId="1" xfId="0" applyFont="1" applyFill="1" applyBorder="1"/>
    <xf numFmtId="0" fontId="14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1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39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1" fillId="2" borderId="1" xfId="1" applyFont="1" applyFill="1" applyBorder="1"/>
    <xf numFmtId="0" fontId="6" fillId="0" borderId="0" xfId="0" applyFont="1"/>
    <xf numFmtId="44" fontId="8" fillId="8" borderId="1" xfId="1" applyFont="1" applyFill="1" applyBorder="1" applyAlignment="1">
      <alignment vertical="center"/>
    </xf>
    <xf numFmtId="0" fontId="5" fillId="3" borderId="0" xfId="0" applyFont="1" applyFill="1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0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24" xfId="0" applyFont="1" applyFill="1" applyBorder="1" applyAlignment="1">
      <alignment horizontal="left" vertical="center" wrapText="1"/>
    </xf>
    <xf numFmtId="0" fontId="38" fillId="8" borderId="28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44" fontId="41" fillId="2" borderId="1" xfId="1" applyFont="1" applyFill="1" applyBorder="1" applyAlignment="1"/>
    <xf numFmtId="44" fontId="41" fillId="2" borderId="1" xfId="1" applyFont="1" applyFill="1" applyBorder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topLeftCell="A24" workbookViewId="0">
      <selection activeCell="C45" sqref="C45"/>
    </sheetView>
  </sheetViews>
  <sheetFormatPr baseColWidth="10" defaultRowHeight="14.4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>
      <c r="A1" s="73" t="s">
        <v>55</v>
      </c>
      <c r="B1" s="69"/>
      <c r="C1" s="2"/>
      <c r="D1" s="2"/>
    </row>
    <row r="2" spans="1:4">
      <c r="A2" s="70" t="s">
        <v>82</v>
      </c>
      <c r="B2" s="70"/>
      <c r="C2" s="70"/>
      <c r="D2" s="70"/>
    </row>
    <row r="3" spans="1:4" ht="16.95" customHeight="1">
      <c r="A3" s="70"/>
      <c r="B3" s="70"/>
      <c r="C3" s="70"/>
      <c r="D3" s="70"/>
    </row>
    <row r="4" spans="1:4" ht="30" customHeight="1">
      <c r="A4" s="144" t="s">
        <v>81</v>
      </c>
      <c r="B4" s="144"/>
      <c r="C4" s="71"/>
      <c r="D4" s="71"/>
    </row>
    <row r="5" spans="1:4" hidden="1">
      <c r="A5" s="144"/>
      <c r="B5" s="144"/>
      <c r="C5" s="71"/>
      <c r="D5" s="71"/>
    </row>
    <row r="6" spans="1:4" hidden="1">
      <c r="A6" s="144"/>
      <c r="B6" s="144"/>
      <c r="C6" s="71"/>
      <c r="D6" s="71"/>
    </row>
    <row r="7" spans="1:4" ht="13.5" customHeight="1">
      <c r="A7" s="144"/>
      <c r="B7" s="144"/>
      <c r="C7" s="71"/>
      <c r="D7" s="71"/>
    </row>
    <row r="9" spans="1:4">
      <c r="B9" s="152" t="s">
        <v>95</v>
      </c>
    </row>
    <row r="10" spans="1:4">
      <c r="B10" s="152"/>
    </row>
    <row r="11" spans="1:4">
      <c r="B11" s="152"/>
    </row>
    <row r="13" spans="1:4" hidden="1"/>
    <row r="14" spans="1:4" ht="15" customHeight="1">
      <c r="A14" s="147" t="s">
        <v>71</v>
      </c>
      <c r="B14" s="147"/>
      <c r="C14" s="147"/>
      <c r="D14" s="147"/>
    </row>
    <row r="15" spans="1:4" ht="15" customHeight="1">
      <c r="A15" s="147"/>
      <c r="B15" s="147"/>
      <c r="C15" s="147"/>
      <c r="D15" s="147"/>
    </row>
    <row r="16" spans="1:4" ht="15" customHeight="1">
      <c r="A16" s="147"/>
      <c r="B16" s="147"/>
      <c r="C16" s="147"/>
      <c r="D16" s="147"/>
    </row>
    <row r="17" spans="1:7" ht="53.25" customHeight="1">
      <c r="A17" s="147"/>
      <c r="B17" s="147"/>
      <c r="C17" s="147"/>
      <c r="D17" s="147"/>
    </row>
    <row r="18" spans="1:7" ht="14.25" customHeight="1" thickBot="1">
      <c r="A18" s="60"/>
      <c r="B18" s="60"/>
      <c r="C18" s="60"/>
      <c r="D18" s="60"/>
    </row>
    <row r="19" spans="1:7" ht="15" hidden="1" thickBot="1">
      <c r="A19" s="142"/>
      <c r="B19" s="60"/>
      <c r="C19" s="60"/>
      <c r="D19" s="60"/>
    </row>
    <row r="20" spans="1:7" ht="15" hidden="1" thickBot="1">
      <c r="A20" s="60"/>
      <c r="B20" s="60"/>
      <c r="C20" s="60"/>
      <c r="D20" s="60"/>
    </row>
    <row r="21" spans="1:7">
      <c r="A21" s="121" t="s">
        <v>18</v>
      </c>
      <c r="B21" s="122"/>
      <c r="C21" s="64"/>
      <c r="D21" s="65"/>
    </row>
    <row r="22" spans="1:7">
      <c r="A22" s="8" t="s">
        <v>73</v>
      </c>
      <c r="B22" s="8"/>
      <c r="C22" s="8"/>
      <c r="D22" s="8"/>
      <c r="G22" s="16"/>
    </row>
    <row r="23" spans="1:7" ht="14.25" customHeight="1">
      <c r="A23" s="46"/>
      <c r="B23" s="46"/>
      <c r="C23" s="111">
        <v>0</v>
      </c>
      <c r="D23" s="46"/>
    </row>
    <row r="24" spans="1:7">
      <c r="A24" s="112" t="s">
        <v>45</v>
      </c>
      <c r="B24" s="112"/>
      <c r="C24" s="68">
        <f>SUM(C23:C23)</f>
        <v>0</v>
      </c>
      <c r="D24" s="47"/>
    </row>
    <row r="25" spans="1:7" ht="0.6" customHeight="1">
      <c r="A25" s="46"/>
      <c r="B25" s="46"/>
      <c r="C25" s="82"/>
      <c r="D25" s="72"/>
    </row>
    <row r="26" spans="1:7" hidden="1">
      <c r="A26" s="46"/>
      <c r="B26" s="46"/>
      <c r="C26" s="82"/>
      <c r="D26" s="72"/>
    </row>
    <row r="27" spans="1:7" hidden="1">
      <c r="A27" s="46"/>
      <c r="B27" s="46"/>
      <c r="C27" s="82"/>
      <c r="D27" s="72"/>
    </row>
    <row r="28" spans="1:7" hidden="1">
      <c r="A28" s="46"/>
      <c r="B28" s="46"/>
      <c r="C28" s="83"/>
      <c r="D28" s="72"/>
    </row>
    <row r="29" spans="1:7" hidden="1">
      <c r="A29" s="112" t="s">
        <v>45</v>
      </c>
      <c r="B29" s="113"/>
      <c r="C29" s="21">
        <f>SUM(C25:C28)</f>
        <v>0</v>
      </c>
      <c r="D29" s="47"/>
    </row>
    <row r="30" spans="1:7" ht="14.25" customHeight="1" thickBot="1">
      <c r="A30" s="9" t="s">
        <v>0</v>
      </c>
      <c r="B30" s="9"/>
      <c r="C30" s="5"/>
      <c r="D30" s="48">
        <f>C24+C29</f>
        <v>0</v>
      </c>
      <c r="E30" s="4"/>
      <c r="F30" s="4"/>
    </row>
    <row r="31" spans="1:7">
      <c r="A31" s="8" t="s">
        <v>30</v>
      </c>
      <c r="B31" s="8"/>
      <c r="C31" s="10"/>
      <c r="D31" s="49"/>
      <c r="F31" s="4"/>
    </row>
    <row r="32" spans="1:7" ht="22.5" customHeight="1">
      <c r="A32" s="96" t="s">
        <v>96</v>
      </c>
      <c r="B32" s="114"/>
      <c r="C32" s="82">
        <v>0</v>
      </c>
      <c r="D32" s="81"/>
      <c r="F32" s="16"/>
      <c r="G32" s="4"/>
    </row>
    <row r="33" spans="1:6" ht="15" thickBot="1">
      <c r="A33" s="9" t="s">
        <v>26</v>
      </c>
      <c r="B33" s="9"/>
      <c r="C33" s="13"/>
      <c r="D33" s="48">
        <f>SUM(C32:C32)</f>
        <v>0</v>
      </c>
    </row>
    <row r="34" spans="1:6" ht="16.5" customHeight="1">
      <c r="A34" s="8" t="s">
        <v>42</v>
      </c>
      <c r="B34" s="9"/>
      <c r="C34" s="11"/>
      <c r="D34" s="26"/>
    </row>
    <row r="35" spans="1:6" ht="18.75" customHeight="1">
      <c r="A35" s="145" t="s">
        <v>91</v>
      </c>
      <c r="B35" s="146"/>
      <c r="C35" s="172">
        <v>87914</v>
      </c>
      <c r="D35" s="80" t="s">
        <v>92</v>
      </c>
    </row>
    <row r="36" spans="1:6" ht="15" thickBot="1">
      <c r="A36" s="9" t="s">
        <v>1</v>
      </c>
      <c r="B36" s="9"/>
      <c r="C36" s="13"/>
      <c r="D36" s="50">
        <f>SUM(C35:C35)</f>
        <v>87914</v>
      </c>
    </row>
    <row r="37" spans="1:6" hidden="1">
      <c r="A37" s="8" t="s">
        <v>27</v>
      </c>
      <c r="B37" s="115"/>
      <c r="C37" s="14"/>
      <c r="D37" s="51"/>
    </row>
    <row r="38" spans="1:6" hidden="1">
      <c r="A38" s="46" t="s">
        <v>56</v>
      </c>
      <c r="B38" s="46" t="s">
        <v>74</v>
      </c>
      <c r="C38" s="84"/>
      <c r="D38" s="80"/>
      <c r="F38" s="74"/>
    </row>
    <row r="39" spans="1:6" hidden="1">
      <c r="A39" s="46" t="s">
        <v>57</v>
      </c>
      <c r="B39" s="46" t="s">
        <v>74</v>
      </c>
      <c r="C39" s="85"/>
      <c r="D39" s="80"/>
    </row>
    <row r="40" spans="1:6" hidden="1">
      <c r="A40" s="46" t="s">
        <v>58</v>
      </c>
      <c r="B40" s="46" t="s">
        <v>74</v>
      </c>
      <c r="C40" s="85"/>
      <c r="D40" s="80"/>
    </row>
    <row r="41" spans="1:6" hidden="1">
      <c r="A41" s="46" t="s">
        <v>59</v>
      </c>
      <c r="B41" s="46" t="s">
        <v>74</v>
      </c>
      <c r="C41" s="85"/>
      <c r="D41" s="79"/>
    </row>
    <row r="42" spans="1:6" ht="15" hidden="1" customHeight="1" thickBot="1">
      <c r="A42" s="9" t="s">
        <v>2</v>
      </c>
      <c r="B42" s="115"/>
      <c r="C42" s="15"/>
      <c r="D42" s="50">
        <f>SUM(C38:C41)</f>
        <v>0</v>
      </c>
    </row>
    <row r="43" spans="1:6">
      <c r="A43" s="8" t="s">
        <v>29</v>
      </c>
      <c r="B43" s="115"/>
      <c r="C43" s="14"/>
      <c r="D43" s="51"/>
    </row>
    <row r="44" spans="1:6" ht="14.25" customHeight="1">
      <c r="A44" s="60" t="s">
        <v>83</v>
      </c>
      <c r="B44" s="46"/>
      <c r="C44" s="85">
        <v>36019.040000000001</v>
      </c>
      <c r="D44" s="78" t="s">
        <v>93</v>
      </c>
    </row>
    <row r="45" spans="1:6" ht="14.25" customHeight="1">
      <c r="A45" s="46" t="s">
        <v>80</v>
      </c>
      <c r="B45" s="46"/>
      <c r="C45" s="173">
        <v>207143.7</v>
      </c>
      <c r="D45" s="78" t="s">
        <v>97</v>
      </c>
    </row>
    <row r="46" spans="1:6" ht="15" thickBot="1">
      <c r="A46" s="9" t="s">
        <v>3</v>
      </c>
      <c r="B46" s="9"/>
      <c r="C46" s="13"/>
      <c r="D46" s="50">
        <f>SUM(C44:C45)</f>
        <v>243162.74000000002</v>
      </c>
    </row>
    <row r="47" spans="1:6" ht="15" thickBot="1">
      <c r="A47" s="8" t="s">
        <v>28</v>
      </c>
      <c r="B47" s="9"/>
      <c r="C47" s="13"/>
      <c r="D47" s="53"/>
    </row>
    <row r="48" spans="1:6" ht="19.95" customHeight="1">
      <c r="A48" s="145" t="s">
        <v>94</v>
      </c>
      <c r="B48" s="146"/>
      <c r="C48" s="85">
        <v>150000</v>
      </c>
      <c r="D48" s="76"/>
    </row>
    <row r="49" spans="1:6" ht="15" thickBot="1">
      <c r="A49" s="9" t="s">
        <v>11</v>
      </c>
      <c r="B49" s="8"/>
      <c r="C49" s="8"/>
      <c r="D49" s="55">
        <f>SUM(C48:C48)</f>
        <v>150000</v>
      </c>
    </row>
    <row r="50" spans="1:6" ht="15" thickBot="1">
      <c r="A50" s="8" t="s">
        <v>21</v>
      </c>
      <c r="B50" s="116"/>
      <c r="C50" s="5"/>
      <c r="D50" s="53"/>
    </row>
    <row r="51" spans="1:6">
      <c r="A51" s="46"/>
      <c r="B51" s="46"/>
      <c r="C51" s="87"/>
      <c r="D51" s="56"/>
    </row>
    <row r="52" spans="1:6" ht="15" thickBot="1">
      <c r="A52" s="117" t="s">
        <v>26</v>
      </c>
      <c r="B52" s="117"/>
      <c r="C52" s="57"/>
      <c r="D52" s="50">
        <f>SUM(C51:C51)</f>
        <v>0</v>
      </c>
    </row>
    <row r="53" spans="1:6" ht="15" thickBot="1">
      <c r="A53" s="46"/>
      <c r="B53" s="46"/>
      <c r="C53" s="46"/>
      <c r="D53" s="58"/>
    </row>
    <row r="54" spans="1:6" ht="20.25" customHeight="1" thickBot="1">
      <c r="A54" s="149" t="s">
        <v>75</v>
      </c>
      <c r="B54" s="150"/>
      <c r="C54" s="151"/>
      <c r="D54" s="59">
        <v>0</v>
      </c>
    </row>
    <row r="55" spans="1:6" ht="15" thickBot="1">
      <c r="A55" s="118"/>
      <c r="B55" s="60"/>
      <c r="C55" s="60"/>
      <c r="D55" s="61"/>
      <c r="E55" s="17"/>
    </row>
    <row r="56" spans="1:6" ht="15" thickBot="1">
      <c r="A56" s="119" t="s">
        <v>22</v>
      </c>
      <c r="B56" s="120"/>
      <c r="C56" s="62"/>
      <c r="D56" s="63">
        <f>(SUM(D25:D54))</f>
        <v>481076.74</v>
      </c>
      <c r="E56" s="17"/>
      <c r="F56" s="17"/>
    </row>
    <row r="57" spans="1:6">
      <c r="A57" s="60"/>
      <c r="B57" s="60"/>
      <c r="C57" s="60"/>
      <c r="D57" s="60"/>
      <c r="F57" s="75"/>
    </row>
    <row r="58" spans="1:6" ht="15" thickBot="1">
      <c r="A58" s="60"/>
      <c r="B58" s="60"/>
      <c r="C58" s="60"/>
      <c r="D58" s="60"/>
    </row>
    <row r="59" spans="1:6">
      <c r="A59" s="121" t="s">
        <v>31</v>
      </c>
      <c r="B59" s="122"/>
      <c r="C59" s="64"/>
      <c r="D59" s="65"/>
    </row>
    <row r="60" spans="1:6">
      <c r="A60" s="145"/>
      <c r="B60" s="146"/>
      <c r="C60" s="85"/>
      <c r="D60" s="76"/>
    </row>
    <row r="61" spans="1:6">
      <c r="A61" s="145"/>
      <c r="B61" s="146"/>
      <c r="C61" s="85"/>
      <c r="D61" s="52"/>
    </row>
    <row r="62" spans="1:6">
      <c r="A62" s="125"/>
      <c r="B62" s="126"/>
      <c r="C62" s="85"/>
      <c r="D62" s="52"/>
    </row>
    <row r="63" spans="1:6">
      <c r="A63" s="127"/>
      <c r="B63" s="128"/>
      <c r="C63" s="129"/>
      <c r="D63" s="129">
        <f>SUM(C60:C62)</f>
        <v>0</v>
      </c>
    </row>
    <row r="64" spans="1:6" ht="15" customHeight="1">
      <c r="A64" s="60"/>
      <c r="B64" s="60"/>
      <c r="C64" s="60"/>
      <c r="D64" s="60"/>
    </row>
    <row r="65" spans="1:4" hidden="1">
      <c r="A65" s="60"/>
      <c r="B65" s="60"/>
      <c r="C65" s="60"/>
      <c r="D65" s="60"/>
    </row>
    <row r="66" spans="1:4">
      <c r="A66" s="130" t="s">
        <v>32</v>
      </c>
      <c r="B66" s="130"/>
      <c r="C66" s="131"/>
      <c r="D66" s="143">
        <v>0</v>
      </c>
    </row>
    <row r="67" spans="1:4" ht="15" thickBot="1">
      <c r="A67" s="60"/>
      <c r="B67" s="60"/>
      <c r="C67" s="60"/>
      <c r="D67" s="60"/>
    </row>
    <row r="68" spans="1:4" ht="15" thickBot="1">
      <c r="A68" s="119" t="s">
        <v>33</v>
      </c>
      <c r="B68" s="120"/>
      <c r="C68" s="62"/>
      <c r="D68" s="63">
        <f>D63+D66</f>
        <v>0</v>
      </c>
    </row>
    <row r="69" spans="1:4" ht="15" thickBot="1">
      <c r="A69" s="60"/>
      <c r="B69" s="60"/>
      <c r="C69" s="60"/>
      <c r="D69" s="60"/>
    </row>
    <row r="70" spans="1:4" ht="15" thickBot="1">
      <c r="A70" s="132" t="s">
        <v>23</v>
      </c>
      <c r="B70" s="133">
        <f>D56</f>
        <v>481076.74</v>
      </c>
      <c r="C70" s="134"/>
      <c r="D70" s="60"/>
    </row>
    <row r="71" spans="1:4" ht="15" thickBot="1">
      <c r="A71" s="132" t="s">
        <v>24</v>
      </c>
      <c r="B71" s="133">
        <f>D56-D54</f>
        <v>481076.74</v>
      </c>
      <c r="C71" s="60"/>
      <c r="D71" s="60"/>
    </row>
    <row r="72" spans="1:4" ht="15" thickBot="1">
      <c r="A72" s="132" t="s">
        <v>34</v>
      </c>
      <c r="B72" s="133">
        <f>D68-D66</f>
        <v>0</v>
      </c>
      <c r="C72" s="60"/>
      <c r="D72" s="60"/>
    </row>
    <row r="73" spans="1:4" ht="15" thickBot="1">
      <c r="A73" s="132" t="s">
        <v>49</v>
      </c>
      <c r="B73" s="133">
        <f>D68</f>
        <v>0</v>
      </c>
      <c r="C73" s="60"/>
      <c r="D73" s="60"/>
    </row>
    <row r="74" spans="1:4">
      <c r="A74" s="60"/>
      <c r="B74" s="60"/>
      <c r="C74" s="60"/>
      <c r="D74" s="60"/>
    </row>
    <row r="75" spans="1:4">
      <c r="A75" s="60"/>
      <c r="B75" s="60"/>
      <c r="C75" s="60"/>
      <c r="D75" s="60"/>
    </row>
    <row r="76" spans="1:4">
      <c r="A76" s="60"/>
      <c r="B76" s="60"/>
      <c r="C76" s="60"/>
      <c r="D76" s="60"/>
    </row>
    <row r="77" spans="1:4" ht="15" thickBot="1">
      <c r="A77" s="135" t="s">
        <v>44</v>
      </c>
      <c r="B77" s="136"/>
      <c r="C77" s="60"/>
      <c r="D77" s="60"/>
    </row>
    <row r="78" spans="1:4" ht="25.5" customHeight="1" thickBot="1">
      <c r="A78" s="7" t="s">
        <v>25</v>
      </c>
      <c r="B78" s="137">
        <v>87629.729999999981</v>
      </c>
      <c r="C78" s="60"/>
    </row>
    <row r="79" spans="1:4" ht="14.25" customHeight="1">
      <c r="A79" s="138" t="s">
        <v>52</v>
      </c>
      <c r="B79" s="54">
        <f>PRORRATEO!H18</f>
        <v>951360.18000000017</v>
      </c>
      <c r="C79" s="60"/>
    </row>
    <row r="80" spans="1:4" ht="14.25" customHeight="1">
      <c r="A80" s="138" t="s">
        <v>51</v>
      </c>
      <c r="B80" s="54">
        <f>B89</f>
        <v>0</v>
      </c>
      <c r="C80" s="60"/>
    </row>
    <row r="81" spans="1:12">
      <c r="A81" s="140" t="s">
        <v>35</v>
      </c>
      <c r="B81" s="54">
        <f>-B71</f>
        <v>-481076.74</v>
      </c>
      <c r="C81" s="60"/>
    </row>
    <row r="82" spans="1:12">
      <c r="A82" s="139" t="s">
        <v>36</v>
      </c>
      <c r="B82" s="54">
        <f>-(B72)</f>
        <v>0</v>
      </c>
      <c r="C82" s="60"/>
    </row>
    <row r="83" spans="1:12">
      <c r="A83" s="6" t="s">
        <v>11</v>
      </c>
      <c r="B83" s="97">
        <f>SUM(B78:B82)</f>
        <v>557913.17000000016</v>
      </c>
      <c r="C83" s="124"/>
    </row>
    <row r="84" spans="1:12" ht="34.5" customHeight="1">
      <c r="B84" s="16"/>
      <c r="C84" s="17"/>
      <c r="D84" s="124"/>
    </row>
    <row r="85" spans="1:12">
      <c r="A85" s="148" t="s">
        <v>43</v>
      </c>
      <c r="B85" s="148"/>
    </row>
    <row r="86" spans="1:12" ht="27.75" customHeight="1">
      <c r="A86" s="148"/>
      <c r="B86" s="148"/>
    </row>
    <row r="87" spans="1:12" ht="32.25" customHeight="1">
      <c r="A87" s="66"/>
      <c r="B87" s="12"/>
    </row>
    <row r="88" spans="1:12" ht="32.25" customHeight="1">
      <c r="A88" s="66"/>
      <c r="B88" s="12"/>
    </row>
    <row r="89" spans="1:12">
      <c r="A89" s="18" t="s">
        <v>11</v>
      </c>
      <c r="B89" s="67">
        <f>SUM(B87:B88)</f>
        <v>0</v>
      </c>
    </row>
    <row r="90" spans="1:12">
      <c r="L90" s="3"/>
    </row>
  </sheetData>
  <mergeCells count="9">
    <mergeCell ref="A4:B7"/>
    <mergeCell ref="A35:B35"/>
    <mergeCell ref="A14:D17"/>
    <mergeCell ref="A85:B86"/>
    <mergeCell ref="A61:B61"/>
    <mergeCell ref="A54:C54"/>
    <mergeCell ref="B9:B11"/>
    <mergeCell ref="A48:B48"/>
    <mergeCell ref="A60:B6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opLeftCell="B3" zoomScaleNormal="100" workbookViewId="0">
      <selection activeCell="H16" sqref="H16"/>
    </sheetView>
  </sheetViews>
  <sheetFormatPr baseColWidth="10" defaultRowHeight="14.4"/>
  <cols>
    <col min="1" max="1" width="5" hidden="1" customWidth="1"/>
    <col min="2" max="2" width="5.5546875" customWidth="1"/>
    <col min="3" max="3" width="6" customWidth="1"/>
    <col min="4" max="4" width="18.44140625" customWidth="1"/>
    <col min="5" max="5" width="11.55468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1.554687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20" width="14.5546875" bestFit="1" customWidth="1"/>
    <col min="21" max="21" width="13" bestFit="1" customWidth="1"/>
  </cols>
  <sheetData>
    <row r="1" spans="1:21" ht="12.9" customHeight="1">
      <c r="A1" s="98"/>
      <c r="B1" s="153" t="str">
        <f>RESUMEN!A4</f>
        <v>TRANSFERIR A  : carolina.rc.adm - CVU: 0000003100054616492658</v>
      </c>
      <c r="C1" s="153"/>
      <c r="D1" s="153"/>
      <c r="E1" s="153"/>
      <c r="F1" s="153"/>
      <c r="G1" s="153"/>
      <c r="H1" s="153"/>
      <c r="I1" s="153"/>
      <c r="J1" s="153"/>
      <c r="K1" s="153"/>
      <c r="L1" s="99"/>
      <c r="M1" s="99"/>
      <c r="N1" s="99"/>
      <c r="O1" s="99"/>
      <c r="P1" s="100"/>
    </row>
    <row r="2" spans="1:21" ht="14.25" customHeight="1">
      <c r="A2" s="101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02"/>
      <c r="M2" s="102" t="s">
        <v>4</v>
      </c>
      <c r="N2" s="2"/>
      <c r="O2" s="109">
        <v>1000000</v>
      </c>
      <c r="P2" s="103"/>
      <c r="Q2" s="4"/>
      <c r="R2">
        <v>1406361.51</v>
      </c>
    </row>
    <row r="3" spans="1:21" ht="16.5" customHeight="1" thickBot="1">
      <c r="A3" s="10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05"/>
      <c r="M3" s="105" t="s">
        <v>53</v>
      </c>
      <c r="N3" s="106"/>
      <c r="O3" s="110">
        <v>0</v>
      </c>
      <c r="P3" s="107"/>
    </row>
    <row r="4" spans="1:21" ht="30.6" customHeight="1" thickBot="1">
      <c r="A4" s="2"/>
      <c r="B4" s="166" t="s">
        <v>72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8"/>
    </row>
    <row r="5" spans="1:21">
      <c r="A5" s="169" t="s">
        <v>5</v>
      </c>
      <c r="B5" s="171" t="s">
        <v>6</v>
      </c>
      <c r="C5" s="158" t="s">
        <v>7</v>
      </c>
      <c r="D5" s="158" t="s">
        <v>8</v>
      </c>
      <c r="E5" s="158" t="s">
        <v>39</v>
      </c>
      <c r="F5" s="158" t="s">
        <v>20</v>
      </c>
      <c r="G5" s="158" t="s">
        <v>50</v>
      </c>
      <c r="H5" s="158" t="s">
        <v>9</v>
      </c>
      <c r="I5" s="158" t="s">
        <v>40</v>
      </c>
      <c r="J5" s="162" t="s">
        <v>41</v>
      </c>
      <c r="K5" s="160" t="s">
        <v>38</v>
      </c>
      <c r="L5" s="160" t="s">
        <v>10</v>
      </c>
      <c r="M5" s="160" t="s">
        <v>37</v>
      </c>
      <c r="N5" s="164" t="s">
        <v>48</v>
      </c>
      <c r="O5" s="86" t="s">
        <v>47</v>
      </c>
      <c r="P5" s="156" t="s">
        <v>46</v>
      </c>
      <c r="S5" s="17"/>
      <c r="T5" s="16"/>
    </row>
    <row r="6" spans="1:21" ht="15.75" customHeight="1">
      <c r="A6" s="170"/>
      <c r="B6" s="171"/>
      <c r="C6" s="158"/>
      <c r="D6" s="158"/>
      <c r="E6" s="159"/>
      <c r="F6" s="158"/>
      <c r="G6" s="158"/>
      <c r="H6" s="158"/>
      <c r="I6" s="159"/>
      <c r="J6" s="163"/>
      <c r="K6" s="161"/>
      <c r="L6" s="160"/>
      <c r="M6" s="161"/>
      <c r="N6" s="165"/>
      <c r="O6" s="22" t="str">
        <f>RESUMEN!B9</f>
        <v>VTO 17/08</v>
      </c>
      <c r="P6" s="156"/>
      <c r="S6" s="16">
        <v>65160</v>
      </c>
      <c r="T6" s="16">
        <v>157470</v>
      </c>
      <c r="U6" s="17">
        <f>T6+S6</f>
        <v>222630</v>
      </c>
    </row>
    <row r="7" spans="1:21" ht="17.100000000000001" customHeight="1">
      <c r="A7" s="1" t="s">
        <v>12</v>
      </c>
      <c r="B7" s="77">
        <v>1</v>
      </c>
      <c r="C7" s="77" t="s">
        <v>61</v>
      </c>
      <c r="D7" s="77" t="s">
        <v>87</v>
      </c>
      <c r="E7" s="77"/>
      <c r="F7" s="90">
        <v>11.2</v>
      </c>
      <c r="G7" s="29">
        <v>1335136.01</v>
      </c>
      <c r="H7" s="29">
        <v>0</v>
      </c>
      <c r="I7" s="30"/>
      <c r="J7" s="91">
        <f>G7-H7</f>
        <v>1335136.01</v>
      </c>
      <c r="K7" s="91">
        <f>IF(J7&gt;0,J7*3%,0)</f>
        <v>40054.080300000001</v>
      </c>
      <c r="L7" s="141">
        <f>O$3*F7%</f>
        <v>0</v>
      </c>
      <c r="M7" s="92">
        <f>O$2*F7%</f>
        <v>111999.99999999999</v>
      </c>
      <c r="N7" s="93">
        <v>0</v>
      </c>
      <c r="O7" s="94">
        <f>ROUND(SUM(J7:N7),0) + Q7</f>
        <v>1487190.01</v>
      </c>
      <c r="P7" s="95">
        <f t="shared" ref="P7:P16" si="0">ROUND(O7*3%,0) + O7</f>
        <v>1531806.01</v>
      </c>
      <c r="Q7" s="17">
        <v>0.01</v>
      </c>
      <c r="S7" s="16">
        <v>66960</v>
      </c>
      <c r="T7" s="16">
        <v>161820</v>
      </c>
      <c r="U7" s="17">
        <f t="shared" ref="U7:U16" si="1">T7+S7</f>
        <v>228780</v>
      </c>
    </row>
    <row r="8" spans="1:21" ht="17.100000000000001" customHeight="1">
      <c r="A8" s="1" t="s">
        <v>13</v>
      </c>
      <c r="B8" s="24">
        <v>2</v>
      </c>
      <c r="C8" s="24" t="s">
        <v>62</v>
      </c>
      <c r="D8" s="24" t="s">
        <v>76</v>
      </c>
      <c r="E8" s="25"/>
      <c r="F8" s="27">
        <v>11.2</v>
      </c>
      <c r="G8" s="28">
        <v>643156.02</v>
      </c>
      <c r="H8" s="29">
        <v>350000</v>
      </c>
      <c r="I8" s="30"/>
      <c r="J8" s="31">
        <f t="shared" ref="J8:J16" si="2">G8-H8</f>
        <v>293156.02</v>
      </c>
      <c r="K8" s="31">
        <f t="shared" ref="K8:K16" si="3">IF(J8&gt;0,J8*3%,0)</f>
        <v>8794.6805999999997</v>
      </c>
      <c r="L8" s="32">
        <f t="shared" ref="L8:L17" si="4">O$3*F8%</f>
        <v>0</v>
      </c>
      <c r="M8" s="32">
        <f t="shared" ref="M8:M17" si="5">O$2*F8%</f>
        <v>111999.99999999999</v>
      </c>
      <c r="N8" s="33">
        <v>0</v>
      </c>
      <c r="O8" s="34">
        <f>ROUND(SUM(J8:N8),0) + Q8</f>
        <v>413951.02</v>
      </c>
      <c r="P8" s="35">
        <f t="shared" si="0"/>
        <v>426370.02</v>
      </c>
      <c r="Q8" s="17">
        <f>Q7+0.01</f>
        <v>0.02</v>
      </c>
      <c r="R8" s="17"/>
      <c r="S8" s="16">
        <v>41700</v>
      </c>
      <c r="T8" s="16">
        <v>100775</v>
      </c>
      <c r="U8" s="17">
        <f t="shared" si="1"/>
        <v>142475</v>
      </c>
    </row>
    <row r="9" spans="1:21" ht="17.100000000000001" customHeight="1">
      <c r="A9" s="1" t="s">
        <v>13</v>
      </c>
      <c r="B9" s="24">
        <v>3</v>
      </c>
      <c r="C9" s="77" t="s">
        <v>63</v>
      </c>
      <c r="D9" s="88" t="s">
        <v>77</v>
      </c>
      <c r="E9" s="77"/>
      <c r="F9" s="90">
        <v>8.9</v>
      </c>
      <c r="G9" s="29">
        <v>89000.03</v>
      </c>
      <c r="H9" s="29">
        <v>0</v>
      </c>
      <c r="I9" s="30"/>
      <c r="J9" s="91">
        <f t="shared" si="2"/>
        <v>89000.03</v>
      </c>
      <c r="K9" s="31">
        <f t="shared" si="3"/>
        <v>2670.0009</v>
      </c>
      <c r="L9" s="92">
        <f t="shared" si="4"/>
        <v>0</v>
      </c>
      <c r="M9" s="92">
        <f t="shared" si="5"/>
        <v>89000.000000000015</v>
      </c>
      <c r="N9" s="93">
        <v>0</v>
      </c>
      <c r="O9" s="94">
        <f t="shared" ref="O9:O16" si="6">ROUND(SUM(J9:N9),0) + Q9</f>
        <v>180670.03</v>
      </c>
      <c r="P9" s="95">
        <f t="shared" si="0"/>
        <v>186090.03</v>
      </c>
      <c r="Q9" s="17">
        <f t="shared" ref="Q9:Q16" si="7">Q8+0.01</f>
        <v>0.03</v>
      </c>
      <c r="S9" s="16">
        <v>44220</v>
      </c>
      <c r="T9" s="16">
        <v>106865</v>
      </c>
      <c r="U9" s="17">
        <f t="shared" si="1"/>
        <v>151085</v>
      </c>
    </row>
    <row r="10" spans="1:21" ht="17.100000000000001" customHeight="1">
      <c r="A10" s="1" t="s">
        <v>14</v>
      </c>
      <c r="B10" s="24">
        <v>4</v>
      </c>
      <c r="C10" s="24" t="s">
        <v>64</v>
      </c>
      <c r="D10" s="24" t="s">
        <v>78</v>
      </c>
      <c r="E10" s="24"/>
      <c r="F10" s="90">
        <v>8.9</v>
      </c>
      <c r="G10" s="28">
        <v>91643.04</v>
      </c>
      <c r="H10" s="29">
        <v>89000</v>
      </c>
      <c r="I10" s="30"/>
      <c r="J10" s="31">
        <f t="shared" si="2"/>
        <v>2643.0399999999936</v>
      </c>
      <c r="K10" s="31">
        <f t="shared" si="3"/>
        <v>79.291199999999805</v>
      </c>
      <c r="L10" s="32">
        <f t="shared" si="4"/>
        <v>0</v>
      </c>
      <c r="M10" s="32">
        <f t="shared" si="5"/>
        <v>89000.000000000015</v>
      </c>
      <c r="N10" s="33">
        <v>0</v>
      </c>
      <c r="O10" s="34">
        <f t="shared" si="6"/>
        <v>91722.04</v>
      </c>
      <c r="P10" s="35">
        <f t="shared" si="0"/>
        <v>94474.04</v>
      </c>
      <c r="Q10" s="17">
        <f t="shared" si="7"/>
        <v>0.04</v>
      </c>
      <c r="S10" s="16">
        <v>64080</v>
      </c>
      <c r="T10" s="16">
        <v>154860</v>
      </c>
      <c r="U10" s="17">
        <f t="shared" si="1"/>
        <v>218940</v>
      </c>
    </row>
    <row r="11" spans="1:21" ht="17.100000000000001" customHeight="1">
      <c r="A11" s="1" t="s">
        <v>14</v>
      </c>
      <c r="B11" s="24">
        <v>5</v>
      </c>
      <c r="C11" s="24" t="s">
        <v>65</v>
      </c>
      <c r="D11" s="24" t="s">
        <v>85</v>
      </c>
      <c r="E11" s="25"/>
      <c r="F11" s="27">
        <v>9.8000000000000007</v>
      </c>
      <c r="G11" s="28">
        <v>98000.05</v>
      </c>
      <c r="H11" s="29">
        <f>G11</f>
        <v>98000.05</v>
      </c>
      <c r="I11" s="30"/>
      <c r="J11" s="31">
        <f t="shared" si="2"/>
        <v>0</v>
      </c>
      <c r="K11" s="31">
        <f t="shared" si="3"/>
        <v>0</v>
      </c>
      <c r="L11" s="32">
        <f t="shared" si="4"/>
        <v>0</v>
      </c>
      <c r="M11" s="32">
        <f t="shared" si="5"/>
        <v>98000</v>
      </c>
      <c r="N11" s="33">
        <v>0</v>
      </c>
      <c r="O11" s="34">
        <f t="shared" si="6"/>
        <v>98000.05</v>
      </c>
      <c r="P11" s="35">
        <f t="shared" si="0"/>
        <v>100940.05</v>
      </c>
      <c r="Q11" s="17">
        <f t="shared" si="7"/>
        <v>0.05</v>
      </c>
      <c r="S11" s="16">
        <v>41700</v>
      </c>
      <c r="T11" s="16">
        <v>100775</v>
      </c>
      <c r="U11" s="17">
        <f t="shared" si="1"/>
        <v>142475</v>
      </c>
    </row>
    <row r="12" spans="1:21" ht="17.100000000000001" customHeight="1">
      <c r="A12" s="1" t="s">
        <v>15</v>
      </c>
      <c r="B12" s="24">
        <v>6</v>
      </c>
      <c r="C12" s="24" t="s">
        <v>66</v>
      </c>
      <c r="D12" s="24" t="s">
        <v>90</v>
      </c>
      <c r="E12" s="24"/>
      <c r="F12" s="27">
        <v>9.8000000000000007</v>
      </c>
      <c r="G12" s="28">
        <v>98000.06</v>
      </c>
      <c r="H12" s="29">
        <f>G12</f>
        <v>98000.06</v>
      </c>
      <c r="I12" s="30"/>
      <c r="J12" s="31">
        <f t="shared" si="2"/>
        <v>0</v>
      </c>
      <c r="K12" s="31">
        <f t="shared" si="3"/>
        <v>0</v>
      </c>
      <c r="L12" s="32">
        <f t="shared" si="4"/>
        <v>0</v>
      </c>
      <c r="M12" s="32">
        <f t="shared" si="5"/>
        <v>98000</v>
      </c>
      <c r="N12" s="123">
        <v>0</v>
      </c>
      <c r="O12" s="34">
        <f>ROUND(SUM(J12:N12),0) + Q12</f>
        <v>98000.06</v>
      </c>
      <c r="P12" s="35">
        <f t="shared" si="0"/>
        <v>100940.06</v>
      </c>
      <c r="Q12" s="17">
        <f t="shared" si="7"/>
        <v>6.0000000000000005E-2</v>
      </c>
      <c r="S12" s="16">
        <v>41340</v>
      </c>
      <c r="T12" s="16">
        <v>99905</v>
      </c>
      <c r="U12" s="17">
        <f t="shared" si="1"/>
        <v>141245</v>
      </c>
    </row>
    <row r="13" spans="1:21" ht="17.100000000000001" customHeight="1">
      <c r="A13" s="1" t="s">
        <v>15</v>
      </c>
      <c r="B13" s="24">
        <v>7</v>
      </c>
      <c r="C13" s="77" t="s">
        <v>67</v>
      </c>
      <c r="D13" s="24" t="s">
        <v>89</v>
      </c>
      <c r="E13" s="24"/>
      <c r="F13" s="90">
        <v>8.9</v>
      </c>
      <c r="G13" s="28">
        <v>89000.07</v>
      </c>
      <c r="H13" s="29">
        <f>G13</f>
        <v>89000.07</v>
      </c>
      <c r="I13" s="30"/>
      <c r="J13" s="31">
        <f t="shared" si="2"/>
        <v>0</v>
      </c>
      <c r="K13" s="31">
        <f t="shared" si="3"/>
        <v>0</v>
      </c>
      <c r="L13" s="32">
        <f t="shared" si="4"/>
        <v>0</v>
      </c>
      <c r="M13" s="32">
        <f t="shared" si="5"/>
        <v>89000.000000000015</v>
      </c>
      <c r="N13" s="33">
        <v>0</v>
      </c>
      <c r="O13" s="34">
        <f t="shared" si="6"/>
        <v>89000.07</v>
      </c>
      <c r="P13" s="35">
        <f t="shared" si="0"/>
        <v>91670.07</v>
      </c>
      <c r="Q13" s="17">
        <f t="shared" si="7"/>
        <v>7.0000000000000007E-2</v>
      </c>
      <c r="R13" s="75"/>
      <c r="S13" s="108">
        <v>64080</v>
      </c>
      <c r="T13" s="16">
        <v>154860</v>
      </c>
      <c r="U13" s="17">
        <f t="shared" si="1"/>
        <v>218940</v>
      </c>
    </row>
    <row r="14" spans="1:21" ht="17.100000000000001" customHeight="1">
      <c r="A14" s="1" t="s">
        <v>16</v>
      </c>
      <c r="B14" s="24">
        <v>8</v>
      </c>
      <c r="C14" s="24" t="s">
        <v>68</v>
      </c>
      <c r="D14" s="24" t="s">
        <v>79</v>
      </c>
      <c r="E14" s="24" t="s">
        <v>84</v>
      </c>
      <c r="F14" s="90">
        <v>8.9</v>
      </c>
      <c r="G14" s="28">
        <v>88159.08</v>
      </c>
      <c r="H14" s="29">
        <v>0</v>
      </c>
      <c r="I14" s="30"/>
      <c r="J14" s="31">
        <f t="shared" si="2"/>
        <v>88159.08</v>
      </c>
      <c r="K14" s="31">
        <f t="shared" si="3"/>
        <v>2644.7723999999998</v>
      </c>
      <c r="L14" s="32">
        <f t="shared" si="4"/>
        <v>0</v>
      </c>
      <c r="M14" s="32">
        <f t="shared" si="5"/>
        <v>89000.000000000015</v>
      </c>
      <c r="N14" s="33">
        <v>0</v>
      </c>
      <c r="O14" s="34">
        <f t="shared" si="6"/>
        <v>179804.08</v>
      </c>
      <c r="P14" s="35">
        <f t="shared" si="0"/>
        <v>185198.07999999999</v>
      </c>
      <c r="Q14" s="17">
        <f t="shared" si="7"/>
        <v>0.08</v>
      </c>
      <c r="S14" s="16">
        <v>41700</v>
      </c>
      <c r="T14" s="16">
        <v>100775</v>
      </c>
      <c r="U14" s="17">
        <f t="shared" si="1"/>
        <v>142475</v>
      </c>
    </row>
    <row r="15" spans="1:21" ht="17.100000000000001" customHeight="1">
      <c r="A15" s="1" t="s">
        <v>16</v>
      </c>
      <c r="B15" s="77">
        <v>9</v>
      </c>
      <c r="C15" s="77" t="s">
        <v>69</v>
      </c>
      <c r="D15" s="77" t="s">
        <v>79</v>
      </c>
      <c r="E15" s="89" t="s">
        <v>88</v>
      </c>
      <c r="F15" s="27">
        <v>11.2</v>
      </c>
      <c r="G15" s="29">
        <v>115360.09</v>
      </c>
      <c r="H15" s="29">
        <v>115360</v>
      </c>
      <c r="I15" s="30"/>
      <c r="J15" s="91">
        <f t="shared" si="2"/>
        <v>8.999999999650754E-2</v>
      </c>
      <c r="K15" s="91">
        <v>0</v>
      </c>
      <c r="L15" s="92">
        <f t="shared" si="4"/>
        <v>0</v>
      </c>
      <c r="M15" s="92">
        <f t="shared" si="5"/>
        <v>111999.99999999999</v>
      </c>
      <c r="N15" s="93">
        <v>0</v>
      </c>
      <c r="O15" s="94">
        <f t="shared" si="6"/>
        <v>112000.09</v>
      </c>
      <c r="P15" s="95">
        <f t="shared" si="0"/>
        <v>115360.09</v>
      </c>
      <c r="Q15" s="17">
        <f t="shared" si="7"/>
        <v>0.09</v>
      </c>
      <c r="S15" s="16">
        <v>41340</v>
      </c>
      <c r="T15" s="16">
        <v>99905</v>
      </c>
      <c r="U15" s="17">
        <f t="shared" si="1"/>
        <v>141245</v>
      </c>
    </row>
    <row r="16" spans="1:21" ht="16.2" customHeight="1">
      <c r="A16" s="1" t="s">
        <v>17</v>
      </c>
      <c r="B16" s="77">
        <v>10</v>
      </c>
      <c r="C16" s="24" t="s">
        <v>70</v>
      </c>
      <c r="D16" s="24" t="s">
        <v>86</v>
      </c>
      <c r="E16" s="89"/>
      <c r="F16" s="27">
        <v>11.2</v>
      </c>
      <c r="G16" s="28">
        <v>112000.1</v>
      </c>
      <c r="H16" s="29">
        <v>112000</v>
      </c>
      <c r="I16" s="30"/>
      <c r="J16" s="31">
        <f t="shared" si="2"/>
        <v>0.10000000000582077</v>
      </c>
      <c r="K16" s="31">
        <f t="shared" si="3"/>
        <v>3.000000000174623E-3</v>
      </c>
      <c r="L16" s="32">
        <f t="shared" si="4"/>
        <v>0</v>
      </c>
      <c r="M16" s="32">
        <f t="shared" si="5"/>
        <v>111999.99999999999</v>
      </c>
      <c r="N16" s="33">
        <v>0</v>
      </c>
      <c r="O16" s="34">
        <f t="shared" si="6"/>
        <v>112000.1</v>
      </c>
      <c r="P16" s="35">
        <f t="shared" si="0"/>
        <v>115360.1</v>
      </c>
      <c r="Q16" s="17">
        <f t="shared" si="7"/>
        <v>9.9999999999999992E-2</v>
      </c>
      <c r="S16" s="16">
        <v>71280</v>
      </c>
      <c r="T16" s="16">
        <v>172260</v>
      </c>
      <c r="U16" s="17">
        <f t="shared" si="1"/>
        <v>243540</v>
      </c>
    </row>
    <row r="17" spans="1:17" ht="15" thickBot="1">
      <c r="A17" s="1" t="s">
        <v>19</v>
      </c>
      <c r="B17" s="24"/>
      <c r="C17" s="24"/>
      <c r="D17" s="24"/>
      <c r="E17" s="24"/>
      <c r="F17" s="27"/>
      <c r="G17" s="36" t="s">
        <v>54</v>
      </c>
      <c r="H17" s="29"/>
      <c r="I17" s="37"/>
      <c r="J17" s="38" t="e">
        <f t="shared" ref="J17" si="8">G17-H17</f>
        <v>#VALUE!</v>
      </c>
      <c r="K17" s="31"/>
      <c r="L17" s="32">
        <f t="shared" si="4"/>
        <v>0</v>
      </c>
      <c r="M17" s="39">
        <f t="shared" si="5"/>
        <v>0</v>
      </c>
      <c r="N17" s="40">
        <v>0</v>
      </c>
      <c r="O17" s="34"/>
      <c r="P17" s="35"/>
      <c r="Q17" s="17"/>
    </row>
    <row r="18" spans="1:17" ht="15" thickBot="1">
      <c r="B18" s="41"/>
      <c r="C18" s="42"/>
      <c r="D18" s="43"/>
      <c r="E18" s="43"/>
      <c r="F18" s="44">
        <f>SUM(F7:F17)</f>
        <v>100.00000000000001</v>
      </c>
      <c r="G18" s="20">
        <f>SUM(G7:G17)</f>
        <v>2759454.55</v>
      </c>
      <c r="H18" s="23">
        <f>SUM(H7:H17)</f>
        <v>951360.18000000017</v>
      </c>
      <c r="I18" s="23">
        <f>SUM(I7:I17)</f>
        <v>0</v>
      </c>
      <c r="J18" s="23"/>
      <c r="K18" s="23"/>
      <c r="L18" s="23">
        <f>SUM(L7:L17)</f>
        <v>0</v>
      </c>
      <c r="M18" s="23">
        <f>SUM(M7:M17)</f>
        <v>1000000</v>
      </c>
      <c r="N18" s="23">
        <f>SUM(N7:N17)</f>
        <v>0</v>
      </c>
      <c r="O18" s="45">
        <f>SUM(O7:O16)</f>
        <v>2862337.55</v>
      </c>
      <c r="P18" s="45">
        <f>SUM(P7:P16)</f>
        <v>2948208.55</v>
      </c>
    </row>
    <row r="19" spans="1:17">
      <c r="D19" s="19"/>
      <c r="E19" s="19"/>
    </row>
    <row r="21" spans="1:17">
      <c r="D21" s="157" t="s">
        <v>60</v>
      </c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</row>
    <row r="22" spans="1:17"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</row>
    <row r="23" spans="1:17"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</row>
    <row r="24" spans="1:17"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</row>
    <row r="25" spans="1:17"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</row>
    <row r="26" spans="1:17" ht="65.25" customHeight="1"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2026-07-01T22:59:01Z</cp:lastPrinted>
  <dcterms:created xsi:type="dcterms:W3CDTF">2023-09-17T12:29:07Z</dcterms:created>
  <dcterms:modified xsi:type="dcterms:W3CDTF">2026-07-28T21:48:38Z</dcterms:modified>
</cp:coreProperties>
</file>