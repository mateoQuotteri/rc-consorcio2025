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LORIA\febrero\"/>
    </mc:Choice>
  </mc:AlternateContent>
  <xr:revisionPtr revIDLastSave="0" documentId="13_ncr:1_{3C4CFC4A-A3FF-4A05-9F25-92C395E6662F}" xr6:coauthVersionLast="47" xr6:coauthVersionMax="47" xr10:uidLastSave="{00000000-0000-0000-0000-000000000000}"/>
  <bookViews>
    <workbookView xWindow="-120" yWindow="-120" windowWidth="20730" windowHeight="11160" tabRatio="793" activeTab="1" xr2:uid="{00000000-000D-0000-FFFF-FFFF00000000}"/>
  </bookViews>
  <sheets>
    <sheet name="RESUMEN" sheetId="1" r:id="rId1"/>
    <sheet name="PRORRATEO" sheetId="2" r:id="rId2"/>
    <sheet name="PRORRATEO (2)" sheetId="14" r:id="rId3"/>
    <sheet name="TOTAL EXPENSAS" sheetId="15" r:id="rId4"/>
    <sheet name="Recibos 1" sheetId="3" r:id="rId5"/>
    <sheet name="Recibos 2" sheetId="4" r:id="rId6"/>
    <sheet name="Recibos 3" sheetId="5" r:id="rId7"/>
    <sheet name="Recibos 4" sheetId="6" r:id="rId8"/>
    <sheet name="Recibos 5" sheetId="7" r:id="rId9"/>
    <sheet name="Recibos 6 " sheetId="8" r:id="rId10"/>
    <sheet name="Recibos 7" sheetId="9" r:id="rId11"/>
    <sheet name="Recibos 8" sheetId="10" r:id="rId12"/>
    <sheet name="Recibos 9" sheetId="11" r:id="rId13"/>
    <sheet name="Recibos 10" sheetId="12" r:id="rId14"/>
  </sheets>
  <definedNames>
    <definedName name="_xlnm.Print_Area" localSheetId="1">PRORRATEO!$A$1:$Q$90</definedName>
    <definedName name="_xlnm.Print_Area" localSheetId="2">'PRORRATEO (2)'!$B$1:$J$82</definedName>
    <definedName name="_xlnm.Print_Area" localSheetId="4">'Recibos 1'!$A$1:$K$106</definedName>
    <definedName name="_xlnm.Print_Area" localSheetId="13">'Recibos 10'!$A$1:$K$155</definedName>
    <definedName name="_xlnm.Print_Area" localSheetId="5">'Recibos 2'!$A$1:$K$106</definedName>
    <definedName name="_xlnm.Print_Area" localSheetId="6">'Recibos 3'!$A$1:$K$110</definedName>
    <definedName name="_xlnm.Print_Area" localSheetId="7">'Recibos 4'!$A$1:$K$105</definedName>
    <definedName name="_xlnm.Print_Area" localSheetId="8">'Recibos 5'!$A$1:$K$124</definedName>
    <definedName name="_xlnm.Print_Area" localSheetId="9">'Recibos 6 '!$A$1:$K$174</definedName>
    <definedName name="_xlnm.Print_Area" localSheetId="10">'Recibos 7'!$A$1:$K$176</definedName>
    <definedName name="_xlnm.Print_Area" localSheetId="11">'Recibos 8'!$A$1:$K$141</definedName>
    <definedName name="_xlnm.Print_Area" localSheetId="12">'Recibos 9'!$A$1:$K$105</definedName>
    <definedName name="_xlnm.Print_Area" localSheetId="0">RESUMEN!$A$1:$E$146</definedName>
  </definedNames>
  <calcPr calcId="181029"/>
</workbook>
</file>

<file path=xl/calcChain.xml><?xml version="1.0" encoding="utf-8"?>
<calcChain xmlns="http://schemas.openxmlformats.org/spreadsheetml/2006/main">
  <c r="H41" i="2" l="1"/>
  <c r="E43" i="1"/>
  <c r="E47" i="1"/>
  <c r="E53" i="1"/>
  <c r="E75" i="1"/>
  <c r="B145" i="1"/>
  <c r="H69" i="2"/>
  <c r="H19" i="2"/>
  <c r="H31" i="2"/>
  <c r="H76" i="2"/>
  <c r="H29" i="2"/>
  <c r="H10" i="2"/>
  <c r="H65" i="2"/>
  <c r="D85" i="1"/>
  <c r="D80" i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6" i="2"/>
  <c r="H6" i="2" l="1"/>
  <c r="E45" i="1"/>
  <c r="H7" i="2" l="1"/>
  <c r="H35" i="1" l="1"/>
  <c r="D29" i="1"/>
  <c r="H56" i="14" l="1"/>
  <c r="H26" i="14" l="1"/>
  <c r="H40" i="14"/>
  <c r="H71" i="14"/>
  <c r="H71" i="2" s="1"/>
  <c r="E100" i="1" l="1"/>
  <c r="E105" i="1" s="1"/>
  <c r="B109" i="1" s="1"/>
  <c r="B124" i="1" s="1"/>
  <c r="H46" i="14"/>
  <c r="H29" i="14"/>
  <c r="B121" i="1" l="1"/>
  <c r="H6" i="14" l="1"/>
  <c r="B58" i="1" l="1"/>
  <c r="B59" i="1" s="1"/>
  <c r="E83" i="1" l="1"/>
  <c r="H61" i="14" l="1"/>
  <c r="H61" i="2" s="1"/>
  <c r="H45" i="14" l="1"/>
  <c r="H80" i="14"/>
  <c r="H80" i="2" s="1"/>
  <c r="H24" i="14"/>
  <c r="H24" i="2" s="1"/>
  <c r="H79" i="14"/>
  <c r="H79" i="2" s="1"/>
  <c r="H31" i="14"/>
  <c r="H12" i="14"/>
  <c r="H12" i="2" s="1"/>
  <c r="H18" i="14"/>
  <c r="H42" i="14"/>
  <c r="H28" i="14"/>
  <c r="H62" i="14"/>
  <c r="H33" i="14"/>
  <c r="H37" i="14"/>
  <c r="H37" i="2" s="1"/>
  <c r="H41" i="14"/>
  <c r="H16" i="14"/>
  <c r="H16" i="2" s="1"/>
  <c r="H47" i="14"/>
  <c r="H47" i="2" s="1"/>
  <c r="H20" i="14"/>
  <c r="H20" i="2" s="1"/>
  <c r="H44" i="14"/>
  <c r="H69" i="14"/>
  <c r="H34" i="14"/>
  <c r="H34" i="2" s="1"/>
  <c r="H60" i="14"/>
  <c r="H60" i="2" s="1"/>
  <c r="H52" i="14"/>
  <c r="H52" i="2" s="1"/>
  <c r="H59" i="14"/>
  <c r="H59" i="2" s="1"/>
  <c r="H74" i="14"/>
  <c r="H74" i="2" s="1"/>
  <c r="H30" i="14"/>
  <c r="H30" i="2" s="1"/>
  <c r="H11" i="14"/>
  <c r="H50" i="14"/>
  <c r="H50" i="2" s="1"/>
  <c r="H76" i="14"/>
  <c r="H77" i="14"/>
  <c r="H77" i="2" s="1"/>
  <c r="H58" i="14"/>
  <c r="H58" i="2" s="1"/>
  <c r="H13" i="14"/>
  <c r="H13" i="2" s="1"/>
  <c r="H25" i="14"/>
  <c r="H25" i="2" s="1"/>
  <c r="H17" i="14"/>
  <c r="H17" i="2" s="1"/>
  <c r="H65" i="14"/>
  <c r="H7" i="14"/>
  <c r="H53" i="14"/>
  <c r="H53" i="2" s="1"/>
  <c r="H9" i="14"/>
  <c r="H9" i="2" s="1"/>
  <c r="H57" i="14"/>
  <c r="H75" i="14"/>
  <c r="H75" i="2" s="1"/>
  <c r="H22" i="14"/>
  <c r="H22" i="2" s="1"/>
  <c r="H27" i="14"/>
  <c r="H27" i="2" s="1"/>
  <c r="H63" i="14"/>
  <c r="H63" i="2" s="1"/>
  <c r="H72" i="14"/>
  <c r="H72" i="2" s="1"/>
  <c r="H70" i="14"/>
  <c r="H70" i="2" s="1"/>
  <c r="H67" i="14"/>
  <c r="H48" i="14"/>
  <c r="H21" i="14"/>
  <c r="H21" i="2" s="1"/>
  <c r="H54" i="14"/>
  <c r="H54" i="2" s="1"/>
  <c r="H23" i="14"/>
  <c r="H23" i="2" s="1"/>
  <c r="J47" i="2" l="1"/>
  <c r="H32" i="14"/>
  <c r="H32" i="2" s="1"/>
  <c r="H64" i="14"/>
  <c r="H64" i="2" s="1"/>
  <c r="H49" i="14"/>
  <c r="H49" i="2" s="1"/>
  <c r="H68" i="14"/>
  <c r="H68" i="2" s="1"/>
  <c r="H38" i="14"/>
  <c r="H38" i="2" s="1"/>
  <c r="H73" i="14"/>
  <c r="H73" i="2" s="1"/>
  <c r="H14" i="14"/>
  <c r="H14" i="2" s="1"/>
  <c r="H39" i="14"/>
  <c r="H39" i="2" s="1"/>
  <c r="H55" i="14"/>
  <c r="H55" i="2" s="1"/>
  <c r="H15" i="14"/>
  <c r="H15" i="2" s="1"/>
  <c r="H35" i="14"/>
  <c r="H35" i="2" s="1"/>
  <c r="H8" i="14"/>
  <c r="H66" i="14"/>
  <c r="H66" i="2" s="1"/>
  <c r="H43" i="14"/>
  <c r="H43" i="2" s="1"/>
  <c r="H51" i="14"/>
  <c r="H51" i="2" s="1"/>
  <c r="E79" i="15" l="1"/>
  <c r="B36" i="15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5" i="15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N81" i="14"/>
  <c r="L81" i="14"/>
  <c r="I81" i="14"/>
  <c r="G81" i="14"/>
  <c r="F81" i="14"/>
  <c r="M80" i="14"/>
  <c r="J80" i="14"/>
  <c r="K80" i="14" s="1"/>
  <c r="M79" i="14"/>
  <c r="J79" i="14"/>
  <c r="K79" i="14" s="1"/>
  <c r="M78" i="14"/>
  <c r="J78" i="14"/>
  <c r="K78" i="14" s="1"/>
  <c r="M77" i="14"/>
  <c r="J77" i="14"/>
  <c r="K77" i="14" s="1"/>
  <c r="M76" i="14"/>
  <c r="J76" i="14"/>
  <c r="K76" i="14" s="1"/>
  <c r="M75" i="14"/>
  <c r="J75" i="14"/>
  <c r="K75" i="14" s="1"/>
  <c r="M74" i="14"/>
  <c r="J74" i="14"/>
  <c r="K74" i="14" s="1"/>
  <c r="M73" i="14"/>
  <c r="J73" i="14"/>
  <c r="K73" i="14" s="1"/>
  <c r="M72" i="14"/>
  <c r="J72" i="14"/>
  <c r="K72" i="14" s="1"/>
  <c r="M71" i="14"/>
  <c r="J71" i="14"/>
  <c r="K71" i="14" s="1"/>
  <c r="M70" i="14"/>
  <c r="J70" i="14"/>
  <c r="K70" i="14" s="1"/>
  <c r="M69" i="14"/>
  <c r="J69" i="14"/>
  <c r="K69" i="14" s="1"/>
  <c r="M68" i="14"/>
  <c r="J68" i="14"/>
  <c r="K68" i="14" s="1"/>
  <c r="M67" i="14"/>
  <c r="K67" i="14"/>
  <c r="J67" i="14"/>
  <c r="M66" i="14"/>
  <c r="J66" i="14"/>
  <c r="K66" i="14" s="1"/>
  <c r="M65" i="14"/>
  <c r="J65" i="14"/>
  <c r="K65" i="14" s="1"/>
  <c r="M64" i="14"/>
  <c r="J64" i="14"/>
  <c r="K64" i="14" s="1"/>
  <c r="M63" i="14"/>
  <c r="J63" i="14"/>
  <c r="K63" i="14" s="1"/>
  <c r="M62" i="14"/>
  <c r="J62" i="14"/>
  <c r="K62" i="14" s="1"/>
  <c r="M61" i="14"/>
  <c r="J61" i="14"/>
  <c r="K61" i="14" s="1"/>
  <c r="M60" i="14"/>
  <c r="J60" i="14"/>
  <c r="K60" i="14" s="1"/>
  <c r="M59" i="14"/>
  <c r="J59" i="14"/>
  <c r="K59" i="14" s="1"/>
  <c r="M58" i="14"/>
  <c r="J58" i="14"/>
  <c r="K58" i="14" s="1"/>
  <c r="M57" i="14"/>
  <c r="J57" i="14"/>
  <c r="K57" i="14" s="1"/>
  <c r="M56" i="14"/>
  <c r="J56" i="14"/>
  <c r="K56" i="14" s="1"/>
  <c r="M55" i="14"/>
  <c r="J55" i="14"/>
  <c r="K55" i="14" s="1"/>
  <c r="M54" i="14"/>
  <c r="J54" i="14"/>
  <c r="K54" i="14" s="1"/>
  <c r="M53" i="14"/>
  <c r="J53" i="14"/>
  <c r="K53" i="14" s="1"/>
  <c r="M52" i="14"/>
  <c r="J52" i="14"/>
  <c r="K52" i="14" s="1"/>
  <c r="M51" i="14"/>
  <c r="J51" i="14"/>
  <c r="K51" i="14" s="1"/>
  <c r="M50" i="14"/>
  <c r="J50" i="14"/>
  <c r="K50" i="14" s="1"/>
  <c r="M49" i="14"/>
  <c r="J49" i="14"/>
  <c r="K49" i="14" s="1"/>
  <c r="M48" i="14"/>
  <c r="J48" i="14"/>
  <c r="K48" i="14" s="1"/>
  <c r="M47" i="14"/>
  <c r="J47" i="14"/>
  <c r="K47" i="14" s="1"/>
  <c r="M46" i="14"/>
  <c r="J46" i="14"/>
  <c r="K46" i="14" s="1"/>
  <c r="M45" i="14"/>
  <c r="J45" i="14"/>
  <c r="K45" i="14" s="1"/>
  <c r="M44" i="14"/>
  <c r="J44" i="14"/>
  <c r="K44" i="14" s="1"/>
  <c r="M43" i="14"/>
  <c r="J43" i="14"/>
  <c r="K43" i="14" s="1"/>
  <c r="M42" i="14"/>
  <c r="J42" i="14"/>
  <c r="K42" i="14" s="1"/>
  <c r="M41" i="14"/>
  <c r="J41" i="14"/>
  <c r="K41" i="14" s="1"/>
  <c r="M40" i="14"/>
  <c r="J40" i="14"/>
  <c r="K40" i="14" s="1"/>
  <c r="M39" i="14"/>
  <c r="J39" i="14"/>
  <c r="K39" i="14" s="1"/>
  <c r="R38" i="14"/>
  <c r="R39" i="14" s="1"/>
  <c r="M38" i="14"/>
  <c r="J38" i="14"/>
  <c r="C38" i="14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M37" i="14"/>
  <c r="J37" i="14"/>
  <c r="M36" i="14"/>
  <c r="J36" i="14"/>
  <c r="M35" i="14"/>
  <c r="J35" i="14"/>
  <c r="K35" i="14" s="1"/>
  <c r="M34" i="14"/>
  <c r="J34" i="14"/>
  <c r="K34" i="14" s="1"/>
  <c r="M33" i="14"/>
  <c r="J33" i="14"/>
  <c r="K33" i="14" s="1"/>
  <c r="M32" i="14"/>
  <c r="J32" i="14"/>
  <c r="K32" i="14" s="1"/>
  <c r="M31" i="14"/>
  <c r="J31" i="14"/>
  <c r="K31" i="14" s="1"/>
  <c r="M30" i="14"/>
  <c r="J30" i="14"/>
  <c r="K30" i="14" s="1"/>
  <c r="M29" i="14"/>
  <c r="J29" i="14"/>
  <c r="K29" i="14" s="1"/>
  <c r="M28" i="14"/>
  <c r="J28" i="14"/>
  <c r="K28" i="14" s="1"/>
  <c r="M27" i="14"/>
  <c r="J27" i="14"/>
  <c r="K27" i="14" s="1"/>
  <c r="M26" i="14"/>
  <c r="J26" i="14"/>
  <c r="K26" i="14" s="1"/>
  <c r="M25" i="14"/>
  <c r="J25" i="14"/>
  <c r="K25" i="14" s="1"/>
  <c r="M24" i="14"/>
  <c r="J24" i="14"/>
  <c r="K24" i="14" s="1"/>
  <c r="M23" i="14"/>
  <c r="J23" i="14"/>
  <c r="K23" i="14" s="1"/>
  <c r="M22" i="14"/>
  <c r="J22" i="14"/>
  <c r="K22" i="14" s="1"/>
  <c r="M21" i="14"/>
  <c r="J21" i="14"/>
  <c r="K21" i="14" s="1"/>
  <c r="M20" i="14"/>
  <c r="J20" i="14"/>
  <c r="K20" i="14" s="1"/>
  <c r="M19" i="14"/>
  <c r="J19" i="14"/>
  <c r="K19" i="14" s="1"/>
  <c r="M18" i="14"/>
  <c r="J18" i="14"/>
  <c r="K18" i="14" s="1"/>
  <c r="M17" i="14"/>
  <c r="J17" i="14"/>
  <c r="K17" i="14" s="1"/>
  <c r="M16" i="14"/>
  <c r="J16" i="14"/>
  <c r="K16" i="14" s="1"/>
  <c r="M15" i="14"/>
  <c r="J15" i="14"/>
  <c r="K15" i="14" s="1"/>
  <c r="M14" i="14"/>
  <c r="J14" i="14"/>
  <c r="K14" i="14" s="1"/>
  <c r="M13" i="14"/>
  <c r="J13" i="14"/>
  <c r="K13" i="14" s="1"/>
  <c r="M12" i="14"/>
  <c r="J12" i="14"/>
  <c r="K12" i="14" s="1"/>
  <c r="M11" i="14"/>
  <c r="J11" i="14"/>
  <c r="K11" i="14" s="1"/>
  <c r="M10" i="14"/>
  <c r="J10" i="14"/>
  <c r="K10" i="14" s="1"/>
  <c r="M9" i="14"/>
  <c r="J9" i="14"/>
  <c r="K9" i="14" s="1"/>
  <c r="M8" i="14"/>
  <c r="J8" i="14"/>
  <c r="K8" i="14" s="1"/>
  <c r="R7" i="14"/>
  <c r="R8" i="14" s="1"/>
  <c r="R9" i="14" s="1"/>
  <c r="M7" i="14"/>
  <c r="J7" i="14"/>
  <c r="K7" i="14" s="1"/>
  <c r="O7" i="14" s="1"/>
  <c r="C7" i="14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M6" i="14"/>
  <c r="J6" i="14"/>
  <c r="K6" i="14" s="1"/>
  <c r="O5" i="14"/>
  <c r="D2" i="14"/>
  <c r="O6" i="14" l="1"/>
  <c r="P6" i="14" s="1"/>
  <c r="P7" i="14"/>
  <c r="Q7" i="14"/>
  <c r="R10" i="14"/>
  <c r="O9" i="14"/>
  <c r="K36" i="14"/>
  <c r="O36" i="14" s="1"/>
  <c r="J81" i="14"/>
  <c r="O8" i="14"/>
  <c r="K38" i="14"/>
  <c r="O38" i="14" s="1"/>
  <c r="M81" i="14"/>
  <c r="H81" i="14"/>
  <c r="B120" i="1" s="1"/>
  <c r="K37" i="14"/>
  <c r="O37" i="14" s="1"/>
  <c r="O39" i="14"/>
  <c r="R40" i="14"/>
  <c r="Q6" i="14" l="1"/>
  <c r="P37" i="14"/>
  <c r="Q37" i="14"/>
  <c r="Q36" i="14"/>
  <c r="P36" i="14"/>
  <c r="Q8" i="14"/>
  <c r="P8" i="14"/>
  <c r="Q9" i="14"/>
  <c r="P9" i="14"/>
  <c r="Q39" i="14"/>
  <c r="P39" i="14"/>
  <c r="K81" i="14"/>
  <c r="O10" i="14"/>
  <c r="R11" i="14"/>
  <c r="O40" i="14"/>
  <c r="R41" i="14"/>
  <c r="P38" i="14"/>
  <c r="Q38" i="14"/>
  <c r="Q40" i="14" l="1"/>
  <c r="P40" i="14"/>
  <c r="P10" i="14"/>
  <c r="Q10" i="14"/>
  <c r="O41" i="14"/>
  <c r="R42" i="14"/>
  <c r="O11" i="14"/>
  <c r="R12" i="14"/>
  <c r="R43" i="14" l="1"/>
  <c r="O42" i="14"/>
  <c r="R13" i="14"/>
  <c r="O12" i="14"/>
  <c r="Q41" i="14"/>
  <c r="P41" i="14"/>
  <c r="P11" i="14"/>
  <c r="Q11" i="14"/>
  <c r="J20" i="2"/>
  <c r="Q12" i="14" l="1"/>
  <c r="P12" i="14"/>
  <c r="R14" i="14"/>
  <c r="O13" i="14"/>
  <c r="Q42" i="14"/>
  <c r="P42" i="14"/>
  <c r="R44" i="14"/>
  <c r="O43" i="14"/>
  <c r="Q43" i="14" l="1"/>
  <c r="P43" i="14"/>
  <c r="Q13" i="14"/>
  <c r="P13" i="14"/>
  <c r="R45" i="14"/>
  <c r="O44" i="14"/>
  <c r="R15" i="14"/>
  <c r="O14" i="14"/>
  <c r="D38" i="1"/>
  <c r="R46" i="14" l="1"/>
  <c r="O45" i="14"/>
  <c r="Q14" i="14"/>
  <c r="P14" i="14"/>
  <c r="R16" i="14"/>
  <c r="O15" i="14"/>
  <c r="Q44" i="14"/>
  <c r="P44" i="14"/>
  <c r="E51" i="1"/>
  <c r="E52" i="1" s="1"/>
  <c r="R17" i="14" l="1"/>
  <c r="O16" i="14"/>
  <c r="R47" i="14"/>
  <c r="O46" i="14"/>
  <c r="Q15" i="14"/>
  <c r="P15" i="14"/>
  <c r="Q45" i="14"/>
  <c r="P45" i="14"/>
  <c r="O5" i="2"/>
  <c r="R18" i="14" l="1"/>
  <c r="O17" i="14"/>
  <c r="Q46" i="14"/>
  <c r="P46" i="14"/>
  <c r="R48" i="14"/>
  <c r="O47" i="14"/>
  <c r="Q16" i="14"/>
  <c r="P16" i="14"/>
  <c r="R49" i="14" l="1"/>
  <c r="O48" i="14"/>
  <c r="R19" i="14"/>
  <c r="O18" i="14"/>
  <c r="Q47" i="14"/>
  <c r="P47" i="14"/>
  <c r="Q17" i="14"/>
  <c r="P17" i="14"/>
  <c r="R50" i="14" l="1"/>
  <c r="O49" i="14"/>
  <c r="P18" i="14"/>
  <c r="Q18" i="14"/>
  <c r="R20" i="14"/>
  <c r="O19" i="14"/>
  <c r="Q48" i="14"/>
  <c r="P48" i="14"/>
  <c r="E39" i="1"/>
  <c r="E147" i="12"/>
  <c r="E146" i="12"/>
  <c r="E129" i="12"/>
  <c r="E128" i="12"/>
  <c r="E112" i="12"/>
  <c r="E111" i="12"/>
  <c r="E95" i="12"/>
  <c r="E94" i="12"/>
  <c r="E78" i="12"/>
  <c r="E77" i="12"/>
  <c r="E60" i="12"/>
  <c r="E59" i="12"/>
  <c r="E42" i="12"/>
  <c r="E41" i="12"/>
  <c r="E26" i="12"/>
  <c r="E25" i="12"/>
  <c r="E10" i="12"/>
  <c r="E9" i="12"/>
  <c r="E96" i="11"/>
  <c r="E95" i="11"/>
  <c r="E79" i="11"/>
  <c r="E78" i="11"/>
  <c r="E62" i="11"/>
  <c r="E61" i="11"/>
  <c r="E46" i="11"/>
  <c r="E45" i="11"/>
  <c r="E29" i="11"/>
  <c r="E28" i="11"/>
  <c r="E11" i="11"/>
  <c r="E10" i="11"/>
  <c r="E133" i="10"/>
  <c r="E132" i="10"/>
  <c r="E116" i="10"/>
  <c r="E115" i="10"/>
  <c r="E99" i="10"/>
  <c r="E98" i="10"/>
  <c r="E81" i="10"/>
  <c r="E80" i="10"/>
  <c r="E64" i="10"/>
  <c r="E63" i="10"/>
  <c r="E46" i="10"/>
  <c r="E45" i="10"/>
  <c r="E28" i="10"/>
  <c r="E27" i="10"/>
  <c r="E11" i="10"/>
  <c r="E10" i="10"/>
  <c r="E168" i="9"/>
  <c r="E167" i="9"/>
  <c r="E150" i="9"/>
  <c r="E149" i="9"/>
  <c r="E133" i="9"/>
  <c r="E132" i="9"/>
  <c r="E115" i="9"/>
  <c r="E114" i="9"/>
  <c r="E97" i="9"/>
  <c r="E96" i="9"/>
  <c r="E79" i="9"/>
  <c r="E78" i="9"/>
  <c r="E62" i="9"/>
  <c r="E61" i="9"/>
  <c r="E45" i="9"/>
  <c r="E44" i="9"/>
  <c r="E28" i="9"/>
  <c r="E27" i="9"/>
  <c r="E12" i="9"/>
  <c r="E11" i="9"/>
  <c r="E166" i="8"/>
  <c r="E165" i="8"/>
  <c r="E149" i="8"/>
  <c r="E148" i="8"/>
  <c r="E131" i="8"/>
  <c r="E130" i="8"/>
  <c r="E114" i="8"/>
  <c r="E113" i="8"/>
  <c r="E97" i="8"/>
  <c r="E96" i="8"/>
  <c r="E79" i="8"/>
  <c r="E78" i="8"/>
  <c r="E61" i="8"/>
  <c r="E60" i="8"/>
  <c r="E43" i="8"/>
  <c r="E44" i="8"/>
  <c r="E26" i="8"/>
  <c r="E25" i="8"/>
  <c r="E10" i="8"/>
  <c r="E9" i="8"/>
  <c r="C116" i="7"/>
  <c r="E116" i="7"/>
  <c r="E115" i="7"/>
  <c r="E99" i="7"/>
  <c r="E98" i="7"/>
  <c r="E82" i="7"/>
  <c r="E81" i="7"/>
  <c r="E65" i="7"/>
  <c r="E64" i="7"/>
  <c r="E48" i="7"/>
  <c r="E47" i="7"/>
  <c r="E30" i="7"/>
  <c r="E29" i="7"/>
  <c r="E12" i="7"/>
  <c r="E11" i="7"/>
  <c r="E99" i="6"/>
  <c r="E98" i="6"/>
  <c r="E82" i="6"/>
  <c r="E81" i="6"/>
  <c r="E65" i="6"/>
  <c r="E64" i="6"/>
  <c r="E46" i="6"/>
  <c r="E45" i="6"/>
  <c r="E29" i="6"/>
  <c r="E28" i="6"/>
  <c r="E11" i="6"/>
  <c r="E10" i="6"/>
  <c r="E101" i="5"/>
  <c r="E100" i="5"/>
  <c r="E83" i="5"/>
  <c r="E82" i="5"/>
  <c r="E65" i="5"/>
  <c r="E64" i="5"/>
  <c r="E47" i="5"/>
  <c r="E46" i="5"/>
  <c r="E29" i="5"/>
  <c r="E28" i="5"/>
  <c r="E11" i="5"/>
  <c r="E10" i="5"/>
  <c r="E98" i="4"/>
  <c r="E97" i="4"/>
  <c r="E80" i="4"/>
  <c r="E79" i="4"/>
  <c r="E62" i="4"/>
  <c r="E61" i="4"/>
  <c r="E45" i="4"/>
  <c r="E44" i="4"/>
  <c r="E28" i="4"/>
  <c r="E27" i="4"/>
  <c r="E11" i="4"/>
  <c r="E10" i="4"/>
  <c r="E99" i="3"/>
  <c r="E98" i="3"/>
  <c r="E81" i="3"/>
  <c r="E80" i="3"/>
  <c r="E62" i="3"/>
  <c r="E63" i="3"/>
  <c r="E46" i="3"/>
  <c r="E45" i="3"/>
  <c r="E28" i="3"/>
  <c r="E27" i="3"/>
  <c r="E11" i="3"/>
  <c r="C11" i="3"/>
  <c r="E10" i="3"/>
  <c r="O20" i="14" l="1"/>
  <c r="R21" i="14"/>
  <c r="R51" i="14"/>
  <c r="O50" i="14"/>
  <c r="P19" i="14"/>
  <c r="Q19" i="14"/>
  <c r="Q49" i="14"/>
  <c r="P49" i="14"/>
  <c r="G5" i="3"/>
  <c r="P20" i="14" l="1"/>
  <c r="Q20" i="14"/>
  <c r="P50" i="14"/>
  <c r="Q50" i="14"/>
  <c r="O51" i="14"/>
  <c r="R52" i="14"/>
  <c r="O21" i="14"/>
  <c r="R22" i="14"/>
  <c r="R7" i="2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8" i="2" s="1"/>
  <c r="R39" i="2" s="1"/>
  <c r="R40" i="2" s="1"/>
  <c r="R41" i="2" s="1"/>
  <c r="R42" i="2" s="1"/>
  <c r="R43" i="2" s="1"/>
  <c r="R44" i="2" s="1"/>
  <c r="R45" i="2" s="1"/>
  <c r="R46" i="2" s="1"/>
  <c r="R47" i="2" s="1"/>
  <c r="R48" i="2" s="1"/>
  <c r="R49" i="2" s="1"/>
  <c r="R50" i="2" s="1"/>
  <c r="R51" i="2" s="1"/>
  <c r="R52" i="2" s="1"/>
  <c r="R53" i="2" s="1"/>
  <c r="R54" i="2" s="1"/>
  <c r="R55" i="2" s="1"/>
  <c r="R56" i="2" s="1"/>
  <c r="R57" i="2" s="1"/>
  <c r="R58" i="2" s="1"/>
  <c r="R59" i="2" s="1"/>
  <c r="R60" i="2" s="1"/>
  <c r="R61" i="2" s="1"/>
  <c r="R62" i="2" s="1"/>
  <c r="R63" i="2" s="1"/>
  <c r="R64" i="2" s="1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Q51" i="14" l="1"/>
  <c r="P51" i="14"/>
  <c r="R23" i="14"/>
  <c r="O22" i="14"/>
  <c r="P21" i="14"/>
  <c r="Q21" i="14"/>
  <c r="O52" i="14"/>
  <c r="R53" i="14"/>
  <c r="O53" i="14" l="1"/>
  <c r="R54" i="14"/>
  <c r="P22" i="14"/>
  <c r="Q22" i="14"/>
  <c r="Q52" i="14"/>
  <c r="P52" i="14"/>
  <c r="R24" i="14"/>
  <c r="O23" i="14"/>
  <c r="H81" i="2"/>
  <c r="B119" i="1" s="1"/>
  <c r="D2" i="2"/>
  <c r="I81" i="2"/>
  <c r="F81" i="2"/>
  <c r="G81" i="2"/>
  <c r="M74" i="2"/>
  <c r="M75" i="2"/>
  <c r="M76" i="2"/>
  <c r="M77" i="2"/>
  <c r="M78" i="2"/>
  <c r="M79" i="2"/>
  <c r="M80" i="2"/>
  <c r="J74" i="2"/>
  <c r="J75" i="2"/>
  <c r="J76" i="2"/>
  <c r="J77" i="2"/>
  <c r="J78" i="2"/>
  <c r="J79" i="2"/>
  <c r="J80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J42" i="2"/>
  <c r="J43" i="2"/>
  <c r="J44" i="2"/>
  <c r="J45" i="2"/>
  <c r="J46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C38" i="2"/>
  <c r="C10" i="8" s="1"/>
  <c r="C7" i="2"/>
  <c r="C28" i="3" s="1"/>
  <c r="C8" i="2" l="1"/>
  <c r="C9" i="2" s="1"/>
  <c r="C39" i="2"/>
  <c r="C46" i="3"/>
  <c r="Q53" i="14"/>
  <c r="P53" i="14"/>
  <c r="Q23" i="14"/>
  <c r="P23" i="14"/>
  <c r="R25" i="14"/>
  <c r="O24" i="14"/>
  <c r="R55" i="14"/>
  <c r="O54" i="14"/>
  <c r="K77" i="2"/>
  <c r="O77" i="2" s="1"/>
  <c r="K47" i="2"/>
  <c r="O47" i="2" s="1"/>
  <c r="K70" i="2"/>
  <c r="O70" i="2" s="1"/>
  <c r="K66" i="2"/>
  <c r="O66" i="2" s="1"/>
  <c r="K58" i="2"/>
  <c r="O58" i="2" s="1"/>
  <c r="K50" i="2"/>
  <c r="O50" i="2" s="1"/>
  <c r="K42" i="2"/>
  <c r="O42" i="2" s="1"/>
  <c r="K80" i="2"/>
  <c r="O80" i="2" s="1"/>
  <c r="K76" i="2"/>
  <c r="O76" i="2" s="1"/>
  <c r="K79" i="2"/>
  <c r="O79" i="2" s="1"/>
  <c r="K78" i="2"/>
  <c r="O78" i="2" s="1"/>
  <c r="K74" i="2"/>
  <c r="O74" i="2" s="1"/>
  <c r="K75" i="2"/>
  <c r="O75" i="2" s="1"/>
  <c r="K68" i="2"/>
  <c r="O68" i="2" s="1"/>
  <c r="K60" i="2"/>
  <c r="O60" i="2" s="1"/>
  <c r="K52" i="2"/>
  <c r="O52" i="2" s="1"/>
  <c r="K44" i="2"/>
  <c r="O44" i="2" s="1"/>
  <c r="K63" i="2"/>
  <c r="O63" i="2" s="1"/>
  <c r="K55" i="2"/>
  <c r="O55" i="2" s="1"/>
  <c r="K62" i="2"/>
  <c r="O62" i="2" s="1"/>
  <c r="K54" i="2"/>
  <c r="O54" i="2" s="1"/>
  <c r="K46" i="2"/>
  <c r="O46" i="2" s="1"/>
  <c r="K72" i="2"/>
  <c r="O72" i="2" s="1"/>
  <c r="K64" i="2"/>
  <c r="O64" i="2" s="1"/>
  <c r="K56" i="2"/>
  <c r="O56" i="2" s="1"/>
  <c r="K48" i="2"/>
  <c r="O48" i="2" s="1"/>
  <c r="K71" i="2"/>
  <c r="O71" i="2" s="1"/>
  <c r="K73" i="2"/>
  <c r="O73" i="2" s="1"/>
  <c r="K69" i="2"/>
  <c r="O69" i="2" s="1"/>
  <c r="K65" i="2"/>
  <c r="O65" i="2" s="1"/>
  <c r="K61" i="2"/>
  <c r="O61" i="2" s="1"/>
  <c r="K57" i="2"/>
  <c r="O57" i="2" s="1"/>
  <c r="K53" i="2"/>
  <c r="O53" i="2" s="1"/>
  <c r="K49" i="2"/>
  <c r="O49" i="2" s="1"/>
  <c r="K45" i="2"/>
  <c r="O45" i="2" s="1"/>
  <c r="K67" i="2"/>
  <c r="O67" i="2" s="1"/>
  <c r="K59" i="2"/>
  <c r="O59" i="2" s="1"/>
  <c r="K51" i="2"/>
  <c r="O51" i="2" s="1"/>
  <c r="K43" i="2"/>
  <c r="O43" i="2" s="1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6" i="2"/>
  <c r="C10" i="2" l="1"/>
  <c r="C63" i="3"/>
  <c r="C26" i="8"/>
  <c r="C40" i="2"/>
  <c r="Q49" i="2"/>
  <c r="F47" i="15"/>
  <c r="Q73" i="2"/>
  <c r="Q43" i="2"/>
  <c r="F41" i="15"/>
  <c r="Q45" i="2"/>
  <c r="F43" i="15"/>
  <c r="Q61" i="2"/>
  <c r="Q71" i="2"/>
  <c r="Q72" i="2"/>
  <c r="Q55" i="2"/>
  <c r="Q60" i="2"/>
  <c r="Q78" i="2"/>
  <c r="Q66" i="2"/>
  <c r="Q65" i="2"/>
  <c r="Q48" i="2"/>
  <c r="F46" i="15"/>
  <c r="Q46" i="2"/>
  <c r="F44" i="15"/>
  <c r="Q63" i="2"/>
  <c r="Q68" i="2"/>
  <c r="Q79" i="2"/>
  <c r="Q42" i="2"/>
  <c r="F40" i="15"/>
  <c r="Q70" i="2"/>
  <c r="Q51" i="2"/>
  <c r="F49" i="15"/>
  <c r="Q59" i="2"/>
  <c r="Q53" i="2"/>
  <c r="F51" i="15"/>
  <c r="Q69" i="2"/>
  <c r="Q56" i="2"/>
  <c r="Q54" i="2"/>
  <c r="F52" i="15"/>
  <c r="Q44" i="2"/>
  <c r="F42" i="15"/>
  <c r="Q75" i="2"/>
  <c r="Q76" i="2"/>
  <c r="Q50" i="2"/>
  <c r="F48" i="15"/>
  <c r="Q47" i="2"/>
  <c r="F45" i="15"/>
  <c r="Q67" i="2"/>
  <c r="Q57" i="2"/>
  <c r="Q64" i="2"/>
  <c r="Q62" i="2"/>
  <c r="Q52" i="2"/>
  <c r="F50" i="15"/>
  <c r="Q74" i="2"/>
  <c r="Q80" i="2"/>
  <c r="Q58" i="2"/>
  <c r="Q77" i="2"/>
  <c r="R26" i="14"/>
  <c r="O25" i="14"/>
  <c r="Q54" i="14"/>
  <c r="P54" i="14"/>
  <c r="R56" i="14"/>
  <c r="O55" i="14"/>
  <c r="F53" i="15" s="1"/>
  <c r="Q24" i="14"/>
  <c r="P24" i="14"/>
  <c r="B110" i="1"/>
  <c r="J81" i="2"/>
  <c r="G34" i="11"/>
  <c r="P67" i="2"/>
  <c r="G173" i="9"/>
  <c r="P57" i="2"/>
  <c r="G31" i="12"/>
  <c r="P73" i="2"/>
  <c r="G121" i="10"/>
  <c r="P64" i="2"/>
  <c r="G86" i="10"/>
  <c r="P62" i="2"/>
  <c r="G84" i="9"/>
  <c r="P52" i="2"/>
  <c r="G47" i="12"/>
  <c r="P74" i="2"/>
  <c r="G152" i="12"/>
  <c r="P80" i="2"/>
  <c r="G102" i="8"/>
  <c r="P43" i="2"/>
  <c r="G136" i="8"/>
  <c r="P45" i="2"/>
  <c r="G69" i="10"/>
  <c r="P61" i="2"/>
  <c r="G101" i="11"/>
  <c r="P71" i="2"/>
  <c r="G15" i="12"/>
  <c r="P72" i="2"/>
  <c r="G138" i="9"/>
  <c r="P55" i="2"/>
  <c r="G51" i="10"/>
  <c r="P60" i="2"/>
  <c r="G117" i="12"/>
  <c r="P78" i="2"/>
  <c r="G67" i="9"/>
  <c r="P51" i="2"/>
  <c r="G17" i="9"/>
  <c r="P48" i="2"/>
  <c r="G154" i="8"/>
  <c r="P46" i="2"/>
  <c r="G104" i="10"/>
  <c r="P63" i="2"/>
  <c r="G51" i="11"/>
  <c r="P68" i="2"/>
  <c r="G16" i="10"/>
  <c r="P58" i="2"/>
  <c r="G171" i="8"/>
  <c r="P47" i="2"/>
  <c r="G33" i="10"/>
  <c r="P59" i="2"/>
  <c r="G155" i="9"/>
  <c r="P56" i="2"/>
  <c r="G120" i="9"/>
  <c r="P54" i="2"/>
  <c r="G119" i="8"/>
  <c r="P44" i="2"/>
  <c r="G65" i="12"/>
  <c r="P75" i="2"/>
  <c r="G83" i="12"/>
  <c r="P76" i="2"/>
  <c r="G16" i="11"/>
  <c r="P66" i="2"/>
  <c r="G100" i="12"/>
  <c r="P77" i="2"/>
  <c r="G102" i="9"/>
  <c r="P53" i="2"/>
  <c r="K36" i="2"/>
  <c r="G33" i="9"/>
  <c r="P49" i="2"/>
  <c r="G138" i="10"/>
  <c r="P65" i="2"/>
  <c r="G134" i="12"/>
  <c r="P79" i="2"/>
  <c r="G50" i="9"/>
  <c r="P50" i="2"/>
  <c r="G84" i="11"/>
  <c r="P70" i="2"/>
  <c r="G84" i="8"/>
  <c r="P42" i="2"/>
  <c r="G67" i="11"/>
  <c r="P69" i="2"/>
  <c r="K37" i="2"/>
  <c r="K40" i="2"/>
  <c r="K41" i="2"/>
  <c r="K39" i="2"/>
  <c r="K38" i="2"/>
  <c r="K23" i="2"/>
  <c r="K11" i="2"/>
  <c r="K34" i="2"/>
  <c r="K30" i="2"/>
  <c r="K26" i="2"/>
  <c r="K22" i="2"/>
  <c r="K18" i="2"/>
  <c r="K14" i="2"/>
  <c r="K10" i="2"/>
  <c r="K27" i="2"/>
  <c r="K19" i="2"/>
  <c r="K7" i="2"/>
  <c r="K33" i="2"/>
  <c r="K29" i="2"/>
  <c r="K25" i="2"/>
  <c r="K21" i="2"/>
  <c r="K17" i="2"/>
  <c r="K13" i="2"/>
  <c r="K9" i="2"/>
  <c r="K35" i="2"/>
  <c r="K15" i="2"/>
  <c r="K32" i="2"/>
  <c r="K28" i="2"/>
  <c r="K24" i="2"/>
  <c r="K20" i="2"/>
  <c r="K16" i="2"/>
  <c r="K12" i="2"/>
  <c r="K8" i="2"/>
  <c r="K31" i="2"/>
  <c r="K6" i="2"/>
  <c r="L81" i="2"/>
  <c r="C11" i="2" l="1"/>
  <c r="C81" i="3"/>
  <c r="C41" i="2"/>
  <c r="C44" i="8"/>
  <c r="O56" i="14"/>
  <c r="F54" i="15" s="1"/>
  <c r="R57" i="14"/>
  <c r="R27" i="14"/>
  <c r="O26" i="14"/>
  <c r="Q55" i="14"/>
  <c r="P55" i="14"/>
  <c r="P25" i="14"/>
  <c r="Q25" i="14"/>
  <c r="K81" i="2"/>
  <c r="A51" i="1"/>
  <c r="A52" i="1" s="1"/>
  <c r="C42" i="2" l="1"/>
  <c r="C61" i="8"/>
  <c r="C12" i="2"/>
  <c r="C99" i="3"/>
  <c r="Q56" i="14"/>
  <c r="P56" i="14"/>
  <c r="P26" i="14"/>
  <c r="Q26" i="14"/>
  <c r="R28" i="14"/>
  <c r="O27" i="14"/>
  <c r="O57" i="14"/>
  <c r="F55" i="15" s="1"/>
  <c r="R58" i="14"/>
  <c r="E87" i="1"/>
  <c r="E91" i="1" s="1"/>
  <c r="B108" i="1" l="1"/>
  <c r="C13" i="2"/>
  <c r="C11" i="4"/>
  <c r="C43" i="2"/>
  <c r="C79" i="8"/>
  <c r="R29" i="14"/>
  <c r="O28" i="14"/>
  <c r="R59" i="14"/>
  <c r="O58" i="14"/>
  <c r="F56" i="15" s="1"/>
  <c r="Q57" i="14"/>
  <c r="P57" i="14"/>
  <c r="Q27" i="14"/>
  <c r="P27" i="14"/>
  <c r="M7" i="2"/>
  <c r="O7" i="2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1" i="2" s="1"/>
  <c r="M32" i="2"/>
  <c r="O32" i="2" s="1"/>
  <c r="M33" i="2"/>
  <c r="M34" i="2"/>
  <c r="O34" i="2" s="1"/>
  <c r="M35" i="2"/>
  <c r="O35" i="2" s="1"/>
  <c r="M36" i="2"/>
  <c r="O36" i="2" s="1"/>
  <c r="F34" i="15" s="1"/>
  <c r="M37" i="2"/>
  <c r="O37" i="2" s="1"/>
  <c r="M38" i="2"/>
  <c r="O38" i="2" s="1"/>
  <c r="M39" i="2"/>
  <c r="O39" i="2" s="1"/>
  <c r="M40" i="2"/>
  <c r="O40" i="2" s="1"/>
  <c r="M41" i="2"/>
  <c r="O41" i="2" s="1"/>
  <c r="M6" i="2"/>
  <c r="O6" i="2" s="1"/>
  <c r="C44" i="2" l="1"/>
  <c r="C97" i="8"/>
  <c r="C14" i="2"/>
  <c r="C28" i="4"/>
  <c r="Q41" i="2"/>
  <c r="F39" i="15"/>
  <c r="Q39" i="2"/>
  <c r="F37" i="15"/>
  <c r="Q35" i="2"/>
  <c r="Q31" i="2"/>
  <c r="Q27" i="2"/>
  <c r="F25" i="15"/>
  <c r="Q23" i="2"/>
  <c r="F21" i="15"/>
  <c r="Q19" i="2"/>
  <c r="F17" i="15"/>
  <c r="Q15" i="2"/>
  <c r="F13" i="15"/>
  <c r="Q11" i="2"/>
  <c r="F9" i="15"/>
  <c r="Q7" i="2"/>
  <c r="F5" i="15"/>
  <c r="Q6" i="2"/>
  <c r="F4" i="15"/>
  <c r="Q38" i="2"/>
  <c r="F36" i="15"/>
  <c r="Q34" i="2"/>
  <c r="Q30" i="2"/>
  <c r="Q26" i="2"/>
  <c r="F24" i="15"/>
  <c r="Q22" i="2"/>
  <c r="F20" i="15"/>
  <c r="Q18" i="2"/>
  <c r="F16" i="15"/>
  <c r="Q14" i="2"/>
  <c r="F12" i="15"/>
  <c r="Q10" i="2"/>
  <c r="F8" i="15"/>
  <c r="Q37" i="2"/>
  <c r="F35" i="15"/>
  <c r="Q29" i="2"/>
  <c r="Q25" i="2"/>
  <c r="F23" i="15"/>
  <c r="Q21" i="2"/>
  <c r="F19" i="15"/>
  <c r="Q17" i="2"/>
  <c r="F15" i="15"/>
  <c r="Q13" i="2"/>
  <c r="F11" i="15"/>
  <c r="Q9" i="2"/>
  <c r="F7" i="15"/>
  <c r="Q40" i="2"/>
  <c r="F38" i="15"/>
  <c r="Q32" i="2"/>
  <c r="Q28" i="2"/>
  <c r="F26" i="15"/>
  <c r="Q24" i="2"/>
  <c r="F22" i="15"/>
  <c r="Q20" i="2"/>
  <c r="F18" i="15"/>
  <c r="Q16" i="2"/>
  <c r="F14" i="15"/>
  <c r="Q12" i="2"/>
  <c r="F10" i="15"/>
  <c r="Q8" i="2"/>
  <c r="F6" i="15"/>
  <c r="R30" i="14"/>
  <c r="O29" i="14"/>
  <c r="F27" i="15" s="1"/>
  <c r="Q58" i="14"/>
  <c r="P58" i="14"/>
  <c r="R60" i="14"/>
  <c r="O59" i="14"/>
  <c r="F57" i="15" s="1"/>
  <c r="P28" i="14"/>
  <c r="Q28" i="14"/>
  <c r="P36" i="2"/>
  <c r="Q36" i="2"/>
  <c r="G15" i="8"/>
  <c r="P38" i="2"/>
  <c r="G51" i="6"/>
  <c r="P26" i="2"/>
  <c r="P14" i="2"/>
  <c r="G50" i="4"/>
  <c r="G121" i="7"/>
  <c r="P37" i="2"/>
  <c r="G104" i="6"/>
  <c r="P29" i="2"/>
  <c r="P25" i="2"/>
  <c r="G34" i="6"/>
  <c r="P21" i="2"/>
  <c r="G70" i="5"/>
  <c r="P17" i="2"/>
  <c r="G103" i="4"/>
  <c r="P13" i="2"/>
  <c r="G33" i="4"/>
  <c r="G68" i="3"/>
  <c r="P9" i="2"/>
  <c r="G16" i="3"/>
  <c r="P6" i="2"/>
  <c r="P30" i="2"/>
  <c r="G17" i="7"/>
  <c r="G16" i="5"/>
  <c r="P18" i="2"/>
  <c r="G66" i="8"/>
  <c r="P41" i="2"/>
  <c r="G53" i="7"/>
  <c r="P32" i="2"/>
  <c r="G87" i="6"/>
  <c r="P28" i="2"/>
  <c r="G16" i="6"/>
  <c r="P24" i="2"/>
  <c r="P20" i="2"/>
  <c r="G52" i="5"/>
  <c r="P16" i="2"/>
  <c r="G85" i="4"/>
  <c r="P12" i="2"/>
  <c r="G16" i="4"/>
  <c r="P8" i="2"/>
  <c r="G51" i="3"/>
  <c r="P34" i="2"/>
  <c r="G87" i="7"/>
  <c r="G88" i="5"/>
  <c r="P22" i="2"/>
  <c r="P10" i="2"/>
  <c r="G86" i="3"/>
  <c r="G49" i="8"/>
  <c r="P40" i="2"/>
  <c r="G31" i="8"/>
  <c r="P39" i="2"/>
  <c r="P35" i="2"/>
  <c r="G104" i="7"/>
  <c r="G35" i="7"/>
  <c r="P31" i="2"/>
  <c r="P27" i="2"/>
  <c r="G70" i="6"/>
  <c r="P23" i="2"/>
  <c r="G106" i="5"/>
  <c r="P19" i="2"/>
  <c r="G34" i="5"/>
  <c r="G67" i="4"/>
  <c r="P15" i="2"/>
  <c r="P11" i="2"/>
  <c r="G104" i="3"/>
  <c r="G33" i="3"/>
  <c r="P7" i="2"/>
  <c r="M81" i="2"/>
  <c r="C15" i="2" l="1"/>
  <c r="C45" i="4"/>
  <c r="C45" i="2"/>
  <c r="C114" i="8"/>
  <c r="O60" i="14"/>
  <c r="F58" i="15" s="1"/>
  <c r="R61" i="14"/>
  <c r="R31" i="14"/>
  <c r="O30" i="14"/>
  <c r="F28" i="15" s="1"/>
  <c r="P59" i="14"/>
  <c r="Q59" i="14"/>
  <c r="Q29" i="14"/>
  <c r="P29" i="14"/>
  <c r="B123" i="1"/>
  <c r="B134" i="1"/>
  <c r="C46" i="2" l="1"/>
  <c r="C131" i="8"/>
  <c r="C16" i="2"/>
  <c r="C62" i="4"/>
  <c r="Q60" i="14"/>
  <c r="P60" i="14"/>
  <c r="P30" i="14"/>
  <c r="Q30" i="14"/>
  <c r="O31" i="14"/>
  <c r="F29" i="15" s="1"/>
  <c r="R32" i="14"/>
  <c r="O61" i="14"/>
  <c r="F59" i="15" s="1"/>
  <c r="R62" i="14"/>
  <c r="B125" i="1"/>
  <c r="B107" i="1"/>
  <c r="C17" i="2" l="1"/>
  <c r="C80" i="4"/>
  <c r="C47" i="2"/>
  <c r="C149" i="8"/>
  <c r="P31" i="14"/>
  <c r="Q31" i="14"/>
  <c r="R63" i="14"/>
  <c r="O62" i="14"/>
  <c r="F60" i="15" s="1"/>
  <c r="Q61" i="14"/>
  <c r="P61" i="14"/>
  <c r="R33" i="14"/>
  <c r="O32" i="14"/>
  <c r="F30" i="15" s="1"/>
  <c r="C48" i="2" l="1"/>
  <c r="C166" i="8"/>
  <c r="C18" i="2"/>
  <c r="C98" i="4"/>
  <c r="P32" i="14"/>
  <c r="Q32" i="14"/>
  <c r="Q62" i="14"/>
  <c r="P62" i="14"/>
  <c r="O33" i="14"/>
  <c r="R34" i="14"/>
  <c r="R64" i="14"/>
  <c r="O63" i="14"/>
  <c r="F61" i="15" s="1"/>
  <c r="C19" i="2" l="1"/>
  <c r="C11" i="5"/>
  <c r="C49" i="2"/>
  <c r="C12" i="9"/>
  <c r="Q33" i="14"/>
  <c r="P33" i="14"/>
  <c r="Q63" i="14"/>
  <c r="P63" i="14"/>
  <c r="R65" i="14"/>
  <c r="O64" i="14"/>
  <c r="F62" i="15" s="1"/>
  <c r="R35" i="14"/>
  <c r="O35" i="14" s="1"/>
  <c r="F33" i="15" s="1"/>
  <c r="O34" i="14"/>
  <c r="F32" i="15" s="1"/>
  <c r="C50" i="2" l="1"/>
  <c r="C28" i="9"/>
  <c r="C20" i="2"/>
  <c r="C29" i="5"/>
  <c r="R66" i="14"/>
  <c r="O65" i="14"/>
  <c r="F63" i="15" s="1"/>
  <c r="Q34" i="14"/>
  <c r="P34" i="14"/>
  <c r="Q35" i="14"/>
  <c r="P35" i="14"/>
  <c r="Q64" i="14"/>
  <c r="P64" i="14"/>
  <c r="C21" i="2" l="1"/>
  <c r="C47" i="5"/>
  <c r="C51" i="2"/>
  <c r="C45" i="9"/>
  <c r="O66" i="14"/>
  <c r="F64" i="15" s="1"/>
  <c r="R67" i="14"/>
  <c r="Q65" i="14"/>
  <c r="P65" i="14"/>
  <c r="C52" i="2" l="1"/>
  <c r="C62" i="9"/>
  <c r="C22" i="2"/>
  <c r="C65" i="5"/>
  <c r="Q66" i="14"/>
  <c r="P66" i="14"/>
  <c r="O67" i="14"/>
  <c r="F65" i="15" s="1"/>
  <c r="R68" i="14"/>
  <c r="C23" i="2" l="1"/>
  <c r="C83" i="5"/>
  <c r="C53" i="2"/>
  <c r="C79" i="9"/>
  <c r="O68" i="14"/>
  <c r="F66" i="15" s="1"/>
  <c r="R69" i="14"/>
  <c r="Q67" i="14"/>
  <c r="P67" i="14"/>
  <c r="C54" i="2" l="1"/>
  <c r="C97" i="9"/>
  <c r="C24" i="2"/>
  <c r="C101" i="5"/>
  <c r="Q68" i="14"/>
  <c r="P68" i="14"/>
  <c r="R70" i="14"/>
  <c r="O69" i="14"/>
  <c r="F67" i="15" s="1"/>
  <c r="C25" i="2" l="1"/>
  <c r="C11" i="6"/>
  <c r="C55" i="2"/>
  <c r="C115" i="9"/>
  <c r="Q69" i="14"/>
  <c r="P69" i="14"/>
  <c r="O70" i="14"/>
  <c r="F68" i="15" s="1"/>
  <c r="R71" i="14"/>
  <c r="C56" i="2" l="1"/>
  <c r="C133" i="9"/>
  <c r="C26" i="2"/>
  <c r="C29" i="6"/>
  <c r="O71" i="14"/>
  <c r="F69" i="15" s="1"/>
  <c r="R72" i="14"/>
  <c r="P70" i="14"/>
  <c r="Q70" i="14"/>
  <c r="C27" i="2" l="1"/>
  <c r="C46" i="6"/>
  <c r="C57" i="2"/>
  <c r="C150" i="9"/>
  <c r="P71" i="14"/>
  <c r="Q71" i="14"/>
  <c r="O72" i="14"/>
  <c r="F70" i="15" s="1"/>
  <c r="R73" i="14"/>
  <c r="C58" i="2" l="1"/>
  <c r="C168" i="9"/>
  <c r="C28" i="2"/>
  <c r="C65" i="6"/>
  <c r="O73" i="14"/>
  <c r="F71" i="15" s="1"/>
  <c r="R74" i="14"/>
  <c r="P72" i="14"/>
  <c r="Q72" i="14"/>
  <c r="C29" i="2" l="1"/>
  <c r="C82" i="6"/>
  <c r="C59" i="2"/>
  <c r="C11" i="10"/>
  <c r="P73" i="14"/>
  <c r="Q73" i="14"/>
  <c r="O74" i="14"/>
  <c r="F72" i="15" s="1"/>
  <c r="R75" i="14"/>
  <c r="C60" i="2" l="1"/>
  <c r="C28" i="10"/>
  <c r="C30" i="2"/>
  <c r="C99" i="6"/>
  <c r="O75" i="14"/>
  <c r="F73" i="15" s="1"/>
  <c r="R76" i="14"/>
  <c r="P74" i="14"/>
  <c r="Q74" i="14"/>
  <c r="C31" i="2" l="1"/>
  <c r="C12" i="7"/>
  <c r="C61" i="2"/>
  <c r="C46" i="10"/>
  <c r="P75" i="14"/>
  <c r="Q75" i="14"/>
  <c r="O76" i="14"/>
  <c r="F74" i="15" s="1"/>
  <c r="R77" i="14"/>
  <c r="C64" i="10" l="1"/>
  <c r="C62" i="2"/>
  <c r="C32" i="2"/>
  <c r="C30" i="7"/>
  <c r="O77" i="14"/>
  <c r="F75" i="15" s="1"/>
  <c r="R78" i="14"/>
  <c r="P76" i="14"/>
  <c r="Q76" i="14"/>
  <c r="C33" i="2" l="1"/>
  <c r="C48" i="7"/>
  <c r="C63" i="2"/>
  <c r="C81" i="10"/>
  <c r="P77" i="14"/>
  <c r="Q77" i="14"/>
  <c r="R79" i="14"/>
  <c r="O78" i="14"/>
  <c r="F76" i="15" s="1"/>
  <c r="C64" i="2" l="1"/>
  <c r="C99" i="10"/>
  <c r="C34" i="2"/>
  <c r="C65" i="7"/>
  <c r="P78" i="14"/>
  <c r="Q78" i="14"/>
  <c r="R80" i="14"/>
  <c r="O80" i="14" s="1"/>
  <c r="F78" i="15" s="1"/>
  <c r="O79" i="14"/>
  <c r="F77" i="15" s="1"/>
  <c r="C35" i="2" l="1"/>
  <c r="C99" i="7" s="1"/>
  <c r="C82" i="7"/>
  <c r="C65" i="2"/>
  <c r="C116" i="10"/>
  <c r="Q79" i="14"/>
  <c r="P79" i="14"/>
  <c r="Q80" i="14"/>
  <c r="P80" i="14"/>
  <c r="O81" i="14"/>
  <c r="C66" i="2" l="1"/>
  <c r="C133" i="10"/>
  <c r="P81" i="14"/>
  <c r="Q81" i="14"/>
  <c r="N81" i="2"/>
  <c r="O33" i="2"/>
  <c r="O81" i="2" s="1"/>
  <c r="C67" i="2" l="1"/>
  <c r="C11" i="11"/>
  <c r="P33" i="2"/>
  <c r="P81" i="2" s="1"/>
  <c r="F31" i="15"/>
  <c r="Q33" i="2"/>
  <c r="Q81" i="2" s="1"/>
  <c r="G70" i="7"/>
  <c r="C68" i="2" l="1"/>
  <c r="C29" i="11"/>
  <c r="C46" i="11" l="1"/>
  <c r="C69" i="2"/>
  <c r="C70" i="2" l="1"/>
  <c r="C62" i="11"/>
  <c r="C71" i="2" l="1"/>
  <c r="C79" i="11"/>
  <c r="C72" i="2" l="1"/>
  <c r="C96" i="11"/>
  <c r="C73" i="2" l="1"/>
  <c r="C10" i="12"/>
  <c r="C26" i="12" l="1"/>
  <c r="C74" i="2"/>
  <c r="C75" i="2" l="1"/>
  <c r="C42" i="12"/>
  <c r="C76" i="2" l="1"/>
  <c r="C60" i="12"/>
  <c r="C77" i="2" l="1"/>
  <c r="C78" i="12"/>
  <c r="C78" i="2" l="1"/>
  <c r="C95" i="12"/>
  <c r="C112" i="12" l="1"/>
  <c r="C79" i="2"/>
  <c r="C80" i="2" l="1"/>
  <c r="C147" i="12" s="1"/>
  <c r="C129" i="12"/>
</calcChain>
</file>

<file path=xl/sharedStrings.xml><?xml version="1.0" encoding="utf-8"?>
<sst xmlns="http://schemas.openxmlformats.org/spreadsheetml/2006/main" count="1505" uniqueCount="310">
  <si>
    <t>LIQUIDACION DE EXPENSAS</t>
  </si>
  <si>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</si>
  <si>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</si>
  <si>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</si>
  <si>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</si>
  <si>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</si>
  <si>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</si>
  <si>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</si>
  <si>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</si>
  <si>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</si>
  <si>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</si>
  <si>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</si>
  <si>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</si>
  <si>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</si>
  <si>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</si>
  <si>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</si>
  <si>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</si>
  <si>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</si>
  <si>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</si>
  <si>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</si>
  <si>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</si>
  <si>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</si>
  <si>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</si>
  <si>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</si>
  <si>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</si>
  <si>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</si>
  <si>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</si>
  <si>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</si>
  <si>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Ingresos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</si>
  <si>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</si>
  <si>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</si>
  <si>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</si>
  <si>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</si>
  <si>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</si>
  <si>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</si>
  <si>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</si>
  <si>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RESUMEN CAJA</t>
  </si>
  <si>
    <t>Saldo final</t>
  </si>
  <si>
    <t xml:space="preserve">TOTAL </t>
  </si>
  <si>
    <t>APORTES Y CONTRIBUCIONES</t>
  </si>
  <si>
    <t>GASTOS GENERALES / MANTENIMIENTO</t>
  </si>
  <si>
    <t>ABONOS Y SERVICIOS</t>
  </si>
  <si>
    <t>AYSA</t>
  </si>
  <si>
    <t>Seracarh</t>
  </si>
  <si>
    <t>Fatheryh</t>
  </si>
  <si>
    <t>HONORARIOS</t>
  </si>
  <si>
    <t xml:space="preserve">Gustavo Padron </t>
  </si>
  <si>
    <t>PERÍODO: ABRIL</t>
  </si>
  <si>
    <t xml:space="preserve">A.F.I.P </t>
  </si>
  <si>
    <t>Telecentro</t>
  </si>
  <si>
    <t xml:space="preserve">EDESUR </t>
  </si>
  <si>
    <t>METROGAS</t>
  </si>
  <si>
    <t>EDESUR PORTERIA</t>
  </si>
  <si>
    <t>GASTOS EXTRAORDINARIOS UNIDADES FUNCIONALES:</t>
  </si>
  <si>
    <t>PREVISION ORDINARIA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</si>
  <si>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</si>
  <si>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</si>
  <si>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</si>
  <si>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</si>
  <si>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</si>
  <si>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</si>
  <si>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</si>
  <si>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Interes</t>
  </si>
  <si>
    <t>TULA CARLOS
(2)</t>
  </si>
  <si>
    <t>PICO HEBE</t>
  </si>
  <si>
    <t>RAMOS ROSA</t>
  </si>
  <si>
    <t>PIRES NABAIS</t>
  </si>
  <si>
    <t>BIDABE LOMO</t>
  </si>
  <si>
    <t>VASTA NANCY</t>
  </si>
  <si>
    <t>TRAVERSA</t>
  </si>
  <si>
    <t>BARONE 
GERARDO</t>
  </si>
  <si>
    <t>MONGIELLO 
CARLOS (2)</t>
  </si>
  <si>
    <t>COMBRE 
ALFREDO</t>
  </si>
  <si>
    <t>PRGICH 
FEDERICO</t>
  </si>
  <si>
    <t>SRUGO 
DAMIAN</t>
  </si>
  <si>
    <t>ZELANSNY 
SILVIA</t>
  </si>
  <si>
    <t>MASIMO 
HUGO</t>
  </si>
  <si>
    <t>COSTA 
MONICA</t>
  </si>
  <si>
    <t>LOPEZ 
GUILLERMON</t>
  </si>
  <si>
    <t>MARTINEZ 
ADELINA</t>
  </si>
  <si>
    <t>QUIROGA 
ALBA</t>
  </si>
  <si>
    <t>MADAR 
MARIANA</t>
  </si>
  <si>
    <t>SANABRIA 
MARIO</t>
  </si>
  <si>
    <t xml:space="preserve">PEROTTI </t>
  </si>
  <si>
    <t>GOITEA 
ANTONIO</t>
  </si>
  <si>
    <t>SICILIANO 
GRACIELA (2)</t>
  </si>
  <si>
    <t>SANCHEZ 
NELIDA</t>
  </si>
  <si>
    <t>TABOADA 
MARIA (2)</t>
  </si>
  <si>
    <t>BEDOYA 
BEATRIZ</t>
  </si>
  <si>
    <t xml:space="preserve">RIZOLI VICTOR </t>
  </si>
  <si>
    <t>MUÑOZ 
HERNAN</t>
  </si>
  <si>
    <t>BAFFONI 
FABIAN</t>
  </si>
  <si>
    <t>TESTA IRENE</t>
  </si>
  <si>
    <t>JUCHNO IRENE</t>
  </si>
  <si>
    <t>RIPA NELLY</t>
  </si>
  <si>
    <t>SORIA GODOY</t>
  </si>
  <si>
    <t>ROCA MARISA</t>
  </si>
  <si>
    <t>TINEO</t>
  </si>
  <si>
    <t>GARCIA JORGE</t>
  </si>
  <si>
    <t>ROSSI NORMA</t>
  </si>
  <si>
    <t>ABDALA (1)</t>
  </si>
  <si>
    <t>EHGATNER
ANA</t>
  </si>
  <si>
    <t>GUARINO</t>
  </si>
  <si>
    <t>BRAU HECTOR</t>
  </si>
  <si>
    <t>VERMINETTI</t>
  </si>
  <si>
    <t>RIQUELME</t>
  </si>
  <si>
    <t>DE GRACIA</t>
  </si>
  <si>
    <t>LAUMAN JOSE</t>
  </si>
  <si>
    <t>PAQUET DE 
LOPEZ</t>
  </si>
  <si>
    <t>BLANCO 
MABEL</t>
  </si>
  <si>
    <t>QUIROGA 
ENRIQUE</t>
  </si>
  <si>
    <t>ALVAREZ 
VERONICA (2)</t>
  </si>
  <si>
    <t>ROJAS 
CARMEN</t>
  </si>
  <si>
    <t>URIZAR 
LUQUES</t>
  </si>
  <si>
    <t>D´ALOIA 
GABRIELA (2)</t>
  </si>
  <si>
    <t>MIÑO 
GRACIELA (2)</t>
  </si>
  <si>
    <t>CATALANO 
CLAUDIA</t>
  </si>
  <si>
    <t>MAZZEO 
CECILIA</t>
  </si>
  <si>
    <t>MIGLIORISI 
ANDREA</t>
  </si>
  <si>
    <t>DEL RIO 
GUSTAVO</t>
  </si>
  <si>
    <t>MENDIBURU 
JORGE</t>
  </si>
  <si>
    <t>DEBENEDETTI 
C</t>
  </si>
  <si>
    <t>GALLUCCI 
CARMELA</t>
  </si>
  <si>
    <t>MARQUEZ 
VERONICA</t>
  </si>
  <si>
    <t>ZERBA 
MARCELO</t>
  </si>
  <si>
    <t>ZIMERMANN 
LEON (2)</t>
  </si>
  <si>
    <t>RODRIGUEZ 
NESTOR</t>
  </si>
  <si>
    <t>EMA ALVAREZ</t>
  </si>
  <si>
    <t>MARENZI 
MARIA</t>
  </si>
  <si>
    <t>DI SERA 
VANESA</t>
  </si>
  <si>
    <t>GUASTAVINO 
ELSA</t>
  </si>
  <si>
    <t>RODRIGUEZ 
CARLOS</t>
  </si>
  <si>
    <t>FERNANDEZ MONICA (EN JUICIO)</t>
  </si>
  <si>
    <t>DE PAVIK 
ANGELA</t>
  </si>
  <si>
    <t>CONSORCIO DE PROPIETARIOS DEL EDIFICIO CALLE LORIA 185</t>
  </si>
  <si>
    <t>TELEFONO: 11 5320-2676</t>
  </si>
  <si>
    <t>Inquilinos</t>
  </si>
  <si>
    <t>Pago por</t>
  </si>
  <si>
    <t>Formas de Pago:</t>
  </si>
  <si>
    <t>Efectivo</t>
  </si>
  <si>
    <t>CUIT DEL EDIFICIO: 30-57464592-8</t>
  </si>
  <si>
    <t>CUIT ADMINISTRACION: 27231256879</t>
  </si>
  <si>
    <t>CBU: 0720740420000001577204</t>
  </si>
  <si>
    <t>HORARIOS DE ATENCION: LUNES A VIERNES</t>
  </si>
  <si>
    <t>10 A 16HS - EMERGENCIAS 24HS</t>
  </si>
  <si>
    <t>MAIL: consorcioloria185@gmail.com</t>
  </si>
  <si>
    <t>Deuda o Saldo a favor</t>
  </si>
  <si>
    <t>PB B</t>
  </si>
  <si>
    <t>PB C</t>
  </si>
  <si>
    <t>PB D</t>
  </si>
  <si>
    <t>PB E</t>
  </si>
  <si>
    <t>1-A</t>
  </si>
  <si>
    <t>1-B</t>
  </si>
  <si>
    <t>1-C</t>
  </si>
  <si>
    <t>1-D</t>
  </si>
  <si>
    <t>1-E</t>
  </si>
  <si>
    <t>2-A</t>
  </si>
  <si>
    <t>2-B</t>
  </si>
  <si>
    <t>2-C</t>
  </si>
  <si>
    <t>2-D</t>
  </si>
  <si>
    <t>2-E</t>
  </si>
  <si>
    <t>3-A</t>
  </si>
  <si>
    <t>3-B</t>
  </si>
  <si>
    <t>3-C</t>
  </si>
  <si>
    <t>3-D</t>
  </si>
  <si>
    <t>3-E</t>
  </si>
  <si>
    <t>4-A</t>
  </si>
  <si>
    <t>4-B</t>
  </si>
  <si>
    <t>4-C</t>
  </si>
  <si>
    <t>4-D</t>
  </si>
  <si>
    <t>4-E</t>
  </si>
  <si>
    <t>5-A</t>
  </si>
  <si>
    <t>5-B</t>
  </si>
  <si>
    <t>5-C</t>
  </si>
  <si>
    <t>5-D</t>
  </si>
  <si>
    <t>5-E</t>
  </si>
  <si>
    <t>6-A</t>
  </si>
  <si>
    <t>6-B</t>
  </si>
  <si>
    <t>6-C</t>
  </si>
  <si>
    <t>6-D</t>
  </si>
  <si>
    <t>6-E</t>
  </si>
  <si>
    <t>7-A</t>
  </si>
  <si>
    <t>7-B</t>
  </si>
  <si>
    <t>7-C</t>
  </si>
  <si>
    <t>7-D</t>
  </si>
  <si>
    <t>7-E</t>
  </si>
  <si>
    <t>8-A</t>
  </si>
  <si>
    <t>8-B</t>
  </si>
  <si>
    <t>8-C</t>
  </si>
  <si>
    <t>8-D</t>
  </si>
  <si>
    <t>8-E</t>
  </si>
  <si>
    <t>9-A</t>
  </si>
  <si>
    <t>9-B</t>
  </si>
  <si>
    <t>9-C</t>
  </si>
  <si>
    <t>9-D</t>
  </si>
  <si>
    <t>9-E</t>
  </si>
  <si>
    <t>10-A</t>
  </si>
  <si>
    <t>10-B</t>
  </si>
  <si>
    <t>10-C</t>
  </si>
  <si>
    <t>10-D</t>
  </si>
  <si>
    <t>10-E</t>
  </si>
  <si>
    <t>11-A</t>
  </si>
  <si>
    <t>11-B</t>
  </si>
  <si>
    <t>11-C</t>
  </si>
  <si>
    <t>11-D</t>
  </si>
  <si>
    <t>11-E</t>
  </si>
  <si>
    <t>12-A</t>
  </si>
  <si>
    <t>12-B</t>
  </si>
  <si>
    <t>12-C</t>
  </si>
  <si>
    <t>12-D</t>
  </si>
  <si>
    <t>12-E</t>
  </si>
  <si>
    <t>13-A</t>
  </si>
  <si>
    <t>13-B</t>
  </si>
  <si>
    <t>13-C</t>
  </si>
  <si>
    <t>13-D</t>
  </si>
  <si>
    <t>13-E</t>
  </si>
  <si>
    <t>14-A</t>
  </si>
  <si>
    <t>14-B</t>
  </si>
  <si>
    <t>14-C</t>
  </si>
  <si>
    <t>14-D</t>
  </si>
  <si>
    <t>14-E</t>
  </si>
  <si>
    <t>HONORARIOS administracion RC</t>
  </si>
  <si>
    <t xml:space="preserve">SEGUROS </t>
  </si>
  <si>
    <t>Servi Rod ascensores</t>
  </si>
  <si>
    <t>HOREN 
KRASNOBRODA</t>
  </si>
  <si>
    <t>AGNESE 
PEDRO</t>
  </si>
  <si>
    <t>CABAÑAS MARIA 
SOLEDAD</t>
  </si>
  <si>
    <t>DEPOSITOS NO IDENTIFICADOS</t>
  </si>
  <si>
    <t>RESUMEN</t>
  </si>
  <si>
    <t>COMISION POR CUENTA</t>
  </si>
  <si>
    <t>Cuenta corriente Nro. 740-015772/0    Santander</t>
  </si>
  <si>
    <t>UF:</t>
  </si>
  <si>
    <t>Nombre y apellido:</t>
  </si>
  <si>
    <t>RECIBO DE EXPENSAS</t>
  </si>
  <si>
    <t>Total recibido:</t>
  </si>
  <si>
    <t>Dpto:</t>
  </si>
  <si>
    <t>Metodo de pago: Transferencia</t>
  </si>
  <si>
    <t>Sello o firma autoriada:</t>
  </si>
  <si>
    <t>Adminstradora: Carolina Canciani</t>
  </si>
  <si>
    <t>CUIT DEL EDIFICIO: 30-57461192-8</t>
  </si>
  <si>
    <t>CUIT DEL EDIFICIO: 14-57461192-8</t>
  </si>
  <si>
    <t>CUIT DEL EDIFICIO: 14-57466192-8</t>
  </si>
  <si>
    <t>HABERES ENCARGADOS</t>
  </si>
  <si>
    <t xml:space="preserve">Retenciones </t>
  </si>
  <si>
    <t>Neto</t>
  </si>
  <si>
    <t>Redondeo</t>
  </si>
  <si>
    <t>Retenciones</t>
  </si>
  <si>
    <t>Total 2do Vto</t>
  </si>
  <si>
    <t>Total 1er Vto</t>
  </si>
  <si>
    <t>Gastos part.</t>
  </si>
  <si>
    <t>ADMINISTRADORA: CAROLINA CANCIANI MP:1148</t>
  </si>
  <si>
    <t>La Holando seguro colectivo - Poliza 595009.8</t>
  </si>
  <si>
    <t>Mercantil Andina - Poliza nro 001167435</t>
  </si>
  <si>
    <t>GASTOS EXTRAORDINARIOS CON PREVISION:</t>
  </si>
  <si>
    <t>Suther</t>
  </si>
  <si>
    <t>Expensas extraord</t>
  </si>
  <si>
    <t>TOTAL EXPENSAS (ESTRAORDINARIAS + ORDINARIAS)</t>
  </si>
  <si>
    <t>Gastos extraordinarios:</t>
  </si>
  <si>
    <t>Saldo Ord</t>
  </si>
  <si>
    <t>Saldo Extraord</t>
  </si>
  <si>
    <t xml:space="preserve">Deposito sin identificar </t>
  </si>
  <si>
    <t>Formas de Pago: Cuenta corriente Nro. 740-015772/0    Santander</t>
  </si>
  <si>
    <t>Ingreso Ordinarias</t>
  </si>
  <si>
    <t>Ingreso Extraordinarias</t>
  </si>
  <si>
    <t xml:space="preserve">Fumigacion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</si>
  <si>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</si>
  <si>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EL MES QUE VIENE HAY QUE LICUAR UNA DEUDA DE AFIP</t>
  </si>
  <si>
    <t xml:space="preserve">Claudio Sosa Periodo </t>
  </si>
  <si>
    <t xml:space="preserve">Cabaña Julian Periodo </t>
  </si>
  <si>
    <t>EHGATNER 
ANA</t>
  </si>
  <si>
    <t>Periodo ENERO</t>
  </si>
  <si>
    <t>Gastos Extraordinarios:</t>
  </si>
  <si>
    <t>PERÍODO: FEBRERO</t>
  </si>
  <si>
    <t>MES DE FEBRERO</t>
  </si>
  <si>
    <t>Sindicatos mes de FEBRERO</t>
  </si>
  <si>
    <t>Periodo FEBRERO</t>
  </si>
  <si>
    <t xml:space="preserve">ART DE LIMPIEZA - FEBRERO </t>
  </si>
  <si>
    <t>Fotocopias - Periodo FEBRERO</t>
  </si>
  <si>
    <t>VTO 13/03</t>
  </si>
  <si>
    <t>Efectivo 5/2</t>
  </si>
  <si>
    <t>Debito 13/02</t>
  </si>
  <si>
    <t>Transf 10/2</t>
  </si>
  <si>
    <t>Pago 10/2</t>
  </si>
  <si>
    <t>Casa Ruan - Articulos de electricidad</t>
  </si>
  <si>
    <t>Tecmo destapaciones - 6A</t>
  </si>
  <si>
    <t>PMC 14/2</t>
  </si>
  <si>
    <t>NO LLEGO FACTURA</t>
  </si>
  <si>
    <t>GRP Energia servicio tecnico - service, cambio de valvulas, reparacion cargador de flote - cuota 1 de 2</t>
  </si>
  <si>
    <t>Servisur emergencia 5A - 8/2 -  se desconecta circuito eletcrico por humedad en pared</t>
  </si>
  <si>
    <t>Transf 11/2</t>
  </si>
  <si>
    <t xml:space="preserve">Servisur - cambio de luces de emergencia, colocacion de termica y disyuntor </t>
  </si>
  <si>
    <t xml:space="preserve">Servisur reemplazo timer hall de entrada </t>
  </si>
  <si>
    <t xml:space="preserve">Casa Ruan compra timer </t>
  </si>
  <si>
    <t>Transf 14/02</t>
  </si>
  <si>
    <t>Servisur - cambio de cable que abastece de electricidad al automatico del tanque superior, reconexion en el piso 9, reconexion del 5A</t>
  </si>
  <si>
    <t>Transf 2/03</t>
  </si>
  <si>
    <t>Casa Ruan compra de cable para trabajo realizado en tanques</t>
  </si>
  <si>
    <t>Transf 02/03</t>
  </si>
  <si>
    <t>SUBIDOS EN dic 2024</t>
  </si>
  <si>
    <t>Fernando Parra - trabajo realizado dias 8,10,11,12,13,14,15 y 17 de Febrero - sellados de grietas montante, aperturas de paredes, desconexion del 10A, etc</t>
  </si>
  <si>
    <t>Transf 19/02</t>
  </si>
  <si>
    <t>Transf 17/2</t>
  </si>
  <si>
    <t>Ferreteria Beta - compra de mensulas, masilla y flexibles</t>
  </si>
  <si>
    <t>Fernando Parra - mano de obra reconexion 5A</t>
  </si>
  <si>
    <t>Transf 23/02</t>
  </si>
  <si>
    <t>Debito 05/02</t>
  </si>
  <si>
    <t>Efectivo 26/02</t>
  </si>
  <si>
    <t>Tranferencia del 13/02 no identificada -Carlo De Egro Fabian</t>
  </si>
  <si>
    <t>12/02 Transferencia UQMS Sociedad Anonima no identificada</t>
  </si>
  <si>
    <t>Debito 6/02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</si>
</sst>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5">
    <xf numFmtId="0" fontId="0" fillId="0" borderId="0" xfId="0"/>
    <xf numFmtId="0" fontId="0" fillId="0" borderId="16" xfId="0" applyBorder="1"/>
    <xf numFmtId="0" fontId="0" fillId="0" borderId="17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0" fontId="5" fillId="6" borderId="0" xfId="0" applyFont="1" applyFill="1"/>
    <xf numFmtId="166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6" fontId="0" fillId="0" borderId="0" xfId="0" applyNumberFormat="1"/>
    <xf numFmtId="0" fontId="0" fillId="7" borderId="1" xfId="0" applyFill="1" applyBorder="1"/>
    <xf numFmtId="0" fontId="7" fillId="0" borderId="1" xfId="0" applyFont="1" applyBorder="1"/>
    <xf numFmtId="0" fontId="2" fillId="4" borderId="1" xfId="0" applyFont="1" applyFill="1" applyBorder="1"/>
    <xf numFmtId="0" fontId="0" fillId="4" borderId="1" xfId="0" applyFill="1" applyBorder="1"/>
    <xf numFmtId="164" fontId="8" fillId="4" borderId="6" xfId="0" applyNumberFormat="1" applyFont="1" applyFill="1" applyBorder="1"/>
    <xf numFmtId="43" fontId="0" fillId="3" borderId="0" xfId="3" applyFont="1" applyFill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0" fillId="6" borderId="1" xfId="0" applyFont="1" applyFill="1" applyBorder="1"/>
    <xf numFmtId="0" fontId="12" fillId="4" borderId="1" xfId="0" applyFont="1" applyFill="1" applyBorder="1"/>
    <xf numFmtId="0" fontId="8" fillId="4" borderId="1" xfId="0" applyFont="1" applyFill="1" applyBorder="1"/>
    <xf numFmtId="0" fontId="13" fillId="4" borderId="1" xfId="0" applyFont="1" applyFill="1" applyBorder="1"/>
    <xf numFmtId="164" fontId="12" fillId="4" borderId="1" xfId="0" applyNumberFormat="1" applyFont="1" applyFill="1" applyBorder="1"/>
    <xf numFmtId="165" fontId="8" fillId="4" borderId="1" xfId="1" applyFont="1" applyFill="1" applyBorder="1"/>
    <xf numFmtId="165" fontId="0" fillId="0" borderId="1" xfId="1" applyFont="1" applyBorder="1"/>
    <xf numFmtId="165" fontId="4" fillId="0" borderId="1" xfId="1" applyFont="1" applyBorder="1"/>
    <xf numFmtId="165" fontId="8" fillId="4" borderId="6" xfId="1" applyFont="1" applyFill="1" applyBorder="1"/>
    <xf numFmtId="165" fontId="4" fillId="4" borderId="1" xfId="1" applyFont="1" applyFill="1" applyBorder="1"/>
    <xf numFmtId="165" fontId="4" fillId="4" borderId="6" xfId="1" applyFont="1" applyFill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6" fillId="2" borderId="1" xfId="1" applyFont="1" applyFill="1" applyBorder="1"/>
    <xf numFmtId="165" fontId="3" fillId="2" borderId="1" xfId="1" applyFont="1" applyFill="1" applyBorder="1"/>
    <xf numFmtId="165" fontId="0" fillId="0" borderId="0" xfId="1" applyFont="1"/>
    <xf numFmtId="165" fontId="3" fillId="0" borderId="0" xfId="1" applyFont="1"/>
    <xf numFmtId="0" fontId="9" fillId="2" borderId="0" xfId="0" applyFont="1" applyFill="1"/>
    <xf numFmtId="165" fontId="0" fillId="0" borderId="0" xfId="0" applyNumberFormat="1"/>
    <xf numFmtId="0" fontId="10" fillId="6" borderId="0" xfId="0" applyFont="1" applyFill="1"/>
    <xf numFmtId="165" fontId="10" fillId="6" borderId="0" xfId="1" applyFont="1" applyFill="1"/>
    <xf numFmtId="165" fontId="0" fillId="0" borderId="0" xfId="0" applyNumberFormat="1" applyAlignment="1">
      <alignment wrapText="1"/>
    </xf>
    <xf numFmtId="165" fontId="15" fillId="2" borderId="1" xfId="1" applyFont="1" applyFill="1" applyBorder="1"/>
    <xf numFmtId="165" fontId="16" fillId="0" borderId="1" xfId="1" applyFont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165" fontId="17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3" fillId="0" borderId="1" xfId="0" applyFont="1" applyBorder="1"/>
    <xf numFmtId="16" fontId="3" fillId="0" borderId="1" xfId="0" applyNumberFormat="1" applyFont="1" applyBorder="1"/>
    <xf numFmtId="14" fontId="0" fillId="0" borderId="1" xfId="0" applyNumberFormat="1" applyBorder="1"/>
    <xf numFmtId="165" fontId="0" fillId="3" borderId="0" xfId="1" applyFont="1" applyFill="1" applyAlignment="1"/>
    <xf numFmtId="165" fontId="0" fillId="3" borderId="8" xfId="1" applyFont="1" applyFill="1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6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6" xfId="0" applyBorder="1"/>
    <xf numFmtId="0" fontId="0" fillId="0" borderId="27" xfId="0" applyBorder="1"/>
    <xf numFmtId="0" fontId="0" fillId="0" borderId="31" xfId="0" applyBorder="1"/>
    <xf numFmtId="0" fontId="0" fillId="0" borderId="12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21" fillId="12" borderId="1" xfId="0" applyFont="1" applyFill="1" applyBorder="1"/>
    <xf numFmtId="164" fontId="22" fillId="12" borderId="6" xfId="0" applyNumberFormat="1" applyFont="1" applyFill="1" applyBorder="1"/>
    <xf numFmtId="0" fontId="0" fillId="0" borderId="6" xfId="0" applyBorder="1"/>
    <xf numFmtId="16" fontId="0" fillId="0" borderId="29" xfId="0" applyNumberFormat="1" applyBorder="1" applyAlignment="1">
      <alignment vertical="center" wrapText="1"/>
    </xf>
    <xf numFmtId="165" fontId="0" fillId="4" borderId="0" xfId="1" applyFont="1" applyFill="1"/>
    <xf numFmtId="165" fontId="0" fillId="3" borderId="0" xfId="1" applyFont="1" applyFill="1" applyBorder="1" applyAlignment="1">
      <alignment vertical="center"/>
    </xf>
    <xf numFmtId="0" fontId="18" fillId="3" borderId="20" xfId="0" applyFont="1" applyFill="1" applyBorder="1" applyAlignment="1">
      <alignment horizontal="center" vertical="center" wrapText="1"/>
    </xf>
    <xf numFmtId="167" fontId="17" fillId="4" borderId="13" xfId="0" applyNumberFormat="1" applyFont="1" applyFill="1" applyBorder="1"/>
    <xf numFmtId="0" fontId="18" fillId="3" borderId="18" xfId="0" applyFont="1" applyFill="1" applyBorder="1" applyAlignment="1">
      <alignment horizontal="center" vertical="center" wrapText="1"/>
    </xf>
    <xf numFmtId="0" fontId="17" fillId="2" borderId="1" xfId="0" applyFont="1" applyFill="1" applyBorder="1"/>
    <xf numFmtId="0" fontId="17" fillId="0" borderId="1" xfId="0" applyFont="1" applyBorder="1"/>
    <xf numFmtId="0" fontId="17" fillId="0" borderId="1" xfId="0" applyFont="1" applyBorder="1" applyAlignment="1">
      <alignment wrapText="1"/>
    </xf>
    <xf numFmtId="0" fontId="17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wrapText="1"/>
    </xf>
    <xf numFmtId="0" fontId="2" fillId="4" borderId="1" xfId="0" applyFont="1" applyFill="1" applyBorder="1" applyAlignment="1">
      <alignment wrapText="1"/>
    </xf>
    <xf numFmtId="165" fontId="11" fillId="4" borderId="1" xfId="1" applyFont="1" applyFill="1" applyBorder="1"/>
    <xf numFmtId="165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7" fillId="0" borderId="1" xfId="0" applyFont="1" applyBorder="1" applyAlignment="1">
      <alignment horizontal="center"/>
    </xf>
    <xf numFmtId="165" fontId="23" fillId="0" borderId="1" xfId="1" applyFont="1" applyBorder="1"/>
    <xf numFmtId="165" fontId="23" fillId="2" borderId="1" xfId="1" applyFont="1" applyFill="1" applyBorder="1"/>
    <xf numFmtId="167" fontId="23" fillId="2" borderId="1" xfId="1" applyNumberFormat="1" applyFont="1" applyFill="1" applyBorder="1"/>
    <xf numFmtId="167" fontId="17" fillId="0" borderId="1" xfId="0" applyNumberFormat="1" applyFont="1" applyBorder="1"/>
    <xf numFmtId="165" fontId="17" fillId="0" borderId="1" xfId="1" applyFont="1" applyBorder="1"/>
    <xf numFmtId="167" fontId="17" fillId="0" borderId="1" xfId="1" applyNumberFormat="1" applyFont="1" applyBorder="1"/>
    <xf numFmtId="165" fontId="17" fillId="0" borderId="6" xfId="1" applyFont="1" applyBorder="1"/>
    <xf numFmtId="165" fontId="23" fillId="0" borderId="36" xfId="1" applyFont="1" applyBorder="1"/>
    <xf numFmtId="165" fontId="23" fillId="0" borderId="6" xfId="1" applyFont="1" applyBorder="1"/>
    <xf numFmtId="165" fontId="23" fillId="0" borderId="40" xfId="1" applyFont="1" applyBorder="1"/>
    <xf numFmtId="165" fontId="24" fillId="0" borderId="1" xfId="1" applyFont="1" applyBorder="1"/>
    <xf numFmtId="167" fontId="24" fillId="2" borderId="1" xfId="1" applyNumberFormat="1" applyFont="1" applyFill="1" applyBorder="1"/>
    <xf numFmtId="167" fontId="24" fillId="0" borderId="1" xfId="0" applyNumberFormat="1" applyFont="1" applyBorder="1"/>
    <xf numFmtId="167" fontId="24" fillId="0" borderId="1" xfId="1" applyNumberFormat="1" applyFont="1" applyBorder="1"/>
    <xf numFmtId="165" fontId="24" fillId="0" borderId="6" xfId="1" applyFont="1" applyBorder="1"/>
    <xf numFmtId="0" fontId="17" fillId="2" borderId="1" xfId="0" applyFont="1" applyFill="1" applyBorder="1" applyAlignment="1">
      <alignment wrapText="1"/>
    </xf>
    <xf numFmtId="2" fontId="17" fillId="2" borderId="1" xfId="0" applyNumberFormat="1" applyFont="1" applyFill="1" applyBorder="1" applyAlignment="1">
      <alignment horizontal="center"/>
    </xf>
    <xf numFmtId="0" fontId="17" fillId="0" borderId="7" xfId="0" applyFont="1" applyBorder="1"/>
    <xf numFmtId="0" fontId="17" fillId="0" borderId="23" xfId="0" applyFont="1" applyBorder="1"/>
    <xf numFmtId="0" fontId="17" fillId="2" borderId="2" xfId="0" applyFont="1" applyFill="1" applyBorder="1"/>
    <xf numFmtId="2" fontId="17" fillId="2" borderId="2" xfId="0" applyNumberFormat="1" applyFont="1" applyFill="1" applyBorder="1" applyAlignment="1">
      <alignment horizontal="center"/>
    </xf>
    <xf numFmtId="165" fontId="23" fillId="0" borderId="2" xfId="1" applyFont="1" applyBorder="1"/>
    <xf numFmtId="165" fontId="23" fillId="2" borderId="2" xfId="1" applyFont="1" applyFill="1" applyBorder="1"/>
    <xf numFmtId="167" fontId="23" fillId="2" borderId="2" xfId="1" applyNumberFormat="1" applyFont="1" applyFill="1" applyBorder="1"/>
    <xf numFmtId="167" fontId="17" fillId="0" borderId="2" xfId="0" applyNumberFormat="1" applyFont="1" applyBorder="1"/>
    <xf numFmtId="167" fontId="17" fillId="0" borderId="2" xfId="1" applyNumberFormat="1" applyFont="1" applyBorder="1"/>
    <xf numFmtId="165" fontId="17" fillId="0" borderId="35" xfId="1" applyFont="1" applyBorder="1"/>
    <xf numFmtId="0" fontId="17" fillId="0" borderId="2" xfId="0" applyFont="1" applyBorder="1" applyAlignment="1">
      <alignment wrapText="1"/>
    </xf>
    <xf numFmtId="0" fontId="17" fillId="2" borderId="18" xfId="0" applyFont="1" applyFill="1" applyBorder="1"/>
    <xf numFmtId="0" fontId="17" fillId="0" borderId="2" xfId="0" applyFont="1" applyBorder="1"/>
    <xf numFmtId="165" fontId="23" fillId="0" borderId="37" xfId="1" applyFont="1" applyBorder="1"/>
    <xf numFmtId="165" fontId="23" fillId="0" borderId="39" xfId="1" applyFont="1" applyBorder="1"/>
    <xf numFmtId="165" fontId="23" fillId="0" borderId="41" xfId="1" applyFont="1" applyBorder="1"/>
    <xf numFmtId="0" fontId="17" fillId="10" borderId="21" xfId="0" applyFont="1" applyFill="1" applyBorder="1"/>
    <xf numFmtId="0" fontId="17" fillId="4" borderId="38" xfId="0" applyFont="1" applyFill="1" applyBorder="1"/>
    <xf numFmtId="0" fontId="17" fillId="4" borderId="13" xfId="0" applyFont="1" applyFill="1" applyBorder="1"/>
    <xf numFmtId="0" fontId="17" fillId="4" borderId="13" xfId="0" applyFont="1" applyFill="1" applyBorder="1" applyAlignment="1">
      <alignment horizontal="center"/>
    </xf>
    <xf numFmtId="165" fontId="17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6" fillId="7" borderId="9" xfId="0" applyFont="1" applyFill="1" applyBorder="1"/>
    <xf numFmtId="165" fontId="6" fillId="7" borderId="11" xfId="0" applyNumberFormat="1" applyFont="1" applyFill="1" applyBorder="1"/>
    <xf numFmtId="167" fontId="17" fillId="2" borderId="1" xfId="0" applyNumberFormat="1" applyFont="1" applyFill="1" applyBorder="1"/>
    <xf numFmtId="0" fontId="4" fillId="0" borderId="1" xfId="0" applyFont="1" applyBorder="1"/>
    <xf numFmtId="0" fontId="4" fillId="12" borderId="1" xfId="0" applyFont="1" applyFill="1" applyBorder="1"/>
    <xf numFmtId="164" fontId="11" fillId="4" borderId="21" xfId="1" applyNumberFormat="1" applyFont="1" applyFill="1" applyBorder="1"/>
    <xf numFmtId="165" fontId="25" fillId="4" borderId="3" xfId="1" applyFont="1" applyFill="1" applyBorder="1"/>
    <xf numFmtId="165" fontId="26" fillId="0" borderId="3" xfId="1" applyFont="1" applyBorder="1"/>
    <xf numFmtId="164" fontId="11" fillId="4" borderId="13" xfId="1" applyNumberFormat="1" applyFont="1" applyFill="1" applyBorder="1"/>
    <xf numFmtId="165" fontId="11" fillId="4" borderId="21" xfId="1" applyFont="1" applyFill="1" applyBorder="1"/>
    <xf numFmtId="165" fontId="26" fillId="4" borderId="3" xfId="1" applyFont="1" applyFill="1" applyBorder="1"/>
    <xf numFmtId="0" fontId="26" fillId="0" borderId="1" xfId="1" applyNumberFormat="1" applyFont="1" applyBorder="1" applyAlignment="1">
      <alignment horizontal="left"/>
    </xf>
    <xf numFmtId="165" fontId="26" fillId="0" borderId="1" xfId="1" applyFont="1" applyBorder="1"/>
    <xf numFmtId="165" fontId="11" fillId="4" borderId="13" xfId="1" applyFont="1" applyFill="1" applyBorder="1"/>
    <xf numFmtId="167" fontId="17" fillId="0" borderId="6" xfId="1" applyNumberFormat="1" applyFont="1" applyBorder="1"/>
    <xf numFmtId="0" fontId="17" fillId="0" borderId="6" xfId="0" applyFont="1" applyBorder="1" applyAlignment="1">
      <alignment horizontal="center"/>
    </xf>
    <xf numFmtId="2" fontId="17" fillId="2" borderId="6" xfId="0" applyNumberFormat="1" applyFont="1" applyFill="1" applyBorder="1" applyAlignment="1">
      <alignment horizontal="center"/>
    </xf>
    <xf numFmtId="2" fontId="17" fillId="2" borderId="35" xfId="0" applyNumberFormat="1" applyFont="1" applyFill="1" applyBorder="1" applyAlignment="1">
      <alignment horizontal="center"/>
    </xf>
    <xf numFmtId="0" fontId="17" fillId="4" borderId="9" xfId="0" applyFont="1" applyFill="1" applyBorder="1" applyAlignment="1">
      <alignment horizontal="center"/>
    </xf>
    <xf numFmtId="165" fontId="0" fillId="0" borderId="3" xfId="0" applyNumberFormat="1" applyBorder="1"/>
    <xf numFmtId="165" fontId="4" fillId="2" borderId="6" xfId="1" applyFont="1" applyFill="1" applyBorder="1"/>
    <xf numFmtId="0" fontId="0" fillId="0" borderId="29" xfId="0" applyBorder="1" applyAlignment="1">
      <alignment horizontal="left" vertical="center" wrapText="1"/>
    </xf>
    <xf numFmtId="0" fontId="26" fillId="2" borderId="1" xfId="1" applyNumberFormat="1" applyFont="1" applyFill="1" applyBorder="1" applyAlignment="1">
      <alignment horizontal="left"/>
    </xf>
    <xf numFmtId="165" fontId="26" fillId="2" borderId="1" xfId="1" applyFont="1" applyFill="1" applyBorder="1"/>
    <xf numFmtId="165" fontId="11" fillId="4" borderId="2" xfId="1" applyFont="1" applyFill="1" applyBorder="1"/>
    <xf numFmtId="165" fontId="26" fillId="2" borderId="3" xfId="1" applyFont="1" applyFill="1" applyBorder="1"/>
    <xf numFmtId="164" fontId="8" fillId="4" borderId="22" xfId="0" applyNumberFormat="1" applyFont="1" applyFill="1" applyBorder="1"/>
    <xf numFmtId="0" fontId="26" fillId="0" borderId="4" xfId="0" applyFont="1" applyBorder="1"/>
    <xf numFmtId="0" fontId="8" fillId="8" borderId="6" xfId="0" applyFont="1" applyFill="1" applyBorder="1"/>
    <xf numFmtId="165" fontId="11" fillId="8" borderId="13" xfId="1" applyFont="1" applyFill="1" applyBorder="1"/>
    <xf numFmtId="0" fontId="4" fillId="0" borderId="0" xfId="0" applyFont="1"/>
    <xf numFmtId="0" fontId="26" fillId="0" borderId="17" xfId="0" applyFont="1" applyBorder="1"/>
    <xf numFmtId="0" fontId="8" fillId="5" borderId="10" xfId="0" applyFont="1" applyFill="1" applyBorder="1"/>
    <xf numFmtId="165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0" fillId="0" borderId="0" xfId="1" applyFont="1" applyBorder="1"/>
    <xf numFmtId="167" fontId="23" fillId="2" borderId="6" xfId="1" applyNumberFormat="1" applyFont="1" applyFill="1" applyBorder="1"/>
    <xf numFmtId="0" fontId="0" fillId="0" borderId="6" xfId="0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165" fontId="10" fillId="6" borderId="0" xfId="0" applyNumberFormat="1" applyFont="1" applyFill="1"/>
    <xf numFmtId="165" fontId="4" fillId="2" borderId="1" xfId="1" applyFont="1" applyFill="1" applyBorder="1"/>
    <xf numFmtId="165" fontId="3" fillId="0" borderId="1" xfId="1" applyFont="1" applyBorder="1" applyAlignment="1">
      <alignment vertical="center" wrapText="1"/>
    </xf>
    <xf numFmtId="165" fontId="26" fillId="2" borderId="1" xfId="1" applyFont="1" applyFill="1" applyBorder="1" applyAlignment="1">
      <alignment wrapText="1"/>
    </xf>
    <xf numFmtId="0" fontId="0" fillId="9" borderId="0" xfId="0" applyFill="1"/>
    <xf numFmtId="0" fontId="0" fillId="2" borderId="6" xfId="0" applyFill="1" applyBorder="1"/>
    <xf numFmtId="0" fontId="18" fillId="0" borderId="1" xfId="1" applyNumberFormat="1" applyFont="1" applyBorder="1"/>
    <xf numFmtId="0" fontId="18" fillId="2" borderId="1" xfId="1" applyNumberFormat="1" applyFont="1" applyFill="1" applyBorder="1"/>
    <xf numFmtId="0" fontId="0" fillId="2" borderId="6" xfId="0" applyFill="1" applyBorder="1" applyAlignment="1">
      <alignment horizontal="left" vertical="center" wrapText="1"/>
    </xf>
    <xf numFmtId="0" fontId="0" fillId="2" borderId="29" xfId="0" applyFill="1" applyBorder="1" applyAlignment="1">
      <alignment horizontal="left" vertical="center" wrapText="1"/>
    </xf>
    <xf numFmtId="16" fontId="0" fillId="2" borderId="29" xfId="0" applyNumberFormat="1" applyFill="1" applyBorder="1" applyAlignment="1">
      <alignment vertical="center" wrapText="1"/>
    </xf>
    <xf numFmtId="164" fontId="4" fillId="2" borderId="6" xfId="0" applyNumberFormat="1" applyFont="1" applyFill="1" applyBorder="1"/>
    <xf numFmtId="0" fontId="26" fillId="2" borderId="1" xfId="0" applyFont="1" applyFill="1" applyBorder="1"/>
    <xf numFmtId="0" fontId="26" fillId="2" borderId="1" xfId="1" applyNumberFormat="1" applyFont="1" applyFill="1" applyBorder="1" applyAlignment="1"/>
    <xf numFmtId="0" fontId="26" fillId="2" borderId="2" xfId="1" applyNumberFormat="1" applyFont="1" applyFill="1" applyBorder="1" applyAlignment="1"/>
    <xf numFmtId="165" fontId="8" fillId="0" borderId="1" xfId="1" applyFont="1" applyBorder="1"/>
    <xf numFmtId="164" fontId="4" fillId="2" borderId="1" xfId="0" applyNumberFormat="1" applyFont="1" applyFill="1" applyBorder="1"/>
    <xf numFmtId="164" fontId="22" fillId="12" borderId="1" xfId="0" applyNumberFormat="1" applyFont="1" applyFill="1" applyBorder="1"/>
    <xf numFmtId="165" fontId="4" fillId="2" borderId="1" xfId="1" applyFont="1" applyFill="1" applyBorder="1" applyAlignment="1">
      <alignment wrapText="1"/>
    </xf>
    <xf numFmtId="165" fontId="4" fillId="2" borderId="1" xfId="1" applyFont="1" applyFill="1" applyBorder="1" applyAlignment="1"/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164" fontId="0" fillId="0" borderId="1" xfId="0" applyNumberFormat="1" applyBorder="1"/>
    <xf numFmtId="165" fontId="28" fillId="8" borderId="1" xfId="1" applyFont="1" applyFill="1" applyBorder="1" applyAlignment="1">
      <alignment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9" fillId="7" borderId="0" xfId="0" applyFont="1" applyFill="1" applyAlignment="1">
      <alignment horizontal="center" vertical="center" wrapText="1"/>
    </xf>
    <xf numFmtId="0" fontId="20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10" fillId="6" borderId="0" xfId="0" applyFont="1" applyFill="1" applyAlignment="1">
      <alignment horizontal="center" vertical="center"/>
    </xf>
    <xf numFmtId="0" fontId="27" fillId="2" borderId="6" xfId="0" applyFont="1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0" fillId="0" borderId="6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0" fillId="2" borderId="6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18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left"/>
    </xf>
    <xf numFmtId="0" fontId="0" fillId="0" borderId="8" xfId="0" applyBorder="1" applyAlignment="1">
      <alignment horizontal="left"/>
    </xf>
    <xf numFmtId="165" fontId="0" fillId="0" borderId="9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0" fillId="11" borderId="9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10" fillId="11" borderId="11" xfId="0" applyFont="1" applyFill="1" applyBorder="1" applyAlignment="1">
      <alignment horizontal="center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104775</xdr:rowOff>
    </xdr:from>
    <xdr:to>
      <xdr:col>0</xdr:col>
      <xdr:colOff>2228850</xdr:colOff>
      <xdr:row>3</xdr:row>
      <xdr:rowOff>361950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04775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"/>
  <sheetViews>
    <sheetView topLeftCell="A137" workbookViewId="0">
      <selection activeCell="E146" sqref="A1:E146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140625" customWidth="1"/>
    <col min="6" max="6" width="14.5703125" bestFit="1" customWidth="1"/>
    <col min="7" max="8" width="13.140625" bestFit="1" customWidth="1"/>
    <col min="11" max="11" width="18" customWidth="1"/>
    <col min="12" max="12" width="18.28515625" customWidth="1"/>
  </cols>
  <sheetData>
    <row r="1" spans="1:5" ht="15.75" thickBot="1" x14ac:dyDescent="0.3">
      <c r="A1" s="7"/>
      <c r="B1" s="36"/>
      <c r="C1" s="7"/>
      <c r="D1" s="7"/>
      <c r="E1" s="7"/>
    </row>
    <row r="2" spans="1:5" x14ac:dyDescent="0.25">
      <c r="A2" s="16"/>
      <c r="B2" s="112" t="s">
        <v>145</v>
      </c>
      <c r="C2" s="112"/>
      <c r="D2" s="112"/>
      <c r="E2" s="113"/>
    </row>
    <row r="3" spans="1:5" x14ac:dyDescent="0.25">
      <c r="A3" s="17"/>
      <c r="B3" s="114" t="s">
        <v>141</v>
      </c>
      <c r="C3" s="114"/>
      <c r="D3" s="114"/>
      <c r="E3" s="115"/>
    </row>
    <row r="4" spans="1:5" ht="32.25" customHeight="1" thickBot="1" x14ac:dyDescent="0.3">
      <c r="A4" s="17"/>
      <c r="B4" s="157" t="s">
        <v>142</v>
      </c>
      <c r="C4" s="114"/>
      <c r="D4" s="156" t="s">
        <v>135</v>
      </c>
      <c r="E4" s="115"/>
    </row>
    <row r="5" spans="1:5" ht="15.75" thickBot="1" x14ac:dyDescent="0.3">
      <c r="A5" s="20" t="s">
        <v>0</v>
      </c>
      <c r="B5" s="155" t="s">
        <v>250</v>
      </c>
      <c r="C5" s="21"/>
      <c r="D5" s="21"/>
      <c r="E5" s="22"/>
    </row>
    <row r="6" spans="1:5" ht="15.75" thickBot="1" x14ac:dyDescent="0.3">
      <c r="A6" s="17" t="s">
        <v>140</v>
      </c>
      <c r="B6" s="21" t="s">
        <v>272</v>
      </c>
      <c r="C6" s="18"/>
      <c r="D6" s="114" t="s">
        <v>143</v>
      </c>
      <c r="E6" s="19"/>
    </row>
    <row r="7" spans="1:5" ht="15.75" thickBot="1" x14ac:dyDescent="0.3">
      <c r="A7" s="20" t="s">
        <v>134</v>
      </c>
      <c r="B7" s="21"/>
      <c r="C7" s="21"/>
      <c r="D7" s="21" t="s">
        <v>144</v>
      </c>
      <c r="E7" s="22"/>
    </row>
    <row r="9" spans="1:5" x14ac:dyDescent="0.25">
      <c r="B9" s="226" t="s">
        <v>278</v>
      </c>
      <c r="C9" s="226"/>
    </row>
    <row r="10" spans="1:5" x14ac:dyDescent="0.25">
      <c r="B10" s="226"/>
      <c r="C10" s="226"/>
    </row>
    <row r="11" spans="1:5" x14ac:dyDescent="0.25">
      <c r="B11" s="226"/>
      <c r="C11" s="226"/>
    </row>
    <row r="13" spans="1:5" hidden="1" x14ac:dyDescent="0.25"/>
    <row r="14" spans="1:5" ht="15" customHeight="1" x14ac:dyDescent="0.25">
      <c r="A14" s="225" t="s">
        <v>265</v>
      </c>
      <c r="B14" s="225"/>
      <c r="C14" s="225"/>
      <c r="D14" s="225"/>
      <c r="E14" s="225"/>
    </row>
    <row r="15" spans="1:5" ht="15" customHeight="1" x14ac:dyDescent="0.25">
      <c r="A15" s="225"/>
      <c r="B15" s="225"/>
      <c r="C15" s="225"/>
      <c r="D15" s="225"/>
      <c r="E15" s="225"/>
    </row>
    <row r="16" spans="1:5" ht="15" customHeight="1" x14ac:dyDescent="0.25">
      <c r="A16" s="225"/>
      <c r="B16" s="225"/>
      <c r="C16" s="225"/>
      <c r="D16" s="225"/>
      <c r="E16" s="225"/>
    </row>
    <row r="17" spans="1:8" ht="53.25" customHeight="1" x14ac:dyDescent="0.25">
      <c r="A17" s="225"/>
      <c r="B17" s="225"/>
      <c r="C17" s="225"/>
      <c r="D17" s="225"/>
      <c r="E17" s="225"/>
    </row>
    <row r="18" spans="1:8" ht="14.25" customHeight="1" thickBot="1" x14ac:dyDescent="0.3"/>
    <row r="19" spans="1:8" hidden="1" x14ac:dyDescent="0.25">
      <c r="A19" s="3"/>
    </row>
    <row r="20" spans="1:8" ht="15.75" hidden="1" thickBot="1" x14ac:dyDescent="0.3"/>
    <row r="21" spans="1:8" x14ac:dyDescent="0.25">
      <c r="A21" s="12" t="s">
        <v>27</v>
      </c>
      <c r="B21" s="13"/>
      <c r="C21" s="14"/>
      <c r="D21" s="10"/>
      <c r="E21" s="15"/>
    </row>
    <row r="22" spans="1:8" x14ac:dyDescent="0.25">
      <c r="A22" s="44" t="s">
        <v>242</v>
      </c>
      <c r="B22" s="44"/>
      <c r="C22" s="44"/>
      <c r="D22" s="42"/>
      <c r="E22" s="42"/>
    </row>
    <row r="23" spans="1:8" ht="14.25" customHeight="1" x14ac:dyDescent="0.25">
      <c r="A23" s="6" t="s">
        <v>267</v>
      </c>
      <c r="B23" s="6"/>
      <c r="C23" s="6"/>
      <c r="D23" s="214">
        <v>872997.6</v>
      </c>
      <c r="E23" s="161"/>
    </row>
    <row r="24" spans="1:8" x14ac:dyDescent="0.25">
      <c r="A24" s="6" t="s">
        <v>243</v>
      </c>
      <c r="B24" s="6"/>
      <c r="C24" s="6"/>
      <c r="D24" s="214">
        <v>-216066.92</v>
      </c>
      <c r="E24" s="161"/>
    </row>
    <row r="25" spans="1:8" x14ac:dyDescent="0.25">
      <c r="A25" s="6" t="s">
        <v>245</v>
      </c>
      <c r="B25" s="6"/>
      <c r="C25" s="6"/>
      <c r="D25" s="214">
        <v>0.32</v>
      </c>
      <c r="E25" s="161"/>
      <c r="H25" s="23"/>
    </row>
    <row r="26" spans="1:8" ht="0.75" customHeight="1" x14ac:dyDescent="0.25">
      <c r="A26" s="6"/>
      <c r="B26" s="6"/>
      <c r="C26" s="6"/>
      <c r="D26" s="214"/>
      <c r="E26" s="161"/>
      <c r="H26" s="23"/>
    </row>
    <row r="27" spans="1:8" hidden="1" x14ac:dyDescent="0.25">
      <c r="A27" s="6"/>
      <c r="B27" s="6"/>
      <c r="C27" s="6"/>
      <c r="D27" s="214"/>
      <c r="E27" s="161"/>
      <c r="H27" s="6"/>
    </row>
    <row r="28" spans="1:8" hidden="1" x14ac:dyDescent="0.25">
      <c r="A28" s="6"/>
      <c r="B28" s="6"/>
      <c r="C28" s="6"/>
      <c r="D28" s="214"/>
      <c r="E28" s="161"/>
      <c r="H28" s="6"/>
    </row>
    <row r="29" spans="1:8" x14ac:dyDescent="0.25">
      <c r="A29" s="94" t="s">
        <v>244</v>
      </c>
      <c r="B29" s="94"/>
      <c r="C29" s="94"/>
      <c r="D29" s="215">
        <f>SUM(D23:D28)</f>
        <v>656930.99999999988</v>
      </c>
      <c r="E29" s="162"/>
      <c r="H29" s="221"/>
    </row>
    <row r="30" spans="1:8" x14ac:dyDescent="0.25">
      <c r="A30" s="6" t="s">
        <v>268</v>
      </c>
      <c r="B30" s="6"/>
      <c r="C30" s="6"/>
      <c r="D30" s="214">
        <v>675086.75</v>
      </c>
      <c r="E30" s="161"/>
      <c r="H30" s="221"/>
    </row>
    <row r="31" spans="1:8" hidden="1" x14ac:dyDescent="0.25">
      <c r="A31" s="32"/>
      <c r="B31" s="6"/>
      <c r="C31" s="6"/>
      <c r="D31" s="214"/>
      <c r="E31" s="161"/>
      <c r="H31" s="6"/>
    </row>
    <row r="32" spans="1:8" hidden="1" x14ac:dyDescent="0.25">
      <c r="A32" s="6"/>
      <c r="B32" s="6"/>
      <c r="C32" s="6"/>
      <c r="D32" s="214"/>
      <c r="E32" s="161"/>
      <c r="H32" s="6"/>
    </row>
    <row r="33" spans="1:8" x14ac:dyDescent="0.25">
      <c r="A33" s="6" t="s">
        <v>246</v>
      </c>
      <c r="B33" s="6"/>
      <c r="C33" s="6"/>
      <c r="D33" s="209">
        <v>-167083.97</v>
      </c>
      <c r="E33" s="161"/>
      <c r="H33" s="23"/>
    </row>
    <row r="34" spans="1:8" x14ac:dyDescent="0.25">
      <c r="A34" s="6" t="s">
        <v>245</v>
      </c>
      <c r="B34" s="6"/>
      <c r="C34" s="6"/>
      <c r="D34" s="209">
        <v>0.22</v>
      </c>
      <c r="E34" s="161"/>
      <c r="H34" s="23"/>
    </row>
    <row r="35" spans="1:8" hidden="1" x14ac:dyDescent="0.25">
      <c r="A35" s="6"/>
      <c r="B35" s="6"/>
      <c r="C35" s="6"/>
      <c r="D35" s="209"/>
      <c r="E35" s="161"/>
      <c r="H35" s="23">
        <f>D35+D36+D37</f>
        <v>0</v>
      </c>
    </row>
    <row r="36" spans="1:8" hidden="1" x14ac:dyDescent="0.25">
      <c r="A36" s="6"/>
      <c r="B36" s="6"/>
      <c r="C36" s="6"/>
      <c r="D36" s="209"/>
      <c r="E36" s="161"/>
    </row>
    <row r="37" spans="1:8" hidden="1" x14ac:dyDescent="0.25">
      <c r="A37" s="6"/>
      <c r="B37" s="6"/>
      <c r="C37" s="6"/>
      <c r="D37" s="209"/>
      <c r="E37" s="161"/>
    </row>
    <row r="38" spans="1:8" x14ac:dyDescent="0.25">
      <c r="A38" s="94" t="s">
        <v>244</v>
      </c>
      <c r="B38" s="94"/>
      <c r="C38" s="94"/>
      <c r="D38" s="95">
        <f>SUM(D30:D37)</f>
        <v>508003</v>
      </c>
      <c r="E38" s="162"/>
    </row>
    <row r="39" spans="1:8" ht="14.25" customHeight="1" thickBot="1" x14ac:dyDescent="0.3">
      <c r="A39" s="33" t="s">
        <v>1</v>
      </c>
      <c r="B39" s="33"/>
      <c r="C39" s="33"/>
      <c r="D39" s="35"/>
      <c r="E39" s="163">
        <f>D29+D38</f>
        <v>1164934</v>
      </c>
      <c r="F39" s="23"/>
      <c r="G39" s="23"/>
    </row>
    <row r="40" spans="1:8" x14ac:dyDescent="0.25">
      <c r="A40" s="44" t="s">
        <v>45</v>
      </c>
      <c r="B40" s="44"/>
      <c r="C40" s="44"/>
      <c r="D40" s="45"/>
      <c r="E40" s="164"/>
      <c r="G40" s="23"/>
    </row>
    <row r="41" spans="1:8" ht="28.5" customHeight="1" x14ac:dyDescent="0.25">
      <c r="A41" s="107" t="s">
        <v>46</v>
      </c>
      <c r="B41" s="6" t="s">
        <v>273</v>
      </c>
      <c r="C41" s="6"/>
      <c r="D41" s="214">
        <v>50000</v>
      </c>
      <c r="E41" s="165"/>
      <c r="H41" s="23"/>
    </row>
    <row r="42" spans="1:8" ht="15.75" thickBot="1" x14ac:dyDescent="0.3">
      <c r="A42" s="6" t="s">
        <v>221</v>
      </c>
      <c r="B42" s="6" t="s">
        <v>273</v>
      </c>
      <c r="C42" s="6"/>
      <c r="D42" s="214">
        <v>349599.31</v>
      </c>
      <c r="E42" s="165"/>
      <c r="H42" t="s">
        <v>298</v>
      </c>
    </row>
    <row r="43" spans="1:8" ht="15.75" thickBot="1" x14ac:dyDescent="0.3">
      <c r="A43" s="33" t="s">
        <v>38</v>
      </c>
      <c r="B43" s="33"/>
      <c r="C43" s="33"/>
      <c r="D43" s="49"/>
      <c r="E43" s="166">
        <f>SUM(D41:D42)</f>
        <v>399599.31</v>
      </c>
    </row>
    <row r="44" spans="1:8" x14ac:dyDescent="0.25">
      <c r="A44" s="42" t="s">
        <v>222</v>
      </c>
      <c r="B44" s="43"/>
      <c r="C44" s="43"/>
      <c r="D44" s="46"/>
      <c r="E44" s="110"/>
    </row>
    <row r="45" spans="1:8" s="53" customFormat="1" ht="29.25" customHeight="1" x14ac:dyDescent="0.25">
      <c r="A45" s="223" t="s">
        <v>251</v>
      </c>
      <c r="B45" s="224"/>
      <c r="C45" s="72"/>
      <c r="D45" s="216">
        <v>3220.27</v>
      </c>
      <c r="E45" s="201" t="str">
        <f>E46</f>
        <v>Debito 6/02</v>
      </c>
    </row>
    <row r="46" spans="1:8" ht="30" customHeight="1" x14ac:dyDescent="0.25">
      <c r="A46" s="223" t="s">
        <v>252</v>
      </c>
      <c r="B46" s="224"/>
      <c r="C46" s="72"/>
      <c r="D46" s="217">
        <v>67361.59</v>
      </c>
      <c r="E46" s="201" t="s">
        <v>309</v>
      </c>
    </row>
    <row r="47" spans="1:8" ht="15.75" thickBot="1" x14ac:dyDescent="0.3">
      <c r="A47" s="33" t="s">
        <v>2</v>
      </c>
      <c r="B47" s="33"/>
      <c r="C47" s="33"/>
      <c r="D47" s="49"/>
      <c r="E47" s="167">
        <f>SUM(D45:D46)</f>
        <v>70581.86</v>
      </c>
    </row>
    <row r="48" spans="1:8" x14ac:dyDescent="0.25">
      <c r="A48" s="44" t="s">
        <v>39</v>
      </c>
      <c r="B48" s="34"/>
      <c r="C48" s="34"/>
      <c r="D48" s="50"/>
      <c r="E48" s="168"/>
    </row>
    <row r="49" spans="1:7" x14ac:dyDescent="0.25">
      <c r="A49" s="6" t="s">
        <v>48</v>
      </c>
      <c r="B49" s="6" t="s">
        <v>270</v>
      </c>
      <c r="C49" s="70"/>
      <c r="D49" s="48">
        <v>634480</v>
      </c>
      <c r="E49" s="210" t="s">
        <v>282</v>
      </c>
      <c r="G49" s="202" t="s">
        <v>266</v>
      </c>
    </row>
    <row r="50" spans="1:7" x14ac:dyDescent="0.25">
      <c r="A50" s="6" t="s">
        <v>274</v>
      </c>
      <c r="B50" s="6" t="s">
        <v>254</v>
      </c>
      <c r="C50" s="6"/>
      <c r="D50" s="199">
        <v>84389</v>
      </c>
      <c r="E50" s="211" t="s">
        <v>280</v>
      </c>
    </row>
    <row r="51" spans="1:7" x14ac:dyDescent="0.25">
      <c r="A51" s="6" t="str">
        <f>A50</f>
        <v>Sindicatos mes de FEBRERO</v>
      </c>
      <c r="B51" s="6" t="s">
        <v>44</v>
      </c>
      <c r="C51" s="6"/>
      <c r="D51" s="199">
        <v>52436.66</v>
      </c>
      <c r="E51" s="211" t="str">
        <f>E50</f>
        <v>Debito 13/02</v>
      </c>
    </row>
    <row r="52" spans="1:7" x14ac:dyDescent="0.25">
      <c r="A52" s="6" t="str">
        <f>A51</f>
        <v>Sindicatos mes de FEBRERO</v>
      </c>
      <c r="B52" s="6" t="s">
        <v>43</v>
      </c>
      <c r="C52" s="6"/>
      <c r="D52" s="199">
        <v>5826.3</v>
      </c>
      <c r="E52" s="212" t="str">
        <f>E51</f>
        <v>Debito 13/02</v>
      </c>
    </row>
    <row r="53" spans="1:7" ht="15" customHeight="1" thickBot="1" x14ac:dyDescent="0.3">
      <c r="A53" s="33" t="s">
        <v>3</v>
      </c>
      <c r="B53" s="34"/>
      <c r="C53" s="34"/>
      <c r="D53" s="51"/>
      <c r="E53" s="167">
        <f>SUM(D49:D52)</f>
        <v>777131.96000000008</v>
      </c>
    </row>
    <row r="54" spans="1:7" x14ac:dyDescent="0.25">
      <c r="A54" s="44" t="s">
        <v>41</v>
      </c>
      <c r="B54" s="34"/>
      <c r="C54" s="34"/>
      <c r="D54" s="50"/>
      <c r="E54" s="168"/>
    </row>
    <row r="55" spans="1:7" ht="14.25" customHeight="1" x14ac:dyDescent="0.25">
      <c r="A55" s="6" t="s">
        <v>42</v>
      </c>
      <c r="B55" s="6" t="s">
        <v>275</v>
      </c>
      <c r="C55" s="6"/>
      <c r="D55" s="199">
        <v>1189255.95</v>
      </c>
      <c r="E55" s="180" t="s">
        <v>285</v>
      </c>
    </row>
    <row r="56" spans="1:7" ht="14.25" customHeight="1" x14ac:dyDescent="0.25">
      <c r="A56" s="6" t="s">
        <v>51</v>
      </c>
      <c r="B56" s="6" t="s">
        <v>275</v>
      </c>
      <c r="C56" s="6"/>
      <c r="D56" s="199">
        <v>7206.55</v>
      </c>
      <c r="E56" s="180" t="s">
        <v>279</v>
      </c>
    </row>
    <row r="57" spans="1:7" x14ac:dyDescent="0.25">
      <c r="A57" s="6" t="s">
        <v>52</v>
      </c>
      <c r="B57" s="6" t="s">
        <v>275</v>
      </c>
      <c r="C57" s="6"/>
      <c r="D57" s="199">
        <v>11894.4</v>
      </c>
      <c r="E57" s="169" t="s">
        <v>281</v>
      </c>
    </row>
    <row r="58" spans="1:7" x14ac:dyDescent="0.25">
      <c r="A58" s="6" t="s">
        <v>50</v>
      </c>
      <c r="B58" s="6" t="str">
        <f>B57</f>
        <v>Periodo FEBRERO</v>
      </c>
      <c r="C58" s="6"/>
      <c r="D58" s="199">
        <v>483825.04</v>
      </c>
      <c r="E58" s="180" t="s">
        <v>305</v>
      </c>
    </row>
    <row r="59" spans="1:7" x14ac:dyDescent="0.25">
      <c r="A59" s="6" t="s">
        <v>49</v>
      </c>
      <c r="B59" s="6" t="str">
        <f t="shared" ref="B59" si="0">B58</f>
        <v>Periodo FEBRERO</v>
      </c>
      <c r="C59" s="6"/>
      <c r="D59" s="199">
        <v>43063.9</v>
      </c>
      <c r="E59" s="180" t="s">
        <v>306</v>
      </c>
    </row>
    <row r="60" spans="1:7" x14ac:dyDescent="0.25">
      <c r="A60" s="6" t="s">
        <v>223</v>
      </c>
      <c r="B60" s="6" t="s">
        <v>286</v>
      </c>
      <c r="C60" s="6"/>
      <c r="D60" s="199">
        <v>0</v>
      </c>
      <c r="E60" s="180"/>
    </row>
    <row r="61" spans="1:7" ht="34.5" customHeight="1" x14ac:dyDescent="0.25">
      <c r="A61" s="223" t="s">
        <v>288</v>
      </c>
      <c r="B61" s="224"/>
      <c r="C61" s="6"/>
      <c r="D61" s="199">
        <v>28000</v>
      </c>
      <c r="E61" s="180" t="s">
        <v>289</v>
      </c>
    </row>
    <row r="62" spans="1:7" ht="37.5" customHeight="1" x14ac:dyDescent="0.25">
      <c r="A62" s="223" t="s">
        <v>290</v>
      </c>
      <c r="B62" s="224"/>
      <c r="C62" s="6"/>
      <c r="D62" s="178">
        <v>320000</v>
      </c>
      <c r="E62" s="170" t="s">
        <v>293</v>
      </c>
    </row>
    <row r="63" spans="1:7" ht="37.5" customHeight="1" x14ac:dyDescent="0.25">
      <c r="A63" s="223" t="s">
        <v>294</v>
      </c>
      <c r="B63" s="224"/>
      <c r="C63" s="6"/>
      <c r="D63" s="178">
        <v>95000</v>
      </c>
      <c r="E63" s="170" t="s">
        <v>295</v>
      </c>
    </row>
    <row r="64" spans="1:7" ht="37.5" customHeight="1" x14ac:dyDescent="0.25">
      <c r="A64" s="218" t="s">
        <v>291</v>
      </c>
      <c r="B64" s="179"/>
      <c r="C64" s="6"/>
      <c r="D64" s="178">
        <v>30000</v>
      </c>
      <c r="E64" s="170" t="s">
        <v>293</v>
      </c>
    </row>
    <row r="65" spans="1:5" x14ac:dyDescent="0.25">
      <c r="A65" s="196" t="s">
        <v>264</v>
      </c>
      <c r="B65" s="179"/>
      <c r="C65" s="6"/>
      <c r="D65" s="178">
        <v>65000</v>
      </c>
      <c r="E65" s="169" t="s">
        <v>281</v>
      </c>
    </row>
    <row r="66" spans="1:5" x14ac:dyDescent="0.25">
      <c r="A66" s="203" t="s">
        <v>283</v>
      </c>
      <c r="B66" s="208"/>
      <c r="C66" s="70"/>
      <c r="D66" s="178">
        <v>222500</v>
      </c>
      <c r="E66" s="169" t="s">
        <v>281</v>
      </c>
    </row>
    <row r="67" spans="1:5" x14ac:dyDescent="0.25">
      <c r="A67" s="96" t="s">
        <v>284</v>
      </c>
      <c r="B67" s="97"/>
      <c r="C67" s="6"/>
      <c r="D67" s="178">
        <v>33000</v>
      </c>
      <c r="E67" s="170" t="s">
        <v>301</v>
      </c>
    </row>
    <row r="68" spans="1:5" ht="46.5" customHeight="1" x14ac:dyDescent="0.25">
      <c r="A68" s="223" t="s">
        <v>299</v>
      </c>
      <c r="B68" s="224"/>
      <c r="C68" s="6"/>
      <c r="D68" s="178">
        <v>334500</v>
      </c>
      <c r="E68" s="170" t="s">
        <v>300</v>
      </c>
    </row>
    <row r="69" spans="1:5" ht="30.75" customHeight="1" x14ac:dyDescent="0.25">
      <c r="A69" s="223" t="s">
        <v>287</v>
      </c>
      <c r="B69" s="224"/>
      <c r="C69" s="6"/>
      <c r="D69" s="178">
        <v>260000</v>
      </c>
      <c r="E69" s="170" t="s">
        <v>139</v>
      </c>
    </row>
    <row r="70" spans="1:5" ht="30.75" customHeight="1" x14ac:dyDescent="0.25">
      <c r="A70" s="223" t="s">
        <v>303</v>
      </c>
      <c r="B70" s="224"/>
      <c r="C70" s="6"/>
      <c r="D70" s="178">
        <v>75000</v>
      </c>
      <c r="E70" s="170" t="s">
        <v>304</v>
      </c>
    </row>
    <row r="71" spans="1:5" ht="30.75" customHeight="1" x14ac:dyDescent="0.25">
      <c r="A71" s="218" t="s">
        <v>302</v>
      </c>
      <c r="B71" s="219"/>
      <c r="C71" s="6"/>
      <c r="D71" s="178">
        <v>28700</v>
      </c>
      <c r="E71" s="170" t="s">
        <v>304</v>
      </c>
    </row>
    <row r="72" spans="1:5" x14ac:dyDescent="0.25">
      <c r="A72" s="228" t="s">
        <v>292</v>
      </c>
      <c r="B72" s="229"/>
      <c r="C72" s="70"/>
      <c r="D72" s="178">
        <v>20000</v>
      </c>
      <c r="E72" s="170" t="s">
        <v>293</v>
      </c>
    </row>
    <row r="73" spans="1:5" x14ac:dyDescent="0.25">
      <c r="A73" s="237" t="s">
        <v>296</v>
      </c>
      <c r="B73" s="238"/>
      <c r="C73" s="6"/>
      <c r="D73" s="178">
        <v>19600</v>
      </c>
      <c r="E73" s="170" t="s">
        <v>297</v>
      </c>
    </row>
    <row r="74" spans="1:5" x14ac:dyDescent="0.25">
      <c r="A74" s="231"/>
      <c r="B74" s="232"/>
      <c r="C74" s="73"/>
      <c r="D74" s="178"/>
      <c r="E74" s="170"/>
    </row>
    <row r="75" spans="1:5" ht="15.75" thickBot="1" x14ac:dyDescent="0.3">
      <c r="A75" s="33" t="s">
        <v>4</v>
      </c>
      <c r="B75" s="33"/>
      <c r="C75" s="33"/>
      <c r="D75" s="49"/>
      <c r="E75" s="167">
        <f>SUM(D55:D74)</f>
        <v>3266545.84</v>
      </c>
    </row>
    <row r="76" spans="1:5" ht="15.75" thickBot="1" x14ac:dyDescent="0.3">
      <c r="A76" s="44" t="s">
        <v>40</v>
      </c>
      <c r="B76" s="33"/>
      <c r="C76" s="33"/>
      <c r="D76" s="49"/>
      <c r="E76" s="171"/>
    </row>
    <row r="77" spans="1:5" x14ac:dyDescent="0.25">
      <c r="A77" s="234"/>
      <c r="B77" s="235"/>
      <c r="C77" s="108"/>
      <c r="D77" s="48"/>
      <c r="E77" s="181"/>
    </row>
    <row r="78" spans="1:5" x14ac:dyDescent="0.25">
      <c r="A78" s="74" t="s">
        <v>276</v>
      </c>
      <c r="B78" s="74"/>
      <c r="C78" s="75"/>
      <c r="D78" s="199">
        <v>171000</v>
      </c>
      <c r="E78" s="205" t="s">
        <v>281</v>
      </c>
    </row>
    <row r="79" spans="1:5" hidden="1" x14ac:dyDescent="0.25">
      <c r="A79" s="74"/>
      <c r="B79" s="74"/>
      <c r="C79" s="75"/>
      <c r="D79" s="199"/>
      <c r="E79" s="205"/>
    </row>
    <row r="80" spans="1:5" x14ac:dyDescent="0.25">
      <c r="A80" s="6" t="s">
        <v>277</v>
      </c>
      <c r="B80" s="6"/>
      <c r="C80" s="6"/>
      <c r="D80" s="199">
        <f>840+280+18240+1640</f>
        <v>21000</v>
      </c>
      <c r="E80" s="204" t="s">
        <v>139</v>
      </c>
    </row>
    <row r="81" spans="1:6" x14ac:dyDescent="0.25">
      <c r="A81" s="70"/>
      <c r="B81" s="6"/>
      <c r="C81" s="6"/>
      <c r="D81" s="48"/>
      <c r="E81" s="204"/>
    </row>
    <row r="82" spans="1:6" x14ac:dyDescent="0.25">
      <c r="A82" s="70"/>
      <c r="B82" s="6"/>
      <c r="C82" s="6"/>
      <c r="D82" s="48"/>
      <c r="E82" s="170"/>
    </row>
    <row r="83" spans="1:6" ht="15.75" thickBot="1" x14ac:dyDescent="0.3">
      <c r="A83" s="33" t="s">
        <v>12</v>
      </c>
      <c r="B83" s="44"/>
      <c r="C83" s="44"/>
      <c r="D83" s="42"/>
      <c r="E83" s="182">
        <f>SUM(D77:D82)</f>
        <v>192000</v>
      </c>
    </row>
    <row r="84" spans="1:6" ht="15.75" thickBot="1" x14ac:dyDescent="0.3">
      <c r="A84" s="44" t="s">
        <v>31</v>
      </c>
      <c r="B84" s="109"/>
      <c r="C84" s="33"/>
      <c r="D84" s="35"/>
      <c r="E84" s="171"/>
    </row>
    <row r="85" spans="1:6" x14ac:dyDescent="0.25">
      <c r="A85" s="6" t="s">
        <v>31</v>
      </c>
      <c r="B85" s="6"/>
      <c r="C85" s="6"/>
      <c r="D85" s="199">
        <f>582+720+151.2+2839.28+1931.28+8453.87+315+66.15+5736.87+21.61+4903.79+15775.7+8738.84+720+151.2+720+151.2+720+151.2+183.69+5984.12+315+66+858.21+1244.33+6680.93+996+2220+7333.54+1647+1014.39+720+151.2+845.23+644.1+1260+622.2+2840+7455+1263.43+1474.77</f>
        <v>98668.329999999987</v>
      </c>
      <c r="E85" s="183"/>
    </row>
    <row r="86" spans="1:6" x14ac:dyDescent="0.25">
      <c r="A86" s="6" t="s">
        <v>229</v>
      </c>
      <c r="B86" s="6"/>
      <c r="C86" s="6"/>
      <c r="D86" s="199">
        <v>35500</v>
      </c>
      <c r="E86" s="181"/>
    </row>
    <row r="87" spans="1:6" ht="15.75" thickBot="1" x14ac:dyDescent="0.3">
      <c r="A87" s="69" t="s">
        <v>38</v>
      </c>
      <c r="B87" s="69"/>
      <c r="C87" s="69"/>
      <c r="D87" s="184"/>
      <c r="E87" s="167">
        <f>SUM(D85:D86)</f>
        <v>134168.32999999999</v>
      </c>
    </row>
    <row r="88" spans="1:6" ht="15.75" thickBot="1" x14ac:dyDescent="0.3">
      <c r="A88" s="6"/>
      <c r="B88" s="6"/>
      <c r="C88" s="6"/>
      <c r="D88" s="161"/>
      <c r="E88" s="185"/>
    </row>
    <row r="89" spans="1:6" ht="15.75" thickBot="1" x14ac:dyDescent="0.3">
      <c r="A89" s="37" t="s">
        <v>54</v>
      </c>
      <c r="B89" s="37"/>
      <c r="C89" s="37"/>
      <c r="D89" s="186"/>
      <c r="E89" s="187">
        <v>1495038.7</v>
      </c>
    </row>
    <row r="90" spans="1:6" ht="15.75" thickBot="1" x14ac:dyDescent="0.3">
      <c r="A90" s="1"/>
      <c r="D90" s="188"/>
      <c r="E90" s="189"/>
      <c r="F90" s="60"/>
    </row>
    <row r="91" spans="1:6" ht="15.75" thickBot="1" x14ac:dyDescent="0.3">
      <c r="A91" s="4" t="s">
        <v>32</v>
      </c>
      <c r="B91" s="11"/>
      <c r="C91" s="5"/>
      <c r="D91" s="190"/>
      <c r="E91" s="191">
        <f>(SUM(E32:E89))</f>
        <v>7500000.0000000009</v>
      </c>
      <c r="F91" s="60"/>
    </row>
    <row r="92" spans="1:6" x14ac:dyDescent="0.25">
      <c r="D92" s="188"/>
      <c r="E92" s="188"/>
    </row>
    <row r="93" spans="1:6" ht="15.75" thickBot="1" x14ac:dyDescent="0.3">
      <c r="D93" s="188"/>
      <c r="E93" s="188"/>
    </row>
    <row r="94" spans="1:6" x14ac:dyDescent="0.25">
      <c r="A94" s="12" t="s">
        <v>53</v>
      </c>
      <c r="B94" s="13"/>
      <c r="C94" s="14"/>
      <c r="D94" s="192"/>
      <c r="E94" s="193"/>
    </row>
    <row r="95" spans="1:6" ht="30" hidden="1" customHeight="1" x14ac:dyDescent="0.25">
      <c r="A95" s="223"/>
      <c r="B95" s="224"/>
      <c r="C95" s="6"/>
      <c r="D95" s="178"/>
      <c r="E95" s="169"/>
    </row>
    <row r="96" spans="1:6" ht="34.5" hidden="1" customHeight="1" x14ac:dyDescent="0.25">
      <c r="A96" s="223"/>
      <c r="B96" s="224"/>
      <c r="C96" s="6"/>
      <c r="D96" s="178"/>
      <c r="E96" s="169"/>
    </row>
    <row r="97" spans="1:5" ht="0.75" customHeight="1" x14ac:dyDescent="0.25">
      <c r="A97" s="236"/>
      <c r="B97" s="232"/>
      <c r="C97" s="6"/>
      <c r="D97" s="178"/>
      <c r="E97" s="169"/>
    </row>
    <row r="98" spans="1:5" ht="30" customHeight="1" x14ac:dyDescent="0.25">
      <c r="A98" s="236"/>
      <c r="B98" s="232"/>
      <c r="C98" s="70"/>
      <c r="D98" s="178"/>
      <c r="E98" s="169"/>
    </row>
    <row r="99" spans="1:5" x14ac:dyDescent="0.25">
      <c r="A99" s="206"/>
      <c r="B99" s="207"/>
      <c r="C99" s="70"/>
      <c r="D99" s="178"/>
      <c r="E99" s="169"/>
    </row>
    <row r="100" spans="1:5" x14ac:dyDescent="0.25">
      <c r="A100" s="67"/>
      <c r="B100" s="66"/>
      <c r="C100" s="66"/>
      <c r="D100" s="98"/>
      <c r="E100" s="98">
        <f>SUM(D95:D99)</f>
        <v>0</v>
      </c>
    </row>
    <row r="101" spans="1:5" ht="15" customHeight="1" x14ac:dyDescent="0.25"/>
    <row r="102" spans="1:5" ht="15.75" hidden="1" thickBot="1" x14ac:dyDescent="0.3"/>
    <row r="103" spans="1:5" x14ac:dyDescent="0.25">
      <c r="A103" s="37" t="s">
        <v>55</v>
      </c>
      <c r="B103" s="37"/>
      <c r="C103" s="37"/>
      <c r="D103" s="38"/>
      <c r="E103" s="222">
        <v>2000000</v>
      </c>
    </row>
    <row r="104" spans="1:5" ht="15.75" thickBot="1" x14ac:dyDescent="0.3"/>
    <row r="105" spans="1:5" ht="15.75" thickBot="1" x14ac:dyDescent="0.3">
      <c r="A105" s="4" t="s">
        <v>56</v>
      </c>
      <c r="B105" s="11"/>
      <c r="C105" s="5"/>
      <c r="D105" s="5"/>
      <c r="E105" s="111">
        <f>E100+E103</f>
        <v>2000000</v>
      </c>
    </row>
    <row r="106" spans="1:5" ht="15.75" thickBot="1" x14ac:dyDescent="0.3"/>
    <row r="107" spans="1:5" ht="15.75" thickBot="1" x14ac:dyDescent="0.3">
      <c r="A107" s="158" t="s">
        <v>33</v>
      </c>
      <c r="B107" s="159">
        <f>E91</f>
        <v>7500000.0000000009</v>
      </c>
      <c r="D107" s="60"/>
    </row>
    <row r="108" spans="1:5" ht="15.75" thickBot="1" x14ac:dyDescent="0.3">
      <c r="A108" s="158" t="s">
        <v>34</v>
      </c>
      <c r="B108" s="159">
        <f>E91-E89</f>
        <v>6004961.3000000007</v>
      </c>
    </row>
    <row r="109" spans="1:5" ht="15.75" thickBot="1" x14ac:dyDescent="0.3">
      <c r="A109" s="158" t="s">
        <v>57</v>
      </c>
      <c r="B109" s="159">
        <f>E105-E103</f>
        <v>0</v>
      </c>
    </row>
    <row r="110" spans="1:5" ht="15.75" thickBot="1" x14ac:dyDescent="0.3">
      <c r="A110" s="158" t="s">
        <v>253</v>
      </c>
      <c r="B110" s="159">
        <f>E105</f>
        <v>2000000</v>
      </c>
    </row>
    <row r="111" spans="1:5" ht="14.25" customHeight="1" x14ac:dyDescent="0.25"/>
    <row r="112" spans="1:5" hidden="1" x14ac:dyDescent="0.25"/>
    <row r="113" spans="1:5" hidden="1" x14ac:dyDescent="0.25">
      <c r="A113" s="233"/>
      <c r="B113" s="233"/>
      <c r="C113" s="233"/>
      <c r="D113" s="233"/>
      <c r="E113" s="233"/>
    </row>
    <row r="114" spans="1:5" hidden="1" x14ac:dyDescent="0.25">
      <c r="A114" s="233"/>
      <c r="B114" s="233"/>
      <c r="C114" s="233"/>
      <c r="D114" s="233"/>
      <c r="E114" s="233"/>
    </row>
    <row r="115" spans="1:5" ht="38.25" hidden="1" customHeight="1" x14ac:dyDescent="0.25">
      <c r="A115" s="233"/>
      <c r="B115" s="233"/>
      <c r="C115" s="233"/>
      <c r="D115" s="233"/>
      <c r="E115" s="233"/>
    </row>
    <row r="117" spans="1:5" x14ac:dyDescent="0.25">
      <c r="A117" s="24" t="s">
        <v>228</v>
      </c>
      <c r="B117" s="55"/>
      <c r="C117" s="25"/>
    </row>
    <row r="118" spans="1:5" ht="25.5" customHeight="1" x14ac:dyDescent="0.25">
      <c r="A118" s="40" t="s">
        <v>35</v>
      </c>
      <c r="B118" s="213">
        <v>752075.62370000221</v>
      </c>
      <c r="C118" s="27"/>
    </row>
    <row r="119" spans="1:5" ht="14.25" customHeight="1" x14ac:dyDescent="0.25">
      <c r="A119" s="26" t="s">
        <v>262</v>
      </c>
      <c r="B119" s="56">
        <f>PRORRATEO!H81</f>
        <v>9062894.1199999992</v>
      </c>
      <c r="C119" s="25"/>
    </row>
    <row r="120" spans="1:5" x14ac:dyDescent="0.25">
      <c r="A120" s="26" t="s">
        <v>263</v>
      </c>
      <c r="B120" s="56">
        <f>'PRORRATEO (2)'!H81</f>
        <v>0</v>
      </c>
      <c r="C120" s="25"/>
    </row>
    <row r="121" spans="1:5" ht="14.25" customHeight="1" x14ac:dyDescent="0.25">
      <c r="A121" s="26" t="s">
        <v>260</v>
      </c>
      <c r="B121" s="181">
        <f>B145</f>
        <v>260039</v>
      </c>
      <c r="C121" s="25"/>
    </row>
    <row r="122" spans="1:5" ht="30" hidden="1" customHeight="1" x14ac:dyDescent="0.25">
      <c r="A122" s="220"/>
      <c r="B122" s="64"/>
      <c r="C122" s="25"/>
    </row>
    <row r="123" spans="1:5" x14ac:dyDescent="0.25">
      <c r="A123" s="54" t="s">
        <v>58</v>
      </c>
      <c r="B123" s="64">
        <f>-B108</f>
        <v>-6004961.3000000007</v>
      </c>
      <c r="C123" s="25"/>
    </row>
    <row r="124" spans="1:5" x14ac:dyDescent="0.25">
      <c r="A124" s="29" t="s">
        <v>59</v>
      </c>
      <c r="B124" s="64">
        <f>-(B109)</f>
        <v>0</v>
      </c>
      <c r="C124" s="25"/>
    </row>
    <row r="125" spans="1:5" x14ac:dyDescent="0.25">
      <c r="A125" s="39" t="s">
        <v>12</v>
      </c>
      <c r="B125" s="213">
        <f>SUM(B118:B124)</f>
        <v>4070047.4437000006</v>
      </c>
      <c r="C125" s="28"/>
    </row>
    <row r="126" spans="1:5" ht="34.5" customHeight="1" x14ac:dyDescent="0.25">
      <c r="B126" s="57"/>
      <c r="C126" s="28"/>
      <c r="D126" s="60"/>
    </row>
    <row r="127" spans="1:5" ht="14.25" hidden="1" customHeight="1" x14ac:dyDescent="0.25">
      <c r="B127" s="58"/>
      <c r="C127" s="28"/>
    </row>
    <row r="128" spans="1:5" s="53" customFormat="1" ht="27" hidden="1" customHeight="1" x14ac:dyDescent="0.25">
      <c r="A128"/>
      <c r="B128" s="57"/>
      <c r="C128" s="52"/>
    </row>
    <row r="129" spans="1:4" s="53" customFormat="1" ht="27" hidden="1" customHeight="1" x14ac:dyDescent="0.25">
      <c r="A129" s="41" t="s">
        <v>36</v>
      </c>
      <c r="B129" s="47"/>
      <c r="C129" s="52"/>
      <c r="D129" s="63"/>
    </row>
    <row r="130" spans="1:4" s="53" customFormat="1" ht="27" hidden="1" customHeight="1" x14ac:dyDescent="0.25">
      <c r="A130" s="6" t="s">
        <v>35</v>
      </c>
      <c r="B130" s="48">
        <v>0</v>
      </c>
      <c r="C130" s="52"/>
    </row>
    <row r="131" spans="1:4" ht="14.25" hidden="1" customHeight="1" x14ac:dyDescent="0.25">
      <c r="A131" s="6" t="s">
        <v>28</v>
      </c>
      <c r="B131" s="47">
        <v>0</v>
      </c>
      <c r="C131" s="28"/>
      <c r="D131" s="60"/>
    </row>
    <row r="132" spans="1:4" hidden="1" x14ac:dyDescent="0.25">
      <c r="A132" s="6" t="s">
        <v>58</v>
      </c>
      <c r="B132" s="47">
        <v>0</v>
      </c>
      <c r="C132" s="28"/>
    </row>
    <row r="133" spans="1:4" hidden="1" x14ac:dyDescent="0.25">
      <c r="A133" s="6" t="s">
        <v>59</v>
      </c>
      <c r="B133" s="47">
        <v>0</v>
      </c>
      <c r="C133" s="30"/>
    </row>
    <row r="134" spans="1:4" hidden="1" x14ac:dyDescent="0.25">
      <c r="A134" s="41" t="s">
        <v>37</v>
      </c>
      <c r="B134" s="65">
        <f>SUM(B130:B133)</f>
        <v>0</v>
      </c>
      <c r="C134" s="25"/>
    </row>
    <row r="135" spans="1:4" hidden="1" x14ac:dyDescent="0.25"/>
    <row r="136" spans="1:4" ht="60.75" hidden="1" customHeight="1" x14ac:dyDescent="0.25"/>
    <row r="137" spans="1:4" x14ac:dyDescent="0.25">
      <c r="A137" s="230" t="s">
        <v>227</v>
      </c>
      <c r="B137" s="230"/>
      <c r="C137" s="230"/>
    </row>
    <row r="138" spans="1:4" ht="27.75" customHeight="1" x14ac:dyDescent="0.25">
      <c r="A138" s="230"/>
      <c r="B138" s="230"/>
      <c r="C138" s="230"/>
    </row>
    <row r="139" spans="1:4" ht="0.75" customHeight="1" x14ac:dyDescent="0.25">
      <c r="A139" s="6"/>
      <c r="B139" s="47"/>
      <c r="C139" s="47">
        <v>11948.17</v>
      </c>
    </row>
    <row r="140" spans="1:4" hidden="1" x14ac:dyDescent="0.25">
      <c r="A140" s="6"/>
      <c r="B140" s="47"/>
      <c r="C140" s="47">
        <v>52000</v>
      </c>
    </row>
    <row r="141" spans="1:4" ht="14.25" hidden="1" customHeight="1" x14ac:dyDescent="0.25">
      <c r="A141" s="76"/>
      <c r="B141" s="47"/>
      <c r="C141" s="47">
        <v>61209</v>
      </c>
    </row>
    <row r="142" spans="1:4" ht="25.5" x14ac:dyDescent="0.25">
      <c r="A142" s="197" t="s">
        <v>308</v>
      </c>
      <c r="B142" s="47">
        <v>100039</v>
      </c>
      <c r="C142" s="47"/>
    </row>
    <row r="143" spans="1:4" ht="29.25" customHeight="1" x14ac:dyDescent="0.25">
      <c r="A143" s="197" t="s">
        <v>307</v>
      </c>
      <c r="B143" s="47">
        <v>144000</v>
      </c>
      <c r="C143" s="47">
        <v>40000</v>
      </c>
    </row>
    <row r="144" spans="1:4" ht="24.75" customHeight="1" x14ac:dyDescent="0.25">
      <c r="A144" s="197" t="s">
        <v>307</v>
      </c>
      <c r="B144" s="200">
        <v>16000</v>
      </c>
      <c r="C144" s="194"/>
    </row>
    <row r="145" spans="1:13" x14ac:dyDescent="0.25">
      <c r="A145" s="61" t="s">
        <v>12</v>
      </c>
      <c r="B145" s="198">
        <f>SUM(B142:B144)</f>
        <v>260039</v>
      </c>
      <c r="C145" s="62"/>
    </row>
    <row r="146" spans="1:13" x14ac:dyDescent="0.25">
      <c r="M146" s="9"/>
    </row>
    <row r="147" spans="1:13" ht="15" customHeight="1" x14ac:dyDescent="0.25">
      <c r="A147" s="227"/>
      <c r="B147" s="227"/>
      <c r="C147" s="227"/>
      <c r="D147" s="227"/>
      <c r="E147" s="227"/>
    </row>
    <row r="148" spans="1:13" x14ac:dyDescent="0.25">
      <c r="A148" s="227"/>
      <c r="B148" s="227"/>
      <c r="C148" s="227"/>
      <c r="D148" s="227"/>
      <c r="E148" s="227"/>
    </row>
    <row r="149" spans="1:13" x14ac:dyDescent="0.25">
      <c r="A149" s="227"/>
      <c r="B149" s="227"/>
      <c r="C149" s="227"/>
      <c r="D149" s="227"/>
      <c r="E149" s="227"/>
    </row>
    <row r="150" spans="1:13" x14ac:dyDescent="0.25">
      <c r="A150" s="227"/>
      <c r="B150" s="227"/>
      <c r="C150" s="227"/>
      <c r="D150" s="227"/>
      <c r="E150" s="227"/>
    </row>
  </sheetData>
  <mergeCells count="21">
    <mergeCell ref="B9:C11"/>
    <mergeCell ref="A45:B45"/>
    <mergeCell ref="A46:B46"/>
    <mergeCell ref="A147:E150"/>
    <mergeCell ref="A68:B68"/>
    <mergeCell ref="A72:B72"/>
    <mergeCell ref="A137:C138"/>
    <mergeCell ref="A74:B74"/>
    <mergeCell ref="A113:E115"/>
    <mergeCell ref="A77:B77"/>
    <mergeCell ref="A62:B62"/>
    <mergeCell ref="A96:B96"/>
    <mergeCell ref="A95:B95"/>
    <mergeCell ref="A97:B97"/>
    <mergeCell ref="A73:B73"/>
    <mergeCell ref="A98:B98"/>
    <mergeCell ref="A69:B69"/>
    <mergeCell ref="A61:B61"/>
    <mergeCell ref="A63:B63"/>
    <mergeCell ref="A70:B70"/>
    <mergeCell ref="A14:E1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9"/>
  <sheetViews>
    <sheetView tabSelected="1" topLeftCell="B13" zoomScaleNormal="100" workbookViewId="0">
      <selection activeCell="G20" sqref="G20:O20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4.28515625" customWidth="1"/>
    <col min="4" max="4" width="18.5703125" customWidth="1"/>
    <col min="5" max="5" width="0.140625" customWidth="1"/>
    <col min="6" max="6" width="5.140625" customWidth="1"/>
    <col min="7" max="7" width="14.140625" customWidth="1"/>
    <col min="8" max="8" width="11.5703125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8.140625" hidden="1" customWidth="1"/>
    <col min="15" max="15" width="14.7109375" customWidth="1"/>
    <col min="16" max="16" width="0.42578125" hidden="1" customWidth="1"/>
    <col min="17" max="17" width="14.28515625" customWidth="1"/>
    <col min="18" max="18" width="7.42578125" hidden="1" customWidth="1"/>
    <col min="19" max="19" width="12" bestFit="1" customWidth="1"/>
    <col min="20" max="20" width="13" bestFit="1" customWidth="1"/>
  </cols>
  <sheetData>
    <row r="1" spans="1:20" ht="12.95" customHeight="1" x14ac:dyDescent="0.25">
      <c r="A1" s="7"/>
      <c r="B1" s="7"/>
      <c r="C1" s="7"/>
      <c r="D1" s="7" t="s">
        <v>138</v>
      </c>
      <c r="E1" s="7"/>
      <c r="F1" s="239" t="s">
        <v>230</v>
      </c>
      <c r="G1" s="239"/>
      <c r="H1" s="239"/>
      <c r="I1" s="239"/>
      <c r="J1" s="239"/>
      <c r="K1" s="239"/>
      <c r="L1" s="239"/>
      <c r="M1" s="239"/>
      <c r="N1" s="239"/>
      <c r="O1" s="239"/>
      <c r="P1" s="7"/>
      <c r="Q1" s="7"/>
    </row>
    <row r="2" spans="1:20" ht="12.95" customHeight="1" x14ac:dyDescent="0.25">
      <c r="A2" s="7"/>
      <c r="B2" s="7"/>
      <c r="C2" s="7"/>
      <c r="D2" s="7" t="str">
        <f>RESUMEN!B4</f>
        <v>CBU: 0720740420000001577204</v>
      </c>
      <c r="E2" s="7"/>
      <c r="F2" s="7"/>
      <c r="G2" s="7"/>
      <c r="H2" s="7"/>
      <c r="I2" s="7"/>
      <c r="J2" s="7"/>
      <c r="K2" s="7"/>
      <c r="L2" s="8" t="s">
        <v>5</v>
      </c>
      <c r="M2" s="7"/>
      <c r="N2" s="7"/>
      <c r="O2" s="77">
        <v>7500000</v>
      </c>
      <c r="P2" s="77"/>
      <c r="Q2" s="77"/>
      <c r="R2" s="23"/>
    </row>
    <row r="3" spans="1:20" ht="12.95" customHeight="1" thickBot="1" x14ac:dyDescent="0.3">
      <c r="A3" s="7"/>
      <c r="B3" s="7"/>
      <c r="C3" s="7"/>
      <c r="D3" s="7" t="s">
        <v>139</v>
      </c>
      <c r="E3" s="7"/>
      <c r="F3" s="7"/>
      <c r="G3" s="7"/>
      <c r="H3" s="7"/>
      <c r="I3" s="7"/>
      <c r="J3" s="7"/>
      <c r="K3" s="7"/>
      <c r="L3" s="8" t="s">
        <v>271</v>
      </c>
      <c r="M3" s="7"/>
      <c r="N3" s="7"/>
      <c r="O3" s="78">
        <v>2000000</v>
      </c>
      <c r="P3" s="78"/>
      <c r="Q3" s="99"/>
    </row>
    <row r="4" spans="1:20" x14ac:dyDescent="0.25">
      <c r="A4" s="254" t="s">
        <v>6</v>
      </c>
      <c r="B4" s="256" t="s">
        <v>7</v>
      </c>
      <c r="C4" s="242" t="s">
        <v>8</v>
      </c>
      <c r="D4" s="242" t="s">
        <v>9</v>
      </c>
      <c r="E4" s="242" t="s">
        <v>136</v>
      </c>
      <c r="F4" s="242" t="s">
        <v>30</v>
      </c>
      <c r="G4" s="242" t="s">
        <v>258</v>
      </c>
      <c r="H4" s="242" t="s">
        <v>10</v>
      </c>
      <c r="I4" s="242" t="s">
        <v>137</v>
      </c>
      <c r="J4" s="246" t="s">
        <v>146</v>
      </c>
      <c r="K4" s="240" t="s">
        <v>62</v>
      </c>
      <c r="L4" s="240" t="s">
        <v>11</v>
      </c>
      <c r="M4" s="240" t="s">
        <v>61</v>
      </c>
      <c r="N4" s="249" t="s">
        <v>249</v>
      </c>
      <c r="O4" s="102" t="s">
        <v>248</v>
      </c>
      <c r="P4" s="244" t="s">
        <v>60</v>
      </c>
      <c r="Q4" s="251" t="s">
        <v>247</v>
      </c>
      <c r="T4" s="60"/>
    </row>
    <row r="5" spans="1:20" ht="15.75" customHeight="1" x14ac:dyDescent="0.25">
      <c r="A5" s="255"/>
      <c r="B5" s="257"/>
      <c r="C5" s="243"/>
      <c r="D5" s="243"/>
      <c r="E5" s="253"/>
      <c r="F5" s="243"/>
      <c r="G5" s="243"/>
      <c r="H5" s="243"/>
      <c r="I5" s="253"/>
      <c r="J5" s="247"/>
      <c r="K5" s="241"/>
      <c r="L5" s="248"/>
      <c r="M5" s="241"/>
      <c r="N5" s="250"/>
      <c r="O5" s="100" t="str">
        <f>RESUMEN!B9</f>
        <v>VTO 13/03</v>
      </c>
      <c r="P5" s="245"/>
      <c r="Q5" s="252"/>
    </row>
    <row r="6" spans="1:20" ht="17.100000000000001" customHeight="1" x14ac:dyDescent="0.25">
      <c r="A6" s="6" t="s">
        <v>13</v>
      </c>
      <c r="B6" s="104" t="s">
        <v>147</v>
      </c>
      <c r="C6" s="104">
        <v>1</v>
      </c>
      <c r="D6" s="104" t="s">
        <v>63</v>
      </c>
      <c r="E6" s="104"/>
      <c r="F6" s="116">
        <v>1.65</v>
      </c>
      <c r="G6" s="117">
        <v>292821.01</v>
      </c>
      <c r="H6" s="118">
        <f>200000</f>
        <v>200000</v>
      </c>
      <c r="I6" s="119"/>
      <c r="J6" s="120">
        <f>G6-H6</f>
        <v>92821.010000000009</v>
      </c>
      <c r="K6" s="120">
        <f>IF(J6&gt;0,J6*3%,0)</f>
        <v>2784.6303000000003</v>
      </c>
      <c r="L6" s="122">
        <f>O$3*F6%</f>
        <v>33000</v>
      </c>
      <c r="M6" s="122">
        <f t="shared" ref="M6:M69" si="0">O$2*F6%</f>
        <v>123750</v>
      </c>
      <c r="N6" s="123">
        <v>0</v>
      </c>
      <c r="O6" s="124">
        <f>ROUND(SUM(J6:N6),0) + R6</f>
        <v>252356.01</v>
      </c>
      <c r="P6" s="125">
        <f>ROUND(O6*6% + O6,0) + R6</f>
        <v>267497.01</v>
      </c>
      <c r="Q6" s="126">
        <f>ROUND(O6*3%,0) + O6</f>
        <v>259927.01</v>
      </c>
      <c r="R6" s="60">
        <v>0.01</v>
      </c>
    </row>
    <row r="7" spans="1:20" ht="17.100000000000001" customHeight="1" x14ac:dyDescent="0.25">
      <c r="A7" s="6" t="s">
        <v>14</v>
      </c>
      <c r="B7" s="104" t="s">
        <v>148</v>
      </c>
      <c r="C7" s="104">
        <f>C6+1</f>
        <v>2</v>
      </c>
      <c r="D7" s="104" t="s">
        <v>72</v>
      </c>
      <c r="E7" s="105"/>
      <c r="F7" s="116">
        <v>1.1599999999999999</v>
      </c>
      <c r="G7" s="117">
        <v>110200.02</v>
      </c>
      <c r="H7" s="118">
        <f>G7</f>
        <v>110200.02</v>
      </c>
      <c r="I7" s="119"/>
      <c r="J7" s="120">
        <f t="shared" ref="J7:J70" si="1">G7-H7</f>
        <v>0</v>
      </c>
      <c r="K7" s="120">
        <f t="shared" ref="K7:K70" si="2">IF(J7&gt;0,J7*3%,0)</f>
        <v>0</v>
      </c>
      <c r="L7" s="122">
        <f t="shared" ref="L7:L70" si="3">O$3*F7%</f>
        <v>23200</v>
      </c>
      <c r="M7" s="122">
        <f t="shared" si="0"/>
        <v>87000</v>
      </c>
      <c r="N7" s="123">
        <v>0</v>
      </c>
      <c r="O7" s="124">
        <f>ROUND(SUM(J7:N7),0) + R7</f>
        <v>110200.02</v>
      </c>
      <c r="P7" s="125">
        <f t="shared" ref="P7:P70" si="4">ROUND(O7*6% + O7,0) + R7</f>
        <v>116812.02</v>
      </c>
      <c r="Q7" s="126">
        <f t="shared" ref="Q7:Q70" si="5">ROUND(O7*3%,0) + O7</f>
        <v>113506.02</v>
      </c>
      <c r="R7" s="60">
        <f>R6+0.01</f>
        <v>0.02</v>
      </c>
      <c r="S7" s="60"/>
    </row>
    <row r="8" spans="1:20" ht="17.100000000000001" customHeight="1" x14ac:dyDescent="0.25">
      <c r="A8" s="6" t="s">
        <v>14</v>
      </c>
      <c r="B8" s="104" t="s">
        <v>149</v>
      </c>
      <c r="C8" s="104">
        <f t="shared" ref="C8:C35" si="6">C7+1</f>
        <v>3</v>
      </c>
      <c r="D8" s="104" t="s">
        <v>73</v>
      </c>
      <c r="E8" s="105"/>
      <c r="F8" s="116">
        <v>1.19</v>
      </c>
      <c r="G8" s="117">
        <v>192314.03</v>
      </c>
      <c r="H8" s="118">
        <v>198083.03</v>
      </c>
      <c r="I8" s="119"/>
      <c r="J8" s="120">
        <f t="shared" si="1"/>
        <v>-5769</v>
      </c>
      <c r="K8" s="120">
        <f t="shared" si="2"/>
        <v>0</v>
      </c>
      <c r="L8" s="122">
        <f t="shared" si="3"/>
        <v>23800</v>
      </c>
      <c r="M8" s="122">
        <f t="shared" si="0"/>
        <v>89250</v>
      </c>
      <c r="N8" s="123">
        <v>0</v>
      </c>
      <c r="O8" s="124">
        <f t="shared" ref="O8:O70" si="7">ROUND(SUM(J8:N8),0) + R8</f>
        <v>107281.03</v>
      </c>
      <c r="P8" s="125">
        <f t="shared" si="4"/>
        <v>113718.03</v>
      </c>
      <c r="Q8" s="126">
        <f t="shared" si="5"/>
        <v>110499.03</v>
      </c>
      <c r="R8" s="60">
        <f t="shared" ref="R8:R71" si="8">R7+0.01</f>
        <v>0.03</v>
      </c>
    </row>
    <row r="9" spans="1:20" ht="17.100000000000001" customHeight="1" x14ac:dyDescent="0.25">
      <c r="A9" s="6" t="s">
        <v>15</v>
      </c>
      <c r="B9" s="104" t="s">
        <v>150</v>
      </c>
      <c r="C9" s="104">
        <f t="shared" si="6"/>
        <v>4</v>
      </c>
      <c r="D9" s="104" t="s">
        <v>74</v>
      </c>
      <c r="E9" s="105"/>
      <c r="F9" s="116">
        <v>1.22</v>
      </c>
      <c r="G9" s="117">
        <v>115900.04</v>
      </c>
      <c r="H9" s="118">
        <f>G9-'PRORRATEO (2)'!H9</f>
        <v>115900.04</v>
      </c>
      <c r="I9" s="119"/>
      <c r="J9" s="120">
        <f t="shared" si="1"/>
        <v>0</v>
      </c>
      <c r="K9" s="120">
        <f t="shared" si="2"/>
        <v>0</v>
      </c>
      <c r="L9" s="122">
        <f t="shared" si="3"/>
        <v>24399.999999999996</v>
      </c>
      <c r="M9" s="122">
        <f t="shared" si="0"/>
        <v>91500</v>
      </c>
      <c r="N9" s="123">
        <v>0</v>
      </c>
      <c r="O9" s="124">
        <f t="shared" si="7"/>
        <v>115900.04</v>
      </c>
      <c r="P9" s="125">
        <f t="shared" si="4"/>
        <v>122854.04</v>
      </c>
      <c r="Q9" s="126">
        <f t="shared" si="5"/>
        <v>119377.04</v>
      </c>
      <c r="R9" s="60">
        <f t="shared" si="8"/>
        <v>0.04</v>
      </c>
      <c r="T9" s="60"/>
    </row>
    <row r="10" spans="1:20" ht="17.100000000000001" customHeight="1" x14ac:dyDescent="0.25">
      <c r="A10" s="6" t="s">
        <v>15</v>
      </c>
      <c r="B10" s="104" t="s">
        <v>151</v>
      </c>
      <c r="C10" s="104">
        <f t="shared" si="6"/>
        <v>5</v>
      </c>
      <c r="D10" s="104" t="s">
        <v>75</v>
      </c>
      <c r="E10" s="105"/>
      <c r="F10" s="116">
        <v>1.67</v>
      </c>
      <c r="G10" s="117">
        <v>158650.04999999999</v>
      </c>
      <c r="H10" s="118">
        <f>108576.05-'PRORRATEO (2)'!H10</f>
        <v>108576.05</v>
      </c>
      <c r="I10" s="119"/>
      <c r="J10" s="120">
        <f t="shared" si="1"/>
        <v>50073.999999999985</v>
      </c>
      <c r="K10" s="120">
        <f t="shared" si="2"/>
        <v>1502.2199999999996</v>
      </c>
      <c r="L10" s="122">
        <f t="shared" si="3"/>
        <v>33400</v>
      </c>
      <c r="M10" s="122">
        <f t="shared" si="0"/>
        <v>125250</v>
      </c>
      <c r="N10" s="123">
        <v>0</v>
      </c>
      <c r="O10" s="124">
        <f t="shared" si="7"/>
        <v>210226.05</v>
      </c>
      <c r="P10" s="125">
        <f t="shared" si="4"/>
        <v>222840.05</v>
      </c>
      <c r="Q10" s="126">
        <f t="shared" si="5"/>
        <v>216533.05</v>
      </c>
      <c r="R10" s="60">
        <f t="shared" si="8"/>
        <v>0.05</v>
      </c>
      <c r="T10" s="60"/>
    </row>
    <row r="11" spans="1:20" ht="17.100000000000001" customHeight="1" x14ac:dyDescent="0.25">
      <c r="A11" s="6" t="s">
        <v>16</v>
      </c>
      <c r="B11" s="104" t="s">
        <v>152</v>
      </c>
      <c r="C11" s="104">
        <f t="shared" si="6"/>
        <v>6</v>
      </c>
      <c r="D11" s="104" t="s">
        <v>64</v>
      </c>
      <c r="E11" s="104"/>
      <c r="F11" s="116">
        <v>1.71</v>
      </c>
      <c r="G11" s="117">
        <v>282780.06</v>
      </c>
      <c r="H11" s="118"/>
      <c r="I11" s="119"/>
      <c r="J11" s="120">
        <f t="shared" si="1"/>
        <v>282780.06</v>
      </c>
      <c r="K11" s="120">
        <f t="shared" si="2"/>
        <v>8483.4017999999996</v>
      </c>
      <c r="L11" s="122">
        <f t="shared" si="3"/>
        <v>34200</v>
      </c>
      <c r="M11" s="122">
        <f t="shared" si="0"/>
        <v>128250</v>
      </c>
      <c r="N11" s="123">
        <v>0</v>
      </c>
      <c r="O11" s="124">
        <f t="shared" si="7"/>
        <v>453713.06</v>
      </c>
      <c r="P11" s="125">
        <f t="shared" si="4"/>
        <v>480936.06</v>
      </c>
      <c r="Q11" s="126">
        <f t="shared" si="5"/>
        <v>467324.06</v>
      </c>
      <c r="R11" s="60">
        <f t="shared" si="8"/>
        <v>6.0000000000000005E-2</v>
      </c>
    </row>
    <row r="12" spans="1:20" ht="17.100000000000001" customHeight="1" x14ac:dyDescent="0.25">
      <c r="A12" s="6" t="s">
        <v>16</v>
      </c>
      <c r="B12" s="104" t="s">
        <v>153</v>
      </c>
      <c r="C12" s="104">
        <f t="shared" si="6"/>
        <v>7</v>
      </c>
      <c r="D12" s="104" t="s">
        <v>65</v>
      </c>
      <c r="E12" s="104"/>
      <c r="F12" s="116">
        <v>1.1299999999999999</v>
      </c>
      <c r="G12" s="117">
        <v>107350.07</v>
      </c>
      <c r="H12" s="118">
        <f>G12-'PRORRATEO (2)'!H12</f>
        <v>107350.07</v>
      </c>
      <c r="I12" s="119"/>
      <c r="J12" s="120">
        <f t="shared" si="1"/>
        <v>0</v>
      </c>
      <c r="K12" s="120">
        <f t="shared" si="2"/>
        <v>0</v>
      </c>
      <c r="L12" s="122">
        <f t="shared" si="3"/>
        <v>22600</v>
      </c>
      <c r="M12" s="122">
        <f t="shared" si="0"/>
        <v>84750</v>
      </c>
      <c r="N12" s="123">
        <v>0</v>
      </c>
      <c r="O12" s="124">
        <f t="shared" si="7"/>
        <v>107350.07</v>
      </c>
      <c r="P12" s="125">
        <f t="shared" si="4"/>
        <v>113791.07</v>
      </c>
      <c r="Q12" s="126">
        <f t="shared" si="5"/>
        <v>110571.07</v>
      </c>
      <c r="R12" s="60">
        <f t="shared" si="8"/>
        <v>7.0000000000000007E-2</v>
      </c>
    </row>
    <row r="13" spans="1:20" ht="17.100000000000001" customHeight="1" x14ac:dyDescent="0.25">
      <c r="A13" s="6" t="s">
        <v>17</v>
      </c>
      <c r="B13" s="104" t="s">
        <v>154</v>
      </c>
      <c r="C13" s="104">
        <f t="shared" si="6"/>
        <v>8</v>
      </c>
      <c r="D13" s="104" t="s">
        <v>76</v>
      </c>
      <c r="E13" s="105"/>
      <c r="F13" s="116">
        <v>1.1299999999999999</v>
      </c>
      <c r="G13" s="117">
        <v>107350.08</v>
      </c>
      <c r="H13" s="118">
        <f>110571.08-'PRORRATEO (2)'!H13</f>
        <v>110571.08</v>
      </c>
      <c r="I13" s="119"/>
      <c r="J13" s="120">
        <f t="shared" si="1"/>
        <v>-3221</v>
      </c>
      <c r="K13" s="120">
        <f t="shared" si="2"/>
        <v>0</v>
      </c>
      <c r="L13" s="122">
        <f t="shared" si="3"/>
        <v>22600</v>
      </c>
      <c r="M13" s="122">
        <f t="shared" si="0"/>
        <v>84750</v>
      </c>
      <c r="N13" s="123">
        <v>0</v>
      </c>
      <c r="O13" s="124">
        <f t="shared" si="7"/>
        <v>104129.08</v>
      </c>
      <c r="P13" s="125">
        <f t="shared" si="4"/>
        <v>110377.08</v>
      </c>
      <c r="Q13" s="126">
        <f t="shared" si="5"/>
        <v>107253.08</v>
      </c>
      <c r="R13" s="60">
        <f t="shared" si="8"/>
        <v>0.08</v>
      </c>
    </row>
    <row r="14" spans="1:20" ht="17.100000000000001" customHeight="1" x14ac:dyDescent="0.25">
      <c r="A14" s="6" t="s">
        <v>17</v>
      </c>
      <c r="B14" s="104" t="s">
        <v>155</v>
      </c>
      <c r="C14" s="104">
        <f t="shared" si="6"/>
        <v>9</v>
      </c>
      <c r="D14" s="104" t="s">
        <v>70</v>
      </c>
      <c r="E14" s="105"/>
      <c r="F14" s="116">
        <v>1.1299999999999999</v>
      </c>
      <c r="G14" s="117">
        <v>107350.09</v>
      </c>
      <c r="H14" s="118">
        <f>G14-'PRORRATEO (2)'!H14</f>
        <v>107350.09</v>
      </c>
      <c r="I14" s="119"/>
      <c r="J14" s="120">
        <f t="shared" si="1"/>
        <v>0</v>
      </c>
      <c r="K14" s="120">
        <f t="shared" si="2"/>
        <v>0</v>
      </c>
      <c r="L14" s="122">
        <f t="shared" si="3"/>
        <v>22600</v>
      </c>
      <c r="M14" s="122">
        <f t="shared" si="0"/>
        <v>84750</v>
      </c>
      <c r="N14" s="123">
        <v>0</v>
      </c>
      <c r="O14" s="124">
        <f t="shared" si="7"/>
        <v>107350.09</v>
      </c>
      <c r="P14" s="125">
        <f t="shared" si="4"/>
        <v>113791.09</v>
      </c>
      <c r="Q14" s="126">
        <f t="shared" si="5"/>
        <v>110571.09</v>
      </c>
      <c r="R14" s="60">
        <f t="shared" si="8"/>
        <v>0.09</v>
      </c>
    </row>
    <row r="15" spans="1:20" ht="17.100000000000001" customHeight="1" x14ac:dyDescent="0.25">
      <c r="A15" s="6" t="s">
        <v>18</v>
      </c>
      <c r="B15" s="104" t="s">
        <v>156</v>
      </c>
      <c r="C15" s="104">
        <f t="shared" si="6"/>
        <v>10</v>
      </c>
      <c r="D15" s="104" t="s">
        <v>71</v>
      </c>
      <c r="E15" s="105"/>
      <c r="F15" s="116">
        <v>1.67</v>
      </c>
      <c r="G15" s="117">
        <v>161729.1</v>
      </c>
      <c r="H15" s="118">
        <f>167000-'PRORRATEO (2)'!H15</f>
        <v>167000</v>
      </c>
      <c r="I15" s="119"/>
      <c r="J15" s="120">
        <f t="shared" si="1"/>
        <v>-5270.8999999999942</v>
      </c>
      <c r="K15" s="120">
        <f t="shared" si="2"/>
        <v>0</v>
      </c>
      <c r="L15" s="122">
        <f t="shared" si="3"/>
        <v>33400</v>
      </c>
      <c r="M15" s="122">
        <f t="shared" si="0"/>
        <v>125250</v>
      </c>
      <c r="N15" s="123">
        <v>0</v>
      </c>
      <c r="O15" s="124">
        <f t="shared" si="7"/>
        <v>153379.1</v>
      </c>
      <c r="P15" s="125">
        <f t="shared" si="4"/>
        <v>162582.1</v>
      </c>
      <c r="Q15" s="126">
        <f t="shared" si="5"/>
        <v>157980.1</v>
      </c>
      <c r="R15" s="60">
        <f t="shared" si="8"/>
        <v>9.9999999999999992E-2</v>
      </c>
    </row>
    <row r="16" spans="1:20" ht="17.100000000000001" customHeight="1" x14ac:dyDescent="0.25">
      <c r="A16" s="6" t="s">
        <v>18</v>
      </c>
      <c r="B16" s="104" t="s">
        <v>157</v>
      </c>
      <c r="C16" s="104">
        <f t="shared" si="6"/>
        <v>11</v>
      </c>
      <c r="D16" s="104" t="s">
        <v>77</v>
      </c>
      <c r="E16" s="105"/>
      <c r="F16" s="116">
        <v>1.71</v>
      </c>
      <c r="G16" s="117">
        <v>162450.10999999999</v>
      </c>
      <c r="H16" s="118">
        <f>167324.11-'PRORRATEO (2)'!H16</f>
        <v>167324.10999999999</v>
      </c>
      <c r="I16" s="119"/>
      <c r="J16" s="120">
        <f t="shared" si="1"/>
        <v>-4874</v>
      </c>
      <c r="K16" s="120">
        <f t="shared" si="2"/>
        <v>0</v>
      </c>
      <c r="L16" s="122">
        <f t="shared" si="3"/>
        <v>34200</v>
      </c>
      <c r="M16" s="122">
        <f t="shared" si="0"/>
        <v>128250</v>
      </c>
      <c r="N16" s="123">
        <v>0</v>
      </c>
      <c r="O16" s="124">
        <f t="shared" si="7"/>
        <v>157576.10999999999</v>
      </c>
      <c r="P16" s="125">
        <f t="shared" si="4"/>
        <v>167031.10999999999</v>
      </c>
      <c r="Q16" s="126">
        <f t="shared" si="5"/>
        <v>162303.10999999999</v>
      </c>
      <c r="R16" s="60">
        <f t="shared" si="8"/>
        <v>0.10999999999999999</v>
      </c>
    </row>
    <row r="17" spans="1:20" ht="17.100000000000001" customHeight="1" x14ac:dyDescent="0.25">
      <c r="A17" s="6" t="s">
        <v>19</v>
      </c>
      <c r="B17" s="104" t="s">
        <v>158</v>
      </c>
      <c r="C17" s="104">
        <f t="shared" si="6"/>
        <v>12</v>
      </c>
      <c r="D17" s="104" t="s">
        <v>78</v>
      </c>
      <c r="E17" s="105"/>
      <c r="F17" s="116">
        <v>1.1299999999999999</v>
      </c>
      <c r="G17" s="117">
        <v>107350.12</v>
      </c>
      <c r="H17" s="118">
        <f>110000-'PRORRATEO (2)'!H17</f>
        <v>110000</v>
      </c>
      <c r="I17" s="119"/>
      <c r="J17" s="120">
        <f t="shared" si="1"/>
        <v>-2649.8800000000047</v>
      </c>
      <c r="K17" s="120">
        <f t="shared" si="2"/>
        <v>0</v>
      </c>
      <c r="L17" s="122">
        <f t="shared" si="3"/>
        <v>22600</v>
      </c>
      <c r="M17" s="122">
        <f t="shared" si="0"/>
        <v>84750</v>
      </c>
      <c r="N17" s="123">
        <v>0</v>
      </c>
      <c r="O17" s="124">
        <f t="shared" si="7"/>
        <v>104700.12</v>
      </c>
      <c r="P17" s="125">
        <f t="shared" si="4"/>
        <v>110982.12</v>
      </c>
      <c r="Q17" s="126">
        <f t="shared" si="5"/>
        <v>107841.12</v>
      </c>
      <c r="R17" s="60">
        <f t="shared" si="8"/>
        <v>0.11999999999999998</v>
      </c>
    </row>
    <row r="18" spans="1:20" ht="17.100000000000001" customHeight="1" x14ac:dyDescent="0.25">
      <c r="A18" s="6" t="s">
        <v>19</v>
      </c>
      <c r="B18" s="104" t="s">
        <v>159</v>
      </c>
      <c r="C18" s="104">
        <f t="shared" si="6"/>
        <v>13</v>
      </c>
      <c r="D18" s="104" t="s">
        <v>79</v>
      </c>
      <c r="E18" s="105"/>
      <c r="F18" s="116">
        <v>1.1299999999999999</v>
      </c>
      <c r="G18" s="117">
        <v>182617.13</v>
      </c>
      <c r="H18" s="118">
        <v>85750.13</v>
      </c>
      <c r="I18" s="119"/>
      <c r="J18" s="120">
        <f t="shared" si="1"/>
        <v>96867</v>
      </c>
      <c r="K18" s="120">
        <f t="shared" si="2"/>
        <v>2906.0099999999998</v>
      </c>
      <c r="L18" s="122">
        <f t="shared" si="3"/>
        <v>22600</v>
      </c>
      <c r="M18" s="122">
        <f t="shared" si="0"/>
        <v>84750</v>
      </c>
      <c r="N18" s="123">
        <v>0</v>
      </c>
      <c r="O18" s="124">
        <f t="shared" si="7"/>
        <v>207123.13</v>
      </c>
      <c r="P18" s="125">
        <f t="shared" si="4"/>
        <v>219551.13</v>
      </c>
      <c r="Q18" s="126">
        <f t="shared" si="5"/>
        <v>213337.13</v>
      </c>
      <c r="R18" s="60">
        <f t="shared" si="8"/>
        <v>0.12999999999999998</v>
      </c>
    </row>
    <row r="19" spans="1:20" ht="17.100000000000001" customHeight="1" x14ac:dyDescent="0.25">
      <c r="A19" s="6" t="s">
        <v>20</v>
      </c>
      <c r="B19" s="104" t="s">
        <v>160</v>
      </c>
      <c r="C19" s="104">
        <f t="shared" si="6"/>
        <v>14</v>
      </c>
      <c r="D19" s="104" t="s">
        <v>80</v>
      </c>
      <c r="E19" s="105"/>
      <c r="F19" s="116">
        <v>1.1299999999999999</v>
      </c>
      <c r="G19" s="117">
        <v>99126.14</v>
      </c>
      <c r="H19" s="118">
        <f>100000.14</f>
        <v>100000.14</v>
      </c>
      <c r="I19" s="119"/>
      <c r="J19" s="120">
        <f t="shared" si="1"/>
        <v>-874</v>
      </c>
      <c r="K19" s="120">
        <f t="shared" si="2"/>
        <v>0</v>
      </c>
      <c r="L19" s="122">
        <f t="shared" si="3"/>
        <v>22600</v>
      </c>
      <c r="M19" s="122">
        <f t="shared" si="0"/>
        <v>84750</v>
      </c>
      <c r="N19" s="123">
        <v>0</v>
      </c>
      <c r="O19" s="124">
        <f t="shared" si="7"/>
        <v>106476.14</v>
      </c>
      <c r="P19" s="125">
        <f t="shared" si="4"/>
        <v>112865.14</v>
      </c>
      <c r="Q19" s="126">
        <f t="shared" si="5"/>
        <v>109670.14</v>
      </c>
      <c r="R19" s="60">
        <f t="shared" si="8"/>
        <v>0.13999999999999999</v>
      </c>
    </row>
    <row r="20" spans="1:20" ht="17.100000000000001" customHeight="1" x14ac:dyDescent="0.25">
      <c r="A20" s="6" t="s">
        <v>20</v>
      </c>
      <c r="B20" s="104" t="s">
        <v>161</v>
      </c>
      <c r="C20" s="104">
        <f t="shared" si="6"/>
        <v>15</v>
      </c>
      <c r="D20" s="104" t="s">
        <v>81</v>
      </c>
      <c r="E20" s="105"/>
      <c r="F20" s="116">
        <v>1.67</v>
      </c>
      <c r="G20" s="117">
        <v>158650.15</v>
      </c>
      <c r="H20" s="118">
        <f>G20-'PRORRATEO (2)'!H20</f>
        <v>158650.15</v>
      </c>
      <c r="I20" s="119"/>
      <c r="J20" s="120">
        <f>G20-H20</f>
        <v>0</v>
      </c>
      <c r="K20" s="120">
        <f t="shared" si="2"/>
        <v>0</v>
      </c>
      <c r="L20" s="122">
        <f t="shared" si="3"/>
        <v>33400</v>
      </c>
      <c r="M20" s="122">
        <f t="shared" si="0"/>
        <v>125250</v>
      </c>
      <c r="N20" s="123">
        <v>0</v>
      </c>
      <c r="O20" s="124">
        <f t="shared" si="7"/>
        <v>158650.15</v>
      </c>
      <c r="P20" s="125">
        <f t="shared" si="4"/>
        <v>168169.15</v>
      </c>
      <c r="Q20" s="126">
        <f t="shared" si="5"/>
        <v>163410.15</v>
      </c>
      <c r="R20" s="60">
        <f t="shared" si="8"/>
        <v>0.15</v>
      </c>
    </row>
    <row r="21" spans="1:20" ht="17.100000000000001" customHeight="1" x14ac:dyDescent="0.25">
      <c r="A21" s="6" t="s">
        <v>21</v>
      </c>
      <c r="B21" s="104" t="s">
        <v>162</v>
      </c>
      <c r="C21" s="104">
        <f t="shared" si="6"/>
        <v>16</v>
      </c>
      <c r="D21" s="104" t="s">
        <v>66</v>
      </c>
      <c r="E21" s="104"/>
      <c r="F21" s="116">
        <v>1.71</v>
      </c>
      <c r="G21" s="117">
        <v>162450.16</v>
      </c>
      <c r="H21" s="118">
        <f>G21-'PRORRATEO (2)'!H21</f>
        <v>162450.16</v>
      </c>
      <c r="I21" s="119"/>
      <c r="J21" s="120">
        <f t="shared" si="1"/>
        <v>0</v>
      </c>
      <c r="K21" s="120">
        <f t="shared" si="2"/>
        <v>0</v>
      </c>
      <c r="L21" s="122">
        <f t="shared" si="3"/>
        <v>34200</v>
      </c>
      <c r="M21" s="122">
        <f t="shared" si="0"/>
        <v>128250</v>
      </c>
      <c r="N21" s="123">
        <v>0</v>
      </c>
      <c r="O21" s="124">
        <f t="shared" si="7"/>
        <v>162450.16</v>
      </c>
      <c r="P21" s="125">
        <f t="shared" si="4"/>
        <v>172197.16</v>
      </c>
      <c r="Q21" s="126">
        <f t="shared" si="5"/>
        <v>167324.16</v>
      </c>
      <c r="R21" s="60">
        <f t="shared" si="8"/>
        <v>0.16</v>
      </c>
      <c r="T21" s="59"/>
    </row>
    <row r="22" spans="1:20" ht="17.100000000000001" customHeight="1" x14ac:dyDescent="0.25">
      <c r="A22" s="6" t="s">
        <v>21</v>
      </c>
      <c r="B22" s="104" t="s">
        <v>163</v>
      </c>
      <c r="C22" s="104">
        <f t="shared" si="6"/>
        <v>17</v>
      </c>
      <c r="D22" s="104" t="s">
        <v>82</v>
      </c>
      <c r="E22" s="105"/>
      <c r="F22" s="116">
        <v>1.1299999999999999</v>
      </c>
      <c r="G22" s="118">
        <v>99120.17</v>
      </c>
      <c r="H22" s="118">
        <f>102094.17-'PRORRATEO (2)'!H22</f>
        <v>102094.17</v>
      </c>
      <c r="I22" s="119"/>
      <c r="J22" s="120">
        <f t="shared" si="1"/>
        <v>-2974</v>
      </c>
      <c r="K22" s="120">
        <f t="shared" si="2"/>
        <v>0</v>
      </c>
      <c r="L22" s="122">
        <f t="shared" si="3"/>
        <v>22600</v>
      </c>
      <c r="M22" s="122">
        <f t="shared" si="0"/>
        <v>84750</v>
      </c>
      <c r="N22" s="123">
        <v>0</v>
      </c>
      <c r="O22" s="124">
        <f t="shared" si="7"/>
        <v>104376.17</v>
      </c>
      <c r="P22" s="125">
        <f t="shared" si="4"/>
        <v>110639.17</v>
      </c>
      <c r="Q22" s="126">
        <f t="shared" si="5"/>
        <v>107507.17</v>
      </c>
      <c r="R22" s="60">
        <f t="shared" si="8"/>
        <v>0.17</v>
      </c>
    </row>
    <row r="23" spans="1:20" ht="17.100000000000001" customHeight="1" x14ac:dyDescent="0.25">
      <c r="A23" s="6" t="s">
        <v>22</v>
      </c>
      <c r="B23" s="104" t="s">
        <v>164</v>
      </c>
      <c r="C23" s="104">
        <f t="shared" si="6"/>
        <v>18</v>
      </c>
      <c r="D23" s="104" t="s">
        <v>83</v>
      </c>
      <c r="E23" s="104"/>
      <c r="F23" s="116">
        <v>1.1299999999999999</v>
      </c>
      <c r="G23" s="117">
        <v>107350.18</v>
      </c>
      <c r="H23" s="118">
        <f>G23-'PRORRATEO (2)'!H23</f>
        <v>107350.18</v>
      </c>
      <c r="I23" s="119"/>
      <c r="J23" s="120">
        <f t="shared" si="1"/>
        <v>0</v>
      </c>
      <c r="K23" s="120">
        <f t="shared" si="2"/>
        <v>0</v>
      </c>
      <c r="L23" s="122">
        <f t="shared" si="3"/>
        <v>22600</v>
      </c>
      <c r="M23" s="122">
        <f t="shared" si="0"/>
        <v>84750</v>
      </c>
      <c r="N23" s="123">
        <v>0</v>
      </c>
      <c r="O23" s="124">
        <f t="shared" si="7"/>
        <v>107350.18</v>
      </c>
      <c r="P23" s="125">
        <f t="shared" si="4"/>
        <v>113791.18</v>
      </c>
      <c r="Q23" s="126">
        <f t="shared" si="5"/>
        <v>110571.18</v>
      </c>
      <c r="R23" s="60">
        <f t="shared" si="8"/>
        <v>0.18000000000000002</v>
      </c>
    </row>
    <row r="24" spans="1:20" ht="17.100000000000001" customHeight="1" x14ac:dyDescent="0.25">
      <c r="A24" s="6" t="s">
        <v>22</v>
      </c>
      <c r="B24" s="104" t="s">
        <v>165</v>
      </c>
      <c r="C24" s="104">
        <f t="shared" si="6"/>
        <v>19</v>
      </c>
      <c r="D24" s="104" t="s">
        <v>84</v>
      </c>
      <c r="E24" s="105"/>
      <c r="F24" s="116">
        <v>1.1299999999999999</v>
      </c>
      <c r="G24" s="117">
        <v>107350.19</v>
      </c>
      <c r="H24" s="118">
        <f>G24-'PRORRATEO (2)'!H24</f>
        <v>107350.19</v>
      </c>
      <c r="I24" s="119"/>
      <c r="J24" s="120">
        <f t="shared" si="1"/>
        <v>0</v>
      </c>
      <c r="K24" s="120">
        <f t="shared" si="2"/>
        <v>0</v>
      </c>
      <c r="L24" s="122">
        <f t="shared" si="3"/>
        <v>22600</v>
      </c>
      <c r="M24" s="122">
        <f t="shared" si="0"/>
        <v>84750</v>
      </c>
      <c r="N24" s="123">
        <v>0</v>
      </c>
      <c r="O24" s="124">
        <f t="shared" si="7"/>
        <v>107350.19</v>
      </c>
      <c r="P24" s="125">
        <f t="shared" si="4"/>
        <v>113791.19</v>
      </c>
      <c r="Q24" s="126">
        <f t="shared" si="5"/>
        <v>110571.19</v>
      </c>
      <c r="R24" s="60">
        <f t="shared" si="8"/>
        <v>0.19000000000000003</v>
      </c>
    </row>
    <row r="25" spans="1:20" ht="17.100000000000001" customHeight="1" x14ac:dyDescent="0.25">
      <c r="A25" s="6" t="s">
        <v>23</v>
      </c>
      <c r="B25" s="104" t="s">
        <v>166</v>
      </c>
      <c r="C25" s="104">
        <f t="shared" si="6"/>
        <v>20</v>
      </c>
      <c r="D25" s="104" t="s">
        <v>67</v>
      </c>
      <c r="E25" s="104"/>
      <c r="F25" s="116">
        <v>1.67</v>
      </c>
      <c r="G25" s="117">
        <v>158650.20000000001</v>
      </c>
      <c r="H25" s="118">
        <f>124250.2-'PRORRATEO (2)'!H25</f>
        <v>124250.2</v>
      </c>
      <c r="I25" s="119"/>
      <c r="J25" s="160">
        <f t="shared" si="1"/>
        <v>34400.000000000015</v>
      </c>
      <c r="K25" s="120">
        <f t="shared" si="2"/>
        <v>1032.0000000000005</v>
      </c>
      <c r="L25" s="122">
        <f t="shared" si="3"/>
        <v>33400</v>
      </c>
      <c r="M25" s="122">
        <f t="shared" si="0"/>
        <v>125250</v>
      </c>
      <c r="N25" s="123">
        <v>0</v>
      </c>
      <c r="O25" s="124">
        <f t="shared" si="7"/>
        <v>194082.2</v>
      </c>
      <c r="P25" s="125">
        <f t="shared" si="4"/>
        <v>205727.2</v>
      </c>
      <c r="Q25" s="126">
        <f t="shared" si="5"/>
        <v>199904.2</v>
      </c>
      <c r="R25" s="60">
        <f t="shared" si="8"/>
        <v>0.20000000000000004</v>
      </c>
    </row>
    <row r="26" spans="1:20" ht="17.100000000000001" customHeight="1" x14ac:dyDescent="0.25">
      <c r="A26" s="6" t="s">
        <v>24</v>
      </c>
      <c r="B26" s="104" t="s">
        <v>167</v>
      </c>
      <c r="C26" s="104">
        <f t="shared" si="6"/>
        <v>21</v>
      </c>
      <c r="D26" s="104" t="s">
        <v>85</v>
      </c>
      <c r="E26" s="105"/>
      <c r="F26" s="116">
        <v>1.71</v>
      </c>
      <c r="G26" s="117">
        <v>54094.21</v>
      </c>
      <c r="H26" s="118"/>
      <c r="I26" s="119"/>
      <c r="J26" s="120">
        <f t="shared" si="1"/>
        <v>54094.21</v>
      </c>
      <c r="K26" s="120">
        <f t="shared" si="2"/>
        <v>1622.8262999999999</v>
      </c>
      <c r="L26" s="122">
        <f t="shared" si="3"/>
        <v>34200</v>
      </c>
      <c r="M26" s="122">
        <f t="shared" si="0"/>
        <v>128250</v>
      </c>
      <c r="N26" s="123">
        <v>0</v>
      </c>
      <c r="O26" s="124">
        <f t="shared" si="7"/>
        <v>218167.21</v>
      </c>
      <c r="P26" s="125">
        <f t="shared" si="4"/>
        <v>231257.21</v>
      </c>
      <c r="Q26" s="126">
        <f t="shared" si="5"/>
        <v>224712.21</v>
      </c>
      <c r="R26" s="60">
        <f t="shared" si="8"/>
        <v>0.21000000000000005</v>
      </c>
    </row>
    <row r="27" spans="1:20" ht="17.100000000000001" customHeight="1" x14ac:dyDescent="0.25">
      <c r="A27" s="6" t="s">
        <v>25</v>
      </c>
      <c r="B27" s="104" t="s">
        <v>168</v>
      </c>
      <c r="C27" s="104">
        <f t="shared" si="6"/>
        <v>22</v>
      </c>
      <c r="D27" s="104" t="s">
        <v>86</v>
      </c>
      <c r="E27" s="105"/>
      <c r="F27" s="116">
        <v>1.1299999999999999</v>
      </c>
      <c r="G27" s="117">
        <v>107350.22</v>
      </c>
      <c r="H27" s="118">
        <f>G27-'PRORRATEO (2)'!H27</f>
        <v>107350.22</v>
      </c>
      <c r="I27" s="119"/>
      <c r="J27" s="120">
        <f t="shared" si="1"/>
        <v>0</v>
      </c>
      <c r="K27" s="120">
        <f t="shared" si="2"/>
        <v>0</v>
      </c>
      <c r="L27" s="122">
        <f t="shared" si="3"/>
        <v>22600</v>
      </c>
      <c r="M27" s="122">
        <f t="shared" si="0"/>
        <v>84750</v>
      </c>
      <c r="N27" s="123">
        <v>0</v>
      </c>
      <c r="O27" s="124">
        <f t="shared" si="7"/>
        <v>107350.22</v>
      </c>
      <c r="P27" s="125">
        <f t="shared" si="4"/>
        <v>113791.22</v>
      </c>
      <c r="Q27" s="126">
        <f t="shared" si="5"/>
        <v>110571.22</v>
      </c>
      <c r="R27" s="60">
        <f t="shared" si="8"/>
        <v>0.22000000000000006</v>
      </c>
    </row>
    <row r="28" spans="1:20" ht="17.100000000000001" customHeight="1" x14ac:dyDescent="0.25">
      <c r="A28" s="6" t="s">
        <v>26</v>
      </c>
      <c r="B28" s="104" t="s">
        <v>169</v>
      </c>
      <c r="C28" s="104">
        <f t="shared" si="6"/>
        <v>23</v>
      </c>
      <c r="D28" s="104" t="s">
        <v>87</v>
      </c>
      <c r="E28" s="105"/>
      <c r="F28" s="116">
        <v>1.1299999999999999</v>
      </c>
      <c r="G28" s="117">
        <v>182617.23</v>
      </c>
      <c r="H28" s="118"/>
      <c r="I28" s="119"/>
      <c r="J28" s="120">
        <f t="shared" si="1"/>
        <v>182617.23</v>
      </c>
      <c r="K28" s="120">
        <f t="shared" si="2"/>
        <v>5478.5169000000005</v>
      </c>
      <c r="L28" s="122">
        <f t="shared" si="3"/>
        <v>22600</v>
      </c>
      <c r="M28" s="122">
        <f t="shared" si="0"/>
        <v>84750</v>
      </c>
      <c r="N28" s="123">
        <v>0</v>
      </c>
      <c r="O28" s="124">
        <f t="shared" si="7"/>
        <v>295446.23</v>
      </c>
      <c r="P28" s="125">
        <f t="shared" si="4"/>
        <v>313173.23</v>
      </c>
      <c r="Q28" s="126">
        <f t="shared" si="5"/>
        <v>304309.23</v>
      </c>
      <c r="R28" s="60">
        <f t="shared" si="8"/>
        <v>0.23000000000000007</v>
      </c>
    </row>
    <row r="29" spans="1:20" ht="17.100000000000001" customHeight="1" x14ac:dyDescent="0.25">
      <c r="A29" s="6" t="s">
        <v>29</v>
      </c>
      <c r="B29" s="104" t="s">
        <v>170</v>
      </c>
      <c r="C29" s="104">
        <f t="shared" si="6"/>
        <v>24</v>
      </c>
      <c r="D29" s="104" t="s">
        <v>88</v>
      </c>
      <c r="E29" s="105"/>
      <c r="F29" s="116">
        <v>1.1299999999999999</v>
      </c>
      <c r="G29" s="117">
        <v>383577.24</v>
      </c>
      <c r="H29" s="118">
        <f>G29</f>
        <v>383577.24</v>
      </c>
      <c r="I29" s="119"/>
      <c r="J29" s="120">
        <f t="shared" si="1"/>
        <v>0</v>
      </c>
      <c r="K29" s="120">
        <f t="shared" si="2"/>
        <v>0</v>
      </c>
      <c r="L29" s="122">
        <f t="shared" si="3"/>
        <v>22600</v>
      </c>
      <c r="M29" s="122">
        <f t="shared" si="0"/>
        <v>84750</v>
      </c>
      <c r="N29" s="123">
        <v>0</v>
      </c>
      <c r="O29" s="124">
        <f t="shared" si="7"/>
        <v>107350.24</v>
      </c>
      <c r="P29" s="125">
        <f t="shared" si="4"/>
        <v>113791.24</v>
      </c>
      <c r="Q29" s="126">
        <f t="shared" si="5"/>
        <v>110571.24</v>
      </c>
      <c r="R29" s="60">
        <f t="shared" si="8"/>
        <v>0.24000000000000007</v>
      </c>
    </row>
    <row r="30" spans="1:20" ht="17.100000000000001" customHeight="1" x14ac:dyDescent="0.25">
      <c r="A30" s="6" t="s">
        <v>29</v>
      </c>
      <c r="B30" s="104" t="s">
        <v>171</v>
      </c>
      <c r="C30" s="104">
        <f t="shared" si="6"/>
        <v>25</v>
      </c>
      <c r="D30" s="104" t="s">
        <v>89</v>
      </c>
      <c r="E30" s="104"/>
      <c r="F30" s="116">
        <v>1.67</v>
      </c>
      <c r="G30" s="117">
        <v>158650.25</v>
      </c>
      <c r="H30" s="118">
        <f>G30-'PRORRATEO (2)'!H30</f>
        <v>158650.25</v>
      </c>
      <c r="I30" s="119"/>
      <c r="J30" s="120">
        <f t="shared" si="1"/>
        <v>0</v>
      </c>
      <c r="K30" s="120">
        <f t="shared" si="2"/>
        <v>0</v>
      </c>
      <c r="L30" s="122">
        <f t="shared" si="3"/>
        <v>33400</v>
      </c>
      <c r="M30" s="122">
        <f t="shared" si="0"/>
        <v>125250</v>
      </c>
      <c r="N30" s="123">
        <v>0</v>
      </c>
      <c r="O30" s="124">
        <f t="shared" si="7"/>
        <v>158650.25</v>
      </c>
      <c r="P30" s="125">
        <f t="shared" si="4"/>
        <v>168169.25</v>
      </c>
      <c r="Q30" s="126">
        <f t="shared" si="5"/>
        <v>163410.25</v>
      </c>
      <c r="R30" s="60">
        <f t="shared" si="8"/>
        <v>0.25000000000000006</v>
      </c>
    </row>
    <row r="31" spans="1:20" ht="17.100000000000001" customHeight="1" x14ac:dyDescent="0.25">
      <c r="A31" s="6" t="s">
        <v>29</v>
      </c>
      <c r="B31" s="104" t="s">
        <v>172</v>
      </c>
      <c r="C31" s="104">
        <f t="shared" si="6"/>
        <v>26</v>
      </c>
      <c r="D31" s="104" t="s">
        <v>224</v>
      </c>
      <c r="E31" s="104"/>
      <c r="F31" s="116">
        <v>1.71</v>
      </c>
      <c r="G31" s="117">
        <v>36751.26</v>
      </c>
      <c r="H31" s="118">
        <f>210000.26</f>
        <v>210000.26</v>
      </c>
      <c r="I31" s="119"/>
      <c r="J31" s="120">
        <f t="shared" si="1"/>
        <v>-173249</v>
      </c>
      <c r="K31" s="120">
        <f t="shared" si="2"/>
        <v>0</v>
      </c>
      <c r="L31" s="122">
        <f t="shared" si="3"/>
        <v>34200</v>
      </c>
      <c r="M31" s="122">
        <f t="shared" si="0"/>
        <v>128250</v>
      </c>
      <c r="N31" s="123">
        <v>0</v>
      </c>
      <c r="O31" s="124">
        <f t="shared" si="7"/>
        <v>-10798.74</v>
      </c>
      <c r="P31" s="125">
        <f t="shared" si="4"/>
        <v>-11446.74</v>
      </c>
      <c r="Q31" s="126">
        <f t="shared" si="5"/>
        <v>-11122.74</v>
      </c>
      <c r="R31" s="60">
        <f t="shared" si="8"/>
        <v>0.26000000000000006</v>
      </c>
    </row>
    <row r="32" spans="1:20" ht="17.100000000000001" customHeight="1" x14ac:dyDescent="0.25">
      <c r="A32" s="6" t="s">
        <v>29</v>
      </c>
      <c r="B32" s="104" t="s">
        <v>173</v>
      </c>
      <c r="C32" s="104">
        <f t="shared" si="6"/>
        <v>27</v>
      </c>
      <c r="D32" s="104" t="s">
        <v>90</v>
      </c>
      <c r="E32" s="105"/>
      <c r="F32" s="116">
        <v>1.1299999999999999</v>
      </c>
      <c r="G32" s="117">
        <v>107350.27</v>
      </c>
      <c r="H32" s="118">
        <f>G32-'PRORRATEO (2)'!H32</f>
        <v>107350.27</v>
      </c>
      <c r="I32" s="119"/>
      <c r="J32" s="120">
        <f t="shared" si="1"/>
        <v>0</v>
      </c>
      <c r="K32" s="120">
        <f t="shared" si="2"/>
        <v>0</v>
      </c>
      <c r="L32" s="122">
        <f t="shared" si="3"/>
        <v>22600</v>
      </c>
      <c r="M32" s="122">
        <f t="shared" si="0"/>
        <v>84750</v>
      </c>
      <c r="N32" s="123">
        <v>0</v>
      </c>
      <c r="O32" s="124">
        <f t="shared" si="7"/>
        <v>107350.27</v>
      </c>
      <c r="P32" s="125">
        <f t="shared" si="4"/>
        <v>113791.27</v>
      </c>
      <c r="Q32" s="126">
        <f t="shared" si="5"/>
        <v>110571.27</v>
      </c>
      <c r="R32" s="60">
        <f t="shared" si="8"/>
        <v>0.27000000000000007</v>
      </c>
    </row>
    <row r="33" spans="1:18" ht="17.100000000000001" customHeight="1" x14ac:dyDescent="0.25">
      <c r="A33" s="6" t="s">
        <v>29</v>
      </c>
      <c r="B33" s="104" t="s">
        <v>174</v>
      </c>
      <c r="C33" s="104">
        <f t="shared" si="6"/>
        <v>28</v>
      </c>
      <c r="D33" s="104" t="s">
        <v>68</v>
      </c>
      <c r="E33" s="104"/>
      <c r="F33" s="116">
        <v>1.1299999999999999</v>
      </c>
      <c r="G33" s="117">
        <v>182618.28</v>
      </c>
      <c r="H33" s="118">
        <v>188097.28</v>
      </c>
      <c r="I33" s="119"/>
      <c r="J33" s="120">
        <f t="shared" si="1"/>
        <v>-5479</v>
      </c>
      <c r="K33" s="120">
        <f t="shared" si="2"/>
        <v>0</v>
      </c>
      <c r="L33" s="122">
        <f t="shared" si="3"/>
        <v>22600</v>
      </c>
      <c r="M33" s="122">
        <f t="shared" si="0"/>
        <v>84750</v>
      </c>
      <c r="N33" s="195"/>
      <c r="O33" s="124">
        <f t="shared" si="7"/>
        <v>101871.28</v>
      </c>
      <c r="P33" s="125">
        <f t="shared" si="4"/>
        <v>107984.28</v>
      </c>
      <c r="Q33" s="126">
        <f t="shared" si="5"/>
        <v>104927.28</v>
      </c>
      <c r="R33" s="60">
        <f t="shared" si="8"/>
        <v>0.28000000000000008</v>
      </c>
    </row>
    <row r="34" spans="1:18" ht="17.100000000000001" customHeight="1" x14ac:dyDescent="0.25">
      <c r="A34" s="6" t="s">
        <v>29</v>
      </c>
      <c r="B34" s="104" t="s">
        <v>175</v>
      </c>
      <c r="C34" s="104">
        <f t="shared" si="6"/>
        <v>29</v>
      </c>
      <c r="D34" s="104" t="s">
        <v>69</v>
      </c>
      <c r="E34" s="104"/>
      <c r="F34" s="116">
        <v>1.1299999999999999</v>
      </c>
      <c r="G34" s="117">
        <v>105217.29</v>
      </c>
      <c r="H34" s="118">
        <f>108374.29-'PRORRATEO (2)'!H34</f>
        <v>108374.29</v>
      </c>
      <c r="I34" s="119"/>
      <c r="J34" s="120">
        <f t="shared" si="1"/>
        <v>-3157</v>
      </c>
      <c r="K34" s="120">
        <f t="shared" si="2"/>
        <v>0</v>
      </c>
      <c r="L34" s="122">
        <f t="shared" si="3"/>
        <v>22600</v>
      </c>
      <c r="M34" s="122">
        <f t="shared" si="0"/>
        <v>84750</v>
      </c>
      <c r="N34" s="123">
        <v>0</v>
      </c>
      <c r="O34" s="124">
        <f t="shared" si="7"/>
        <v>104193.29</v>
      </c>
      <c r="P34" s="125">
        <f t="shared" si="4"/>
        <v>110445.29</v>
      </c>
      <c r="Q34" s="126">
        <f t="shared" si="5"/>
        <v>107319.29</v>
      </c>
      <c r="R34" s="60">
        <f t="shared" si="8"/>
        <v>0.29000000000000009</v>
      </c>
    </row>
    <row r="35" spans="1:18" ht="17.100000000000001" customHeight="1" x14ac:dyDescent="0.25">
      <c r="A35" s="6" t="s">
        <v>29</v>
      </c>
      <c r="B35" s="104" t="s">
        <v>176</v>
      </c>
      <c r="C35" s="104">
        <f t="shared" si="6"/>
        <v>30</v>
      </c>
      <c r="D35" s="104" t="s">
        <v>91</v>
      </c>
      <c r="E35" s="105"/>
      <c r="F35" s="116">
        <v>1.67</v>
      </c>
      <c r="G35" s="117">
        <v>158650.29999999999</v>
      </c>
      <c r="H35" s="118">
        <f>G35-'PRORRATEO (2)'!H35</f>
        <v>158650.29999999999</v>
      </c>
      <c r="I35" s="119"/>
      <c r="J35" s="120">
        <f t="shared" si="1"/>
        <v>0</v>
      </c>
      <c r="K35" s="120">
        <f t="shared" si="2"/>
        <v>0</v>
      </c>
      <c r="L35" s="122">
        <f t="shared" si="3"/>
        <v>33400</v>
      </c>
      <c r="M35" s="122">
        <f t="shared" si="0"/>
        <v>125250</v>
      </c>
      <c r="N35" s="123">
        <v>0</v>
      </c>
      <c r="O35" s="124">
        <f t="shared" si="7"/>
        <v>158650.29999999999</v>
      </c>
      <c r="P35" s="125">
        <f t="shared" si="4"/>
        <v>168169.3</v>
      </c>
      <c r="Q35" s="126">
        <f t="shared" si="5"/>
        <v>163410.29999999999</v>
      </c>
      <c r="R35" s="60">
        <f t="shared" si="8"/>
        <v>0.3000000000000001</v>
      </c>
    </row>
    <row r="36" spans="1:18" ht="0.75" customHeight="1" x14ac:dyDescent="0.25">
      <c r="A36" s="6" t="s">
        <v>29</v>
      </c>
      <c r="B36" s="104"/>
      <c r="C36" s="104"/>
      <c r="D36" s="104"/>
      <c r="E36" s="104"/>
      <c r="F36" s="116"/>
      <c r="G36" s="127">
        <v>0</v>
      </c>
      <c r="H36" s="118">
        <v>0</v>
      </c>
      <c r="I36" s="128"/>
      <c r="J36" s="129">
        <f t="shared" si="1"/>
        <v>0</v>
      </c>
      <c r="K36" s="120">
        <f t="shared" si="2"/>
        <v>0</v>
      </c>
      <c r="L36" s="122">
        <f t="shared" si="3"/>
        <v>0</v>
      </c>
      <c r="M36" s="130">
        <f t="shared" si="0"/>
        <v>0</v>
      </c>
      <c r="N36" s="131">
        <v>0</v>
      </c>
      <c r="O36" s="124">
        <f t="shared" si="7"/>
        <v>0</v>
      </c>
      <c r="P36" s="125">
        <f t="shared" si="4"/>
        <v>0</v>
      </c>
      <c r="Q36" s="126">
        <f t="shared" si="5"/>
        <v>0</v>
      </c>
      <c r="R36" s="60"/>
    </row>
    <row r="37" spans="1:18" ht="17.100000000000001" customHeight="1" x14ac:dyDescent="0.25">
      <c r="A37" s="6" t="s">
        <v>29</v>
      </c>
      <c r="B37" s="104" t="s">
        <v>177</v>
      </c>
      <c r="C37" s="104">
        <v>31</v>
      </c>
      <c r="D37" s="104" t="s">
        <v>108</v>
      </c>
      <c r="E37" s="105"/>
      <c r="F37" s="116">
        <v>1.71</v>
      </c>
      <c r="G37" s="117">
        <v>159269.31</v>
      </c>
      <c r="H37" s="118">
        <f>G37-'PRORRATEO (2)'!H37</f>
        <v>159269.31</v>
      </c>
      <c r="I37" s="119"/>
      <c r="J37" s="120">
        <f t="shared" si="1"/>
        <v>0</v>
      </c>
      <c r="K37" s="120">
        <f t="shared" si="2"/>
        <v>0</v>
      </c>
      <c r="L37" s="122">
        <f t="shared" si="3"/>
        <v>34200</v>
      </c>
      <c r="M37" s="122">
        <f t="shared" si="0"/>
        <v>128250</v>
      </c>
      <c r="N37" s="123">
        <v>0</v>
      </c>
      <c r="O37" s="124">
        <f t="shared" si="7"/>
        <v>162450.31</v>
      </c>
      <c r="P37" s="125">
        <f t="shared" si="4"/>
        <v>172197.31</v>
      </c>
      <c r="Q37" s="126">
        <f t="shared" si="5"/>
        <v>167324.31</v>
      </c>
      <c r="R37" s="60">
        <v>0.31</v>
      </c>
    </row>
    <row r="38" spans="1:18" ht="17.100000000000001" customHeight="1" x14ac:dyDescent="0.25">
      <c r="A38" s="6" t="s">
        <v>29</v>
      </c>
      <c r="B38" s="104" t="s">
        <v>178</v>
      </c>
      <c r="C38" s="104">
        <f>C37+1</f>
        <v>32</v>
      </c>
      <c r="D38" s="104" t="s">
        <v>109</v>
      </c>
      <c r="E38" s="105"/>
      <c r="F38" s="116">
        <v>1.1299999999999999</v>
      </c>
      <c r="G38" s="117">
        <v>107350.32</v>
      </c>
      <c r="H38" s="118">
        <f>G38-'PRORRATEO (2)'!H38</f>
        <v>107350.32</v>
      </c>
      <c r="I38" s="119"/>
      <c r="J38" s="120">
        <f t="shared" si="1"/>
        <v>0</v>
      </c>
      <c r="K38" s="120">
        <f t="shared" si="2"/>
        <v>0</v>
      </c>
      <c r="L38" s="122">
        <f t="shared" si="3"/>
        <v>22600</v>
      </c>
      <c r="M38" s="122">
        <f t="shared" si="0"/>
        <v>84750</v>
      </c>
      <c r="N38" s="123">
        <v>0</v>
      </c>
      <c r="O38" s="124">
        <f t="shared" si="7"/>
        <v>107350.32</v>
      </c>
      <c r="P38" s="125">
        <f t="shared" si="4"/>
        <v>113791.32</v>
      </c>
      <c r="Q38" s="126">
        <f t="shared" si="5"/>
        <v>110571.32</v>
      </c>
      <c r="R38" s="60">
        <f t="shared" si="8"/>
        <v>0.32</v>
      </c>
    </row>
    <row r="39" spans="1:18" ht="17.100000000000001" customHeight="1" x14ac:dyDescent="0.25">
      <c r="A39" s="6" t="s">
        <v>29</v>
      </c>
      <c r="B39" s="104" t="s">
        <v>179</v>
      </c>
      <c r="C39" s="104">
        <f t="shared" ref="C39:C80" si="9">C38+1</f>
        <v>33</v>
      </c>
      <c r="D39" s="104" t="s">
        <v>92</v>
      </c>
      <c r="E39" s="104"/>
      <c r="F39" s="116">
        <v>1.1299999999999999</v>
      </c>
      <c r="G39" s="117">
        <v>107350.33</v>
      </c>
      <c r="H39" s="118">
        <f>G39-'PRORRATEO (2)'!H39</f>
        <v>107350.33</v>
      </c>
      <c r="I39" s="119"/>
      <c r="J39" s="120">
        <f t="shared" si="1"/>
        <v>0</v>
      </c>
      <c r="K39" s="120">
        <f t="shared" si="2"/>
        <v>0</v>
      </c>
      <c r="L39" s="122">
        <f t="shared" si="3"/>
        <v>22600</v>
      </c>
      <c r="M39" s="122">
        <f t="shared" si="0"/>
        <v>84750</v>
      </c>
      <c r="N39" s="123">
        <v>0</v>
      </c>
      <c r="O39" s="124">
        <f t="shared" si="7"/>
        <v>107350.33</v>
      </c>
      <c r="P39" s="125">
        <f t="shared" si="4"/>
        <v>113791.33</v>
      </c>
      <c r="Q39" s="126">
        <f t="shared" si="5"/>
        <v>110571.33</v>
      </c>
      <c r="R39" s="60">
        <f t="shared" si="8"/>
        <v>0.33</v>
      </c>
    </row>
    <row r="40" spans="1:18" ht="17.100000000000001" customHeight="1" x14ac:dyDescent="0.25">
      <c r="A40" s="6" t="s">
        <v>29</v>
      </c>
      <c r="B40" s="104" t="s">
        <v>180</v>
      </c>
      <c r="C40" s="104">
        <f t="shared" si="9"/>
        <v>34</v>
      </c>
      <c r="D40" s="104" t="s">
        <v>110</v>
      </c>
      <c r="E40" s="105"/>
      <c r="F40" s="116">
        <v>1.1299999999999999</v>
      </c>
      <c r="G40" s="117">
        <v>474364.34</v>
      </c>
      <c r="H40" s="118">
        <v>276348</v>
      </c>
      <c r="I40" s="119"/>
      <c r="J40" s="120">
        <f t="shared" si="1"/>
        <v>198016.34000000003</v>
      </c>
      <c r="K40" s="120">
        <f t="shared" si="2"/>
        <v>5940.4902000000002</v>
      </c>
      <c r="L40" s="122">
        <f t="shared" si="3"/>
        <v>22600</v>
      </c>
      <c r="M40" s="122">
        <f t="shared" si="0"/>
        <v>84750</v>
      </c>
      <c r="N40" s="123">
        <v>0</v>
      </c>
      <c r="O40" s="124">
        <f t="shared" si="7"/>
        <v>311307.34000000003</v>
      </c>
      <c r="P40" s="125">
        <f t="shared" si="4"/>
        <v>329986.34000000003</v>
      </c>
      <c r="Q40" s="126">
        <f t="shared" si="5"/>
        <v>320646.34000000003</v>
      </c>
      <c r="R40" s="60">
        <f t="shared" si="8"/>
        <v>0.34</v>
      </c>
    </row>
    <row r="41" spans="1:18" ht="17.100000000000001" customHeight="1" x14ac:dyDescent="0.25">
      <c r="A41" s="6" t="s">
        <v>29</v>
      </c>
      <c r="B41" s="104" t="s">
        <v>181</v>
      </c>
      <c r="C41" s="104">
        <f t="shared" si="9"/>
        <v>35</v>
      </c>
      <c r="D41" s="104" t="s">
        <v>111</v>
      </c>
      <c r="E41" s="105"/>
      <c r="F41" s="116">
        <v>1.67</v>
      </c>
      <c r="G41" s="118">
        <v>262565.34999999998</v>
      </c>
      <c r="H41" s="118">
        <f>169065.35-'PRORRATEO (2)'!H41</f>
        <v>169065.35</v>
      </c>
      <c r="I41" s="119"/>
      <c r="J41" s="120">
        <f t="shared" si="1"/>
        <v>93499.999999999971</v>
      </c>
      <c r="K41" s="120">
        <f t="shared" si="2"/>
        <v>2804.9999999999991</v>
      </c>
      <c r="L41" s="122">
        <f t="shared" si="3"/>
        <v>33400</v>
      </c>
      <c r="M41" s="122">
        <f t="shared" si="0"/>
        <v>125250</v>
      </c>
      <c r="N41" s="123">
        <v>0</v>
      </c>
      <c r="O41" s="124">
        <f t="shared" si="7"/>
        <v>254955.35</v>
      </c>
      <c r="P41" s="125">
        <f t="shared" si="4"/>
        <v>270253.34999999998</v>
      </c>
      <c r="Q41" s="126">
        <f t="shared" si="5"/>
        <v>262604.34999999998</v>
      </c>
      <c r="R41" s="60">
        <f t="shared" si="8"/>
        <v>0.35000000000000003</v>
      </c>
    </row>
    <row r="42" spans="1:18" ht="17.100000000000001" customHeight="1" x14ac:dyDescent="0.25">
      <c r="A42" s="31"/>
      <c r="B42" s="103" t="s">
        <v>182</v>
      </c>
      <c r="C42" s="104">
        <f t="shared" si="9"/>
        <v>36</v>
      </c>
      <c r="D42" s="103" t="s">
        <v>112</v>
      </c>
      <c r="E42" s="132"/>
      <c r="F42" s="133">
        <v>1.71</v>
      </c>
      <c r="G42" s="117">
        <v>397331.36</v>
      </c>
      <c r="H42" s="118"/>
      <c r="I42" s="119"/>
      <c r="J42" s="120">
        <f t="shared" si="1"/>
        <v>397331.36</v>
      </c>
      <c r="K42" s="120">
        <f t="shared" si="2"/>
        <v>11919.940799999998</v>
      </c>
      <c r="L42" s="122">
        <f t="shared" si="3"/>
        <v>34200</v>
      </c>
      <c r="M42" s="122">
        <f t="shared" si="0"/>
        <v>128250</v>
      </c>
      <c r="N42" s="123">
        <v>0</v>
      </c>
      <c r="O42" s="124">
        <f t="shared" si="7"/>
        <v>571701.36</v>
      </c>
      <c r="P42" s="125">
        <f t="shared" si="4"/>
        <v>606003.36</v>
      </c>
      <c r="Q42" s="126">
        <f t="shared" si="5"/>
        <v>588852.36</v>
      </c>
      <c r="R42" s="60">
        <f t="shared" si="8"/>
        <v>0.36000000000000004</v>
      </c>
    </row>
    <row r="43" spans="1:18" ht="17.100000000000001" customHeight="1" x14ac:dyDescent="0.25">
      <c r="B43" s="104" t="s">
        <v>183</v>
      </c>
      <c r="C43" s="134">
        <f t="shared" si="9"/>
        <v>37</v>
      </c>
      <c r="D43" s="103" t="s">
        <v>93</v>
      </c>
      <c r="E43" s="103"/>
      <c r="F43" s="133">
        <v>1.1299999999999999</v>
      </c>
      <c r="G43" s="117">
        <v>107350.37</v>
      </c>
      <c r="H43" s="118">
        <f>57000+50350.32-'PRORRATEO (2)'!H43</f>
        <v>107350.32</v>
      </c>
      <c r="I43" s="119"/>
      <c r="J43" s="120">
        <f t="shared" si="1"/>
        <v>4.9999999988358468E-2</v>
      </c>
      <c r="K43" s="120">
        <f t="shared" si="2"/>
        <v>1.499999999650754E-3</v>
      </c>
      <c r="L43" s="122">
        <f t="shared" si="3"/>
        <v>22600</v>
      </c>
      <c r="M43" s="122">
        <f t="shared" si="0"/>
        <v>84750</v>
      </c>
      <c r="N43" s="123">
        <v>0</v>
      </c>
      <c r="O43" s="124">
        <f t="shared" si="7"/>
        <v>107350.37</v>
      </c>
      <c r="P43" s="125">
        <f t="shared" si="4"/>
        <v>113791.37</v>
      </c>
      <c r="Q43" s="126">
        <f t="shared" si="5"/>
        <v>110571.37</v>
      </c>
      <c r="R43" s="60">
        <f t="shared" si="8"/>
        <v>0.37000000000000005</v>
      </c>
    </row>
    <row r="44" spans="1:18" ht="17.100000000000001" customHeight="1" x14ac:dyDescent="0.25">
      <c r="B44" s="104" t="s">
        <v>184</v>
      </c>
      <c r="C44" s="134">
        <f t="shared" si="9"/>
        <v>38</v>
      </c>
      <c r="D44" s="103" t="s">
        <v>113</v>
      </c>
      <c r="E44" s="132"/>
      <c r="F44" s="133">
        <v>1.1299999999999999</v>
      </c>
      <c r="G44" s="117">
        <v>107350.38</v>
      </c>
      <c r="H44" s="118"/>
      <c r="I44" s="119"/>
      <c r="J44" s="120">
        <f t="shared" si="1"/>
        <v>107350.38</v>
      </c>
      <c r="K44" s="120">
        <f t="shared" si="2"/>
        <v>3220.5113999999999</v>
      </c>
      <c r="L44" s="122">
        <f t="shared" si="3"/>
        <v>22600</v>
      </c>
      <c r="M44" s="122">
        <f t="shared" si="0"/>
        <v>84750</v>
      </c>
      <c r="N44" s="123">
        <v>0</v>
      </c>
      <c r="O44" s="124">
        <f t="shared" si="7"/>
        <v>217921.38</v>
      </c>
      <c r="P44" s="125">
        <f t="shared" si="4"/>
        <v>230997.38</v>
      </c>
      <c r="Q44" s="126">
        <f t="shared" si="5"/>
        <v>224459.38</v>
      </c>
      <c r="R44" s="60">
        <f t="shared" si="8"/>
        <v>0.38000000000000006</v>
      </c>
    </row>
    <row r="45" spans="1:18" ht="17.100000000000001" customHeight="1" x14ac:dyDescent="0.25">
      <c r="B45" s="104" t="s">
        <v>185</v>
      </c>
      <c r="C45" s="134">
        <f t="shared" si="9"/>
        <v>39</v>
      </c>
      <c r="D45" s="103" t="s">
        <v>94</v>
      </c>
      <c r="E45" s="103"/>
      <c r="F45" s="133">
        <v>1.1299999999999999</v>
      </c>
      <c r="G45" s="117">
        <v>282004.39</v>
      </c>
      <c r="H45" s="118"/>
      <c r="I45" s="119"/>
      <c r="J45" s="120">
        <f t="shared" si="1"/>
        <v>282004.39</v>
      </c>
      <c r="K45" s="120">
        <f t="shared" si="2"/>
        <v>8460.1316999999999</v>
      </c>
      <c r="L45" s="122">
        <f t="shared" si="3"/>
        <v>22600</v>
      </c>
      <c r="M45" s="122">
        <f t="shared" si="0"/>
        <v>84750</v>
      </c>
      <c r="N45" s="123">
        <v>0</v>
      </c>
      <c r="O45" s="124">
        <f t="shared" si="7"/>
        <v>397815.39</v>
      </c>
      <c r="P45" s="125">
        <f t="shared" si="4"/>
        <v>421684.39</v>
      </c>
      <c r="Q45" s="126">
        <f t="shared" si="5"/>
        <v>409749.39</v>
      </c>
      <c r="R45" s="60">
        <f t="shared" si="8"/>
        <v>0.39000000000000007</v>
      </c>
    </row>
    <row r="46" spans="1:18" ht="17.100000000000001" customHeight="1" x14ac:dyDescent="0.25">
      <c r="B46" s="104" t="s">
        <v>186</v>
      </c>
      <c r="C46" s="134">
        <f t="shared" si="9"/>
        <v>40</v>
      </c>
      <c r="D46" s="103" t="s">
        <v>95</v>
      </c>
      <c r="E46" s="103"/>
      <c r="F46" s="133">
        <v>1.67</v>
      </c>
      <c r="G46" s="117">
        <v>229439.4</v>
      </c>
      <c r="H46" s="118"/>
      <c r="I46" s="119"/>
      <c r="J46" s="120">
        <f t="shared" si="1"/>
        <v>229439.4</v>
      </c>
      <c r="K46" s="120">
        <f t="shared" si="2"/>
        <v>6883.1819999999998</v>
      </c>
      <c r="L46" s="122">
        <f t="shared" si="3"/>
        <v>33400</v>
      </c>
      <c r="M46" s="122">
        <f t="shared" si="0"/>
        <v>125250</v>
      </c>
      <c r="N46" s="123">
        <v>0</v>
      </c>
      <c r="O46" s="124">
        <f t="shared" si="7"/>
        <v>394973.4</v>
      </c>
      <c r="P46" s="125">
        <f t="shared" si="4"/>
        <v>418672.4</v>
      </c>
      <c r="Q46" s="126">
        <f t="shared" si="5"/>
        <v>406822.40000000002</v>
      </c>
      <c r="R46" s="60">
        <f t="shared" si="8"/>
        <v>0.40000000000000008</v>
      </c>
    </row>
    <row r="47" spans="1:18" ht="17.100000000000001" customHeight="1" x14ac:dyDescent="0.25">
      <c r="B47" s="104" t="s">
        <v>187</v>
      </c>
      <c r="C47" s="134">
        <f t="shared" si="9"/>
        <v>41</v>
      </c>
      <c r="D47" s="103" t="s">
        <v>114</v>
      </c>
      <c r="E47" s="132"/>
      <c r="F47" s="133">
        <v>1.71</v>
      </c>
      <c r="G47" s="117">
        <v>162450.41</v>
      </c>
      <c r="H47" s="118">
        <f>167324.41-'PRORRATEO (2)'!H47</f>
        <v>167324.41</v>
      </c>
      <c r="I47" s="119"/>
      <c r="J47" s="120">
        <f t="shared" si="1"/>
        <v>-4874</v>
      </c>
      <c r="K47" s="120">
        <f t="shared" si="2"/>
        <v>0</v>
      </c>
      <c r="L47" s="122">
        <f t="shared" si="3"/>
        <v>34200</v>
      </c>
      <c r="M47" s="122">
        <f t="shared" si="0"/>
        <v>128250</v>
      </c>
      <c r="N47" s="123">
        <v>0</v>
      </c>
      <c r="O47" s="124">
        <f t="shared" si="7"/>
        <v>157576.41</v>
      </c>
      <c r="P47" s="125">
        <f t="shared" si="4"/>
        <v>167031.41</v>
      </c>
      <c r="Q47" s="126">
        <f t="shared" si="5"/>
        <v>162303.41</v>
      </c>
      <c r="R47" s="60">
        <f t="shared" si="8"/>
        <v>0.41000000000000009</v>
      </c>
    </row>
    <row r="48" spans="1:18" ht="17.100000000000001" customHeight="1" x14ac:dyDescent="0.25">
      <c r="B48" s="104" t="s">
        <v>188</v>
      </c>
      <c r="C48" s="134">
        <f t="shared" si="9"/>
        <v>42</v>
      </c>
      <c r="D48" s="103" t="s">
        <v>115</v>
      </c>
      <c r="E48" s="132"/>
      <c r="F48" s="133">
        <v>1.1299999999999999</v>
      </c>
      <c r="G48" s="117">
        <v>105158.42</v>
      </c>
      <c r="H48" s="118">
        <v>73075.42</v>
      </c>
      <c r="I48" s="119"/>
      <c r="J48" s="120">
        <f t="shared" si="1"/>
        <v>32083</v>
      </c>
      <c r="K48" s="120">
        <f t="shared" si="2"/>
        <v>962.49</v>
      </c>
      <c r="L48" s="122">
        <f t="shared" si="3"/>
        <v>22600</v>
      </c>
      <c r="M48" s="122">
        <f t="shared" si="0"/>
        <v>84750</v>
      </c>
      <c r="N48" s="123">
        <v>0</v>
      </c>
      <c r="O48" s="124">
        <f t="shared" si="7"/>
        <v>140395.42000000001</v>
      </c>
      <c r="P48" s="125">
        <f t="shared" si="4"/>
        <v>148819.42000000001</v>
      </c>
      <c r="Q48" s="126">
        <f t="shared" si="5"/>
        <v>144607.42000000001</v>
      </c>
      <c r="R48" s="60">
        <f t="shared" si="8"/>
        <v>0.4200000000000001</v>
      </c>
    </row>
    <row r="49" spans="2:18" ht="17.100000000000001" customHeight="1" x14ac:dyDescent="0.25">
      <c r="B49" s="104" t="s">
        <v>189</v>
      </c>
      <c r="C49" s="134">
        <f t="shared" si="9"/>
        <v>43</v>
      </c>
      <c r="D49" s="103" t="s">
        <v>116</v>
      </c>
      <c r="E49" s="132"/>
      <c r="F49" s="133">
        <v>1.1299999999999999</v>
      </c>
      <c r="G49" s="117">
        <v>107350.43</v>
      </c>
      <c r="H49" s="118">
        <f>G49-'PRORRATEO (2)'!H49</f>
        <v>107350.43</v>
      </c>
      <c r="I49" s="119"/>
      <c r="J49" s="120">
        <f t="shared" si="1"/>
        <v>0</v>
      </c>
      <c r="K49" s="120">
        <f t="shared" si="2"/>
        <v>0</v>
      </c>
      <c r="L49" s="122">
        <f t="shared" si="3"/>
        <v>22600</v>
      </c>
      <c r="M49" s="122">
        <f t="shared" si="0"/>
        <v>84750</v>
      </c>
      <c r="N49" s="123">
        <v>0</v>
      </c>
      <c r="O49" s="124">
        <f t="shared" si="7"/>
        <v>107350.43</v>
      </c>
      <c r="P49" s="125">
        <f t="shared" si="4"/>
        <v>113791.43</v>
      </c>
      <c r="Q49" s="126">
        <f t="shared" si="5"/>
        <v>110571.43</v>
      </c>
      <c r="R49" s="60">
        <f t="shared" si="8"/>
        <v>0.4300000000000001</v>
      </c>
    </row>
    <row r="50" spans="2:18" ht="17.100000000000001" customHeight="1" x14ac:dyDescent="0.25">
      <c r="B50" s="104" t="s">
        <v>190</v>
      </c>
      <c r="C50" s="134">
        <f t="shared" si="9"/>
        <v>44</v>
      </c>
      <c r="D50" s="103" t="s">
        <v>96</v>
      </c>
      <c r="E50" s="103"/>
      <c r="F50" s="133">
        <v>1.1299999999999999</v>
      </c>
      <c r="G50" s="117">
        <v>107350.44</v>
      </c>
      <c r="H50" s="118">
        <f>G50-'PRORRATEO (2)'!H50</f>
        <v>107350.44</v>
      </c>
      <c r="I50" s="119"/>
      <c r="J50" s="120">
        <f t="shared" si="1"/>
        <v>0</v>
      </c>
      <c r="K50" s="120">
        <f t="shared" si="2"/>
        <v>0</v>
      </c>
      <c r="L50" s="122">
        <f t="shared" si="3"/>
        <v>22600</v>
      </c>
      <c r="M50" s="122">
        <f t="shared" si="0"/>
        <v>84750</v>
      </c>
      <c r="N50" s="123">
        <v>0</v>
      </c>
      <c r="O50" s="124">
        <f t="shared" si="7"/>
        <v>107350.44</v>
      </c>
      <c r="P50" s="125">
        <f t="shared" si="4"/>
        <v>113791.44</v>
      </c>
      <c r="Q50" s="126">
        <f t="shared" si="5"/>
        <v>110571.44</v>
      </c>
      <c r="R50" s="60">
        <f t="shared" si="8"/>
        <v>0.44000000000000011</v>
      </c>
    </row>
    <row r="51" spans="2:18" ht="17.100000000000001" customHeight="1" x14ac:dyDescent="0.25">
      <c r="B51" s="104" t="s">
        <v>191</v>
      </c>
      <c r="C51" s="134">
        <f t="shared" si="9"/>
        <v>45</v>
      </c>
      <c r="D51" s="103" t="s">
        <v>97</v>
      </c>
      <c r="E51" s="103"/>
      <c r="F51" s="133">
        <v>1.67</v>
      </c>
      <c r="G51" s="117">
        <v>158650.45000000001</v>
      </c>
      <c r="H51" s="118">
        <f>G51-'PRORRATEO (2)'!H51</f>
        <v>158650.45000000001</v>
      </c>
      <c r="I51" s="119"/>
      <c r="J51" s="120">
        <f t="shared" si="1"/>
        <v>0</v>
      </c>
      <c r="K51" s="120">
        <f t="shared" si="2"/>
        <v>0</v>
      </c>
      <c r="L51" s="122">
        <f t="shared" si="3"/>
        <v>33400</v>
      </c>
      <c r="M51" s="122">
        <f t="shared" si="0"/>
        <v>125250</v>
      </c>
      <c r="N51" s="123">
        <v>0</v>
      </c>
      <c r="O51" s="124">
        <f t="shared" si="7"/>
        <v>158650.45000000001</v>
      </c>
      <c r="P51" s="125">
        <f t="shared" si="4"/>
        <v>168169.45</v>
      </c>
      <c r="Q51" s="126">
        <f t="shared" si="5"/>
        <v>163410.45000000001</v>
      </c>
      <c r="R51" s="60">
        <f t="shared" si="8"/>
        <v>0.45000000000000012</v>
      </c>
    </row>
    <row r="52" spans="2:18" ht="17.100000000000001" customHeight="1" x14ac:dyDescent="0.25">
      <c r="B52" s="104" t="s">
        <v>192</v>
      </c>
      <c r="C52" s="134">
        <f t="shared" si="9"/>
        <v>46</v>
      </c>
      <c r="D52" s="103" t="s">
        <v>117</v>
      </c>
      <c r="E52" s="132"/>
      <c r="F52" s="133">
        <v>1.71</v>
      </c>
      <c r="G52" s="117">
        <v>162450.46</v>
      </c>
      <c r="H52" s="118">
        <f>G52-'PRORRATEO (2)'!H52</f>
        <v>162450.46</v>
      </c>
      <c r="I52" s="119"/>
      <c r="J52" s="120">
        <f t="shared" si="1"/>
        <v>0</v>
      </c>
      <c r="K52" s="120">
        <f t="shared" si="2"/>
        <v>0</v>
      </c>
      <c r="L52" s="122">
        <f t="shared" si="3"/>
        <v>34200</v>
      </c>
      <c r="M52" s="122">
        <f t="shared" si="0"/>
        <v>128250</v>
      </c>
      <c r="N52" s="123">
        <v>0</v>
      </c>
      <c r="O52" s="124">
        <f t="shared" si="7"/>
        <v>162450.46</v>
      </c>
      <c r="P52" s="125">
        <f t="shared" si="4"/>
        <v>172197.46</v>
      </c>
      <c r="Q52" s="126">
        <f t="shared" si="5"/>
        <v>167324.46</v>
      </c>
      <c r="R52" s="60">
        <f t="shared" si="8"/>
        <v>0.46000000000000013</v>
      </c>
    </row>
    <row r="53" spans="2:18" ht="17.100000000000001" customHeight="1" x14ac:dyDescent="0.25">
      <c r="B53" s="104" t="s">
        <v>193</v>
      </c>
      <c r="C53" s="134">
        <f t="shared" si="9"/>
        <v>47</v>
      </c>
      <c r="D53" s="103" t="s">
        <v>98</v>
      </c>
      <c r="E53" s="103"/>
      <c r="F53" s="133">
        <v>1.1299999999999999</v>
      </c>
      <c r="G53" s="117">
        <v>107350.47</v>
      </c>
      <c r="H53" s="118">
        <f>G53-'PRORRATEO (2)'!H53</f>
        <v>107350.47</v>
      </c>
      <c r="I53" s="119"/>
      <c r="J53" s="120">
        <f t="shared" si="1"/>
        <v>0</v>
      </c>
      <c r="K53" s="120">
        <f t="shared" si="2"/>
        <v>0</v>
      </c>
      <c r="L53" s="122">
        <f t="shared" si="3"/>
        <v>22600</v>
      </c>
      <c r="M53" s="122">
        <f t="shared" si="0"/>
        <v>84750</v>
      </c>
      <c r="N53" s="123">
        <v>0</v>
      </c>
      <c r="O53" s="124">
        <f t="shared" si="7"/>
        <v>107350.47</v>
      </c>
      <c r="P53" s="125">
        <f t="shared" si="4"/>
        <v>113791.47</v>
      </c>
      <c r="Q53" s="126">
        <f t="shared" si="5"/>
        <v>110571.47</v>
      </c>
      <c r="R53" s="60">
        <f t="shared" si="8"/>
        <v>0.47000000000000014</v>
      </c>
    </row>
    <row r="54" spans="2:18" ht="17.100000000000001" customHeight="1" x14ac:dyDescent="0.25">
      <c r="B54" s="104" t="s">
        <v>194</v>
      </c>
      <c r="C54" s="134">
        <f t="shared" si="9"/>
        <v>48</v>
      </c>
      <c r="D54" s="103" t="s">
        <v>99</v>
      </c>
      <c r="E54" s="103"/>
      <c r="F54" s="133">
        <v>1.1299999999999999</v>
      </c>
      <c r="G54" s="117">
        <v>105220.48</v>
      </c>
      <c r="H54" s="118">
        <f>108377.48-'PRORRATEO (2)'!H54</f>
        <v>108377.48</v>
      </c>
      <c r="I54" s="119"/>
      <c r="J54" s="120">
        <f t="shared" si="1"/>
        <v>-3157</v>
      </c>
      <c r="K54" s="120">
        <f t="shared" si="2"/>
        <v>0</v>
      </c>
      <c r="L54" s="122">
        <f t="shared" si="3"/>
        <v>22600</v>
      </c>
      <c r="M54" s="122">
        <f t="shared" si="0"/>
        <v>84750</v>
      </c>
      <c r="N54" s="123">
        <v>0</v>
      </c>
      <c r="O54" s="124">
        <f t="shared" si="7"/>
        <v>104193.48</v>
      </c>
      <c r="P54" s="125">
        <f t="shared" si="4"/>
        <v>110445.48</v>
      </c>
      <c r="Q54" s="126">
        <f t="shared" si="5"/>
        <v>107319.48</v>
      </c>
      <c r="R54" s="60">
        <f t="shared" si="8"/>
        <v>0.48000000000000015</v>
      </c>
    </row>
    <row r="55" spans="2:18" ht="17.100000000000001" customHeight="1" x14ac:dyDescent="0.25">
      <c r="B55" s="104" t="s">
        <v>195</v>
      </c>
      <c r="C55" s="134">
        <f t="shared" si="9"/>
        <v>49</v>
      </c>
      <c r="D55" s="103" t="s">
        <v>225</v>
      </c>
      <c r="E55" s="103"/>
      <c r="F55" s="133">
        <v>1.1299999999999999</v>
      </c>
      <c r="G55" s="117">
        <v>107350.49</v>
      </c>
      <c r="H55" s="118">
        <f>G55-'PRORRATEO (2)'!H55</f>
        <v>107350.49</v>
      </c>
      <c r="I55" s="119"/>
      <c r="J55" s="120">
        <f t="shared" si="1"/>
        <v>0</v>
      </c>
      <c r="K55" s="120">
        <f t="shared" si="2"/>
        <v>0</v>
      </c>
      <c r="L55" s="122">
        <f t="shared" si="3"/>
        <v>22600</v>
      </c>
      <c r="M55" s="122">
        <f t="shared" si="0"/>
        <v>84750</v>
      </c>
      <c r="N55" s="123">
        <v>0</v>
      </c>
      <c r="O55" s="124">
        <f t="shared" si="7"/>
        <v>107350.49</v>
      </c>
      <c r="P55" s="125">
        <f t="shared" si="4"/>
        <v>113792.49</v>
      </c>
      <c r="Q55" s="126">
        <f t="shared" si="5"/>
        <v>110571.49</v>
      </c>
      <c r="R55" s="60">
        <f t="shared" si="8"/>
        <v>0.49000000000000016</v>
      </c>
    </row>
    <row r="56" spans="2:18" ht="17.100000000000001" customHeight="1" x14ac:dyDescent="0.25">
      <c r="B56" s="104" t="s">
        <v>196</v>
      </c>
      <c r="C56" s="134">
        <f t="shared" si="9"/>
        <v>50</v>
      </c>
      <c r="D56" s="103" t="s">
        <v>100</v>
      </c>
      <c r="E56" s="103"/>
      <c r="F56" s="133">
        <v>1.67</v>
      </c>
      <c r="G56" s="117">
        <v>158641.5</v>
      </c>
      <c r="H56" s="118">
        <v>166000</v>
      </c>
      <c r="I56" s="119"/>
      <c r="J56" s="120">
        <f t="shared" si="1"/>
        <v>-7358.5</v>
      </c>
      <c r="K56" s="120">
        <f t="shared" si="2"/>
        <v>0</v>
      </c>
      <c r="L56" s="122">
        <f t="shared" si="3"/>
        <v>33400</v>
      </c>
      <c r="M56" s="122">
        <f t="shared" si="0"/>
        <v>125250</v>
      </c>
      <c r="N56" s="123">
        <v>0</v>
      </c>
      <c r="O56" s="124">
        <f t="shared" si="7"/>
        <v>151292.5</v>
      </c>
      <c r="P56" s="125">
        <f t="shared" si="4"/>
        <v>160370.5</v>
      </c>
      <c r="Q56" s="126">
        <f t="shared" si="5"/>
        <v>155831.5</v>
      </c>
      <c r="R56" s="60">
        <f t="shared" si="8"/>
        <v>0.50000000000000011</v>
      </c>
    </row>
    <row r="57" spans="2:18" ht="17.100000000000001" customHeight="1" x14ac:dyDescent="0.25">
      <c r="B57" s="104" t="s">
        <v>197</v>
      </c>
      <c r="C57" s="134">
        <f t="shared" si="9"/>
        <v>51</v>
      </c>
      <c r="D57" s="103" t="s">
        <v>119</v>
      </c>
      <c r="E57" s="132"/>
      <c r="F57" s="133">
        <v>1.71</v>
      </c>
      <c r="G57" s="117">
        <v>162450.51</v>
      </c>
      <c r="H57" s="118"/>
      <c r="I57" s="119"/>
      <c r="J57" s="120">
        <f t="shared" si="1"/>
        <v>162450.51</v>
      </c>
      <c r="K57" s="120">
        <f t="shared" si="2"/>
        <v>4873.5153</v>
      </c>
      <c r="L57" s="122">
        <f t="shared" si="3"/>
        <v>34200</v>
      </c>
      <c r="M57" s="122">
        <f t="shared" si="0"/>
        <v>128250</v>
      </c>
      <c r="N57" s="123">
        <v>0</v>
      </c>
      <c r="O57" s="124">
        <f t="shared" si="7"/>
        <v>329774.51</v>
      </c>
      <c r="P57" s="125">
        <f t="shared" si="4"/>
        <v>349561.51</v>
      </c>
      <c r="Q57" s="126">
        <f t="shared" si="5"/>
        <v>339667.51</v>
      </c>
      <c r="R57" s="60">
        <f t="shared" si="8"/>
        <v>0.51000000000000012</v>
      </c>
    </row>
    <row r="58" spans="2:18" ht="17.100000000000001" customHeight="1" x14ac:dyDescent="0.25">
      <c r="B58" s="104" t="s">
        <v>198</v>
      </c>
      <c r="C58" s="134">
        <f t="shared" si="9"/>
        <v>52</v>
      </c>
      <c r="D58" s="103" t="s">
        <v>118</v>
      </c>
      <c r="E58" s="132"/>
      <c r="F58" s="133">
        <v>1.1299999999999999</v>
      </c>
      <c r="G58" s="117">
        <v>107350.52</v>
      </c>
      <c r="H58" s="118">
        <f>G58-'PRORRATEO (2)'!H58</f>
        <v>107350.52</v>
      </c>
      <c r="I58" s="119"/>
      <c r="J58" s="120">
        <f t="shared" si="1"/>
        <v>0</v>
      </c>
      <c r="K58" s="120">
        <f t="shared" si="2"/>
        <v>0</v>
      </c>
      <c r="L58" s="122">
        <f t="shared" si="3"/>
        <v>22600</v>
      </c>
      <c r="M58" s="122">
        <f t="shared" si="0"/>
        <v>84750</v>
      </c>
      <c r="N58" s="123">
        <v>0</v>
      </c>
      <c r="O58" s="124">
        <f t="shared" si="7"/>
        <v>107350.52</v>
      </c>
      <c r="P58" s="125">
        <f t="shared" si="4"/>
        <v>113792.52</v>
      </c>
      <c r="Q58" s="126">
        <f t="shared" si="5"/>
        <v>110571.52</v>
      </c>
      <c r="R58" s="60">
        <f t="shared" si="8"/>
        <v>0.52000000000000013</v>
      </c>
    </row>
    <row r="59" spans="2:18" ht="17.100000000000001" customHeight="1" x14ac:dyDescent="0.25">
      <c r="B59" s="104" t="s">
        <v>199</v>
      </c>
      <c r="C59" s="134">
        <f t="shared" si="9"/>
        <v>53</v>
      </c>
      <c r="D59" s="103" t="s">
        <v>269</v>
      </c>
      <c r="E59" s="103"/>
      <c r="F59" s="133">
        <v>1.1299999999999999</v>
      </c>
      <c r="G59" s="117">
        <v>107350.53</v>
      </c>
      <c r="H59" s="118">
        <f>G59-'PRORRATEO (2)'!H59</f>
        <v>107350.53</v>
      </c>
      <c r="I59" s="119"/>
      <c r="J59" s="120">
        <f t="shared" si="1"/>
        <v>0</v>
      </c>
      <c r="K59" s="120">
        <f t="shared" si="2"/>
        <v>0</v>
      </c>
      <c r="L59" s="122">
        <f t="shared" si="3"/>
        <v>22600</v>
      </c>
      <c r="M59" s="122">
        <f t="shared" si="0"/>
        <v>84750</v>
      </c>
      <c r="N59" s="123">
        <v>0</v>
      </c>
      <c r="O59" s="124">
        <f t="shared" si="7"/>
        <v>107350.53</v>
      </c>
      <c r="P59" s="125">
        <f t="shared" si="4"/>
        <v>113792.53</v>
      </c>
      <c r="Q59" s="126">
        <f t="shared" si="5"/>
        <v>110571.53</v>
      </c>
      <c r="R59" s="60">
        <f t="shared" si="8"/>
        <v>0.53000000000000014</v>
      </c>
    </row>
    <row r="60" spans="2:18" ht="17.100000000000001" customHeight="1" x14ac:dyDescent="0.25">
      <c r="B60" s="104" t="s">
        <v>200</v>
      </c>
      <c r="C60" s="134">
        <f t="shared" si="9"/>
        <v>54</v>
      </c>
      <c r="D60" s="103" t="s">
        <v>121</v>
      </c>
      <c r="E60" s="132"/>
      <c r="F60" s="133">
        <v>1.1299999999999999</v>
      </c>
      <c r="G60" s="117">
        <v>107350.54</v>
      </c>
      <c r="H60" s="118">
        <f>G60-'PRORRATEO (2)'!H60</f>
        <v>107350.54</v>
      </c>
      <c r="I60" s="119"/>
      <c r="J60" s="120">
        <f t="shared" si="1"/>
        <v>0</v>
      </c>
      <c r="K60" s="120">
        <f t="shared" si="2"/>
        <v>0</v>
      </c>
      <c r="L60" s="122">
        <f t="shared" si="3"/>
        <v>22600</v>
      </c>
      <c r="M60" s="122">
        <f t="shared" si="0"/>
        <v>84750</v>
      </c>
      <c r="N60" s="123">
        <v>0</v>
      </c>
      <c r="O60" s="124">
        <f t="shared" si="7"/>
        <v>107350.54</v>
      </c>
      <c r="P60" s="125">
        <f t="shared" si="4"/>
        <v>113792.54</v>
      </c>
      <c r="Q60" s="126">
        <f t="shared" si="5"/>
        <v>110571.54</v>
      </c>
      <c r="R60" s="60">
        <f t="shared" si="8"/>
        <v>0.54000000000000015</v>
      </c>
    </row>
    <row r="61" spans="2:18" ht="17.100000000000001" customHeight="1" x14ac:dyDescent="0.25">
      <c r="B61" s="104" t="s">
        <v>201</v>
      </c>
      <c r="C61" s="134">
        <f t="shared" si="9"/>
        <v>55</v>
      </c>
      <c r="D61" s="103" t="s">
        <v>120</v>
      </c>
      <c r="E61" s="132"/>
      <c r="F61" s="133">
        <v>1.67</v>
      </c>
      <c r="G61" s="117">
        <v>158650.54999999999</v>
      </c>
      <c r="H61" s="118">
        <f>G61-'PRORRATEO (2)'!H61</f>
        <v>158650.54999999999</v>
      </c>
      <c r="I61" s="119"/>
      <c r="J61" s="120">
        <f t="shared" si="1"/>
        <v>0</v>
      </c>
      <c r="K61" s="120">
        <f t="shared" si="2"/>
        <v>0</v>
      </c>
      <c r="L61" s="122">
        <f t="shared" si="3"/>
        <v>33400</v>
      </c>
      <c r="M61" s="122">
        <f t="shared" si="0"/>
        <v>125250</v>
      </c>
      <c r="N61" s="123"/>
      <c r="O61" s="124">
        <f t="shared" si="7"/>
        <v>158650.54999999999</v>
      </c>
      <c r="P61" s="125">
        <f t="shared" si="4"/>
        <v>168170.55</v>
      </c>
      <c r="Q61" s="126">
        <f t="shared" si="5"/>
        <v>163410.54999999999</v>
      </c>
      <c r="R61" s="60">
        <f t="shared" si="8"/>
        <v>0.55000000000000016</v>
      </c>
    </row>
    <row r="62" spans="2:18" ht="17.100000000000001" customHeight="1" x14ac:dyDescent="0.25">
      <c r="B62" s="104" t="s">
        <v>202</v>
      </c>
      <c r="C62" s="134">
        <f t="shared" si="9"/>
        <v>56</v>
      </c>
      <c r="D62" s="103" t="s">
        <v>122</v>
      </c>
      <c r="E62" s="132"/>
      <c r="F62" s="133">
        <v>1.71</v>
      </c>
      <c r="G62" s="117">
        <v>170321.56</v>
      </c>
      <c r="H62" s="118"/>
      <c r="I62" s="119"/>
      <c r="J62" s="120">
        <f t="shared" si="1"/>
        <v>170321.56</v>
      </c>
      <c r="K62" s="120">
        <f t="shared" si="2"/>
        <v>5109.6467999999995</v>
      </c>
      <c r="L62" s="122">
        <f t="shared" si="3"/>
        <v>34200</v>
      </c>
      <c r="M62" s="122">
        <f t="shared" si="0"/>
        <v>128250</v>
      </c>
      <c r="N62" s="123">
        <v>0</v>
      </c>
      <c r="O62" s="124">
        <f t="shared" si="7"/>
        <v>337881.56</v>
      </c>
      <c r="P62" s="125">
        <f t="shared" si="4"/>
        <v>358154.56</v>
      </c>
      <c r="Q62" s="126">
        <f t="shared" si="5"/>
        <v>348017.56</v>
      </c>
      <c r="R62" s="60">
        <f t="shared" si="8"/>
        <v>0.56000000000000016</v>
      </c>
    </row>
    <row r="63" spans="2:18" ht="17.100000000000001" customHeight="1" x14ac:dyDescent="0.25">
      <c r="B63" s="104" t="s">
        <v>203</v>
      </c>
      <c r="C63" s="134">
        <f t="shared" si="9"/>
        <v>57</v>
      </c>
      <c r="D63" s="103" t="s">
        <v>226</v>
      </c>
      <c r="E63" s="132"/>
      <c r="F63" s="133">
        <v>1.1299999999999999</v>
      </c>
      <c r="G63" s="117">
        <v>107350.57</v>
      </c>
      <c r="H63" s="118">
        <f>G63-'PRORRATEO (2)'!H63</f>
        <v>107350.57</v>
      </c>
      <c r="I63" s="119"/>
      <c r="J63" s="120">
        <f t="shared" si="1"/>
        <v>0</v>
      </c>
      <c r="K63" s="120">
        <f t="shared" si="2"/>
        <v>0</v>
      </c>
      <c r="L63" s="122">
        <f t="shared" si="3"/>
        <v>22600</v>
      </c>
      <c r="M63" s="122">
        <f t="shared" si="0"/>
        <v>84750</v>
      </c>
      <c r="N63" s="123">
        <v>0</v>
      </c>
      <c r="O63" s="124">
        <f t="shared" si="7"/>
        <v>107350.57</v>
      </c>
      <c r="P63" s="125">
        <f t="shared" si="4"/>
        <v>113792.57</v>
      </c>
      <c r="Q63" s="126">
        <f t="shared" si="5"/>
        <v>110571.57</v>
      </c>
      <c r="R63" s="60">
        <f t="shared" si="8"/>
        <v>0.57000000000000017</v>
      </c>
    </row>
    <row r="64" spans="2:18" ht="17.100000000000001" customHeight="1" x14ac:dyDescent="0.25">
      <c r="B64" s="104" t="s">
        <v>204</v>
      </c>
      <c r="C64" s="134">
        <f t="shared" si="9"/>
        <v>58</v>
      </c>
      <c r="D64" s="103" t="s">
        <v>102</v>
      </c>
      <c r="E64" s="103"/>
      <c r="F64" s="133">
        <v>1.1299999999999999</v>
      </c>
      <c r="G64" s="117">
        <v>105158.58</v>
      </c>
      <c r="H64" s="118">
        <f>108313.58-'PRORRATEO (2)'!H64</f>
        <v>108313.58</v>
      </c>
      <c r="I64" s="119"/>
      <c r="J64" s="120">
        <f t="shared" si="1"/>
        <v>-3155</v>
      </c>
      <c r="K64" s="120">
        <f t="shared" si="2"/>
        <v>0</v>
      </c>
      <c r="L64" s="122">
        <f t="shared" si="3"/>
        <v>22600</v>
      </c>
      <c r="M64" s="122">
        <f t="shared" si="0"/>
        <v>84750</v>
      </c>
      <c r="N64" s="123">
        <v>0</v>
      </c>
      <c r="O64" s="124">
        <f t="shared" si="7"/>
        <v>104195.58</v>
      </c>
      <c r="P64" s="125">
        <f t="shared" si="4"/>
        <v>110447.58</v>
      </c>
      <c r="Q64" s="126">
        <f t="shared" si="5"/>
        <v>107321.58</v>
      </c>
      <c r="R64" s="60">
        <f t="shared" si="8"/>
        <v>0.58000000000000018</v>
      </c>
    </row>
    <row r="65" spans="2:18" ht="17.100000000000001" customHeight="1" x14ac:dyDescent="0.25">
      <c r="B65" s="104" t="s">
        <v>205</v>
      </c>
      <c r="C65" s="134">
        <f t="shared" si="9"/>
        <v>59</v>
      </c>
      <c r="D65" s="103" t="s">
        <v>123</v>
      </c>
      <c r="E65" s="132"/>
      <c r="F65" s="133">
        <v>1.1299999999999999</v>
      </c>
      <c r="G65" s="117">
        <v>184810.59</v>
      </c>
      <c r="H65" s="118">
        <f>G65</f>
        <v>184810.59</v>
      </c>
      <c r="I65" s="119"/>
      <c r="J65" s="120">
        <f t="shared" si="1"/>
        <v>0</v>
      </c>
      <c r="K65" s="120">
        <f t="shared" si="2"/>
        <v>0</v>
      </c>
      <c r="L65" s="122">
        <f t="shared" si="3"/>
        <v>22600</v>
      </c>
      <c r="M65" s="122">
        <f t="shared" si="0"/>
        <v>84750</v>
      </c>
      <c r="N65" s="123">
        <v>0</v>
      </c>
      <c r="O65" s="124">
        <f t="shared" si="7"/>
        <v>107350.59</v>
      </c>
      <c r="P65" s="125">
        <f t="shared" si="4"/>
        <v>113792.59</v>
      </c>
      <c r="Q65" s="126">
        <f t="shared" si="5"/>
        <v>110571.59</v>
      </c>
      <c r="R65" s="60">
        <f t="shared" si="8"/>
        <v>0.59000000000000019</v>
      </c>
    </row>
    <row r="66" spans="2:18" ht="17.100000000000001" customHeight="1" x14ac:dyDescent="0.25">
      <c r="B66" s="104" t="s">
        <v>206</v>
      </c>
      <c r="C66" s="134">
        <f t="shared" si="9"/>
        <v>60</v>
      </c>
      <c r="D66" s="103" t="s">
        <v>103</v>
      </c>
      <c r="E66" s="103"/>
      <c r="F66" s="133">
        <v>1.67</v>
      </c>
      <c r="G66" s="117">
        <v>158650.6</v>
      </c>
      <c r="H66" s="118">
        <f>G66-'PRORRATEO (2)'!H66</f>
        <v>158650.6</v>
      </c>
      <c r="I66" s="119"/>
      <c r="J66" s="120">
        <f t="shared" si="1"/>
        <v>0</v>
      </c>
      <c r="K66" s="120">
        <f t="shared" si="2"/>
        <v>0</v>
      </c>
      <c r="L66" s="122">
        <f t="shared" si="3"/>
        <v>33400</v>
      </c>
      <c r="M66" s="122">
        <f t="shared" si="0"/>
        <v>125250</v>
      </c>
      <c r="N66" s="123">
        <v>0</v>
      </c>
      <c r="O66" s="124">
        <f t="shared" si="7"/>
        <v>158650.6</v>
      </c>
      <c r="P66" s="125">
        <f t="shared" si="4"/>
        <v>168170.6</v>
      </c>
      <c r="Q66" s="126">
        <f t="shared" si="5"/>
        <v>163410.6</v>
      </c>
      <c r="R66" s="60">
        <f t="shared" si="8"/>
        <v>0.6000000000000002</v>
      </c>
    </row>
    <row r="67" spans="2:18" ht="17.100000000000001" customHeight="1" x14ac:dyDescent="0.25">
      <c r="B67" s="104" t="s">
        <v>207</v>
      </c>
      <c r="C67" s="134">
        <f t="shared" si="9"/>
        <v>61</v>
      </c>
      <c r="D67" s="103" t="s">
        <v>124</v>
      </c>
      <c r="E67" s="132"/>
      <c r="F67" s="133">
        <v>1.71</v>
      </c>
      <c r="G67" s="117">
        <v>162450.60999999999</v>
      </c>
      <c r="H67" s="118"/>
      <c r="I67" s="119"/>
      <c r="J67" s="120">
        <f t="shared" si="1"/>
        <v>162450.60999999999</v>
      </c>
      <c r="K67" s="120">
        <f t="shared" si="2"/>
        <v>4873.5182999999997</v>
      </c>
      <c r="L67" s="122">
        <f t="shared" si="3"/>
        <v>34200</v>
      </c>
      <c r="M67" s="122">
        <f t="shared" si="0"/>
        <v>128250</v>
      </c>
      <c r="N67" s="123">
        <v>0</v>
      </c>
      <c r="O67" s="124">
        <f t="shared" si="7"/>
        <v>329774.61</v>
      </c>
      <c r="P67" s="125">
        <f t="shared" si="4"/>
        <v>349561.61</v>
      </c>
      <c r="Q67" s="126">
        <f t="shared" si="5"/>
        <v>339667.61</v>
      </c>
      <c r="R67" s="60">
        <f t="shared" si="8"/>
        <v>0.61000000000000021</v>
      </c>
    </row>
    <row r="68" spans="2:18" ht="17.100000000000001" customHeight="1" x14ac:dyDescent="0.25">
      <c r="B68" s="104" t="s">
        <v>208</v>
      </c>
      <c r="C68" s="134">
        <f t="shared" si="9"/>
        <v>62</v>
      </c>
      <c r="D68" s="103" t="s">
        <v>104</v>
      </c>
      <c r="E68" s="103"/>
      <c r="F68" s="133">
        <v>1.1299999999999999</v>
      </c>
      <c r="G68" s="117">
        <v>105220.62</v>
      </c>
      <c r="H68" s="118">
        <f>108377.62-'PRORRATEO (2)'!H68</f>
        <v>108377.62</v>
      </c>
      <c r="I68" s="119"/>
      <c r="J68" s="120">
        <f t="shared" si="1"/>
        <v>-3157</v>
      </c>
      <c r="K68" s="120">
        <f t="shared" si="2"/>
        <v>0</v>
      </c>
      <c r="L68" s="122">
        <f t="shared" si="3"/>
        <v>22600</v>
      </c>
      <c r="M68" s="122">
        <f t="shared" si="0"/>
        <v>84750</v>
      </c>
      <c r="N68" s="123">
        <v>0</v>
      </c>
      <c r="O68" s="124">
        <f t="shared" si="7"/>
        <v>104193.62</v>
      </c>
      <c r="P68" s="125">
        <f t="shared" si="4"/>
        <v>110445.62</v>
      </c>
      <c r="Q68" s="126">
        <f t="shared" si="5"/>
        <v>107319.62</v>
      </c>
      <c r="R68" s="60">
        <f t="shared" si="8"/>
        <v>0.62000000000000022</v>
      </c>
    </row>
    <row r="69" spans="2:18" ht="17.100000000000001" customHeight="1" x14ac:dyDescent="0.25">
      <c r="B69" s="104" t="s">
        <v>209</v>
      </c>
      <c r="C69" s="134">
        <f t="shared" si="9"/>
        <v>63</v>
      </c>
      <c r="D69" s="103" t="s">
        <v>105</v>
      </c>
      <c r="E69" s="103"/>
      <c r="F69" s="133">
        <v>1.1299999999999999</v>
      </c>
      <c r="G69" s="117">
        <v>106051.63</v>
      </c>
      <c r="H69" s="118">
        <f>G69</f>
        <v>106051.63</v>
      </c>
      <c r="I69" s="119"/>
      <c r="J69" s="120">
        <f t="shared" si="1"/>
        <v>0</v>
      </c>
      <c r="K69" s="120">
        <f t="shared" si="2"/>
        <v>0</v>
      </c>
      <c r="L69" s="122">
        <f t="shared" si="3"/>
        <v>22600</v>
      </c>
      <c r="M69" s="122">
        <f t="shared" si="0"/>
        <v>84750</v>
      </c>
      <c r="N69" s="123">
        <v>0</v>
      </c>
      <c r="O69" s="124">
        <f t="shared" si="7"/>
        <v>107350.63</v>
      </c>
      <c r="P69" s="125">
        <f t="shared" si="4"/>
        <v>113792.63</v>
      </c>
      <c r="Q69" s="126">
        <f t="shared" si="5"/>
        <v>110571.63</v>
      </c>
      <c r="R69" s="60">
        <f t="shared" si="8"/>
        <v>0.63000000000000023</v>
      </c>
    </row>
    <row r="70" spans="2:18" ht="17.100000000000001" customHeight="1" x14ac:dyDescent="0.25">
      <c r="B70" s="104" t="s">
        <v>210</v>
      </c>
      <c r="C70" s="134">
        <f t="shared" si="9"/>
        <v>64</v>
      </c>
      <c r="D70" s="103" t="s">
        <v>126</v>
      </c>
      <c r="E70" s="132"/>
      <c r="F70" s="133">
        <v>1.1299999999999999</v>
      </c>
      <c r="G70" s="117">
        <v>107350.64</v>
      </c>
      <c r="H70" s="118">
        <f>G70-'PRORRATEO (2)'!H70</f>
        <v>107350.64</v>
      </c>
      <c r="I70" s="119"/>
      <c r="J70" s="120">
        <f t="shared" si="1"/>
        <v>0</v>
      </c>
      <c r="K70" s="120">
        <f t="shared" si="2"/>
        <v>0</v>
      </c>
      <c r="L70" s="122">
        <f t="shared" si="3"/>
        <v>22600</v>
      </c>
      <c r="M70" s="122">
        <f t="shared" ref="M70:M80" si="10">O$2*F70%</f>
        <v>84750</v>
      </c>
      <c r="N70" s="123">
        <v>0</v>
      </c>
      <c r="O70" s="124">
        <f t="shared" si="7"/>
        <v>107350.64</v>
      </c>
      <c r="P70" s="125">
        <f t="shared" si="4"/>
        <v>113792.64</v>
      </c>
      <c r="Q70" s="126">
        <f t="shared" si="5"/>
        <v>110571.64</v>
      </c>
      <c r="R70" s="60">
        <f t="shared" si="8"/>
        <v>0.64000000000000024</v>
      </c>
    </row>
    <row r="71" spans="2:18" ht="17.100000000000001" customHeight="1" x14ac:dyDescent="0.25">
      <c r="B71" s="104" t="s">
        <v>211</v>
      </c>
      <c r="C71" s="134">
        <f t="shared" si="9"/>
        <v>65</v>
      </c>
      <c r="D71" s="103" t="s">
        <v>125</v>
      </c>
      <c r="E71" s="132"/>
      <c r="F71" s="133">
        <v>1.67</v>
      </c>
      <c r="G71" s="117">
        <v>474447.65</v>
      </c>
      <c r="H71" s="118">
        <f>315800.65+158650.65-'PRORRATEO (2)'!H71</f>
        <v>474451.30000000005</v>
      </c>
      <c r="I71" s="119"/>
      <c r="J71" s="120">
        <f t="shared" ref="J71:J80" si="11">G71-H71</f>
        <v>-3.6500000000232831</v>
      </c>
      <c r="K71" s="120">
        <f t="shared" ref="K71:K80" si="12">IF(J71&gt;0,J71*3%,0)</f>
        <v>0</v>
      </c>
      <c r="L71" s="122">
        <f t="shared" ref="L71:L80" si="13">O$3*F71%</f>
        <v>33400</v>
      </c>
      <c r="M71" s="122">
        <f t="shared" si="10"/>
        <v>125250</v>
      </c>
      <c r="N71" s="123">
        <v>0</v>
      </c>
      <c r="O71" s="124">
        <f t="shared" ref="O71:O80" si="14">ROUND(SUM(J71:N71),0) + R71</f>
        <v>158646.65</v>
      </c>
      <c r="P71" s="125">
        <f t="shared" ref="P71:P80" si="15">ROUND(O71*6% + O71,0) + R71</f>
        <v>168165.65</v>
      </c>
      <c r="Q71" s="126">
        <f t="shared" ref="Q71:Q80" si="16">ROUND(O71*3%,0) + O71</f>
        <v>163405.65</v>
      </c>
      <c r="R71" s="60">
        <f t="shared" si="8"/>
        <v>0.65000000000000024</v>
      </c>
    </row>
    <row r="72" spans="2:18" ht="17.100000000000001" customHeight="1" x14ac:dyDescent="0.25">
      <c r="B72" s="104" t="s">
        <v>212</v>
      </c>
      <c r="C72" s="134">
        <f t="shared" si="9"/>
        <v>66</v>
      </c>
      <c r="D72" s="103" t="s">
        <v>106</v>
      </c>
      <c r="E72" s="103"/>
      <c r="F72" s="133">
        <v>1.71</v>
      </c>
      <c r="G72" s="117">
        <v>159132.66</v>
      </c>
      <c r="H72" s="118">
        <f>163906.66-'PRORRATEO (2)'!H72</f>
        <v>163906.66</v>
      </c>
      <c r="I72" s="119"/>
      <c r="J72" s="120">
        <f t="shared" si="11"/>
        <v>-4774</v>
      </c>
      <c r="K72" s="120">
        <f t="shared" si="12"/>
        <v>0</v>
      </c>
      <c r="L72" s="122">
        <f t="shared" si="13"/>
        <v>34200</v>
      </c>
      <c r="M72" s="122">
        <f t="shared" si="10"/>
        <v>128250</v>
      </c>
      <c r="N72" s="123">
        <v>0</v>
      </c>
      <c r="O72" s="124">
        <f t="shared" si="14"/>
        <v>157676.66</v>
      </c>
      <c r="P72" s="125">
        <f t="shared" si="15"/>
        <v>167137.66</v>
      </c>
      <c r="Q72" s="126">
        <f t="shared" si="16"/>
        <v>162406.66</v>
      </c>
      <c r="R72" s="60">
        <f t="shared" ref="R72:R80" si="17">R71+0.01</f>
        <v>0.66000000000000025</v>
      </c>
    </row>
    <row r="73" spans="2:18" ht="17.100000000000001" customHeight="1" x14ac:dyDescent="0.25">
      <c r="B73" s="104" t="s">
        <v>213</v>
      </c>
      <c r="C73" s="135">
        <f t="shared" si="9"/>
        <v>67</v>
      </c>
      <c r="D73" s="136" t="s">
        <v>107</v>
      </c>
      <c r="E73" s="136"/>
      <c r="F73" s="137">
        <v>1.1299999999999999</v>
      </c>
      <c r="G73" s="138">
        <v>110571.67</v>
      </c>
      <c r="H73" s="139">
        <f>G73-'PRORRATEO (2)'!H73</f>
        <v>110571.67</v>
      </c>
      <c r="I73" s="140"/>
      <c r="J73" s="141">
        <f t="shared" si="11"/>
        <v>0</v>
      </c>
      <c r="K73" s="120">
        <f t="shared" si="12"/>
        <v>0</v>
      </c>
      <c r="L73" s="122">
        <f t="shared" si="13"/>
        <v>22600</v>
      </c>
      <c r="M73" s="142">
        <f t="shared" si="10"/>
        <v>84750</v>
      </c>
      <c r="N73" s="143">
        <v>0</v>
      </c>
      <c r="O73" s="124">
        <f t="shared" si="14"/>
        <v>107350.67</v>
      </c>
      <c r="P73" s="125">
        <f t="shared" si="15"/>
        <v>113792.67</v>
      </c>
      <c r="Q73" s="126">
        <f t="shared" si="16"/>
        <v>110571.67</v>
      </c>
      <c r="R73" s="60">
        <f t="shared" si="17"/>
        <v>0.67000000000000026</v>
      </c>
    </row>
    <row r="74" spans="2:18" ht="17.100000000000001" customHeight="1" x14ac:dyDescent="0.25">
      <c r="B74" s="104" t="s">
        <v>214</v>
      </c>
      <c r="C74" s="134">
        <f t="shared" si="9"/>
        <v>68</v>
      </c>
      <c r="D74" s="104" t="s">
        <v>128</v>
      </c>
      <c r="E74" s="144"/>
      <c r="F74" s="137">
        <v>1.1299999999999999</v>
      </c>
      <c r="G74" s="138">
        <v>107350.68</v>
      </c>
      <c r="H74" s="139">
        <f>G74-'PRORRATEO (2)'!H74</f>
        <v>107350.68</v>
      </c>
      <c r="I74" s="140"/>
      <c r="J74" s="141">
        <f t="shared" si="11"/>
        <v>0</v>
      </c>
      <c r="K74" s="120">
        <f t="shared" si="12"/>
        <v>0</v>
      </c>
      <c r="L74" s="122">
        <f t="shared" si="13"/>
        <v>22600</v>
      </c>
      <c r="M74" s="142">
        <f t="shared" si="10"/>
        <v>84750</v>
      </c>
      <c r="N74" s="143">
        <v>0</v>
      </c>
      <c r="O74" s="124">
        <f t="shared" si="14"/>
        <v>107350.68</v>
      </c>
      <c r="P74" s="125">
        <f t="shared" si="15"/>
        <v>113792.68</v>
      </c>
      <c r="Q74" s="126">
        <f t="shared" si="16"/>
        <v>110571.68</v>
      </c>
      <c r="R74" s="60">
        <f t="shared" si="17"/>
        <v>0.68000000000000027</v>
      </c>
    </row>
    <row r="75" spans="2:18" ht="17.100000000000001" customHeight="1" x14ac:dyDescent="0.25">
      <c r="B75" s="104" t="s">
        <v>215</v>
      </c>
      <c r="C75" s="134">
        <f t="shared" si="9"/>
        <v>69</v>
      </c>
      <c r="D75" s="104" t="s">
        <v>129</v>
      </c>
      <c r="E75" s="144"/>
      <c r="F75" s="137">
        <v>1.1299999999999999</v>
      </c>
      <c r="G75" s="138">
        <v>105220.69</v>
      </c>
      <c r="H75" s="139">
        <f>108377.69-'PRORRATEO (2)'!H75</f>
        <v>108377.69</v>
      </c>
      <c r="I75" s="140"/>
      <c r="J75" s="141">
        <f t="shared" si="11"/>
        <v>-3157</v>
      </c>
      <c r="K75" s="120">
        <f t="shared" si="12"/>
        <v>0</v>
      </c>
      <c r="L75" s="122">
        <f t="shared" si="13"/>
        <v>22600</v>
      </c>
      <c r="M75" s="142">
        <f t="shared" si="10"/>
        <v>84750</v>
      </c>
      <c r="N75" s="143">
        <v>0</v>
      </c>
      <c r="O75" s="124">
        <f t="shared" si="14"/>
        <v>104193.69</v>
      </c>
      <c r="P75" s="125">
        <f t="shared" si="15"/>
        <v>110445.69</v>
      </c>
      <c r="Q75" s="126">
        <f t="shared" si="16"/>
        <v>107319.69</v>
      </c>
      <c r="R75" s="60">
        <f t="shared" si="17"/>
        <v>0.69000000000000028</v>
      </c>
    </row>
    <row r="76" spans="2:18" ht="17.100000000000001" customHeight="1" x14ac:dyDescent="0.25">
      <c r="B76" s="104" t="s">
        <v>216</v>
      </c>
      <c r="C76" s="134">
        <f t="shared" si="9"/>
        <v>70</v>
      </c>
      <c r="D76" s="104" t="s">
        <v>130</v>
      </c>
      <c r="E76" s="105"/>
      <c r="F76" s="116">
        <v>1.67</v>
      </c>
      <c r="G76" s="138">
        <v>362587.7</v>
      </c>
      <c r="H76" s="139">
        <f>G76</f>
        <v>362587.7</v>
      </c>
      <c r="I76" s="140"/>
      <c r="J76" s="141">
        <f t="shared" si="11"/>
        <v>0</v>
      </c>
      <c r="K76" s="120">
        <f t="shared" si="12"/>
        <v>0</v>
      </c>
      <c r="L76" s="122">
        <f t="shared" si="13"/>
        <v>33400</v>
      </c>
      <c r="M76" s="142">
        <f t="shared" si="10"/>
        <v>125250</v>
      </c>
      <c r="N76" s="143">
        <v>0</v>
      </c>
      <c r="O76" s="124">
        <f t="shared" si="14"/>
        <v>158650.70000000001</v>
      </c>
      <c r="P76" s="125">
        <f t="shared" si="15"/>
        <v>168170.7</v>
      </c>
      <c r="Q76" s="126">
        <f t="shared" si="16"/>
        <v>163410.70000000001</v>
      </c>
      <c r="R76" s="60">
        <f t="shared" si="17"/>
        <v>0.70000000000000029</v>
      </c>
    </row>
    <row r="77" spans="2:18" ht="17.100000000000001" customHeight="1" x14ac:dyDescent="0.25">
      <c r="B77" s="104" t="s">
        <v>217</v>
      </c>
      <c r="C77" s="134">
        <f t="shared" si="9"/>
        <v>71</v>
      </c>
      <c r="D77" s="104" t="s">
        <v>131</v>
      </c>
      <c r="E77" s="105"/>
      <c r="F77" s="116">
        <v>1.71</v>
      </c>
      <c r="G77" s="138">
        <v>162450.71</v>
      </c>
      <c r="H77" s="139">
        <f>G77-'PRORRATEO (2)'!H77</f>
        <v>162450.71</v>
      </c>
      <c r="I77" s="140"/>
      <c r="J77" s="141">
        <f t="shared" si="11"/>
        <v>0</v>
      </c>
      <c r="K77" s="120">
        <f t="shared" si="12"/>
        <v>0</v>
      </c>
      <c r="L77" s="122">
        <f t="shared" si="13"/>
        <v>34200</v>
      </c>
      <c r="M77" s="142">
        <f t="shared" si="10"/>
        <v>128250</v>
      </c>
      <c r="N77" s="143">
        <v>0</v>
      </c>
      <c r="O77" s="124">
        <f t="shared" si="14"/>
        <v>162450.71</v>
      </c>
      <c r="P77" s="125">
        <f t="shared" si="15"/>
        <v>172198.71</v>
      </c>
      <c r="Q77" s="126">
        <f t="shared" si="16"/>
        <v>167324.71</v>
      </c>
      <c r="R77" s="60">
        <f t="shared" si="17"/>
        <v>0.7100000000000003</v>
      </c>
    </row>
    <row r="78" spans="2:18" ht="22.5" customHeight="1" thickBot="1" x14ac:dyDescent="0.3">
      <c r="B78" s="104" t="s">
        <v>218</v>
      </c>
      <c r="C78" s="134">
        <f t="shared" si="9"/>
        <v>72</v>
      </c>
      <c r="D78" s="106" t="s">
        <v>132</v>
      </c>
      <c r="E78" s="105"/>
      <c r="F78" s="116">
        <v>1.1299999999999999</v>
      </c>
      <c r="G78" s="138">
        <v>2494064.7200000002</v>
      </c>
      <c r="H78" s="139">
        <v>0</v>
      </c>
      <c r="I78" s="140"/>
      <c r="J78" s="141">
        <f t="shared" si="11"/>
        <v>2494064.7200000002</v>
      </c>
      <c r="K78" s="120">
        <f t="shared" si="12"/>
        <v>74821.941600000006</v>
      </c>
      <c r="L78" s="122">
        <f t="shared" si="13"/>
        <v>22600</v>
      </c>
      <c r="M78" s="142">
        <f t="shared" si="10"/>
        <v>84750</v>
      </c>
      <c r="N78" s="143">
        <v>0</v>
      </c>
      <c r="O78" s="124">
        <f t="shared" si="14"/>
        <v>2676237.7200000002</v>
      </c>
      <c r="P78" s="125">
        <f t="shared" si="15"/>
        <v>2836812.72</v>
      </c>
      <c r="Q78" s="126">
        <f t="shared" si="16"/>
        <v>2756524.72</v>
      </c>
      <c r="R78" s="60">
        <f t="shared" si="17"/>
        <v>0.72000000000000031</v>
      </c>
    </row>
    <row r="79" spans="2:18" ht="17.100000000000001" customHeight="1" x14ac:dyDescent="0.25">
      <c r="B79" s="145" t="s">
        <v>219</v>
      </c>
      <c r="C79" s="135">
        <f t="shared" si="9"/>
        <v>73</v>
      </c>
      <c r="D79" s="104" t="s">
        <v>133</v>
      </c>
      <c r="E79" s="105"/>
      <c r="F79" s="116">
        <v>1.1299999999999999</v>
      </c>
      <c r="G79" s="138">
        <v>38624.730000000003</v>
      </c>
      <c r="H79" s="139">
        <f>40000-'PRORRATEO (2)'!H79</f>
        <v>40000</v>
      </c>
      <c r="I79" s="140"/>
      <c r="J79" s="141">
        <f t="shared" si="11"/>
        <v>-1375.2699999999968</v>
      </c>
      <c r="K79" s="120">
        <f t="shared" si="12"/>
        <v>0</v>
      </c>
      <c r="L79" s="122">
        <f t="shared" si="13"/>
        <v>22600</v>
      </c>
      <c r="M79" s="142">
        <f t="shared" si="10"/>
        <v>84750</v>
      </c>
      <c r="N79" s="143">
        <v>0</v>
      </c>
      <c r="O79" s="124">
        <f t="shared" si="14"/>
        <v>105975.73</v>
      </c>
      <c r="P79" s="125">
        <f t="shared" si="15"/>
        <v>112334.73</v>
      </c>
      <c r="Q79" s="126">
        <f t="shared" si="16"/>
        <v>109154.73</v>
      </c>
      <c r="R79" s="60">
        <f t="shared" si="17"/>
        <v>0.73000000000000032</v>
      </c>
    </row>
    <row r="80" spans="2:18" ht="17.100000000000001" customHeight="1" thickBot="1" x14ac:dyDescent="0.3">
      <c r="B80" s="104" t="s">
        <v>220</v>
      </c>
      <c r="C80" s="104">
        <f t="shared" si="9"/>
        <v>74</v>
      </c>
      <c r="D80" s="146" t="s">
        <v>127</v>
      </c>
      <c r="E80" s="146"/>
      <c r="F80" s="116">
        <v>1.1299999999999999</v>
      </c>
      <c r="G80" s="138">
        <v>107276.74</v>
      </c>
      <c r="H80" s="139">
        <f>G80-'PRORRATEO (2)'!H80</f>
        <v>107276.74</v>
      </c>
      <c r="I80" s="140"/>
      <c r="J80" s="141">
        <f t="shared" si="11"/>
        <v>0</v>
      </c>
      <c r="K80" s="120">
        <f t="shared" si="12"/>
        <v>0</v>
      </c>
      <c r="L80" s="122">
        <f t="shared" si="13"/>
        <v>22600</v>
      </c>
      <c r="M80" s="142">
        <f t="shared" si="10"/>
        <v>84750</v>
      </c>
      <c r="N80" s="143">
        <v>0</v>
      </c>
      <c r="O80" s="147">
        <f t="shared" si="14"/>
        <v>107350.74</v>
      </c>
      <c r="P80" s="148">
        <f t="shared" si="15"/>
        <v>113792.74</v>
      </c>
      <c r="Q80" s="149">
        <f t="shared" si="16"/>
        <v>110571.74</v>
      </c>
      <c r="R80" s="60">
        <f t="shared" si="17"/>
        <v>0.74000000000000032</v>
      </c>
    </row>
    <row r="81" spans="2:17" ht="17.100000000000001" customHeight="1" thickBot="1" x14ac:dyDescent="0.3">
      <c r="B81" s="150"/>
      <c r="C81" s="151"/>
      <c r="D81" s="152"/>
      <c r="E81" s="152"/>
      <c r="F81" s="153">
        <f>SUM(F6:F80)</f>
        <v>99.999999999999943</v>
      </c>
      <c r="G81" s="71">
        <f>SUM(G6:G80)</f>
        <v>13947030.750000002</v>
      </c>
      <c r="H81" s="101">
        <f>SUM(H6:H80)</f>
        <v>9062894.1199999992</v>
      </c>
      <c r="I81" s="71">
        <f t="shared" ref="I81:P81" si="18">SUM(I6:I80)</f>
        <v>0</v>
      </c>
      <c r="J81" s="101">
        <f>SUM(J6:J80)</f>
        <v>4884136.6300000008</v>
      </c>
      <c r="K81" s="71">
        <f t="shared" si="18"/>
        <v>153679.9749</v>
      </c>
      <c r="L81" s="101">
        <f t="shared" si="18"/>
        <v>2000000</v>
      </c>
      <c r="M81" s="71">
        <f t="shared" si="18"/>
        <v>7500000</v>
      </c>
      <c r="N81" s="101">
        <f t="shared" si="18"/>
        <v>0</v>
      </c>
      <c r="O81" s="154">
        <f t="shared" si="18"/>
        <v>14537844.750000002</v>
      </c>
      <c r="P81" s="154">
        <f t="shared" si="18"/>
        <v>15410141.750000004</v>
      </c>
      <c r="Q81" s="154">
        <f>SUM(Q6:Q80)</f>
        <v>14973993.750000002</v>
      </c>
    </row>
    <row r="82" spans="2:17" ht="12.75" customHeight="1" x14ac:dyDescent="0.25">
      <c r="D82" s="68"/>
      <c r="E82" s="68"/>
    </row>
    <row r="83" spans="2:17" hidden="1" x14ac:dyDescent="0.25"/>
    <row r="84" spans="2:17" ht="9" customHeight="1" x14ac:dyDescent="0.25">
      <c r="D84" s="227"/>
      <c r="E84" s="227"/>
      <c r="F84" s="227"/>
      <c r="G84" s="227"/>
      <c r="H84" s="227"/>
      <c r="I84" s="227"/>
      <c r="J84" s="227"/>
      <c r="K84" s="227"/>
      <c r="L84" s="227"/>
      <c r="M84" s="227"/>
      <c r="N84" s="227"/>
      <c r="O84" s="227"/>
    </row>
    <row r="85" spans="2:17" ht="12" hidden="1" customHeight="1" x14ac:dyDescent="0.25">
      <c r="D85" s="227"/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</row>
    <row r="86" spans="2:17" ht="12" hidden="1" customHeight="1" x14ac:dyDescent="0.25">
      <c r="D86" s="227"/>
      <c r="E86" s="227"/>
      <c r="F86" s="227"/>
      <c r="G86" s="227"/>
      <c r="H86" s="227"/>
      <c r="I86" s="227"/>
      <c r="J86" s="227"/>
      <c r="K86" s="227"/>
      <c r="L86" s="227"/>
      <c r="M86" s="227"/>
      <c r="N86" s="227"/>
      <c r="O86" s="227"/>
    </row>
    <row r="87" spans="2:17" ht="12" hidden="1" customHeight="1" x14ac:dyDescent="0.25">
      <c r="D87" s="227"/>
      <c r="E87" s="227"/>
      <c r="F87" s="227"/>
      <c r="G87" s="227"/>
      <c r="H87" s="227"/>
      <c r="I87" s="227"/>
      <c r="J87" s="227"/>
      <c r="K87" s="227"/>
      <c r="L87" s="227"/>
      <c r="M87" s="227"/>
      <c r="N87" s="227"/>
      <c r="O87" s="227"/>
    </row>
    <row r="88" spans="2:17" ht="12" hidden="1" customHeight="1" x14ac:dyDescent="0.25">
      <c r="D88" s="227"/>
      <c r="E88" s="227"/>
      <c r="F88" s="227"/>
      <c r="G88" s="227"/>
      <c r="H88" s="227"/>
      <c r="I88" s="227"/>
      <c r="J88" s="227"/>
      <c r="K88" s="227"/>
      <c r="L88" s="227"/>
      <c r="M88" s="227"/>
      <c r="N88" s="227"/>
      <c r="O88" s="227"/>
    </row>
    <row r="89" spans="2:17" ht="65.25" customHeight="1" x14ac:dyDescent="0.25">
      <c r="D89" s="227"/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</row>
  </sheetData>
  <mergeCells count="18">
    <mergeCell ref="Q4:Q5"/>
    <mergeCell ref="D84:O89"/>
    <mergeCell ref="E4:E5"/>
    <mergeCell ref="I4:I5"/>
    <mergeCell ref="A4:A5"/>
    <mergeCell ref="B4:B5"/>
    <mergeCell ref="C4:C5"/>
    <mergeCell ref="D4:D5"/>
    <mergeCell ref="F4:F5"/>
    <mergeCell ref="F1:O1"/>
    <mergeCell ref="K4:K5"/>
    <mergeCell ref="G4:G5"/>
    <mergeCell ref="P4:P5"/>
    <mergeCell ref="H4:H5"/>
    <mergeCell ref="J4:J5"/>
    <mergeCell ref="L4:L5"/>
    <mergeCell ref="M4:M5"/>
    <mergeCell ref="N4:N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9"/>
  <sheetViews>
    <sheetView topLeftCell="B70" zoomScaleNormal="100" workbookViewId="0">
      <selection activeCell="G72" sqref="G72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4.28515625" customWidth="1"/>
    <col min="4" max="4" width="18.5703125" customWidth="1"/>
    <col min="5" max="5" width="0.140625" customWidth="1"/>
    <col min="6" max="6" width="5.140625" customWidth="1"/>
    <col min="7" max="7" width="14.140625" customWidth="1"/>
    <col min="8" max="8" width="11.7109375" customWidth="1"/>
    <col min="9" max="9" width="11.7109375" hidden="1" customWidth="1"/>
    <col min="10" max="10" width="10.5703125" customWidth="1"/>
    <col min="11" max="11" width="0.140625" customWidth="1"/>
    <col min="12" max="12" width="0.140625" hidden="1" customWidth="1"/>
    <col min="13" max="13" width="12.42578125" hidden="1" customWidth="1"/>
    <col min="14" max="14" width="8.140625" hidden="1" customWidth="1"/>
    <col min="15" max="15" width="14.7109375" hidden="1" customWidth="1"/>
    <col min="16" max="16" width="1.85546875" hidden="1" customWidth="1"/>
    <col min="17" max="17" width="1.42578125" hidden="1" customWidth="1"/>
    <col min="18" max="18" width="1.28515625" hidden="1" customWidth="1"/>
    <col min="19" max="19" width="12" bestFit="1" customWidth="1"/>
  </cols>
  <sheetData>
    <row r="1" spans="1:19" ht="12.95" customHeight="1" x14ac:dyDescent="0.25">
      <c r="A1" s="7"/>
      <c r="B1" s="7"/>
      <c r="C1" s="7"/>
      <c r="D1" s="7" t="s">
        <v>261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9" ht="12.95" customHeight="1" x14ac:dyDescent="0.25">
      <c r="A2" s="7"/>
      <c r="B2" s="7"/>
      <c r="C2" s="7"/>
      <c r="D2" s="7" t="str">
        <f>RESUMEN!B4</f>
        <v>CBU: 0720740420000001577204</v>
      </c>
      <c r="E2" s="7"/>
      <c r="F2" s="7"/>
      <c r="G2" s="7"/>
      <c r="H2" s="7"/>
      <c r="I2" s="7"/>
      <c r="J2" s="7"/>
      <c r="K2" s="7"/>
      <c r="L2" s="8" t="s">
        <v>257</v>
      </c>
      <c r="M2" s="7"/>
      <c r="N2" s="7"/>
      <c r="O2" s="77">
        <v>0</v>
      </c>
      <c r="P2" s="77"/>
      <c r="Q2" s="77"/>
      <c r="R2" s="23"/>
    </row>
    <row r="3" spans="1:19" ht="12.95" customHeight="1" thickBot="1" x14ac:dyDescent="0.3">
      <c r="A3" s="7"/>
      <c r="B3" s="7"/>
      <c r="C3" s="7"/>
      <c r="D3" s="7" t="s">
        <v>139</v>
      </c>
      <c r="E3" s="7"/>
      <c r="F3" s="7"/>
      <c r="G3" s="7"/>
      <c r="H3" s="7"/>
      <c r="I3" s="7"/>
      <c r="J3" s="7"/>
      <c r="K3" s="7"/>
      <c r="L3" s="7"/>
      <c r="M3" s="7"/>
      <c r="N3" s="7"/>
      <c r="O3" s="78"/>
      <c r="P3" s="78"/>
      <c r="Q3" s="99"/>
    </row>
    <row r="4" spans="1:19" x14ac:dyDescent="0.25">
      <c r="A4" s="254" t="s">
        <v>6</v>
      </c>
      <c r="B4" s="256" t="s">
        <v>7</v>
      </c>
      <c r="C4" s="242" t="s">
        <v>8</v>
      </c>
      <c r="D4" s="242" t="s">
        <v>9</v>
      </c>
      <c r="E4" s="242" t="s">
        <v>136</v>
      </c>
      <c r="F4" s="242" t="s">
        <v>30</v>
      </c>
      <c r="G4" s="242" t="s">
        <v>259</v>
      </c>
      <c r="H4" s="242" t="s">
        <v>10</v>
      </c>
      <c r="I4" s="242" t="s">
        <v>137</v>
      </c>
      <c r="J4" s="246" t="s">
        <v>146</v>
      </c>
      <c r="K4" s="240" t="s">
        <v>62</v>
      </c>
      <c r="L4" s="240" t="s">
        <v>11</v>
      </c>
      <c r="M4" s="240" t="s">
        <v>255</v>
      </c>
      <c r="N4" s="249" t="s">
        <v>249</v>
      </c>
      <c r="O4" s="102" t="s">
        <v>248</v>
      </c>
      <c r="P4" s="244" t="s">
        <v>60</v>
      </c>
      <c r="Q4" s="251" t="s">
        <v>247</v>
      </c>
    </row>
    <row r="5" spans="1:19" ht="15.75" customHeight="1" x14ac:dyDescent="0.25">
      <c r="A5" s="255"/>
      <c r="B5" s="257"/>
      <c r="C5" s="243"/>
      <c r="D5" s="243"/>
      <c r="E5" s="253"/>
      <c r="F5" s="243"/>
      <c r="G5" s="243"/>
      <c r="H5" s="243"/>
      <c r="I5" s="253"/>
      <c r="J5" s="247"/>
      <c r="K5" s="241"/>
      <c r="L5" s="248"/>
      <c r="M5" s="241"/>
      <c r="N5" s="250"/>
      <c r="O5" s="100" t="str">
        <f>RESUMEN!B9</f>
        <v>VTO 13/03</v>
      </c>
      <c r="P5" s="245"/>
      <c r="Q5" s="252"/>
    </row>
    <row r="6" spans="1:19" ht="17.100000000000001" customHeight="1" x14ac:dyDescent="0.25">
      <c r="A6" s="6" t="s">
        <v>13</v>
      </c>
      <c r="B6" s="104" t="s">
        <v>147</v>
      </c>
      <c r="C6" s="104">
        <v>1</v>
      </c>
      <c r="D6" s="104" t="s">
        <v>63</v>
      </c>
      <c r="E6" s="104"/>
      <c r="F6" s="116">
        <v>1.65</v>
      </c>
      <c r="G6" s="117">
        <v>0</v>
      </c>
      <c r="H6" s="118">
        <f>G6</f>
        <v>0</v>
      </c>
      <c r="I6" s="119"/>
      <c r="J6" s="120">
        <f>G6-H6</f>
        <v>0</v>
      </c>
      <c r="K6" s="120">
        <f>IF(J6&gt;0,J6*3%,0)</f>
        <v>0</v>
      </c>
      <c r="L6" s="121">
        <v>0</v>
      </c>
      <c r="M6" s="122">
        <f t="shared" ref="M6:M69" si="0">O$2*F6%</f>
        <v>0</v>
      </c>
      <c r="N6" s="123">
        <v>0</v>
      </c>
      <c r="O6" s="124">
        <f>ROUND(SUM(J6:N6),0) + R6</f>
        <v>0.01</v>
      </c>
      <c r="P6" s="125">
        <f>ROUND(O6*6% + O6,0) + R6</f>
        <v>0.01</v>
      </c>
      <c r="Q6" s="126">
        <f>ROUND(O6*3%,0) + O6</f>
        <v>0.01</v>
      </c>
      <c r="R6" s="60">
        <v>0.01</v>
      </c>
    </row>
    <row r="7" spans="1:19" ht="17.100000000000001" customHeight="1" x14ac:dyDescent="0.25">
      <c r="A7" s="6" t="s">
        <v>14</v>
      </c>
      <c r="B7" s="104" t="s">
        <v>148</v>
      </c>
      <c r="C7" s="104">
        <f>C6+1</f>
        <v>2</v>
      </c>
      <c r="D7" s="104" t="s">
        <v>72</v>
      </c>
      <c r="E7" s="105"/>
      <c r="F7" s="116">
        <v>1.1599999999999999</v>
      </c>
      <c r="G7" s="117">
        <v>0</v>
      </c>
      <c r="H7" s="118">
        <f t="shared" ref="H7:H18" si="1">G7</f>
        <v>0</v>
      </c>
      <c r="I7" s="119"/>
      <c r="J7" s="120">
        <f t="shared" ref="J7:J70" si="2">G7-H7</f>
        <v>0</v>
      </c>
      <c r="K7" s="120">
        <f t="shared" ref="K7:K70" si="3">IF(J7&gt;0,J7*3%,0)</f>
        <v>0</v>
      </c>
      <c r="L7" s="121">
        <v>0</v>
      </c>
      <c r="M7" s="122">
        <f t="shared" si="0"/>
        <v>0</v>
      </c>
      <c r="N7" s="123">
        <v>0</v>
      </c>
      <c r="O7" s="124">
        <f t="shared" ref="O7:O70" si="4">ROUND(SUM(J7:N7),0) + R7</f>
        <v>0.02</v>
      </c>
      <c r="P7" s="125">
        <f t="shared" ref="P7:P70" si="5">ROUND(O7*6% + O7,0) + R7</f>
        <v>0.02</v>
      </c>
      <c r="Q7" s="126">
        <f t="shared" ref="Q7:Q70" si="6">ROUND(O7*3%,0) + O7</f>
        <v>0.02</v>
      </c>
      <c r="R7" s="60">
        <f>R6+0.01</f>
        <v>0.02</v>
      </c>
      <c r="S7" s="60"/>
    </row>
    <row r="8" spans="1:19" ht="17.100000000000001" customHeight="1" x14ac:dyDescent="0.25">
      <c r="A8" s="6" t="s">
        <v>14</v>
      </c>
      <c r="B8" s="104" t="s">
        <v>149</v>
      </c>
      <c r="C8" s="104">
        <f t="shared" ref="C8:C35" si="7">C7+1</f>
        <v>3</v>
      </c>
      <c r="D8" s="104" t="s">
        <v>73</v>
      </c>
      <c r="E8" s="105"/>
      <c r="F8" s="116">
        <v>1.19</v>
      </c>
      <c r="G8" s="117">
        <v>0</v>
      </c>
      <c r="H8" s="118">
        <f t="shared" si="1"/>
        <v>0</v>
      </c>
      <c r="I8" s="119"/>
      <c r="J8" s="120">
        <f t="shared" si="2"/>
        <v>0</v>
      </c>
      <c r="K8" s="120">
        <f t="shared" si="3"/>
        <v>0</v>
      </c>
      <c r="L8" s="121">
        <v>0</v>
      </c>
      <c r="M8" s="122">
        <f t="shared" si="0"/>
        <v>0</v>
      </c>
      <c r="N8" s="123">
        <v>0</v>
      </c>
      <c r="O8" s="124">
        <f t="shared" si="4"/>
        <v>0.03</v>
      </c>
      <c r="P8" s="125">
        <f t="shared" si="5"/>
        <v>0.03</v>
      </c>
      <c r="Q8" s="126">
        <f t="shared" si="6"/>
        <v>0.03</v>
      </c>
      <c r="R8" s="60">
        <f t="shared" ref="R8:R71" si="8">R7+0.01</f>
        <v>0.03</v>
      </c>
    </row>
    <row r="9" spans="1:19" ht="17.100000000000001" customHeight="1" x14ac:dyDescent="0.25">
      <c r="A9" s="6" t="s">
        <v>15</v>
      </c>
      <c r="B9" s="104" t="s">
        <v>150</v>
      </c>
      <c r="C9" s="104">
        <f t="shared" si="7"/>
        <v>4</v>
      </c>
      <c r="D9" s="104" t="s">
        <v>74</v>
      </c>
      <c r="E9" s="105"/>
      <c r="F9" s="116">
        <v>1.22</v>
      </c>
      <c r="G9" s="117">
        <v>0</v>
      </c>
      <c r="H9" s="118">
        <f t="shared" si="1"/>
        <v>0</v>
      </c>
      <c r="I9" s="119"/>
      <c r="J9" s="120">
        <f t="shared" si="2"/>
        <v>0</v>
      </c>
      <c r="K9" s="120">
        <f t="shared" si="3"/>
        <v>0</v>
      </c>
      <c r="L9" s="121">
        <v>0</v>
      </c>
      <c r="M9" s="122">
        <f t="shared" si="0"/>
        <v>0</v>
      </c>
      <c r="N9" s="123">
        <v>0</v>
      </c>
      <c r="O9" s="124">
        <f t="shared" si="4"/>
        <v>0.04</v>
      </c>
      <c r="P9" s="125">
        <f t="shared" si="5"/>
        <v>0.04</v>
      </c>
      <c r="Q9" s="126">
        <f t="shared" si="6"/>
        <v>0.04</v>
      </c>
      <c r="R9" s="60">
        <f t="shared" si="8"/>
        <v>0.04</v>
      </c>
    </row>
    <row r="10" spans="1:19" ht="17.100000000000001" customHeight="1" x14ac:dyDescent="0.25">
      <c r="A10" s="6" t="s">
        <v>15</v>
      </c>
      <c r="B10" s="104" t="s">
        <v>151</v>
      </c>
      <c r="C10" s="104">
        <f t="shared" si="7"/>
        <v>5</v>
      </c>
      <c r="D10" s="104" t="s">
        <v>75</v>
      </c>
      <c r="E10" s="105"/>
      <c r="F10" s="116">
        <v>1.67</v>
      </c>
      <c r="G10" s="117"/>
      <c r="H10" s="118"/>
      <c r="I10" s="119"/>
      <c r="J10" s="120">
        <f t="shared" si="2"/>
        <v>0</v>
      </c>
      <c r="K10" s="120">
        <f t="shared" si="3"/>
        <v>0</v>
      </c>
      <c r="L10" s="121">
        <v>0</v>
      </c>
      <c r="M10" s="122">
        <f t="shared" si="0"/>
        <v>0</v>
      </c>
      <c r="N10" s="123">
        <v>0</v>
      </c>
      <c r="O10" s="124">
        <f t="shared" si="4"/>
        <v>0.05</v>
      </c>
      <c r="P10" s="125">
        <f t="shared" si="5"/>
        <v>0.05</v>
      </c>
      <c r="Q10" s="126">
        <f t="shared" si="6"/>
        <v>0.05</v>
      </c>
      <c r="R10" s="60">
        <f t="shared" si="8"/>
        <v>0.05</v>
      </c>
    </row>
    <row r="11" spans="1:19" ht="17.100000000000001" customHeight="1" x14ac:dyDescent="0.25">
      <c r="A11" s="6" t="s">
        <v>16</v>
      </c>
      <c r="B11" s="104" t="s">
        <v>152</v>
      </c>
      <c r="C11" s="104">
        <f t="shared" si="7"/>
        <v>6</v>
      </c>
      <c r="D11" s="104" t="s">
        <v>64</v>
      </c>
      <c r="E11" s="104"/>
      <c r="F11" s="116">
        <v>1.71</v>
      </c>
      <c r="G11" s="117">
        <v>0</v>
      </c>
      <c r="H11" s="118">
        <f t="shared" si="1"/>
        <v>0</v>
      </c>
      <c r="I11" s="119"/>
      <c r="J11" s="120">
        <f t="shared" si="2"/>
        <v>0</v>
      </c>
      <c r="K11" s="120">
        <f t="shared" si="3"/>
        <v>0</v>
      </c>
      <c r="L11" s="121">
        <v>0</v>
      </c>
      <c r="M11" s="122">
        <f t="shared" si="0"/>
        <v>0</v>
      </c>
      <c r="N11" s="123">
        <v>0</v>
      </c>
      <c r="O11" s="124">
        <f t="shared" si="4"/>
        <v>6.0000000000000005E-2</v>
      </c>
      <c r="P11" s="125">
        <f t="shared" si="5"/>
        <v>6.0000000000000005E-2</v>
      </c>
      <c r="Q11" s="126">
        <f t="shared" si="6"/>
        <v>6.0000000000000005E-2</v>
      </c>
      <c r="R11" s="60">
        <f t="shared" si="8"/>
        <v>6.0000000000000005E-2</v>
      </c>
    </row>
    <row r="12" spans="1:19" ht="17.100000000000001" customHeight="1" x14ac:dyDescent="0.25">
      <c r="A12" s="6" t="s">
        <v>16</v>
      </c>
      <c r="B12" s="104" t="s">
        <v>153</v>
      </c>
      <c r="C12" s="104">
        <f t="shared" si="7"/>
        <v>7</v>
      </c>
      <c r="D12" s="104" t="s">
        <v>65</v>
      </c>
      <c r="E12" s="104"/>
      <c r="F12" s="116">
        <v>1.1299999999999999</v>
      </c>
      <c r="G12" s="117">
        <v>0</v>
      </c>
      <c r="H12" s="118">
        <f t="shared" si="1"/>
        <v>0</v>
      </c>
      <c r="I12" s="119"/>
      <c r="J12" s="120">
        <f t="shared" si="2"/>
        <v>0</v>
      </c>
      <c r="K12" s="120">
        <f t="shared" si="3"/>
        <v>0</v>
      </c>
      <c r="L12" s="121">
        <v>0</v>
      </c>
      <c r="M12" s="122">
        <f t="shared" si="0"/>
        <v>0</v>
      </c>
      <c r="N12" s="123">
        <v>0</v>
      </c>
      <c r="O12" s="124">
        <f t="shared" si="4"/>
        <v>7.0000000000000007E-2</v>
      </c>
      <c r="P12" s="125">
        <f t="shared" si="5"/>
        <v>7.0000000000000007E-2</v>
      </c>
      <c r="Q12" s="126">
        <f t="shared" si="6"/>
        <v>7.0000000000000007E-2</v>
      </c>
      <c r="R12" s="60">
        <f t="shared" si="8"/>
        <v>7.0000000000000007E-2</v>
      </c>
    </row>
    <row r="13" spans="1:19" ht="17.100000000000001" customHeight="1" x14ac:dyDescent="0.25">
      <c r="A13" s="6" t="s">
        <v>17</v>
      </c>
      <c r="B13" s="104" t="s">
        <v>154</v>
      </c>
      <c r="C13" s="104">
        <f t="shared" si="7"/>
        <v>8</v>
      </c>
      <c r="D13" s="104" t="s">
        <v>76</v>
      </c>
      <c r="E13" s="105"/>
      <c r="F13" s="116">
        <v>1.1299999999999999</v>
      </c>
      <c r="G13" s="117">
        <v>0</v>
      </c>
      <c r="H13" s="118">
        <f t="shared" si="1"/>
        <v>0</v>
      </c>
      <c r="I13" s="119"/>
      <c r="J13" s="120">
        <f t="shared" si="2"/>
        <v>0</v>
      </c>
      <c r="K13" s="120">
        <f t="shared" si="3"/>
        <v>0</v>
      </c>
      <c r="L13" s="121">
        <v>0</v>
      </c>
      <c r="M13" s="122">
        <f t="shared" si="0"/>
        <v>0</v>
      </c>
      <c r="N13" s="123">
        <v>0</v>
      </c>
      <c r="O13" s="124">
        <f t="shared" si="4"/>
        <v>0.08</v>
      </c>
      <c r="P13" s="125">
        <f t="shared" si="5"/>
        <v>0.08</v>
      </c>
      <c r="Q13" s="126">
        <f t="shared" si="6"/>
        <v>0.08</v>
      </c>
      <c r="R13" s="60">
        <f t="shared" si="8"/>
        <v>0.08</v>
      </c>
    </row>
    <row r="14" spans="1:19" ht="17.100000000000001" customHeight="1" x14ac:dyDescent="0.25">
      <c r="A14" s="6" t="s">
        <v>17</v>
      </c>
      <c r="B14" s="104" t="s">
        <v>155</v>
      </c>
      <c r="C14" s="104">
        <f t="shared" si="7"/>
        <v>9</v>
      </c>
      <c r="D14" s="104" t="s">
        <v>70</v>
      </c>
      <c r="E14" s="105"/>
      <c r="F14" s="116">
        <v>1.1299999999999999</v>
      </c>
      <c r="G14" s="117">
        <v>0</v>
      </c>
      <c r="H14" s="118">
        <f t="shared" si="1"/>
        <v>0</v>
      </c>
      <c r="I14" s="119"/>
      <c r="J14" s="120">
        <f t="shared" si="2"/>
        <v>0</v>
      </c>
      <c r="K14" s="120">
        <f t="shared" si="3"/>
        <v>0</v>
      </c>
      <c r="L14" s="121">
        <v>0</v>
      </c>
      <c r="M14" s="122">
        <f t="shared" si="0"/>
        <v>0</v>
      </c>
      <c r="N14" s="123">
        <v>0</v>
      </c>
      <c r="O14" s="124">
        <f t="shared" si="4"/>
        <v>0.09</v>
      </c>
      <c r="P14" s="125">
        <f t="shared" si="5"/>
        <v>0.09</v>
      </c>
      <c r="Q14" s="126">
        <f t="shared" si="6"/>
        <v>0.09</v>
      </c>
      <c r="R14" s="60">
        <f t="shared" si="8"/>
        <v>0.09</v>
      </c>
    </row>
    <row r="15" spans="1:19" ht="17.100000000000001" customHeight="1" x14ac:dyDescent="0.25">
      <c r="A15" s="6" t="s">
        <v>18</v>
      </c>
      <c r="B15" s="104" t="s">
        <v>156</v>
      </c>
      <c r="C15" s="104">
        <f t="shared" si="7"/>
        <v>10</v>
      </c>
      <c r="D15" s="104" t="s">
        <v>71</v>
      </c>
      <c r="E15" s="105"/>
      <c r="F15" s="116">
        <v>1.67</v>
      </c>
      <c r="G15" s="117">
        <v>0</v>
      </c>
      <c r="H15" s="118">
        <f t="shared" si="1"/>
        <v>0</v>
      </c>
      <c r="I15" s="119"/>
      <c r="J15" s="120">
        <f t="shared" si="2"/>
        <v>0</v>
      </c>
      <c r="K15" s="120">
        <f t="shared" si="3"/>
        <v>0</v>
      </c>
      <c r="L15" s="121">
        <v>0</v>
      </c>
      <c r="M15" s="122">
        <f t="shared" si="0"/>
        <v>0</v>
      </c>
      <c r="N15" s="123">
        <v>0</v>
      </c>
      <c r="O15" s="124">
        <f t="shared" si="4"/>
        <v>9.9999999999999992E-2</v>
      </c>
      <c r="P15" s="125">
        <f t="shared" si="5"/>
        <v>9.9999999999999992E-2</v>
      </c>
      <c r="Q15" s="126">
        <f t="shared" si="6"/>
        <v>9.9999999999999992E-2</v>
      </c>
      <c r="R15" s="60">
        <f t="shared" si="8"/>
        <v>9.9999999999999992E-2</v>
      </c>
    </row>
    <row r="16" spans="1:19" ht="17.100000000000001" customHeight="1" x14ac:dyDescent="0.25">
      <c r="A16" s="6" t="s">
        <v>18</v>
      </c>
      <c r="B16" s="104" t="s">
        <v>157</v>
      </c>
      <c r="C16" s="104">
        <f t="shared" si="7"/>
        <v>11</v>
      </c>
      <c r="D16" s="104" t="s">
        <v>77</v>
      </c>
      <c r="E16" s="105"/>
      <c r="F16" s="116">
        <v>1.71</v>
      </c>
      <c r="G16" s="117">
        <v>0</v>
      </c>
      <c r="H16" s="118">
        <f t="shared" si="1"/>
        <v>0</v>
      </c>
      <c r="I16" s="119"/>
      <c r="J16" s="120">
        <f t="shared" si="2"/>
        <v>0</v>
      </c>
      <c r="K16" s="120">
        <f t="shared" si="3"/>
        <v>0</v>
      </c>
      <c r="L16" s="121">
        <v>0</v>
      </c>
      <c r="M16" s="122">
        <f t="shared" si="0"/>
        <v>0</v>
      </c>
      <c r="N16" s="123">
        <v>0</v>
      </c>
      <c r="O16" s="124">
        <f t="shared" si="4"/>
        <v>0.10999999999999999</v>
      </c>
      <c r="P16" s="125">
        <f t="shared" si="5"/>
        <v>0.10999999999999999</v>
      </c>
      <c r="Q16" s="126">
        <f t="shared" si="6"/>
        <v>0.10999999999999999</v>
      </c>
      <c r="R16" s="60">
        <f t="shared" si="8"/>
        <v>0.10999999999999999</v>
      </c>
    </row>
    <row r="17" spans="1:20" ht="17.100000000000001" customHeight="1" x14ac:dyDescent="0.25">
      <c r="A17" s="6" t="s">
        <v>19</v>
      </c>
      <c r="B17" s="104" t="s">
        <v>158</v>
      </c>
      <c r="C17" s="104">
        <f t="shared" si="7"/>
        <v>12</v>
      </c>
      <c r="D17" s="104" t="s">
        <v>78</v>
      </c>
      <c r="E17" s="105"/>
      <c r="F17" s="116">
        <v>1.1299999999999999</v>
      </c>
      <c r="G17" s="117">
        <v>0</v>
      </c>
      <c r="H17" s="118">
        <f t="shared" si="1"/>
        <v>0</v>
      </c>
      <c r="I17" s="119"/>
      <c r="J17" s="120">
        <f t="shared" si="2"/>
        <v>0</v>
      </c>
      <c r="K17" s="120">
        <f t="shared" si="3"/>
        <v>0</v>
      </c>
      <c r="L17" s="121">
        <v>0</v>
      </c>
      <c r="M17" s="122">
        <f t="shared" si="0"/>
        <v>0</v>
      </c>
      <c r="N17" s="123">
        <v>0</v>
      </c>
      <c r="O17" s="124">
        <f t="shared" si="4"/>
        <v>0.11999999999999998</v>
      </c>
      <c r="P17" s="125">
        <f t="shared" si="5"/>
        <v>0.11999999999999998</v>
      </c>
      <c r="Q17" s="126">
        <f t="shared" si="6"/>
        <v>0.11999999999999998</v>
      </c>
      <c r="R17" s="60">
        <f t="shared" si="8"/>
        <v>0.11999999999999998</v>
      </c>
    </row>
    <row r="18" spans="1:20" ht="17.100000000000001" customHeight="1" x14ac:dyDescent="0.25">
      <c r="A18" s="6" t="s">
        <v>19</v>
      </c>
      <c r="B18" s="104" t="s">
        <v>159</v>
      </c>
      <c r="C18" s="104">
        <f t="shared" si="7"/>
        <v>13</v>
      </c>
      <c r="D18" s="104" t="s">
        <v>79</v>
      </c>
      <c r="E18" s="105"/>
      <c r="F18" s="116">
        <v>1.1299999999999999</v>
      </c>
      <c r="G18" s="117">
        <v>0</v>
      </c>
      <c r="H18" s="118">
        <f t="shared" si="1"/>
        <v>0</v>
      </c>
      <c r="I18" s="119"/>
      <c r="J18" s="120">
        <f t="shared" si="2"/>
        <v>0</v>
      </c>
      <c r="K18" s="120">
        <f t="shared" si="3"/>
        <v>0</v>
      </c>
      <c r="L18" s="121">
        <v>0</v>
      </c>
      <c r="M18" s="122">
        <f t="shared" si="0"/>
        <v>0</v>
      </c>
      <c r="N18" s="123">
        <v>0</v>
      </c>
      <c r="O18" s="124">
        <f t="shared" si="4"/>
        <v>0.12999999999999998</v>
      </c>
      <c r="P18" s="125">
        <f t="shared" si="5"/>
        <v>0.12999999999999998</v>
      </c>
      <c r="Q18" s="126">
        <f t="shared" si="6"/>
        <v>0.12999999999999998</v>
      </c>
      <c r="R18" s="60">
        <f t="shared" si="8"/>
        <v>0.12999999999999998</v>
      </c>
    </row>
    <row r="19" spans="1:20" ht="17.100000000000001" customHeight="1" x14ac:dyDescent="0.25">
      <c r="A19" s="6" t="s">
        <v>20</v>
      </c>
      <c r="B19" s="104" t="s">
        <v>160</v>
      </c>
      <c r="C19" s="104">
        <f t="shared" si="7"/>
        <v>14</v>
      </c>
      <c r="D19" s="104" t="s">
        <v>80</v>
      </c>
      <c r="E19" s="105"/>
      <c r="F19" s="116">
        <v>1.1299999999999999</v>
      </c>
      <c r="G19" s="117"/>
      <c r="H19" s="118"/>
      <c r="I19" s="119"/>
      <c r="J19" s="120">
        <f t="shared" si="2"/>
        <v>0</v>
      </c>
      <c r="K19" s="120">
        <f t="shared" si="3"/>
        <v>0</v>
      </c>
      <c r="L19" s="121">
        <v>0</v>
      </c>
      <c r="M19" s="122">
        <f t="shared" si="0"/>
        <v>0</v>
      </c>
      <c r="N19" s="123">
        <v>0</v>
      </c>
      <c r="O19" s="124">
        <f t="shared" si="4"/>
        <v>0.13999999999999999</v>
      </c>
      <c r="P19" s="125">
        <f t="shared" si="5"/>
        <v>0.13999999999999999</v>
      </c>
      <c r="Q19" s="126">
        <f t="shared" si="6"/>
        <v>0.13999999999999999</v>
      </c>
      <c r="R19" s="60">
        <f t="shared" si="8"/>
        <v>0.13999999999999999</v>
      </c>
    </row>
    <row r="20" spans="1:20" ht="17.100000000000001" customHeight="1" x14ac:dyDescent="0.25">
      <c r="A20" s="6" t="s">
        <v>20</v>
      </c>
      <c r="B20" s="104" t="s">
        <v>161</v>
      </c>
      <c r="C20" s="104">
        <f t="shared" si="7"/>
        <v>15</v>
      </c>
      <c r="D20" s="104" t="s">
        <v>81</v>
      </c>
      <c r="E20" s="105"/>
      <c r="F20" s="116">
        <v>1.67</v>
      </c>
      <c r="G20" s="117">
        <v>0</v>
      </c>
      <c r="H20" s="118">
        <f t="shared" ref="H20:H25" si="9">G20</f>
        <v>0</v>
      </c>
      <c r="I20" s="119"/>
      <c r="J20" s="120">
        <f>G20-H20</f>
        <v>0</v>
      </c>
      <c r="K20" s="120">
        <f t="shared" si="3"/>
        <v>0</v>
      </c>
      <c r="L20" s="121">
        <v>0</v>
      </c>
      <c r="M20" s="122">
        <f t="shared" si="0"/>
        <v>0</v>
      </c>
      <c r="N20" s="123">
        <v>0</v>
      </c>
      <c r="O20" s="124">
        <f t="shared" si="4"/>
        <v>0.15</v>
      </c>
      <c r="P20" s="125">
        <f t="shared" si="5"/>
        <v>0.15</v>
      </c>
      <c r="Q20" s="126">
        <f t="shared" si="6"/>
        <v>0.15</v>
      </c>
      <c r="R20" s="60">
        <f t="shared" si="8"/>
        <v>0.15</v>
      </c>
    </row>
    <row r="21" spans="1:20" ht="17.100000000000001" customHeight="1" x14ac:dyDescent="0.25">
      <c r="A21" s="6" t="s">
        <v>21</v>
      </c>
      <c r="B21" s="104" t="s">
        <v>162</v>
      </c>
      <c r="C21" s="104">
        <f t="shared" si="7"/>
        <v>16</v>
      </c>
      <c r="D21" s="104" t="s">
        <v>66</v>
      </c>
      <c r="E21" s="104"/>
      <c r="F21" s="116">
        <v>1.71</v>
      </c>
      <c r="G21" s="117">
        <v>0</v>
      </c>
      <c r="H21" s="118">
        <f t="shared" si="9"/>
        <v>0</v>
      </c>
      <c r="I21" s="119"/>
      <c r="J21" s="120">
        <f t="shared" si="2"/>
        <v>0</v>
      </c>
      <c r="K21" s="120">
        <f t="shared" si="3"/>
        <v>0</v>
      </c>
      <c r="L21" s="121">
        <v>0</v>
      </c>
      <c r="M21" s="122">
        <f t="shared" si="0"/>
        <v>0</v>
      </c>
      <c r="N21" s="123">
        <v>0</v>
      </c>
      <c r="O21" s="124">
        <f t="shared" si="4"/>
        <v>0.16</v>
      </c>
      <c r="P21" s="125">
        <f t="shared" si="5"/>
        <v>0.16</v>
      </c>
      <c r="Q21" s="126">
        <f t="shared" si="6"/>
        <v>0.16</v>
      </c>
      <c r="R21" s="60">
        <f t="shared" si="8"/>
        <v>0.16</v>
      </c>
      <c r="T21" s="59"/>
    </row>
    <row r="22" spans="1:20" ht="17.100000000000001" customHeight="1" x14ac:dyDescent="0.25">
      <c r="A22" s="6" t="s">
        <v>21</v>
      </c>
      <c r="B22" s="104" t="s">
        <v>163</v>
      </c>
      <c r="C22" s="104">
        <f t="shared" si="7"/>
        <v>17</v>
      </c>
      <c r="D22" s="104" t="s">
        <v>82</v>
      </c>
      <c r="E22" s="105"/>
      <c r="F22" s="116">
        <v>1.1299999999999999</v>
      </c>
      <c r="G22" s="117">
        <v>0</v>
      </c>
      <c r="H22" s="118">
        <f t="shared" si="9"/>
        <v>0</v>
      </c>
      <c r="I22" s="119"/>
      <c r="J22" s="120">
        <f t="shared" si="2"/>
        <v>0</v>
      </c>
      <c r="K22" s="120">
        <f t="shared" si="3"/>
        <v>0</v>
      </c>
      <c r="L22" s="121">
        <v>0</v>
      </c>
      <c r="M22" s="122">
        <f t="shared" si="0"/>
        <v>0</v>
      </c>
      <c r="N22" s="123">
        <v>0</v>
      </c>
      <c r="O22" s="124">
        <f t="shared" si="4"/>
        <v>0.17</v>
      </c>
      <c r="P22" s="125">
        <f t="shared" si="5"/>
        <v>0.17</v>
      </c>
      <c r="Q22" s="126">
        <f t="shared" si="6"/>
        <v>0.17</v>
      </c>
      <c r="R22" s="60">
        <f t="shared" si="8"/>
        <v>0.17</v>
      </c>
    </row>
    <row r="23" spans="1:20" ht="17.100000000000001" customHeight="1" x14ac:dyDescent="0.25">
      <c r="A23" s="6" t="s">
        <v>22</v>
      </c>
      <c r="B23" s="104" t="s">
        <v>164</v>
      </c>
      <c r="C23" s="104">
        <f t="shared" si="7"/>
        <v>18</v>
      </c>
      <c r="D23" s="104" t="s">
        <v>83</v>
      </c>
      <c r="E23" s="104"/>
      <c r="F23" s="116">
        <v>1.1299999999999999</v>
      </c>
      <c r="G23" s="117">
        <v>0</v>
      </c>
      <c r="H23" s="118">
        <f t="shared" si="9"/>
        <v>0</v>
      </c>
      <c r="I23" s="119"/>
      <c r="J23" s="120">
        <f t="shared" si="2"/>
        <v>0</v>
      </c>
      <c r="K23" s="120">
        <f t="shared" si="3"/>
        <v>0</v>
      </c>
      <c r="L23" s="121">
        <v>0</v>
      </c>
      <c r="M23" s="122">
        <f t="shared" si="0"/>
        <v>0</v>
      </c>
      <c r="N23" s="123">
        <v>0</v>
      </c>
      <c r="O23" s="124">
        <f t="shared" si="4"/>
        <v>0.18000000000000002</v>
      </c>
      <c r="P23" s="125">
        <f t="shared" si="5"/>
        <v>0.18000000000000002</v>
      </c>
      <c r="Q23" s="126">
        <f t="shared" si="6"/>
        <v>0.18000000000000002</v>
      </c>
      <c r="R23" s="60">
        <f t="shared" si="8"/>
        <v>0.18000000000000002</v>
      </c>
    </row>
    <row r="24" spans="1:20" ht="17.100000000000001" customHeight="1" x14ac:dyDescent="0.25">
      <c r="A24" s="6" t="s">
        <v>22</v>
      </c>
      <c r="B24" s="104" t="s">
        <v>165</v>
      </c>
      <c r="C24" s="104">
        <f t="shared" si="7"/>
        <v>19</v>
      </c>
      <c r="D24" s="104" t="s">
        <v>84</v>
      </c>
      <c r="E24" s="105"/>
      <c r="F24" s="116">
        <v>1.1299999999999999</v>
      </c>
      <c r="G24" s="117">
        <v>0</v>
      </c>
      <c r="H24" s="118">
        <f t="shared" si="9"/>
        <v>0</v>
      </c>
      <c r="I24" s="119"/>
      <c r="J24" s="120">
        <f t="shared" si="2"/>
        <v>0</v>
      </c>
      <c r="K24" s="120">
        <f t="shared" si="3"/>
        <v>0</v>
      </c>
      <c r="L24" s="121">
        <v>0</v>
      </c>
      <c r="M24" s="122">
        <f t="shared" si="0"/>
        <v>0</v>
      </c>
      <c r="N24" s="123">
        <v>0</v>
      </c>
      <c r="O24" s="124">
        <f t="shared" si="4"/>
        <v>0.19000000000000003</v>
      </c>
      <c r="P24" s="125">
        <f t="shared" si="5"/>
        <v>0.19000000000000003</v>
      </c>
      <c r="Q24" s="126">
        <f t="shared" si="6"/>
        <v>0.19000000000000003</v>
      </c>
      <c r="R24" s="60">
        <f t="shared" si="8"/>
        <v>0.19000000000000003</v>
      </c>
    </row>
    <row r="25" spans="1:20" ht="17.100000000000001" customHeight="1" x14ac:dyDescent="0.25">
      <c r="A25" s="6" t="s">
        <v>23</v>
      </c>
      <c r="B25" s="104" t="s">
        <v>166</v>
      </c>
      <c r="C25" s="104">
        <f t="shared" si="7"/>
        <v>20</v>
      </c>
      <c r="D25" s="104" t="s">
        <v>67</v>
      </c>
      <c r="E25" s="104"/>
      <c r="F25" s="116">
        <v>1.67</v>
      </c>
      <c r="G25" s="117">
        <v>0</v>
      </c>
      <c r="H25" s="118">
        <f t="shared" si="9"/>
        <v>0</v>
      </c>
      <c r="I25" s="119"/>
      <c r="J25" s="160">
        <f t="shared" si="2"/>
        <v>0</v>
      </c>
      <c r="K25" s="120">
        <f t="shared" si="3"/>
        <v>0</v>
      </c>
      <c r="L25" s="121">
        <v>0</v>
      </c>
      <c r="M25" s="122">
        <f t="shared" si="0"/>
        <v>0</v>
      </c>
      <c r="N25" s="123">
        <v>0</v>
      </c>
      <c r="O25" s="124">
        <f t="shared" si="4"/>
        <v>0.20000000000000004</v>
      </c>
      <c r="P25" s="125">
        <f t="shared" si="5"/>
        <v>0.20000000000000004</v>
      </c>
      <c r="Q25" s="126">
        <f t="shared" si="6"/>
        <v>0.20000000000000004</v>
      </c>
      <c r="R25" s="60">
        <f t="shared" si="8"/>
        <v>0.20000000000000004</v>
      </c>
    </row>
    <row r="26" spans="1:20" ht="17.100000000000001" customHeight="1" x14ac:dyDescent="0.25">
      <c r="A26" s="6" t="s">
        <v>24</v>
      </c>
      <c r="B26" s="104" t="s">
        <v>167</v>
      </c>
      <c r="C26" s="104">
        <f t="shared" si="7"/>
        <v>21</v>
      </c>
      <c r="D26" s="104" t="s">
        <v>85</v>
      </c>
      <c r="E26" s="105"/>
      <c r="F26" s="116">
        <v>1.71</v>
      </c>
      <c r="G26" s="117">
        <v>0</v>
      </c>
      <c r="H26" s="118">
        <f>G26</f>
        <v>0</v>
      </c>
      <c r="I26" s="119"/>
      <c r="J26" s="120">
        <f t="shared" si="2"/>
        <v>0</v>
      </c>
      <c r="K26" s="120">
        <f t="shared" si="3"/>
        <v>0</v>
      </c>
      <c r="L26" s="121">
        <v>0</v>
      </c>
      <c r="M26" s="122">
        <f t="shared" si="0"/>
        <v>0</v>
      </c>
      <c r="N26" s="123">
        <v>0</v>
      </c>
      <c r="O26" s="124">
        <f t="shared" si="4"/>
        <v>0.21000000000000005</v>
      </c>
      <c r="P26" s="125">
        <f t="shared" si="5"/>
        <v>0.21000000000000005</v>
      </c>
      <c r="Q26" s="126">
        <f t="shared" si="6"/>
        <v>0.21000000000000005</v>
      </c>
      <c r="R26" s="60">
        <f t="shared" si="8"/>
        <v>0.21000000000000005</v>
      </c>
    </row>
    <row r="27" spans="1:20" ht="17.100000000000001" customHeight="1" x14ac:dyDescent="0.25">
      <c r="A27" s="6" t="s">
        <v>25</v>
      </c>
      <c r="B27" s="104" t="s">
        <v>168</v>
      </c>
      <c r="C27" s="104">
        <f t="shared" si="7"/>
        <v>22</v>
      </c>
      <c r="D27" s="104" t="s">
        <v>86</v>
      </c>
      <c r="E27" s="105"/>
      <c r="F27" s="116">
        <v>1.1299999999999999</v>
      </c>
      <c r="G27" s="117">
        <v>0</v>
      </c>
      <c r="H27" s="118">
        <f>G27</f>
        <v>0</v>
      </c>
      <c r="I27" s="119"/>
      <c r="J27" s="120">
        <f t="shared" si="2"/>
        <v>0</v>
      </c>
      <c r="K27" s="120">
        <f t="shared" si="3"/>
        <v>0</v>
      </c>
      <c r="L27" s="121">
        <v>0</v>
      </c>
      <c r="M27" s="122">
        <f t="shared" si="0"/>
        <v>0</v>
      </c>
      <c r="N27" s="123">
        <v>0</v>
      </c>
      <c r="O27" s="124">
        <f t="shared" si="4"/>
        <v>0.22000000000000006</v>
      </c>
      <c r="P27" s="125">
        <f t="shared" si="5"/>
        <v>0.22000000000000006</v>
      </c>
      <c r="Q27" s="126">
        <f t="shared" si="6"/>
        <v>0.22000000000000006</v>
      </c>
      <c r="R27" s="60">
        <f t="shared" si="8"/>
        <v>0.22000000000000006</v>
      </c>
    </row>
    <row r="28" spans="1:20" ht="17.100000000000001" customHeight="1" x14ac:dyDescent="0.25">
      <c r="A28" s="6" t="s">
        <v>26</v>
      </c>
      <c r="B28" s="104" t="s">
        <v>169</v>
      </c>
      <c r="C28" s="104">
        <f t="shared" si="7"/>
        <v>23</v>
      </c>
      <c r="D28" s="104" t="s">
        <v>87</v>
      </c>
      <c r="E28" s="105"/>
      <c r="F28" s="116">
        <v>1.1299999999999999</v>
      </c>
      <c r="G28" s="117">
        <v>0</v>
      </c>
      <c r="H28" s="118">
        <f>G28</f>
        <v>0</v>
      </c>
      <c r="I28" s="119"/>
      <c r="J28" s="120">
        <f t="shared" si="2"/>
        <v>0</v>
      </c>
      <c r="K28" s="120">
        <f t="shared" si="3"/>
        <v>0</v>
      </c>
      <c r="L28" s="121">
        <v>0</v>
      </c>
      <c r="M28" s="122">
        <f t="shared" si="0"/>
        <v>0</v>
      </c>
      <c r="N28" s="123">
        <v>0</v>
      </c>
      <c r="O28" s="124">
        <f t="shared" si="4"/>
        <v>0.23000000000000007</v>
      </c>
      <c r="P28" s="125">
        <f t="shared" si="5"/>
        <v>0.23000000000000007</v>
      </c>
      <c r="Q28" s="126">
        <f t="shared" si="6"/>
        <v>0.23000000000000007</v>
      </c>
      <c r="R28" s="60">
        <f t="shared" si="8"/>
        <v>0.23000000000000007</v>
      </c>
    </row>
    <row r="29" spans="1:20" ht="17.100000000000001" customHeight="1" x14ac:dyDescent="0.25">
      <c r="A29" s="6" t="s">
        <v>29</v>
      </c>
      <c r="B29" s="104" t="s">
        <v>170</v>
      </c>
      <c r="C29" s="104">
        <f t="shared" si="7"/>
        <v>24</v>
      </c>
      <c r="D29" s="104" t="s">
        <v>88</v>
      </c>
      <c r="E29" s="105"/>
      <c r="F29" s="116">
        <v>1.1299999999999999</v>
      </c>
      <c r="G29" s="117"/>
      <c r="H29" s="118">
        <f>G29</f>
        <v>0</v>
      </c>
      <c r="I29" s="119"/>
      <c r="J29" s="120">
        <f t="shared" si="2"/>
        <v>0</v>
      </c>
      <c r="K29" s="120">
        <f t="shared" si="3"/>
        <v>0</v>
      </c>
      <c r="L29" s="121">
        <v>0</v>
      </c>
      <c r="M29" s="122">
        <f t="shared" si="0"/>
        <v>0</v>
      </c>
      <c r="N29" s="123">
        <v>0</v>
      </c>
      <c r="O29" s="124">
        <f t="shared" si="4"/>
        <v>0.24000000000000007</v>
      </c>
      <c r="P29" s="125">
        <f t="shared" si="5"/>
        <v>0.24000000000000007</v>
      </c>
      <c r="Q29" s="126">
        <f t="shared" si="6"/>
        <v>0.24000000000000007</v>
      </c>
      <c r="R29" s="60">
        <f t="shared" si="8"/>
        <v>0.24000000000000007</v>
      </c>
    </row>
    <row r="30" spans="1:20" ht="17.100000000000001" customHeight="1" x14ac:dyDescent="0.25">
      <c r="A30" s="6" t="s">
        <v>29</v>
      </c>
      <c r="B30" s="104" t="s">
        <v>171</v>
      </c>
      <c r="C30" s="104">
        <f t="shared" si="7"/>
        <v>25</v>
      </c>
      <c r="D30" s="104" t="s">
        <v>89</v>
      </c>
      <c r="E30" s="104"/>
      <c r="F30" s="116">
        <v>1.67</v>
      </c>
      <c r="G30" s="117">
        <v>0</v>
      </c>
      <c r="H30" s="118">
        <f t="shared" ref="H30:H35" si="10">G30</f>
        <v>0</v>
      </c>
      <c r="I30" s="119"/>
      <c r="J30" s="120">
        <f t="shared" si="2"/>
        <v>0</v>
      </c>
      <c r="K30" s="120">
        <f t="shared" si="3"/>
        <v>0</v>
      </c>
      <c r="L30" s="121">
        <v>0</v>
      </c>
      <c r="M30" s="122">
        <f t="shared" si="0"/>
        <v>0</v>
      </c>
      <c r="N30" s="123">
        <v>0</v>
      </c>
      <c r="O30" s="124">
        <f t="shared" si="4"/>
        <v>0.25000000000000006</v>
      </c>
      <c r="P30" s="125">
        <f t="shared" si="5"/>
        <v>0.25000000000000006</v>
      </c>
      <c r="Q30" s="126">
        <f t="shared" si="6"/>
        <v>0.25000000000000006</v>
      </c>
      <c r="R30" s="60">
        <f t="shared" si="8"/>
        <v>0.25000000000000006</v>
      </c>
    </row>
    <row r="31" spans="1:20" ht="17.100000000000001" customHeight="1" x14ac:dyDescent="0.25">
      <c r="A31" s="6" t="s">
        <v>29</v>
      </c>
      <c r="B31" s="104" t="s">
        <v>172</v>
      </c>
      <c r="C31" s="104">
        <f t="shared" si="7"/>
        <v>26</v>
      </c>
      <c r="D31" s="104" t="s">
        <v>224</v>
      </c>
      <c r="E31" s="104"/>
      <c r="F31" s="116">
        <v>1.71</v>
      </c>
      <c r="G31" s="117">
        <v>0</v>
      </c>
      <c r="H31" s="118">
        <f t="shared" si="10"/>
        <v>0</v>
      </c>
      <c r="I31" s="119"/>
      <c r="J31" s="120">
        <f t="shared" si="2"/>
        <v>0</v>
      </c>
      <c r="K31" s="120">
        <f t="shared" si="3"/>
        <v>0</v>
      </c>
      <c r="L31" s="121">
        <v>0</v>
      </c>
      <c r="M31" s="122">
        <f t="shared" si="0"/>
        <v>0</v>
      </c>
      <c r="N31" s="123">
        <v>0</v>
      </c>
      <c r="O31" s="124">
        <f t="shared" si="4"/>
        <v>0.26000000000000006</v>
      </c>
      <c r="P31" s="125">
        <f t="shared" si="5"/>
        <v>0.26000000000000006</v>
      </c>
      <c r="Q31" s="126">
        <f t="shared" si="6"/>
        <v>0.26000000000000006</v>
      </c>
      <c r="R31" s="60">
        <f t="shared" si="8"/>
        <v>0.26000000000000006</v>
      </c>
    </row>
    <row r="32" spans="1:20" ht="17.100000000000001" customHeight="1" x14ac:dyDescent="0.25">
      <c r="A32" s="6" t="s">
        <v>29</v>
      </c>
      <c r="B32" s="104" t="s">
        <v>173</v>
      </c>
      <c r="C32" s="104">
        <f t="shared" si="7"/>
        <v>27</v>
      </c>
      <c r="D32" s="104" t="s">
        <v>90</v>
      </c>
      <c r="E32" s="105"/>
      <c r="F32" s="116">
        <v>1.1299999999999999</v>
      </c>
      <c r="G32" s="117">
        <v>0</v>
      </c>
      <c r="H32" s="118">
        <f t="shared" si="10"/>
        <v>0</v>
      </c>
      <c r="I32" s="119"/>
      <c r="J32" s="120">
        <f t="shared" si="2"/>
        <v>0</v>
      </c>
      <c r="K32" s="120">
        <f t="shared" si="3"/>
        <v>0</v>
      </c>
      <c r="L32" s="121">
        <v>0</v>
      </c>
      <c r="M32" s="122">
        <f t="shared" si="0"/>
        <v>0</v>
      </c>
      <c r="N32" s="123">
        <v>0</v>
      </c>
      <c r="O32" s="124">
        <f t="shared" si="4"/>
        <v>0.27000000000000007</v>
      </c>
      <c r="P32" s="125">
        <f t="shared" si="5"/>
        <v>0.27000000000000007</v>
      </c>
      <c r="Q32" s="126">
        <f t="shared" si="6"/>
        <v>0.27000000000000007</v>
      </c>
      <c r="R32" s="60">
        <f t="shared" si="8"/>
        <v>0.27000000000000007</v>
      </c>
    </row>
    <row r="33" spans="1:18" ht="17.100000000000001" customHeight="1" x14ac:dyDescent="0.25">
      <c r="A33" s="6" t="s">
        <v>29</v>
      </c>
      <c r="B33" s="104" t="s">
        <v>174</v>
      </c>
      <c r="C33" s="104">
        <f t="shared" si="7"/>
        <v>28</v>
      </c>
      <c r="D33" s="104" t="s">
        <v>68</v>
      </c>
      <c r="E33" s="104"/>
      <c r="F33" s="116">
        <v>1.1299999999999999</v>
      </c>
      <c r="G33" s="117">
        <v>0</v>
      </c>
      <c r="H33" s="118">
        <f t="shared" si="10"/>
        <v>0</v>
      </c>
      <c r="I33" s="119"/>
      <c r="J33" s="120">
        <f t="shared" si="2"/>
        <v>0</v>
      </c>
      <c r="K33" s="120">
        <f t="shared" si="3"/>
        <v>0</v>
      </c>
      <c r="L33" s="121">
        <v>0</v>
      </c>
      <c r="M33" s="122">
        <f t="shared" si="0"/>
        <v>0</v>
      </c>
      <c r="N33" s="172">
        <v>42488</v>
      </c>
      <c r="O33" s="124">
        <f t="shared" si="4"/>
        <v>42488.28</v>
      </c>
      <c r="P33" s="125">
        <f t="shared" si="5"/>
        <v>45038.28</v>
      </c>
      <c r="Q33" s="126">
        <f t="shared" si="6"/>
        <v>43763.28</v>
      </c>
      <c r="R33" s="60">
        <f t="shared" si="8"/>
        <v>0.28000000000000008</v>
      </c>
    </row>
    <row r="34" spans="1:18" ht="17.100000000000001" customHeight="1" x14ac:dyDescent="0.25">
      <c r="A34" s="6" t="s">
        <v>29</v>
      </c>
      <c r="B34" s="104" t="s">
        <v>175</v>
      </c>
      <c r="C34" s="104">
        <f t="shared" si="7"/>
        <v>29</v>
      </c>
      <c r="D34" s="104" t="s">
        <v>69</v>
      </c>
      <c r="E34" s="104"/>
      <c r="F34" s="116">
        <v>1.1299999999999999</v>
      </c>
      <c r="G34" s="117">
        <v>0</v>
      </c>
      <c r="H34" s="118">
        <f t="shared" si="10"/>
        <v>0</v>
      </c>
      <c r="I34" s="119"/>
      <c r="J34" s="120">
        <f t="shared" si="2"/>
        <v>0</v>
      </c>
      <c r="K34" s="120">
        <f t="shared" si="3"/>
        <v>0</v>
      </c>
      <c r="L34" s="121">
        <v>0</v>
      </c>
      <c r="M34" s="122">
        <f t="shared" si="0"/>
        <v>0</v>
      </c>
      <c r="N34" s="123">
        <v>0</v>
      </c>
      <c r="O34" s="124">
        <f t="shared" si="4"/>
        <v>0.29000000000000009</v>
      </c>
      <c r="P34" s="125">
        <f t="shared" si="5"/>
        <v>0.29000000000000009</v>
      </c>
      <c r="Q34" s="126">
        <f t="shared" si="6"/>
        <v>0.29000000000000009</v>
      </c>
      <c r="R34" s="60">
        <f t="shared" si="8"/>
        <v>0.29000000000000009</v>
      </c>
    </row>
    <row r="35" spans="1:18" ht="17.100000000000001" customHeight="1" x14ac:dyDescent="0.25">
      <c r="A35" s="6" t="s">
        <v>29</v>
      </c>
      <c r="B35" s="104" t="s">
        <v>176</v>
      </c>
      <c r="C35" s="104">
        <f t="shared" si="7"/>
        <v>30</v>
      </c>
      <c r="D35" s="104" t="s">
        <v>91</v>
      </c>
      <c r="E35" s="105"/>
      <c r="F35" s="116">
        <v>1.67</v>
      </c>
      <c r="G35" s="117">
        <v>0</v>
      </c>
      <c r="H35" s="118">
        <f t="shared" si="10"/>
        <v>0</v>
      </c>
      <c r="I35" s="119"/>
      <c r="J35" s="120">
        <f t="shared" si="2"/>
        <v>0</v>
      </c>
      <c r="K35" s="120">
        <f t="shared" si="3"/>
        <v>0</v>
      </c>
      <c r="L35" s="121">
        <v>0</v>
      </c>
      <c r="M35" s="122">
        <f t="shared" si="0"/>
        <v>0</v>
      </c>
      <c r="N35" s="123">
        <v>0</v>
      </c>
      <c r="O35" s="124">
        <f t="shared" si="4"/>
        <v>0.3000000000000001</v>
      </c>
      <c r="P35" s="125">
        <f t="shared" si="5"/>
        <v>0.3000000000000001</v>
      </c>
      <c r="Q35" s="126">
        <f t="shared" si="6"/>
        <v>0.3000000000000001</v>
      </c>
      <c r="R35" s="60">
        <f t="shared" si="8"/>
        <v>0.3000000000000001</v>
      </c>
    </row>
    <row r="36" spans="1:18" ht="0.75" customHeight="1" x14ac:dyDescent="0.25">
      <c r="A36" s="6" t="s">
        <v>29</v>
      </c>
      <c r="B36" s="104"/>
      <c r="C36" s="104"/>
      <c r="D36" s="104"/>
      <c r="E36" s="104"/>
      <c r="F36" s="116"/>
      <c r="G36" s="117">
        <v>0</v>
      </c>
      <c r="H36" s="118"/>
      <c r="I36" s="128"/>
      <c r="J36" s="129">
        <f t="shared" si="2"/>
        <v>0</v>
      </c>
      <c r="K36" s="120">
        <f t="shared" si="3"/>
        <v>0</v>
      </c>
      <c r="L36" s="121">
        <v>0</v>
      </c>
      <c r="M36" s="130">
        <f t="shared" si="0"/>
        <v>0</v>
      </c>
      <c r="N36" s="131">
        <v>0</v>
      </c>
      <c r="O36" s="124">
        <f t="shared" si="4"/>
        <v>0</v>
      </c>
      <c r="P36" s="125">
        <f t="shared" si="5"/>
        <v>0</v>
      </c>
      <c r="Q36" s="126">
        <f t="shared" si="6"/>
        <v>0</v>
      </c>
      <c r="R36" s="60"/>
    </row>
    <row r="37" spans="1:18" ht="17.100000000000001" customHeight="1" x14ac:dyDescent="0.25">
      <c r="A37" s="6" t="s">
        <v>29</v>
      </c>
      <c r="B37" s="104" t="s">
        <v>177</v>
      </c>
      <c r="C37" s="104">
        <v>31</v>
      </c>
      <c r="D37" s="104" t="s">
        <v>108</v>
      </c>
      <c r="E37" s="105"/>
      <c r="F37" s="116">
        <v>1.71</v>
      </c>
      <c r="G37" s="117">
        <v>0</v>
      </c>
      <c r="H37" s="118">
        <f>G37</f>
        <v>0</v>
      </c>
      <c r="I37" s="119"/>
      <c r="J37" s="120">
        <f t="shared" si="2"/>
        <v>0</v>
      </c>
      <c r="K37" s="120">
        <f t="shared" si="3"/>
        <v>0</v>
      </c>
      <c r="L37" s="121">
        <v>0</v>
      </c>
      <c r="M37" s="122">
        <f t="shared" si="0"/>
        <v>0</v>
      </c>
      <c r="N37" s="123">
        <v>0</v>
      </c>
      <c r="O37" s="124">
        <f t="shared" si="4"/>
        <v>0.31</v>
      </c>
      <c r="P37" s="125">
        <f t="shared" si="5"/>
        <v>0.31</v>
      </c>
      <c r="Q37" s="126">
        <f t="shared" si="6"/>
        <v>0.31</v>
      </c>
      <c r="R37" s="60">
        <v>0.31</v>
      </c>
    </row>
    <row r="38" spans="1:18" ht="17.100000000000001" customHeight="1" x14ac:dyDescent="0.25">
      <c r="A38" s="6" t="s">
        <v>29</v>
      </c>
      <c r="B38" s="104" t="s">
        <v>178</v>
      </c>
      <c r="C38" s="104">
        <f>C37+1</f>
        <v>32</v>
      </c>
      <c r="D38" s="104" t="s">
        <v>109</v>
      </c>
      <c r="E38" s="105"/>
      <c r="F38" s="116">
        <v>1.1299999999999999</v>
      </c>
      <c r="G38" s="117">
        <v>0</v>
      </c>
      <c r="H38" s="118">
        <f>G38</f>
        <v>0</v>
      </c>
      <c r="I38" s="119"/>
      <c r="J38" s="120">
        <f t="shared" si="2"/>
        <v>0</v>
      </c>
      <c r="K38" s="120">
        <f t="shared" si="3"/>
        <v>0</v>
      </c>
      <c r="L38" s="121">
        <v>0</v>
      </c>
      <c r="M38" s="122">
        <f t="shared" si="0"/>
        <v>0</v>
      </c>
      <c r="N38" s="123">
        <v>0</v>
      </c>
      <c r="O38" s="124">
        <f t="shared" si="4"/>
        <v>0.32</v>
      </c>
      <c r="P38" s="125">
        <f t="shared" si="5"/>
        <v>0.32</v>
      </c>
      <c r="Q38" s="126">
        <f t="shared" si="6"/>
        <v>0.32</v>
      </c>
      <c r="R38" s="60">
        <f t="shared" si="8"/>
        <v>0.32</v>
      </c>
    </row>
    <row r="39" spans="1:18" ht="17.100000000000001" customHeight="1" x14ac:dyDescent="0.25">
      <c r="A39" s="6" t="s">
        <v>29</v>
      </c>
      <c r="B39" s="104" t="s">
        <v>179</v>
      </c>
      <c r="C39" s="104">
        <f t="shared" ref="C39:C80" si="11">C38+1</f>
        <v>33</v>
      </c>
      <c r="D39" s="104" t="s">
        <v>92</v>
      </c>
      <c r="E39" s="104"/>
      <c r="F39" s="116">
        <v>1.1299999999999999</v>
      </c>
      <c r="G39" s="117">
        <v>0</v>
      </c>
      <c r="H39" s="118">
        <f>G39</f>
        <v>0</v>
      </c>
      <c r="I39" s="119"/>
      <c r="J39" s="120">
        <f t="shared" si="2"/>
        <v>0</v>
      </c>
      <c r="K39" s="120">
        <f t="shared" si="3"/>
        <v>0</v>
      </c>
      <c r="L39" s="121">
        <v>0</v>
      </c>
      <c r="M39" s="122">
        <f t="shared" si="0"/>
        <v>0</v>
      </c>
      <c r="N39" s="123">
        <v>0</v>
      </c>
      <c r="O39" s="124">
        <f t="shared" si="4"/>
        <v>0.33</v>
      </c>
      <c r="P39" s="125">
        <f t="shared" si="5"/>
        <v>0.33</v>
      </c>
      <c r="Q39" s="126">
        <f t="shared" si="6"/>
        <v>0.33</v>
      </c>
      <c r="R39" s="60">
        <f t="shared" si="8"/>
        <v>0.33</v>
      </c>
    </row>
    <row r="40" spans="1:18" ht="17.100000000000001" customHeight="1" x14ac:dyDescent="0.25">
      <c r="A40" s="6" t="s">
        <v>29</v>
      </c>
      <c r="B40" s="104" t="s">
        <v>180</v>
      </c>
      <c r="C40" s="104">
        <f t="shared" si="11"/>
        <v>34</v>
      </c>
      <c r="D40" s="104" t="s">
        <v>110</v>
      </c>
      <c r="E40" s="105"/>
      <c r="F40" s="116">
        <v>1.1299999999999999</v>
      </c>
      <c r="G40" s="117">
        <v>0</v>
      </c>
      <c r="H40" s="118">
        <f>G40</f>
        <v>0</v>
      </c>
      <c r="I40" s="119"/>
      <c r="J40" s="120">
        <f t="shared" si="2"/>
        <v>0</v>
      </c>
      <c r="K40" s="120">
        <f t="shared" si="3"/>
        <v>0</v>
      </c>
      <c r="L40" s="121">
        <v>0</v>
      </c>
      <c r="M40" s="122">
        <f t="shared" si="0"/>
        <v>0</v>
      </c>
      <c r="N40" s="123">
        <v>0</v>
      </c>
      <c r="O40" s="124">
        <f t="shared" si="4"/>
        <v>0.34</v>
      </c>
      <c r="P40" s="125">
        <f t="shared" si="5"/>
        <v>0.34</v>
      </c>
      <c r="Q40" s="126">
        <f t="shared" si="6"/>
        <v>0.34</v>
      </c>
      <c r="R40" s="60">
        <f t="shared" si="8"/>
        <v>0.34</v>
      </c>
    </row>
    <row r="41" spans="1:18" ht="17.100000000000001" customHeight="1" x14ac:dyDescent="0.25">
      <c r="A41" s="6" t="s">
        <v>29</v>
      </c>
      <c r="B41" s="104" t="s">
        <v>181</v>
      </c>
      <c r="C41" s="104">
        <f t="shared" si="11"/>
        <v>35</v>
      </c>
      <c r="D41" s="104" t="s">
        <v>111</v>
      </c>
      <c r="E41" s="105"/>
      <c r="F41" s="116">
        <v>1.67</v>
      </c>
      <c r="G41" s="117">
        <v>0</v>
      </c>
      <c r="H41" s="118">
        <f t="shared" ref="H41:H46" si="12">G41</f>
        <v>0</v>
      </c>
      <c r="I41" s="119"/>
      <c r="J41" s="120">
        <f t="shared" si="2"/>
        <v>0</v>
      </c>
      <c r="K41" s="120">
        <f t="shared" si="3"/>
        <v>0</v>
      </c>
      <c r="L41" s="121">
        <v>0</v>
      </c>
      <c r="M41" s="122">
        <f t="shared" si="0"/>
        <v>0</v>
      </c>
      <c r="N41" s="123">
        <v>0</v>
      </c>
      <c r="O41" s="124">
        <f t="shared" si="4"/>
        <v>0.35000000000000003</v>
      </c>
      <c r="P41" s="125">
        <f t="shared" si="5"/>
        <v>0.35000000000000003</v>
      </c>
      <c r="Q41" s="126">
        <f t="shared" si="6"/>
        <v>0.35000000000000003</v>
      </c>
      <c r="R41" s="60">
        <f t="shared" si="8"/>
        <v>0.35000000000000003</v>
      </c>
    </row>
    <row r="42" spans="1:18" ht="17.100000000000001" customHeight="1" x14ac:dyDescent="0.25">
      <c r="A42" s="31"/>
      <c r="B42" s="103" t="s">
        <v>182</v>
      </c>
      <c r="C42" s="104">
        <f t="shared" si="11"/>
        <v>36</v>
      </c>
      <c r="D42" s="103" t="s">
        <v>112</v>
      </c>
      <c r="E42" s="132"/>
      <c r="F42" s="133">
        <v>1.71</v>
      </c>
      <c r="G42" s="117">
        <v>0</v>
      </c>
      <c r="H42" s="118">
        <f t="shared" si="12"/>
        <v>0</v>
      </c>
      <c r="I42" s="119"/>
      <c r="J42" s="120">
        <f t="shared" si="2"/>
        <v>0</v>
      </c>
      <c r="K42" s="120">
        <f t="shared" si="3"/>
        <v>0</v>
      </c>
      <c r="L42" s="121">
        <v>0</v>
      </c>
      <c r="M42" s="122">
        <f t="shared" si="0"/>
        <v>0</v>
      </c>
      <c r="N42" s="123">
        <v>0</v>
      </c>
      <c r="O42" s="124">
        <f t="shared" si="4"/>
        <v>0.36000000000000004</v>
      </c>
      <c r="P42" s="125">
        <f t="shared" si="5"/>
        <v>0.36000000000000004</v>
      </c>
      <c r="Q42" s="126">
        <f t="shared" si="6"/>
        <v>0.36000000000000004</v>
      </c>
      <c r="R42" s="60">
        <f t="shared" si="8"/>
        <v>0.36000000000000004</v>
      </c>
    </row>
    <row r="43" spans="1:18" ht="17.100000000000001" customHeight="1" x14ac:dyDescent="0.25">
      <c r="B43" s="104" t="s">
        <v>183</v>
      </c>
      <c r="C43" s="134">
        <f t="shared" si="11"/>
        <v>37</v>
      </c>
      <c r="D43" s="103" t="s">
        <v>93</v>
      </c>
      <c r="E43" s="103"/>
      <c r="F43" s="133">
        <v>1.1299999999999999</v>
      </c>
      <c r="G43" s="117">
        <v>0</v>
      </c>
      <c r="H43" s="118">
        <f t="shared" si="12"/>
        <v>0</v>
      </c>
      <c r="I43" s="119"/>
      <c r="J43" s="120">
        <f t="shared" si="2"/>
        <v>0</v>
      </c>
      <c r="K43" s="120">
        <f t="shared" si="3"/>
        <v>0</v>
      </c>
      <c r="L43" s="121">
        <v>0</v>
      </c>
      <c r="M43" s="122">
        <f t="shared" si="0"/>
        <v>0</v>
      </c>
      <c r="N43" s="123">
        <v>0</v>
      </c>
      <c r="O43" s="124">
        <f t="shared" si="4"/>
        <v>0.37000000000000005</v>
      </c>
      <c r="P43" s="125">
        <f t="shared" si="5"/>
        <v>0.37000000000000005</v>
      </c>
      <c r="Q43" s="126">
        <f t="shared" si="6"/>
        <v>0.37000000000000005</v>
      </c>
      <c r="R43" s="60">
        <f t="shared" si="8"/>
        <v>0.37000000000000005</v>
      </c>
    </row>
    <row r="44" spans="1:18" ht="17.100000000000001" customHeight="1" x14ac:dyDescent="0.25">
      <c r="B44" s="104" t="s">
        <v>184</v>
      </c>
      <c r="C44" s="134">
        <f t="shared" si="11"/>
        <v>38</v>
      </c>
      <c r="D44" s="103" t="s">
        <v>113</v>
      </c>
      <c r="E44" s="132"/>
      <c r="F44" s="133">
        <v>1.1299999999999999</v>
      </c>
      <c r="G44" s="117">
        <v>0</v>
      </c>
      <c r="H44" s="118">
        <f t="shared" si="12"/>
        <v>0</v>
      </c>
      <c r="I44" s="119"/>
      <c r="J44" s="120">
        <f t="shared" si="2"/>
        <v>0</v>
      </c>
      <c r="K44" s="120">
        <f t="shared" si="3"/>
        <v>0</v>
      </c>
      <c r="L44" s="121">
        <v>0</v>
      </c>
      <c r="M44" s="122">
        <f t="shared" si="0"/>
        <v>0</v>
      </c>
      <c r="N44" s="123">
        <v>0</v>
      </c>
      <c r="O44" s="124">
        <f t="shared" si="4"/>
        <v>0.38000000000000006</v>
      </c>
      <c r="P44" s="125">
        <f t="shared" si="5"/>
        <v>0.38000000000000006</v>
      </c>
      <c r="Q44" s="126">
        <f t="shared" si="6"/>
        <v>0.38000000000000006</v>
      </c>
      <c r="R44" s="60">
        <f t="shared" si="8"/>
        <v>0.38000000000000006</v>
      </c>
    </row>
    <row r="45" spans="1:18" ht="17.100000000000001" customHeight="1" x14ac:dyDescent="0.25">
      <c r="B45" s="104" t="s">
        <v>185</v>
      </c>
      <c r="C45" s="134">
        <f t="shared" si="11"/>
        <v>39</v>
      </c>
      <c r="D45" s="103" t="s">
        <v>94</v>
      </c>
      <c r="E45" s="103"/>
      <c r="F45" s="133">
        <v>1.1299999999999999</v>
      </c>
      <c r="G45" s="117">
        <v>0</v>
      </c>
      <c r="H45" s="118">
        <f t="shared" si="12"/>
        <v>0</v>
      </c>
      <c r="I45" s="119"/>
      <c r="J45" s="120">
        <f t="shared" si="2"/>
        <v>0</v>
      </c>
      <c r="K45" s="120">
        <f t="shared" si="3"/>
        <v>0</v>
      </c>
      <c r="L45" s="121">
        <v>0</v>
      </c>
      <c r="M45" s="122">
        <f t="shared" si="0"/>
        <v>0</v>
      </c>
      <c r="N45" s="123">
        <v>0</v>
      </c>
      <c r="O45" s="124">
        <f t="shared" si="4"/>
        <v>0.39000000000000007</v>
      </c>
      <c r="P45" s="125">
        <f t="shared" si="5"/>
        <v>0.39000000000000007</v>
      </c>
      <c r="Q45" s="126">
        <f t="shared" si="6"/>
        <v>0.39000000000000007</v>
      </c>
      <c r="R45" s="60">
        <f t="shared" si="8"/>
        <v>0.39000000000000007</v>
      </c>
    </row>
    <row r="46" spans="1:18" ht="17.100000000000001" customHeight="1" x14ac:dyDescent="0.25">
      <c r="B46" s="104" t="s">
        <v>186</v>
      </c>
      <c r="C46" s="134">
        <f t="shared" si="11"/>
        <v>40</v>
      </c>
      <c r="D46" s="103" t="s">
        <v>95</v>
      </c>
      <c r="E46" s="103"/>
      <c r="F46" s="133">
        <v>1.67</v>
      </c>
      <c r="G46" s="117"/>
      <c r="H46" s="118">
        <f t="shared" si="12"/>
        <v>0</v>
      </c>
      <c r="I46" s="119"/>
      <c r="J46" s="120">
        <f t="shared" si="2"/>
        <v>0</v>
      </c>
      <c r="K46" s="120">
        <f t="shared" si="3"/>
        <v>0</v>
      </c>
      <c r="L46" s="121">
        <v>0</v>
      </c>
      <c r="M46" s="122">
        <f t="shared" si="0"/>
        <v>0</v>
      </c>
      <c r="N46" s="123">
        <v>0</v>
      </c>
      <c r="O46" s="124">
        <f t="shared" si="4"/>
        <v>0.40000000000000008</v>
      </c>
      <c r="P46" s="125">
        <f t="shared" si="5"/>
        <v>0.40000000000000008</v>
      </c>
      <c r="Q46" s="126">
        <f t="shared" si="6"/>
        <v>0.40000000000000008</v>
      </c>
      <c r="R46" s="60">
        <f t="shared" si="8"/>
        <v>0.40000000000000008</v>
      </c>
    </row>
    <row r="47" spans="1:18" ht="17.100000000000001" customHeight="1" x14ac:dyDescent="0.25">
      <c r="B47" s="104" t="s">
        <v>187</v>
      </c>
      <c r="C47" s="134">
        <f t="shared" si="11"/>
        <v>41</v>
      </c>
      <c r="D47" s="103" t="s">
        <v>114</v>
      </c>
      <c r="E47" s="132"/>
      <c r="F47" s="133">
        <v>1.71</v>
      </c>
      <c r="G47" s="117">
        <v>0</v>
      </c>
      <c r="H47" s="118">
        <f t="shared" ref="H47:H55" si="13">G47</f>
        <v>0</v>
      </c>
      <c r="I47" s="119"/>
      <c r="J47" s="120">
        <f t="shared" si="2"/>
        <v>0</v>
      </c>
      <c r="K47" s="120">
        <f t="shared" si="3"/>
        <v>0</v>
      </c>
      <c r="L47" s="121">
        <v>0</v>
      </c>
      <c r="M47" s="122">
        <f t="shared" si="0"/>
        <v>0</v>
      </c>
      <c r="N47" s="123">
        <v>0</v>
      </c>
      <c r="O47" s="124">
        <f t="shared" si="4"/>
        <v>0.41000000000000009</v>
      </c>
      <c r="P47" s="125">
        <f t="shared" si="5"/>
        <v>0.41000000000000009</v>
      </c>
      <c r="Q47" s="126">
        <f t="shared" si="6"/>
        <v>0.41000000000000009</v>
      </c>
      <c r="R47" s="60">
        <f t="shared" si="8"/>
        <v>0.41000000000000009</v>
      </c>
    </row>
    <row r="48" spans="1:18" ht="17.100000000000001" customHeight="1" x14ac:dyDescent="0.25">
      <c r="B48" s="104" t="s">
        <v>188</v>
      </c>
      <c r="C48" s="134">
        <f t="shared" si="11"/>
        <v>42</v>
      </c>
      <c r="D48" s="103" t="s">
        <v>115</v>
      </c>
      <c r="E48" s="132"/>
      <c r="F48" s="133">
        <v>1.1299999999999999</v>
      </c>
      <c r="G48" s="117">
        <v>0</v>
      </c>
      <c r="H48" s="118">
        <f t="shared" si="13"/>
        <v>0</v>
      </c>
      <c r="I48" s="119"/>
      <c r="J48" s="120">
        <f t="shared" si="2"/>
        <v>0</v>
      </c>
      <c r="K48" s="120">
        <f t="shared" si="3"/>
        <v>0</v>
      </c>
      <c r="L48" s="121">
        <v>0</v>
      </c>
      <c r="M48" s="122">
        <f t="shared" si="0"/>
        <v>0</v>
      </c>
      <c r="N48" s="123">
        <v>0</v>
      </c>
      <c r="O48" s="124">
        <f t="shared" si="4"/>
        <v>0.4200000000000001</v>
      </c>
      <c r="P48" s="125">
        <f t="shared" si="5"/>
        <v>0.4200000000000001</v>
      </c>
      <c r="Q48" s="126">
        <f t="shared" si="6"/>
        <v>0.4200000000000001</v>
      </c>
      <c r="R48" s="60">
        <f t="shared" si="8"/>
        <v>0.4200000000000001</v>
      </c>
    </row>
    <row r="49" spans="2:18" ht="17.100000000000001" customHeight="1" x14ac:dyDescent="0.25">
      <c r="B49" s="104" t="s">
        <v>189</v>
      </c>
      <c r="C49" s="134">
        <f t="shared" si="11"/>
        <v>43</v>
      </c>
      <c r="D49" s="103" t="s">
        <v>116</v>
      </c>
      <c r="E49" s="132"/>
      <c r="F49" s="133">
        <v>1.1299999999999999</v>
      </c>
      <c r="G49" s="117">
        <v>0</v>
      </c>
      <c r="H49" s="118">
        <f t="shared" si="13"/>
        <v>0</v>
      </c>
      <c r="I49" s="119"/>
      <c r="J49" s="120">
        <f t="shared" si="2"/>
        <v>0</v>
      </c>
      <c r="K49" s="120">
        <f t="shared" si="3"/>
        <v>0</v>
      </c>
      <c r="L49" s="121">
        <v>0</v>
      </c>
      <c r="M49" s="122">
        <f t="shared" si="0"/>
        <v>0</v>
      </c>
      <c r="N49" s="123">
        <v>0</v>
      </c>
      <c r="O49" s="124">
        <f t="shared" si="4"/>
        <v>0.4300000000000001</v>
      </c>
      <c r="P49" s="125">
        <f t="shared" si="5"/>
        <v>0.4300000000000001</v>
      </c>
      <c r="Q49" s="126">
        <f t="shared" si="6"/>
        <v>0.4300000000000001</v>
      </c>
      <c r="R49" s="60">
        <f t="shared" si="8"/>
        <v>0.4300000000000001</v>
      </c>
    </row>
    <row r="50" spans="2:18" ht="17.100000000000001" customHeight="1" x14ac:dyDescent="0.25">
      <c r="B50" s="104" t="s">
        <v>190</v>
      </c>
      <c r="C50" s="134">
        <f t="shared" si="11"/>
        <v>44</v>
      </c>
      <c r="D50" s="103" t="s">
        <v>96</v>
      </c>
      <c r="E50" s="103"/>
      <c r="F50" s="133">
        <v>1.1299999999999999</v>
      </c>
      <c r="G50" s="117">
        <v>0</v>
      </c>
      <c r="H50" s="118">
        <f t="shared" si="13"/>
        <v>0</v>
      </c>
      <c r="I50" s="119"/>
      <c r="J50" s="120">
        <f t="shared" si="2"/>
        <v>0</v>
      </c>
      <c r="K50" s="120">
        <f t="shared" si="3"/>
        <v>0</v>
      </c>
      <c r="L50" s="121">
        <v>0</v>
      </c>
      <c r="M50" s="122">
        <f t="shared" si="0"/>
        <v>0</v>
      </c>
      <c r="N50" s="123">
        <v>0</v>
      </c>
      <c r="O50" s="124">
        <f t="shared" si="4"/>
        <v>0.44000000000000011</v>
      </c>
      <c r="P50" s="125">
        <f t="shared" si="5"/>
        <v>0.44000000000000011</v>
      </c>
      <c r="Q50" s="126">
        <f t="shared" si="6"/>
        <v>0.44000000000000011</v>
      </c>
      <c r="R50" s="60">
        <f t="shared" si="8"/>
        <v>0.44000000000000011</v>
      </c>
    </row>
    <row r="51" spans="2:18" ht="17.100000000000001" customHeight="1" x14ac:dyDescent="0.25">
      <c r="B51" s="104" t="s">
        <v>191</v>
      </c>
      <c r="C51" s="134">
        <f t="shared" si="11"/>
        <v>45</v>
      </c>
      <c r="D51" s="103" t="s">
        <v>97</v>
      </c>
      <c r="E51" s="103"/>
      <c r="F51" s="133">
        <v>1.67</v>
      </c>
      <c r="G51" s="117">
        <v>0</v>
      </c>
      <c r="H51" s="118">
        <f t="shared" si="13"/>
        <v>0</v>
      </c>
      <c r="I51" s="119"/>
      <c r="J51" s="120">
        <f t="shared" si="2"/>
        <v>0</v>
      </c>
      <c r="K51" s="120">
        <f t="shared" si="3"/>
        <v>0</v>
      </c>
      <c r="L51" s="121">
        <v>0</v>
      </c>
      <c r="M51" s="122">
        <f t="shared" si="0"/>
        <v>0</v>
      </c>
      <c r="N51" s="123">
        <v>0</v>
      </c>
      <c r="O51" s="124">
        <f t="shared" si="4"/>
        <v>0.45000000000000012</v>
      </c>
      <c r="P51" s="125">
        <f t="shared" si="5"/>
        <v>0.45000000000000012</v>
      </c>
      <c r="Q51" s="126">
        <f t="shared" si="6"/>
        <v>0.45000000000000012</v>
      </c>
      <c r="R51" s="60">
        <f t="shared" si="8"/>
        <v>0.45000000000000012</v>
      </c>
    </row>
    <row r="52" spans="2:18" ht="17.100000000000001" customHeight="1" x14ac:dyDescent="0.25">
      <c r="B52" s="104" t="s">
        <v>192</v>
      </c>
      <c r="C52" s="134">
        <f t="shared" si="11"/>
        <v>46</v>
      </c>
      <c r="D52" s="103" t="s">
        <v>117</v>
      </c>
      <c r="E52" s="132"/>
      <c r="F52" s="133">
        <v>1.71</v>
      </c>
      <c r="G52" s="117">
        <v>0</v>
      </c>
      <c r="H52" s="118">
        <f t="shared" si="13"/>
        <v>0</v>
      </c>
      <c r="I52" s="119"/>
      <c r="J52" s="120">
        <f t="shared" si="2"/>
        <v>0</v>
      </c>
      <c r="K52" s="120">
        <f t="shared" si="3"/>
        <v>0</v>
      </c>
      <c r="L52" s="121">
        <v>0</v>
      </c>
      <c r="M52" s="122">
        <f t="shared" si="0"/>
        <v>0</v>
      </c>
      <c r="N52" s="123">
        <v>0</v>
      </c>
      <c r="O52" s="124">
        <f t="shared" si="4"/>
        <v>0.46000000000000013</v>
      </c>
      <c r="P52" s="125">
        <f t="shared" si="5"/>
        <v>0.46000000000000013</v>
      </c>
      <c r="Q52" s="126">
        <f t="shared" si="6"/>
        <v>0.46000000000000013</v>
      </c>
      <c r="R52" s="60">
        <f t="shared" si="8"/>
        <v>0.46000000000000013</v>
      </c>
    </row>
    <row r="53" spans="2:18" ht="17.100000000000001" customHeight="1" x14ac:dyDescent="0.25">
      <c r="B53" s="104" t="s">
        <v>193</v>
      </c>
      <c r="C53" s="134">
        <f t="shared" si="11"/>
        <v>47</v>
      </c>
      <c r="D53" s="103" t="s">
        <v>98</v>
      </c>
      <c r="E53" s="103"/>
      <c r="F53" s="133">
        <v>1.1299999999999999</v>
      </c>
      <c r="G53" s="117">
        <v>0</v>
      </c>
      <c r="H53" s="118">
        <f t="shared" si="13"/>
        <v>0</v>
      </c>
      <c r="I53" s="119"/>
      <c r="J53" s="120">
        <f t="shared" si="2"/>
        <v>0</v>
      </c>
      <c r="K53" s="120">
        <f t="shared" si="3"/>
        <v>0</v>
      </c>
      <c r="L53" s="121">
        <v>0</v>
      </c>
      <c r="M53" s="122">
        <f t="shared" si="0"/>
        <v>0</v>
      </c>
      <c r="N53" s="123">
        <v>0</v>
      </c>
      <c r="O53" s="124">
        <f t="shared" si="4"/>
        <v>0.47000000000000014</v>
      </c>
      <c r="P53" s="125">
        <f t="shared" si="5"/>
        <v>0.47000000000000014</v>
      </c>
      <c r="Q53" s="126">
        <f t="shared" si="6"/>
        <v>0.47000000000000014</v>
      </c>
      <c r="R53" s="60">
        <f t="shared" si="8"/>
        <v>0.47000000000000014</v>
      </c>
    </row>
    <row r="54" spans="2:18" ht="17.100000000000001" customHeight="1" x14ac:dyDescent="0.25">
      <c r="B54" s="104" t="s">
        <v>194</v>
      </c>
      <c r="C54" s="134">
        <f t="shared" si="11"/>
        <v>48</v>
      </c>
      <c r="D54" s="103" t="s">
        <v>99</v>
      </c>
      <c r="E54" s="103"/>
      <c r="F54" s="133">
        <v>1.1299999999999999</v>
      </c>
      <c r="G54" s="117">
        <v>0</v>
      </c>
      <c r="H54" s="118">
        <f t="shared" si="13"/>
        <v>0</v>
      </c>
      <c r="I54" s="119"/>
      <c r="J54" s="120">
        <f t="shared" si="2"/>
        <v>0</v>
      </c>
      <c r="K54" s="120">
        <f t="shared" si="3"/>
        <v>0</v>
      </c>
      <c r="L54" s="121">
        <v>0</v>
      </c>
      <c r="M54" s="122">
        <f t="shared" si="0"/>
        <v>0</v>
      </c>
      <c r="N54" s="123">
        <v>0</v>
      </c>
      <c r="O54" s="124">
        <f t="shared" si="4"/>
        <v>0.48000000000000015</v>
      </c>
      <c r="P54" s="125">
        <f t="shared" si="5"/>
        <v>1.4800000000000002</v>
      </c>
      <c r="Q54" s="126">
        <f t="shared" si="6"/>
        <v>0.48000000000000015</v>
      </c>
      <c r="R54" s="60">
        <f t="shared" si="8"/>
        <v>0.48000000000000015</v>
      </c>
    </row>
    <row r="55" spans="2:18" ht="17.100000000000001" customHeight="1" x14ac:dyDescent="0.25">
      <c r="B55" s="104" t="s">
        <v>195</v>
      </c>
      <c r="C55" s="134">
        <f t="shared" si="11"/>
        <v>49</v>
      </c>
      <c r="D55" s="103" t="s">
        <v>225</v>
      </c>
      <c r="E55" s="103"/>
      <c r="F55" s="133">
        <v>1.1299999999999999</v>
      </c>
      <c r="G55" s="117">
        <v>0</v>
      </c>
      <c r="H55" s="118">
        <f t="shared" si="13"/>
        <v>0</v>
      </c>
      <c r="I55" s="119"/>
      <c r="J55" s="120">
        <f t="shared" si="2"/>
        <v>0</v>
      </c>
      <c r="K55" s="120">
        <f t="shared" si="3"/>
        <v>0</v>
      </c>
      <c r="L55" s="121">
        <v>0</v>
      </c>
      <c r="M55" s="122">
        <f t="shared" si="0"/>
        <v>0</v>
      </c>
      <c r="N55" s="123">
        <v>0</v>
      </c>
      <c r="O55" s="124">
        <f t="shared" si="4"/>
        <v>0.49000000000000016</v>
      </c>
      <c r="P55" s="125">
        <f t="shared" si="5"/>
        <v>1.4900000000000002</v>
      </c>
      <c r="Q55" s="126">
        <f t="shared" si="6"/>
        <v>0.49000000000000016</v>
      </c>
      <c r="R55" s="60">
        <f t="shared" si="8"/>
        <v>0.49000000000000016</v>
      </c>
    </row>
    <row r="56" spans="2:18" ht="17.100000000000001" customHeight="1" x14ac:dyDescent="0.25">
      <c r="B56" s="104" t="s">
        <v>196</v>
      </c>
      <c r="C56" s="134">
        <f t="shared" si="11"/>
        <v>50</v>
      </c>
      <c r="D56" s="103" t="s">
        <v>100</v>
      </c>
      <c r="E56" s="103"/>
      <c r="F56" s="133">
        <v>1.67</v>
      </c>
      <c r="G56" s="117">
        <v>0</v>
      </c>
      <c r="H56" s="118">
        <f>G56</f>
        <v>0</v>
      </c>
      <c r="I56" s="119"/>
      <c r="J56" s="120">
        <f t="shared" si="2"/>
        <v>0</v>
      </c>
      <c r="K56" s="120">
        <f t="shared" si="3"/>
        <v>0</v>
      </c>
      <c r="L56" s="121">
        <v>0</v>
      </c>
      <c r="M56" s="122">
        <f t="shared" si="0"/>
        <v>0</v>
      </c>
      <c r="N56" s="123">
        <v>0</v>
      </c>
      <c r="O56" s="124">
        <f t="shared" si="4"/>
        <v>0.50000000000000011</v>
      </c>
      <c r="P56" s="125">
        <f t="shared" si="5"/>
        <v>1.5</v>
      </c>
      <c r="Q56" s="126">
        <f t="shared" si="6"/>
        <v>0.50000000000000011</v>
      </c>
      <c r="R56" s="60">
        <f t="shared" si="8"/>
        <v>0.50000000000000011</v>
      </c>
    </row>
    <row r="57" spans="2:18" ht="17.100000000000001" customHeight="1" x14ac:dyDescent="0.25">
      <c r="B57" s="104" t="s">
        <v>197</v>
      </c>
      <c r="C57" s="134">
        <f t="shared" si="11"/>
        <v>51</v>
      </c>
      <c r="D57" s="103" t="s">
        <v>119</v>
      </c>
      <c r="E57" s="132"/>
      <c r="F57" s="133">
        <v>1.71</v>
      </c>
      <c r="G57" s="117">
        <v>0</v>
      </c>
      <c r="H57" s="118">
        <f t="shared" ref="H57:H61" si="14">G57</f>
        <v>0</v>
      </c>
      <c r="I57" s="119"/>
      <c r="J57" s="120">
        <f t="shared" si="2"/>
        <v>0</v>
      </c>
      <c r="K57" s="120">
        <f t="shared" si="3"/>
        <v>0</v>
      </c>
      <c r="L57" s="121">
        <v>0</v>
      </c>
      <c r="M57" s="122">
        <f t="shared" si="0"/>
        <v>0</v>
      </c>
      <c r="N57" s="123">
        <v>0</v>
      </c>
      <c r="O57" s="124">
        <f t="shared" si="4"/>
        <v>0.51000000000000012</v>
      </c>
      <c r="P57" s="125">
        <f t="shared" si="5"/>
        <v>1.5100000000000002</v>
      </c>
      <c r="Q57" s="126">
        <f t="shared" si="6"/>
        <v>0.51000000000000012</v>
      </c>
      <c r="R57" s="60">
        <f t="shared" si="8"/>
        <v>0.51000000000000012</v>
      </c>
    </row>
    <row r="58" spans="2:18" ht="17.100000000000001" customHeight="1" x14ac:dyDescent="0.25">
      <c r="B58" s="104" t="s">
        <v>198</v>
      </c>
      <c r="C58" s="134">
        <f t="shared" si="11"/>
        <v>52</v>
      </c>
      <c r="D58" s="103" t="s">
        <v>118</v>
      </c>
      <c r="E58" s="132"/>
      <c r="F58" s="133">
        <v>1.1299999999999999</v>
      </c>
      <c r="G58" s="117">
        <v>0</v>
      </c>
      <c r="H58" s="118">
        <f t="shared" si="14"/>
        <v>0</v>
      </c>
      <c r="I58" s="119"/>
      <c r="J58" s="120">
        <f t="shared" si="2"/>
        <v>0</v>
      </c>
      <c r="K58" s="120">
        <f t="shared" si="3"/>
        <v>0</v>
      </c>
      <c r="L58" s="121">
        <v>0</v>
      </c>
      <c r="M58" s="122">
        <f t="shared" si="0"/>
        <v>0</v>
      </c>
      <c r="N58" s="123">
        <v>0</v>
      </c>
      <c r="O58" s="124">
        <f t="shared" si="4"/>
        <v>0.52000000000000013</v>
      </c>
      <c r="P58" s="125">
        <f t="shared" si="5"/>
        <v>1.52</v>
      </c>
      <c r="Q58" s="126">
        <f t="shared" si="6"/>
        <v>0.52000000000000013</v>
      </c>
      <c r="R58" s="60">
        <f t="shared" si="8"/>
        <v>0.52000000000000013</v>
      </c>
    </row>
    <row r="59" spans="2:18" ht="17.100000000000001" customHeight="1" x14ac:dyDescent="0.25">
      <c r="B59" s="104" t="s">
        <v>199</v>
      </c>
      <c r="C59" s="134">
        <f t="shared" si="11"/>
        <v>53</v>
      </c>
      <c r="D59" s="103" t="s">
        <v>101</v>
      </c>
      <c r="E59" s="103"/>
      <c r="F59" s="133">
        <v>1.1299999999999999</v>
      </c>
      <c r="G59" s="117">
        <v>0</v>
      </c>
      <c r="H59" s="118">
        <f t="shared" si="14"/>
        <v>0</v>
      </c>
      <c r="I59" s="119"/>
      <c r="J59" s="120">
        <f t="shared" si="2"/>
        <v>0</v>
      </c>
      <c r="K59" s="120">
        <f t="shared" si="3"/>
        <v>0</v>
      </c>
      <c r="L59" s="121">
        <v>0</v>
      </c>
      <c r="M59" s="122">
        <f t="shared" si="0"/>
        <v>0</v>
      </c>
      <c r="N59" s="123">
        <v>0</v>
      </c>
      <c r="O59" s="124">
        <f t="shared" si="4"/>
        <v>0.53000000000000014</v>
      </c>
      <c r="P59" s="125">
        <f t="shared" si="5"/>
        <v>1.5300000000000002</v>
      </c>
      <c r="Q59" s="126">
        <f t="shared" si="6"/>
        <v>0.53000000000000014</v>
      </c>
      <c r="R59" s="60">
        <f t="shared" si="8"/>
        <v>0.53000000000000014</v>
      </c>
    </row>
    <row r="60" spans="2:18" ht="17.100000000000001" customHeight="1" x14ac:dyDescent="0.25">
      <c r="B60" s="104" t="s">
        <v>200</v>
      </c>
      <c r="C60" s="134">
        <f t="shared" si="11"/>
        <v>54</v>
      </c>
      <c r="D60" s="103" t="s">
        <v>121</v>
      </c>
      <c r="E60" s="132"/>
      <c r="F60" s="133">
        <v>1.1299999999999999</v>
      </c>
      <c r="G60" s="117">
        <v>0</v>
      </c>
      <c r="H60" s="118">
        <f t="shared" si="14"/>
        <v>0</v>
      </c>
      <c r="I60" s="119"/>
      <c r="J60" s="120">
        <f t="shared" si="2"/>
        <v>0</v>
      </c>
      <c r="K60" s="120">
        <f t="shared" si="3"/>
        <v>0</v>
      </c>
      <c r="L60" s="121">
        <v>0</v>
      </c>
      <c r="M60" s="122">
        <f t="shared" si="0"/>
        <v>0</v>
      </c>
      <c r="N60" s="123">
        <v>0</v>
      </c>
      <c r="O60" s="124">
        <f t="shared" si="4"/>
        <v>0.54000000000000015</v>
      </c>
      <c r="P60" s="125">
        <f t="shared" si="5"/>
        <v>1.54</v>
      </c>
      <c r="Q60" s="126">
        <f t="shared" si="6"/>
        <v>0.54000000000000015</v>
      </c>
      <c r="R60" s="60">
        <f t="shared" si="8"/>
        <v>0.54000000000000015</v>
      </c>
    </row>
    <row r="61" spans="2:18" ht="17.100000000000001" customHeight="1" x14ac:dyDescent="0.25">
      <c r="B61" s="104" t="s">
        <v>201</v>
      </c>
      <c r="C61" s="134">
        <f t="shared" si="11"/>
        <v>55</v>
      </c>
      <c r="D61" s="103" t="s">
        <v>120</v>
      </c>
      <c r="E61" s="132"/>
      <c r="F61" s="133">
        <v>1.67</v>
      </c>
      <c r="G61" s="117"/>
      <c r="H61" s="118">
        <f t="shared" si="14"/>
        <v>0</v>
      </c>
      <c r="I61" s="119"/>
      <c r="J61" s="120">
        <f t="shared" si="2"/>
        <v>0</v>
      </c>
      <c r="K61" s="120">
        <f t="shared" si="3"/>
        <v>0</v>
      </c>
      <c r="L61" s="121">
        <v>0</v>
      </c>
      <c r="M61" s="122">
        <f t="shared" si="0"/>
        <v>0</v>
      </c>
      <c r="N61" s="123"/>
      <c r="O61" s="124">
        <f t="shared" si="4"/>
        <v>0.55000000000000016</v>
      </c>
      <c r="P61" s="125">
        <f t="shared" si="5"/>
        <v>1.5500000000000003</v>
      </c>
      <c r="Q61" s="126">
        <f t="shared" si="6"/>
        <v>0.55000000000000016</v>
      </c>
      <c r="R61" s="60">
        <f t="shared" si="8"/>
        <v>0.55000000000000016</v>
      </c>
    </row>
    <row r="62" spans="2:18" ht="17.100000000000001" customHeight="1" x14ac:dyDescent="0.25">
      <c r="B62" s="104" t="s">
        <v>202</v>
      </c>
      <c r="C62" s="134">
        <f t="shared" si="11"/>
        <v>56</v>
      </c>
      <c r="D62" s="103" t="s">
        <v>122</v>
      </c>
      <c r="E62" s="132"/>
      <c r="F62" s="133">
        <v>1.71</v>
      </c>
      <c r="G62" s="117">
        <v>0</v>
      </c>
      <c r="H62" s="118">
        <f t="shared" ref="H62:H70" si="15">G62</f>
        <v>0</v>
      </c>
      <c r="I62" s="119"/>
      <c r="J62" s="120">
        <f t="shared" si="2"/>
        <v>0</v>
      </c>
      <c r="K62" s="120">
        <f t="shared" si="3"/>
        <v>0</v>
      </c>
      <c r="L62" s="121">
        <v>0</v>
      </c>
      <c r="M62" s="122">
        <f t="shared" si="0"/>
        <v>0</v>
      </c>
      <c r="N62" s="123">
        <v>0</v>
      </c>
      <c r="O62" s="124">
        <f t="shared" si="4"/>
        <v>0.56000000000000016</v>
      </c>
      <c r="P62" s="125">
        <f t="shared" si="5"/>
        <v>1.56</v>
      </c>
      <c r="Q62" s="126">
        <f t="shared" si="6"/>
        <v>0.56000000000000016</v>
      </c>
      <c r="R62" s="60">
        <f t="shared" si="8"/>
        <v>0.56000000000000016</v>
      </c>
    </row>
    <row r="63" spans="2:18" ht="17.100000000000001" customHeight="1" x14ac:dyDescent="0.25">
      <c r="B63" s="104" t="s">
        <v>203</v>
      </c>
      <c r="C63" s="134">
        <f t="shared" si="11"/>
        <v>57</v>
      </c>
      <c r="D63" s="103" t="s">
        <v>226</v>
      </c>
      <c r="E63" s="132"/>
      <c r="F63" s="133">
        <v>1.1299999999999999</v>
      </c>
      <c r="G63" s="117">
        <v>0</v>
      </c>
      <c r="H63" s="118">
        <f t="shared" si="15"/>
        <v>0</v>
      </c>
      <c r="I63" s="119"/>
      <c r="J63" s="120">
        <f t="shared" si="2"/>
        <v>0</v>
      </c>
      <c r="K63" s="120">
        <f t="shared" si="3"/>
        <v>0</v>
      </c>
      <c r="L63" s="121">
        <v>0</v>
      </c>
      <c r="M63" s="122">
        <f t="shared" si="0"/>
        <v>0</v>
      </c>
      <c r="N63" s="123">
        <v>0</v>
      </c>
      <c r="O63" s="124">
        <f t="shared" si="4"/>
        <v>0.57000000000000017</v>
      </c>
      <c r="P63" s="125">
        <f t="shared" si="5"/>
        <v>1.5700000000000003</v>
      </c>
      <c r="Q63" s="126">
        <f t="shared" si="6"/>
        <v>0.57000000000000017</v>
      </c>
      <c r="R63" s="60">
        <f t="shared" si="8"/>
        <v>0.57000000000000017</v>
      </c>
    </row>
    <row r="64" spans="2:18" ht="17.100000000000001" customHeight="1" x14ac:dyDescent="0.25">
      <c r="B64" s="104" t="s">
        <v>204</v>
      </c>
      <c r="C64" s="134">
        <f t="shared" si="11"/>
        <v>58</v>
      </c>
      <c r="D64" s="103" t="s">
        <v>102</v>
      </c>
      <c r="E64" s="103"/>
      <c r="F64" s="133">
        <v>1.1299999999999999</v>
      </c>
      <c r="G64" s="117">
        <v>0</v>
      </c>
      <c r="H64" s="118">
        <f t="shared" si="15"/>
        <v>0</v>
      </c>
      <c r="I64" s="119"/>
      <c r="J64" s="120">
        <f t="shared" si="2"/>
        <v>0</v>
      </c>
      <c r="K64" s="120">
        <f t="shared" si="3"/>
        <v>0</v>
      </c>
      <c r="L64" s="121">
        <v>0</v>
      </c>
      <c r="M64" s="122">
        <f t="shared" si="0"/>
        <v>0</v>
      </c>
      <c r="N64" s="123">
        <v>0</v>
      </c>
      <c r="O64" s="124">
        <f t="shared" si="4"/>
        <v>0.58000000000000018</v>
      </c>
      <c r="P64" s="125">
        <f t="shared" si="5"/>
        <v>1.58</v>
      </c>
      <c r="Q64" s="126">
        <f t="shared" si="6"/>
        <v>0.58000000000000018</v>
      </c>
      <c r="R64" s="60">
        <f t="shared" si="8"/>
        <v>0.58000000000000018</v>
      </c>
    </row>
    <row r="65" spans="2:18" ht="17.100000000000001" customHeight="1" x14ac:dyDescent="0.25">
      <c r="B65" s="104" t="s">
        <v>205</v>
      </c>
      <c r="C65" s="134">
        <f t="shared" si="11"/>
        <v>59</v>
      </c>
      <c r="D65" s="103" t="s">
        <v>123</v>
      </c>
      <c r="E65" s="132"/>
      <c r="F65" s="133">
        <v>1.1299999999999999</v>
      </c>
      <c r="G65" s="117">
        <v>0</v>
      </c>
      <c r="H65" s="118">
        <f t="shared" si="15"/>
        <v>0</v>
      </c>
      <c r="I65" s="119"/>
      <c r="J65" s="120">
        <f t="shared" si="2"/>
        <v>0</v>
      </c>
      <c r="K65" s="120">
        <f t="shared" si="3"/>
        <v>0</v>
      </c>
      <c r="L65" s="121">
        <v>0</v>
      </c>
      <c r="M65" s="122">
        <f t="shared" si="0"/>
        <v>0</v>
      </c>
      <c r="N65" s="123">
        <v>0</v>
      </c>
      <c r="O65" s="124">
        <f t="shared" si="4"/>
        <v>0.59000000000000019</v>
      </c>
      <c r="P65" s="125">
        <f t="shared" si="5"/>
        <v>1.5900000000000003</v>
      </c>
      <c r="Q65" s="126">
        <f t="shared" si="6"/>
        <v>0.59000000000000019</v>
      </c>
      <c r="R65" s="60">
        <f t="shared" si="8"/>
        <v>0.59000000000000019</v>
      </c>
    </row>
    <row r="66" spans="2:18" ht="17.100000000000001" customHeight="1" x14ac:dyDescent="0.25">
      <c r="B66" s="104" t="s">
        <v>206</v>
      </c>
      <c r="C66" s="134">
        <f t="shared" si="11"/>
        <v>60</v>
      </c>
      <c r="D66" s="103" t="s">
        <v>103</v>
      </c>
      <c r="E66" s="103"/>
      <c r="F66" s="133">
        <v>1.67</v>
      </c>
      <c r="G66" s="117">
        <v>0</v>
      </c>
      <c r="H66" s="118">
        <f t="shared" si="15"/>
        <v>0</v>
      </c>
      <c r="I66" s="119"/>
      <c r="J66" s="120">
        <f t="shared" si="2"/>
        <v>0</v>
      </c>
      <c r="K66" s="120">
        <f t="shared" si="3"/>
        <v>0</v>
      </c>
      <c r="L66" s="121">
        <v>0</v>
      </c>
      <c r="M66" s="122">
        <f t="shared" si="0"/>
        <v>0</v>
      </c>
      <c r="N66" s="123">
        <v>0</v>
      </c>
      <c r="O66" s="124">
        <f t="shared" si="4"/>
        <v>0.6000000000000002</v>
      </c>
      <c r="P66" s="125">
        <f t="shared" si="5"/>
        <v>1.6</v>
      </c>
      <c r="Q66" s="126">
        <f t="shared" si="6"/>
        <v>0.6000000000000002</v>
      </c>
      <c r="R66" s="60">
        <f t="shared" si="8"/>
        <v>0.6000000000000002</v>
      </c>
    </row>
    <row r="67" spans="2:18" ht="17.100000000000001" customHeight="1" x14ac:dyDescent="0.25">
      <c r="B67" s="104" t="s">
        <v>207</v>
      </c>
      <c r="C67" s="134">
        <f t="shared" si="11"/>
        <v>61</v>
      </c>
      <c r="D67" s="103" t="s">
        <v>124</v>
      </c>
      <c r="E67" s="132"/>
      <c r="F67" s="133">
        <v>1.71</v>
      </c>
      <c r="G67" s="117">
        <v>0</v>
      </c>
      <c r="H67" s="118">
        <f t="shared" si="15"/>
        <v>0</v>
      </c>
      <c r="I67" s="119"/>
      <c r="J67" s="120">
        <f t="shared" si="2"/>
        <v>0</v>
      </c>
      <c r="K67" s="120">
        <f t="shared" si="3"/>
        <v>0</v>
      </c>
      <c r="L67" s="121">
        <v>0</v>
      </c>
      <c r="M67" s="122">
        <f t="shared" si="0"/>
        <v>0</v>
      </c>
      <c r="N67" s="123">
        <v>0</v>
      </c>
      <c r="O67" s="124">
        <f t="shared" si="4"/>
        <v>0.61000000000000021</v>
      </c>
      <c r="P67" s="125">
        <f t="shared" si="5"/>
        <v>1.6100000000000003</v>
      </c>
      <c r="Q67" s="126">
        <f t="shared" si="6"/>
        <v>0.61000000000000021</v>
      </c>
      <c r="R67" s="60">
        <f t="shared" si="8"/>
        <v>0.61000000000000021</v>
      </c>
    </row>
    <row r="68" spans="2:18" ht="17.100000000000001" customHeight="1" x14ac:dyDescent="0.25">
      <c r="B68" s="104" t="s">
        <v>208</v>
      </c>
      <c r="C68" s="134">
        <f t="shared" si="11"/>
        <v>62</v>
      </c>
      <c r="D68" s="103" t="s">
        <v>104</v>
      </c>
      <c r="E68" s="103"/>
      <c r="F68" s="133">
        <v>1.1299999999999999</v>
      </c>
      <c r="G68" s="117">
        <v>0</v>
      </c>
      <c r="H68" s="118">
        <f t="shared" si="15"/>
        <v>0</v>
      </c>
      <c r="I68" s="119"/>
      <c r="J68" s="120">
        <f t="shared" si="2"/>
        <v>0</v>
      </c>
      <c r="K68" s="120">
        <f t="shared" si="3"/>
        <v>0</v>
      </c>
      <c r="L68" s="121">
        <v>0</v>
      </c>
      <c r="M68" s="122">
        <f t="shared" si="0"/>
        <v>0</v>
      </c>
      <c r="N68" s="123">
        <v>0</v>
      </c>
      <c r="O68" s="124">
        <f t="shared" si="4"/>
        <v>0.62000000000000022</v>
      </c>
      <c r="P68" s="125">
        <f t="shared" si="5"/>
        <v>1.62</v>
      </c>
      <c r="Q68" s="126">
        <f t="shared" si="6"/>
        <v>0.62000000000000022</v>
      </c>
      <c r="R68" s="60">
        <f t="shared" si="8"/>
        <v>0.62000000000000022</v>
      </c>
    </row>
    <row r="69" spans="2:18" ht="17.100000000000001" customHeight="1" x14ac:dyDescent="0.25">
      <c r="B69" s="104" t="s">
        <v>209</v>
      </c>
      <c r="C69" s="134">
        <f t="shared" si="11"/>
        <v>63</v>
      </c>
      <c r="D69" s="103" t="s">
        <v>105</v>
      </c>
      <c r="E69" s="103"/>
      <c r="F69" s="133">
        <v>1.1299999999999999</v>
      </c>
      <c r="G69" s="117">
        <v>0</v>
      </c>
      <c r="H69" s="118">
        <f t="shared" si="15"/>
        <v>0</v>
      </c>
      <c r="I69" s="119"/>
      <c r="J69" s="120">
        <f t="shared" si="2"/>
        <v>0</v>
      </c>
      <c r="K69" s="120">
        <f t="shared" si="3"/>
        <v>0</v>
      </c>
      <c r="L69" s="121">
        <v>0</v>
      </c>
      <c r="M69" s="122">
        <f t="shared" si="0"/>
        <v>0</v>
      </c>
      <c r="N69" s="123">
        <v>0</v>
      </c>
      <c r="O69" s="124">
        <f t="shared" si="4"/>
        <v>0.63000000000000023</v>
      </c>
      <c r="P69" s="125">
        <f t="shared" si="5"/>
        <v>1.6300000000000003</v>
      </c>
      <c r="Q69" s="126">
        <f t="shared" si="6"/>
        <v>0.63000000000000023</v>
      </c>
      <c r="R69" s="60">
        <f t="shared" si="8"/>
        <v>0.63000000000000023</v>
      </c>
    </row>
    <row r="70" spans="2:18" ht="17.100000000000001" customHeight="1" x14ac:dyDescent="0.25">
      <c r="B70" s="104" t="s">
        <v>210</v>
      </c>
      <c r="C70" s="134">
        <f t="shared" si="11"/>
        <v>64</v>
      </c>
      <c r="D70" s="103" t="s">
        <v>126</v>
      </c>
      <c r="E70" s="132"/>
      <c r="F70" s="133">
        <v>1.1299999999999999</v>
      </c>
      <c r="G70" s="117">
        <v>0</v>
      </c>
      <c r="H70" s="118">
        <f t="shared" si="15"/>
        <v>0</v>
      </c>
      <c r="I70" s="119"/>
      <c r="J70" s="120">
        <f t="shared" si="2"/>
        <v>0</v>
      </c>
      <c r="K70" s="120">
        <f t="shared" si="3"/>
        <v>0</v>
      </c>
      <c r="L70" s="121">
        <v>0</v>
      </c>
      <c r="M70" s="122">
        <f t="shared" ref="M70:M80" si="16">O$2*F70%</f>
        <v>0</v>
      </c>
      <c r="N70" s="123">
        <v>0</v>
      </c>
      <c r="O70" s="124">
        <f t="shared" si="4"/>
        <v>0.64000000000000024</v>
      </c>
      <c r="P70" s="125">
        <f t="shared" si="5"/>
        <v>1.6400000000000001</v>
      </c>
      <c r="Q70" s="126">
        <f t="shared" si="6"/>
        <v>0.64000000000000024</v>
      </c>
      <c r="R70" s="60">
        <f t="shared" si="8"/>
        <v>0.64000000000000024</v>
      </c>
    </row>
    <row r="71" spans="2:18" ht="17.100000000000001" customHeight="1" x14ac:dyDescent="0.25">
      <c r="B71" s="104" t="s">
        <v>211</v>
      </c>
      <c r="C71" s="134">
        <f t="shared" si="11"/>
        <v>65</v>
      </c>
      <c r="D71" s="103" t="s">
        <v>125</v>
      </c>
      <c r="E71" s="132"/>
      <c r="F71" s="133">
        <v>1.67</v>
      </c>
      <c r="G71" s="117">
        <v>0</v>
      </c>
      <c r="H71" s="118">
        <f>G71</f>
        <v>0</v>
      </c>
      <c r="I71" s="119"/>
      <c r="J71" s="120">
        <f t="shared" ref="J71:J80" si="17">G71-H71</f>
        <v>0</v>
      </c>
      <c r="K71" s="120">
        <f t="shared" ref="K71:K80" si="18">IF(J71&gt;0,J71*3%,0)</f>
        <v>0</v>
      </c>
      <c r="L71" s="121">
        <v>0</v>
      </c>
      <c r="M71" s="122">
        <f t="shared" si="16"/>
        <v>0</v>
      </c>
      <c r="N71" s="123">
        <v>0</v>
      </c>
      <c r="O71" s="124">
        <f t="shared" ref="O71:O80" si="19">ROUND(SUM(J71:N71),0) + R71</f>
        <v>0.65000000000000024</v>
      </c>
      <c r="P71" s="125">
        <f t="shared" ref="P71:P80" si="20">ROUND(O71*6% + O71,0) + R71</f>
        <v>1.6500000000000004</v>
      </c>
      <c r="Q71" s="126">
        <f t="shared" ref="Q71:Q80" si="21">ROUND(O71*3%,0) + O71</f>
        <v>0.65000000000000024</v>
      </c>
      <c r="R71" s="60">
        <f t="shared" si="8"/>
        <v>0.65000000000000024</v>
      </c>
    </row>
    <row r="72" spans="2:18" ht="17.100000000000001" customHeight="1" x14ac:dyDescent="0.25">
      <c r="B72" s="104" t="s">
        <v>212</v>
      </c>
      <c r="C72" s="134">
        <f t="shared" si="11"/>
        <v>66</v>
      </c>
      <c r="D72" s="103" t="s">
        <v>106</v>
      </c>
      <c r="E72" s="103"/>
      <c r="F72" s="133">
        <v>1.71</v>
      </c>
      <c r="G72" s="117">
        <v>0</v>
      </c>
      <c r="H72" s="118">
        <f t="shared" ref="H72:H77" si="22">G72</f>
        <v>0</v>
      </c>
      <c r="I72" s="119"/>
      <c r="J72" s="120">
        <f t="shared" si="17"/>
        <v>0</v>
      </c>
      <c r="K72" s="120">
        <f t="shared" si="18"/>
        <v>0</v>
      </c>
      <c r="L72" s="121">
        <v>0</v>
      </c>
      <c r="M72" s="122">
        <f t="shared" si="16"/>
        <v>0</v>
      </c>
      <c r="N72" s="123">
        <v>0</v>
      </c>
      <c r="O72" s="124">
        <f t="shared" si="19"/>
        <v>0.66000000000000025</v>
      </c>
      <c r="P72" s="125">
        <f t="shared" si="20"/>
        <v>1.6600000000000001</v>
      </c>
      <c r="Q72" s="126">
        <f t="shared" si="21"/>
        <v>0.66000000000000025</v>
      </c>
      <c r="R72" s="60">
        <f t="shared" ref="R72:R80" si="23">R71+0.01</f>
        <v>0.66000000000000025</v>
      </c>
    </row>
    <row r="73" spans="2:18" ht="17.100000000000001" customHeight="1" x14ac:dyDescent="0.25">
      <c r="B73" s="104" t="s">
        <v>213</v>
      </c>
      <c r="C73" s="135">
        <f t="shared" si="11"/>
        <v>67</v>
      </c>
      <c r="D73" s="136" t="s">
        <v>107</v>
      </c>
      <c r="E73" s="136"/>
      <c r="F73" s="137">
        <v>1.1299999999999999</v>
      </c>
      <c r="G73" s="117">
        <v>0</v>
      </c>
      <c r="H73" s="139">
        <f t="shared" si="22"/>
        <v>0</v>
      </c>
      <c r="I73" s="140"/>
      <c r="J73" s="141">
        <f t="shared" si="17"/>
        <v>0</v>
      </c>
      <c r="K73" s="120">
        <f t="shared" si="18"/>
        <v>0</v>
      </c>
      <c r="L73" s="121">
        <v>0</v>
      </c>
      <c r="M73" s="142">
        <f t="shared" si="16"/>
        <v>0</v>
      </c>
      <c r="N73" s="143">
        <v>0</v>
      </c>
      <c r="O73" s="124">
        <f t="shared" si="19"/>
        <v>0.67000000000000026</v>
      </c>
      <c r="P73" s="125">
        <f t="shared" si="20"/>
        <v>1.6700000000000004</v>
      </c>
      <c r="Q73" s="126">
        <f t="shared" si="21"/>
        <v>0.67000000000000026</v>
      </c>
      <c r="R73" s="60">
        <f t="shared" si="23"/>
        <v>0.67000000000000026</v>
      </c>
    </row>
    <row r="74" spans="2:18" ht="17.100000000000001" customHeight="1" x14ac:dyDescent="0.25">
      <c r="B74" s="104" t="s">
        <v>214</v>
      </c>
      <c r="C74" s="134">
        <f t="shared" si="11"/>
        <v>68</v>
      </c>
      <c r="D74" s="104" t="s">
        <v>128</v>
      </c>
      <c r="E74" s="144"/>
      <c r="F74" s="137">
        <v>1.1299999999999999</v>
      </c>
      <c r="G74" s="117">
        <v>0</v>
      </c>
      <c r="H74" s="139">
        <f t="shared" si="22"/>
        <v>0</v>
      </c>
      <c r="I74" s="140"/>
      <c r="J74" s="141">
        <f t="shared" si="17"/>
        <v>0</v>
      </c>
      <c r="K74" s="120">
        <f t="shared" si="18"/>
        <v>0</v>
      </c>
      <c r="L74" s="121">
        <v>0</v>
      </c>
      <c r="M74" s="142">
        <f t="shared" si="16"/>
        <v>0</v>
      </c>
      <c r="N74" s="143">
        <v>0</v>
      </c>
      <c r="O74" s="124">
        <f t="shared" si="19"/>
        <v>0.68000000000000027</v>
      </c>
      <c r="P74" s="125">
        <f t="shared" si="20"/>
        <v>1.6800000000000002</v>
      </c>
      <c r="Q74" s="126">
        <f t="shared" si="21"/>
        <v>0.68000000000000027</v>
      </c>
      <c r="R74" s="60">
        <f t="shared" si="23"/>
        <v>0.68000000000000027</v>
      </c>
    </row>
    <row r="75" spans="2:18" ht="17.100000000000001" customHeight="1" x14ac:dyDescent="0.25">
      <c r="B75" s="104" t="s">
        <v>215</v>
      </c>
      <c r="C75" s="134">
        <f t="shared" si="11"/>
        <v>69</v>
      </c>
      <c r="D75" s="104" t="s">
        <v>129</v>
      </c>
      <c r="E75" s="144"/>
      <c r="F75" s="137">
        <v>1.1299999999999999</v>
      </c>
      <c r="G75" s="117">
        <v>0</v>
      </c>
      <c r="H75" s="139">
        <f t="shared" si="22"/>
        <v>0</v>
      </c>
      <c r="I75" s="140"/>
      <c r="J75" s="141">
        <f t="shared" si="17"/>
        <v>0</v>
      </c>
      <c r="K75" s="120">
        <f t="shared" si="18"/>
        <v>0</v>
      </c>
      <c r="L75" s="121">
        <v>0</v>
      </c>
      <c r="M75" s="142">
        <f t="shared" si="16"/>
        <v>0</v>
      </c>
      <c r="N75" s="143">
        <v>0</v>
      </c>
      <c r="O75" s="124">
        <f t="shared" si="19"/>
        <v>0.69000000000000028</v>
      </c>
      <c r="P75" s="125">
        <f t="shared" si="20"/>
        <v>1.6900000000000004</v>
      </c>
      <c r="Q75" s="126">
        <f t="shared" si="21"/>
        <v>0.69000000000000028</v>
      </c>
      <c r="R75" s="60">
        <f t="shared" si="23"/>
        <v>0.69000000000000028</v>
      </c>
    </row>
    <row r="76" spans="2:18" ht="17.100000000000001" customHeight="1" x14ac:dyDescent="0.25">
      <c r="B76" s="104" t="s">
        <v>216</v>
      </c>
      <c r="C76" s="134">
        <f t="shared" si="11"/>
        <v>70</v>
      </c>
      <c r="D76" s="104" t="s">
        <v>130</v>
      </c>
      <c r="E76" s="105"/>
      <c r="F76" s="116">
        <v>1.67</v>
      </c>
      <c r="G76" s="117">
        <v>0</v>
      </c>
      <c r="H76" s="139">
        <f t="shared" si="22"/>
        <v>0</v>
      </c>
      <c r="I76" s="140"/>
      <c r="J76" s="141">
        <f t="shared" si="17"/>
        <v>0</v>
      </c>
      <c r="K76" s="120">
        <f t="shared" si="18"/>
        <v>0</v>
      </c>
      <c r="L76" s="121">
        <v>0</v>
      </c>
      <c r="M76" s="142">
        <f t="shared" si="16"/>
        <v>0</v>
      </c>
      <c r="N76" s="143">
        <v>0</v>
      </c>
      <c r="O76" s="124">
        <f t="shared" si="19"/>
        <v>0.70000000000000029</v>
      </c>
      <c r="P76" s="125">
        <f t="shared" si="20"/>
        <v>1.7000000000000002</v>
      </c>
      <c r="Q76" s="126">
        <f t="shared" si="21"/>
        <v>0.70000000000000029</v>
      </c>
      <c r="R76" s="60">
        <f t="shared" si="23"/>
        <v>0.70000000000000029</v>
      </c>
    </row>
    <row r="77" spans="2:18" ht="17.100000000000001" customHeight="1" x14ac:dyDescent="0.25">
      <c r="B77" s="104" t="s">
        <v>217</v>
      </c>
      <c r="C77" s="134">
        <f t="shared" si="11"/>
        <v>71</v>
      </c>
      <c r="D77" s="104" t="s">
        <v>131</v>
      </c>
      <c r="E77" s="105"/>
      <c r="F77" s="116">
        <v>1.71</v>
      </c>
      <c r="G77" s="117">
        <v>0</v>
      </c>
      <c r="H77" s="139">
        <f t="shared" si="22"/>
        <v>0</v>
      </c>
      <c r="I77" s="140"/>
      <c r="J77" s="141">
        <f t="shared" si="17"/>
        <v>0</v>
      </c>
      <c r="K77" s="120">
        <f t="shared" si="18"/>
        <v>0</v>
      </c>
      <c r="L77" s="121">
        <v>0</v>
      </c>
      <c r="M77" s="142">
        <f t="shared" si="16"/>
        <v>0</v>
      </c>
      <c r="N77" s="143">
        <v>0</v>
      </c>
      <c r="O77" s="124">
        <f t="shared" si="19"/>
        <v>0.7100000000000003</v>
      </c>
      <c r="P77" s="125">
        <f t="shared" si="20"/>
        <v>1.7100000000000004</v>
      </c>
      <c r="Q77" s="126">
        <f t="shared" si="21"/>
        <v>0.7100000000000003</v>
      </c>
      <c r="R77" s="60">
        <f t="shared" si="23"/>
        <v>0.7100000000000003</v>
      </c>
    </row>
    <row r="78" spans="2:18" ht="22.5" customHeight="1" thickBot="1" x14ac:dyDescent="0.3">
      <c r="B78" s="104" t="s">
        <v>218</v>
      </c>
      <c r="C78" s="134">
        <f t="shared" si="11"/>
        <v>72</v>
      </c>
      <c r="D78" s="106" t="s">
        <v>132</v>
      </c>
      <c r="E78" s="105"/>
      <c r="F78" s="116">
        <v>1.1299999999999999</v>
      </c>
      <c r="G78" s="138"/>
      <c r="H78" s="139"/>
      <c r="I78" s="140"/>
      <c r="J78" s="141">
        <f t="shared" si="17"/>
        <v>0</v>
      </c>
      <c r="K78" s="120">
        <f t="shared" si="18"/>
        <v>0</v>
      </c>
      <c r="L78" s="121">
        <v>0</v>
      </c>
      <c r="M78" s="142">
        <f t="shared" si="16"/>
        <v>0</v>
      </c>
      <c r="N78" s="143">
        <v>0</v>
      </c>
      <c r="O78" s="124">
        <f t="shared" si="19"/>
        <v>0.72000000000000031</v>
      </c>
      <c r="P78" s="125">
        <f t="shared" si="20"/>
        <v>1.7200000000000002</v>
      </c>
      <c r="Q78" s="126">
        <f t="shared" si="21"/>
        <v>0.72000000000000031</v>
      </c>
      <c r="R78" s="60">
        <f t="shared" si="23"/>
        <v>0.72000000000000031</v>
      </c>
    </row>
    <row r="79" spans="2:18" ht="17.100000000000001" customHeight="1" x14ac:dyDescent="0.25">
      <c r="B79" s="145" t="s">
        <v>219</v>
      </c>
      <c r="C79" s="135">
        <f t="shared" si="11"/>
        <v>73</v>
      </c>
      <c r="D79" s="104" t="s">
        <v>133</v>
      </c>
      <c r="E79" s="105"/>
      <c r="F79" s="116">
        <v>1.1299999999999999</v>
      </c>
      <c r="G79" s="117">
        <v>0</v>
      </c>
      <c r="H79" s="139">
        <f>G79</f>
        <v>0</v>
      </c>
      <c r="I79" s="140"/>
      <c r="J79" s="141">
        <f t="shared" si="17"/>
        <v>0</v>
      </c>
      <c r="K79" s="120">
        <f t="shared" si="18"/>
        <v>0</v>
      </c>
      <c r="L79" s="121">
        <v>0</v>
      </c>
      <c r="M79" s="142">
        <f t="shared" si="16"/>
        <v>0</v>
      </c>
      <c r="N79" s="143">
        <v>0</v>
      </c>
      <c r="O79" s="124">
        <f t="shared" si="19"/>
        <v>0.73000000000000032</v>
      </c>
      <c r="P79" s="125">
        <f t="shared" si="20"/>
        <v>1.7300000000000004</v>
      </c>
      <c r="Q79" s="126">
        <f t="shared" si="21"/>
        <v>0.73000000000000032</v>
      </c>
      <c r="R79" s="60">
        <f t="shared" si="23"/>
        <v>0.73000000000000032</v>
      </c>
    </row>
    <row r="80" spans="2:18" ht="17.100000000000001" customHeight="1" thickBot="1" x14ac:dyDescent="0.3">
      <c r="B80" s="104" t="s">
        <v>220</v>
      </c>
      <c r="C80" s="104">
        <f t="shared" si="11"/>
        <v>74</v>
      </c>
      <c r="D80" s="146" t="s">
        <v>127</v>
      </c>
      <c r="E80" s="146"/>
      <c r="F80" s="116">
        <v>1.1299999999999999</v>
      </c>
      <c r="G80" s="117">
        <v>0</v>
      </c>
      <c r="H80" s="139">
        <f>G80</f>
        <v>0</v>
      </c>
      <c r="I80" s="140"/>
      <c r="J80" s="141">
        <f t="shared" si="17"/>
        <v>0</v>
      </c>
      <c r="K80" s="120">
        <f t="shared" si="18"/>
        <v>0</v>
      </c>
      <c r="L80" s="121">
        <v>0</v>
      </c>
      <c r="M80" s="142">
        <f t="shared" si="16"/>
        <v>0</v>
      </c>
      <c r="N80" s="143">
        <v>0</v>
      </c>
      <c r="O80" s="147">
        <f t="shared" si="19"/>
        <v>0.74000000000000032</v>
      </c>
      <c r="P80" s="148">
        <f t="shared" si="20"/>
        <v>1.7400000000000002</v>
      </c>
      <c r="Q80" s="149">
        <f t="shared" si="21"/>
        <v>0.74000000000000032</v>
      </c>
      <c r="R80" s="60">
        <f t="shared" si="23"/>
        <v>0.74000000000000032</v>
      </c>
    </row>
    <row r="81" spans="2:17" ht="17.100000000000001" customHeight="1" thickBot="1" x14ac:dyDescent="0.3">
      <c r="B81" s="150"/>
      <c r="C81" s="151"/>
      <c r="D81" s="152"/>
      <c r="E81" s="152"/>
      <c r="F81" s="153">
        <f>SUM(F6:F80)</f>
        <v>99.999999999999943</v>
      </c>
      <c r="G81" s="71">
        <f>SUM(G6:G80)</f>
        <v>0</v>
      </c>
      <c r="H81" s="101">
        <f>SUM(H6:H80)</f>
        <v>0</v>
      </c>
      <c r="I81" s="71">
        <f t="shared" ref="I81:P81" si="24">SUM(I6:I80)</f>
        <v>0</v>
      </c>
      <c r="J81" s="101">
        <f>SUM(J6:J80)</f>
        <v>0</v>
      </c>
      <c r="K81" s="71">
        <f t="shared" si="24"/>
        <v>0</v>
      </c>
      <c r="L81" s="101">
        <f t="shared" si="24"/>
        <v>0</v>
      </c>
      <c r="M81" s="71">
        <f t="shared" si="24"/>
        <v>0</v>
      </c>
      <c r="N81" s="101">
        <f t="shared" si="24"/>
        <v>42488</v>
      </c>
      <c r="O81" s="154">
        <f t="shared" si="24"/>
        <v>42515.75</v>
      </c>
      <c r="P81" s="154">
        <f t="shared" si="24"/>
        <v>45092.75</v>
      </c>
      <c r="Q81" s="154">
        <f>SUM(Q6:Q80)</f>
        <v>43790.75</v>
      </c>
    </row>
    <row r="82" spans="2:17" ht="12.75" customHeight="1" x14ac:dyDescent="0.25">
      <c r="D82" s="68"/>
      <c r="E82" s="68"/>
    </row>
    <row r="83" spans="2:17" hidden="1" x14ac:dyDescent="0.25"/>
    <row r="84" spans="2:17" ht="9" customHeight="1" x14ac:dyDescent="0.25">
      <c r="D84" s="227"/>
      <c r="E84" s="227"/>
      <c r="F84" s="227"/>
      <c r="G84" s="227"/>
      <c r="H84" s="227"/>
      <c r="I84" s="227"/>
      <c r="J84" s="227"/>
      <c r="K84" s="227"/>
      <c r="L84" s="227"/>
      <c r="M84" s="227"/>
      <c r="N84" s="227"/>
      <c r="O84" s="227"/>
    </row>
    <row r="85" spans="2:17" ht="12" hidden="1" customHeight="1" x14ac:dyDescent="0.25">
      <c r="D85" s="227"/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</row>
    <row r="86" spans="2:17" ht="12" hidden="1" customHeight="1" x14ac:dyDescent="0.25">
      <c r="D86" s="227"/>
      <c r="E86" s="227"/>
      <c r="F86" s="227"/>
      <c r="G86" s="227"/>
      <c r="H86" s="227"/>
      <c r="I86" s="227"/>
      <c r="J86" s="227"/>
      <c r="K86" s="227"/>
      <c r="L86" s="227"/>
      <c r="M86" s="227"/>
      <c r="N86" s="227"/>
      <c r="O86" s="227"/>
    </row>
    <row r="87" spans="2:17" ht="12" hidden="1" customHeight="1" x14ac:dyDescent="0.25">
      <c r="D87" s="227"/>
      <c r="E87" s="227"/>
      <c r="F87" s="227"/>
      <c r="G87" s="227"/>
      <c r="H87" s="227"/>
      <c r="I87" s="227"/>
      <c r="J87" s="227"/>
      <c r="K87" s="227"/>
      <c r="L87" s="227"/>
      <c r="M87" s="227"/>
      <c r="N87" s="227"/>
      <c r="O87" s="227"/>
    </row>
    <row r="88" spans="2:17" ht="12" hidden="1" customHeight="1" x14ac:dyDescent="0.25">
      <c r="D88" s="227"/>
      <c r="E88" s="227"/>
      <c r="F88" s="227"/>
      <c r="G88" s="227"/>
      <c r="H88" s="227"/>
      <c r="I88" s="227"/>
      <c r="J88" s="227"/>
      <c r="K88" s="227"/>
      <c r="L88" s="227"/>
      <c r="M88" s="227"/>
      <c r="N88" s="227"/>
      <c r="O88" s="227"/>
    </row>
    <row r="89" spans="2:17" ht="39.75" customHeight="1" x14ac:dyDescent="0.25">
      <c r="D89" s="227"/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</row>
  </sheetData>
  <mergeCells count="17">
    <mergeCell ref="Q4:Q5"/>
    <mergeCell ref="P4:P5"/>
    <mergeCell ref="A4:A5"/>
    <mergeCell ref="B4:B5"/>
    <mergeCell ref="C4:C5"/>
    <mergeCell ref="D4:D5"/>
    <mergeCell ref="E4:E5"/>
    <mergeCell ref="D84:O89"/>
    <mergeCell ref="J4:J5"/>
    <mergeCell ref="K4:K5"/>
    <mergeCell ref="L4:L5"/>
    <mergeCell ref="M4:M5"/>
    <mergeCell ref="N4:N5"/>
    <mergeCell ref="F4:F5"/>
    <mergeCell ref="G4:G5"/>
    <mergeCell ref="H4:H5"/>
    <mergeCell ref="I4:I5"/>
  </mergeCells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9"/>
  <sheetViews>
    <sheetView workbookViewId="0">
      <selection activeCell="B19" sqref="B19"/>
    </sheetView>
  </sheetViews>
  <sheetFormatPr baseColWidth="10" defaultRowHeight="15" x14ac:dyDescent="0.25"/>
  <cols>
    <col min="1" max="1" width="6" customWidth="1"/>
    <col min="6" max="6" width="25.7109375" customWidth="1"/>
  </cols>
  <sheetData>
    <row r="1" spans="1:6" ht="15.75" thickBot="1" x14ac:dyDescent="0.3"/>
    <row r="2" spans="1:6" x14ac:dyDescent="0.25">
      <c r="A2" s="256" t="s">
        <v>7</v>
      </c>
      <c r="B2" s="242" t="s">
        <v>8</v>
      </c>
      <c r="C2" s="242" t="s">
        <v>9</v>
      </c>
      <c r="D2" s="242" t="s">
        <v>136</v>
      </c>
      <c r="E2" s="256" t="s">
        <v>30</v>
      </c>
      <c r="F2" s="258" t="s">
        <v>256</v>
      </c>
    </row>
    <row r="3" spans="1:6" ht="28.5" customHeight="1" thickBot="1" x14ac:dyDescent="0.3">
      <c r="A3" s="257"/>
      <c r="B3" s="243"/>
      <c r="C3" s="243"/>
      <c r="D3" s="253"/>
      <c r="E3" s="257"/>
      <c r="F3" s="259"/>
    </row>
    <row r="4" spans="1:6" x14ac:dyDescent="0.25">
      <c r="A4" s="104" t="s">
        <v>147</v>
      </c>
      <c r="B4" s="104">
        <v>1</v>
      </c>
      <c r="C4" s="104" t="s">
        <v>63</v>
      </c>
      <c r="D4" s="104"/>
      <c r="E4" s="173">
        <v>1.65</v>
      </c>
      <c r="F4" s="177">
        <f>PRORRATEO!O6+'PRORRATEO (2)'!O6</f>
        <v>252356.02000000002</v>
      </c>
    </row>
    <row r="5" spans="1:6" x14ac:dyDescent="0.25">
      <c r="A5" s="104" t="s">
        <v>148</v>
      </c>
      <c r="B5" s="104">
        <f>B4+1</f>
        <v>2</v>
      </c>
      <c r="C5" s="104" t="s">
        <v>72</v>
      </c>
      <c r="D5" s="105"/>
      <c r="E5" s="173">
        <v>1.1599999999999999</v>
      </c>
      <c r="F5" s="177">
        <f>PRORRATEO!O7+'PRORRATEO (2)'!O7</f>
        <v>110200.04000000001</v>
      </c>
    </row>
    <row r="6" spans="1:6" x14ac:dyDescent="0.25">
      <c r="A6" s="104" t="s">
        <v>149</v>
      </c>
      <c r="B6" s="104">
        <f t="shared" ref="B6:B33" si="0">B5+1</f>
        <v>3</v>
      </c>
      <c r="C6" s="104" t="s">
        <v>73</v>
      </c>
      <c r="D6" s="105"/>
      <c r="E6" s="173">
        <v>1.19</v>
      </c>
      <c r="F6" s="177">
        <f>PRORRATEO!O8+'PRORRATEO (2)'!O8</f>
        <v>107281.06</v>
      </c>
    </row>
    <row r="7" spans="1:6" x14ac:dyDescent="0.25">
      <c r="A7" s="104" t="s">
        <v>150</v>
      </c>
      <c r="B7" s="104">
        <f t="shared" si="0"/>
        <v>4</v>
      </c>
      <c r="C7" s="104" t="s">
        <v>74</v>
      </c>
      <c r="D7" s="105"/>
      <c r="E7" s="173">
        <v>1.22</v>
      </c>
      <c r="F7" s="177">
        <f>PRORRATEO!O9+'PRORRATEO (2)'!O9</f>
        <v>115900.07999999999</v>
      </c>
    </row>
    <row r="8" spans="1:6" x14ac:dyDescent="0.25">
      <c r="A8" s="104" t="s">
        <v>151</v>
      </c>
      <c r="B8" s="104">
        <f t="shared" si="0"/>
        <v>5</v>
      </c>
      <c r="C8" s="104" t="s">
        <v>75</v>
      </c>
      <c r="D8" s="105"/>
      <c r="E8" s="173">
        <v>1.67</v>
      </c>
      <c r="F8" s="177">
        <f>PRORRATEO!O10+'PRORRATEO (2)'!O10</f>
        <v>210226.09999999998</v>
      </c>
    </row>
    <row r="9" spans="1:6" x14ac:dyDescent="0.25">
      <c r="A9" s="104" t="s">
        <v>152</v>
      </c>
      <c r="B9" s="104">
        <f t="shared" si="0"/>
        <v>6</v>
      </c>
      <c r="C9" s="104" t="s">
        <v>64</v>
      </c>
      <c r="D9" s="104"/>
      <c r="E9" s="173">
        <v>1.71</v>
      </c>
      <c r="F9" s="177">
        <f>PRORRATEO!O11+'PRORRATEO (2)'!O11</f>
        <v>453713.12</v>
      </c>
    </row>
    <row r="10" spans="1:6" x14ac:dyDescent="0.25">
      <c r="A10" s="104" t="s">
        <v>153</v>
      </c>
      <c r="B10" s="104">
        <f t="shared" si="0"/>
        <v>7</v>
      </c>
      <c r="C10" s="104" t="s">
        <v>65</v>
      </c>
      <c r="D10" s="104"/>
      <c r="E10" s="173">
        <v>1.1299999999999999</v>
      </c>
      <c r="F10" s="177">
        <f>PRORRATEO!O12+'PRORRATEO (2)'!O12</f>
        <v>107350.14000000001</v>
      </c>
    </row>
    <row r="11" spans="1:6" x14ac:dyDescent="0.25">
      <c r="A11" s="104" t="s">
        <v>154</v>
      </c>
      <c r="B11" s="104">
        <f t="shared" si="0"/>
        <v>8</v>
      </c>
      <c r="C11" s="104" t="s">
        <v>76</v>
      </c>
      <c r="D11" s="105"/>
      <c r="E11" s="173">
        <v>1.1299999999999999</v>
      </c>
      <c r="F11" s="177">
        <f>PRORRATEO!O13+'PRORRATEO (2)'!O13</f>
        <v>104129.16</v>
      </c>
    </row>
    <row r="12" spans="1:6" x14ac:dyDescent="0.25">
      <c r="A12" s="104" t="s">
        <v>155</v>
      </c>
      <c r="B12" s="104">
        <f t="shared" si="0"/>
        <v>9</v>
      </c>
      <c r="C12" s="104" t="s">
        <v>70</v>
      </c>
      <c r="D12" s="105"/>
      <c r="E12" s="173">
        <v>1.1299999999999999</v>
      </c>
      <c r="F12" s="177">
        <f>PRORRATEO!O14+'PRORRATEO (2)'!O14</f>
        <v>107350.18</v>
      </c>
    </row>
    <row r="13" spans="1:6" x14ac:dyDescent="0.25">
      <c r="A13" s="104" t="s">
        <v>156</v>
      </c>
      <c r="B13" s="104">
        <f t="shared" si="0"/>
        <v>10</v>
      </c>
      <c r="C13" s="104" t="s">
        <v>71</v>
      </c>
      <c r="D13" s="105"/>
      <c r="E13" s="173">
        <v>1.67</v>
      </c>
      <c r="F13" s="177">
        <f>PRORRATEO!O15+'PRORRATEO (2)'!O15</f>
        <v>153379.20000000001</v>
      </c>
    </row>
    <row r="14" spans="1:6" x14ac:dyDescent="0.25">
      <c r="A14" s="104" t="s">
        <v>157</v>
      </c>
      <c r="B14" s="104">
        <f t="shared" si="0"/>
        <v>11</v>
      </c>
      <c r="C14" s="104" t="s">
        <v>77</v>
      </c>
      <c r="D14" s="105"/>
      <c r="E14" s="173">
        <v>1.71</v>
      </c>
      <c r="F14" s="177">
        <f>PRORRATEO!O16+'PRORRATEO (2)'!O16</f>
        <v>157576.21999999997</v>
      </c>
    </row>
    <row r="15" spans="1:6" x14ac:dyDescent="0.25">
      <c r="A15" s="104" t="s">
        <v>158</v>
      </c>
      <c r="B15" s="104">
        <f t="shared" si="0"/>
        <v>12</v>
      </c>
      <c r="C15" s="104" t="s">
        <v>78</v>
      </c>
      <c r="D15" s="105"/>
      <c r="E15" s="173">
        <v>1.1299999999999999</v>
      </c>
      <c r="F15" s="177">
        <f>PRORRATEO!O17+'PRORRATEO (2)'!O17</f>
        <v>104700.23999999999</v>
      </c>
    </row>
    <row r="16" spans="1:6" x14ac:dyDescent="0.25">
      <c r="A16" s="104" t="s">
        <v>159</v>
      </c>
      <c r="B16" s="104">
        <f t="shared" si="0"/>
        <v>13</v>
      </c>
      <c r="C16" s="104" t="s">
        <v>79</v>
      </c>
      <c r="D16" s="105"/>
      <c r="E16" s="173">
        <v>1.1299999999999999</v>
      </c>
      <c r="F16" s="177">
        <f>PRORRATEO!O18+'PRORRATEO (2)'!O18</f>
        <v>207123.26</v>
      </c>
    </row>
    <row r="17" spans="1:6" x14ac:dyDescent="0.25">
      <c r="A17" s="104" t="s">
        <v>160</v>
      </c>
      <c r="B17" s="104">
        <f t="shared" si="0"/>
        <v>14</v>
      </c>
      <c r="C17" s="104" t="s">
        <v>80</v>
      </c>
      <c r="D17" s="105"/>
      <c r="E17" s="173">
        <v>1.1299999999999999</v>
      </c>
      <c r="F17" s="177">
        <f>PRORRATEO!O19+'PRORRATEO (2)'!O19</f>
        <v>106476.28</v>
      </c>
    </row>
    <row r="18" spans="1:6" x14ac:dyDescent="0.25">
      <c r="A18" s="104" t="s">
        <v>161</v>
      </c>
      <c r="B18" s="104">
        <f t="shared" si="0"/>
        <v>15</v>
      </c>
      <c r="C18" s="104" t="s">
        <v>81</v>
      </c>
      <c r="D18" s="105"/>
      <c r="E18" s="173">
        <v>1.67</v>
      </c>
      <c r="F18" s="177">
        <f>PRORRATEO!O20+'PRORRATEO (2)'!O20</f>
        <v>158650.29999999999</v>
      </c>
    </row>
    <row r="19" spans="1:6" x14ac:dyDescent="0.25">
      <c r="A19" s="104" t="s">
        <v>162</v>
      </c>
      <c r="B19" s="104">
        <f t="shared" si="0"/>
        <v>16</v>
      </c>
      <c r="C19" s="104" t="s">
        <v>66</v>
      </c>
      <c r="D19" s="104"/>
      <c r="E19" s="173">
        <v>1.71</v>
      </c>
      <c r="F19" s="177">
        <f>PRORRATEO!O21+'PRORRATEO (2)'!O21</f>
        <v>162450.32</v>
      </c>
    </row>
    <row r="20" spans="1:6" x14ac:dyDescent="0.25">
      <c r="A20" s="104" t="s">
        <v>163</v>
      </c>
      <c r="B20" s="104">
        <f t="shared" si="0"/>
        <v>17</v>
      </c>
      <c r="C20" s="104" t="s">
        <v>82</v>
      </c>
      <c r="D20" s="105"/>
      <c r="E20" s="173">
        <v>1.1299999999999999</v>
      </c>
      <c r="F20" s="177">
        <f>PRORRATEO!O22+'PRORRATEO (2)'!O22</f>
        <v>104376.34</v>
      </c>
    </row>
    <row r="21" spans="1:6" x14ac:dyDescent="0.25">
      <c r="A21" s="104" t="s">
        <v>164</v>
      </c>
      <c r="B21" s="104">
        <f t="shared" si="0"/>
        <v>18</v>
      </c>
      <c r="C21" s="104" t="s">
        <v>83</v>
      </c>
      <c r="D21" s="104"/>
      <c r="E21" s="173">
        <v>1.1299999999999999</v>
      </c>
      <c r="F21" s="177">
        <f>PRORRATEO!O23+'PRORRATEO (2)'!O23</f>
        <v>107350.35999999999</v>
      </c>
    </row>
    <row r="22" spans="1:6" x14ac:dyDescent="0.25">
      <c r="A22" s="104" t="s">
        <v>165</v>
      </c>
      <c r="B22" s="104">
        <f t="shared" si="0"/>
        <v>19</v>
      </c>
      <c r="C22" s="104" t="s">
        <v>84</v>
      </c>
      <c r="D22" s="105"/>
      <c r="E22" s="173">
        <v>1.1299999999999999</v>
      </c>
      <c r="F22" s="177">
        <f>PRORRATEO!O24+'PRORRATEO (2)'!O24</f>
        <v>107350.38</v>
      </c>
    </row>
    <row r="23" spans="1:6" x14ac:dyDescent="0.25">
      <c r="A23" s="104" t="s">
        <v>166</v>
      </c>
      <c r="B23" s="104">
        <f t="shared" si="0"/>
        <v>20</v>
      </c>
      <c r="C23" s="104" t="s">
        <v>67</v>
      </c>
      <c r="D23" s="104"/>
      <c r="E23" s="173">
        <v>1.67</v>
      </c>
      <c r="F23" s="177">
        <f>PRORRATEO!O25+'PRORRATEO (2)'!O25</f>
        <v>194082.40000000002</v>
      </c>
    </row>
    <row r="24" spans="1:6" x14ac:dyDescent="0.25">
      <c r="A24" s="104" t="s">
        <v>167</v>
      </c>
      <c r="B24" s="104">
        <f t="shared" si="0"/>
        <v>21</v>
      </c>
      <c r="C24" s="104" t="s">
        <v>85</v>
      </c>
      <c r="D24" s="105"/>
      <c r="E24" s="173">
        <v>1.71</v>
      </c>
      <c r="F24" s="177">
        <f>PRORRATEO!O26+'PRORRATEO (2)'!O26</f>
        <v>218167.41999999998</v>
      </c>
    </row>
    <row r="25" spans="1:6" x14ac:dyDescent="0.25">
      <c r="A25" s="104" t="s">
        <v>168</v>
      </c>
      <c r="B25" s="104">
        <f t="shared" si="0"/>
        <v>22</v>
      </c>
      <c r="C25" s="104" t="s">
        <v>86</v>
      </c>
      <c r="D25" s="105"/>
      <c r="E25" s="173">
        <v>1.1299999999999999</v>
      </c>
      <c r="F25" s="177">
        <f>PRORRATEO!O27+'PRORRATEO (2)'!O27</f>
        <v>107350.44</v>
      </c>
    </row>
    <row r="26" spans="1:6" x14ac:dyDescent="0.25">
      <c r="A26" s="104" t="s">
        <v>169</v>
      </c>
      <c r="B26" s="104">
        <f t="shared" si="0"/>
        <v>23</v>
      </c>
      <c r="C26" s="104" t="s">
        <v>87</v>
      </c>
      <c r="D26" s="105"/>
      <c r="E26" s="173">
        <v>1.1299999999999999</v>
      </c>
      <c r="F26" s="177">
        <f>PRORRATEO!O28+'PRORRATEO (2)'!O28</f>
        <v>295446.45999999996</v>
      </c>
    </row>
    <row r="27" spans="1:6" x14ac:dyDescent="0.25">
      <c r="A27" s="104" t="s">
        <v>170</v>
      </c>
      <c r="B27" s="104">
        <f t="shared" si="0"/>
        <v>24</v>
      </c>
      <c r="C27" s="104" t="s">
        <v>88</v>
      </c>
      <c r="D27" s="105"/>
      <c r="E27" s="173">
        <v>1.1299999999999999</v>
      </c>
      <c r="F27" s="177">
        <f>PRORRATEO!O29+'PRORRATEO (2)'!O29</f>
        <v>107350.48000000001</v>
      </c>
    </row>
    <row r="28" spans="1:6" x14ac:dyDescent="0.25">
      <c r="A28" s="104" t="s">
        <v>171</v>
      </c>
      <c r="B28" s="104">
        <f t="shared" si="0"/>
        <v>25</v>
      </c>
      <c r="C28" s="104" t="s">
        <v>89</v>
      </c>
      <c r="D28" s="104"/>
      <c r="E28" s="173">
        <v>1.67</v>
      </c>
      <c r="F28" s="177">
        <f>PRORRATEO!O30+'PRORRATEO (2)'!O30</f>
        <v>158650.5</v>
      </c>
    </row>
    <row r="29" spans="1:6" x14ac:dyDescent="0.25">
      <c r="A29" s="104" t="s">
        <v>172</v>
      </c>
      <c r="B29" s="104">
        <f t="shared" si="0"/>
        <v>26</v>
      </c>
      <c r="C29" s="104" t="s">
        <v>224</v>
      </c>
      <c r="D29" s="104"/>
      <c r="E29" s="173">
        <v>1.71</v>
      </c>
      <c r="F29" s="177">
        <f>PRORRATEO!O31+'PRORRATEO (2)'!O31</f>
        <v>-10798.48</v>
      </c>
    </row>
    <row r="30" spans="1:6" x14ac:dyDescent="0.25">
      <c r="A30" s="104" t="s">
        <v>173</v>
      </c>
      <c r="B30" s="104">
        <f t="shared" si="0"/>
        <v>27</v>
      </c>
      <c r="C30" s="104" t="s">
        <v>90</v>
      </c>
      <c r="D30" s="105"/>
      <c r="E30" s="173">
        <v>1.1299999999999999</v>
      </c>
      <c r="F30" s="177">
        <f>PRORRATEO!O32+'PRORRATEO (2)'!O32</f>
        <v>107350.54000000001</v>
      </c>
    </row>
    <row r="31" spans="1:6" x14ac:dyDescent="0.25">
      <c r="A31" s="104" t="s">
        <v>174</v>
      </c>
      <c r="B31" s="104">
        <f t="shared" si="0"/>
        <v>28</v>
      </c>
      <c r="C31" s="104" t="s">
        <v>68</v>
      </c>
      <c r="D31" s="104"/>
      <c r="E31" s="173">
        <v>1.1299999999999999</v>
      </c>
      <c r="F31" s="177">
        <f>PRORRATEO!O33+'PRORRATEO (2)'!O33</f>
        <v>144359.56</v>
      </c>
    </row>
    <row r="32" spans="1:6" x14ac:dyDescent="0.25">
      <c r="A32" s="104" t="s">
        <v>175</v>
      </c>
      <c r="B32" s="104">
        <f t="shared" si="0"/>
        <v>29</v>
      </c>
      <c r="C32" s="104" t="s">
        <v>69</v>
      </c>
      <c r="D32" s="104"/>
      <c r="E32" s="173">
        <v>1.1299999999999999</v>
      </c>
      <c r="F32" s="177">
        <f>PRORRATEO!O34+'PRORRATEO (2)'!O34</f>
        <v>104193.57999999999</v>
      </c>
    </row>
    <row r="33" spans="1:6" x14ac:dyDescent="0.25">
      <c r="A33" s="104" t="s">
        <v>176</v>
      </c>
      <c r="B33" s="104">
        <f t="shared" si="0"/>
        <v>30</v>
      </c>
      <c r="C33" s="104" t="s">
        <v>91</v>
      </c>
      <c r="D33" s="105"/>
      <c r="E33" s="173">
        <v>1.67</v>
      </c>
      <c r="F33" s="177">
        <f>PRORRATEO!O35+'PRORRATEO (2)'!O35</f>
        <v>158650.59999999998</v>
      </c>
    </row>
    <row r="34" spans="1:6" x14ac:dyDescent="0.25">
      <c r="A34" s="104"/>
      <c r="B34" s="104"/>
      <c r="C34" s="104"/>
      <c r="D34" s="104"/>
      <c r="E34" s="173"/>
      <c r="F34" s="177">
        <f>PRORRATEO!O36+'PRORRATEO (2)'!O36</f>
        <v>0</v>
      </c>
    </row>
    <row r="35" spans="1:6" x14ac:dyDescent="0.25">
      <c r="A35" s="104" t="s">
        <v>177</v>
      </c>
      <c r="B35" s="104">
        <v>31</v>
      </c>
      <c r="C35" s="104" t="s">
        <v>108</v>
      </c>
      <c r="D35" s="105"/>
      <c r="E35" s="173">
        <v>1.71</v>
      </c>
      <c r="F35" s="177">
        <f>PRORRATEO!O37+'PRORRATEO (2)'!O37</f>
        <v>162450.62</v>
      </c>
    </row>
    <row r="36" spans="1:6" x14ac:dyDescent="0.25">
      <c r="A36" s="104" t="s">
        <v>178</v>
      </c>
      <c r="B36" s="104">
        <f>B35+1</f>
        <v>32</v>
      </c>
      <c r="C36" s="104" t="s">
        <v>109</v>
      </c>
      <c r="D36" s="105"/>
      <c r="E36" s="173">
        <v>1.1299999999999999</v>
      </c>
      <c r="F36" s="177">
        <f>PRORRATEO!O38+'PRORRATEO (2)'!O38</f>
        <v>107350.64000000001</v>
      </c>
    </row>
    <row r="37" spans="1:6" x14ac:dyDescent="0.25">
      <c r="A37" s="104" t="s">
        <v>179</v>
      </c>
      <c r="B37" s="104">
        <f t="shared" ref="B37:B78" si="1">B36+1</f>
        <v>33</v>
      </c>
      <c r="C37" s="104" t="s">
        <v>92</v>
      </c>
      <c r="D37" s="104"/>
      <c r="E37" s="173">
        <v>1.1299999999999999</v>
      </c>
      <c r="F37" s="177">
        <f>PRORRATEO!O39+'PRORRATEO (2)'!O39</f>
        <v>107350.66</v>
      </c>
    </row>
    <row r="38" spans="1:6" x14ac:dyDescent="0.25">
      <c r="A38" s="104" t="s">
        <v>180</v>
      </c>
      <c r="B38" s="104">
        <f t="shared" si="1"/>
        <v>34</v>
      </c>
      <c r="C38" s="104" t="s">
        <v>110</v>
      </c>
      <c r="D38" s="105"/>
      <c r="E38" s="173">
        <v>1.1299999999999999</v>
      </c>
      <c r="F38" s="177">
        <f>PRORRATEO!O40+'PRORRATEO (2)'!O40</f>
        <v>311307.68000000005</v>
      </c>
    </row>
    <row r="39" spans="1:6" x14ac:dyDescent="0.25">
      <c r="A39" s="104" t="s">
        <v>181</v>
      </c>
      <c r="B39" s="104">
        <f t="shared" si="1"/>
        <v>35</v>
      </c>
      <c r="C39" s="104" t="s">
        <v>111</v>
      </c>
      <c r="D39" s="105"/>
      <c r="E39" s="173">
        <v>1.67</v>
      </c>
      <c r="F39" s="177">
        <f>PRORRATEO!O41+'PRORRATEO (2)'!O41</f>
        <v>254955.7</v>
      </c>
    </row>
    <row r="40" spans="1:6" x14ac:dyDescent="0.25">
      <c r="A40" s="103" t="s">
        <v>182</v>
      </c>
      <c r="B40" s="104">
        <f t="shared" si="1"/>
        <v>36</v>
      </c>
      <c r="C40" s="103" t="s">
        <v>112</v>
      </c>
      <c r="D40" s="132"/>
      <c r="E40" s="174">
        <v>1.71</v>
      </c>
      <c r="F40" s="177">
        <f>PRORRATEO!O42+'PRORRATEO (2)'!O42</f>
        <v>571701.72</v>
      </c>
    </row>
    <row r="41" spans="1:6" x14ac:dyDescent="0.25">
      <c r="A41" s="104" t="s">
        <v>183</v>
      </c>
      <c r="B41" s="134">
        <f t="shared" si="1"/>
        <v>37</v>
      </c>
      <c r="C41" s="103" t="s">
        <v>93</v>
      </c>
      <c r="D41" s="103"/>
      <c r="E41" s="174">
        <v>1.1299999999999999</v>
      </c>
      <c r="F41" s="177">
        <f>PRORRATEO!O43+'PRORRATEO (2)'!O43</f>
        <v>107350.73999999999</v>
      </c>
    </row>
    <row r="42" spans="1:6" x14ac:dyDescent="0.25">
      <c r="A42" s="104" t="s">
        <v>184</v>
      </c>
      <c r="B42" s="134">
        <f t="shared" si="1"/>
        <v>38</v>
      </c>
      <c r="C42" s="103" t="s">
        <v>113</v>
      </c>
      <c r="D42" s="132"/>
      <c r="E42" s="174">
        <v>1.1299999999999999</v>
      </c>
      <c r="F42" s="177">
        <f>PRORRATEO!O44+'PRORRATEO (2)'!O44</f>
        <v>217921.76</v>
      </c>
    </row>
    <row r="43" spans="1:6" x14ac:dyDescent="0.25">
      <c r="A43" s="104" t="s">
        <v>185</v>
      </c>
      <c r="B43" s="134">
        <f t="shared" si="1"/>
        <v>39</v>
      </c>
      <c r="C43" s="103" t="s">
        <v>94</v>
      </c>
      <c r="D43" s="103"/>
      <c r="E43" s="174">
        <v>1.1299999999999999</v>
      </c>
      <c r="F43" s="177">
        <f>PRORRATEO!O45+'PRORRATEO (2)'!O45</f>
        <v>397815.78</v>
      </c>
    </row>
    <row r="44" spans="1:6" x14ac:dyDescent="0.25">
      <c r="A44" s="104" t="s">
        <v>186</v>
      </c>
      <c r="B44" s="134">
        <f t="shared" si="1"/>
        <v>40</v>
      </c>
      <c r="C44" s="103" t="s">
        <v>95</v>
      </c>
      <c r="D44" s="103"/>
      <c r="E44" s="174">
        <v>1.67</v>
      </c>
      <c r="F44" s="177">
        <f>PRORRATEO!O46+'PRORRATEO (2)'!O46</f>
        <v>394973.80000000005</v>
      </c>
    </row>
    <row r="45" spans="1:6" x14ac:dyDescent="0.25">
      <c r="A45" s="104" t="s">
        <v>187</v>
      </c>
      <c r="B45" s="134">
        <f t="shared" si="1"/>
        <v>41</v>
      </c>
      <c r="C45" s="103" t="s">
        <v>114</v>
      </c>
      <c r="D45" s="132"/>
      <c r="E45" s="174">
        <v>1.71</v>
      </c>
      <c r="F45" s="177">
        <f>PRORRATEO!O47+'PRORRATEO (2)'!O47</f>
        <v>157576.82</v>
      </c>
    </row>
    <row r="46" spans="1:6" x14ac:dyDescent="0.25">
      <c r="A46" s="104" t="s">
        <v>188</v>
      </c>
      <c r="B46" s="134">
        <f t="shared" si="1"/>
        <v>42</v>
      </c>
      <c r="C46" s="103" t="s">
        <v>115</v>
      </c>
      <c r="D46" s="132"/>
      <c r="E46" s="174">
        <v>1.1299999999999999</v>
      </c>
      <c r="F46" s="177">
        <f>PRORRATEO!O48+'PRORRATEO (2)'!O48</f>
        <v>140395.84000000003</v>
      </c>
    </row>
    <row r="47" spans="1:6" x14ac:dyDescent="0.25">
      <c r="A47" s="104" t="s">
        <v>189</v>
      </c>
      <c r="B47" s="134">
        <f t="shared" si="1"/>
        <v>43</v>
      </c>
      <c r="C47" s="103" t="s">
        <v>116</v>
      </c>
      <c r="D47" s="132"/>
      <c r="E47" s="174">
        <v>1.1299999999999999</v>
      </c>
      <c r="F47" s="177">
        <f>PRORRATEO!O49+'PRORRATEO (2)'!O49</f>
        <v>107350.85999999999</v>
      </c>
    </row>
    <row r="48" spans="1:6" x14ac:dyDescent="0.25">
      <c r="A48" s="104" t="s">
        <v>190</v>
      </c>
      <c r="B48" s="134">
        <f t="shared" si="1"/>
        <v>44</v>
      </c>
      <c r="C48" s="103" t="s">
        <v>96</v>
      </c>
      <c r="D48" s="103"/>
      <c r="E48" s="174">
        <v>1.1299999999999999</v>
      </c>
      <c r="F48" s="177">
        <f>PRORRATEO!O50+'PRORRATEO (2)'!O50</f>
        <v>107350.88</v>
      </c>
    </row>
    <row r="49" spans="1:6" x14ac:dyDescent="0.25">
      <c r="A49" s="104" t="s">
        <v>191</v>
      </c>
      <c r="B49" s="134">
        <f t="shared" si="1"/>
        <v>45</v>
      </c>
      <c r="C49" s="103" t="s">
        <v>97</v>
      </c>
      <c r="D49" s="103"/>
      <c r="E49" s="174">
        <v>1.67</v>
      </c>
      <c r="F49" s="177">
        <f>PRORRATEO!O51+'PRORRATEO (2)'!O51</f>
        <v>158650.90000000002</v>
      </c>
    </row>
    <row r="50" spans="1:6" x14ac:dyDescent="0.25">
      <c r="A50" s="104" t="s">
        <v>192</v>
      </c>
      <c r="B50" s="134">
        <f t="shared" si="1"/>
        <v>46</v>
      </c>
      <c r="C50" s="103" t="s">
        <v>117</v>
      </c>
      <c r="D50" s="132"/>
      <c r="E50" s="174">
        <v>1.71</v>
      </c>
      <c r="F50" s="177">
        <f>PRORRATEO!O52+'PRORRATEO (2)'!O52</f>
        <v>162450.91999999998</v>
      </c>
    </row>
    <row r="51" spans="1:6" x14ac:dyDescent="0.25">
      <c r="A51" s="104" t="s">
        <v>193</v>
      </c>
      <c r="B51" s="134">
        <f t="shared" si="1"/>
        <v>47</v>
      </c>
      <c r="C51" s="103" t="s">
        <v>98</v>
      </c>
      <c r="D51" s="103"/>
      <c r="E51" s="174">
        <v>1.1299999999999999</v>
      </c>
      <c r="F51" s="177">
        <f>PRORRATEO!O53+'PRORRATEO (2)'!O53</f>
        <v>107350.94</v>
      </c>
    </row>
    <row r="52" spans="1:6" x14ac:dyDescent="0.25">
      <c r="A52" s="104" t="s">
        <v>194</v>
      </c>
      <c r="B52" s="134">
        <f t="shared" si="1"/>
        <v>48</v>
      </c>
      <c r="C52" s="103" t="s">
        <v>99</v>
      </c>
      <c r="D52" s="103"/>
      <c r="E52" s="174">
        <v>1.1299999999999999</v>
      </c>
      <c r="F52" s="177">
        <f>PRORRATEO!O54+'PRORRATEO (2)'!O54</f>
        <v>104193.95999999999</v>
      </c>
    </row>
    <row r="53" spans="1:6" x14ac:dyDescent="0.25">
      <c r="A53" s="104" t="s">
        <v>195</v>
      </c>
      <c r="B53" s="134">
        <f t="shared" si="1"/>
        <v>49</v>
      </c>
      <c r="C53" s="103" t="s">
        <v>225</v>
      </c>
      <c r="D53" s="103"/>
      <c r="E53" s="174">
        <v>1.1299999999999999</v>
      </c>
      <c r="F53" s="177">
        <f>PRORRATEO!O55+'PRORRATEO (2)'!O55</f>
        <v>107350.98000000001</v>
      </c>
    </row>
    <row r="54" spans="1:6" x14ac:dyDescent="0.25">
      <c r="A54" s="104" t="s">
        <v>196</v>
      </c>
      <c r="B54" s="134">
        <f t="shared" si="1"/>
        <v>50</v>
      </c>
      <c r="C54" s="103" t="s">
        <v>100</v>
      </c>
      <c r="D54" s="103"/>
      <c r="E54" s="174">
        <v>1.67</v>
      </c>
      <c r="F54" s="177">
        <f>PRORRATEO!O56+'PRORRATEO (2)'!O56</f>
        <v>151293</v>
      </c>
    </row>
    <row r="55" spans="1:6" x14ac:dyDescent="0.25">
      <c r="A55" s="104" t="s">
        <v>197</v>
      </c>
      <c r="B55" s="134">
        <f t="shared" si="1"/>
        <v>51</v>
      </c>
      <c r="C55" s="103" t="s">
        <v>119</v>
      </c>
      <c r="D55" s="132"/>
      <c r="E55" s="174">
        <v>1.71</v>
      </c>
      <c r="F55" s="177">
        <f>PRORRATEO!O57+'PRORRATEO (2)'!O57</f>
        <v>329775.02</v>
      </c>
    </row>
    <row r="56" spans="1:6" x14ac:dyDescent="0.25">
      <c r="A56" s="104" t="s">
        <v>198</v>
      </c>
      <c r="B56" s="134">
        <f t="shared" si="1"/>
        <v>52</v>
      </c>
      <c r="C56" s="103" t="s">
        <v>118</v>
      </c>
      <c r="D56" s="132"/>
      <c r="E56" s="174">
        <v>1.1299999999999999</v>
      </c>
      <c r="F56" s="177">
        <f>PRORRATEO!O58+'PRORRATEO (2)'!O58</f>
        <v>107351.04000000001</v>
      </c>
    </row>
    <row r="57" spans="1:6" x14ac:dyDescent="0.25">
      <c r="A57" s="104" t="s">
        <v>199</v>
      </c>
      <c r="B57" s="134">
        <f t="shared" si="1"/>
        <v>53</v>
      </c>
      <c r="C57" s="103" t="s">
        <v>101</v>
      </c>
      <c r="D57" s="103"/>
      <c r="E57" s="174">
        <v>1.1299999999999999</v>
      </c>
      <c r="F57" s="177">
        <f>PRORRATEO!O59+'PRORRATEO (2)'!O59</f>
        <v>107351.06</v>
      </c>
    </row>
    <row r="58" spans="1:6" x14ac:dyDescent="0.25">
      <c r="A58" s="104" t="s">
        <v>200</v>
      </c>
      <c r="B58" s="134">
        <f t="shared" si="1"/>
        <v>54</v>
      </c>
      <c r="C58" s="103" t="s">
        <v>121</v>
      </c>
      <c r="D58" s="132"/>
      <c r="E58" s="174">
        <v>1.1299999999999999</v>
      </c>
      <c r="F58" s="177">
        <f>PRORRATEO!O60+'PRORRATEO (2)'!O60</f>
        <v>107351.07999999999</v>
      </c>
    </row>
    <row r="59" spans="1:6" x14ac:dyDescent="0.25">
      <c r="A59" s="104" t="s">
        <v>201</v>
      </c>
      <c r="B59" s="134">
        <f t="shared" si="1"/>
        <v>55</v>
      </c>
      <c r="C59" s="103" t="s">
        <v>120</v>
      </c>
      <c r="D59" s="132"/>
      <c r="E59" s="174">
        <v>1.67</v>
      </c>
      <c r="F59" s="177">
        <f>PRORRATEO!O61+'PRORRATEO (2)'!O61</f>
        <v>158651.09999999998</v>
      </c>
    </row>
    <row r="60" spans="1:6" x14ac:dyDescent="0.25">
      <c r="A60" s="104" t="s">
        <v>202</v>
      </c>
      <c r="B60" s="134">
        <f t="shared" si="1"/>
        <v>56</v>
      </c>
      <c r="C60" s="103" t="s">
        <v>122</v>
      </c>
      <c r="D60" s="132"/>
      <c r="E60" s="174">
        <v>1.71</v>
      </c>
      <c r="F60" s="177">
        <f>PRORRATEO!O62+'PRORRATEO (2)'!O62</f>
        <v>337882.12</v>
      </c>
    </row>
    <row r="61" spans="1:6" x14ac:dyDescent="0.25">
      <c r="A61" s="104" t="s">
        <v>203</v>
      </c>
      <c r="B61" s="134">
        <f t="shared" si="1"/>
        <v>57</v>
      </c>
      <c r="C61" s="103" t="s">
        <v>226</v>
      </c>
      <c r="D61" s="132"/>
      <c r="E61" s="174">
        <v>1.1299999999999999</v>
      </c>
      <c r="F61" s="177">
        <f>PRORRATEO!O63+'PRORRATEO (2)'!O63</f>
        <v>107351.14000000001</v>
      </c>
    </row>
    <row r="62" spans="1:6" x14ac:dyDescent="0.25">
      <c r="A62" s="104" t="s">
        <v>204</v>
      </c>
      <c r="B62" s="134">
        <f t="shared" si="1"/>
        <v>58</v>
      </c>
      <c r="C62" s="103" t="s">
        <v>102</v>
      </c>
      <c r="D62" s="103"/>
      <c r="E62" s="174">
        <v>1.1299999999999999</v>
      </c>
      <c r="F62" s="177">
        <f>PRORRATEO!O64+'PRORRATEO (2)'!O64</f>
        <v>104196.16</v>
      </c>
    </row>
    <row r="63" spans="1:6" x14ac:dyDescent="0.25">
      <c r="A63" s="104" t="s">
        <v>205</v>
      </c>
      <c r="B63" s="134">
        <f t="shared" si="1"/>
        <v>59</v>
      </c>
      <c r="C63" s="103" t="s">
        <v>123</v>
      </c>
      <c r="D63" s="132"/>
      <c r="E63" s="174">
        <v>1.1299999999999999</v>
      </c>
      <c r="F63" s="177">
        <f>PRORRATEO!O65+'PRORRATEO (2)'!O65</f>
        <v>107351.18</v>
      </c>
    </row>
    <row r="64" spans="1:6" x14ac:dyDescent="0.25">
      <c r="A64" s="104" t="s">
        <v>206</v>
      </c>
      <c r="B64" s="134">
        <f t="shared" si="1"/>
        <v>60</v>
      </c>
      <c r="C64" s="103" t="s">
        <v>103</v>
      </c>
      <c r="D64" s="103"/>
      <c r="E64" s="174">
        <v>1.67</v>
      </c>
      <c r="F64" s="177">
        <f>PRORRATEO!O66+'PRORRATEO (2)'!O66</f>
        <v>158651.20000000001</v>
      </c>
    </row>
    <row r="65" spans="1:6" x14ac:dyDescent="0.25">
      <c r="A65" s="104" t="s">
        <v>207</v>
      </c>
      <c r="B65" s="134">
        <f t="shared" si="1"/>
        <v>61</v>
      </c>
      <c r="C65" s="103" t="s">
        <v>124</v>
      </c>
      <c r="D65" s="132"/>
      <c r="E65" s="174">
        <v>1.71</v>
      </c>
      <c r="F65" s="177">
        <f>PRORRATEO!O67+'PRORRATEO (2)'!O67</f>
        <v>329775.21999999997</v>
      </c>
    </row>
    <row r="66" spans="1:6" x14ac:dyDescent="0.25">
      <c r="A66" s="104" t="s">
        <v>208</v>
      </c>
      <c r="B66" s="134">
        <f t="shared" si="1"/>
        <v>62</v>
      </c>
      <c r="C66" s="103" t="s">
        <v>104</v>
      </c>
      <c r="D66" s="103"/>
      <c r="E66" s="174">
        <v>1.1299999999999999</v>
      </c>
      <c r="F66" s="177">
        <f>PRORRATEO!O68+'PRORRATEO (2)'!O68</f>
        <v>104194.23999999999</v>
      </c>
    </row>
    <row r="67" spans="1:6" x14ac:dyDescent="0.25">
      <c r="A67" s="104" t="s">
        <v>209</v>
      </c>
      <c r="B67" s="134">
        <f t="shared" si="1"/>
        <v>63</v>
      </c>
      <c r="C67" s="103" t="s">
        <v>105</v>
      </c>
      <c r="D67" s="103"/>
      <c r="E67" s="174">
        <v>1.1299999999999999</v>
      </c>
      <c r="F67" s="177">
        <f>PRORRATEO!O69+'PRORRATEO (2)'!O69</f>
        <v>107351.26000000001</v>
      </c>
    </row>
    <row r="68" spans="1:6" x14ac:dyDescent="0.25">
      <c r="A68" s="104" t="s">
        <v>210</v>
      </c>
      <c r="B68" s="134">
        <f t="shared" si="1"/>
        <v>64</v>
      </c>
      <c r="C68" s="103" t="s">
        <v>126</v>
      </c>
      <c r="D68" s="132"/>
      <c r="E68" s="174">
        <v>1.1299999999999999</v>
      </c>
      <c r="F68" s="177">
        <f>PRORRATEO!O70+'PRORRATEO (2)'!O70</f>
        <v>107351.28</v>
      </c>
    </row>
    <row r="69" spans="1:6" x14ac:dyDescent="0.25">
      <c r="A69" s="104" t="s">
        <v>211</v>
      </c>
      <c r="B69" s="134">
        <f t="shared" si="1"/>
        <v>65</v>
      </c>
      <c r="C69" s="103" t="s">
        <v>125</v>
      </c>
      <c r="D69" s="132"/>
      <c r="E69" s="174">
        <v>1.67</v>
      </c>
      <c r="F69" s="177">
        <f>PRORRATEO!O71+'PRORRATEO (2)'!O71</f>
        <v>158647.29999999999</v>
      </c>
    </row>
    <row r="70" spans="1:6" x14ac:dyDescent="0.25">
      <c r="A70" s="104" t="s">
        <v>212</v>
      </c>
      <c r="B70" s="134">
        <f t="shared" si="1"/>
        <v>66</v>
      </c>
      <c r="C70" s="103" t="s">
        <v>106</v>
      </c>
      <c r="D70" s="103"/>
      <c r="E70" s="174">
        <v>1.71</v>
      </c>
      <c r="F70" s="177">
        <f>PRORRATEO!O72+'PRORRATEO (2)'!O72</f>
        <v>157677.32</v>
      </c>
    </row>
    <row r="71" spans="1:6" x14ac:dyDescent="0.25">
      <c r="A71" s="104" t="s">
        <v>213</v>
      </c>
      <c r="B71" s="135">
        <f t="shared" si="1"/>
        <v>67</v>
      </c>
      <c r="C71" s="136" t="s">
        <v>107</v>
      </c>
      <c r="D71" s="136"/>
      <c r="E71" s="175">
        <v>1.1299999999999999</v>
      </c>
      <c r="F71" s="177">
        <f>PRORRATEO!O73+'PRORRATEO (2)'!O73</f>
        <v>107351.34</v>
      </c>
    </row>
    <row r="72" spans="1:6" x14ac:dyDescent="0.25">
      <c r="A72" s="104" t="s">
        <v>214</v>
      </c>
      <c r="B72" s="134">
        <f t="shared" si="1"/>
        <v>68</v>
      </c>
      <c r="C72" s="104" t="s">
        <v>128</v>
      </c>
      <c r="D72" s="144"/>
      <c r="E72" s="175">
        <v>1.1299999999999999</v>
      </c>
      <c r="F72" s="177">
        <f>PRORRATEO!O74+'PRORRATEO (2)'!O74</f>
        <v>107351.35999999999</v>
      </c>
    </row>
    <row r="73" spans="1:6" x14ac:dyDescent="0.25">
      <c r="A73" s="104" t="s">
        <v>215</v>
      </c>
      <c r="B73" s="134">
        <f t="shared" si="1"/>
        <v>69</v>
      </c>
      <c r="C73" s="104" t="s">
        <v>129</v>
      </c>
      <c r="D73" s="144"/>
      <c r="E73" s="175">
        <v>1.1299999999999999</v>
      </c>
      <c r="F73" s="177">
        <f>PRORRATEO!O75+'PRORRATEO (2)'!O75</f>
        <v>104194.38</v>
      </c>
    </row>
    <row r="74" spans="1:6" x14ac:dyDescent="0.25">
      <c r="A74" s="104" t="s">
        <v>216</v>
      </c>
      <c r="B74" s="134">
        <f t="shared" si="1"/>
        <v>70</v>
      </c>
      <c r="C74" s="104" t="s">
        <v>130</v>
      </c>
      <c r="D74" s="105"/>
      <c r="E74" s="173">
        <v>1.67</v>
      </c>
      <c r="F74" s="177">
        <f>PRORRATEO!O76+'PRORRATEO (2)'!O76</f>
        <v>158651.40000000002</v>
      </c>
    </row>
    <row r="75" spans="1:6" x14ac:dyDescent="0.25">
      <c r="A75" s="104" t="s">
        <v>217</v>
      </c>
      <c r="B75" s="134">
        <f t="shared" si="1"/>
        <v>71</v>
      </c>
      <c r="C75" s="104" t="s">
        <v>131</v>
      </c>
      <c r="D75" s="105"/>
      <c r="E75" s="173">
        <v>1.71</v>
      </c>
      <c r="F75" s="177">
        <f>PRORRATEO!O77+'PRORRATEO (2)'!O77</f>
        <v>162451.41999999998</v>
      </c>
    </row>
    <row r="76" spans="1:6" ht="34.5" thickBot="1" x14ac:dyDescent="0.3">
      <c r="A76" s="104" t="s">
        <v>218</v>
      </c>
      <c r="B76" s="134">
        <f t="shared" si="1"/>
        <v>72</v>
      </c>
      <c r="C76" s="106" t="s">
        <v>132</v>
      </c>
      <c r="D76" s="105"/>
      <c r="E76" s="173">
        <v>1.1299999999999999</v>
      </c>
      <c r="F76" s="177">
        <f>PRORRATEO!O78+'PRORRATEO (2)'!O78</f>
        <v>2676238.4400000004</v>
      </c>
    </row>
    <row r="77" spans="1:6" x14ac:dyDescent="0.25">
      <c r="A77" s="145" t="s">
        <v>219</v>
      </c>
      <c r="B77" s="135">
        <f t="shared" si="1"/>
        <v>73</v>
      </c>
      <c r="C77" s="104" t="s">
        <v>133</v>
      </c>
      <c r="D77" s="105"/>
      <c r="E77" s="173">
        <v>1.1299999999999999</v>
      </c>
      <c r="F77" s="177">
        <f>PRORRATEO!O79+'PRORRATEO (2)'!O79</f>
        <v>105976.45999999999</v>
      </c>
    </row>
    <row r="78" spans="1:6" ht="15.75" thickBot="1" x14ac:dyDescent="0.3">
      <c r="A78" s="104" t="s">
        <v>220</v>
      </c>
      <c r="B78" s="104">
        <f t="shared" si="1"/>
        <v>74</v>
      </c>
      <c r="C78" s="146" t="s">
        <v>127</v>
      </c>
      <c r="D78" s="146"/>
      <c r="E78" s="173">
        <v>1.1299999999999999</v>
      </c>
      <c r="F78" s="177">
        <f>PRORRATEO!O80+'PRORRATEO (2)'!O80</f>
        <v>107351.48000000001</v>
      </c>
    </row>
    <row r="79" spans="1:6" ht="15.75" thickBot="1" x14ac:dyDescent="0.3">
      <c r="A79" s="150"/>
      <c r="B79" s="151"/>
      <c r="C79" s="152"/>
      <c r="D79" s="152"/>
      <c r="E79" s="176">
        <f>SUM(E4:E78)</f>
        <v>99.999999999999943</v>
      </c>
      <c r="F79" s="34"/>
    </row>
  </sheetData>
  <mergeCells count="6"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104"/>
  <sheetViews>
    <sheetView workbookViewId="0">
      <selection activeCell="F18" sqref="F18"/>
    </sheetView>
  </sheetViews>
  <sheetFormatPr baseColWidth="10" defaultRowHeight="15" x14ac:dyDescent="0.25"/>
  <cols>
    <col min="1" max="1" width="4.85546875" customWidth="1"/>
    <col min="2" max="3" width="4" customWidth="1"/>
    <col min="6" max="6" width="6.42578125" customWidth="1"/>
    <col min="7" max="7" width="9.42578125" customWidth="1"/>
    <col min="8" max="8" width="8" customWidth="1"/>
    <col min="9" max="9" width="13.7109375" customWidth="1"/>
  </cols>
  <sheetData>
    <row r="2" spans="2:12" ht="15.75" thickBot="1" x14ac:dyDescent="0.3"/>
    <row r="3" spans="2:12" ht="15.75" thickBot="1" x14ac:dyDescent="0.3">
      <c r="B3" s="272" t="s">
        <v>233</v>
      </c>
      <c r="C3" s="273"/>
      <c r="D3" s="273"/>
      <c r="E3" s="273"/>
      <c r="F3" s="273"/>
      <c r="G3" s="273"/>
      <c r="H3" s="274"/>
      <c r="I3" s="79"/>
      <c r="J3" s="80"/>
    </row>
    <row r="4" spans="2:12" ht="15.75" thickBot="1" x14ac:dyDescent="0.3">
      <c r="B4" s="264" t="s">
        <v>134</v>
      </c>
      <c r="C4" s="265"/>
      <c r="D4" s="265"/>
      <c r="E4" s="265"/>
      <c r="F4" s="265"/>
      <c r="G4" s="265"/>
      <c r="H4" s="266"/>
      <c r="I4" s="1"/>
      <c r="J4" s="2"/>
      <c r="L4" s="93"/>
    </row>
    <row r="5" spans="2:12" x14ac:dyDescent="0.25">
      <c r="B5" s="79" t="s">
        <v>239</v>
      </c>
      <c r="C5" s="90"/>
      <c r="D5" s="90"/>
      <c r="E5" s="90"/>
      <c r="G5" t="str">
        <f>RESUMEN!B5</f>
        <v>ADMINISTRADORA: CAROLINA CANCIANI MP:1148</v>
      </c>
      <c r="H5" s="2"/>
      <c r="I5" s="1"/>
      <c r="J5" s="2"/>
    </row>
    <row r="6" spans="2:12" x14ac:dyDescent="0.25">
      <c r="B6" s="84" t="s">
        <v>238</v>
      </c>
      <c r="C6" s="82"/>
      <c r="D6" s="82"/>
      <c r="H6" s="2"/>
      <c r="I6" s="1"/>
      <c r="J6" s="2"/>
    </row>
    <row r="7" spans="2:12" x14ac:dyDescent="0.25">
      <c r="B7" s="85"/>
      <c r="C7" s="86"/>
      <c r="D7" s="86"/>
      <c r="E7" s="87"/>
      <c r="F7" s="87"/>
      <c r="G7" s="87"/>
      <c r="H7" s="88"/>
      <c r="I7" s="1"/>
      <c r="J7" s="2"/>
    </row>
    <row r="8" spans="2:12" x14ac:dyDescent="0.25">
      <c r="B8" s="267" t="s">
        <v>236</v>
      </c>
      <c r="C8" s="268"/>
      <c r="D8" s="268"/>
      <c r="E8" s="268"/>
      <c r="F8" s="268"/>
      <c r="G8" s="268"/>
      <c r="H8" s="269"/>
      <c r="I8" s="1"/>
      <c r="J8" s="2"/>
    </row>
    <row r="9" spans="2:12" x14ac:dyDescent="0.25">
      <c r="B9" s="84"/>
      <c r="C9" s="82"/>
      <c r="D9" s="82"/>
      <c r="H9" s="2"/>
      <c r="I9" s="1"/>
      <c r="J9" s="2"/>
    </row>
    <row r="10" spans="2:12" x14ac:dyDescent="0.25">
      <c r="B10" s="1" t="s">
        <v>232</v>
      </c>
      <c r="E10" t="str">
        <f>PRORRATEO!D6</f>
        <v>TULA CARLOS
(2)</v>
      </c>
      <c r="H10" s="2"/>
      <c r="I10" s="270" t="s">
        <v>237</v>
      </c>
      <c r="J10" s="271"/>
    </row>
    <row r="11" spans="2:12" x14ac:dyDescent="0.25">
      <c r="B11" s="1" t="s">
        <v>231</v>
      </c>
      <c r="C11" s="82">
        <f>PRORRATEO!C6</f>
        <v>1</v>
      </c>
      <c r="D11" s="83" t="s">
        <v>235</v>
      </c>
      <c r="E11" s="82" t="str">
        <f>PRORRATEO!B6</f>
        <v>PB B</v>
      </c>
      <c r="H11" s="2"/>
      <c r="I11" s="1"/>
      <c r="J11" s="2"/>
    </row>
    <row r="12" spans="2:12" x14ac:dyDescent="0.25">
      <c r="B12" s="1"/>
      <c r="H12" s="2"/>
      <c r="I12" s="270"/>
      <c r="J12" s="271"/>
    </row>
    <row r="13" spans="2:12" ht="12.75" customHeight="1" x14ac:dyDescent="0.25">
      <c r="B13" s="1"/>
      <c r="H13" s="2"/>
      <c r="I13" s="1"/>
      <c r="J13" s="2"/>
    </row>
    <row r="14" spans="2:12" hidden="1" x14ac:dyDescent="0.25">
      <c r="B14" s="1"/>
      <c r="H14" s="2"/>
      <c r="I14" s="1"/>
      <c r="J14" s="2"/>
    </row>
    <row r="15" spans="2:12" ht="15.75" thickBot="1" x14ac:dyDescent="0.3">
      <c r="B15" s="1"/>
      <c r="H15" s="2"/>
      <c r="I15" s="89"/>
      <c r="J15" s="92"/>
    </row>
    <row r="16" spans="2:12" ht="15.75" thickBot="1" x14ac:dyDescent="0.3">
      <c r="B16" s="260" t="s">
        <v>234</v>
      </c>
      <c r="C16" s="261"/>
      <c r="D16" s="261"/>
      <c r="E16" s="261"/>
      <c r="F16" s="261"/>
      <c r="G16" s="262">
        <f>PRORRATEO!O6</f>
        <v>252356.01</v>
      </c>
      <c r="H16" s="263"/>
      <c r="I16" s="81"/>
      <c r="J16" s="91"/>
    </row>
    <row r="19" spans="2:10" ht="15.75" thickBot="1" x14ac:dyDescent="0.3"/>
    <row r="20" spans="2:10" ht="15.75" thickBot="1" x14ac:dyDescent="0.3">
      <c r="B20" s="272" t="s">
        <v>233</v>
      </c>
      <c r="C20" s="273"/>
      <c r="D20" s="273"/>
      <c r="E20" s="273"/>
      <c r="F20" s="273"/>
      <c r="G20" s="273"/>
      <c r="H20" s="274"/>
      <c r="I20" s="79"/>
      <c r="J20" s="80"/>
    </row>
    <row r="21" spans="2:10" ht="15.75" thickBot="1" x14ac:dyDescent="0.3">
      <c r="B21" s="264" t="s">
        <v>134</v>
      </c>
      <c r="C21" s="265"/>
      <c r="D21" s="265"/>
      <c r="E21" s="265"/>
      <c r="F21" s="265"/>
      <c r="G21" s="265"/>
      <c r="H21" s="266"/>
      <c r="I21" s="1"/>
      <c r="J21" s="2"/>
    </row>
    <row r="22" spans="2:10" x14ac:dyDescent="0.25">
      <c r="B22" s="79" t="s">
        <v>239</v>
      </c>
      <c r="C22" s="90"/>
      <c r="D22" s="90"/>
      <c r="E22" s="90"/>
      <c r="G22" t="s">
        <v>47</v>
      </c>
      <c r="H22" s="2"/>
      <c r="I22" s="1"/>
      <c r="J22" s="2"/>
    </row>
    <row r="23" spans="2:10" x14ac:dyDescent="0.25">
      <c r="B23" s="84" t="s">
        <v>238</v>
      </c>
      <c r="C23" s="82"/>
      <c r="D23" s="82"/>
      <c r="H23" s="2"/>
      <c r="I23" s="1"/>
      <c r="J23" s="2"/>
    </row>
    <row r="24" spans="2:10" x14ac:dyDescent="0.25">
      <c r="B24" s="85"/>
      <c r="C24" s="86"/>
      <c r="D24" s="86"/>
      <c r="E24" s="87"/>
      <c r="F24" s="87"/>
      <c r="G24" s="87"/>
      <c r="H24" s="88"/>
      <c r="I24" s="1"/>
      <c r="J24" s="2"/>
    </row>
    <row r="25" spans="2:10" x14ac:dyDescent="0.25">
      <c r="B25" s="267" t="s">
        <v>236</v>
      </c>
      <c r="C25" s="268"/>
      <c r="D25" s="268"/>
      <c r="E25" s="268"/>
      <c r="F25" s="268"/>
      <c r="G25" s="268"/>
      <c r="H25" s="269"/>
      <c r="I25" s="1"/>
      <c r="J25" s="2"/>
    </row>
    <row r="26" spans="2:10" x14ac:dyDescent="0.25">
      <c r="B26" s="84"/>
      <c r="C26" s="82"/>
      <c r="D26" s="82"/>
      <c r="H26" s="2"/>
      <c r="I26" s="1"/>
      <c r="J26" s="2"/>
    </row>
    <row r="27" spans="2:10" x14ac:dyDescent="0.25">
      <c r="B27" s="1" t="s">
        <v>232</v>
      </c>
      <c r="E27" t="str">
        <f>PRORRATEO!D7</f>
        <v>COMBRE 
ALFREDO</v>
      </c>
      <c r="H27" s="2"/>
      <c r="I27" s="270" t="s">
        <v>237</v>
      </c>
      <c r="J27" s="271"/>
    </row>
    <row r="28" spans="2:10" x14ac:dyDescent="0.25">
      <c r="B28" s="1" t="s">
        <v>231</v>
      </c>
      <c r="C28" s="82">
        <f>PRORRATEO!C7</f>
        <v>2</v>
      </c>
      <c r="D28" s="83" t="s">
        <v>235</v>
      </c>
      <c r="E28" s="82" t="str">
        <f>PRORRATEO!B7</f>
        <v>PB C</v>
      </c>
      <c r="H28" s="2"/>
      <c r="I28" s="1"/>
      <c r="J28" s="2"/>
    </row>
    <row r="29" spans="2:10" x14ac:dyDescent="0.25">
      <c r="B29" s="1"/>
      <c r="H29" s="2"/>
      <c r="I29" s="270"/>
      <c r="J29" s="271"/>
    </row>
    <row r="30" spans="2:10" x14ac:dyDescent="0.25">
      <c r="B30" s="1"/>
      <c r="H30" s="2"/>
      <c r="I30" s="1"/>
      <c r="J30" s="2"/>
    </row>
    <row r="31" spans="2:10" x14ac:dyDescent="0.25">
      <c r="B31" s="1"/>
      <c r="H31" s="2"/>
      <c r="I31" s="1"/>
      <c r="J31" s="2"/>
    </row>
    <row r="32" spans="2:10" ht="15.75" thickBot="1" x14ac:dyDescent="0.3">
      <c r="B32" s="1"/>
      <c r="H32" s="2"/>
      <c r="I32" s="89"/>
      <c r="J32" s="92"/>
    </row>
    <row r="33" spans="2:10" ht="15.75" thickBot="1" x14ac:dyDescent="0.3">
      <c r="B33" s="260" t="s">
        <v>234</v>
      </c>
      <c r="C33" s="261"/>
      <c r="D33" s="261"/>
      <c r="E33" s="261"/>
      <c r="F33" s="261"/>
      <c r="G33" s="262">
        <f>PRORRATEO!O7</f>
        <v>110200.02</v>
      </c>
      <c r="H33" s="263"/>
      <c r="I33" s="81"/>
      <c r="J33" s="91"/>
    </row>
    <row r="36" spans="2:10" ht="3.75" customHeight="1" thickBot="1" x14ac:dyDescent="0.3"/>
    <row r="37" spans="2:10" ht="15.75" hidden="1" thickBot="1" x14ac:dyDescent="0.3"/>
    <row r="38" spans="2:10" ht="15.75" thickBot="1" x14ac:dyDescent="0.3">
      <c r="B38" s="272" t="s">
        <v>233</v>
      </c>
      <c r="C38" s="273"/>
      <c r="D38" s="273"/>
      <c r="E38" s="273"/>
      <c r="F38" s="273"/>
      <c r="G38" s="273"/>
      <c r="H38" s="274"/>
      <c r="I38" s="79"/>
      <c r="J38" s="80"/>
    </row>
    <row r="39" spans="2:10" ht="15.75" thickBot="1" x14ac:dyDescent="0.3">
      <c r="B39" s="264" t="s">
        <v>134</v>
      </c>
      <c r="C39" s="265"/>
      <c r="D39" s="265"/>
      <c r="E39" s="265"/>
      <c r="F39" s="265"/>
      <c r="G39" s="265"/>
      <c r="H39" s="266"/>
      <c r="I39" s="1"/>
      <c r="J39" s="2"/>
    </row>
    <row r="40" spans="2:10" x14ac:dyDescent="0.25">
      <c r="B40" s="79" t="s">
        <v>239</v>
      </c>
      <c r="C40" s="90"/>
      <c r="D40" s="90"/>
      <c r="E40" s="90"/>
      <c r="G40" t="s">
        <v>47</v>
      </c>
      <c r="H40" s="2"/>
      <c r="I40" s="1"/>
      <c r="J40" s="2"/>
    </row>
    <row r="41" spans="2:10" x14ac:dyDescent="0.25">
      <c r="B41" s="84" t="s">
        <v>238</v>
      </c>
      <c r="C41" s="82"/>
      <c r="D41" s="82"/>
      <c r="H41" s="2"/>
      <c r="I41" s="1"/>
      <c r="J41" s="2"/>
    </row>
    <row r="42" spans="2:10" x14ac:dyDescent="0.25">
      <c r="B42" s="85"/>
      <c r="C42" s="86"/>
      <c r="D42" s="86"/>
      <c r="E42" s="87"/>
      <c r="F42" s="87"/>
      <c r="G42" s="87"/>
      <c r="H42" s="88"/>
      <c r="I42" s="1"/>
      <c r="J42" s="2"/>
    </row>
    <row r="43" spans="2:10" x14ac:dyDescent="0.25">
      <c r="B43" s="267" t="s">
        <v>236</v>
      </c>
      <c r="C43" s="268"/>
      <c r="D43" s="268"/>
      <c r="E43" s="268"/>
      <c r="F43" s="268"/>
      <c r="G43" s="268"/>
      <c r="H43" s="269"/>
      <c r="I43" s="1"/>
      <c r="J43" s="2"/>
    </row>
    <row r="44" spans="2:10" x14ac:dyDescent="0.25">
      <c r="B44" s="84"/>
      <c r="C44" s="82"/>
      <c r="D44" s="82"/>
      <c r="H44" s="2"/>
      <c r="I44" s="1"/>
      <c r="J44" s="2"/>
    </row>
    <row r="45" spans="2:10" x14ac:dyDescent="0.25">
      <c r="B45" s="1" t="s">
        <v>232</v>
      </c>
      <c r="E45" t="str">
        <f>PRORRATEO!D8</f>
        <v>PRGICH 
FEDERICO</v>
      </c>
      <c r="H45" s="2"/>
      <c r="I45" s="270" t="s">
        <v>237</v>
      </c>
      <c r="J45" s="271"/>
    </row>
    <row r="46" spans="2:10" x14ac:dyDescent="0.25">
      <c r="B46" s="1" t="s">
        <v>231</v>
      </c>
      <c r="C46" s="82">
        <f>PRORRATEO!C8</f>
        <v>3</v>
      </c>
      <c r="D46" s="83" t="s">
        <v>235</v>
      </c>
      <c r="E46" s="82" t="str">
        <f>PRORRATEO!B8</f>
        <v>PB D</v>
      </c>
      <c r="H46" s="2"/>
      <c r="I46" s="1"/>
      <c r="J46" s="2"/>
    </row>
    <row r="47" spans="2:10" x14ac:dyDescent="0.25">
      <c r="B47" s="1"/>
      <c r="H47" s="2"/>
      <c r="I47" s="270"/>
      <c r="J47" s="271"/>
    </row>
    <row r="48" spans="2:10" x14ac:dyDescent="0.25">
      <c r="B48" s="1"/>
      <c r="H48" s="2"/>
      <c r="I48" s="1"/>
      <c r="J48" s="2"/>
    </row>
    <row r="49" spans="2:10" x14ac:dyDescent="0.25">
      <c r="B49" s="1"/>
      <c r="H49" s="2"/>
      <c r="I49" s="1"/>
      <c r="J49" s="2"/>
    </row>
    <row r="50" spans="2:10" ht="15.75" thickBot="1" x14ac:dyDescent="0.3">
      <c r="B50" s="1"/>
      <c r="H50" s="2"/>
      <c r="I50" s="89"/>
      <c r="J50" s="92"/>
    </row>
    <row r="51" spans="2:10" ht="15.75" thickBot="1" x14ac:dyDescent="0.3">
      <c r="B51" s="260" t="s">
        <v>234</v>
      </c>
      <c r="C51" s="261"/>
      <c r="D51" s="261"/>
      <c r="E51" s="261"/>
      <c r="F51" s="261"/>
      <c r="G51" s="262">
        <f>PRORRATEO!O8</f>
        <v>107281.03</v>
      </c>
      <c r="H51" s="263"/>
      <c r="I51" s="81"/>
      <c r="J51" s="91"/>
    </row>
    <row r="54" spans="2:10" ht="15.75" thickBot="1" x14ac:dyDescent="0.3"/>
    <row r="55" spans="2:10" ht="15.75" thickBot="1" x14ac:dyDescent="0.3">
      <c r="B55" s="272" t="s">
        <v>233</v>
      </c>
      <c r="C55" s="273"/>
      <c r="D55" s="273"/>
      <c r="E55" s="273"/>
      <c r="F55" s="273"/>
      <c r="G55" s="273"/>
      <c r="H55" s="274"/>
      <c r="I55" s="79"/>
      <c r="J55" s="80"/>
    </row>
    <row r="56" spans="2:10" ht="15.75" thickBot="1" x14ac:dyDescent="0.3">
      <c r="B56" s="264" t="s">
        <v>134</v>
      </c>
      <c r="C56" s="265"/>
      <c r="D56" s="265"/>
      <c r="E56" s="265"/>
      <c r="F56" s="265"/>
      <c r="G56" s="265"/>
      <c r="H56" s="266"/>
      <c r="I56" s="1"/>
      <c r="J56" s="2"/>
    </row>
    <row r="57" spans="2:10" x14ac:dyDescent="0.25">
      <c r="B57" s="79" t="s">
        <v>239</v>
      </c>
      <c r="C57" s="90"/>
      <c r="D57" s="90"/>
      <c r="E57" s="90"/>
      <c r="G57" t="s">
        <v>47</v>
      </c>
      <c r="H57" s="2"/>
      <c r="I57" s="1"/>
      <c r="J57" s="2"/>
    </row>
    <row r="58" spans="2:10" x14ac:dyDescent="0.25">
      <c r="B58" s="84" t="s">
        <v>238</v>
      </c>
      <c r="C58" s="82"/>
      <c r="D58" s="82"/>
      <c r="H58" s="2"/>
      <c r="I58" s="1"/>
      <c r="J58" s="2"/>
    </row>
    <row r="59" spans="2:10" x14ac:dyDescent="0.25">
      <c r="B59" s="85"/>
      <c r="C59" s="86"/>
      <c r="D59" s="86"/>
      <c r="E59" s="87"/>
      <c r="F59" s="87"/>
      <c r="G59" s="87"/>
      <c r="H59" s="88"/>
      <c r="I59" s="1"/>
      <c r="J59" s="2"/>
    </row>
    <row r="60" spans="2:10" x14ac:dyDescent="0.25">
      <c r="B60" s="267" t="s">
        <v>236</v>
      </c>
      <c r="C60" s="268"/>
      <c r="D60" s="268"/>
      <c r="E60" s="268"/>
      <c r="F60" s="268"/>
      <c r="G60" s="268"/>
      <c r="H60" s="269"/>
      <c r="I60" s="1"/>
      <c r="J60" s="2"/>
    </row>
    <row r="61" spans="2:10" x14ac:dyDescent="0.25">
      <c r="B61" s="84"/>
      <c r="C61" s="82"/>
      <c r="D61" s="82"/>
      <c r="H61" s="2"/>
      <c r="I61" s="1"/>
      <c r="J61" s="2"/>
    </row>
    <row r="62" spans="2:10" x14ac:dyDescent="0.25">
      <c r="B62" s="1" t="s">
        <v>232</v>
      </c>
      <c r="E62" t="str">
        <f>PRORRATEO!D9</f>
        <v>SRUGO 
DAMIAN</v>
      </c>
      <c r="H62" s="2"/>
      <c r="I62" s="270" t="s">
        <v>237</v>
      </c>
      <c r="J62" s="271"/>
    </row>
    <row r="63" spans="2:10" x14ac:dyDescent="0.25">
      <c r="B63" s="1" t="s">
        <v>231</v>
      </c>
      <c r="C63" s="82">
        <f>PRORRATEO!C9</f>
        <v>4</v>
      </c>
      <c r="D63" s="83" t="s">
        <v>235</v>
      </c>
      <c r="E63" s="82" t="str">
        <f>PRORRATEO!B9</f>
        <v>PB E</v>
      </c>
      <c r="H63" s="2"/>
      <c r="I63" s="1"/>
      <c r="J63" s="2"/>
    </row>
    <row r="64" spans="2:10" x14ac:dyDescent="0.25">
      <c r="B64" s="1"/>
      <c r="H64" s="2"/>
      <c r="I64" s="270"/>
      <c r="J64" s="271"/>
    </row>
    <row r="65" spans="2:10" x14ac:dyDescent="0.25">
      <c r="B65" s="1"/>
      <c r="H65" s="2"/>
      <c r="I65" s="1"/>
      <c r="J65" s="2"/>
    </row>
    <row r="66" spans="2:10" x14ac:dyDescent="0.25">
      <c r="B66" s="1"/>
      <c r="H66" s="2"/>
      <c r="I66" s="1"/>
      <c r="J66" s="2"/>
    </row>
    <row r="67" spans="2:10" ht="15.75" thickBot="1" x14ac:dyDescent="0.3">
      <c r="B67" s="1"/>
      <c r="H67" s="2"/>
      <c r="I67" s="89"/>
      <c r="J67" s="92"/>
    </row>
    <row r="68" spans="2:10" ht="15.75" thickBot="1" x14ac:dyDescent="0.3">
      <c r="B68" s="260" t="s">
        <v>234</v>
      </c>
      <c r="C68" s="261"/>
      <c r="D68" s="261"/>
      <c r="E68" s="261"/>
      <c r="F68" s="261"/>
      <c r="G68" s="262">
        <f>PRORRATEO!O9</f>
        <v>115900.04</v>
      </c>
      <c r="H68" s="263"/>
      <c r="I68" s="81"/>
      <c r="J68" s="91"/>
    </row>
    <row r="70" spans="2:10" ht="0.75" customHeight="1" x14ac:dyDescent="0.25"/>
    <row r="71" spans="2:10" hidden="1" x14ac:dyDescent="0.25"/>
    <row r="72" spans="2:10" ht="15.75" thickBot="1" x14ac:dyDescent="0.3"/>
    <row r="73" spans="2:10" ht="15.75" thickBot="1" x14ac:dyDescent="0.3">
      <c r="B73" s="272" t="s">
        <v>233</v>
      </c>
      <c r="C73" s="273"/>
      <c r="D73" s="273"/>
      <c r="E73" s="273"/>
      <c r="F73" s="273"/>
      <c r="G73" s="273"/>
      <c r="H73" s="274"/>
      <c r="I73" s="79"/>
      <c r="J73" s="80"/>
    </row>
    <row r="74" spans="2:10" ht="15.75" thickBot="1" x14ac:dyDescent="0.3">
      <c r="B74" s="264" t="s">
        <v>134</v>
      </c>
      <c r="C74" s="265"/>
      <c r="D74" s="265"/>
      <c r="E74" s="265"/>
      <c r="F74" s="265"/>
      <c r="G74" s="265"/>
      <c r="H74" s="266"/>
      <c r="I74" s="1"/>
      <c r="J74" s="2"/>
    </row>
    <row r="75" spans="2:10" x14ac:dyDescent="0.25">
      <c r="B75" s="79" t="s">
        <v>239</v>
      </c>
      <c r="C75" s="90"/>
      <c r="D75" s="90"/>
      <c r="E75" s="90"/>
      <c r="G75" t="s">
        <v>47</v>
      </c>
      <c r="H75" s="2"/>
      <c r="I75" s="1"/>
      <c r="J75" s="2"/>
    </row>
    <row r="76" spans="2:10" x14ac:dyDescent="0.25">
      <c r="B76" s="84" t="s">
        <v>238</v>
      </c>
      <c r="C76" s="82"/>
      <c r="D76" s="82"/>
      <c r="H76" s="2"/>
      <c r="I76" s="1"/>
      <c r="J76" s="2"/>
    </row>
    <row r="77" spans="2:10" x14ac:dyDescent="0.25">
      <c r="B77" s="85"/>
      <c r="C77" s="86"/>
      <c r="D77" s="86"/>
      <c r="E77" s="87"/>
      <c r="F77" s="87"/>
      <c r="G77" s="87"/>
      <c r="H77" s="88"/>
      <c r="I77" s="1"/>
      <c r="J77" s="2"/>
    </row>
    <row r="78" spans="2:10" x14ac:dyDescent="0.25">
      <c r="B78" s="267" t="s">
        <v>236</v>
      </c>
      <c r="C78" s="268"/>
      <c r="D78" s="268"/>
      <c r="E78" s="268"/>
      <c r="F78" s="268"/>
      <c r="G78" s="268"/>
      <c r="H78" s="269"/>
      <c r="I78" s="1"/>
      <c r="J78" s="2"/>
    </row>
    <row r="79" spans="2:10" x14ac:dyDescent="0.25">
      <c r="B79" s="84"/>
      <c r="C79" s="82"/>
      <c r="D79" s="82"/>
      <c r="H79" s="2"/>
      <c r="I79" s="1"/>
      <c r="J79" s="2"/>
    </row>
    <row r="80" spans="2:10" x14ac:dyDescent="0.25">
      <c r="B80" s="1" t="s">
        <v>232</v>
      </c>
      <c r="E80" t="str">
        <f>PRORRATEO!D10</f>
        <v>ZELANSNY 
SILVIA</v>
      </c>
      <c r="H80" s="2"/>
      <c r="I80" s="270" t="s">
        <v>237</v>
      </c>
      <c r="J80" s="271"/>
    </row>
    <row r="81" spans="2:10" x14ac:dyDescent="0.25">
      <c r="B81" s="1" t="s">
        <v>231</v>
      </c>
      <c r="C81" s="82">
        <f>PRORRATEO!C10</f>
        <v>5</v>
      </c>
      <c r="D81" s="83" t="s">
        <v>235</v>
      </c>
      <c r="E81" s="82" t="str">
        <f>PRORRATEO!B10</f>
        <v>1-A</v>
      </c>
      <c r="H81" s="2"/>
      <c r="I81" s="1"/>
      <c r="J81" s="2"/>
    </row>
    <row r="82" spans="2:10" x14ac:dyDescent="0.25">
      <c r="B82" s="1"/>
      <c r="H82" s="2"/>
      <c r="I82" s="270"/>
      <c r="J82" s="271"/>
    </row>
    <row r="83" spans="2:10" x14ac:dyDescent="0.25">
      <c r="B83" s="1"/>
      <c r="H83" s="2"/>
      <c r="I83" s="1"/>
      <c r="J83" s="2"/>
    </row>
    <row r="84" spans="2:10" x14ac:dyDescent="0.25">
      <c r="B84" s="1"/>
      <c r="H84" s="2"/>
      <c r="I84" s="1"/>
      <c r="J84" s="2"/>
    </row>
    <row r="85" spans="2:10" ht="15.75" thickBot="1" x14ac:dyDescent="0.3">
      <c r="B85" s="1"/>
      <c r="H85" s="2"/>
      <c r="I85" s="89"/>
      <c r="J85" s="92"/>
    </row>
    <row r="86" spans="2:10" ht="15.75" thickBot="1" x14ac:dyDescent="0.3">
      <c r="B86" s="260" t="s">
        <v>234</v>
      </c>
      <c r="C86" s="261"/>
      <c r="D86" s="261"/>
      <c r="E86" s="261"/>
      <c r="F86" s="261"/>
      <c r="G86" s="262">
        <f>PRORRATEO!O10</f>
        <v>210226.05</v>
      </c>
      <c r="H86" s="263"/>
      <c r="I86" s="81"/>
      <c r="J86" s="91"/>
    </row>
    <row r="87" spans="2:10" ht="14.25" customHeight="1" x14ac:dyDescent="0.25"/>
    <row r="88" spans="2:10" hidden="1" x14ac:dyDescent="0.25"/>
    <row r="89" spans="2:10" hidden="1" x14ac:dyDescent="0.25"/>
    <row r="90" spans="2:10" ht="15.75" thickBot="1" x14ac:dyDescent="0.3"/>
    <row r="91" spans="2:10" ht="15.75" thickBot="1" x14ac:dyDescent="0.3">
      <c r="B91" s="272" t="s">
        <v>233</v>
      </c>
      <c r="C91" s="273"/>
      <c r="D91" s="273"/>
      <c r="E91" s="273"/>
      <c r="F91" s="273"/>
      <c r="G91" s="273"/>
      <c r="H91" s="274"/>
      <c r="I91" s="79"/>
      <c r="J91" s="80"/>
    </row>
    <row r="92" spans="2:10" ht="15.75" thickBot="1" x14ac:dyDescent="0.3">
      <c r="B92" s="264" t="s">
        <v>134</v>
      </c>
      <c r="C92" s="265"/>
      <c r="D92" s="265"/>
      <c r="E92" s="265"/>
      <c r="F92" s="265"/>
      <c r="G92" s="265"/>
      <c r="H92" s="266"/>
      <c r="I92" s="1"/>
      <c r="J92" s="2"/>
    </row>
    <row r="93" spans="2:10" x14ac:dyDescent="0.25">
      <c r="B93" s="79" t="s">
        <v>239</v>
      </c>
      <c r="C93" s="90"/>
      <c r="D93" s="90"/>
      <c r="E93" s="90"/>
      <c r="G93" t="s">
        <v>47</v>
      </c>
      <c r="H93" s="2"/>
      <c r="I93" s="1"/>
      <c r="J93" s="2"/>
    </row>
    <row r="94" spans="2:10" x14ac:dyDescent="0.25">
      <c r="B94" s="84" t="s">
        <v>238</v>
      </c>
      <c r="C94" s="82"/>
      <c r="D94" s="82"/>
      <c r="H94" s="2"/>
      <c r="I94" s="1"/>
      <c r="J94" s="2"/>
    </row>
    <row r="95" spans="2:10" x14ac:dyDescent="0.25">
      <c r="B95" s="85"/>
      <c r="C95" s="86"/>
      <c r="D95" s="86"/>
      <c r="E95" s="87"/>
      <c r="F95" s="87"/>
      <c r="G95" s="87"/>
      <c r="H95" s="88"/>
      <c r="I95" s="1"/>
      <c r="J95" s="2"/>
    </row>
    <row r="96" spans="2:10" x14ac:dyDescent="0.25">
      <c r="B96" s="267" t="s">
        <v>236</v>
      </c>
      <c r="C96" s="268"/>
      <c r="D96" s="268"/>
      <c r="E96" s="268"/>
      <c r="F96" s="268"/>
      <c r="G96" s="268"/>
      <c r="H96" s="269"/>
      <c r="I96" s="1"/>
      <c r="J96" s="2"/>
    </row>
    <row r="97" spans="2:10" x14ac:dyDescent="0.25">
      <c r="B97" s="84"/>
      <c r="C97" s="82"/>
      <c r="D97" s="82"/>
      <c r="H97" s="2"/>
      <c r="I97" s="1"/>
      <c r="J97" s="2"/>
    </row>
    <row r="98" spans="2:10" x14ac:dyDescent="0.25">
      <c r="B98" s="1" t="s">
        <v>232</v>
      </c>
      <c r="E98" t="str">
        <f>PRORRATEO!D11</f>
        <v>PICO HEBE</v>
      </c>
      <c r="H98" s="2"/>
      <c r="I98" s="270" t="s">
        <v>237</v>
      </c>
      <c r="J98" s="271"/>
    </row>
    <row r="99" spans="2:10" x14ac:dyDescent="0.25">
      <c r="B99" s="1" t="s">
        <v>231</v>
      </c>
      <c r="C99" s="82">
        <f>PRORRATEO!C11</f>
        <v>6</v>
      </c>
      <c r="D99" s="83" t="s">
        <v>235</v>
      </c>
      <c r="E99" s="82" t="str">
        <f>PRORRATEO!B11</f>
        <v>1-B</v>
      </c>
      <c r="H99" s="2"/>
      <c r="I99" s="1"/>
      <c r="J99" s="2"/>
    </row>
    <row r="100" spans="2:10" x14ac:dyDescent="0.25">
      <c r="B100" s="1"/>
      <c r="H100" s="2"/>
      <c r="I100" s="270"/>
      <c r="J100" s="271"/>
    </row>
    <row r="101" spans="2:10" x14ac:dyDescent="0.25">
      <c r="B101" s="1"/>
      <c r="H101" s="2"/>
      <c r="I101" s="1"/>
      <c r="J101" s="2"/>
    </row>
    <row r="102" spans="2:10" x14ac:dyDescent="0.25">
      <c r="B102" s="1"/>
      <c r="H102" s="2"/>
      <c r="I102" s="1"/>
      <c r="J102" s="2"/>
    </row>
    <row r="103" spans="2:10" ht="15.75" thickBot="1" x14ac:dyDescent="0.3">
      <c r="B103" s="1"/>
      <c r="H103" s="2"/>
      <c r="I103" s="89"/>
      <c r="J103" s="92"/>
    </row>
    <row r="104" spans="2:10" ht="15.75" thickBot="1" x14ac:dyDescent="0.3">
      <c r="B104" s="260" t="s">
        <v>234</v>
      </c>
      <c r="C104" s="261"/>
      <c r="D104" s="261"/>
      <c r="E104" s="261"/>
      <c r="F104" s="261"/>
      <c r="G104" s="262">
        <f>PRORRATEO!O11</f>
        <v>453713.06</v>
      </c>
      <c r="H104" s="263"/>
      <c r="I104" s="81"/>
      <c r="J104" s="91"/>
    </row>
  </sheetData>
  <mergeCells count="42">
    <mergeCell ref="B4:H4"/>
    <mergeCell ref="B3:H3"/>
    <mergeCell ref="G16:H16"/>
    <mergeCell ref="B16:F16"/>
    <mergeCell ref="B8:H8"/>
    <mergeCell ref="B39:H39"/>
    <mergeCell ref="I12:J12"/>
    <mergeCell ref="I10:J10"/>
    <mergeCell ref="B20:H20"/>
    <mergeCell ref="B21:H21"/>
    <mergeCell ref="B25:H25"/>
    <mergeCell ref="I27:J27"/>
    <mergeCell ref="I29:J29"/>
    <mergeCell ref="B33:F33"/>
    <mergeCell ref="G33:H33"/>
    <mergeCell ref="B38:H38"/>
    <mergeCell ref="B73:H73"/>
    <mergeCell ref="B55:H55"/>
    <mergeCell ref="B56:H56"/>
    <mergeCell ref="B43:H43"/>
    <mergeCell ref="I45:J45"/>
    <mergeCell ref="I47:J47"/>
    <mergeCell ref="B51:F51"/>
    <mergeCell ref="G51:H51"/>
    <mergeCell ref="B60:H60"/>
    <mergeCell ref="I62:J62"/>
    <mergeCell ref="I64:J64"/>
    <mergeCell ref="B68:F68"/>
    <mergeCell ref="G68:H68"/>
    <mergeCell ref="B104:F104"/>
    <mergeCell ref="G104:H104"/>
    <mergeCell ref="B74:H74"/>
    <mergeCell ref="B78:H78"/>
    <mergeCell ref="I80:J80"/>
    <mergeCell ref="I82:J82"/>
    <mergeCell ref="B86:F86"/>
    <mergeCell ref="G86:H86"/>
    <mergeCell ref="B91:H91"/>
    <mergeCell ref="B92:H92"/>
    <mergeCell ref="B96:H96"/>
    <mergeCell ref="I98:J98"/>
    <mergeCell ref="I100:J100"/>
  </mergeCells>
  <pageMargins left="0.25" right="0.2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103"/>
  <sheetViews>
    <sheetView topLeftCell="A100" workbookViewId="0">
      <selection activeCell="N103" sqref="N103"/>
    </sheetView>
  </sheetViews>
  <sheetFormatPr baseColWidth="10" defaultRowHeight="15" x14ac:dyDescent="0.25"/>
  <cols>
    <col min="1" max="1" width="3.7109375" customWidth="1"/>
    <col min="4" max="4" width="8.85546875" customWidth="1"/>
    <col min="5" max="5" width="4.140625" customWidth="1"/>
    <col min="6" max="6" width="4.28515625" customWidth="1"/>
    <col min="8" max="8" width="4.7109375" customWidth="1"/>
  </cols>
  <sheetData>
    <row r="2" spans="2:10" ht="15.75" thickBot="1" x14ac:dyDescent="0.3"/>
    <row r="3" spans="2:10" ht="15.75" thickBot="1" x14ac:dyDescent="0.3">
      <c r="B3" s="272" t="s">
        <v>233</v>
      </c>
      <c r="C3" s="273"/>
      <c r="D3" s="273"/>
      <c r="E3" s="273"/>
      <c r="F3" s="273"/>
      <c r="G3" s="273"/>
      <c r="H3" s="274"/>
      <c r="I3" s="79"/>
      <c r="J3" s="80"/>
    </row>
    <row r="4" spans="2:10" ht="15.75" thickBot="1" x14ac:dyDescent="0.3">
      <c r="B4" s="264" t="s">
        <v>134</v>
      </c>
      <c r="C4" s="265"/>
      <c r="D4" s="265"/>
      <c r="E4" s="265"/>
      <c r="F4" s="265"/>
      <c r="G4" s="265"/>
      <c r="H4" s="266"/>
      <c r="I4" s="1"/>
      <c r="J4" s="2"/>
    </row>
    <row r="5" spans="2:10" x14ac:dyDescent="0.25">
      <c r="B5" s="79" t="s">
        <v>240</v>
      </c>
      <c r="C5" s="90"/>
      <c r="D5" s="90"/>
      <c r="E5" s="90"/>
      <c r="G5" t="s">
        <v>47</v>
      </c>
      <c r="H5" s="2"/>
      <c r="I5" s="1"/>
      <c r="J5" s="2"/>
    </row>
    <row r="6" spans="2:10" x14ac:dyDescent="0.25">
      <c r="B6" s="84" t="s">
        <v>238</v>
      </c>
      <c r="C6" s="82"/>
      <c r="D6" s="82"/>
      <c r="H6" s="2"/>
      <c r="I6" s="1"/>
      <c r="J6" s="2"/>
    </row>
    <row r="7" spans="2:10" x14ac:dyDescent="0.25">
      <c r="B7" s="85"/>
      <c r="C7" s="86"/>
      <c r="D7" s="86"/>
      <c r="E7" s="87"/>
      <c r="F7" s="87"/>
      <c r="G7" s="87"/>
      <c r="H7" s="88"/>
      <c r="I7" s="1"/>
      <c r="J7" s="2"/>
    </row>
    <row r="8" spans="2:10" x14ac:dyDescent="0.25">
      <c r="B8" s="267" t="s">
        <v>236</v>
      </c>
      <c r="C8" s="268"/>
      <c r="D8" s="268"/>
      <c r="E8" s="268"/>
      <c r="F8" s="268"/>
      <c r="G8" s="268"/>
      <c r="H8" s="269"/>
      <c r="I8" s="1"/>
      <c r="J8" s="2"/>
    </row>
    <row r="9" spans="2:10" x14ac:dyDescent="0.25">
      <c r="B9" s="84"/>
      <c r="C9" s="82"/>
      <c r="D9" s="82"/>
      <c r="H9" s="2"/>
      <c r="I9" s="1"/>
      <c r="J9" s="2"/>
    </row>
    <row r="10" spans="2:10" x14ac:dyDescent="0.25">
      <c r="B10" s="1" t="s">
        <v>232</v>
      </c>
      <c r="E10" t="str">
        <f>PRORRATEO!D12</f>
        <v>RAMOS ROSA</v>
      </c>
      <c r="H10" s="2"/>
      <c r="I10" s="270" t="s">
        <v>237</v>
      </c>
      <c r="J10" s="271"/>
    </row>
    <row r="11" spans="2:10" x14ac:dyDescent="0.25">
      <c r="B11" s="1" t="s">
        <v>231</v>
      </c>
      <c r="C11" s="82">
        <f>PRORRATEO!C12</f>
        <v>7</v>
      </c>
      <c r="D11" s="83" t="s">
        <v>235</v>
      </c>
      <c r="E11" s="82" t="str">
        <f>PRORRATEO!B12</f>
        <v>1-C</v>
      </c>
      <c r="H11" s="2"/>
      <c r="I11" s="1"/>
      <c r="J11" s="2"/>
    </row>
    <row r="12" spans="2:10" x14ac:dyDescent="0.25">
      <c r="B12" s="1"/>
      <c r="H12" s="2"/>
      <c r="I12" s="270"/>
      <c r="J12" s="271"/>
    </row>
    <row r="13" spans="2:10" x14ac:dyDescent="0.25">
      <c r="B13" s="1"/>
      <c r="H13" s="2"/>
      <c r="I13" s="1"/>
      <c r="J13" s="2"/>
    </row>
    <row r="14" spans="2:10" x14ac:dyDescent="0.25">
      <c r="B14" s="1"/>
      <c r="H14" s="2"/>
      <c r="I14" s="1"/>
      <c r="J14" s="2"/>
    </row>
    <row r="15" spans="2:10" ht="15.75" thickBot="1" x14ac:dyDescent="0.3">
      <c r="B15" s="1"/>
      <c r="H15" s="2"/>
      <c r="I15" s="89"/>
      <c r="J15" s="92"/>
    </row>
    <row r="16" spans="2:10" ht="15.75" thickBot="1" x14ac:dyDescent="0.3">
      <c r="B16" s="260" t="s">
        <v>234</v>
      </c>
      <c r="C16" s="261"/>
      <c r="D16" s="261"/>
      <c r="E16" s="261"/>
      <c r="F16" s="261"/>
      <c r="G16" s="262">
        <f>PRORRATEO!O12</f>
        <v>107350.07</v>
      </c>
      <c r="H16" s="263"/>
      <c r="I16" s="81"/>
      <c r="J16" s="91"/>
    </row>
    <row r="19" spans="2:10" ht="15.75" thickBot="1" x14ac:dyDescent="0.3"/>
    <row r="20" spans="2:10" ht="15.75" thickBot="1" x14ac:dyDescent="0.3">
      <c r="B20" s="272" t="s">
        <v>233</v>
      </c>
      <c r="C20" s="273"/>
      <c r="D20" s="273"/>
      <c r="E20" s="273"/>
      <c r="F20" s="273"/>
      <c r="G20" s="273"/>
      <c r="H20" s="274"/>
      <c r="I20" s="79"/>
      <c r="J20" s="80"/>
    </row>
    <row r="21" spans="2:10" ht="15.75" thickBot="1" x14ac:dyDescent="0.3">
      <c r="B21" s="264" t="s">
        <v>134</v>
      </c>
      <c r="C21" s="265"/>
      <c r="D21" s="265"/>
      <c r="E21" s="265"/>
      <c r="F21" s="265"/>
      <c r="G21" s="265"/>
      <c r="H21" s="266"/>
      <c r="I21" s="1"/>
      <c r="J21" s="2"/>
    </row>
    <row r="22" spans="2:10" x14ac:dyDescent="0.25">
      <c r="B22" s="79" t="s">
        <v>240</v>
      </c>
      <c r="C22" s="90"/>
      <c r="D22" s="90"/>
      <c r="E22" s="90"/>
      <c r="G22" t="s">
        <v>47</v>
      </c>
      <c r="H22" s="2"/>
      <c r="I22" s="1"/>
      <c r="J22" s="2"/>
    </row>
    <row r="23" spans="2:10" x14ac:dyDescent="0.25">
      <c r="B23" s="84" t="s">
        <v>238</v>
      </c>
      <c r="C23" s="82"/>
      <c r="D23" s="82"/>
      <c r="H23" s="2"/>
      <c r="I23" s="1"/>
      <c r="J23" s="2"/>
    </row>
    <row r="24" spans="2:10" x14ac:dyDescent="0.25">
      <c r="B24" s="85"/>
      <c r="C24" s="86"/>
      <c r="D24" s="86"/>
      <c r="E24" s="87"/>
      <c r="F24" s="87"/>
      <c r="G24" s="87"/>
      <c r="H24" s="88"/>
      <c r="I24" s="1"/>
      <c r="J24" s="2"/>
    </row>
    <row r="25" spans="2:10" x14ac:dyDescent="0.25">
      <c r="B25" s="267" t="s">
        <v>236</v>
      </c>
      <c r="C25" s="268"/>
      <c r="D25" s="268"/>
      <c r="E25" s="268"/>
      <c r="F25" s="268"/>
      <c r="G25" s="268"/>
      <c r="H25" s="269"/>
      <c r="I25" s="1"/>
      <c r="J25" s="2"/>
    </row>
    <row r="26" spans="2:10" x14ac:dyDescent="0.25">
      <c r="B26" s="84"/>
      <c r="C26" s="82"/>
      <c r="D26" s="82"/>
      <c r="H26" s="2"/>
      <c r="I26" s="1"/>
      <c r="J26" s="2"/>
    </row>
    <row r="27" spans="2:10" x14ac:dyDescent="0.25">
      <c r="B27" s="1" t="s">
        <v>232</v>
      </c>
      <c r="E27" t="str">
        <f>PRORRATEO!D13</f>
        <v>MASIMO 
HUGO</v>
      </c>
      <c r="H27" s="2"/>
      <c r="I27" s="270" t="s">
        <v>237</v>
      </c>
      <c r="J27" s="271"/>
    </row>
    <row r="28" spans="2:10" x14ac:dyDescent="0.25">
      <c r="B28" s="1" t="s">
        <v>231</v>
      </c>
      <c r="C28" s="82">
        <f>PRORRATEO!C13</f>
        <v>8</v>
      </c>
      <c r="D28" s="83" t="s">
        <v>235</v>
      </c>
      <c r="E28" s="82" t="str">
        <f>PRORRATEO!B13</f>
        <v>1-D</v>
      </c>
      <c r="H28" s="2"/>
      <c r="I28" s="1"/>
      <c r="J28" s="2"/>
    </row>
    <row r="29" spans="2:10" x14ac:dyDescent="0.25">
      <c r="B29" s="1"/>
      <c r="H29" s="2"/>
      <c r="I29" s="270"/>
      <c r="J29" s="271"/>
    </row>
    <row r="30" spans="2:10" x14ac:dyDescent="0.25">
      <c r="B30" s="1"/>
      <c r="H30" s="2"/>
      <c r="I30" s="1"/>
      <c r="J30" s="2"/>
    </row>
    <row r="31" spans="2:10" x14ac:dyDescent="0.25">
      <c r="B31" s="1"/>
      <c r="H31" s="2"/>
      <c r="I31" s="1"/>
      <c r="J31" s="2"/>
    </row>
    <row r="32" spans="2:10" ht="15.75" thickBot="1" x14ac:dyDescent="0.3">
      <c r="B32" s="1"/>
      <c r="H32" s="2"/>
      <c r="I32" s="89"/>
      <c r="J32" s="92"/>
    </row>
    <row r="33" spans="2:10" ht="15.75" thickBot="1" x14ac:dyDescent="0.3">
      <c r="B33" s="260" t="s">
        <v>234</v>
      </c>
      <c r="C33" s="261"/>
      <c r="D33" s="261"/>
      <c r="E33" s="261"/>
      <c r="F33" s="261"/>
      <c r="G33" s="262">
        <f>PRORRATEO!O13</f>
        <v>104129.08</v>
      </c>
      <c r="H33" s="263"/>
      <c r="I33" s="81"/>
      <c r="J33" s="91"/>
    </row>
    <row r="35" spans="2:10" hidden="1" x14ac:dyDescent="0.25"/>
    <row r="36" spans="2:10" ht="15.75" thickBot="1" x14ac:dyDescent="0.3"/>
    <row r="37" spans="2:10" ht="15.75" thickBot="1" x14ac:dyDescent="0.3">
      <c r="B37" s="272" t="s">
        <v>233</v>
      </c>
      <c r="C37" s="273"/>
      <c r="D37" s="273"/>
      <c r="E37" s="273"/>
      <c r="F37" s="273"/>
      <c r="G37" s="273"/>
      <c r="H37" s="274"/>
      <c r="I37" s="79"/>
      <c r="J37" s="80"/>
    </row>
    <row r="38" spans="2:10" ht="15.75" thickBot="1" x14ac:dyDescent="0.3">
      <c r="B38" s="264" t="s">
        <v>134</v>
      </c>
      <c r="C38" s="265"/>
      <c r="D38" s="265"/>
      <c r="E38" s="265"/>
      <c r="F38" s="265"/>
      <c r="G38" s="265"/>
      <c r="H38" s="266"/>
      <c r="I38" s="1"/>
      <c r="J38" s="2"/>
    </row>
    <row r="39" spans="2:10" x14ac:dyDescent="0.25">
      <c r="B39" s="79" t="s">
        <v>240</v>
      </c>
      <c r="C39" s="90"/>
      <c r="D39" s="90"/>
      <c r="E39" s="90"/>
      <c r="G39" t="s">
        <v>47</v>
      </c>
      <c r="H39" s="2"/>
      <c r="I39" s="1"/>
      <c r="J39" s="2"/>
    </row>
    <row r="40" spans="2:10" x14ac:dyDescent="0.25">
      <c r="B40" s="84" t="s">
        <v>238</v>
      </c>
      <c r="C40" s="82"/>
      <c r="D40" s="82"/>
      <c r="H40" s="2"/>
      <c r="I40" s="1"/>
      <c r="J40" s="2"/>
    </row>
    <row r="41" spans="2:10" x14ac:dyDescent="0.25">
      <c r="B41" s="85"/>
      <c r="C41" s="86"/>
      <c r="D41" s="86"/>
      <c r="E41" s="87"/>
      <c r="F41" s="87"/>
      <c r="G41" s="87"/>
      <c r="H41" s="88"/>
      <c r="I41" s="1"/>
      <c r="J41" s="2"/>
    </row>
    <row r="42" spans="2:10" x14ac:dyDescent="0.25">
      <c r="B42" s="267" t="s">
        <v>236</v>
      </c>
      <c r="C42" s="268"/>
      <c r="D42" s="268"/>
      <c r="E42" s="268"/>
      <c r="F42" s="268"/>
      <c r="G42" s="268"/>
      <c r="H42" s="269"/>
      <c r="I42" s="1"/>
      <c r="J42" s="2"/>
    </row>
    <row r="43" spans="2:10" x14ac:dyDescent="0.25">
      <c r="B43" s="84"/>
      <c r="C43" s="82"/>
      <c r="D43" s="82"/>
      <c r="H43" s="2"/>
      <c r="I43" s="1"/>
      <c r="J43" s="2"/>
    </row>
    <row r="44" spans="2:10" x14ac:dyDescent="0.25">
      <c r="B44" s="1" t="s">
        <v>232</v>
      </c>
      <c r="E44" t="str">
        <f>PRORRATEO!D14</f>
        <v>BARONE 
GERARDO</v>
      </c>
      <c r="H44" s="2"/>
      <c r="I44" s="270" t="s">
        <v>237</v>
      </c>
      <c r="J44" s="271"/>
    </row>
    <row r="45" spans="2:10" x14ac:dyDescent="0.25">
      <c r="B45" s="1" t="s">
        <v>231</v>
      </c>
      <c r="C45" s="82">
        <f>PRORRATEO!C14</f>
        <v>9</v>
      </c>
      <c r="D45" s="83" t="s">
        <v>235</v>
      </c>
      <c r="E45" s="82" t="str">
        <f>PRORRATEO!B14</f>
        <v>1-E</v>
      </c>
      <c r="H45" s="2"/>
      <c r="I45" s="1"/>
      <c r="J45" s="2"/>
    </row>
    <row r="46" spans="2:10" x14ac:dyDescent="0.25">
      <c r="B46" s="1"/>
      <c r="H46" s="2"/>
      <c r="I46" s="270"/>
      <c r="J46" s="271"/>
    </row>
    <row r="47" spans="2:10" x14ac:dyDescent="0.25">
      <c r="B47" s="1"/>
      <c r="H47" s="2"/>
      <c r="I47" s="1"/>
      <c r="J47" s="2"/>
    </row>
    <row r="48" spans="2:10" x14ac:dyDescent="0.25">
      <c r="B48" s="1"/>
      <c r="H48" s="2"/>
      <c r="I48" s="1"/>
      <c r="J48" s="2"/>
    </row>
    <row r="49" spans="2:10" ht="15.75" thickBot="1" x14ac:dyDescent="0.3">
      <c r="B49" s="1"/>
      <c r="H49" s="2"/>
      <c r="I49" s="89"/>
      <c r="J49" s="92"/>
    </row>
    <row r="50" spans="2:10" ht="15.75" thickBot="1" x14ac:dyDescent="0.3">
      <c r="B50" s="260" t="s">
        <v>234</v>
      </c>
      <c r="C50" s="261"/>
      <c r="D50" s="261"/>
      <c r="E50" s="261"/>
      <c r="F50" s="261"/>
      <c r="G50" s="262">
        <f>PRORRATEO!O14</f>
        <v>107350.09</v>
      </c>
      <c r="H50" s="263"/>
      <c r="I50" s="81"/>
      <c r="J50" s="91"/>
    </row>
    <row r="53" spans="2:10" ht="15.75" thickBot="1" x14ac:dyDescent="0.3"/>
    <row r="54" spans="2:10" ht="15.75" thickBot="1" x14ac:dyDescent="0.3">
      <c r="B54" s="272" t="s">
        <v>233</v>
      </c>
      <c r="C54" s="273"/>
      <c r="D54" s="273"/>
      <c r="E54" s="273"/>
      <c r="F54" s="273"/>
      <c r="G54" s="273"/>
      <c r="H54" s="274"/>
      <c r="I54" s="79"/>
      <c r="J54" s="80"/>
    </row>
    <row r="55" spans="2:10" ht="15.75" thickBot="1" x14ac:dyDescent="0.3">
      <c r="B55" s="264" t="s">
        <v>134</v>
      </c>
      <c r="C55" s="265"/>
      <c r="D55" s="265"/>
      <c r="E55" s="265"/>
      <c r="F55" s="265"/>
      <c r="G55" s="265"/>
      <c r="H55" s="266"/>
      <c r="I55" s="1"/>
      <c r="J55" s="2"/>
    </row>
    <row r="56" spans="2:10" x14ac:dyDescent="0.25">
      <c r="B56" s="79" t="s">
        <v>240</v>
      </c>
      <c r="C56" s="90"/>
      <c r="D56" s="90"/>
      <c r="E56" s="90"/>
      <c r="G56" t="s">
        <v>47</v>
      </c>
      <c r="H56" s="2"/>
      <c r="I56" s="1"/>
      <c r="J56" s="2"/>
    </row>
    <row r="57" spans="2:10" x14ac:dyDescent="0.25">
      <c r="B57" s="84" t="s">
        <v>238</v>
      </c>
      <c r="C57" s="82"/>
      <c r="D57" s="82"/>
      <c r="H57" s="2"/>
      <c r="I57" s="1"/>
      <c r="J57" s="2"/>
    </row>
    <row r="58" spans="2:10" x14ac:dyDescent="0.25">
      <c r="B58" s="85"/>
      <c r="C58" s="86"/>
      <c r="D58" s="86"/>
      <c r="E58" s="87"/>
      <c r="F58" s="87"/>
      <c r="G58" s="87"/>
      <c r="H58" s="88"/>
      <c r="I58" s="1"/>
      <c r="J58" s="2"/>
    </row>
    <row r="59" spans="2:10" x14ac:dyDescent="0.25">
      <c r="B59" s="267" t="s">
        <v>236</v>
      </c>
      <c r="C59" s="268"/>
      <c r="D59" s="268"/>
      <c r="E59" s="268"/>
      <c r="F59" s="268"/>
      <c r="G59" s="268"/>
      <c r="H59" s="269"/>
      <c r="I59" s="1"/>
      <c r="J59" s="2"/>
    </row>
    <row r="60" spans="2:10" x14ac:dyDescent="0.25">
      <c r="B60" s="84"/>
      <c r="C60" s="82"/>
      <c r="D60" s="82"/>
      <c r="H60" s="2"/>
      <c r="I60" s="1"/>
      <c r="J60" s="2"/>
    </row>
    <row r="61" spans="2:10" x14ac:dyDescent="0.25">
      <c r="B61" s="1" t="s">
        <v>232</v>
      </c>
      <c r="E61" t="str">
        <f>PRORRATEO!D15</f>
        <v>MONGIELLO 
CARLOS (2)</v>
      </c>
      <c r="H61" s="2"/>
      <c r="I61" s="270" t="s">
        <v>237</v>
      </c>
      <c r="J61" s="271"/>
    </row>
    <row r="62" spans="2:10" x14ac:dyDescent="0.25">
      <c r="B62" s="1" t="s">
        <v>231</v>
      </c>
      <c r="C62" s="82">
        <f>PRORRATEO!C15</f>
        <v>10</v>
      </c>
      <c r="D62" s="83" t="s">
        <v>235</v>
      </c>
      <c r="E62" s="82" t="str">
        <f>PRORRATEO!B15</f>
        <v>2-A</v>
      </c>
      <c r="H62" s="2"/>
      <c r="I62" s="1"/>
      <c r="J62" s="2"/>
    </row>
    <row r="63" spans="2:10" x14ac:dyDescent="0.25">
      <c r="B63" s="1"/>
      <c r="H63" s="2"/>
      <c r="I63" s="270"/>
      <c r="J63" s="271"/>
    </row>
    <row r="64" spans="2:10" x14ac:dyDescent="0.25">
      <c r="B64" s="1"/>
      <c r="H64" s="2"/>
      <c r="I64" s="1"/>
      <c r="J64" s="2"/>
    </row>
    <row r="65" spans="2:10" x14ac:dyDescent="0.25">
      <c r="B65" s="1"/>
      <c r="H65" s="2"/>
      <c r="I65" s="1"/>
      <c r="J65" s="2"/>
    </row>
    <row r="66" spans="2:10" ht="15.75" thickBot="1" x14ac:dyDescent="0.3">
      <c r="B66" s="1"/>
      <c r="H66" s="2"/>
      <c r="I66" s="89"/>
      <c r="J66" s="92"/>
    </row>
    <row r="67" spans="2:10" ht="15.75" thickBot="1" x14ac:dyDescent="0.3">
      <c r="B67" s="260" t="s">
        <v>234</v>
      </c>
      <c r="C67" s="261"/>
      <c r="D67" s="261"/>
      <c r="E67" s="261"/>
      <c r="F67" s="261"/>
      <c r="G67" s="262">
        <f>PRORRATEO!O15</f>
        <v>153379.1</v>
      </c>
      <c r="H67" s="263"/>
      <c r="I67" s="81"/>
      <c r="J67" s="91"/>
    </row>
    <row r="71" spans="2:10" ht="15.75" thickBot="1" x14ac:dyDescent="0.3"/>
    <row r="72" spans="2:10" ht="15.75" thickBot="1" x14ac:dyDescent="0.3">
      <c r="B72" s="272" t="s">
        <v>233</v>
      </c>
      <c r="C72" s="273"/>
      <c r="D72" s="273"/>
      <c r="E72" s="273"/>
      <c r="F72" s="273"/>
      <c r="G72" s="273"/>
      <c r="H72" s="274"/>
      <c r="I72" s="79"/>
      <c r="J72" s="80"/>
    </row>
    <row r="73" spans="2:10" ht="15.75" thickBot="1" x14ac:dyDescent="0.3">
      <c r="B73" s="264" t="s">
        <v>134</v>
      </c>
      <c r="C73" s="265"/>
      <c r="D73" s="265"/>
      <c r="E73" s="265"/>
      <c r="F73" s="265"/>
      <c r="G73" s="265"/>
      <c r="H73" s="266"/>
      <c r="I73" s="1"/>
      <c r="J73" s="2"/>
    </row>
    <row r="74" spans="2:10" x14ac:dyDescent="0.25">
      <c r="B74" s="79" t="s">
        <v>240</v>
      </c>
      <c r="C74" s="90"/>
      <c r="D74" s="90"/>
      <c r="E74" s="90"/>
      <c r="G74" t="s">
        <v>47</v>
      </c>
      <c r="H74" s="2"/>
      <c r="I74" s="1"/>
      <c r="J74" s="2"/>
    </row>
    <row r="75" spans="2:10" x14ac:dyDescent="0.25">
      <c r="B75" s="84" t="s">
        <v>238</v>
      </c>
      <c r="C75" s="82"/>
      <c r="D75" s="82"/>
      <c r="H75" s="2"/>
      <c r="I75" s="1"/>
      <c r="J75" s="2"/>
    </row>
    <row r="76" spans="2:10" x14ac:dyDescent="0.25">
      <c r="B76" s="85"/>
      <c r="C76" s="86"/>
      <c r="D76" s="86"/>
      <c r="E76" s="87"/>
      <c r="F76" s="87"/>
      <c r="G76" s="87"/>
      <c r="H76" s="88"/>
      <c r="I76" s="1"/>
      <c r="J76" s="2"/>
    </row>
    <row r="77" spans="2:10" x14ac:dyDescent="0.25">
      <c r="B77" s="267" t="s">
        <v>236</v>
      </c>
      <c r="C77" s="268"/>
      <c r="D77" s="268"/>
      <c r="E77" s="268"/>
      <c r="F77" s="268"/>
      <c r="G77" s="268"/>
      <c r="H77" s="269"/>
      <c r="I77" s="1"/>
      <c r="J77" s="2"/>
    </row>
    <row r="78" spans="2:10" x14ac:dyDescent="0.25">
      <c r="B78" s="84"/>
      <c r="C78" s="82"/>
      <c r="D78" s="82"/>
      <c r="H78" s="2"/>
      <c r="I78" s="1"/>
      <c r="J78" s="2"/>
    </row>
    <row r="79" spans="2:10" x14ac:dyDescent="0.25">
      <c r="B79" s="1" t="s">
        <v>232</v>
      </c>
      <c r="E79" t="str">
        <f>PRORRATEO!D16</f>
        <v>COSTA 
MONICA</v>
      </c>
      <c r="H79" s="2"/>
      <c r="I79" s="270" t="s">
        <v>237</v>
      </c>
      <c r="J79" s="271"/>
    </row>
    <row r="80" spans="2:10" x14ac:dyDescent="0.25">
      <c r="B80" s="1" t="s">
        <v>231</v>
      </c>
      <c r="C80" s="82">
        <f>PRORRATEO!C16</f>
        <v>11</v>
      </c>
      <c r="D80" s="83" t="s">
        <v>235</v>
      </c>
      <c r="E80" s="82" t="str">
        <f>PRORRATEO!B16</f>
        <v>2-B</v>
      </c>
      <c r="H80" s="2"/>
      <c r="I80" s="1"/>
      <c r="J80" s="2"/>
    </row>
    <row r="81" spans="2:10" x14ac:dyDescent="0.25">
      <c r="B81" s="1"/>
      <c r="H81" s="2"/>
      <c r="I81" s="270"/>
      <c r="J81" s="271"/>
    </row>
    <row r="82" spans="2:10" x14ac:dyDescent="0.25">
      <c r="B82" s="1"/>
      <c r="H82" s="2"/>
      <c r="I82" s="1"/>
      <c r="J82" s="2"/>
    </row>
    <row r="83" spans="2:10" x14ac:dyDescent="0.25">
      <c r="B83" s="1"/>
      <c r="H83" s="2"/>
      <c r="I83" s="1"/>
      <c r="J83" s="2"/>
    </row>
    <row r="84" spans="2:10" ht="15.75" thickBot="1" x14ac:dyDescent="0.3">
      <c r="B84" s="1"/>
      <c r="H84" s="2"/>
      <c r="I84" s="89"/>
      <c r="J84" s="92"/>
    </row>
    <row r="85" spans="2:10" ht="15.75" thickBot="1" x14ac:dyDescent="0.3">
      <c r="B85" s="260" t="s">
        <v>234</v>
      </c>
      <c r="C85" s="261"/>
      <c r="D85" s="261"/>
      <c r="E85" s="261"/>
      <c r="F85" s="261"/>
      <c r="G85" s="262">
        <f>PRORRATEO!O16</f>
        <v>157576.10999999999</v>
      </c>
      <c r="H85" s="263"/>
      <c r="I85" s="81"/>
      <c r="J85" s="91"/>
    </row>
    <row r="89" spans="2:10" ht="183" customHeight="1" thickBot="1" x14ac:dyDescent="0.3"/>
    <row r="90" spans="2:10" ht="15.75" thickBot="1" x14ac:dyDescent="0.3">
      <c r="B90" s="272" t="s">
        <v>233</v>
      </c>
      <c r="C90" s="273"/>
      <c r="D90" s="273"/>
      <c r="E90" s="273"/>
      <c r="F90" s="273"/>
      <c r="G90" s="273"/>
      <c r="H90" s="274"/>
      <c r="I90" s="79"/>
      <c r="J90" s="80"/>
    </row>
    <row r="91" spans="2:10" ht="15.75" thickBot="1" x14ac:dyDescent="0.3">
      <c r="B91" s="264" t="s">
        <v>134</v>
      </c>
      <c r="C91" s="265"/>
      <c r="D91" s="265"/>
      <c r="E91" s="265"/>
      <c r="F91" s="265"/>
      <c r="G91" s="265"/>
      <c r="H91" s="266"/>
      <c r="I91" s="1"/>
      <c r="J91" s="2"/>
    </row>
    <row r="92" spans="2:10" x14ac:dyDescent="0.25">
      <c r="B92" s="79" t="s">
        <v>240</v>
      </c>
      <c r="C92" s="90"/>
      <c r="D92" s="90"/>
      <c r="E92" s="90"/>
      <c r="G92" t="s">
        <v>47</v>
      </c>
      <c r="H92" s="2"/>
      <c r="I92" s="1"/>
      <c r="J92" s="2"/>
    </row>
    <row r="93" spans="2:10" x14ac:dyDescent="0.25">
      <c r="B93" s="84" t="s">
        <v>238</v>
      </c>
      <c r="C93" s="82"/>
      <c r="D93" s="82"/>
      <c r="H93" s="2"/>
      <c r="I93" s="1"/>
      <c r="J93" s="2"/>
    </row>
    <row r="94" spans="2:10" x14ac:dyDescent="0.25">
      <c r="B94" s="85"/>
      <c r="C94" s="86"/>
      <c r="D94" s="86"/>
      <c r="E94" s="87"/>
      <c r="F94" s="87"/>
      <c r="G94" s="87"/>
      <c r="H94" s="88"/>
      <c r="I94" s="1"/>
      <c r="J94" s="2"/>
    </row>
    <row r="95" spans="2:10" x14ac:dyDescent="0.25">
      <c r="B95" s="267" t="s">
        <v>236</v>
      </c>
      <c r="C95" s="268"/>
      <c r="D95" s="268"/>
      <c r="E95" s="268"/>
      <c r="F95" s="268"/>
      <c r="G95" s="268"/>
      <c r="H95" s="269"/>
      <c r="I95" s="1"/>
      <c r="J95" s="2"/>
    </row>
    <row r="96" spans="2:10" x14ac:dyDescent="0.25">
      <c r="B96" s="84"/>
      <c r="C96" s="82"/>
      <c r="D96" s="82"/>
      <c r="H96" s="2"/>
      <c r="I96" s="1"/>
      <c r="J96" s="2"/>
    </row>
    <row r="97" spans="2:10" x14ac:dyDescent="0.25">
      <c r="B97" s="1" t="s">
        <v>232</v>
      </c>
      <c r="E97" t="str">
        <f>PRORRATEO!D17</f>
        <v>LOPEZ 
GUILLERMON</v>
      </c>
      <c r="H97" s="2"/>
      <c r="I97" s="270" t="s">
        <v>237</v>
      </c>
      <c r="J97" s="271"/>
    </row>
    <row r="98" spans="2:10" x14ac:dyDescent="0.25">
      <c r="B98" s="1" t="s">
        <v>231</v>
      </c>
      <c r="C98" s="82">
        <f>PRORRATEO!C17</f>
        <v>12</v>
      </c>
      <c r="D98" s="83" t="s">
        <v>235</v>
      </c>
      <c r="E98" s="82" t="str">
        <f>PRORRATEO!B17</f>
        <v>2-C</v>
      </c>
      <c r="H98" s="2"/>
      <c r="I98" s="1"/>
      <c r="J98" s="2"/>
    </row>
    <row r="99" spans="2:10" x14ac:dyDescent="0.25">
      <c r="B99" s="1"/>
      <c r="H99" s="2"/>
      <c r="I99" s="270"/>
      <c r="J99" s="271"/>
    </row>
    <row r="100" spans="2:10" x14ac:dyDescent="0.25">
      <c r="B100" s="1"/>
      <c r="H100" s="2"/>
      <c r="I100" s="1"/>
      <c r="J100" s="2"/>
    </row>
    <row r="101" spans="2:10" x14ac:dyDescent="0.25">
      <c r="B101" s="1"/>
      <c r="H101" s="2"/>
      <c r="I101" s="1"/>
      <c r="J101" s="2"/>
    </row>
    <row r="102" spans="2:10" ht="15.75" thickBot="1" x14ac:dyDescent="0.3">
      <c r="B102" s="1"/>
      <c r="H102" s="2"/>
      <c r="I102" s="89"/>
      <c r="J102" s="92"/>
    </row>
    <row r="103" spans="2:10" ht="15.75" thickBot="1" x14ac:dyDescent="0.3">
      <c r="B103" s="260" t="s">
        <v>234</v>
      </c>
      <c r="C103" s="261"/>
      <c r="D103" s="261"/>
      <c r="E103" s="261"/>
      <c r="F103" s="261"/>
      <c r="G103" s="262">
        <f>PRORRATEO!O17</f>
        <v>104700.12</v>
      </c>
      <c r="H103" s="263"/>
      <c r="I103" s="81"/>
      <c r="J103" s="91"/>
    </row>
  </sheetData>
  <mergeCells count="42">
    <mergeCell ref="I10:J10"/>
    <mergeCell ref="I12:J12"/>
    <mergeCell ref="B33:F33"/>
    <mergeCell ref="G33:H33"/>
    <mergeCell ref="B3:H3"/>
    <mergeCell ref="B4:H4"/>
    <mergeCell ref="B8:H8"/>
    <mergeCell ref="B67:F67"/>
    <mergeCell ref="G67:H67"/>
    <mergeCell ref="B16:F16"/>
    <mergeCell ref="G16:H16"/>
    <mergeCell ref="I44:J44"/>
    <mergeCell ref="I46:J46"/>
    <mergeCell ref="B50:F50"/>
    <mergeCell ref="G50:H50"/>
    <mergeCell ref="B20:H20"/>
    <mergeCell ref="B21:H21"/>
    <mergeCell ref="B25:H25"/>
    <mergeCell ref="B37:H37"/>
    <mergeCell ref="B38:H38"/>
    <mergeCell ref="B42:H42"/>
    <mergeCell ref="I27:J27"/>
    <mergeCell ref="I29:J29"/>
    <mergeCell ref="B54:H54"/>
    <mergeCell ref="B55:H55"/>
    <mergeCell ref="B59:H59"/>
    <mergeCell ref="I61:J61"/>
    <mergeCell ref="I63:J63"/>
    <mergeCell ref="I97:J97"/>
    <mergeCell ref="I99:J99"/>
    <mergeCell ref="B103:F103"/>
    <mergeCell ref="G103:H103"/>
    <mergeCell ref="B72:H72"/>
    <mergeCell ref="B73:H73"/>
    <mergeCell ref="B77:H77"/>
    <mergeCell ref="B90:H90"/>
    <mergeCell ref="B91:H91"/>
    <mergeCell ref="B95:H95"/>
    <mergeCell ref="I81:J81"/>
    <mergeCell ref="B85:F85"/>
    <mergeCell ref="G85:H85"/>
    <mergeCell ref="I79:J79"/>
  </mergeCells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106"/>
  <sheetViews>
    <sheetView topLeftCell="A89" workbookViewId="0">
      <selection activeCell="M7" sqref="M7"/>
    </sheetView>
  </sheetViews>
  <sheetFormatPr baseColWidth="10" defaultRowHeight="15" x14ac:dyDescent="0.25"/>
  <cols>
    <col min="1" max="1" width="6.7109375" customWidth="1"/>
    <col min="4" max="4" width="7.140625" customWidth="1"/>
    <col min="5" max="5" width="5.140625" customWidth="1"/>
    <col min="6" max="6" width="6.5703125" customWidth="1"/>
    <col min="7" max="7" width="7.140625" customWidth="1"/>
    <col min="8" max="8" width="8.7109375" customWidth="1"/>
  </cols>
  <sheetData>
    <row r="2" spans="2:10" ht="15.75" thickBot="1" x14ac:dyDescent="0.3"/>
    <row r="3" spans="2:10" ht="15.75" thickBot="1" x14ac:dyDescent="0.3">
      <c r="B3" s="272" t="s">
        <v>233</v>
      </c>
      <c r="C3" s="273"/>
      <c r="D3" s="273"/>
      <c r="E3" s="273"/>
      <c r="F3" s="273"/>
      <c r="G3" s="273"/>
      <c r="H3" s="274"/>
      <c r="I3" s="79"/>
      <c r="J3" s="80"/>
    </row>
    <row r="4" spans="2:10" ht="15.75" thickBot="1" x14ac:dyDescent="0.3">
      <c r="B4" s="264" t="s">
        <v>134</v>
      </c>
      <c r="C4" s="265"/>
      <c r="D4" s="265"/>
      <c r="E4" s="265"/>
      <c r="F4" s="265"/>
      <c r="G4" s="265"/>
      <c r="H4" s="266"/>
      <c r="I4" s="1"/>
      <c r="J4" s="2"/>
    </row>
    <row r="5" spans="2:10" x14ac:dyDescent="0.25">
      <c r="B5" s="79" t="s">
        <v>240</v>
      </c>
      <c r="C5" s="90"/>
      <c r="D5" s="90"/>
      <c r="E5" s="90"/>
      <c r="G5" t="s">
        <v>47</v>
      </c>
      <c r="H5" s="2"/>
      <c r="I5" s="1"/>
      <c r="J5" s="2"/>
    </row>
    <row r="6" spans="2:10" x14ac:dyDescent="0.25">
      <c r="B6" s="84" t="s">
        <v>238</v>
      </c>
      <c r="C6" s="82"/>
      <c r="D6" s="82"/>
      <c r="H6" s="2"/>
      <c r="I6" s="1"/>
      <c r="J6" s="2"/>
    </row>
    <row r="7" spans="2:10" x14ac:dyDescent="0.25">
      <c r="B7" s="85"/>
      <c r="C7" s="86"/>
      <c r="D7" s="86"/>
      <c r="E7" s="87"/>
      <c r="F7" s="87"/>
      <c r="G7" s="87"/>
      <c r="H7" s="88"/>
      <c r="I7" s="1"/>
      <c r="J7" s="2"/>
    </row>
    <row r="8" spans="2:10" x14ac:dyDescent="0.25">
      <c r="B8" s="267" t="s">
        <v>236</v>
      </c>
      <c r="C8" s="268"/>
      <c r="D8" s="268"/>
      <c r="E8" s="268"/>
      <c r="F8" s="268"/>
      <c r="G8" s="268"/>
      <c r="H8" s="269"/>
      <c r="I8" s="1"/>
      <c r="J8" s="2"/>
    </row>
    <row r="9" spans="2:10" x14ac:dyDescent="0.25">
      <c r="B9" s="84"/>
      <c r="C9" s="82"/>
      <c r="D9" s="82"/>
      <c r="H9" s="2"/>
      <c r="I9" s="1"/>
      <c r="J9" s="2"/>
    </row>
    <row r="10" spans="2:10" x14ac:dyDescent="0.25">
      <c r="B10" s="1" t="s">
        <v>232</v>
      </c>
      <c r="E10" t="str">
        <f>PRORRATEO!D18</f>
        <v>MARTINEZ 
ADELINA</v>
      </c>
      <c r="H10" s="2"/>
      <c r="I10" s="270" t="s">
        <v>237</v>
      </c>
      <c r="J10" s="271"/>
    </row>
    <row r="11" spans="2:10" x14ac:dyDescent="0.25">
      <c r="B11" s="1" t="s">
        <v>231</v>
      </c>
      <c r="C11" s="82">
        <f>PRORRATEO!C18</f>
        <v>13</v>
      </c>
      <c r="D11" s="83" t="s">
        <v>235</v>
      </c>
      <c r="E11" s="82" t="str">
        <f>PRORRATEO!B18</f>
        <v>2-D</v>
      </c>
      <c r="H11" s="2"/>
      <c r="I11" s="1"/>
      <c r="J11" s="2"/>
    </row>
    <row r="12" spans="2:10" x14ac:dyDescent="0.25">
      <c r="B12" s="1"/>
      <c r="H12" s="2"/>
      <c r="I12" s="270"/>
      <c r="J12" s="271"/>
    </row>
    <row r="13" spans="2:10" x14ac:dyDescent="0.25">
      <c r="B13" s="1"/>
      <c r="H13" s="2"/>
      <c r="I13" s="1"/>
      <c r="J13" s="2"/>
    </row>
    <row r="14" spans="2:10" x14ac:dyDescent="0.25">
      <c r="B14" s="1"/>
      <c r="H14" s="2"/>
      <c r="I14" s="1"/>
      <c r="J14" s="2"/>
    </row>
    <row r="15" spans="2:10" ht="15.75" thickBot="1" x14ac:dyDescent="0.3">
      <c r="B15" s="1"/>
      <c r="H15" s="2"/>
      <c r="I15" s="89"/>
      <c r="J15" s="92"/>
    </row>
    <row r="16" spans="2:10" ht="15.75" thickBot="1" x14ac:dyDescent="0.3">
      <c r="B16" s="260" t="s">
        <v>234</v>
      </c>
      <c r="C16" s="261"/>
      <c r="D16" s="261"/>
      <c r="E16" s="261"/>
      <c r="F16" s="261"/>
      <c r="G16" s="262">
        <f>PRORRATEO!O18</f>
        <v>207123.13</v>
      </c>
      <c r="H16" s="263"/>
      <c r="I16" s="81"/>
      <c r="J16" s="91"/>
    </row>
    <row r="20" spans="2:10" ht="15.75" thickBot="1" x14ac:dyDescent="0.3"/>
    <row r="21" spans="2:10" ht="15.75" thickBot="1" x14ac:dyDescent="0.3">
      <c r="B21" s="272" t="s">
        <v>233</v>
      </c>
      <c r="C21" s="273"/>
      <c r="D21" s="273"/>
      <c r="E21" s="273"/>
      <c r="F21" s="273"/>
      <c r="G21" s="273"/>
      <c r="H21" s="274"/>
      <c r="I21" s="79"/>
      <c r="J21" s="80"/>
    </row>
    <row r="22" spans="2:10" ht="15.75" thickBot="1" x14ac:dyDescent="0.3">
      <c r="B22" s="264" t="s">
        <v>134</v>
      </c>
      <c r="C22" s="265"/>
      <c r="D22" s="265"/>
      <c r="E22" s="265"/>
      <c r="F22" s="265"/>
      <c r="G22" s="265"/>
      <c r="H22" s="266"/>
      <c r="I22" s="1"/>
      <c r="J22" s="2"/>
    </row>
    <row r="23" spans="2:10" x14ac:dyDescent="0.25">
      <c r="B23" s="79" t="s">
        <v>240</v>
      </c>
      <c r="C23" s="90"/>
      <c r="D23" s="90"/>
      <c r="E23" s="90"/>
      <c r="G23" t="s">
        <v>47</v>
      </c>
      <c r="H23" s="2"/>
      <c r="I23" s="1"/>
      <c r="J23" s="2"/>
    </row>
    <row r="24" spans="2:10" x14ac:dyDescent="0.25">
      <c r="B24" s="84" t="s">
        <v>238</v>
      </c>
      <c r="C24" s="82"/>
      <c r="D24" s="82"/>
      <c r="H24" s="2"/>
      <c r="I24" s="1"/>
      <c r="J24" s="2"/>
    </row>
    <row r="25" spans="2:10" x14ac:dyDescent="0.25">
      <c r="B25" s="85"/>
      <c r="C25" s="86"/>
      <c r="D25" s="86"/>
      <c r="E25" s="87"/>
      <c r="F25" s="87"/>
      <c r="G25" s="87"/>
      <c r="H25" s="88"/>
      <c r="I25" s="1"/>
      <c r="J25" s="2"/>
    </row>
    <row r="26" spans="2:10" x14ac:dyDescent="0.25">
      <c r="B26" s="267" t="s">
        <v>236</v>
      </c>
      <c r="C26" s="268"/>
      <c r="D26" s="268"/>
      <c r="E26" s="268"/>
      <c r="F26" s="268"/>
      <c r="G26" s="268"/>
      <c r="H26" s="269"/>
      <c r="I26" s="1"/>
      <c r="J26" s="2"/>
    </row>
    <row r="27" spans="2:10" x14ac:dyDescent="0.25">
      <c r="B27" s="84"/>
      <c r="C27" s="82"/>
      <c r="D27" s="82"/>
      <c r="H27" s="2"/>
      <c r="I27" s="1"/>
      <c r="J27" s="2"/>
    </row>
    <row r="28" spans="2:10" x14ac:dyDescent="0.25">
      <c r="B28" s="1" t="s">
        <v>232</v>
      </c>
      <c r="E28" t="str">
        <f>PRORRATEO!D19</f>
        <v>QUIROGA 
ALBA</v>
      </c>
      <c r="H28" s="2"/>
      <c r="I28" s="270" t="s">
        <v>237</v>
      </c>
      <c r="J28" s="271"/>
    </row>
    <row r="29" spans="2:10" x14ac:dyDescent="0.25">
      <c r="B29" s="1" t="s">
        <v>231</v>
      </c>
      <c r="C29" s="82">
        <f>PRORRATEO!C19</f>
        <v>14</v>
      </c>
      <c r="D29" s="83" t="s">
        <v>235</v>
      </c>
      <c r="E29" s="82" t="str">
        <f>PRORRATEO!B19</f>
        <v>2-E</v>
      </c>
      <c r="H29" s="2"/>
      <c r="I29" s="1"/>
      <c r="J29" s="2"/>
    </row>
    <row r="30" spans="2:10" x14ac:dyDescent="0.25">
      <c r="B30" s="1"/>
      <c r="H30" s="2"/>
      <c r="I30" s="270"/>
      <c r="J30" s="271"/>
    </row>
    <row r="31" spans="2:10" x14ac:dyDescent="0.25">
      <c r="B31" s="1"/>
      <c r="H31" s="2"/>
      <c r="I31" s="1"/>
      <c r="J31" s="2"/>
    </row>
    <row r="32" spans="2:10" x14ac:dyDescent="0.25">
      <c r="B32" s="1"/>
      <c r="H32" s="2"/>
      <c r="I32" s="1"/>
      <c r="J32" s="2"/>
    </row>
    <row r="33" spans="2:10" ht="15.75" thickBot="1" x14ac:dyDescent="0.3">
      <c r="B33" s="1"/>
      <c r="H33" s="2"/>
      <c r="I33" s="89"/>
      <c r="J33" s="92"/>
    </row>
    <row r="34" spans="2:10" ht="15.75" thickBot="1" x14ac:dyDescent="0.3">
      <c r="B34" s="260" t="s">
        <v>234</v>
      </c>
      <c r="C34" s="261"/>
      <c r="D34" s="261"/>
      <c r="E34" s="261"/>
      <c r="F34" s="261"/>
      <c r="G34" s="262">
        <f>PRORRATEO!O19</f>
        <v>106476.14</v>
      </c>
      <c r="H34" s="263"/>
      <c r="I34" s="81"/>
      <c r="J34" s="91"/>
    </row>
    <row r="35" spans="2:10" ht="6" customHeight="1" x14ac:dyDescent="0.25"/>
    <row r="36" spans="2:10" hidden="1" x14ac:dyDescent="0.25"/>
    <row r="37" spans="2:10" hidden="1" x14ac:dyDescent="0.25"/>
    <row r="38" spans="2:10" ht="15.75" thickBot="1" x14ac:dyDescent="0.3"/>
    <row r="39" spans="2:10" ht="15.75" thickBot="1" x14ac:dyDescent="0.3">
      <c r="B39" s="272" t="s">
        <v>233</v>
      </c>
      <c r="C39" s="273"/>
      <c r="D39" s="273"/>
      <c r="E39" s="273"/>
      <c r="F39" s="273"/>
      <c r="G39" s="273"/>
      <c r="H39" s="274"/>
      <c r="I39" s="79"/>
      <c r="J39" s="80"/>
    </row>
    <row r="40" spans="2:10" ht="15.75" thickBot="1" x14ac:dyDescent="0.3">
      <c r="B40" s="264" t="s">
        <v>134</v>
      </c>
      <c r="C40" s="265"/>
      <c r="D40" s="265"/>
      <c r="E40" s="265"/>
      <c r="F40" s="265"/>
      <c r="G40" s="265"/>
      <c r="H40" s="266"/>
      <c r="I40" s="1"/>
      <c r="J40" s="2"/>
    </row>
    <row r="41" spans="2:10" x14ac:dyDescent="0.25">
      <c r="B41" s="79" t="s">
        <v>240</v>
      </c>
      <c r="C41" s="90"/>
      <c r="D41" s="90"/>
      <c r="E41" s="90"/>
      <c r="G41" t="s">
        <v>47</v>
      </c>
      <c r="H41" s="2"/>
      <c r="I41" s="1"/>
      <c r="J41" s="2"/>
    </row>
    <row r="42" spans="2:10" x14ac:dyDescent="0.25">
      <c r="B42" s="84" t="s">
        <v>238</v>
      </c>
      <c r="C42" s="82"/>
      <c r="D42" s="82"/>
      <c r="H42" s="2"/>
      <c r="I42" s="1"/>
      <c r="J42" s="2"/>
    </row>
    <row r="43" spans="2:10" x14ac:dyDescent="0.25">
      <c r="B43" s="85"/>
      <c r="C43" s="86"/>
      <c r="D43" s="86"/>
      <c r="E43" s="87"/>
      <c r="F43" s="87"/>
      <c r="G43" s="87"/>
      <c r="H43" s="88"/>
      <c r="I43" s="1"/>
      <c r="J43" s="2"/>
    </row>
    <row r="44" spans="2:10" x14ac:dyDescent="0.25">
      <c r="B44" s="267" t="s">
        <v>236</v>
      </c>
      <c r="C44" s="268"/>
      <c r="D44" s="268"/>
      <c r="E44" s="268"/>
      <c r="F44" s="268"/>
      <c r="G44" s="268"/>
      <c r="H44" s="269"/>
      <c r="I44" s="1"/>
      <c r="J44" s="2"/>
    </row>
    <row r="45" spans="2:10" x14ac:dyDescent="0.25">
      <c r="B45" s="84"/>
      <c r="C45" s="82"/>
      <c r="D45" s="82"/>
      <c r="H45" s="2"/>
      <c r="I45" s="1"/>
      <c r="J45" s="2"/>
    </row>
    <row r="46" spans="2:10" x14ac:dyDescent="0.25">
      <c r="B46" s="1" t="s">
        <v>232</v>
      </c>
      <c r="E46" t="str">
        <f>PRORRATEO!D20</f>
        <v>MADAR 
MARIANA</v>
      </c>
      <c r="H46" s="2"/>
      <c r="I46" s="270" t="s">
        <v>237</v>
      </c>
      <c r="J46" s="271"/>
    </row>
    <row r="47" spans="2:10" x14ac:dyDescent="0.25">
      <c r="B47" s="1" t="s">
        <v>231</v>
      </c>
      <c r="C47" s="82">
        <f>PRORRATEO!C20</f>
        <v>15</v>
      </c>
      <c r="D47" s="83" t="s">
        <v>235</v>
      </c>
      <c r="E47" s="82" t="str">
        <f>PRORRATEO!B20</f>
        <v>3-A</v>
      </c>
      <c r="H47" s="2"/>
      <c r="I47" s="1"/>
      <c r="J47" s="2"/>
    </row>
    <row r="48" spans="2:10" x14ac:dyDescent="0.25">
      <c r="B48" s="1"/>
      <c r="H48" s="2"/>
      <c r="I48" s="270"/>
      <c r="J48" s="271"/>
    </row>
    <row r="49" spans="2:10" x14ac:dyDescent="0.25">
      <c r="B49" s="1"/>
      <c r="H49" s="2"/>
      <c r="I49" s="1"/>
      <c r="J49" s="2"/>
    </row>
    <row r="50" spans="2:10" x14ac:dyDescent="0.25">
      <c r="B50" s="1"/>
      <c r="H50" s="2"/>
      <c r="I50" s="1"/>
      <c r="J50" s="2"/>
    </row>
    <row r="51" spans="2:10" ht="15.75" thickBot="1" x14ac:dyDescent="0.3">
      <c r="B51" s="1"/>
      <c r="H51" s="2"/>
      <c r="I51" s="89"/>
      <c r="J51" s="92"/>
    </row>
    <row r="52" spans="2:10" ht="15.75" thickBot="1" x14ac:dyDescent="0.3">
      <c r="B52" s="260" t="s">
        <v>234</v>
      </c>
      <c r="C52" s="261"/>
      <c r="D52" s="261"/>
      <c r="E52" s="261"/>
      <c r="F52" s="261"/>
      <c r="G52" s="262">
        <f>PRORRATEO!O20</f>
        <v>158650.15</v>
      </c>
      <c r="H52" s="263"/>
      <c r="I52" s="81"/>
      <c r="J52" s="91"/>
    </row>
    <row r="56" spans="2:10" ht="15.75" thickBot="1" x14ac:dyDescent="0.3"/>
    <row r="57" spans="2:10" ht="15.75" thickBot="1" x14ac:dyDescent="0.3">
      <c r="B57" s="272" t="s">
        <v>233</v>
      </c>
      <c r="C57" s="273"/>
      <c r="D57" s="273"/>
      <c r="E57" s="273"/>
      <c r="F57" s="273"/>
      <c r="G57" s="273"/>
      <c r="H57" s="274"/>
      <c r="I57" s="79"/>
      <c r="J57" s="80"/>
    </row>
    <row r="58" spans="2:10" ht="15.75" thickBot="1" x14ac:dyDescent="0.3">
      <c r="B58" s="264" t="s">
        <v>134</v>
      </c>
      <c r="C58" s="265"/>
      <c r="D58" s="265"/>
      <c r="E58" s="265"/>
      <c r="F58" s="265"/>
      <c r="G58" s="265"/>
      <c r="H58" s="266"/>
      <c r="I58" s="1"/>
      <c r="J58" s="2"/>
    </row>
    <row r="59" spans="2:10" x14ac:dyDescent="0.25">
      <c r="B59" s="79" t="s">
        <v>240</v>
      </c>
      <c r="C59" s="90"/>
      <c r="D59" s="90"/>
      <c r="E59" s="90"/>
      <c r="G59" t="s">
        <v>47</v>
      </c>
      <c r="H59" s="2"/>
      <c r="I59" s="1"/>
      <c r="J59" s="2"/>
    </row>
    <row r="60" spans="2:10" x14ac:dyDescent="0.25">
      <c r="B60" s="84" t="s">
        <v>238</v>
      </c>
      <c r="C60" s="82"/>
      <c r="D60" s="82"/>
      <c r="H60" s="2"/>
      <c r="I60" s="1"/>
      <c r="J60" s="2"/>
    </row>
    <row r="61" spans="2:10" x14ac:dyDescent="0.25">
      <c r="B61" s="85"/>
      <c r="C61" s="86"/>
      <c r="D61" s="86"/>
      <c r="E61" s="87"/>
      <c r="F61" s="87"/>
      <c r="G61" s="87"/>
      <c r="H61" s="88"/>
      <c r="I61" s="1"/>
      <c r="J61" s="2"/>
    </row>
    <row r="62" spans="2:10" x14ac:dyDescent="0.25">
      <c r="B62" s="267" t="s">
        <v>236</v>
      </c>
      <c r="C62" s="268"/>
      <c r="D62" s="268"/>
      <c r="E62" s="268"/>
      <c r="F62" s="268"/>
      <c r="G62" s="268"/>
      <c r="H62" s="269"/>
      <c r="I62" s="1"/>
      <c r="J62" s="2"/>
    </row>
    <row r="63" spans="2:10" x14ac:dyDescent="0.25">
      <c r="B63" s="84"/>
      <c r="C63" s="82"/>
      <c r="D63" s="82"/>
      <c r="H63" s="2"/>
      <c r="I63" s="1"/>
      <c r="J63" s="2"/>
    </row>
    <row r="64" spans="2:10" x14ac:dyDescent="0.25">
      <c r="B64" s="1" t="s">
        <v>232</v>
      </c>
      <c r="E64" t="str">
        <f>PRORRATEO!D21</f>
        <v>PIRES NABAIS</v>
      </c>
      <c r="H64" s="2"/>
      <c r="I64" s="270" t="s">
        <v>237</v>
      </c>
      <c r="J64" s="271"/>
    </row>
    <row r="65" spans="2:10" x14ac:dyDescent="0.25">
      <c r="B65" s="1" t="s">
        <v>231</v>
      </c>
      <c r="C65" s="82">
        <f>PRORRATEO!C21</f>
        <v>16</v>
      </c>
      <c r="D65" s="83" t="s">
        <v>235</v>
      </c>
      <c r="E65" s="82" t="str">
        <f>PRORRATEO!B21</f>
        <v>3-B</v>
      </c>
      <c r="H65" s="2"/>
      <c r="I65" s="1"/>
      <c r="J65" s="2"/>
    </row>
    <row r="66" spans="2:10" x14ac:dyDescent="0.25">
      <c r="B66" s="1"/>
      <c r="H66" s="2"/>
      <c r="I66" s="270"/>
      <c r="J66" s="271"/>
    </row>
    <row r="67" spans="2:10" x14ac:dyDescent="0.25">
      <c r="B67" s="1"/>
      <c r="H67" s="2"/>
      <c r="I67" s="1"/>
      <c r="J67" s="2"/>
    </row>
    <row r="68" spans="2:10" x14ac:dyDescent="0.25">
      <c r="B68" s="1"/>
      <c r="H68" s="2"/>
      <c r="I68" s="1"/>
      <c r="J68" s="2"/>
    </row>
    <row r="69" spans="2:10" ht="15.75" thickBot="1" x14ac:dyDescent="0.3">
      <c r="B69" s="1"/>
      <c r="H69" s="2"/>
      <c r="I69" s="89"/>
      <c r="J69" s="92"/>
    </row>
    <row r="70" spans="2:10" ht="15.75" thickBot="1" x14ac:dyDescent="0.3">
      <c r="B70" s="260" t="s">
        <v>234</v>
      </c>
      <c r="C70" s="261"/>
      <c r="D70" s="261"/>
      <c r="E70" s="261"/>
      <c r="F70" s="261"/>
      <c r="G70" s="262">
        <f>PRORRATEO!O21</f>
        <v>162450.16</v>
      </c>
      <c r="H70" s="263"/>
      <c r="I70" s="81"/>
      <c r="J70" s="91"/>
    </row>
    <row r="74" spans="2:10" ht="15.75" thickBot="1" x14ac:dyDescent="0.3"/>
    <row r="75" spans="2:10" ht="15.75" thickBot="1" x14ac:dyDescent="0.3">
      <c r="B75" s="272" t="s">
        <v>233</v>
      </c>
      <c r="C75" s="273"/>
      <c r="D75" s="273"/>
      <c r="E75" s="273"/>
      <c r="F75" s="273"/>
      <c r="G75" s="273"/>
      <c r="H75" s="274"/>
      <c r="I75" s="79"/>
      <c r="J75" s="80"/>
    </row>
    <row r="76" spans="2:10" ht="15.75" thickBot="1" x14ac:dyDescent="0.3">
      <c r="B76" s="264" t="s">
        <v>134</v>
      </c>
      <c r="C76" s="265"/>
      <c r="D76" s="265"/>
      <c r="E76" s="265"/>
      <c r="F76" s="265"/>
      <c r="G76" s="265"/>
      <c r="H76" s="266"/>
      <c r="I76" s="1"/>
      <c r="J76" s="2"/>
    </row>
    <row r="77" spans="2:10" x14ac:dyDescent="0.25">
      <c r="B77" s="79" t="s">
        <v>240</v>
      </c>
      <c r="C77" s="90"/>
      <c r="D77" s="90"/>
      <c r="E77" s="90"/>
      <c r="G77" t="s">
        <v>47</v>
      </c>
      <c r="H77" s="2"/>
      <c r="I77" s="1"/>
      <c r="J77" s="2"/>
    </row>
    <row r="78" spans="2:10" x14ac:dyDescent="0.25">
      <c r="B78" s="84" t="s">
        <v>238</v>
      </c>
      <c r="C78" s="82"/>
      <c r="D78" s="82"/>
      <c r="H78" s="2"/>
      <c r="I78" s="1"/>
      <c r="J78" s="2"/>
    </row>
    <row r="79" spans="2:10" x14ac:dyDescent="0.25">
      <c r="B79" s="85"/>
      <c r="C79" s="86"/>
      <c r="D79" s="86"/>
      <c r="E79" s="87"/>
      <c r="F79" s="87"/>
      <c r="G79" s="87"/>
      <c r="H79" s="88"/>
      <c r="I79" s="1"/>
      <c r="J79" s="2"/>
    </row>
    <row r="80" spans="2:10" x14ac:dyDescent="0.25">
      <c r="B80" s="267" t="s">
        <v>236</v>
      </c>
      <c r="C80" s="268"/>
      <c r="D80" s="268"/>
      <c r="E80" s="268"/>
      <c r="F80" s="268"/>
      <c r="G80" s="268"/>
      <c r="H80" s="269"/>
      <c r="I80" s="1"/>
      <c r="J80" s="2"/>
    </row>
    <row r="81" spans="2:10" x14ac:dyDescent="0.25">
      <c r="B81" s="84"/>
      <c r="C81" s="82"/>
      <c r="D81" s="82"/>
      <c r="H81" s="2"/>
      <c r="I81" s="1"/>
      <c r="J81" s="2"/>
    </row>
    <row r="82" spans="2:10" x14ac:dyDescent="0.25">
      <c r="B82" s="1" t="s">
        <v>232</v>
      </c>
      <c r="E82" t="str">
        <f>PRORRATEO!D22</f>
        <v>SANABRIA 
MARIO</v>
      </c>
      <c r="H82" s="2"/>
      <c r="I82" s="270" t="s">
        <v>237</v>
      </c>
      <c r="J82" s="271"/>
    </row>
    <row r="83" spans="2:10" x14ac:dyDescent="0.25">
      <c r="B83" s="1" t="s">
        <v>231</v>
      </c>
      <c r="C83" s="82">
        <f>PRORRATEO!C22</f>
        <v>17</v>
      </c>
      <c r="D83" s="83" t="s">
        <v>235</v>
      </c>
      <c r="E83" s="82" t="str">
        <f>PRORRATEO!B22</f>
        <v>3-C</v>
      </c>
      <c r="H83" s="2"/>
      <c r="I83" s="1"/>
      <c r="J83" s="2"/>
    </row>
    <row r="84" spans="2:10" x14ac:dyDescent="0.25">
      <c r="B84" s="1"/>
      <c r="H84" s="2"/>
      <c r="I84" s="270"/>
      <c r="J84" s="271"/>
    </row>
    <row r="85" spans="2:10" x14ac:dyDescent="0.25">
      <c r="B85" s="1"/>
      <c r="H85" s="2"/>
      <c r="I85" s="1"/>
      <c r="J85" s="2"/>
    </row>
    <row r="86" spans="2:10" x14ac:dyDescent="0.25">
      <c r="B86" s="1"/>
      <c r="H86" s="2"/>
      <c r="I86" s="1"/>
      <c r="J86" s="2"/>
    </row>
    <row r="87" spans="2:10" ht="15.75" thickBot="1" x14ac:dyDescent="0.3">
      <c r="B87" s="1"/>
      <c r="H87" s="2"/>
      <c r="I87" s="89"/>
      <c r="J87" s="92"/>
    </row>
    <row r="88" spans="2:10" ht="15.75" thickBot="1" x14ac:dyDescent="0.3">
      <c r="B88" s="260" t="s">
        <v>234</v>
      </c>
      <c r="C88" s="261"/>
      <c r="D88" s="261"/>
      <c r="E88" s="261"/>
      <c r="F88" s="261"/>
      <c r="G88" s="262">
        <f>PRORRATEO!O22</f>
        <v>104376.17</v>
      </c>
      <c r="H88" s="263"/>
      <c r="I88" s="81"/>
      <c r="J88" s="91"/>
    </row>
    <row r="92" spans="2:10" ht="169.5" customHeight="1" thickBot="1" x14ac:dyDescent="0.3"/>
    <row r="93" spans="2:10" ht="15.75" thickBot="1" x14ac:dyDescent="0.3">
      <c r="B93" s="272" t="s">
        <v>233</v>
      </c>
      <c r="C93" s="273"/>
      <c r="D93" s="273"/>
      <c r="E93" s="273"/>
      <c r="F93" s="273"/>
      <c r="G93" s="273"/>
      <c r="H93" s="274"/>
      <c r="I93" s="79"/>
      <c r="J93" s="80"/>
    </row>
    <row r="94" spans="2:10" ht="15.75" thickBot="1" x14ac:dyDescent="0.3">
      <c r="B94" s="264" t="s">
        <v>134</v>
      </c>
      <c r="C94" s="265"/>
      <c r="D94" s="265"/>
      <c r="E94" s="265"/>
      <c r="F94" s="265"/>
      <c r="G94" s="265"/>
      <c r="H94" s="266"/>
      <c r="I94" s="1"/>
      <c r="J94" s="2"/>
    </row>
    <row r="95" spans="2:10" x14ac:dyDescent="0.25">
      <c r="B95" s="79" t="s">
        <v>240</v>
      </c>
      <c r="C95" s="90"/>
      <c r="D95" s="90"/>
      <c r="E95" s="90"/>
      <c r="G95" t="s">
        <v>47</v>
      </c>
      <c r="H95" s="2"/>
      <c r="I95" s="1"/>
      <c r="J95" s="2"/>
    </row>
    <row r="96" spans="2:10" x14ac:dyDescent="0.25">
      <c r="B96" s="84" t="s">
        <v>238</v>
      </c>
      <c r="C96" s="82"/>
      <c r="D96" s="82"/>
      <c r="H96" s="2"/>
      <c r="I96" s="1"/>
      <c r="J96" s="2"/>
    </row>
    <row r="97" spans="2:10" x14ac:dyDescent="0.25">
      <c r="B97" s="85"/>
      <c r="C97" s="86"/>
      <c r="D97" s="86"/>
      <c r="E97" s="87"/>
      <c r="F97" s="87"/>
      <c r="G97" s="87"/>
      <c r="H97" s="88"/>
      <c r="I97" s="1"/>
      <c r="J97" s="2"/>
    </row>
    <row r="98" spans="2:10" x14ac:dyDescent="0.25">
      <c r="B98" s="267" t="s">
        <v>236</v>
      </c>
      <c r="C98" s="268"/>
      <c r="D98" s="268"/>
      <c r="E98" s="268"/>
      <c r="F98" s="268"/>
      <c r="G98" s="268"/>
      <c r="H98" s="269"/>
      <c r="I98" s="1"/>
      <c r="J98" s="2"/>
    </row>
    <row r="99" spans="2:10" x14ac:dyDescent="0.25">
      <c r="B99" s="84"/>
      <c r="C99" s="82"/>
      <c r="D99" s="82"/>
      <c r="H99" s="2"/>
      <c r="I99" s="1"/>
      <c r="J99" s="2"/>
    </row>
    <row r="100" spans="2:10" x14ac:dyDescent="0.25">
      <c r="B100" s="1" t="s">
        <v>232</v>
      </c>
      <c r="E100" t="str">
        <f>PRORRATEO!D23</f>
        <v xml:space="preserve">PEROTTI </v>
      </c>
      <c r="H100" s="2"/>
      <c r="I100" s="270" t="s">
        <v>237</v>
      </c>
      <c r="J100" s="271"/>
    </row>
    <row r="101" spans="2:10" x14ac:dyDescent="0.25">
      <c r="B101" s="1" t="s">
        <v>231</v>
      </c>
      <c r="C101" s="82">
        <f>PRORRATEO!C23</f>
        <v>18</v>
      </c>
      <c r="D101" s="83" t="s">
        <v>235</v>
      </c>
      <c r="E101" s="82" t="str">
        <f>PRORRATEO!B23</f>
        <v>3-D</v>
      </c>
      <c r="H101" s="2"/>
      <c r="I101" s="1"/>
      <c r="J101" s="2"/>
    </row>
    <row r="102" spans="2:10" x14ac:dyDescent="0.25">
      <c r="B102" s="1"/>
      <c r="H102" s="2"/>
      <c r="I102" s="270"/>
      <c r="J102" s="271"/>
    </row>
    <row r="103" spans="2:10" x14ac:dyDescent="0.25">
      <c r="B103" s="1"/>
      <c r="H103" s="2"/>
      <c r="I103" s="1"/>
      <c r="J103" s="2"/>
    </row>
    <row r="104" spans="2:10" x14ac:dyDescent="0.25">
      <c r="B104" s="1"/>
      <c r="H104" s="2"/>
      <c r="I104" s="1"/>
      <c r="J104" s="2"/>
    </row>
    <row r="105" spans="2:10" ht="15.75" thickBot="1" x14ac:dyDescent="0.3">
      <c r="B105" s="1"/>
      <c r="H105" s="2"/>
      <c r="I105" s="89"/>
      <c r="J105" s="92"/>
    </row>
    <row r="106" spans="2:10" ht="15.75" thickBot="1" x14ac:dyDescent="0.3">
      <c r="B106" s="260" t="s">
        <v>234</v>
      </c>
      <c r="C106" s="261"/>
      <c r="D106" s="261"/>
      <c r="E106" s="261"/>
      <c r="F106" s="261"/>
      <c r="G106" s="262">
        <f>PRORRATEO!O23</f>
        <v>107350.18</v>
      </c>
      <c r="H106" s="263"/>
      <c r="I106" s="81"/>
      <c r="J106" s="91"/>
    </row>
  </sheetData>
  <mergeCells count="42">
    <mergeCell ref="I10:J10"/>
    <mergeCell ref="I12:J12"/>
    <mergeCell ref="B34:F34"/>
    <mergeCell ref="G34:H34"/>
    <mergeCell ref="B3:H3"/>
    <mergeCell ref="B4:H4"/>
    <mergeCell ref="B8:H8"/>
    <mergeCell ref="B70:F70"/>
    <mergeCell ref="G70:H70"/>
    <mergeCell ref="B16:F16"/>
    <mergeCell ref="G16:H16"/>
    <mergeCell ref="I46:J46"/>
    <mergeCell ref="I48:J48"/>
    <mergeCell ref="B52:F52"/>
    <mergeCell ref="G52:H52"/>
    <mergeCell ref="B21:H21"/>
    <mergeCell ref="B22:H22"/>
    <mergeCell ref="B26:H26"/>
    <mergeCell ref="B39:H39"/>
    <mergeCell ref="B40:H40"/>
    <mergeCell ref="B44:H44"/>
    <mergeCell ref="I28:J28"/>
    <mergeCell ref="I30:J30"/>
    <mergeCell ref="B57:H57"/>
    <mergeCell ref="B58:H58"/>
    <mergeCell ref="B62:H62"/>
    <mergeCell ref="I64:J64"/>
    <mergeCell ref="I66:J66"/>
    <mergeCell ref="I100:J100"/>
    <mergeCell ref="I102:J102"/>
    <mergeCell ref="B106:F106"/>
    <mergeCell ref="G106:H106"/>
    <mergeCell ref="B75:H75"/>
    <mergeCell ref="B76:H76"/>
    <mergeCell ref="B80:H80"/>
    <mergeCell ref="B93:H93"/>
    <mergeCell ref="B94:H94"/>
    <mergeCell ref="B98:H98"/>
    <mergeCell ref="I84:J84"/>
    <mergeCell ref="B88:F88"/>
    <mergeCell ref="G88:H88"/>
    <mergeCell ref="I82:J82"/>
  </mergeCells>
  <pageMargins left="0.25" right="0.25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104"/>
  <sheetViews>
    <sheetView topLeftCell="A19" workbookViewId="0">
      <selection activeCell="K35" sqref="A20:K35"/>
    </sheetView>
  </sheetViews>
  <sheetFormatPr baseColWidth="10" defaultRowHeight="15" x14ac:dyDescent="0.25"/>
  <cols>
    <col min="1" max="1" width="6.140625" customWidth="1"/>
    <col min="4" max="4" width="8.140625" customWidth="1"/>
    <col min="5" max="5" width="5.140625" customWidth="1"/>
    <col min="6" max="6" width="5.5703125" customWidth="1"/>
    <col min="7" max="7" width="7.5703125" customWidth="1"/>
    <col min="8" max="8" width="8.42578125" customWidth="1"/>
  </cols>
  <sheetData>
    <row r="2" spans="2:10" ht="15.75" thickBot="1" x14ac:dyDescent="0.3"/>
    <row r="3" spans="2:10" ht="15.75" thickBot="1" x14ac:dyDescent="0.3">
      <c r="B3" s="272" t="s">
        <v>233</v>
      </c>
      <c r="C3" s="273"/>
      <c r="D3" s="273"/>
      <c r="E3" s="273"/>
      <c r="F3" s="273"/>
      <c r="G3" s="273"/>
      <c r="H3" s="274"/>
      <c r="I3" s="79"/>
      <c r="J3" s="80"/>
    </row>
    <row r="4" spans="2:10" ht="15.75" thickBot="1" x14ac:dyDescent="0.3">
      <c r="B4" s="264" t="s">
        <v>134</v>
      </c>
      <c r="C4" s="265"/>
      <c r="D4" s="265"/>
      <c r="E4" s="265"/>
      <c r="F4" s="265"/>
      <c r="G4" s="265"/>
      <c r="H4" s="266"/>
      <c r="I4" s="1"/>
      <c r="J4" s="2"/>
    </row>
    <row r="5" spans="2:10" x14ac:dyDescent="0.25">
      <c r="B5" s="79" t="s">
        <v>240</v>
      </c>
      <c r="C5" s="90"/>
      <c r="D5" s="90"/>
      <c r="E5" s="90"/>
      <c r="G5" t="s">
        <v>47</v>
      </c>
      <c r="H5" s="2"/>
      <c r="I5" s="1"/>
      <c r="J5" s="2"/>
    </row>
    <row r="6" spans="2:10" x14ac:dyDescent="0.25">
      <c r="B6" s="84" t="s">
        <v>238</v>
      </c>
      <c r="C6" s="82"/>
      <c r="D6" s="82"/>
      <c r="H6" s="2"/>
      <c r="I6" s="1"/>
      <c r="J6" s="2"/>
    </row>
    <row r="7" spans="2:10" x14ac:dyDescent="0.25">
      <c r="B7" s="85"/>
      <c r="C7" s="86"/>
      <c r="D7" s="86"/>
      <c r="E7" s="87"/>
      <c r="F7" s="87"/>
      <c r="G7" s="87"/>
      <c r="H7" s="88"/>
      <c r="I7" s="1"/>
      <c r="J7" s="2"/>
    </row>
    <row r="8" spans="2:10" x14ac:dyDescent="0.25">
      <c r="B8" s="267" t="s">
        <v>236</v>
      </c>
      <c r="C8" s="268"/>
      <c r="D8" s="268"/>
      <c r="E8" s="268"/>
      <c r="F8" s="268"/>
      <c r="G8" s="268"/>
      <c r="H8" s="269"/>
      <c r="I8" s="1"/>
      <c r="J8" s="2"/>
    </row>
    <row r="9" spans="2:10" x14ac:dyDescent="0.25">
      <c r="B9" s="84"/>
      <c r="C9" s="82"/>
      <c r="D9" s="82"/>
      <c r="H9" s="2"/>
      <c r="I9" s="1"/>
      <c r="J9" s="2"/>
    </row>
    <row r="10" spans="2:10" x14ac:dyDescent="0.25">
      <c r="B10" s="1" t="s">
        <v>232</v>
      </c>
      <c r="E10" t="str">
        <f>PRORRATEO!D24</f>
        <v>GOITEA 
ANTONIO</v>
      </c>
      <c r="H10" s="2"/>
      <c r="I10" s="270" t="s">
        <v>237</v>
      </c>
      <c r="J10" s="271"/>
    </row>
    <row r="11" spans="2:10" x14ac:dyDescent="0.25">
      <c r="B11" s="1" t="s">
        <v>231</v>
      </c>
      <c r="C11" s="82">
        <f>PRORRATEO!C24</f>
        <v>19</v>
      </c>
      <c r="D11" s="83" t="s">
        <v>235</v>
      </c>
      <c r="E11" s="82" t="str">
        <f>PRORRATEO!B24</f>
        <v>3-E</v>
      </c>
      <c r="H11" s="2"/>
      <c r="I11" s="1"/>
      <c r="J11" s="2"/>
    </row>
    <row r="12" spans="2:10" x14ac:dyDescent="0.25">
      <c r="B12" s="1"/>
      <c r="H12" s="2"/>
      <c r="I12" s="270"/>
      <c r="J12" s="271"/>
    </row>
    <row r="13" spans="2:10" x14ac:dyDescent="0.25">
      <c r="B13" s="1"/>
      <c r="H13" s="2"/>
      <c r="I13" s="1"/>
      <c r="J13" s="2"/>
    </row>
    <row r="14" spans="2:10" x14ac:dyDescent="0.25">
      <c r="B14" s="1"/>
      <c r="H14" s="2"/>
      <c r="I14" s="1"/>
      <c r="J14" s="2"/>
    </row>
    <row r="15" spans="2:10" ht="15.75" thickBot="1" x14ac:dyDescent="0.3">
      <c r="B15" s="1"/>
      <c r="H15" s="2"/>
      <c r="I15" s="89"/>
      <c r="J15" s="92"/>
    </row>
    <row r="16" spans="2:10" ht="15.75" thickBot="1" x14ac:dyDescent="0.3">
      <c r="B16" s="260" t="s">
        <v>234</v>
      </c>
      <c r="C16" s="261"/>
      <c r="D16" s="261"/>
      <c r="E16" s="261"/>
      <c r="F16" s="261"/>
      <c r="G16" s="262">
        <f>PRORRATEO!O24</f>
        <v>107350.19</v>
      </c>
      <c r="H16" s="263"/>
      <c r="I16" s="81"/>
      <c r="J16" s="91"/>
    </row>
    <row r="20" spans="2:10" ht="15.75" thickBot="1" x14ac:dyDescent="0.3"/>
    <row r="21" spans="2:10" ht="15.75" thickBot="1" x14ac:dyDescent="0.3">
      <c r="B21" s="272" t="s">
        <v>233</v>
      </c>
      <c r="C21" s="273"/>
      <c r="D21" s="273"/>
      <c r="E21" s="273"/>
      <c r="F21" s="273"/>
      <c r="G21" s="273"/>
      <c r="H21" s="274"/>
      <c r="I21" s="79"/>
      <c r="J21" s="80"/>
    </row>
    <row r="22" spans="2:10" ht="15.75" thickBot="1" x14ac:dyDescent="0.3">
      <c r="B22" s="264" t="s">
        <v>134</v>
      </c>
      <c r="C22" s="265"/>
      <c r="D22" s="265"/>
      <c r="E22" s="265"/>
      <c r="F22" s="265"/>
      <c r="G22" s="265"/>
      <c r="H22" s="266"/>
      <c r="I22" s="1"/>
      <c r="J22" s="2"/>
    </row>
    <row r="23" spans="2:10" x14ac:dyDescent="0.25">
      <c r="B23" s="79" t="s">
        <v>240</v>
      </c>
      <c r="C23" s="90"/>
      <c r="D23" s="90"/>
      <c r="E23" s="90"/>
      <c r="G23" t="s">
        <v>47</v>
      </c>
      <c r="H23" s="2"/>
      <c r="I23" s="1"/>
      <c r="J23" s="2"/>
    </row>
    <row r="24" spans="2:10" x14ac:dyDescent="0.25">
      <c r="B24" s="84" t="s">
        <v>238</v>
      </c>
      <c r="C24" s="82"/>
      <c r="D24" s="82"/>
      <c r="H24" s="2"/>
      <c r="I24" s="1"/>
      <c r="J24" s="2"/>
    </row>
    <row r="25" spans="2:10" x14ac:dyDescent="0.25">
      <c r="B25" s="85"/>
      <c r="C25" s="86"/>
      <c r="D25" s="86"/>
      <c r="E25" s="87"/>
      <c r="F25" s="87"/>
      <c r="G25" s="87"/>
      <c r="H25" s="88"/>
      <c r="I25" s="1"/>
      <c r="J25" s="2"/>
    </row>
    <row r="26" spans="2:10" x14ac:dyDescent="0.25">
      <c r="B26" s="267" t="s">
        <v>236</v>
      </c>
      <c r="C26" s="268"/>
      <c r="D26" s="268"/>
      <c r="E26" s="268"/>
      <c r="F26" s="268"/>
      <c r="G26" s="268"/>
      <c r="H26" s="269"/>
      <c r="I26" s="1"/>
      <c r="J26" s="2"/>
    </row>
    <row r="27" spans="2:10" x14ac:dyDescent="0.25">
      <c r="B27" s="84"/>
      <c r="C27" s="82"/>
      <c r="D27" s="82"/>
      <c r="H27" s="2"/>
      <c r="I27" s="1"/>
      <c r="J27" s="2"/>
    </row>
    <row r="28" spans="2:10" x14ac:dyDescent="0.25">
      <c r="B28" s="1" t="s">
        <v>232</v>
      </c>
      <c r="E28" t="str">
        <f>PRORRATEO!D25</f>
        <v>BIDABE LOMO</v>
      </c>
      <c r="H28" s="2"/>
      <c r="I28" s="270" t="s">
        <v>237</v>
      </c>
      <c r="J28" s="271"/>
    </row>
    <row r="29" spans="2:10" x14ac:dyDescent="0.25">
      <c r="B29" s="1" t="s">
        <v>231</v>
      </c>
      <c r="C29" s="82">
        <f>PRORRATEO!C25</f>
        <v>20</v>
      </c>
      <c r="D29" s="83" t="s">
        <v>235</v>
      </c>
      <c r="E29" s="82" t="str">
        <f>PRORRATEO!B25</f>
        <v>4-A</v>
      </c>
      <c r="H29" s="2"/>
      <c r="I29" s="1"/>
      <c r="J29" s="2"/>
    </row>
    <row r="30" spans="2:10" x14ac:dyDescent="0.25">
      <c r="B30" s="1"/>
      <c r="H30" s="2"/>
      <c r="I30" s="270"/>
      <c r="J30" s="271"/>
    </row>
    <row r="31" spans="2:10" x14ac:dyDescent="0.25">
      <c r="B31" s="1"/>
      <c r="H31" s="2"/>
      <c r="I31" s="1"/>
      <c r="J31" s="2"/>
    </row>
    <row r="32" spans="2:10" x14ac:dyDescent="0.25">
      <c r="B32" s="1"/>
      <c r="H32" s="2"/>
      <c r="I32" s="1"/>
      <c r="J32" s="2"/>
    </row>
    <row r="33" spans="2:10" ht="15.75" thickBot="1" x14ac:dyDescent="0.3">
      <c r="B33" s="1"/>
      <c r="H33" s="2"/>
      <c r="I33" s="89"/>
      <c r="J33" s="92"/>
    </row>
    <row r="34" spans="2:10" ht="15.75" thickBot="1" x14ac:dyDescent="0.3">
      <c r="B34" s="260" t="s">
        <v>234</v>
      </c>
      <c r="C34" s="261"/>
      <c r="D34" s="261"/>
      <c r="E34" s="261"/>
      <c r="F34" s="261"/>
      <c r="G34" s="262">
        <f>PRORRATEO!O25</f>
        <v>194082.2</v>
      </c>
      <c r="H34" s="263"/>
      <c r="I34" s="81"/>
      <c r="J34" s="91"/>
    </row>
    <row r="35" spans="2:10" ht="15.75" thickBot="1" x14ac:dyDescent="0.3"/>
    <row r="36" spans="2:10" ht="15.75" hidden="1" thickBot="1" x14ac:dyDescent="0.3"/>
    <row r="37" spans="2:10" ht="15.75" hidden="1" thickBot="1" x14ac:dyDescent="0.3"/>
    <row r="38" spans="2:10" ht="15.75" thickBot="1" x14ac:dyDescent="0.3">
      <c r="B38" s="272" t="s">
        <v>233</v>
      </c>
      <c r="C38" s="273"/>
      <c r="D38" s="273"/>
      <c r="E38" s="273"/>
      <c r="F38" s="273"/>
      <c r="G38" s="273"/>
      <c r="H38" s="274"/>
      <c r="I38" s="79"/>
      <c r="J38" s="80"/>
    </row>
    <row r="39" spans="2:10" ht="15.75" thickBot="1" x14ac:dyDescent="0.3">
      <c r="B39" s="264" t="s">
        <v>134</v>
      </c>
      <c r="C39" s="265"/>
      <c r="D39" s="265"/>
      <c r="E39" s="265"/>
      <c r="F39" s="265"/>
      <c r="G39" s="265"/>
      <c r="H39" s="266"/>
      <c r="I39" s="1"/>
      <c r="J39" s="2"/>
    </row>
    <row r="40" spans="2:10" x14ac:dyDescent="0.25">
      <c r="B40" s="79" t="s">
        <v>240</v>
      </c>
      <c r="C40" s="90"/>
      <c r="D40" s="90"/>
      <c r="E40" s="90"/>
      <c r="G40" t="s">
        <v>47</v>
      </c>
      <c r="H40" s="2"/>
      <c r="I40" s="1"/>
      <c r="J40" s="2"/>
    </row>
    <row r="41" spans="2:10" x14ac:dyDescent="0.25">
      <c r="B41" s="84" t="s">
        <v>238</v>
      </c>
      <c r="C41" s="82"/>
      <c r="D41" s="82"/>
      <c r="H41" s="2"/>
      <c r="I41" s="1"/>
      <c r="J41" s="2"/>
    </row>
    <row r="42" spans="2:10" x14ac:dyDescent="0.25">
      <c r="B42" s="85"/>
      <c r="C42" s="86"/>
      <c r="D42" s="86"/>
      <c r="E42" s="87"/>
      <c r="F42" s="87"/>
      <c r="G42" s="87"/>
      <c r="H42" s="88"/>
      <c r="I42" s="1"/>
      <c r="J42" s="2"/>
    </row>
    <row r="43" spans="2:10" x14ac:dyDescent="0.25">
      <c r="B43" s="267" t="s">
        <v>236</v>
      </c>
      <c r="C43" s="268"/>
      <c r="D43" s="268"/>
      <c r="E43" s="268"/>
      <c r="F43" s="268"/>
      <c r="G43" s="268"/>
      <c r="H43" s="269"/>
      <c r="I43" s="1"/>
      <c r="J43" s="2"/>
    </row>
    <row r="44" spans="2:10" x14ac:dyDescent="0.25">
      <c r="B44" s="84"/>
      <c r="C44" s="82"/>
      <c r="D44" s="82"/>
      <c r="H44" s="2"/>
      <c r="I44" s="1"/>
      <c r="J44" s="2"/>
    </row>
    <row r="45" spans="2:10" x14ac:dyDescent="0.25">
      <c r="B45" s="1" t="s">
        <v>232</v>
      </c>
      <c r="E45" t="str">
        <f>PRORRATEO!D26</f>
        <v>SICILIANO 
GRACIELA (2)</v>
      </c>
      <c r="H45" s="2"/>
      <c r="I45" s="270" t="s">
        <v>237</v>
      </c>
      <c r="J45" s="271"/>
    </row>
    <row r="46" spans="2:10" x14ac:dyDescent="0.25">
      <c r="B46" s="1" t="s">
        <v>231</v>
      </c>
      <c r="C46" s="82">
        <f>PRORRATEO!C26</f>
        <v>21</v>
      </c>
      <c r="D46" s="83" t="s">
        <v>235</v>
      </c>
      <c r="E46" s="82" t="str">
        <f>PRORRATEO!B26</f>
        <v>4-B</v>
      </c>
      <c r="H46" s="2"/>
      <c r="I46" s="1"/>
      <c r="J46" s="2"/>
    </row>
    <row r="47" spans="2:10" x14ac:dyDescent="0.25">
      <c r="B47" s="1"/>
      <c r="H47" s="2"/>
      <c r="I47" s="270"/>
      <c r="J47" s="271"/>
    </row>
    <row r="48" spans="2:10" x14ac:dyDescent="0.25">
      <c r="B48" s="1"/>
      <c r="H48" s="2"/>
      <c r="I48" s="1"/>
      <c r="J48" s="2"/>
    </row>
    <row r="49" spans="2:10" x14ac:dyDescent="0.25">
      <c r="B49" s="1"/>
      <c r="H49" s="2"/>
      <c r="I49" s="1"/>
      <c r="J49" s="2"/>
    </row>
    <row r="50" spans="2:10" ht="15.75" thickBot="1" x14ac:dyDescent="0.3">
      <c r="B50" s="1"/>
      <c r="H50" s="2"/>
      <c r="I50" s="89"/>
      <c r="J50" s="92"/>
    </row>
    <row r="51" spans="2:10" ht="15.75" thickBot="1" x14ac:dyDescent="0.3">
      <c r="B51" s="260" t="s">
        <v>234</v>
      </c>
      <c r="C51" s="261"/>
      <c r="D51" s="261"/>
      <c r="E51" s="261"/>
      <c r="F51" s="261"/>
      <c r="G51" s="262">
        <f>PRORRATEO!O26</f>
        <v>218167.21</v>
      </c>
      <c r="H51" s="263"/>
      <c r="I51" s="81"/>
      <c r="J51" s="91"/>
    </row>
    <row r="56" spans="2:10" ht="15.75" thickBot="1" x14ac:dyDescent="0.3"/>
    <row r="57" spans="2:10" ht="15.75" thickBot="1" x14ac:dyDescent="0.3">
      <c r="B57" s="272" t="s">
        <v>233</v>
      </c>
      <c r="C57" s="273"/>
      <c r="D57" s="273"/>
      <c r="E57" s="273"/>
      <c r="F57" s="273"/>
      <c r="G57" s="273"/>
      <c r="H57" s="274"/>
      <c r="I57" s="79"/>
      <c r="J57" s="80"/>
    </row>
    <row r="58" spans="2:10" ht="15.75" thickBot="1" x14ac:dyDescent="0.3">
      <c r="B58" s="264" t="s">
        <v>134</v>
      </c>
      <c r="C58" s="265"/>
      <c r="D58" s="265"/>
      <c r="E58" s="265"/>
      <c r="F58" s="265"/>
      <c r="G58" s="265"/>
      <c r="H58" s="266"/>
      <c r="I58" s="1"/>
      <c r="J58" s="2"/>
    </row>
    <row r="59" spans="2:10" x14ac:dyDescent="0.25">
      <c r="B59" s="79" t="s">
        <v>240</v>
      </c>
      <c r="C59" s="90"/>
      <c r="D59" s="90"/>
      <c r="E59" s="90"/>
      <c r="G59" t="s">
        <v>47</v>
      </c>
      <c r="H59" s="2"/>
      <c r="I59" s="1"/>
      <c r="J59" s="2"/>
    </row>
    <row r="60" spans="2:10" x14ac:dyDescent="0.25">
      <c r="B60" s="84" t="s">
        <v>238</v>
      </c>
      <c r="C60" s="82"/>
      <c r="D60" s="82"/>
      <c r="H60" s="2"/>
      <c r="I60" s="1"/>
      <c r="J60" s="2"/>
    </row>
    <row r="61" spans="2:10" x14ac:dyDescent="0.25">
      <c r="B61" s="85"/>
      <c r="C61" s="86"/>
      <c r="D61" s="86"/>
      <c r="E61" s="87"/>
      <c r="F61" s="87"/>
      <c r="G61" s="87"/>
      <c r="H61" s="88"/>
      <c r="I61" s="1"/>
      <c r="J61" s="2"/>
    </row>
    <row r="62" spans="2:10" x14ac:dyDescent="0.25">
      <c r="B62" s="267" t="s">
        <v>236</v>
      </c>
      <c r="C62" s="268"/>
      <c r="D62" s="268"/>
      <c r="E62" s="268"/>
      <c r="F62" s="268"/>
      <c r="G62" s="268"/>
      <c r="H62" s="269"/>
      <c r="I62" s="1"/>
      <c r="J62" s="2"/>
    </row>
    <row r="63" spans="2:10" x14ac:dyDescent="0.25">
      <c r="B63" s="84"/>
      <c r="C63" s="82"/>
      <c r="D63" s="82"/>
      <c r="H63" s="2"/>
      <c r="I63" s="1"/>
      <c r="J63" s="2"/>
    </row>
    <row r="64" spans="2:10" x14ac:dyDescent="0.25">
      <c r="B64" s="1" t="s">
        <v>232</v>
      </c>
      <c r="E64" t="str">
        <f>PRORRATEO!D27</f>
        <v>SANCHEZ 
NELIDA</v>
      </c>
      <c r="H64" s="2"/>
      <c r="I64" s="270" t="s">
        <v>237</v>
      </c>
      <c r="J64" s="271"/>
    </row>
    <row r="65" spans="2:10" x14ac:dyDescent="0.25">
      <c r="B65" s="1" t="s">
        <v>231</v>
      </c>
      <c r="C65" s="82">
        <f>PRORRATEO!C27</f>
        <v>22</v>
      </c>
      <c r="D65" s="83" t="s">
        <v>235</v>
      </c>
      <c r="E65" s="82" t="str">
        <f>PRORRATEO!B27</f>
        <v>4-C</v>
      </c>
      <c r="H65" s="2"/>
      <c r="I65" s="1"/>
      <c r="J65" s="2"/>
    </row>
    <row r="66" spans="2:10" x14ac:dyDescent="0.25">
      <c r="B66" s="1"/>
      <c r="H66" s="2"/>
      <c r="I66" s="270"/>
      <c r="J66" s="271"/>
    </row>
    <row r="67" spans="2:10" x14ac:dyDescent="0.25">
      <c r="B67" s="1"/>
      <c r="H67" s="2"/>
      <c r="I67" s="1"/>
      <c r="J67" s="2"/>
    </row>
    <row r="68" spans="2:10" x14ac:dyDescent="0.25">
      <c r="B68" s="1"/>
      <c r="H68" s="2"/>
      <c r="I68" s="1"/>
      <c r="J68" s="2"/>
    </row>
    <row r="69" spans="2:10" ht="15.75" thickBot="1" x14ac:dyDescent="0.3">
      <c r="B69" s="1"/>
      <c r="H69" s="2"/>
      <c r="I69" s="89"/>
      <c r="J69" s="92"/>
    </row>
    <row r="70" spans="2:10" ht="15.75" thickBot="1" x14ac:dyDescent="0.3">
      <c r="B70" s="260" t="s">
        <v>234</v>
      </c>
      <c r="C70" s="261"/>
      <c r="D70" s="261"/>
      <c r="E70" s="261"/>
      <c r="F70" s="261"/>
      <c r="G70" s="262">
        <f>PRORRATEO!O27</f>
        <v>107350.22</v>
      </c>
      <c r="H70" s="263"/>
      <c r="I70" s="81"/>
      <c r="J70" s="91"/>
    </row>
    <row r="73" spans="2:10" ht="15.75" thickBot="1" x14ac:dyDescent="0.3"/>
    <row r="74" spans="2:10" ht="15.75" thickBot="1" x14ac:dyDescent="0.3">
      <c r="B74" s="272" t="s">
        <v>233</v>
      </c>
      <c r="C74" s="273"/>
      <c r="D74" s="273"/>
      <c r="E74" s="273"/>
      <c r="F74" s="273"/>
      <c r="G74" s="273"/>
      <c r="H74" s="274"/>
      <c r="I74" s="79"/>
      <c r="J74" s="80"/>
    </row>
    <row r="75" spans="2:10" ht="15.75" thickBot="1" x14ac:dyDescent="0.3">
      <c r="B75" s="264" t="s">
        <v>134</v>
      </c>
      <c r="C75" s="265"/>
      <c r="D75" s="265"/>
      <c r="E75" s="265"/>
      <c r="F75" s="265"/>
      <c r="G75" s="265"/>
      <c r="H75" s="266"/>
      <c r="I75" s="1"/>
      <c r="J75" s="2"/>
    </row>
    <row r="76" spans="2:10" x14ac:dyDescent="0.25">
      <c r="B76" s="79" t="s">
        <v>240</v>
      </c>
      <c r="C76" s="90"/>
      <c r="D76" s="90"/>
      <c r="E76" s="90"/>
      <c r="G76" t="s">
        <v>47</v>
      </c>
      <c r="H76" s="2"/>
      <c r="I76" s="1"/>
      <c r="J76" s="2"/>
    </row>
    <row r="77" spans="2:10" x14ac:dyDescent="0.25">
      <c r="B77" s="84" t="s">
        <v>238</v>
      </c>
      <c r="C77" s="82"/>
      <c r="D77" s="82"/>
      <c r="H77" s="2"/>
      <c r="I77" s="1"/>
      <c r="J77" s="2"/>
    </row>
    <row r="78" spans="2:10" x14ac:dyDescent="0.25">
      <c r="B78" s="85"/>
      <c r="C78" s="86"/>
      <c r="D78" s="86"/>
      <c r="E78" s="87"/>
      <c r="F78" s="87"/>
      <c r="G78" s="87"/>
      <c r="H78" s="88"/>
      <c r="I78" s="1"/>
      <c r="J78" s="2"/>
    </row>
    <row r="79" spans="2:10" x14ac:dyDescent="0.25">
      <c r="B79" s="267" t="s">
        <v>236</v>
      </c>
      <c r="C79" s="268"/>
      <c r="D79" s="268"/>
      <c r="E79" s="268"/>
      <c r="F79" s="268"/>
      <c r="G79" s="268"/>
      <c r="H79" s="269"/>
      <c r="I79" s="1"/>
      <c r="J79" s="2"/>
    </row>
    <row r="80" spans="2:10" x14ac:dyDescent="0.25">
      <c r="B80" s="84"/>
      <c r="C80" s="82"/>
      <c r="D80" s="82"/>
      <c r="H80" s="2"/>
      <c r="I80" s="1"/>
      <c r="J80" s="2"/>
    </row>
    <row r="81" spans="2:10" x14ac:dyDescent="0.25">
      <c r="B81" s="1" t="s">
        <v>232</v>
      </c>
      <c r="E81" t="str">
        <f>PRORRATEO!D28</f>
        <v>TABOADA 
MARIA (2)</v>
      </c>
      <c r="H81" s="2"/>
      <c r="I81" s="270" t="s">
        <v>237</v>
      </c>
      <c r="J81" s="271"/>
    </row>
    <row r="82" spans="2:10" x14ac:dyDescent="0.25">
      <c r="B82" s="1" t="s">
        <v>231</v>
      </c>
      <c r="C82" s="82">
        <f>PRORRATEO!C28</f>
        <v>23</v>
      </c>
      <c r="D82" s="83" t="s">
        <v>235</v>
      </c>
      <c r="E82" s="82" t="str">
        <f>PRORRATEO!B28</f>
        <v>4-D</v>
      </c>
      <c r="H82" s="2"/>
      <c r="I82" s="1"/>
      <c r="J82" s="2"/>
    </row>
    <row r="83" spans="2:10" x14ac:dyDescent="0.25">
      <c r="B83" s="1"/>
      <c r="H83" s="2"/>
      <c r="I83" s="270"/>
      <c r="J83" s="271"/>
    </row>
    <row r="84" spans="2:10" x14ac:dyDescent="0.25">
      <c r="B84" s="1"/>
      <c r="H84" s="2"/>
      <c r="I84" s="1"/>
      <c r="J84" s="2"/>
    </row>
    <row r="85" spans="2:10" x14ac:dyDescent="0.25">
      <c r="B85" s="1"/>
      <c r="H85" s="2"/>
      <c r="I85" s="1"/>
      <c r="J85" s="2"/>
    </row>
    <row r="86" spans="2:10" ht="15.75" thickBot="1" x14ac:dyDescent="0.3">
      <c r="B86" s="1"/>
      <c r="H86" s="2"/>
      <c r="I86" s="89"/>
      <c r="J86" s="92"/>
    </row>
    <row r="87" spans="2:10" ht="15.75" thickBot="1" x14ac:dyDescent="0.3">
      <c r="B87" s="260" t="s">
        <v>234</v>
      </c>
      <c r="C87" s="261"/>
      <c r="D87" s="261"/>
      <c r="E87" s="261"/>
      <c r="F87" s="261"/>
      <c r="G87" s="262">
        <f>PRORRATEO!O28</f>
        <v>295446.23</v>
      </c>
      <c r="H87" s="263"/>
      <c r="I87" s="81"/>
      <c r="J87" s="91"/>
    </row>
    <row r="90" spans="2:10" ht="213.75" customHeight="1" thickBot="1" x14ac:dyDescent="0.3"/>
    <row r="91" spans="2:10" ht="15.75" thickBot="1" x14ac:dyDescent="0.3">
      <c r="B91" s="272" t="s">
        <v>233</v>
      </c>
      <c r="C91" s="273"/>
      <c r="D91" s="273"/>
      <c r="E91" s="273"/>
      <c r="F91" s="273"/>
      <c r="G91" s="273"/>
      <c r="H91" s="274"/>
      <c r="I91" s="79"/>
      <c r="J91" s="80"/>
    </row>
    <row r="92" spans="2:10" ht="15.75" thickBot="1" x14ac:dyDescent="0.3">
      <c r="B92" s="264" t="s">
        <v>134</v>
      </c>
      <c r="C92" s="265"/>
      <c r="D92" s="265"/>
      <c r="E92" s="265"/>
      <c r="F92" s="265"/>
      <c r="G92" s="265"/>
      <c r="H92" s="266"/>
      <c r="I92" s="1"/>
      <c r="J92" s="2"/>
    </row>
    <row r="93" spans="2:10" x14ac:dyDescent="0.25">
      <c r="B93" s="79" t="s">
        <v>240</v>
      </c>
      <c r="C93" s="90"/>
      <c r="D93" s="90"/>
      <c r="E93" s="90"/>
      <c r="G93" t="s">
        <v>47</v>
      </c>
      <c r="H93" s="2"/>
      <c r="I93" s="1"/>
      <c r="J93" s="2"/>
    </row>
    <row r="94" spans="2:10" x14ac:dyDescent="0.25">
      <c r="B94" s="84" t="s">
        <v>238</v>
      </c>
      <c r="C94" s="82"/>
      <c r="D94" s="82"/>
      <c r="H94" s="2"/>
      <c r="I94" s="1"/>
      <c r="J94" s="2"/>
    </row>
    <row r="95" spans="2:10" x14ac:dyDescent="0.25">
      <c r="B95" s="85"/>
      <c r="C95" s="86"/>
      <c r="D95" s="86"/>
      <c r="E95" s="87"/>
      <c r="F95" s="87"/>
      <c r="G95" s="87"/>
      <c r="H95" s="88"/>
      <c r="I95" s="1"/>
      <c r="J95" s="2"/>
    </row>
    <row r="96" spans="2:10" x14ac:dyDescent="0.25">
      <c r="B96" s="267" t="s">
        <v>236</v>
      </c>
      <c r="C96" s="268"/>
      <c r="D96" s="268"/>
      <c r="E96" s="268"/>
      <c r="F96" s="268"/>
      <c r="G96" s="268"/>
      <c r="H96" s="269"/>
      <c r="I96" s="1"/>
      <c r="J96" s="2"/>
    </row>
    <row r="97" spans="2:10" x14ac:dyDescent="0.25">
      <c r="B97" s="84"/>
      <c r="C97" s="82"/>
      <c r="D97" s="82"/>
      <c r="H97" s="2"/>
      <c r="I97" s="1"/>
      <c r="J97" s="2"/>
    </row>
    <row r="98" spans="2:10" x14ac:dyDescent="0.25">
      <c r="B98" s="1" t="s">
        <v>232</v>
      </c>
      <c r="E98" t="str">
        <f>PRORRATEO!D29</f>
        <v>BEDOYA 
BEATRIZ</v>
      </c>
      <c r="H98" s="2"/>
      <c r="I98" s="270" t="s">
        <v>237</v>
      </c>
      <c r="J98" s="271"/>
    </row>
    <row r="99" spans="2:10" x14ac:dyDescent="0.25">
      <c r="B99" s="1" t="s">
        <v>231</v>
      </c>
      <c r="C99" s="82">
        <f>PRORRATEO!C29</f>
        <v>24</v>
      </c>
      <c r="D99" s="83" t="s">
        <v>235</v>
      </c>
      <c r="E99" s="82" t="str">
        <f>PRORRATEO!B29</f>
        <v>4-E</v>
      </c>
      <c r="H99" s="2"/>
      <c r="I99" s="1"/>
      <c r="J99" s="2"/>
    </row>
    <row r="100" spans="2:10" x14ac:dyDescent="0.25">
      <c r="B100" s="1"/>
      <c r="H100" s="2"/>
      <c r="I100" s="270"/>
      <c r="J100" s="271"/>
    </row>
    <row r="101" spans="2:10" x14ac:dyDescent="0.25">
      <c r="B101" s="1"/>
      <c r="H101" s="2"/>
      <c r="I101" s="1"/>
      <c r="J101" s="2"/>
    </row>
    <row r="102" spans="2:10" x14ac:dyDescent="0.25">
      <c r="B102" s="1"/>
      <c r="H102" s="2"/>
      <c r="I102" s="1"/>
      <c r="J102" s="2"/>
    </row>
    <row r="103" spans="2:10" ht="15.75" thickBot="1" x14ac:dyDescent="0.3">
      <c r="B103" s="1"/>
      <c r="H103" s="2"/>
      <c r="I103" s="89"/>
      <c r="J103" s="92"/>
    </row>
    <row r="104" spans="2:10" ht="15.75" thickBot="1" x14ac:dyDescent="0.3">
      <c r="B104" s="260" t="s">
        <v>234</v>
      </c>
      <c r="C104" s="261"/>
      <c r="D104" s="261"/>
      <c r="E104" s="261"/>
      <c r="F104" s="261"/>
      <c r="G104" s="262">
        <f>PRORRATEO!O29</f>
        <v>107350.24</v>
      </c>
      <c r="H104" s="263"/>
      <c r="I104" s="81"/>
      <c r="J104" s="91"/>
    </row>
  </sheetData>
  <mergeCells count="42">
    <mergeCell ref="I10:J10"/>
    <mergeCell ref="I12:J12"/>
    <mergeCell ref="B34:F34"/>
    <mergeCell ref="G34:H34"/>
    <mergeCell ref="B3:H3"/>
    <mergeCell ref="B4:H4"/>
    <mergeCell ref="B8:H8"/>
    <mergeCell ref="B70:F70"/>
    <mergeCell ref="G70:H70"/>
    <mergeCell ref="B16:F16"/>
    <mergeCell ref="G16:H16"/>
    <mergeCell ref="I45:J45"/>
    <mergeCell ref="I47:J47"/>
    <mergeCell ref="B51:F51"/>
    <mergeCell ref="G51:H51"/>
    <mergeCell ref="B21:H21"/>
    <mergeCell ref="B22:H22"/>
    <mergeCell ref="B26:H26"/>
    <mergeCell ref="B38:H38"/>
    <mergeCell ref="B39:H39"/>
    <mergeCell ref="B43:H43"/>
    <mergeCell ref="I28:J28"/>
    <mergeCell ref="I30:J30"/>
    <mergeCell ref="B57:H57"/>
    <mergeCell ref="B58:H58"/>
    <mergeCell ref="B62:H62"/>
    <mergeCell ref="I64:J64"/>
    <mergeCell ref="I66:J66"/>
    <mergeCell ref="I98:J98"/>
    <mergeCell ref="I100:J100"/>
    <mergeCell ref="B104:F104"/>
    <mergeCell ref="G104:H104"/>
    <mergeCell ref="B74:H74"/>
    <mergeCell ref="B75:H75"/>
    <mergeCell ref="B79:H79"/>
    <mergeCell ref="B91:H91"/>
    <mergeCell ref="B92:H92"/>
    <mergeCell ref="B96:H96"/>
    <mergeCell ref="I83:J83"/>
    <mergeCell ref="B87:F87"/>
    <mergeCell ref="G87:H87"/>
    <mergeCell ref="I81:J81"/>
  </mergeCells>
  <pageMargins left="0.25" right="0.25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J121"/>
  <sheetViews>
    <sheetView workbookViewId="0">
      <selection activeCell="E133" sqref="E133"/>
    </sheetView>
  </sheetViews>
  <sheetFormatPr baseColWidth="10" defaultRowHeight="15" x14ac:dyDescent="0.25"/>
  <cols>
    <col min="1" max="1" width="5" customWidth="1"/>
    <col min="3" max="3" width="7.28515625" customWidth="1"/>
    <col min="5" max="5" width="6.140625" customWidth="1"/>
    <col min="6" max="6" width="5.28515625" customWidth="1"/>
    <col min="7" max="7" width="8.7109375" customWidth="1"/>
    <col min="8" max="8" width="7.7109375" customWidth="1"/>
  </cols>
  <sheetData>
    <row r="3" spans="2:10" ht="15.75" thickBot="1" x14ac:dyDescent="0.3"/>
    <row r="4" spans="2:10" ht="15.75" thickBot="1" x14ac:dyDescent="0.3">
      <c r="B4" s="272" t="s">
        <v>233</v>
      </c>
      <c r="C4" s="273"/>
      <c r="D4" s="273"/>
      <c r="E4" s="273"/>
      <c r="F4" s="273"/>
      <c r="G4" s="273"/>
      <c r="H4" s="274"/>
      <c r="I4" s="79"/>
      <c r="J4" s="80"/>
    </row>
    <row r="5" spans="2:10" ht="15.75" thickBot="1" x14ac:dyDescent="0.3">
      <c r="B5" s="264" t="s">
        <v>134</v>
      </c>
      <c r="C5" s="265"/>
      <c r="D5" s="265"/>
      <c r="E5" s="265"/>
      <c r="F5" s="265"/>
      <c r="G5" s="265"/>
      <c r="H5" s="266"/>
      <c r="I5" s="1"/>
      <c r="J5" s="2"/>
    </row>
    <row r="6" spans="2:10" x14ac:dyDescent="0.25">
      <c r="B6" s="79" t="s">
        <v>240</v>
      </c>
      <c r="C6" s="90"/>
      <c r="D6" s="90"/>
      <c r="E6" s="90"/>
      <c r="G6" t="s">
        <v>47</v>
      </c>
      <c r="H6" s="2"/>
      <c r="I6" s="1"/>
      <c r="J6" s="2"/>
    </row>
    <row r="7" spans="2:10" x14ac:dyDescent="0.25">
      <c r="B7" s="84" t="s">
        <v>238</v>
      </c>
      <c r="C7" s="82"/>
      <c r="D7" s="82"/>
      <c r="H7" s="2"/>
      <c r="I7" s="1"/>
      <c r="J7" s="2"/>
    </row>
    <row r="8" spans="2:10" x14ac:dyDescent="0.25">
      <c r="B8" s="85"/>
      <c r="C8" s="86"/>
      <c r="D8" s="86"/>
      <c r="E8" s="87"/>
      <c r="F8" s="87"/>
      <c r="G8" s="87"/>
      <c r="H8" s="88"/>
      <c r="I8" s="1"/>
      <c r="J8" s="2"/>
    </row>
    <row r="9" spans="2:10" x14ac:dyDescent="0.25">
      <c r="B9" s="267" t="s">
        <v>236</v>
      </c>
      <c r="C9" s="268"/>
      <c r="D9" s="268"/>
      <c r="E9" s="268"/>
      <c r="F9" s="268"/>
      <c r="G9" s="268"/>
      <c r="H9" s="269"/>
      <c r="I9" s="1"/>
      <c r="J9" s="2"/>
    </row>
    <row r="10" spans="2:10" x14ac:dyDescent="0.25">
      <c r="B10" s="84"/>
      <c r="C10" s="82"/>
      <c r="D10" s="82"/>
      <c r="H10" s="2"/>
      <c r="I10" s="1"/>
      <c r="J10" s="2"/>
    </row>
    <row r="11" spans="2:10" x14ac:dyDescent="0.25">
      <c r="B11" s="1" t="s">
        <v>232</v>
      </c>
      <c r="E11" t="str">
        <f>PRORRATEO!D30</f>
        <v xml:space="preserve">RIZOLI VICTOR </v>
      </c>
      <c r="H11" s="2"/>
      <c r="I11" s="270" t="s">
        <v>237</v>
      </c>
      <c r="J11" s="271"/>
    </row>
    <row r="12" spans="2:10" x14ac:dyDescent="0.25">
      <c r="B12" s="1" t="s">
        <v>231</v>
      </c>
      <c r="C12" s="82">
        <f>PRORRATEO!C30</f>
        <v>25</v>
      </c>
      <c r="D12" s="83" t="s">
        <v>235</v>
      </c>
      <c r="E12" s="82" t="str">
        <f>PRORRATEO!B30</f>
        <v>5-A</v>
      </c>
      <c r="H12" s="2"/>
      <c r="I12" s="1"/>
      <c r="J12" s="2"/>
    </row>
    <row r="13" spans="2:10" x14ac:dyDescent="0.25">
      <c r="B13" s="1"/>
      <c r="H13" s="2"/>
      <c r="I13" s="270"/>
      <c r="J13" s="271"/>
    </row>
    <row r="14" spans="2:10" x14ac:dyDescent="0.25">
      <c r="B14" s="1"/>
      <c r="H14" s="2"/>
      <c r="I14" s="1"/>
      <c r="J14" s="2"/>
    </row>
    <row r="15" spans="2:10" x14ac:dyDescent="0.25">
      <c r="B15" s="1"/>
      <c r="H15" s="2"/>
      <c r="I15" s="1"/>
      <c r="J15" s="2"/>
    </row>
    <row r="16" spans="2:10" ht="15.75" thickBot="1" x14ac:dyDescent="0.3">
      <c r="B16" s="1"/>
      <c r="H16" s="2"/>
      <c r="I16" s="89"/>
      <c r="J16" s="92"/>
    </row>
    <row r="17" spans="2:10" ht="15.75" thickBot="1" x14ac:dyDescent="0.3">
      <c r="B17" s="260" t="s">
        <v>234</v>
      </c>
      <c r="C17" s="261"/>
      <c r="D17" s="261"/>
      <c r="E17" s="261"/>
      <c r="F17" s="261"/>
      <c r="G17" s="262">
        <f>PRORRATEO!O30</f>
        <v>158650.25</v>
      </c>
      <c r="H17" s="263"/>
      <c r="I17" s="81"/>
      <c r="J17" s="91"/>
    </row>
    <row r="21" spans="2:10" ht="15.75" thickBot="1" x14ac:dyDescent="0.3"/>
    <row r="22" spans="2:10" ht="15.75" thickBot="1" x14ac:dyDescent="0.3">
      <c r="B22" s="272" t="s">
        <v>233</v>
      </c>
      <c r="C22" s="273"/>
      <c r="D22" s="273"/>
      <c r="E22" s="273"/>
      <c r="F22" s="273"/>
      <c r="G22" s="273"/>
      <c r="H22" s="274"/>
      <c r="I22" s="79"/>
      <c r="J22" s="80"/>
    </row>
    <row r="23" spans="2:10" ht="15.75" thickBot="1" x14ac:dyDescent="0.3">
      <c r="B23" s="264" t="s">
        <v>134</v>
      </c>
      <c r="C23" s="265"/>
      <c r="D23" s="265"/>
      <c r="E23" s="265"/>
      <c r="F23" s="265"/>
      <c r="G23" s="265"/>
      <c r="H23" s="266"/>
      <c r="I23" s="1"/>
      <c r="J23" s="2"/>
    </row>
    <row r="24" spans="2:10" x14ac:dyDescent="0.25">
      <c r="B24" s="79" t="s">
        <v>240</v>
      </c>
      <c r="C24" s="90"/>
      <c r="D24" s="90"/>
      <c r="E24" s="90"/>
      <c r="G24" t="s">
        <v>47</v>
      </c>
      <c r="H24" s="2"/>
      <c r="I24" s="1"/>
      <c r="J24" s="2"/>
    </row>
    <row r="25" spans="2:10" x14ac:dyDescent="0.25">
      <c r="B25" s="84" t="s">
        <v>238</v>
      </c>
      <c r="C25" s="82"/>
      <c r="D25" s="82"/>
      <c r="H25" s="2"/>
      <c r="I25" s="1"/>
      <c r="J25" s="2"/>
    </row>
    <row r="26" spans="2:10" x14ac:dyDescent="0.25">
      <c r="B26" s="85"/>
      <c r="C26" s="86"/>
      <c r="D26" s="86"/>
      <c r="E26" s="87"/>
      <c r="F26" s="87"/>
      <c r="G26" s="87"/>
      <c r="H26" s="88"/>
      <c r="I26" s="1"/>
      <c r="J26" s="2"/>
    </row>
    <row r="27" spans="2:10" x14ac:dyDescent="0.25">
      <c r="B27" s="267" t="s">
        <v>236</v>
      </c>
      <c r="C27" s="268"/>
      <c r="D27" s="268"/>
      <c r="E27" s="268"/>
      <c r="F27" s="268"/>
      <c r="G27" s="268"/>
      <c r="H27" s="269"/>
      <c r="I27" s="1"/>
      <c r="J27" s="2"/>
    </row>
    <row r="28" spans="2:10" x14ac:dyDescent="0.25">
      <c r="B28" s="84"/>
      <c r="C28" s="82"/>
      <c r="D28" s="82"/>
      <c r="H28" s="2"/>
      <c r="I28" s="1"/>
      <c r="J28" s="2"/>
    </row>
    <row r="29" spans="2:10" x14ac:dyDescent="0.25">
      <c r="B29" s="1" t="s">
        <v>232</v>
      </c>
      <c r="E29" t="str">
        <f>PRORRATEO!D31</f>
        <v>HOREN 
KRASNOBRODA</v>
      </c>
      <c r="H29" s="2"/>
      <c r="I29" s="270" t="s">
        <v>237</v>
      </c>
      <c r="J29" s="271"/>
    </row>
    <row r="30" spans="2:10" x14ac:dyDescent="0.25">
      <c r="B30" s="1" t="s">
        <v>231</v>
      </c>
      <c r="C30" s="82">
        <f>PRORRATEO!C31</f>
        <v>26</v>
      </c>
      <c r="D30" s="83" t="s">
        <v>235</v>
      </c>
      <c r="E30" s="82" t="str">
        <f>PRORRATEO!B31</f>
        <v>5-B</v>
      </c>
      <c r="H30" s="2"/>
      <c r="I30" s="1"/>
      <c r="J30" s="2"/>
    </row>
    <row r="31" spans="2:10" x14ac:dyDescent="0.25">
      <c r="B31" s="1"/>
      <c r="H31" s="2"/>
      <c r="I31" s="270"/>
      <c r="J31" s="271"/>
    </row>
    <row r="32" spans="2:10" x14ac:dyDescent="0.25">
      <c r="B32" s="1"/>
      <c r="H32" s="2"/>
      <c r="I32" s="1"/>
      <c r="J32" s="2"/>
    </row>
    <row r="33" spans="2:10" x14ac:dyDescent="0.25">
      <c r="B33" s="1"/>
      <c r="H33" s="2"/>
      <c r="I33" s="1"/>
      <c r="J33" s="2"/>
    </row>
    <row r="34" spans="2:10" ht="15.75" thickBot="1" x14ac:dyDescent="0.3">
      <c r="B34" s="1"/>
      <c r="H34" s="2"/>
      <c r="I34" s="89"/>
      <c r="J34" s="92"/>
    </row>
    <row r="35" spans="2:10" ht="15.75" thickBot="1" x14ac:dyDescent="0.3">
      <c r="B35" s="260" t="s">
        <v>234</v>
      </c>
      <c r="C35" s="261"/>
      <c r="D35" s="261"/>
      <c r="E35" s="261"/>
      <c r="F35" s="261"/>
      <c r="G35" s="262">
        <f>PRORRATEO!O31</f>
        <v>-10798.74</v>
      </c>
      <c r="H35" s="263"/>
      <c r="I35" s="81"/>
      <c r="J35" s="91"/>
    </row>
    <row r="38" spans="2:10" ht="163.5" customHeight="1" x14ac:dyDescent="0.25"/>
    <row r="39" spans="2:10" ht="36" customHeight="1" thickBot="1" x14ac:dyDescent="0.3"/>
    <row r="40" spans="2:10" ht="15.75" thickBot="1" x14ac:dyDescent="0.3">
      <c r="B40" s="272" t="s">
        <v>233</v>
      </c>
      <c r="C40" s="273"/>
      <c r="D40" s="273"/>
      <c r="E40" s="273"/>
      <c r="F40" s="273"/>
      <c r="G40" s="273"/>
      <c r="H40" s="274"/>
      <c r="I40" s="79"/>
      <c r="J40" s="80"/>
    </row>
    <row r="41" spans="2:10" ht="15.75" thickBot="1" x14ac:dyDescent="0.3">
      <c r="B41" s="264" t="s">
        <v>134</v>
      </c>
      <c r="C41" s="265"/>
      <c r="D41" s="265"/>
      <c r="E41" s="265"/>
      <c r="F41" s="265"/>
      <c r="G41" s="265"/>
      <c r="H41" s="266"/>
      <c r="I41" s="1"/>
      <c r="J41" s="2"/>
    </row>
    <row r="42" spans="2:10" x14ac:dyDescent="0.25">
      <c r="B42" s="79" t="s">
        <v>240</v>
      </c>
      <c r="C42" s="90"/>
      <c r="D42" s="90"/>
      <c r="E42" s="90"/>
      <c r="G42" t="s">
        <v>47</v>
      </c>
      <c r="H42" s="2"/>
      <c r="I42" s="1"/>
      <c r="J42" s="2"/>
    </row>
    <row r="43" spans="2:10" x14ac:dyDescent="0.25">
      <c r="B43" s="84" t="s">
        <v>238</v>
      </c>
      <c r="C43" s="82"/>
      <c r="D43" s="82"/>
      <c r="H43" s="2"/>
      <c r="I43" s="1"/>
      <c r="J43" s="2"/>
    </row>
    <row r="44" spans="2:10" x14ac:dyDescent="0.25">
      <c r="B44" s="85"/>
      <c r="C44" s="86"/>
      <c r="D44" s="86"/>
      <c r="E44" s="87"/>
      <c r="F44" s="87"/>
      <c r="G44" s="87"/>
      <c r="H44" s="88"/>
      <c r="I44" s="1"/>
      <c r="J44" s="2"/>
    </row>
    <row r="45" spans="2:10" x14ac:dyDescent="0.25">
      <c r="B45" s="267" t="s">
        <v>236</v>
      </c>
      <c r="C45" s="268"/>
      <c r="D45" s="268"/>
      <c r="E45" s="268"/>
      <c r="F45" s="268"/>
      <c r="G45" s="268"/>
      <c r="H45" s="269"/>
      <c r="I45" s="1"/>
      <c r="J45" s="2"/>
    </row>
    <row r="46" spans="2:10" x14ac:dyDescent="0.25">
      <c r="B46" s="84"/>
      <c r="C46" s="82"/>
      <c r="D46" s="82"/>
      <c r="H46" s="2"/>
      <c r="I46" s="1"/>
      <c r="J46" s="2"/>
    </row>
    <row r="47" spans="2:10" x14ac:dyDescent="0.25">
      <c r="B47" s="1" t="s">
        <v>232</v>
      </c>
      <c r="E47" t="str">
        <f>PRORRATEO!D32</f>
        <v>MUÑOZ 
HERNAN</v>
      </c>
      <c r="H47" s="2"/>
      <c r="I47" s="270" t="s">
        <v>237</v>
      </c>
      <c r="J47" s="271"/>
    </row>
    <row r="48" spans="2:10" x14ac:dyDescent="0.25">
      <c r="B48" s="1" t="s">
        <v>231</v>
      </c>
      <c r="C48" s="82">
        <f>PRORRATEO!C32</f>
        <v>27</v>
      </c>
      <c r="D48" s="83" t="s">
        <v>235</v>
      </c>
      <c r="E48" s="82" t="str">
        <f>PRORRATEO!B32</f>
        <v>5-C</v>
      </c>
      <c r="H48" s="2"/>
      <c r="I48" s="1"/>
      <c r="J48" s="2"/>
    </row>
    <row r="49" spans="2:10" x14ac:dyDescent="0.25">
      <c r="B49" s="1"/>
      <c r="H49" s="2"/>
      <c r="I49" s="270"/>
      <c r="J49" s="271"/>
    </row>
    <row r="50" spans="2:10" x14ac:dyDescent="0.25">
      <c r="B50" s="1"/>
      <c r="H50" s="2"/>
      <c r="I50" s="1"/>
      <c r="J50" s="2"/>
    </row>
    <row r="51" spans="2:10" x14ac:dyDescent="0.25">
      <c r="B51" s="1"/>
      <c r="H51" s="2"/>
      <c r="I51" s="1"/>
      <c r="J51" s="2"/>
    </row>
    <row r="52" spans="2:10" ht="15.75" thickBot="1" x14ac:dyDescent="0.3">
      <c r="B52" s="1"/>
      <c r="H52" s="2"/>
      <c r="I52" s="89"/>
      <c r="J52" s="92"/>
    </row>
    <row r="53" spans="2:10" ht="15.75" thickBot="1" x14ac:dyDescent="0.3">
      <c r="B53" s="260" t="s">
        <v>234</v>
      </c>
      <c r="C53" s="261"/>
      <c r="D53" s="261"/>
      <c r="E53" s="261"/>
      <c r="F53" s="261"/>
      <c r="G53" s="262">
        <f>PRORRATEO!O32</f>
        <v>107350.27</v>
      </c>
      <c r="H53" s="263"/>
      <c r="I53" s="81"/>
      <c r="J53" s="91"/>
    </row>
    <row r="56" spans="2:10" ht="15.75" thickBot="1" x14ac:dyDescent="0.3"/>
    <row r="57" spans="2:10" ht="15.75" thickBot="1" x14ac:dyDescent="0.3">
      <c r="B57" s="272" t="s">
        <v>233</v>
      </c>
      <c r="C57" s="273"/>
      <c r="D57" s="273"/>
      <c r="E57" s="273"/>
      <c r="F57" s="273"/>
      <c r="G57" s="273"/>
      <c r="H57" s="274"/>
      <c r="I57" s="79"/>
      <c r="J57" s="80"/>
    </row>
    <row r="58" spans="2:10" ht="15.75" thickBot="1" x14ac:dyDescent="0.3">
      <c r="B58" s="264" t="s">
        <v>134</v>
      </c>
      <c r="C58" s="265"/>
      <c r="D58" s="265"/>
      <c r="E58" s="265"/>
      <c r="F58" s="265"/>
      <c r="G58" s="265"/>
      <c r="H58" s="266"/>
      <c r="I58" s="1"/>
      <c r="J58" s="2"/>
    </row>
    <row r="59" spans="2:10" x14ac:dyDescent="0.25">
      <c r="B59" s="79" t="s">
        <v>240</v>
      </c>
      <c r="C59" s="90"/>
      <c r="D59" s="90"/>
      <c r="E59" s="90"/>
      <c r="G59" t="s">
        <v>47</v>
      </c>
      <c r="H59" s="2"/>
      <c r="I59" s="1"/>
      <c r="J59" s="2"/>
    </row>
    <row r="60" spans="2:10" x14ac:dyDescent="0.25">
      <c r="B60" s="84" t="s">
        <v>238</v>
      </c>
      <c r="C60" s="82"/>
      <c r="D60" s="82"/>
      <c r="H60" s="2"/>
      <c r="I60" s="1"/>
      <c r="J60" s="2"/>
    </row>
    <row r="61" spans="2:10" x14ac:dyDescent="0.25">
      <c r="B61" s="85"/>
      <c r="C61" s="86"/>
      <c r="D61" s="86"/>
      <c r="E61" s="87"/>
      <c r="F61" s="87"/>
      <c r="G61" s="87"/>
      <c r="H61" s="88"/>
      <c r="I61" s="1"/>
      <c r="J61" s="2"/>
    </row>
    <row r="62" spans="2:10" x14ac:dyDescent="0.25">
      <c r="B62" s="267" t="s">
        <v>236</v>
      </c>
      <c r="C62" s="268"/>
      <c r="D62" s="268"/>
      <c r="E62" s="268"/>
      <c r="F62" s="268"/>
      <c r="G62" s="268"/>
      <c r="H62" s="269"/>
      <c r="I62" s="1"/>
      <c r="J62" s="2"/>
    </row>
    <row r="63" spans="2:10" x14ac:dyDescent="0.25">
      <c r="B63" s="84"/>
      <c r="C63" s="82"/>
      <c r="D63" s="82"/>
      <c r="H63" s="2"/>
      <c r="I63" s="1"/>
      <c r="J63" s="2"/>
    </row>
    <row r="64" spans="2:10" x14ac:dyDescent="0.25">
      <c r="B64" s="1" t="s">
        <v>232</v>
      </c>
      <c r="E64" t="str">
        <f>PRORRATEO!D33</f>
        <v>VASTA NANCY</v>
      </c>
      <c r="H64" s="2"/>
      <c r="I64" s="270" t="s">
        <v>237</v>
      </c>
      <c r="J64" s="271"/>
    </row>
    <row r="65" spans="2:10" x14ac:dyDescent="0.25">
      <c r="B65" s="1" t="s">
        <v>231</v>
      </c>
      <c r="C65" s="82">
        <f>PRORRATEO!C33</f>
        <v>28</v>
      </c>
      <c r="D65" s="83" t="s">
        <v>235</v>
      </c>
      <c r="E65" s="82" t="str">
        <f>PRORRATEO!B33</f>
        <v>5-D</v>
      </c>
      <c r="H65" s="2"/>
      <c r="I65" s="1"/>
      <c r="J65" s="2"/>
    </row>
    <row r="66" spans="2:10" x14ac:dyDescent="0.25">
      <c r="B66" s="1"/>
      <c r="H66" s="2"/>
      <c r="I66" s="270"/>
      <c r="J66" s="271"/>
    </row>
    <row r="67" spans="2:10" x14ac:dyDescent="0.25">
      <c r="B67" s="1"/>
      <c r="H67" s="2"/>
      <c r="I67" s="1"/>
      <c r="J67" s="2"/>
    </row>
    <row r="68" spans="2:10" x14ac:dyDescent="0.25">
      <c r="B68" s="1"/>
      <c r="H68" s="2"/>
      <c r="I68" s="1"/>
      <c r="J68" s="2"/>
    </row>
    <row r="69" spans="2:10" ht="15.75" thickBot="1" x14ac:dyDescent="0.3">
      <c r="B69" s="1"/>
      <c r="H69" s="2"/>
      <c r="I69" s="89"/>
      <c r="J69" s="92"/>
    </row>
    <row r="70" spans="2:10" ht="15.75" thickBot="1" x14ac:dyDescent="0.3">
      <c r="B70" s="260" t="s">
        <v>234</v>
      </c>
      <c r="C70" s="261"/>
      <c r="D70" s="261"/>
      <c r="E70" s="261"/>
      <c r="F70" s="261"/>
      <c r="G70" s="262">
        <f>PRORRATEO!O33</f>
        <v>101871.28</v>
      </c>
      <c r="H70" s="263"/>
      <c r="I70" s="81"/>
      <c r="J70" s="91"/>
    </row>
    <row r="71" spans="2:10" ht="9" customHeight="1" x14ac:dyDescent="0.25"/>
    <row r="72" spans="2:10" hidden="1" x14ac:dyDescent="0.25"/>
    <row r="73" spans="2:10" ht="15.75" thickBot="1" x14ac:dyDescent="0.3"/>
    <row r="74" spans="2:10" ht="15.75" thickBot="1" x14ac:dyDescent="0.3">
      <c r="B74" s="272" t="s">
        <v>233</v>
      </c>
      <c r="C74" s="273"/>
      <c r="D74" s="273"/>
      <c r="E74" s="273"/>
      <c r="F74" s="273"/>
      <c r="G74" s="273"/>
      <c r="H74" s="274"/>
      <c r="I74" s="79"/>
      <c r="J74" s="80"/>
    </row>
    <row r="75" spans="2:10" ht="15.75" thickBot="1" x14ac:dyDescent="0.3">
      <c r="B75" s="264" t="s">
        <v>134</v>
      </c>
      <c r="C75" s="265"/>
      <c r="D75" s="265"/>
      <c r="E75" s="265"/>
      <c r="F75" s="265"/>
      <c r="G75" s="265"/>
      <c r="H75" s="266"/>
      <c r="I75" s="1"/>
      <c r="J75" s="2"/>
    </row>
    <row r="76" spans="2:10" x14ac:dyDescent="0.25">
      <c r="B76" s="79" t="s">
        <v>240</v>
      </c>
      <c r="C76" s="90"/>
      <c r="D76" s="90"/>
      <c r="E76" s="90"/>
      <c r="G76" t="s">
        <v>47</v>
      </c>
      <c r="H76" s="2"/>
      <c r="I76" s="1"/>
      <c r="J76" s="2"/>
    </row>
    <row r="77" spans="2:10" x14ac:dyDescent="0.25">
      <c r="B77" s="84" t="s">
        <v>238</v>
      </c>
      <c r="C77" s="82"/>
      <c r="D77" s="82"/>
      <c r="H77" s="2"/>
      <c r="I77" s="1"/>
      <c r="J77" s="2"/>
    </row>
    <row r="78" spans="2:10" x14ac:dyDescent="0.25">
      <c r="B78" s="85"/>
      <c r="C78" s="86"/>
      <c r="D78" s="86"/>
      <c r="E78" s="87"/>
      <c r="F78" s="87"/>
      <c r="G78" s="87"/>
      <c r="H78" s="88"/>
      <c r="I78" s="1"/>
      <c r="J78" s="2"/>
    </row>
    <row r="79" spans="2:10" x14ac:dyDescent="0.25">
      <c r="B79" s="267" t="s">
        <v>236</v>
      </c>
      <c r="C79" s="268"/>
      <c r="D79" s="268"/>
      <c r="E79" s="268"/>
      <c r="F79" s="268"/>
      <c r="G79" s="268"/>
      <c r="H79" s="269"/>
      <c r="I79" s="1"/>
      <c r="J79" s="2"/>
    </row>
    <row r="80" spans="2:10" x14ac:dyDescent="0.25">
      <c r="B80" s="84"/>
      <c r="C80" s="82"/>
      <c r="D80" s="82"/>
      <c r="H80" s="2"/>
      <c r="I80" s="1"/>
      <c r="J80" s="2"/>
    </row>
    <row r="81" spans="2:10" x14ac:dyDescent="0.25">
      <c r="B81" s="1" t="s">
        <v>232</v>
      </c>
      <c r="E81" t="str">
        <f>PRORRATEO!D34</f>
        <v>TRAVERSA</v>
      </c>
      <c r="H81" s="2"/>
      <c r="I81" s="270" t="s">
        <v>237</v>
      </c>
      <c r="J81" s="271"/>
    </row>
    <row r="82" spans="2:10" x14ac:dyDescent="0.25">
      <c r="B82" s="1" t="s">
        <v>231</v>
      </c>
      <c r="C82" s="82">
        <f>PRORRATEO!C34</f>
        <v>29</v>
      </c>
      <c r="D82" s="83" t="s">
        <v>235</v>
      </c>
      <c r="E82" s="82" t="str">
        <f>PRORRATEO!B34</f>
        <v>5-E</v>
      </c>
      <c r="H82" s="2"/>
      <c r="I82" s="1"/>
      <c r="J82" s="2"/>
    </row>
    <row r="83" spans="2:10" x14ac:dyDescent="0.25">
      <c r="B83" s="1"/>
      <c r="H83" s="2"/>
      <c r="I83" s="270"/>
      <c r="J83" s="271"/>
    </row>
    <row r="84" spans="2:10" x14ac:dyDescent="0.25">
      <c r="B84" s="1"/>
      <c r="H84" s="2"/>
      <c r="I84" s="1"/>
      <c r="J84" s="2"/>
    </row>
    <row r="85" spans="2:10" x14ac:dyDescent="0.25">
      <c r="B85" s="1"/>
      <c r="H85" s="2"/>
      <c r="I85" s="1"/>
      <c r="J85" s="2"/>
    </row>
    <row r="86" spans="2:10" ht="15.75" thickBot="1" x14ac:dyDescent="0.3">
      <c r="B86" s="1"/>
      <c r="H86" s="2"/>
      <c r="I86" s="89"/>
      <c r="J86" s="92"/>
    </row>
    <row r="87" spans="2:10" ht="15.75" thickBot="1" x14ac:dyDescent="0.3">
      <c r="B87" s="260" t="s">
        <v>234</v>
      </c>
      <c r="C87" s="261"/>
      <c r="D87" s="261"/>
      <c r="E87" s="261"/>
      <c r="F87" s="261"/>
      <c r="G87" s="262">
        <f>PRORRATEO!O34</f>
        <v>104193.29</v>
      </c>
      <c r="H87" s="263"/>
      <c r="I87" s="81"/>
      <c r="J87" s="91"/>
    </row>
    <row r="90" spans="2:10" ht="15.75" thickBot="1" x14ac:dyDescent="0.3"/>
    <row r="91" spans="2:10" ht="15.75" thickBot="1" x14ac:dyDescent="0.3">
      <c r="B91" s="272" t="s">
        <v>233</v>
      </c>
      <c r="C91" s="273"/>
      <c r="D91" s="273"/>
      <c r="E91" s="273"/>
      <c r="F91" s="273"/>
      <c r="G91" s="273"/>
      <c r="H91" s="274"/>
      <c r="I91" s="79"/>
      <c r="J91" s="80"/>
    </row>
    <row r="92" spans="2:10" ht="15.75" thickBot="1" x14ac:dyDescent="0.3">
      <c r="B92" s="264" t="s">
        <v>134</v>
      </c>
      <c r="C92" s="265"/>
      <c r="D92" s="265"/>
      <c r="E92" s="265"/>
      <c r="F92" s="265"/>
      <c r="G92" s="265"/>
      <c r="H92" s="266"/>
      <c r="I92" s="1"/>
      <c r="J92" s="2"/>
    </row>
    <row r="93" spans="2:10" x14ac:dyDescent="0.25">
      <c r="B93" s="79" t="s">
        <v>240</v>
      </c>
      <c r="C93" s="90"/>
      <c r="D93" s="90"/>
      <c r="E93" s="90"/>
      <c r="G93" t="s">
        <v>47</v>
      </c>
      <c r="H93" s="2"/>
      <c r="I93" s="1"/>
      <c r="J93" s="2"/>
    </row>
    <row r="94" spans="2:10" x14ac:dyDescent="0.25">
      <c r="B94" s="84" t="s">
        <v>238</v>
      </c>
      <c r="C94" s="82"/>
      <c r="D94" s="82"/>
      <c r="H94" s="2"/>
      <c r="I94" s="1"/>
      <c r="J94" s="2"/>
    </row>
    <row r="95" spans="2:10" x14ac:dyDescent="0.25">
      <c r="B95" s="85"/>
      <c r="C95" s="86"/>
      <c r="D95" s="86"/>
      <c r="E95" s="87"/>
      <c r="F95" s="87"/>
      <c r="G95" s="87"/>
      <c r="H95" s="88"/>
      <c r="I95" s="1"/>
      <c r="J95" s="2"/>
    </row>
    <row r="96" spans="2:10" x14ac:dyDescent="0.25">
      <c r="B96" s="267" t="s">
        <v>236</v>
      </c>
      <c r="C96" s="268"/>
      <c r="D96" s="268"/>
      <c r="E96" s="268"/>
      <c r="F96" s="268"/>
      <c r="G96" s="268"/>
      <c r="H96" s="269"/>
      <c r="I96" s="1"/>
      <c r="J96" s="2"/>
    </row>
    <row r="97" spans="2:10" x14ac:dyDescent="0.25">
      <c r="B97" s="84"/>
      <c r="C97" s="82"/>
      <c r="D97" s="82"/>
      <c r="H97" s="2"/>
      <c r="I97" s="1"/>
      <c r="J97" s="2"/>
    </row>
    <row r="98" spans="2:10" x14ac:dyDescent="0.25">
      <c r="B98" s="1" t="s">
        <v>232</v>
      </c>
      <c r="E98" t="str">
        <f>PRORRATEO!D35</f>
        <v>BAFFONI 
FABIAN</v>
      </c>
      <c r="H98" s="2"/>
      <c r="I98" s="270" t="s">
        <v>237</v>
      </c>
      <c r="J98" s="271"/>
    </row>
    <row r="99" spans="2:10" x14ac:dyDescent="0.25">
      <c r="B99" s="1" t="s">
        <v>231</v>
      </c>
      <c r="C99" s="82">
        <f>PRORRATEO!C35</f>
        <v>30</v>
      </c>
      <c r="D99" s="83" t="s">
        <v>235</v>
      </c>
      <c r="E99" s="82" t="str">
        <f>PRORRATEO!B35</f>
        <v>6-A</v>
      </c>
      <c r="H99" s="2"/>
      <c r="I99" s="1"/>
      <c r="J99" s="2"/>
    </row>
    <row r="100" spans="2:10" x14ac:dyDescent="0.25">
      <c r="B100" s="1"/>
      <c r="H100" s="2"/>
      <c r="I100" s="270"/>
      <c r="J100" s="271"/>
    </row>
    <row r="101" spans="2:10" x14ac:dyDescent="0.25">
      <c r="B101" s="1"/>
      <c r="H101" s="2"/>
      <c r="I101" s="1"/>
      <c r="J101" s="2"/>
    </row>
    <row r="102" spans="2:10" x14ac:dyDescent="0.25">
      <c r="B102" s="1"/>
      <c r="H102" s="2"/>
      <c r="I102" s="1"/>
      <c r="J102" s="2"/>
    </row>
    <row r="103" spans="2:10" ht="15.75" thickBot="1" x14ac:dyDescent="0.3">
      <c r="B103" s="1"/>
      <c r="H103" s="2"/>
      <c r="I103" s="89"/>
      <c r="J103" s="92"/>
    </row>
    <row r="104" spans="2:10" ht="15.75" thickBot="1" x14ac:dyDescent="0.3">
      <c r="B104" s="260" t="s">
        <v>234</v>
      </c>
      <c r="C104" s="261"/>
      <c r="D104" s="261"/>
      <c r="E104" s="261"/>
      <c r="F104" s="261"/>
      <c r="G104" s="262">
        <f>PRORRATEO!O35</f>
        <v>158650.29999999999</v>
      </c>
      <c r="H104" s="263"/>
      <c r="I104" s="81"/>
      <c r="J104" s="91"/>
    </row>
    <row r="107" spans="2:10" ht="15.75" thickBot="1" x14ac:dyDescent="0.3"/>
    <row r="108" spans="2:10" ht="15.75" thickBot="1" x14ac:dyDescent="0.3">
      <c r="B108" s="272" t="s">
        <v>233</v>
      </c>
      <c r="C108" s="273"/>
      <c r="D108" s="273"/>
      <c r="E108" s="273"/>
      <c r="F108" s="273"/>
      <c r="G108" s="273"/>
      <c r="H108" s="274"/>
      <c r="I108" s="79"/>
      <c r="J108" s="80"/>
    </row>
    <row r="109" spans="2:10" ht="15.75" thickBot="1" x14ac:dyDescent="0.3">
      <c r="B109" s="264" t="s">
        <v>134</v>
      </c>
      <c r="C109" s="265"/>
      <c r="D109" s="265"/>
      <c r="E109" s="265"/>
      <c r="F109" s="265"/>
      <c r="G109" s="265"/>
      <c r="H109" s="266"/>
      <c r="I109" s="1"/>
      <c r="J109" s="2"/>
    </row>
    <row r="110" spans="2:10" x14ac:dyDescent="0.25">
      <c r="B110" s="79" t="s">
        <v>240</v>
      </c>
      <c r="C110" s="90"/>
      <c r="D110" s="90"/>
      <c r="E110" s="90"/>
      <c r="G110" t="s">
        <v>47</v>
      </c>
      <c r="H110" s="2"/>
      <c r="I110" s="1"/>
      <c r="J110" s="2"/>
    </row>
    <row r="111" spans="2:10" x14ac:dyDescent="0.25">
      <c r="B111" s="84" t="s">
        <v>238</v>
      </c>
      <c r="C111" s="82"/>
      <c r="D111" s="82"/>
      <c r="H111" s="2"/>
      <c r="I111" s="1"/>
      <c r="J111" s="2"/>
    </row>
    <row r="112" spans="2:10" x14ac:dyDescent="0.25">
      <c r="B112" s="85"/>
      <c r="C112" s="86"/>
      <c r="D112" s="86"/>
      <c r="E112" s="87"/>
      <c r="F112" s="87"/>
      <c r="G112" s="87"/>
      <c r="H112" s="88"/>
      <c r="I112" s="1"/>
      <c r="J112" s="2"/>
    </row>
    <row r="113" spans="2:10" x14ac:dyDescent="0.25">
      <c r="B113" s="267" t="s">
        <v>236</v>
      </c>
      <c r="C113" s="268"/>
      <c r="D113" s="268"/>
      <c r="E113" s="268"/>
      <c r="F113" s="268"/>
      <c r="G113" s="268"/>
      <c r="H113" s="269"/>
      <c r="I113" s="1"/>
      <c r="J113" s="2"/>
    </row>
    <row r="114" spans="2:10" x14ac:dyDescent="0.25">
      <c r="B114" s="84"/>
      <c r="C114" s="82"/>
      <c r="D114" s="82"/>
      <c r="H114" s="2"/>
      <c r="I114" s="1"/>
      <c r="J114" s="2"/>
    </row>
    <row r="115" spans="2:10" x14ac:dyDescent="0.25">
      <c r="B115" s="1" t="s">
        <v>232</v>
      </c>
      <c r="E115" t="str">
        <f>PRORRATEO!D37</f>
        <v>PAQUET DE 
LOPEZ</v>
      </c>
      <c r="H115" s="2"/>
      <c r="I115" s="270" t="s">
        <v>237</v>
      </c>
      <c r="J115" s="271"/>
    </row>
    <row r="116" spans="2:10" x14ac:dyDescent="0.25">
      <c r="B116" s="1" t="s">
        <v>231</v>
      </c>
      <c r="C116" s="82">
        <f>PRORRATEO!C37</f>
        <v>31</v>
      </c>
      <c r="D116" s="83" t="s">
        <v>235</v>
      </c>
      <c r="E116" s="82" t="str">
        <f>PRORRATEO!B37</f>
        <v>6-B</v>
      </c>
      <c r="H116" s="2"/>
      <c r="I116" s="1"/>
      <c r="J116" s="2"/>
    </row>
    <row r="117" spans="2:10" x14ac:dyDescent="0.25">
      <c r="B117" s="1"/>
      <c r="H117" s="2"/>
      <c r="I117" s="270"/>
      <c r="J117" s="271"/>
    </row>
    <row r="118" spans="2:10" x14ac:dyDescent="0.25">
      <c r="B118" s="1"/>
      <c r="H118" s="2"/>
      <c r="I118" s="1"/>
      <c r="J118" s="2"/>
    </row>
    <row r="119" spans="2:10" x14ac:dyDescent="0.25">
      <c r="B119" s="1"/>
      <c r="H119" s="2"/>
      <c r="I119" s="1"/>
      <c r="J119" s="2"/>
    </row>
    <row r="120" spans="2:10" ht="15.75" thickBot="1" x14ac:dyDescent="0.3">
      <c r="B120" s="1"/>
      <c r="H120" s="2"/>
      <c r="I120" s="89"/>
      <c r="J120" s="92"/>
    </row>
    <row r="121" spans="2:10" ht="15.75" thickBot="1" x14ac:dyDescent="0.3">
      <c r="B121" s="260" t="s">
        <v>234</v>
      </c>
      <c r="C121" s="261"/>
      <c r="D121" s="261"/>
      <c r="E121" s="261"/>
      <c r="F121" s="261"/>
      <c r="G121" s="262">
        <f>PRORRATEO!O37</f>
        <v>162450.31</v>
      </c>
      <c r="H121" s="263"/>
      <c r="I121" s="81"/>
      <c r="J121" s="91"/>
    </row>
  </sheetData>
  <mergeCells count="49">
    <mergeCell ref="B4:H4"/>
    <mergeCell ref="B5:H5"/>
    <mergeCell ref="B9:H9"/>
    <mergeCell ref="B62:H62"/>
    <mergeCell ref="I11:J11"/>
    <mergeCell ref="I13:J13"/>
    <mergeCell ref="I47:J47"/>
    <mergeCell ref="I49:J49"/>
    <mergeCell ref="B53:F53"/>
    <mergeCell ref="G53:H53"/>
    <mergeCell ref="B22:H22"/>
    <mergeCell ref="B23:H23"/>
    <mergeCell ref="B27:H27"/>
    <mergeCell ref="I29:J29"/>
    <mergeCell ref="I31:J31"/>
    <mergeCell ref="B35:F35"/>
    <mergeCell ref="I64:J64"/>
    <mergeCell ref="I66:J66"/>
    <mergeCell ref="G35:H35"/>
    <mergeCell ref="B17:F17"/>
    <mergeCell ref="G17:H17"/>
    <mergeCell ref="B40:H40"/>
    <mergeCell ref="B41:H41"/>
    <mergeCell ref="B45:H45"/>
    <mergeCell ref="B57:H57"/>
    <mergeCell ref="B58:H58"/>
    <mergeCell ref="B74:H74"/>
    <mergeCell ref="B75:H75"/>
    <mergeCell ref="I81:J81"/>
    <mergeCell ref="I83:J83"/>
    <mergeCell ref="B70:F70"/>
    <mergeCell ref="G70:H70"/>
    <mergeCell ref="I115:J115"/>
    <mergeCell ref="B87:F87"/>
    <mergeCell ref="G87:H87"/>
    <mergeCell ref="B79:H79"/>
    <mergeCell ref="I117:J117"/>
    <mergeCell ref="I98:J98"/>
    <mergeCell ref="I100:J100"/>
    <mergeCell ref="B121:F121"/>
    <mergeCell ref="G121:H121"/>
    <mergeCell ref="B91:H91"/>
    <mergeCell ref="B92:H92"/>
    <mergeCell ref="B96:H96"/>
    <mergeCell ref="B108:H108"/>
    <mergeCell ref="B109:H109"/>
    <mergeCell ref="B113:H113"/>
    <mergeCell ref="B104:F104"/>
    <mergeCell ref="G104:H104"/>
  </mergeCells>
  <pageMargins left="0.25" right="0.25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71"/>
  <sheetViews>
    <sheetView workbookViewId="0">
      <selection activeCell="L12" sqref="L12"/>
    </sheetView>
  </sheetViews>
  <sheetFormatPr baseColWidth="10" defaultRowHeight="15" x14ac:dyDescent="0.25"/>
  <cols>
    <col min="1" max="1" width="4" customWidth="1"/>
    <col min="4" max="4" width="7.85546875" customWidth="1"/>
    <col min="5" max="5" width="4.5703125" customWidth="1"/>
    <col min="6" max="6" width="6.85546875" customWidth="1"/>
    <col min="8" max="8" width="6.42578125" customWidth="1"/>
  </cols>
  <sheetData>
    <row r="1" spans="2:10" ht="15.75" thickBot="1" x14ac:dyDescent="0.3"/>
    <row r="2" spans="2:10" ht="15.75" thickBot="1" x14ac:dyDescent="0.3">
      <c r="B2" s="272" t="s">
        <v>233</v>
      </c>
      <c r="C2" s="273"/>
      <c r="D2" s="273"/>
      <c r="E2" s="273"/>
      <c r="F2" s="273"/>
      <c r="G2" s="273"/>
      <c r="H2" s="274"/>
      <c r="I2" s="79"/>
      <c r="J2" s="80"/>
    </row>
    <row r="3" spans="2:10" ht="15.75" thickBot="1" x14ac:dyDescent="0.3">
      <c r="B3" s="264" t="s">
        <v>134</v>
      </c>
      <c r="C3" s="265"/>
      <c r="D3" s="265"/>
      <c r="E3" s="265"/>
      <c r="F3" s="265"/>
      <c r="G3" s="265"/>
      <c r="H3" s="266"/>
      <c r="I3" s="1"/>
      <c r="J3" s="2"/>
    </row>
    <row r="4" spans="2:10" x14ac:dyDescent="0.25">
      <c r="B4" s="79" t="s">
        <v>240</v>
      </c>
      <c r="C4" s="90"/>
      <c r="D4" s="90"/>
      <c r="E4" s="90"/>
      <c r="G4" t="s">
        <v>47</v>
      </c>
      <c r="H4" s="2"/>
      <c r="I4" s="1"/>
      <c r="J4" s="2"/>
    </row>
    <row r="5" spans="2:10" x14ac:dyDescent="0.25">
      <c r="B5" s="84" t="s">
        <v>238</v>
      </c>
      <c r="C5" s="82"/>
      <c r="D5" s="82"/>
      <c r="H5" s="2"/>
      <c r="I5" s="1"/>
      <c r="J5" s="2"/>
    </row>
    <row r="6" spans="2:10" x14ac:dyDescent="0.25">
      <c r="B6" s="85"/>
      <c r="C6" s="86"/>
      <c r="D6" s="86"/>
      <c r="E6" s="87"/>
      <c r="F6" s="87"/>
      <c r="G6" s="87"/>
      <c r="H6" s="88"/>
      <c r="I6" s="1"/>
      <c r="J6" s="2"/>
    </row>
    <row r="7" spans="2:10" x14ac:dyDescent="0.25">
      <c r="B7" s="267" t="s">
        <v>236</v>
      </c>
      <c r="C7" s="268"/>
      <c r="D7" s="268"/>
      <c r="E7" s="268"/>
      <c r="F7" s="268"/>
      <c r="G7" s="268"/>
      <c r="H7" s="269"/>
      <c r="I7" s="1"/>
      <c r="J7" s="2"/>
    </row>
    <row r="8" spans="2:10" x14ac:dyDescent="0.25">
      <c r="B8" s="84"/>
      <c r="C8" s="82"/>
      <c r="D8" s="82"/>
      <c r="H8" s="2"/>
      <c r="I8" s="1"/>
      <c r="J8" s="2"/>
    </row>
    <row r="9" spans="2:10" x14ac:dyDescent="0.25">
      <c r="B9" s="1" t="s">
        <v>232</v>
      </c>
      <c r="E9" t="str">
        <f>PRORRATEO!D38</f>
        <v>BLANCO 
MABEL</v>
      </c>
      <c r="H9" s="2"/>
      <c r="I9" s="270" t="s">
        <v>237</v>
      </c>
      <c r="J9" s="271"/>
    </row>
    <row r="10" spans="2:10" x14ac:dyDescent="0.25">
      <c r="B10" s="1" t="s">
        <v>231</v>
      </c>
      <c r="C10" s="82">
        <f>PRORRATEO!C38</f>
        <v>32</v>
      </c>
      <c r="D10" s="83" t="s">
        <v>235</v>
      </c>
      <c r="E10" s="82" t="str">
        <f>PRORRATEO!B38</f>
        <v>6-C</v>
      </c>
      <c r="H10" s="2"/>
      <c r="I10" s="1"/>
      <c r="J10" s="2"/>
    </row>
    <row r="11" spans="2:10" x14ac:dyDescent="0.25">
      <c r="B11" s="1"/>
      <c r="H11" s="2"/>
      <c r="I11" s="270"/>
      <c r="J11" s="271"/>
    </row>
    <row r="12" spans="2:10" x14ac:dyDescent="0.25">
      <c r="B12" s="1"/>
      <c r="H12" s="2"/>
      <c r="I12" s="1"/>
      <c r="J12" s="2"/>
    </row>
    <row r="13" spans="2:10" x14ac:dyDescent="0.25">
      <c r="B13" s="1"/>
      <c r="H13" s="2"/>
      <c r="I13" s="1"/>
      <c r="J13" s="2"/>
    </row>
    <row r="14" spans="2:10" ht="15.75" thickBot="1" x14ac:dyDescent="0.3">
      <c r="B14" s="1"/>
      <c r="H14" s="2"/>
      <c r="I14" s="89"/>
      <c r="J14" s="92"/>
    </row>
    <row r="15" spans="2:10" ht="15.75" thickBot="1" x14ac:dyDescent="0.3">
      <c r="B15" s="260" t="s">
        <v>234</v>
      </c>
      <c r="C15" s="261"/>
      <c r="D15" s="261"/>
      <c r="E15" s="261"/>
      <c r="F15" s="261"/>
      <c r="G15" s="262">
        <f>PRORRATEO!O38</f>
        <v>107350.32</v>
      </c>
      <c r="H15" s="263"/>
      <c r="I15" s="81"/>
      <c r="J15" s="91"/>
    </row>
    <row r="17" spans="2:10" ht="15.75" thickBot="1" x14ac:dyDescent="0.3"/>
    <row r="18" spans="2:10" ht="15.75" thickBot="1" x14ac:dyDescent="0.3">
      <c r="B18" s="272" t="s">
        <v>233</v>
      </c>
      <c r="C18" s="273"/>
      <c r="D18" s="273"/>
      <c r="E18" s="273"/>
      <c r="F18" s="273"/>
      <c r="G18" s="273"/>
      <c r="H18" s="274"/>
      <c r="I18" s="79"/>
      <c r="J18" s="80"/>
    </row>
    <row r="19" spans="2:10" ht="15.75" thickBot="1" x14ac:dyDescent="0.3">
      <c r="B19" s="264" t="s">
        <v>134</v>
      </c>
      <c r="C19" s="265"/>
      <c r="D19" s="265"/>
      <c r="E19" s="265"/>
      <c r="F19" s="265"/>
      <c r="G19" s="265"/>
      <c r="H19" s="266"/>
      <c r="I19" s="1"/>
      <c r="J19" s="2"/>
    </row>
    <row r="20" spans="2:10" x14ac:dyDescent="0.25">
      <c r="B20" s="79" t="s">
        <v>240</v>
      </c>
      <c r="C20" s="90"/>
      <c r="D20" s="90"/>
      <c r="E20" s="90"/>
      <c r="G20" t="s">
        <v>47</v>
      </c>
      <c r="H20" s="2"/>
      <c r="I20" s="1"/>
      <c r="J20" s="2"/>
    </row>
    <row r="21" spans="2:10" x14ac:dyDescent="0.25">
      <c r="B21" s="84" t="s">
        <v>238</v>
      </c>
      <c r="C21" s="82"/>
      <c r="D21" s="82"/>
      <c r="H21" s="2"/>
      <c r="I21" s="1"/>
      <c r="J21" s="2"/>
    </row>
    <row r="22" spans="2:10" x14ac:dyDescent="0.25">
      <c r="B22" s="85"/>
      <c r="C22" s="86"/>
      <c r="D22" s="86"/>
      <c r="E22" s="87"/>
      <c r="F22" s="87"/>
      <c r="G22" s="87"/>
      <c r="H22" s="88"/>
      <c r="I22" s="1"/>
      <c r="J22" s="2"/>
    </row>
    <row r="23" spans="2:10" x14ac:dyDescent="0.25">
      <c r="B23" s="267" t="s">
        <v>236</v>
      </c>
      <c r="C23" s="268"/>
      <c r="D23" s="268"/>
      <c r="E23" s="268"/>
      <c r="F23" s="268"/>
      <c r="G23" s="268"/>
      <c r="H23" s="269"/>
      <c r="I23" s="1"/>
      <c r="J23" s="2"/>
    </row>
    <row r="24" spans="2:10" x14ac:dyDescent="0.25">
      <c r="B24" s="84"/>
      <c r="C24" s="82"/>
      <c r="D24" s="82"/>
      <c r="H24" s="2"/>
      <c r="I24" s="1"/>
      <c r="J24" s="2"/>
    </row>
    <row r="25" spans="2:10" x14ac:dyDescent="0.25">
      <c r="B25" s="1" t="s">
        <v>232</v>
      </c>
      <c r="E25" t="str">
        <f>PRORRATEO!D39</f>
        <v>TESTA IRENE</v>
      </c>
      <c r="H25" s="2"/>
      <c r="I25" s="270" t="s">
        <v>237</v>
      </c>
      <c r="J25" s="271"/>
    </row>
    <row r="26" spans="2:10" x14ac:dyDescent="0.25">
      <c r="B26" s="1" t="s">
        <v>231</v>
      </c>
      <c r="C26" s="82">
        <f>PRORRATEO!C39</f>
        <v>33</v>
      </c>
      <c r="D26" s="83" t="s">
        <v>235</v>
      </c>
      <c r="E26" s="82" t="str">
        <f>PRORRATEO!B39</f>
        <v>6-D</v>
      </c>
      <c r="H26" s="2"/>
      <c r="I26" s="1"/>
      <c r="J26" s="2"/>
    </row>
    <row r="27" spans="2:10" x14ac:dyDescent="0.25">
      <c r="B27" s="1"/>
      <c r="H27" s="2"/>
      <c r="I27" s="270"/>
      <c r="J27" s="271"/>
    </row>
    <row r="28" spans="2:10" x14ac:dyDescent="0.25">
      <c r="B28" s="1"/>
      <c r="H28" s="2"/>
      <c r="I28" s="1"/>
      <c r="J28" s="2"/>
    </row>
    <row r="29" spans="2:10" x14ac:dyDescent="0.25">
      <c r="B29" s="1"/>
      <c r="H29" s="2"/>
      <c r="I29" s="1"/>
      <c r="J29" s="2"/>
    </row>
    <row r="30" spans="2:10" ht="15.75" thickBot="1" x14ac:dyDescent="0.3">
      <c r="B30" s="1"/>
      <c r="H30" s="2"/>
      <c r="I30" s="89"/>
      <c r="J30" s="92"/>
    </row>
    <row r="31" spans="2:10" ht="15.75" thickBot="1" x14ac:dyDescent="0.3">
      <c r="B31" s="260" t="s">
        <v>234</v>
      </c>
      <c r="C31" s="261"/>
      <c r="D31" s="261"/>
      <c r="E31" s="261"/>
      <c r="F31" s="261"/>
      <c r="G31" s="262">
        <f>PRORRATEO!O39</f>
        <v>107350.33</v>
      </c>
      <c r="H31" s="263"/>
      <c r="I31" s="81"/>
      <c r="J31" s="91"/>
    </row>
    <row r="34" spans="2:10" hidden="1" x14ac:dyDescent="0.25"/>
    <row r="35" spans="2:10" ht="15.75" thickBot="1" x14ac:dyDescent="0.3"/>
    <row r="36" spans="2:10" ht="15.75" thickBot="1" x14ac:dyDescent="0.3">
      <c r="B36" s="272" t="s">
        <v>233</v>
      </c>
      <c r="C36" s="273"/>
      <c r="D36" s="273"/>
      <c r="E36" s="273"/>
      <c r="F36" s="273"/>
      <c r="G36" s="273"/>
      <c r="H36" s="274"/>
      <c r="I36" s="79"/>
      <c r="J36" s="80"/>
    </row>
    <row r="37" spans="2:10" ht="15.75" thickBot="1" x14ac:dyDescent="0.3">
      <c r="B37" s="264" t="s">
        <v>134</v>
      </c>
      <c r="C37" s="265"/>
      <c r="D37" s="265"/>
      <c r="E37" s="265"/>
      <c r="F37" s="265"/>
      <c r="G37" s="265"/>
      <c r="H37" s="266"/>
      <c r="I37" s="1"/>
      <c r="J37" s="2"/>
    </row>
    <row r="38" spans="2:10" x14ac:dyDescent="0.25">
      <c r="B38" s="79" t="s">
        <v>240</v>
      </c>
      <c r="C38" s="90"/>
      <c r="D38" s="90"/>
      <c r="E38" s="90"/>
      <c r="G38" t="s">
        <v>47</v>
      </c>
      <c r="H38" s="2"/>
      <c r="I38" s="1"/>
      <c r="J38" s="2"/>
    </row>
    <row r="39" spans="2:10" x14ac:dyDescent="0.25">
      <c r="B39" s="84" t="s">
        <v>238</v>
      </c>
      <c r="C39" s="82"/>
      <c r="D39" s="82"/>
      <c r="H39" s="2"/>
      <c r="I39" s="1"/>
      <c r="J39" s="2"/>
    </row>
    <row r="40" spans="2:10" x14ac:dyDescent="0.25">
      <c r="B40" s="85"/>
      <c r="C40" s="86"/>
      <c r="D40" s="86"/>
      <c r="E40" s="87"/>
      <c r="F40" s="87"/>
      <c r="G40" s="87"/>
      <c r="H40" s="88"/>
      <c r="I40" s="1"/>
      <c r="J40" s="2"/>
    </row>
    <row r="41" spans="2:10" x14ac:dyDescent="0.25">
      <c r="B41" s="267" t="s">
        <v>236</v>
      </c>
      <c r="C41" s="268"/>
      <c r="D41" s="268"/>
      <c r="E41" s="268"/>
      <c r="F41" s="268"/>
      <c r="G41" s="268"/>
      <c r="H41" s="269"/>
      <c r="I41" s="1"/>
      <c r="J41" s="2"/>
    </row>
    <row r="42" spans="2:10" x14ac:dyDescent="0.25">
      <c r="B42" s="84"/>
      <c r="C42" s="82"/>
      <c r="D42" s="82"/>
      <c r="H42" s="2"/>
      <c r="I42" s="1"/>
      <c r="J42" s="2"/>
    </row>
    <row r="43" spans="2:10" x14ac:dyDescent="0.25">
      <c r="B43" s="1" t="s">
        <v>232</v>
      </c>
      <c r="E43" t="str">
        <f>PRORRATEO!D40</f>
        <v>QUIROGA 
ENRIQUE</v>
      </c>
      <c r="H43" s="2"/>
      <c r="I43" s="270" t="s">
        <v>237</v>
      </c>
      <c r="J43" s="271"/>
    </row>
    <row r="44" spans="2:10" x14ac:dyDescent="0.25">
      <c r="B44" s="1" t="s">
        <v>231</v>
      </c>
      <c r="C44" s="82">
        <f>PRORRATEO!C40</f>
        <v>34</v>
      </c>
      <c r="D44" s="83" t="s">
        <v>235</v>
      </c>
      <c r="E44" s="82" t="str">
        <f>PRORRATEO!B40</f>
        <v>6-E</v>
      </c>
      <c r="H44" s="2"/>
      <c r="I44" s="1"/>
      <c r="J44" s="2"/>
    </row>
    <row r="45" spans="2:10" x14ac:dyDescent="0.25">
      <c r="B45" s="1"/>
      <c r="H45" s="2"/>
      <c r="I45" s="270"/>
      <c r="J45" s="271"/>
    </row>
    <row r="46" spans="2:10" x14ac:dyDescent="0.25">
      <c r="B46" s="1"/>
      <c r="H46" s="2"/>
      <c r="I46" s="1"/>
      <c r="J46" s="2"/>
    </row>
    <row r="47" spans="2:10" x14ac:dyDescent="0.25">
      <c r="B47" s="1"/>
      <c r="H47" s="2"/>
      <c r="I47" s="1"/>
      <c r="J47" s="2"/>
    </row>
    <row r="48" spans="2:10" ht="15.75" thickBot="1" x14ac:dyDescent="0.3">
      <c r="B48" s="1"/>
      <c r="H48" s="2"/>
      <c r="I48" s="89"/>
      <c r="J48" s="92"/>
    </row>
    <row r="49" spans="2:10" ht="15.75" thickBot="1" x14ac:dyDescent="0.3">
      <c r="B49" s="260" t="s">
        <v>234</v>
      </c>
      <c r="C49" s="261"/>
      <c r="D49" s="261"/>
      <c r="E49" s="261"/>
      <c r="F49" s="261"/>
      <c r="G49" s="262">
        <f>PRORRATEO!O40</f>
        <v>311307.34000000003</v>
      </c>
      <c r="H49" s="263"/>
      <c r="I49" s="81"/>
      <c r="J49" s="91"/>
    </row>
    <row r="52" spans="2:10" ht="15.75" thickBot="1" x14ac:dyDescent="0.3"/>
    <row r="53" spans="2:10" ht="15.75" thickBot="1" x14ac:dyDescent="0.3">
      <c r="B53" s="272" t="s">
        <v>233</v>
      </c>
      <c r="C53" s="273"/>
      <c r="D53" s="273"/>
      <c r="E53" s="273"/>
      <c r="F53" s="273"/>
      <c r="G53" s="273"/>
      <c r="H53" s="274"/>
      <c r="I53" s="79"/>
      <c r="J53" s="80"/>
    </row>
    <row r="54" spans="2:10" ht="15.75" thickBot="1" x14ac:dyDescent="0.3">
      <c r="B54" s="264" t="s">
        <v>134</v>
      </c>
      <c r="C54" s="265"/>
      <c r="D54" s="265"/>
      <c r="E54" s="265"/>
      <c r="F54" s="265"/>
      <c r="G54" s="265"/>
      <c r="H54" s="266"/>
      <c r="I54" s="1"/>
      <c r="J54" s="2"/>
    </row>
    <row r="55" spans="2:10" x14ac:dyDescent="0.25">
      <c r="B55" s="79" t="s">
        <v>240</v>
      </c>
      <c r="C55" s="90"/>
      <c r="D55" s="90"/>
      <c r="E55" s="90"/>
      <c r="G55" t="s">
        <v>47</v>
      </c>
      <c r="H55" s="2"/>
      <c r="I55" s="1"/>
      <c r="J55" s="2"/>
    </row>
    <row r="56" spans="2:10" x14ac:dyDescent="0.25">
      <c r="B56" s="84" t="s">
        <v>238</v>
      </c>
      <c r="C56" s="82"/>
      <c r="D56" s="82"/>
      <c r="H56" s="2"/>
      <c r="I56" s="1"/>
      <c r="J56" s="2"/>
    </row>
    <row r="57" spans="2:10" x14ac:dyDescent="0.25">
      <c r="B57" s="85"/>
      <c r="C57" s="86"/>
      <c r="D57" s="86"/>
      <c r="E57" s="87"/>
      <c r="F57" s="87"/>
      <c r="G57" s="87"/>
      <c r="H57" s="88"/>
      <c r="I57" s="1"/>
      <c r="J57" s="2"/>
    </row>
    <row r="58" spans="2:10" x14ac:dyDescent="0.25">
      <c r="B58" s="267" t="s">
        <v>236</v>
      </c>
      <c r="C58" s="268"/>
      <c r="D58" s="268"/>
      <c r="E58" s="268"/>
      <c r="F58" s="268"/>
      <c r="G58" s="268"/>
      <c r="H58" s="269"/>
      <c r="I58" s="1"/>
      <c r="J58" s="2"/>
    </row>
    <row r="59" spans="2:10" x14ac:dyDescent="0.25">
      <c r="B59" s="84"/>
      <c r="C59" s="82"/>
      <c r="D59" s="82"/>
      <c r="H59" s="2"/>
      <c r="I59" s="1"/>
      <c r="J59" s="2"/>
    </row>
    <row r="60" spans="2:10" x14ac:dyDescent="0.25">
      <c r="B60" s="1" t="s">
        <v>232</v>
      </c>
      <c r="E60" t="str">
        <f>PRORRATEO!D41</f>
        <v>ALVAREZ 
VERONICA (2)</v>
      </c>
      <c r="H60" s="2"/>
      <c r="I60" s="270" t="s">
        <v>237</v>
      </c>
      <c r="J60" s="271"/>
    </row>
    <row r="61" spans="2:10" x14ac:dyDescent="0.25">
      <c r="B61" s="1" t="s">
        <v>231</v>
      </c>
      <c r="C61" s="82">
        <f>PRORRATEO!C41</f>
        <v>35</v>
      </c>
      <c r="D61" s="83" t="s">
        <v>235</v>
      </c>
      <c r="E61" s="82" t="str">
        <f>PRORRATEO!B41</f>
        <v>7-A</v>
      </c>
      <c r="H61" s="2"/>
      <c r="I61" s="1"/>
      <c r="J61" s="2"/>
    </row>
    <row r="62" spans="2:10" x14ac:dyDescent="0.25">
      <c r="B62" s="1"/>
      <c r="H62" s="2"/>
      <c r="I62" s="270"/>
      <c r="J62" s="271"/>
    </row>
    <row r="63" spans="2:10" x14ac:dyDescent="0.25">
      <c r="B63" s="1"/>
      <c r="H63" s="2"/>
      <c r="I63" s="1"/>
      <c r="J63" s="2"/>
    </row>
    <row r="64" spans="2:10" x14ac:dyDescent="0.25">
      <c r="B64" s="1"/>
      <c r="H64" s="2"/>
      <c r="I64" s="1"/>
      <c r="J64" s="2"/>
    </row>
    <row r="65" spans="2:10" ht="15.75" thickBot="1" x14ac:dyDescent="0.3">
      <c r="B65" s="1"/>
      <c r="H65" s="2"/>
      <c r="I65" s="89"/>
      <c r="J65" s="92"/>
    </row>
    <row r="66" spans="2:10" ht="15.75" thickBot="1" x14ac:dyDescent="0.3">
      <c r="B66" s="260" t="s">
        <v>234</v>
      </c>
      <c r="C66" s="261"/>
      <c r="D66" s="261"/>
      <c r="E66" s="261"/>
      <c r="F66" s="261"/>
      <c r="G66" s="262">
        <f>PRORRATEO!O41</f>
        <v>254955.35</v>
      </c>
      <c r="H66" s="263"/>
      <c r="I66" s="81"/>
      <c r="J66" s="91"/>
    </row>
    <row r="70" spans="2:10" ht="15.75" thickBot="1" x14ac:dyDescent="0.3"/>
    <row r="71" spans="2:10" ht="15.75" thickBot="1" x14ac:dyDescent="0.3">
      <c r="B71" s="272" t="s">
        <v>233</v>
      </c>
      <c r="C71" s="273"/>
      <c r="D71" s="273"/>
      <c r="E71" s="273"/>
      <c r="F71" s="273"/>
      <c r="G71" s="273"/>
      <c r="H71" s="274"/>
      <c r="I71" s="79"/>
      <c r="J71" s="80"/>
    </row>
    <row r="72" spans="2:10" ht="15.75" thickBot="1" x14ac:dyDescent="0.3">
      <c r="B72" s="264" t="s">
        <v>134</v>
      </c>
      <c r="C72" s="265"/>
      <c r="D72" s="265"/>
      <c r="E72" s="265"/>
      <c r="F72" s="265"/>
      <c r="G72" s="265"/>
      <c r="H72" s="266"/>
      <c r="I72" s="1"/>
      <c r="J72" s="2"/>
    </row>
    <row r="73" spans="2:10" x14ac:dyDescent="0.25">
      <c r="B73" s="79" t="s">
        <v>240</v>
      </c>
      <c r="C73" s="90"/>
      <c r="D73" s="90"/>
      <c r="E73" s="90"/>
      <c r="G73" t="s">
        <v>47</v>
      </c>
      <c r="H73" s="2"/>
      <c r="I73" s="1"/>
      <c r="J73" s="2"/>
    </row>
    <row r="74" spans="2:10" x14ac:dyDescent="0.25">
      <c r="B74" s="84" t="s">
        <v>238</v>
      </c>
      <c r="C74" s="82"/>
      <c r="D74" s="82"/>
      <c r="H74" s="2"/>
      <c r="I74" s="1"/>
      <c r="J74" s="2"/>
    </row>
    <row r="75" spans="2:10" x14ac:dyDescent="0.25">
      <c r="B75" s="85"/>
      <c r="C75" s="86"/>
      <c r="D75" s="86"/>
      <c r="E75" s="87"/>
      <c r="F75" s="87"/>
      <c r="G75" s="87"/>
      <c r="H75" s="88"/>
      <c r="I75" s="1"/>
      <c r="J75" s="2"/>
    </row>
    <row r="76" spans="2:10" x14ac:dyDescent="0.25">
      <c r="B76" s="267" t="s">
        <v>236</v>
      </c>
      <c r="C76" s="268"/>
      <c r="D76" s="268"/>
      <c r="E76" s="268"/>
      <c r="F76" s="268"/>
      <c r="G76" s="268"/>
      <c r="H76" s="269"/>
      <c r="I76" s="1"/>
      <c r="J76" s="2"/>
    </row>
    <row r="77" spans="2:10" x14ac:dyDescent="0.25">
      <c r="B77" s="84"/>
      <c r="C77" s="82"/>
      <c r="D77" s="82"/>
      <c r="H77" s="2"/>
      <c r="I77" s="1"/>
      <c r="J77" s="2"/>
    </row>
    <row r="78" spans="2:10" x14ac:dyDescent="0.25">
      <c r="B78" s="1" t="s">
        <v>232</v>
      </c>
      <c r="E78" t="str">
        <f>PRORRATEO!D42</f>
        <v>ROJAS 
CARMEN</v>
      </c>
      <c r="H78" s="2"/>
      <c r="I78" s="270" t="s">
        <v>237</v>
      </c>
      <c r="J78" s="271"/>
    </row>
    <row r="79" spans="2:10" x14ac:dyDescent="0.25">
      <c r="B79" s="1" t="s">
        <v>231</v>
      </c>
      <c r="C79" s="82">
        <f>PRORRATEO!C42</f>
        <v>36</v>
      </c>
      <c r="D79" s="83" t="s">
        <v>235</v>
      </c>
      <c r="E79" s="82" t="str">
        <f>PRORRATEO!B42</f>
        <v>7-B</v>
      </c>
      <c r="H79" s="2"/>
      <c r="I79" s="1"/>
      <c r="J79" s="2"/>
    </row>
    <row r="80" spans="2:10" x14ac:dyDescent="0.25">
      <c r="B80" s="1"/>
      <c r="H80" s="2"/>
      <c r="I80" s="270"/>
      <c r="J80" s="271"/>
    </row>
    <row r="81" spans="2:10" x14ac:dyDescent="0.25">
      <c r="B81" s="1"/>
      <c r="H81" s="2"/>
      <c r="I81" s="1"/>
      <c r="J81" s="2"/>
    </row>
    <row r="82" spans="2:10" x14ac:dyDescent="0.25">
      <c r="B82" s="1"/>
      <c r="H82" s="2"/>
      <c r="I82" s="1"/>
      <c r="J82" s="2"/>
    </row>
    <row r="83" spans="2:10" ht="15.75" thickBot="1" x14ac:dyDescent="0.3">
      <c r="B83" s="1"/>
      <c r="H83" s="2"/>
      <c r="I83" s="89"/>
      <c r="J83" s="92"/>
    </row>
    <row r="84" spans="2:10" ht="15.75" thickBot="1" x14ac:dyDescent="0.3">
      <c r="B84" s="260" t="s">
        <v>234</v>
      </c>
      <c r="C84" s="261"/>
      <c r="D84" s="261"/>
      <c r="E84" s="261"/>
      <c r="F84" s="261"/>
      <c r="G84" s="262">
        <f>PRORRATEO!O42</f>
        <v>571701.36</v>
      </c>
      <c r="H84" s="263"/>
      <c r="I84" s="81"/>
      <c r="J84" s="91"/>
    </row>
    <row r="86" spans="2:10" ht="136.5" customHeight="1" x14ac:dyDescent="0.25"/>
    <row r="87" spans="2:10" ht="74.25" customHeight="1" x14ac:dyDescent="0.25"/>
    <row r="88" spans="2:10" ht="15.75" thickBot="1" x14ac:dyDescent="0.3"/>
    <row r="89" spans="2:10" ht="15.75" thickBot="1" x14ac:dyDescent="0.3">
      <c r="B89" s="272" t="s">
        <v>233</v>
      </c>
      <c r="C89" s="273"/>
      <c r="D89" s="273"/>
      <c r="E89" s="273"/>
      <c r="F89" s="273"/>
      <c r="G89" s="273"/>
      <c r="H89" s="274"/>
      <c r="I89" s="79"/>
      <c r="J89" s="80"/>
    </row>
    <row r="90" spans="2:10" ht="15.75" thickBot="1" x14ac:dyDescent="0.3">
      <c r="B90" s="264" t="s">
        <v>134</v>
      </c>
      <c r="C90" s="265"/>
      <c r="D90" s="265"/>
      <c r="E90" s="265"/>
      <c r="F90" s="265"/>
      <c r="G90" s="265"/>
      <c r="H90" s="266"/>
      <c r="I90" s="1"/>
      <c r="J90" s="2"/>
    </row>
    <row r="91" spans="2:10" x14ac:dyDescent="0.25">
      <c r="B91" s="79" t="s">
        <v>240</v>
      </c>
      <c r="C91" s="90"/>
      <c r="D91" s="90"/>
      <c r="E91" s="90"/>
      <c r="G91" t="s">
        <v>47</v>
      </c>
      <c r="H91" s="2"/>
      <c r="I91" s="1"/>
      <c r="J91" s="2"/>
    </row>
    <row r="92" spans="2:10" x14ac:dyDescent="0.25">
      <c r="B92" s="84" t="s">
        <v>238</v>
      </c>
      <c r="C92" s="82"/>
      <c r="D92" s="82"/>
      <c r="H92" s="2"/>
      <c r="I92" s="1"/>
      <c r="J92" s="2"/>
    </row>
    <row r="93" spans="2:10" x14ac:dyDescent="0.25">
      <c r="B93" s="85"/>
      <c r="C93" s="86"/>
      <c r="D93" s="86"/>
      <c r="E93" s="87"/>
      <c r="F93" s="87"/>
      <c r="G93" s="87"/>
      <c r="H93" s="88"/>
      <c r="I93" s="1"/>
      <c r="J93" s="2"/>
    </row>
    <row r="94" spans="2:10" x14ac:dyDescent="0.25">
      <c r="B94" s="267" t="s">
        <v>236</v>
      </c>
      <c r="C94" s="268"/>
      <c r="D94" s="268"/>
      <c r="E94" s="268"/>
      <c r="F94" s="268"/>
      <c r="G94" s="268"/>
      <c r="H94" s="269"/>
      <c r="I94" s="1"/>
      <c r="J94" s="2"/>
    </row>
    <row r="95" spans="2:10" x14ac:dyDescent="0.25">
      <c r="B95" s="84"/>
      <c r="C95" s="82"/>
      <c r="D95" s="82"/>
      <c r="H95" s="2"/>
      <c r="I95" s="1"/>
      <c r="J95" s="2"/>
    </row>
    <row r="96" spans="2:10" x14ac:dyDescent="0.25">
      <c r="B96" s="1" t="s">
        <v>232</v>
      </c>
      <c r="E96" t="str">
        <f>PRORRATEO!D43</f>
        <v>JUCHNO IRENE</v>
      </c>
      <c r="H96" s="2"/>
      <c r="I96" s="270" t="s">
        <v>237</v>
      </c>
      <c r="J96" s="271"/>
    </row>
    <row r="97" spans="2:10" x14ac:dyDescent="0.25">
      <c r="B97" s="1" t="s">
        <v>231</v>
      </c>
      <c r="C97" s="82">
        <f>PRORRATEO!C43</f>
        <v>37</v>
      </c>
      <c r="D97" s="83" t="s">
        <v>235</v>
      </c>
      <c r="E97" s="82" t="str">
        <f>PRORRATEO!B43</f>
        <v>7-C</v>
      </c>
      <c r="H97" s="2"/>
      <c r="I97" s="1"/>
      <c r="J97" s="2"/>
    </row>
    <row r="98" spans="2:10" x14ac:dyDescent="0.25">
      <c r="B98" s="1"/>
      <c r="H98" s="2"/>
      <c r="I98" s="270"/>
      <c r="J98" s="271"/>
    </row>
    <row r="99" spans="2:10" x14ac:dyDescent="0.25">
      <c r="B99" s="1"/>
      <c r="H99" s="2"/>
      <c r="I99" s="1"/>
      <c r="J99" s="2"/>
    </row>
    <row r="100" spans="2:10" x14ac:dyDescent="0.25">
      <c r="B100" s="1"/>
      <c r="H100" s="2"/>
      <c r="I100" s="1"/>
      <c r="J100" s="2"/>
    </row>
    <row r="101" spans="2:10" ht="15.75" thickBot="1" x14ac:dyDescent="0.3">
      <c r="B101" s="1"/>
      <c r="H101" s="2"/>
      <c r="I101" s="89"/>
      <c r="J101" s="92"/>
    </row>
    <row r="102" spans="2:10" ht="15.75" thickBot="1" x14ac:dyDescent="0.3">
      <c r="B102" s="260" t="s">
        <v>234</v>
      </c>
      <c r="C102" s="261"/>
      <c r="D102" s="261"/>
      <c r="E102" s="261"/>
      <c r="F102" s="261"/>
      <c r="G102" s="262">
        <f>PRORRATEO!O43</f>
        <v>107350.37</v>
      </c>
      <c r="H102" s="263"/>
      <c r="I102" s="81"/>
      <c r="J102" s="91"/>
    </row>
    <row r="105" spans="2:10" ht="15.75" thickBot="1" x14ac:dyDescent="0.3"/>
    <row r="106" spans="2:10" ht="15.75" thickBot="1" x14ac:dyDescent="0.3">
      <c r="B106" s="272" t="s">
        <v>233</v>
      </c>
      <c r="C106" s="273"/>
      <c r="D106" s="273"/>
      <c r="E106" s="273"/>
      <c r="F106" s="273"/>
      <c r="G106" s="273"/>
      <c r="H106" s="274"/>
      <c r="I106" s="79"/>
      <c r="J106" s="80"/>
    </row>
    <row r="107" spans="2:10" ht="15.75" thickBot="1" x14ac:dyDescent="0.3">
      <c r="B107" s="264" t="s">
        <v>134</v>
      </c>
      <c r="C107" s="265"/>
      <c r="D107" s="265"/>
      <c r="E107" s="265"/>
      <c r="F107" s="265"/>
      <c r="G107" s="265"/>
      <c r="H107" s="266"/>
      <c r="I107" s="1"/>
      <c r="J107" s="2"/>
    </row>
    <row r="108" spans="2:10" x14ac:dyDescent="0.25">
      <c r="B108" s="79" t="s">
        <v>240</v>
      </c>
      <c r="C108" s="90"/>
      <c r="D108" s="90"/>
      <c r="E108" s="90"/>
      <c r="G108" t="s">
        <v>47</v>
      </c>
      <c r="H108" s="2"/>
      <c r="I108" s="1"/>
      <c r="J108" s="2"/>
    </row>
    <row r="109" spans="2:10" x14ac:dyDescent="0.25">
      <c r="B109" s="84" t="s">
        <v>238</v>
      </c>
      <c r="C109" s="82"/>
      <c r="D109" s="82"/>
      <c r="H109" s="2"/>
      <c r="I109" s="1"/>
      <c r="J109" s="2"/>
    </row>
    <row r="110" spans="2:10" x14ac:dyDescent="0.25">
      <c r="B110" s="85"/>
      <c r="C110" s="86"/>
      <c r="D110" s="86"/>
      <c r="E110" s="87"/>
      <c r="F110" s="87"/>
      <c r="G110" s="87"/>
      <c r="H110" s="88"/>
      <c r="I110" s="1"/>
      <c r="J110" s="2"/>
    </row>
    <row r="111" spans="2:10" x14ac:dyDescent="0.25">
      <c r="B111" s="267" t="s">
        <v>236</v>
      </c>
      <c r="C111" s="268"/>
      <c r="D111" s="268"/>
      <c r="E111" s="268"/>
      <c r="F111" s="268"/>
      <c r="G111" s="268"/>
      <c r="H111" s="269"/>
      <c r="I111" s="1"/>
      <c r="J111" s="2"/>
    </row>
    <row r="112" spans="2:10" x14ac:dyDescent="0.25">
      <c r="B112" s="84"/>
      <c r="C112" s="82"/>
      <c r="D112" s="82"/>
      <c r="H112" s="2"/>
      <c r="I112" s="1"/>
      <c r="J112" s="2"/>
    </row>
    <row r="113" spans="2:10" x14ac:dyDescent="0.25">
      <c r="B113" s="1" t="s">
        <v>232</v>
      </c>
      <c r="E113" t="str">
        <f>PRORRATEO!D44</f>
        <v>URIZAR 
LUQUES</v>
      </c>
      <c r="H113" s="2"/>
      <c r="I113" s="270" t="s">
        <v>237</v>
      </c>
      <c r="J113" s="271"/>
    </row>
    <row r="114" spans="2:10" x14ac:dyDescent="0.25">
      <c r="B114" s="1" t="s">
        <v>231</v>
      </c>
      <c r="C114" s="82">
        <f>PRORRATEO!C44</f>
        <v>38</v>
      </c>
      <c r="D114" s="83" t="s">
        <v>235</v>
      </c>
      <c r="E114" s="82" t="str">
        <f>PRORRATEO!B44</f>
        <v>7-D</v>
      </c>
      <c r="H114" s="2"/>
      <c r="I114" s="1"/>
      <c r="J114" s="2"/>
    </row>
    <row r="115" spans="2:10" x14ac:dyDescent="0.25">
      <c r="B115" s="1"/>
      <c r="H115" s="2"/>
      <c r="I115" s="270"/>
      <c r="J115" s="271"/>
    </row>
    <row r="116" spans="2:10" x14ac:dyDescent="0.25">
      <c r="B116" s="1"/>
      <c r="H116" s="2"/>
      <c r="I116" s="1"/>
      <c r="J116" s="2"/>
    </row>
    <row r="117" spans="2:10" x14ac:dyDescent="0.25">
      <c r="B117" s="1"/>
      <c r="H117" s="2"/>
      <c r="I117" s="1"/>
      <c r="J117" s="2"/>
    </row>
    <row r="118" spans="2:10" ht="15.75" thickBot="1" x14ac:dyDescent="0.3">
      <c r="B118" s="1"/>
      <c r="H118" s="2"/>
      <c r="I118" s="89"/>
      <c r="J118" s="92"/>
    </row>
    <row r="119" spans="2:10" ht="15.75" thickBot="1" x14ac:dyDescent="0.3">
      <c r="B119" s="260" t="s">
        <v>234</v>
      </c>
      <c r="C119" s="261"/>
      <c r="D119" s="261"/>
      <c r="E119" s="261"/>
      <c r="F119" s="261"/>
      <c r="G119" s="262">
        <f>PRORRATEO!O44</f>
        <v>217921.38</v>
      </c>
      <c r="H119" s="263"/>
      <c r="I119" s="81"/>
      <c r="J119" s="91"/>
    </row>
    <row r="121" spans="2:10" ht="0.75" customHeight="1" x14ac:dyDescent="0.25"/>
    <row r="122" spans="2:10" ht="15.75" thickBot="1" x14ac:dyDescent="0.3"/>
    <row r="123" spans="2:10" ht="15.75" thickBot="1" x14ac:dyDescent="0.3">
      <c r="B123" s="272" t="s">
        <v>233</v>
      </c>
      <c r="C123" s="273"/>
      <c r="D123" s="273"/>
      <c r="E123" s="273"/>
      <c r="F123" s="273"/>
      <c r="G123" s="273"/>
      <c r="H123" s="274"/>
      <c r="I123" s="79"/>
      <c r="J123" s="80"/>
    </row>
    <row r="124" spans="2:10" ht="15.75" thickBot="1" x14ac:dyDescent="0.3">
      <c r="B124" s="264" t="s">
        <v>134</v>
      </c>
      <c r="C124" s="265"/>
      <c r="D124" s="265"/>
      <c r="E124" s="265"/>
      <c r="F124" s="265"/>
      <c r="G124" s="265"/>
      <c r="H124" s="266"/>
      <c r="I124" s="1"/>
      <c r="J124" s="2"/>
    </row>
    <row r="125" spans="2:10" x14ac:dyDescent="0.25">
      <c r="B125" s="79" t="s">
        <v>240</v>
      </c>
      <c r="C125" s="90"/>
      <c r="D125" s="90"/>
      <c r="E125" s="90"/>
      <c r="G125" t="s">
        <v>47</v>
      </c>
      <c r="H125" s="2"/>
      <c r="I125" s="1"/>
      <c r="J125" s="2"/>
    </row>
    <row r="126" spans="2:10" x14ac:dyDescent="0.25">
      <c r="B126" s="84" t="s">
        <v>238</v>
      </c>
      <c r="C126" s="82"/>
      <c r="D126" s="82"/>
      <c r="H126" s="2"/>
      <c r="I126" s="1"/>
      <c r="J126" s="2"/>
    </row>
    <row r="127" spans="2:10" x14ac:dyDescent="0.25">
      <c r="B127" s="85"/>
      <c r="C127" s="86"/>
      <c r="D127" s="86"/>
      <c r="E127" s="87"/>
      <c r="F127" s="87"/>
      <c r="G127" s="87"/>
      <c r="H127" s="88"/>
      <c r="I127" s="1"/>
      <c r="J127" s="2"/>
    </row>
    <row r="128" spans="2:10" x14ac:dyDescent="0.25">
      <c r="B128" s="267" t="s">
        <v>236</v>
      </c>
      <c r="C128" s="268"/>
      <c r="D128" s="268"/>
      <c r="E128" s="268"/>
      <c r="F128" s="268"/>
      <c r="G128" s="268"/>
      <c r="H128" s="269"/>
      <c r="I128" s="1"/>
      <c r="J128" s="2"/>
    </row>
    <row r="129" spans="2:10" x14ac:dyDescent="0.25">
      <c r="B129" s="84"/>
      <c r="C129" s="82"/>
      <c r="D129" s="82"/>
      <c r="H129" s="2"/>
      <c r="I129" s="1"/>
      <c r="J129" s="2"/>
    </row>
    <row r="130" spans="2:10" x14ac:dyDescent="0.25">
      <c r="B130" s="1" t="s">
        <v>232</v>
      </c>
      <c r="E130" t="str">
        <f>PRORRATEO!D45</f>
        <v>RIPA NELLY</v>
      </c>
      <c r="H130" s="2"/>
      <c r="I130" s="270" t="s">
        <v>237</v>
      </c>
      <c r="J130" s="271"/>
    </row>
    <row r="131" spans="2:10" x14ac:dyDescent="0.25">
      <c r="B131" s="1" t="s">
        <v>231</v>
      </c>
      <c r="C131" s="82">
        <f>PRORRATEO!C45</f>
        <v>39</v>
      </c>
      <c r="D131" s="83" t="s">
        <v>235</v>
      </c>
      <c r="E131" s="82" t="str">
        <f>PRORRATEO!B45</f>
        <v>7-E</v>
      </c>
      <c r="H131" s="2"/>
      <c r="I131" s="1"/>
      <c r="J131" s="2"/>
    </row>
    <row r="132" spans="2:10" x14ac:dyDescent="0.25">
      <c r="B132" s="1"/>
      <c r="H132" s="2"/>
      <c r="I132" s="270"/>
      <c r="J132" s="271"/>
    </row>
    <row r="133" spans="2:10" x14ac:dyDescent="0.25">
      <c r="B133" s="1"/>
      <c r="H133" s="2"/>
      <c r="I133" s="1"/>
      <c r="J133" s="2"/>
    </row>
    <row r="134" spans="2:10" x14ac:dyDescent="0.25">
      <c r="B134" s="1"/>
      <c r="H134" s="2"/>
      <c r="I134" s="1"/>
      <c r="J134" s="2"/>
    </row>
    <row r="135" spans="2:10" ht="15.75" thickBot="1" x14ac:dyDescent="0.3">
      <c r="B135" s="1"/>
      <c r="H135" s="2"/>
      <c r="I135" s="89"/>
      <c r="J135" s="92"/>
    </row>
    <row r="136" spans="2:10" ht="15.75" thickBot="1" x14ac:dyDescent="0.3">
      <c r="B136" s="260" t="s">
        <v>234</v>
      </c>
      <c r="C136" s="261"/>
      <c r="D136" s="261"/>
      <c r="E136" s="261"/>
      <c r="F136" s="261"/>
      <c r="G136" s="262">
        <f>PRORRATEO!O45</f>
        <v>397815.39</v>
      </c>
      <c r="H136" s="263"/>
      <c r="I136" s="81"/>
      <c r="J136" s="91"/>
    </row>
    <row r="140" spans="2:10" ht="15.75" thickBot="1" x14ac:dyDescent="0.3"/>
    <row r="141" spans="2:10" ht="15.75" thickBot="1" x14ac:dyDescent="0.3">
      <c r="B141" s="272" t="s">
        <v>233</v>
      </c>
      <c r="C141" s="273"/>
      <c r="D141" s="273"/>
      <c r="E141" s="273"/>
      <c r="F141" s="273"/>
      <c r="G141" s="273"/>
      <c r="H141" s="274"/>
      <c r="I141" s="79"/>
      <c r="J141" s="80"/>
    </row>
    <row r="142" spans="2:10" ht="15.75" thickBot="1" x14ac:dyDescent="0.3">
      <c r="B142" s="264" t="s">
        <v>134</v>
      </c>
      <c r="C142" s="265"/>
      <c r="D142" s="265"/>
      <c r="E142" s="265"/>
      <c r="F142" s="265"/>
      <c r="G142" s="265"/>
      <c r="H142" s="266"/>
      <c r="I142" s="1"/>
      <c r="J142" s="2"/>
    </row>
    <row r="143" spans="2:10" x14ac:dyDescent="0.25">
      <c r="B143" s="79" t="s">
        <v>240</v>
      </c>
      <c r="C143" s="90"/>
      <c r="D143" s="90"/>
      <c r="E143" s="90"/>
      <c r="G143" t="s">
        <v>47</v>
      </c>
      <c r="H143" s="2"/>
      <c r="I143" s="1"/>
      <c r="J143" s="2"/>
    </row>
    <row r="144" spans="2:10" x14ac:dyDescent="0.25">
      <c r="B144" s="84" t="s">
        <v>238</v>
      </c>
      <c r="C144" s="82"/>
      <c r="D144" s="82"/>
      <c r="H144" s="2"/>
      <c r="I144" s="1"/>
      <c r="J144" s="2"/>
    </row>
    <row r="145" spans="2:10" x14ac:dyDescent="0.25">
      <c r="B145" s="85"/>
      <c r="C145" s="86"/>
      <c r="D145" s="86"/>
      <c r="E145" s="87"/>
      <c r="F145" s="87"/>
      <c r="G145" s="87"/>
      <c r="H145" s="88"/>
      <c r="I145" s="1"/>
      <c r="J145" s="2"/>
    </row>
    <row r="146" spans="2:10" x14ac:dyDescent="0.25">
      <c r="B146" s="267" t="s">
        <v>236</v>
      </c>
      <c r="C146" s="268"/>
      <c r="D146" s="268"/>
      <c r="E146" s="268"/>
      <c r="F146" s="268"/>
      <c r="G146" s="268"/>
      <c r="H146" s="269"/>
      <c r="I146" s="1"/>
      <c r="J146" s="2"/>
    </row>
    <row r="147" spans="2:10" x14ac:dyDescent="0.25">
      <c r="B147" s="84"/>
      <c r="C147" s="82"/>
      <c r="D147" s="82"/>
      <c r="H147" s="2"/>
      <c r="I147" s="1"/>
      <c r="J147" s="2"/>
    </row>
    <row r="148" spans="2:10" x14ac:dyDescent="0.25">
      <c r="B148" s="1" t="s">
        <v>232</v>
      </c>
      <c r="E148" t="str">
        <f>PRORRATEO!D46</f>
        <v>SORIA GODOY</v>
      </c>
      <c r="H148" s="2"/>
      <c r="I148" s="270" t="s">
        <v>237</v>
      </c>
      <c r="J148" s="271"/>
    </row>
    <row r="149" spans="2:10" x14ac:dyDescent="0.25">
      <c r="B149" s="1" t="s">
        <v>231</v>
      </c>
      <c r="C149" s="82">
        <f>PRORRATEO!C46</f>
        <v>40</v>
      </c>
      <c r="D149" s="83" t="s">
        <v>235</v>
      </c>
      <c r="E149" s="82" t="str">
        <f>PRORRATEO!B46</f>
        <v>8-A</v>
      </c>
      <c r="H149" s="2"/>
      <c r="I149" s="1"/>
      <c r="J149" s="2"/>
    </row>
    <row r="150" spans="2:10" x14ac:dyDescent="0.25">
      <c r="B150" s="1"/>
      <c r="H150" s="2"/>
      <c r="I150" s="270"/>
      <c r="J150" s="271"/>
    </row>
    <row r="151" spans="2:10" x14ac:dyDescent="0.25">
      <c r="B151" s="1"/>
      <c r="H151" s="2"/>
      <c r="I151" s="1"/>
      <c r="J151" s="2"/>
    </row>
    <row r="152" spans="2:10" x14ac:dyDescent="0.25">
      <c r="B152" s="1"/>
      <c r="H152" s="2"/>
      <c r="I152" s="1"/>
      <c r="J152" s="2"/>
    </row>
    <row r="153" spans="2:10" ht="15.75" thickBot="1" x14ac:dyDescent="0.3">
      <c r="B153" s="1"/>
      <c r="H153" s="2"/>
      <c r="I153" s="89"/>
      <c r="J153" s="92"/>
    </row>
    <row r="154" spans="2:10" ht="15.75" thickBot="1" x14ac:dyDescent="0.3">
      <c r="B154" s="260" t="s">
        <v>234</v>
      </c>
      <c r="C154" s="261"/>
      <c r="D154" s="261"/>
      <c r="E154" s="261"/>
      <c r="F154" s="261"/>
      <c r="G154" s="262">
        <f>PRORRATEO!O46</f>
        <v>394973.4</v>
      </c>
      <c r="H154" s="263"/>
      <c r="I154" s="81"/>
      <c r="J154" s="91"/>
    </row>
    <row r="157" spans="2:10" ht="15.75" thickBot="1" x14ac:dyDescent="0.3"/>
    <row r="158" spans="2:10" ht="15.75" thickBot="1" x14ac:dyDescent="0.3">
      <c r="B158" s="272" t="s">
        <v>233</v>
      </c>
      <c r="C158" s="273"/>
      <c r="D158" s="273"/>
      <c r="E158" s="273"/>
      <c r="F158" s="273"/>
      <c r="G158" s="273"/>
      <c r="H158" s="274"/>
      <c r="I158" s="79"/>
      <c r="J158" s="80"/>
    </row>
    <row r="159" spans="2:10" ht="15.75" thickBot="1" x14ac:dyDescent="0.3">
      <c r="B159" s="264" t="s">
        <v>134</v>
      </c>
      <c r="C159" s="265"/>
      <c r="D159" s="265"/>
      <c r="E159" s="265"/>
      <c r="F159" s="265"/>
      <c r="G159" s="265"/>
      <c r="H159" s="266"/>
      <c r="I159" s="1"/>
      <c r="J159" s="2"/>
    </row>
    <row r="160" spans="2:10" x14ac:dyDescent="0.25">
      <c r="B160" s="79" t="s">
        <v>240</v>
      </c>
      <c r="C160" s="90"/>
      <c r="D160" s="90"/>
      <c r="E160" s="90"/>
      <c r="G160" t="s">
        <v>47</v>
      </c>
      <c r="H160" s="2"/>
      <c r="I160" s="1"/>
      <c r="J160" s="2"/>
    </row>
    <row r="161" spans="2:10" x14ac:dyDescent="0.25">
      <c r="B161" s="84" t="s">
        <v>238</v>
      </c>
      <c r="C161" s="82"/>
      <c r="D161" s="82"/>
      <c r="H161" s="2"/>
      <c r="I161" s="1"/>
      <c r="J161" s="2"/>
    </row>
    <row r="162" spans="2:10" x14ac:dyDescent="0.25">
      <c r="B162" s="85"/>
      <c r="C162" s="86"/>
      <c r="D162" s="86"/>
      <c r="E162" s="87"/>
      <c r="F162" s="87"/>
      <c r="G162" s="87"/>
      <c r="H162" s="88"/>
      <c r="I162" s="1"/>
      <c r="J162" s="2"/>
    </row>
    <row r="163" spans="2:10" x14ac:dyDescent="0.25">
      <c r="B163" s="267" t="s">
        <v>236</v>
      </c>
      <c r="C163" s="268"/>
      <c r="D163" s="268"/>
      <c r="E163" s="268"/>
      <c r="F163" s="268"/>
      <c r="G163" s="268"/>
      <c r="H163" s="269"/>
      <c r="I163" s="1"/>
      <c r="J163" s="2"/>
    </row>
    <row r="164" spans="2:10" x14ac:dyDescent="0.25">
      <c r="B164" s="84"/>
      <c r="C164" s="82"/>
      <c r="D164" s="82"/>
      <c r="H164" s="2"/>
      <c r="I164" s="1"/>
      <c r="J164" s="2"/>
    </row>
    <row r="165" spans="2:10" x14ac:dyDescent="0.25">
      <c r="B165" s="1" t="s">
        <v>232</v>
      </c>
      <c r="E165" t="str">
        <f>PRORRATEO!D47</f>
        <v>D´ALOIA 
GABRIELA (2)</v>
      </c>
      <c r="H165" s="2"/>
      <c r="I165" s="270" t="s">
        <v>237</v>
      </c>
      <c r="J165" s="271"/>
    </row>
    <row r="166" spans="2:10" x14ac:dyDescent="0.25">
      <c r="B166" s="1" t="s">
        <v>231</v>
      </c>
      <c r="C166" s="82">
        <f>PRORRATEO!C47</f>
        <v>41</v>
      </c>
      <c r="D166" s="83" t="s">
        <v>235</v>
      </c>
      <c r="E166" s="82" t="str">
        <f>PRORRATEO!B47</f>
        <v>8-B</v>
      </c>
      <c r="H166" s="2"/>
      <c r="I166" s="1"/>
      <c r="J166" s="2"/>
    </row>
    <row r="167" spans="2:10" x14ac:dyDescent="0.25">
      <c r="B167" s="1"/>
      <c r="H167" s="2"/>
      <c r="I167" s="270"/>
      <c r="J167" s="271"/>
    </row>
    <row r="168" spans="2:10" x14ac:dyDescent="0.25">
      <c r="B168" s="1"/>
      <c r="H168" s="2"/>
      <c r="I168" s="1"/>
      <c r="J168" s="2"/>
    </row>
    <row r="169" spans="2:10" x14ac:dyDescent="0.25">
      <c r="B169" s="1"/>
      <c r="H169" s="2"/>
      <c r="I169" s="1"/>
      <c r="J169" s="2"/>
    </row>
    <row r="170" spans="2:10" ht="15.75" thickBot="1" x14ac:dyDescent="0.3">
      <c r="B170" s="1"/>
      <c r="H170" s="2"/>
      <c r="I170" s="89"/>
      <c r="J170" s="92"/>
    </row>
    <row r="171" spans="2:10" ht="15.75" thickBot="1" x14ac:dyDescent="0.3">
      <c r="B171" s="260" t="s">
        <v>234</v>
      </c>
      <c r="C171" s="261"/>
      <c r="D171" s="261"/>
      <c r="E171" s="261"/>
      <c r="F171" s="261"/>
      <c r="G171" s="262">
        <f>PRORRATEO!O47</f>
        <v>157576.41</v>
      </c>
      <c r="H171" s="263"/>
      <c r="I171" s="81"/>
      <c r="J171" s="91"/>
    </row>
  </sheetData>
  <mergeCells count="70">
    <mergeCell ref="B2:H2"/>
    <mergeCell ref="B3:H3"/>
    <mergeCell ref="B7:H7"/>
    <mergeCell ref="B58:H58"/>
    <mergeCell ref="I9:J9"/>
    <mergeCell ref="I11:J11"/>
    <mergeCell ref="I43:J43"/>
    <mergeCell ref="I45:J45"/>
    <mergeCell ref="B49:F49"/>
    <mergeCell ref="G49:H49"/>
    <mergeCell ref="B18:H18"/>
    <mergeCell ref="B19:H19"/>
    <mergeCell ref="B23:H23"/>
    <mergeCell ref="I25:J25"/>
    <mergeCell ref="I27:J27"/>
    <mergeCell ref="B31:F31"/>
    <mergeCell ref="G31:H31"/>
    <mergeCell ref="B15:F15"/>
    <mergeCell ref="G15:H15"/>
    <mergeCell ref="B36:H36"/>
    <mergeCell ref="B37:H37"/>
    <mergeCell ref="B41:H41"/>
    <mergeCell ref="B53:H53"/>
    <mergeCell ref="B54:H54"/>
    <mergeCell ref="B111:H111"/>
    <mergeCell ref="I60:J60"/>
    <mergeCell ref="I62:J62"/>
    <mergeCell ref="I96:J96"/>
    <mergeCell ref="I98:J98"/>
    <mergeCell ref="B102:F102"/>
    <mergeCell ref="G102:H102"/>
    <mergeCell ref="B71:H71"/>
    <mergeCell ref="B72:H72"/>
    <mergeCell ref="B76:H76"/>
    <mergeCell ref="I78:J78"/>
    <mergeCell ref="I80:J80"/>
    <mergeCell ref="B84:F84"/>
    <mergeCell ref="I113:J113"/>
    <mergeCell ref="I115:J115"/>
    <mergeCell ref="G84:H84"/>
    <mergeCell ref="B66:F66"/>
    <mergeCell ref="G66:H66"/>
    <mergeCell ref="B89:H89"/>
    <mergeCell ref="B90:H90"/>
    <mergeCell ref="B94:H94"/>
    <mergeCell ref="B106:H106"/>
    <mergeCell ref="B107:H107"/>
    <mergeCell ref="B123:H123"/>
    <mergeCell ref="B124:H124"/>
    <mergeCell ref="I130:J130"/>
    <mergeCell ref="I132:J132"/>
    <mergeCell ref="B119:F119"/>
    <mergeCell ref="G119:H119"/>
    <mergeCell ref="I165:J165"/>
    <mergeCell ref="B136:F136"/>
    <mergeCell ref="G136:H136"/>
    <mergeCell ref="B128:H128"/>
    <mergeCell ref="I167:J167"/>
    <mergeCell ref="I148:J148"/>
    <mergeCell ref="I150:J150"/>
    <mergeCell ref="B171:F171"/>
    <mergeCell ref="G171:H171"/>
    <mergeCell ref="B141:H141"/>
    <mergeCell ref="B142:H142"/>
    <mergeCell ref="B146:H146"/>
    <mergeCell ref="B158:H158"/>
    <mergeCell ref="B159:H159"/>
    <mergeCell ref="B163:H163"/>
    <mergeCell ref="B154:F154"/>
    <mergeCell ref="G154:H154"/>
  </mergeCells>
  <pageMargins left="0.25" right="0.25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J173"/>
  <sheetViews>
    <sheetView topLeftCell="A139" workbookViewId="0">
      <selection activeCell="G2" sqref="G2"/>
    </sheetView>
  </sheetViews>
  <sheetFormatPr baseColWidth="10" defaultRowHeight="15" x14ac:dyDescent="0.25"/>
  <cols>
    <col min="1" max="1" width="3.5703125" customWidth="1"/>
    <col min="4" max="4" width="6.5703125" customWidth="1"/>
    <col min="5" max="5" width="8.28515625" customWidth="1"/>
    <col min="6" max="6" width="5.85546875" customWidth="1"/>
    <col min="7" max="7" width="7.85546875" customWidth="1"/>
    <col min="8" max="8" width="9.140625" customWidth="1"/>
  </cols>
  <sheetData>
    <row r="3" spans="2:10" ht="15.75" thickBot="1" x14ac:dyDescent="0.3"/>
    <row r="4" spans="2:10" ht="15.75" thickBot="1" x14ac:dyDescent="0.3">
      <c r="B4" s="272" t="s">
        <v>233</v>
      </c>
      <c r="C4" s="273"/>
      <c r="D4" s="273"/>
      <c r="E4" s="273"/>
      <c r="F4" s="273"/>
      <c r="G4" s="273"/>
      <c r="H4" s="274"/>
      <c r="I4" s="79"/>
      <c r="J4" s="80"/>
    </row>
    <row r="5" spans="2:10" ht="15.75" thickBot="1" x14ac:dyDescent="0.3">
      <c r="B5" s="264" t="s">
        <v>134</v>
      </c>
      <c r="C5" s="265"/>
      <c r="D5" s="265"/>
      <c r="E5" s="265"/>
      <c r="F5" s="265"/>
      <c r="G5" s="265"/>
      <c r="H5" s="266"/>
      <c r="I5" s="1"/>
      <c r="J5" s="2"/>
    </row>
    <row r="6" spans="2:10" x14ac:dyDescent="0.25">
      <c r="B6" s="79" t="s">
        <v>240</v>
      </c>
      <c r="C6" s="90"/>
      <c r="D6" s="90"/>
      <c r="E6" s="90"/>
      <c r="G6" t="s">
        <v>47</v>
      </c>
      <c r="H6" s="2"/>
      <c r="I6" s="1"/>
      <c r="J6" s="2"/>
    </row>
    <row r="7" spans="2:10" x14ac:dyDescent="0.25">
      <c r="B7" s="84" t="s">
        <v>238</v>
      </c>
      <c r="C7" s="82"/>
      <c r="D7" s="82"/>
      <c r="H7" s="2"/>
      <c r="I7" s="1"/>
      <c r="J7" s="2"/>
    </row>
    <row r="8" spans="2:10" x14ac:dyDescent="0.25">
      <c r="B8" s="85"/>
      <c r="C8" s="86"/>
      <c r="D8" s="86"/>
      <c r="E8" s="87"/>
      <c r="F8" s="87"/>
      <c r="G8" s="87"/>
      <c r="H8" s="88"/>
      <c r="I8" s="1"/>
      <c r="J8" s="2"/>
    </row>
    <row r="9" spans="2:10" x14ac:dyDescent="0.25">
      <c r="B9" s="267" t="s">
        <v>236</v>
      </c>
      <c r="C9" s="268"/>
      <c r="D9" s="268"/>
      <c r="E9" s="268"/>
      <c r="F9" s="268"/>
      <c r="G9" s="268"/>
      <c r="H9" s="269"/>
      <c r="I9" s="1"/>
      <c r="J9" s="2"/>
    </row>
    <row r="10" spans="2:10" x14ac:dyDescent="0.25">
      <c r="B10" s="84"/>
      <c r="C10" s="82"/>
      <c r="D10" s="82"/>
      <c r="H10" s="2"/>
      <c r="I10" s="1"/>
      <c r="J10" s="2"/>
    </row>
    <row r="11" spans="2:10" x14ac:dyDescent="0.25">
      <c r="B11" s="1" t="s">
        <v>232</v>
      </c>
      <c r="E11" t="str">
        <f>PRORRATEO!D48</f>
        <v>MIÑO 
GRACIELA (2)</v>
      </c>
      <c r="H11" s="2"/>
      <c r="I11" s="270" t="s">
        <v>237</v>
      </c>
      <c r="J11" s="271"/>
    </row>
    <row r="12" spans="2:10" x14ac:dyDescent="0.25">
      <c r="B12" s="1" t="s">
        <v>231</v>
      </c>
      <c r="C12" s="82">
        <f>PRORRATEO!C48</f>
        <v>42</v>
      </c>
      <c r="D12" s="83" t="s">
        <v>235</v>
      </c>
      <c r="E12" s="82" t="str">
        <f>PRORRATEO!B48</f>
        <v>8-C</v>
      </c>
      <c r="H12" s="2"/>
      <c r="I12" s="1"/>
      <c r="J12" s="2"/>
    </row>
    <row r="13" spans="2:10" x14ac:dyDescent="0.25">
      <c r="B13" s="1"/>
      <c r="H13" s="2"/>
      <c r="I13" s="270"/>
      <c r="J13" s="271"/>
    </row>
    <row r="14" spans="2:10" x14ac:dyDescent="0.25">
      <c r="B14" s="1"/>
      <c r="H14" s="2"/>
      <c r="I14" s="1"/>
      <c r="J14" s="2"/>
    </row>
    <row r="15" spans="2:10" x14ac:dyDescent="0.25">
      <c r="B15" s="1"/>
      <c r="H15" s="2"/>
      <c r="I15" s="1"/>
      <c r="J15" s="2"/>
    </row>
    <row r="16" spans="2:10" ht="15.75" thickBot="1" x14ac:dyDescent="0.3">
      <c r="B16" s="1"/>
      <c r="H16" s="2"/>
      <c r="I16" s="89"/>
      <c r="J16" s="92"/>
    </row>
    <row r="17" spans="2:10" ht="15.75" thickBot="1" x14ac:dyDescent="0.3">
      <c r="B17" s="260" t="s">
        <v>234</v>
      </c>
      <c r="C17" s="261"/>
      <c r="D17" s="261"/>
      <c r="E17" s="261"/>
      <c r="F17" s="261"/>
      <c r="G17" s="262">
        <f>PRORRATEO!O48</f>
        <v>140395.42000000001</v>
      </c>
      <c r="H17" s="263"/>
      <c r="I17" s="81"/>
      <c r="J17" s="91"/>
    </row>
    <row r="19" spans="2:10" ht="15.75" thickBot="1" x14ac:dyDescent="0.3"/>
    <row r="20" spans="2:10" ht="15.75" thickBot="1" x14ac:dyDescent="0.3">
      <c r="B20" s="272" t="s">
        <v>233</v>
      </c>
      <c r="C20" s="273"/>
      <c r="D20" s="273"/>
      <c r="E20" s="273"/>
      <c r="F20" s="273"/>
      <c r="G20" s="273"/>
      <c r="H20" s="274"/>
      <c r="I20" s="79"/>
      <c r="J20" s="80"/>
    </row>
    <row r="21" spans="2:10" ht="15.75" thickBot="1" x14ac:dyDescent="0.3">
      <c r="B21" s="264" t="s">
        <v>134</v>
      </c>
      <c r="C21" s="265"/>
      <c r="D21" s="265"/>
      <c r="E21" s="265"/>
      <c r="F21" s="265"/>
      <c r="G21" s="265"/>
      <c r="H21" s="266"/>
      <c r="I21" s="1"/>
      <c r="J21" s="2"/>
    </row>
    <row r="22" spans="2:10" x14ac:dyDescent="0.25">
      <c r="B22" s="79" t="s">
        <v>240</v>
      </c>
      <c r="C22" s="90"/>
      <c r="D22" s="90"/>
      <c r="E22" s="90"/>
      <c r="G22" t="s">
        <v>47</v>
      </c>
      <c r="H22" s="2"/>
      <c r="I22" s="1"/>
      <c r="J22" s="2"/>
    </row>
    <row r="23" spans="2:10" x14ac:dyDescent="0.25">
      <c r="B23" s="84" t="s">
        <v>238</v>
      </c>
      <c r="C23" s="82"/>
      <c r="D23" s="82"/>
      <c r="H23" s="2"/>
      <c r="I23" s="1"/>
      <c r="J23" s="2"/>
    </row>
    <row r="24" spans="2:10" x14ac:dyDescent="0.25">
      <c r="B24" s="85"/>
      <c r="C24" s="86"/>
      <c r="D24" s="86"/>
      <c r="E24" s="87"/>
      <c r="F24" s="87"/>
      <c r="G24" s="87"/>
      <c r="H24" s="88"/>
      <c r="I24" s="1"/>
      <c r="J24" s="2"/>
    </row>
    <row r="25" spans="2:10" x14ac:dyDescent="0.25">
      <c r="B25" s="267" t="s">
        <v>236</v>
      </c>
      <c r="C25" s="268"/>
      <c r="D25" s="268"/>
      <c r="E25" s="268"/>
      <c r="F25" s="268"/>
      <c r="G25" s="268"/>
      <c r="H25" s="269"/>
      <c r="I25" s="1"/>
      <c r="J25" s="2"/>
    </row>
    <row r="26" spans="2:10" x14ac:dyDescent="0.25">
      <c r="B26" s="84"/>
      <c r="C26" s="82"/>
      <c r="D26" s="82"/>
      <c r="H26" s="2"/>
      <c r="I26" s="1"/>
      <c r="J26" s="2"/>
    </row>
    <row r="27" spans="2:10" x14ac:dyDescent="0.25">
      <c r="B27" s="1" t="s">
        <v>232</v>
      </c>
      <c r="E27" t="str">
        <f>PRORRATEO!D49</f>
        <v>CATALANO 
CLAUDIA</v>
      </c>
      <c r="H27" s="2"/>
      <c r="I27" s="270" t="s">
        <v>237</v>
      </c>
      <c r="J27" s="271"/>
    </row>
    <row r="28" spans="2:10" x14ac:dyDescent="0.25">
      <c r="B28" s="1" t="s">
        <v>231</v>
      </c>
      <c r="C28" s="82">
        <f>PRORRATEO!C49</f>
        <v>43</v>
      </c>
      <c r="D28" s="83" t="s">
        <v>235</v>
      </c>
      <c r="E28" s="82" t="str">
        <f>PRORRATEO!B49</f>
        <v>8-D</v>
      </c>
      <c r="H28" s="2"/>
      <c r="I28" s="1"/>
      <c r="J28" s="2"/>
    </row>
    <row r="29" spans="2:10" x14ac:dyDescent="0.25">
      <c r="B29" s="1"/>
      <c r="H29" s="2"/>
      <c r="I29" s="270"/>
      <c r="J29" s="271"/>
    </row>
    <row r="30" spans="2:10" x14ac:dyDescent="0.25">
      <c r="B30" s="1"/>
      <c r="H30" s="2"/>
      <c r="I30" s="1"/>
      <c r="J30" s="2"/>
    </row>
    <row r="31" spans="2:10" x14ac:dyDescent="0.25">
      <c r="B31" s="1"/>
      <c r="H31" s="2"/>
      <c r="I31" s="1"/>
      <c r="J31" s="2"/>
    </row>
    <row r="32" spans="2:10" ht="15.75" thickBot="1" x14ac:dyDescent="0.3">
      <c r="B32" s="1"/>
      <c r="H32" s="2"/>
      <c r="I32" s="89"/>
      <c r="J32" s="92"/>
    </row>
    <row r="33" spans="2:10" ht="15.75" thickBot="1" x14ac:dyDescent="0.3">
      <c r="B33" s="260" t="s">
        <v>234</v>
      </c>
      <c r="C33" s="261"/>
      <c r="D33" s="261"/>
      <c r="E33" s="261"/>
      <c r="F33" s="261"/>
      <c r="G33" s="262">
        <f>PRORRATEO!O49</f>
        <v>107350.43</v>
      </c>
      <c r="H33" s="263"/>
      <c r="I33" s="81"/>
      <c r="J33" s="91"/>
    </row>
    <row r="34" spans="2:10" ht="12" customHeight="1" x14ac:dyDescent="0.25"/>
    <row r="35" spans="2:10" hidden="1" x14ac:dyDescent="0.25"/>
    <row r="36" spans="2:10" ht="15.75" thickBot="1" x14ac:dyDescent="0.3"/>
    <row r="37" spans="2:10" ht="15.75" thickBot="1" x14ac:dyDescent="0.3">
      <c r="B37" s="272" t="s">
        <v>233</v>
      </c>
      <c r="C37" s="273"/>
      <c r="D37" s="273"/>
      <c r="E37" s="273"/>
      <c r="F37" s="273"/>
      <c r="G37" s="273"/>
      <c r="H37" s="274"/>
      <c r="I37" s="79"/>
      <c r="J37" s="80"/>
    </row>
    <row r="38" spans="2:10" ht="15.75" thickBot="1" x14ac:dyDescent="0.3">
      <c r="B38" s="264" t="s">
        <v>134</v>
      </c>
      <c r="C38" s="265"/>
      <c r="D38" s="265"/>
      <c r="E38" s="265"/>
      <c r="F38" s="265"/>
      <c r="G38" s="265"/>
      <c r="H38" s="266"/>
      <c r="I38" s="1"/>
      <c r="J38" s="2"/>
    </row>
    <row r="39" spans="2:10" x14ac:dyDescent="0.25">
      <c r="B39" s="79" t="s">
        <v>240</v>
      </c>
      <c r="C39" s="90"/>
      <c r="D39" s="90"/>
      <c r="E39" s="90"/>
      <c r="G39" t="s">
        <v>47</v>
      </c>
      <c r="H39" s="2"/>
      <c r="I39" s="1"/>
      <c r="J39" s="2"/>
    </row>
    <row r="40" spans="2:10" x14ac:dyDescent="0.25">
      <c r="B40" s="84" t="s">
        <v>238</v>
      </c>
      <c r="C40" s="82"/>
      <c r="D40" s="82"/>
      <c r="H40" s="2"/>
      <c r="I40" s="1"/>
      <c r="J40" s="2"/>
    </row>
    <row r="41" spans="2:10" x14ac:dyDescent="0.25">
      <c r="B41" s="85"/>
      <c r="C41" s="86"/>
      <c r="D41" s="86"/>
      <c r="E41" s="87"/>
      <c r="F41" s="87"/>
      <c r="G41" s="87"/>
      <c r="H41" s="88"/>
      <c r="I41" s="1"/>
      <c r="J41" s="2"/>
    </row>
    <row r="42" spans="2:10" x14ac:dyDescent="0.25">
      <c r="B42" s="267" t="s">
        <v>236</v>
      </c>
      <c r="C42" s="268"/>
      <c r="D42" s="268"/>
      <c r="E42" s="268"/>
      <c r="F42" s="268"/>
      <c r="G42" s="268"/>
      <c r="H42" s="269"/>
      <c r="I42" s="1"/>
      <c r="J42" s="2"/>
    </row>
    <row r="43" spans="2:10" x14ac:dyDescent="0.25">
      <c r="B43" s="84"/>
      <c r="C43" s="82"/>
      <c r="D43" s="82"/>
      <c r="H43" s="2"/>
      <c r="I43" s="1"/>
      <c r="J43" s="2"/>
    </row>
    <row r="44" spans="2:10" x14ac:dyDescent="0.25">
      <c r="B44" s="1" t="s">
        <v>232</v>
      </c>
      <c r="E44" t="str">
        <f>PRORRATEO!D50</f>
        <v>ROCA MARISA</v>
      </c>
      <c r="H44" s="2"/>
      <c r="I44" s="270" t="s">
        <v>237</v>
      </c>
      <c r="J44" s="271"/>
    </row>
    <row r="45" spans="2:10" x14ac:dyDescent="0.25">
      <c r="B45" s="1" t="s">
        <v>231</v>
      </c>
      <c r="C45" s="82">
        <f>PRORRATEO!C50</f>
        <v>44</v>
      </c>
      <c r="D45" s="83" t="s">
        <v>235</v>
      </c>
      <c r="E45" s="82" t="str">
        <f>PRORRATEO!B50</f>
        <v>8-E</v>
      </c>
      <c r="H45" s="2"/>
      <c r="I45" s="1"/>
      <c r="J45" s="2"/>
    </row>
    <row r="46" spans="2:10" x14ac:dyDescent="0.25">
      <c r="B46" s="1"/>
      <c r="H46" s="2"/>
      <c r="I46" s="270"/>
      <c r="J46" s="271"/>
    </row>
    <row r="47" spans="2:10" x14ac:dyDescent="0.25">
      <c r="B47" s="1"/>
      <c r="H47" s="2"/>
      <c r="I47" s="1"/>
      <c r="J47" s="2"/>
    </row>
    <row r="48" spans="2:10" x14ac:dyDescent="0.25">
      <c r="B48" s="1"/>
      <c r="H48" s="2"/>
      <c r="I48" s="1"/>
      <c r="J48" s="2"/>
    </row>
    <row r="49" spans="2:10" ht="15.75" thickBot="1" x14ac:dyDescent="0.3">
      <c r="B49" s="1"/>
      <c r="H49" s="2"/>
      <c r="I49" s="89"/>
      <c r="J49" s="92"/>
    </row>
    <row r="50" spans="2:10" ht="15.75" thickBot="1" x14ac:dyDescent="0.3">
      <c r="B50" s="260" t="s">
        <v>234</v>
      </c>
      <c r="C50" s="261"/>
      <c r="D50" s="261"/>
      <c r="E50" s="261"/>
      <c r="F50" s="261"/>
      <c r="G50" s="262">
        <f>PRORRATEO!O50</f>
        <v>107350.44</v>
      </c>
      <c r="H50" s="263"/>
      <c r="I50" s="81"/>
      <c r="J50" s="91"/>
    </row>
    <row r="53" spans="2:10" ht="15.75" thickBot="1" x14ac:dyDescent="0.3"/>
    <row r="54" spans="2:10" ht="15.75" thickBot="1" x14ac:dyDescent="0.3">
      <c r="B54" s="272" t="s">
        <v>233</v>
      </c>
      <c r="C54" s="273"/>
      <c r="D54" s="273"/>
      <c r="E54" s="273"/>
      <c r="F54" s="273"/>
      <c r="G54" s="273"/>
      <c r="H54" s="274"/>
      <c r="I54" s="79"/>
      <c r="J54" s="80"/>
    </row>
    <row r="55" spans="2:10" ht="15.75" thickBot="1" x14ac:dyDescent="0.3">
      <c r="B55" s="264" t="s">
        <v>134</v>
      </c>
      <c r="C55" s="265"/>
      <c r="D55" s="265"/>
      <c r="E55" s="265"/>
      <c r="F55" s="265"/>
      <c r="G55" s="265"/>
      <c r="H55" s="266"/>
      <c r="I55" s="1"/>
      <c r="J55" s="2"/>
    </row>
    <row r="56" spans="2:10" x14ac:dyDescent="0.25">
      <c r="B56" s="79" t="s">
        <v>240</v>
      </c>
      <c r="C56" s="90"/>
      <c r="D56" s="90"/>
      <c r="E56" s="90"/>
      <c r="G56" t="s">
        <v>47</v>
      </c>
      <c r="H56" s="2"/>
      <c r="I56" s="1"/>
      <c r="J56" s="2"/>
    </row>
    <row r="57" spans="2:10" x14ac:dyDescent="0.25">
      <c r="B57" s="84" t="s">
        <v>238</v>
      </c>
      <c r="C57" s="82"/>
      <c r="D57" s="82"/>
      <c r="H57" s="2"/>
      <c r="I57" s="1"/>
      <c r="J57" s="2"/>
    </row>
    <row r="58" spans="2:10" x14ac:dyDescent="0.25">
      <c r="B58" s="85"/>
      <c r="C58" s="86"/>
      <c r="D58" s="86"/>
      <c r="E58" s="87"/>
      <c r="F58" s="87"/>
      <c r="G58" s="87"/>
      <c r="H58" s="88"/>
      <c r="I58" s="1"/>
      <c r="J58" s="2"/>
    </row>
    <row r="59" spans="2:10" x14ac:dyDescent="0.25">
      <c r="B59" s="267" t="s">
        <v>236</v>
      </c>
      <c r="C59" s="268"/>
      <c r="D59" s="268"/>
      <c r="E59" s="268"/>
      <c r="F59" s="268"/>
      <c r="G59" s="268"/>
      <c r="H59" s="269"/>
      <c r="I59" s="1"/>
      <c r="J59" s="2"/>
    </row>
    <row r="60" spans="2:10" x14ac:dyDescent="0.25">
      <c r="B60" s="84"/>
      <c r="C60" s="82"/>
      <c r="D60" s="82"/>
      <c r="H60" s="2"/>
      <c r="I60" s="1"/>
      <c r="J60" s="2"/>
    </row>
    <row r="61" spans="2:10" x14ac:dyDescent="0.25">
      <c r="B61" s="1" t="s">
        <v>232</v>
      </c>
      <c r="E61" t="str">
        <f>PRORRATEO!D51</f>
        <v>TINEO</v>
      </c>
      <c r="H61" s="2"/>
      <c r="I61" s="270" t="s">
        <v>237</v>
      </c>
      <c r="J61" s="271"/>
    </row>
    <row r="62" spans="2:10" x14ac:dyDescent="0.25">
      <c r="B62" s="1" t="s">
        <v>231</v>
      </c>
      <c r="C62" s="82">
        <f>PRORRATEO!C51</f>
        <v>45</v>
      </c>
      <c r="D62" s="83" t="s">
        <v>235</v>
      </c>
      <c r="E62" s="82" t="str">
        <f>PRORRATEO!B51</f>
        <v>9-A</v>
      </c>
      <c r="H62" s="2"/>
      <c r="I62" s="1"/>
      <c r="J62" s="2"/>
    </row>
    <row r="63" spans="2:10" x14ac:dyDescent="0.25">
      <c r="B63" s="1"/>
      <c r="H63" s="2"/>
      <c r="I63" s="270"/>
      <c r="J63" s="271"/>
    </row>
    <row r="64" spans="2:10" x14ac:dyDescent="0.25">
      <c r="B64" s="1"/>
      <c r="H64" s="2"/>
      <c r="I64" s="1"/>
      <c r="J64" s="2"/>
    </row>
    <row r="65" spans="2:10" x14ac:dyDescent="0.25">
      <c r="B65" s="1"/>
      <c r="H65" s="2"/>
      <c r="I65" s="1"/>
      <c r="J65" s="2"/>
    </row>
    <row r="66" spans="2:10" ht="15.75" thickBot="1" x14ac:dyDescent="0.3">
      <c r="B66" s="1"/>
      <c r="H66" s="2"/>
      <c r="I66" s="89"/>
      <c r="J66" s="92"/>
    </row>
    <row r="67" spans="2:10" ht="15.75" thickBot="1" x14ac:dyDescent="0.3">
      <c r="B67" s="260" t="s">
        <v>234</v>
      </c>
      <c r="C67" s="261"/>
      <c r="D67" s="261"/>
      <c r="E67" s="261"/>
      <c r="F67" s="261"/>
      <c r="G67" s="262">
        <f>PRORRATEO!O51</f>
        <v>158650.45000000001</v>
      </c>
      <c r="H67" s="263"/>
      <c r="I67" s="81"/>
      <c r="J67" s="91"/>
    </row>
    <row r="70" spans="2:10" ht="15.75" thickBot="1" x14ac:dyDescent="0.3"/>
    <row r="71" spans="2:10" ht="15.75" thickBot="1" x14ac:dyDescent="0.3">
      <c r="B71" s="272" t="s">
        <v>233</v>
      </c>
      <c r="C71" s="273"/>
      <c r="D71" s="273"/>
      <c r="E71" s="273"/>
      <c r="F71" s="273"/>
      <c r="G71" s="273"/>
      <c r="H71" s="274"/>
      <c r="I71" s="79"/>
      <c r="J71" s="80"/>
    </row>
    <row r="72" spans="2:10" ht="15.75" thickBot="1" x14ac:dyDescent="0.3">
      <c r="B72" s="264" t="s">
        <v>134</v>
      </c>
      <c r="C72" s="265"/>
      <c r="D72" s="265"/>
      <c r="E72" s="265"/>
      <c r="F72" s="265"/>
      <c r="G72" s="265"/>
      <c r="H72" s="266"/>
      <c r="I72" s="1"/>
      <c r="J72" s="2"/>
    </row>
    <row r="73" spans="2:10" x14ac:dyDescent="0.25">
      <c r="B73" s="79" t="s">
        <v>240</v>
      </c>
      <c r="C73" s="90"/>
      <c r="D73" s="90"/>
      <c r="E73" s="90"/>
      <c r="G73" t="s">
        <v>47</v>
      </c>
      <c r="H73" s="2"/>
      <c r="I73" s="1"/>
      <c r="J73" s="2"/>
    </row>
    <row r="74" spans="2:10" x14ac:dyDescent="0.25">
      <c r="B74" s="84" t="s">
        <v>238</v>
      </c>
      <c r="C74" s="82"/>
      <c r="D74" s="82"/>
      <c r="H74" s="2"/>
      <c r="I74" s="1"/>
      <c r="J74" s="2"/>
    </row>
    <row r="75" spans="2:10" x14ac:dyDescent="0.25">
      <c r="B75" s="85"/>
      <c r="C75" s="86"/>
      <c r="D75" s="86"/>
      <c r="E75" s="87"/>
      <c r="F75" s="87"/>
      <c r="G75" s="87"/>
      <c r="H75" s="88"/>
      <c r="I75" s="1"/>
      <c r="J75" s="2"/>
    </row>
    <row r="76" spans="2:10" x14ac:dyDescent="0.25">
      <c r="B76" s="267" t="s">
        <v>236</v>
      </c>
      <c r="C76" s="268"/>
      <c r="D76" s="268"/>
      <c r="E76" s="268"/>
      <c r="F76" s="268"/>
      <c r="G76" s="268"/>
      <c r="H76" s="269"/>
      <c r="I76" s="1"/>
      <c r="J76" s="2"/>
    </row>
    <row r="77" spans="2:10" x14ac:dyDescent="0.25">
      <c r="B77" s="84"/>
      <c r="C77" s="82"/>
      <c r="D77" s="82"/>
      <c r="H77" s="2"/>
      <c r="I77" s="1"/>
      <c r="J77" s="2"/>
    </row>
    <row r="78" spans="2:10" x14ac:dyDescent="0.25">
      <c r="B78" s="1" t="s">
        <v>232</v>
      </c>
      <c r="E78" t="str">
        <f>PRORRATEO!D52</f>
        <v>MAZZEO 
CECILIA</v>
      </c>
      <c r="H78" s="2"/>
      <c r="I78" s="270" t="s">
        <v>237</v>
      </c>
      <c r="J78" s="271"/>
    </row>
    <row r="79" spans="2:10" x14ac:dyDescent="0.25">
      <c r="B79" s="1" t="s">
        <v>231</v>
      </c>
      <c r="C79" s="82">
        <f>PRORRATEO!C52</f>
        <v>46</v>
      </c>
      <c r="D79" s="83" t="s">
        <v>235</v>
      </c>
      <c r="E79" s="82" t="str">
        <f>PRORRATEO!B52</f>
        <v>9-B</v>
      </c>
      <c r="H79" s="2"/>
      <c r="I79" s="1"/>
      <c r="J79" s="2"/>
    </row>
    <row r="80" spans="2:10" x14ac:dyDescent="0.25">
      <c r="B80" s="1"/>
      <c r="H80" s="2"/>
      <c r="I80" s="270"/>
      <c r="J80" s="271"/>
    </row>
    <row r="81" spans="2:10" x14ac:dyDescent="0.25">
      <c r="B81" s="1"/>
      <c r="H81" s="2"/>
      <c r="I81" s="1"/>
      <c r="J81" s="2"/>
    </row>
    <row r="82" spans="2:10" x14ac:dyDescent="0.25">
      <c r="B82" s="1"/>
      <c r="H82" s="2"/>
      <c r="I82" s="1"/>
      <c r="J82" s="2"/>
    </row>
    <row r="83" spans="2:10" ht="15.75" thickBot="1" x14ac:dyDescent="0.3">
      <c r="B83" s="1"/>
      <c r="H83" s="2"/>
      <c r="I83" s="89"/>
      <c r="J83" s="92"/>
    </row>
    <row r="84" spans="2:10" ht="15.75" thickBot="1" x14ac:dyDescent="0.3">
      <c r="B84" s="260" t="s">
        <v>234</v>
      </c>
      <c r="C84" s="261"/>
      <c r="D84" s="261"/>
      <c r="E84" s="261"/>
      <c r="F84" s="261"/>
      <c r="G84" s="262">
        <f>PRORRATEO!O52</f>
        <v>162450.46</v>
      </c>
      <c r="H84" s="263"/>
      <c r="I84" s="81"/>
      <c r="J84" s="91"/>
    </row>
    <row r="86" spans="2:10" ht="201" customHeight="1" x14ac:dyDescent="0.25"/>
    <row r="88" spans="2:10" ht="15.75" thickBot="1" x14ac:dyDescent="0.3"/>
    <row r="89" spans="2:10" ht="15.75" thickBot="1" x14ac:dyDescent="0.3">
      <c r="B89" s="272" t="s">
        <v>233</v>
      </c>
      <c r="C89" s="273"/>
      <c r="D89" s="273"/>
      <c r="E89" s="273"/>
      <c r="F89" s="273"/>
      <c r="G89" s="273"/>
      <c r="H89" s="274"/>
      <c r="I89" s="79"/>
      <c r="J89" s="80"/>
    </row>
    <row r="90" spans="2:10" ht="15.75" thickBot="1" x14ac:dyDescent="0.3">
      <c r="B90" s="264" t="s">
        <v>134</v>
      </c>
      <c r="C90" s="265"/>
      <c r="D90" s="265"/>
      <c r="E90" s="265"/>
      <c r="F90" s="265"/>
      <c r="G90" s="265"/>
      <c r="H90" s="266"/>
      <c r="I90" s="1"/>
      <c r="J90" s="2"/>
    </row>
    <row r="91" spans="2:10" x14ac:dyDescent="0.25">
      <c r="B91" s="79" t="s">
        <v>240</v>
      </c>
      <c r="C91" s="90"/>
      <c r="D91" s="90"/>
      <c r="E91" s="90"/>
      <c r="G91" t="s">
        <v>47</v>
      </c>
      <c r="H91" s="2"/>
      <c r="I91" s="1"/>
      <c r="J91" s="2"/>
    </row>
    <row r="92" spans="2:10" x14ac:dyDescent="0.25">
      <c r="B92" s="84" t="s">
        <v>238</v>
      </c>
      <c r="C92" s="82"/>
      <c r="D92" s="82"/>
      <c r="H92" s="2"/>
      <c r="I92" s="1"/>
      <c r="J92" s="2"/>
    </row>
    <row r="93" spans="2:10" x14ac:dyDescent="0.25">
      <c r="B93" s="85"/>
      <c r="C93" s="86"/>
      <c r="D93" s="86"/>
      <c r="E93" s="87"/>
      <c r="F93" s="87"/>
      <c r="G93" s="87"/>
      <c r="H93" s="88"/>
      <c r="I93" s="1"/>
      <c r="J93" s="2"/>
    </row>
    <row r="94" spans="2:10" x14ac:dyDescent="0.25">
      <c r="B94" s="267" t="s">
        <v>236</v>
      </c>
      <c r="C94" s="268"/>
      <c r="D94" s="268"/>
      <c r="E94" s="268"/>
      <c r="F94" s="268"/>
      <c r="G94" s="268"/>
      <c r="H94" s="269"/>
      <c r="I94" s="1"/>
      <c r="J94" s="2"/>
    </row>
    <row r="95" spans="2:10" x14ac:dyDescent="0.25">
      <c r="B95" s="84"/>
      <c r="C95" s="82"/>
      <c r="D95" s="82"/>
      <c r="H95" s="2"/>
      <c r="I95" s="1"/>
      <c r="J95" s="2"/>
    </row>
    <row r="96" spans="2:10" x14ac:dyDescent="0.25">
      <c r="B96" s="1" t="s">
        <v>232</v>
      </c>
      <c r="E96" t="str">
        <f>PRORRATEO!D53</f>
        <v>GARCIA JORGE</v>
      </c>
      <c r="H96" s="2"/>
      <c r="I96" s="270" t="s">
        <v>237</v>
      </c>
      <c r="J96" s="271"/>
    </row>
    <row r="97" spans="2:10" x14ac:dyDescent="0.25">
      <c r="B97" s="1" t="s">
        <v>231</v>
      </c>
      <c r="C97" s="82">
        <f>PRORRATEO!C53</f>
        <v>47</v>
      </c>
      <c r="D97" s="83" t="s">
        <v>235</v>
      </c>
      <c r="E97" s="82" t="str">
        <f>PRORRATEO!B53</f>
        <v>9-C</v>
      </c>
      <c r="H97" s="2"/>
      <c r="I97" s="1"/>
      <c r="J97" s="2"/>
    </row>
    <row r="98" spans="2:10" x14ac:dyDescent="0.25">
      <c r="B98" s="1"/>
      <c r="H98" s="2"/>
      <c r="I98" s="270"/>
      <c r="J98" s="271"/>
    </row>
    <row r="99" spans="2:10" x14ac:dyDescent="0.25">
      <c r="B99" s="1"/>
      <c r="H99" s="2"/>
      <c r="I99" s="1"/>
      <c r="J99" s="2"/>
    </row>
    <row r="100" spans="2:10" x14ac:dyDescent="0.25">
      <c r="B100" s="1"/>
      <c r="H100" s="2"/>
      <c r="I100" s="1"/>
      <c r="J100" s="2"/>
    </row>
    <row r="101" spans="2:10" ht="15.75" thickBot="1" x14ac:dyDescent="0.3">
      <c r="B101" s="1"/>
      <c r="H101" s="2"/>
      <c r="I101" s="89"/>
      <c r="J101" s="92"/>
    </row>
    <row r="102" spans="2:10" ht="15.75" thickBot="1" x14ac:dyDescent="0.3">
      <c r="B102" s="260" t="s">
        <v>234</v>
      </c>
      <c r="C102" s="261"/>
      <c r="D102" s="261"/>
      <c r="E102" s="261"/>
      <c r="F102" s="261"/>
      <c r="G102" s="262">
        <f>PRORRATEO!O53</f>
        <v>107350.47</v>
      </c>
      <c r="H102" s="263"/>
      <c r="I102" s="81"/>
      <c r="J102" s="91"/>
    </row>
    <row r="106" spans="2:10" ht="15.75" thickBot="1" x14ac:dyDescent="0.3"/>
    <row r="107" spans="2:10" ht="15.75" thickBot="1" x14ac:dyDescent="0.3">
      <c r="B107" s="272" t="s">
        <v>233</v>
      </c>
      <c r="C107" s="273"/>
      <c r="D107" s="273"/>
      <c r="E107" s="273"/>
      <c r="F107" s="273"/>
      <c r="G107" s="273"/>
      <c r="H107" s="274"/>
      <c r="I107" s="79"/>
      <c r="J107" s="80"/>
    </row>
    <row r="108" spans="2:10" ht="15.75" thickBot="1" x14ac:dyDescent="0.3">
      <c r="B108" s="264" t="s">
        <v>134</v>
      </c>
      <c r="C108" s="265"/>
      <c r="D108" s="265"/>
      <c r="E108" s="265"/>
      <c r="F108" s="265"/>
      <c r="G108" s="265"/>
      <c r="H108" s="266"/>
      <c r="I108" s="1"/>
      <c r="J108" s="2"/>
    </row>
    <row r="109" spans="2:10" x14ac:dyDescent="0.25">
      <c r="B109" s="79" t="s">
        <v>240</v>
      </c>
      <c r="C109" s="90"/>
      <c r="D109" s="90"/>
      <c r="E109" s="90"/>
      <c r="G109" t="s">
        <v>47</v>
      </c>
      <c r="H109" s="2"/>
      <c r="I109" s="1"/>
      <c r="J109" s="2"/>
    </row>
    <row r="110" spans="2:10" x14ac:dyDescent="0.25">
      <c r="B110" s="84" t="s">
        <v>238</v>
      </c>
      <c r="C110" s="82"/>
      <c r="D110" s="82"/>
      <c r="H110" s="2"/>
      <c r="I110" s="1"/>
      <c r="J110" s="2"/>
    </row>
    <row r="111" spans="2:10" x14ac:dyDescent="0.25">
      <c r="B111" s="85"/>
      <c r="C111" s="86"/>
      <c r="D111" s="86"/>
      <c r="E111" s="87"/>
      <c r="F111" s="87"/>
      <c r="G111" s="87"/>
      <c r="H111" s="88"/>
      <c r="I111" s="1"/>
      <c r="J111" s="2"/>
    </row>
    <row r="112" spans="2:10" x14ac:dyDescent="0.25">
      <c r="B112" s="267" t="s">
        <v>236</v>
      </c>
      <c r="C112" s="268"/>
      <c r="D112" s="268"/>
      <c r="E112" s="268"/>
      <c r="F112" s="268"/>
      <c r="G112" s="268"/>
      <c r="H112" s="269"/>
      <c r="I112" s="1"/>
      <c r="J112" s="2"/>
    </row>
    <row r="113" spans="2:10" x14ac:dyDescent="0.25">
      <c r="B113" s="84"/>
      <c r="C113" s="82"/>
      <c r="D113" s="82"/>
      <c r="H113" s="2"/>
      <c r="I113" s="1"/>
      <c r="J113" s="2"/>
    </row>
    <row r="114" spans="2:10" x14ac:dyDescent="0.25">
      <c r="B114" s="1" t="s">
        <v>232</v>
      </c>
      <c r="E114" t="str">
        <f>PRORRATEO!D54</f>
        <v>ROSSI NORMA</v>
      </c>
      <c r="H114" s="2"/>
      <c r="I114" s="270" t="s">
        <v>237</v>
      </c>
      <c r="J114" s="271"/>
    </row>
    <row r="115" spans="2:10" x14ac:dyDescent="0.25">
      <c r="B115" s="1" t="s">
        <v>231</v>
      </c>
      <c r="C115" s="82">
        <f>PRORRATEO!C54</f>
        <v>48</v>
      </c>
      <c r="D115" s="83" t="s">
        <v>235</v>
      </c>
      <c r="E115" s="82" t="str">
        <f>PRORRATEO!B54</f>
        <v>9-D</v>
      </c>
      <c r="H115" s="2"/>
      <c r="I115" s="1"/>
      <c r="J115" s="2"/>
    </row>
    <row r="116" spans="2:10" x14ac:dyDescent="0.25">
      <c r="B116" s="1"/>
      <c r="H116" s="2"/>
      <c r="I116" s="270"/>
      <c r="J116" s="271"/>
    </row>
    <row r="117" spans="2:10" x14ac:dyDescent="0.25">
      <c r="B117" s="1"/>
      <c r="H117" s="2"/>
      <c r="I117" s="1"/>
      <c r="J117" s="2"/>
    </row>
    <row r="118" spans="2:10" x14ac:dyDescent="0.25">
      <c r="B118" s="1"/>
      <c r="H118" s="2"/>
      <c r="I118" s="1"/>
      <c r="J118" s="2"/>
    </row>
    <row r="119" spans="2:10" ht="15.75" thickBot="1" x14ac:dyDescent="0.3">
      <c r="B119" s="1"/>
      <c r="H119" s="2"/>
      <c r="I119" s="89"/>
      <c r="J119" s="92"/>
    </row>
    <row r="120" spans="2:10" ht="15.75" thickBot="1" x14ac:dyDescent="0.3">
      <c r="B120" s="260" t="s">
        <v>234</v>
      </c>
      <c r="C120" s="261"/>
      <c r="D120" s="261"/>
      <c r="E120" s="261"/>
      <c r="F120" s="261"/>
      <c r="G120" s="262">
        <f>PRORRATEO!O54</f>
        <v>104193.48</v>
      </c>
      <c r="H120" s="263"/>
      <c r="I120" s="81"/>
      <c r="J120" s="91"/>
    </row>
    <row r="121" spans="2:10" ht="7.5" customHeight="1" x14ac:dyDescent="0.25"/>
    <row r="122" spans="2:10" hidden="1" x14ac:dyDescent="0.25"/>
    <row r="124" spans="2:10" ht="3" customHeight="1" thickBot="1" x14ac:dyDescent="0.3"/>
    <row r="125" spans="2:10" ht="15.75" thickBot="1" x14ac:dyDescent="0.3">
      <c r="B125" s="272" t="s">
        <v>233</v>
      </c>
      <c r="C125" s="273"/>
      <c r="D125" s="273"/>
      <c r="E125" s="273"/>
      <c r="F125" s="273"/>
      <c r="G125" s="273"/>
      <c r="H125" s="274"/>
      <c r="I125" s="79"/>
      <c r="J125" s="80"/>
    </row>
    <row r="126" spans="2:10" ht="15.75" thickBot="1" x14ac:dyDescent="0.3">
      <c r="B126" s="264" t="s">
        <v>134</v>
      </c>
      <c r="C126" s="265"/>
      <c r="D126" s="265"/>
      <c r="E126" s="265"/>
      <c r="F126" s="265"/>
      <c r="G126" s="265"/>
      <c r="H126" s="266"/>
      <c r="I126" s="1"/>
      <c r="J126" s="2"/>
    </row>
    <row r="127" spans="2:10" x14ac:dyDescent="0.25">
      <c r="B127" s="79" t="s">
        <v>240</v>
      </c>
      <c r="C127" s="90"/>
      <c r="D127" s="90"/>
      <c r="E127" s="90"/>
      <c r="G127" t="s">
        <v>47</v>
      </c>
      <c r="H127" s="2"/>
      <c r="I127" s="1"/>
      <c r="J127" s="2"/>
    </row>
    <row r="128" spans="2:10" x14ac:dyDescent="0.25">
      <c r="B128" s="84" t="s">
        <v>238</v>
      </c>
      <c r="C128" s="82"/>
      <c r="D128" s="82"/>
      <c r="H128" s="2"/>
      <c r="I128" s="1"/>
      <c r="J128" s="2"/>
    </row>
    <row r="129" spans="2:10" x14ac:dyDescent="0.25">
      <c r="B129" s="85"/>
      <c r="C129" s="86"/>
      <c r="D129" s="86"/>
      <c r="E129" s="87"/>
      <c r="F129" s="87"/>
      <c r="G129" s="87"/>
      <c r="H129" s="88"/>
      <c r="I129" s="1"/>
      <c r="J129" s="2"/>
    </row>
    <row r="130" spans="2:10" x14ac:dyDescent="0.25">
      <c r="B130" s="267" t="s">
        <v>236</v>
      </c>
      <c r="C130" s="268"/>
      <c r="D130" s="268"/>
      <c r="E130" s="268"/>
      <c r="F130" s="268"/>
      <c r="G130" s="268"/>
      <c r="H130" s="269"/>
      <c r="I130" s="1"/>
      <c r="J130" s="2"/>
    </row>
    <row r="131" spans="2:10" x14ac:dyDescent="0.25">
      <c r="B131" s="84"/>
      <c r="C131" s="82"/>
      <c r="D131" s="82"/>
      <c r="H131" s="2"/>
      <c r="I131" s="1"/>
      <c r="J131" s="2"/>
    </row>
    <row r="132" spans="2:10" x14ac:dyDescent="0.25">
      <c r="B132" s="1" t="s">
        <v>232</v>
      </c>
      <c r="E132" t="str">
        <f>PRORRATEO!D55</f>
        <v>AGNESE 
PEDRO</v>
      </c>
      <c r="H132" s="2"/>
      <c r="I132" s="270" t="s">
        <v>237</v>
      </c>
      <c r="J132" s="271"/>
    </row>
    <row r="133" spans="2:10" x14ac:dyDescent="0.25">
      <c r="B133" s="1" t="s">
        <v>231</v>
      </c>
      <c r="C133" s="82">
        <f>PRORRATEO!C55</f>
        <v>49</v>
      </c>
      <c r="D133" s="83" t="s">
        <v>235</v>
      </c>
      <c r="E133" s="82" t="str">
        <f>PRORRATEO!B55</f>
        <v>9-E</v>
      </c>
      <c r="H133" s="2"/>
      <c r="I133" s="1"/>
      <c r="J133" s="2"/>
    </row>
    <row r="134" spans="2:10" x14ac:dyDescent="0.25">
      <c r="B134" s="1"/>
      <c r="H134" s="2"/>
      <c r="I134" s="270"/>
      <c r="J134" s="271"/>
    </row>
    <row r="135" spans="2:10" x14ac:dyDescent="0.25">
      <c r="B135" s="1"/>
      <c r="H135" s="2"/>
      <c r="I135" s="1"/>
      <c r="J135" s="2"/>
    </row>
    <row r="136" spans="2:10" x14ac:dyDescent="0.25">
      <c r="B136" s="1"/>
      <c r="H136" s="2"/>
      <c r="I136" s="1"/>
      <c r="J136" s="2"/>
    </row>
    <row r="137" spans="2:10" ht="15.75" thickBot="1" x14ac:dyDescent="0.3">
      <c r="B137" s="1"/>
      <c r="H137" s="2"/>
      <c r="I137" s="89"/>
      <c r="J137" s="92"/>
    </row>
    <row r="138" spans="2:10" ht="15.75" thickBot="1" x14ac:dyDescent="0.3">
      <c r="B138" s="260" t="s">
        <v>234</v>
      </c>
      <c r="C138" s="261"/>
      <c r="D138" s="261"/>
      <c r="E138" s="261"/>
      <c r="F138" s="261"/>
      <c r="G138" s="262">
        <f>PRORRATEO!O55</f>
        <v>107350.49</v>
      </c>
      <c r="H138" s="263"/>
      <c r="I138" s="81"/>
      <c r="J138" s="91"/>
    </row>
    <row r="141" spans="2:10" ht="15.75" thickBot="1" x14ac:dyDescent="0.3"/>
    <row r="142" spans="2:10" ht="15.75" thickBot="1" x14ac:dyDescent="0.3">
      <c r="B142" s="272" t="s">
        <v>233</v>
      </c>
      <c r="C142" s="273"/>
      <c r="D142" s="273"/>
      <c r="E142" s="273"/>
      <c r="F142" s="273"/>
      <c r="G142" s="273"/>
      <c r="H142" s="274"/>
      <c r="I142" s="79"/>
      <c r="J142" s="80"/>
    </row>
    <row r="143" spans="2:10" ht="15.75" thickBot="1" x14ac:dyDescent="0.3">
      <c r="B143" s="264" t="s">
        <v>134</v>
      </c>
      <c r="C143" s="265"/>
      <c r="D143" s="265"/>
      <c r="E143" s="265"/>
      <c r="F143" s="265"/>
      <c r="G143" s="265"/>
      <c r="H143" s="266"/>
      <c r="I143" s="1"/>
      <c r="J143" s="2"/>
    </row>
    <row r="144" spans="2:10" x14ac:dyDescent="0.25">
      <c r="B144" s="79" t="s">
        <v>240</v>
      </c>
      <c r="C144" s="90"/>
      <c r="D144" s="90"/>
      <c r="E144" s="90"/>
      <c r="G144" t="s">
        <v>47</v>
      </c>
      <c r="H144" s="2"/>
      <c r="I144" s="1"/>
      <c r="J144" s="2"/>
    </row>
    <row r="145" spans="2:10" x14ac:dyDescent="0.25">
      <c r="B145" s="84" t="s">
        <v>238</v>
      </c>
      <c r="C145" s="82"/>
      <c r="D145" s="82"/>
      <c r="H145" s="2"/>
      <c r="I145" s="1"/>
      <c r="J145" s="2"/>
    </row>
    <row r="146" spans="2:10" x14ac:dyDescent="0.25">
      <c r="B146" s="85"/>
      <c r="C146" s="86"/>
      <c r="D146" s="86"/>
      <c r="E146" s="87"/>
      <c r="F146" s="87"/>
      <c r="G146" s="87"/>
      <c r="H146" s="88"/>
      <c r="I146" s="1"/>
      <c r="J146" s="2"/>
    </row>
    <row r="147" spans="2:10" x14ac:dyDescent="0.25">
      <c r="B147" s="267" t="s">
        <v>236</v>
      </c>
      <c r="C147" s="268"/>
      <c r="D147" s="268"/>
      <c r="E147" s="268"/>
      <c r="F147" s="268"/>
      <c r="G147" s="268"/>
      <c r="H147" s="269"/>
      <c r="I147" s="1"/>
      <c r="J147" s="2"/>
    </row>
    <row r="148" spans="2:10" x14ac:dyDescent="0.25">
      <c r="B148" s="84"/>
      <c r="C148" s="82"/>
      <c r="D148" s="82"/>
      <c r="H148" s="2"/>
      <c r="I148" s="1"/>
      <c r="J148" s="2"/>
    </row>
    <row r="149" spans="2:10" x14ac:dyDescent="0.25">
      <c r="B149" s="1" t="s">
        <v>232</v>
      </c>
      <c r="E149" t="str">
        <f>PRORRATEO!D56</f>
        <v>ABDALA (1)</v>
      </c>
      <c r="H149" s="2"/>
      <c r="I149" s="270" t="s">
        <v>237</v>
      </c>
      <c r="J149" s="271"/>
    </row>
    <row r="150" spans="2:10" x14ac:dyDescent="0.25">
      <c r="B150" s="1" t="s">
        <v>231</v>
      </c>
      <c r="C150" s="82">
        <f>PRORRATEO!C56</f>
        <v>50</v>
      </c>
      <c r="D150" s="83" t="s">
        <v>235</v>
      </c>
      <c r="E150" s="82" t="str">
        <f>PRORRATEO!B56</f>
        <v>10-A</v>
      </c>
      <c r="H150" s="2"/>
      <c r="I150" s="1"/>
      <c r="J150" s="2"/>
    </row>
    <row r="151" spans="2:10" x14ac:dyDescent="0.25">
      <c r="B151" s="1"/>
      <c r="H151" s="2"/>
      <c r="I151" s="270"/>
      <c r="J151" s="271"/>
    </row>
    <row r="152" spans="2:10" x14ac:dyDescent="0.25">
      <c r="B152" s="1"/>
      <c r="H152" s="2"/>
      <c r="I152" s="1"/>
      <c r="J152" s="2"/>
    </row>
    <row r="153" spans="2:10" x14ac:dyDescent="0.25">
      <c r="B153" s="1"/>
      <c r="H153" s="2"/>
      <c r="I153" s="1"/>
      <c r="J153" s="2"/>
    </row>
    <row r="154" spans="2:10" ht="15.75" thickBot="1" x14ac:dyDescent="0.3">
      <c r="B154" s="1"/>
      <c r="H154" s="2"/>
      <c r="I154" s="89"/>
      <c r="J154" s="92"/>
    </row>
    <row r="155" spans="2:10" ht="15.75" thickBot="1" x14ac:dyDescent="0.3">
      <c r="B155" s="260" t="s">
        <v>234</v>
      </c>
      <c r="C155" s="261"/>
      <c r="D155" s="261"/>
      <c r="E155" s="261"/>
      <c r="F155" s="261"/>
      <c r="G155" s="262">
        <f>PRORRATEO!O56</f>
        <v>151292.5</v>
      </c>
      <c r="H155" s="263"/>
      <c r="I155" s="81"/>
      <c r="J155" s="91"/>
    </row>
    <row r="159" spans="2:10" ht="15.75" thickBot="1" x14ac:dyDescent="0.3"/>
    <row r="160" spans="2:10" ht="15.75" thickBot="1" x14ac:dyDescent="0.3">
      <c r="B160" s="272" t="s">
        <v>233</v>
      </c>
      <c r="C160" s="273"/>
      <c r="D160" s="273"/>
      <c r="E160" s="273"/>
      <c r="F160" s="273"/>
      <c r="G160" s="273"/>
      <c r="H160" s="274"/>
      <c r="I160" s="79"/>
      <c r="J160" s="80"/>
    </row>
    <row r="161" spans="2:10" ht="15.75" thickBot="1" x14ac:dyDescent="0.3">
      <c r="B161" s="264" t="s">
        <v>134</v>
      </c>
      <c r="C161" s="265"/>
      <c r="D161" s="265"/>
      <c r="E161" s="265"/>
      <c r="F161" s="265"/>
      <c r="G161" s="265"/>
      <c r="H161" s="266"/>
      <c r="I161" s="1"/>
      <c r="J161" s="2"/>
    </row>
    <row r="162" spans="2:10" x14ac:dyDescent="0.25">
      <c r="B162" s="79" t="s">
        <v>240</v>
      </c>
      <c r="C162" s="90"/>
      <c r="D162" s="90"/>
      <c r="E162" s="90"/>
      <c r="G162" t="s">
        <v>47</v>
      </c>
      <c r="H162" s="2"/>
      <c r="I162" s="1"/>
      <c r="J162" s="2"/>
    </row>
    <row r="163" spans="2:10" x14ac:dyDescent="0.25">
      <c r="B163" s="84" t="s">
        <v>238</v>
      </c>
      <c r="C163" s="82"/>
      <c r="D163" s="82"/>
      <c r="H163" s="2"/>
      <c r="I163" s="1"/>
      <c r="J163" s="2"/>
    </row>
    <row r="164" spans="2:10" x14ac:dyDescent="0.25">
      <c r="B164" s="85"/>
      <c r="C164" s="86"/>
      <c r="D164" s="86"/>
      <c r="E164" s="87"/>
      <c r="F164" s="87"/>
      <c r="G164" s="87"/>
      <c r="H164" s="88"/>
      <c r="I164" s="1"/>
      <c r="J164" s="2"/>
    </row>
    <row r="165" spans="2:10" x14ac:dyDescent="0.25">
      <c r="B165" s="267" t="s">
        <v>236</v>
      </c>
      <c r="C165" s="268"/>
      <c r="D165" s="268"/>
      <c r="E165" s="268"/>
      <c r="F165" s="268"/>
      <c r="G165" s="268"/>
      <c r="H165" s="269"/>
      <c r="I165" s="1"/>
      <c r="J165" s="2"/>
    </row>
    <row r="166" spans="2:10" x14ac:dyDescent="0.25">
      <c r="B166" s="84"/>
      <c r="C166" s="82"/>
      <c r="D166" s="82"/>
      <c r="H166" s="2"/>
      <c r="I166" s="1"/>
      <c r="J166" s="2"/>
    </row>
    <row r="167" spans="2:10" x14ac:dyDescent="0.25">
      <c r="B167" s="1" t="s">
        <v>232</v>
      </c>
      <c r="E167" t="str">
        <f>PRORRATEO!D57</f>
        <v>DEL RIO 
GUSTAVO</v>
      </c>
      <c r="H167" s="2"/>
      <c r="I167" s="270" t="s">
        <v>237</v>
      </c>
      <c r="J167" s="271"/>
    </row>
    <row r="168" spans="2:10" x14ac:dyDescent="0.25">
      <c r="B168" s="1" t="s">
        <v>231</v>
      </c>
      <c r="C168" s="82">
        <f>PRORRATEO!C57</f>
        <v>51</v>
      </c>
      <c r="D168" s="83" t="s">
        <v>235</v>
      </c>
      <c r="E168" s="82" t="str">
        <f>PRORRATEO!B57</f>
        <v>10-B</v>
      </c>
      <c r="H168" s="2"/>
      <c r="I168" s="1"/>
      <c r="J168" s="2"/>
    </row>
    <row r="169" spans="2:10" x14ac:dyDescent="0.25">
      <c r="B169" s="1"/>
      <c r="H169" s="2"/>
      <c r="I169" s="270"/>
      <c r="J169" s="271"/>
    </row>
    <row r="170" spans="2:10" x14ac:dyDescent="0.25">
      <c r="B170" s="1"/>
      <c r="H170" s="2"/>
      <c r="I170" s="1"/>
      <c r="J170" s="2"/>
    </row>
    <row r="171" spans="2:10" x14ac:dyDescent="0.25">
      <c r="B171" s="1"/>
      <c r="H171" s="2"/>
      <c r="I171" s="1"/>
      <c r="J171" s="2"/>
    </row>
    <row r="172" spans="2:10" ht="15.75" thickBot="1" x14ac:dyDescent="0.3">
      <c r="B172" s="1"/>
      <c r="H172" s="2"/>
      <c r="I172" s="89"/>
      <c r="J172" s="92"/>
    </row>
    <row r="173" spans="2:10" ht="15.75" thickBot="1" x14ac:dyDescent="0.3">
      <c r="B173" s="260" t="s">
        <v>234</v>
      </c>
      <c r="C173" s="261"/>
      <c r="D173" s="261"/>
      <c r="E173" s="261"/>
      <c r="F173" s="261"/>
      <c r="G173" s="262">
        <f>PRORRATEO!O57</f>
        <v>329774.51</v>
      </c>
      <c r="H173" s="263"/>
      <c r="I173" s="81"/>
      <c r="J173" s="91"/>
    </row>
  </sheetData>
  <mergeCells count="70">
    <mergeCell ref="B4:H4"/>
    <mergeCell ref="B5:H5"/>
    <mergeCell ref="B9:H9"/>
    <mergeCell ref="B59:H59"/>
    <mergeCell ref="I11:J11"/>
    <mergeCell ref="I13:J13"/>
    <mergeCell ref="I44:J44"/>
    <mergeCell ref="I46:J46"/>
    <mergeCell ref="B50:F50"/>
    <mergeCell ref="G50:H50"/>
    <mergeCell ref="B20:H20"/>
    <mergeCell ref="B21:H21"/>
    <mergeCell ref="B25:H25"/>
    <mergeCell ref="I27:J27"/>
    <mergeCell ref="I29:J29"/>
    <mergeCell ref="B33:F33"/>
    <mergeCell ref="G33:H33"/>
    <mergeCell ref="B17:F17"/>
    <mergeCell ref="G17:H17"/>
    <mergeCell ref="B37:H37"/>
    <mergeCell ref="B38:H38"/>
    <mergeCell ref="B42:H42"/>
    <mergeCell ref="B54:H54"/>
    <mergeCell ref="B55:H55"/>
    <mergeCell ref="B112:H112"/>
    <mergeCell ref="I61:J61"/>
    <mergeCell ref="I63:J63"/>
    <mergeCell ref="I96:J96"/>
    <mergeCell ref="I98:J98"/>
    <mergeCell ref="B102:F102"/>
    <mergeCell ref="G102:H102"/>
    <mergeCell ref="B71:H71"/>
    <mergeCell ref="B72:H72"/>
    <mergeCell ref="B76:H76"/>
    <mergeCell ref="I78:J78"/>
    <mergeCell ref="I80:J80"/>
    <mergeCell ref="B84:F84"/>
    <mergeCell ref="I114:J114"/>
    <mergeCell ref="I116:J116"/>
    <mergeCell ref="G84:H84"/>
    <mergeCell ref="B67:F67"/>
    <mergeCell ref="G67:H67"/>
    <mergeCell ref="B89:H89"/>
    <mergeCell ref="B90:H90"/>
    <mergeCell ref="B94:H94"/>
    <mergeCell ref="B107:H107"/>
    <mergeCell ref="B108:H108"/>
    <mergeCell ref="B125:H125"/>
    <mergeCell ref="B126:H126"/>
    <mergeCell ref="I132:J132"/>
    <mergeCell ref="I134:J134"/>
    <mergeCell ref="B120:F120"/>
    <mergeCell ref="G120:H120"/>
    <mergeCell ref="I167:J167"/>
    <mergeCell ref="B138:F138"/>
    <mergeCell ref="G138:H138"/>
    <mergeCell ref="B130:H130"/>
    <mergeCell ref="I169:J169"/>
    <mergeCell ref="I149:J149"/>
    <mergeCell ref="I151:J151"/>
    <mergeCell ref="B173:F173"/>
    <mergeCell ref="G173:H173"/>
    <mergeCell ref="B142:H142"/>
    <mergeCell ref="B143:H143"/>
    <mergeCell ref="B147:H147"/>
    <mergeCell ref="B160:H160"/>
    <mergeCell ref="B161:H161"/>
    <mergeCell ref="B165:H165"/>
    <mergeCell ref="B155:F155"/>
    <mergeCell ref="G155:H155"/>
  </mergeCells>
  <pageMargins left="0.25" right="0.25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138"/>
  <sheetViews>
    <sheetView topLeftCell="A70" workbookViewId="0">
      <selection activeCell="G86" sqref="G86:H86"/>
    </sheetView>
  </sheetViews>
  <sheetFormatPr baseColWidth="10" defaultRowHeight="15" x14ac:dyDescent="0.25"/>
  <cols>
    <col min="1" max="1" width="3.42578125" customWidth="1"/>
    <col min="2" max="2" width="4.28515625" customWidth="1"/>
    <col min="4" max="4" width="11" customWidth="1"/>
    <col min="5" max="5" width="5.42578125" customWidth="1"/>
    <col min="6" max="6" width="7.7109375" customWidth="1"/>
    <col min="7" max="7" width="4.28515625" customWidth="1"/>
    <col min="8" max="8" width="11.42578125" customWidth="1"/>
  </cols>
  <sheetData>
    <row r="2" spans="2:10" ht="15.75" thickBot="1" x14ac:dyDescent="0.3"/>
    <row r="3" spans="2:10" ht="15.75" thickBot="1" x14ac:dyDescent="0.3">
      <c r="B3" s="272" t="s">
        <v>233</v>
      </c>
      <c r="C3" s="273"/>
      <c r="D3" s="273"/>
      <c r="E3" s="273"/>
      <c r="F3" s="273"/>
      <c r="G3" s="273"/>
      <c r="H3" s="274"/>
      <c r="I3" s="79"/>
      <c r="J3" s="80"/>
    </row>
    <row r="4" spans="2:10" ht="15.75" thickBot="1" x14ac:dyDescent="0.3">
      <c r="B4" s="264" t="s">
        <v>134</v>
      </c>
      <c r="C4" s="265"/>
      <c r="D4" s="265"/>
      <c r="E4" s="265"/>
      <c r="F4" s="265"/>
      <c r="G4" s="265"/>
      <c r="H4" s="266"/>
      <c r="I4" s="1"/>
      <c r="J4" s="2"/>
    </row>
    <row r="5" spans="2:10" x14ac:dyDescent="0.25">
      <c r="B5" s="79" t="s">
        <v>241</v>
      </c>
      <c r="C5" s="90"/>
      <c r="D5" s="90"/>
      <c r="E5" s="90"/>
      <c r="G5" t="s">
        <v>47</v>
      </c>
      <c r="H5" s="2"/>
      <c r="I5" s="1"/>
      <c r="J5" s="2"/>
    </row>
    <row r="6" spans="2:10" x14ac:dyDescent="0.25">
      <c r="B6" s="84" t="s">
        <v>238</v>
      </c>
      <c r="C6" s="82"/>
      <c r="D6" s="82"/>
      <c r="H6" s="2"/>
      <c r="I6" s="1"/>
      <c r="J6" s="2"/>
    </row>
    <row r="7" spans="2:10" x14ac:dyDescent="0.25">
      <c r="B7" s="85"/>
      <c r="C7" s="86"/>
      <c r="D7" s="86"/>
      <c r="E7" s="87"/>
      <c r="F7" s="87"/>
      <c r="G7" s="87"/>
      <c r="H7" s="88"/>
      <c r="I7" s="1"/>
      <c r="J7" s="2"/>
    </row>
    <row r="8" spans="2:10" x14ac:dyDescent="0.25">
      <c r="B8" s="267" t="s">
        <v>236</v>
      </c>
      <c r="C8" s="268"/>
      <c r="D8" s="268"/>
      <c r="E8" s="268"/>
      <c r="F8" s="268"/>
      <c r="G8" s="268"/>
      <c r="H8" s="269"/>
      <c r="I8" s="1"/>
      <c r="J8" s="2"/>
    </row>
    <row r="9" spans="2:10" x14ac:dyDescent="0.25">
      <c r="B9" s="84"/>
      <c r="C9" s="82"/>
      <c r="D9" s="82"/>
      <c r="H9" s="2"/>
      <c r="I9" s="1"/>
      <c r="J9" s="2"/>
    </row>
    <row r="10" spans="2:10" x14ac:dyDescent="0.25">
      <c r="B10" s="1" t="s">
        <v>232</v>
      </c>
      <c r="E10" t="str">
        <f>PRORRATEO!D58</f>
        <v>MIGLIORISI 
ANDREA</v>
      </c>
      <c r="H10" s="2"/>
      <c r="I10" s="270" t="s">
        <v>237</v>
      </c>
      <c r="J10" s="271"/>
    </row>
    <row r="11" spans="2:10" x14ac:dyDescent="0.25">
      <c r="B11" s="1" t="s">
        <v>231</v>
      </c>
      <c r="C11" s="82">
        <f>PRORRATEO!C58</f>
        <v>52</v>
      </c>
      <c r="D11" s="83" t="s">
        <v>235</v>
      </c>
      <c r="E11" s="82" t="str">
        <f>PRORRATEO!B58</f>
        <v>10-C</v>
      </c>
      <c r="H11" s="2"/>
      <c r="I11" s="1"/>
      <c r="J11" s="2"/>
    </row>
    <row r="12" spans="2:10" x14ac:dyDescent="0.25">
      <c r="B12" s="1"/>
      <c r="H12" s="2"/>
      <c r="I12" s="270"/>
      <c r="J12" s="271"/>
    </row>
    <row r="13" spans="2:10" x14ac:dyDescent="0.25">
      <c r="B13" s="1"/>
      <c r="H13" s="2"/>
      <c r="I13" s="1"/>
      <c r="J13" s="2"/>
    </row>
    <row r="14" spans="2:10" x14ac:dyDescent="0.25">
      <c r="B14" s="1"/>
      <c r="H14" s="2"/>
      <c r="I14" s="1"/>
      <c r="J14" s="2"/>
    </row>
    <row r="15" spans="2:10" ht="15.75" thickBot="1" x14ac:dyDescent="0.3">
      <c r="B15" s="1"/>
      <c r="H15" s="2"/>
      <c r="I15" s="89"/>
      <c r="J15" s="92"/>
    </row>
    <row r="16" spans="2:10" ht="15.75" thickBot="1" x14ac:dyDescent="0.3">
      <c r="B16" s="260" t="s">
        <v>234</v>
      </c>
      <c r="C16" s="261"/>
      <c r="D16" s="261"/>
      <c r="E16" s="261"/>
      <c r="F16" s="261"/>
      <c r="G16" s="262">
        <f>PRORRATEO!O58</f>
        <v>107350.52</v>
      </c>
      <c r="H16" s="263"/>
      <c r="I16" s="81"/>
      <c r="J16" s="91"/>
    </row>
    <row r="19" spans="2:10" ht="15.75" thickBot="1" x14ac:dyDescent="0.3"/>
    <row r="20" spans="2:10" ht="15.75" thickBot="1" x14ac:dyDescent="0.3">
      <c r="B20" s="272" t="s">
        <v>233</v>
      </c>
      <c r="C20" s="273"/>
      <c r="D20" s="273"/>
      <c r="E20" s="273"/>
      <c r="F20" s="273"/>
      <c r="G20" s="273"/>
      <c r="H20" s="274"/>
      <c r="I20" s="79"/>
      <c r="J20" s="80"/>
    </row>
    <row r="21" spans="2:10" ht="15.75" thickBot="1" x14ac:dyDescent="0.3">
      <c r="B21" s="264" t="s">
        <v>134</v>
      </c>
      <c r="C21" s="265"/>
      <c r="D21" s="265"/>
      <c r="E21" s="265"/>
      <c r="F21" s="265"/>
      <c r="G21" s="265"/>
      <c r="H21" s="266"/>
      <c r="I21" s="1"/>
      <c r="J21" s="2"/>
    </row>
    <row r="22" spans="2:10" x14ac:dyDescent="0.25">
      <c r="B22" s="79" t="s">
        <v>241</v>
      </c>
      <c r="C22" s="90"/>
      <c r="D22" s="90"/>
      <c r="E22" s="90"/>
      <c r="G22" t="s">
        <v>47</v>
      </c>
      <c r="H22" s="2"/>
      <c r="I22" s="1"/>
      <c r="J22" s="2"/>
    </row>
    <row r="23" spans="2:10" x14ac:dyDescent="0.25">
      <c r="B23" s="84" t="s">
        <v>238</v>
      </c>
      <c r="C23" s="82"/>
      <c r="D23" s="82"/>
      <c r="H23" s="2"/>
      <c r="I23" s="1"/>
      <c r="J23" s="2"/>
    </row>
    <row r="24" spans="2:10" x14ac:dyDescent="0.25">
      <c r="B24" s="85"/>
      <c r="C24" s="86"/>
      <c r="D24" s="86"/>
      <c r="E24" s="87"/>
      <c r="F24" s="87"/>
      <c r="G24" s="87"/>
      <c r="H24" s="88"/>
      <c r="I24" s="1"/>
      <c r="J24" s="2"/>
    </row>
    <row r="25" spans="2:10" x14ac:dyDescent="0.25">
      <c r="B25" s="267" t="s">
        <v>236</v>
      </c>
      <c r="C25" s="268"/>
      <c r="D25" s="268"/>
      <c r="E25" s="268"/>
      <c r="F25" s="268"/>
      <c r="G25" s="268"/>
      <c r="H25" s="269"/>
      <c r="I25" s="1"/>
      <c r="J25" s="2"/>
    </row>
    <row r="26" spans="2:10" x14ac:dyDescent="0.25">
      <c r="B26" s="84"/>
      <c r="C26" s="82"/>
      <c r="D26" s="82"/>
      <c r="H26" s="2"/>
      <c r="I26" s="1"/>
      <c r="J26" s="2"/>
    </row>
    <row r="27" spans="2:10" x14ac:dyDescent="0.25">
      <c r="B27" s="1" t="s">
        <v>232</v>
      </c>
      <c r="E27" t="str">
        <f>PRORRATEO!D59</f>
        <v>EHGATNER 
ANA</v>
      </c>
      <c r="H27" s="2"/>
      <c r="I27" s="270" t="s">
        <v>237</v>
      </c>
      <c r="J27" s="271"/>
    </row>
    <row r="28" spans="2:10" x14ac:dyDescent="0.25">
      <c r="B28" s="1" t="s">
        <v>231</v>
      </c>
      <c r="C28" s="82">
        <f>PRORRATEO!C59</f>
        <v>53</v>
      </c>
      <c r="D28" s="83" t="s">
        <v>235</v>
      </c>
      <c r="E28" s="82" t="str">
        <f>PRORRATEO!B59</f>
        <v>10-D</v>
      </c>
      <c r="H28" s="2"/>
      <c r="I28" s="1"/>
      <c r="J28" s="2"/>
    </row>
    <row r="29" spans="2:10" x14ac:dyDescent="0.25">
      <c r="B29" s="1"/>
      <c r="H29" s="2"/>
      <c r="I29" s="270"/>
      <c r="J29" s="271"/>
    </row>
    <row r="30" spans="2:10" x14ac:dyDescent="0.25">
      <c r="B30" s="1"/>
      <c r="H30" s="2"/>
      <c r="I30" s="1"/>
      <c r="J30" s="2"/>
    </row>
    <row r="31" spans="2:10" x14ac:dyDescent="0.25">
      <c r="B31" s="1"/>
      <c r="H31" s="2"/>
      <c r="I31" s="1"/>
      <c r="J31" s="2"/>
    </row>
    <row r="32" spans="2:10" ht="15.75" thickBot="1" x14ac:dyDescent="0.3">
      <c r="B32" s="1"/>
      <c r="H32" s="2"/>
      <c r="I32" s="89"/>
      <c r="J32" s="92"/>
    </row>
    <row r="33" spans="2:10" ht="15.75" thickBot="1" x14ac:dyDescent="0.3">
      <c r="B33" s="260" t="s">
        <v>234</v>
      </c>
      <c r="C33" s="261"/>
      <c r="D33" s="261"/>
      <c r="E33" s="261"/>
      <c r="F33" s="261"/>
      <c r="G33" s="262">
        <f>PRORRATEO!O59</f>
        <v>107350.53</v>
      </c>
      <c r="H33" s="263"/>
      <c r="I33" s="81"/>
      <c r="J33" s="91"/>
    </row>
    <row r="35" spans="2:10" ht="1.5" customHeight="1" x14ac:dyDescent="0.25"/>
    <row r="36" spans="2:10" hidden="1" x14ac:dyDescent="0.25"/>
    <row r="37" spans="2:10" ht="15.75" thickBot="1" x14ac:dyDescent="0.3"/>
    <row r="38" spans="2:10" ht="15.75" thickBot="1" x14ac:dyDescent="0.3">
      <c r="B38" s="272" t="s">
        <v>233</v>
      </c>
      <c r="C38" s="273"/>
      <c r="D38" s="273"/>
      <c r="E38" s="273"/>
      <c r="F38" s="273"/>
      <c r="G38" s="273"/>
      <c r="H38" s="274"/>
      <c r="I38" s="79"/>
      <c r="J38" s="80"/>
    </row>
    <row r="39" spans="2:10" ht="15.75" thickBot="1" x14ac:dyDescent="0.3">
      <c r="B39" s="264" t="s">
        <v>134</v>
      </c>
      <c r="C39" s="265"/>
      <c r="D39" s="265"/>
      <c r="E39" s="265"/>
      <c r="F39" s="265"/>
      <c r="G39" s="265"/>
      <c r="H39" s="266"/>
      <c r="I39" s="1"/>
      <c r="J39" s="2"/>
    </row>
    <row r="40" spans="2:10" x14ac:dyDescent="0.25">
      <c r="B40" s="79" t="s">
        <v>241</v>
      </c>
      <c r="C40" s="90"/>
      <c r="D40" s="90"/>
      <c r="E40" s="90"/>
      <c r="G40" t="s">
        <v>47</v>
      </c>
      <c r="H40" s="2"/>
      <c r="I40" s="1"/>
      <c r="J40" s="2"/>
    </row>
    <row r="41" spans="2:10" x14ac:dyDescent="0.25">
      <c r="B41" s="84" t="s">
        <v>238</v>
      </c>
      <c r="C41" s="82"/>
      <c r="D41" s="82"/>
      <c r="H41" s="2"/>
      <c r="I41" s="1"/>
      <c r="J41" s="2"/>
    </row>
    <row r="42" spans="2:10" x14ac:dyDescent="0.25">
      <c r="B42" s="85"/>
      <c r="C42" s="86"/>
      <c r="D42" s="86"/>
      <c r="E42" s="87"/>
      <c r="F42" s="87"/>
      <c r="G42" s="87"/>
      <c r="H42" s="88"/>
      <c r="I42" s="1"/>
      <c r="J42" s="2"/>
    </row>
    <row r="43" spans="2:10" x14ac:dyDescent="0.25">
      <c r="B43" s="267" t="s">
        <v>236</v>
      </c>
      <c r="C43" s="268"/>
      <c r="D43" s="268"/>
      <c r="E43" s="268"/>
      <c r="F43" s="268"/>
      <c r="G43" s="268"/>
      <c r="H43" s="269"/>
      <c r="I43" s="1"/>
      <c r="J43" s="2"/>
    </row>
    <row r="44" spans="2:10" x14ac:dyDescent="0.25">
      <c r="B44" s="84"/>
      <c r="C44" s="82"/>
      <c r="D44" s="82"/>
      <c r="H44" s="2"/>
      <c r="I44" s="1"/>
      <c r="J44" s="2"/>
    </row>
    <row r="45" spans="2:10" x14ac:dyDescent="0.25">
      <c r="B45" s="1" t="s">
        <v>232</v>
      </c>
      <c r="E45" t="str">
        <f>PRORRATEO!D60</f>
        <v>DEBENEDETTI 
C</v>
      </c>
      <c r="H45" s="2"/>
      <c r="I45" s="270" t="s">
        <v>237</v>
      </c>
      <c r="J45" s="271"/>
    </row>
    <row r="46" spans="2:10" x14ac:dyDescent="0.25">
      <c r="B46" s="1" t="s">
        <v>231</v>
      </c>
      <c r="C46" s="82">
        <f>PRORRATEO!C60</f>
        <v>54</v>
      </c>
      <c r="D46" s="83" t="s">
        <v>235</v>
      </c>
      <c r="E46" s="82" t="str">
        <f>PRORRATEO!B60</f>
        <v>10-E</v>
      </c>
      <c r="H46" s="2"/>
      <c r="I46" s="1"/>
      <c r="J46" s="2"/>
    </row>
    <row r="47" spans="2:10" x14ac:dyDescent="0.25">
      <c r="B47" s="1"/>
      <c r="H47" s="2"/>
      <c r="I47" s="270"/>
      <c r="J47" s="271"/>
    </row>
    <row r="48" spans="2:10" x14ac:dyDescent="0.25">
      <c r="B48" s="1"/>
      <c r="H48" s="2"/>
      <c r="I48" s="1"/>
      <c r="J48" s="2"/>
    </row>
    <row r="49" spans="2:10" x14ac:dyDescent="0.25">
      <c r="B49" s="1"/>
      <c r="H49" s="2"/>
      <c r="I49" s="1"/>
      <c r="J49" s="2"/>
    </row>
    <row r="50" spans="2:10" ht="15.75" thickBot="1" x14ac:dyDescent="0.3">
      <c r="B50" s="1"/>
      <c r="H50" s="2"/>
      <c r="I50" s="89"/>
      <c r="J50" s="92"/>
    </row>
    <row r="51" spans="2:10" ht="15.75" thickBot="1" x14ac:dyDescent="0.3">
      <c r="B51" s="260" t="s">
        <v>234</v>
      </c>
      <c r="C51" s="261"/>
      <c r="D51" s="261"/>
      <c r="E51" s="261"/>
      <c r="F51" s="261"/>
      <c r="G51" s="262">
        <f>PRORRATEO!O60</f>
        <v>107350.54</v>
      </c>
      <c r="H51" s="263"/>
      <c r="I51" s="81"/>
      <c r="J51" s="91"/>
    </row>
    <row r="55" spans="2:10" ht="15.75" thickBot="1" x14ac:dyDescent="0.3"/>
    <row r="56" spans="2:10" ht="15.75" thickBot="1" x14ac:dyDescent="0.3">
      <c r="B56" s="272" t="s">
        <v>233</v>
      </c>
      <c r="C56" s="273"/>
      <c r="D56" s="273"/>
      <c r="E56" s="273"/>
      <c r="F56" s="273"/>
      <c r="G56" s="273"/>
      <c r="H56" s="274"/>
      <c r="I56" s="79"/>
      <c r="J56" s="80"/>
    </row>
    <row r="57" spans="2:10" ht="15.75" thickBot="1" x14ac:dyDescent="0.3">
      <c r="B57" s="264" t="s">
        <v>134</v>
      </c>
      <c r="C57" s="265"/>
      <c r="D57" s="265"/>
      <c r="E57" s="265"/>
      <c r="F57" s="265"/>
      <c r="G57" s="265"/>
      <c r="H57" s="266"/>
      <c r="I57" s="1"/>
      <c r="J57" s="2"/>
    </row>
    <row r="58" spans="2:10" x14ac:dyDescent="0.25">
      <c r="B58" s="79" t="s">
        <v>241</v>
      </c>
      <c r="C58" s="90"/>
      <c r="D58" s="90"/>
      <c r="E58" s="90"/>
      <c r="G58" t="s">
        <v>47</v>
      </c>
      <c r="H58" s="2"/>
      <c r="I58" s="1"/>
      <c r="J58" s="2"/>
    </row>
    <row r="59" spans="2:10" x14ac:dyDescent="0.25">
      <c r="B59" s="84" t="s">
        <v>238</v>
      </c>
      <c r="C59" s="82"/>
      <c r="D59" s="82"/>
      <c r="H59" s="2"/>
      <c r="I59" s="1"/>
      <c r="J59" s="2"/>
    </row>
    <row r="60" spans="2:10" x14ac:dyDescent="0.25">
      <c r="B60" s="85"/>
      <c r="C60" s="86"/>
      <c r="D60" s="86"/>
      <c r="E60" s="87"/>
      <c r="F60" s="87"/>
      <c r="G60" s="87"/>
      <c r="H60" s="88"/>
      <c r="I60" s="1"/>
      <c r="J60" s="2"/>
    </row>
    <row r="61" spans="2:10" x14ac:dyDescent="0.25">
      <c r="B61" s="267" t="s">
        <v>236</v>
      </c>
      <c r="C61" s="268"/>
      <c r="D61" s="268"/>
      <c r="E61" s="268"/>
      <c r="F61" s="268"/>
      <c r="G61" s="268"/>
      <c r="H61" s="269"/>
      <c r="I61" s="1"/>
      <c r="J61" s="2"/>
    </row>
    <row r="62" spans="2:10" x14ac:dyDescent="0.25">
      <c r="B62" s="84"/>
      <c r="C62" s="82"/>
      <c r="D62" s="82"/>
      <c r="H62" s="2"/>
      <c r="I62" s="1"/>
      <c r="J62" s="2"/>
    </row>
    <row r="63" spans="2:10" x14ac:dyDescent="0.25">
      <c r="B63" s="1" t="s">
        <v>232</v>
      </c>
      <c r="E63" t="str">
        <f>PRORRATEO!D61</f>
        <v>MENDIBURU 
JORGE</v>
      </c>
      <c r="H63" s="2"/>
      <c r="I63" s="270" t="s">
        <v>237</v>
      </c>
      <c r="J63" s="271"/>
    </row>
    <row r="64" spans="2:10" x14ac:dyDescent="0.25">
      <c r="B64" s="1" t="s">
        <v>231</v>
      </c>
      <c r="C64" s="82">
        <f>PRORRATEO!C61</f>
        <v>55</v>
      </c>
      <c r="D64" s="83" t="s">
        <v>235</v>
      </c>
      <c r="E64" s="82" t="str">
        <f>PRORRATEO!B61</f>
        <v>11-A</v>
      </c>
      <c r="H64" s="2"/>
      <c r="I64" s="1"/>
      <c r="J64" s="2"/>
    </row>
    <row r="65" spans="2:10" x14ac:dyDescent="0.25">
      <c r="B65" s="1"/>
      <c r="H65" s="2"/>
      <c r="I65" s="270"/>
      <c r="J65" s="271"/>
    </row>
    <row r="66" spans="2:10" x14ac:dyDescent="0.25">
      <c r="B66" s="1"/>
      <c r="H66" s="2"/>
      <c r="I66" s="1"/>
      <c r="J66" s="2"/>
    </row>
    <row r="67" spans="2:10" x14ac:dyDescent="0.25">
      <c r="B67" s="1"/>
      <c r="H67" s="2"/>
      <c r="I67" s="1"/>
      <c r="J67" s="2"/>
    </row>
    <row r="68" spans="2:10" ht="15.75" thickBot="1" x14ac:dyDescent="0.3">
      <c r="B68" s="1"/>
      <c r="H68" s="2"/>
      <c r="I68" s="89"/>
      <c r="J68" s="92"/>
    </row>
    <row r="69" spans="2:10" ht="15.75" thickBot="1" x14ac:dyDescent="0.3">
      <c r="B69" s="260" t="s">
        <v>234</v>
      </c>
      <c r="C69" s="261"/>
      <c r="D69" s="261"/>
      <c r="E69" s="261"/>
      <c r="F69" s="261"/>
      <c r="G69" s="262">
        <f>PRORRATEO!O61</f>
        <v>158650.54999999999</v>
      </c>
      <c r="H69" s="263"/>
      <c r="I69" s="81"/>
      <c r="J69" s="91"/>
    </row>
    <row r="72" spans="2:10" ht="15.75" thickBot="1" x14ac:dyDescent="0.3"/>
    <row r="73" spans="2:10" ht="15.75" thickBot="1" x14ac:dyDescent="0.3">
      <c r="B73" s="272" t="s">
        <v>233</v>
      </c>
      <c r="C73" s="273"/>
      <c r="D73" s="273"/>
      <c r="E73" s="273"/>
      <c r="F73" s="273"/>
      <c r="G73" s="273"/>
      <c r="H73" s="274"/>
      <c r="I73" s="79"/>
      <c r="J73" s="80"/>
    </row>
    <row r="74" spans="2:10" ht="15.75" thickBot="1" x14ac:dyDescent="0.3">
      <c r="B74" s="264" t="s">
        <v>134</v>
      </c>
      <c r="C74" s="265"/>
      <c r="D74" s="265"/>
      <c r="E74" s="265"/>
      <c r="F74" s="265"/>
      <c r="G74" s="265"/>
      <c r="H74" s="266"/>
      <c r="I74" s="1"/>
      <c r="J74" s="2"/>
    </row>
    <row r="75" spans="2:10" x14ac:dyDescent="0.25">
      <c r="B75" s="79" t="s">
        <v>241</v>
      </c>
      <c r="C75" s="90"/>
      <c r="D75" s="90"/>
      <c r="E75" s="90"/>
      <c r="G75" t="s">
        <v>47</v>
      </c>
      <c r="H75" s="2"/>
      <c r="I75" s="1"/>
      <c r="J75" s="2"/>
    </row>
    <row r="76" spans="2:10" x14ac:dyDescent="0.25">
      <c r="B76" s="84" t="s">
        <v>238</v>
      </c>
      <c r="C76" s="82"/>
      <c r="D76" s="82"/>
      <c r="H76" s="2"/>
      <c r="I76" s="1"/>
      <c r="J76" s="2"/>
    </row>
    <row r="77" spans="2:10" x14ac:dyDescent="0.25">
      <c r="B77" s="85"/>
      <c r="C77" s="86"/>
      <c r="D77" s="86"/>
      <c r="E77" s="87"/>
      <c r="F77" s="87"/>
      <c r="G77" s="87"/>
      <c r="H77" s="88"/>
      <c r="I77" s="1"/>
      <c r="J77" s="2"/>
    </row>
    <row r="78" spans="2:10" x14ac:dyDescent="0.25">
      <c r="B78" s="267" t="s">
        <v>236</v>
      </c>
      <c r="C78" s="268"/>
      <c r="D78" s="268"/>
      <c r="E78" s="268"/>
      <c r="F78" s="268"/>
      <c r="G78" s="268"/>
      <c r="H78" s="269"/>
      <c r="I78" s="1"/>
      <c r="J78" s="2"/>
    </row>
    <row r="79" spans="2:10" x14ac:dyDescent="0.25">
      <c r="B79" s="84"/>
      <c r="C79" s="82"/>
      <c r="D79" s="82"/>
      <c r="H79" s="2"/>
      <c r="I79" s="1"/>
      <c r="J79" s="2"/>
    </row>
    <row r="80" spans="2:10" x14ac:dyDescent="0.25">
      <c r="B80" s="1" t="s">
        <v>232</v>
      </c>
      <c r="E80" t="str">
        <f>PRORRATEO!D62</f>
        <v>GALLUCCI 
CARMELA</v>
      </c>
      <c r="H80" s="2"/>
      <c r="I80" s="270" t="s">
        <v>237</v>
      </c>
      <c r="J80" s="271"/>
    </row>
    <row r="81" spans="2:10" x14ac:dyDescent="0.25">
      <c r="B81" s="1" t="s">
        <v>231</v>
      </c>
      <c r="C81" s="82">
        <f>PRORRATEO!C62</f>
        <v>56</v>
      </c>
      <c r="D81" s="83" t="s">
        <v>235</v>
      </c>
      <c r="E81" s="82" t="str">
        <f>PRORRATEO!B62</f>
        <v>11-B</v>
      </c>
      <c r="H81" s="2"/>
      <c r="I81" s="1"/>
      <c r="J81" s="2"/>
    </row>
    <row r="82" spans="2:10" x14ac:dyDescent="0.25">
      <c r="B82" s="1"/>
      <c r="H82" s="2"/>
      <c r="I82" s="270"/>
      <c r="J82" s="271"/>
    </row>
    <row r="83" spans="2:10" x14ac:dyDescent="0.25">
      <c r="B83" s="1"/>
      <c r="H83" s="2"/>
      <c r="I83" s="1"/>
      <c r="J83" s="2"/>
    </row>
    <row r="84" spans="2:10" x14ac:dyDescent="0.25">
      <c r="B84" s="1"/>
      <c r="H84" s="2"/>
      <c r="I84" s="1"/>
      <c r="J84" s="2"/>
    </row>
    <row r="85" spans="2:10" ht="15.75" thickBot="1" x14ac:dyDescent="0.3">
      <c r="B85" s="1"/>
      <c r="H85" s="2"/>
      <c r="I85" s="89"/>
      <c r="J85" s="92"/>
    </row>
    <row r="86" spans="2:10" ht="15.75" thickBot="1" x14ac:dyDescent="0.3">
      <c r="B86" s="260" t="s">
        <v>234</v>
      </c>
      <c r="C86" s="261"/>
      <c r="D86" s="261"/>
      <c r="E86" s="261"/>
      <c r="F86" s="261"/>
      <c r="G86" s="262">
        <f>PRORRATEO!O62</f>
        <v>337881.56</v>
      </c>
      <c r="H86" s="263"/>
      <c r="I86" s="81"/>
      <c r="J86" s="91"/>
    </row>
    <row r="87" spans="2:10" ht="116.25" customHeight="1" x14ac:dyDescent="0.25"/>
    <row r="88" spans="2:10" ht="0.75" customHeight="1" x14ac:dyDescent="0.25"/>
    <row r="89" spans="2:10" ht="76.5" customHeight="1" x14ac:dyDescent="0.25"/>
    <row r="90" spans="2:10" ht="15.75" thickBot="1" x14ac:dyDescent="0.3"/>
    <row r="91" spans="2:10" ht="15.75" thickBot="1" x14ac:dyDescent="0.3">
      <c r="B91" s="272" t="s">
        <v>233</v>
      </c>
      <c r="C91" s="273"/>
      <c r="D91" s="273"/>
      <c r="E91" s="273"/>
      <c r="F91" s="273"/>
      <c r="G91" s="273"/>
      <c r="H91" s="274"/>
      <c r="I91" s="79"/>
      <c r="J91" s="80"/>
    </row>
    <row r="92" spans="2:10" ht="15.75" thickBot="1" x14ac:dyDescent="0.3">
      <c r="B92" s="264" t="s">
        <v>134</v>
      </c>
      <c r="C92" s="265"/>
      <c r="D92" s="265"/>
      <c r="E92" s="265"/>
      <c r="F92" s="265"/>
      <c r="G92" s="265"/>
      <c r="H92" s="266"/>
      <c r="I92" s="1"/>
      <c r="J92" s="2"/>
    </row>
    <row r="93" spans="2:10" x14ac:dyDescent="0.25">
      <c r="B93" s="79" t="s">
        <v>241</v>
      </c>
      <c r="C93" s="90"/>
      <c r="D93" s="90"/>
      <c r="E93" s="90"/>
      <c r="G93" t="s">
        <v>47</v>
      </c>
      <c r="H93" s="2"/>
      <c r="I93" s="1"/>
      <c r="J93" s="2"/>
    </row>
    <row r="94" spans="2:10" x14ac:dyDescent="0.25">
      <c r="B94" s="84" t="s">
        <v>238</v>
      </c>
      <c r="C94" s="82"/>
      <c r="D94" s="82"/>
      <c r="H94" s="2"/>
      <c r="I94" s="1"/>
      <c r="J94" s="2"/>
    </row>
    <row r="95" spans="2:10" x14ac:dyDescent="0.25">
      <c r="B95" s="85"/>
      <c r="C95" s="86"/>
      <c r="D95" s="86"/>
      <c r="E95" s="87"/>
      <c r="F95" s="87"/>
      <c r="G95" s="87"/>
      <c r="H95" s="88"/>
      <c r="I95" s="1"/>
      <c r="J95" s="2"/>
    </row>
    <row r="96" spans="2:10" x14ac:dyDescent="0.25">
      <c r="B96" s="267" t="s">
        <v>236</v>
      </c>
      <c r="C96" s="268"/>
      <c r="D96" s="268"/>
      <c r="E96" s="268"/>
      <c r="F96" s="268"/>
      <c r="G96" s="268"/>
      <c r="H96" s="269"/>
      <c r="I96" s="1"/>
      <c r="J96" s="2"/>
    </row>
    <row r="97" spans="2:10" x14ac:dyDescent="0.25">
      <c r="B97" s="84"/>
      <c r="C97" s="82"/>
      <c r="D97" s="82"/>
      <c r="H97" s="2"/>
      <c r="I97" s="1"/>
      <c r="J97" s="2"/>
    </row>
    <row r="98" spans="2:10" x14ac:dyDescent="0.25">
      <c r="B98" s="1" t="s">
        <v>232</v>
      </c>
      <c r="E98" t="str">
        <f>PRORRATEO!D63</f>
        <v>CABAÑAS MARIA 
SOLEDAD</v>
      </c>
      <c r="H98" s="2"/>
      <c r="I98" s="270" t="s">
        <v>237</v>
      </c>
      <c r="J98" s="271"/>
    </row>
    <row r="99" spans="2:10" x14ac:dyDescent="0.25">
      <c r="B99" s="1" t="s">
        <v>231</v>
      </c>
      <c r="C99" s="82">
        <f>PRORRATEO!C63</f>
        <v>57</v>
      </c>
      <c r="D99" s="83" t="s">
        <v>235</v>
      </c>
      <c r="E99" s="82" t="str">
        <f>PRORRATEO!B63</f>
        <v>11-C</v>
      </c>
      <c r="H99" s="2"/>
      <c r="I99" s="1"/>
      <c r="J99" s="2"/>
    </row>
    <row r="100" spans="2:10" x14ac:dyDescent="0.25">
      <c r="B100" s="1"/>
      <c r="H100" s="2"/>
      <c r="I100" s="270"/>
      <c r="J100" s="271"/>
    </row>
    <row r="101" spans="2:10" x14ac:dyDescent="0.25">
      <c r="B101" s="1"/>
      <c r="H101" s="2"/>
      <c r="I101" s="1"/>
      <c r="J101" s="2"/>
    </row>
    <row r="102" spans="2:10" x14ac:dyDescent="0.25">
      <c r="B102" s="1"/>
      <c r="H102" s="2"/>
      <c r="I102" s="1"/>
      <c r="J102" s="2"/>
    </row>
    <row r="103" spans="2:10" ht="15.75" thickBot="1" x14ac:dyDescent="0.3">
      <c r="B103" s="1"/>
      <c r="H103" s="2"/>
      <c r="I103" s="89"/>
      <c r="J103" s="92"/>
    </row>
    <row r="104" spans="2:10" ht="15.75" thickBot="1" x14ac:dyDescent="0.3">
      <c r="B104" s="260" t="s">
        <v>234</v>
      </c>
      <c r="C104" s="261"/>
      <c r="D104" s="261"/>
      <c r="E104" s="261"/>
      <c r="F104" s="261"/>
      <c r="G104" s="262">
        <f>PRORRATEO!O63</f>
        <v>107350.57</v>
      </c>
      <c r="H104" s="263"/>
      <c r="I104" s="81"/>
      <c r="J104" s="91"/>
    </row>
    <row r="107" spans="2:10" ht="15.75" thickBot="1" x14ac:dyDescent="0.3"/>
    <row r="108" spans="2:10" ht="15.75" thickBot="1" x14ac:dyDescent="0.3">
      <c r="B108" s="272" t="s">
        <v>233</v>
      </c>
      <c r="C108" s="273"/>
      <c r="D108" s="273"/>
      <c r="E108" s="273"/>
      <c r="F108" s="273"/>
      <c r="G108" s="273"/>
      <c r="H108" s="274"/>
      <c r="I108" s="79"/>
      <c r="J108" s="80"/>
    </row>
    <row r="109" spans="2:10" ht="15.75" thickBot="1" x14ac:dyDescent="0.3">
      <c r="B109" s="264" t="s">
        <v>134</v>
      </c>
      <c r="C109" s="265"/>
      <c r="D109" s="265"/>
      <c r="E109" s="265"/>
      <c r="F109" s="265"/>
      <c r="G109" s="265"/>
      <c r="H109" s="266"/>
      <c r="I109" s="1"/>
      <c r="J109" s="2"/>
    </row>
    <row r="110" spans="2:10" x14ac:dyDescent="0.25">
      <c r="B110" s="79" t="s">
        <v>241</v>
      </c>
      <c r="C110" s="90"/>
      <c r="D110" s="90"/>
      <c r="E110" s="90"/>
      <c r="G110" t="s">
        <v>47</v>
      </c>
      <c r="H110" s="2"/>
      <c r="I110" s="1"/>
      <c r="J110" s="2"/>
    </row>
    <row r="111" spans="2:10" x14ac:dyDescent="0.25">
      <c r="B111" s="84" t="s">
        <v>238</v>
      </c>
      <c r="C111" s="82"/>
      <c r="D111" s="82"/>
      <c r="H111" s="2"/>
      <c r="I111" s="1"/>
      <c r="J111" s="2"/>
    </row>
    <row r="112" spans="2:10" x14ac:dyDescent="0.25">
      <c r="B112" s="85"/>
      <c r="C112" s="86"/>
      <c r="D112" s="86"/>
      <c r="E112" s="87"/>
      <c r="F112" s="87"/>
      <c r="G112" s="87"/>
      <c r="H112" s="88"/>
      <c r="I112" s="1"/>
      <c r="J112" s="2"/>
    </row>
    <row r="113" spans="2:10" x14ac:dyDescent="0.25">
      <c r="B113" s="267" t="s">
        <v>236</v>
      </c>
      <c r="C113" s="268"/>
      <c r="D113" s="268"/>
      <c r="E113" s="268"/>
      <c r="F113" s="268"/>
      <c r="G113" s="268"/>
      <c r="H113" s="269"/>
      <c r="I113" s="1"/>
      <c r="J113" s="2"/>
    </row>
    <row r="114" spans="2:10" x14ac:dyDescent="0.25">
      <c r="B114" s="84"/>
      <c r="C114" s="82"/>
      <c r="D114" s="82"/>
      <c r="H114" s="2"/>
      <c r="I114" s="1"/>
      <c r="J114" s="2"/>
    </row>
    <row r="115" spans="2:10" x14ac:dyDescent="0.25">
      <c r="B115" s="1" t="s">
        <v>232</v>
      </c>
      <c r="E115" t="str">
        <f>PRORRATEO!D64</f>
        <v>GUARINO</v>
      </c>
      <c r="H115" s="2"/>
      <c r="I115" s="270" t="s">
        <v>237</v>
      </c>
      <c r="J115" s="271"/>
    </row>
    <row r="116" spans="2:10" x14ac:dyDescent="0.25">
      <c r="B116" s="1" t="s">
        <v>231</v>
      </c>
      <c r="C116" s="82">
        <f>PRORRATEO!C64</f>
        <v>58</v>
      </c>
      <c r="D116" s="83" t="s">
        <v>235</v>
      </c>
      <c r="E116" s="82" t="str">
        <f>PRORRATEO!B64</f>
        <v>11-D</v>
      </c>
      <c r="H116" s="2"/>
      <c r="I116" s="1"/>
      <c r="J116" s="2"/>
    </row>
    <row r="117" spans="2:10" x14ac:dyDescent="0.25">
      <c r="B117" s="1"/>
      <c r="H117" s="2"/>
      <c r="I117" s="270"/>
      <c r="J117" s="271"/>
    </row>
    <row r="118" spans="2:10" x14ac:dyDescent="0.25">
      <c r="B118" s="1"/>
      <c r="H118" s="2"/>
      <c r="I118" s="1"/>
      <c r="J118" s="2"/>
    </row>
    <row r="119" spans="2:10" x14ac:dyDescent="0.25">
      <c r="B119" s="1"/>
      <c r="H119" s="2"/>
      <c r="I119" s="1"/>
      <c r="J119" s="2"/>
    </row>
    <row r="120" spans="2:10" ht="15.75" thickBot="1" x14ac:dyDescent="0.3">
      <c r="B120" s="1"/>
      <c r="H120" s="2"/>
      <c r="I120" s="89"/>
      <c r="J120" s="92"/>
    </row>
    <row r="121" spans="2:10" ht="15.75" thickBot="1" x14ac:dyDescent="0.3">
      <c r="B121" s="260" t="s">
        <v>234</v>
      </c>
      <c r="C121" s="261"/>
      <c r="D121" s="261"/>
      <c r="E121" s="261"/>
      <c r="F121" s="261"/>
      <c r="G121" s="262">
        <f>PRORRATEO!O64</f>
        <v>104195.58</v>
      </c>
      <c r="H121" s="263"/>
      <c r="I121" s="81"/>
      <c r="J121" s="91"/>
    </row>
    <row r="124" spans="2:10" ht="15.75" thickBot="1" x14ac:dyDescent="0.3"/>
    <row r="125" spans="2:10" ht="15.75" thickBot="1" x14ac:dyDescent="0.3">
      <c r="B125" s="272" t="s">
        <v>233</v>
      </c>
      <c r="C125" s="273"/>
      <c r="D125" s="273"/>
      <c r="E125" s="273"/>
      <c r="F125" s="273"/>
      <c r="G125" s="273"/>
      <c r="H125" s="274"/>
      <c r="I125" s="79"/>
      <c r="J125" s="80"/>
    </row>
    <row r="126" spans="2:10" ht="15.75" thickBot="1" x14ac:dyDescent="0.3">
      <c r="B126" s="264" t="s">
        <v>134</v>
      </c>
      <c r="C126" s="265"/>
      <c r="D126" s="265"/>
      <c r="E126" s="265"/>
      <c r="F126" s="265"/>
      <c r="G126" s="265"/>
      <c r="H126" s="266"/>
      <c r="I126" s="1"/>
      <c r="J126" s="2"/>
    </row>
    <row r="127" spans="2:10" x14ac:dyDescent="0.25">
      <c r="B127" s="79" t="s">
        <v>241</v>
      </c>
      <c r="C127" s="90"/>
      <c r="D127" s="90"/>
      <c r="E127" s="90"/>
      <c r="G127" t="s">
        <v>47</v>
      </c>
      <c r="H127" s="2"/>
      <c r="I127" s="1"/>
      <c r="J127" s="2"/>
    </row>
    <row r="128" spans="2:10" x14ac:dyDescent="0.25">
      <c r="B128" s="84" t="s">
        <v>238</v>
      </c>
      <c r="C128" s="82"/>
      <c r="D128" s="82"/>
      <c r="H128" s="2"/>
      <c r="I128" s="1"/>
      <c r="J128" s="2"/>
    </row>
    <row r="129" spans="2:10" x14ac:dyDescent="0.25">
      <c r="B129" s="85"/>
      <c r="C129" s="86"/>
      <c r="D129" s="86"/>
      <c r="E129" s="87"/>
      <c r="F129" s="87"/>
      <c r="G129" s="87"/>
      <c r="H129" s="88"/>
      <c r="I129" s="1"/>
      <c r="J129" s="2"/>
    </row>
    <row r="130" spans="2:10" x14ac:dyDescent="0.25">
      <c r="B130" s="267" t="s">
        <v>236</v>
      </c>
      <c r="C130" s="268"/>
      <c r="D130" s="268"/>
      <c r="E130" s="268"/>
      <c r="F130" s="268"/>
      <c r="G130" s="268"/>
      <c r="H130" s="269"/>
      <c r="I130" s="1"/>
      <c r="J130" s="2"/>
    </row>
    <row r="131" spans="2:10" x14ac:dyDescent="0.25">
      <c r="B131" s="84"/>
      <c r="C131" s="82"/>
      <c r="D131" s="82"/>
      <c r="H131" s="2"/>
      <c r="I131" s="1"/>
      <c r="J131" s="2"/>
    </row>
    <row r="132" spans="2:10" x14ac:dyDescent="0.25">
      <c r="B132" s="1" t="s">
        <v>232</v>
      </c>
      <c r="E132" t="str">
        <f>PRORRATEO!D65</f>
        <v>MARQUEZ 
VERONICA</v>
      </c>
      <c r="H132" s="2"/>
      <c r="I132" s="270" t="s">
        <v>237</v>
      </c>
      <c r="J132" s="271"/>
    </row>
    <row r="133" spans="2:10" x14ac:dyDescent="0.25">
      <c r="B133" s="1" t="s">
        <v>231</v>
      </c>
      <c r="C133" s="82">
        <f>PRORRATEO!C65</f>
        <v>59</v>
      </c>
      <c r="D133" s="83" t="s">
        <v>235</v>
      </c>
      <c r="E133" s="82" t="str">
        <f>PRORRATEO!B65</f>
        <v>11-E</v>
      </c>
      <c r="H133" s="2"/>
      <c r="I133" s="1"/>
      <c r="J133" s="2"/>
    </row>
    <row r="134" spans="2:10" x14ac:dyDescent="0.25">
      <c r="B134" s="1"/>
      <c r="H134" s="2"/>
      <c r="I134" s="270"/>
      <c r="J134" s="271"/>
    </row>
    <row r="135" spans="2:10" x14ac:dyDescent="0.25">
      <c r="B135" s="1"/>
      <c r="H135" s="2"/>
      <c r="I135" s="1"/>
      <c r="J135" s="2"/>
    </row>
    <row r="136" spans="2:10" x14ac:dyDescent="0.25">
      <c r="B136" s="1"/>
      <c r="H136" s="2"/>
      <c r="I136" s="1"/>
      <c r="J136" s="2"/>
    </row>
    <row r="137" spans="2:10" ht="15.75" thickBot="1" x14ac:dyDescent="0.3">
      <c r="B137" s="1"/>
      <c r="H137" s="2"/>
      <c r="I137" s="89"/>
      <c r="J137" s="92"/>
    </row>
    <row r="138" spans="2:10" ht="15.75" thickBot="1" x14ac:dyDescent="0.3">
      <c r="B138" s="260" t="s">
        <v>234</v>
      </c>
      <c r="C138" s="261"/>
      <c r="D138" s="261"/>
      <c r="E138" s="261"/>
      <c r="F138" s="261"/>
      <c r="G138" s="262">
        <f>PRORRATEO!O65</f>
        <v>107350.59</v>
      </c>
      <c r="H138" s="263"/>
      <c r="I138" s="81"/>
      <c r="J138" s="91"/>
    </row>
  </sheetData>
  <mergeCells count="56">
    <mergeCell ref="B38:H38"/>
    <mergeCell ref="B39:H39"/>
    <mergeCell ref="B43:H43"/>
    <mergeCell ref="I10:J10"/>
    <mergeCell ref="I12:J12"/>
    <mergeCell ref="B16:F16"/>
    <mergeCell ref="G16:H16"/>
    <mergeCell ref="B33:F33"/>
    <mergeCell ref="G33:H33"/>
    <mergeCell ref="B25:H25"/>
    <mergeCell ref="I27:J27"/>
    <mergeCell ref="I29:J29"/>
    <mergeCell ref="B3:H3"/>
    <mergeCell ref="B4:H4"/>
    <mergeCell ref="B8:H8"/>
    <mergeCell ref="B20:H20"/>
    <mergeCell ref="B21:H21"/>
    <mergeCell ref="I45:J45"/>
    <mergeCell ref="I47:J47"/>
    <mergeCell ref="B78:H78"/>
    <mergeCell ref="I63:J63"/>
    <mergeCell ref="I65:J65"/>
    <mergeCell ref="B69:F69"/>
    <mergeCell ref="G69:H69"/>
    <mergeCell ref="B56:H56"/>
    <mergeCell ref="B57:H57"/>
    <mergeCell ref="B61:H61"/>
    <mergeCell ref="B73:H73"/>
    <mergeCell ref="B74:H74"/>
    <mergeCell ref="B51:F51"/>
    <mergeCell ref="G51:H51"/>
    <mergeCell ref="I80:J80"/>
    <mergeCell ref="I82:J82"/>
    <mergeCell ref="I115:J115"/>
    <mergeCell ref="I117:J117"/>
    <mergeCell ref="B121:F121"/>
    <mergeCell ref="G121:H121"/>
    <mergeCell ref="B91:H91"/>
    <mergeCell ref="B92:H92"/>
    <mergeCell ref="B96:H96"/>
    <mergeCell ref="I98:J98"/>
    <mergeCell ref="I100:J100"/>
    <mergeCell ref="B104:F104"/>
    <mergeCell ref="G104:H104"/>
    <mergeCell ref="B86:F86"/>
    <mergeCell ref="G86:H86"/>
    <mergeCell ref="I132:J132"/>
    <mergeCell ref="I134:J134"/>
    <mergeCell ref="B138:F138"/>
    <mergeCell ref="G138:H138"/>
    <mergeCell ref="B108:H108"/>
    <mergeCell ref="B109:H109"/>
    <mergeCell ref="B113:H113"/>
    <mergeCell ref="B125:H125"/>
    <mergeCell ref="B126:H126"/>
    <mergeCell ref="B130:H130"/>
  </mergeCells>
  <pageMargins left="0.25" right="0.25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J101"/>
  <sheetViews>
    <sheetView topLeftCell="A49" workbookViewId="0">
      <selection activeCell="L100" sqref="L100"/>
    </sheetView>
  </sheetViews>
  <sheetFormatPr baseColWidth="10" defaultRowHeight="15" x14ac:dyDescent="0.25"/>
  <cols>
    <col min="1" max="1" width="3.42578125" customWidth="1"/>
    <col min="2" max="2" width="9.5703125" customWidth="1"/>
    <col min="5" max="5" width="7.140625" customWidth="1"/>
    <col min="6" max="6" width="6.140625" customWidth="1"/>
    <col min="7" max="7" width="5.85546875" customWidth="1"/>
    <col min="8" max="8" width="9.28515625" customWidth="1"/>
  </cols>
  <sheetData>
    <row r="2" spans="2:10" ht="15.75" thickBot="1" x14ac:dyDescent="0.3"/>
    <row r="3" spans="2:10" ht="15.75" thickBot="1" x14ac:dyDescent="0.3">
      <c r="B3" s="272" t="s">
        <v>233</v>
      </c>
      <c r="C3" s="273"/>
      <c r="D3" s="273"/>
      <c r="E3" s="273"/>
      <c r="F3" s="273"/>
      <c r="G3" s="273"/>
      <c r="H3" s="274"/>
      <c r="I3" s="79"/>
      <c r="J3" s="80"/>
    </row>
    <row r="4" spans="2:10" ht="15.75" thickBot="1" x14ac:dyDescent="0.3">
      <c r="B4" s="264" t="s">
        <v>134</v>
      </c>
      <c r="C4" s="265"/>
      <c r="D4" s="265"/>
      <c r="E4" s="265"/>
      <c r="F4" s="265"/>
      <c r="G4" s="265"/>
      <c r="H4" s="266"/>
      <c r="I4" s="1"/>
      <c r="J4" s="2"/>
    </row>
    <row r="5" spans="2:10" x14ac:dyDescent="0.25">
      <c r="B5" s="79" t="s">
        <v>241</v>
      </c>
      <c r="C5" s="90"/>
      <c r="D5" s="90"/>
      <c r="E5" s="90"/>
      <c r="G5" t="s">
        <v>47</v>
      </c>
      <c r="H5" s="2"/>
      <c r="I5" s="1"/>
      <c r="J5" s="2"/>
    </row>
    <row r="6" spans="2:10" x14ac:dyDescent="0.25">
      <c r="B6" s="84" t="s">
        <v>238</v>
      </c>
      <c r="C6" s="82"/>
      <c r="D6" s="82"/>
      <c r="H6" s="2"/>
      <c r="I6" s="1"/>
      <c r="J6" s="2"/>
    </row>
    <row r="7" spans="2:10" x14ac:dyDescent="0.25">
      <c r="B7" s="85"/>
      <c r="C7" s="86"/>
      <c r="D7" s="86"/>
      <c r="E7" s="87"/>
      <c r="F7" s="87"/>
      <c r="G7" s="87"/>
      <c r="H7" s="88"/>
      <c r="I7" s="1"/>
      <c r="J7" s="2"/>
    </row>
    <row r="8" spans="2:10" x14ac:dyDescent="0.25">
      <c r="B8" s="267" t="s">
        <v>236</v>
      </c>
      <c r="C8" s="268"/>
      <c r="D8" s="268"/>
      <c r="E8" s="268"/>
      <c r="F8" s="268"/>
      <c r="G8" s="268"/>
      <c r="H8" s="269"/>
      <c r="I8" s="1"/>
      <c r="J8" s="2"/>
    </row>
    <row r="9" spans="2:10" x14ac:dyDescent="0.25">
      <c r="B9" s="84"/>
      <c r="C9" s="82"/>
      <c r="D9" s="82"/>
      <c r="H9" s="2"/>
      <c r="I9" s="1"/>
      <c r="J9" s="2"/>
    </row>
    <row r="10" spans="2:10" x14ac:dyDescent="0.25">
      <c r="B10" s="1" t="s">
        <v>232</v>
      </c>
      <c r="E10" t="str">
        <f>PRORRATEO!D66</f>
        <v>BRAU HECTOR</v>
      </c>
      <c r="H10" s="2"/>
      <c r="I10" s="270" t="s">
        <v>237</v>
      </c>
      <c r="J10" s="271"/>
    </row>
    <row r="11" spans="2:10" x14ac:dyDescent="0.25">
      <c r="B11" s="1" t="s">
        <v>231</v>
      </c>
      <c r="C11" s="82">
        <f>PRORRATEO!C66</f>
        <v>60</v>
      </c>
      <c r="D11" s="83" t="s">
        <v>235</v>
      </c>
      <c r="E11" s="82" t="str">
        <f>PRORRATEO!B66</f>
        <v>12-A</v>
      </c>
      <c r="H11" s="2"/>
      <c r="I11" s="1"/>
      <c r="J11" s="2"/>
    </row>
    <row r="12" spans="2:10" x14ac:dyDescent="0.25">
      <c r="B12" s="1"/>
      <c r="H12" s="2"/>
      <c r="I12" s="270"/>
      <c r="J12" s="271"/>
    </row>
    <row r="13" spans="2:10" x14ac:dyDescent="0.25">
      <c r="B13" s="1"/>
      <c r="H13" s="2"/>
      <c r="I13" s="1"/>
      <c r="J13" s="2"/>
    </row>
    <row r="14" spans="2:10" x14ac:dyDescent="0.25">
      <c r="B14" s="1"/>
      <c r="H14" s="2"/>
      <c r="I14" s="1"/>
      <c r="J14" s="2"/>
    </row>
    <row r="15" spans="2:10" ht="15.75" thickBot="1" x14ac:dyDescent="0.3">
      <c r="B15" s="1"/>
      <c r="H15" s="2"/>
      <c r="I15" s="89"/>
      <c r="J15" s="92"/>
    </row>
    <row r="16" spans="2:10" ht="15.75" thickBot="1" x14ac:dyDescent="0.3">
      <c r="B16" s="260" t="s">
        <v>234</v>
      </c>
      <c r="C16" s="261"/>
      <c r="D16" s="261"/>
      <c r="E16" s="261"/>
      <c r="F16" s="261"/>
      <c r="G16" s="262">
        <f>PRORRATEO!O66</f>
        <v>158650.6</v>
      </c>
      <c r="H16" s="263"/>
      <c r="I16" s="81"/>
      <c r="J16" s="91"/>
    </row>
    <row r="20" spans="2:10" ht="15.75" thickBot="1" x14ac:dyDescent="0.3"/>
    <row r="21" spans="2:10" ht="15.75" thickBot="1" x14ac:dyDescent="0.3">
      <c r="B21" s="272" t="s">
        <v>233</v>
      </c>
      <c r="C21" s="273"/>
      <c r="D21" s="273"/>
      <c r="E21" s="273"/>
      <c r="F21" s="273"/>
      <c r="G21" s="273"/>
      <c r="H21" s="274"/>
      <c r="I21" s="79"/>
      <c r="J21" s="80"/>
    </row>
    <row r="22" spans="2:10" ht="15.75" thickBot="1" x14ac:dyDescent="0.3">
      <c r="B22" s="264" t="s">
        <v>134</v>
      </c>
      <c r="C22" s="265"/>
      <c r="D22" s="265"/>
      <c r="E22" s="265"/>
      <c r="F22" s="265"/>
      <c r="G22" s="265"/>
      <c r="H22" s="266"/>
      <c r="I22" s="1"/>
      <c r="J22" s="2"/>
    </row>
    <row r="23" spans="2:10" x14ac:dyDescent="0.25">
      <c r="B23" s="79" t="s">
        <v>241</v>
      </c>
      <c r="C23" s="90"/>
      <c r="D23" s="90"/>
      <c r="E23" s="90"/>
      <c r="G23" t="s">
        <v>47</v>
      </c>
      <c r="H23" s="2"/>
      <c r="I23" s="1"/>
      <c r="J23" s="2"/>
    </row>
    <row r="24" spans="2:10" x14ac:dyDescent="0.25">
      <c r="B24" s="84" t="s">
        <v>238</v>
      </c>
      <c r="C24" s="82"/>
      <c r="D24" s="82"/>
      <c r="H24" s="2"/>
      <c r="I24" s="1"/>
      <c r="J24" s="2"/>
    </row>
    <row r="25" spans="2:10" x14ac:dyDescent="0.25">
      <c r="B25" s="85"/>
      <c r="C25" s="86"/>
      <c r="D25" s="86"/>
      <c r="E25" s="87"/>
      <c r="F25" s="87"/>
      <c r="G25" s="87"/>
      <c r="H25" s="88"/>
      <c r="I25" s="1"/>
      <c r="J25" s="2"/>
    </row>
    <row r="26" spans="2:10" x14ac:dyDescent="0.25">
      <c r="B26" s="267" t="s">
        <v>236</v>
      </c>
      <c r="C26" s="268"/>
      <c r="D26" s="268"/>
      <c r="E26" s="268"/>
      <c r="F26" s="268"/>
      <c r="G26" s="268"/>
      <c r="H26" s="269"/>
      <c r="I26" s="1"/>
      <c r="J26" s="2"/>
    </row>
    <row r="27" spans="2:10" x14ac:dyDescent="0.25">
      <c r="B27" s="84"/>
      <c r="C27" s="82"/>
      <c r="D27" s="82"/>
      <c r="H27" s="2"/>
      <c r="I27" s="1"/>
      <c r="J27" s="2"/>
    </row>
    <row r="28" spans="2:10" x14ac:dyDescent="0.25">
      <c r="B28" s="1" t="s">
        <v>232</v>
      </c>
      <c r="E28" t="str">
        <f>PRORRATEO!D67</f>
        <v>ZERBA 
MARCELO</v>
      </c>
      <c r="H28" s="2"/>
      <c r="I28" s="270" t="s">
        <v>237</v>
      </c>
      <c r="J28" s="271"/>
    </row>
    <row r="29" spans="2:10" x14ac:dyDescent="0.25">
      <c r="B29" s="1" t="s">
        <v>231</v>
      </c>
      <c r="C29" s="82">
        <f>PRORRATEO!C67</f>
        <v>61</v>
      </c>
      <c r="D29" s="83" t="s">
        <v>235</v>
      </c>
      <c r="E29" s="82" t="str">
        <f>PRORRATEO!B67</f>
        <v>12-B</v>
      </c>
      <c r="H29" s="2"/>
      <c r="I29" s="1"/>
      <c r="J29" s="2"/>
    </row>
    <row r="30" spans="2:10" x14ac:dyDescent="0.25">
      <c r="B30" s="1"/>
      <c r="H30" s="2"/>
      <c r="I30" s="270"/>
      <c r="J30" s="271"/>
    </row>
    <row r="31" spans="2:10" x14ac:dyDescent="0.25">
      <c r="B31" s="1"/>
      <c r="H31" s="2"/>
      <c r="I31" s="1"/>
      <c r="J31" s="2"/>
    </row>
    <row r="32" spans="2:10" x14ac:dyDescent="0.25">
      <c r="B32" s="1"/>
      <c r="H32" s="2"/>
      <c r="I32" s="1"/>
      <c r="J32" s="2"/>
    </row>
    <row r="33" spans="2:10" ht="15.75" thickBot="1" x14ac:dyDescent="0.3">
      <c r="B33" s="1"/>
      <c r="H33" s="2"/>
      <c r="I33" s="89"/>
      <c r="J33" s="92"/>
    </row>
    <row r="34" spans="2:10" ht="15.75" thickBot="1" x14ac:dyDescent="0.3">
      <c r="B34" s="260" t="s">
        <v>234</v>
      </c>
      <c r="C34" s="261"/>
      <c r="D34" s="261"/>
      <c r="E34" s="261"/>
      <c r="F34" s="261"/>
      <c r="G34" s="262">
        <f>PRORRATEO!O67</f>
        <v>329774.61</v>
      </c>
      <c r="H34" s="263"/>
      <c r="I34" s="81"/>
      <c r="J34" s="91"/>
    </row>
    <row r="36" spans="2:10" ht="295.5" customHeight="1" x14ac:dyDescent="0.25"/>
    <row r="37" spans="2:10" ht="15.75" thickBot="1" x14ac:dyDescent="0.3"/>
    <row r="38" spans="2:10" ht="15.75" thickBot="1" x14ac:dyDescent="0.3">
      <c r="B38" s="272" t="s">
        <v>233</v>
      </c>
      <c r="C38" s="273"/>
      <c r="D38" s="273"/>
      <c r="E38" s="273"/>
      <c r="F38" s="273"/>
      <c r="G38" s="273"/>
      <c r="H38" s="274"/>
      <c r="I38" s="79"/>
      <c r="J38" s="80"/>
    </row>
    <row r="39" spans="2:10" ht="15.75" thickBot="1" x14ac:dyDescent="0.3">
      <c r="B39" s="264" t="s">
        <v>134</v>
      </c>
      <c r="C39" s="265"/>
      <c r="D39" s="265"/>
      <c r="E39" s="265"/>
      <c r="F39" s="265"/>
      <c r="G39" s="265"/>
      <c r="H39" s="266"/>
      <c r="I39" s="1"/>
      <c r="J39" s="2"/>
    </row>
    <row r="40" spans="2:10" x14ac:dyDescent="0.25">
      <c r="B40" s="79" t="s">
        <v>241</v>
      </c>
      <c r="C40" s="90"/>
      <c r="D40" s="90"/>
      <c r="E40" s="90"/>
      <c r="G40" t="s">
        <v>47</v>
      </c>
      <c r="H40" s="2"/>
      <c r="I40" s="1"/>
      <c r="J40" s="2"/>
    </row>
    <row r="41" spans="2:10" x14ac:dyDescent="0.25">
      <c r="B41" s="84" t="s">
        <v>238</v>
      </c>
      <c r="C41" s="82"/>
      <c r="D41" s="82"/>
      <c r="H41" s="2"/>
      <c r="I41" s="1"/>
      <c r="J41" s="2"/>
    </row>
    <row r="42" spans="2:10" x14ac:dyDescent="0.25">
      <c r="B42" s="85"/>
      <c r="C42" s="86"/>
      <c r="D42" s="86"/>
      <c r="E42" s="87"/>
      <c r="F42" s="87"/>
      <c r="G42" s="87"/>
      <c r="H42" s="88"/>
      <c r="I42" s="1"/>
      <c r="J42" s="2"/>
    </row>
    <row r="43" spans="2:10" x14ac:dyDescent="0.25">
      <c r="B43" s="267" t="s">
        <v>236</v>
      </c>
      <c r="C43" s="268"/>
      <c r="D43" s="268"/>
      <c r="E43" s="268"/>
      <c r="F43" s="268"/>
      <c r="G43" s="268"/>
      <c r="H43" s="269"/>
      <c r="I43" s="1"/>
      <c r="J43" s="2"/>
    </row>
    <row r="44" spans="2:10" x14ac:dyDescent="0.25">
      <c r="B44" s="84"/>
      <c r="C44" s="82"/>
      <c r="D44" s="82"/>
      <c r="H44" s="2"/>
      <c r="I44" s="1"/>
      <c r="J44" s="2"/>
    </row>
    <row r="45" spans="2:10" x14ac:dyDescent="0.25">
      <c r="B45" s="1" t="s">
        <v>232</v>
      </c>
      <c r="E45" t="str">
        <f>PRORRATEO!D68</f>
        <v>VERMINETTI</v>
      </c>
      <c r="H45" s="2"/>
      <c r="I45" s="270" t="s">
        <v>237</v>
      </c>
      <c r="J45" s="271"/>
    </row>
    <row r="46" spans="2:10" x14ac:dyDescent="0.25">
      <c r="B46" s="1" t="s">
        <v>231</v>
      </c>
      <c r="C46" s="82">
        <f>PRORRATEO!C68</f>
        <v>62</v>
      </c>
      <c r="D46" s="83" t="s">
        <v>235</v>
      </c>
      <c r="E46" s="82" t="str">
        <f>PRORRATEO!B68</f>
        <v>12-C</v>
      </c>
      <c r="H46" s="2"/>
      <c r="I46" s="1"/>
      <c r="J46" s="2"/>
    </row>
    <row r="47" spans="2:10" x14ac:dyDescent="0.25">
      <c r="B47" s="1"/>
      <c r="H47" s="2"/>
      <c r="I47" s="270"/>
      <c r="J47" s="271"/>
    </row>
    <row r="48" spans="2:10" x14ac:dyDescent="0.25">
      <c r="B48" s="1"/>
      <c r="H48" s="2"/>
      <c r="I48" s="1"/>
      <c r="J48" s="2"/>
    </row>
    <row r="49" spans="2:10" x14ac:dyDescent="0.25">
      <c r="B49" s="1"/>
      <c r="H49" s="2"/>
      <c r="I49" s="1"/>
      <c r="J49" s="2"/>
    </row>
    <row r="50" spans="2:10" ht="15.75" thickBot="1" x14ac:dyDescent="0.3">
      <c r="B50" s="1"/>
      <c r="H50" s="2"/>
      <c r="I50" s="89"/>
      <c r="J50" s="92"/>
    </row>
    <row r="51" spans="2:10" ht="15.75" thickBot="1" x14ac:dyDescent="0.3">
      <c r="B51" s="260" t="s">
        <v>234</v>
      </c>
      <c r="C51" s="261"/>
      <c r="D51" s="261"/>
      <c r="E51" s="261"/>
      <c r="F51" s="261"/>
      <c r="G51" s="262">
        <f>PRORRATEO!O68</f>
        <v>104193.62</v>
      </c>
      <c r="H51" s="263"/>
      <c r="I51" s="81"/>
      <c r="J51" s="91"/>
    </row>
    <row r="52" spans="2:10" ht="1.5" customHeight="1" x14ac:dyDescent="0.25"/>
    <row r="53" spans="2:10" ht="15.75" thickBot="1" x14ac:dyDescent="0.3"/>
    <row r="54" spans="2:10" ht="15.75" thickBot="1" x14ac:dyDescent="0.3">
      <c r="B54" s="272" t="s">
        <v>233</v>
      </c>
      <c r="C54" s="273"/>
      <c r="D54" s="273"/>
      <c r="E54" s="273"/>
      <c r="F54" s="273"/>
      <c r="G54" s="273"/>
      <c r="H54" s="274"/>
      <c r="I54" s="79"/>
      <c r="J54" s="80"/>
    </row>
    <row r="55" spans="2:10" ht="15.75" thickBot="1" x14ac:dyDescent="0.3">
      <c r="B55" s="264" t="s">
        <v>134</v>
      </c>
      <c r="C55" s="265"/>
      <c r="D55" s="265"/>
      <c r="E55" s="265"/>
      <c r="F55" s="265"/>
      <c r="G55" s="265"/>
      <c r="H55" s="266"/>
      <c r="I55" s="1"/>
      <c r="J55" s="2"/>
    </row>
    <row r="56" spans="2:10" x14ac:dyDescent="0.25">
      <c r="B56" s="79" t="s">
        <v>241</v>
      </c>
      <c r="C56" s="90"/>
      <c r="D56" s="90"/>
      <c r="E56" s="90"/>
      <c r="G56" t="s">
        <v>47</v>
      </c>
      <c r="H56" s="2"/>
      <c r="I56" s="1"/>
      <c r="J56" s="2"/>
    </row>
    <row r="57" spans="2:10" x14ac:dyDescent="0.25">
      <c r="B57" s="84" t="s">
        <v>238</v>
      </c>
      <c r="C57" s="82"/>
      <c r="D57" s="82"/>
      <c r="H57" s="2"/>
      <c r="I57" s="1"/>
      <c r="J57" s="2"/>
    </row>
    <row r="58" spans="2:10" x14ac:dyDescent="0.25">
      <c r="B58" s="85"/>
      <c r="C58" s="86"/>
      <c r="D58" s="86"/>
      <c r="E58" s="87"/>
      <c r="F58" s="87"/>
      <c r="G58" s="87"/>
      <c r="H58" s="88"/>
      <c r="I58" s="1"/>
      <c r="J58" s="2"/>
    </row>
    <row r="59" spans="2:10" x14ac:dyDescent="0.25">
      <c r="B59" s="267" t="s">
        <v>236</v>
      </c>
      <c r="C59" s="268"/>
      <c r="D59" s="268"/>
      <c r="E59" s="268"/>
      <c r="F59" s="268"/>
      <c r="G59" s="268"/>
      <c r="H59" s="269"/>
      <c r="I59" s="1"/>
      <c r="J59" s="2"/>
    </row>
    <row r="60" spans="2:10" x14ac:dyDescent="0.25">
      <c r="B60" s="84"/>
      <c r="C60" s="82"/>
      <c r="D60" s="82"/>
      <c r="H60" s="2"/>
      <c r="I60" s="1"/>
      <c r="J60" s="2"/>
    </row>
    <row r="61" spans="2:10" x14ac:dyDescent="0.25">
      <c r="B61" s="1" t="s">
        <v>232</v>
      </c>
      <c r="E61" t="str">
        <f>PRORRATEO!D69</f>
        <v>RIQUELME</v>
      </c>
      <c r="H61" s="2"/>
      <c r="I61" s="270" t="s">
        <v>237</v>
      </c>
      <c r="J61" s="271"/>
    </row>
    <row r="62" spans="2:10" x14ac:dyDescent="0.25">
      <c r="B62" s="1" t="s">
        <v>231</v>
      </c>
      <c r="C62" s="82">
        <f>PRORRATEO!C69</f>
        <v>63</v>
      </c>
      <c r="D62" s="83" t="s">
        <v>235</v>
      </c>
      <c r="E62" s="82" t="str">
        <f>PRORRATEO!B69</f>
        <v>12-D</v>
      </c>
      <c r="H62" s="2"/>
      <c r="I62" s="1"/>
      <c r="J62" s="2"/>
    </row>
    <row r="63" spans="2:10" x14ac:dyDescent="0.25">
      <c r="B63" s="1"/>
      <c r="H63" s="2"/>
      <c r="I63" s="270"/>
      <c r="J63" s="271"/>
    </row>
    <row r="64" spans="2:10" x14ac:dyDescent="0.25">
      <c r="B64" s="1"/>
      <c r="H64" s="2"/>
      <c r="I64" s="1"/>
      <c r="J64" s="2"/>
    </row>
    <row r="65" spans="2:10" x14ac:dyDescent="0.25">
      <c r="B65" s="1"/>
      <c r="H65" s="2"/>
      <c r="I65" s="1"/>
      <c r="J65" s="2"/>
    </row>
    <row r="66" spans="2:10" ht="15.75" thickBot="1" x14ac:dyDescent="0.3">
      <c r="B66" s="1"/>
      <c r="H66" s="2"/>
      <c r="I66" s="89"/>
      <c r="J66" s="92"/>
    </row>
    <row r="67" spans="2:10" ht="15.75" thickBot="1" x14ac:dyDescent="0.3">
      <c r="B67" s="260" t="s">
        <v>234</v>
      </c>
      <c r="C67" s="261"/>
      <c r="D67" s="261"/>
      <c r="E67" s="261"/>
      <c r="F67" s="261"/>
      <c r="G67" s="262">
        <f>PRORRATEO!O69</f>
        <v>107350.63</v>
      </c>
      <c r="H67" s="263"/>
      <c r="I67" s="81"/>
      <c r="J67" s="91"/>
    </row>
    <row r="70" spans="2:10" ht="15.75" thickBot="1" x14ac:dyDescent="0.3"/>
    <row r="71" spans="2:10" ht="15.75" thickBot="1" x14ac:dyDescent="0.3">
      <c r="B71" s="272" t="s">
        <v>233</v>
      </c>
      <c r="C71" s="273"/>
      <c r="D71" s="273"/>
      <c r="E71" s="273"/>
      <c r="F71" s="273"/>
      <c r="G71" s="273"/>
      <c r="H71" s="274"/>
      <c r="I71" s="79"/>
      <c r="J71" s="80"/>
    </row>
    <row r="72" spans="2:10" ht="15.75" thickBot="1" x14ac:dyDescent="0.3">
      <c r="B72" s="264" t="s">
        <v>134</v>
      </c>
      <c r="C72" s="265"/>
      <c r="D72" s="265"/>
      <c r="E72" s="265"/>
      <c r="F72" s="265"/>
      <c r="G72" s="265"/>
      <c r="H72" s="266"/>
      <c r="I72" s="1"/>
      <c r="J72" s="2"/>
    </row>
    <row r="73" spans="2:10" x14ac:dyDescent="0.25">
      <c r="B73" s="79" t="s">
        <v>241</v>
      </c>
      <c r="C73" s="90"/>
      <c r="D73" s="90"/>
      <c r="E73" s="90"/>
      <c r="G73" t="s">
        <v>47</v>
      </c>
      <c r="H73" s="2"/>
      <c r="I73" s="1"/>
      <c r="J73" s="2"/>
    </row>
    <row r="74" spans="2:10" x14ac:dyDescent="0.25">
      <c r="B74" s="84" t="s">
        <v>238</v>
      </c>
      <c r="C74" s="82"/>
      <c r="D74" s="82"/>
      <c r="H74" s="2"/>
      <c r="I74" s="1"/>
      <c r="J74" s="2"/>
    </row>
    <row r="75" spans="2:10" x14ac:dyDescent="0.25">
      <c r="B75" s="85"/>
      <c r="C75" s="86"/>
      <c r="D75" s="86"/>
      <c r="E75" s="87"/>
      <c r="F75" s="87"/>
      <c r="G75" s="87"/>
      <c r="H75" s="88"/>
      <c r="I75" s="1"/>
      <c r="J75" s="2"/>
    </row>
    <row r="76" spans="2:10" x14ac:dyDescent="0.25">
      <c r="B76" s="267" t="s">
        <v>236</v>
      </c>
      <c r="C76" s="268"/>
      <c r="D76" s="268"/>
      <c r="E76" s="268"/>
      <c r="F76" s="268"/>
      <c r="G76" s="268"/>
      <c r="H76" s="269"/>
      <c r="I76" s="1"/>
      <c r="J76" s="2"/>
    </row>
    <row r="77" spans="2:10" x14ac:dyDescent="0.25">
      <c r="B77" s="84"/>
      <c r="C77" s="82"/>
      <c r="D77" s="82"/>
      <c r="H77" s="2"/>
      <c r="I77" s="1"/>
      <c r="J77" s="2"/>
    </row>
    <row r="78" spans="2:10" x14ac:dyDescent="0.25">
      <c r="B78" s="1" t="s">
        <v>232</v>
      </c>
      <c r="E78" t="str">
        <f>PRORRATEO!D70</f>
        <v>RODRIGUEZ 
NESTOR</v>
      </c>
      <c r="H78" s="2"/>
      <c r="I78" s="270" t="s">
        <v>237</v>
      </c>
      <c r="J78" s="271"/>
    </row>
    <row r="79" spans="2:10" x14ac:dyDescent="0.25">
      <c r="B79" s="1" t="s">
        <v>231</v>
      </c>
      <c r="C79" s="82">
        <f>PRORRATEO!C70</f>
        <v>64</v>
      </c>
      <c r="D79" s="83" t="s">
        <v>235</v>
      </c>
      <c r="E79" s="82" t="str">
        <f>PRORRATEO!B70</f>
        <v>12-E</v>
      </c>
      <c r="H79" s="2"/>
      <c r="I79" s="1"/>
      <c r="J79" s="2"/>
    </row>
    <row r="80" spans="2:10" x14ac:dyDescent="0.25">
      <c r="B80" s="1"/>
      <c r="H80" s="2"/>
      <c r="I80" s="270"/>
      <c r="J80" s="271"/>
    </row>
    <row r="81" spans="2:10" x14ac:dyDescent="0.25">
      <c r="B81" s="1"/>
      <c r="H81" s="2"/>
      <c r="I81" s="1"/>
      <c r="J81" s="2"/>
    </row>
    <row r="82" spans="2:10" x14ac:dyDescent="0.25">
      <c r="B82" s="1"/>
      <c r="H82" s="2"/>
      <c r="I82" s="1"/>
      <c r="J82" s="2"/>
    </row>
    <row r="83" spans="2:10" ht="15.75" thickBot="1" x14ac:dyDescent="0.3">
      <c r="B83" s="1"/>
      <c r="H83" s="2"/>
      <c r="I83" s="89"/>
      <c r="J83" s="92"/>
    </row>
    <row r="84" spans="2:10" ht="15.75" thickBot="1" x14ac:dyDescent="0.3">
      <c r="B84" s="260" t="s">
        <v>234</v>
      </c>
      <c r="C84" s="261"/>
      <c r="D84" s="261"/>
      <c r="E84" s="261"/>
      <c r="F84" s="261"/>
      <c r="G84" s="262">
        <f>PRORRATEO!O70</f>
        <v>107350.64</v>
      </c>
      <c r="H84" s="263"/>
      <c r="I84" s="81"/>
      <c r="J84" s="91"/>
    </row>
    <row r="87" spans="2:10" ht="15.75" thickBot="1" x14ac:dyDescent="0.3"/>
    <row r="88" spans="2:10" ht="15.75" thickBot="1" x14ac:dyDescent="0.3">
      <c r="B88" s="272" t="s">
        <v>233</v>
      </c>
      <c r="C88" s="273"/>
      <c r="D88" s="273"/>
      <c r="E88" s="273"/>
      <c r="F88" s="273"/>
      <c r="G88" s="273"/>
      <c r="H88" s="274"/>
      <c r="I88" s="79"/>
      <c r="J88" s="80"/>
    </row>
    <row r="89" spans="2:10" ht="15.75" thickBot="1" x14ac:dyDescent="0.3">
      <c r="B89" s="264" t="s">
        <v>134</v>
      </c>
      <c r="C89" s="265"/>
      <c r="D89" s="265"/>
      <c r="E89" s="265"/>
      <c r="F89" s="265"/>
      <c r="G89" s="265"/>
      <c r="H89" s="266"/>
      <c r="I89" s="1"/>
      <c r="J89" s="2"/>
    </row>
    <row r="90" spans="2:10" x14ac:dyDescent="0.25">
      <c r="B90" s="79" t="s">
        <v>241</v>
      </c>
      <c r="C90" s="90"/>
      <c r="D90" s="90"/>
      <c r="E90" s="90"/>
      <c r="G90" t="s">
        <v>47</v>
      </c>
      <c r="H90" s="2"/>
      <c r="I90" s="1"/>
      <c r="J90" s="2"/>
    </row>
    <row r="91" spans="2:10" x14ac:dyDescent="0.25">
      <c r="B91" s="84" t="s">
        <v>238</v>
      </c>
      <c r="C91" s="82"/>
      <c r="D91" s="82"/>
      <c r="H91" s="2"/>
      <c r="I91" s="1"/>
      <c r="J91" s="2"/>
    </row>
    <row r="92" spans="2:10" x14ac:dyDescent="0.25">
      <c r="B92" s="85"/>
      <c r="C92" s="86"/>
      <c r="D92" s="86"/>
      <c r="E92" s="87"/>
      <c r="F92" s="87"/>
      <c r="G92" s="87"/>
      <c r="H92" s="88"/>
      <c r="I92" s="1"/>
      <c r="J92" s="2"/>
    </row>
    <row r="93" spans="2:10" x14ac:dyDescent="0.25">
      <c r="B93" s="267" t="s">
        <v>236</v>
      </c>
      <c r="C93" s="268"/>
      <c r="D93" s="268"/>
      <c r="E93" s="268"/>
      <c r="F93" s="268"/>
      <c r="G93" s="268"/>
      <c r="H93" s="269"/>
      <c r="I93" s="1"/>
      <c r="J93" s="2"/>
    </row>
    <row r="94" spans="2:10" x14ac:dyDescent="0.25">
      <c r="B94" s="84"/>
      <c r="C94" s="82"/>
      <c r="D94" s="82"/>
      <c r="H94" s="2"/>
      <c r="I94" s="1"/>
      <c r="J94" s="2"/>
    </row>
    <row r="95" spans="2:10" x14ac:dyDescent="0.25">
      <c r="B95" s="1" t="s">
        <v>232</v>
      </c>
      <c r="E95" t="str">
        <f>PRORRATEO!D71</f>
        <v>ZIMERMANN 
LEON (2)</v>
      </c>
      <c r="H95" s="2"/>
      <c r="I95" s="270" t="s">
        <v>237</v>
      </c>
      <c r="J95" s="271"/>
    </row>
    <row r="96" spans="2:10" x14ac:dyDescent="0.25">
      <c r="B96" s="1" t="s">
        <v>231</v>
      </c>
      <c r="C96" s="82">
        <f>PRORRATEO!C71</f>
        <v>65</v>
      </c>
      <c r="D96" s="83" t="s">
        <v>235</v>
      </c>
      <c r="E96" s="82" t="str">
        <f>PRORRATEO!B71</f>
        <v>13-A</v>
      </c>
      <c r="H96" s="2"/>
      <c r="I96" s="1"/>
      <c r="J96" s="2"/>
    </row>
    <row r="97" spans="2:10" x14ac:dyDescent="0.25">
      <c r="B97" s="1"/>
      <c r="H97" s="2"/>
      <c r="I97" s="270"/>
      <c r="J97" s="271"/>
    </row>
    <row r="98" spans="2:10" x14ac:dyDescent="0.25">
      <c r="B98" s="1"/>
      <c r="H98" s="2"/>
      <c r="I98" s="1"/>
      <c r="J98" s="2"/>
    </row>
    <row r="99" spans="2:10" x14ac:dyDescent="0.25">
      <c r="B99" s="1"/>
      <c r="H99" s="2"/>
      <c r="I99" s="1"/>
      <c r="J99" s="2"/>
    </row>
    <row r="100" spans="2:10" ht="15.75" thickBot="1" x14ac:dyDescent="0.3">
      <c r="B100" s="1"/>
      <c r="H100" s="2"/>
      <c r="I100" s="89"/>
      <c r="J100" s="92"/>
    </row>
    <row r="101" spans="2:10" ht="15.75" thickBot="1" x14ac:dyDescent="0.3">
      <c r="B101" s="260" t="s">
        <v>234</v>
      </c>
      <c r="C101" s="261"/>
      <c r="D101" s="261"/>
      <c r="E101" s="261"/>
      <c r="F101" s="261"/>
      <c r="G101" s="262">
        <f>PRORRATEO!O71</f>
        <v>158646.65</v>
      </c>
      <c r="H101" s="263"/>
      <c r="I101" s="81"/>
      <c r="J101" s="91"/>
    </row>
  </sheetData>
  <mergeCells count="42">
    <mergeCell ref="I10:J10"/>
    <mergeCell ref="I12:J12"/>
    <mergeCell ref="B34:F34"/>
    <mergeCell ref="G34:H34"/>
    <mergeCell ref="B3:H3"/>
    <mergeCell ref="B4:H4"/>
    <mergeCell ref="B8:H8"/>
    <mergeCell ref="B67:F67"/>
    <mergeCell ref="G67:H67"/>
    <mergeCell ref="B16:F16"/>
    <mergeCell ref="G16:H16"/>
    <mergeCell ref="I45:J45"/>
    <mergeCell ref="I47:J47"/>
    <mergeCell ref="B51:F51"/>
    <mergeCell ref="G51:H51"/>
    <mergeCell ref="B21:H21"/>
    <mergeCell ref="B22:H22"/>
    <mergeCell ref="B26:H26"/>
    <mergeCell ref="B38:H38"/>
    <mergeCell ref="B39:H39"/>
    <mergeCell ref="B43:H43"/>
    <mergeCell ref="I28:J28"/>
    <mergeCell ref="I30:J30"/>
    <mergeCell ref="B54:H54"/>
    <mergeCell ref="B55:H55"/>
    <mergeCell ref="B59:H59"/>
    <mergeCell ref="I61:J61"/>
    <mergeCell ref="I63:J63"/>
    <mergeCell ref="I95:J95"/>
    <mergeCell ref="I97:J97"/>
    <mergeCell ref="B101:F101"/>
    <mergeCell ref="G101:H101"/>
    <mergeCell ref="B71:H71"/>
    <mergeCell ref="B72:H72"/>
    <mergeCell ref="B76:H76"/>
    <mergeCell ref="B88:H88"/>
    <mergeCell ref="B89:H89"/>
    <mergeCell ref="B93:H93"/>
    <mergeCell ref="I80:J80"/>
    <mergeCell ref="B84:F84"/>
    <mergeCell ref="G84:H84"/>
    <mergeCell ref="I78:J78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152"/>
  <sheetViews>
    <sheetView topLeftCell="A142" workbookViewId="0">
      <selection activeCell="L91" sqref="L91"/>
    </sheetView>
  </sheetViews>
  <sheetFormatPr baseColWidth="10" defaultRowHeight="15" x14ac:dyDescent="0.25"/>
  <cols>
    <col min="1" max="1" width="3.5703125" customWidth="1"/>
    <col min="6" max="6" width="7.7109375" customWidth="1"/>
    <col min="7" max="7" width="6.85546875" customWidth="1"/>
  </cols>
  <sheetData>
    <row r="1" spans="2:10" ht="15.75" thickBot="1" x14ac:dyDescent="0.3"/>
    <row r="2" spans="2:10" ht="15.75" thickBot="1" x14ac:dyDescent="0.3">
      <c r="B2" s="272" t="s">
        <v>233</v>
      </c>
      <c r="C2" s="273"/>
      <c r="D2" s="273"/>
      <c r="E2" s="273"/>
      <c r="F2" s="273"/>
      <c r="G2" s="273"/>
      <c r="H2" s="274"/>
      <c r="I2" s="79"/>
      <c r="J2" s="80"/>
    </row>
    <row r="3" spans="2:10" ht="15.75" thickBot="1" x14ac:dyDescent="0.3">
      <c r="B3" s="264" t="s">
        <v>134</v>
      </c>
      <c r="C3" s="265"/>
      <c r="D3" s="265"/>
      <c r="E3" s="265"/>
      <c r="F3" s="265"/>
      <c r="G3" s="265"/>
      <c r="H3" s="266"/>
      <c r="I3" s="1"/>
      <c r="J3" s="2"/>
    </row>
    <row r="4" spans="2:10" x14ac:dyDescent="0.25">
      <c r="B4" s="79" t="s">
        <v>241</v>
      </c>
      <c r="C4" s="90"/>
      <c r="D4" s="90"/>
      <c r="E4" s="90"/>
      <c r="G4" t="s">
        <v>47</v>
      </c>
      <c r="H4" s="2"/>
      <c r="I4" s="1"/>
      <c r="J4" s="2"/>
    </row>
    <row r="5" spans="2:10" x14ac:dyDescent="0.25">
      <c r="B5" s="84" t="s">
        <v>238</v>
      </c>
      <c r="C5" s="82"/>
      <c r="D5" s="82"/>
      <c r="H5" s="2"/>
      <c r="I5" s="1"/>
      <c r="J5" s="2"/>
    </row>
    <row r="6" spans="2:10" x14ac:dyDescent="0.25">
      <c r="B6" s="85"/>
      <c r="C6" s="86"/>
      <c r="D6" s="86"/>
      <c r="E6" s="87"/>
      <c r="F6" s="87"/>
      <c r="G6" s="87"/>
      <c r="H6" s="88"/>
      <c r="I6" s="1"/>
      <c r="J6" s="2"/>
    </row>
    <row r="7" spans="2:10" x14ac:dyDescent="0.25">
      <c r="B7" s="267" t="s">
        <v>236</v>
      </c>
      <c r="C7" s="268"/>
      <c r="D7" s="268"/>
      <c r="E7" s="268"/>
      <c r="F7" s="268"/>
      <c r="G7" s="268"/>
      <c r="H7" s="269"/>
      <c r="I7" s="1"/>
      <c r="J7" s="2"/>
    </row>
    <row r="8" spans="2:10" x14ac:dyDescent="0.25">
      <c r="B8" s="84"/>
      <c r="C8" s="82"/>
      <c r="D8" s="82"/>
      <c r="H8" s="2"/>
      <c r="I8" s="1"/>
      <c r="J8" s="2"/>
    </row>
    <row r="9" spans="2:10" x14ac:dyDescent="0.25">
      <c r="B9" s="1" t="s">
        <v>232</v>
      </c>
      <c r="E9" t="str">
        <f>PRORRATEO!D72</f>
        <v>DE GRACIA</v>
      </c>
      <c r="H9" s="2"/>
      <c r="I9" s="270" t="s">
        <v>237</v>
      </c>
      <c r="J9" s="271"/>
    </row>
    <row r="10" spans="2:10" x14ac:dyDescent="0.25">
      <c r="B10" s="1" t="s">
        <v>231</v>
      </c>
      <c r="C10" s="82">
        <f>PRORRATEO!C72</f>
        <v>66</v>
      </c>
      <c r="D10" s="83" t="s">
        <v>235</v>
      </c>
      <c r="E10" s="82" t="str">
        <f>PRORRATEO!B72</f>
        <v>13-B</v>
      </c>
      <c r="H10" s="2"/>
      <c r="I10" s="1"/>
      <c r="J10" s="2"/>
    </row>
    <row r="11" spans="2:10" x14ac:dyDescent="0.25">
      <c r="B11" s="1"/>
      <c r="H11" s="2"/>
      <c r="I11" s="270"/>
      <c r="J11" s="271"/>
    </row>
    <row r="12" spans="2:10" x14ac:dyDescent="0.25">
      <c r="B12" s="1"/>
      <c r="H12" s="2"/>
      <c r="I12" s="1"/>
      <c r="J12" s="2"/>
    </row>
    <row r="13" spans="2:10" x14ac:dyDescent="0.25">
      <c r="B13" s="1"/>
      <c r="H13" s="2"/>
      <c r="I13" s="1"/>
      <c r="J13" s="2"/>
    </row>
    <row r="14" spans="2:10" ht="15.75" thickBot="1" x14ac:dyDescent="0.3">
      <c r="B14" s="1"/>
      <c r="H14" s="2"/>
      <c r="I14" s="89"/>
      <c r="J14" s="92"/>
    </row>
    <row r="15" spans="2:10" ht="15.75" thickBot="1" x14ac:dyDescent="0.3">
      <c r="B15" s="260" t="s">
        <v>234</v>
      </c>
      <c r="C15" s="261"/>
      <c r="D15" s="261"/>
      <c r="E15" s="261"/>
      <c r="F15" s="261"/>
      <c r="G15" s="262">
        <f>PRORRATEO!O72</f>
        <v>157676.66</v>
      </c>
      <c r="H15" s="263"/>
      <c r="I15" s="81"/>
      <c r="J15" s="91"/>
    </row>
    <row r="17" spans="2:10" ht="15.75" thickBot="1" x14ac:dyDescent="0.3"/>
    <row r="18" spans="2:10" ht="15.75" thickBot="1" x14ac:dyDescent="0.3">
      <c r="B18" s="272" t="s">
        <v>233</v>
      </c>
      <c r="C18" s="273"/>
      <c r="D18" s="273"/>
      <c r="E18" s="273"/>
      <c r="F18" s="273"/>
      <c r="G18" s="273"/>
      <c r="H18" s="274"/>
      <c r="I18" s="79"/>
      <c r="J18" s="80"/>
    </row>
    <row r="19" spans="2:10" ht="15.75" thickBot="1" x14ac:dyDescent="0.3">
      <c r="B19" s="264" t="s">
        <v>134</v>
      </c>
      <c r="C19" s="265"/>
      <c r="D19" s="265"/>
      <c r="E19" s="265"/>
      <c r="F19" s="265"/>
      <c r="G19" s="265"/>
      <c r="H19" s="266"/>
      <c r="I19" s="1"/>
      <c r="J19" s="2"/>
    </row>
    <row r="20" spans="2:10" x14ac:dyDescent="0.25">
      <c r="B20" s="79" t="s">
        <v>241</v>
      </c>
      <c r="C20" s="90"/>
      <c r="D20" s="90"/>
      <c r="E20" s="90"/>
      <c r="G20" t="s">
        <v>47</v>
      </c>
      <c r="H20" s="2"/>
      <c r="I20" s="1"/>
      <c r="J20" s="2"/>
    </row>
    <row r="21" spans="2:10" x14ac:dyDescent="0.25">
      <c r="B21" s="84" t="s">
        <v>238</v>
      </c>
      <c r="C21" s="82"/>
      <c r="D21" s="82"/>
      <c r="H21" s="2"/>
      <c r="I21" s="1"/>
      <c r="J21" s="2"/>
    </row>
    <row r="22" spans="2:10" x14ac:dyDescent="0.25">
      <c r="B22" s="85"/>
      <c r="C22" s="86"/>
      <c r="D22" s="86"/>
      <c r="E22" s="87"/>
      <c r="F22" s="87"/>
      <c r="G22" s="87"/>
      <c r="H22" s="88"/>
      <c r="I22" s="1"/>
      <c r="J22" s="2"/>
    </row>
    <row r="23" spans="2:10" x14ac:dyDescent="0.25">
      <c r="B23" s="267" t="s">
        <v>236</v>
      </c>
      <c r="C23" s="268"/>
      <c r="D23" s="268"/>
      <c r="E23" s="268"/>
      <c r="F23" s="268"/>
      <c r="G23" s="268"/>
      <c r="H23" s="269"/>
      <c r="I23" s="1"/>
      <c r="J23" s="2"/>
    </row>
    <row r="24" spans="2:10" x14ac:dyDescent="0.25">
      <c r="B24" s="84"/>
      <c r="C24" s="82"/>
      <c r="D24" s="82"/>
      <c r="H24" s="2"/>
      <c r="I24" s="1"/>
      <c r="J24" s="2"/>
    </row>
    <row r="25" spans="2:10" x14ac:dyDescent="0.25">
      <c r="B25" s="1" t="s">
        <v>232</v>
      </c>
      <c r="E25" t="str">
        <f>PRORRATEO!D73</f>
        <v>LAUMAN JOSE</v>
      </c>
      <c r="H25" s="2"/>
      <c r="I25" s="270" t="s">
        <v>237</v>
      </c>
      <c r="J25" s="271"/>
    </row>
    <row r="26" spans="2:10" x14ac:dyDescent="0.25">
      <c r="B26" s="1" t="s">
        <v>231</v>
      </c>
      <c r="C26" s="82">
        <f>PRORRATEO!C73</f>
        <v>67</v>
      </c>
      <c r="D26" s="83" t="s">
        <v>235</v>
      </c>
      <c r="E26" s="82" t="str">
        <f>PRORRATEO!B73</f>
        <v>13-C</v>
      </c>
      <c r="H26" s="2"/>
      <c r="I26" s="1"/>
      <c r="J26" s="2"/>
    </row>
    <row r="27" spans="2:10" x14ac:dyDescent="0.25">
      <c r="B27" s="1"/>
      <c r="H27" s="2"/>
      <c r="I27" s="270"/>
      <c r="J27" s="271"/>
    </row>
    <row r="28" spans="2:10" x14ac:dyDescent="0.25">
      <c r="B28" s="1"/>
      <c r="H28" s="2"/>
      <c r="I28" s="1"/>
      <c r="J28" s="2"/>
    </row>
    <row r="29" spans="2:10" x14ac:dyDescent="0.25">
      <c r="B29" s="1"/>
      <c r="H29" s="2"/>
      <c r="I29" s="1"/>
      <c r="J29" s="2"/>
    </row>
    <row r="30" spans="2:10" ht="15.75" thickBot="1" x14ac:dyDescent="0.3">
      <c r="B30" s="1"/>
      <c r="H30" s="2"/>
      <c r="I30" s="89"/>
      <c r="J30" s="92"/>
    </row>
    <row r="31" spans="2:10" ht="15.75" thickBot="1" x14ac:dyDescent="0.3">
      <c r="B31" s="260" t="s">
        <v>234</v>
      </c>
      <c r="C31" s="261"/>
      <c r="D31" s="261"/>
      <c r="E31" s="261"/>
      <c r="F31" s="261"/>
      <c r="G31" s="262">
        <f>PRORRATEO!O73</f>
        <v>107350.67</v>
      </c>
      <c r="H31" s="263"/>
      <c r="I31" s="81"/>
      <c r="J31" s="91"/>
    </row>
    <row r="33" spans="2:10" ht="15.75" thickBot="1" x14ac:dyDescent="0.3"/>
    <row r="34" spans="2:10" ht="15.75" thickBot="1" x14ac:dyDescent="0.3">
      <c r="B34" s="272" t="s">
        <v>233</v>
      </c>
      <c r="C34" s="273"/>
      <c r="D34" s="273"/>
      <c r="E34" s="273"/>
      <c r="F34" s="273"/>
      <c r="G34" s="273"/>
      <c r="H34" s="274"/>
      <c r="I34" s="79"/>
      <c r="J34" s="80"/>
    </row>
    <row r="35" spans="2:10" ht="15.75" thickBot="1" x14ac:dyDescent="0.3">
      <c r="B35" s="264" t="s">
        <v>134</v>
      </c>
      <c r="C35" s="265"/>
      <c r="D35" s="265"/>
      <c r="E35" s="265"/>
      <c r="F35" s="265"/>
      <c r="G35" s="265"/>
      <c r="H35" s="266"/>
      <c r="I35" s="1"/>
      <c r="J35" s="2"/>
    </row>
    <row r="36" spans="2:10" x14ac:dyDescent="0.25">
      <c r="B36" s="79" t="s">
        <v>241</v>
      </c>
      <c r="C36" s="90"/>
      <c r="D36" s="90"/>
      <c r="E36" s="90"/>
      <c r="G36" t="s">
        <v>47</v>
      </c>
      <c r="H36" s="2"/>
      <c r="I36" s="1"/>
      <c r="J36" s="2"/>
    </row>
    <row r="37" spans="2:10" x14ac:dyDescent="0.25">
      <c r="B37" s="84" t="s">
        <v>238</v>
      </c>
      <c r="C37" s="82"/>
      <c r="D37" s="82"/>
      <c r="H37" s="2"/>
      <c r="I37" s="1"/>
      <c r="J37" s="2"/>
    </row>
    <row r="38" spans="2:10" x14ac:dyDescent="0.25">
      <c r="B38" s="85"/>
      <c r="C38" s="86"/>
      <c r="D38" s="86"/>
      <c r="E38" s="87"/>
      <c r="F38" s="87"/>
      <c r="G38" s="87"/>
      <c r="H38" s="88"/>
      <c r="I38" s="1"/>
      <c r="J38" s="2"/>
    </row>
    <row r="39" spans="2:10" x14ac:dyDescent="0.25">
      <c r="B39" s="267" t="s">
        <v>236</v>
      </c>
      <c r="C39" s="268"/>
      <c r="D39" s="268"/>
      <c r="E39" s="268"/>
      <c r="F39" s="268"/>
      <c r="G39" s="268"/>
      <c r="H39" s="269"/>
      <c r="I39" s="1"/>
      <c r="J39" s="2"/>
    </row>
    <row r="40" spans="2:10" x14ac:dyDescent="0.25">
      <c r="B40" s="84"/>
      <c r="C40" s="82"/>
      <c r="D40" s="82"/>
      <c r="H40" s="2"/>
      <c r="I40" s="1"/>
      <c r="J40" s="2"/>
    </row>
    <row r="41" spans="2:10" x14ac:dyDescent="0.25">
      <c r="B41" s="1" t="s">
        <v>232</v>
      </c>
      <c r="E41" t="str">
        <f>PRORRATEO!D74</f>
        <v>MARENZI 
MARIA</v>
      </c>
      <c r="H41" s="2"/>
      <c r="I41" s="270" t="s">
        <v>237</v>
      </c>
      <c r="J41" s="271"/>
    </row>
    <row r="42" spans="2:10" x14ac:dyDescent="0.25">
      <c r="B42" s="1" t="s">
        <v>231</v>
      </c>
      <c r="C42" s="82">
        <f>PRORRATEO!C74</f>
        <v>68</v>
      </c>
      <c r="D42" s="83" t="s">
        <v>235</v>
      </c>
      <c r="E42" s="82" t="str">
        <f>PRORRATEO!B74</f>
        <v>13-D</v>
      </c>
      <c r="H42" s="2"/>
      <c r="I42" s="1"/>
      <c r="J42" s="2"/>
    </row>
    <row r="43" spans="2:10" x14ac:dyDescent="0.25">
      <c r="B43" s="1"/>
      <c r="H43" s="2"/>
      <c r="I43" s="270"/>
      <c r="J43" s="271"/>
    </row>
    <row r="44" spans="2:10" x14ac:dyDescent="0.25">
      <c r="B44" s="1"/>
      <c r="H44" s="2"/>
      <c r="I44" s="1"/>
      <c r="J44" s="2"/>
    </row>
    <row r="45" spans="2:10" x14ac:dyDescent="0.25">
      <c r="B45" s="1"/>
      <c r="H45" s="2"/>
      <c r="I45" s="1"/>
      <c r="J45" s="2"/>
    </row>
    <row r="46" spans="2:10" ht="15.75" thickBot="1" x14ac:dyDescent="0.3">
      <c r="B46" s="1"/>
      <c r="H46" s="2"/>
      <c r="I46" s="89"/>
      <c r="J46" s="92"/>
    </row>
    <row r="47" spans="2:10" ht="15.75" thickBot="1" x14ac:dyDescent="0.3">
      <c r="B47" s="260" t="s">
        <v>234</v>
      </c>
      <c r="C47" s="261"/>
      <c r="D47" s="261"/>
      <c r="E47" s="261"/>
      <c r="F47" s="261"/>
      <c r="G47" s="262">
        <f>PRORRATEO!O74</f>
        <v>107350.68</v>
      </c>
      <c r="H47" s="263"/>
      <c r="I47" s="81"/>
      <c r="J47" s="91"/>
    </row>
    <row r="51" spans="2:10" ht="15.75" thickBot="1" x14ac:dyDescent="0.3"/>
    <row r="52" spans="2:10" ht="15.75" thickBot="1" x14ac:dyDescent="0.3">
      <c r="B52" s="272" t="s">
        <v>233</v>
      </c>
      <c r="C52" s="273"/>
      <c r="D52" s="273"/>
      <c r="E52" s="273"/>
      <c r="F52" s="273"/>
      <c r="G52" s="273"/>
      <c r="H52" s="274"/>
      <c r="I52" s="79"/>
      <c r="J52" s="80"/>
    </row>
    <row r="53" spans="2:10" ht="15.75" thickBot="1" x14ac:dyDescent="0.3">
      <c r="B53" s="264" t="s">
        <v>134</v>
      </c>
      <c r="C53" s="265"/>
      <c r="D53" s="265"/>
      <c r="E53" s="265"/>
      <c r="F53" s="265"/>
      <c r="G53" s="265"/>
      <c r="H53" s="266"/>
      <c r="I53" s="1"/>
      <c r="J53" s="2"/>
    </row>
    <row r="54" spans="2:10" x14ac:dyDescent="0.25">
      <c r="B54" s="79" t="s">
        <v>241</v>
      </c>
      <c r="C54" s="90"/>
      <c r="D54" s="90"/>
      <c r="E54" s="90"/>
      <c r="G54" t="s">
        <v>47</v>
      </c>
      <c r="H54" s="2"/>
      <c r="I54" s="1"/>
      <c r="J54" s="2"/>
    </row>
    <row r="55" spans="2:10" x14ac:dyDescent="0.25">
      <c r="B55" s="84" t="s">
        <v>238</v>
      </c>
      <c r="C55" s="82"/>
      <c r="D55" s="82"/>
      <c r="H55" s="2"/>
      <c r="I55" s="1"/>
      <c r="J55" s="2"/>
    </row>
    <row r="56" spans="2:10" x14ac:dyDescent="0.25">
      <c r="B56" s="85"/>
      <c r="C56" s="86"/>
      <c r="D56" s="86"/>
      <c r="E56" s="87"/>
      <c r="F56" s="87"/>
      <c r="G56" s="87"/>
      <c r="H56" s="88"/>
      <c r="I56" s="1"/>
      <c r="J56" s="2"/>
    </row>
    <row r="57" spans="2:10" x14ac:dyDescent="0.25">
      <c r="B57" s="267" t="s">
        <v>236</v>
      </c>
      <c r="C57" s="268"/>
      <c r="D57" s="268"/>
      <c r="E57" s="268"/>
      <c r="F57" s="268"/>
      <c r="G57" s="268"/>
      <c r="H57" s="269"/>
      <c r="I57" s="1"/>
      <c r="J57" s="2"/>
    </row>
    <row r="58" spans="2:10" x14ac:dyDescent="0.25">
      <c r="B58" s="84"/>
      <c r="C58" s="82"/>
      <c r="D58" s="82"/>
      <c r="H58" s="2"/>
      <c r="I58" s="1"/>
      <c r="J58" s="2"/>
    </row>
    <row r="59" spans="2:10" x14ac:dyDescent="0.25">
      <c r="B59" s="1" t="s">
        <v>232</v>
      </c>
      <c r="E59" t="str">
        <f>PRORRATEO!D75</f>
        <v>DI SERA 
VANESA</v>
      </c>
      <c r="H59" s="2"/>
      <c r="I59" s="270" t="s">
        <v>237</v>
      </c>
      <c r="J59" s="271"/>
    </row>
    <row r="60" spans="2:10" x14ac:dyDescent="0.25">
      <c r="B60" s="1" t="s">
        <v>231</v>
      </c>
      <c r="C60" s="82">
        <f>PRORRATEO!C75</f>
        <v>69</v>
      </c>
      <c r="D60" s="83" t="s">
        <v>235</v>
      </c>
      <c r="E60" s="82" t="str">
        <f>PRORRATEO!B75</f>
        <v>13-E</v>
      </c>
      <c r="H60" s="2"/>
      <c r="I60" s="1"/>
      <c r="J60" s="2"/>
    </row>
    <row r="61" spans="2:10" x14ac:dyDescent="0.25">
      <c r="B61" s="1"/>
      <c r="H61" s="2"/>
      <c r="I61" s="270"/>
      <c r="J61" s="271"/>
    </row>
    <row r="62" spans="2:10" x14ac:dyDescent="0.25">
      <c r="B62" s="1"/>
      <c r="H62" s="2"/>
      <c r="I62" s="1"/>
      <c r="J62" s="2"/>
    </row>
    <row r="63" spans="2:10" x14ac:dyDescent="0.25">
      <c r="B63" s="1"/>
      <c r="H63" s="2"/>
      <c r="I63" s="1"/>
      <c r="J63" s="2"/>
    </row>
    <row r="64" spans="2:10" ht="15.75" thickBot="1" x14ac:dyDescent="0.3">
      <c r="B64" s="1"/>
      <c r="H64" s="2"/>
      <c r="I64" s="89"/>
      <c r="J64" s="92"/>
    </row>
    <row r="65" spans="2:10" ht="15.75" thickBot="1" x14ac:dyDescent="0.3">
      <c r="B65" s="260" t="s">
        <v>234</v>
      </c>
      <c r="C65" s="261"/>
      <c r="D65" s="261"/>
      <c r="E65" s="261"/>
      <c r="F65" s="261"/>
      <c r="G65" s="262">
        <f>PRORRATEO!O75</f>
        <v>104193.69</v>
      </c>
      <c r="H65" s="263"/>
      <c r="I65" s="81"/>
      <c r="J65" s="91"/>
    </row>
    <row r="69" spans="2:10" ht="15.75" thickBot="1" x14ac:dyDescent="0.3"/>
    <row r="70" spans="2:10" ht="15.75" thickBot="1" x14ac:dyDescent="0.3">
      <c r="B70" s="272" t="s">
        <v>233</v>
      </c>
      <c r="C70" s="273"/>
      <c r="D70" s="273"/>
      <c r="E70" s="273"/>
      <c r="F70" s="273"/>
      <c r="G70" s="273"/>
      <c r="H70" s="274"/>
      <c r="I70" s="79"/>
      <c r="J70" s="80"/>
    </row>
    <row r="71" spans="2:10" ht="15.75" thickBot="1" x14ac:dyDescent="0.3">
      <c r="B71" s="264" t="s">
        <v>134</v>
      </c>
      <c r="C71" s="265"/>
      <c r="D71" s="265"/>
      <c r="E71" s="265"/>
      <c r="F71" s="265"/>
      <c r="G71" s="265"/>
      <c r="H71" s="266"/>
      <c r="I71" s="1"/>
      <c r="J71" s="2"/>
    </row>
    <row r="72" spans="2:10" x14ac:dyDescent="0.25">
      <c r="B72" s="79" t="s">
        <v>241</v>
      </c>
      <c r="C72" s="90"/>
      <c r="D72" s="90"/>
      <c r="E72" s="90"/>
      <c r="G72" t="s">
        <v>47</v>
      </c>
      <c r="H72" s="2"/>
      <c r="I72" s="1"/>
      <c r="J72" s="2"/>
    </row>
    <row r="73" spans="2:10" x14ac:dyDescent="0.25">
      <c r="B73" s="84" t="s">
        <v>238</v>
      </c>
      <c r="C73" s="82"/>
      <c r="D73" s="82"/>
      <c r="H73" s="2"/>
      <c r="I73" s="1"/>
      <c r="J73" s="2"/>
    </row>
    <row r="74" spans="2:10" x14ac:dyDescent="0.25">
      <c r="B74" s="85"/>
      <c r="C74" s="86"/>
      <c r="D74" s="86"/>
      <c r="E74" s="87"/>
      <c r="F74" s="87"/>
      <c r="G74" s="87"/>
      <c r="H74" s="88"/>
      <c r="I74" s="1"/>
      <c r="J74" s="2"/>
    </row>
    <row r="75" spans="2:10" x14ac:dyDescent="0.25">
      <c r="B75" s="267" t="s">
        <v>236</v>
      </c>
      <c r="C75" s="268"/>
      <c r="D75" s="268"/>
      <c r="E75" s="268"/>
      <c r="F75" s="268"/>
      <c r="G75" s="268"/>
      <c r="H75" s="269"/>
      <c r="I75" s="1"/>
      <c r="J75" s="2"/>
    </row>
    <row r="76" spans="2:10" x14ac:dyDescent="0.25">
      <c r="B76" s="84"/>
      <c r="C76" s="82"/>
      <c r="D76" s="82"/>
      <c r="H76" s="2"/>
      <c r="I76" s="1"/>
      <c r="J76" s="2"/>
    </row>
    <row r="77" spans="2:10" x14ac:dyDescent="0.25">
      <c r="B77" s="1" t="s">
        <v>232</v>
      </c>
      <c r="E77" t="str">
        <f>PRORRATEO!D76</f>
        <v>GUASTAVINO 
ELSA</v>
      </c>
      <c r="H77" s="2"/>
      <c r="I77" s="270" t="s">
        <v>237</v>
      </c>
      <c r="J77" s="271"/>
    </row>
    <row r="78" spans="2:10" x14ac:dyDescent="0.25">
      <c r="B78" s="1" t="s">
        <v>231</v>
      </c>
      <c r="C78" s="82">
        <f>PRORRATEO!C76</f>
        <v>70</v>
      </c>
      <c r="D78" s="83" t="s">
        <v>235</v>
      </c>
      <c r="E78" s="82" t="str">
        <f>PRORRATEO!B76</f>
        <v>14-A</v>
      </c>
      <c r="H78" s="2"/>
      <c r="I78" s="1"/>
      <c r="J78" s="2"/>
    </row>
    <row r="79" spans="2:10" x14ac:dyDescent="0.25">
      <c r="B79" s="1"/>
      <c r="H79" s="2"/>
      <c r="I79" s="270"/>
      <c r="J79" s="271"/>
    </row>
    <row r="80" spans="2:10" x14ac:dyDescent="0.25">
      <c r="B80" s="1"/>
      <c r="H80" s="2"/>
      <c r="I80" s="1"/>
      <c r="J80" s="2"/>
    </row>
    <row r="81" spans="2:10" x14ac:dyDescent="0.25">
      <c r="B81" s="1"/>
      <c r="H81" s="2"/>
      <c r="I81" s="1"/>
      <c r="J81" s="2"/>
    </row>
    <row r="82" spans="2:10" ht="15.75" thickBot="1" x14ac:dyDescent="0.3">
      <c r="B82" s="1"/>
      <c r="H82" s="2"/>
      <c r="I82" s="89"/>
      <c r="J82" s="92"/>
    </row>
    <row r="83" spans="2:10" ht="15.75" thickBot="1" x14ac:dyDescent="0.3">
      <c r="B83" s="260" t="s">
        <v>234</v>
      </c>
      <c r="C83" s="261"/>
      <c r="D83" s="261"/>
      <c r="E83" s="261"/>
      <c r="F83" s="261"/>
      <c r="G83" s="262">
        <f>PRORRATEO!O76</f>
        <v>158650.70000000001</v>
      </c>
      <c r="H83" s="263"/>
      <c r="I83" s="81"/>
      <c r="J83" s="91"/>
    </row>
    <row r="86" spans="2:10" ht="228" customHeight="1" thickBot="1" x14ac:dyDescent="0.3"/>
    <row r="87" spans="2:10" ht="15.75" thickBot="1" x14ac:dyDescent="0.3">
      <c r="B87" s="272" t="s">
        <v>233</v>
      </c>
      <c r="C87" s="273"/>
      <c r="D87" s="273"/>
      <c r="E87" s="273"/>
      <c r="F87" s="273"/>
      <c r="G87" s="273"/>
      <c r="H87" s="274"/>
      <c r="I87" s="79"/>
      <c r="J87" s="80"/>
    </row>
    <row r="88" spans="2:10" ht="15.75" thickBot="1" x14ac:dyDescent="0.3">
      <c r="B88" s="264" t="s">
        <v>134</v>
      </c>
      <c r="C88" s="265"/>
      <c r="D88" s="265"/>
      <c r="E88" s="265"/>
      <c r="F88" s="265"/>
      <c r="G88" s="265"/>
      <c r="H88" s="266"/>
      <c r="I88" s="1"/>
      <c r="J88" s="2"/>
    </row>
    <row r="89" spans="2:10" x14ac:dyDescent="0.25">
      <c r="B89" s="79" t="s">
        <v>241</v>
      </c>
      <c r="C89" s="90"/>
      <c r="D89" s="90"/>
      <c r="E89" s="90"/>
      <c r="G89" t="s">
        <v>47</v>
      </c>
      <c r="H89" s="2"/>
      <c r="I89" s="1"/>
      <c r="J89" s="2"/>
    </row>
    <row r="90" spans="2:10" x14ac:dyDescent="0.25">
      <c r="B90" s="84" t="s">
        <v>238</v>
      </c>
      <c r="C90" s="82"/>
      <c r="D90" s="82"/>
      <c r="H90" s="2"/>
      <c r="I90" s="1"/>
      <c r="J90" s="2"/>
    </row>
    <row r="91" spans="2:10" x14ac:dyDescent="0.25">
      <c r="B91" s="85"/>
      <c r="C91" s="86"/>
      <c r="D91" s="86"/>
      <c r="E91" s="87"/>
      <c r="F91" s="87"/>
      <c r="G91" s="87"/>
      <c r="H91" s="88"/>
      <c r="I91" s="1"/>
      <c r="J91" s="2"/>
    </row>
    <row r="92" spans="2:10" x14ac:dyDescent="0.25">
      <c r="B92" s="267" t="s">
        <v>236</v>
      </c>
      <c r="C92" s="268"/>
      <c r="D92" s="268"/>
      <c r="E92" s="268"/>
      <c r="F92" s="268"/>
      <c r="G92" s="268"/>
      <c r="H92" s="269"/>
      <c r="I92" s="1"/>
      <c r="J92" s="2"/>
    </row>
    <row r="93" spans="2:10" x14ac:dyDescent="0.25">
      <c r="B93" s="84"/>
      <c r="C93" s="82"/>
      <c r="D93" s="82"/>
      <c r="H93" s="2"/>
      <c r="I93" s="1"/>
      <c r="J93" s="2"/>
    </row>
    <row r="94" spans="2:10" x14ac:dyDescent="0.25">
      <c r="B94" s="1" t="s">
        <v>232</v>
      </c>
      <c r="E94" t="str">
        <f>PRORRATEO!D77</f>
        <v>RODRIGUEZ 
CARLOS</v>
      </c>
      <c r="H94" s="2"/>
      <c r="I94" s="270" t="s">
        <v>237</v>
      </c>
      <c r="J94" s="271"/>
    </row>
    <row r="95" spans="2:10" x14ac:dyDescent="0.25">
      <c r="B95" s="1" t="s">
        <v>231</v>
      </c>
      <c r="C95" s="82">
        <f>PRORRATEO!C77</f>
        <v>71</v>
      </c>
      <c r="D95" s="83" t="s">
        <v>235</v>
      </c>
      <c r="E95" s="82" t="str">
        <f>PRORRATEO!B77</f>
        <v>14-B</v>
      </c>
      <c r="H95" s="2"/>
      <c r="I95" s="1"/>
      <c r="J95" s="2"/>
    </row>
    <row r="96" spans="2:10" x14ac:dyDescent="0.25">
      <c r="B96" s="1"/>
      <c r="H96" s="2"/>
      <c r="I96" s="270"/>
      <c r="J96" s="271"/>
    </row>
    <row r="97" spans="2:10" x14ac:dyDescent="0.25">
      <c r="B97" s="1"/>
      <c r="H97" s="2"/>
      <c r="I97" s="1"/>
      <c r="J97" s="2"/>
    </row>
    <row r="98" spans="2:10" x14ac:dyDescent="0.25">
      <c r="B98" s="1"/>
      <c r="H98" s="2"/>
      <c r="I98" s="1"/>
      <c r="J98" s="2"/>
    </row>
    <row r="99" spans="2:10" ht="15.75" thickBot="1" x14ac:dyDescent="0.3">
      <c r="B99" s="1"/>
      <c r="H99" s="2"/>
      <c r="I99" s="89"/>
      <c r="J99" s="92"/>
    </row>
    <row r="100" spans="2:10" ht="15.75" thickBot="1" x14ac:dyDescent="0.3">
      <c r="B100" s="260" t="s">
        <v>234</v>
      </c>
      <c r="C100" s="261"/>
      <c r="D100" s="261"/>
      <c r="E100" s="261"/>
      <c r="F100" s="261"/>
      <c r="G100" s="262">
        <f>PRORRATEO!O77</f>
        <v>162450.71</v>
      </c>
      <c r="H100" s="263"/>
      <c r="I100" s="81"/>
      <c r="J100" s="91"/>
    </row>
    <row r="103" spans="2:10" ht="15.75" thickBot="1" x14ac:dyDescent="0.3"/>
    <row r="104" spans="2:10" ht="15.75" thickBot="1" x14ac:dyDescent="0.3">
      <c r="B104" s="272" t="s">
        <v>233</v>
      </c>
      <c r="C104" s="273"/>
      <c r="D104" s="273"/>
      <c r="E104" s="273"/>
      <c r="F104" s="273"/>
      <c r="G104" s="273"/>
      <c r="H104" s="274"/>
      <c r="I104" s="79"/>
      <c r="J104" s="80"/>
    </row>
    <row r="105" spans="2:10" ht="15.75" thickBot="1" x14ac:dyDescent="0.3">
      <c r="B105" s="264" t="s">
        <v>134</v>
      </c>
      <c r="C105" s="265"/>
      <c r="D105" s="265"/>
      <c r="E105" s="265"/>
      <c r="F105" s="265"/>
      <c r="G105" s="265"/>
      <c r="H105" s="266"/>
      <c r="I105" s="1"/>
      <c r="J105" s="2"/>
    </row>
    <row r="106" spans="2:10" x14ac:dyDescent="0.25">
      <c r="B106" s="79" t="s">
        <v>241</v>
      </c>
      <c r="C106" s="90"/>
      <c r="D106" s="90"/>
      <c r="E106" s="90"/>
      <c r="G106" t="s">
        <v>47</v>
      </c>
      <c r="H106" s="2"/>
      <c r="I106" s="1"/>
      <c r="J106" s="2"/>
    </row>
    <row r="107" spans="2:10" x14ac:dyDescent="0.25">
      <c r="B107" s="84" t="s">
        <v>238</v>
      </c>
      <c r="C107" s="82"/>
      <c r="D107" s="82"/>
      <c r="H107" s="2"/>
      <c r="I107" s="1"/>
      <c r="J107" s="2"/>
    </row>
    <row r="108" spans="2:10" x14ac:dyDescent="0.25">
      <c r="B108" s="85"/>
      <c r="C108" s="86"/>
      <c r="D108" s="86"/>
      <c r="E108" s="87"/>
      <c r="F108" s="87"/>
      <c r="G108" s="87"/>
      <c r="H108" s="88"/>
      <c r="I108" s="1"/>
      <c r="J108" s="2"/>
    </row>
    <row r="109" spans="2:10" x14ac:dyDescent="0.25">
      <c r="B109" s="267" t="s">
        <v>236</v>
      </c>
      <c r="C109" s="268"/>
      <c r="D109" s="268"/>
      <c r="E109" s="268"/>
      <c r="F109" s="268"/>
      <c r="G109" s="268"/>
      <c r="H109" s="269"/>
      <c r="I109" s="1"/>
      <c r="J109" s="2"/>
    </row>
    <row r="110" spans="2:10" x14ac:dyDescent="0.25">
      <c r="B110" s="84"/>
      <c r="C110" s="82"/>
      <c r="D110" s="82"/>
      <c r="H110" s="2"/>
      <c r="I110" s="1"/>
      <c r="J110" s="2"/>
    </row>
    <row r="111" spans="2:10" x14ac:dyDescent="0.25">
      <c r="B111" s="1" t="s">
        <v>232</v>
      </c>
      <c r="E111" t="str">
        <f>PRORRATEO!D78</f>
        <v>FERNANDEZ MONICA (EN JUICIO)</v>
      </c>
      <c r="H111" s="2"/>
      <c r="I111" s="270" t="s">
        <v>237</v>
      </c>
      <c r="J111" s="271"/>
    </row>
    <row r="112" spans="2:10" x14ac:dyDescent="0.25">
      <c r="B112" s="1" t="s">
        <v>231</v>
      </c>
      <c r="C112" s="82">
        <f>PRORRATEO!C78</f>
        <v>72</v>
      </c>
      <c r="D112" s="83" t="s">
        <v>235</v>
      </c>
      <c r="E112" s="82" t="str">
        <f>PRORRATEO!B78</f>
        <v>14-C</v>
      </c>
      <c r="H112" s="2"/>
      <c r="I112" s="1"/>
      <c r="J112" s="2"/>
    </row>
    <row r="113" spans="2:10" x14ac:dyDescent="0.25">
      <c r="B113" s="1"/>
      <c r="H113" s="2"/>
      <c r="I113" s="270"/>
      <c r="J113" s="271"/>
    </row>
    <row r="114" spans="2:10" x14ac:dyDescent="0.25">
      <c r="B114" s="1"/>
      <c r="H114" s="2"/>
      <c r="I114" s="1"/>
      <c r="J114" s="2"/>
    </row>
    <row r="115" spans="2:10" x14ac:dyDescent="0.25">
      <c r="B115" s="1"/>
      <c r="H115" s="2"/>
      <c r="I115" s="1"/>
      <c r="J115" s="2"/>
    </row>
    <row r="116" spans="2:10" ht="15.75" thickBot="1" x14ac:dyDescent="0.3">
      <c r="B116" s="1"/>
      <c r="H116" s="2"/>
      <c r="I116" s="89"/>
      <c r="J116" s="92"/>
    </row>
    <row r="117" spans="2:10" ht="15.75" thickBot="1" x14ac:dyDescent="0.3">
      <c r="B117" s="260" t="s">
        <v>234</v>
      </c>
      <c r="C117" s="261"/>
      <c r="D117" s="261"/>
      <c r="E117" s="261"/>
      <c r="F117" s="261"/>
      <c r="G117" s="262">
        <f>PRORRATEO!O78</f>
        <v>2676237.7200000002</v>
      </c>
      <c r="H117" s="263"/>
      <c r="I117" s="81"/>
      <c r="J117" s="91"/>
    </row>
    <row r="120" spans="2:10" ht="15.75" thickBot="1" x14ac:dyDescent="0.3"/>
    <row r="121" spans="2:10" ht="15.75" thickBot="1" x14ac:dyDescent="0.3">
      <c r="B121" s="272" t="s">
        <v>233</v>
      </c>
      <c r="C121" s="273"/>
      <c r="D121" s="273"/>
      <c r="E121" s="273"/>
      <c r="F121" s="273"/>
      <c r="G121" s="273"/>
      <c r="H121" s="274"/>
      <c r="I121" s="79"/>
      <c r="J121" s="80"/>
    </row>
    <row r="122" spans="2:10" ht="15.75" thickBot="1" x14ac:dyDescent="0.3">
      <c r="B122" s="264" t="s">
        <v>134</v>
      </c>
      <c r="C122" s="265"/>
      <c r="D122" s="265"/>
      <c r="E122" s="265"/>
      <c r="F122" s="265"/>
      <c r="G122" s="265"/>
      <c r="H122" s="266"/>
      <c r="I122" s="1"/>
      <c r="J122" s="2"/>
    </row>
    <row r="123" spans="2:10" x14ac:dyDescent="0.25">
      <c r="B123" s="79" t="s">
        <v>241</v>
      </c>
      <c r="C123" s="90"/>
      <c r="D123" s="90"/>
      <c r="E123" s="90"/>
      <c r="G123" t="s">
        <v>47</v>
      </c>
      <c r="H123" s="2"/>
      <c r="I123" s="1"/>
      <c r="J123" s="2"/>
    </row>
    <row r="124" spans="2:10" x14ac:dyDescent="0.25">
      <c r="B124" s="84" t="s">
        <v>238</v>
      </c>
      <c r="C124" s="82"/>
      <c r="D124" s="82"/>
      <c r="H124" s="2"/>
      <c r="I124" s="1"/>
      <c r="J124" s="2"/>
    </row>
    <row r="125" spans="2:10" x14ac:dyDescent="0.25">
      <c r="B125" s="85"/>
      <c r="C125" s="86"/>
      <c r="D125" s="86"/>
      <c r="E125" s="87"/>
      <c r="F125" s="87"/>
      <c r="G125" s="87"/>
      <c r="H125" s="88"/>
      <c r="I125" s="1"/>
      <c r="J125" s="2"/>
    </row>
    <row r="126" spans="2:10" x14ac:dyDescent="0.25">
      <c r="B126" s="267" t="s">
        <v>236</v>
      </c>
      <c r="C126" s="268"/>
      <c r="D126" s="268"/>
      <c r="E126" s="268"/>
      <c r="F126" s="268"/>
      <c r="G126" s="268"/>
      <c r="H126" s="269"/>
      <c r="I126" s="1"/>
      <c r="J126" s="2"/>
    </row>
    <row r="127" spans="2:10" x14ac:dyDescent="0.25">
      <c r="B127" s="84"/>
      <c r="C127" s="82"/>
      <c r="D127" s="82"/>
      <c r="H127" s="2"/>
      <c r="I127" s="1"/>
      <c r="J127" s="2"/>
    </row>
    <row r="128" spans="2:10" x14ac:dyDescent="0.25">
      <c r="B128" s="1" t="s">
        <v>232</v>
      </c>
      <c r="E128" t="str">
        <f>PRORRATEO!D79</f>
        <v>DE PAVIK 
ANGELA</v>
      </c>
      <c r="H128" s="2"/>
      <c r="I128" s="270" t="s">
        <v>237</v>
      </c>
      <c r="J128" s="271"/>
    </row>
    <row r="129" spans="2:10" x14ac:dyDescent="0.25">
      <c r="B129" s="1" t="s">
        <v>231</v>
      </c>
      <c r="C129" s="82">
        <f>PRORRATEO!C79</f>
        <v>73</v>
      </c>
      <c r="D129" s="83" t="s">
        <v>235</v>
      </c>
      <c r="E129" s="82" t="str">
        <f>PRORRATEO!B79</f>
        <v>14-D</v>
      </c>
      <c r="H129" s="2"/>
      <c r="I129" s="1"/>
      <c r="J129" s="2"/>
    </row>
    <row r="130" spans="2:10" x14ac:dyDescent="0.25">
      <c r="B130" s="1"/>
      <c r="H130" s="2"/>
      <c r="I130" s="270"/>
      <c r="J130" s="271"/>
    </row>
    <row r="131" spans="2:10" x14ac:dyDescent="0.25">
      <c r="B131" s="1"/>
      <c r="H131" s="2"/>
      <c r="I131" s="1"/>
      <c r="J131" s="2"/>
    </row>
    <row r="132" spans="2:10" x14ac:dyDescent="0.25">
      <c r="B132" s="1"/>
      <c r="H132" s="2"/>
      <c r="I132" s="1"/>
      <c r="J132" s="2"/>
    </row>
    <row r="133" spans="2:10" ht="15.75" thickBot="1" x14ac:dyDescent="0.3">
      <c r="B133" s="1"/>
      <c r="H133" s="2"/>
      <c r="I133" s="89"/>
      <c r="J133" s="92"/>
    </row>
    <row r="134" spans="2:10" ht="15.75" thickBot="1" x14ac:dyDescent="0.3">
      <c r="B134" s="260" t="s">
        <v>234</v>
      </c>
      <c r="C134" s="261"/>
      <c r="D134" s="261"/>
      <c r="E134" s="261"/>
      <c r="F134" s="261"/>
      <c r="G134" s="262">
        <f>PRORRATEO!O79</f>
        <v>105975.73</v>
      </c>
      <c r="H134" s="263"/>
      <c r="I134" s="81"/>
      <c r="J134" s="91"/>
    </row>
    <row r="138" spans="2:10" ht="15.75" thickBot="1" x14ac:dyDescent="0.3"/>
    <row r="139" spans="2:10" ht="15.75" thickBot="1" x14ac:dyDescent="0.3">
      <c r="B139" s="272" t="s">
        <v>233</v>
      </c>
      <c r="C139" s="273"/>
      <c r="D139" s="273"/>
      <c r="E139" s="273"/>
      <c r="F139" s="273"/>
      <c r="G139" s="273"/>
      <c r="H139" s="274"/>
      <c r="I139" s="79"/>
      <c r="J139" s="80"/>
    </row>
    <row r="140" spans="2:10" ht="15.75" thickBot="1" x14ac:dyDescent="0.3">
      <c r="B140" s="264" t="s">
        <v>134</v>
      </c>
      <c r="C140" s="265"/>
      <c r="D140" s="265"/>
      <c r="E140" s="265"/>
      <c r="F140" s="265"/>
      <c r="G140" s="265"/>
      <c r="H140" s="266"/>
      <c r="I140" s="1"/>
      <c r="J140" s="2"/>
    </row>
    <row r="141" spans="2:10" x14ac:dyDescent="0.25">
      <c r="B141" s="79" t="s">
        <v>241</v>
      </c>
      <c r="C141" s="90"/>
      <c r="D141" s="90"/>
      <c r="E141" s="90"/>
      <c r="G141" t="s">
        <v>47</v>
      </c>
      <c r="H141" s="2"/>
      <c r="I141" s="1"/>
      <c r="J141" s="2"/>
    </row>
    <row r="142" spans="2:10" x14ac:dyDescent="0.25">
      <c r="B142" s="84" t="s">
        <v>238</v>
      </c>
      <c r="C142" s="82"/>
      <c r="D142" s="82"/>
      <c r="H142" s="2"/>
      <c r="I142" s="1"/>
      <c r="J142" s="2"/>
    </row>
    <row r="143" spans="2:10" x14ac:dyDescent="0.25">
      <c r="B143" s="85"/>
      <c r="C143" s="86"/>
      <c r="D143" s="86"/>
      <c r="E143" s="87"/>
      <c r="F143" s="87"/>
      <c r="G143" s="87"/>
      <c r="H143" s="88"/>
      <c r="I143" s="1"/>
      <c r="J143" s="2"/>
    </row>
    <row r="144" spans="2:10" x14ac:dyDescent="0.25">
      <c r="B144" s="267" t="s">
        <v>236</v>
      </c>
      <c r="C144" s="268"/>
      <c r="D144" s="268"/>
      <c r="E144" s="268"/>
      <c r="F144" s="268"/>
      <c r="G144" s="268"/>
      <c r="H144" s="269"/>
      <c r="I144" s="1"/>
      <c r="J144" s="2"/>
    </row>
    <row r="145" spans="2:10" x14ac:dyDescent="0.25">
      <c r="B145" s="84"/>
      <c r="C145" s="82"/>
      <c r="D145" s="82"/>
      <c r="H145" s="2"/>
      <c r="I145" s="1"/>
      <c r="J145" s="2"/>
    </row>
    <row r="146" spans="2:10" x14ac:dyDescent="0.25">
      <c r="B146" s="1" t="s">
        <v>232</v>
      </c>
      <c r="E146" t="str">
        <f>PRORRATEO!D80</f>
        <v>EMA ALVAREZ</v>
      </c>
      <c r="H146" s="2"/>
      <c r="I146" s="270" t="s">
        <v>237</v>
      </c>
      <c r="J146" s="271"/>
    </row>
    <row r="147" spans="2:10" x14ac:dyDescent="0.25">
      <c r="B147" s="1" t="s">
        <v>231</v>
      </c>
      <c r="C147" s="82">
        <f>PRORRATEO!C80</f>
        <v>74</v>
      </c>
      <c r="D147" s="83" t="s">
        <v>235</v>
      </c>
      <c r="E147" s="82" t="str">
        <f>PRORRATEO!B80</f>
        <v>14-E</v>
      </c>
      <c r="H147" s="2"/>
      <c r="I147" s="1"/>
      <c r="J147" s="2"/>
    </row>
    <row r="148" spans="2:10" x14ac:dyDescent="0.25">
      <c r="B148" s="1"/>
      <c r="H148" s="2"/>
      <c r="I148" s="270"/>
      <c r="J148" s="271"/>
    </row>
    <row r="149" spans="2:10" x14ac:dyDescent="0.25">
      <c r="B149" s="1"/>
      <c r="H149" s="2"/>
      <c r="I149" s="1"/>
      <c r="J149" s="2"/>
    </row>
    <row r="150" spans="2:10" x14ac:dyDescent="0.25">
      <c r="B150" s="1"/>
      <c r="H150" s="2"/>
      <c r="I150" s="1"/>
      <c r="J150" s="2"/>
    </row>
    <row r="151" spans="2:10" ht="15.75" thickBot="1" x14ac:dyDescent="0.3">
      <c r="B151" s="1"/>
      <c r="H151" s="2"/>
      <c r="I151" s="89"/>
      <c r="J151" s="92"/>
    </row>
    <row r="152" spans="2:10" ht="15.75" thickBot="1" x14ac:dyDescent="0.3">
      <c r="B152" s="260" t="s">
        <v>234</v>
      </c>
      <c r="C152" s="261"/>
      <c r="D152" s="261"/>
      <c r="E152" s="261"/>
      <c r="F152" s="261"/>
      <c r="G152" s="262">
        <f>PRORRATEO!O80</f>
        <v>107350.74</v>
      </c>
      <c r="H152" s="263"/>
      <c r="I152" s="81"/>
      <c r="J152" s="91"/>
    </row>
  </sheetData>
  <mergeCells count="63">
    <mergeCell ref="B2:H2"/>
    <mergeCell ref="B3:H3"/>
    <mergeCell ref="B7:H7"/>
    <mergeCell ref="I9:J9"/>
    <mergeCell ref="I11:J11"/>
    <mergeCell ref="B39:H39"/>
    <mergeCell ref="I25:J25"/>
    <mergeCell ref="I27:J27"/>
    <mergeCell ref="B31:F31"/>
    <mergeCell ref="G31:H31"/>
    <mergeCell ref="B18:H18"/>
    <mergeCell ref="B19:H19"/>
    <mergeCell ref="B23:H23"/>
    <mergeCell ref="B34:H34"/>
    <mergeCell ref="B35:H35"/>
    <mergeCell ref="B15:F15"/>
    <mergeCell ref="G15:H15"/>
    <mergeCell ref="B92:H92"/>
    <mergeCell ref="I41:J41"/>
    <mergeCell ref="I43:J43"/>
    <mergeCell ref="I77:J77"/>
    <mergeCell ref="I79:J79"/>
    <mergeCell ref="B83:F83"/>
    <mergeCell ref="G83:H83"/>
    <mergeCell ref="B52:H52"/>
    <mergeCell ref="B53:H53"/>
    <mergeCell ref="B57:H57"/>
    <mergeCell ref="I59:J59"/>
    <mergeCell ref="I61:J61"/>
    <mergeCell ref="B65:F65"/>
    <mergeCell ref="G65:H65"/>
    <mergeCell ref="B47:F47"/>
    <mergeCell ref="G47:H47"/>
    <mergeCell ref="B70:H70"/>
    <mergeCell ref="B71:H71"/>
    <mergeCell ref="B75:H75"/>
    <mergeCell ref="B117:F117"/>
    <mergeCell ref="G117:H117"/>
    <mergeCell ref="B87:H87"/>
    <mergeCell ref="B88:H88"/>
    <mergeCell ref="I94:J94"/>
    <mergeCell ref="I96:J96"/>
    <mergeCell ref="B100:F100"/>
    <mergeCell ref="G100:H100"/>
    <mergeCell ref="B104:H104"/>
    <mergeCell ref="B105:H105"/>
    <mergeCell ref="B109:H109"/>
    <mergeCell ref="I111:J111"/>
    <mergeCell ref="I113:J113"/>
    <mergeCell ref="I146:J146"/>
    <mergeCell ref="I148:J148"/>
    <mergeCell ref="B152:F152"/>
    <mergeCell ref="G152:H152"/>
    <mergeCell ref="B121:H121"/>
    <mergeCell ref="B122:H122"/>
    <mergeCell ref="B126:H126"/>
    <mergeCell ref="B139:H139"/>
    <mergeCell ref="B140:H140"/>
    <mergeCell ref="B144:H144"/>
    <mergeCell ref="I130:J130"/>
    <mergeCell ref="B134:F134"/>
    <mergeCell ref="G134:H134"/>
    <mergeCell ref="I128:J128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13</vt:i4>
      </vt:variant>
    </vt:vector>
  </HeadingPairs>
  <TitlesOfParts>
    <vt:vector size="27" baseType="lpstr">
      <vt:lpstr>RESUMEN</vt:lpstr>
      <vt:lpstr>PRORRATEO</vt:lpstr>
      <vt:lpstr>PRORRATEO (2)</vt:lpstr>
      <vt:lpstr>TOTAL EXPENSAS</vt:lpstr>
      <vt:lpstr>Recibos 1</vt:lpstr>
      <vt:lpstr>Recibos 2</vt:lpstr>
      <vt:lpstr>Recibos 3</vt:lpstr>
      <vt:lpstr>Recibos 4</vt:lpstr>
      <vt:lpstr>Recibos 5</vt:lpstr>
      <vt:lpstr>Recibos 6 </vt:lpstr>
      <vt:lpstr>Recibos 7</vt:lpstr>
      <vt:lpstr>Recibos 8</vt:lpstr>
      <vt:lpstr>Recibos 9</vt:lpstr>
      <vt:lpstr>Recibos 10</vt:lpstr>
      <vt:lpstr>PRORRATEO!Área_de_impresión</vt:lpstr>
      <vt:lpstr>'PRORRATEO (2)'!Área_de_impresión</vt:lpstr>
      <vt:lpstr>'Recibos 1'!Área_de_impresión</vt:lpstr>
      <vt:lpstr>'Recibos 10'!Área_de_impresión</vt:lpstr>
      <vt:lpstr>'Recibos 2'!Área_de_impresión</vt:lpstr>
      <vt:lpstr>'Recibos 3'!Área_de_impresión</vt:lpstr>
      <vt:lpstr>'Recibos 4'!Área_de_impresión</vt:lpstr>
      <vt:lpstr>'Recibos 5'!Área_de_impresión</vt:lpstr>
      <vt:lpstr>'Recibos 6 '!Área_de_impresión</vt:lpstr>
      <vt:lpstr>'Recibos 7'!Área_de_impresión</vt:lpstr>
      <vt:lpstr>'Recibos 8'!Área_de_impresión</vt:lpstr>
      <vt:lpstr>'Recibos 9'!Área_de_impresión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2025-03-02T22:40:28Z</cp:lastPrinted>
  <dcterms:created xsi:type="dcterms:W3CDTF">2023-09-17T12:29:07Z</dcterms:created>
  <dcterms:modified xsi:type="dcterms:W3CDTF">2025-03-02T22:40:32Z</dcterms:modified>
</cp:coreProperties>
</file>