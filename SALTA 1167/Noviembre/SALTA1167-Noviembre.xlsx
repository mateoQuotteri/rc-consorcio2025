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LTA 1167\Noviembre\"/>
    </mc:Choice>
  </mc:AlternateContent>
  <xr:revisionPtr revIDLastSave="0" documentId="13_ncr:1_{B31B0D55-F426-4736-A94A-0C4199256F51}" xr6:coauthVersionLast="47" xr6:coauthVersionMax="47" xr10:uidLastSave="{00000000-0000-0000-0000-000000000000}"/>
  <bookViews>
    <workbookView xWindow="-120" yWindow="-120" windowWidth="20730" windowHeight="11160" tabRatio="850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EDESUR!$B$3:$J$35</definedName>
    <definedName name="_xlnm.Print_Area" localSheetId="1">PRORRATEO!$A$1:$O$42</definedName>
    <definedName name="_xlnm.Print_Area" localSheetId="0">RESUMEN!$A$1:$E$97</definedName>
  </definedNames>
  <calcPr calcId="181029"/>
</workbook>
</file>

<file path=xl/calcChain.xml><?xml version="1.0" encoding="utf-8"?>
<calcChain xmlns="http://schemas.openxmlformats.org/spreadsheetml/2006/main">
  <c r="G20" i="2" l="1"/>
  <c r="G31" i="2"/>
  <c r="G12" i="2"/>
  <c r="D49" i="1"/>
  <c r="E42" i="1"/>
  <c r="E24" i="1"/>
  <c r="E34" i="1"/>
  <c r="B79" i="1"/>
  <c r="G11" i="2"/>
  <c r="G14" i="2"/>
  <c r="G23" i="2"/>
  <c r="G17" i="2"/>
  <c r="G19" i="2"/>
  <c r="G21" i="2"/>
  <c r="B85" i="1" l="1"/>
  <c r="E21" i="3"/>
  <c r="E33" i="3" s="1"/>
  <c r="G30" i="3"/>
  <c r="G33" i="3" s="1"/>
  <c r="E30" i="3"/>
  <c r="I30" i="3" s="1"/>
  <c r="G21" i="3"/>
  <c r="G22" i="2"/>
  <c r="G15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11" i="2"/>
  <c r="L11" i="2"/>
  <c r="G29" i="2"/>
  <c r="G32" i="2"/>
  <c r="G33" i="2"/>
  <c r="G13" i="2"/>
  <c r="G24" i="2"/>
  <c r="G18" i="2"/>
  <c r="G27" i="2"/>
  <c r="G28" i="2"/>
  <c r="G26" i="2"/>
  <c r="G16" i="2"/>
  <c r="E46" i="1"/>
  <c r="I22" i="3"/>
  <c r="J28" i="2" s="1"/>
  <c r="J22" i="2"/>
  <c r="J12" i="2"/>
  <c r="J13" i="2"/>
  <c r="J14" i="2"/>
  <c r="J15" i="2"/>
  <c r="J16" i="2"/>
  <c r="J17" i="2"/>
  <c r="J18" i="2"/>
  <c r="J19" i="2"/>
  <c r="J20" i="2"/>
  <c r="J21" i="2"/>
  <c r="J23" i="2"/>
  <c r="J24" i="2"/>
  <c r="J25" i="2"/>
  <c r="J11" i="2"/>
  <c r="I23" i="3"/>
  <c r="J29" i="2" s="1"/>
  <c r="I24" i="3"/>
  <c r="J30" i="2" s="1"/>
  <c r="I25" i="3"/>
  <c r="J31" i="2" s="1"/>
  <c r="I26" i="3"/>
  <c r="J32" i="2" s="1"/>
  <c r="I27" i="3"/>
  <c r="J33" i="2" s="1"/>
  <c r="I28" i="3"/>
  <c r="I29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1" i="3"/>
  <c r="J27" i="2" s="1"/>
  <c r="I5" i="3"/>
  <c r="I31" i="3"/>
  <c r="I33" i="3" l="1"/>
  <c r="J26" i="2"/>
  <c r="L29" i="2" l="1"/>
  <c r="L30" i="2"/>
  <c r="L31" i="2"/>
  <c r="L32" i="2"/>
  <c r="L33" i="2"/>
  <c r="H29" i="2"/>
  <c r="I29" i="2" s="1"/>
  <c r="H30" i="2"/>
  <c r="I30" i="2" s="1"/>
  <c r="H31" i="2"/>
  <c r="I31" i="2" s="1"/>
  <c r="H32" i="2"/>
  <c r="I32" i="2" s="1"/>
  <c r="H33" i="2"/>
  <c r="I33" i="2" s="1"/>
  <c r="E34" i="2"/>
  <c r="M32" i="2" l="1"/>
  <c r="O32" i="2" s="1"/>
  <c r="M33" i="2"/>
  <c r="O33" i="2" s="1"/>
  <c r="M31" i="2"/>
  <c r="O31" i="2" s="1"/>
  <c r="M30" i="2"/>
  <c r="O30" i="2" s="1"/>
  <c r="E50" i="1" l="1"/>
  <c r="E27" i="1"/>
  <c r="E54" i="1" l="1"/>
  <c r="G25" i="2"/>
  <c r="L12" i="2" l="1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C37" i="2" l="1"/>
  <c r="H22" i="2" l="1"/>
  <c r="E62" i="1" l="1"/>
  <c r="E67" i="1" s="1"/>
  <c r="B71" i="1" s="1"/>
  <c r="B84" i="1" l="1"/>
  <c r="B88" i="1" s="1"/>
  <c r="B96" i="1"/>
  <c r="B77" i="1" l="1"/>
  <c r="H25" i="2" l="1"/>
  <c r="M10" i="2" l="1"/>
  <c r="P12" i="2" l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M29" i="2" s="1"/>
  <c r="O29" i="2" s="1"/>
  <c r="G34" i="2" l="1"/>
  <c r="B78" i="1" s="1"/>
  <c r="F34" i="2"/>
  <c r="H12" i="2" l="1"/>
  <c r="H13" i="2"/>
  <c r="H14" i="2"/>
  <c r="H15" i="2"/>
  <c r="H16" i="2"/>
  <c r="H17" i="2"/>
  <c r="H18" i="2"/>
  <c r="H19" i="2"/>
  <c r="H20" i="2"/>
  <c r="H21" i="2"/>
  <c r="H23" i="2"/>
  <c r="H24" i="2"/>
  <c r="H26" i="2"/>
  <c r="H27" i="2"/>
  <c r="H28" i="2"/>
  <c r="H11" i="2"/>
  <c r="B72" i="1" l="1"/>
  <c r="H34" i="2"/>
  <c r="I28" i="2"/>
  <c r="I16" i="2"/>
  <c r="I27" i="2"/>
  <c r="I23" i="2"/>
  <c r="I19" i="2"/>
  <c r="I15" i="2"/>
  <c r="I24" i="2"/>
  <c r="I12" i="2"/>
  <c r="I26" i="2"/>
  <c r="I22" i="2"/>
  <c r="I18" i="2"/>
  <c r="I14" i="2"/>
  <c r="I20" i="2"/>
  <c r="I25" i="2"/>
  <c r="I21" i="2"/>
  <c r="I17" i="2"/>
  <c r="I13" i="2"/>
  <c r="I11" i="2"/>
  <c r="J34" i="2"/>
  <c r="I34" i="2" l="1"/>
  <c r="M12" i="2" l="1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11" i="2"/>
  <c r="M34" i="2" l="1"/>
  <c r="O28" i="2"/>
  <c r="O24" i="2"/>
  <c r="O20" i="2"/>
  <c r="O16" i="2"/>
  <c r="O12" i="2"/>
  <c r="O11" i="2"/>
  <c r="O27" i="2"/>
  <c r="O23" i="2"/>
  <c r="O19" i="2"/>
  <c r="O15" i="2"/>
  <c r="O26" i="2"/>
  <c r="O22" i="2"/>
  <c r="O18" i="2"/>
  <c r="O14" i="2"/>
  <c r="O25" i="2"/>
  <c r="O21" i="2"/>
  <c r="O17" i="2"/>
  <c r="O13" i="2"/>
  <c r="N19" i="2"/>
  <c r="N26" i="2"/>
  <c r="N22" i="2"/>
  <c r="N18" i="2"/>
  <c r="N14" i="2"/>
  <c r="N11" i="2"/>
  <c r="N23" i="2"/>
  <c r="N25" i="2"/>
  <c r="N21" i="2"/>
  <c r="N17" i="2"/>
  <c r="N13" i="2"/>
  <c r="N27" i="2"/>
  <c r="N15" i="2"/>
  <c r="N28" i="2"/>
  <c r="N24" i="2"/>
  <c r="N20" i="2"/>
  <c r="N16" i="2"/>
  <c r="N12" i="2"/>
  <c r="K34" i="2"/>
  <c r="O34" i="2" l="1"/>
  <c r="B70" i="1"/>
  <c r="B76" i="1" s="1"/>
  <c r="B81" i="1" s="1"/>
  <c r="B69" i="1" l="1"/>
  <c r="L34" i="2" l="1"/>
  <c r="N34" i="2" l="1"/>
</calcChain>
</file>

<file path=xl/sharedStrings.xml><?xml version="1.0" encoding="utf-8"?>
<sst xmlns="http://schemas.openxmlformats.org/spreadsheetml/2006/main" count="184" uniqueCount="142">
  <si>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</si>
  <si>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</si>
  <si>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</si>
  <si>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</si>
  <si>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</si>
  <si>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</si>
  <si>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</si>
  <si>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</si>
  <si>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</si>
  <si>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</si>
  <si>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</si>
  <si>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</si>
  <si>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</si>
  <si>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</si>
  <si>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</si>
  <si>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</si>
  <si>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</si>
  <si>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</si>
  <si>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</si>
  <si>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</si>
  <si>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</si>
  <si>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</si>
  <si>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</si>
  <si>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</si>
  <si>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</si>
  <si>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</si>
  <si>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CONSORCIO DE PROPIETARIOS DEL EDIFICIO CALLE YRIGOYEN 9730</t>
  </si>
  <si>
    <t>Pagos sin identificar</t>
  </si>
  <si>
    <t>Mantenimiento de cuenta</t>
  </si>
  <si>
    <t>Honorarios administracion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</si>
  <si>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</si>
  <si>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</si>
  <si>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</si>
  <si>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</si>
  <si>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</si>
  <si>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</si>
  <si>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</si>
  <si>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</si>
  <si>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</si>
  <si>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</si>
  <si>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</si>
  <si>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</si>
  <si>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</si>
  <si>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</si>
  <si>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</si>
  <si>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</si>
  <si>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</si>
  <si>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</si>
  <si>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</si>
  <si>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</si>
  <si>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</si>
  <si>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</si>
  <si>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</si>
  <si>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</si>
  <si>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</si>
  <si>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</si>
  <si>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</si>
  <si>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</si>
  <si>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</si>
  <si>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</si>
  <si>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</si>
  <si>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</si>
  <si>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</si>
  <si>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</si>
  <si>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</si>
  <si>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</si>
  <si>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</si>
  <si>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</si>
  <si>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</si>
  <si>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</si>
  <si>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</si>
  <si>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</si>
  <si>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</si>
  <si>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Cristian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</si>
  <si>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</si>
  <si>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</si>
  <si>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</si>
  <si>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</si>
  <si>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</si>
  <si>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</si>
  <si>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Federacion patronal  Seguro obligatorio de consorcio - Poliza nro. 2223190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</si>
  <si>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</si>
  <si>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</si>
  <si>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</si>
  <si>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</si>
  <si>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</si>
  <si>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</si>
  <si>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</si>
  <si>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</si>
  <si>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</si>
  <si>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</si>
  <si>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</si>
  <si>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Total Edesur x Depto</t>
  </si>
  <si>
    <t>Bonificado x EDESUR</t>
  </si>
  <si>
    <t>SALDO a PAGAR</t>
  </si>
  <si>
    <t>Daniel Leiva</t>
  </si>
  <si>
    <t>Leandro Gonzalez</t>
  </si>
  <si>
    <t xml:space="preserve">Gaston Miranda </t>
  </si>
  <si>
    <t>Antonella</t>
  </si>
  <si>
    <t>Martina Belen Carbone</t>
  </si>
  <si>
    <t>¡IMPORTANTE!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</si>
  <si>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</si>
  <si>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</si>
  <si>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</si>
  <si>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</si>
  <si>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</si>
  <si>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</si>
  <si>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</si>
  <si>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</si>
  <si>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</si>
  <si>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</si>
  <si>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</si>
  <si>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</si>
  <si>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</si>
  <si>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</si>
  <si>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</si>
  <si>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</si>
  <si>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</si>
  <si>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</si>
  <si>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</si>
  <si>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</si>
  <si>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</si>
  <si>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VTO 15/12</t>
  </si>
  <si>
    <t>PERÍODO: NOVIEMBRE</t>
  </si>
  <si>
    <t>Transf 18/11</t>
  </si>
  <si>
    <t>Transf 13/11</t>
  </si>
  <si>
    <t>Full Clean - Servicio de limpieza</t>
  </si>
  <si>
    <t>Full Clean - Servicio de limpieza - Mes anterior</t>
  </si>
  <si>
    <t>Transf 07/11</t>
  </si>
  <si>
    <t>Service de blindez por cierre defectuoso - Cerrajeria CITTA</t>
  </si>
  <si>
    <t>Transf 27/11</t>
  </si>
  <si>
    <t>Transf 03/11</t>
  </si>
  <si>
    <t>Indugar SRL - Compra de pinturas trabajo en medianera</t>
  </si>
  <si>
    <t>Transf 28/11</t>
  </si>
  <si>
    <t>Gastos bancarios</t>
  </si>
  <si>
    <t>Bonificacion apertura de cuenta bancaria (pago de servicios)</t>
  </si>
  <si>
    <t>Efectivo</t>
  </si>
  <si>
    <t>GF elevadores - Mantenimiento de ascensores - Mes de septiembre</t>
  </si>
  <si>
    <t>GF elevadores - Mantenimiento de ascensores - Mes de Octubre</t>
  </si>
  <si>
    <t>GF elevadores - Mantenimiento de ascensores - Mes de Noviembre</t>
  </si>
  <si>
    <t xml:space="preserve">Cambios de porteros SUM </t>
  </si>
  <si>
    <t>Transf 2/11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</si>
</sst>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7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0" fillId="4" borderId="1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3" fillId="0" borderId="1" xfId="1" applyFont="1" applyBorder="1"/>
    <xf numFmtId="44" fontId="17" fillId="0" borderId="26" xfId="1" applyFont="1" applyBorder="1"/>
    <xf numFmtId="44" fontId="17" fillId="0" borderId="6" xfId="1" applyFont="1" applyBorder="1"/>
    <xf numFmtId="44" fontId="17" fillId="0" borderId="29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8" xfId="1" applyFont="1" applyBorder="1"/>
    <xf numFmtId="0" fontId="13" fillId="4" borderId="27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44" fontId="12" fillId="8" borderId="8" xfId="1" applyFont="1" applyFill="1" applyBorder="1" applyAlignment="1">
      <alignment vertical="center"/>
    </xf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8" fontId="6" fillId="4" borderId="22" xfId="0" applyNumberFormat="1" applyFont="1" applyFill="1" applyBorder="1"/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30" xfId="0" applyFont="1" applyFill="1" applyBorder="1" applyAlignment="1">
      <alignment horizontal="left" vertical="center" wrapText="1"/>
    </xf>
    <xf numFmtId="44" fontId="2" fillId="10" borderId="27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44" fontId="5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5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5" fillId="4" borderId="13" xfId="1" applyFont="1" applyFill="1" applyBorder="1"/>
    <xf numFmtId="44" fontId="3" fillId="2" borderId="3" xfId="1" applyFont="1" applyFill="1" applyBorder="1"/>
    <xf numFmtId="0" fontId="0" fillId="0" borderId="7" xfId="0" applyBorder="1" applyAlignment="1">
      <alignment horizontal="left" vertical="center" wrapText="1"/>
    </xf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0" fontId="0" fillId="0" borderId="6" xfId="0" applyBorder="1" applyAlignment="1">
      <alignment horizontal="left" vertical="center"/>
    </xf>
    <xf numFmtId="165" fontId="13" fillId="0" borderId="6" xfId="1" applyNumberFormat="1" applyFont="1" applyBorder="1"/>
    <xf numFmtId="8" fontId="6" fillId="4" borderId="6" xfId="0" applyNumberFormat="1" applyFont="1" applyFill="1" applyBorder="1"/>
    <xf numFmtId="8" fontId="10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0" fontId="0" fillId="0" borderId="7" xfId="0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3" fillId="0" borderId="4" xfId="1" applyFont="1" applyBorder="1" applyAlignment="1">
      <alignment wrapText="1"/>
    </xf>
    <xf numFmtId="44" fontId="5" fillId="4" borderId="3" xfId="1" applyFont="1" applyFill="1" applyBorder="1"/>
    <xf numFmtId="8" fontId="5" fillId="4" borderId="1" xfId="1" applyNumberFormat="1" applyFont="1" applyFill="1" applyBorder="1"/>
    <xf numFmtId="44" fontId="9" fillId="4" borderId="1" xfId="1" applyFont="1" applyFill="1" applyBorder="1"/>
    <xf numFmtId="44" fontId="9" fillId="8" borderId="1" xfId="1" applyFont="1" applyFill="1" applyBorder="1"/>
    <xf numFmtId="44" fontId="3" fillId="0" borderId="1" xfId="1" applyFont="1" applyBorder="1" applyAlignment="1">
      <alignment wrapText="1"/>
    </xf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8" fontId="4" fillId="2" borderId="6" xfId="0" applyNumberFormat="1" applyFont="1" applyFill="1" applyBorder="1" applyAlignment="1">
      <alignment horizontal="right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8" fontId="2" fillId="3" borderId="0" xfId="0" applyNumberFormat="1" applyFont="1" applyFill="1" applyAlignment="1">
      <alignment horizontal="center"/>
    </xf>
    <xf numFmtId="44" fontId="2" fillId="3" borderId="0" xfId="1" applyFont="1" applyFill="1" applyAlignment="1">
      <alignment horizontal="center"/>
    </xf>
    <xf numFmtId="166" fontId="0" fillId="3" borderId="0" xfId="1" applyNumberFormat="1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8" fontId="0" fillId="3" borderId="0" xfId="0" applyNumberFormat="1" applyFill="1" applyAlignment="1">
      <alignment horizontal="center"/>
    </xf>
    <xf numFmtId="164" fontId="25" fillId="0" borderId="1" xfId="2" applyFont="1" applyBorder="1" applyAlignment="1">
      <alignment horizontal="center"/>
    </xf>
    <xf numFmtId="164" fontId="7" fillId="0" borderId="1" xfId="2" applyFont="1" applyBorder="1" applyAlignment="1">
      <alignment horizontal="center"/>
    </xf>
    <xf numFmtId="44" fontId="8" fillId="6" borderId="2" xfId="1" applyFont="1" applyFill="1" applyBorder="1"/>
    <xf numFmtId="44" fontId="17" fillId="2" borderId="2" xfId="1" applyFont="1" applyFill="1" applyBorder="1"/>
    <xf numFmtId="44" fontId="4" fillId="2" borderId="1" xfId="1" applyFont="1" applyFill="1" applyBorder="1" applyAlignment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45" workbookViewId="0">
      <selection activeCell="E54" sqref="E54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4"/>
      <c r="B1" s="53" t="s">
        <v>78</v>
      </c>
      <c r="C1" s="53"/>
      <c r="D1" s="53"/>
      <c r="E1" s="54"/>
    </row>
    <row r="2" spans="1:5" x14ac:dyDescent="0.25">
      <c r="A2" s="15"/>
      <c r="B2" s="55" t="s">
        <v>14</v>
      </c>
      <c r="C2" s="55"/>
      <c r="D2" s="55"/>
      <c r="E2" s="56"/>
    </row>
    <row r="3" spans="1:5" ht="70.5" customHeight="1" thickBot="1" x14ac:dyDescent="0.3">
      <c r="A3" s="15"/>
      <c r="B3" s="169" t="s">
        <v>81</v>
      </c>
      <c r="C3" s="169"/>
      <c r="D3" s="169"/>
      <c r="E3" s="170"/>
    </row>
    <row r="4" spans="1:5" ht="15.75" thickBot="1" x14ac:dyDescent="0.3">
      <c r="A4" s="18" t="s">
        <v>0</v>
      </c>
      <c r="B4" s="73" t="s">
        <v>22</v>
      </c>
      <c r="C4" s="19"/>
      <c r="D4" s="19"/>
      <c r="E4" s="20"/>
    </row>
    <row r="5" spans="1:5" ht="15.75" thickBot="1" x14ac:dyDescent="0.3">
      <c r="A5" s="15" t="s">
        <v>79</v>
      </c>
      <c r="B5" s="19" t="s">
        <v>123</v>
      </c>
      <c r="C5" s="16"/>
      <c r="D5" s="55" t="s">
        <v>15</v>
      </c>
      <c r="E5" s="17"/>
    </row>
    <row r="6" spans="1:5" ht="15.75" thickBot="1" x14ac:dyDescent="0.3">
      <c r="A6" s="18" t="s">
        <v>26</v>
      </c>
      <c r="B6" s="19"/>
      <c r="C6" s="19"/>
      <c r="D6" s="19" t="s">
        <v>16</v>
      </c>
      <c r="E6" s="20"/>
    </row>
    <row r="8" spans="1:5" x14ac:dyDescent="0.25">
      <c r="B8" s="172" t="s">
        <v>122</v>
      </c>
      <c r="C8" s="172"/>
    </row>
    <row r="9" spans="1:5" x14ac:dyDescent="0.25">
      <c r="B9" s="172"/>
      <c r="C9" s="172"/>
    </row>
    <row r="10" spans="1:5" x14ac:dyDescent="0.25">
      <c r="B10" s="172"/>
      <c r="C10" s="172"/>
    </row>
    <row r="12" spans="1:5" hidden="1" x14ac:dyDescent="0.25"/>
    <row r="13" spans="1:5" ht="15" customHeight="1" x14ac:dyDescent="0.25">
      <c r="A13" s="171" t="s">
        <v>108</v>
      </c>
      <c r="B13" s="171"/>
      <c r="C13" s="171"/>
      <c r="D13" s="171"/>
      <c r="E13" s="171"/>
    </row>
    <row r="14" spans="1:5" ht="15" customHeight="1" x14ac:dyDescent="0.25">
      <c r="A14" s="171"/>
      <c r="B14" s="171"/>
      <c r="C14" s="171"/>
      <c r="D14" s="171"/>
      <c r="E14" s="171"/>
    </row>
    <row r="15" spans="1:5" ht="15" customHeight="1" x14ac:dyDescent="0.25">
      <c r="A15" s="171"/>
      <c r="B15" s="171"/>
      <c r="C15" s="171"/>
      <c r="D15" s="171"/>
      <c r="E15" s="171"/>
    </row>
    <row r="16" spans="1:5" ht="53.25" customHeight="1" x14ac:dyDescent="0.25">
      <c r="A16" s="171"/>
      <c r="B16" s="171"/>
      <c r="C16" s="171"/>
      <c r="D16" s="171"/>
      <c r="E16" s="171"/>
    </row>
    <row r="17" spans="1:8" ht="14.25" customHeight="1" thickBot="1" x14ac:dyDescent="0.3"/>
    <row r="18" spans="1:8" hidden="1" x14ac:dyDescent="0.25">
      <c r="A18" s="2"/>
    </row>
    <row r="19" spans="1:8" ht="15.75" hidden="1" thickBot="1" x14ac:dyDescent="0.3"/>
    <row r="20" spans="1:8" x14ac:dyDescent="0.25">
      <c r="A20" s="10" t="s">
        <v>111</v>
      </c>
      <c r="B20" s="11"/>
      <c r="C20" s="12"/>
      <c r="D20" s="8"/>
      <c r="E20" s="13"/>
    </row>
    <row r="21" spans="1:8" x14ac:dyDescent="0.25">
      <c r="A21" s="26" t="s">
        <v>82</v>
      </c>
      <c r="B21" s="26"/>
      <c r="C21" s="26"/>
      <c r="D21" s="121"/>
      <c r="E21" s="106"/>
    </row>
    <row r="22" spans="1:8" ht="15" customHeight="1" x14ac:dyDescent="0.25">
      <c r="A22" s="165" t="s">
        <v>126</v>
      </c>
      <c r="B22" s="166"/>
      <c r="C22" s="40"/>
      <c r="D22" s="122">
        <v>431286.18</v>
      </c>
      <c r="E22" s="135" t="s">
        <v>128</v>
      </c>
      <c r="H22" s="95"/>
    </row>
    <row r="23" spans="1:8" ht="15" customHeight="1" x14ac:dyDescent="0.25">
      <c r="A23" s="165" t="s">
        <v>127</v>
      </c>
      <c r="B23" s="166"/>
      <c r="C23" s="40"/>
      <c r="D23" s="122">
        <v>431286.18</v>
      </c>
      <c r="E23" s="115" t="s">
        <v>131</v>
      </c>
      <c r="H23" s="95"/>
    </row>
    <row r="24" spans="1:8" x14ac:dyDescent="0.25">
      <c r="A24" s="22" t="s">
        <v>9</v>
      </c>
      <c r="B24" s="22"/>
      <c r="C24" s="22"/>
      <c r="D24" s="123"/>
      <c r="E24" s="137">
        <f>SUM(D22:D23)</f>
        <v>862572.36</v>
      </c>
    </row>
    <row r="25" spans="1:8" x14ac:dyDescent="0.25">
      <c r="A25" s="26" t="s">
        <v>18</v>
      </c>
      <c r="B25" s="22"/>
      <c r="C25" s="22"/>
      <c r="D25" s="124"/>
      <c r="E25" s="136"/>
    </row>
    <row r="26" spans="1:8" ht="38.25" customHeight="1" x14ac:dyDescent="0.25">
      <c r="A26" s="173" t="s">
        <v>80</v>
      </c>
      <c r="B26" s="174"/>
      <c r="C26" s="42"/>
      <c r="D26" s="164">
        <v>66146</v>
      </c>
      <c r="E26" s="108" t="s">
        <v>136</v>
      </c>
    </row>
    <row r="27" spans="1:8" x14ac:dyDescent="0.25">
      <c r="A27" s="22" t="s">
        <v>1</v>
      </c>
      <c r="B27" s="22"/>
      <c r="C27" s="22"/>
      <c r="D27" s="123"/>
      <c r="E27" s="107">
        <f>SUM(D26:D26)</f>
        <v>66146</v>
      </c>
    </row>
    <row r="28" spans="1:8" x14ac:dyDescent="0.25">
      <c r="A28" s="26" t="s">
        <v>10</v>
      </c>
      <c r="B28" s="110"/>
      <c r="C28" s="110"/>
      <c r="D28" s="125"/>
      <c r="E28" s="111"/>
    </row>
    <row r="29" spans="1:8" ht="14.25" customHeight="1" x14ac:dyDescent="0.25">
      <c r="A29" s="5" t="s">
        <v>70</v>
      </c>
      <c r="B29" s="5"/>
      <c r="C29" s="5"/>
      <c r="D29" s="116">
        <v>0</v>
      </c>
      <c r="E29" s="115"/>
    </row>
    <row r="30" spans="1:8" x14ac:dyDescent="0.25">
      <c r="A30" s="5" t="s">
        <v>69</v>
      </c>
      <c r="B30" s="5"/>
      <c r="C30" s="5"/>
      <c r="D30" s="116">
        <v>5457.15</v>
      </c>
      <c r="E30" s="115" t="s">
        <v>131</v>
      </c>
    </row>
    <row r="31" spans="1:8" x14ac:dyDescent="0.25">
      <c r="A31" s="5" t="s">
        <v>69</v>
      </c>
      <c r="B31" s="132"/>
      <c r="C31" s="5"/>
      <c r="D31" s="116">
        <v>321318.45</v>
      </c>
      <c r="E31" s="115" t="s">
        <v>131</v>
      </c>
    </row>
    <row r="32" spans="1:8" x14ac:dyDescent="0.25">
      <c r="A32" s="173" t="s">
        <v>71</v>
      </c>
      <c r="B32" s="174"/>
      <c r="C32" s="5"/>
      <c r="D32" s="116">
        <v>242436.28</v>
      </c>
      <c r="E32" s="115" t="s">
        <v>131</v>
      </c>
    </row>
    <row r="33" spans="1:5" x14ac:dyDescent="0.25">
      <c r="A33" s="118" t="s">
        <v>83</v>
      </c>
      <c r="B33" s="114"/>
      <c r="C33" s="5"/>
      <c r="D33" s="116">
        <v>20718.39</v>
      </c>
      <c r="E33" s="115" t="s">
        <v>131</v>
      </c>
    </row>
    <row r="34" spans="1:5" ht="15.75" thickBot="1" x14ac:dyDescent="0.3">
      <c r="A34" s="22" t="s">
        <v>2</v>
      </c>
      <c r="B34" s="22"/>
      <c r="C34" s="22"/>
      <c r="D34" s="126"/>
      <c r="E34" s="109">
        <f>SUM(D29:D33)</f>
        <v>589930.27</v>
      </c>
    </row>
    <row r="35" spans="1:5" ht="15" customHeight="1" thickBot="1" x14ac:dyDescent="0.3">
      <c r="A35" s="26"/>
      <c r="B35" s="22"/>
      <c r="C35" s="22"/>
      <c r="D35" s="123"/>
      <c r="E35" s="112"/>
    </row>
    <row r="36" spans="1:5" ht="31.5" customHeight="1" x14ac:dyDescent="0.25">
      <c r="A36" s="165" t="s">
        <v>137</v>
      </c>
      <c r="B36" s="166"/>
      <c r="C36" s="5"/>
      <c r="D36" s="116">
        <v>75000</v>
      </c>
      <c r="E36" s="117" t="s">
        <v>125</v>
      </c>
    </row>
    <row r="37" spans="1:5" ht="31.5" customHeight="1" x14ac:dyDescent="0.25">
      <c r="A37" s="165" t="s">
        <v>138</v>
      </c>
      <c r="B37" s="166"/>
      <c r="C37" s="5"/>
      <c r="D37" s="116">
        <v>75000</v>
      </c>
      <c r="E37" s="117" t="s">
        <v>130</v>
      </c>
    </row>
    <row r="38" spans="1:5" ht="31.5" customHeight="1" x14ac:dyDescent="0.25">
      <c r="A38" s="165" t="s">
        <v>139</v>
      </c>
      <c r="B38" s="166"/>
      <c r="C38" s="5"/>
      <c r="D38" s="116">
        <v>75000</v>
      </c>
      <c r="E38" s="117" t="s">
        <v>130</v>
      </c>
    </row>
    <row r="39" spans="1:5" ht="31.5" customHeight="1" x14ac:dyDescent="0.25">
      <c r="A39" s="133" t="s">
        <v>140</v>
      </c>
      <c r="B39" s="134"/>
      <c r="C39" s="5"/>
      <c r="D39" s="80">
        <v>40000</v>
      </c>
      <c r="E39" s="117" t="s">
        <v>141</v>
      </c>
    </row>
    <row r="40" spans="1:5" ht="31.5" customHeight="1" x14ac:dyDescent="0.25">
      <c r="A40" s="165" t="s">
        <v>132</v>
      </c>
      <c r="B40" s="166"/>
      <c r="C40" s="5"/>
      <c r="D40" s="80">
        <v>779802</v>
      </c>
      <c r="E40" s="117" t="s">
        <v>133</v>
      </c>
    </row>
    <row r="41" spans="1:5" ht="19.5" customHeight="1" x14ac:dyDescent="0.25">
      <c r="A41" s="165" t="s">
        <v>129</v>
      </c>
      <c r="B41" s="166"/>
      <c r="C41" s="5"/>
      <c r="D41" s="80">
        <v>90000</v>
      </c>
      <c r="E41" s="117" t="s">
        <v>124</v>
      </c>
    </row>
    <row r="42" spans="1:5" x14ac:dyDescent="0.25">
      <c r="A42" s="22" t="s">
        <v>6</v>
      </c>
      <c r="B42" s="26"/>
      <c r="C42" s="26"/>
      <c r="D42" s="25"/>
      <c r="E42" s="107">
        <f>SUM(D36:D41)</f>
        <v>1134802</v>
      </c>
    </row>
    <row r="43" spans="1:5" x14ac:dyDescent="0.25">
      <c r="A43" s="26" t="s">
        <v>11</v>
      </c>
      <c r="B43" s="26"/>
      <c r="C43" s="26"/>
      <c r="D43" s="121"/>
      <c r="E43" s="106"/>
    </row>
    <row r="44" spans="1:5" ht="15.75" customHeight="1" x14ac:dyDescent="0.25">
      <c r="A44" s="165" t="s">
        <v>29</v>
      </c>
      <c r="B44" s="166"/>
      <c r="C44" s="40"/>
      <c r="D44" s="122">
        <v>140000</v>
      </c>
      <c r="E44" s="140"/>
    </row>
    <row r="45" spans="1:5" ht="15.75" customHeight="1" x14ac:dyDescent="0.25">
      <c r="A45" s="133"/>
      <c r="B45" s="134"/>
      <c r="C45" s="40"/>
      <c r="D45" s="151"/>
      <c r="E45" s="140"/>
    </row>
    <row r="46" spans="1:5" x14ac:dyDescent="0.25">
      <c r="A46" s="22" t="s">
        <v>9</v>
      </c>
      <c r="B46" s="22"/>
      <c r="C46" s="22"/>
      <c r="D46" s="123"/>
      <c r="E46" s="137">
        <f>SUM(D44:D45)</f>
        <v>140000</v>
      </c>
    </row>
    <row r="47" spans="1:5" x14ac:dyDescent="0.25">
      <c r="A47" s="26" t="s">
        <v>8</v>
      </c>
      <c r="B47" s="51"/>
      <c r="C47" s="22"/>
      <c r="D47" s="120"/>
      <c r="E47" s="107"/>
    </row>
    <row r="48" spans="1:5" x14ac:dyDescent="0.25">
      <c r="A48" s="5" t="s">
        <v>28</v>
      </c>
      <c r="B48" s="5"/>
      <c r="C48" s="5"/>
      <c r="D48" s="116"/>
      <c r="E48" s="113"/>
    </row>
    <row r="49" spans="1:8" x14ac:dyDescent="0.25">
      <c r="A49" s="5" t="s">
        <v>134</v>
      </c>
      <c r="B49" s="5"/>
      <c r="C49" s="5"/>
      <c r="D49" s="116">
        <f>35049.2-9-40</f>
        <v>35000.199999999997</v>
      </c>
      <c r="E49" s="30"/>
    </row>
    <row r="50" spans="1:8" x14ac:dyDescent="0.25">
      <c r="A50" s="39" t="s">
        <v>9</v>
      </c>
      <c r="B50" s="39"/>
      <c r="C50" s="39"/>
      <c r="D50" s="82"/>
      <c r="E50" s="138">
        <f>SUM(D48:D49)</f>
        <v>35000.199999999997</v>
      </c>
    </row>
    <row r="51" spans="1:8" x14ac:dyDescent="0.25">
      <c r="A51" s="5"/>
      <c r="B51" s="5"/>
      <c r="C51" s="5"/>
      <c r="D51" s="77"/>
      <c r="E51" s="83"/>
    </row>
    <row r="52" spans="1:8" x14ac:dyDescent="0.25">
      <c r="A52" s="23" t="s">
        <v>107</v>
      </c>
      <c r="B52" s="23"/>
      <c r="C52" s="23"/>
      <c r="D52" s="84"/>
      <c r="E52" s="139"/>
    </row>
    <row r="53" spans="1:8" ht="15.75" thickBot="1" x14ac:dyDescent="0.3">
      <c r="A53" s="1"/>
      <c r="D53" s="85"/>
      <c r="E53" s="86"/>
      <c r="F53" s="32"/>
    </row>
    <row r="54" spans="1:8" ht="15.75" thickBot="1" x14ac:dyDescent="0.3">
      <c r="A54" s="3" t="s">
        <v>103</v>
      </c>
      <c r="B54" s="9"/>
      <c r="C54" s="4"/>
      <c r="D54" s="87"/>
      <c r="E54" s="88">
        <f>(SUM(E21:E52))</f>
        <v>2828450.83</v>
      </c>
      <c r="F54" s="105"/>
      <c r="G54" s="32"/>
    </row>
    <row r="55" spans="1:8" x14ac:dyDescent="0.25">
      <c r="D55" s="85"/>
      <c r="E55" s="85"/>
    </row>
    <row r="56" spans="1:8" ht="15.75" thickBot="1" x14ac:dyDescent="0.3">
      <c r="D56" s="85"/>
      <c r="E56" s="85"/>
      <c r="H56" s="127"/>
    </row>
    <row r="57" spans="1:8" x14ac:dyDescent="0.25">
      <c r="A57" s="10" t="s">
        <v>104</v>
      </c>
      <c r="B57" s="11"/>
      <c r="C57" s="12"/>
      <c r="D57" s="89"/>
      <c r="E57" s="90"/>
    </row>
    <row r="58" spans="1:8" ht="15" customHeight="1" x14ac:dyDescent="0.25">
      <c r="A58" s="79"/>
      <c r="B58" s="114"/>
      <c r="C58" s="5"/>
      <c r="D58" s="80"/>
      <c r="E58" s="78"/>
    </row>
    <row r="59" spans="1:8" ht="15" customHeight="1" x14ac:dyDescent="0.25">
      <c r="A59" s="165"/>
      <c r="B59" s="166"/>
      <c r="C59" s="5"/>
      <c r="D59" s="80"/>
      <c r="E59" s="78"/>
    </row>
    <row r="60" spans="1:8" ht="15.75" customHeight="1" x14ac:dyDescent="0.25"/>
    <row r="61" spans="1:8" x14ac:dyDescent="0.25">
      <c r="A61" s="79"/>
      <c r="B61" s="81"/>
      <c r="C61" s="5"/>
      <c r="D61" s="80"/>
      <c r="E61" s="78"/>
    </row>
    <row r="62" spans="1:8" x14ac:dyDescent="0.25">
      <c r="A62" s="37"/>
      <c r="B62" s="36"/>
      <c r="C62" s="36"/>
      <c r="D62" s="44"/>
      <c r="E62" s="44">
        <f>SUM(D58:D61)</f>
        <v>0</v>
      </c>
    </row>
    <row r="63" spans="1:8" ht="15" customHeight="1" x14ac:dyDescent="0.25"/>
    <row r="64" spans="1:8" ht="15.75" hidden="1" thickBot="1" x14ac:dyDescent="0.3"/>
    <row r="65" spans="1:5" ht="15.75" thickBot="1" x14ac:dyDescent="0.3">
      <c r="A65" s="23" t="s">
        <v>106</v>
      </c>
      <c r="B65" s="23"/>
      <c r="C65" s="23"/>
      <c r="D65" s="24"/>
      <c r="E65" s="76"/>
    </row>
    <row r="66" spans="1:5" ht="15.75" thickBot="1" x14ac:dyDescent="0.3"/>
    <row r="67" spans="1:5" ht="15.75" thickBot="1" x14ac:dyDescent="0.3">
      <c r="A67" s="3" t="s">
        <v>105</v>
      </c>
      <c r="B67" s="9"/>
      <c r="C67" s="4"/>
      <c r="D67" s="4"/>
      <c r="E67" s="52">
        <f>E62+E65</f>
        <v>0</v>
      </c>
    </row>
    <row r="68" spans="1:5" ht="15.75" thickBot="1" x14ac:dyDescent="0.3"/>
    <row r="69" spans="1:5" ht="15.75" thickBot="1" x14ac:dyDescent="0.3">
      <c r="A69" s="74" t="s">
        <v>112</v>
      </c>
      <c r="B69" s="75">
        <f>E54</f>
        <v>2828450.83</v>
      </c>
    </row>
    <row r="70" spans="1:5" ht="15.75" thickBot="1" x14ac:dyDescent="0.3">
      <c r="A70" s="74" t="s">
        <v>113</v>
      </c>
      <c r="B70" s="75">
        <f>E54-E52</f>
        <v>2828450.83</v>
      </c>
    </row>
    <row r="71" spans="1:5" ht="15.75" thickBot="1" x14ac:dyDescent="0.3">
      <c r="A71" s="74" t="s">
        <v>114</v>
      </c>
      <c r="B71" s="75">
        <f>E67-E65</f>
        <v>0</v>
      </c>
    </row>
    <row r="72" spans="1:5" ht="15.75" thickBot="1" x14ac:dyDescent="0.3">
      <c r="A72" s="74" t="s">
        <v>115</v>
      </c>
      <c r="B72" s="75">
        <f>E67</f>
        <v>0</v>
      </c>
    </row>
    <row r="74" spans="1:5" s="29" customFormat="1" x14ac:dyDescent="0.25">
      <c r="A74"/>
      <c r="B74" s="31"/>
      <c r="C74" s="28"/>
    </row>
    <row r="75" spans="1:5" s="29" customFormat="1" x14ac:dyDescent="0.25">
      <c r="A75" s="97" t="s">
        <v>116</v>
      </c>
      <c r="B75" s="162">
        <v>610252.12999999989</v>
      </c>
      <c r="C75" s="28"/>
      <c r="D75" s="35"/>
    </row>
    <row r="76" spans="1:5" x14ac:dyDescent="0.25">
      <c r="A76" s="42" t="s">
        <v>109</v>
      </c>
      <c r="B76" s="102">
        <f>-B70</f>
        <v>-2828450.83</v>
      </c>
    </row>
    <row r="77" spans="1:5" x14ac:dyDescent="0.25">
      <c r="A77" s="42" t="s">
        <v>27</v>
      </c>
      <c r="B77" s="102">
        <f>B96</f>
        <v>0</v>
      </c>
    </row>
    <row r="78" spans="1:5" x14ac:dyDescent="0.25">
      <c r="A78" s="42" t="s">
        <v>118</v>
      </c>
      <c r="B78" s="103">
        <f>PRORRATEO!G34-B86</f>
        <v>2038799.4999999998</v>
      </c>
    </row>
    <row r="79" spans="1:5" ht="30" x14ac:dyDescent="0.25">
      <c r="A79" s="42" t="s">
        <v>135</v>
      </c>
      <c r="B79" s="103">
        <f>2728.58+121218.14+160659.23+10359.2</f>
        <v>294965.15000000002</v>
      </c>
    </row>
    <row r="80" spans="1:5" x14ac:dyDescent="0.25">
      <c r="A80" s="104" t="s">
        <v>25</v>
      </c>
      <c r="B80" s="128"/>
    </row>
    <row r="81" spans="1:5" ht="15.75" thickBot="1" x14ac:dyDescent="0.3">
      <c r="A81" s="100" t="s">
        <v>120</v>
      </c>
      <c r="B81" s="101">
        <f>SUM(B75:C80)</f>
        <v>115565.9499999996</v>
      </c>
    </row>
    <row r="82" spans="1:5" x14ac:dyDescent="0.25">
      <c r="A82" s="98"/>
      <c r="B82" s="98"/>
      <c r="D82" s="32"/>
      <c r="E82" s="31"/>
    </row>
    <row r="83" spans="1:5" x14ac:dyDescent="0.25">
      <c r="A83" s="97" t="s">
        <v>117</v>
      </c>
      <c r="B83" s="162">
        <v>2000000</v>
      </c>
      <c r="D83" s="31"/>
      <c r="E83" s="32"/>
    </row>
    <row r="84" spans="1:5" x14ac:dyDescent="0.25">
      <c r="A84" s="42" t="s">
        <v>110</v>
      </c>
      <c r="B84" s="102">
        <f>-B71</f>
        <v>0</v>
      </c>
      <c r="D84" s="32"/>
    </row>
    <row r="85" spans="1:5" x14ac:dyDescent="0.25">
      <c r="A85" s="42" t="s">
        <v>27</v>
      </c>
      <c r="B85" s="102">
        <f>B104</f>
        <v>0</v>
      </c>
      <c r="D85" s="32"/>
    </row>
    <row r="86" spans="1:5" x14ac:dyDescent="0.25">
      <c r="A86" s="42" t="s">
        <v>119</v>
      </c>
      <c r="B86" s="103">
        <v>0</v>
      </c>
    </row>
    <row r="87" spans="1:5" x14ac:dyDescent="0.25">
      <c r="A87" s="104" t="s">
        <v>25</v>
      </c>
      <c r="B87" s="128"/>
    </row>
    <row r="88" spans="1:5" ht="15.75" thickBot="1" x14ac:dyDescent="0.3">
      <c r="A88" s="100" t="s">
        <v>121</v>
      </c>
      <c r="B88" s="101">
        <f>SUM(B83:C87)</f>
        <v>2000000</v>
      </c>
    </row>
    <row r="89" spans="1:5" x14ac:dyDescent="0.25">
      <c r="A89" s="98"/>
      <c r="B89" s="98"/>
    </row>
    <row r="90" spans="1:5" x14ac:dyDescent="0.25">
      <c r="A90" s="98"/>
      <c r="B90" s="98"/>
    </row>
    <row r="91" spans="1:5" ht="34.5" customHeight="1" x14ac:dyDescent="0.25"/>
    <row r="92" spans="1:5" x14ac:dyDescent="0.25">
      <c r="A92" s="168" t="s">
        <v>19</v>
      </c>
      <c r="B92" s="168"/>
      <c r="C92" s="168"/>
    </row>
    <row r="93" spans="1:5" x14ac:dyDescent="0.25">
      <c r="A93" s="168"/>
      <c r="B93" s="168"/>
      <c r="C93" s="168"/>
    </row>
    <row r="94" spans="1:5" ht="35.25" customHeight="1" x14ac:dyDescent="0.25">
      <c r="A94" s="92"/>
      <c r="B94" s="27"/>
      <c r="C94" s="27">
        <v>40000</v>
      </c>
      <c r="E94" s="105"/>
    </row>
    <row r="95" spans="1:5" ht="27" customHeight="1" x14ac:dyDescent="0.25">
      <c r="A95" s="92"/>
      <c r="B95" s="94"/>
      <c r="C95" s="91"/>
      <c r="D95" s="105"/>
    </row>
    <row r="96" spans="1:5" x14ac:dyDescent="0.25">
      <c r="A96" s="33" t="s">
        <v>6</v>
      </c>
      <c r="B96" s="93">
        <f>SUM(B94:B95)</f>
        <v>0</v>
      </c>
      <c r="C96" s="34"/>
    </row>
    <row r="97" spans="1:13" x14ac:dyDescent="0.25">
      <c r="M97" s="7"/>
    </row>
    <row r="98" spans="1:13" ht="15" customHeight="1" x14ac:dyDescent="0.25">
      <c r="A98" s="167"/>
      <c r="B98" s="167"/>
      <c r="C98" s="167"/>
      <c r="D98" s="167"/>
      <c r="E98" s="167"/>
    </row>
    <row r="99" spans="1:13" x14ac:dyDescent="0.25">
      <c r="A99" s="167"/>
      <c r="B99" s="167"/>
      <c r="C99" s="167"/>
      <c r="D99" s="167"/>
      <c r="E99" s="167"/>
    </row>
    <row r="100" spans="1:13" x14ac:dyDescent="0.25">
      <c r="A100" s="167"/>
      <c r="B100" s="167"/>
      <c r="C100" s="167"/>
      <c r="D100" s="167"/>
      <c r="E100" s="167"/>
    </row>
    <row r="101" spans="1:13" x14ac:dyDescent="0.25">
      <c r="A101" s="167"/>
      <c r="B101" s="167"/>
      <c r="C101" s="167"/>
      <c r="D101" s="167"/>
      <c r="E101" s="167"/>
    </row>
  </sheetData>
  <mergeCells count="16">
    <mergeCell ref="A38:B38"/>
    <mergeCell ref="A40:B40"/>
    <mergeCell ref="A37:B37"/>
    <mergeCell ref="A22:B22"/>
    <mergeCell ref="B3:E3"/>
    <mergeCell ref="A36:B36"/>
    <mergeCell ref="A13:E16"/>
    <mergeCell ref="B8:C10"/>
    <mergeCell ref="A26:B26"/>
    <mergeCell ref="A32:B32"/>
    <mergeCell ref="A23:B23"/>
    <mergeCell ref="A44:B44"/>
    <mergeCell ref="A41:B41"/>
    <mergeCell ref="A98:E101"/>
    <mergeCell ref="A92:C93"/>
    <mergeCell ref="A59:B5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topLeftCell="A28" zoomScaleNormal="100" workbookViewId="0">
      <selection activeCell="L3" sqref="L3"/>
    </sheetView>
  </sheetViews>
  <sheetFormatPr baseColWidth="10" defaultRowHeight="15" x14ac:dyDescent="0.25"/>
  <cols>
    <col min="1" max="2" width="4.28515625" customWidth="1"/>
    <col min="3" max="3" width="18.5703125" customWidth="1"/>
    <col min="4" max="4" width="16" customWidth="1"/>
    <col min="5" max="5" width="8.42578125" customWidth="1"/>
    <col min="6" max="6" width="14.140625" customWidth="1"/>
    <col min="7" max="7" width="12.28515625" customWidth="1"/>
    <col min="8" max="8" width="10.5703125" customWidth="1"/>
    <col min="9" max="9" width="9.5703125" customWidth="1"/>
    <col min="10" max="10" width="12.28515625" customWidth="1"/>
    <col min="11" max="11" width="12.42578125" customWidth="1"/>
    <col min="12" max="12" width="14.5703125" bestFit="1" customWidth="1"/>
    <col min="13" max="13" width="14.7109375" customWidth="1"/>
    <col min="14" max="14" width="12" hidden="1" customWidth="1"/>
    <col min="15" max="15" width="14.28515625" customWidth="1"/>
    <col min="16" max="16" width="0.140625" customWidth="1"/>
    <col min="17" max="17" width="12" bestFit="1" customWidth="1"/>
    <col min="18" max="18" width="13" bestFit="1" customWidth="1"/>
  </cols>
  <sheetData>
    <row r="1" spans="1:16" ht="12.95" customHeight="1" x14ac:dyDescent="0.25">
      <c r="A1" s="6"/>
      <c r="B1" s="6"/>
      <c r="C1" s="152"/>
      <c r="D1" s="152"/>
      <c r="E1" s="178"/>
      <c r="F1" s="178"/>
      <c r="G1" s="178"/>
      <c r="H1" s="178"/>
      <c r="I1" s="178"/>
      <c r="J1" s="178"/>
      <c r="K1" s="178"/>
      <c r="L1" s="178"/>
      <c r="M1" s="178"/>
      <c r="N1" s="6"/>
      <c r="O1" s="6"/>
    </row>
    <row r="2" spans="1:16" ht="12.95" customHeight="1" x14ac:dyDescent="0.25">
      <c r="A2" s="6"/>
      <c r="B2" s="6"/>
      <c r="C2" s="152"/>
      <c r="D2" s="153"/>
      <c r="E2" s="153" t="s">
        <v>102</v>
      </c>
      <c r="F2" s="153"/>
      <c r="G2" s="154">
        <v>0</v>
      </c>
      <c r="H2" s="153"/>
      <c r="I2" s="153"/>
      <c r="J2" s="155"/>
      <c r="K2" s="153" t="s">
        <v>101</v>
      </c>
      <c r="L2" s="156">
        <v>2000000</v>
      </c>
      <c r="M2" s="157"/>
      <c r="N2" s="43"/>
      <c r="O2" s="43"/>
      <c r="P2" s="21"/>
    </row>
    <row r="3" spans="1:16" ht="12.95" customHeight="1" x14ac:dyDescent="0.25">
      <c r="A3" s="6"/>
      <c r="B3" s="6"/>
      <c r="C3" s="152"/>
      <c r="D3" s="152"/>
      <c r="E3" s="152"/>
      <c r="F3" s="152"/>
      <c r="G3" s="158"/>
      <c r="H3" s="152"/>
      <c r="I3" s="152"/>
      <c r="J3" s="159"/>
      <c r="K3" s="152"/>
      <c r="L3" s="152"/>
      <c r="M3" s="157"/>
      <c r="N3" s="43"/>
      <c r="O3" s="43"/>
      <c r="P3" s="21"/>
    </row>
    <row r="4" spans="1:16" ht="12.95" customHeight="1" x14ac:dyDescent="0.25">
      <c r="A4" s="188" t="s">
        <v>100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21"/>
    </row>
    <row r="5" spans="1:16" ht="12.95" customHeight="1" x14ac:dyDescent="0.25">
      <c r="A5" s="189"/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21"/>
    </row>
    <row r="6" spans="1:16" ht="12.95" customHeight="1" x14ac:dyDescent="0.25">
      <c r="A6" s="189"/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21"/>
    </row>
    <row r="7" spans="1:16" ht="12.95" customHeight="1" x14ac:dyDescent="0.25">
      <c r="A7" s="189"/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21"/>
    </row>
    <row r="8" spans="1:16" ht="48" customHeight="1" thickBot="1" x14ac:dyDescent="0.3">
      <c r="A8" s="190"/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</row>
    <row r="9" spans="1:16" x14ac:dyDescent="0.25">
      <c r="A9" s="175" t="s">
        <v>3</v>
      </c>
      <c r="B9" s="129"/>
      <c r="C9" s="175" t="s">
        <v>4</v>
      </c>
      <c r="D9" s="175" t="s">
        <v>13</v>
      </c>
      <c r="E9" s="175" t="s">
        <v>7</v>
      </c>
      <c r="F9" s="179" t="s">
        <v>24</v>
      </c>
      <c r="G9" s="175" t="s">
        <v>5</v>
      </c>
      <c r="H9" s="183" t="s">
        <v>17</v>
      </c>
      <c r="I9" s="179" t="s">
        <v>23</v>
      </c>
      <c r="J9" s="179" t="s">
        <v>84</v>
      </c>
      <c r="K9" s="179" t="s">
        <v>101</v>
      </c>
      <c r="L9" s="186" t="s">
        <v>102</v>
      </c>
      <c r="M9" s="47" t="s">
        <v>21</v>
      </c>
      <c r="N9" s="181" t="s">
        <v>12</v>
      </c>
      <c r="O9" s="191" t="s">
        <v>20</v>
      </c>
    </row>
    <row r="10" spans="1:16" ht="15.75" customHeight="1" x14ac:dyDescent="0.25">
      <c r="A10" s="177"/>
      <c r="B10" s="130"/>
      <c r="C10" s="177"/>
      <c r="D10" s="176"/>
      <c r="E10" s="177"/>
      <c r="F10" s="180"/>
      <c r="G10" s="177"/>
      <c r="H10" s="184"/>
      <c r="I10" s="180"/>
      <c r="J10" s="185"/>
      <c r="K10" s="180"/>
      <c r="L10" s="187"/>
      <c r="M10" s="45" t="str">
        <f>RESUMEN!B8</f>
        <v>VTO 15/12</v>
      </c>
      <c r="N10" s="182"/>
      <c r="O10" s="192"/>
    </row>
    <row r="11" spans="1:16" ht="17.100000000000001" customHeight="1" x14ac:dyDescent="0.25">
      <c r="A11" s="48">
        <v>1</v>
      </c>
      <c r="B11" s="48" t="s">
        <v>30</v>
      </c>
      <c r="C11" s="48" t="s">
        <v>31</v>
      </c>
      <c r="D11" s="48"/>
      <c r="E11" s="57">
        <v>12</v>
      </c>
      <c r="F11" s="58">
        <v>239940.01</v>
      </c>
      <c r="G11" s="59">
        <f>271858-G27-G28</f>
        <v>247857.65</v>
      </c>
      <c r="H11" s="60">
        <f t="shared" ref="H11:H33" si="0">F11-G11</f>
        <v>-7917.6399999999849</v>
      </c>
      <c r="I11" s="60">
        <f>IF(H11&gt;0,H11*3%,0)</f>
        <v>0</v>
      </c>
      <c r="J11" s="61">
        <f>EDESUR!I5</f>
        <v>0</v>
      </c>
      <c r="K11" s="119">
        <f>L$2*E11/100</f>
        <v>240000</v>
      </c>
      <c r="L11" s="119">
        <f>G$2*E11/100</f>
        <v>0</v>
      </c>
      <c r="M11" s="62">
        <f>ROUND(SUM(H11:L11),0) + P11</f>
        <v>232082.01</v>
      </c>
      <c r="N11" s="63">
        <f>ROUND(M11*6% + M11,0) + P11</f>
        <v>246007.01</v>
      </c>
      <c r="O11" s="64">
        <f>ROUND(M11*3%,0) + M11</f>
        <v>239044.01</v>
      </c>
      <c r="P11" s="32">
        <v>0.01</v>
      </c>
    </row>
    <row r="12" spans="1:16" ht="17.100000000000001" customHeight="1" x14ac:dyDescent="0.25">
      <c r="A12" s="48">
        <v>2</v>
      </c>
      <c r="B12" s="48" t="s">
        <v>32</v>
      </c>
      <c r="C12" s="48" t="s">
        <v>33</v>
      </c>
      <c r="D12" s="49"/>
      <c r="E12" s="57">
        <v>6.6</v>
      </c>
      <c r="F12" s="58">
        <v>132000.01999999999</v>
      </c>
      <c r="G12" s="59">
        <f>F12</f>
        <v>132000.01999999999</v>
      </c>
      <c r="H12" s="60">
        <f t="shared" si="0"/>
        <v>0</v>
      </c>
      <c r="I12" s="60">
        <f t="shared" ref="I12:I33" si="1">IF(H12&gt;0,H12*3%,0)</f>
        <v>0</v>
      </c>
      <c r="J12" s="61">
        <f>EDESUR!I6</f>
        <v>0</v>
      </c>
      <c r="K12" s="119">
        <f t="shared" ref="K12:K33" si="2">L$2*E12/100</f>
        <v>132000</v>
      </c>
      <c r="L12" s="119">
        <f t="shared" ref="L12:L33" si="3">G$2*E12/100</f>
        <v>0</v>
      </c>
      <c r="M12" s="62">
        <f t="shared" ref="M12:M33" si="4">ROUND(SUM(H12:L12),0) + P12</f>
        <v>132000.01999999999</v>
      </c>
      <c r="N12" s="63">
        <f t="shared" ref="N12:N28" si="5">ROUND(M12*6% + M12,0) + P12</f>
        <v>139920.01999999999</v>
      </c>
      <c r="O12" s="64">
        <f t="shared" ref="O12:O33" si="6">ROUND(M12*3%,0) + M12</f>
        <v>135960.01999999999</v>
      </c>
      <c r="P12" s="32">
        <f>P11+0.01</f>
        <v>0.02</v>
      </c>
    </row>
    <row r="13" spans="1:16" ht="17.100000000000001" customHeight="1" x14ac:dyDescent="0.25">
      <c r="A13" s="48">
        <v>3</v>
      </c>
      <c r="B13" s="48" t="s">
        <v>34</v>
      </c>
      <c r="C13" s="48" t="s">
        <v>35</v>
      </c>
      <c r="D13" s="49" t="s">
        <v>72</v>
      </c>
      <c r="E13" s="57">
        <v>5.4</v>
      </c>
      <c r="F13" s="58">
        <v>108000.03</v>
      </c>
      <c r="G13" s="59">
        <f>F13</f>
        <v>108000.03</v>
      </c>
      <c r="H13" s="60">
        <f t="shared" si="0"/>
        <v>0</v>
      </c>
      <c r="I13" s="60">
        <f t="shared" si="1"/>
        <v>0</v>
      </c>
      <c r="J13" s="61">
        <f>EDESUR!I7</f>
        <v>0</v>
      </c>
      <c r="K13" s="119">
        <f t="shared" si="2"/>
        <v>108000</v>
      </c>
      <c r="L13" s="119">
        <f t="shared" si="3"/>
        <v>0</v>
      </c>
      <c r="M13" s="62">
        <f t="shared" si="4"/>
        <v>108000.03</v>
      </c>
      <c r="N13" s="63">
        <f t="shared" si="5"/>
        <v>114480.03</v>
      </c>
      <c r="O13" s="64">
        <f t="shared" si="6"/>
        <v>111240.03</v>
      </c>
      <c r="P13" s="32">
        <f t="shared" ref="P13:P28" si="7">P12+0.01</f>
        <v>0.03</v>
      </c>
    </row>
    <row r="14" spans="1:16" ht="17.100000000000001" customHeight="1" x14ac:dyDescent="0.25">
      <c r="A14" s="48">
        <v>4</v>
      </c>
      <c r="B14" s="48" t="s">
        <v>36</v>
      </c>
      <c r="C14" s="48" t="s">
        <v>37</v>
      </c>
      <c r="D14" s="49" t="s">
        <v>73</v>
      </c>
      <c r="E14" s="57">
        <v>6.6</v>
      </c>
      <c r="F14" s="58">
        <v>132000.04</v>
      </c>
      <c r="G14" s="59">
        <f>134300</f>
        <v>134300</v>
      </c>
      <c r="H14" s="60">
        <f t="shared" si="0"/>
        <v>-2299.9599999999919</v>
      </c>
      <c r="I14" s="60">
        <f t="shared" si="1"/>
        <v>0</v>
      </c>
      <c r="J14" s="61">
        <f>EDESUR!I8</f>
        <v>0</v>
      </c>
      <c r="K14" s="119">
        <f t="shared" si="2"/>
        <v>132000</v>
      </c>
      <c r="L14" s="119">
        <f t="shared" si="3"/>
        <v>0</v>
      </c>
      <c r="M14" s="62">
        <f t="shared" si="4"/>
        <v>129700.04</v>
      </c>
      <c r="N14" s="63">
        <f t="shared" si="5"/>
        <v>137482.04</v>
      </c>
      <c r="O14" s="64">
        <f t="shared" si="6"/>
        <v>133591.03999999998</v>
      </c>
      <c r="P14" s="32">
        <f t="shared" si="7"/>
        <v>0.04</v>
      </c>
    </row>
    <row r="15" spans="1:16" ht="17.100000000000001" customHeight="1" x14ac:dyDescent="0.25">
      <c r="A15" s="48">
        <v>5</v>
      </c>
      <c r="B15" s="48" t="s">
        <v>38</v>
      </c>
      <c r="C15" s="48" t="s">
        <v>39</v>
      </c>
      <c r="D15" s="48" t="s">
        <v>99</v>
      </c>
      <c r="E15" s="57">
        <v>6.6</v>
      </c>
      <c r="F15" s="58">
        <v>132000.04999999999</v>
      </c>
      <c r="G15" s="59">
        <f t="shared" ref="G15:G19" si="8">F15</f>
        <v>132000.04999999999</v>
      </c>
      <c r="H15" s="60">
        <f t="shared" si="0"/>
        <v>0</v>
      </c>
      <c r="I15" s="60">
        <f t="shared" si="1"/>
        <v>0</v>
      </c>
      <c r="J15" s="61">
        <f>EDESUR!I9</f>
        <v>0</v>
      </c>
      <c r="K15" s="119">
        <f t="shared" si="2"/>
        <v>132000</v>
      </c>
      <c r="L15" s="119">
        <f t="shared" si="3"/>
        <v>0</v>
      </c>
      <c r="M15" s="62">
        <f t="shared" si="4"/>
        <v>132000.04999999999</v>
      </c>
      <c r="N15" s="63">
        <f t="shared" si="5"/>
        <v>139920.04999999999</v>
      </c>
      <c r="O15" s="64">
        <f t="shared" si="6"/>
        <v>135960.04999999999</v>
      </c>
      <c r="P15" s="32">
        <f t="shared" si="7"/>
        <v>0.05</v>
      </c>
    </row>
    <row r="16" spans="1:16" ht="17.100000000000001" customHeight="1" x14ac:dyDescent="0.25">
      <c r="A16" s="48">
        <v>6</v>
      </c>
      <c r="B16" s="48" t="s">
        <v>40</v>
      </c>
      <c r="C16" s="48" t="s">
        <v>41</v>
      </c>
      <c r="D16" s="48" t="s">
        <v>96</v>
      </c>
      <c r="E16" s="57">
        <v>5.4</v>
      </c>
      <c r="F16" s="58">
        <v>108000.06</v>
      </c>
      <c r="G16" s="59">
        <f t="shared" si="8"/>
        <v>108000.06</v>
      </c>
      <c r="H16" s="60">
        <f t="shared" si="0"/>
        <v>0</v>
      </c>
      <c r="I16" s="60">
        <f t="shared" si="1"/>
        <v>0</v>
      </c>
      <c r="J16" s="61">
        <f>EDESUR!I10</f>
        <v>0</v>
      </c>
      <c r="K16" s="119">
        <f t="shared" si="2"/>
        <v>108000</v>
      </c>
      <c r="L16" s="119">
        <f t="shared" si="3"/>
        <v>0</v>
      </c>
      <c r="M16" s="62">
        <f t="shared" si="4"/>
        <v>108000.06</v>
      </c>
      <c r="N16" s="63">
        <f t="shared" si="5"/>
        <v>114480.06</v>
      </c>
      <c r="O16" s="64">
        <f t="shared" si="6"/>
        <v>111240.06</v>
      </c>
      <c r="P16" s="32">
        <f t="shared" si="7"/>
        <v>6.0000000000000005E-2</v>
      </c>
    </row>
    <row r="17" spans="1:17" ht="17.100000000000001" customHeight="1" x14ac:dyDescent="0.25">
      <c r="A17" s="48">
        <v>7</v>
      </c>
      <c r="B17" s="48" t="s">
        <v>42</v>
      </c>
      <c r="C17" s="48" t="s">
        <v>43</v>
      </c>
      <c r="D17" s="48" t="s">
        <v>97</v>
      </c>
      <c r="E17" s="57">
        <v>5.4</v>
      </c>
      <c r="F17" s="58">
        <v>108000.07</v>
      </c>
      <c r="G17" s="59">
        <f t="shared" si="8"/>
        <v>108000.07</v>
      </c>
      <c r="H17" s="60">
        <f t="shared" si="0"/>
        <v>0</v>
      </c>
      <c r="I17" s="60">
        <f t="shared" si="1"/>
        <v>0</v>
      </c>
      <c r="J17" s="61">
        <f>EDESUR!I11</f>
        <v>0</v>
      </c>
      <c r="K17" s="119">
        <f t="shared" si="2"/>
        <v>108000</v>
      </c>
      <c r="L17" s="119">
        <f t="shared" si="3"/>
        <v>0</v>
      </c>
      <c r="M17" s="62">
        <f t="shared" si="4"/>
        <v>108000.07</v>
      </c>
      <c r="N17" s="63">
        <f t="shared" si="5"/>
        <v>114480.07</v>
      </c>
      <c r="O17" s="64">
        <f t="shared" si="6"/>
        <v>111240.07</v>
      </c>
      <c r="P17" s="32">
        <f t="shared" si="7"/>
        <v>7.0000000000000007E-2</v>
      </c>
    </row>
    <row r="18" spans="1:17" ht="17.100000000000001" customHeight="1" x14ac:dyDescent="0.25">
      <c r="A18" s="48">
        <v>8</v>
      </c>
      <c r="B18" s="48" t="s">
        <v>44</v>
      </c>
      <c r="C18" s="48" t="s">
        <v>45</v>
      </c>
      <c r="D18" s="49" t="s">
        <v>74</v>
      </c>
      <c r="E18" s="57">
        <v>6.6</v>
      </c>
      <c r="F18" s="58">
        <v>132000.07999999999</v>
      </c>
      <c r="G18" s="59">
        <f t="shared" si="8"/>
        <v>132000.07999999999</v>
      </c>
      <c r="H18" s="60">
        <f t="shared" si="0"/>
        <v>0</v>
      </c>
      <c r="I18" s="60">
        <f t="shared" si="1"/>
        <v>0</v>
      </c>
      <c r="J18" s="61">
        <f>EDESUR!I12</f>
        <v>0</v>
      </c>
      <c r="K18" s="119">
        <f t="shared" si="2"/>
        <v>132000</v>
      </c>
      <c r="L18" s="119">
        <f t="shared" si="3"/>
        <v>0</v>
      </c>
      <c r="M18" s="62">
        <f t="shared" si="4"/>
        <v>132000.07999999999</v>
      </c>
      <c r="N18" s="63">
        <f t="shared" si="5"/>
        <v>139920.07999999999</v>
      </c>
      <c r="O18" s="64">
        <f t="shared" si="6"/>
        <v>135960.07999999999</v>
      </c>
      <c r="P18" s="32">
        <f t="shared" si="7"/>
        <v>0.08</v>
      </c>
    </row>
    <row r="19" spans="1:17" ht="17.100000000000001" customHeight="1" x14ac:dyDescent="0.25">
      <c r="A19" s="48">
        <v>9</v>
      </c>
      <c r="B19" s="48" t="s">
        <v>46</v>
      </c>
      <c r="C19" s="48" t="s">
        <v>47</v>
      </c>
      <c r="D19" s="49" t="s">
        <v>77</v>
      </c>
      <c r="E19" s="57">
        <v>6.6</v>
      </c>
      <c r="F19" s="58">
        <v>132000.09</v>
      </c>
      <c r="G19" s="59">
        <f t="shared" si="8"/>
        <v>132000.09</v>
      </c>
      <c r="H19" s="60">
        <f t="shared" si="0"/>
        <v>0</v>
      </c>
      <c r="I19" s="60">
        <f t="shared" si="1"/>
        <v>0</v>
      </c>
      <c r="J19" s="61">
        <f>EDESUR!I13</f>
        <v>0</v>
      </c>
      <c r="K19" s="119">
        <f t="shared" si="2"/>
        <v>132000</v>
      </c>
      <c r="L19" s="119">
        <f t="shared" si="3"/>
        <v>0</v>
      </c>
      <c r="M19" s="62">
        <f t="shared" si="4"/>
        <v>132000.09</v>
      </c>
      <c r="N19" s="63">
        <f t="shared" si="5"/>
        <v>139920.09</v>
      </c>
      <c r="O19" s="64">
        <f t="shared" si="6"/>
        <v>135960.09</v>
      </c>
      <c r="P19" s="32">
        <f t="shared" si="7"/>
        <v>0.09</v>
      </c>
    </row>
    <row r="20" spans="1:17" ht="17.100000000000001" customHeight="1" x14ac:dyDescent="0.25">
      <c r="A20" s="48">
        <v>10</v>
      </c>
      <c r="B20" s="48" t="s">
        <v>48</v>
      </c>
      <c r="C20" s="48" t="s">
        <v>49</v>
      </c>
      <c r="D20" s="49" t="s">
        <v>75</v>
      </c>
      <c r="E20" s="57">
        <v>5.4</v>
      </c>
      <c r="F20" s="58">
        <v>104680.1</v>
      </c>
      <c r="G20" s="59">
        <f>F20+40000</f>
        <v>144680.1</v>
      </c>
      <c r="H20" s="60">
        <f t="shared" si="0"/>
        <v>-40000</v>
      </c>
      <c r="I20" s="60">
        <f t="shared" si="1"/>
        <v>0</v>
      </c>
      <c r="J20" s="61">
        <f>EDESUR!I14</f>
        <v>0</v>
      </c>
      <c r="K20" s="119">
        <f t="shared" si="2"/>
        <v>108000</v>
      </c>
      <c r="L20" s="119">
        <f t="shared" si="3"/>
        <v>0</v>
      </c>
      <c r="M20" s="62">
        <f t="shared" si="4"/>
        <v>68000.100000000006</v>
      </c>
      <c r="N20" s="63">
        <f t="shared" si="5"/>
        <v>72080.100000000006</v>
      </c>
      <c r="O20" s="64">
        <f t="shared" si="6"/>
        <v>70040.100000000006</v>
      </c>
      <c r="P20" s="32">
        <f t="shared" si="7"/>
        <v>9.9999999999999992E-2</v>
      </c>
    </row>
    <row r="21" spans="1:17" ht="17.100000000000001" customHeight="1" x14ac:dyDescent="0.25">
      <c r="A21" s="48">
        <v>11</v>
      </c>
      <c r="B21" s="48" t="s">
        <v>50</v>
      </c>
      <c r="C21" s="48" t="s">
        <v>51</v>
      </c>
      <c r="D21" s="49"/>
      <c r="E21" s="57">
        <v>5.4</v>
      </c>
      <c r="F21" s="58">
        <v>108000.11</v>
      </c>
      <c r="G21" s="59">
        <f>114000.11-G32</f>
        <v>108000.11</v>
      </c>
      <c r="H21" s="60">
        <f t="shared" si="0"/>
        <v>0</v>
      </c>
      <c r="I21" s="60">
        <f t="shared" si="1"/>
        <v>0</v>
      </c>
      <c r="J21" s="61">
        <f>EDESUR!I15</f>
        <v>0</v>
      </c>
      <c r="K21" s="119">
        <f t="shared" si="2"/>
        <v>108000</v>
      </c>
      <c r="L21" s="119">
        <f t="shared" si="3"/>
        <v>0</v>
      </c>
      <c r="M21" s="62">
        <f t="shared" si="4"/>
        <v>108000.11</v>
      </c>
      <c r="N21" s="63">
        <f t="shared" si="5"/>
        <v>114480.11</v>
      </c>
      <c r="O21" s="64">
        <f t="shared" si="6"/>
        <v>111240.11</v>
      </c>
      <c r="P21" s="32">
        <f t="shared" si="7"/>
        <v>0.10999999999999999</v>
      </c>
      <c r="Q21" t="s">
        <v>98</v>
      </c>
    </row>
    <row r="22" spans="1:17" ht="30" customHeight="1" x14ac:dyDescent="0.25">
      <c r="A22" s="48">
        <v>12</v>
      </c>
      <c r="B22" s="48" t="s">
        <v>52</v>
      </c>
      <c r="C22" s="48" t="s">
        <v>53</v>
      </c>
      <c r="D22" s="49" t="s">
        <v>76</v>
      </c>
      <c r="E22" s="57">
        <v>6.6</v>
      </c>
      <c r="F22" s="58">
        <v>132000.12</v>
      </c>
      <c r="G22" s="59">
        <f>F22</f>
        <v>132000.12</v>
      </c>
      <c r="H22" s="60">
        <f t="shared" si="0"/>
        <v>0</v>
      </c>
      <c r="I22" s="60">
        <f t="shared" si="1"/>
        <v>0</v>
      </c>
      <c r="J22" s="61">
        <f>EDESUR!I16</f>
        <v>0</v>
      </c>
      <c r="K22" s="119">
        <f t="shared" si="2"/>
        <v>132000</v>
      </c>
      <c r="L22" s="119">
        <f t="shared" si="3"/>
        <v>0</v>
      </c>
      <c r="M22" s="62">
        <f t="shared" si="4"/>
        <v>132000.12</v>
      </c>
      <c r="N22" s="63">
        <f t="shared" si="5"/>
        <v>139920.12</v>
      </c>
      <c r="O22" s="64">
        <f t="shared" si="6"/>
        <v>135960.12</v>
      </c>
      <c r="P22" s="32">
        <f t="shared" si="7"/>
        <v>0.11999999999999998</v>
      </c>
    </row>
    <row r="23" spans="1:17" ht="17.100000000000001" customHeight="1" x14ac:dyDescent="0.25">
      <c r="A23" s="48">
        <v>13</v>
      </c>
      <c r="B23" s="48" t="s">
        <v>54</v>
      </c>
      <c r="C23" s="48" t="s">
        <v>55</v>
      </c>
      <c r="D23" s="49" t="s">
        <v>95</v>
      </c>
      <c r="E23" s="57">
        <v>6.6</v>
      </c>
      <c r="F23" s="58">
        <v>132000.13</v>
      </c>
      <c r="G23" s="59">
        <f>135960.13</f>
        <v>135960.13</v>
      </c>
      <c r="H23" s="60">
        <f t="shared" si="0"/>
        <v>-3960</v>
      </c>
      <c r="I23" s="60">
        <f t="shared" si="1"/>
        <v>0</v>
      </c>
      <c r="J23" s="61">
        <f>EDESUR!I17</f>
        <v>0</v>
      </c>
      <c r="K23" s="119">
        <f t="shared" si="2"/>
        <v>132000</v>
      </c>
      <c r="L23" s="119">
        <f t="shared" si="3"/>
        <v>0</v>
      </c>
      <c r="M23" s="62">
        <f t="shared" si="4"/>
        <v>128040.13</v>
      </c>
      <c r="N23" s="63">
        <f t="shared" si="5"/>
        <v>135723.13</v>
      </c>
      <c r="O23" s="64">
        <f t="shared" si="6"/>
        <v>131881.13</v>
      </c>
      <c r="P23" s="32">
        <f t="shared" si="7"/>
        <v>0.12999999999999998</v>
      </c>
    </row>
    <row r="24" spans="1:17" ht="17.100000000000001" customHeight="1" x14ac:dyDescent="0.25">
      <c r="A24" s="48">
        <v>14</v>
      </c>
      <c r="B24" s="48" t="s">
        <v>56</v>
      </c>
      <c r="C24" s="48" t="s">
        <v>57</v>
      </c>
      <c r="D24" s="49"/>
      <c r="E24" s="57">
        <v>5.4</v>
      </c>
      <c r="F24" s="58">
        <v>108000.14</v>
      </c>
      <c r="G24" s="59">
        <f>F24</f>
        <v>108000.14</v>
      </c>
      <c r="H24" s="60">
        <f t="shared" si="0"/>
        <v>0</v>
      </c>
      <c r="I24" s="60">
        <f t="shared" si="1"/>
        <v>0</v>
      </c>
      <c r="J24" s="61">
        <f>EDESUR!I18</f>
        <v>0</v>
      </c>
      <c r="K24" s="119">
        <f t="shared" si="2"/>
        <v>108000</v>
      </c>
      <c r="L24" s="119">
        <f t="shared" si="3"/>
        <v>0</v>
      </c>
      <c r="M24" s="62">
        <f t="shared" si="4"/>
        <v>108000.14</v>
      </c>
      <c r="N24" s="63">
        <f t="shared" si="5"/>
        <v>114480.14</v>
      </c>
      <c r="O24" s="64">
        <f t="shared" si="6"/>
        <v>111240.14</v>
      </c>
      <c r="P24" s="32">
        <f t="shared" si="7"/>
        <v>0.13999999999999999</v>
      </c>
    </row>
    <row r="25" spans="1:17" ht="17.100000000000001" customHeight="1" x14ac:dyDescent="0.25">
      <c r="A25" s="48">
        <v>15</v>
      </c>
      <c r="B25" s="48" t="s">
        <v>58</v>
      </c>
      <c r="C25" s="48" t="s">
        <v>59</v>
      </c>
      <c r="D25" s="49"/>
      <c r="E25" s="57">
        <v>5.4</v>
      </c>
      <c r="F25" s="58">
        <v>108000.15</v>
      </c>
      <c r="G25" s="59">
        <f>F25</f>
        <v>108000.15</v>
      </c>
      <c r="H25" s="60">
        <f t="shared" si="0"/>
        <v>0</v>
      </c>
      <c r="I25" s="60">
        <f t="shared" si="1"/>
        <v>0</v>
      </c>
      <c r="J25" s="61">
        <f>EDESUR!I19</f>
        <v>0</v>
      </c>
      <c r="K25" s="119">
        <f t="shared" si="2"/>
        <v>108000</v>
      </c>
      <c r="L25" s="119">
        <f t="shared" si="3"/>
        <v>0</v>
      </c>
      <c r="M25" s="62">
        <f t="shared" si="4"/>
        <v>108000.15</v>
      </c>
      <c r="N25" s="63">
        <f t="shared" si="5"/>
        <v>114480.15</v>
      </c>
      <c r="O25" s="64">
        <f t="shared" si="6"/>
        <v>111240.15</v>
      </c>
      <c r="P25" s="32">
        <f t="shared" si="7"/>
        <v>0.15</v>
      </c>
    </row>
    <row r="26" spans="1:17" ht="17.100000000000001" customHeight="1" x14ac:dyDescent="0.25">
      <c r="A26" s="48">
        <v>16</v>
      </c>
      <c r="B26" s="48" t="s">
        <v>60</v>
      </c>
      <c r="C26" s="48" t="s">
        <v>41</v>
      </c>
      <c r="D26" s="48" t="s">
        <v>96</v>
      </c>
      <c r="E26" s="57">
        <v>0.7</v>
      </c>
      <c r="F26" s="58">
        <v>14000.16</v>
      </c>
      <c r="G26" s="59">
        <f>F26</f>
        <v>14000.16</v>
      </c>
      <c r="H26" s="60">
        <f t="shared" si="0"/>
        <v>0</v>
      </c>
      <c r="I26" s="60">
        <f t="shared" si="1"/>
        <v>0</v>
      </c>
      <c r="J26" s="61">
        <f>EDESUR!I22</f>
        <v>0</v>
      </c>
      <c r="K26" s="119">
        <f t="shared" si="2"/>
        <v>14000</v>
      </c>
      <c r="L26" s="119">
        <f t="shared" si="3"/>
        <v>0</v>
      </c>
      <c r="M26" s="62">
        <f t="shared" si="4"/>
        <v>14000.16</v>
      </c>
      <c r="N26" s="63">
        <f t="shared" si="5"/>
        <v>14840.16</v>
      </c>
      <c r="O26" s="64">
        <f t="shared" si="6"/>
        <v>14420.16</v>
      </c>
      <c r="P26" s="32">
        <f t="shared" si="7"/>
        <v>0.16</v>
      </c>
    </row>
    <row r="27" spans="1:17" ht="17.100000000000001" customHeight="1" x14ac:dyDescent="0.25">
      <c r="A27" s="48">
        <v>17</v>
      </c>
      <c r="B27" s="48" t="s">
        <v>61</v>
      </c>
      <c r="C27" s="48" t="s">
        <v>31</v>
      </c>
      <c r="D27" s="49"/>
      <c r="E27" s="57">
        <v>0.6</v>
      </c>
      <c r="F27" s="59">
        <v>12000.17</v>
      </c>
      <c r="G27" s="59">
        <f t="shared" ref="G27:G29" si="9">F27</f>
        <v>12000.17</v>
      </c>
      <c r="H27" s="60">
        <f t="shared" si="0"/>
        <v>0</v>
      </c>
      <c r="I27" s="60">
        <f t="shared" si="1"/>
        <v>0</v>
      </c>
      <c r="J27" s="61">
        <f>EDESUR!I21</f>
        <v>0</v>
      </c>
      <c r="K27" s="119">
        <f t="shared" si="2"/>
        <v>12000</v>
      </c>
      <c r="L27" s="119">
        <f t="shared" si="3"/>
        <v>0</v>
      </c>
      <c r="M27" s="62">
        <f t="shared" si="4"/>
        <v>12000.17</v>
      </c>
      <c r="N27" s="63">
        <f t="shared" si="5"/>
        <v>12720.17</v>
      </c>
      <c r="O27" s="64">
        <f t="shared" si="6"/>
        <v>12360.17</v>
      </c>
      <c r="P27" s="32">
        <f t="shared" si="7"/>
        <v>0.17</v>
      </c>
    </row>
    <row r="28" spans="1:17" ht="17.100000000000001" customHeight="1" x14ac:dyDescent="0.25">
      <c r="A28" s="48">
        <v>18</v>
      </c>
      <c r="B28" s="48" t="s">
        <v>62</v>
      </c>
      <c r="C28" s="48" t="s">
        <v>31</v>
      </c>
      <c r="D28" s="96"/>
      <c r="E28" s="57">
        <v>0.6</v>
      </c>
      <c r="F28" s="58">
        <v>12000.18</v>
      </c>
      <c r="G28" s="59">
        <f t="shared" si="9"/>
        <v>12000.18</v>
      </c>
      <c r="H28" s="60">
        <f t="shared" si="0"/>
        <v>0</v>
      </c>
      <c r="I28" s="60">
        <f t="shared" si="1"/>
        <v>0</v>
      </c>
      <c r="J28" s="61">
        <f>EDESUR!I22</f>
        <v>0</v>
      </c>
      <c r="K28" s="119">
        <f t="shared" si="2"/>
        <v>12000</v>
      </c>
      <c r="L28" s="119">
        <f t="shared" si="3"/>
        <v>0</v>
      </c>
      <c r="M28" s="62">
        <f t="shared" si="4"/>
        <v>12000.18</v>
      </c>
      <c r="N28" s="63">
        <f t="shared" si="5"/>
        <v>12720.18</v>
      </c>
      <c r="O28" s="64">
        <f t="shared" si="6"/>
        <v>12360.18</v>
      </c>
      <c r="P28" s="32">
        <f t="shared" si="7"/>
        <v>0.18000000000000002</v>
      </c>
    </row>
    <row r="29" spans="1:17" x14ac:dyDescent="0.25">
      <c r="A29" s="48">
        <v>19</v>
      </c>
      <c r="B29" s="48" t="s">
        <v>63</v>
      </c>
      <c r="C29" s="48" t="s">
        <v>53</v>
      </c>
      <c r="D29" s="49"/>
      <c r="E29" s="57">
        <v>0.6</v>
      </c>
      <c r="F29" s="58">
        <v>12000.19</v>
      </c>
      <c r="G29" s="59">
        <f t="shared" si="9"/>
        <v>12000.19</v>
      </c>
      <c r="H29" s="60">
        <f t="shared" si="0"/>
        <v>0</v>
      </c>
      <c r="I29" s="60">
        <f t="shared" si="1"/>
        <v>0</v>
      </c>
      <c r="J29" s="61">
        <f>EDESUR!I23</f>
        <v>0</v>
      </c>
      <c r="K29" s="119">
        <f t="shared" si="2"/>
        <v>12000</v>
      </c>
      <c r="L29" s="119">
        <f t="shared" si="3"/>
        <v>0</v>
      </c>
      <c r="M29" s="62">
        <f t="shared" si="4"/>
        <v>12000.19</v>
      </c>
      <c r="N29" s="63"/>
      <c r="O29" s="64">
        <f t="shared" si="6"/>
        <v>12360.19</v>
      </c>
      <c r="P29" s="32">
        <f>P28+0.01</f>
        <v>0.19000000000000003</v>
      </c>
    </row>
    <row r="30" spans="1:17" x14ac:dyDescent="0.25">
      <c r="A30" s="65">
        <v>20</v>
      </c>
      <c r="B30" s="65" t="s">
        <v>64</v>
      </c>
      <c r="C30" s="48" t="s">
        <v>37</v>
      </c>
      <c r="D30" s="49" t="s">
        <v>73</v>
      </c>
      <c r="E30" s="57">
        <v>0.6</v>
      </c>
      <c r="F30" s="67">
        <v>12000</v>
      </c>
      <c r="G30" s="59"/>
      <c r="H30" s="60">
        <f t="shared" si="0"/>
        <v>12000</v>
      </c>
      <c r="I30" s="60">
        <f t="shared" si="1"/>
        <v>360</v>
      </c>
      <c r="J30" s="61">
        <f>EDESUR!I24</f>
        <v>0</v>
      </c>
      <c r="K30" s="119">
        <f t="shared" si="2"/>
        <v>12000</v>
      </c>
      <c r="L30" s="119">
        <f t="shared" si="3"/>
        <v>0</v>
      </c>
      <c r="M30" s="62">
        <f t="shared" si="4"/>
        <v>24360</v>
      </c>
      <c r="N30" s="63"/>
      <c r="O30" s="64">
        <f t="shared" si="6"/>
        <v>25091</v>
      </c>
      <c r="P30" s="32"/>
    </row>
    <row r="31" spans="1:17" x14ac:dyDescent="0.25">
      <c r="A31" s="65">
        <v>21</v>
      </c>
      <c r="B31" s="65" t="s">
        <v>65</v>
      </c>
      <c r="C31" s="50" t="s">
        <v>49</v>
      </c>
      <c r="D31" s="49" t="s">
        <v>75</v>
      </c>
      <c r="E31" s="57">
        <v>0.3</v>
      </c>
      <c r="F31" s="67">
        <v>6000</v>
      </c>
      <c r="G31" s="163">
        <f>F31</f>
        <v>6000</v>
      </c>
      <c r="H31" s="60">
        <f t="shared" si="0"/>
        <v>0</v>
      </c>
      <c r="I31" s="60">
        <f t="shared" si="1"/>
        <v>0</v>
      </c>
      <c r="J31" s="61">
        <f>EDESUR!I25</f>
        <v>0</v>
      </c>
      <c r="K31" s="119">
        <f t="shared" si="2"/>
        <v>6000</v>
      </c>
      <c r="L31" s="119">
        <f t="shared" si="3"/>
        <v>0</v>
      </c>
      <c r="M31" s="62">
        <f t="shared" si="4"/>
        <v>6000</v>
      </c>
      <c r="N31" s="63"/>
      <c r="O31" s="64">
        <f t="shared" si="6"/>
        <v>6180</v>
      </c>
      <c r="P31" s="32"/>
    </row>
    <row r="32" spans="1:17" x14ac:dyDescent="0.25">
      <c r="A32" s="66">
        <v>22</v>
      </c>
      <c r="B32" s="66" t="s">
        <v>66</v>
      </c>
      <c r="C32" s="48" t="s">
        <v>51</v>
      </c>
      <c r="D32" s="49"/>
      <c r="E32" s="57">
        <v>0.3</v>
      </c>
      <c r="F32" s="67">
        <v>6000</v>
      </c>
      <c r="G32" s="163">
        <f>F32</f>
        <v>6000</v>
      </c>
      <c r="H32" s="60">
        <f t="shared" si="0"/>
        <v>0</v>
      </c>
      <c r="I32" s="60">
        <f t="shared" si="1"/>
        <v>0</v>
      </c>
      <c r="J32" s="61">
        <f>EDESUR!I26</f>
        <v>0</v>
      </c>
      <c r="K32" s="119">
        <f t="shared" si="2"/>
        <v>6000</v>
      </c>
      <c r="L32" s="119">
        <f t="shared" si="3"/>
        <v>0</v>
      </c>
      <c r="M32" s="62">
        <f t="shared" si="4"/>
        <v>6000</v>
      </c>
      <c r="N32" s="63"/>
      <c r="O32" s="64">
        <f t="shared" si="6"/>
        <v>6180</v>
      </c>
      <c r="P32" s="32"/>
    </row>
    <row r="33" spans="1:16" ht="17.100000000000001" customHeight="1" thickBot="1" x14ac:dyDescent="0.3">
      <c r="A33" s="48">
        <v>23</v>
      </c>
      <c r="B33" s="68" t="s">
        <v>67</v>
      </c>
      <c r="C33" s="68" t="s">
        <v>68</v>
      </c>
      <c r="D33" s="49" t="s">
        <v>72</v>
      </c>
      <c r="E33" s="57">
        <v>0.3</v>
      </c>
      <c r="F33" s="67">
        <v>6000</v>
      </c>
      <c r="G33" s="163">
        <f>F33</f>
        <v>6000</v>
      </c>
      <c r="H33" s="60">
        <f t="shared" si="0"/>
        <v>0</v>
      </c>
      <c r="I33" s="60">
        <f t="shared" si="1"/>
        <v>0</v>
      </c>
      <c r="J33" s="61">
        <f>EDESUR!I27</f>
        <v>0</v>
      </c>
      <c r="K33" s="119">
        <f t="shared" si="2"/>
        <v>6000</v>
      </c>
      <c r="L33" s="119">
        <f t="shared" si="3"/>
        <v>0</v>
      </c>
      <c r="M33" s="62">
        <f t="shared" si="4"/>
        <v>6000</v>
      </c>
      <c r="N33" s="69"/>
      <c r="O33" s="64">
        <f t="shared" si="6"/>
        <v>6180</v>
      </c>
      <c r="P33" s="32"/>
    </row>
    <row r="34" spans="1:16" ht="17.100000000000001" customHeight="1" thickBot="1" x14ac:dyDescent="0.3">
      <c r="A34" s="70"/>
      <c r="B34" s="70"/>
      <c r="C34" s="71"/>
      <c r="D34" s="71"/>
      <c r="E34" s="131">
        <f>SUM(E11:E33)</f>
        <v>99.999999999999986</v>
      </c>
      <c r="F34" s="41">
        <f>SUM(F11:F33)</f>
        <v>1996621.9000000001</v>
      </c>
      <c r="G34" s="46">
        <f>SUM(G11:G33)</f>
        <v>2038799.4999999998</v>
      </c>
      <c r="H34" s="46">
        <f>SUM(H11:H33)</f>
        <v>-42177.599999999977</v>
      </c>
      <c r="I34" s="46">
        <f t="shared" ref="I34:N34" si="10">SUM(I11:I33)</f>
        <v>360</v>
      </c>
      <c r="J34" s="46">
        <f t="shared" si="10"/>
        <v>0</v>
      </c>
      <c r="K34" s="99">
        <f t="shared" si="10"/>
        <v>2000000</v>
      </c>
      <c r="L34" s="46">
        <f t="shared" si="10"/>
        <v>0</v>
      </c>
      <c r="M34" s="72">
        <f>SUM(M11:M33)</f>
        <v>1958183.9000000001</v>
      </c>
      <c r="N34" s="72">
        <f t="shared" si="10"/>
        <v>2018053.7100000002</v>
      </c>
      <c r="O34" s="72">
        <f>SUM(O11:O33)</f>
        <v>2016928.9000000001</v>
      </c>
    </row>
    <row r="35" spans="1:16" ht="12.75" customHeight="1" x14ac:dyDescent="0.25">
      <c r="C35" s="38"/>
      <c r="D35" s="38"/>
    </row>
    <row r="36" spans="1:16" hidden="1" x14ac:dyDescent="0.25"/>
    <row r="37" spans="1:16" ht="9" customHeight="1" x14ac:dyDescent="0.25">
      <c r="C37" s="167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38" spans="1:16" ht="12" hidden="1" customHeight="1" x14ac:dyDescent="0.25"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</row>
    <row r="39" spans="1:16" ht="12" hidden="1" customHeight="1" x14ac:dyDescent="0.25"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</row>
    <row r="40" spans="1:16" ht="12" hidden="1" customHeight="1" x14ac:dyDescent="0.25"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</row>
    <row r="41" spans="1:16" ht="12" hidden="1" customHeight="1" x14ac:dyDescent="0.25"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</row>
    <row r="42" spans="1:16" ht="67.5" customHeight="1" x14ac:dyDescent="0.25"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</row>
  </sheetData>
  <mergeCells count="16">
    <mergeCell ref="E1:M1"/>
    <mergeCell ref="I9:I10"/>
    <mergeCell ref="F9:F10"/>
    <mergeCell ref="N9:N10"/>
    <mergeCell ref="G9:G10"/>
    <mergeCell ref="H9:H10"/>
    <mergeCell ref="J9:J10"/>
    <mergeCell ref="K9:K10"/>
    <mergeCell ref="L9:L10"/>
    <mergeCell ref="A4:O8"/>
    <mergeCell ref="O9:O10"/>
    <mergeCell ref="C37:M42"/>
    <mergeCell ref="D9:D10"/>
    <mergeCell ref="A9:A10"/>
    <mergeCell ref="C9:C10"/>
    <mergeCell ref="E9:E10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B3:J33"/>
  <sheetViews>
    <sheetView workbookViewId="0">
      <selection activeCell="E22" sqref="E22"/>
    </sheetView>
  </sheetViews>
  <sheetFormatPr baseColWidth="10" defaultRowHeight="15" x14ac:dyDescent="0.25"/>
  <cols>
    <col min="4" max="4" width="4" customWidth="1"/>
    <col min="5" max="5" width="21.7109375" customWidth="1"/>
    <col min="6" max="6" width="4.5703125" customWidth="1"/>
    <col min="7" max="7" width="24.42578125" customWidth="1"/>
    <col min="8" max="8" width="5" customWidth="1"/>
    <col min="10" max="10" width="19.5703125" customWidth="1"/>
  </cols>
  <sheetData>
    <row r="3" spans="2:10" x14ac:dyDescent="0.25">
      <c r="B3" s="141" t="s">
        <v>85</v>
      </c>
      <c r="C3" s="141" t="s">
        <v>86</v>
      </c>
      <c r="E3" s="143" t="s">
        <v>92</v>
      </c>
      <c r="G3" s="144" t="s">
        <v>93</v>
      </c>
      <c r="I3" s="195" t="s">
        <v>94</v>
      </c>
      <c r="J3" s="196"/>
    </row>
    <row r="4" spans="2:10" x14ac:dyDescent="0.25">
      <c r="B4" s="141"/>
      <c r="C4" s="141"/>
      <c r="E4" s="141"/>
      <c r="G4" s="145"/>
      <c r="I4" s="195"/>
      <c r="J4" s="196"/>
    </row>
    <row r="5" spans="2:10" x14ac:dyDescent="0.25">
      <c r="B5" s="141">
        <v>1</v>
      </c>
      <c r="C5" s="141" t="s">
        <v>87</v>
      </c>
      <c r="E5" s="146">
        <v>61353.383534261804</v>
      </c>
      <c r="F5" s="2"/>
      <c r="G5" s="147">
        <v>61353.383534261804</v>
      </c>
      <c r="I5" s="193">
        <f>E5-G5</f>
        <v>0</v>
      </c>
      <c r="J5" s="194"/>
    </row>
    <row r="6" spans="2:10" x14ac:dyDescent="0.25">
      <c r="B6" s="141">
        <v>1</v>
      </c>
      <c r="C6" s="141" t="s">
        <v>88</v>
      </c>
      <c r="E6" s="146">
        <v>34428.700834302756</v>
      </c>
      <c r="F6" s="2"/>
      <c r="G6" s="147">
        <v>34428.700834302756</v>
      </c>
      <c r="I6" s="193">
        <f t="shared" ref="I6:I21" si="0">E6-G6</f>
        <v>0</v>
      </c>
      <c r="J6" s="194"/>
    </row>
    <row r="7" spans="2:10" x14ac:dyDescent="0.25">
      <c r="B7" s="141">
        <v>1</v>
      </c>
      <c r="C7" s="141" t="s">
        <v>89</v>
      </c>
      <c r="E7" s="146">
        <v>14356.010802482968</v>
      </c>
      <c r="F7" s="2"/>
      <c r="G7" s="147">
        <v>14356.010802482968</v>
      </c>
      <c r="I7" s="193">
        <f t="shared" si="0"/>
        <v>0</v>
      </c>
      <c r="J7" s="194"/>
    </row>
    <row r="8" spans="2:10" x14ac:dyDescent="0.25">
      <c r="B8" s="141">
        <v>2</v>
      </c>
      <c r="C8" s="141" t="s">
        <v>87</v>
      </c>
      <c r="E8" s="146">
        <v>12061.218355435631</v>
      </c>
      <c r="F8" s="2"/>
      <c r="G8" s="147">
        <v>12061.218355435631</v>
      </c>
      <c r="I8" s="193">
        <f t="shared" si="0"/>
        <v>0</v>
      </c>
      <c r="J8" s="194"/>
    </row>
    <row r="9" spans="2:10" x14ac:dyDescent="0.25">
      <c r="B9" s="142">
        <v>2</v>
      </c>
      <c r="C9" s="142" t="s">
        <v>90</v>
      </c>
      <c r="E9" s="146">
        <v>53068.035404197428</v>
      </c>
      <c r="F9" s="2"/>
      <c r="G9" s="147">
        <v>53068.035404197428</v>
      </c>
      <c r="I9" s="193">
        <f t="shared" si="0"/>
        <v>0</v>
      </c>
      <c r="J9" s="194"/>
    </row>
    <row r="10" spans="2:10" x14ac:dyDescent="0.25">
      <c r="B10" s="142">
        <v>2</v>
      </c>
      <c r="C10" s="142" t="s">
        <v>88</v>
      </c>
      <c r="E10" s="146">
        <v>9841.6389016527519</v>
      </c>
      <c r="F10" s="2"/>
      <c r="G10" s="147">
        <v>9841.6389016527519</v>
      </c>
      <c r="I10" s="193">
        <f t="shared" si="0"/>
        <v>0</v>
      </c>
      <c r="J10" s="194"/>
    </row>
    <row r="11" spans="2:10" x14ac:dyDescent="0.25">
      <c r="B11" s="142">
        <v>2</v>
      </c>
      <c r="C11" s="142" t="s">
        <v>89</v>
      </c>
      <c r="E11" s="146">
        <v>9327.3712310195588</v>
      </c>
      <c r="F11" s="2"/>
      <c r="G11" s="147">
        <v>9327.3712310195588</v>
      </c>
      <c r="I11" s="193">
        <f t="shared" si="0"/>
        <v>0</v>
      </c>
      <c r="J11" s="194"/>
    </row>
    <row r="12" spans="2:10" x14ac:dyDescent="0.25">
      <c r="B12" s="142">
        <v>3</v>
      </c>
      <c r="C12" s="142" t="s">
        <v>87</v>
      </c>
      <c r="E12" s="146">
        <v>9216.1440460861631</v>
      </c>
      <c r="F12" s="2"/>
      <c r="G12" s="147">
        <v>9216.1440460861631</v>
      </c>
      <c r="I12" s="193">
        <f t="shared" si="0"/>
        <v>0</v>
      </c>
      <c r="J12" s="194"/>
    </row>
    <row r="13" spans="2:10" x14ac:dyDescent="0.25">
      <c r="B13" s="141">
        <v>3</v>
      </c>
      <c r="C13" s="141" t="s">
        <v>90</v>
      </c>
      <c r="E13" s="146">
        <v>23200.609218392572</v>
      </c>
      <c r="F13" s="2"/>
      <c r="G13" s="147">
        <v>23200.609218392572</v>
      </c>
      <c r="I13" s="193">
        <f t="shared" si="0"/>
        <v>0</v>
      </c>
      <c r="J13" s="194"/>
    </row>
    <row r="14" spans="2:10" x14ac:dyDescent="0.25">
      <c r="B14" s="142">
        <v>3</v>
      </c>
      <c r="C14" s="142" t="s">
        <v>88</v>
      </c>
      <c r="E14" s="146">
        <v>7781.0089492021225</v>
      </c>
      <c r="F14" s="2"/>
      <c r="G14" s="147">
        <v>7781.0089492021225</v>
      </c>
      <c r="I14" s="193">
        <f t="shared" si="0"/>
        <v>0</v>
      </c>
      <c r="J14" s="194"/>
    </row>
    <row r="15" spans="2:10" x14ac:dyDescent="0.25">
      <c r="B15" s="142">
        <v>3</v>
      </c>
      <c r="C15" s="142" t="s">
        <v>89</v>
      </c>
      <c r="E15" s="146">
        <v>10351.832144880002</v>
      </c>
      <c r="F15" s="2"/>
      <c r="G15" s="147">
        <v>10351.832144880002</v>
      </c>
      <c r="I15" s="193">
        <f t="shared" si="0"/>
        <v>0</v>
      </c>
      <c r="J15" s="194"/>
    </row>
    <row r="16" spans="2:10" x14ac:dyDescent="0.25">
      <c r="B16" s="141">
        <v>4</v>
      </c>
      <c r="C16" s="141" t="s">
        <v>87</v>
      </c>
      <c r="E16" s="146">
        <v>49509.655303807594</v>
      </c>
      <c r="F16" s="2"/>
      <c r="G16" s="147">
        <v>49509.655303807594</v>
      </c>
      <c r="I16" s="193">
        <f t="shared" si="0"/>
        <v>0</v>
      </c>
      <c r="J16" s="194"/>
    </row>
    <row r="17" spans="2:10" x14ac:dyDescent="0.25">
      <c r="B17" s="142">
        <v>4</v>
      </c>
      <c r="C17" s="142" t="s">
        <v>90</v>
      </c>
      <c r="E17" s="146">
        <v>16866.513739552778</v>
      </c>
      <c r="F17" s="2"/>
      <c r="G17" s="147">
        <v>16866.513739552778</v>
      </c>
      <c r="I17" s="193">
        <f t="shared" si="0"/>
        <v>0</v>
      </c>
      <c r="J17" s="194"/>
    </row>
    <row r="18" spans="2:10" x14ac:dyDescent="0.25">
      <c r="B18" s="141">
        <v>4</v>
      </c>
      <c r="C18" s="141" t="s">
        <v>88</v>
      </c>
      <c r="E18" s="146">
        <v>24968.536052597399</v>
      </c>
      <c r="F18" s="2"/>
      <c r="G18" s="147">
        <v>24968.536052597399</v>
      </c>
      <c r="I18" s="193">
        <f t="shared" si="0"/>
        <v>0</v>
      </c>
      <c r="J18" s="194"/>
    </row>
    <row r="19" spans="2:10" x14ac:dyDescent="0.25">
      <c r="B19" s="142">
        <v>4</v>
      </c>
      <c r="C19" s="142" t="s">
        <v>89</v>
      </c>
      <c r="E19" s="146">
        <v>10779.178697518902</v>
      </c>
      <c r="F19" s="2"/>
      <c r="G19" s="147">
        <v>10779.178697518902</v>
      </c>
      <c r="I19" s="193">
        <f t="shared" si="0"/>
        <v>0</v>
      </c>
      <c r="J19" s="194"/>
    </row>
    <row r="20" spans="2:10" x14ac:dyDescent="0.25">
      <c r="B20" s="141"/>
      <c r="C20" s="141"/>
      <c r="E20" s="141"/>
      <c r="G20" s="145"/>
      <c r="I20" s="193"/>
      <c r="J20" s="194"/>
    </row>
    <row r="21" spans="2:10" x14ac:dyDescent="0.25">
      <c r="B21" s="141"/>
      <c r="C21" s="141"/>
      <c r="E21" s="150">
        <f>SUM(E5:E20)</f>
        <v>347109.83721539041</v>
      </c>
      <c r="G21" s="147">
        <f>SUM(G5:G20)</f>
        <v>347109.83721539041</v>
      </c>
      <c r="I21" s="193">
        <f t="shared" si="0"/>
        <v>0</v>
      </c>
      <c r="J21" s="194"/>
    </row>
    <row r="22" spans="2:10" x14ac:dyDescent="0.25">
      <c r="B22" s="141" t="s">
        <v>91</v>
      </c>
      <c r="C22" s="141">
        <v>1</v>
      </c>
      <c r="E22" s="160">
        <v>723.43331893167124</v>
      </c>
      <c r="G22" s="161">
        <v>723.43331893167124</v>
      </c>
      <c r="I22" s="193">
        <f t="shared" ref="I22" si="1">E22-G22</f>
        <v>0</v>
      </c>
      <c r="J22" s="194"/>
    </row>
    <row r="23" spans="2:10" x14ac:dyDescent="0.25">
      <c r="B23" s="141" t="s">
        <v>91</v>
      </c>
      <c r="C23" s="141">
        <v>2</v>
      </c>
      <c r="E23" s="160">
        <v>620.08570194143249</v>
      </c>
      <c r="G23" s="161">
        <v>620.08570194143249</v>
      </c>
      <c r="I23" s="193">
        <f t="shared" ref="I23:I31" si="2">E23-G23</f>
        <v>0</v>
      </c>
      <c r="J23" s="194"/>
    </row>
    <row r="24" spans="2:10" x14ac:dyDescent="0.25">
      <c r="B24" s="141" t="s">
        <v>91</v>
      </c>
      <c r="C24" s="141">
        <v>3</v>
      </c>
      <c r="E24" s="160">
        <v>620.08570194143249</v>
      </c>
      <c r="G24" s="161">
        <v>620.08570194143249</v>
      </c>
      <c r="I24" s="193">
        <f t="shared" si="2"/>
        <v>0</v>
      </c>
      <c r="J24" s="194"/>
    </row>
    <row r="25" spans="2:10" x14ac:dyDescent="0.25">
      <c r="B25" s="141" t="s">
        <v>91</v>
      </c>
      <c r="C25" s="141">
        <v>4</v>
      </c>
      <c r="E25" s="160">
        <v>620.08570194143249</v>
      </c>
      <c r="G25" s="161">
        <v>620.08570194143249</v>
      </c>
      <c r="I25" s="193">
        <f t="shared" si="2"/>
        <v>0</v>
      </c>
      <c r="J25" s="194"/>
    </row>
    <row r="26" spans="2:10" x14ac:dyDescent="0.25">
      <c r="B26" s="141" t="s">
        <v>91</v>
      </c>
      <c r="C26" s="141">
        <v>5</v>
      </c>
      <c r="E26" s="160">
        <v>620.08570194143249</v>
      </c>
      <c r="G26" s="161">
        <v>620.08570194143249</v>
      </c>
      <c r="I26" s="193">
        <f t="shared" si="2"/>
        <v>0</v>
      </c>
      <c r="J26" s="194"/>
    </row>
    <row r="27" spans="2:10" x14ac:dyDescent="0.25">
      <c r="B27" s="141" t="s">
        <v>91</v>
      </c>
      <c r="C27" s="141">
        <v>6</v>
      </c>
      <c r="E27" s="160">
        <v>310.04285097071624</v>
      </c>
      <c r="G27" s="161">
        <v>310.04285097071624</v>
      </c>
      <c r="I27" s="193">
        <f t="shared" si="2"/>
        <v>0</v>
      </c>
      <c r="J27" s="194"/>
    </row>
    <row r="28" spans="2:10" x14ac:dyDescent="0.25">
      <c r="B28" s="141" t="s">
        <v>91</v>
      </c>
      <c r="C28" s="141">
        <v>7</v>
      </c>
      <c r="E28" s="160">
        <v>310.04285097071624</v>
      </c>
      <c r="G28" s="161">
        <v>310.04285097071624</v>
      </c>
      <c r="I28" s="193">
        <f t="shared" si="2"/>
        <v>0</v>
      </c>
      <c r="J28" s="194"/>
    </row>
    <row r="29" spans="2:10" x14ac:dyDescent="0.25">
      <c r="B29" s="141" t="s">
        <v>91</v>
      </c>
      <c r="C29" s="141">
        <v>8</v>
      </c>
      <c r="E29" s="160">
        <v>310.04285097071624</v>
      </c>
      <c r="G29" s="161">
        <v>310.04285097071624</v>
      </c>
      <c r="I29" s="193">
        <f t="shared" si="2"/>
        <v>0</v>
      </c>
      <c r="J29" s="194"/>
    </row>
    <row r="30" spans="2:10" x14ac:dyDescent="0.25">
      <c r="E30" s="150">
        <f>SUM(E22:E29)</f>
        <v>4133.9046796095499</v>
      </c>
      <c r="G30" s="147">
        <f>SUM(G22:G29)</f>
        <v>4133.9046796095499</v>
      </c>
      <c r="I30" s="193">
        <f t="shared" si="2"/>
        <v>0</v>
      </c>
      <c r="J30" s="194"/>
    </row>
    <row r="31" spans="2:10" x14ac:dyDescent="0.25">
      <c r="E31" s="150"/>
      <c r="G31" s="147"/>
      <c r="I31" s="193">
        <f t="shared" si="2"/>
        <v>0</v>
      </c>
      <c r="J31" s="194"/>
    </row>
    <row r="32" spans="2:10" x14ac:dyDescent="0.25">
      <c r="E32" s="148"/>
      <c r="G32" s="149"/>
      <c r="I32" s="193"/>
      <c r="J32" s="194"/>
    </row>
    <row r="33" spans="5:10" x14ac:dyDescent="0.25">
      <c r="E33" s="150">
        <f>E30+E21</f>
        <v>351243.74189499998</v>
      </c>
      <c r="G33" s="147">
        <f>G21+G30</f>
        <v>351243.74189499998</v>
      </c>
      <c r="I33" s="193">
        <f>E33-G33</f>
        <v>0</v>
      </c>
      <c r="J33" s="194"/>
    </row>
  </sheetData>
  <mergeCells count="31">
    <mergeCell ref="I31:J31"/>
    <mergeCell ref="I32:J32"/>
    <mergeCell ref="I33:J33"/>
    <mergeCell ref="I4:J4"/>
    <mergeCell ref="I25:J25"/>
    <mergeCell ref="I26:J26"/>
    <mergeCell ref="I27:J27"/>
    <mergeCell ref="I28:J28"/>
    <mergeCell ref="I29:J29"/>
    <mergeCell ref="I30:J30"/>
    <mergeCell ref="I19:J19"/>
    <mergeCell ref="I20:J20"/>
    <mergeCell ref="I21:J21"/>
    <mergeCell ref="I22:J22"/>
    <mergeCell ref="I23:J23"/>
    <mergeCell ref="I24:J24"/>
    <mergeCell ref="I18:J18"/>
    <mergeCell ref="I3:J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2025-12-01T20:53:24Z</cp:lastPrinted>
  <dcterms:created xsi:type="dcterms:W3CDTF">2023-09-17T12:29:07Z</dcterms:created>
  <dcterms:modified xsi:type="dcterms:W3CDTF">2025-12-01T21:17:50Z</dcterms:modified>
</cp:coreProperties>
</file>