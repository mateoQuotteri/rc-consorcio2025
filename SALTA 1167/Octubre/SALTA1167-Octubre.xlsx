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neDrive\Desktop\RC CONSORCIO 2025\SALTA 1167\Octubre\"/>
    </mc:Choice>
  </mc:AlternateContent>
  <xr:revisionPtr revIDLastSave="0" documentId="13_ncr:1_{59E01538-D8B4-4936-92C5-3C116AF4CA73}" xr6:coauthVersionLast="47" xr6:coauthVersionMax="47" xr10:uidLastSave="{00000000-0000-0000-0000-000000000000}"/>
  <bookViews>
    <workbookView xWindow="-120" yWindow="-120" windowWidth="20730" windowHeight="11160" tabRatio="850" activeTab="1" xr2:uid="{00000000-000D-0000-FFFF-FFFF00000000}"/>
  </bookViews>
  <sheets>
    <sheet name="RESUMEN" sheetId="1" r:id="rId1"/>
    <sheet name="PRORRATEO" sheetId="2" r:id="rId2"/>
    <sheet name="EDESUR" sheetId="3" r:id="rId3"/>
  </sheets>
  <definedNames>
    <definedName name="_xlnm.Print_Area" localSheetId="2">EDESUR!$B$3:$J$35</definedName>
    <definedName name="_xlnm.Print_Area" localSheetId="1">PRORRATEO!$A$1:$O$42</definedName>
    <definedName name="_xlnm.Print_Area" localSheetId="0">RESUMEN!$A$1:$E$103</definedName>
  </definedNames>
  <calcPr calcId="181029"/>
</workbook>
</file>

<file path=xl/calcChain.xml><?xml version="1.0" encoding="utf-8"?>
<calcChain xmlns="http://schemas.openxmlformats.org/spreadsheetml/2006/main">
  <c r="G22" i="2" l="1"/>
  <c r="G17" i="2"/>
  <c r="G14" i="2"/>
  <c r="G15" i="2"/>
  <c r="G30" i="2"/>
  <c r="E49" i="1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11" i="2"/>
  <c r="L11" i="2"/>
  <c r="G20" i="2"/>
  <c r="G19" i="2"/>
  <c r="G31" i="2"/>
  <c r="G29" i="2"/>
  <c r="G12" i="2"/>
  <c r="G32" i="2"/>
  <c r="G21" i="2" s="1"/>
  <c r="G33" i="2"/>
  <c r="G13" i="2"/>
  <c r="G24" i="2"/>
  <c r="G18" i="2"/>
  <c r="G27" i="2"/>
  <c r="G11" i="2" s="1"/>
  <c r="G28" i="2"/>
  <c r="G26" i="2"/>
  <c r="G16" i="2"/>
  <c r="G23" i="2"/>
  <c r="E43" i="1"/>
  <c r="G33" i="3"/>
  <c r="I33" i="3" s="1"/>
  <c r="G30" i="3"/>
  <c r="I22" i="3"/>
  <c r="J28" i="2" s="1"/>
  <c r="J22" i="2"/>
  <c r="J12" i="2"/>
  <c r="J13" i="2"/>
  <c r="J14" i="2"/>
  <c r="J15" i="2"/>
  <c r="J16" i="2"/>
  <c r="J17" i="2"/>
  <c r="J18" i="2"/>
  <c r="J19" i="2"/>
  <c r="J20" i="2"/>
  <c r="J21" i="2"/>
  <c r="J23" i="2"/>
  <c r="J24" i="2"/>
  <c r="J25" i="2"/>
  <c r="J27" i="2"/>
  <c r="J11" i="2"/>
  <c r="I23" i="3"/>
  <c r="J29" i="2" s="1"/>
  <c r="I24" i="3"/>
  <c r="J30" i="2" s="1"/>
  <c r="I25" i="3"/>
  <c r="J31" i="2" s="1"/>
  <c r="I26" i="3"/>
  <c r="J32" i="2" s="1"/>
  <c r="I27" i="3"/>
  <c r="J33" i="2" s="1"/>
  <c r="I28" i="3"/>
  <c r="I29" i="3"/>
  <c r="I30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1" i="3"/>
  <c r="I5" i="3"/>
  <c r="I31" i="3"/>
  <c r="G21" i="3"/>
  <c r="J26" i="2" l="1"/>
  <c r="E33" i="1" l="1"/>
  <c r="L29" i="2"/>
  <c r="L30" i="2"/>
  <c r="L31" i="2"/>
  <c r="L32" i="2"/>
  <c r="L33" i="2"/>
  <c r="H29" i="2"/>
  <c r="I29" i="2" s="1"/>
  <c r="H30" i="2"/>
  <c r="I30" i="2" s="1"/>
  <c r="H31" i="2"/>
  <c r="I31" i="2" s="1"/>
  <c r="H32" i="2"/>
  <c r="I32" i="2" s="1"/>
  <c r="H33" i="2"/>
  <c r="I33" i="2" s="1"/>
  <c r="E34" i="2"/>
  <c r="M32" i="2" l="1"/>
  <c r="O32" i="2" s="1"/>
  <c r="M33" i="2"/>
  <c r="O33" i="2" s="1"/>
  <c r="M31" i="2"/>
  <c r="O31" i="2" s="1"/>
  <c r="M30" i="2"/>
  <c r="O30" i="2" s="1"/>
  <c r="E47" i="1" l="1"/>
  <c r="E39" i="1"/>
  <c r="E26" i="1"/>
  <c r="G25" i="2" l="1"/>
  <c r="E23" i="1" l="1"/>
  <c r="L12" i="2" l="1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C37" i="2" l="1"/>
  <c r="H22" i="2" l="1"/>
  <c r="E59" i="1" l="1"/>
  <c r="E64" i="1" s="1"/>
  <c r="B68" i="1" s="1"/>
  <c r="B84" i="1" l="1"/>
  <c r="B91" i="1"/>
  <c r="B102" i="1"/>
  <c r="B80" i="1" l="1"/>
  <c r="B92" i="1"/>
  <c r="H25" i="2" l="1"/>
  <c r="M10" i="2" l="1"/>
  <c r="P12" i="2" l="1"/>
  <c r="P13" i="2" s="1"/>
  <c r="P14" i="2" s="1"/>
  <c r="P15" i="2" s="1"/>
  <c r="P16" i="2" s="1"/>
  <c r="P17" i="2" s="1"/>
  <c r="P18" i="2" s="1"/>
  <c r="P19" i="2" s="1"/>
  <c r="P20" i="2" s="1"/>
  <c r="P21" i="2" s="1"/>
  <c r="P22" i="2" s="1"/>
  <c r="P23" i="2" s="1"/>
  <c r="P24" i="2" s="1"/>
  <c r="P25" i="2" s="1"/>
  <c r="P26" i="2" s="1"/>
  <c r="P27" i="2" s="1"/>
  <c r="P28" i="2" s="1"/>
  <c r="P29" i="2" s="1"/>
  <c r="M29" i="2" s="1"/>
  <c r="O29" i="2" s="1"/>
  <c r="G34" i="2" l="1"/>
  <c r="F34" i="2"/>
  <c r="B78" i="1" l="1"/>
  <c r="B93" i="1"/>
  <c r="H12" i="2"/>
  <c r="H13" i="2"/>
  <c r="H14" i="2"/>
  <c r="H15" i="2"/>
  <c r="H16" i="2"/>
  <c r="H17" i="2"/>
  <c r="H18" i="2"/>
  <c r="H19" i="2"/>
  <c r="H20" i="2"/>
  <c r="H21" i="2"/>
  <c r="H23" i="2"/>
  <c r="H24" i="2"/>
  <c r="H26" i="2"/>
  <c r="H27" i="2"/>
  <c r="H28" i="2"/>
  <c r="H11" i="2"/>
  <c r="B69" i="1" l="1"/>
  <c r="H34" i="2"/>
  <c r="I28" i="2"/>
  <c r="I16" i="2"/>
  <c r="I27" i="2"/>
  <c r="I23" i="2"/>
  <c r="I19" i="2"/>
  <c r="I15" i="2"/>
  <c r="I24" i="2"/>
  <c r="I12" i="2"/>
  <c r="I26" i="2"/>
  <c r="I22" i="2"/>
  <c r="I18" i="2"/>
  <c r="I14" i="2"/>
  <c r="I20" i="2"/>
  <c r="I25" i="2"/>
  <c r="I21" i="2"/>
  <c r="I17" i="2"/>
  <c r="I13" i="2"/>
  <c r="I11" i="2"/>
  <c r="J34" i="2"/>
  <c r="I34" i="2" l="1"/>
  <c r="E51" i="1" l="1"/>
  <c r="M12" i="2" l="1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11" i="2"/>
  <c r="M34" i="2" l="1"/>
  <c r="O28" i="2"/>
  <c r="O24" i="2"/>
  <c r="O20" i="2"/>
  <c r="O16" i="2"/>
  <c r="O12" i="2"/>
  <c r="O11" i="2"/>
  <c r="O27" i="2"/>
  <c r="O23" i="2"/>
  <c r="O19" i="2"/>
  <c r="O15" i="2"/>
  <c r="O26" i="2"/>
  <c r="O22" i="2"/>
  <c r="O18" i="2"/>
  <c r="O14" i="2"/>
  <c r="O25" i="2"/>
  <c r="O21" i="2"/>
  <c r="O17" i="2"/>
  <c r="O13" i="2"/>
  <c r="N19" i="2"/>
  <c r="N26" i="2"/>
  <c r="N22" i="2"/>
  <c r="N18" i="2"/>
  <c r="N14" i="2"/>
  <c r="N11" i="2"/>
  <c r="N23" i="2"/>
  <c r="N25" i="2"/>
  <c r="N21" i="2"/>
  <c r="N17" i="2"/>
  <c r="N13" i="2"/>
  <c r="N27" i="2"/>
  <c r="N15" i="2"/>
  <c r="N28" i="2"/>
  <c r="N24" i="2"/>
  <c r="N20" i="2"/>
  <c r="N16" i="2"/>
  <c r="N12" i="2"/>
  <c r="K34" i="2"/>
  <c r="O34" i="2" l="1"/>
  <c r="B67" i="1"/>
  <c r="B90" i="1" s="1"/>
  <c r="B95" i="1" s="1"/>
  <c r="B83" i="1" l="1"/>
  <c r="B85" i="1" s="1"/>
  <c r="B66" i="1"/>
  <c r="L34" i="2" l="1"/>
  <c r="N34" i="2" l="1"/>
</calcChain>
</file>

<file path=xl/sharedStrings.xml><?xml version="1.0" encoding="utf-8"?>
<sst xmlns="http://schemas.openxmlformats.org/spreadsheetml/2006/main" count="179" uniqueCount="139">
  <si>
    <t>LIQUIDACION DE EXPENSAS</t>
  </si>
  <si>
    <t>TOTAL IMPUESTO</t>
  </si>
  <si>
    <t>TOTAL ABONOS Y SERVICIOS</t>
  </si>
  <si>
    <t>UF</t>
  </si>
  <si>
    <t>Propietario</t>
  </si>
  <si>
    <t xml:space="preserve">Ingreso </t>
  </si>
  <si>
    <t>TOTAL</t>
  </si>
  <si>
    <t>GASTOS ORDINARIOS UNIDADES FUNCIONALES:</t>
  </si>
  <si>
    <t xml:space="preserve"> (%)</t>
  </si>
  <si>
    <t>GASTOS BANCARIOS</t>
  </si>
  <si>
    <t>GASTOS ORDINARIOS + PREVISION :</t>
  </si>
  <si>
    <t>GASTOS ORDINARIOS SIN PREVISION:</t>
  </si>
  <si>
    <t xml:space="preserve">TOTAL </t>
  </si>
  <si>
    <t>ABONOS Y SERVICIOS</t>
  </si>
  <si>
    <t>HONORARIOS</t>
  </si>
  <si>
    <t>GASTOS EXTRAORDINARIOS SIN PREVISION:</t>
  </si>
  <si>
    <t>Egresos Ordinarios</t>
  </si>
  <si>
    <t>Egresos Extraordinarios</t>
  </si>
  <si>
    <t>Total 2do Vto.</t>
  </si>
  <si>
    <t>Inquilinos</t>
  </si>
  <si>
    <t>CUIT ADMINISTRACION: 27231256879</t>
  </si>
  <si>
    <t>HORARIOS DE ATENCION: LUNES A VIERNES</t>
  </si>
  <si>
    <t>10 A 16HS - EMERGENCIAS 24HS</t>
  </si>
  <si>
    <t>Deuda o Saldo a favor</t>
  </si>
  <si>
    <t xml:space="preserve">SEGUROS </t>
  </si>
  <si>
    <t>DEPOSITOS NO IDENTIFICADOS</t>
  </si>
  <si>
    <t>RESUMEN</t>
  </si>
  <si>
    <t>Total 2do Vto</t>
  </si>
  <si>
    <t>Total 1er Vto</t>
  </si>
  <si>
    <t>ADMINISTRADORA: CAROLINA CANCIANI MP:1148</t>
  </si>
  <si>
    <t>GASTOS EXTRAORDINARIOS CON PREVISION:</t>
  </si>
  <si>
    <t xml:space="preserve">Deposito sin identificar </t>
  </si>
  <si>
    <t>Interes 3%</t>
  </si>
  <si>
    <t>Punitorios mal cobrados</t>
  </si>
  <si>
    <t>CAJA REAL</t>
  </si>
  <si>
    <t xml:space="preserve">Saldo Ord </t>
  </si>
  <si>
    <t>Egresos del mes ordinarios</t>
  </si>
  <si>
    <t>Egresos del mes extrordinarios</t>
  </si>
  <si>
    <t>Ingresos</t>
  </si>
  <si>
    <t xml:space="preserve">Punitorios mal cobrados </t>
  </si>
  <si>
    <t>CONSORCIO DE PROPIETARIOS DEL EDIFICIO CALLE YRIGOYEN 9730</t>
  </si>
  <si>
    <t>Pagos sin identificar</t>
  </si>
  <si>
    <t>Mantenimiento de cuenta</t>
  </si>
  <si>
    <t>Honorarios administracion</t>
  </si>
  <si>
    <t>VTO 14/11</t>
  </si>
  <si>
    <t>PERÍODO: OCTUBRE</t>
  </si>
  <si>
    <t>1  A</t>
  </si>
  <si>
    <t>MIRAGLIA NORBERTO JOSE</t>
  </si>
  <si>
    <t>1  C</t>
  </si>
  <si>
    <t>ADAMO PABLO MARIANO</t>
  </si>
  <si>
    <t>1  D</t>
  </si>
  <si>
    <t>REDONDO</t>
  </si>
  <si>
    <t>2  B</t>
  </si>
  <si>
    <t>CRUZ ADRIANA BEATRIZ</t>
  </si>
  <si>
    <t>2  C</t>
  </si>
  <si>
    <t>D AMURI  JOSE  LUIS</t>
  </si>
  <si>
    <t>2  D</t>
  </si>
  <si>
    <t>CAMPOLONGO LUIS</t>
  </si>
  <si>
    <t>2  A</t>
  </si>
  <si>
    <t>PEREZ FERNANDO ARIEL</t>
  </si>
  <si>
    <t>3  B</t>
  </si>
  <si>
    <t>BURGOA CARINA</t>
  </si>
  <si>
    <t>3  C</t>
  </si>
  <si>
    <t>GIL ROSANNA MABEL</t>
  </si>
  <si>
    <t>3  D</t>
  </si>
  <si>
    <t>FELIX ALBERTO</t>
  </si>
  <si>
    <t>3  A</t>
  </si>
  <si>
    <t>CAMPANA WALTER CESAR</t>
  </si>
  <si>
    <t>4  B</t>
  </si>
  <si>
    <t>PALMA JOSE  AGUSTIN</t>
  </si>
  <si>
    <t>4  C</t>
  </si>
  <si>
    <t>BENITEZ EMILIA ISABEL</t>
  </si>
  <si>
    <t>4  D</t>
  </si>
  <si>
    <t>PUCHETA SANTIAGO / CLARA</t>
  </si>
  <si>
    <t>4  A</t>
  </si>
  <si>
    <t>CAMPANA MIRIAM NOEMI</t>
  </si>
  <si>
    <t>COC 1</t>
  </si>
  <si>
    <t>COC 2</t>
  </si>
  <si>
    <t>COC 3</t>
  </si>
  <si>
    <t>COC 4</t>
  </si>
  <si>
    <t>COC 5</t>
  </si>
  <si>
    <t>COC 6</t>
  </si>
  <si>
    <t>COC 7</t>
  </si>
  <si>
    <t>COC 8</t>
  </si>
  <si>
    <t>REDONDO HECTOR</t>
  </si>
  <si>
    <t>Pila energizer AAA - Madero Bytes SA</t>
  </si>
  <si>
    <t>Metrogas</t>
  </si>
  <si>
    <t>Edesur</t>
  </si>
  <si>
    <t>AySa</t>
  </si>
  <si>
    <t>Gilmer</t>
  </si>
  <si>
    <t>Cristian</t>
  </si>
  <si>
    <t>Alan/Ailen</t>
  </si>
  <si>
    <t>Jhonatan</t>
  </si>
  <si>
    <t>Juan Ignacio / Mariel Cruz</t>
  </si>
  <si>
    <t>Gaston ibarra</t>
  </si>
  <si>
    <t>Digitalizacion acta de desingnacion y rubrica del libro - Escribania Romanatti</t>
  </si>
  <si>
    <t>Padron Gustavo - Contador - Gestion en ARCA - Inscripcion en ARCA</t>
  </si>
  <si>
    <t xml:space="preserve">MAIL: salta1167rc@gmail.com
</t>
  </si>
  <si>
    <t>CUIT DEL EDIFICIO: 30-719118061-9</t>
  </si>
  <si>
    <t>Federacion patronal  Seguro obligatorio de consorcio - Poliza nro. 2223190</t>
  </si>
  <si>
    <t>CONSORCIO DE PROPIETARIOS EDIFICIO CALLE SALTA 1167/1169                                                                                                                                                                                           C DE P SALTA 1167 1169 LANUS           
CTA CTE $   039 - 22273/6  CBU: 0720039720000002227368</t>
  </si>
  <si>
    <t xml:space="preserve">LIMPIEZA </t>
  </si>
  <si>
    <t>Full Clean - Servicio de limpieza - Esperando definicion de traspaso</t>
  </si>
  <si>
    <t>Servicio de interet Claro</t>
  </si>
  <si>
    <t>Ascensores Guillemi - Mantenimiento de ascesores - No se abona aguardando traspaso</t>
  </si>
  <si>
    <t xml:space="preserve">SALDO EN BANCO </t>
  </si>
  <si>
    <t xml:space="preserve">Sr cossentino - Traspaso administracion </t>
  </si>
  <si>
    <t xml:space="preserve">Si.Pro.Da </t>
  </si>
  <si>
    <t>Fotocopias septiembre (Gestion de administracion saliente)</t>
  </si>
  <si>
    <t>Gastos bancarios - Mes de septiembre Administracion anterior</t>
  </si>
  <si>
    <t>EDESUR</t>
  </si>
  <si>
    <t>Piso</t>
  </si>
  <si>
    <t>Depto</t>
  </si>
  <si>
    <t>A</t>
  </si>
  <si>
    <t>C</t>
  </si>
  <si>
    <t>D</t>
  </si>
  <si>
    <t>B</t>
  </si>
  <si>
    <t>Totales</t>
  </si>
  <si>
    <t>Cochera</t>
  </si>
  <si>
    <t>Total Edesur x Depto</t>
  </si>
  <si>
    <t>Bonificado x EDESUR</t>
  </si>
  <si>
    <t>SALDO a PAGAR</t>
  </si>
  <si>
    <t>Mp 03/10</t>
  </si>
  <si>
    <t>Mp 06/10</t>
  </si>
  <si>
    <t>Mp 28/10</t>
  </si>
  <si>
    <t>Daniel Leiva</t>
  </si>
  <si>
    <t>Leandro Gonzalez</t>
  </si>
  <si>
    <t xml:space="preserve">Gaston Miranda </t>
  </si>
  <si>
    <t>Antonella</t>
  </si>
  <si>
    <t>Martina Belen Carbone</t>
  </si>
  <si>
    <t>¡IMPORTANTE!                                                                                                                                                                                                                                                                                                                                                                    Estimados convivientes:
Les solicitamos, por favor, que al momento de realizar el pago respeten los centavos que figuran en el monto indicado, ya que estos nos permiten identificar correctamente los pagos y las unidades funcionales, reduciendo así el margen de error.
Muchas gracias por su colaboración.</t>
  </si>
  <si>
    <t>Gastos A</t>
  </si>
  <si>
    <t>Gastos B</t>
  </si>
  <si>
    <t>TOTAL GASTOS A</t>
  </si>
  <si>
    <t>GASTOS B:</t>
  </si>
  <si>
    <t>TOTAL GASTOS B:</t>
  </si>
  <si>
    <t>PREVISION GASTOS B</t>
  </si>
  <si>
    <t>PREVISION GASTOS A</t>
  </si>
  <si>
    <t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</si>
</sst>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&quot;$&quot;\ #,##0.00;[Red]\-&quot;$&quot;\ #,##0.00"/>
    <numFmt numFmtId="44" formatCode="_-&quot;$&quot;\ * #,##0.00_-;\-&quot;$&quot;\ * #,##0.00_-;_-&quot;$&quot;\ * &quot;-&quot;??_-;_-@_-"/>
    <numFmt numFmtId="43" formatCode="_-* #,##0.00_-;\-* #,##0.00_-;_-* &quot;-&quot;??_-;_-@_-"/>
    <numFmt numFmtId="164" formatCode="_ &quot;$&quot;\ * #,##0.00_ ;_ &quot;$&quot;\ * \-#,##0.00_ ;_ &quot;$&quot;\ * &quot;-&quot;??_ ;_ @_ "/>
    <numFmt numFmtId="165" formatCode="_-&quot;$&quot;\ * #,##0_-;\-&quot;$&quot;\ * #,##0_-;_-&quot;$&quot;\ * &quot;-&quot;??_-;_-@_-"/>
    <numFmt numFmtId="166" formatCode="_-&quot;$&quot;\ * #,##0.0_-;\-&quot;$&quot;\ * #,##0.0_-;_-&quot;$&quot;\ * &quot;-&quot;??_-;_-@_-"/>
    <numFmt numFmtId="167" formatCode="_-&quot;$&quot;\ * #,##0.0_-;\-&quot;$&quot;\ * #,##0.0_-;_-&quot;$&quot;\ * &quot;-&quot;?_-;_-@_-"/>
    <numFmt numFmtId="168" formatCode="_-[$$-2C0A]\ * #,##0.00_-;\-[$$-2C0A]\ * #,##0.00_-;_-[$$-2C0A]\ * &quot;-&quot;??_-;_-@_-"/>
    <numFmt numFmtId="169" formatCode="0.000"/>
    <numFmt numFmtId="170" formatCode="_-[$$-2C0A]\ * #,##0.0_-;\-[$$-2C0A]\ * #,##0.0_-;_-[$$-2C0A]\ 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name val="Calibri"/>
      <family val="2"/>
      <scheme val="minor"/>
    </font>
    <font>
      <b/>
      <i/>
      <u/>
      <sz val="1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FF0000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0"/>
      <name val="Calibri"/>
      <family val="2"/>
      <scheme val="minor"/>
    </font>
    <font>
      <sz val="10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1"/>
      <color rgb="FFEE0000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217">
    <xf numFmtId="0" fontId="0" fillId="0" borderId="0" xfId="0"/>
    <xf numFmtId="0" fontId="0" fillId="0" borderId="16" xfId="0" applyBorder="1"/>
    <xf numFmtId="0" fontId="2" fillId="0" borderId="0" xfId="0" applyFont="1"/>
    <xf numFmtId="0" fontId="2" fillId="5" borderId="9" xfId="0" applyFont="1" applyFill="1" applyBorder="1"/>
    <xf numFmtId="0" fontId="2" fillId="5" borderId="10" xfId="0" applyFont="1" applyFill="1" applyBorder="1"/>
    <xf numFmtId="0" fontId="0" fillId="0" borderId="1" xfId="0" applyBorder="1"/>
    <xf numFmtId="0" fontId="0" fillId="3" borderId="0" xfId="0" applyFill="1"/>
    <xf numFmtId="0" fontId="0" fillId="0" borderId="5" xfId="0" applyBorder="1"/>
    <xf numFmtId="0" fontId="0" fillId="5" borderId="12" xfId="0" applyFill="1" applyBorder="1"/>
    <xf numFmtId="10" fontId="2" fillId="5" borderId="10" xfId="0" applyNumberFormat="1" applyFont="1" applyFill="1" applyBorder="1"/>
    <xf numFmtId="0" fontId="2" fillId="5" borderId="14" xfId="0" applyFont="1" applyFill="1" applyBorder="1"/>
    <xf numFmtId="0" fontId="2" fillId="5" borderId="12" xfId="0" applyFont="1" applyFill="1" applyBorder="1"/>
    <xf numFmtId="10" fontId="2" fillId="5" borderId="12" xfId="0" applyNumberFormat="1" applyFont="1" applyFill="1" applyBorder="1"/>
    <xf numFmtId="0" fontId="0" fillId="5" borderId="15" xfId="0" applyFill="1" applyBorder="1"/>
    <xf numFmtId="0" fontId="2" fillId="3" borderId="14" xfId="0" applyFont="1" applyFill="1" applyBorder="1"/>
    <xf numFmtId="0" fontId="2" fillId="3" borderId="16" xfId="0" applyFont="1" applyFill="1" applyBorder="1"/>
    <xf numFmtId="0" fontId="2" fillId="3" borderId="0" xfId="0" applyFont="1" applyFill="1"/>
    <xf numFmtId="0" fontId="2" fillId="3" borderId="1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0" fontId="2" fillId="3" borderId="11" xfId="0" applyFont="1" applyFill="1" applyBorder="1"/>
    <xf numFmtId="8" fontId="0" fillId="0" borderId="0" xfId="0" applyNumberFormat="1"/>
    <xf numFmtId="0" fontId="5" fillId="6" borderId="0" xfId="0" applyFont="1" applyFill="1"/>
    <xf numFmtId="164" fontId="3" fillId="0" borderId="0" xfId="0" applyNumberFormat="1" applyFont="1"/>
    <xf numFmtId="0" fontId="6" fillId="0" borderId="1" xfId="0" applyFont="1" applyBorder="1"/>
    <xf numFmtId="4" fontId="0" fillId="0" borderId="0" xfId="0" applyNumberFormat="1"/>
    <xf numFmtId="4" fontId="6" fillId="0" borderId="0" xfId="0" applyNumberFormat="1" applyFont="1"/>
    <xf numFmtId="0" fontId="6" fillId="0" borderId="1" xfId="0" applyFont="1" applyBorder="1" applyAlignment="1">
      <alignment vertical="center" wrapText="1"/>
    </xf>
    <xf numFmtId="0" fontId="2" fillId="4" borderId="1" xfId="0" applyFont="1" applyFill="1" applyBorder="1"/>
    <xf numFmtId="0" fontId="2" fillId="8" borderId="1" xfId="0" applyFont="1" applyFill="1" applyBorder="1"/>
    <xf numFmtId="0" fontId="2" fillId="8" borderId="6" xfId="0" applyFont="1" applyFill="1" applyBorder="1"/>
    <xf numFmtId="0" fontId="2" fillId="0" borderId="1" xfId="0" applyFont="1" applyBorder="1"/>
    <xf numFmtId="0" fontId="10" fillId="2" borderId="0" xfId="0" applyFont="1" applyFill="1"/>
    <xf numFmtId="0" fontId="11" fillId="4" borderId="1" xfId="0" applyFont="1" applyFill="1" applyBorder="1"/>
    <xf numFmtId="0" fontId="12" fillId="4" borderId="1" xfId="0" applyFont="1" applyFill="1" applyBorder="1"/>
    <xf numFmtId="44" fontId="0" fillId="0" borderId="1" xfId="1" applyFont="1" applyBorder="1"/>
    <xf numFmtId="4" fontId="6" fillId="0" borderId="0" xfId="0" applyNumberFormat="1" applyFont="1" applyAlignment="1">
      <alignment wrapText="1"/>
    </xf>
    <xf numFmtId="0" fontId="0" fillId="0" borderId="0" xfId="0" applyAlignment="1">
      <alignment wrapText="1"/>
    </xf>
    <xf numFmtId="0" fontId="6" fillId="0" borderId="1" xfId="0" applyFont="1" applyBorder="1" applyAlignment="1">
      <alignment vertical="top" wrapText="1"/>
    </xf>
    <xf numFmtId="44" fontId="3" fillId="2" borderId="1" xfId="1" applyFont="1" applyFill="1" applyBorder="1"/>
    <xf numFmtId="44" fontId="0" fillId="0" borderId="0" xfId="1" applyFont="1"/>
    <xf numFmtId="44" fontId="3" fillId="0" borderId="0" xfId="1" applyFont="1"/>
    <xf numFmtId="44" fontId="0" fillId="0" borderId="0" xfId="0" applyNumberFormat="1"/>
    <xf numFmtId="0" fontId="9" fillId="6" borderId="0" xfId="0" applyFont="1" applyFill="1"/>
    <xf numFmtId="44" fontId="9" fillId="6" borderId="0" xfId="1" applyFont="1" applyFill="1"/>
    <xf numFmtId="44" fontId="0" fillId="0" borderId="0" xfId="0" applyNumberFormat="1" applyAlignment="1">
      <alignment wrapText="1"/>
    </xf>
    <xf numFmtId="44" fontId="14" fillId="2" borderId="1" xfId="1" applyFont="1" applyFill="1" applyBorder="1"/>
    <xf numFmtId="0" fontId="0" fillId="4" borderId="0" xfId="0" applyFill="1"/>
    <xf numFmtId="0" fontId="2" fillId="4" borderId="0" xfId="0" applyFont="1" applyFill="1"/>
    <xf numFmtId="0" fontId="13" fillId="0" borderId="0" xfId="0" applyFont="1"/>
    <xf numFmtId="0" fontId="2" fillId="4" borderId="3" xfId="0" applyFont="1" applyFill="1" applyBorder="1"/>
    <xf numFmtId="0" fontId="0" fillId="2" borderId="1" xfId="0" applyFill="1" applyBorder="1"/>
    <xf numFmtId="44" fontId="15" fillId="4" borderId="13" xfId="0" applyNumberFormat="1" applyFont="1" applyFill="1" applyBorder="1"/>
    <xf numFmtId="0" fontId="0" fillId="0" borderId="1" xfId="0" applyBorder="1" applyAlignment="1">
      <alignment vertical="center" wrapText="1"/>
    </xf>
    <xf numFmtId="44" fontId="0" fillId="3" borderId="0" xfId="1" applyFont="1" applyFill="1" applyAlignment="1"/>
    <xf numFmtId="44" fontId="0" fillId="4" borderId="0" xfId="1" applyFont="1" applyFill="1"/>
    <xf numFmtId="44" fontId="7" fillId="0" borderId="1" xfId="1" applyFont="1" applyBorder="1"/>
    <xf numFmtId="0" fontId="16" fillId="3" borderId="20" xfId="0" applyFont="1" applyFill="1" applyBorder="1" applyAlignment="1">
      <alignment horizontal="center" vertical="center" wrapText="1"/>
    </xf>
    <xf numFmtId="165" fontId="15" fillId="4" borderId="13" xfId="0" applyNumberFormat="1" applyFont="1" applyFill="1" applyBorder="1"/>
    <xf numFmtId="0" fontId="16" fillId="3" borderId="18" xfId="0" applyFont="1" applyFill="1" applyBorder="1" applyAlignment="1">
      <alignment horizontal="center" vertical="center" wrapText="1"/>
    </xf>
    <xf numFmtId="0" fontId="15" fillId="0" borderId="1" xfId="0" applyFont="1" applyBorder="1"/>
    <xf numFmtId="0" fontId="15" fillId="0" borderId="1" xfId="0" applyFont="1" applyBorder="1" applyAlignment="1">
      <alignment wrapText="1"/>
    </xf>
    <xf numFmtId="0" fontId="15" fillId="0" borderId="1" xfId="0" applyFont="1" applyBorder="1" applyAlignment="1">
      <alignment vertical="center" wrapText="1"/>
    </xf>
    <xf numFmtId="0" fontId="2" fillId="4" borderId="1" xfId="0" applyFont="1" applyFill="1" applyBorder="1" applyAlignment="1">
      <alignment wrapText="1"/>
    </xf>
    <xf numFmtId="44" fontId="6" fillId="5" borderId="11" xfId="0" applyNumberFormat="1" applyFont="1" applyFill="1" applyBorder="1"/>
    <xf numFmtId="0" fontId="6" fillId="3" borderId="12" xfId="0" applyFont="1" applyFill="1" applyBorder="1"/>
    <xf numFmtId="0" fontId="6" fillId="3" borderId="15" xfId="0" applyFont="1" applyFill="1" applyBorder="1"/>
    <xf numFmtId="0" fontId="6" fillId="3" borderId="0" xfId="0" applyFont="1" applyFill="1"/>
    <xf numFmtId="0" fontId="6" fillId="3" borderId="17" xfId="0" applyFont="1" applyFill="1" applyBorder="1"/>
    <xf numFmtId="0" fontId="15" fillId="0" borderId="1" xfId="0" applyFont="1" applyBorder="1" applyAlignment="1">
      <alignment horizontal="center"/>
    </xf>
    <xf numFmtId="44" fontId="19" fillId="0" borderId="1" xfId="1" applyFont="1" applyBorder="1"/>
    <xf numFmtId="44" fontId="19" fillId="2" borderId="1" xfId="1" applyFont="1" applyFill="1" applyBorder="1"/>
    <xf numFmtId="165" fontId="19" fillId="2" borderId="1" xfId="1" applyNumberFormat="1" applyFont="1" applyFill="1" applyBorder="1"/>
    <xf numFmtId="165" fontId="15" fillId="0" borderId="1" xfId="0" applyNumberFormat="1" applyFont="1" applyBorder="1"/>
    <xf numFmtId="44" fontId="15" fillId="0" borderId="1" xfId="1" applyFont="1" applyBorder="1"/>
    <xf numFmtId="44" fontId="19" fillId="0" borderId="26" xfId="1" applyFont="1" applyBorder="1"/>
    <xf numFmtId="44" fontId="19" fillId="0" borderId="6" xfId="1" applyFont="1" applyBorder="1"/>
    <xf numFmtId="44" fontId="19" fillId="0" borderId="29" xfId="1" applyFont="1" applyBorder="1"/>
    <xf numFmtId="0" fontId="15" fillId="0" borderId="7" xfId="0" applyFont="1" applyBorder="1"/>
    <xf numFmtId="0" fontId="15" fillId="0" borderId="23" xfId="0" applyFont="1" applyBorder="1"/>
    <xf numFmtId="44" fontId="19" fillId="0" borderId="2" xfId="1" applyFont="1" applyBorder="1"/>
    <xf numFmtId="44" fontId="19" fillId="2" borderId="2" xfId="1" applyFont="1" applyFill="1" applyBorder="1"/>
    <xf numFmtId="0" fontId="15" fillId="0" borderId="2" xfId="0" applyFont="1" applyBorder="1"/>
    <xf numFmtId="44" fontId="19" fillId="0" borderId="28" xfId="1" applyFont="1" applyBorder="1"/>
    <xf numFmtId="0" fontId="15" fillId="4" borderId="27" xfId="0" applyFont="1" applyFill="1" applyBorder="1"/>
    <xf numFmtId="0" fontId="15" fillId="4" borderId="13" xfId="0" applyFont="1" applyFill="1" applyBorder="1"/>
    <xf numFmtId="44" fontId="15" fillId="4" borderId="21" xfId="0" applyNumberFormat="1" applyFont="1" applyFill="1" applyBorder="1"/>
    <xf numFmtId="0" fontId="2" fillId="3" borderId="10" xfId="0" applyFont="1" applyFill="1" applyBorder="1" applyAlignment="1">
      <alignment horizontal="left"/>
    </xf>
    <xf numFmtId="0" fontId="6" fillId="7" borderId="9" xfId="0" applyFont="1" applyFill="1" applyBorder="1"/>
    <xf numFmtId="44" fontId="6" fillId="7" borderId="11" xfId="0" applyNumberFormat="1" applyFont="1" applyFill="1" applyBorder="1"/>
    <xf numFmtId="44" fontId="13" fillId="8" borderId="8" xfId="1" applyFont="1" applyFill="1" applyBorder="1" applyAlignment="1">
      <alignment vertical="center"/>
    </xf>
    <xf numFmtId="0" fontId="4" fillId="0" borderId="1" xfId="0" applyFont="1" applyBorder="1"/>
    <xf numFmtId="0" fontId="21" fillId="0" borderId="1" xfId="1" applyNumberFormat="1" applyFont="1" applyBorder="1" applyAlignment="1">
      <alignment horizontal="left"/>
    </xf>
    <xf numFmtId="0" fontId="0" fillId="0" borderId="6" xfId="0" applyBorder="1" applyAlignment="1">
      <alignment horizontal="left" vertical="center" wrapText="1"/>
    </xf>
    <xf numFmtId="44" fontId="4" fillId="2" borderId="6" xfId="1" applyFont="1" applyFill="1" applyBorder="1"/>
    <xf numFmtId="0" fontId="0" fillId="0" borderId="25" xfId="0" applyBorder="1" applyAlignment="1">
      <alignment horizontal="left" vertical="center" wrapText="1"/>
    </xf>
    <xf numFmtId="44" fontId="21" fillId="2" borderId="1" xfId="1" applyFont="1" applyFill="1" applyBorder="1"/>
    <xf numFmtId="8" fontId="7" fillId="4" borderId="22" xfId="0" applyNumberFormat="1" applyFont="1" applyFill="1" applyBorder="1"/>
    <xf numFmtId="0" fontId="21" fillId="0" borderId="4" xfId="0" applyFont="1" applyBorder="1"/>
    <xf numFmtId="0" fontId="7" fillId="8" borderId="6" xfId="0" applyFont="1" applyFill="1" applyBorder="1"/>
    <xf numFmtId="0" fontId="4" fillId="0" borderId="0" xfId="0" applyFont="1"/>
    <xf numFmtId="0" fontId="21" fillId="0" borderId="17" xfId="0" applyFont="1" applyBorder="1"/>
    <xf numFmtId="0" fontId="7" fillId="5" borderId="10" xfId="0" applyFont="1" applyFill="1" applyBorder="1"/>
    <xf numFmtId="44" fontId="10" fillId="5" borderId="11" xfId="0" applyNumberFormat="1" applyFont="1" applyFill="1" applyBorder="1"/>
    <xf numFmtId="0" fontId="4" fillId="5" borderId="12" xfId="0" applyFont="1" applyFill="1" applyBorder="1"/>
    <xf numFmtId="0" fontId="4" fillId="5" borderId="15" xfId="0" applyFont="1" applyFill="1" applyBorder="1"/>
    <xf numFmtId="44" fontId="0" fillId="0" borderId="0" xfId="1" applyFont="1" applyBorder="1"/>
    <xf numFmtId="0" fontId="3" fillId="0" borderId="1" xfId="0" applyFont="1" applyBorder="1" applyAlignment="1">
      <alignment vertical="center" wrapText="1"/>
    </xf>
    <xf numFmtId="44" fontId="9" fillId="6" borderId="0" xfId="0" applyNumberFormat="1" applyFont="1" applyFill="1"/>
    <xf numFmtId="44" fontId="3" fillId="0" borderId="1" xfId="1" applyFont="1" applyBorder="1" applyAlignment="1">
      <alignment vertical="center" wrapText="1"/>
    </xf>
    <xf numFmtId="0" fontId="6" fillId="0" borderId="1" xfId="0" applyFont="1" applyBorder="1" applyAlignment="1">
      <alignment horizontal="left" vertical="center" wrapText="1"/>
    </xf>
    <xf numFmtId="0" fontId="0" fillId="2" borderId="0" xfId="0" applyFill="1"/>
    <xf numFmtId="44" fontId="6" fillId="6" borderId="1" xfId="1" applyFont="1" applyFill="1" applyBorder="1"/>
    <xf numFmtId="166" fontId="0" fillId="0" borderId="0" xfId="0" applyNumberFormat="1"/>
    <xf numFmtId="167" fontId="0" fillId="0" borderId="0" xfId="0" applyNumberFormat="1"/>
    <xf numFmtId="0" fontId="20" fillId="0" borderId="1" xfId="0" applyFont="1" applyBorder="1"/>
    <xf numFmtId="0" fontId="9" fillId="6" borderId="2" xfId="0" applyFont="1" applyFill="1" applyBorder="1"/>
    <xf numFmtId="44" fontId="0" fillId="0" borderId="2" xfId="1" applyFont="1" applyBorder="1"/>
    <xf numFmtId="0" fontId="0" fillId="0" borderId="0" xfId="0" applyAlignment="1">
      <alignment horizontal="left" vertical="center" wrapText="1"/>
    </xf>
    <xf numFmtId="166" fontId="15" fillId="4" borderId="13" xfId="0" applyNumberFormat="1" applyFont="1" applyFill="1" applyBorder="1"/>
    <xf numFmtId="0" fontId="2" fillId="10" borderId="30" xfId="0" applyFont="1" applyFill="1" applyBorder="1" applyAlignment="1">
      <alignment horizontal="left" vertical="center" wrapText="1"/>
    </xf>
    <xf numFmtId="44" fontId="2" fillId="10" borderId="27" xfId="1" applyFont="1" applyFill="1" applyBorder="1" applyAlignment="1">
      <alignment horizontal="left" vertical="center" wrapText="1"/>
    </xf>
    <xf numFmtId="44" fontId="0" fillId="0" borderId="1" xfId="0" applyNumberFormat="1" applyBorder="1" applyAlignment="1">
      <alignment vertical="center" wrapText="1"/>
    </xf>
    <xf numFmtId="44" fontId="0" fillId="0" borderId="1" xfId="1" applyFont="1" applyBorder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43" fontId="0" fillId="0" borderId="0" xfId="0" applyNumberFormat="1"/>
    <xf numFmtId="44" fontId="22" fillId="4" borderId="3" xfId="1" applyFont="1" applyFill="1" applyBorder="1"/>
    <xf numFmtId="44" fontId="6" fillId="4" borderId="1" xfId="1" applyFont="1" applyFill="1" applyBorder="1"/>
    <xf numFmtId="44" fontId="3" fillId="2" borderId="1" xfId="1" applyFont="1" applyFill="1" applyBorder="1" applyAlignment="1">
      <alignment wrapText="1"/>
    </xf>
    <xf numFmtId="44" fontId="6" fillId="4" borderId="21" xfId="1" applyFont="1" applyFill="1" applyBorder="1"/>
    <xf numFmtId="0" fontId="0" fillId="4" borderId="1" xfId="0" applyFill="1" applyBorder="1"/>
    <xf numFmtId="44" fontId="3" fillId="4" borderId="3" xfId="1" applyFont="1" applyFill="1" applyBorder="1"/>
    <xf numFmtId="44" fontId="6" fillId="4" borderId="13" xfId="1" applyFont="1" applyFill="1" applyBorder="1"/>
    <xf numFmtId="44" fontId="3" fillId="2" borderId="3" xfId="1" applyFont="1" applyFill="1" applyBorder="1"/>
    <xf numFmtId="0" fontId="0" fillId="0" borderId="7" xfId="0" applyBorder="1" applyAlignment="1">
      <alignment horizontal="left" vertical="center" wrapText="1"/>
    </xf>
    <xf numFmtId="0" fontId="21" fillId="2" borderId="1" xfId="0" applyFont="1" applyFill="1" applyBorder="1"/>
    <xf numFmtId="44" fontId="4" fillId="2" borderId="1" xfId="1" applyFont="1" applyFill="1" applyBorder="1"/>
    <xf numFmtId="0" fontId="16" fillId="0" borderId="1" xfId="1" applyNumberFormat="1" applyFont="1" applyBorder="1"/>
    <xf numFmtId="0" fontId="0" fillId="0" borderId="6" xfId="0" applyBorder="1" applyAlignment="1">
      <alignment horizontal="left" vertical="center"/>
    </xf>
    <xf numFmtId="165" fontId="15" fillId="0" borderId="6" xfId="1" applyNumberFormat="1" applyFont="1" applyBorder="1"/>
    <xf numFmtId="8" fontId="7" fillId="4" borderId="6" xfId="0" applyNumberFormat="1" applyFont="1" applyFill="1" applyBorder="1"/>
    <xf numFmtId="8" fontId="11" fillId="4" borderId="1" xfId="0" applyNumberFormat="1" applyFont="1" applyFill="1" applyBorder="1"/>
    <xf numFmtId="8" fontId="4" fillId="2" borderId="1" xfId="0" applyNumberFormat="1" applyFont="1" applyFill="1" applyBorder="1" applyAlignment="1">
      <alignment horizontal="right"/>
    </xf>
    <xf numFmtId="44" fontId="7" fillId="4" borderId="6" xfId="1" applyFont="1" applyFill="1" applyBorder="1"/>
    <xf numFmtId="44" fontId="7" fillId="4" borderId="1" xfId="1" applyFont="1" applyFill="1" applyBorder="1"/>
    <xf numFmtId="44" fontId="4" fillId="4" borderId="1" xfId="1" applyFont="1" applyFill="1" applyBorder="1"/>
    <xf numFmtId="44" fontId="7" fillId="4" borderId="6" xfId="1" applyFont="1" applyFill="1" applyBorder="1" applyAlignment="1">
      <alignment horizontal="center"/>
    </xf>
    <xf numFmtId="166" fontId="0" fillId="2" borderId="0" xfId="1" applyNumberFormat="1" applyFont="1" applyFill="1" applyAlignment="1"/>
    <xf numFmtId="44" fontId="23" fillId="0" borderId="1" xfId="1" applyFont="1" applyBorder="1" applyAlignment="1">
      <alignment horizontal="left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169" fontId="15" fillId="4" borderId="13" xfId="0" applyNumberFormat="1" applyFont="1" applyFill="1" applyBorder="1" applyAlignment="1">
      <alignment horizontal="center"/>
    </xf>
    <xf numFmtId="0" fontId="0" fillId="0" borderId="7" xfId="0" applyBorder="1"/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44" fontId="3" fillId="0" borderId="4" xfId="1" applyFont="1" applyBorder="1" applyAlignment="1">
      <alignment wrapText="1"/>
    </xf>
    <xf numFmtId="44" fontId="6" fillId="4" borderId="3" xfId="1" applyFont="1" applyFill="1" applyBorder="1"/>
    <xf numFmtId="8" fontId="6" fillId="4" borderId="1" xfId="1" applyNumberFormat="1" applyFont="1" applyFill="1" applyBorder="1"/>
    <xf numFmtId="44" fontId="10" fillId="4" borderId="1" xfId="1" applyFont="1" applyFill="1" applyBorder="1"/>
    <xf numFmtId="44" fontId="10" fillId="8" borderId="1" xfId="1" applyFont="1" applyFill="1" applyBorder="1"/>
    <xf numFmtId="44" fontId="3" fillId="0" borderId="1" xfId="1" applyFont="1" applyBorder="1" applyAlignment="1">
      <alignment wrapText="1"/>
    </xf>
    <xf numFmtId="0" fontId="0" fillId="0" borderId="1" xfId="0" applyBorder="1" applyAlignment="1">
      <alignment horizontal="center"/>
    </xf>
    <xf numFmtId="0" fontId="24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4" fontId="8" fillId="0" borderId="1" xfId="0" applyNumberFormat="1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164" fontId="25" fillId="0" borderId="1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64" fontId="26" fillId="0" borderId="1" xfId="2" applyFont="1" applyBorder="1" applyAlignment="1">
      <alignment horizontal="center"/>
    </xf>
    <xf numFmtId="164" fontId="25" fillId="0" borderId="1" xfId="2" applyFont="1" applyBorder="1" applyAlignment="1">
      <alignment horizontal="center"/>
    </xf>
    <xf numFmtId="164" fontId="26" fillId="0" borderId="1" xfId="0" applyNumberFormat="1" applyFont="1" applyBorder="1" applyAlignment="1">
      <alignment horizontal="center"/>
    </xf>
    <xf numFmtId="44" fontId="4" fillId="2" borderId="1" xfId="1" applyFont="1" applyFill="1" applyBorder="1" applyAlignment="1"/>
    <xf numFmtId="8" fontId="4" fillId="2" borderId="6" xfId="0" applyNumberFormat="1" applyFont="1" applyFill="1" applyBorder="1" applyAlignment="1">
      <alignment horizontal="right"/>
    </xf>
    <xf numFmtId="0" fontId="0" fillId="3" borderId="0" xfId="0" applyFill="1" applyAlignment="1">
      <alignment horizontal="center"/>
    </xf>
    <xf numFmtId="0" fontId="2" fillId="3" borderId="0" xfId="0" applyFont="1" applyFill="1" applyAlignment="1">
      <alignment horizontal="center"/>
    </xf>
    <xf numFmtId="170" fontId="2" fillId="3" borderId="0" xfId="0" applyNumberFormat="1" applyFont="1" applyFill="1" applyAlignment="1">
      <alignment horizontal="center"/>
    </xf>
    <xf numFmtId="8" fontId="2" fillId="3" borderId="0" xfId="0" applyNumberFormat="1" applyFont="1" applyFill="1" applyAlignment="1">
      <alignment horizontal="center"/>
    </xf>
    <xf numFmtId="44" fontId="2" fillId="3" borderId="0" xfId="1" applyFont="1" applyFill="1" applyAlignment="1">
      <alignment horizontal="center"/>
    </xf>
    <xf numFmtId="166" fontId="0" fillId="3" borderId="0" xfId="1" applyNumberFormat="1" applyFont="1" applyFill="1" applyAlignment="1">
      <alignment horizontal="center"/>
    </xf>
    <xf numFmtId="168" fontId="0" fillId="3" borderId="0" xfId="0" applyNumberFormat="1" applyFill="1" applyAlignment="1">
      <alignment horizontal="center"/>
    </xf>
    <xf numFmtId="8" fontId="0" fillId="3" borderId="0" xfId="0" applyNumberFormat="1" applyFill="1" applyAlignment="1">
      <alignment horizontal="center"/>
    </xf>
    <xf numFmtId="0" fontId="0" fillId="2" borderId="6" xfId="0" applyFill="1" applyBorder="1" applyAlignment="1">
      <alignment horizontal="left" vertical="center" wrapText="1"/>
    </xf>
    <xf numFmtId="0" fontId="0" fillId="2" borderId="7" xfId="0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2" fillId="3" borderId="27" xfId="0" applyFont="1" applyFill="1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17" fillId="7" borderId="0" xfId="0" applyFont="1" applyFill="1" applyAlignment="1">
      <alignment horizontal="center" vertical="center" wrapText="1"/>
    </xf>
    <xf numFmtId="0" fontId="18" fillId="9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13" fillId="3" borderId="18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 wrapText="1"/>
    </xf>
    <xf numFmtId="0" fontId="16" fillId="3" borderId="14" xfId="0" applyFont="1" applyFill="1" applyBorder="1" applyAlignment="1">
      <alignment horizontal="center" vertical="center" wrapText="1"/>
    </xf>
    <xf numFmtId="0" fontId="16" fillId="3" borderId="16" xfId="0" applyFont="1" applyFill="1" applyBorder="1" applyAlignment="1">
      <alignment horizontal="center" vertical="center" wrapText="1"/>
    </xf>
    <xf numFmtId="0" fontId="13" fillId="3" borderId="18" xfId="0" applyFont="1" applyFill="1" applyBorder="1" applyAlignment="1">
      <alignment horizontal="center" vertical="center"/>
    </xf>
    <xf numFmtId="0" fontId="13" fillId="3" borderId="19" xfId="0" applyFont="1" applyFill="1" applyBorder="1" applyAlignment="1">
      <alignment horizontal="center" vertical="center"/>
    </xf>
    <xf numFmtId="0" fontId="15" fillId="3" borderId="18" xfId="0" applyFont="1" applyFill="1" applyBorder="1" applyAlignment="1">
      <alignment horizontal="center" vertical="center" wrapText="1"/>
    </xf>
    <xf numFmtId="0" fontId="15" fillId="3" borderId="20" xfId="0" applyFont="1" applyFill="1" applyBorder="1" applyAlignment="1">
      <alignment horizontal="center" vertical="center" wrapText="1"/>
    </xf>
    <xf numFmtId="0" fontId="13" fillId="3" borderId="19" xfId="0" applyFont="1" applyFill="1" applyBorder="1" applyAlignment="1">
      <alignment horizontal="center" vertical="center" wrapText="1"/>
    </xf>
    <xf numFmtId="0" fontId="13" fillId="3" borderId="14" xfId="0" applyFont="1" applyFill="1" applyBorder="1" applyAlignment="1">
      <alignment horizontal="center" vertical="center" wrapText="1"/>
    </xf>
    <xf numFmtId="0" fontId="13" fillId="3" borderId="24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left" vertical="center"/>
    </xf>
    <xf numFmtId="0" fontId="2" fillId="3" borderId="8" xfId="0" applyFont="1" applyFill="1" applyBorder="1" applyAlignment="1">
      <alignment horizontal="left" vertical="center"/>
    </xf>
    <xf numFmtId="0" fontId="16" fillId="3" borderId="18" xfId="0" applyFont="1" applyFill="1" applyBorder="1" applyAlignment="1">
      <alignment horizontal="center" vertical="center" wrapText="1"/>
    </xf>
    <xf numFmtId="0" fontId="16" fillId="3" borderId="19" xfId="0" applyFont="1" applyFill="1" applyBorder="1" applyAlignment="1">
      <alignment horizontal="center" vertical="center" wrapText="1"/>
    </xf>
    <xf numFmtId="0" fontId="13" fillId="3" borderId="20" xfId="0" applyFont="1" applyFill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/>
    </xf>
  </cellXfs>
  <cellStyles count="3">
    <cellStyle name="Moneda" xfId="1" builtinId="4"/>
    <cellStyle name="Moneda 2" xfId="2" xr:uid="{00000000-0005-0000-0000-000002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0</xdr:col>
      <xdr:colOff>2247900</xdr:colOff>
      <xdr:row>2</xdr:row>
      <xdr:rowOff>742950</xdr:rowOff>
    </xdr:to>
    <xdr:pic>
      <xdr:nvPicPr>
        <xdr:cNvPr id="4" name="1 Imagen" descr="C:\Users\Particular\Desktop\NATI\CONSORCIOS RC\WhatsApp Image 2020-12-10 at 14.53.20.jpe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2162175" cy="107632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7"/>
  <sheetViews>
    <sheetView topLeftCell="A42" workbookViewId="0">
      <selection activeCell="A17" sqref="A17"/>
    </sheetView>
  </sheetViews>
  <sheetFormatPr baseColWidth="10" defaultRowHeight="15" x14ac:dyDescent="0.25"/>
  <cols>
    <col min="1" max="1" width="37.5703125" customWidth="1"/>
    <col min="2" max="2" width="24.7109375" customWidth="1"/>
    <col min="3" max="3" width="15.85546875" hidden="1" customWidth="1"/>
    <col min="4" max="4" width="21.7109375" customWidth="1"/>
    <col min="5" max="5" width="14.7109375" customWidth="1"/>
    <col min="6" max="6" width="13" bestFit="1" customWidth="1"/>
    <col min="7" max="7" width="14.5703125" bestFit="1" customWidth="1"/>
    <col min="8" max="8" width="12" bestFit="1" customWidth="1"/>
    <col min="11" max="11" width="18" customWidth="1"/>
    <col min="12" max="12" width="18.28515625" customWidth="1"/>
  </cols>
  <sheetData>
    <row r="1" spans="1:5" x14ac:dyDescent="0.25">
      <c r="A1" s="14"/>
      <c r="B1" s="65" t="s">
        <v>97</v>
      </c>
      <c r="C1" s="65"/>
      <c r="D1" s="65"/>
      <c r="E1" s="66"/>
    </row>
    <row r="2" spans="1:5" x14ac:dyDescent="0.25">
      <c r="A2" s="15"/>
      <c r="B2" s="67" t="s">
        <v>20</v>
      </c>
      <c r="C2" s="67"/>
      <c r="D2" s="67"/>
      <c r="E2" s="68"/>
    </row>
    <row r="3" spans="1:5" ht="70.5" customHeight="1" thickBot="1" x14ac:dyDescent="0.3">
      <c r="A3" s="15"/>
      <c r="B3" s="187" t="s">
        <v>100</v>
      </c>
      <c r="C3" s="187"/>
      <c r="D3" s="187"/>
      <c r="E3" s="188"/>
    </row>
    <row r="4" spans="1:5" ht="15.75" thickBot="1" x14ac:dyDescent="0.3">
      <c r="A4" s="18" t="s">
        <v>0</v>
      </c>
      <c r="B4" s="87" t="s">
        <v>29</v>
      </c>
      <c r="C4" s="19"/>
      <c r="D4" s="19"/>
      <c r="E4" s="20"/>
    </row>
    <row r="5" spans="1:5" ht="15.75" thickBot="1" x14ac:dyDescent="0.3">
      <c r="A5" s="15" t="s">
        <v>98</v>
      </c>
      <c r="B5" s="19" t="s">
        <v>45</v>
      </c>
      <c r="C5" s="16"/>
      <c r="D5" s="67" t="s">
        <v>21</v>
      </c>
      <c r="E5" s="17"/>
    </row>
    <row r="6" spans="1:5" ht="15.75" thickBot="1" x14ac:dyDescent="0.3">
      <c r="A6" s="18" t="s">
        <v>40</v>
      </c>
      <c r="B6" s="19"/>
      <c r="C6" s="19"/>
      <c r="D6" s="19" t="s">
        <v>22</v>
      </c>
      <c r="E6" s="20"/>
    </row>
    <row r="8" spans="1:5" x14ac:dyDescent="0.25">
      <c r="B8" s="192" t="s">
        <v>44</v>
      </c>
      <c r="C8" s="192"/>
    </row>
    <row r="9" spans="1:5" x14ac:dyDescent="0.25">
      <c r="B9" s="192"/>
      <c r="C9" s="192"/>
    </row>
    <row r="10" spans="1:5" x14ac:dyDescent="0.25">
      <c r="B10" s="192"/>
      <c r="C10" s="192"/>
    </row>
    <row r="12" spans="1:5" hidden="1" x14ac:dyDescent="0.25"/>
    <row r="13" spans="1:5" ht="15" customHeight="1" x14ac:dyDescent="0.25">
      <c r="A13" s="191" t="s">
        <v>138</v>
      </c>
      <c r="B13" s="191"/>
      <c r="C13" s="191"/>
      <c r="D13" s="191"/>
      <c r="E13" s="191"/>
    </row>
    <row r="14" spans="1:5" ht="15" customHeight="1" x14ac:dyDescent="0.25">
      <c r="A14" s="191"/>
      <c r="B14" s="191"/>
      <c r="C14" s="191"/>
      <c r="D14" s="191"/>
      <c r="E14" s="191"/>
    </row>
    <row r="15" spans="1:5" ht="15" customHeight="1" x14ac:dyDescent="0.25">
      <c r="A15" s="191"/>
      <c r="B15" s="191"/>
      <c r="C15" s="191"/>
      <c r="D15" s="191"/>
      <c r="E15" s="191"/>
    </row>
    <row r="16" spans="1:5" ht="53.25" customHeight="1" x14ac:dyDescent="0.25">
      <c r="A16" s="191"/>
      <c r="B16" s="191"/>
      <c r="C16" s="191"/>
      <c r="D16" s="191"/>
      <c r="E16" s="191"/>
    </row>
    <row r="17" spans="1:8" ht="14.25" customHeight="1" thickBot="1" x14ac:dyDescent="0.3"/>
    <row r="18" spans="1:8" hidden="1" x14ac:dyDescent="0.25">
      <c r="A18" s="2"/>
    </row>
    <row r="19" spans="1:8" ht="15.75" hidden="1" thickBot="1" x14ac:dyDescent="0.3"/>
    <row r="20" spans="1:8" x14ac:dyDescent="0.25">
      <c r="A20" s="10" t="s">
        <v>7</v>
      </c>
      <c r="B20" s="11"/>
      <c r="C20" s="12"/>
      <c r="D20" s="8"/>
      <c r="E20" s="13"/>
    </row>
    <row r="21" spans="1:8" x14ac:dyDescent="0.25">
      <c r="A21" s="34" t="s">
        <v>101</v>
      </c>
      <c r="B21" s="34"/>
      <c r="C21" s="34"/>
      <c r="D21" s="141"/>
      <c r="E21" s="126"/>
    </row>
    <row r="22" spans="1:8" ht="15" customHeight="1" x14ac:dyDescent="0.25">
      <c r="A22" s="185" t="s">
        <v>102</v>
      </c>
      <c r="B22" s="186"/>
      <c r="C22" s="51"/>
      <c r="D22" s="142"/>
      <c r="E22" s="155"/>
      <c r="H22" s="111"/>
    </row>
    <row r="23" spans="1:8" x14ac:dyDescent="0.25">
      <c r="A23" s="28" t="s">
        <v>12</v>
      </c>
      <c r="B23" s="28"/>
      <c r="C23" s="28"/>
      <c r="D23" s="143"/>
      <c r="E23" s="157">
        <f>SUM(D22:D22)</f>
        <v>0</v>
      </c>
    </row>
    <row r="24" spans="1:8" x14ac:dyDescent="0.25">
      <c r="A24" s="34" t="s">
        <v>24</v>
      </c>
      <c r="B24" s="28"/>
      <c r="C24" s="28"/>
      <c r="D24" s="144"/>
      <c r="E24" s="156"/>
    </row>
    <row r="25" spans="1:8" ht="14.25" customHeight="1" x14ac:dyDescent="0.25">
      <c r="A25" s="189" t="s">
        <v>99</v>
      </c>
      <c r="B25" s="190"/>
      <c r="C25" s="53"/>
      <c r="D25" s="175">
        <v>65518</v>
      </c>
      <c r="E25" s="128" t="s">
        <v>123</v>
      </c>
    </row>
    <row r="26" spans="1:8" x14ac:dyDescent="0.25">
      <c r="A26" s="28" t="s">
        <v>1</v>
      </c>
      <c r="B26" s="28"/>
      <c r="C26" s="28"/>
      <c r="D26" s="143"/>
      <c r="E26" s="127">
        <f>SUM(D25:D25)</f>
        <v>65518</v>
      </c>
    </row>
    <row r="27" spans="1:8" x14ac:dyDescent="0.25">
      <c r="A27" s="34" t="s">
        <v>13</v>
      </c>
      <c r="B27" s="130"/>
      <c r="C27" s="130"/>
      <c r="D27" s="145"/>
      <c r="E27" s="131"/>
    </row>
    <row r="28" spans="1:8" ht="14.25" customHeight="1" x14ac:dyDescent="0.25">
      <c r="A28" s="5" t="s">
        <v>87</v>
      </c>
      <c r="B28" s="5"/>
      <c r="C28" s="5"/>
      <c r="D28" s="136">
        <v>0</v>
      </c>
      <c r="E28" s="135"/>
    </row>
    <row r="29" spans="1:8" x14ac:dyDescent="0.25">
      <c r="A29" s="5" t="s">
        <v>86</v>
      </c>
      <c r="B29" s="5"/>
      <c r="C29" s="5"/>
      <c r="D29" s="136">
        <v>8128.13</v>
      </c>
      <c r="E29" s="135" t="s">
        <v>122</v>
      </c>
    </row>
    <row r="30" spans="1:8" x14ac:dyDescent="0.25">
      <c r="A30" s="5" t="s">
        <v>86</v>
      </c>
      <c r="B30" s="152"/>
      <c r="C30" s="5"/>
      <c r="D30" s="136">
        <v>374755.03</v>
      </c>
      <c r="E30" s="135" t="s">
        <v>122</v>
      </c>
    </row>
    <row r="31" spans="1:8" x14ac:dyDescent="0.25">
      <c r="A31" s="189" t="s">
        <v>88</v>
      </c>
      <c r="B31" s="190"/>
      <c r="C31" s="5"/>
      <c r="D31" s="136">
        <v>242436.29</v>
      </c>
      <c r="E31" s="135" t="s">
        <v>122</v>
      </c>
    </row>
    <row r="32" spans="1:8" x14ac:dyDescent="0.25">
      <c r="A32" s="138" t="s">
        <v>103</v>
      </c>
      <c r="B32" s="134"/>
      <c r="C32" s="5"/>
      <c r="D32" s="136">
        <v>20332.080000000002</v>
      </c>
      <c r="E32" s="128" t="s">
        <v>123</v>
      </c>
    </row>
    <row r="33" spans="1:10" ht="15.75" thickBot="1" x14ac:dyDescent="0.3">
      <c r="A33" s="28" t="s">
        <v>2</v>
      </c>
      <c r="B33" s="28"/>
      <c r="C33" s="28"/>
      <c r="D33" s="146"/>
      <c r="E33" s="129">
        <f>SUM(D28:D32)</f>
        <v>645651.53</v>
      </c>
    </row>
    <row r="34" spans="1:10" ht="15" customHeight="1" thickBot="1" x14ac:dyDescent="0.3">
      <c r="A34" s="34"/>
      <c r="B34" s="28"/>
      <c r="C34" s="28"/>
      <c r="D34" s="143"/>
      <c r="E34" s="132"/>
    </row>
    <row r="35" spans="1:10" ht="20.100000000000001" customHeight="1" x14ac:dyDescent="0.25">
      <c r="A35" s="138" t="s">
        <v>85</v>
      </c>
      <c r="B35" s="134"/>
      <c r="C35" s="5"/>
      <c r="D35" s="136">
        <v>3320</v>
      </c>
      <c r="E35" s="137"/>
    </row>
    <row r="36" spans="1:10" ht="31.5" customHeight="1" x14ac:dyDescent="0.25">
      <c r="A36" s="185" t="s">
        <v>104</v>
      </c>
      <c r="B36" s="186"/>
      <c r="C36" s="5"/>
      <c r="D36" s="136"/>
      <c r="E36" s="137"/>
    </row>
    <row r="37" spans="1:10" ht="19.5" customHeight="1" x14ac:dyDescent="0.25">
      <c r="A37" s="185" t="s">
        <v>108</v>
      </c>
      <c r="B37" s="186"/>
      <c r="C37" s="5"/>
      <c r="D37" s="94">
        <v>3960</v>
      </c>
      <c r="E37" s="137"/>
    </row>
    <row r="38" spans="1:10" ht="20.100000000000001" customHeight="1" x14ac:dyDescent="0.25">
      <c r="A38" s="189" t="s">
        <v>107</v>
      </c>
      <c r="B38" s="190"/>
      <c r="C38" s="5"/>
      <c r="D38" s="94">
        <v>35000</v>
      </c>
      <c r="E38" s="137"/>
      <c r="I38" s="189"/>
      <c r="J38" s="190"/>
    </row>
    <row r="39" spans="1:10" x14ac:dyDescent="0.25">
      <c r="A39" s="28" t="s">
        <v>6</v>
      </c>
      <c r="B39" s="34"/>
      <c r="C39" s="34"/>
      <c r="D39" s="33"/>
      <c r="E39" s="127">
        <f>SUM(D35:D38)</f>
        <v>42280</v>
      </c>
    </row>
    <row r="40" spans="1:10" x14ac:dyDescent="0.25">
      <c r="A40" s="34" t="s">
        <v>14</v>
      </c>
      <c r="B40" s="34"/>
      <c r="C40" s="34"/>
      <c r="D40" s="141"/>
      <c r="E40" s="126"/>
    </row>
    <row r="41" spans="1:10" ht="15.75" customHeight="1" x14ac:dyDescent="0.25">
      <c r="A41" s="185" t="s">
        <v>43</v>
      </c>
      <c r="B41" s="186"/>
      <c r="C41" s="51"/>
      <c r="D41" s="142">
        <v>140000</v>
      </c>
      <c r="E41" s="160"/>
    </row>
    <row r="42" spans="1:10" ht="15.75" customHeight="1" x14ac:dyDescent="0.25">
      <c r="A42" s="153" t="s">
        <v>106</v>
      </c>
      <c r="B42" s="154"/>
      <c r="C42" s="51"/>
      <c r="D42" s="176">
        <v>202000</v>
      </c>
      <c r="E42" s="160"/>
    </row>
    <row r="43" spans="1:10" x14ac:dyDescent="0.25">
      <c r="A43" s="28" t="s">
        <v>12</v>
      </c>
      <c r="B43" s="28"/>
      <c r="C43" s="28"/>
      <c r="D43" s="143"/>
      <c r="E43" s="157">
        <f>SUM(D41:D42)</f>
        <v>342000</v>
      </c>
    </row>
    <row r="44" spans="1:10" x14ac:dyDescent="0.25">
      <c r="A44" s="34" t="s">
        <v>9</v>
      </c>
      <c r="B44" s="63"/>
      <c r="C44" s="28"/>
      <c r="D44" s="140"/>
      <c r="E44" s="127"/>
    </row>
    <row r="45" spans="1:10" x14ac:dyDescent="0.25">
      <c r="A45" s="5" t="s">
        <v>42</v>
      </c>
      <c r="B45" s="5"/>
      <c r="C45" s="5"/>
      <c r="D45" s="136"/>
      <c r="E45" s="133"/>
    </row>
    <row r="46" spans="1:10" x14ac:dyDescent="0.25">
      <c r="A46" s="5" t="s">
        <v>109</v>
      </c>
      <c r="B46" s="5"/>
      <c r="C46" s="5"/>
      <c r="D46" s="136">
        <v>84679.61</v>
      </c>
      <c r="E46" s="39"/>
    </row>
    <row r="47" spans="1:10" x14ac:dyDescent="0.25">
      <c r="A47" s="50" t="s">
        <v>12</v>
      </c>
      <c r="B47" s="50"/>
      <c r="C47" s="50"/>
      <c r="D47" s="97"/>
      <c r="E47" s="158">
        <f>SUM(D45:D46)</f>
        <v>84679.61</v>
      </c>
    </row>
    <row r="48" spans="1:10" x14ac:dyDescent="0.25">
      <c r="A48" s="5"/>
      <c r="B48" s="5"/>
      <c r="C48" s="5"/>
      <c r="D48" s="91"/>
      <c r="E48" s="98"/>
    </row>
    <row r="49" spans="1:8" x14ac:dyDescent="0.25">
      <c r="A49" s="29" t="s">
        <v>137</v>
      </c>
      <c r="B49" s="29"/>
      <c r="C49" s="29"/>
      <c r="D49" s="99"/>
      <c r="E49" s="159">
        <f>2000000-1180129.14</f>
        <v>819870.8600000001</v>
      </c>
    </row>
    <row r="50" spans="1:8" ht="15.75" thickBot="1" x14ac:dyDescent="0.3">
      <c r="A50" s="1"/>
      <c r="D50" s="100"/>
      <c r="E50" s="101"/>
      <c r="F50" s="42"/>
    </row>
    <row r="51" spans="1:8" ht="15.75" thickBot="1" x14ac:dyDescent="0.3">
      <c r="A51" s="3" t="s">
        <v>133</v>
      </c>
      <c r="B51" s="9"/>
      <c r="C51" s="4"/>
      <c r="D51" s="102"/>
      <c r="E51" s="103">
        <f>(SUM(E21:E49))</f>
        <v>2000000.0000000002</v>
      </c>
      <c r="F51" s="125"/>
      <c r="G51" s="42"/>
    </row>
    <row r="52" spans="1:8" x14ac:dyDescent="0.25">
      <c r="D52" s="100"/>
      <c r="E52" s="100"/>
    </row>
    <row r="53" spans="1:8" ht="15.75" thickBot="1" x14ac:dyDescent="0.3">
      <c r="D53" s="100"/>
      <c r="E53" s="100"/>
      <c r="H53" s="147"/>
    </row>
    <row r="54" spans="1:8" x14ac:dyDescent="0.25">
      <c r="A54" s="10" t="s">
        <v>134</v>
      </c>
      <c r="B54" s="11"/>
      <c r="C54" s="12"/>
      <c r="D54" s="104"/>
      <c r="E54" s="105"/>
    </row>
    <row r="55" spans="1:8" ht="15" customHeight="1" x14ac:dyDescent="0.25">
      <c r="A55" s="189" t="s">
        <v>95</v>
      </c>
      <c r="B55" s="190"/>
      <c r="C55" s="5"/>
      <c r="D55" s="94">
        <v>37000</v>
      </c>
      <c r="E55" s="92"/>
    </row>
    <row r="56" spans="1:8" x14ac:dyDescent="0.25">
      <c r="A56" s="189" t="s">
        <v>96</v>
      </c>
      <c r="B56" s="190"/>
      <c r="C56" s="5"/>
      <c r="D56" s="94">
        <v>120000</v>
      </c>
      <c r="E56" s="92" t="s">
        <v>124</v>
      </c>
    </row>
    <row r="57" spans="1:8" ht="15.75" customHeight="1" x14ac:dyDescent="0.25">
      <c r="A57" s="185"/>
      <c r="B57" s="186"/>
      <c r="C57" s="5"/>
      <c r="D57" s="94"/>
      <c r="E57" s="92"/>
    </row>
    <row r="58" spans="1:8" x14ac:dyDescent="0.25">
      <c r="A58" s="93"/>
      <c r="B58" s="95"/>
      <c r="C58" s="5"/>
      <c r="D58" s="94"/>
      <c r="E58" s="92"/>
    </row>
    <row r="59" spans="1:8" x14ac:dyDescent="0.25">
      <c r="A59" s="48"/>
      <c r="B59" s="47"/>
      <c r="C59" s="47"/>
      <c r="D59" s="55"/>
      <c r="E59" s="55">
        <f>SUM(D55:D58)</f>
        <v>157000</v>
      </c>
    </row>
    <row r="60" spans="1:8" ht="15" customHeight="1" x14ac:dyDescent="0.25"/>
    <row r="61" spans="1:8" ht="15.75" hidden="1" thickBot="1" x14ac:dyDescent="0.3"/>
    <row r="62" spans="1:8" ht="15.75" thickBot="1" x14ac:dyDescent="0.3">
      <c r="A62" s="29" t="s">
        <v>136</v>
      </c>
      <c r="B62" s="29"/>
      <c r="C62" s="29"/>
      <c r="D62" s="30"/>
      <c r="E62" s="90"/>
    </row>
    <row r="63" spans="1:8" ht="15.75" thickBot="1" x14ac:dyDescent="0.3"/>
    <row r="64" spans="1:8" ht="15.75" thickBot="1" x14ac:dyDescent="0.3">
      <c r="A64" s="3" t="s">
        <v>135</v>
      </c>
      <c r="B64" s="9"/>
      <c r="C64" s="4"/>
      <c r="D64" s="4"/>
      <c r="E64" s="64">
        <f>E59+E62</f>
        <v>157000</v>
      </c>
    </row>
    <row r="65" spans="1:5" ht="15.75" thickBot="1" x14ac:dyDescent="0.3"/>
    <row r="66" spans="1:5" ht="15.75" thickBot="1" x14ac:dyDescent="0.3">
      <c r="A66" s="88" t="s">
        <v>10</v>
      </c>
      <c r="B66" s="89">
        <f>E51</f>
        <v>2000000.0000000002</v>
      </c>
    </row>
    <row r="67" spans="1:5" ht="15.75" thickBot="1" x14ac:dyDescent="0.3">
      <c r="A67" s="88" t="s">
        <v>11</v>
      </c>
      <c r="B67" s="89">
        <f>E51-E49</f>
        <v>1180129.1400000001</v>
      </c>
    </row>
    <row r="68" spans="1:5" ht="15.75" thickBot="1" x14ac:dyDescent="0.3">
      <c r="A68" s="88" t="s">
        <v>15</v>
      </c>
      <c r="B68" s="89">
        <f>E64-E62</f>
        <v>157000</v>
      </c>
    </row>
    <row r="69" spans="1:5" ht="15.75" thickBot="1" x14ac:dyDescent="0.3">
      <c r="A69" s="88" t="s">
        <v>30</v>
      </c>
      <c r="B69" s="89">
        <f>E64</f>
        <v>157000</v>
      </c>
    </row>
    <row r="70" spans="1:5" ht="73.5" customHeight="1" x14ac:dyDescent="0.25"/>
    <row r="71" spans="1:5" ht="34.5" hidden="1" customHeight="1" x14ac:dyDescent="0.25"/>
    <row r="72" spans="1:5" hidden="1" x14ac:dyDescent="0.25">
      <c r="A72" s="193"/>
      <c r="B72" s="193"/>
      <c r="C72" s="193"/>
      <c r="D72" s="193"/>
      <c r="E72" s="193"/>
    </row>
    <row r="73" spans="1:5" ht="106.5" hidden="1" customHeight="1" x14ac:dyDescent="0.25">
      <c r="A73" s="193"/>
      <c r="B73" s="193"/>
      <c r="C73" s="193"/>
      <c r="D73" s="193"/>
      <c r="E73" s="193"/>
    </row>
    <row r="74" spans="1:5" ht="15.75" hidden="1" customHeight="1" x14ac:dyDescent="0.25">
      <c r="A74" s="193"/>
      <c r="B74" s="193"/>
      <c r="C74" s="193"/>
      <c r="D74" s="193"/>
      <c r="E74" s="193"/>
    </row>
    <row r="76" spans="1:5" ht="0.75" customHeight="1" x14ac:dyDescent="0.25">
      <c r="A76" s="22" t="s">
        <v>26</v>
      </c>
      <c r="B76" s="112"/>
      <c r="C76" s="23"/>
    </row>
    <row r="77" spans="1:5" hidden="1" x14ac:dyDescent="0.25">
      <c r="A77" s="32"/>
      <c r="B77" s="56">
        <v>0</v>
      </c>
      <c r="C77" s="25"/>
    </row>
    <row r="78" spans="1:5" ht="14.25" hidden="1" customHeight="1" x14ac:dyDescent="0.25">
      <c r="A78" s="24" t="s">
        <v>5</v>
      </c>
      <c r="B78" s="39">
        <f>PRORRATEO!G34</f>
        <v>4067977.64</v>
      </c>
      <c r="C78" s="23"/>
    </row>
    <row r="79" spans="1:5" hidden="1" x14ac:dyDescent="0.25">
      <c r="A79" s="24"/>
      <c r="B79" s="39">
        <v>0</v>
      </c>
      <c r="C79" s="23"/>
    </row>
    <row r="80" spans="1:5" hidden="1" x14ac:dyDescent="0.25">
      <c r="A80" s="24" t="s">
        <v>31</v>
      </c>
      <c r="B80" s="96">
        <f>B102</f>
        <v>0</v>
      </c>
      <c r="C80" s="23"/>
    </row>
    <row r="81" spans="1:6" hidden="1" x14ac:dyDescent="0.25">
      <c r="A81" s="27"/>
      <c r="B81" s="46"/>
      <c r="C81" s="23"/>
    </row>
    <row r="82" spans="1:6" hidden="1" x14ac:dyDescent="0.25">
      <c r="A82" s="110" t="s">
        <v>33</v>
      </c>
      <c r="B82" s="46"/>
      <c r="C82" s="23"/>
    </row>
    <row r="83" spans="1:6" hidden="1" x14ac:dyDescent="0.25">
      <c r="A83" s="38" t="s">
        <v>16</v>
      </c>
      <c r="B83" s="46">
        <f>-B67</f>
        <v>-1180129.1400000001</v>
      </c>
      <c r="C83" s="23"/>
    </row>
    <row r="84" spans="1:6" hidden="1" x14ac:dyDescent="0.25">
      <c r="A84" s="27" t="s">
        <v>17</v>
      </c>
      <c r="B84" s="46">
        <f>-(B68)</f>
        <v>-157000</v>
      </c>
      <c r="C84" s="23"/>
    </row>
    <row r="85" spans="1:6" hidden="1" x14ac:dyDescent="0.25">
      <c r="A85" s="31" t="s">
        <v>6</v>
      </c>
      <c r="B85" s="56">
        <f>SUM(B77:B84)</f>
        <v>2730848.5</v>
      </c>
      <c r="C85" s="26"/>
      <c r="D85" s="42"/>
    </row>
    <row r="86" spans="1:6" ht="34.5" hidden="1" customHeight="1" x14ac:dyDescent="0.25">
      <c r="B86" s="40"/>
      <c r="C86" s="26"/>
      <c r="D86" s="42"/>
      <c r="E86" s="113"/>
      <c r="F86" s="114"/>
    </row>
    <row r="87" spans="1:6" ht="14.25" hidden="1" customHeight="1" x14ac:dyDescent="0.25">
      <c r="B87" s="41"/>
      <c r="C87" s="26"/>
    </row>
    <row r="88" spans="1:6" s="37" customFormat="1" ht="27" hidden="1" customHeight="1" x14ac:dyDescent="0.25">
      <c r="A88"/>
      <c r="B88" s="40"/>
      <c r="C88" s="36"/>
    </row>
    <row r="89" spans="1:6" s="37" customFormat="1" x14ac:dyDescent="0.25">
      <c r="A89" s="116" t="s">
        <v>105</v>
      </c>
      <c r="B89" s="117">
        <v>-120596.37</v>
      </c>
      <c r="C89" s="36"/>
      <c r="D89" s="45"/>
    </row>
    <row r="90" spans="1:6" x14ac:dyDescent="0.25">
      <c r="A90" s="53" t="s">
        <v>36</v>
      </c>
      <c r="B90" s="122">
        <f>-B67</f>
        <v>-1180129.1400000001</v>
      </c>
    </row>
    <row r="91" spans="1:6" x14ac:dyDescent="0.25">
      <c r="A91" s="53" t="s">
        <v>37</v>
      </c>
      <c r="B91" s="122">
        <f>-B68</f>
        <v>-157000</v>
      </c>
    </row>
    <row r="92" spans="1:6" x14ac:dyDescent="0.25">
      <c r="A92" s="53" t="s">
        <v>41</v>
      </c>
      <c r="B92" s="122">
        <f>B102</f>
        <v>0</v>
      </c>
    </row>
    <row r="93" spans="1:6" x14ac:dyDescent="0.25">
      <c r="A93" s="53" t="s">
        <v>38</v>
      </c>
      <c r="B93" s="123">
        <f>PRORRATEO!G34</f>
        <v>4067977.64</v>
      </c>
    </row>
    <row r="94" spans="1:6" x14ac:dyDescent="0.25">
      <c r="A94" s="124" t="s">
        <v>39</v>
      </c>
      <c r="B94" s="148"/>
    </row>
    <row r="95" spans="1:6" ht="15.75" thickBot="1" x14ac:dyDescent="0.3">
      <c r="A95" s="120" t="s">
        <v>34</v>
      </c>
      <c r="B95" s="121">
        <f>SUM(B89:C94)</f>
        <v>2610252.13</v>
      </c>
    </row>
    <row r="96" spans="1:6" x14ac:dyDescent="0.25">
      <c r="A96" s="118"/>
      <c r="B96" s="118"/>
    </row>
    <row r="97" spans="1:13" ht="34.5" customHeight="1" x14ac:dyDescent="0.25"/>
    <row r="98" spans="1:13" x14ac:dyDescent="0.25">
      <c r="A98" s="194" t="s">
        <v>25</v>
      </c>
      <c r="B98" s="194"/>
      <c r="C98" s="194"/>
    </row>
    <row r="99" spans="1:13" x14ac:dyDescent="0.25">
      <c r="A99" s="194"/>
      <c r="B99" s="194"/>
      <c r="C99" s="194"/>
    </row>
    <row r="100" spans="1:13" ht="35.25" customHeight="1" x14ac:dyDescent="0.25">
      <c r="A100" s="107"/>
      <c r="B100" s="35"/>
      <c r="C100" s="35">
        <v>40000</v>
      </c>
      <c r="E100" s="125"/>
    </row>
    <row r="101" spans="1:13" ht="27" customHeight="1" x14ac:dyDescent="0.25">
      <c r="A101" s="107"/>
      <c r="B101" s="109"/>
      <c r="C101" s="106"/>
      <c r="D101" s="125"/>
    </row>
    <row r="102" spans="1:13" x14ac:dyDescent="0.25">
      <c r="A102" s="43" t="s">
        <v>6</v>
      </c>
      <c r="B102" s="108">
        <f>SUM(B100:B101)</f>
        <v>0</v>
      </c>
      <c r="C102" s="44"/>
    </row>
    <row r="103" spans="1:13" x14ac:dyDescent="0.25">
      <c r="M103" s="7"/>
    </row>
    <row r="104" spans="1:13" ht="15" customHeight="1" x14ac:dyDescent="0.25">
      <c r="A104" s="193"/>
      <c r="B104" s="193"/>
      <c r="C104" s="193"/>
      <c r="D104" s="193"/>
      <c r="E104" s="193"/>
    </row>
    <row r="105" spans="1:13" x14ac:dyDescent="0.25">
      <c r="A105" s="193"/>
      <c r="B105" s="193"/>
      <c r="C105" s="193"/>
      <c r="D105" s="193"/>
      <c r="E105" s="193"/>
    </row>
    <row r="106" spans="1:13" x14ac:dyDescent="0.25">
      <c r="A106" s="193"/>
      <c r="B106" s="193"/>
      <c r="C106" s="193"/>
      <c r="D106" s="193"/>
      <c r="E106" s="193"/>
    </row>
    <row r="107" spans="1:13" x14ac:dyDescent="0.25">
      <c r="A107" s="193"/>
      <c r="B107" s="193"/>
      <c r="C107" s="193"/>
      <c r="D107" s="193"/>
      <c r="E107" s="193"/>
    </row>
  </sheetData>
  <mergeCells count="17">
    <mergeCell ref="A41:B41"/>
    <mergeCell ref="A37:B37"/>
    <mergeCell ref="A104:E107"/>
    <mergeCell ref="A98:C99"/>
    <mergeCell ref="A72:E74"/>
    <mergeCell ref="A56:B56"/>
    <mergeCell ref="A55:B55"/>
    <mergeCell ref="A57:B57"/>
    <mergeCell ref="A22:B22"/>
    <mergeCell ref="B3:E3"/>
    <mergeCell ref="I38:J38"/>
    <mergeCell ref="A36:B36"/>
    <mergeCell ref="A38:B38"/>
    <mergeCell ref="A13:E16"/>
    <mergeCell ref="B8:C10"/>
    <mergeCell ref="A25:B25"/>
    <mergeCell ref="A31:B31"/>
  </mergeCells>
  <pageMargins left="0.25" right="0.25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topLeftCell="A22" zoomScaleNormal="100" workbookViewId="0">
      <selection activeCell="D3" sqref="D3"/>
    </sheetView>
  </sheetViews>
  <sheetFormatPr baseColWidth="10" defaultRowHeight="15" x14ac:dyDescent="0.25"/>
  <cols>
    <col min="1" max="2" width="4.28515625" customWidth="1"/>
    <col min="3" max="3" width="18.5703125" customWidth="1"/>
    <col min="4" max="4" width="16" customWidth="1"/>
    <col min="5" max="5" width="8.42578125" customWidth="1"/>
    <col min="6" max="6" width="14.140625" customWidth="1"/>
    <col min="7" max="7" width="12.28515625" customWidth="1"/>
    <col min="8" max="8" width="10.5703125" customWidth="1"/>
    <col min="9" max="9" width="9.5703125" customWidth="1"/>
    <col min="10" max="10" width="12.28515625" customWidth="1"/>
    <col min="11" max="11" width="12.42578125" customWidth="1"/>
    <col min="12" max="12" width="14.5703125" bestFit="1" customWidth="1"/>
    <col min="13" max="13" width="14.7109375" customWidth="1"/>
    <col min="14" max="14" width="12" hidden="1" customWidth="1"/>
    <col min="15" max="15" width="14.28515625" customWidth="1"/>
    <col min="16" max="16" width="0.140625" customWidth="1"/>
    <col min="17" max="17" width="12" bestFit="1" customWidth="1"/>
    <col min="18" max="18" width="13" bestFit="1" customWidth="1"/>
  </cols>
  <sheetData>
    <row r="1" spans="1:16" ht="12.95" customHeight="1" x14ac:dyDescent="0.25">
      <c r="A1" s="6"/>
      <c r="B1" s="6"/>
      <c r="C1" s="177"/>
      <c r="D1" s="177"/>
      <c r="E1" s="195"/>
      <c r="F1" s="195"/>
      <c r="G1" s="195"/>
      <c r="H1" s="195"/>
      <c r="I1" s="195"/>
      <c r="J1" s="195"/>
      <c r="K1" s="195"/>
      <c r="L1" s="195"/>
      <c r="M1" s="195"/>
      <c r="N1" s="6"/>
      <c r="O1" s="6"/>
    </row>
    <row r="2" spans="1:16" ht="12.95" customHeight="1" x14ac:dyDescent="0.25">
      <c r="A2" s="6"/>
      <c r="B2" s="6"/>
      <c r="C2" s="177"/>
      <c r="D2" s="178"/>
      <c r="E2" s="178" t="s">
        <v>132</v>
      </c>
      <c r="F2" s="178"/>
      <c r="G2" s="179">
        <v>0</v>
      </c>
      <c r="H2" s="178"/>
      <c r="I2" s="178"/>
      <c r="J2" s="180"/>
      <c r="K2" s="178" t="s">
        <v>131</v>
      </c>
      <c r="L2" s="181">
        <v>2000000</v>
      </c>
      <c r="M2" s="182"/>
      <c r="N2" s="54"/>
      <c r="O2" s="54"/>
      <c r="P2" s="21"/>
    </row>
    <row r="3" spans="1:16" ht="12.95" customHeight="1" x14ac:dyDescent="0.25">
      <c r="A3" s="6"/>
      <c r="B3" s="6"/>
      <c r="C3" s="177"/>
      <c r="D3" s="177"/>
      <c r="E3" s="177"/>
      <c r="F3" s="177"/>
      <c r="G3" s="183"/>
      <c r="H3" s="177"/>
      <c r="I3" s="177"/>
      <c r="J3" s="184"/>
      <c r="K3" s="177"/>
      <c r="L3" s="177"/>
      <c r="M3" s="182"/>
      <c r="N3" s="54"/>
      <c r="O3" s="54"/>
      <c r="P3" s="21"/>
    </row>
    <row r="4" spans="1:16" ht="12.95" customHeight="1" x14ac:dyDescent="0.25">
      <c r="A4" s="207" t="s">
        <v>130</v>
      </c>
      <c r="B4" s="208"/>
      <c r="C4" s="208"/>
      <c r="D4" s="208"/>
      <c r="E4" s="208"/>
      <c r="F4" s="208"/>
      <c r="G4" s="208"/>
      <c r="H4" s="208"/>
      <c r="I4" s="208"/>
      <c r="J4" s="208"/>
      <c r="K4" s="208"/>
      <c r="L4" s="208"/>
      <c r="M4" s="208"/>
      <c r="N4" s="208"/>
      <c r="O4" s="208"/>
      <c r="P4" s="21"/>
    </row>
    <row r="5" spans="1:16" ht="12.95" customHeight="1" x14ac:dyDescent="0.25">
      <c r="A5" s="208"/>
      <c r="B5" s="208"/>
      <c r="C5" s="208"/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1"/>
    </row>
    <row r="6" spans="1:16" ht="12.95" customHeight="1" x14ac:dyDescent="0.25">
      <c r="A6" s="208"/>
      <c r="B6" s="208"/>
      <c r="C6" s="208"/>
      <c r="D6" s="208"/>
      <c r="E6" s="208"/>
      <c r="F6" s="208"/>
      <c r="G6" s="208"/>
      <c r="H6" s="208"/>
      <c r="I6" s="208"/>
      <c r="J6" s="208"/>
      <c r="K6" s="208"/>
      <c r="L6" s="208"/>
      <c r="M6" s="208"/>
      <c r="N6" s="208"/>
      <c r="O6" s="208"/>
      <c r="P6" s="21"/>
    </row>
    <row r="7" spans="1:16" ht="12.95" customHeight="1" x14ac:dyDescent="0.25">
      <c r="A7" s="208"/>
      <c r="B7" s="208"/>
      <c r="C7" s="208"/>
      <c r="D7" s="208"/>
      <c r="E7" s="208"/>
      <c r="F7" s="208"/>
      <c r="G7" s="208"/>
      <c r="H7" s="208"/>
      <c r="I7" s="208"/>
      <c r="J7" s="208"/>
      <c r="K7" s="208"/>
      <c r="L7" s="208"/>
      <c r="M7" s="208"/>
      <c r="N7" s="208"/>
      <c r="O7" s="208"/>
      <c r="P7" s="21"/>
    </row>
    <row r="8" spans="1:16" ht="48" customHeight="1" thickBot="1" x14ac:dyDescent="0.3">
      <c r="A8" s="209"/>
      <c r="B8" s="209"/>
      <c r="C8" s="209"/>
      <c r="D8" s="209"/>
      <c r="E8" s="209"/>
      <c r="F8" s="209"/>
      <c r="G8" s="209"/>
      <c r="H8" s="209"/>
      <c r="I8" s="209"/>
      <c r="J8" s="209"/>
      <c r="K8" s="209"/>
      <c r="L8" s="209"/>
      <c r="M8" s="209"/>
      <c r="N8" s="209"/>
      <c r="O8" s="209"/>
    </row>
    <row r="9" spans="1:16" x14ac:dyDescent="0.25">
      <c r="A9" s="200" t="s">
        <v>3</v>
      </c>
      <c r="B9" s="149"/>
      <c r="C9" s="200" t="s">
        <v>4</v>
      </c>
      <c r="D9" s="200" t="s">
        <v>19</v>
      </c>
      <c r="E9" s="200" t="s">
        <v>8</v>
      </c>
      <c r="F9" s="196" t="s">
        <v>35</v>
      </c>
      <c r="G9" s="200" t="s">
        <v>5</v>
      </c>
      <c r="H9" s="202" t="s">
        <v>23</v>
      </c>
      <c r="I9" s="196" t="s">
        <v>32</v>
      </c>
      <c r="J9" s="196" t="s">
        <v>110</v>
      </c>
      <c r="K9" s="196" t="s">
        <v>131</v>
      </c>
      <c r="L9" s="205" t="s">
        <v>132</v>
      </c>
      <c r="M9" s="59" t="s">
        <v>28</v>
      </c>
      <c r="N9" s="198" t="s">
        <v>18</v>
      </c>
      <c r="O9" s="210" t="s">
        <v>27</v>
      </c>
    </row>
    <row r="10" spans="1:16" ht="15.75" customHeight="1" x14ac:dyDescent="0.25">
      <c r="A10" s="201"/>
      <c r="B10" s="150"/>
      <c r="C10" s="201"/>
      <c r="D10" s="212"/>
      <c r="E10" s="201"/>
      <c r="F10" s="197"/>
      <c r="G10" s="201"/>
      <c r="H10" s="203"/>
      <c r="I10" s="197"/>
      <c r="J10" s="204"/>
      <c r="K10" s="197"/>
      <c r="L10" s="206"/>
      <c r="M10" s="57" t="str">
        <f>RESUMEN!B8</f>
        <v>VTO 14/11</v>
      </c>
      <c r="N10" s="199"/>
      <c r="O10" s="211"/>
    </row>
    <row r="11" spans="1:16" ht="17.100000000000001" customHeight="1" x14ac:dyDescent="0.25">
      <c r="A11" s="60">
        <v>1</v>
      </c>
      <c r="B11" s="60" t="s">
        <v>46</v>
      </c>
      <c r="C11" s="60" t="s">
        <v>47</v>
      </c>
      <c r="D11" s="60"/>
      <c r="E11" s="69">
        <v>12</v>
      </c>
      <c r="F11" s="70">
        <v>495807</v>
      </c>
      <c r="G11" s="72">
        <f>530667-G27-G28</f>
        <v>495867</v>
      </c>
      <c r="H11" s="73">
        <f t="shared" ref="H11:H33" si="0">F11-G11</f>
        <v>-60</v>
      </c>
      <c r="I11" s="73">
        <f>IF(H11&gt;0,H11*3%,0)</f>
        <v>0</v>
      </c>
      <c r="J11" s="74">
        <f>EDESUR!I5</f>
        <v>0</v>
      </c>
      <c r="K11" s="139">
        <f>L$2*E11/100</f>
        <v>240000</v>
      </c>
      <c r="L11" s="139">
        <f>G$2*E11/100</f>
        <v>0</v>
      </c>
      <c r="M11" s="75">
        <f>ROUND(SUM(H11:L11),0) + P11</f>
        <v>239940.01</v>
      </c>
      <c r="N11" s="76">
        <f>ROUND(M11*6% + M11,0) + P11</f>
        <v>254336.01</v>
      </c>
      <c r="O11" s="77">
        <f>ROUND(M11*3%,0) + M11</f>
        <v>247138.01</v>
      </c>
      <c r="P11" s="42">
        <v>0.01</v>
      </c>
    </row>
    <row r="12" spans="1:16" ht="17.100000000000001" customHeight="1" x14ac:dyDescent="0.25">
      <c r="A12" s="60">
        <v>2</v>
      </c>
      <c r="B12" s="60" t="s">
        <v>48</v>
      </c>
      <c r="C12" s="60" t="s">
        <v>49</v>
      </c>
      <c r="D12" s="61"/>
      <c r="E12" s="69">
        <v>6.6</v>
      </c>
      <c r="F12" s="70">
        <v>230445</v>
      </c>
      <c r="G12" s="72">
        <f>F12</f>
        <v>230445</v>
      </c>
      <c r="H12" s="73">
        <f t="shared" si="0"/>
        <v>0</v>
      </c>
      <c r="I12" s="73">
        <f t="shared" ref="I12:I33" si="1">IF(H12&gt;0,H12*3%,0)</f>
        <v>0</v>
      </c>
      <c r="J12" s="74">
        <f>EDESUR!I6</f>
        <v>0</v>
      </c>
      <c r="K12" s="139">
        <f t="shared" ref="K12:K33" si="2">L$2*E12/100</f>
        <v>132000</v>
      </c>
      <c r="L12" s="139">
        <f t="shared" ref="L12:L33" si="3">G$2*E12/100</f>
        <v>0</v>
      </c>
      <c r="M12" s="75">
        <f t="shared" ref="M12:M33" si="4">ROUND(SUM(H12:L12),0) + P12</f>
        <v>132000.01999999999</v>
      </c>
      <c r="N12" s="76">
        <f t="shared" ref="N12:N28" si="5">ROUND(M12*6% + M12,0) + P12</f>
        <v>139920.01999999999</v>
      </c>
      <c r="O12" s="77">
        <f t="shared" ref="O12:O33" si="6">ROUND(M12*3%,0) + M12</f>
        <v>135960.01999999999</v>
      </c>
      <c r="P12" s="42">
        <f>P11+0.01</f>
        <v>0.02</v>
      </c>
    </row>
    <row r="13" spans="1:16" ht="17.100000000000001" customHeight="1" x14ac:dyDescent="0.25">
      <c r="A13" s="60">
        <v>3</v>
      </c>
      <c r="B13" s="60" t="s">
        <v>50</v>
      </c>
      <c r="C13" s="60" t="s">
        <v>51</v>
      </c>
      <c r="D13" s="61" t="s">
        <v>89</v>
      </c>
      <c r="E13" s="69">
        <v>5.4</v>
      </c>
      <c r="F13" s="70">
        <v>183797</v>
      </c>
      <c r="G13" s="72">
        <f>F13</f>
        <v>183797</v>
      </c>
      <c r="H13" s="73">
        <f t="shared" si="0"/>
        <v>0</v>
      </c>
      <c r="I13" s="73">
        <f t="shared" si="1"/>
        <v>0</v>
      </c>
      <c r="J13" s="74">
        <f>EDESUR!I7</f>
        <v>0</v>
      </c>
      <c r="K13" s="139">
        <f t="shared" si="2"/>
        <v>108000</v>
      </c>
      <c r="L13" s="139">
        <f t="shared" si="3"/>
        <v>0</v>
      </c>
      <c r="M13" s="75">
        <f t="shared" si="4"/>
        <v>108000.03</v>
      </c>
      <c r="N13" s="76">
        <f t="shared" si="5"/>
        <v>114480.03</v>
      </c>
      <c r="O13" s="77">
        <f t="shared" si="6"/>
        <v>111240.03</v>
      </c>
      <c r="P13" s="42">
        <f t="shared" ref="P13:P28" si="7">P12+0.01</f>
        <v>0.03</v>
      </c>
    </row>
    <row r="14" spans="1:16" ht="17.100000000000001" customHeight="1" x14ac:dyDescent="0.25">
      <c r="A14" s="60">
        <v>4</v>
      </c>
      <c r="B14" s="60" t="s">
        <v>52</v>
      </c>
      <c r="C14" s="60" t="s">
        <v>53</v>
      </c>
      <c r="D14" s="61" t="s">
        <v>90</v>
      </c>
      <c r="E14" s="69">
        <v>6.6</v>
      </c>
      <c r="F14" s="70">
        <v>206119</v>
      </c>
      <c r="G14" s="72">
        <f>322065.64-115947</f>
        <v>206118.64</v>
      </c>
      <c r="H14" s="73">
        <f t="shared" si="0"/>
        <v>0.35999999998603016</v>
      </c>
      <c r="I14" s="73">
        <f t="shared" si="1"/>
        <v>1.0799999999580905E-2</v>
      </c>
      <c r="J14" s="74">
        <f>EDESUR!I8</f>
        <v>0</v>
      </c>
      <c r="K14" s="139">
        <f t="shared" si="2"/>
        <v>132000</v>
      </c>
      <c r="L14" s="139">
        <f t="shared" si="3"/>
        <v>0</v>
      </c>
      <c r="M14" s="75">
        <f t="shared" si="4"/>
        <v>132000.04</v>
      </c>
      <c r="N14" s="76">
        <f t="shared" si="5"/>
        <v>139920.04</v>
      </c>
      <c r="O14" s="77">
        <f t="shared" si="6"/>
        <v>135960.04</v>
      </c>
      <c r="P14" s="42">
        <f t="shared" si="7"/>
        <v>0.04</v>
      </c>
    </row>
    <row r="15" spans="1:16" ht="17.100000000000001" customHeight="1" x14ac:dyDescent="0.25">
      <c r="A15" s="60">
        <v>5</v>
      </c>
      <c r="B15" s="60" t="s">
        <v>54</v>
      </c>
      <c r="C15" s="60" t="s">
        <v>55</v>
      </c>
      <c r="D15" s="60" t="s">
        <v>129</v>
      </c>
      <c r="E15" s="69">
        <v>6.6</v>
      </c>
      <c r="F15" s="70">
        <v>301901</v>
      </c>
      <c r="G15" s="72">
        <f>F15</f>
        <v>301901</v>
      </c>
      <c r="H15" s="73">
        <f t="shared" si="0"/>
        <v>0</v>
      </c>
      <c r="I15" s="73">
        <f t="shared" si="1"/>
        <v>0</v>
      </c>
      <c r="J15" s="74">
        <f>EDESUR!I9</f>
        <v>0</v>
      </c>
      <c r="K15" s="139">
        <f t="shared" si="2"/>
        <v>132000</v>
      </c>
      <c r="L15" s="139">
        <f t="shared" si="3"/>
        <v>0</v>
      </c>
      <c r="M15" s="75">
        <f t="shared" si="4"/>
        <v>132000.04999999999</v>
      </c>
      <c r="N15" s="76">
        <f t="shared" si="5"/>
        <v>139920.04999999999</v>
      </c>
      <c r="O15" s="77">
        <f t="shared" si="6"/>
        <v>135960.04999999999</v>
      </c>
      <c r="P15" s="42">
        <f t="shared" si="7"/>
        <v>0.05</v>
      </c>
    </row>
    <row r="16" spans="1:16" ht="17.100000000000001" customHeight="1" x14ac:dyDescent="0.25">
      <c r="A16" s="60">
        <v>6</v>
      </c>
      <c r="B16" s="60" t="s">
        <v>56</v>
      </c>
      <c r="C16" s="60" t="s">
        <v>57</v>
      </c>
      <c r="D16" s="60" t="s">
        <v>126</v>
      </c>
      <c r="E16" s="69">
        <v>5.4</v>
      </c>
      <c r="F16" s="70">
        <v>193307</v>
      </c>
      <c r="G16" s="72">
        <f>F16</f>
        <v>193307</v>
      </c>
      <c r="H16" s="73">
        <f t="shared" si="0"/>
        <v>0</v>
      </c>
      <c r="I16" s="73">
        <f t="shared" si="1"/>
        <v>0</v>
      </c>
      <c r="J16" s="74">
        <f>EDESUR!I10</f>
        <v>0</v>
      </c>
      <c r="K16" s="139">
        <f t="shared" si="2"/>
        <v>108000</v>
      </c>
      <c r="L16" s="139">
        <f t="shared" si="3"/>
        <v>0</v>
      </c>
      <c r="M16" s="75">
        <f t="shared" si="4"/>
        <v>108000.06</v>
      </c>
      <c r="N16" s="76">
        <f t="shared" si="5"/>
        <v>114480.06</v>
      </c>
      <c r="O16" s="77">
        <f t="shared" si="6"/>
        <v>111240.06</v>
      </c>
      <c r="P16" s="42">
        <f t="shared" si="7"/>
        <v>6.0000000000000005E-2</v>
      </c>
    </row>
    <row r="17" spans="1:17" ht="17.100000000000001" customHeight="1" x14ac:dyDescent="0.25">
      <c r="A17" s="60">
        <v>7</v>
      </c>
      <c r="B17" s="60" t="s">
        <v>58</v>
      </c>
      <c r="C17" s="60" t="s">
        <v>59</v>
      </c>
      <c r="D17" s="60" t="s">
        <v>127</v>
      </c>
      <c r="E17" s="69">
        <v>5.4</v>
      </c>
      <c r="F17" s="70">
        <v>287266</v>
      </c>
      <c r="G17" s="72">
        <f>171318+115948</f>
        <v>287266</v>
      </c>
      <c r="H17" s="73">
        <f t="shared" si="0"/>
        <v>0</v>
      </c>
      <c r="I17" s="73">
        <f t="shared" si="1"/>
        <v>0</v>
      </c>
      <c r="J17" s="74">
        <f>EDESUR!I11</f>
        <v>0</v>
      </c>
      <c r="K17" s="139">
        <f t="shared" si="2"/>
        <v>108000</v>
      </c>
      <c r="L17" s="139">
        <f t="shared" si="3"/>
        <v>0</v>
      </c>
      <c r="M17" s="75">
        <f t="shared" si="4"/>
        <v>108000.07</v>
      </c>
      <c r="N17" s="76">
        <f t="shared" si="5"/>
        <v>114480.07</v>
      </c>
      <c r="O17" s="77">
        <f t="shared" si="6"/>
        <v>111240.07</v>
      </c>
      <c r="P17" s="42">
        <f t="shared" si="7"/>
        <v>7.0000000000000007E-2</v>
      </c>
    </row>
    <row r="18" spans="1:17" ht="17.100000000000001" customHeight="1" x14ac:dyDescent="0.25">
      <c r="A18" s="60">
        <v>8</v>
      </c>
      <c r="B18" s="60" t="s">
        <v>60</v>
      </c>
      <c r="C18" s="60" t="s">
        <v>61</v>
      </c>
      <c r="D18" s="61" t="s">
        <v>91</v>
      </c>
      <c r="E18" s="69">
        <v>6.6</v>
      </c>
      <c r="F18" s="70">
        <v>274735</v>
      </c>
      <c r="G18" s="72">
        <f>F18</f>
        <v>274735</v>
      </c>
      <c r="H18" s="73">
        <f t="shared" si="0"/>
        <v>0</v>
      </c>
      <c r="I18" s="73">
        <f t="shared" si="1"/>
        <v>0</v>
      </c>
      <c r="J18" s="74">
        <f>EDESUR!I12</f>
        <v>0</v>
      </c>
      <c r="K18" s="139">
        <f t="shared" si="2"/>
        <v>132000</v>
      </c>
      <c r="L18" s="139">
        <f t="shared" si="3"/>
        <v>0</v>
      </c>
      <c r="M18" s="75">
        <f t="shared" si="4"/>
        <v>132000.07999999999</v>
      </c>
      <c r="N18" s="76">
        <f t="shared" si="5"/>
        <v>139920.07999999999</v>
      </c>
      <c r="O18" s="77">
        <f t="shared" si="6"/>
        <v>135960.07999999999</v>
      </c>
      <c r="P18" s="42">
        <f t="shared" si="7"/>
        <v>0.08</v>
      </c>
    </row>
    <row r="19" spans="1:17" ht="17.100000000000001" customHeight="1" x14ac:dyDescent="0.25">
      <c r="A19" s="60">
        <v>9</v>
      </c>
      <c r="B19" s="60" t="s">
        <v>62</v>
      </c>
      <c r="C19" s="60" t="s">
        <v>63</v>
      </c>
      <c r="D19" s="61" t="s">
        <v>94</v>
      </c>
      <c r="E19" s="69">
        <v>6.6</v>
      </c>
      <c r="F19" s="70">
        <v>228179</v>
      </c>
      <c r="G19" s="72">
        <f>219377+8802</f>
        <v>228179</v>
      </c>
      <c r="H19" s="73">
        <f t="shared" si="0"/>
        <v>0</v>
      </c>
      <c r="I19" s="73">
        <f t="shared" si="1"/>
        <v>0</v>
      </c>
      <c r="J19" s="74">
        <f>EDESUR!I13</f>
        <v>0</v>
      </c>
      <c r="K19" s="139">
        <f t="shared" si="2"/>
        <v>132000</v>
      </c>
      <c r="L19" s="139">
        <f t="shared" si="3"/>
        <v>0</v>
      </c>
      <c r="M19" s="75">
        <f t="shared" si="4"/>
        <v>132000.09</v>
      </c>
      <c r="N19" s="76">
        <f t="shared" si="5"/>
        <v>139920.09</v>
      </c>
      <c r="O19" s="77">
        <f t="shared" si="6"/>
        <v>135960.09</v>
      </c>
      <c r="P19" s="42">
        <f t="shared" si="7"/>
        <v>0.09</v>
      </c>
    </row>
    <row r="20" spans="1:17" ht="17.100000000000001" customHeight="1" x14ac:dyDescent="0.25">
      <c r="A20" s="60">
        <v>10</v>
      </c>
      <c r="B20" s="60" t="s">
        <v>64</v>
      </c>
      <c r="C20" s="60" t="s">
        <v>65</v>
      </c>
      <c r="D20" s="61" t="s">
        <v>92</v>
      </c>
      <c r="E20" s="69">
        <v>5.4</v>
      </c>
      <c r="F20" s="70">
        <v>269046</v>
      </c>
      <c r="G20" s="72">
        <f>286548-G31-8802+3320</f>
        <v>272366</v>
      </c>
      <c r="H20" s="73">
        <f t="shared" si="0"/>
        <v>-3320</v>
      </c>
      <c r="I20" s="73">
        <f t="shared" si="1"/>
        <v>0</v>
      </c>
      <c r="J20" s="74">
        <f>EDESUR!I14</f>
        <v>0</v>
      </c>
      <c r="K20" s="139">
        <f t="shared" si="2"/>
        <v>108000</v>
      </c>
      <c r="L20" s="139">
        <f t="shared" si="3"/>
        <v>0</v>
      </c>
      <c r="M20" s="75">
        <f t="shared" si="4"/>
        <v>104680.1</v>
      </c>
      <c r="N20" s="76">
        <f t="shared" si="5"/>
        <v>110961.1</v>
      </c>
      <c r="O20" s="77">
        <f t="shared" si="6"/>
        <v>107820.1</v>
      </c>
      <c r="P20" s="42">
        <f t="shared" si="7"/>
        <v>9.9999999999999992E-2</v>
      </c>
    </row>
    <row r="21" spans="1:17" ht="17.100000000000001" customHeight="1" x14ac:dyDescent="0.25">
      <c r="A21" s="60">
        <v>11</v>
      </c>
      <c r="B21" s="60" t="s">
        <v>66</v>
      </c>
      <c r="C21" s="60" t="s">
        <v>67</v>
      </c>
      <c r="D21" s="61"/>
      <c r="E21" s="69">
        <v>5.4</v>
      </c>
      <c r="F21" s="70">
        <v>169635</v>
      </c>
      <c r="G21" s="72">
        <f>178335-G32</f>
        <v>169635</v>
      </c>
      <c r="H21" s="73">
        <f t="shared" si="0"/>
        <v>0</v>
      </c>
      <c r="I21" s="73">
        <f t="shared" si="1"/>
        <v>0</v>
      </c>
      <c r="J21" s="74">
        <f>EDESUR!I15</f>
        <v>0</v>
      </c>
      <c r="K21" s="139">
        <f t="shared" si="2"/>
        <v>108000</v>
      </c>
      <c r="L21" s="139">
        <f t="shared" si="3"/>
        <v>0</v>
      </c>
      <c r="M21" s="75">
        <f t="shared" si="4"/>
        <v>108000.11</v>
      </c>
      <c r="N21" s="76">
        <f t="shared" si="5"/>
        <v>114480.11</v>
      </c>
      <c r="O21" s="77">
        <f t="shared" si="6"/>
        <v>111240.11</v>
      </c>
      <c r="P21" s="42">
        <f t="shared" si="7"/>
        <v>0.10999999999999999</v>
      </c>
      <c r="Q21" t="s">
        <v>128</v>
      </c>
    </row>
    <row r="22" spans="1:17" ht="30" customHeight="1" x14ac:dyDescent="0.25">
      <c r="A22" s="60">
        <v>12</v>
      </c>
      <c r="B22" s="60" t="s">
        <v>68</v>
      </c>
      <c r="C22" s="60" t="s">
        <v>69</v>
      </c>
      <c r="D22" s="61" t="s">
        <v>93</v>
      </c>
      <c r="E22" s="69">
        <v>6.6</v>
      </c>
      <c r="F22" s="70">
        <v>226859</v>
      </c>
      <c r="G22" s="72">
        <f>F22</f>
        <v>226859</v>
      </c>
      <c r="H22" s="73">
        <f t="shared" si="0"/>
        <v>0</v>
      </c>
      <c r="I22" s="73">
        <f t="shared" si="1"/>
        <v>0</v>
      </c>
      <c r="J22" s="74">
        <f>EDESUR!I16</f>
        <v>0</v>
      </c>
      <c r="K22" s="139">
        <f t="shared" si="2"/>
        <v>132000</v>
      </c>
      <c r="L22" s="139">
        <f t="shared" si="3"/>
        <v>0</v>
      </c>
      <c r="M22" s="75">
        <f t="shared" si="4"/>
        <v>132000.12</v>
      </c>
      <c r="N22" s="76">
        <f t="shared" si="5"/>
        <v>139920.12</v>
      </c>
      <c r="O22" s="77">
        <f t="shared" si="6"/>
        <v>135960.12</v>
      </c>
      <c r="P22" s="42">
        <f t="shared" si="7"/>
        <v>0.11999999999999998</v>
      </c>
    </row>
    <row r="23" spans="1:17" ht="17.100000000000001" customHeight="1" x14ac:dyDescent="0.25">
      <c r="A23" s="60">
        <v>13</v>
      </c>
      <c r="B23" s="60" t="s">
        <v>70</v>
      </c>
      <c r="C23" s="60" t="s">
        <v>71</v>
      </c>
      <c r="D23" s="61" t="s">
        <v>125</v>
      </c>
      <c r="E23" s="69">
        <v>6.6</v>
      </c>
      <c r="F23" s="70">
        <v>236320</v>
      </c>
      <c r="G23" s="72">
        <f>F23</f>
        <v>236320</v>
      </c>
      <c r="H23" s="73">
        <f t="shared" si="0"/>
        <v>0</v>
      </c>
      <c r="I23" s="73">
        <f t="shared" si="1"/>
        <v>0</v>
      </c>
      <c r="J23" s="74">
        <f>EDESUR!I17</f>
        <v>0</v>
      </c>
      <c r="K23" s="139">
        <f t="shared" si="2"/>
        <v>132000</v>
      </c>
      <c r="L23" s="139">
        <f t="shared" si="3"/>
        <v>0</v>
      </c>
      <c r="M23" s="75">
        <f t="shared" si="4"/>
        <v>132000.13</v>
      </c>
      <c r="N23" s="76">
        <f t="shared" si="5"/>
        <v>139920.13</v>
      </c>
      <c r="O23" s="77">
        <f t="shared" si="6"/>
        <v>135960.13</v>
      </c>
      <c r="P23" s="42">
        <f t="shared" si="7"/>
        <v>0.12999999999999998</v>
      </c>
    </row>
    <row r="24" spans="1:17" ht="17.100000000000001" customHeight="1" x14ac:dyDescent="0.25">
      <c r="A24" s="60">
        <v>14</v>
      </c>
      <c r="B24" s="60" t="s">
        <v>72</v>
      </c>
      <c r="C24" s="60" t="s">
        <v>73</v>
      </c>
      <c r="D24" s="61"/>
      <c r="E24" s="69">
        <v>5.4</v>
      </c>
      <c r="F24" s="70">
        <v>337128</v>
      </c>
      <c r="G24" s="72">
        <f>F24</f>
        <v>337128</v>
      </c>
      <c r="H24" s="73">
        <f t="shared" si="0"/>
        <v>0</v>
      </c>
      <c r="I24" s="73">
        <f t="shared" si="1"/>
        <v>0</v>
      </c>
      <c r="J24" s="74">
        <f>EDESUR!I18</f>
        <v>0</v>
      </c>
      <c r="K24" s="139">
        <f t="shared" si="2"/>
        <v>108000</v>
      </c>
      <c r="L24" s="139">
        <f t="shared" si="3"/>
        <v>0</v>
      </c>
      <c r="M24" s="75">
        <f t="shared" si="4"/>
        <v>108000.14</v>
      </c>
      <c r="N24" s="76">
        <f t="shared" si="5"/>
        <v>114480.14</v>
      </c>
      <c r="O24" s="77">
        <f t="shared" si="6"/>
        <v>111240.14</v>
      </c>
      <c r="P24" s="42">
        <f t="shared" si="7"/>
        <v>0.13999999999999999</v>
      </c>
    </row>
    <row r="25" spans="1:17" ht="17.100000000000001" customHeight="1" x14ac:dyDescent="0.25">
      <c r="A25" s="60">
        <v>15</v>
      </c>
      <c r="B25" s="60" t="s">
        <v>74</v>
      </c>
      <c r="C25" s="60" t="s">
        <v>75</v>
      </c>
      <c r="D25" s="61"/>
      <c r="E25" s="69">
        <v>5.4</v>
      </c>
      <c r="F25" s="70">
        <v>308054</v>
      </c>
      <c r="G25" s="72">
        <f>F25</f>
        <v>308054</v>
      </c>
      <c r="H25" s="73">
        <f t="shared" si="0"/>
        <v>0</v>
      </c>
      <c r="I25" s="73">
        <f t="shared" si="1"/>
        <v>0</v>
      </c>
      <c r="J25" s="74">
        <f>EDESUR!I19</f>
        <v>0</v>
      </c>
      <c r="K25" s="139">
        <f t="shared" si="2"/>
        <v>108000</v>
      </c>
      <c r="L25" s="139">
        <f t="shared" si="3"/>
        <v>0</v>
      </c>
      <c r="M25" s="75">
        <f t="shared" si="4"/>
        <v>108000.15</v>
      </c>
      <c r="N25" s="76">
        <f t="shared" si="5"/>
        <v>114480.15</v>
      </c>
      <c r="O25" s="77">
        <f t="shared" si="6"/>
        <v>111240.15</v>
      </c>
      <c r="P25" s="42">
        <f t="shared" si="7"/>
        <v>0.15</v>
      </c>
    </row>
    <row r="26" spans="1:17" ht="17.100000000000001" customHeight="1" x14ac:dyDescent="0.25">
      <c r="A26" s="60">
        <v>16</v>
      </c>
      <c r="B26" s="60" t="s">
        <v>76</v>
      </c>
      <c r="C26" s="60" t="s">
        <v>57</v>
      </c>
      <c r="D26" s="60" t="s">
        <v>126</v>
      </c>
      <c r="E26" s="69">
        <v>0.7</v>
      </c>
      <c r="F26" s="70">
        <v>20300</v>
      </c>
      <c r="G26" s="72">
        <f>F26</f>
        <v>20300</v>
      </c>
      <c r="H26" s="73">
        <f t="shared" si="0"/>
        <v>0</v>
      </c>
      <c r="I26" s="73">
        <f t="shared" si="1"/>
        <v>0</v>
      </c>
      <c r="J26" s="74">
        <f>EDESUR!I22</f>
        <v>0</v>
      </c>
      <c r="K26" s="139">
        <f t="shared" si="2"/>
        <v>14000</v>
      </c>
      <c r="L26" s="139">
        <f t="shared" si="3"/>
        <v>0</v>
      </c>
      <c r="M26" s="75">
        <f t="shared" si="4"/>
        <v>14000.16</v>
      </c>
      <c r="N26" s="76">
        <f t="shared" si="5"/>
        <v>14840.16</v>
      </c>
      <c r="O26" s="77">
        <f t="shared" si="6"/>
        <v>14420.16</v>
      </c>
      <c r="P26" s="42">
        <f t="shared" si="7"/>
        <v>0.16</v>
      </c>
    </row>
    <row r="27" spans="1:17" ht="17.100000000000001" customHeight="1" x14ac:dyDescent="0.25">
      <c r="A27" s="60">
        <v>17</v>
      </c>
      <c r="B27" s="60" t="s">
        <v>77</v>
      </c>
      <c r="C27" s="60" t="s">
        <v>47</v>
      </c>
      <c r="D27" s="61"/>
      <c r="E27" s="69">
        <v>0.6</v>
      </c>
      <c r="F27" s="71">
        <v>17400</v>
      </c>
      <c r="G27" s="72">
        <f t="shared" ref="G27:G30" si="8">F27</f>
        <v>17400</v>
      </c>
      <c r="H27" s="73">
        <f t="shared" si="0"/>
        <v>0</v>
      </c>
      <c r="I27" s="73">
        <f t="shared" si="1"/>
        <v>0</v>
      </c>
      <c r="J27" s="74">
        <f>EDESUR!I21</f>
        <v>0</v>
      </c>
      <c r="K27" s="139">
        <f t="shared" si="2"/>
        <v>12000</v>
      </c>
      <c r="L27" s="139">
        <f t="shared" si="3"/>
        <v>0</v>
      </c>
      <c r="M27" s="75">
        <f t="shared" si="4"/>
        <v>12000.17</v>
      </c>
      <c r="N27" s="76">
        <f t="shared" si="5"/>
        <v>12720.17</v>
      </c>
      <c r="O27" s="77">
        <f t="shared" si="6"/>
        <v>12360.17</v>
      </c>
      <c r="P27" s="42">
        <f t="shared" si="7"/>
        <v>0.17</v>
      </c>
    </row>
    <row r="28" spans="1:17" ht="17.100000000000001" customHeight="1" x14ac:dyDescent="0.25">
      <c r="A28" s="60">
        <v>18</v>
      </c>
      <c r="B28" s="60" t="s">
        <v>78</v>
      </c>
      <c r="C28" s="60" t="s">
        <v>47</v>
      </c>
      <c r="D28" s="115"/>
      <c r="E28" s="69">
        <v>0.6</v>
      </c>
      <c r="F28" s="70">
        <v>17400</v>
      </c>
      <c r="G28" s="72">
        <f t="shared" si="8"/>
        <v>17400</v>
      </c>
      <c r="H28" s="73">
        <f t="shared" si="0"/>
        <v>0</v>
      </c>
      <c r="I28" s="73">
        <f t="shared" si="1"/>
        <v>0</v>
      </c>
      <c r="J28" s="74">
        <f>EDESUR!I22</f>
        <v>0</v>
      </c>
      <c r="K28" s="139">
        <f t="shared" si="2"/>
        <v>12000</v>
      </c>
      <c r="L28" s="139">
        <f t="shared" si="3"/>
        <v>0</v>
      </c>
      <c r="M28" s="75">
        <f t="shared" si="4"/>
        <v>12000.18</v>
      </c>
      <c r="N28" s="76">
        <f t="shared" si="5"/>
        <v>12720.18</v>
      </c>
      <c r="O28" s="77">
        <f t="shared" si="6"/>
        <v>12360.18</v>
      </c>
      <c r="P28" s="42">
        <f t="shared" si="7"/>
        <v>0.18000000000000002</v>
      </c>
    </row>
    <row r="29" spans="1:17" x14ac:dyDescent="0.25">
      <c r="A29" s="60">
        <v>19</v>
      </c>
      <c r="B29" s="60" t="s">
        <v>79</v>
      </c>
      <c r="C29" s="60" t="s">
        <v>69</v>
      </c>
      <c r="D29" s="61"/>
      <c r="E29" s="69">
        <v>0.6</v>
      </c>
      <c r="F29" s="70">
        <v>17400</v>
      </c>
      <c r="G29" s="72">
        <f t="shared" si="8"/>
        <v>17400</v>
      </c>
      <c r="H29" s="73">
        <f t="shared" si="0"/>
        <v>0</v>
      </c>
      <c r="I29" s="73">
        <f t="shared" si="1"/>
        <v>0</v>
      </c>
      <c r="J29" s="74">
        <f>EDESUR!I23</f>
        <v>0</v>
      </c>
      <c r="K29" s="139">
        <f t="shared" si="2"/>
        <v>12000</v>
      </c>
      <c r="L29" s="139">
        <f t="shared" si="3"/>
        <v>0</v>
      </c>
      <c r="M29" s="75">
        <f t="shared" si="4"/>
        <v>12000.19</v>
      </c>
      <c r="N29" s="76"/>
      <c r="O29" s="77">
        <f t="shared" si="6"/>
        <v>12360.19</v>
      </c>
      <c r="P29" s="42">
        <f>P28+0.01</f>
        <v>0.19000000000000003</v>
      </c>
    </row>
    <row r="30" spans="1:17" x14ac:dyDescent="0.25">
      <c r="A30" s="78">
        <v>20</v>
      </c>
      <c r="B30" s="78" t="s">
        <v>80</v>
      </c>
      <c r="C30" s="60" t="s">
        <v>53</v>
      </c>
      <c r="D30" s="61" t="s">
        <v>90</v>
      </c>
      <c r="E30" s="69">
        <v>0.6</v>
      </c>
      <c r="F30" s="80">
        <v>17400</v>
      </c>
      <c r="G30" s="72">
        <f t="shared" si="8"/>
        <v>17400</v>
      </c>
      <c r="H30" s="73">
        <f t="shared" si="0"/>
        <v>0</v>
      </c>
      <c r="I30" s="73">
        <f t="shared" si="1"/>
        <v>0</v>
      </c>
      <c r="J30" s="74">
        <f>EDESUR!I24</f>
        <v>0</v>
      </c>
      <c r="K30" s="139">
        <f t="shared" si="2"/>
        <v>12000</v>
      </c>
      <c r="L30" s="139">
        <f t="shared" si="3"/>
        <v>0</v>
      </c>
      <c r="M30" s="75">
        <f t="shared" si="4"/>
        <v>12000</v>
      </c>
      <c r="N30" s="76"/>
      <c r="O30" s="77">
        <f t="shared" si="6"/>
        <v>12360</v>
      </c>
      <c r="P30" s="42"/>
    </row>
    <row r="31" spans="1:17" x14ac:dyDescent="0.25">
      <c r="A31" s="78">
        <v>21</v>
      </c>
      <c r="B31" s="78" t="s">
        <v>81</v>
      </c>
      <c r="C31" s="62" t="s">
        <v>65</v>
      </c>
      <c r="D31" s="61" t="s">
        <v>92</v>
      </c>
      <c r="E31" s="69">
        <v>0.3</v>
      </c>
      <c r="F31" s="80">
        <v>8700</v>
      </c>
      <c r="G31" s="81">
        <f>F31</f>
        <v>8700</v>
      </c>
      <c r="H31" s="73">
        <f t="shared" si="0"/>
        <v>0</v>
      </c>
      <c r="I31" s="73">
        <f t="shared" si="1"/>
        <v>0</v>
      </c>
      <c r="J31" s="74">
        <f>EDESUR!I25</f>
        <v>0</v>
      </c>
      <c r="K31" s="139">
        <f t="shared" si="2"/>
        <v>6000</v>
      </c>
      <c r="L31" s="139">
        <f t="shared" si="3"/>
        <v>0</v>
      </c>
      <c r="M31" s="75">
        <f t="shared" si="4"/>
        <v>6000</v>
      </c>
      <c r="N31" s="76"/>
      <c r="O31" s="77">
        <f t="shared" si="6"/>
        <v>6180</v>
      </c>
      <c r="P31" s="42"/>
    </row>
    <row r="32" spans="1:17" x14ac:dyDescent="0.25">
      <c r="A32" s="79">
        <v>22</v>
      </c>
      <c r="B32" s="79" t="s">
        <v>82</v>
      </c>
      <c r="C32" s="60" t="s">
        <v>67</v>
      </c>
      <c r="D32" s="61"/>
      <c r="E32" s="69">
        <v>0.3</v>
      </c>
      <c r="F32" s="80">
        <v>8700</v>
      </c>
      <c r="G32" s="81">
        <f>F32</f>
        <v>8700</v>
      </c>
      <c r="H32" s="73">
        <f t="shared" si="0"/>
        <v>0</v>
      </c>
      <c r="I32" s="73">
        <f t="shared" si="1"/>
        <v>0</v>
      </c>
      <c r="J32" s="74">
        <f>EDESUR!I26</f>
        <v>0</v>
      </c>
      <c r="K32" s="139">
        <f t="shared" si="2"/>
        <v>6000</v>
      </c>
      <c r="L32" s="139">
        <f t="shared" si="3"/>
        <v>0</v>
      </c>
      <c r="M32" s="75">
        <f t="shared" si="4"/>
        <v>6000</v>
      </c>
      <c r="N32" s="76"/>
      <c r="O32" s="77">
        <f t="shared" si="6"/>
        <v>6180</v>
      </c>
      <c r="P32" s="42"/>
    </row>
    <row r="33" spans="1:16" ht="17.100000000000001" customHeight="1" thickBot="1" x14ac:dyDescent="0.3">
      <c r="A33" s="60">
        <v>23</v>
      </c>
      <c r="B33" s="82" t="s">
        <v>83</v>
      </c>
      <c r="C33" s="82" t="s">
        <v>84</v>
      </c>
      <c r="D33" s="61" t="s">
        <v>89</v>
      </c>
      <c r="E33" s="69">
        <v>0.3</v>
      </c>
      <c r="F33" s="80">
        <v>8700</v>
      </c>
      <c r="G33" s="81">
        <f>F33</f>
        <v>8700</v>
      </c>
      <c r="H33" s="73">
        <f t="shared" si="0"/>
        <v>0</v>
      </c>
      <c r="I33" s="73">
        <f t="shared" si="1"/>
        <v>0</v>
      </c>
      <c r="J33" s="74">
        <f>EDESUR!I27</f>
        <v>0</v>
      </c>
      <c r="K33" s="139">
        <f t="shared" si="2"/>
        <v>6000</v>
      </c>
      <c r="L33" s="139">
        <f t="shared" si="3"/>
        <v>0</v>
      </c>
      <c r="M33" s="75">
        <f t="shared" si="4"/>
        <v>6000</v>
      </c>
      <c r="N33" s="83"/>
      <c r="O33" s="77">
        <f t="shared" si="6"/>
        <v>6180</v>
      </c>
      <c r="P33" s="42"/>
    </row>
    <row r="34" spans="1:16" ht="17.100000000000001" customHeight="1" thickBot="1" x14ac:dyDescent="0.3">
      <c r="A34" s="84"/>
      <c r="B34" s="84"/>
      <c r="C34" s="85"/>
      <c r="D34" s="85"/>
      <c r="E34" s="151">
        <f>SUM(E11:E33)</f>
        <v>99.999999999999986</v>
      </c>
      <c r="F34" s="52">
        <f>SUM(F11:F33)</f>
        <v>4064598</v>
      </c>
      <c r="G34" s="58">
        <f>SUM(G11:G33)</f>
        <v>4067977.64</v>
      </c>
      <c r="H34" s="58">
        <f>SUM(H11:H33)</f>
        <v>-3379.640000000014</v>
      </c>
      <c r="I34" s="58">
        <f t="shared" ref="I34:N34" si="9">SUM(I11:I33)</f>
        <v>1.0799999999580905E-2</v>
      </c>
      <c r="J34" s="58">
        <f t="shared" si="9"/>
        <v>0</v>
      </c>
      <c r="K34" s="119">
        <f t="shared" si="9"/>
        <v>2000000</v>
      </c>
      <c r="L34" s="58">
        <f t="shared" si="9"/>
        <v>0</v>
      </c>
      <c r="M34" s="86">
        <f>SUM(M11:M28)</f>
        <v>1954621.7100000002</v>
      </c>
      <c r="N34" s="86">
        <f t="shared" si="9"/>
        <v>2071898.7100000002</v>
      </c>
      <c r="O34" s="86">
        <f>SUM(O11:O33)</f>
        <v>2056519.9000000001</v>
      </c>
    </row>
    <row r="35" spans="1:16" ht="12.75" customHeight="1" x14ac:dyDescent="0.25">
      <c r="C35" s="49"/>
      <c r="D35" s="49"/>
    </row>
    <row r="36" spans="1:16" hidden="1" x14ac:dyDescent="0.25"/>
    <row r="37" spans="1:16" ht="9" customHeight="1" x14ac:dyDescent="0.25">
      <c r="C37" s="193" t="str">
        <f>RESUMEN!A13</f>
        <v>ESTIMADOS PROPIETARIOS E INQUILINOS: POR FAVOR LOS QUE ABONAN EN PRIMER VENCIMIENTO ABONEN EL MONTO DE PRIMER VENCIMIENTO, ASI AGILIZAN LA LIQUIDACION, RESPETEN LOS CENTAVOS CORRESPONDIENTES A LA UNIDAD FUNCIONAL. ES DE CARÁCTER OBLIGATORIO INFORMAR VIA MAIL LAS EXPENSAS. PORFAVOR RESPETAR LOS CENTAVOS AL ABONAR.</v>
      </c>
      <c r="D37" s="193"/>
      <c r="E37" s="193"/>
      <c r="F37" s="193"/>
      <c r="G37" s="193"/>
      <c r="H37" s="193"/>
      <c r="I37" s="193"/>
      <c r="J37" s="193"/>
      <c r="K37" s="193"/>
      <c r="L37" s="193"/>
      <c r="M37" s="193"/>
    </row>
    <row r="38" spans="1:16" ht="12" hidden="1" customHeight="1" x14ac:dyDescent="0.25">
      <c r="C38" s="193"/>
      <c r="D38" s="193"/>
      <c r="E38" s="193"/>
      <c r="F38" s="193"/>
      <c r="G38" s="193"/>
      <c r="H38" s="193"/>
      <c r="I38" s="193"/>
      <c r="J38" s="193"/>
      <c r="K38" s="193"/>
      <c r="L38" s="193"/>
      <c r="M38" s="193"/>
    </row>
    <row r="39" spans="1:16" ht="12" hidden="1" customHeight="1" x14ac:dyDescent="0.25">
      <c r="C39" s="193"/>
      <c r="D39" s="193"/>
      <c r="E39" s="193"/>
      <c r="F39" s="193"/>
      <c r="G39" s="193"/>
      <c r="H39" s="193"/>
      <c r="I39" s="193"/>
      <c r="J39" s="193"/>
      <c r="K39" s="193"/>
      <c r="L39" s="193"/>
      <c r="M39" s="193"/>
    </row>
    <row r="40" spans="1:16" ht="12" hidden="1" customHeight="1" x14ac:dyDescent="0.25">
      <c r="C40" s="193"/>
      <c r="D40" s="193"/>
      <c r="E40" s="193"/>
      <c r="F40" s="193"/>
      <c r="G40" s="193"/>
      <c r="H40" s="193"/>
      <c r="I40" s="193"/>
      <c r="J40" s="193"/>
      <c r="K40" s="193"/>
      <c r="L40" s="193"/>
      <c r="M40" s="193"/>
    </row>
    <row r="41" spans="1:16" ht="12" hidden="1" customHeight="1" x14ac:dyDescent="0.25">
      <c r="C41" s="193"/>
      <c r="D41" s="193"/>
      <c r="E41" s="193"/>
      <c r="F41" s="193"/>
      <c r="G41" s="193"/>
      <c r="H41" s="193"/>
      <c r="I41" s="193"/>
      <c r="J41" s="193"/>
      <c r="K41" s="193"/>
      <c r="L41" s="193"/>
      <c r="M41" s="193"/>
    </row>
    <row r="42" spans="1:16" ht="67.5" customHeight="1" x14ac:dyDescent="0.25">
      <c r="C42" s="193"/>
      <c r="D42" s="193"/>
      <c r="E42" s="193"/>
      <c r="F42" s="193"/>
      <c r="G42" s="193"/>
      <c r="H42" s="193"/>
      <c r="I42" s="193"/>
      <c r="J42" s="193"/>
      <c r="K42" s="193"/>
      <c r="L42" s="193"/>
      <c r="M42" s="193"/>
    </row>
  </sheetData>
  <mergeCells count="16">
    <mergeCell ref="C37:M42"/>
    <mergeCell ref="D9:D10"/>
    <mergeCell ref="A9:A10"/>
    <mergeCell ref="C9:C10"/>
    <mergeCell ref="E9:E10"/>
    <mergeCell ref="E1:M1"/>
    <mergeCell ref="I9:I10"/>
    <mergeCell ref="F9:F10"/>
    <mergeCell ref="N9:N10"/>
    <mergeCell ref="G9:G10"/>
    <mergeCell ref="H9:H10"/>
    <mergeCell ref="J9:J10"/>
    <mergeCell ref="K9:K10"/>
    <mergeCell ref="L9:L10"/>
    <mergeCell ref="A4:O8"/>
    <mergeCell ref="O9:O10"/>
  </mergeCells>
  <pageMargins left="0.25" right="0.25" top="0.75" bottom="0.75" header="0.3" footer="0.3"/>
  <pageSetup paperSize="3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123E2-E76E-40B2-9631-974509386176}">
  <dimension ref="B3:J33"/>
  <sheetViews>
    <sheetView workbookViewId="0">
      <selection activeCell="J35" sqref="B3:J35"/>
    </sheetView>
  </sheetViews>
  <sheetFormatPr baseColWidth="10" defaultRowHeight="15" x14ac:dyDescent="0.25"/>
  <cols>
    <col min="4" max="4" width="4" customWidth="1"/>
    <col min="5" max="5" width="21.7109375" customWidth="1"/>
    <col min="6" max="6" width="4.5703125" customWidth="1"/>
    <col min="7" max="7" width="24.42578125" customWidth="1"/>
    <col min="8" max="8" width="5" customWidth="1"/>
    <col min="10" max="10" width="19.5703125" customWidth="1"/>
  </cols>
  <sheetData>
    <row r="3" spans="2:10" x14ac:dyDescent="0.25">
      <c r="B3" s="161" t="s">
        <v>111</v>
      </c>
      <c r="C3" s="161" t="s">
        <v>112</v>
      </c>
      <c r="E3" s="163" t="s">
        <v>119</v>
      </c>
      <c r="G3" s="164" t="s">
        <v>120</v>
      </c>
      <c r="I3" s="215" t="s">
        <v>121</v>
      </c>
      <c r="J3" s="216"/>
    </row>
    <row r="4" spans="2:10" x14ac:dyDescent="0.25">
      <c r="B4" s="161">
        <v>1</v>
      </c>
      <c r="C4" s="161" t="s">
        <v>113</v>
      </c>
      <c r="E4" s="161"/>
      <c r="G4" s="165"/>
      <c r="I4" s="215"/>
      <c r="J4" s="216"/>
    </row>
    <row r="5" spans="2:10" x14ac:dyDescent="0.25">
      <c r="B5" s="161">
        <v>1</v>
      </c>
      <c r="C5" s="161" t="s">
        <v>114</v>
      </c>
      <c r="E5" s="166">
        <v>61353.383534261804</v>
      </c>
      <c r="G5" s="167">
        <v>61353.383534261804</v>
      </c>
      <c r="I5" s="213">
        <f>E5-G5</f>
        <v>0</v>
      </c>
      <c r="J5" s="214"/>
    </row>
    <row r="6" spans="2:10" x14ac:dyDescent="0.25">
      <c r="B6" s="161">
        <v>1</v>
      </c>
      <c r="C6" s="161" t="s">
        <v>115</v>
      </c>
      <c r="E6" s="166">
        <v>34428.700834302756</v>
      </c>
      <c r="G6" s="167">
        <v>34428.700834302756</v>
      </c>
      <c r="I6" s="213">
        <f t="shared" ref="I6:I21" si="0">E6-G6</f>
        <v>0</v>
      </c>
      <c r="J6" s="214"/>
    </row>
    <row r="7" spans="2:10" x14ac:dyDescent="0.25">
      <c r="B7" s="161">
        <v>2</v>
      </c>
      <c r="C7" s="161" t="s">
        <v>113</v>
      </c>
      <c r="E7" s="166">
        <v>14356.010802482968</v>
      </c>
      <c r="G7" s="167">
        <v>14356.010802482968</v>
      </c>
      <c r="I7" s="213">
        <f t="shared" si="0"/>
        <v>0</v>
      </c>
      <c r="J7" s="214"/>
    </row>
    <row r="8" spans="2:10" x14ac:dyDescent="0.25">
      <c r="B8" s="162">
        <v>2</v>
      </c>
      <c r="C8" s="162" t="s">
        <v>116</v>
      </c>
      <c r="E8" s="166">
        <v>12061.218355435631</v>
      </c>
      <c r="G8" s="167">
        <v>12061.218355435631</v>
      </c>
      <c r="I8" s="213">
        <f t="shared" si="0"/>
        <v>0</v>
      </c>
      <c r="J8" s="214"/>
    </row>
    <row r="9" spans="2:10" x14ac:dyDescent="0.25">
      <c r="B9" s="162">
        <v>2</v>
      </c>
      <c r="C9" s="162" t="s">
        <v>114</v>
      </c>
      <c r="E9" s="166">
        <v>53068.035404197428</v>
      </c>
      <c r="G9" s="167">
        <v>53068.035404197428</v>
      </c>
      <c r="I9" s="213">
        <f t="shared" si="0"/>
        <v>0</v>
      </c>
      <c r="J9" s="214"/>
    </row>
    <row r="10" spans="2:10" x14ac:dyDescent="0.25">
      <c r="B10" s="162">
        <v>2</v>
      </c>
      <c r="C10" s="162" t="s">
        <v>115</v>
      </c>
      <c r="E10" s="166">
        <v>9841.6389016527519</v>
      </c>
      <c r="G10" s="167">
        <v>9841.6389016527519</v>
      </c>
      <c r="I10" s="213">
        <f t="shared" si="0"/>
        <v>0</v>
      </c>
      <c r="J10" s="214"/>
    </row>
    <row r="11" spans="2:10" x14ac:dyDescent="0.25">
      <c r="B11" s="162">
        <v>3</v>
      </c>
      <c r="C11" s="162" t="s">
        <v>113</v>
      </c>
      <c r="E11" s="166">
        <v>9327.3712310195588</v>
      </c>
      <c r="G11" s="167">
        <v>9327.3712310195588</v>
      </c>
      <c r="I11" s="213">
        <f t="shared" si="0"/>
        <v>0</v>
      </c>
      <c r="J11" s="214"/>
    </row>
    <row r="12" spans="2:10" x14ac:dyDescent="0.25">
      <c r="B12" s="161">
        <v>3</v>
      </c>
      <c r="C12" s="161" t="s">
        <v>116</v>
      </c>
      <c r="E12" s="166">
        <v>9216.1440460861631</v>
      </c>
      <c r="G12" s="167">
        <v>9216.1440460861631</v>
      </c>
      <c r="I12" s="213">
        <f t="shared" si="0"/>
        <v>0</v>
      </c>
      <c r="J12" s="214"/>
    </row>
    <row r="13" spans="2:10" x14ac:dyDescent="0.25">
      <c r="B13" s="162">
        <v>3</v>
      </c>
      <c r="C13" s="162" t="s">
        <v>114</v>
      </c>
      <c r="E13" s="166">
        <v>23200.609218392572</v>
      </c>
      <c r="G13" s="167">
        <v>23200.609218392572</v>
      </c>
      <c r="I13" s="213">
        <f t="shared" si="0"/>
        <v>0</v>
      </c>
      <c r="J13" s="214"/>
    </row>
    <row r="14" spans="2:10" x14ac:dyDescent="0.25">
      <c r="B14" s="162">
        <v>3</v>
      </c>
      <c r="C14" s="162" t="s">
        <v>115</v>
      </c>
      <c r="E14" s="166">
        <v>7781.0089492021225</v>
      </c>
      <c r="G14" s="167">
        <v>7781.0089492021225</v>
      </c>
      <c r="I14" s="213">
        <f t="shared" si="0"/>
        <v>0</v>
      </c>
      <c r="J14" s="214"/>
    </row>
    <row r="15" spans="2:10" x14ac:dyDescent="0.25">
      <c r="B15" s="161">
        <v>4</v>
      </c>
      <c r="C15" s="161" t="s">
        <v>113</v>
      </c>
      <c r="E15" s="166">
        <v>10351.832144880002</v>
      </c>
      <c r="G15" s="167">
        <v>10351.832144880002</v>
      </c>
      <c r="I15" s="213">
        <f t="shared" si="0"/>
        <v>0</v>
      </c>
      <c r="J15" s="214"/>
    </row>
    <row r="16" spans="2:10" x14ac:dyDescent="0.25">
      <c r="B16" s="162">
        <v>4</v>
      </c>
      <c r="C16" s="162" t="s">
        <v>116</v>
      </c>
      <c r="E16" s="166">
        <v>49509.655303807594</v>
      </c>
      <c r="G16" s="167">
        <v>49509.655303807594</v>
      </c>
      <c r="I16" s="213">
        <f t="shared" si="0"/>
        <v>0</v>
      </c>
      <c r="J16" s="214"/>
    </row>
    <row r="17" spans="2:10" x14ac:dyDescent="0.25">
      <c r="B17" s="161">
        <v>4</v>
      </c>
      <c r="C17" s="161" t="s">
        <v>114</v>
      </c>
      <c r="E17" s="166">
        <v>16866.513739552778</v>
      </c>
      <c r="G17" s="167">
        <v>16866.513739552778</v>
      </c>
      <c r="I17" s="213">
        <f t="shared" si="0"/>
        <v>0</v>
      </c>
      <c r="J17" s="214"/>
    </row>
    <row r="18" spans="2:10" x14ac:dyDescent="0.25">
      <c r="B18" s="162">
        <v>4</v>
      </c>
      <c r="C18" s="162" t="s">
        <v>115</v>
      </c>
      <c r="E18" s="166">
        <v>24968.536052597399</v>
      </c>
      <c r="G18" s="167">
        <v>24968.536052597399</v>
      </c>
      <c r="I18" s="213">
        <f t="shared" si="0"/>
        <v>0</v>
      </c>
      <c r="J18" s="214"/>
    </row>
    <row r="19" spans="2:10" x14ac:dyDescent="0.25">
      <c r="B19" s="162"/>
      <c r="C19" s="162"/>
      <c r="E19" s="166">
        <v>10779.178697518902</v>
      </c>
      <c r="G19" s="167">
        <v>10779.178697518902</v>
      </c>
      <c r="I19" s="213">
        <f t="shared" si="0"/>
        <v>0</v>
      </c>
      <c r="J19" s="214"/>
    </row>
    <row r="20" spans="2:10" x14ac:dyDescent="0.25">
      <c r="B20" s="161"/>
      <c r="C20" s="161" t="s">
        <v>117</v>
      </c>
      <c r="E20" s="161"/>
      <c r="G20" s="165"/>
      <c r="I20" s="213"/>
      <c r="J20" s="214"/>
    </row>
    <row r="21" spans="2:10" x14ac:dyDescent="0.25">
      <c r="B21" s="161"/>
      <c r="C21" s="161"/>
      <c r="E21" s="168">
        <v>347109.83721539041</v>
      </c>
      <c r="G21" s="169">
        <f>SUM(G5:G20)</f>
        <v>347109.83721539041</v>
      </c>
      <c r="I21" s="213">
        <f t="shared" si="0"/>
        <v>0</v>
      </c>
      <c r="J21" s="214"/>
    </row>
    <row r="22" spans="2:10" x14ac:dyDescent="0.25">
      <c r="B22" s="161" t="s">
        <v>118</v>
      </c>
      <c r="C22" s="161">
        <v>1</v>
      </c>
      <c r="E22" s="172">
        <v>723.43331893167124</v>
      </c>
      <c r="G22" s="173">
        <v>723.43331893167124</v>
      </c>
      <c r="I22" s="213">
        <f t="shared" ref="I22" si="1">E22-G22</f>
        <v>0</v>
      </c>
      <c r="J22" s="214"/>
    </row>
    <row r="23" spans="2:10" x14ac:dyDescent="0.25">
      <c r="B23" s="161" t="s">
        <v>118</v>
      </c>
      <c r="C23" s="161">
        <v>2</v>
      </c>
      <c r="E23" s="172">
        <v>620.08570194143249</v>
      </c>
      <c r="G23" s="173">
        <v>620.08570194143249</v>
      </c>
      <c r="I23" s="213">
        <f t="shared" ref="I23:I31" si="2">E23-G23</f>
        <v>0</v>
      </c>
      <c r="J23" s="214"/>
    </row>
    <row r="24" spans="2:10" x14ac:dyDescent="0.25">
      <c r="B24" s="161" t="s">
        <v>118</v>
      </c>
      <c r="C24" s="161">
        <v>3</v>
      </c>
      <c r="E24" s="172">
        <v>620.08570194143249</v>
      </c>
      <c r="G24" s="173">
        <v>620.08570194143249</v>
      </c>
      <c r="I24" s="213">
        <f t="shared" si="2"/>
        <v>0</v>
      </c>
      <c r="J24" s="214"/>
    </row>
    <row r="25" spans="2:10" x14ac:dyDescent="0.25">
      <c r="B25" s="161" t="s">
        <v>118</v>
      </c>
      <c r="C25" s="161">
        <v>4</v>
      </c>
      <c r="E25" s="172">
        <v>620.08570194143249</v>
      </c>
      <c r="G25" s="173">
        <v>620.08570194143249</v>
      </c>
      <c r="I25" s="213">
        <f t="shared" si="2"/>
        <v>0</v>
      </c>
      <c r="J25" s="214"/>
    </row>
    <row r="26" spans="2:10" x14ac:dyDescent="0.25">
      <c r="B26" s="161" t="s">
        <v>118</v>
      </c>
      <c r="C26" s="161">
        <v>5</v>
      </c>
      <c r="E26" s="172">
        <v>620.08570194143249</v>
      </c>
      <c r="G26" s="173">
        <v>620.08570194143249</v>
      </c>
      <c r="I26" s="213">
        <f t="shared" si="2"/>
        <v>0</v>
      </c>
      <c r="J26" s="214"/>
    </row>
    <row r="27" spans="2:10" x14ac:dyDescent="0.25">
      <c r="B27" s="161" t="s">
        <v>118</v>
      </c>
      <c r="C27" s="161">
        <v>6</v>
      </c>
      <c r="E27" s="172">
        <v>310.04285097071624</v>
      </c>
      <c r="G27" s="173">
        <v>310.04285097071624</v>
      </c>
      <c r="I27" s="213">
        <f t="shared" si="2"/>
        <v>0</v>
      </c>
      <c r="J27" s="214"/>
    </row>
    <row r="28" spans="2:10" x14ac:dyDescent="0.25">
      <c r="B28" s="161" t="s">
        <v>118</v>
      </c>
      <c r="C28" s="161">
        <v>7</v>
      </c>
      <c r="E28" s="172">
        <v>310.04285097071624</v>
      </c>
      <c r="G28" s="173">
        <v>310.04285097071624</v>
      </c>
      <c r="I28" s="213">
        <f t="shared" si="2"/>
        <v>0</v>
      </c>
      <c r="J28" s="214"/>
    </row>
    <row r="29" spans="2:10" x14ac:dyDescent="0.25">
      <c r="B29" s="161" t="s">
        <v>118</v>
      </c>
      <c r="C29" s="161">
        <v>8</v>
      </c>
      <c r="E29" s="172">
        <v>310.04285097071624</v>
      </c>
      <c r="G29" s="173">
        <v>310.04285097071624</v>
      </c>
      <c r="I29" s="213">
        <f t="shared" si="2"/>
        <v>0</v>
      </c>
      <c r="J29" s="214"/>
    </row>
    <row r="30" spans="2:10" x14ac:dyDescent="0.25">
      <c r="E30" s="174">
        <v>4133.9046796095499</v>
      </c>
      <c r="G30" s="169">
        <f>SUM(G22:G29)</f>
        <v>4133.9046796095499</v>
      </c>
      <c r="I30" s="213">
        <f t="shared" si="2"/>
        <v>0</v>
      </c>
      <c r="J30" s="214"/>
    </row>
    <row r="31" spans="2:10" x14ac:dyDescent="0.25">
      <c r="E31" s="174"/>
      <c r="G31" s="169"/>
      <c r="I31" s="213">
        <f t="shared" si="2"/>
        <v>0</v>
      </c>
      <c r="J31" s="214"/>
    </row>
    <row r="32" spans="2:10" x14ac:dyDescent="0.25">
      <c r="E32" s="170"/>
      <c r="G32" s="171"/>
      <c r="I32" s="213"/>
      <c r="J32" s="214"/>
    </row>
    <row r="33" spans="5:10" x14ac:dyDescent="0.25">
      <c r="E33" s="168">
        <v>351243.74189499998</v>
      </c>
      <c r="G33" s="169">
        <f>G21+G30</f>
        <v>351243.74189499998</v>
      </c>
      <c r="I33" s="213">
        <f>E33-G33</f>
        <v>0</v>
      </c>
      <c r="J33" s="214"/>
    </row>
  </sheetData>
  <mergeCells count="31">
    <mergeCell ref="I18:J18"/>
    <mergeCell ref="I3:J3"/>
    <mergeCell ref="I5:J5"/>
    <mergeCell ref="I6:J6"/>
    <mergeCell ref="I7:J7"/>
    <mergeCell ref="I8:J8"/>
    <mergeCell ref="I9:J9"/>
    <mergeCell ref="I10:J10"/>
    <mergeCell ref="I11:J11"/>
    <mergeCell ref="I12:J12"/>
    <mergeCell ref="I13:J13"/>
    <mergeCell ref="I14:J14"/>
    <mergeCell ref="I15:J15"/>
    <mergeCell ref="I16:J16"/>
    <mergeCell ref="I17:J17"/>
    <mergeCell ref="I31:J31"/>
    <mergeCell ref="I32:J32"/>
    <mergeCell ref="I33:J33"/>
    <mergeCell ref="I4:J4"/>
    <mergeCell ref="I25:J25"/>
    <mergeCell ref="I26:J26"/>
    <mergeCell ref="I27:J27"/>
    <mergeCell ref="I28:J28"/>
    <mergeCell ref="I29:J29"/>
    <mergeCell ref="I30:J30"/>
    <mergeCell ref="I19:J19"/>
    <mergeCell ref="I20:J20"/>
    <mergeCell ref="I21:J21"/>
    <mergeCell ref="I22:J22"/>
    <mergeCell ref="I23:J23"/>
    <mergeCell ref="I24:J24"/>
  </mergeCells>
  <pageMargins left="0.7" right="0.7" top="0.75" bottom="0.75" header="0.3" footer="0.3"/>
  <pageSetup paperSize="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3</vt:i4>
      </vt:variant>
    </vt:vector>
  </HeadingPairs>
  <TitlesOfParts>
    <vt:vector size="6" baseType="lpstr">
      <vt:lpstr>RESUMEN</vt:lpstr>
      <vt:lpstr>PRORRATEO</vt:lpstr>
      <vt:lpstr>EDESUR</vt:lpstr>
      <vt:lpstr>EDESUR!Área_de_impresión</vt:lpstr>
      <vt:lpstr>PRORRATEO!Área_de_impresión</vt:lpstr>
      <vt:lpstr>RESUMEN!Área_de_impresión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Sistemax</dc:creator>
  <cp:lastModifiedBy>Sistemax</cp:lastModifiedBy>
  <cp:lastPrinted>2025-11-01T23:32:00Z</cp:lastPrinted>
  <dcterms:created xsi:type="dcterms:W3CDTF">2023-09-17T12:29:07Z</dcterms:created>
  <dcterms:modified xsi:type="dcterms:W3CDTF">2025-11-01T23:32:06Z</dcterms:modified>
</cp:coreProperties>
</file>