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LTA 1167\"/>
    </mc:Choice>
  </mc:AlternateContent>
  <xr:revisionPtr revIDLastSave="0" documentId="13_ncr:1_{65F7C797-8D88-481C-986D-8507D7DCBAB6}" xr6:coauthVersionLast="47" xr6:coauthVersionMax="47" xr10:uidLastSave="{00000000-0000-0000-0000-000000000000}"/>
  <bookViews>
    <workbookView xWindow="-120" yWindow="-120" windowWidth="20730" windowHeight="11160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RESUMEN!$A$1:$E$123</definedName>
  </definedNames>
  <calcPr calcId="181029"/>
</workbook>
</file>

<file path=xl/calcChain.xml><?xml version="1.0" encoding="utf-8"?>
<calcChain xmlns="http://schemas.openxmlformats.org/spreadsheetml/2006/main">
  <c r="L24" i="2" l="1"/>
  <c r="L25" i="2"/>
  <c r="L26" i="2"/>
  <c r="L27" i="2"/>
  <c r="M27" i="2" s="1"/>
  <c r="O27" i="2" s="1"/>
  <c r="L28" i="2"/>
  <c r="K24" i="2"/>
  <c r="K25" i="2"/>
  <c r="K26" i="2"/>
  <c r="K27" i="2"/>
  <c r="K28" i="2"/>
  <c r="I24" i="2"/>
  <c r="I25" i="2"/>
  <c r="I26" i="2"/>
  <c r="I27" i="2"/>
  <c r="I28" i="2"/>
  <c r="H24" i="2"/>
  <c r="H25" i="2"/>
  <c r="H26" i="2"/>
  <c r="H27" i="2"/>
  <c r="H28" i="2"/>
  <c r="E29" i="2"/>
  <c r="M28" i="2" l="1"/>
  <c r="O28" i="2" s="1"/>
  <c r="M26" i="2"/>
  <c r="O26" i="2" s="1"/>
  <c r="M25" i="2"/>
  <c r="O25" i="2" s="1"/>
  <c r="G13" i="2"/>
  <c r="G15" i="2"/>
  <c r="G7" i="2"/>
  <c r="E50" i="1"/>
  <c r="G12" i="2" l="1"/>
  <c r="E67" i="1" l="1"/>
  <c r="E63" i="1"/>
  <c r="E57" i="1"/>
  <c r="E42" i="1"/>
  <c r="G8" i="2" l="1"/>
  <c r="G18" i="2"/>
  <c r="G20" i="2"/>
  <c r="E38" i="1" l="1"/>
  <c r="G21" i="2"/>
  <c r="K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G9" i="2" l="1"/>
  <c r="G11" i="2"/>
  <c r="G14" i="2"/>
  <c r="G16" i="2"/>
  <c r="G17" i="2"/>
  <c r="G23" i="2"/>
  <c r="G6" i="2"/>
  <c r="C32" i="2" l="1"/>
  <c r="H17" i="2" l="1"/>
  <c r="E79" i="1" l="1"/>
  <c r="E84" i="1" s="1"/>
  <c r="B88" i="1" s="1"/>
  <c r="B104" i="1" l="1"/>
  <c r="B111" i="1"/>
  <c r="B122" i="1"/>
  <c r="B100" i="1" l="1"/>
  <c r="B112" i="1"/>
  <c r="H20" i="2" l="1"/>
  <c r="D33" i="1" l="1"/>
  <c r="M5" i="2" l="1"/>
  <c r="D24" i="1" l="1"/>
  <c r="E34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M24" i="2" s="1"/>
  <c r="O24" i="2" s="1"/>
  <c r="G29" i="2" l="1"/>
  <c r="F29" i="2"/>
  <c r="B98" i="1" l="1"/>
  <c r="B113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89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48" i="1"/>
  <c r="A49" i="1" s="1"/>
  <c r="E71" i="1" l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87" i="1"/>
  <c r="B110" i="1" s="1"/>
  <c r="B115" i="1" s="1"/>
  <c r="B103" i="1" l="1"/>
  <c r="B105" i="1" s="1"/>
  <c r="B86" i="1"/>
  <c r="L29" i="2" l="1"/>
  <c r="N29" i="2" l="1"/>
</calcChain>
</file>

<file path=xl/sharedStrings.xml><?xml version="1.0" encoding="utf-8"?>
<sst xmlns="http://schemas.openxmlformats.org/spreadsheetml/2006/main" count="136" uniqueCount="122">
  <si>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</si>
  <si>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</si>
  <si>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</si>
  <si>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</si>
  <si>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</si>
  <si>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</si>
  <si>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</si>
  <si>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</si>
  <si>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</si>
  <si>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</si>
  <si>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</si>
  <si>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</si>
  <si>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</si>
  <si>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</si>
  <si>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</si>
  <si>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</si>
  <si>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</si>
  <si>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</si>
  <si>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</si>
  <si>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</si>
  <si>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</si>
  <si>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</si>
  <si>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</si>
  <si>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</si>
  <si>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</si>
  <si>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</si>
  <si>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</si>
  <si>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</si>
  <si>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</si>
  <si>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</si>
  <si>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</si>
  <si>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</si>
  <si>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</si>
  <si>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</si>
  <si>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</si>
  <si>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</si>
  <si>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</si>
  <si>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</si>
  <si>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</si>
  <si>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</si>
  <si>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</si>
  <si>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</si>
  <si>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</si>
  <si>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</si>
  <si>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</si>
  <si>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</si>
  <si>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</si>
  <si>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</si>
  <si>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</si>
  <si>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</si>
  <si>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</si>
  <si>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</si>
  <si>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</si>
  <si>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</si>
  <si>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</si>
  <si>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</si>
  <si>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</si>
  <si>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</si>
  <si>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</si>
  <si>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</si>
  <si>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</si>
  <si>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Sueldo encargado Walter Fernandez</t>
  </si>
  <si>
    <t xml:space="preserve">Plan de pagos ARCA </t>
  </si>
  <si>
    <t>Arca plan de pagos</t>
  </si>
  <si>
    <t>Ordinarios</t>
  </si>
  <si>
    <t>Pagos sin identificar</t>
  </si>
  <si>
    <t>SALDO EN BANCO</t>
  </si>
  <si>
    <t>laurasmiet@gmail.com</t>
  </si>
  <si>
    <t>AGREGAR A LA CADENA</t>
  </si>
  <si>
    <t>Gastos bancarios</t>
  </si>
  <si>
    <t>Mantenimiento de cuenta</t>
  </si>
  <si>
    <t>Honorarios administracion</t>
  </si>
  <si>
    <t>Federacion patronal - Seguro de vida Poliza nro. 211840604</t>
  </si>
  <si>
    <t>Federacion patronal  Seguro obligatorio de consorcio</t>
  </si>
  <si>
    <t>VTO 14/11</t>
  </si>
  <si>
    <t>PERÍODO: OCTUBRE</t>
  </si>
  <si>
    <t>Gustavo padron - Sr contador honorarios OCTUBRE</t>
  </si>
  <si>
    <t>Sindicatos mes de OCTUBRE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</si>
  <si>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</si>
  <si>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</si>
  <si>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</si>
  <si>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</si>
  <si>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</si>
  <si>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</si>
  <si>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</si>
  <si>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</si>
  <si>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</si>
  <si>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</si>
  <si>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</si>
  <si>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</si>
  <si>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</si>
  <si>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</si>
  <si>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</si>
  <si>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</si>
  <si>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</si>
  <si>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</si>
  <si>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</si>
  <si>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</si>
  <si>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</si>
  <si>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</si>
  <si>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</si>
  <si>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</si>
  <si>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</si>
  <si>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</si>
  <si>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</si>
  <si>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</si>
  <si>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</si>
  <si>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</si>
  <si>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</si>
  <si>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</si>
  <si>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</si>
  <si>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</si>
  <si>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</si>
  <si>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</si>
  <si>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</si>
  <si>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</si>
  <si>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</si>
  <si>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 xml:space="preserve">Extraordinarios </t>
  </si>
  <si>
    <t>Pila energizer AAA - Madero Bytes SA</t>
  </si>
  <si>
    <t>Metrogas</t>
  </si>
  <si>
    <t>Edesur</t>
  </si>
  <si>
    <t>AySa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</si>
</sst>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  <numFmt numFmtId="169" formatCode="0.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21" fillId="0" borderId="26" xfId="1" applyFont="1" applyBorder="1"/>
    <xf numFmtId="44" fontId="21" fillId="0" borderId="6" xfId="1" applyFont="1" applyBorder="1"/>
    <xf numFmtId="44" fontId="21" fillId="0" borderId="29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0" fontId="16" fillId="0" borderId="2" xfId="0" applyFont="1" applyBorder="1"/>
    <xf numFmtId="44" fontId="21" fillId="0" borderId="28" xfId="1" applyFont="1" applyBorder="1"/>
    <xf numFmtId="0" fontId="16" fillId="4" borderId="27" xfId="0" applyFont="1" applyFill="1" applyBorder="1"/>
    <xf numFmtId="0" fontId="16" fillId="4" borderId="13" xfId="0" applyFont="1" applyFill="1" applyBorder="1"/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0" xfId="0" applyFont="1" applyFill="1" applyBorder="1" applyAlignment="1">
      <alignment horizontal="left" vertical="center" wrapText="1"/>
    </xf>
    <xf numFmtId="44" fontId="2" fillId="11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7" fillId="0" borderId="1" xfId="1" applyFont="1" applyBorder="1" applyAlignment="1">
      <alignment horizontal="left" vertical="center" wrapText="1"/>
    </xf>
    <xf numFmtId="0" fontId="28" fillId="0" borderId="0" xfId="3"/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169" fontId="16" fillId="4" borderId="13" xfId="0" applyNumberFormat="1" applyFont="1" applyFill="1" applyBorder="1" applyAlignment="1">
      <alignment horizontal="center"/>
    </xf>
    <xf numFmtId="44" fontId="9" fillId="2" borderId="1" xfId="1" applyFont="1" applyFill="1" applyBorder="1"/>
    <xf numFmtId="0" fontId="0" fillId="0" borderId="7" xfId="0" applyBorder="1"/>
    <xf numFmtId="44" fontId="9" fillId="2" borderId="1" xfId="1" applyFont="1" applyFill="1" applyBorder="1" applyAlignment="1"/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topLeftCell="A34" workbookViewId="0">
      <selection activeCell="D41" sqref="D4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70" t="s">
        <v>58</v>
      </c>
      <c r="C1" s="70"/>
      <c r="D1" s="70"/>
      <c r="E1" s="71"/>
    </row>
    <row r="2" spans="1:5" x14ac:dyDescent="0.25">
      <c r="A2" s="16"/>
      <c r="B2" s="72" t="s">
        <v>28</v>
      </c>
      <c r="C2" s="72"/>
      <c r="D2" s="72"/>
      <c r="E2" s="73"/>
    </row>
    <row r="3" spans="1:5" ht="70.5" customHeight="1" thickBot="1" x14ac:dyDescent="0.3">
      <c r="A3" s="16"/>
      <c r="B3" s="188"/>
      <c r="C3" s="188"/>
      <c r="D3" s="188"/>
      <c r="E3" s="189"/>
    </row>
    <row r="4" spans="1:5" ht="15.75" thickBot="1" x14ac:dyDescent="0.3">
      <c r="A4" s="19" t="s">
        <v>0</v>
      </c>
      <c r="B4" s="93" t="s">
        <v>40</v>
      </c>
      <c r="C4" s="20"/>
      <c r="D4" s="20"/>
      <c r="E4" s="21"/>
    </row>
    <row r="5" spans="1:5" ht="15.75" thickBot="1" x14ac:dyDescent="0.3">
      <c r="A5" s="16" t="s">
        <v>60</v>
      </c>
      <c r="B5" s="20" t="s">
        <v>75</v>
      </c>
      <c r="C5" s="17"/>
      <c r="D5" s="72" t="s">
        <v>29</v>
      </c>
      <c r="E5" s="18"/>
    </row>
    <row r="6" spans="1:5" ht="15.75" thickBot="1" x14ac:dyDescent="0.3">
      <c r="A6" s="19" t="s">
        <v>59</v>
      </c>
      <c r="B6" s="20"/>
      <c r="C6" s="20"/>
      <c r="D6" s="20" t="s">
        <v>30</v>
      </c>
      <c r="E6" s="21"/>
    </row>
    <row r="8" spans="1:5" x14ac:dyDescent="0.25">
      <c r="B8" s="191" t="s">
        <v>74</v>
      </c>
      <c r="C8" s="191"/>
    </row>
    <row r="9" spans="1:5" x14ac:dyDescent="0.25">
      <c r="B9" s="191"/>
      <c r="C9" s="191"/>
    </row>
    <row r="10" spans="1:5" x14ac:dyDescent="0.25">
      <c r="B10" s="191"/>
      <c r="C10" s="191"/>
    </row>
    <row r="12" spans="1:5" hidden="1" x14ac:dyDescent="0.25"/>
    <row r="13" spans="1:5" ht="15" customHeight="1" x14ac:dyDescent="0.25">
      <c r="A13" s="190" t="s">
        <v>45</v>
      </c>
      <c r="B13" s="190"/>
      <c r="C13" s="190"/>
      <c r="D13" s="190"/>
      <c r="E13" s="190"/>
    </row>
    <row r="14" spans="1:5" ht="15" customHeight="1" x14ac:dyDescent="0.25">
      <c r="A14" s="190"/>
      <c r="B14" s="190"/>
      <c r="C14" s="190"/>
      <c r="D14" s="190"/>
      <c r="E14" s="190"/>
    </row>
    <row r="15" spans="1:5" ht="15" customHeight="1" x14ac:dyDescent="0.25">
      <c r="A15" s="190"/>
      <c r="B15" s="190"/>
      <c r="C15" s="190"/>
      <c r="D15" s="190"/>
      <c r="E15" s="190"/>
    </row>
    <row r="16" spans="1:5" ht="53.25" customHeight="1" x14ac:dyDescent="0.25">
      <c r="A16" s="190"/>
      <c r="B16" s="190"/>
      <c r="C16" s="190"/>
      <c r="D16" s="190"/>
      <c r="E16" s="190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6" t="s">
        <v>35</v>
      </c>
      <c r="B21" s="36"/>
      <c r="C21" s="36"/>
      <c r="D21" s="35"/>
      <c r="E21" s="35"/>
    </row>
    <row r="22" spans="1:7" x14ac:dyDescent="0.25">
      <c r="A22" s="5" t="s">
        <v>61</v>
      </c>
      <c r="B22" s="5"/>
      <c r="C22" s="5"/>
      <c r="D22" s="151"/>
      <c r="E22" s="5"/>
    </row>
    <row r="23" spans="1:7" hidden="1" x14ac:dyDescent="0.25">
      <c r="A23" s="5"/>
      <c r="B23" s="5"/>
      <c r="C23" s="5"/>
      <c r="D23" s="151"/>
      <c r="E23" s="5"/>
    </row>
    <row r="24" spans="1:7" ht="14.25" customHeight="1" x14ac:dyDescent="0.25">
      <c r="A24" s="58" t="s">
        <v>36</v>
      </c>
      <c r="B24" s="58"/>
      <c r="C24" s="58"/>
      <c r="D24" s="160">
        <f>SUM(D22:D23)</f>
        <v>0</v>
      </c>
      <c r="E24" s="136"/>
      <c r="G24" s="22"/>
    </row>
    <row r="25" spans="1:7" ht="14.25" hidden="1" customHeight="1" x14ac:dyDescent="0.25">
      <c r="A25" s="5" t="s">
        <v>47</v>
      </c>
      <c r="B25" s="5"/>
      <c r="C25" s="5"/>
      <c r="D25" s="151"/>
      <c r="E25" s="5"/>
    </row>
    <row r="26" spans="1:7" hidden="1" x14ac:dyDescent="0.25">
      <c r="A26" s="29"/>
      <c r="B26" s="5"/>
      <c r="C26" s="5"/>
      <c r="D26" s="151"/>
      <c r="E26" s="5"/>
    </row>
    <row r="27" spans="1:7" hidden="1" x14ac:dyDescent="0.25">
      <c r="A27" s="5"/>
      <c r="B27" s="5"/>
      <c r="C27" s="5"/>
      <c r="D27" s="151"/>
      <c r="E27" s="5"/>
    </row>
    <row r="28" spans="1:7" hidden="1" x14ac:dyDescent="0.25">
      <c r="A28" s="5"/>
      <c r="B28" s="5"/>
      <c r="C28" s="5"/>
      <c r="D28" s="161"/>
      <c r="E28" s="5"/>
    </row>
    <row r="29" spans="1:7" ht="0.75" hidden="1" customHeight="1" x14ac:dyDescent="0.25">
      <c r="A29" s="5" t="s">
        <v>42</v>
      </c>
      <c r="B29" s="5"/>
      <c r="C29" s="5"/>
      <c r="D29" s="161"/>
      <c r="E29" s="5"/>
    </row>
    <row r="30" spans="1:7" hidden="1" x14ac:dyDescent="0.25">
      <c r="A30" s="5" t="s">
        <v>41</v>
      </c>
      <c r="B30" s="5"/>
      <c r="C30" s="5"/>
      <c r="D30" s="161"/>
      <c r="E30" s="5"/>
    </row>
    <row r="31" spans="1:7" hidden="1" x14ac:dyDescent="0.25">
      <c r="A31" s="5" t="s">
        <v>37</v>
      </c>
      <c r="B31" s="5"/>
      <c r="C31" s="5"/>
      <c r="D31" s="161">
        <v>0</v>
      </c>
      <c r="E31" s="5"/>
    </row>
    <row r="32" spans="1:7" ht="1.5" hidden="1" customHeight="1" x14ac:dyDescent="0.25">
      <c r="A32" s="5"/>
      <c r="B32" s="5"/>
      <c r="C32" s="5"/>
      <c r="D32" s="161"/>
      <c r="E32" s="5"/>
    </row>
    <row r="33" spans="1:8" hidden="1" x14ac:dyDescent="0.25">
      <c r="A33" s="58" t="s">
        <v>36</v>
      </c>
      <c r="B33" s="58"/>
      <c r="C33" s="58"/>
      <c r="D33" s="162">
        <f>SUM(D25:D32)</f>
        <v>0</v>
      </c>
      <c r="E33" s="136"/>
    </row>
    <row r="34" spans="1:8" ht="15.75" thickBot="1" x14ac:dyDescent="0.3">
      <c r="A34" s="30" t="s">
        <v>1</v>
      </c>
      <c r="B34" s="30"/>
      <c r="C34" s="30"/>
      <c r="D34" s="163"/>
      <c r="E34" s="137">
        <f>D24+D33</f>
        <v>0</v>
      </c>
      <c r="F34" s="22"/>
    </row>
    <row r="35" spans="1:8" x14ac:dyDescent="0.25">
      <c r="A35" s="36" t="s">
        <v>19</v>
      </c>
      <c r="B35" s="36"/>
      <c r="C35" s="36"/>
      <c r="D35" s="164"/>
      <c r="E35" s="138"/>
    </row>
    <row r="36" spans="1:8" ht="15" customHeight="1" x14ac:dyDescent="0.25">
      <c r="A36" s="186" t="s">
        <v>76</v>
      </c>
      <c r="B36" s="187"/>
      <c r="C36" s="53"/>
      <c r="D36" s="151"/>
      <c r="E36" s="139"/>
    </row>
    <row r="37" spans="1:8" ht="15" customHeight="1" thickBot="1" x14ac:dyDescent="0.3">
      <c r="A37" s="186" t="s">
        <v>71</v>
      </c>
      <c r="B37" s="187"/>
      <c r="C37" s="53"/>
      <c r="D37" s="165"/>
      <c r="E37" s="139"/>
      <c r="H37" s="119"/>
    </row>
    <row r="38" spans="1:8" ht="15.75" thickBot="1" x14ac:dyDescent="0.3">
      <c r="A38" s="30" t="s">
        <v>16</v>
      </c>
      <c r="B38" s="30"/>
      <c r="C38" s="30"/>
      <c r="D38" s="166"/>
      <c r="E38" s="140">
        <f>SUM(D36:D37)</f>
        <v>0</v>
      </c>
    </row>
    <row r="39" spans="1:8" x14ac:dyDescent="0.25">
      <c r="A39" s="36" t="s">
        <v>32</v>
      </c>
      <c r="B39" s="30"/>
      <c r="C39" s="30"/>
      <c r="D39" s="167"/>
      <c r="E39" s="141"/>
    </row>
    <row r="40" spans="1:8" s="39" customFormat="1" ht="14.25" customHeight="1" x14ac:dyDescent="0.25">
      <c r="A40" s="184" t="s">
        <v>72</v>
      </c>
      <c r="B40" s="185"/>
      <c r="C40" s="55"/>
      <c r="D40" s="168"/>
      <c r="E40" s="152"/>
    </row>
    <row r="41" spans="1:8" ht="14.25" customHeight="1" x14ac:dyDescent="0.25">
      <c r="A41" s="184" t="s">
        <v>73</v>
      </c>
      <c r="B41" s="185"/>
      <c r="C41" s="55"/>
      <c r="D41" s="181">
        <v>65518</v>
      </c>
      <c r="E41" s="142"/>
    </row>
    <row r="42" spans="1:8" ht="15.75" thickBot="1" x14ac:dyDescent="0.3">
      <c r="A42" s="30" t="s">
        <v>2</v>
      </c>
      <c r="B42" s="30"/>
      <c r="C42" s="30"/>
      <c r="D42" s="166"/>
      <c r="E42" s="143">
        <f>SUM(D40:D41)</f>
        <v>65518</v>
      </c>
    </row>
    <row r="43" spans="1:8" x14ac:dyDescent="0.25">
      <c r="A43" s="36" t="s">
        <v>17</v>
      </c>
      <c r="B43" s="144"/>
      <c r="C43" s="144"/>
      <c r="D43" s="169"/>
      <c r="E43" s="145"/>
    </row>
    <row r="44" spans="1:8" x14ac:dyDescent="0.25">
      <c r="A44" s="5" t="s">
        <v>50</v>
      </c>
      <c r="B44" s="5"/>
      <c r="C44" s="53"/>
      <c r="D44" s="170"/>
      <c r="E44" s="152"/>
      <c r="G44" s="119"/>
    </row>
    <row r="45" spans="1:8" x14ac:dyDescent="0.25">
      <c r="A45" s="5" t="s">
        <v>62</v>
      </c>
      <c r="B45" s="5"/>
      <c r="C45" s="53"/>
      <c r="D45" s="170"/>
      <c r="E45" s="152"/>
    </row>
    <row r="46" spans="1:8" x14ac:dyDescent="0.25">
      <c r="A46" s="5" t="s">
        <v>62</v>
      </c>
      <c r="B46" s="5"/>
      <c r="C46" s="53"/>
      <c r="D46" s="170"/>
      <c r="E46" s="152"/>
      <c r="G46" s="135"/>
    </row>
    <row r="47" spans="1:8" x14ac:dyDescent="0.25">
      <c r="A47" s="5" t="s">
        <v>77</v>
      </c>
      <c r="B47" s="5"/>
      <c r="C47" s="5"/>
      <c r="D47" s="155"/>
      <c r="E47" s="152"/>
    </row>
    <row r="48" spans="1:8" x14ac:dyDescent="0.25">
      <c r="A48" s="5" t="str">
        <f>A47</f>
        <v>Sindicatos mes de OCTUBRE</v>
      </c>
      <c r="B48" s="5"/>
      <c r="C48" s="5"/>
      <c r="D48" s="155"/>
      <c r="E48" s="153"/>
    </row>
    <row r="49" spans="1:10" x14ac:dyDescent="0.25">
      <c r="A49" s="5" t="str">
        <f>A48</f>
        <v>Sindicatos mes de OCTUBRE</v>
      </c>
      <c r="B49" s="5"/>
      <c r="C49" s="5"/>
      <c r="D49" s="155"/>
      <c r="E49" s="154"/>
    </row>
    <row r="50" spans="1:10" ht="15" customHeight="1" thickBot="1" x14ac:dyDescent="0.3">
      <c r="A50" s="30" t="s">
        <v>3</v>
      </c>
      <c r="B50" s="144"/>
      <c r="C50" s="144"/>
      <c r="D50" s="171"/>
      <c r="E50" s="143">
        <f>SUM(D44:D49)</f>
        <v>0</v>
      </c>
    </row>
    <row r="51" spans="1:10" x14ac:dyDescent="0.25">
      <c r="A51" s="36" t="s">
        <v>18</v>
      </c>
      <c r="B51" s="144"/>
      <c r="C51" s="144"/>
      <c r="D51" s="169"/>
      <c r="E51" s="145"/>
    </row>
    <row r="52" spans="1:10" ht="14.25" customHeight="1" x14ac:dyDescent="0.25">
      <c r="A52" s="5" t="s">
        <v>120</v>
      </c>
      <c r="B52" s="5"/>
      <c r="C52" s="5"/>
      <c r="D52" s="179">
        <v>1576078.85</v>
      </c>
      <c r="E52" s="152"/>
    </row>
    <row r="53" spans="1:10" x14ac:dyDescent="0.25">
      <c r="A53" s="5" t="s">
        <v>119</v>
      </c>
      <c r="B53" s="5"/>
      <c r="C53" s="5"/>
      <c r="D53" s="179">
        <v>8128.13</v>
      </c>
      <c r="E53" s="152"/>
    </row>
    <row r="54" spans="1:10" x14ac:dyDescent="0.25">
      <c r="A54" s="5" t="s">
        <v>119</v>
      </c>
      <c r="B54" s="180"/>
      <c r="C54" s="5"/>
      <c r="D54" s="179">
        <v>374755.03</v>
      </c>
      <c r="E54" s="152"/>
    </row>
    <row r="55" spans="1:10" x14ac:dyDescent="0.25">
      <c r="A55" s="184" t="s">
        <v>121</v>
      </c>
      <c r="B55" s="185"/>
      <c r="C55" s="5"/>
      <c r="D55" s="179">
        <v>242436.29</v>
      </c>
      <c r="E55" s="156"/>
    </row>
    <row r="56" spans="1:10" x14ac:dyDescent="0.25">
      <c r="A56" s="184"/>
      <c r="B56" s="185"/>
      <c r="C56" s="5"/>
      <c r="D56" s="155"/>
      <c r="E56" s="156"/>
    </row>
    <row r="57" spans="1:10" ht="15.75" thickBot="1" x14ac:dyDescent="0.3">
      <c r="A57" s="30" t="s">
        <v>4</v>
      </c>
      <c r="B57" s="30"/>
      <c r="C57" s="30"/>
      <c r="D57" s="172"/>
      <c r="E57" s="143">
        <f>SUM(D52:D56)</f>
        <v>2201398.2999999998</v>
      </c>
    </row>
    <row r="58" spans="1:10" ht="15" customHeight="1" thickBot="1" x14ac:dyDescent="0.3">
      <c r="A58" s="36"/>
      <c r="B58" s="30"/>
      <c r="C58" s="30"/>
      <c r="D58" s="166"/>
      <c r="E58" s="146"/>
    </row>
    <row r="59" spans="1:10" ht="20.100000000000001" customHeight="1" x14ac:dyDescent="0.25">
      <c r="A59" s="157" t="s">
        <v>118</v>
      </c>
      <c r="B59" s="150"/>
      <c r="C59" s="5"/>
      <c r="D59" s="179">
        <v>3320000</v>
      </c>
      <c r="E59" s="156"/>
    </row>
    <row r="60" spans="1:10" ht="20.100000000000001" customHeight="1" x14ac:dyDescent="0.25">
      <c r="A60" s="157"/>
      <c r="B60" s="150"/>
      <c r="C60" s="5"/>
      <c r="D60" s="179">
        <v>20332.080000000002</v>
      </c>
      <c r="E60" s="156"/>
    </row>
    <row r="61" spans="1:10" ht="33.75" customHeight="1" x14ac:dyDescent="0.25">
      <c r="A61" s="186"/>
      <c r="B61" s="187"/>
      <c r="C61" s="5"/>
      <c r="D61" s="155"/>
      <c r="E61" s="156"/>
    </row>
    <row r="62" spans="1:10" ht="20.100000000000001" customHeight="1" x14ac:dyDescent="0.25">
      <c r="A62" s="184"/>
      <c r="B62" s="185"/>
      <c r="C62" s="5"/>
      <c r="D62" s="101"/>
      <c r="E62" s="156"/>
      <c r="I62" s="184"/>
      <c r="J62" s="185"/>
    </row>
    <row r="63" spans="1:10" ht="15.75" thickBot="1" x14ac:dyDescent="0.3">
      <c r="A63" s="30" t="s">
        <v>9</v>
      </c>
      <c r="B63" s="36"/>
      <c r="C63" s="36"/>
      <c r="D63" s="35"/>
      <c r="E63" s="147">
        <f>SUM(D59:D62)</f>
        <v>3340332.08</v>
      </c>
    </row>
    <row r="64" spans="1:10" ht="15.75" thickBot="1" x14ac:dyDescent="0.3">
      <c r="A64" s="36" t="s">
        <v>12</v>
      </c>
      <c r="B64" s="68"/>
      <c r="C64" s="30"/>
      <c r="D64" s="163"/>
      <c r="E64" s="146"/>
    </row>
    <row r="65" spans="1:8" x14ac:dyDescent="0.25">
      <c r="A65" s="5" t="s">
        <v>70</v>
      </c>
      <c r="B65" s="5"/>
      <c r="C65" s="5"/>
      <c r="D65" s="155"/>
      <c r="E65" s="148"/>
    </row>
    <row r="66" spans="1:8" x14ac:dyDescent="0.25">
      <c r="A66" s="5" t="s">
        <v>69</v>
      </c>
      <c r="B66" s="5"/>
      <c r="C66" s="5"/>
      <c r="D66" s="155"/>
      <c r="E66" s="41"/>
    </row>
    <row r="67" spans="1:8" ht="15.75" thickBot="1" x14ac:dyDescent="0.3">
      <c r="A67" s="52" t="s">
        <v>16</v>
      </c>
      <c r="B67" s="52"/>
      <c r="C67" s="52"/>
      <c r="D67" s="104"/>
      <c r="E67" s="98">
        <f>SUM(D65:D66)</f>
        <v>0</v>
      </c>
    </row>
    <row r="68" spans="1:8" ht="15.75" thickBot="1" x14ac:dyDescent="0.3">
      <c r="A68" s="5"/>
      <c r="B68" s="5"/>
      <c r="C68" s="5"/>
      <c r="D68" s="97"/>
      <c r="E68" s="105"/>
    </row>
    <row r="69" spans="1:8" ht="15.75" thickBot="1" x14ac:dyDescent="0.3">
      <c r="A69" s="31" t="s">
        <v>53</v>
      </c>
      <c r="B69" s="31"/>
      <c r="C69" s="31"/>
      <c r="D69" s="106"/>
      <c r="E69" s="107"/>
    </row>
    <row r="70" spans="1:8" ht="15.75" thickBot="1" x14ac:dyDescent="0.3">
      <c r="A70" s="1"/>
      <c r="D70" s="108"/>
      <c r="E70" s="109"/>
      <c r="F70" s="44"/>
    </row>
    <row r="71" spans="1:8" ht="15.75" thickBot="1" x14ac:dyDescent="0.3">
      <c r="A71" s="3" t="s">
        <v>13</v>
      </c>
      <c r="B71" s="10"/>
      <c r="C71" s="4"/>
      <c r="D71" s="110"/>
      <c r="E71" s="111">
        <f>(SUM(E27:E69))</f>
        <v>5607248.3799999999</v>
      </c>
      <c r="F71" s="135"/>
      <c r="G71" s="44"/>
    </row>
    <row r="72" spans="1:8" x14ac:dyDescent="0.25">
      <c r="D72" s="108"/>
      <c r="E72" s="108"/>
    </row>
    <row r="73" spans="1:8" ht="15.75" thickBot="1" x14ac:dyDescent="0.3">
      <c r="D73" s="108"/>
      <c r="E73" s="108"/>
      <c r="H73" s="173"/>
    </row>
    <row r="74" spans="1:8" x14ac:dyDescent="0.25">
      <c r="A74" s="11" t="s">
        <v>48</v>
      </c>
      <c r="B74" s="12"/>
      <c r="C74" s="13"/>
      <c r="D74" s="112"/>
      <c r="E74" s="113"/>
    </row>
    <row r="75" spans="1:8" ht="15" customHeight="1" x14ac:dyDescent="0.25">
      <c r="A75" s="184"/>
      <c r="B75" s="185"/>
      <c r="C75" s="5"/>
      <c r="D75" s="123"/>
      <c r="E75" s="99"/>
    </row>
    <row r="76" spans="1:8" x14ac:dyDescent="0.25">
      <c r="A76" s="184"/>
      <c r="B76" s="185"/>
      <c r="C76" s="5"/>
      <c r="D76" s="101"/>
      <c r="E76" s="99"/>
    </row>
    <row r="77" spans="1:8" ht="15.75" customHeight="1" x14ac:dyDescent="0.25">
      <c r="A77" s="186"/>
      <c r="B77" s="187"/>
      <c r="C77" s="5"/>
      <c r="D77" s="101"/>
      <c r="E77" s="99"/>
    </row>
    <row r="78" spans="1:8" x14ac:dyDescent="0.25">
      <c r="A78" s="100"/>
      <c r="B78" s="102"/>
      <c r="C78" s="5"/>
      <c r="D78" s="101"/>
      <c r="E78" s="99"/>
    </row>
    <row r="79" spans="1:8" x14ac:dyDescent="0.25">
      <c r="A79" s="50"/>
      <c r="B79" s="49"/>
      <c r="C79" s="49"/>
      <c r="D79" s="59"/>
      <c r="E79" s="59">
        <f>SUM(D75:D78)</f>
        <v>0</v>
      </c>
    </row>
    <row r="80" spans="1:8" ht="15" customHeight="1" x14ac:dyDescent="0.25"/>
    <row r="81" spans="1:5" ht="15.75" hidden="1" thickBot="1" x14ac:dyDescent="0.3"/>
    <row r="82" spans="1:5" ht="15.75" thickBot="1" x14ac:dyDescent="0.3">
      <c r="A82" s="31" t="s">
        <v>20</v>
      </c>
      <c r="B82" s="31"/>
      <c r="C82" s="31"/>
      <c r="D82" s="32"/>
      <c r="E82" s="96"/>
    </row>
    <row r="83" spans="1:5" ht="15.75" thickBot="1" x14ac:dyDescent="0.3"/>
    <row r="84" spans="1:5" ht="15.75" thickBot="1" x14ac:dyDescent="0.3">
      <c r="A84" s="3" t="s">
        <v>21</v>
      </c>
      <c r="B84" s="10"/>
      <c r="C84" s="4"/>
      <c r="D84" s="4"/>
      <c r="E84" s="69">
        <f>E79+E82</f>
        <v>0</v>
      </c>
    </row>
    <row r="85" spans="1:5" ht="15.75" thickBot="1" x14ac:dyDescent="0.3"/>
    <row r="86" spans="1:5" ht="15.75" thickBot="1" x14ac:dyDescent="0.3">
      <c r="A86" s="94" t="s">
        <v>14</v>
      </c>
      <c r="B86" s="95">
        <f>E71</f>
        <v>5607248.3799999999</v>
      </c>
    </row>
    <row r="87" spans="1:5" ht="15.75" thickBot="1" x14ac:dyDescent="0.3">
      <c r="A87" s="94" t="s">
        <v>15</v>
      </c>
      <c r="B87" s="95">
        <f>E71-E69</f>
        <v>5607248.3799999999</v>
      </c>
    </row>
    <row r="88" spans="1:5" ht="15.75" thickBot="1" x14ac:dyDescent="0.3">
      <c r="A88" s="94" t="s">
        <v>22</v>
      </c>
      <c r="B88" s="95">
        <f>E84-E82</f>
        <v>0</v>
      </c>
    </row>
    <row r="89" spans="1:5" ht="15.75" thickBot="1" x14ac:dyDescent="0.3">
      <c r="A89" s="94" t="s">
        <v>43</v>
      </c>
      <c r="B89" s="95">
        <f>E84</f>
        <v>0</v>
      </c>
    </row>
    <row r="90" spans="1:5" ht="73.5" customHeight="1" x14ac:dyDescent="0.25"/>
    <row r="91" spans="1:5" ht="34.5" hidden="1" customHeight="1" x14ac:dyDescent="0.25"/>
    <row r="92" spans="1:5" hidden="1" x14ac:dyDescent="0.25">
      <c r="A92" s="182"/>
      <c r="B92" s="182"/>
      <c r="C92" s="182"/>
      <c r="D92" s="182"/>
      <c r="E92" s="182"/>
    </row>
    <row r="93" spans="1:5" ht="106.5" hidden="1" customHeight="1" x14ac:dyDescent="0.25">
      <c r="A93" s="182"/>
      <c r="B93" s="182"/>
      <c r="C93" s="182"/>
      <c r="D93" s="182"/>
      <c r="E93" s="182"/>
    </row>
    <row r="94" spans="1:5" ht="15.75" hidden="1" customHeight="1" x14ac:dyDescent="0.25">
      <c r="A94" s="182"/>
      <c r="B94" s="182"/>
      <c r="C94" s="182"/>
      <c r="D94" s="182"/>
      <c r="E94" s="182"/>
    </row>
    <row r="96" spans="1:5" ht="0.75" customHeight="1" x14ac:dyDescent="0.25">
      <c r="A96" s="23" t="s">
        <v>34</v>
      </c>
      <c r="B96" s="120"/>
      <c r="C96" s="24"/>
    </row>
    <row r="97" spans="1:6" hidden="1" x14ac:dyDescent="0.25">
      <c r="A97" s="34"/>
      <c r="B97" s="60">
        <v>0</v>
      </c>
      <c r="C97" s="26"/>
    </row>
    <row r="98" spans="1:6" ht="14.25" hidden="1" customHeight="1" x14ac:dyDescent="0.25">
      <c r="A98" s="25" t="s">
        <v>7</v>
      </c>
      <c r="B98" s="41">
        <f>PRORRATEO!G29</f>
        <v>3046089</v>
      </c>
      <c r="C98" s="24"/>
    </row>
    <row r="99" spans="1:6" hidden="1" x14ac:dyDescent="0.25">
      <c r="A99" s="25"/>
      <c r="B99" s="41">
        <v>0</v>
      </c>
      <c r="C99" s="24"/>
    </row>
    <row r="100" spans="1:6" hidden="1" x14ac:dyDescent="0.25">
      <c r="A100" s="25" t="s">
        <v>44</v>
      </c>
      <c r="B100" s="103">
        <f>B122</f>
        <v>0</v>
      </c>
      <c r="C100" s="24"/>
    </row>
    <row r="101" spans="1:6" hidden="1" x14ac:dyDescent="0.25">
      <c r="A101" s="28"/>
      <c r="B101" s="48"/>
      <c r="C101" s="24"/>
    </row>
    <row r="102" spans="1:6" hidden="1" x14ac:dyDescent="0.25">
      <c r="A102" s="118" t="s">
        <v>49</v>
      </c>
      <c r="B102" s="48"/>
      <c r="C102" s="24"/>
    </row>
    <row r="103" spans="1:6" hidden="1" x14ac:dyDescent="0.25">
      <c r="A103" s="40" t="s">
        <v>23</v>
      </c>
      <c r="B103" s="48">
        <f>-B87</f>
        <v>-5607248.3799999999</v>
      </c>
      <c r="C103" s="24"/>
    </row>
    <row r="104" spans="1:6" hidden="1" x14ac:dyDescent="0.25">
      <c r="A104" s="28" t="s">
        <v>24</v>
      </c>
      <c r="B104" s="48">
        <f>-(B88)</f>
        <v>0</v>
      </c>
      <c r="C104" s="24"/>
    </row>
    <row r="105" spans="1:6" hidden="1" x14ac:dyDescent="0.25">
      <c r="A105" s="33" t="s">
        <v>9</v>
      </c>
      <c r="B105" s="60">
        <f>SUM(B97:B104)</f>
        <v>-2561159.38</v>
      </c>
      <c r="C105" s="27"/>
      <c r="D105" s="44"/>
    </row>
    <row r="106" spans="1:6" ht="34.5" hidden="1" customHeight="1" x14ac:dyDescent="0.25">
      <c r="B106" s="42"/>
      <c r="C106" s="27"/>
      <c r="D106" s="44"/>
      <c r="E106" s="121"/>
      <c r="F106" s="122"/>
    </row>
    <row r="107" spans="1:6" ht="14.25" hidden="1" customHeight="1" x14ac:dyDescent="0.25">
      <c r="B107" s="43"/>
      <c r="C107" s="27"/>
    </row>
    <row r="108" spans="1:6" s="39" customFormat="1" ht="27" hidden="1" customHeight="1" x14ac:dyDescent="0.25">
      <c r="A108"/>
      <c r="B108" s="42"/>
      <c r="C108" s="38"/>
    </row>
    <row r="109" spans="1:6" s="39" customFormat="1" x14ac:dyDescent="0.25">
      <c r="A109" s="126" t="s">
        <v>66</v>
      </c>
      <c r="B109" s="127">
        <v>-215085.03609999688</v>
      </c>
      <c r="C109" s="38"/>
      <c r="D109" s="47"/>
    </row>
    <row r="110" spans="1:6" x14ac:dyDescent="0.25">
      <c r="A110" s="55" t="s">
        <v>54</v>
      </c>
      <c r="B110" s="132">
        <f>-B87</f>
        <v>-5607248.3799999999</v>
      </c>
    </row>
    <row r="111" spans="1:6" x14ac:dyDescent="0.25">
      <c r="A111" s="55" t="s">
        <v>55</v>
      </c>
      <c r="B111" s="132">
        <f>-B88</f>
        <v>0</v>
      </c>
    </row>
    <row r="112" spans="1:6" x14ac:dyDescent="0.25">
      <c r="A112" s="55" t="s">
        <v>65</v>
      </c>
      <c r="B112" s="132">
        <f>B122</f>
        <v>0</v>
      </c>
    </row>
    <row r="113" spans="1:13" x14ac:dyDescent="0.25">
      <c r="A113" s="55" t="s">
        <v>56</v>
      </c>
      <c r="B113" s="133">
        <f>PRORRATEO!G29</f>
        <v>3046089</v>
      </c>
    </row>
    <row r="114" spans="1:13" x14ac:dyDescent="0.25">
      <c r="A114" s="134" t="s">
        <v>57</v>
      </c>
      <c r="B114" s="174"/>
    </row>
    <row r="115" spans="1:13" ht="15.75" thickBot="1" x14ac:dyDescent="0.3">
      <c r="A115" s="130" t="s">
        <v>51</v>
      </c>
      <c r="B115" s="131">
        <f>SUM(B109:C114)</f>
        <v>-2776244.4160999972</v>
      </c>
    </row>
    <row r="116" spans="1:13" x14ac:dyDescent="0.25">
      <c r="A116" s="128"/>
      <c r="B116" s="128"/>
    </row>
    <row r="117" spans="1:13" ht="34.5" customHeight="1" x14ac:dyDescent="0.25"/>
    <row r="118" spans="1:13" x14ac:dyDescent="0.25">
      <c r="A118" s="183" t="s">
        <v>33</v>
      </c>
      <c r="B118" s="183"/>
      <c r="C118" s="183"/>
    </row>
    <row r="119" spans="1:13" x14ac:dyDescent="0.25">
      <c r="A119" s="183"/>
      <c r="B119" s="183"/>
      <c r="C119" s="183"/>
    </row>
    <row r="120" spans="1:13" ht="35.25" customHeight="1" x14ac:dyDescent="0.25">
      <c r="A120" s="115"/>
      <c r="B120" s="37"/>
      <c r="C120" s="37">
        <v>40000</v>
      </c>
      <c r="E120" s="135"/>
    </row>
    <row r="121" spans="1:13" ht="27" customHeight="1" x14ac:dyDescent="0.25">
      <c r="A121" s="115"/>
      <c r="B121" s="117"/>
      <c r="C121" s="114"/>
      <c r="D121" s="135"/>
    </row>
    <row r="122" spans="1:13" x14ac:dyDescent="0.25">
      <c r="A122" s="45" t="s">
        <v>9</v>
      </c>
      <c r="B122" s="116">
        <f>SUM(B120:B121)</f>
        <v>0</v>
      </c>
      <c r="C122" s="46"/>
    </row>
    <row r="123" spans="1:13" x14ac:dyDescent="0.25">
      <c r="M123" s="8"/>
    </row>
    <row r="124" spans="1:13" ht="15" customHeight="1" x14ac:dyDescent="0.25">
      <c r="A124" s="182"/>
      <c r="B124" s="182"/>
      <c r="C124" s="182"/>
      <c r="D124" s="182"/>
      <c r="E124" s="182"/>
    </row>
    <row r="125" spans="1:13" x14ac:dyDescent="0.25">
      <c r="A125" s="182"/>
      <c r="B125" s="182"/>
      <c r="C125" s="182"/>
      <c r="D125" s="182"/>
      <c r="E125" s="182"/>
    </row>
    <row r="126" spans="1:13" x14ac:dyDescent="0.25">
      <c r="A126" s="182"/>
      <c r="B126" s="182"/>
      <c r="C126" s="182"/>
      <c r="D126" s="182"/>
      <c r="E126" s="182"/>
    </row>
    <row r="127" spans="1:13" x14ac:dyDescent="0.25">
      <c r="A127" s="182"/>
      <c r="B127" s="182"/>
      <c r="C127" s="182"/>
      <c r="D127" s="182"/>
      <c r="E127" s="182"/>
    </row>
  </sheetData>
  <mergeCells count="18">
    <mergeCell ref="A56:B56"/>
    <mergeCell ref="A37:B37"/>
    <mergeCell ref="A36:B36"/>
    <mergeCell ref="B3:E3"/>
    <mergeCell ref="I62:J62"/>
    <mergeCell ref="A61:B61"/>
    <mergeCell ref="A62:B62"/>
    <mergeCell ref="A13:E16"/>
    <mergeCell ref="B8:C10"/>
    <mergeCell ref="A40:B40"/>
    <mergeCell ref="A41:B41"/>
    <mergeCell ref="A55:B55"/>
    <mergeCell ref="A124:E127"/>
    <mergeCell ref="A118:C119"/>
    <mergeCell ref="A92:E94"/>
    <mergeCell ref="A76:B76"/>
    <mergeCell ref="A75:B75"/>
    <mergeCell ref="A77:B7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zoomScaleNormal="100" workbookViewId="0">
      <selection activeCell="M5" sqref="M5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3.28515625" hidden="1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0.140625" customWidth="1"/>
    <col min="11" max="11" width="12.42578125" customWidth="1"/>
    <col min="12" max="12" width="10.42578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6" ht="12.95" customHeight="1" x14ac:dyDescent="0.25">
      <c r="A1" s="6"/>
      <c r="B1" s="6"/>
      <c r="C1" s="6"/>
      <c r="D1" s="6"/>
      <c r="E1" s="197"/>
      <c r="F1" s="197"/>
      <c r="G1" s="197"/>
      <c r="H1" s="197"/>
      <c r="I1" s="197"/>
      <c r="J1" s="197"/>
      <c r="K1" s="197"/>
      <c r="L1" s="197"/>
      <c r="M1" s="197"/>
      <c r="N1" s="6"/>
      <c r="O1" s="6"/>
    </row>
    <row r="2" spans="1:16" ht="12.95" customHeight="1" x14ac:dyDescent="0.25">
      <c r="A2" s="6"/>
      <c r="B2" s="6"/>
      <c r="C2" s="6"/>
      <c r="D2" s="6"/>
      <c r="E2" s="6" t="s">
        <v>117</v>
      </c>
      <c r="F2" s="6"/>
      <c r="G2" s="158">
        <v>0</v>
      </c>
      <c r="H2" s="6"/>
      <c r="I2" s="6"/>
      <c r="J2" s="7"/>
      <c r="K2" s="6" t="s">
        <v>64</v>
      </c>
      <c r="L2" s="6"/>
      <c r="M2" s="125"/>
      <c r="N2" s="56"/>
      <c r="O2" s="56"/>
      <c r="P2" s="22"/>
    </row>
    <row r="3" spans="1:16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7"/>
      <c r="N3" s="57"/>
      <c r="O3" s="61"/>
    </row>
    <row r="4" spans="1:16" x14ac:dyDescent="0.25">
      <c r="A4" s="194" t="s">
        <v>5</v>
      </c>
      <c r="B4" s="176"/>
      <c r="C4" s="194" t="s">
        <v>6</v>
      </c>
      <c r="D4" s="194" t="s">
        <v>27</v>
      </c>
      <c r="E4" s="194" t="s">
        <v>11</v>
      </c>
      <c r="F4" s="198" t="s">
        <v>52</v>
      </c>
      <c r="G4" s="194" t="s">
        <v>7</v>
      </c>
      <c r="H4" s="202" t="s">
        <v>31</v>
      </c>
      <c r="I4" s="198" t="s">
        <v>46</v>
      </c>
      <c r="J4" s="198" t="s">
        <v>8</v>
      </c>
      <c r="K4" s="198" t="s">
        <v>26</v>
      </c>
      <c r="L4" s="205" t="s">
        <v>63</v>
      </c>
      <c r="M4" s="64" t="s">
        <v>39</v>
      </c>
      <c r="N4" s="200" t="s">
        <v>25</v>
      </c>
      <c r="O4" s="192" t="s">
        <v>38</v>
      </c>
    </row>
    <row r="5" spans="1:16" ht="15.75" customHeight="1" x14ac:dyDescent="0.25">
      <c r="A5" s="196"/>
      <c r="B5" s="177"/>
      <c r="C5" s="196"/>
      <c r="D5" s="195"/>
      <c r="E5" s="196"/>
      <c r="F5" s="199"/>
      <c r="G5" s="196"/>
      <c r="H5" s="203"/>
      <c r="I5" s="199"/>
      <c r="J5" s="204"/>
      <c r="K5" s="199"/>
      <c r="L5" s="206"/>
      <c r="M5" s="62" t="str">
        <f>RESUMEN!B8</f>
        <v>VTO 14/11</v>
      </c>
      <c r="N5" s="201"/>
      <c r="O5" s="193"/>
    </row>
    <row r="6" spans="1:16" ht="17.100000000000001" customHeight="1" x14ac:dyDescent="0.25">
      <c r="A6" s="65">
        <v>1</v>
      </c>
      <c r="B6" s="65" t="s">
        <v>78</v>
      </c>
      <c r="C6" s="65" t="s">
        <v>79</v>
      </c>
      <c r="D6" s="65"/>
      <c r="E6" s="74">
        <v>12</v>
      </c>
      <c r="F6" s="75">
        <v>495807</v>
      </c>
      <c r="G6" s="77">
        <f>F6</f>
        <v>495807</v>
      </c>
      <c r="H6" s="78">
        <f t="shared" ref="H6:H28" si="0">F6-G6</f>
        <v>0</v>
      </c>
      <c r="I6" s="78">
        <f>IF(H6&gt;0,H6*3%,0)</f>
        <v>0</v>
      </c>
      <c r="J6" s="79">
        <v>0</v>
      </c>
      <c r="K6" s="80">
        <f>M$2*E6/100</f>
        <v>0</v>
      </c>
      <c r="L6" s="159">
        <f t="shared" ref="L6:L28" si="1">G$2*E6/100</f>
        <v>0</v>
      </c>
      <c r="M6" s="81">
        <f>ROUND(SUM(H6:L6),0) + P6</f>
        <v>0.01</v>
      </c>
      <c r="N6" s="82">
        <f>ROUND(M6*6% + M6,0) + P6</f>
        <v>0.01</v>
      </c>
      <c r="O6" s="83">
        <f>ROUND(M6*3%,0) + M6</f>
        <v>0.01</v>
      </c>
      <c r="P6" s="44">
        <v>0.01</v>
      </c>
    </row>
    <row r="7" spans="1:16" ht="17.100000000000001" customHeight="1" x14ac:dyDescent="0.25">
      <c r="A7" s="65">
        <v>2</v>
      </c>
      <c r="B7" s="65" t="s">
        <v>80</v>
      </c>
      <c r="C7" s="65" t="s">
        <v>81</v>
      </c>
      <c r="D7" s="66"/>
      <c r="E7" s="74">
        <v>6.6</v>
      </c>
      <c r="F7" s="75">
        <v>230445</v>
      </c>
      <c r="G7" s="77">
        <f>100000</f>
        <v>100000</v>
      </c>
      <c r="H7" s="78">
        <f t="shared" si="0"/>
        <v>130445</v>
      </c>
      <c r="I7" s="78">
        <f t="shared" ref="I7:I28" si="2">IF(H7&gt;0,H7*3%,0)</f>
        <v>3913.35</v>
      </c>
      <c r="J7" s="79">
        <v>0</v>
      </c>
      <c r="K7" s="80">
        <f t="shared" ref="K7:K28" si="3">M$2*E7%</f>
        <v>0</v>
      </c>
      <c r="L7" s="159">
        <f t="shared" si="1"/>
        <v>0</v>
      </c>
      <c r="M7" s="81">
        <f t="shared" ref="M7:M28" si="4">ROUND(SUM(H7:L7),0) + P7</f>
        <v>134358.01999999999</v>
      </c>
      <c r="N7" s="82">
        <f t="shared" ref="N7:N23" si="5">ROUND(M7*6% + M7,0) + P7</f>
        <v>142420.01999999999</v>
      </c>
      <c r="O7" s="83">
        <f t="shared" ref="O7:O28" si="6">ROUND(M7*3%,0) + M7</f>
        <v>138389.01999999999</v>
      </c>
      <c r="P7" s="44">
        <f>P6+0.01</f>
        <v>0.02</v>
      </c>
    </row>
    <row r="8" spans="1:16" ht="17.100000000000001" customHeight="1" x14ac:dyDescent="0.25">
      <c r="A8" s="65">
        <v>3</v>
      </c>
      <c r="B8" s="65" t="s">
        <v>82</v>
      </c>
      <c r="C8" s="65" t="s">
        <v>83</v>
      </c>
      <c r="D8" s="66"/>
      <c r="E8" s="74">
        <v>5.4</v>
      </c>
      <c r="F8" s="75">
        <v>183797</v>
      </c>
      <c r="G8" s="77">
        <f>F8</f>
        <v>183797</v>
      </c>
      <c r="H8" s="78">
        <f t="shared" si="0"/>
        <v>0</v>
      </c>
      <c r="I8" s="78">
        <f t="shared" si="2"/>
        <v>0</v>
      </c>
      <c r="J8" s="79">
        <v>0</v>
      </c>
      <c r="K8" s="80">
        <f t="shared" si="3"/>
        <v>0</v>
      </c>
      <c r="L8" s="159">
        <f t="shared" si="1"/>
        <v>0</v>
      </c>
      <c r="M8" s="81">
        <f t="shared" si="4"/>
        <v>0.03</v>
      </c>
      <c r="N8" s="82">
        <f t="shared" si="5"/>
        <v>0.03</v>
      </c>
      <c r="O8" s="83">
        <f t="shared" si="6"/>
        <v>0.03</v>
      </c>
      <c r="P8" s="44">
        <f t="shared" ref="P8:P23" si="7">P7+0.01</f>
        <v>0.03</v>
      </c>
    </row>
    <row r="9" spans="1:16" ht="17.100000000000001" customHeight="1" x14ac:dyDescent="0.25">
      <c r="A9" s="65">
        <v>4</v>
      </c>
      <c r="B9" s="65" t="s">
        <v>84</v>
      </c>
      <c r="C9" s="65" t="s">
        <v>85</v>
      </c>
      <c r="D9" s="66"/>
      <c r="E9" s="74">
        <v>6.6</v>
      </c>
      <c r="F9" s="75">
        <v>206119</v>
      </c>
      <c r="G9" s="77">
        <f t="shared" ref="G9:G23" si="8">F9</f>
        <v>206119</v>
      </c>
      <c r="H9" s="78">
        <f t="shared" si="0"/>
        <v>0</v>
      </c>
      <c r="I9" s="78">
        <f t="shared" si="2"/>
        <v>0</v>
      </c>
      <c r="J9" s="79">
        <v>0</v>
      </c>
      <c r="K9" s="80">
        <f t="shared" si="3"/>
        <v>0</v>
      </c>
      <c r="L9" s="159">
        <f t="shared" si="1"/>
        <v>0</v>
      </c>
      <c r="M9" s="81">
        <f t="shared" si="4"/>
        <v>0.04</v>
      </c>
      <c r="N9" s="82">
        <f t="shared" si="5"/>
        <v>0.04</v>
      </c>
      <c r="O9" s="83">
        <f t="shared" si="6"/>
        <v>0.04</v>
      </c>
      <c r="P9" s="44">
        <f t="shared" si="7"/>
        <v>0.04</v>
      </c>
    </row>
    <row r="10" spans="1:16" ht="17.100000000000001" customHeight="1" x14ac:dyDescent="0.25">
      <c r="A10" s="65">
        <v>5</v>
      </c>
      <c r="B10" s="65" t="s">
        <v>86</v>
      </c>
      <c r="C10" s="65" t="s">
        <v>87</v>
      </c>
      <c r="D10" s="66"/>
      <c r="E10" s="74">
        <v>6.6</v>
      </c>
      <c r="F10" s="75">
        <v>301901</v>
      </c>
      <c r="G10" s="77"/>
      <c r="H10" s="78">
        <f t="shared" si="0"/>
        <v>301901</v>
      </c>
      <c r="I10" s="78">
        <f t="shared" si="2"/>
        <v>9057.0299999999988</v>
      </c>
      <c r="J10" s="79">
        <v>0</v>
      </c>
      <c r="K10" s="80">
        <f t="shared" si="3"/>
        <v>0</v>
      </c>
      <c r="L10" s="159">
        <f t="shared" si="1"/>
        <v>0</v>
      </c>
      <c r="M10" s="81">
        <f t="shared" si="4"/>
        <v>310958.05</v>
      </c>
      <c r="N10" s="82">
        <f t="shared" si="5"/>
        <v>329616.05</v>
      </c>
      <c r="O10" s="83">
        <f t="shared" si="6"/>
        <v>320287.05</v>
      </c>
      <c r="P10" s="44">
        <f t="shared" si="7"/>
        <v>0.05</v>
      </c>
    </row>
    <row r="11" spans="1:16" ht="17.100000000000001" customHeight="1" x14ac:dyDescent="0.25">
      <c r="A11" s="65">
        <v>6</v>
      </c>
      <c r="B11" s="65" t="s">
        <v>88</v>
      </c>
      <c r="C11" s="65" t="s">
        <v>89</v>
      </c>
      <c r="D11" s="65"/>
      <c r="E11" s="74">
        <v>5.4</v>
      </c>
      <c r="F11" s="75">
        <v>193307</v>
      </c>
      <c r="G11" s="77">
        <f t="shared" si="8"/>
        <v>193307</v>
      </c>
      <c r="H11" s="78">
        <f t="shared" si="0"/>
        <v>0</v>
      </c>
      <c r="I11" s="78">
        <f t="shared" si="2"/>
        <v>0</v>
      </c>
      <c r="J11" s="79">
        <v>0</v>
      </c>
      <c r="K11" s="80">
        <f t="shared" si="3"/>
        <v>0</v>
      </c>
      <c r="L11" s="159">
        <f t="shared" si="1"/>
        <v>0</v>
      </c>
      <c r="M11" s="81">
        <f t="shared" si="4"/>
        <v>6.0000000000000005E-2</v>
      </c>
      <c r="N11" s="82">
        <f t="shared" si="5"/>
        <v>6.0000000000000005E-2</v>
      </c>
      <c r="O11" s="83">
        <f t="shared" si="6"/>
        <v>6.0000000000000005E-2</v>
      </c>
      <c r="P11" s="44">
        <f t="shared" si="7"/>
        <v>6.0000000000000005E-2</v>
      </c>
    </row>
    <row r="12" spans="1:16" ht="17.100000000000001" customHeight="1" x14ac:dyDescent="0.25">
      <c r="A12" s="65">
        <v>7</v>
      </c>
      <c r="B12" s="65" t="s">
        <v>90</v>
      </c>
      <c r="C12" s="65" t="s">
        <v>91</v>
      </c>
      <c r="D12" s="65"/>
      <c r="E12" s="74">
        <v>5.4</v>
      </c>
      <c r="F12" s="75">
        <v>287266</v>
      </c>
      <c r="G12" s="77">
        <f>F12</f>
        <v>287266</v>
      </c>
      <c r="H12" s="78">
        <f t="shared" si="0"/>
        <v>0</v>
      </c>
      <c r="I12" s="78">
        <f t="shared" si="2"/>
        <v>0</v>
      </c>
      <c r="J12" s="79">
        <v>0</v>
      </c>
      <c r="K12" s="80">
        <f t="shared" si="3"/>
        <v>0</v>
      </c>
      <c r="L12" s="159">
        <f t="shared" si="1"/>
        <v>0</v>
      </c>
      <c r="M12" s="81">
        <f t="shared" si="4"/>
        <v>7.0000000000000007E-2</v>
      </c>
      <c r="N12" s="82">
        <f t="shared" si="5"/>
        <v>7.0000000000000007E-2</v>
      </c>
      <c r="O12" s="83">
        <f t="shared" si="6"/>
        <v>7.0000000000000007E-2</v>
      </c>
      <c r="P12" s="44">
        <f t="shared" si="7"/>
        <v>7.0000000000000007E-2</v>
      </c>
    </row>
    <row r="13" spans="1:16" ht="17.100000000000001" customHeight="1" x14ac:dyDescent="0.25">
      <c r="A13" s="65">
        <v>8</v>
      </c>
      <c r="B13" s="65" t="s">
        <v>92</v>
      </c>
      <c r="C13" s="65" t="s">
        <v>93</v>
      </c>
      <c r="D13" s="66"/>
      <c r="E13" s="74">
        <v>6.6</v>
      </c>
      <c r="F13" s="75">
        <v>274735</v>
      </c>
      <c r="G13" s="77">
        <f>104000</f>
        <v>104000</v>
      </c>
      <c r="H13" s="78">
        <f t="shared" si="0"/>
        <v>170735</v>
      </c>
      <c r="I13" s="78">
        <f t="shared" si="2"/>
        <v>5122.05</v>
      </c>
      <c r="J13" s="79">
        <v>0</v>
      </c>
      <c r="K13" s="80">
        <f t="shared" si="3"/>
        <v>0</v>
      </c>
      <c r="L13" s="159">
        <f t="shared" si="1"/>
        <v>0</v>
      </c>
      <c r="M13" s="81">
        <f t="shared" si="4"/>
        <v>175857.08</v>
      </c>
      <c r="N13" s="82">
        <f t="shared" si="5"/>
        <v>186409.08</v>
      </c>
      <c r="O13" s="83">
        <f t="shared" si="6"/>
        <v>181133.08</v>
      </c>
      <c r="P13" s="44">
        <f t="shared" si="7"/>
        <v>0.08</v>
      </c>
    </row>
    <row r="14" spans="1:16" ht="17.100000000000001" customHeight="1" x14ac:dyDescent="0.25">
      <c r="A14" s="65">
        <v>9</v>
      </c>
      <c r="B14" s="65" t="s">
        <v>94</v>
      </c>
      <c r="C14" s="65" t="s">
        <v>95</v>
      </c>
      <c r="D14" s="66"/>
      <c r="E14" s="74">
        <v>6.6</v>
      </c>
      <c r="F14" s="75">
        <v>228179</v>
      </c>
      <c r="G14" s="77">
        <f t="shared" si="8"/>
        <v>228179</v>
      </c>
      <c r="H14" s="78">
        <f t="shared" si="0"/>
        <v>0</v>
      </c>
      <c r="I14" s="78">
        <f t="shared" si="2"/>
        <v>0</v>
      </c>
      <c r="J14" s="79">
        <v>0</v>
      </c>
      <c r="K14" s="80">
        <f t="shared" si="3"/>
        <v>0</v>
      </c>
      <c r="L14" s="159">
        <f t="shared" si="1"/>
        <v>0</v>
      </c>
      <c r="M14" s="81">
        <f t="shared" si="4"/>
        <v>0.09</v>
      </c>
      <c r="N14" s="82">
        <f t="shared" si="5"/>
        <v>0.09</v>
      </c>
      <c r="O14" s="83">
        <f t="shared" si="6"/>
        <v>0.09</v>
      </c>
      <c r="P14" s="44">
        <f t="shared" si="7"/>
        <v>0.09</v>
      </c>
    </row>
    <row r="15" spans="1:16" ht="17.100000000000001" customHeight="1" x14ac:dyDescent="0.25">
      <c r="A15" s="65">
        <v>10</v>
      </c>
      <c r="B15" s="65" t="s">
        <v>96</v>
      </c>
      <c r="C15" s="65" t="s">
        <v>97</v>
      </c>
      <c r="D15" s="66"/>
      <c r="E15" s="74">
        <v>5.4</v>
      </c>
      <c r="F15" s="75">
        <v>269046</v>
      </c>
      <c r="G15" s="77">
        <f>F15</f>
        <v>269046</v>
      </c>
      <c r="H15" s="78">
        <f t="shared" si="0"/>
        <v>0</v>
      </c>
      <c r="I15" s="78">
        <f t="shared" si="2"/>
        <v>0</v>
      </c>
      <c r="J15" s="79">
        <v>0</v>
      </c>
      <c r="K15" s="80">
        <f t="shared" si="3"/>
        <v>0</v>
      </c>
      <c r="L15" s="159">
        <f t="shared" si="1"/>
        <v>0</v>
      </c>
      <c r="M15" s="81">
        <f t="shared" si="4"/>
        <v>9.9999999999999992E-2</v>
      </c>
      <c r="N15" s="82">
        <f t="shared" si="5"/>
        <v>9.9999999999999992E-2</v>
      </c>
      <c r="O15" s="83">
        <f t="shared" si="6"/>
        <v>9.9999999999999992E-2</v>
      </c>
      <c r="P15" s="44">
        <f t="shared" si="7"/>
        <v>9.9999999999999992E-2</v>
      </c>
    </row>
    <row r="16" spans="1:16" ht="17.100000000000001" customHeight="1" x14ac:dyDescent="0.25">
      <c r="A16" s="65">
        <v>11</v>
      </c>
      <c r="B16" s="65" t="s">
        <v>98</v>
      </c>
      <c r="C16" s="65" t="s">
        <v>99</v>
      </c>
      <c r="D16" s="66"/>
      <c r="E16" s="74">
        <v>5.4</v>
      </c>
      <c r="F16" s="75">
        <v>169635</v>
      </c>
      <c r="G16" s="77">
        <f t="shared" si="8"/>
        <v>169635</v>
      </c>
      <c r="H16" s="78">
        <f t="shared" si="0"/>
        <v>0</v>
      </c>
      <c r="I16" s="78">
        <f t="shared" si="2"/>
        <v>0</v>
      </c>
      <c r="J16" s="79">
        <v>0</v>
      </c>
      <c r="K16" s="80">
        <f t="shared" si="3"/>
        <v>0</v>
      </c>
      <c r="L16" s="159">
        <f t="shared" si="1"/>
        <v>0</v>
      </c>
      <c r="M16" s="81">
        <f t="shared" si="4"/>
        <v>0.10999999999999999</v>
      </c>
      <c r="N16" s="82">
        <f t="shared" si="5"/>
        <v>0.10999999999999999</v>
      </c>
      <c r="O16" s="83">
        <f t="shared" si="6"/>
        <v>0.10999999999999999</v>
      </c>
      <c r="P16" s="44">
        <f t="shared" si="7"/>
        <v>0.10999999999999999</v>
      </c>
    </row>
    <row r="17" spans="1:16" ht="17.100000000000001" customHeight="1" x14ac:dyDescent="0.25">
      <c r="A17" s="65">
        <v>12</v>
      </c>
      <c r="B17" s="65" t="s">
        <v>100</v>
      </c>
      <c r="C17" s="65" t="s">
        <v>101</v>
      </c>
      <c r="D17" s="66"/>
      <c r="E17" s="74">
        <v>6.6</v>
      </c>
      <c r="F17" s="75">
        <v>226859</v>
      </c>
      <c r="G17" s="77">
        <f t="shared" si="8"/>
        <v>226859</v>
      </c>
      <c r="H17" s="78">
        <f t="shared" si="0"/>
        <v>0</v>
      </c>
      <c r="I17" s="78">
        <f t="shared" si="2"/>
        <v>0</v>
      </c>
      <c r="J17" s="79">
        <v>0</v>
      </c>
      <c r="K17" s="80">
        <f t="shared" si="3"/>
        <v>0</v>
      </c>
      <c r="L17" s="159">
        <f t="shared" si="1"/>
        <v>0</v>
      </c>
      <c r="M17" s="81">
        <f t="shared" si="4"/>
        <v>0.11999999999999998</v>
      </c>
      <c r="N17" s="82">
        <f t="shared" si="5"/>
        <v>0.11999999999999998</v>
      </c>
      <c r="O17" s="83">
        <f t="shared" si="6"/>
        <v>0.11999999999999998</v>
      </c>
      <c r="P17" s="44">
        <f t="shared" si="7"/>
        <v>0.11999999999999998</v>
      </c>
    </row>
    <row r="18" spans="1:16" ht="17.100000000000001" customHeight="1" x14ac:dyDescent="0.25">
      <c r="A18" s="65">
        <v>13</v>
      </c>
      <c r="B18" s="65" t="s">
        <v>102</v>
      </c>
      <c r="C18" s="65" t="s">
        <v>103</v>
      </c>
      <c r="D18" s="66"/>
      <c r="E18" s="74">
        <v>6.6</v>
      </c>
      <c r="F18" s="75">
        <v>236320</v>
      </c>
      <c r="G18" s="77">
        <f>F18</f>
        <v>236320</v>
      </c>
      <c r="H18" s="78">
        <f t="shared" si="0"/>
        <v>0</v>
      </c>
      <c r="I18" s="78">
        <f t="shared" si="2"/>
        <v>0</v>
      </c>
      <c r="J18" s="79">
        <v>0</v>
      </c>
      <c r="K18" s="80">
        <f t="shared" si="3"/>
        <v>0</v>
      </c>
      <c r="L18" s="159">
        <f t="shared" si="1"/>
        <v>0</v>
      </c>
      <c r="M18" s="81">
        <f t="shared" si="4"/>
        <v>0.12999999999999998</v>
      </c>
      <c r="N18" s="82">
        <f t="shared" si="5"/>
        <v>0.12999999999999998</v>
      </c>
      <c r="O18" s="83">
        <f t="shared" si="6"/>
        <v>0.12999999999999998</v>
      </c>
      <c r="P18" s="44">
        <f t="shared" si="7"/>
        <v>0.12999999999999998</v>
      </c>
    </row>
    <row r="19" spans="1:16" ht="17.100000000000001" customHeight="1" x14ac:dyDescent="0.25">
      <c r="A19" s="65">
        <v>14</v>
      </c>
      <c r="B19" s="65" t="s">
        <v>104</v>
      </c>
      <c r="C19" s="65" t="s">
        <v>105</v>
      </c>
      <c r="D19" s="66"/>
      <c r="E19" s="74">
        <v>5.4</v>
      </c>
      <c r="F19" s="75">
        <v>337128</v>
      </c>
      <c r="G19" s="77"/>
      <c r="H19" s="78">
        <f t="shared" si="0"/>
        <v>337128</v>
      </c>
      <c r="I19" s="78">
        <f t="shared" si="2"/>
        <v>10113.84</v>
      </c>
      <c r="J19" s="79">
        <v>0</v>
      </c>
      <c r="K19" s="80">
        <f t="shared" si="3"/>
        <v>0</v>
      </c>
      <c r="L19" s="159">
        <f t="shared" si="1"/>
        <v>0</v>
      </c>
      <c r="M19" s="81">
        <f t="shared" si="4"/>
        <v>347242.14</v>
      </c>
      <c r="N19" s="82">
        <f t="shared" si="5"/>
        <v>368077.14</v>
      </c>
      <c r="O19" s="83">
        <f t="shared" si="6"/>
        <v>357659.14</v>
      </c>
      <c r="P19" s="44">
        <f t="shared" si="7"/>
        <v>0.13999999999999999</v>
      </c>
    </row>
    <row r="20" spans="1:16" ht="17.100000000000001" customHeight="1" x14ac:dyDescent="0.25">
      <c r="A20" s="65">
        <v>15</v>
      </c>
      <c r="B20" s="65" t="s">
        <v>106</v>
      </c>
      <c r="C20" s="65" t="s">
        <v>107</v>
      </c>
      <c r="D20" s="66"/>
      <c r="E20" s="74">
        <v>5.4</v>
      </c>
      <c r="F20" s="75">
        <v>308054</v>
      </c>
      <c r="G20" s="77">
        <f>F20</f>
        <v>308054</v>
      </c>
      <c r="H20" s="78">
        <f t="shared" si="0"/>
        <v>0</v>
      </c>
      <c r="I20" s="78">
        <f t="shared" si="2"/>
        <v>0</v>
      </c>
      <c r="J20" s="79">
        <v>0</v>
      </c>
      <c r="K20" s="80">
        <f t="shared" si="3"/>
        <v>0</v>
      </c>
      <c r="L20" s="159">
        <f t="shared" si="1"/>
        <v>0</v>
      </c>
      <c r="M20" s="81">
        <f t="shared" si="4"/>
        <v>0.15</v>
      </c>
      <c r="N20" s="82">
        <f t="shared" si="5"/>
        <v>0.15</v>
      </c>
      <c r="O20" s="83">
        <f t="shared" si="6"/>
        <v>0.15</v>
      </c>
      <c r="P20" s="44">
        <f t="shared" si="7"/>
        <v>0.15</v>
      </c>
    </row>
    <row r="21" spans="1:16" ht="17.100000000000001" customHeight="1" x14ac:dyDescent="0.25">
      <c r="A21" s="65">
        <v>16</v>
      </c>
      <c r="B21" s="65" t="s">
        <v>108</v>
      </c>
      <c r="C21" s="65" t="s">
        <v>89</v>
      </c>
      <c r="D21" s="65"/>
      <c r="E21" s="74">
        <v>0.7</v>
      </c>
      <c r="F21" s="75">
        <v>20300</v>
      </c>
      <c r="G21" s="77">
        <f>F21</f>
        <v>20300</v>
      </c>
      <c r="H21" s="78">
        <f t="shared" si="0"/>
        <v>0</v>
      </c>
      <c r="I21" s="78">
        <f t="shared" si="2"/>
        <v>0</v>
      </c>
      <c r="J21" s="79">
        <v>0</v>
      </c>
      <c r="K21" s="80">
        <f t="shared" si="3"/>
        <v>0</v>
      </c>
      <c r="L21" s="159">
        <f t="shared" si="1"/>
        <v>0</v>
      </c>
      <c r="M21" s="81">
        <f t="shared" si="4"/>
        <v>0.16</v>
      </c>
      <c r="N21" s="82">
        <f t="shared" si="5"/>
        <v>0.16</v>
      </c>
      <c r="O21" s="83">
        <f t="shared" si="6"/>
        <v>0.16</v>
      </c>
      <c r="P21" s="44">
        <f t="shared" si="7"/>
        <v>0.16</v>
      </c>
    </row>
    <row r="22" spans="1:16" ht="17.100000000000001" customHeight="1" x14ac:dyDescent="0.25">
      <c r="A22" s="65">
        <v>17</v>
      </c>
      <c r="B22" s="65" t="s">
        <v>109</v>
      </c>
      <c r="C22" s="65" t="s">
        <v>79</v>
      </c>
      <c r="D22" s="66"/>
      <c r="E22" s="74">
        <v>0.6</v>
      </c>
      <c r="F22" s="76">
        <v>17400</v>
      </c>
      <c r="G22" s="77"/>
      <c r="H22" s="78">
        <f t="shared" si="0"/>
        <v>17400</v>
      </c>
      <c r="I22" s="78">
        <f t="shared" si="2"/>
        <v>522</v>
      </c>
      <c r="J22" s="79">
        <v>0</v>
      </c>
      <c r="K22" s="80">
        <f t="shared" si="3"/>
        <v>0</v>
      </c>
      <c r="L22" s="159">
        <f t="shared" si="1"/>
        <v>0</v>
      </c>
      <c r="M22" s="81">
        <f t="shared" si="4"/>
        <v>17922.169999999998</v>
      </c>
      <c r="N22" s="82">
        <f t="shared" si="5"/>
        <v>18998.169999999998</v>
      </c>
      <c r="O22" s="83">
        <f t="shared" si="6"/>
        <v>18460.169999999998</v>
      </c>
      <c r="P22" s="44">
        <f t="shared" si="7"/>
        <v>0.17</v>
      </c>
    </row>
    <row r="23" spans="1:16" ht="17.100000000000001" customHeight="1" x14ac:dyDescent="0.25">
      <c r="A23" s="65">
        <v>18</v>
      </c>
      <c r="B23" s="65" t="s">
        <v>110</v>
      </c>
      <c r="C23" s="65" t="s">
        <v>79</v>
      </c>
      <c r="D23" s="124"/>
      <c r="E23" s="74">
        <v>0.6</v>
      </c>
      <c r="F23" s="75">
        <v>17400</v>
      </c>
      <c r="G23" s="77">
        <f t="shared" si="8"/>
        <v>17400</v>
      </c>
      <c r="H23" s="78">
        <f t="shared" si="0"/>
        <v>0</v>
      </c>
      <c r="I23" s="78">
        <f t="shared" si="2"/>
        <v>0</v>
      </c>
      <c r="J23" s="79">
        <v>0</v>
      </c>
      <c r="K23" s="80">
        <f t="shared" si="3"/>
        <v>0</v>
      </c>
      <c r="L23" s="159">
        <f t="shared" si="1"/>
        <v>0</v>
      </c>
      <c r="M23" s="81">
        <f t="shared" si="4"/>
        <v>0.18000000000000002</v>
      </c>
      <c r="N23" s="82">
        <f t="shared" si="5"/>
        <v>0.18000000000000002</v>
      </c>
      <c r="O23" s="83">
        <f t="shared" si="6"/>
        <v>0.18000000000000002</v>
      </c>
      <c r="P23" s="44">
        <f t="shared" si="7"/>
        <v>0.18000000000000002</v>
      </c>
    </row>
    <row r="24" spans="1:16" x14ac:dyDescent="0.25">
      <c r="A24" s="65">
        <v>19</v>
      </c>
      <c r="B24" s="65" t="s">
        <v>111</v>
      </c>
      <c r="C24" s="65" t="s">
        <v>101</v>
      </c>
      <c r="D24" s="66"/>
      <c r="E24" s="74">
        <v>0.6</v>
      </c>
      <c r="F24" s="75">
        <v>17400</v>
      </c>
      <c r="G24" s="149"/>
      <c r="H24" s="78">
        <f t="shared" si="0"/>
        <v>17400</v>
      </c>
      <c r="I24" s="78">
        <f t="shared" si="2"/>
        <v>522</v>
      </c>
      <c r="J24" s="79"/>
      <c r="K24" s="80">
        <f t="shared" si="3"/>
        <v>0</v>
      </c>
      <c r="L24" s="159">
        <f t="shared" si="1"/>
        <v>0</v>
      </c>
      <c r="M24" s="81">
        <f t="shared" si="4"/>
        <v>17922.189999999999</v>
      </c>
      <c r="N24" s="82"/>
      <c r="O24" s="83">
        <f t="shared" si="6"/>
        <v>18460.189999999999</v>
      </c>
      <c r="P24" s="44">
        <f>P23+0.01</f>
        <v>0.19000000000000003</v>
      </c>
    </row>
    <row r="25" spans="1:16" x14ac:dyDescent="0.25">
      <c r="A25" s="84">
        <v>20</v>
      </c>
      <c r="B25" s="84" t="s">
        <v>112</v>
      </c>
      <c r="C25" s="65" t="s">
        <v>85</v>
      </c>
      <c r="D25" s="66"/>
      <c r="E25" s="74">
        <v>0.6</v>
      </c>
      <c r="F25" s="86">
        <v>17400</v>
      </c>
      <c r="G25" s="87"/>
      <c r="H25" s="78">
        <f t="shared" si="0"/>
        <v>17400</v>
      </c>
      <c r="I25" s="78">
        <f t="shared" si="2"/>
        <v>522</v>
      </c>
      <c r="J25" s="79"/>
      <c r="K25" s="80">
        <f t="shared" si="3"/>
        <v>0</v>
      </c>
      <c r="L25" s="159">
        <f t="shared" si="1"/>
        <v>0</v>
      </c>
      <c r="M25" s="81">
        <f t="shared" si="4"/>
        <v>17922</v>
      </c>
      <c r="N25" s="82"/>
      <c r="O25" s="83">
        <f t="shared" si="6"/>
        <v>18460</v>
      </c>
      <c r="P25" s="44"/>
    </row>
    <row r="26" spans="1:16" x14ac:dyDescent="0.25">
      <c r="A26" s="84">
        <v>21</v>
      </c>
      <c r="B26" s="84" t="s">
        <v>113</v>
      </c>
      <c r="C26" s="67" t="s">
        <v>97</v>
      </c>
      <c r="D26" s="66"/>
      <c r="E26" s="74">
        <v>0.3</v>
      </c>
      <c r="F26" s="86">
        <v>8700</v>
      </c>
      <c r="G26" s="87"/>
      <c r="H26" s="78">
        <f t="shared" si="0"/>
        <v>8700</v>
      </c>
      <c r="I26" s="78">
        <f t="shared" si="2"/>
        <v>261</v>
      </c>
      <c r="J26" s="79"/>
      <c r="K26" s="80">
        <f t="shared" si="3"/>
        <v>0</v>
      </c>
      <c r="L26" s="159">
        <f t="shared" si="1"/>
        <v>0</v>
      </c>
      <c r="M26" s="81">
        <f t="shared" si="4"/>
        <v>8961</v>
      </c>
      <c r="N26" s="82"/>
      <c r="O26" s="83">
        <f t="shared" si="6"/>
        <v>9230</v>
      </c>
      <c r="P26" s="44"/>
    </row>
    <row r="27" spans="1:16" x14ac:dyDescent="0.25">
      <c r="A27" s="85">
        <v>22</v>
      </c>
      <c r="B27" s="85" t="s">
        <v>114</v>
      </c>
      <c r="C27" s="65" t="s">
        <v>99</v>
      </c>
      <c r="D27" s="66"/>
      <c r="E27" s="74">
        <v>0.3</v>
      </c>
      <c r="F27" s="86">
        <v>8700</v>
      </c>
      <c r="G27" s="87"/>
      <c r="H27" s="78">
        <f t="shared" si="0"/>
        <v>8700</v>
      </c>
      <c r="I27" s="78">
        <f t="shared" si="2"/>
        <v>261</v>
      </c>
      <c r="J27" s="79"/>
      <c r="K27" s="80">
        <f t="shared" si="3"/>
        <v>0</v>
      </c>
      <c r="L27" s="159">
        <f t="shared" si="1"/>
        <v>0</v>
      </c>
      <c r="M27" s="81">
        <f t="shared" si="4"/>
        <v>8961</v>
      </c>
      <c r="N27" s="82"/>
      <c r="O27" s="83">
        <f t="shared" si="6"/>
        <v>9230</v>
      </c>
      <c r="P27" s="44"/>
    </row>
    <row r="28" spans="1:16" ht="17.100000000000001" customHeight="1" thickBot="1" x14ac:dyDescent="0.3">
      <c r="A28" s="65">
        <v>23</v>
      </c>
      <c r="B28" s="88" t="s">
        <v>115</v>
      </c>
      <c r="C28" s="88" t="s">
        <v>116</v>
      </c>
      <c r="D28" s="88"/>
      <c r="E28" s="74">
        <v>0.3</v>
      </c>
      <c r="F28" s="86">
        <v>8700</v>
      </c>
      <c r="G28" s="87"/>
      <c r="H28" s="78">
        <f t="shared" si="0"/>
        <v>8700</v>
      </c>
      <c r="I28" s="78">
        <f t="shared" si="2"/>
        <v>261</v>
      </c>
      <c r="J28" s="79"/>
      <c r="K28" s="80">
        <f t="shared" si="3"/>
        <v>0</v>
      </c>
      <c r="L28" s="159">
        <f t="shared" si="1"/>
        <v>0</v>
      </c>
      <c r="M28" s="81">
        <f t="shared" si="4"/>
        <v>8961</v>
      </c>
      <c r="N28" s="89"/>
      <c r="O28" s="83">
        <f t="shared" si="6"/>
        <v>9230</v>
      </c>
      <c r="P28" s="44"/>
    </row>
    <row r="29" spans="1:16" ht="17.100000000000001" customHeight="1" thickBot="1" x14ac:dyDescent="0.3">
      <c r="A29" s="90"/>
      <c r="B29" s="90"/>
      <c r="C29" s="91"/>
      <c r="D29" s="91"/>
      <c r="E29" s="178">
        <f>SUM(E6:E28)</f>
        <v>99.999999999999986</v>
      </c>
      <c r="F29" s="54">
        <f>SUM(F6:F28)</f>
        <v>4064598</v>
      </c>
      <c r="G29" s="63">
        <f>SUM(G6:G28)</f>
        <v>3046089</v>
      </c>
      <c r="H29" s="63">
        <f>SUM(H6:H28)</f>
        <v>1018509</v>
      </c>
      <c r="I29" s="63">
        <f t="shared" ref="I29:N29" si="9">SUM(I6:I28)</f>
        <v>30555.27</v>
      </c>
      <c r="J29" s="63">
        <f t="shared" si="9"/>
        <v>0</v>
      </c>
      <c r="K29" s="129">
        <f t="shared" si="9"/>
        <v>0</v>
      </c>
      <c r="L29" s="63">
        <f t="shared" si="9"/>
        <v>0</v>
      </c>
      <c r="M29" s="92">
        <f>SUM(M6:M23)</f>
        <v>986338.71000000008</v>
      </c>
      <c r="N29" s="92">
        <f t="shared" si="9"/>
        <v>1045521.7100000001</v>
      </c>
      <c r="O29" s="92">
        <f>SUM(O6:O28)</f>
        <v>1080539.8999999999</v>
      </c>
    </row>
    <row r="30" spans="1:16" ht="12.75" customHeight="1" x14ac:dyDescent="0.25">
      <c r="C30" s="51"/>
      <c r="D30" s="51"/>
    </row>
    <row r="31" spans="1:16" hidden="1" x14ac:dyDescent="0.25"/>
    <row r="32" spans="1:16" ht="9" customHeight="1" x14ac:dyDescent="0.25">
      <c r="C32" s="182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D32" s="182"/>
      <c r="E32" s="182"/>
      <c r="F32" s="182"/>
      <c r="G32" s="182"/>
      <c r="H32" s="182"/>
      <c r="I32" s="182"/>
      <c r="J32" s="182"/>
      <c r="K32" s="182"/>
      <c r="L32" s="182"/>
      <c r="M32" s="182"/>
    </row>
    <row r="33" spans="3:13" ht="12" hidden="1" customHeight="1" x14ac:dyDescent="0.25"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</row>
    <row r="34" spans="3:13" ht="12" hidden="1" customHeight="1" x14ac:dyDescent="0.25"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</row>
    <row r="35" spans="3:13" ht="12" hidden="1" customHeight="1" x14ac:dyDescent="0.25"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</row>
    <row r="36" spans="3:13" ht="12" hidden="1" customHeight="1" x14ac:dyDescent="0.25"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</row>
    <row r="37" spans="3:13" ht="67.5" customHeight="1" x14ac:dyDescent="0.25"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</row>
  </sheetData>
  <mergeCells count="15">
    <mergeCell ref="E1:M1"/>
    <mergeCell ref="I4:I5"/>
    <mergeCell ref="F4:F5"/>
    <mergeCell ref="N4:N5"/>
    <mergeCell ref="G4:G5"/>
    <mergeCell ref="H4:H5"/>
    <mergeCell ref="J4:J5"/>
    <mergeCell ref="K4:K5"/>
    <mergeCell ref="L4:L5"/>
    <mergeCell ref="O4:O5"/>
    <mergeCell ref="C32:M37"/>
    <mergeCell ref="D4:D5"/>
    <mergeCell ref="A4:A5"/>
    <mergeCell ref="C4:C5"/>
    <mergeCell ref="E4:E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5" x14ac:dyDescent="0.25"/>
  <sheetData>
    <row r="5" spans="3:5" x14ac:dyDescent="0.25">
      <c r="C5" s="175" t="s">
        <v>67</v>
      </c>
      <c r="E5" t="s">
        <v>68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2025-10-03T14:55:56Z</cp:lastPrinted>
  <dcterms:created xsi:type="dcterms:W3CDTF">2023-09-17T12:29:07Z</dcterms:created>
  <dcterms:modified xsi:type="dcterms:W3CDTF">2025-10-30T14:52:38Z</dcterms:modified>
</cp:coreProperties>
</file>