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225"/>
  </bookViews>
  <sheets>
    <sheet name="Planilla" sheetId="1" r:id="rId1"/>
    <sheet name="Gastos" sheetId="2" r:id="rId2"/>
  </sheets>
  <definedNames>
    <definedName name="_xlnm.Print_Area" localSheetId="1">Gastos!$A$1:$H$155</definedName>
    <definedName name="_xlnm.Print_Area" localSheetId="0">Planilla!$A$1:$O$45</definedName>
  </definedNames>
  <calcPr calcId="144525"/>
</workbook>
</file>

<file path=xl/calcChain.xml><?xml version="1.0" encoding="utf-8"?>
<calcChain xmlns="http://schemas.openxmlformats.org/spreadsheetml/2006/main">
  <c r="H110" i="2" l="1"/>
  <c r="H128" i="2"/>
  <c r="G25" i="1" l="1"/>
  <c r="G9" i="1"/>
  <c r="G35" i="1"/>
  <c r="G12" i="1"/>
  <c r="G42" i="1"/>
  <c r="G18" i="1"/>
  <c r="G37" i="1"/>
  <c r="G15" i="1"/>
  <c r="H66" i="2"/>
  <c r="G41" i="1" l="1"/>
  <c r="B7" i="1" l="1"/>
  <c r="G24" i="1" l="1"/>
  <c r="G23" i="1"/>
  <c r="G36" i="1" l="1"/>
  <c r="G34" i="1"/>
  <c r="G39" i="1"/>
  <c r="H67" i="2"/>
  <c r="H41" i="2" l="1"/>
  <c r="D146" i="2"/>
  <c r="H127" i="2" s="1"/>
  <c r="G29" i="1"/>
  <c r="G27" i="1" l="1"/>
  <c r="H100" i="2" l="1"/>
  <c r="H133" i="2" s="1"/>
  <c r="B35" i="2"/>
  <c r="B36" i="2" s="1"/>
  <c r="G13" i="1" l="1"/>
  <c r="G22" i="1"/>
  <c r="G31" i="1"/>
  <c r="H9" i="1" l="1"/>
  <c r="C153" i="2" l="1"/>
  <c r="B5" i="1" l="1"/>
  <c r="J1" i="1"/>
  <c r="G1" i="1"/>
  <c r="G16" i="1"/>
  <c r="H19" i="2" l="1"/>
  <c r="H80" i="2" l="1"/>
  <c r="H48" i="2" l="1"/>
  <c r="G38" i="1" l="1"/>
  <c r="G30" i="1"/>
  <c r="H108" i="2" l="1"/>
  <c r="H72" i="2"/>
  <c r="H76" i="2"/>
  <c r="H32" i="2"/>
  <c r="H27" i="2"/>
  <c r="K43" i="1"/>
  <c r="F43" i="1"/>
  <c r="E43" i="1"/>
  <c r="H41" i="1"/>
  <c r="I41" i="1" s="1"/>
  <c r="J40" i="1"/>
  <c r="H40" i="1"/>
  <c r="I40" i="1" s="1"/>
  <c r="H39" i="1"/>
  <c r="J38" i="1"/>
  <c r="H38" i="1"/>
  <c r="J37" i="1"/>
  <c r="J36" i="1"/>
  <c r="H36" i="1"/>
  <c r="J35" i="1"/>
  <c r="J34" i="1"/>
  <c r="H34" i="1"/>
  <c r="I34" i="1" s="1"/>
  <c r="J33" i="1"/>
  <c r="H33" i="1"/>
  <c r="I33" i="1" s="1"/>
  <c r="A33" i="1"/>
  <c r="A34" i="1" s="1"/>
  <c r="A35" i="1" s="1"/>
  <c r="A36" i="1" s="1"/>
  <c r="A37" i="1" s="1"/>
  <c r="A38" i="1" s="1"/>
  <c r="A39" i="1" s="1"/>
  <c r="A40" i="1" s="1"/>
  <c r="A41" i="1" s="1"/>
  <c r="A42" i="1" s="1"/>
  <c r="J32" i="1"/>
  <c r="J31" i="1"/>
  <c r="H31" i="1"/>
  <c r="J30" i="1"/>
  <c r="J29" i="1"/>
  <c r="J28" i="1"/>
  <c r="H28" i="1"/>
  <c r="J27" i="1"/>
  <c r="J26" i="1"/>
  <c r="J25" i="1"/>
  <c r="J24" i="1"/>
  <c r="J23" i="1"/>
  <c r="H23" i="1"/>
  <c r="J22" i="1"/>
  <c r="H22" i="1"/>
  <c r="I22" i="1" s="1"/>
  <c r="J21" i="1"/>
  <c r="H21" i="1"/>
  <c r="I21" i="1" s="1"/>
  <c r="J20" i="1"/>
  <c r="H20" i="1"/>
  <c r="J19" i="1"/>
  <c r="J18" i="1"/>
  <c r="H18" i="1"/>
  <c r="J17" i="1"/>
  <c r="H17" i="1"/>
  <c r="I17" i="1" s="1"/>
  <c r="J16" i="1"/>
  <c r="H16" i="1"/>
  <c r="I16" i="1" s="1"/>
  <c r="J15" i="1"/>
  <c r="J14" i="1"/>
  <c r="H14" i="1"/>
  <c r="J13" i="1"/>
  <c r="J12" i="1"/>
  <c r="J11" i="1"/>
  <c r="G10" i="1"/>
  <c r="J10" i="1" s="1"/>
  <c r="J9" i="1"/>
  <c r="M41" i="1"/>
  <c r="L41" i="1"/>
  <c r="H113" i="2" l="1"/>
  <c r="H116" i="2" s="1"/>
  <c r="H126" i="2" s="1"/>
  <c r="H32" i="1"/>
  <c r="I32" i="1" s="1"/>
  <c r="L15" i="1"/>
  <c r="L22" i="1"/>
  <c r="L29" i="1"/>
  <c r="L36" i="1"/>
  <c r="L42" i="1"/>
  <c r="L9" i="1"/>
  <c r="L11" i="1"/>
  <c r="L25" i="1"/>
  <c r="L10" i="1"/>
  <c r="L12" i="1"/>
  <c r="L18" i="1"/>
  <c r="L24" i="1"/>
  <c r="L26" i="1"/>
  <c r="L35" i="1"/>
  <c r="L38" i="1"/>
  <c r="L13" i="1"/>
  <c r="L19" i="1"/>
  <c r="L23" i="1"/>
  <c r="L27" i="1"/>
  <c r="L14" i="1"/>
  <c r="L17" i="1"/>
  <c r="L20" i="1"/>
  <c r="L28" i="1"/>
  <c r="L30" i="1"/>
  <c r="L37" i="1"/>
  <c r="J41" i="1"/>
  <c r="N41" i="1" s="1"/>
  <c r="O41" i="1" s="1"/>
  <c r="H15" i="1"/>
  <c r="I15" i="1" s="1"/>
  <c r="H35" i="1"/>
  <c r="I35" i="1" s="1"/>
  <c r="J39" i="1"/>
  <c r="H115" i="2"/>
  <c r="I39" i="1"/>
  <c r="M14" i="1"/>
  <c r="M15" i="1"/>
  <c r="M20" i="1"/>
  <c r="M28" i="1"/>
  <c r="H29" i="1"/>
  <c r="M29" i="1"/>
  <c r="H30" i="1"/>
  <c r="M30" i="1"/>
  <c r="I31" i="1"/>
  <c r="M35" i="1"/>
  <c r="M36" i="1"/>
  <c r="M42" i="1"/>
  <c r="M18" i="1"/>
  <c r="M19" i="1"/>
  <c r="M23" i="1"/>
  <c r="M24" i="1"/>
  <c r="H25" i="1"/>
  <c r="M25" i="1"/>
  <c r="M26" i="1"/>
  <c r="H27" i="1"/>
  <c r="M27" i="1"/>
  <c r="I28" i="1"/>
  <c r="I36" i="1"/>
  <c r="H37" i="1"/>
  <c r="M37" i="1"/>
  <c r="M38" i="1"/>
  <c r="L39" i="1"/>
  <c r="L40" i="1"/>
  <c r="G43" i="1"/>
  <c r="H124" i="2" s="1"/>
  <c r="M9" i="1"/>
  <c r="H10" i="1"/>
  <c r="M10" i="1"/>
  <c r="H11" i="1"/>
  <c r="M11" i="1"/>
  <c r="H12" i="1"/>
  <c r="M12" i="1"/>
  <c r="H13" i="1"/>
  <c r="M13" i="1"/>
  <c r="I14" i="1"/>
  <c r="H19" i="1"/>
  <c r="I20" i="1"/>
  <c r="H24" i="1"/>
  <c r="H26" i="1"/>
  <c r="L16" i="1"/>
  <c r="M17" i="1"/>
  <c r="I18" i="1"/>
  <c r="L21" i="1"/>
  <c r="M22" i="1"/>
  <c r="I23" i="1"/>
  <c r="L31" i="1"/>
  <c r="L32" i="1"/>
  <c r="L33" i="1"/>
  <c r="L34" i="1"/>
  <c r="I38" i="1"/>
  <c r="M39" i="1"/>
  <c r="M40" i="1"/>
  <c r="M16" i="1"/>
  <c r="M21" i="1"/>
  <c r="M31" i="1"/>
  <c r="M32" i="1"/>
  <c r="M33" i="1"/>
  <c r="M34" i="1"/>
  <c r="N17" i="1" l="1"/>
  <c r="O17" i="1" s="1"/>
  <c r="H134" i="2"/>
  <c r="H114" i="2"/>
  <c r="N20" i="1"/>
  <c r="O20" i="1" s="1"/>
  <c r="N22" i="1"/>
  <c r="O22" i="1" s="1"/>
  <c r="N23" i="1"/>
  <c r="O23" i="1" s="1"/>
  <c r="H42" i="1"/>
  <c r="I42" i="1" s="1"/>
  <c r="J42" i="1"/>
  <c r="J43" i="1" s="1"/>
  <c r="N32" i="1"/>
  <c r="O32" i="1" s="1"/>
  <c r="N38" i="1"/>
  <c r="O38" i="1" s="1"/>
  <c r="N18" i="1"/>
  <c r="O18" i="1" s="1"/>
  <c r="N40" i="1"/>
  <c r="O40" i="1" s="1"/>
  <c r="N36" i="1"/>
  <c r="O36" i="1" s="1"/>
  <c r="L43" i="1"/>
  <c r="N14" i="1"/>
  <c r="O14" i="1" s="1"/>
  <c r="N34" i="1"/>
  <c r="O34" i="1" s="1"/>
  <c r="N39" i="1"/>
  <c r="O39" i="1" s="1"/>
  <c r="N35" i="1"/>
  <c r="O35" i="1" s="1"/>
  <c r="N33" i="1"/>
  <c r="O33" i="1" s="1"/>
  <c r="N28" i="1"/>
  <c r="O28" i="1" s="1"/>
  <c r="N15" i="1"/>
  <c r="O15" i="1" s="1"/>
  <c r="N21" i="1"/>
  <c r="O21" i="1" s="1"/>
  <c r="N31" i="1"/>
  <c r="O31" i="1" s="1"/>
  <c r="I13" i="1"/>
  <c r="N13" i="1" s="1"/>
  <c r="O13" i="1" s="1"/>
  <c r="I11" i="1"/>
  <c r="N11" i="1" s="1"/>
  <c r="O11" i="1" s="1"/>
  <c r="I9" i="1"/>
  <c r="N9" i="1" s="1"/>
  <c r="I27" i="1"/>
  <c r="N27" i="1" s="1"/>
  <c r="O27" i="1" s="1"/>
  <c r="I29" i="1"/>
  <c r="N29" i="1" s="1"/>
  <c r="O29" i="1" s="1"/>
  <c r="N16" i="1"/>
  <c r="O16" i="1" s="1"/>
  <c r="I26" i="1"/>
  <c r="N26" i="1" s="1"/>
  <c r="O26" i="1" s="1"/>
  <c r="I12" i="1"/>
  <c r="N12" i="1" s="1"/>
  <c r="O12" i="1" s="1"/>
  <c r="I10" i="1"/>
  <c r="N10" i="1" s="1"/>
  <c r="O10" i="1" s="1"/>
  <c r="I30" i="1"/>
  <c r="N30" i="1" s="1"/>
  <c r="O30" i="1" s="1"/>
  <c r="I19" i="1"/>
  <c r="N19" i="1" s="1"/>
  <c r="O19" i="1" s="1"/>
  <c r="I24" i="1"/>
  <c r="N24" i="1" s="1"/>
  <c r="O24" i="1" s="1"/>
  <c r="M43" i="1"/>
  <c r="I37" i="1"/>
  <c r="N37" i="1" s="1"/>
  <c r="O37" i="1" s="1"/>
  <c r="I25" i="1"/>
  <c r="N25" i="1" s="1"/>
  <c r="O25" i="1" s="1"/>
  <c r="H43" i="1" l="1"/>
  <c r="N42" i="1"/>
  <c r="O42" i="1" s="1"/>
  <c r="I43" i="1"/>
  <c r="O9" i="1" l="1"/>
  <c r="N43" i="1"/>
</calcChain>
</file>

<file path=xl/sharedStrings.xml><?xml version="1.0" encoding="utf-8"?>
<sst xmlns="http://schemas.openxmlformats.org/spreadsheetml/2006/main" count="202" uniqueCount="182">
  <si>
    <t xml:space="preserve">Banco Comafi:
Cons. Prop. Edif. Yrigoyen 9115 CUIT: 30-56975974-5
Cuenta Corriente: 1600-02921-7
CBU: 2990160716000292170004 Alias:  TORRE.MARTES.JABON </t>
  </si>
  <si>
    <t>ORDINARIOS:</t>
  </si>
  <si>
    <t>EXTRAORDINARIOS: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</si>
  <si>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</si>
  <si>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</si>
  <si>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</si>
  <si>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</si>
  <si>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</si>
  <si>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</si>
  <si>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</si>
  <si>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</si>
  <si>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</si>
  <si>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</si>
  <si>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</si>
  <si>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</si>
  <si>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1 ER VTO.</t>
  </si>
  <si>
    <t>2DO VTO.</t>
  </si>
  <si>
    <t>PB A</t>
  </si>
  <si>
    <t>Goldberg Luis</t>
  </si>
  <si>
    <t>1° A</t>
  </si>
  <si>
    <t>Basaldella Silvia</t>
  </si>
  <si>
    <t>1° B</t>
  </si>
  <si>
    <t>Walsh Carlos</t>
  </si>
  <si>
    <t>1° C</t>
  </si>
  <si>
    <t>Ponti Liliana</t>
  </si>
  <si>
    <t>1° D</t>
  </si>
  <si>
    <t>Raúl Benvenuto</t>
  </si>
  <si>
    <t>2°A</t>
  </si>
  <si>
    <t>Gonzalez Nuñez</t>
  </si>
  <si>
    <t>2° B</t>
  </si>
  <si>
    <t>Fernandez Sandra</t>
  </si>
  <si>
    <t>2°C</t>
  </si>
  <si>
    <t>Salomon Osvaldo</t>
  </si>
  <si>
    <t>2° D</t>
  </si>
  <si>
    <t>Rodriguez A.</t>
  </si>
  <si>
    <t>3° A</t>
  </si>
  <si>
    <t>3° B</t>
  </si>
  <si>
    <t>Capone Haydee</t>
  </si>
  <si>
    <t>3° C</t>
  </si>
  <si>
    <t>Bossi Juan Alberto</t>
  </si>
  <si>
    <t>4° A</t>
  </si>
  <si>
    <t>Marino Silvia</t>
  </si>
  <si>
    <t>4° B</t>
  </si>
  <si>
    <t>Spagnolo Gonzalo</t>
  </si>
  <si>
    <t>4° C</t>
  </si>
  <si>
    <t>Fresno Gabriel</t>
  </si>
  <si>
    <t>5° A</t>
  </si>
  <si>
    <t>Bellino Jorge</t>
  </si>
  <si>
    <t>5° B</t>
  </si>
  <si>
    <t>Heffel Lorena</t>
  </si>
  <si>
    <t>5° C</t>
  </si>
  <si>
    <t>Larocca Martha</t>
  </si>
  <si>
    <t>6° A</t>
  </si>
  <si>
    <t>Roperti Claudio</t>
  </si>
  <si>
    <t>6° B</t>
  </si>
  <si>
    <t>Sakugawa E.</t>
  </si>
  <si>
    <t>6° C</t>
  </si>
  <si>
    <t>Gomez Gabriela</t>
  </si>
  <si>
    <t>7° A</t>
  </si>
  <si>
    <t>Nora Palagi</t>
  </si>
  <si>
    <t>Guillermo y noelia</t>
  </si>
  <si>
    <t>7° B</t>
  </si>
  <si>
    <t>De Falco Alicia</t>
  </si>
  <si>
    <t>7° C</t>
  </si>
  <si>
    <t>Carballo Carolina S.</t>
  </si>
  <si>
    <t>8° A</t>
  </si>
  <si>
    <t>Haydee Cordal</t>
  </si>
  <si>
    <t>Victoria y agustin</t>
  </si>
  <si>
    <t>8° B</t>
  </si>
  <si>
    <t>Salvia</t>
  </si>
  <si>
    <t>Noelia</t>
  </si>
  <si>
    <t>8° C</t>
  </si>
  <si>
    <t>Bruno Liliana</t>
  </si>
  <si>
    <t>9° A</t>
  </si>
  <si>
    <t>Damian</t>
  </si>
  <si>
    <t>9° B</t>
  </si>
  <si>
    <t>Cariboni Marisa</t>
  </si>
  <si>
    <t>9° C</t>
  </si>
  <si>
    <t>Favio Felice</t>
  </si>
  <si>
    <t>Macarena</t>
  </si>
  <si>
    <t>9° D</t>
  </si>
  <si>
    <t>Vainorius Jose</t>
  </si>
  <si>
    <t>Romina</t>
  </si>
  <si>
    <t>10° A</t>
  </si>
  <si>
    <t>Cutrera/Almandoz</t>
  </si>
  <si>
    <t>10° B</t>
  </si>
  <si>
    <t>Alba Nuria</t>
  </si>
  <si>
    <t>10° C</t>
  </si>
  <si>
    <t>Marta</t>
  </si>
  <si>
    <t>Cel.</t>
  </si>
  <si>
    <t>1153202676 - Horarios de atencion: Lunes a Viernes de 10hs a 16hs</t>
  </si>
  <si>
    <t>e-mail:</t>
  </si>
  <si>
    <t>consorcioyrigoyen9115@gmail.com</t>
  </si>
  <si>
    <t>C.U.I.T:</t>
  </si>
  <si>
    <t>Administradora: CAROLINA CANCIANI</t>
  </si>
  <si>
    <t>MP 1148</t>
  </si>
  <si>
    <t>Doctor Melo 2958 - Lanus Oeste - Piso 8 -  con cita previa</t>
  </si>
  <si>
    <t>LIQUIDACION DE EXPENSAS</t>
  </si>
  <si>
    <t>CONSORCIO: ADMINISTRACION DE CONSORCIOS RC</t>
  </si>
  <si>
    <t>SE SOLICTA ENCARECIDAMENTE EL INFORMAR EL PAGO DE EXPENSAS VIA MAIL ADJUNTANDO COMPROBANTES DE PAGO CORRESPONDIENTES JUNTO A LA UF A LA QUE PERTENECE.</t>
  </si>
  <si>
    <t>1- SUELDO ENCARGADA</t>
  </si>
  <si>
    <t>TOTAL</t>
  </si>
  <si>
    <t>BONOS Y AJUSTES</t>
  </si>
  <si>
    <t>Gratificacion anual</t>
  </si>
  <si>
    <t>Deducciones</t>
  </si>
  <si>
    <t>Ajuste MARZO 2023</t>
  </si>
  <si>
    <t>TOTAL SAC</t>
  </si>
  <si>
    <t>2-CARGAS SOCIALES</t>
  </si>
  <si>
    <t xml:space="preserve">SUTHER </t>
  </si>
  <si>
    <t>SERACARH</t>
  </si>
  <si>
    <t xml:space="preserve">TOTAL </t>
  </si>
  <si>
    <t>3- SERVICIO PUBLICIO</t>
  </si>
  <si>
    <t xml:space="preserve">Metrogas </t>
  </si>
  <si>
    <t xml:space="preserve">AySa </t>
  </si>
  <si>
    <t>Cuenta de servicios Nro. 3882803</t>
  </si>
  <si>
    <t xml:space="preserve">Edesur </t>
  </si>
  <si>
    <t>Nro. De cliente: 01672813</t>
  </si>
  <si>
    <t>4- MANTENIMIENTO DE PARTES COMUNES</t>
  </si>
  <si>
    <t>5 - GASTO DE ADMINISTRACION</t>
  </si>
  <si>
    <t xml:space="preserve">Administracion Honorarios </t>
  </si>
  <si>
    <t>6- GASTOS BANCARIOS</t>
  </si>
  <si>
    <t>Gastos bancarios</t>
  </si>
  <si>
    <t>7- SEGUROS OBLIGATORIOS</t>
  </si>
  <si>
    <t>8- GASTOS VARIOS</t>
  </si>
  <si>
    <t>GASTOS EXTRAORDINARIOS</t>
  </si>
  <si>
    <t>TOTAL GASTOS EXTRAORDINARIOS:</t>
  </si>
  <si>
    <t>FONDO DE GASTOS ORDINARIOS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</si>
  <si>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</si>
  <si>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</si>
  <si>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</si>
  <si>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</si>
  <si>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</si>
  <si>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</si>
  <si>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>Saldo anterior</t>
  </si>
  <si>
    <t xml:space="preserve">Ingreso por pago de Expensas </t>
  </si>
  <si>
    <t xml:space="preserve">Ingreso por pago de expensas extraordinarias </t>
  </si>
  <si>
    <t>Depositos sin identificar</t>
  </si>
  <si>
    <t>Saldo al cierre</t>
  </si>
  <si>
    <t>CAJA DOLARES</t>
  </si>
  <si>
    <t>Delgado Matias</t>
  </si>
  <si>
    <t>Florencia</t>
  </si>
  <si>
    <t xml:space="preserve">Egresos por gastos mes </t>
  </si>
  <si>
    <t>Juan Pablo Fariña</t>
  </si>
  <si>
    <t>Sol Cortina y Facundo</t>
  </si>
  <si>
    <t>Mejias Leosmari</t>
  </si>
  <si>
    <t>Seguro obligatorio Mercantil andina poliza nro. 00170533</t>
  </si>
  <si>
    <t>Sguro La Holando Poliza accidente personal Sra Jimena Borges 601540.8</t>
  </si>
  <si>
    <t xml:space="preserve">FONDO DE GASTOS EXTRAORDINARIOS </t>
  </si>
  <si>
    <t>Redondeo</t>
  </si>
  <si>
    <t xml:space="preserve">Sueldo encargada - Jimena Borges </t>
  </si>
  <si>
    <t>Aisquel Santoyo Gimenez</t>
  </si>
  <si>
    <t>Depositos sin identificar de este mes</t>
  </si>
  <si>
    <t xml:space="preserve">Depositos sin identificar </t>
  </si>
  <si>
    <t>Gustavo padron Contador</t>
  </si>
  <si>
    <t>Punitorios mal cobrados</t>
  </si>
  <si>
    <t>Debito automatico</t>
  </si>
  <si>
    <t>Fernando tavella</t>
  </si>
  <si>
    <t>Mondo Jose Alberto</t>
  </si>
  <si>
    <t>Marcelina Valvuena</t>
  </si>
  <si>
    <t>Daniel Salguero</t>
  </si>
  <si>
    <t xml:space="preserve">JPL articulos de limpieza - Tranferencia </t>
  </si>
  <si>
    <t xml:space="preserve">FATHERY </t>
  </si>
  <si>
    <t>GASTO PARTICULAR</t>
  </si>
  <si>
    <t>Egreros gastos particulares</t>
  </si>
  <si>
    <t>Gastos part</t>
  </si>
  <si>
    <t>Fumigacion Lanus</t>
  </si>
  <si>
    <t>SRA ANA REEMPLAZO VACACIONES</t>
  </si>
  <si>
    <t xml:space="preserve">Merlina </t>
  </si>
  <si>
    <t>SAC</t>
  </si>
  <si>
    <t xml:space="preserve">Micaela </t>
  </si>
  <si>
    <t xml:space="preserve">Llaves mal cobradas </t>
  </si>
  <si>
    <t>PERIODO: ENERO</t>
  </si>
  <si>
    <t>Ajuste ENERO 2023</t>
  </si>
  <si>
    <t>MES DE ENERO</t>
  </si>
  <si>
    <t>REVISAR CABLEVISION QUE ESTE MES REPETIMOS EL MONTO DE DICIEMBRE</t>
  </si>
  <si>
    <t>ARCA 931</t>
  </si>
  <si>
    <t>Guillemi ascensores - MANTENIMIENTO - Ultimo abono de esta empresa</t>
  </si>
  <si>
    <t>Debito</t>
  </si>
  <si>
    <t>Agustin Plomero - reparacion caño cuota 1 de 3</t>
  </si>
  <si>
    <t>AUMENTADOS EN ENERO 2025</t>
  </si>
  <si>
    <t>VTO: 13/02</t>
  </si>
  <si>
    <t>Transferencia identificada 2b - ya imputada en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</si>
</sst>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"/>
    <numFmt numFmtId="166" formatCode="#,##0.0"/>
    <numFmt numFmtId="167" formatCode="[$-F800]dddd\,\ mmmm\ dd\,\ 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9"/>
      <color indexed="8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49">
    <xf numFmtId="0" fontId="0" fillId="0" borderId="0" xfId="0"/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/>
    </xf>
    <xf numFmtId="17" fontId="6" fillId="2" borderId="2" xfId="0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vertical="center" wrapText="1"/>
    </xf>
    <xf numFmtId="0" fontId="0" fillId="0" borderId="4" xfId="0" applyBorder="1"/>
    <xf numFmtId="0" fontId="5" fillId="0" borderId="4" xfId="0" applyFont="1" applyBorder="1"/>
    <xf numFmtId="0" fontId="0" fillId="0" borderId="5" xfId="0" applyBorder="1"/>
    <xf numFmtId="164" fontId="0" fillId="0" borderId="4" xfId="1" applyNumberFormat="1" applyFont="1" applyBorder="1"/>
    <xf numFmtId="0" fontId="7" fillId="0" borderId="4" xfId="0" applyFont="1" applyBorder="1"/>
    <xf numFmtId="0" fontId="8" fillId="0" borderId="4" xfId="0" applyFont="1" applyBorder="1"/>
    <xf numFmtId="0" fontId="5" fillId="3" borderId="4" xfId="0" applyFont="1" applyFill="1" applyBorder="1"/>
    <xf numFmtId="164" fontId="4" fillId="0" borderId="4" xfId="1" applyNumberFormat="1" applyFont="1" applyBorder="1"/>
    <xf numFmtId="0" fontId="9" fillId="0" borderId="4" xfId="0" applyFont="1" applyBorder="1"/>
    <xf numFmtId="0" fontId="4" fillId="0" borderId="4" xfId="0" applyFont="1" applyBorder="1"/>
    <xf numFmtId="0" fontId="10" fillId="0" borderId="4" xfId="0" applyFont="1" applyBorder="1" applyAlignment="1">
      <alignment vertical="center" wrapText="1"/>
    </xf>
    <xf numFmtId="44" fontId="0" fillId="0" borderId="5" xfId="1" applyFont="1" applyBorder="1"/>
    <xf numFmtId="44" fontId="5" fillId="0" borderId="4" xfId="1" applyFont="1" applyBorder="1" applyAlignment="1">
      <alignment horizontal="left"/>
    </xf>
    <xf numFmtId="44" fontId="4" fillId="0" borderId="4" xfId="1" applyFont="1" applyBorder="1" applyAlignment="1">
      <alignment horizontal="left"/>
    </xf>
    <xf numFmtId="44" fontId="0" fillId="0" borderId="4" xfId="1" applyFont="1" applyBorder="1"/>
    <xf numFmtId="44" fontId="0" fillId="0" borderId="5" xfId="1" applyNumberFormat="1" applyFont="1" applyBorder="1"/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164" fontId="4" fillId="2" borderId="14" xfId="1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right"/>
    </xf>
    <xf numFmtId="165" fontId="12" fillId="0" borderId="4" xfId="0" applyNumberFormat="1" applyFont="1" applyBorder="1" applyAlignment="1">
      <alignment horizontal="center"/>
    </xf>
    <xf numFmtId="0" fontId="13" fillId="0" borderId="17" xfId="0" applyFont="1" applyBorder="1"/>
    <xf numFmtId="0" fontId="14" fillId="0" borderId="17" xfId="0" applyFont="1" applyBorder="1"/>
    <xf numFmtId="10" fontId="15" fillId="0" borderId="18" xfId="0" applyNumberFormat="1" applyFont="1" applyFill="1" applyBorder="1" applyAlignment="1">
      <alignment horizontal="right" vertical="top" shrinkToFit="1"/>
    </xf>
    <xf numFmtId="44" fontId="0" fillId="0" borderId="16" xfId="1" applyFont="1" applyBorder="1"/>
    <xf numFmtId="164" fontId="16" fillId="3" borderId="16" xfId="1" applyNumberFormat="1" applyFont="1" applyFill="1" applyBorder="1"/>
    <xf numFmtId="164" fontId="0" fillId="0" borderId="16" xfId="1" applyNumberFormat="1" applyFont="1" applyBorder="1"/>
    <xf numFmtId="44" fontId="0" fillId="0" borderId="16" xfId="0" applyNumberFormat="1" applyBorder="1"/>
    <xf numFmtId="44" fontId="0" fillId="0" borderId="10" xfId="0" applyNumberFormat="1" applyBorder="1"/>
    <xf numFmtId="44" fontId="0" fillId="0" borderId="4" xfId="0" applyNumberFormat="1" applyBorder="1"/>
    <xf numFmtId="0" fontId="0" fillId="0" borderId="4" xfId="0" applyBorder="1" applyAlignment="1">
      <alignment horizontal="right"/>
    </xf>
    <xf numFmtId="164" fontId="16" fillId="3" borderId="4" xfId="1" applyNumberFormat="1" applyFont="1" applyFill="1" applyBorder="1"/>
    <xf numFmtId="166" fontId="12" fillId="0" borderId="4" xfId="0" applyNumberFormat="1" applyFont="1" applyBorder="1" applyAlignment="1">
      <alignment horizontal="center"/>
    </xf>
    <xf numFmtId="0" fontId="0" fillId="0" borderId="8" xfId="0" applyBorder="1"/>
    <xf numFmtId="0" fontId="13" fillId="0" borderId="4" xfId="0" applyFont="1" applyBorder="1"/>
    <xf numFmtId="1" fontId="12" fillId="0" borderId="4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0" fontId="17" fillId="3" borderId="19" xfId="0" applyFont="1" applyFill="1" applyBorder="1"/>
    <xf numFmtId="0" fontId="14" fillId="0" borderId="3" xfId="0" applyFont="1" applyBorder="1"/>
    <xf numFmtId="0" fontId="14" fillId="0" borderId="4" xfId="0" applyFont="1" applyBorder="1"/>
    <xf numFmtId="1" fontId="12" fillId="3" borderId="4" xfId="0" applyNumberFormat="1" applyFont="1" applyFill="1" applyBorder="1" applyAlignment="1">
      <alignment horizontal="center"/>
    </xf>
    <xf numFmtId="0" fontId="13" fillId="3" borderId="4" xfId="0" applyFont="1" applyFill="1" applyBorder="1"/>
    <xf numFmtId="0" fontId="14" fillId="3" borderId="4" xfId="0" applyFont="1" applyFill="1" applyBorder="1"/>
    <xf numFmtId="1" fontId="18" fillId="0" borderId="4" xfId="0" applyNumberFormat="1" applyFont="1" applyBorder="1" applyAlignment="1">
      <alignment horizontal="center"/>
    </xf>
    <xf numFmtId="0" fontId="17" fillId="0" borderId="4" xfId="0" applyFont="1" applyBorder="1"/>
    <xf numFmtId="0" fontId="19" fillId="0" borderId="4" xfId="0" applyFont="1" applyBorder="1"/>
    <xf numFmtId="1" fontId="18" fillId="0" borderId="4" xfId="0" quotePrefix="1" applyNumberFormat="1" applyFont="1" applyBorder="1" applyAlignment="1">
      <alignment horizontal="center" vertical="center"/>
    </xf>
    <xf numFmtId="0" fontId="20" fillId="0" borderId="0" xfId="0" applyFont="1"/>
    <xf numFmtId="1" fontId="18" fillId="0" borderId="4" xfId="0" applyNumberFormat="1" applyFont="1" applyBorder="1" applyAlignment="1">
      <alignment horizontal="center" vertical="center"/>
    </xf>
    <xf numFmtId="164" fontId="0" fillId="3" borderId="16" xfId="1" applyNumberFormat="1" applyFont="1" applyFill="1" applyBorder="1"/>
    <xf numFmtId="0" fontId="0" fillId="0" borderId="4" xfId="0" applyFill="1" applyBorder="1" applyAlignment="1">
      <alignment horizontal="right"/>
    </xf>
    <xf numFmtId="0" fontId="21" fillId="0" borderId="4" xfId="0" applyFont="1" applyBorder="1" applyAlignment="1">
      <alignment horizontal="center"/>
    </xf>
    <xf numFmtId="0" fontId="22" fillId="0" borderId="4" xfId="0" applyFont="1" applyBorder="1"/>
    <xf numFmtId="0" fontId="0" fillId="0" borderId="19" xfId="0" applyBorder="1"/>
    <xf numFmtId="0" fontId="21" fillId="0" borderId="19" xfId="0" applyFont="1" applyBorder="1" applyAlignment="1">
      <alignment horizontal="center"/>
    </xf>
    <xf numFmtId="0" fontId="22" fillId="0" borderId="19" xfId="0" applyFont="1" applyBorder="1"/>
    <xf numFmtId="44" fontId="0" fillId="0" borderId="19" xfId="1" applyFont="1" applyBorder="1"/>
    <xf numFmtId="164" fontId="0" fillId="0" borderId="19" xfId="1" applyNumberFormat="1" applyFont="1" applyBorder="1"/>
    <xf numFmtId="0" fontId="0" fillId="2" borderId="20" xfId="0" applyFill="1" applyBorder="1"/>
    <xf numFmtId="0" fontId="0" fillId="2" borderId="21" xfId="0" applyFill="1" applyBorder="1"/>
    <xf numFmtId="10" fontId="0" fillId="2" borderId="20" xfId="0" applyNumberFormat="1" applyFill="1" applyBorder="1"/>
    <xf numFmtId="44" fontId="0" fillId="2" borderId="20" xfId="1" applyFont="1" applyFill="1" applyBorder="1"/>
    <xf numFmtId="164" fontId="8" fillId="2" borderId="20" xfId="1" applyNumberFormat="1" applyFont="1" applyFill="1" applyBorder="1"/>
    <xf numFmtId="44" fontId="8" fillId="2" borderId="20" xfId="1" applyFont="1" applyFill="1" applyBorder="1"/>
    <xf numFmtId="164" fontId="0" fillId="2" borderId="20" xfId="1" applyNumberFormat="1" applyFont="1" applyFill="1" applyBorder="1"/>
    <xf numFmtId="0" fontId="0" fillId="0" borderId="20" xfId="0" applyBorder="1"/>
    <xf numFmtId="0" fontId="0" fillId="0" borderId="0" xfId="0" applyBorder="1"/>
    <xf numFmtId="164" fontId="0" fillId="0" borderId="0" xfId="1" applyNumberFormat="1" applyFont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4" fillId="0" borderId="0" xfId="0" applyFont="1" applyBorder="1"/>
    <xf numFmtId="0" fontId="24" fillId="0" borderId="0" xfId="2" applyAlignment="1">
      <alignment horizontal="left" vertical="center"/>
    </xf>
    <xf numFmtId="0" fontId="0" fillId="0" borderId="9" xfId="0" applyBorder="1"/>
    <xf numFmtId="0" fontId="25" fillId="3" borderId="0" xfId="2" applyFont="1" applyFill="1" applyBorder="1" applyAlignment="1">
      <alignment horizontal="left"/>
    </xf>
    <xf numFmtId="0" fontId="4" fillId="0" borderId="0" xfId="0" applyFont="1" applyFill="1" applyBorder="1"/>
    <xf numFmtId="0" fontId="26" fillId="2" borderId="5" xfId="0" applyFont="1" applyFill="1" applyBorder="1"/>
    <xf numFmtId="0" fontId="26" fillId="2" borderId="22" xfId="0" applyFont="1" applyFill="1" applyBorder="1"/>
    <xf numFmtId="17" fontId="26" fillId="2" borderId="22" xfId="0" applyNumberFormat="1" applyFont="1" applyFill="1" applyBorder="1"/>
    <xf numFmtId="0" fontId="27" fillId="2" borderId="17" xfId="0" applyFont="1" applyFill="1" applyBorder="1"/>
    <xf numFmtId="167" fontId="16" fillId="0" borderId="4" xfId="0" applyNumberFormat="1" applyFont="1" applyBorder="1"/>
    <xf numFmtId="0" fontId="16" fillId="0" borderId="4" xfId="0" applyFont="1" applyBorder="1"/>
    <xf numFmtId="44" fontId="16" fillId="3" borderId="4" xfId="1" applyFont="1" applyFill="1" applyBorder="1"/>
    <xf numFmtId="44" fontId="0" fillId="0" borderId="0" xfId="0" applyNumberFormat="1" applyBorder="1"/>
    <xf numFmtId="167" fontId="28" fillId="0" borderId="4" xfId="0" applyNumberFormat="1" applyFont="1" applyBorder="1"/>
    <xf numFmtId="0" fontId="28" fillId="0" borderId="4" xfId="0" applyFont="1" applyBorder="1"/>
    <xf numFmtId="44" fontId="28" fillId="3" borderId="4" xfId="1" applyFont="1" applyFill="1" applyBorder="1"/>
    <xf numFmtId="16" fontId="16" fillId="0" borderId="4" xfId="0" applyNumberFormat="1" applyFont="1" applyBorder="1"/>
    <xf numFmtId="0" fontId="16" fillId="0" borderId="4" xfId="0" applyFont="1" applyBorder="1" applyAlignment="1">
      <alignment horizontal="left"/>
    </xf>
    <xf numFmtId="44" fontId="28" fillId="0" borderId="4" xfId="1" applyFont="1" applyBorder="1"/>
    <xf numFmtId="0" fontId="16" fillId="3" borderId="4" xfId="0" applyFont="1" applyFill="1" applyBorder="1"/>
    <xf numFmtId="0" fontId="16" fillId="3" borderId="4" xfId="0" applyFont="1" applyFill="1" applyBorder="1" applyAlignment="1">
      <alignment vertical="center"/>
    </xf>
    <xf numFmtId="0" fontId="0" fillId="3" borderId="0" xfId="0" applyFill="1"/>
    <xf numFmtId="44" fontId="0" fillId="3" borderId="0" xfId="0" applyNumberFormat="1" applyFill="1"/>
    <xf numFmtId="0" fontId="16" fillId="0" borderId="5" xfId="0" applyFont="1" applyFill="1" applyBorder="1"/>
    <xf numFmtId="0" fontId="16" fillId="0" borderId="22" xfId="0" applyFont="1" applyBorder="1"/>
    <xf numFmtId="44" fontId="28" fillId="3" borderId="17" xfId="1" applyFont="1" applyFill="1" applyBorder="1"/>
    <xf numFmtId="0" fontId="16" fillId="3" borderId="6" xfId="0" applyFont="1" applyFill="1" applyBorder="1"/>
    <xf numFmtId="0" fontId="16" fillId="3" borderId="7" xfId="0" applyFont="1" applyFill="1" applyBorder="1"/>
    <xf numFmtId="44" fontId="16" fillId="3" borderId="3" xfId="1" applyFont="1" applyFill="1" applyBorder="1"/>
    <xf numFmtId="0" fontId="16" fillId="3" borderId="5" xfId="0" applyFont="1" applyFill="1" applyBorder="1"/>
    <xf numFmtId="0" fontId="16" fillId="3" borderId="22" xfId="0" applyFont="1" applyFill="1" applyBorder="1"/>
    <xf numFmtId="0" fontId="30" fillId="3" borderId="4" xfId="0" applyFont="1" applyFill="1" applyBorder="1" applyAlignment="1">
      <alignment horizontal="center" vertical="center"/>
    </xf>
    <xf numFmtId="44" fontId="16" fillId="3" borderId="4" xfId="0" applyNumberFormat="1" applyFont="1" applyFill="1" applyBorder="1" applyAlignment="1"/>
    <xf numFmtId="0" fontId="16" fillId="3" borderId="4" xfId="0" applyFont="1" applyFill="1" applyBorder="1" applyAlignment="1">
      <alignment horizontal="left" vertical="center"/>
    </xf>
    <xf numFmtId="44" fontId="28" fillId="3" borderId="4" xfId="0" applyNumberFormat="1" applyFont="1" applyFill="1" applyBorder="1" applyAlignment="1"/>
    <xf numFmtId="0" fontId="16" fillId="2" borderId="4" xfId="0" applyFont="1" applyFill="1" applyBorder="1" applyAlignment="1">
      <alignment horizontal="left" vertical="center"/>
    </xf>
    <xf numFmtId="44" fontId="28" fillId="2" borderId="4" xfId="0" applyNumberFormat="1" applyFont="1" applyFill="1" applyBorder="1" applyAlignment="1"/>
    <xf numFmtId="44" fontId="30" fillId="2" borderId="4" xfId="0" applyNumberFormat="1" applyFont="1" applyFill="1" applyBorder="1" applyAlignment="1"/>
    <xf numFmtId="0" fontId="16" fillId="3" borderId="5" xfId="0" applyFont="1" applyFill="1" applyBorder="1" applyAlignment="1">
      <alignment horizontal="left" vertical="center"/>
    </xf>
    <xf numFmtId="0" fontId="16" fillId="3" borderId="22" xfId="0" applyFont="1" applyFill="1" applyBorder="1" applyAlignment="1">
      <alignment horizontal="left" vertical="center"/>
    </xf>
    <xf numFmtId="0" fontId="16" fillId="3" borderId="17" xfId="0" applyFont="1" applyFill="1" applyBorder="1" applyAlignment="1">
      <alignment horizontal="left" vertical="center"/>
    </xf>
    <xf numFmtId="0" fontId="0" fillId="3" borderId="4" xfId="0" applyFill="1" applyBorder="1"/>
    <xf numFmtId="44" fontId="26" fillId="2" borderId="35" xfId="0" applyNumberFormat="1" applyFont="1" applyFill="1" applyBorder="1"/>
    <xf numFmtId="0" fontId="26" fillId="3" borderId="4" xfId="0" applyFont="1" applyFill="1" applyBorder="1" applyAlignment="1">
      <alignment horizontal="center"/>
    </xf>
    <xf numFmtId="44" fontId="26" fillId="3" borderId="4" xfId="0" applyNumberFormat="1" applyFont="1" applyFill="1" applyBorder="1"/>
    <xf numFmtId="0" fontId="26" fillId="3" borderId="6" xfId="0" applyFont="1" applyFill="1" applyBorder="1" applyAlignment="1">
      <alignment horizontal="left"/>
    </xf>
    <xf numFmtId="0" fontId="26" fillId="3" borderId="7" xfId="0" applyFont="1" applyFill="1" applyBorder="1" applyAlignment="1">
      <alignment horizontal="center"/>
    </xf>
    <xf numFmtId="8" fontId="11" fillId="0" borderId="0" xfId="0" applyNumberFormat="1" applyFont="1"/>
    <xf numFmtId="0" fontId="0" fillId="0" borderId="22" xfId="0" applyBorder="1"/>
    <xf numFmtId="0" fontId="0" fillId="0" borderId="10" xfId="0" applyBorder="1"/>
    <xf numFmtId="0" fontId="0" fillId="0" borderId="11" xfId="0" applyBorder="1"/>
    <xf numFmtId="16" fontId="0" fillId="0" borderId="11" xfId="0" applyNumberFormat="1" applyBorder="1"/>
    <xf numFmtId="0" fontId="26" fillId="3" borderId="5" xfId="0" applyFont="1" applyFill="1" applyBorder="1"/>
    <xf numFmtId="0" fontId="27" fillId="3" borderId="22" xfId="0" applyFont="1" applyFill="1" applyBorder="1"/>
    <xf numFmtId="8" fontId="26" fillId="3" borderId="4" xfId="1" applyNumberFormat="1" applyFont="1" applyFill="1" applyBorder="1"/>
    <xf numFmtId="0" fontId="0" fillId="7" borderId="16" xfId="0" applyFill="1" applyBorder="1"/>
    <xf numFmtId="44" fontId="23" fillId="7" borderId="16" xfId="1" applyFont="1" applyFill="1" applyBorder="1"/>
    <xf numFmtId="6" fontId="0" fillId="0" borderId="4" xfId="0" applyNumberFormat="1" applyBorder="1"/>
    <xf numFmtId="6" fontId="0" fillId="3" borderId="4" xfId="0" applyNumberFormat="1" applyFill="1" applyBorder="1"/>
    <xf numFmtId="0" fontId="0" fillId="7" borderId="4" xfId="0" applyFill="1" applyBorder="1"/>
    <xf numFmtId="44" fontId="0" fillId="7" borderId="4" xfId="1" applyFont="1" applyFill="1" applyBorder="1"/>
    <xf numFmtId="0" fontId="2" fillId="8" borderId="0" xfId="0" applyFont="1" applyFill="1"/>
    <xf numFmtId="0" fontId="2" fillId="8" borderId="4" xfId="0" applyFont="1" applyFill="1" applyBorder="1"/>
    <xf numFmtId="44" fontId="0" fillId="0" borderId="0" xfId="0" applyNumberFormat="1"/>
    <xf numFmtId="44" fontId="3" fillId="0" borderId="4" xfId="1" applyFont="1" applyBorder="1"/>
    <xf numFmtId="164" fontId="16" fillId="0" borderId="4" xfId="1" applyNumberFormat="1" applyFont="1" applyBorder="1"/>
    <xf numFmtId="44" fontId="3" fillId="0" borderId="16" xfId="1" applyFont="1" applyBorder="1"/>
    <xf numFmtId="44" fontId="16" fillId="3" borderId="4" xfId="1" applyFont="1" applyFill="1" applyBorder="1" applyAlignment="1"/>
    <xf numFmtId="0" fontId="5" fillId="8" borderId="0" xfId="0" applyFont="1" applyFill="1"/>
    <xf numFmtId="0" fontId="0" fillId="8" borderId="0" xfId="0" applyFill="1"/>
    <xf numFmtId="44" fontId="16" fillId="0" borderId="4" xfId="1" applyFont="1" applyBorder="1"/>
    <xf numFmtId="0" fontId="16" fillId="0" borderId="4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16" fontId="16" fillId="0" borderId="4" xfId="0" applyNumberFormat="1" applyFont="1" applyBorder="1" applyAlignment="1">
      <alignment vertical="center" wrapText="1"/>
    </xf>
    <xf numFmtId="0" fontId="30" fillId="2" borderId="17" xfId="0" applyFont="1" applyFill="1" applyBorder="1" applyAlignment="1">
      <alignment vertical="center"/>
    </xf>
    <xf numFmtId="0" fontId="28" fillId="2" borderId="4" xfId="0" applyFont="1" applyFill="1" applyBorder="1" applyAlignment="1">
      <alignment horizontal="left" vertical="center"/>
    </xf>
    <xf numFmtId="164" fontId="31" fillId="2" borderId="20" xfId="1" applyNumberFormat="1" applyFont="1" applyFill="1" applyBorder="1"/>
    <xf numFmtId="167" fontId="16" fillId="0" borderId="4" xfId="0" applyNumberFormat="1" applyFont="1" applyBorder="1" applyAlignment="1">
      <alignment vertical="center" wrapText="1"/>
    </xf>
    <xf numFmtId="44" fontId="3" fillId="3" borderId="16" xfId="1" applyFont="1" applyFill="1" applyBorder="1"/>
    <xf numFmtId="0" fontId="3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0" fontId="14" fillId="3" borderId="17" xfId="0" applyFont="1" applyFill="1" applyBorder="1"/>
    <xf numFmtId="44" fontId="0" fillId="8" borderId="0" xfId="0" applyNumberFormat="1" applyFill="1"/>
    <xf numFmtId="164" fontId="16" fillId="3" borderId="19" xfId="1" applyNumberFormat="1" applyFont="1" applyFill="1" applyBorder="1"/>
    <xf numFmtId="0" fontId="28" fillId="3" borderId="4" xfId="0" applyFont="1" applyFill="1" applyBorder="1"/>
    <xf numFmtId="0" fontId="16" fillId="3" borderId="0" xfId="0" applyFont="1" applyFill="1" applyBorder="1"/>
    <xf numFmtId="44" fontId="28" fillId="3" borderId="0" xfId="1" applyFont="1" applyFill="1" applyBorder="1"/>
    <xf numFmtId="44" fontId="30" fillId="2" borderId="25" xfId="0" applyNumberFormat="1" applyFont="1" applyFill="1" applyBorder="1"/>
    <xf numFmtId="44" fontId="30" fillId="2" borderId="29" xfId="0" applyNumberFormat="1" applyFont="1" applyFill="1" applyBorder="1"/>
    <xf numFmtId="44" fontId="30" fillId="2" borderId="30" xfId="0" applyNumberFormat="1" applyFont="1" applyFill="1" applyBorder="1"/>
    <xf numFmtId="44" fontId="30" fillId="2" borderId="33" xfId="0" applyNumberFormat="1" applyFont="1" applyFill="1" applyBorder="1"/>
    <xf numFmtId="0" fontId="16" fillId="0" borderId="17" xfId="0" applyFont="1" applyBorder="1"/>
    <xf numFmtId="164" fontId="4" fillId="0" borderId="6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3" xfId="1" applyNumberFormat="1" applyFont="1" applyBorder="1" applyAlignment="1">
      <alignment horizontal="center" vertical="center" wrapText="1"/>
    </xf>
    <xf numFmtId="164" fontId="4" fillId="0" borderId="8" xfId="1" applyNumberFormat="1" applyFont="1" applyBorder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164" fontId="4" fillId="0" borderId="9" xfId="1" applyNumberFormat="1" applyFont="1" applyBorder="1" applyAlignment="1">
      <alignment horizontal="center" vertical="center" wrapText="1"/>
    </xf>
    <xf numFmtId="164" fontId="4" fillId="0" borderId="10" xfId="1" applyNumberFormat="1" applyFont="1" applyBorder="1" applyAlignment="1">
      <alignment horizontal="center" vertical="center" wrapText="1"/>
    </xf>
    <xf numFmtId="164" fontId="4" fillId="0" borderId="11" xfId="1" applyNumberFormat="1" applyFont="1" applyBorder="1" applyAlignment="1">
      <alignment horizontal="center" vertical="center" wrapText="1"/>
    </xf>
    <xf numFmtId="164" fontId="4" fillId="0" borderId="12" xfId="1" applyNumberFormat="1" applyFont="1" applyBorder="1" applyAlignment="1">
      <alignment horizontal="center" vertical="center" wrapText="1"/>
    </xf>
    <xf numFmtId="44" fontId="11" fillId="0" borderId="4" xfId="1" applyFont="1" applyBorder="1" applyAlignment="1">
      <alignment horizontal="center"/>
    </xf>
    <xf numFmtId="44" fontId="11" fillId="0" borderId="4" xfId="1" applyNumberFormat="1" applyFont="1" applyBorder="1" applyAlignment="1">
      <alignment horizontal="center"/>
    </xf>
    <xf numFmtId="0" fontId="26" fillId="5" borderId="5" xfId="0" applyFont="1" applyFill="1" applyBorder="1" applyAlignment="1">
      <alignment horizontal="center"/>
    </xf>
    <xf numFmtId="0" fontId="26" fillId="5" borderId="22" xfId="0" applyFont="1" applyFill="1" applyBorder="1" applyAlignment="1">
      <alignment horizontal="center"/>
    </xf>
    <xf numFmtId="0" fontId="26" fillId="5" borderId="17" xfId="0" applyFont="1" applyFill="1" applyBorder="1" applyAlignment="1">
      <alignment horizontal="center"/>
    </xf>
    <xf numFmtId="0" fontId="23" fillId="6" borderId="26" xfId="0" applyFont="1" applyFill="1" applyBorder="1" applyAlignment="1">
      <alignment horizontal="center" vertical="center" wrapText="1"/>
    </xf>
    <xf numFmtId="0" fontId="23" fillId="6" borderId="21" xfId="0" applyFont="1" applyFill="1" applyBorder="1" applyAlignment="1">
      <alignment horizontal="center" vertical="center" wrapText="1"/>
    </xf>
    <xf numFmtId="0" fontId="23" fillId="6" borderId="36" xfId="0" applyFont="1" applyFill="1" applyBorder="1" applyAlignment="1">
      <alignment horizontal="center" vertical="center" wrapText="1"/>
    </xf>
    <xf numFmtId="44" fontId="2" fillId="8" borderId="5" xfId="0" applyNumberFormat="1" applyFont="1" applyFill="1" applyBorder="1" applyAlignment="1">
      <alignment horizontal="center"/>
    </xf>
    <xf numFmtId="44" fontId="2" fillId="8" borderId="17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 wrapText="1"/>
    </xf>
    <xf numFmtId="0" fontId="30" fillId="2" borderId="21" xfId="0" applyFont="1" applyFill="1" applyBorder="1" applyAlignment="1">
      <alignment horizontal="center" vertical="center" wrapText="1"/>
    </xf>
    <xf numFmtId="0" fontId="30" fillId="2" borderId="27" xfId="0" applyFont="1" applyFill="1" applyBorder="1" applyAlignment="1">
      <alignment horizontal="center" vertical="center" wrapText="1"/>
    </xf>
    <xf numFmtId="0" fontId="30" fillId="2" borderId="23" xfId="0" applyFont="1" applyFill="1" applyBorder="1" applyAlignment="1">
      <alignment horizontal="center"/>
    </xf>
    <xf numFmtId="0" fontId="30" fillId="2" borderId="24" xfId="0" applyFont="1" applyFill="1" applyBorder="1" applyAlignment="1">
      <alignment horizontal="center"/>
    </xf>
    <xf numFmtId="0" fontId="30" fillId="2" borderId="28" xfId="0" applyFont="1" applyFill="1" applyBorder="1" applyAlignment="1">
      <alignment horizontal="center"/>
    </xf>
    <xf numFmtId="0" fontId="30" fillId="2" borderId="22" xfId="0" applyFont="1" applyFill="1" applyBorder="1" applyAlignment="1">
      <alignment horizontal="center"/>
    </xf>
    <xf numFmtId="0" fontId="30" fillId="2" borderId="17" xfId="0" applyFont="1" applyFill="1" applyBorder="1" applyAlignment="1">
      <alignment horizontal="center"/>
    </xf>
    <xf numFmtId="0" fontId="30" fillId="2" borderId="31" xfId="0" applyFont="1" applyFill="1" applyBorder="1" applyAlignment="1">
      <alignment horizontal="center"/>
    </xf>
    <xf numFmtId="0" fontId="30" fillId="2" borderId="32" xfId="0" applyFont="1" applyFill="1" applyBorder="1" applyAlignment="1">
      <alignment horizontal="center"/>
    </xf>
    <xf numFmtId="0" fontId="26" fillId="2" borderId="34" xfId="0" applyFont="1" applyFill="1" applyBorder="1" applyAlignment="1">
      <alignment horizontal="center"/>
    </xf>
    <xf numFmtId="0" fontId="26" fillId="2" borderId="19" xfId="0" applyFont="1" applyFill="1" applyBorder="1" applyAlignment="1">
      <alignment horizontal="center"/>
    </xf>
    <xf numFmtId="0" fontId="23" fillId="9" borderId="6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3" fillId="9" borderId="10" xfId="0" applyFont="1" applyFill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center" vertical="center" wrapText="1"/>
    </xf>
    <xf numFmtId="0" fontId="23" fillId="9" borderId="12" xfId="0" applyFont="1" applyFill="1" applyBorder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27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2" borderId="22" xfId="0" applyFont="1" applyFill="1" applyBorder="1" applyAlignment="1">
      <alignment horizontal="center"/>
    </xf>
    <xf numFmtId="0" fontId="29" fillId="2" borderId="17" xfId="0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28" fillId="2" borderId="22" xfId="0" applyFont="1" applyFill="1" applyBorder="1" applyAlignment="1">
      <alignment horizontal="center"/>
    </xf>
    <xf numFmtId="0" fontId="28" fillId="2" borderId="17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17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0" fontId="16" fillId="0" borderId="5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30" fillId="2" borderId="5" xfId="0" applyFont="1" applyFill="1" applyBorder="1" applyAlignment="1">
      <alignment horizontal="center" vertical="center"/>
    </xf>
    <xf numFmtId="0" fontId="30" fillId="2" borderId="22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4" borderId="5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167" fontId="28" fillId="2" borderId="4" xfId="0" applyNumberFormat="1" applyFont="1" applyFill="1" applyBorder="1" applyAlignment="1">
      <alignment horizontal="center" wrapText="1"/>
    </xf>
    <xf numFmtId="167" fontId="29" fillId="2" borderId="4" xfId="0" applyNumberFormat="1" applyFont="1" applyFill="1" applyBorder="1" applyAlignment="1">
      <alignment horizontal="center"/>
    </xf>
    <xf numFmtId="164" fontId="32" fillId="2" borderId="20" xfId="1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466725</xdr:colOff>
      <xdr:row>1</xdr:row>
      <xdr:rowOff>32426</xdr:rowOff>
    </xdr:from>
    <xdr:to>
      <xdr:col>14</xdr:col>
      <xdr:colOff>1019175</xdr:colOff>
      <xdr:row>6</xdr:row>
      <xdr:rowOff>189659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365801"/>
          <a:ext cx="2600325" cy="1176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400050</xdr:colOff>
      <xdr:row>6</xdr:row>
      <xdr:rowOff>81033</xdr:rowOff>
    </xdr:to>
    <xdr:pic>
      <xdr:nvPicPr>
        <xdr:cNvPr id="3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2600325" cy="1176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onsorcioyrigoyen91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tabSelected="1" topLeftCell="B1" zoomScaleNormal="100" workbookViewId="0">
      <selection activeCell="C3" sqref="C3"/>
    </sheetView>
  </sheetViews>
  <sheetFormatPr baseColWidth="10" defaultRowHeight="15" x14ac:dyDescent="0.25"/>
  <cols>
    <col min="1" max="1" width="4.5703125" customWidth="1"/>
    <col min="2" max="2" width="9.5703125" customWidth="1"/>
    <col min="3" max="3" width="20.85546875" customWidth="1"/>
    <col min="4" max="4" width="7" customWidth="1"/>
    <col min="5" max="5" width="8.5703125" customWidth="1"/>
    <col min="6" max="6" width="14.28515625" style="77" customWidth="1"/>
    <col min="7" max="7" width="10.28515625" style="77" customWidth="1"/>
    <col min="8" max="8" width="11.5703125" style="77" customWidth="1"/>
    <col min="9" max="9" width="12.5703125" style="77" customWidth="1"/>
    <col min="10" max="10" width="10.85546875" style="77" customWidth="1"/>
    <col min="11" max="11" width="9" style="77" customWidth="1"/>
    <col min="12" max="12" width="14.5703125" customWidth="1"/>
    <col min="13" max="13" width="14.42578125" customWidth="1"/>
    <col min="14" max="14" width="16.28515625" bestFit="1" customWidth="1"/>
    <col min="15" max="15" width="16.28515625" customWidth="1"/>
  </cols>
  <sheetData>
    <row r="1" spans="1:16" ht="26.25" customHeight="1" x14ac:dyDescent="0.25">
      <c r="A1" s="1"/>
      <c r="B1" s="2"/>
      <c r="C1" s="2"/>
      <c r="D1" s="2"/>
      <c r="E1" s="3"/>
      <c r="F1" s="4"/>
      <c r="G1" s="3" t="str">
        <f>Gastos!C8</f>
        <v>PERIODO: ENERO</v>
      </c>
      <c r="H1" s="3"/>
      <c r="I1" s="2"/>
      <c r="J1" s="3" t="str">
        <f>Gastos!G8</f>
        <v>VTO: 13/02</v>
      </c>
      <c r="K1" s="2"/>
      <c r="L1" s="2"/>
      <c r="M1" s="2"/>
      <c r="N1" s="2"/>
      <c r="O1" s="5"/>
    </row>
    <row r="2" spans="1:16" x14ac:dyDescent="0.25">
      <c r="A2" s="6"/>
      <c r="B2" s="6"/>
      <c r="C2" s="7">
        <v>1000000</v>
      </c>
      <c r="D2" s="8"/>
      <c r="E2" s="6"/>
      <c r="F2" s="9"/>
      <c r="G2" s="9"/>
      <c r="H2" s="9"/>
      <c r="I2" s="9"/>
      <c r="J2" s="9"/>
      <c r="K2" s="9"/>
      <c r="L2" s="6"/>
      <c r="M2" s="6"/>
      <c r="N2" s="6"/>
      <c r="O2" s="6"/>
    </row>
    <row r="3" spans="1:16" x14ac:dyDescent="0.25">
      <c r="A3" s="10"/>
      <c r="B3" s="11"/>
      <c r="C3" s="12">
        <v>4082685.29</v>
      </c>
      <c r="D3" s="8"/>
      <c r="E3" s="6"/>
      <c r="F3" s="175" t="s">
        <v>0</v>
      </c>
      <c r="G3" s="176"/>
      <c r="H3" s="176"/>
      <c r="I3" s="176"/>
      <c r="J3" s="177"/>
      <c r="K3" s="13"/>
      <c r="L3" s="6"/>
      <c r="M3" s="6"/>
      <c r="N3" s="6"/>
      <c r="O3" s="6"/>
    </row>
    <row r="4" spans="1:16" ht="18.75" customHeight="1" x14ac:dyDescent="0.25">
      <c r="A4" s="14"/>
      <c r="B4" s="15" t="s">
        <v>1</v>
      </c>
      <c r="C4" s="6"/>
      <c r="D4" s="8"/>
      <c r="E4" s="15"/>
      <c r="F4" s="178"/>
      <c r="G4" s="179"/>
      <c r="H4" s="179"/>
      <c r="I4" s="179"/>
      <c r="J4" s="180"/>
      <c r="K4" s="13"/>
      <c r="L4" s="6"/>
      <c r="M4" s="6"/>
      <c r="N4" s="6"/>
      <c r="O4" s="6"/>
    </row>
    <row r="5" spans="1:16" ht="15.75" customHeight="1" x14ac:dyDescent="0.25">
      <c r="A5" s="16"/>
      <c r="B5" s="184">
        <f>C3</f>
        <v>4082685.29</v>
      </c>
      <c r="C5" s="184"/>
      <c r="D5" s="17"/>
      <c r="E5" s="18">
        <v>0</v>
      </c>
      <c r="F5" s="178"/>
      <c r="G5" s="179"/>
      <c r="H5" s="179"/>
      <c r="I5" s="179"/>
      <c r="J5" s="180"/>
      <c r="K5" s="9"/>
      <c r="L5" s="6"/>
      <c r="M5" s="6"/>
      <c r="N5" s="6"/>
      <c r="O5" s="6"/>
    </row>
    <row r="6" spans="1:16" ht="15.75" customHeight="1" x14ac:dyDescent="0.25">
      <c r="A6" s="16"/>
      <c r="B6" s="19" t="s">
        <v>2</v>
      </c>
      <c r="C6" s="20"/>
      <c r="D6" s="17"/>
      <c r="E6" s="15"/>
      <c r="F6" s="181"/>
      <c r="G6" s="182"/>
      <c r="H6" s="182"/>
      <c r="I6" s="182"/>
      <c r="J6" s="183"/>
      <c r="K6" s="9"/>
      <c r="L6" s="6"/>
      <c r="M6" s="6"/>
      <c r="N6" s="6"/>
      <c r="O6" s="6"/>
    </row>
    <row r="7" spans="1:16" ht="18.75" customHeight="1" x14ac:dyDescent="0.25">
      <c r="A7" s="16"/>
      <c r="B7" s="185">
        <f>C2</f>
        <v>1000000</v>
      </c>
      <c r="C7" s="185"/>
      <c r="D7" s="21"/>
      <c r="E7" s="20"/>
      <c r="F7" s="9"/>
      <c r="G7" s="9"/>
      <c r="H7" s="9"/>
      <c r="I7" s="9"/>
      <c r="J7" s="9"/>
      <c r="K7" s="9"/>
      <c r="L7" s="6"/>
      <c r="M7" s="6"/>
      <c r="N7" s="6"/>
      <c r="O7" s="6"/>
    </row>
    <row r="8" spans="1:16" ht="36.75" customHeight="1" thickBot="1" x14ac:dyDescent="0.3">
      <c r="A8" s="22" t="s">
        <v>3</v>
      </c>
      <c r="B8" s="23" t="s">
        <v>4</v>
      </c>
      <c r="C8" s="24" t="s">
        <v>5</v>
      </c>
      <c r="D8" s="25" t="s">
        <v>6</v>
      </c>
      <c r="E8" s="23" t="s">
        <v>7</v>
      </c>
      <c r="F8" s="26" t="s">
        <v>8</v>
      </c>
      <c r="G8" s="26" t="s">
        <v>9</v>
      </c>
      <c r="H8" s="26" t="s">
        <v>10</v>
      </c>
      <c r="I8" s="26" t="s">
        <v>11</v>
      </c>
      <c r="J8" s="26" t="s">
        <v>12</v>
      </c>
      <c r="K8" s="26" t="s">
        <v>164</v>
      </c>
      <c r="L8" s="23" t="s">
        <v>13</v>
      </c>
      <c r="M8" s="23" t="s">
        <v>14</v>
      </c>
      <c r="N8" s="27" t="s">
        <v>15</v>
      </c>
      <c r="O8" s="28" t="s">
        <v>16</v>
      </c>
    </row>
    <row r="9" spans="1:16" ht="15" customHeight="1" x14ac:dyDescent="0.25">
      <c r="A9" s="29">
        <v>1</v>
      </c>
      <c r="B9" s="30" t="s">
        <v>17</v>
      </c>
      <c r="C9" s="31" t="s">
        <v>18</v>
      </c>
      <c r="D9" s="32"/>
      <c r="E9" s="33">
        <v>0.108</v>
      </c>
      <c r="F9" s="34">
        <v>529619.88624499121</v>
      </c>
      <c r="G9" s="35">
        <f>F9</f>
        <v>529619.88624499121</v>
      </c>
      <c r="H9" s="36">
        <f t="shared" ref="H9:H42" si="0">IF(F9&gt;G9,F9-G9,0)</f>
        <v>0</v>
      </c>
      <c r="I9" s="36">
        <f>H9*3%</f>
        <v>0</v>
      </c>
      <c r="J9" s="36">
        <f>IF(G9&gt;F9,G9-F9,0)</f>
        <v>0</v>
      </c>
      <c r="K9" s="36"/>
      <c r="L9" s="37">
        <f>B$5*E9</f>
        <v>440930.01131999999</v>
      </c>
      <c r="M9" s="37">
        <f>B$7*E9</f>
        <v>108000</v>
      </c>
      <c r="N9" s="38">
        <f>H9+I9-J9+K9+L9+M9</f>
        <v>548930.01132000005</v>
      </c>
      <c r="O9" s="39">
        <f>N9*2% + N9</f>
        <v>559908.6115464</v>
      </c>
    </row>
    <row r="10" spans="1:16" ht="15" customHeight="1" x14ac:dyDescent="0.25">
      <c r="A10" s="40">
        <v>2</v>
      </c>
      <c r="B10" s="30" t="s">
        <v>19</v>
      </c>
      <c r="C10" s="31" t="s">
        <v>20</v>
      </c>
      <c r="D10" s="32"/>
      <c r="E10" s="33">
        <v>2.8799999999999999E-2</v>
      </c>
      <c r="F10" s="34">
        <v>141231.349728</v>
      </c>
      <c r="G10" s="41">
        <f>F10</f>
        <v>141231.349728</v>
      </c>
      <c r="H10" s="36">
        <f t="shared" si="0"/>
        <v>0</v>
      </c>
      <c r="I10" s="36">
        <f t="shared" ref="I10:I42" si="1">H10*3%</f>
        <v>0</v>
      </c>
      <c r="J10" s="36">
        <f t="shared" ref="J10:J42" si="2">IF(G10&gt;F10,G10-F10,0)</f>
        <v>0</v>
      </c>
      <c r="K10" s="36"/>
      <c r="L10" s="37">
        <f t="shared" ref="L10:L42" si="3">B$5*E10</f>
        <v>117581.336352</v>
      </c>
      <c r="M10" s="37">
        <f t="shared" ref="M10:M42" si="4">B$7*E10</f>
        <v>28800</v>
      </c>
      <c r="N10" s="38">
        <f t="shared" ref="N10:N42" si="5">H10+I10-J10+K10+L10+M10</f>
        <v>146381.33635200001</v>
      </c>
      <c r="O10" s="39">
        <f t="shared" ref="O10:O42" si="6">N10*2% + N10</f>
        <v>149308.96307904003</v>
      </c>
    </row>
    <row r="11" spans="1:16" ht="15" customHeight="1" x14ac:dyDescent="0.25">
      <c r="A11" s="40">
        <v>3</v>
      </c>
      <c r="B11" s="30" t="s">
        <v>21</v>
      </c>
      <c r="C11" s="31" t="s">
        <v>22</v>
      </c>
      <c r="D11" s="32"/>
      <c r="E11" s="33">
        <v>2.5600000000000001E-2</v>
      </c>
      <c r="F11" s="34">
        <v>247030.51967804166</v>
      </c>
      <c r="G11" s="41">
        <v>131520</v>
      </c>
      <c r="H11" s="36">
        <f t="shared" si="0"/>
        <v>115510.51967804166</v>
      </c>
      <c r="I11" s="36">
        <f t="shared" si="1"/>
        <v>3465.3155903412498</v>
      </c>
      <c r="J11" s="36">
        <f t="shared" si="2"/>
        <v>0</v>
      </c>
      <c r="K11" s="36"/>
      <c r="L11" s="37">
        <f t="shared" si="3"/>
        <v>104516.743424</v>
      </c>
      <c r="M11" s="37">
        <f t="shared" si="4"/>
        <v>25600</v>
      </c>
      <c r="N11" s="38">
        <f>H11+I11-J11+K11+L11+M11+E7</f>
        <v>249092.5786923829</v>
      </c>
      <c r="O11" s="39">
        <f t="shared" si="6"/>
        <v>254074.43026623057</v>
      </c>
    </row>
    <row r="12" spans="1:16" ht="15" customHeight="1" x14ac:dyDescent="0.25">
      <c r="A12" s="40">
        <v>4</v>
      </c>
      <c r="B12" s="42" t="s">
        <v>23</v>
      </c>
      <c r="C12" s="31" t="s">
        <v>24</v>
      </c>
      <c r="D12" s="32"/>
      <c r="E12" s="33">
        <v>2.1499999999999998E-2</v>
      </c>
      <c r="F12" s="34">
        <v>103565.57482668317</v>
      </c>
      <c r="G12" s="41">
        <f>F12</f>
        <v>103565.57482668317</v>
      </c>
      <c r="H12" s="36">
        <f t="shared" si="0"/>
        <v>0</v>
      </c>
      <c r="I12" s="36">
        <f t="shared" si="1"/>
        <v>0</v>
      </c>
      <c r="J12" s="36">
        <f t="shared" si="2"/>
        <v>0</v>
      </c>
      <c r="K12" s="36"/>
      <c r="L12" s="37">
        <f t="shared" si="3"/>
        <v>87777.733734999987</v>
      </c>
      <c r="M12" s="37">
        <f t="shared" si="4"/>
        <v>21500</v>
      </c>
      <c r="N12" s="38">
        <f t="shared" si="5"/>
        <v>109277.73373499999</v>
      </c>
      <c r="O12" s="39">
        <f t="shared" si="6"/>
        <v>111463.28840969999</v>
      </c>
      <c r="P12" s="43"/>
    </row>
    <row r="13" spans="1:16" ht="15" customHeight="1" x14ac:dyDescent="0.25">
      <c r="A13" s="40">
        <v>5</v>
      </c>
      <c r="B13" s="30" t="s">
        <v>25</v>
      </c>
      <c r="C13" s="44" t="s">
        <v>26</v>
      </c>
      <c r="D13" s="32" t="s">
        <v>143</v>
      </c>
      <c r="E13" s="33">
        <v>1.7299999999999999E-2</v>
      </c>
      <c r="F13" s="34">
        <v>84836.887163000007</v>
      </c>
      <c r="G13" s="41">
        <f>F13</f>
        <v>84836.887163000007</v>
      </c>
      <c r="H13" s="36">
        <f t="shared" si="0"/>
        <v>0</v>
      </c>
      <c r="I13" s="36">
        <f t="shared" si="1"/>
        <v>0</v>
      </c>
      <c r="J13" s="36">
        <f t="shared" si="2"/>
        <v>0</v>
      </c>
      <c r="K13" s="36"/>
      <c r="L13" s="37">
        <f t="shared" si="3"/>
        <v>70630.455516999995</v>
      </c>
      <c r="M13" s="37">
        <f t="shared" si="4"/>
        <v>17300</v>
      </c>
      <c r="N13" s="38">
        <f t="shared" si="5"/>
        <v>87930.455516999995</v>
      </c>
      <c r="O13" s="39">
        <f t="shared" si="6"/>
        <v>89689.064627339991</v>
      </c>
    </row>
    <row r="14" spans="1:16" ht="15" customHeight="1" x14ac:dyDescent="0.25">
      <c r="A14" s="40">
        <v>6</v>
      </c>
      <c r="B14" s="45" t="s">
        <v>27</v>
      </c>
      <c r="C14" s="44" t="s">
        <v>28</v>
      </c>
      <c r="D14" s="32"/>
      <c r="E14" s="33">
        <v>2.7900000000000001E-2</v>
      </c>
      <c r="F14" s="34">
        <v>150928.53204532937</v>
      </c>
      <c r="G14" s="41">
        <v>151000</v>
      </c>
      <c r="H14" s="36">
        <f t="shared" si="0"/>
        <v>0</v>
      </c>
      <c r="I14" s="36">
        <f t="shared" si="1"/>
        <v>0</v>
      </c>
      <c r="J14" s="36">
        <f t="shared" si="2"/>
        <v>71.467954670632025</v>
      </c>
      <c r="K14" s="36"/>
      <c r="L14" s="37">
        <f t="shared" si="3"/>
        <v>113906.91959100001</v>
      </c>
      <c r="M14" s="37">
        <f t="shared" si="4"/>
        <v>27900</v>
      </c>
      <c r="N14" s="38">
        <f t="shared" si="5"/>
        <v>141735.45163632938</v>
      </c>
      <c r="O14" s="39">
        <f t="shared" si="6"/>
        <v>144570.16066905597</v>
      </c>
    </row>
    <row r="15" spans="1:16" ht="15" customHeight="1" x14ac:dyDescent="0.25">
      <c r="A15" s="40">
        <v>7</v>
      </c>
      <c r="B15" s="45" t="s">
        <v>29</v>
      </c>
      <c r="C15" s="44" t="s">
        <v>30</v>
      </c>
      <c r="D15" s="32"/>
      <c r="E15" s="33">
        <v>2.4899999999999999E-2</v>
      </c>
      <c r="F15" s="34">
        <v>225798.71108040755</v>
      </c>
      <c r="G15" s="41">
        <f>100672.27+150000</f>
        <v>250672.27000000002</v>
      </c>
      <c r="H15" s="36">
        <f t="shared" si="0"/>
        <v>0</v>
      </c>
      <c r="I15" s="36">
        <f t="shared" si="1"/>
        <v>0</v>
      </c>
      <c r="J15" s="36">
        <f t="shared" si="2"/>
        <v>24873.558919592469</v>
      </c>
      <c r="K15" s="36"/>
      <c r="L15" s="37">
        <f t="shared" si="3"/>
        <v>101658.863721</v>
      </c>
      <c r="M15" s="37">
        <f t="shared" si="4"/>
        <v>24900</v>
      </c>
      <c r="N15" s="38">
        <f t="shared" si="5"/>
        <v>101685.30480140753</v>
      </c>
      <c r="O15" s="39">
        <f t="shared" si="6"/>
        <v>103719.01089743568</v>
      </c>
    </row>
    <row r="16" spans="1:16" ht="15" customHeight="1" x14ac:dyDescent="0.25">
      <c r="A16" s="40">
        <v>8</v>
      </c>
      <c r="B16" s="45" t="s">
        <v>31</v>
      </c>
      <c r="C16" s="44" t="s">
        <v>32</v>
      </c>
      <c r="D16" s="32" t="s">
        <v>156</v>
      </c>
      <c r="E16" s="33">
        <v>2.1499999999999998E-2</v>
      </c>
      <c r="F16" s="34">
        <v>105433.125665</v>
      </c>
      <c r="G16" s="41">
        <f>F16</f>
        <v>105433.125665</v>
      </c>
      <c r="H16" s="36">
        <f t="shared" si="0"/>
        <v>0</v>
      </c>
      <c r="I16" s="36">
        <f t="shared" si="1"/>
        <v>0</v>
      </c>
      <c r="J16" s="36">
        <f t="shared" si="2"/>
        <v>0</v>
      </c>
      <c r="K16" s="36"/>
      <c r="L16" s="37">
        <f t="shared" si="3"/>
        <v>87777.733734999987</v>
      </c>
      <c r="M16" s="37">
        <f t="shared" si="4"/>
        <v>21500</v>
      </c>
      <c r="N16" s="38">
        <f t="shared" si="5"/>
        <v>109277.73373499999</v>
      </c>
      <c r="O16" s="39">
        <f t="shared" si="6"/>
        <v>111463.28840969999</v>
      </c>
    </row>
    <row r="17" spans="1:15" ht="15" customHeight="1" x14ac:dyDescent="0.25">
      <c r="A17" s="40">
        <v>9</v>
      </c>
      <c r="B17" s="45" t="s">
        <v>33</v>
      </c>
      <c r="C17" s="44" t="s">
        <v>34</v>
      </c>
      <c r="D17" s="32" t="s">
        <v>140</v>
      </c>
      <c r="E17" s="33">
        <v>1.3599999999999999E-2</v>
      </c>
      <c r="F17" s="34">
        <v>64152.551261960645</v>
      </c>
      <c r="G17" s="41">
        <v>70000</v>
      </c>
      <c r="H17" s="36">
        <f t="shared" si="0"/>
        <v>0</v>
      </c>
      <c r="I17" s="36">
        <f t="shared" si="1"/>
        <v>0</v>
      </c>
      <c r="J17" s="36">
        <f t="shared" si="2"/>
        <v>5847.4487380393548</v>
      </c>
      <c r="K17" s="36"/>
      <c r="L17" s="37">
        <f t="shared" si="3"/>
        <v>55524.519944</v>
      </c>
      <c r="M17" s="37">
        <f t="shared" si="4"/>
        <v>13600</v>
      </c>
      <c r="N17" s="38">
        <f t="shared" si="5"/>
        <v>63277.071205960645</v>
      </c>
      <c r="O17" s="39">
        <f t="shared" si="6"/>
        <v>64542.612630079857</v>
      </c>
    </row>
    <row r="18" spans="1:15" ht="15" customHeight="1" x14ac:dyDescent="0.25">
      <c r="A18" s="40">
        <v>10</v>
      </c>
      <c r="B18" s="45" t="s">
        <v>35</v>
      </c>
      <c r="C18" s="44" t="s">
        <v>139</v>
      </c>
      <c r="D18" s="32" t="s">
        <v>158</v>
      </c>
      <c r="E18" s="33">
        <v>2.7900000000000001E-2</v>
      </c>
      <c r="F18" s="34">
        <v>139360.44302247942</v>
      </c>
      <c r="G18" s="41">
        <f>F18</f>
        <v>139360.44302247942</v>
      </c>
      <c r="H18" s="36">
        <f>IF(F18&gt;G18,F18-G18,0)</f>
        <v>0</v>
      </c>
      <c r="I18" s="36">
        <f t="shared" si="1"/>
        <v>0</v>
      </c>
      <c r="J18" s="36">
        <f t="shared" si="2"/>
        <v>0</v>
      </c>
      <c r="K18" s="36"/>
      <c r="L18" s="37">
        <f t="shared" si="3"/>
        <v>113906.91959100001</v>
      </c>
      <c r="M18" s="37">
        <f t="shared" si="4"/>
        <v>27900</v>
      </c>
      <c r="N18" s="38">
        <f t="shared" si="5"/>
        <v>141806.91959100001</v>
      </c>
      <c r="O18" s="39">
        <f t="shared" si="6"/>
        <v>144643.05798282</v>
      </c>
    </row>
    <row r="19" spans="1:15" ht="15" customHeight="1" x14ac:dyDescent="0.25">
      <c r="A19" s="40">
        <v>11</v>
      </c>
      <c r="B19" s="45" t="s">
        <v>36</v>
      </c>
      <c r="C19" s="44" t="s">
        <v>37</v>
      </c>
      <c r="D19" s="164"/>
      <c r="E19" s="33">
        <v>2.4899999999999999E-2</v>
      </c>
      <c r="F19" s="34">
        <v>234293.67295747457</v>
      </c>
      <c r="G19" s="41"/>
      <c r="H19" s="36">
        <f t="shared" si="0"/>
        <v>234293.67295747457</v>
      </c>
      <c r="I19" s="36">
        <f t="shared" si="1"/>
        <v>7028.8101887242365</v>
      </c>
      <c r="J19" s="36">
        <f t="shared" si="2"/>
        <v>0</v>
      </c>
      <c r="K19" s="36"/>
      <c r="L19" s="37">
        <f t="shared" si="3"/>
        <v>101658.863721</v>
      </c>
      <c r="M19" s="37">
        <f t="shared" si="4"/>
        <v>24900</v>
      </c>
      <c r="N19" s="38">
        <f t="shared" si="5"/>
        <v>367881.34686719882</v>
      </c>
      <c r="O19" s="39">
        <f t="shared" si="6"/>
        <v>375238.97380454279</v>
      </c>
    </row>
    <row r="20" spans="1:15" ht="15" customHeight="1" x14ac:dyDescent="0.25">
      <c r="A20" s="40">
        <v>12</v>
      </c>
      <c r="B20" s="46" t="s">
        <v>38</v>
      </c>
      <c r="C20" s="47" t="s">
        <v>39</v>
      </c>
      <c r="D20" s="48"/>
      <c r="E20" s="33">
        <v>3.6700000000000003E-2</v>
      </c>
      <c r="F20" s="34">
        <v>183571.33144854003</v>
      </c>
      <c r="G20" s="41">
        <v>185000</v>
      </c>
      <c r="H20" s="36">
        <f t="shared" si="0"/>
        <v>0</v>
      </c>
      <c r="I20" s="36">
        <f t="shared" si="1"/>
        <v>0</v>
      </c>
      <c r="J20" s="36">
        <f t="shared" si="2"/>
        <v>1428.6685514599667</v>
      </c>
      <c r="K20" s="36"/>
      <c r="L20" s="37">
        <f t="shared" si="3"/>
        <v>149834.55014300003</v>
      </c>
      <c r="M20" s="37">
        <f t="shared" si="4"/>
        <v>36700</v>
      </c>
      <c r="N20" s="38">
        <f t="shared" si="5"/>
        <v>185105.88159154006</v>
      </c>
      <c r="O20" s="39">
        <f t="shared" si="6"/>
        <v>188807.99922337086</v>
      </c>
    </row>
    <row r="21" spans="1:15" ht="15" customHeight="1" x14ac:dyDescent="0.25">
      <c r="A21" s="40">
        <v>13</v>
      </c>
      <c r="B21" s="45" t="s">
        <v>40</v>
      </c>
      <c r="C21" s="44" t="s">
        <v>41</v>
      </c>
      <c r="D21" s="49" t="s">
        <v>142</v>
      </c>
      <c r="E21" s="33">
        <v>2.7900000000000001E-2</v>
      </c>
      <c r="F21" s="34">
        <v>136817.87004900002</v>
      </c>
      <c r="G21" s="41">
        <v>139555</v>
      </c>
      <c r="H21" s="36">
        <f t="shared" si="0"/>
        <v>0</v>
      </c>
      <c r="I21" s="36">
        <f t="shared" si="1"/>
        <v>0</v>
      </c>
      <c r="J21" s="36">
        <f t="shared" si="2"/>
        <v>2737.1299509999808</v>
      </c>
      <c r="K21" s="36"/>
      <c r="L21" s="37">
        <f t="shared" si="3"/>
        <v>113906.91959100001</v>
      </c>
      <c r="M21" s="37">
        <f t="shared" si="4"/>
        <v>27900</v>
      </c>
      <c r="N21" s="38">
        <f t="shared" si="5"/>
        <v>139069.78964000003</v>
      </c>
      <c r="O21" s="39">
        <f t="shared" si="6"/>
        <v>141851.18543280003</v>
      </c>
    </row>
    <row r="22" spans="1:15" ht="15" customHeight="1" x14ac:dyDescent="0.25">
      <c r="A22" s="40">
        <v>14</v>
      </c>
      <c r="B22" s="45" t="s">
        <v>42</v>
      </c>
      <c r="C22" s="44" t="s">
        <v>43</v>
      </c>
      <c r="D22" s="49"/>
      <c r="E22" s="33">
        <v>2.4899999999999999E-2</v>
      </c>
      <c r="F22" s="34">
        <v>122106.27111900001</v>
      </c>
      <c r="G22" s="41">
        <f>F22</f>
        <v>122106.27111900001</v>
      </c>
      <c r="H22" s="36">
        <f t="shared" si="0"/>
        <v>0</v>
      </c>
      <c r="I22" s="36">
        <f t="shared" si="1"/>
        <v>0</v>
      </c>
      <c r="J22" s="36">
        <f t="shared" si="2"/>
        <v>0</v>
      </c>
      <c r="K22" s="36"/>
      <c r="L22" s="37">
        <f t="shared" si="3"/>
        <v>101658.863721</v>
      </c>
      <c r="M22" s="37">
        <f t="shared" si="4"/>
        <v>24900</v>
      </c>
      <c r="N22" s="38">
        <f t="shared" si="5"/>
        <v>126558.863721</v>
      </c>
      <c r="O22" s="39">
        <f t="shared" si="6"/>
        <v>129090.04099542</v>
      </c>
    </row>
    <row r="23" spans="1:15" ht="15" customHeight="1" x14ac:dyDescent="0.25">
      <c r="A23" s="40">
        <v>15</v>
      </c>
      <c r="B23" s="50" t="s">
        <v>44</v>
      </c>
      <c r="C23" s="51" t="s">
        <v>45</v>
      </c>
      <c r="D23" s="52" t="s">
        <v>150</v>
      </c>
      <c r="E23" s="33">
        <v>3.6700000000000003E-2</v>
      </c>
      <c r="F23" s="34">
        <v>179971.89357700004</v>
      </c>
      <c r="G23" s="41">
        <f>F23</f>
        <v>179971.89357700004</v>
      </c>
      <c r="H23" s="36">
        <f t="shared" si="0"/>
        <v>0</v>
      </c>
      <c r="I23" s="36">
        <f t="shared" si="1"/>
        <v>0</v>
      </c>
      <c r="J23" s="36">
        <f t="shared" si="2"/>
        <v>0</v>
      </c>
      <c r="K23" s="36"/>
      <c r="L23" s="37">
        <f t="shared" si="3"/>
        <v>149834.55014300003</v>
      </c>
      <c r="M23" s="37">
        <f t="shared" si="4"/>
        <v>36700</v>
      </c>
      <c r="N23" s="38">
        <f t="shared" si="5"/>
        <v>186534.55014300003</v>
      </c>
      <c r="O23" s="39">
        <f t="shared" si="6"/>
        <v>190265.24114586003</v>
      </c>
    </row>
    <row r="24" spans="1:15" ht="15" customHeight="1" x14ac:dyDescent="0.25">
      <c r="A24" s="40">
        <v>16</v>
      </c>
      <c r="B24" s="53" t="s">
        <v>46</v>
      </c>
      <c r="C24" s="54" t="s">
        <v>47</v>
      </c>
      <c r="D24" s="55" t="s">
        <v>169</v>
      </c>
      <c r="E24" s="33">
        <v>2.7900000000000001E-2</v>
      </c>
      <c r="F24" s="34">
        <v>139554.22744998001</v>
      </c>
      <c r="G24" s="41">
        <f>F24</f>
        <v>139554.22744998001</v>
      </c>
      <c r="H24" s="36">
        <f t="shared" si="0"/>
        <v>0</v>
      </c>
      <c r="I24" s="36">
        <f t="shared" si="1"/>
        <v>0</v>
      </c>
      <c r="J24" s="36">
        <f t="shared" si="2"/>
        <v>0</v>
      </c>
      <c r="K24" s="36"/>
      <c r="L24" s="37">
        <f t="shared" si="3"/>
        <v>113906.91959100001</v>
      </c>
      <c r="M24" s="37">
        <f t="shared" si="4"/>
        <v>27900</v>
      </c>
      <c r="N24" s="38">
        <f t="shared" si="5"/>
        <v>141806.91959100001</v>
      </c>
      <c r="O24" s="39">
        <f t="shared" si="6"/>
        <v>144643.05798282</v>
      </c>
    </row>
    <row r="25" spans="1:15" s="57" customFormat="1" ht="15.75" customHeight="1" x14ac:dyDescent="0.35">
      <c r="A25" s="40">
        <v>17</v>
      </c>
      <c r="B25" s="56" t="s">
        <v>48</v>
      </c>
      <c r="C25" s="54" t="s">
        <v>49</v>
      </c>
      <c r="D25" s="55"/>
      <c r="E25" s="33">
        <v>2.4899999999999999E-2</v>
      </c>
      <c r="F25" s="34">
        <v>111125.84412080752</v>
      </c>
      <c r="G25" s="41">
        <f>F25</f>
        <v>111125.84412080752</v>
      </c>
      <c r="H25" s="36">
        <f t="shared" si="0"/>
        <v>0</v>
      </c>
      <c r="I25" s="36">
        <f t="shared" si="1"/>
        <v>0</v>
      </c>
      <c r="J25" s="36">
        <f t="shared" si="2"/>
        <v>0</v>
      </c>
      <c r="K25" s="36"/>
      <c r="L25" s="37">
        <f t="shared" si="3"/>
        <v>101658.863721</v>
      </c>
      <c r="M25" s="37">
        <f t="shared" si="4"/>
        <v>24900</v>
      </c>
      <c r="N25" s="38">
        <f t="shared" si="5"/>
        <v>126558.863721</v>
      </c>
      <c r="O25" s="39">
        <f t="shared" si="6"/>
        <v>129090.04099542</v>
      </c>
    </row>
    <row r="26" spans="1:15" ht="15" customHeight="1" x14ac:dyDescent="0.25">
      <c r="A26" s="40">
        <v>18</v>
      </c>
      <c r="B26" s="58" t="s">
        <v>50</v>
      </c>
      <c r="C26" s="54" t="s">
        <v>51</v>
      </c>
      <c r="D26" s="55"/>
      <c r="E26" s="33">
        <v>3.6700000000000003E-2</v>
      </c>
      <c r="F26" s="34">
        <v>179954.20487368025</v>
      </c>
      <c r="G26" s="41">
        <v>180000</v>
      </c>
      <c r="H26" s="36">
        <f t="shared" si="0"/>
        <v>0</v>
      </c>
      <c r="I26" s="36">
        <f t="shared" si="1"/>
        <v>0</v>
      </c>
      <c r="J26" s="36">
        <f t="shared" si="2"/>
        <v>45.795126319746487</v>
      </c>
      <c r="K26" s="36"/>
      <c r="L26" s="37">
        <f t="shared" si="3"/>
        <v>149834.55014300003</v>
      </c>
      <c r="M26" s="37">
        <f t="shared" si="4"/>
        <v>36700</v>
      </c>
      <c r="N26" s="38">
        <f t="shared" si="5"/>
        <v>186488.75501668028</v>
      </c>
      <c r="O26" s="39">
        <f t="shared" si="6"/>
        <v>190218.5301170139</v>
      </c>
    </row>
    <row r="27" spans="1:15" ht="15" customHeight="1" x14ac:dyDescent="0.25">
      <c r="A27" s="40">
        <v>19</v>
      </c>
      <c r="B27" s="53" t="s">
        <v>52</v>
      </c>
      <c r="C27" s="54" t="s">
        <v>53</v>
      </c>
      <c r="D27" s="55"/>
      <c r="E27" s="33">
        <v>2.7900000000000001E-2</v>
      </c>
      <c r="F27" s="34">
        <v>136817.87004900002</v>
      </c>
      <c r="G27" s="41">
        <f>F27</f>
        <v>136817.87004900002</v>
      </c>
      <c r="H27" s="36">
        <f t="shared" si="0"/>
        <v>0</v>
      </c>
      <c r="I27" s="36">
        <f t="shared" si="1"/>
        <v>0</v>
      </c>
      <c r="J27" s="36">
        <f t="shared" si="2"/>
        <v>0</v>
      </c>
      <c r="K27" s="36"/>
      <c r="L27" s="37">
        <f t="shared" si="3"/>
        <v>113906.91959100001</v>
      </c>
      <c r="M27" s="37">
        <f t="shared" si="4"/>
        <v>27900</v>
      </c>
      <c r="N27" s="38">
        <f t="shared" si="5"/>
        <v>141806.91959100001</v>
      </c>
      <c r="O27" s="39">
        <f t="shared" si="6"/>
        <v>144643.05798282</v>
      </c>
    </row>
    <row r="28" spans="1:15" ht="15" customHeight="1" x14ac:dyDescent="0.25">
      <c r="A28" s="40">
        <v>20</v>
      </c>
      <c r="B28" s="58" t="s">
        <v>54</v>
      </c>
      <c r="C28" s="54" t="s">
        <v>55</v>
      </c>
      <c r="D28" s="55"/>
      <c r="E28" s="33">
        <v>2.4899999999999999E-2</v>
      </c>
      <c r="F28" s="34">
        <v>339170.8662060597</v>
      </c>
      <c r="G28" s="41"/>
      <c r="H28" s="59">
        <f t="shared" si="0"/>
        <v>339170.8662060597</v>
      </c>
      <c r="I28" s="36">
        <f t="shared" si="1"/>
        <v>10175.125986181791</v>
      </c>
      <c r="J28" s="36">
        <f t="shared" si="2"/>
        <v>0</v>
      </c>
      <c r="K28" s="36"/>
      <c r="L28" s="37">
        <f t="shared" si="3"/>
        <v>101658.863721</v>
      </c>
      <c r="M28" s="37">
        <f t="shared" si="4"/>
        <v>24900</v>
      </c>
      <c r="N28" s="38">
        <f t="shared" si="5"/>
        <v>475904.85591324151</v>
      </c>
      <c r="O28" s="39">
        <f t="shared" si="6"/>
        <v>485422.95303150633</v>
      </c>
    </row>
    <row r="29" spans="1:15" ht="15" customHeight="1" x14ac:dyDescent="0.25">
      <c r="A29" s="40">
        <v>21</v>
      </c>
      <c r="B29" s="53" t="s">
        <v>56</v>
      </c>
      <c r="C29" s="54" t="s">
        <v>57</v>
      </c>
      <c r="D29" s="55" t="s">
        <v>157</v>
      </c>
      <c r="E29" s="33">
        <v>3.6700000000000003E-2</v>
      </c>
      <c r="F29" s="34">
        <v>179971.89357700004</v>
      </c>
      <c r="G29" s="41">
        <f>F29</f>
        <v>179971.89357700004</v>
      </c>
      <c r="H29" s="36">
        <f t="shared" si="0"/>
        <v>0</v>
      </c>
      <c r="I29" s="36">
        <f t="shared" si="1"/>
        <v>0</v>
      </c>
      <c r="J29" s="36">
        <f t="shared" si="2"/>
        <v>0</v>
      </c>
      <c r="K29" s="36"/>
      <c r="L29" s="37">
        <f t="shared" si="3"/>
        <v>149834.55014300003</v>
      </c>
      <c r="M29" s="37">
        <f t="shared" si="4"/>
        <v>36700</v>
      </c>
      <c r="N29" s="38">
        <f t="shared" si="5"/>
        <v>186534.55014300003</v>
      </c>
      <c r="O29" s="39">
        <f t="shared" si="6"/>
        <v>190265.24114586003</v>
      </c>
    </row>
    <row r="30" spans="1:15" ht="15" customHeight="1" x14ac:dyDescent="0.25">
      <c r="A30" s="40">
        <v>22</v>
      </c>
      <c r="B30" s="53" t="s">
        <v>58</v>
      </c>
      <c r="C30" s="54" t="s">
        <v>59</v>
      </c>
      <c r="D30" s="55" t="s">
        <v>60</v>
      </c>
      <c r="E30" s="33">
        <v>2.7900000000000001E-2</v>
      </c>
      <c r="F30" s="34">
        <v>136817.87004900002</v>
      </c>
      <c r="G30" s="41">
        <f>F30</f>
        <v>136817.87004900002</v>
      </c>
      <c r="H30" s="36">
        <f t="shared" si="0"/>
        <v>0</v>
      </c>
      <c r="I30" s="36">
        <f t="shared" si="1"/>
        <v>0</v>
      </c>
      <c r="J30" s="36">
        <f t="shared" si="2"/>
        <v>0</v>
      </c>
      <c r="K30" s="36"/>
      <c r="L30" s="37">
        <f t="shared" si="3"/>
        <v>113906.91959100001</v>
      </c>
      <c r="M30" s="37">
        <f t="shared" si="4"/>
        <v>27900</v>
      </c>
      <c r="N30" s="38">
        <f t="shared" si="5"/>
        <v>141806.91959100001</v>
      </c>
      <c r="O30" s="39">
        <f t="shared" si="6"/>
        <v>144643.05798282</v>
      </c>
    </row>
    <row r="31" spans="1:15" ht="15" customHeight="1" x14ac:dyDescent="0.25">
      <c r="A31" s="40">
        <v>23</v>
      </c>
      <c r="B31" s="53" t="s">
        <v>61</v>
      </c>
      <c r="C31" s="54" t="s">
        <v>62</v>
      </c>
      <c r="D31" s="55"/>
      <c r="E31" s="33">
        <v>2.4899999999999999E-2</v>
      </c>
      <c r="F31" s="34">
        <v>122106.27111900001</v>
      </c>
      <c r="G31" s="41">
        <f>F31</f>
        <v>122106.27111900001</v>
      </c>
      <c r="H31" s="36">
        <f t="shared" si="0"/>
        <v>0</v>
      </c>
      <c r="I31" s="36">
        <f t="shared" si="1"/>
        <v>0</v>
      </c>
      <c r="J31" s="36">
        <f t="shared" si="2"/>
        <v>0</v>
      </c>
      <c r="K31" s="36"/>
      <c r="L31" s="37">
        <f t="shared" si="3"/>
        <v>101658.863721</v>
      </c>
      <c r="M31" s="37">
        <f t="shared" si="4"/>
        <v>24900</v>
      </c>
      <c r="N31" s="38">
        <f t="shared" si="5"/>
        <v>126558.863721</v>
      </c>
      <c r="O31" s="39">
        <f t="shared" si="6"/>
        <v>129090.04099542</v>
      </c>
    </row>
    <row r="32" spans="1:15" ht="15.75" x14ac:dyDescent="0.25">
      <c r="A32" s="60">
        <v>24</v>
      </c>
      <c r="B32" s="61" t="s">
        <v>63</v>
      </c>
      <c r="C32" s="62" t="s">
        <v>64</v>
      </c>
      <c r="D32" s="6" t="s">
        <v>167</v>
      </c>
      <c r="E32" s="33">
        <v>3.6700000000000003E-2</v>
      </c>
      <c r="F32" s="20">
        <v>351783.84912011877</v>
      </c>
      <c r="G32" s="41">
        <v>166808</v>
      </c>
      <c r="H32" s="36">
        <f t="shared" si="0"/>
        <v>184975.84912011877</v>
      </c>
      <c r="I32" s="36">
        <f t="shared" si="1"/>
        <v>5549.2754736035631</v>
      </c>
      <c r="J32" s="36">
        <f t="shared" si="2"/>
        <v>0</v>
      </c>
      <c r="K32" s="6"/>
      <c r="L32" s="37">
        <f t="shared" si="3"/>
        <v>149834.55014300003</v>
      </c>
      <c r="M32" s="37">
        <f t="shared" si="4"/>
        <v>36700</v>
      </c>
      <c r="N32" s="38">
        <f t="shared" si="5"/>
        <v>377059.67473672237</v>
      </c>
      <c r="O32" s="39">
        <f t="shared" si="6"/>
        <v>384600.86823145684</v>
      </c>
    </row>
    <row r="33" spans="1:16" ht="15.75" x14ac:dyDescent="0.25">
      <c r="A33" s="6">
        <f>A32+1</f>
        <v>25</v>
      </c>
      <c r="B33" s="61" t="s">
        <v>65</v>
      </c>
      <c r="C33" s="62" t="s">
        <v>66</v>
      </c>
      <c r="D33" s="6" t="s">
        <v>67</v>
      </c>
      <c r="E33" s="33">
        <v>2.7900000000000001E-2</v>
      </c>
      <c r="F33" s="146">
        <v>139548.50264895963</v>
      </c>
      <c r="G33" s="146">
        <v>136900</v>
      </c>
      <c r="H33" s="36">
        <f t="shared" si="0"/>
        <v>2648.5026489596348</v>
      </c>
      <c r="I33" s="36">
        <f t="shared" si="1"/>
        <v>79.455079468789037</v>
      </c>
      <c r="J33" s="36">
        <f t="shared" si="2"/>
        <v>0</v>
      </c>
      <c r="K33" s="9"/>
      <c r="L33" s="37">
        <f t="shared" si="3"/>
        <v>113906.91959100001</v>
      </c>
      <c r="M33" s="37">
        <f t="shared" si="4"/>
        <v>27900</v>
      </c>
      <c r="N33" s="38">
        <f t="shared" si="5"/>
        <v>144534.87731942843</v>
      </c>
      <c r="O33" s="39">
        <f t="shared" si="6"/>
        <v>147425.57486581701</v>
      </c>
    </row>
    <row r="34" spans="1:16" ht="15.75" x14ac:dyDescent="0.25">
      <c r="A34" s="6">
        <f t="shared" ref="A34:A42" si="7">A33+1</f>
        <v>26</v>
      </c>
      <c r="B34" s="61" t="s">
        <v>68</v>
      </c>
      <c r="C34" s="62" t="s">
        <v>69</v>
      </c>
      <c r="D34" s="6" t="s">
        <v>70</v>
      </c>
      <c r="E34" s="33">
        <v>2.4899999999999999E-2</v>
      </c>
      <c r="F34" s="20">
        <v>122106.27111900001</v>
      </c>
      <c r="G34" s="146">
        <f>F34</f>
        <v>122106.27111900001</v>
      </c>
      <c r="H34" s="36">
        <f t="shared" si="0"/>
        <v>0</v>
      </c>
      <c r="I34" s="36">
        <f t="shared" si="1"/>
        <v>0</v>
      </c>
      <c r="J34" s="36">
        <f t="shared" si="2"/>
        <v>0</v>
      </c>
      <c r="K34" s="6"/>
      <c r="L34" s="37">
        <f t="shared" si="3"/>
        <v>101658.863721</v>
      </c>
      <c r="M34" s="37">
        <f t="shared" si="4"/>
        <v>24900</v>
      </c>
      <c r="N34" s="38">
        <f t="shared" si="5"/>
        <v>126558.863721</v>
      </c>
      <c r="O34" s="39">
        <f t="shared" si="6"/>
        <v>129090.04099542</v>
      </c>
    </row>
    <row r="35" spans="1:16" ht="15.75" x14ac:dyDescent="0.25">
      <c r="A35" s="6">
        <f t="shared" si="7"/>
        <v>27</v>
      </c>
      <c r="B35" s="61" t="s">
        <v>71</v>
      </c>
      <c r="C35" s="62" t="s">
        <v>72</v>
      </c>
      <c r="D35" s="6"/>
      <c r="E35" s="33">
        <v>3.6700000000000003E-2</v>
      </c>
      <c r="F35" s="20">
        <v>179972.09455015071</v>
      </c>
      <c r="G35" s="146">
        <f>F35</f>
        <v>179972.09455015071</v>
      </c>
      <c r="H35" s="36">
        <f t="shared" si="0"/>
        <v>0</v>
      </c>
      <c r="I35" s="36">
        <f t="shared" si="1"/>
        <v>0</v>
      </c>
      <c r="J35" s="36">
        <f t="shared" si="2"/>
        <v>0</v>
      </c>
      <c r="K35" s="6"/>
      <c r="L35" s="37">
        <f t="shared" si="3"/>
        <v>149834.55014300003</v>
      </c>
      <c r="M35" s="37">
        <f t="shared" si="4"/>
        <v>36700</v>
      </c>
      <c r="N35" s="38">
        <f t="shared" si="5"/>
        <v>186534.55014300003</v>
      </c>
      <c r="O35" s="39">
        <f t="shared" si="6"/>
        <v>190265.24114586003</v>
      </c>
    </row>
    <row r="36" spans="1:16" ht="15.75" x14ac:dyDescent="0.25">
      <c r="A36" s="6">
        <f t="shared" si="7"/>
        <v>28</v>
      </c>
      <c r="B36" s="61" t="s">
        <v>73</v>
      </c>
      <c r="C36" s="62" t="s">
        <v>69</v>
      </c>
      <c r="D36" s="6" t="s">
        <v>74</v>
      </c>
      <c r="E36" s="33">
        <v>2.7900000000000001E-2</v>
      </c>
      <c r="F36" s="20">
        <v>136817.87004900002</v>
      </c>
      <c r="G36" s="146">
        <f>F36</f>
        <v>136817.87004900002</v>
      </c>
      <c r="H36" s="36">
        <f t="shared" si="0"/>
        <v>0</v>
      </c>
      <c r="I36" s="36">
        <f t="shared" si="1"/>
        <v>0</v>
      </c>
      <c r="J36" s="36">
        <f t="shared" si="2"/>
        <v>0</v>
      </c>
      <c r="K36" s="6"/>
      <c r="L36" s="37">
        <f t="shared" si="3"/>
        <v>113906.91959100001</v>
      </c>
      <c r="M36" s="37">
        <f t="shared" si="4"/>
        <v>27900</v>
      </c>
      <c r="N36" s="38">
        <f t="shared" si="5"/>
        <v>141806.91959100001</v>
      </c>
      <c r="O36" s="39">
        <f t="shared" si="6"/>
        <v>144643.05798282</v>
      </c>
    </row>
    <row r="37" spans="1:16" ht="15.75" x14ac:dyDescent="0.25">
      <c r="A37" s="6">
        <f t="shared" si="7"/>
        <v>29</v>
      </c>
      <c r="B37" s="61" t="s">
        <v>75</v>
      </c>
      <c r="C37" s="62" t="s">
        <v>76</v>
      </c>
      <c r="D37" s="6" t="s">
        <v>159</v>
      </c>
      <c r="E37" s="33">
        <v>2.4899999999999999E-2</v>
      </c>
      <c r="F37" s="20">
        <v>122106.27111900001</v>
      </c>
      <c r="G37" s="146">
        <f>124548.4</f>
        <v>124548.4</v>
      </c>
      <c r="H37" s="36">
        <f t="shared" si="0"/>
        <v>0</v>
      </c>
      <c r="I37" s="36">
        <f t="shared" si="1"/>
        <v>0</v>
      </c>
      <c r="J37" s="36">
        <f t="shared" si="2"/>
        <v>2442.1288809999824</v>
      </c>
      <c r="K37" s="6"/>
      <c r="L37" s="37">
        <f t="shared" si="3"/>
        <v>101658.863721</v>
      </c>
      <c r="M37" s="37">
        <f t="shared" si="4"/>
        <v>24900</v>
      </c>
      <c r="N37" s="38">
        <f t="shared" si="5"/>
        <v>124116.73484000002</v>
      </c>
      <c r="O37" s="39">
        <f t="shared" si="6"/>
        <v>126599.06953680002</v>
      </c>
    </row>
    <row r="38" spans="1:16" ht="15.75" x14ac:dyDescent="0.25">
      <c r="A38" s="6">
        <f t="shared" si="7"/>
        <v>30</v>
      </c>
      <c r="B38" s="61" t="s">
        <v>77</v>
      </c>
      <c r="C38" s="62" t="s">
        <v>78</v>
      </c>
      <c r="D38" s="6" t="s">
        <v>79</v>
      </c>
      <c r="E38" s="33">
        <v>2.1499999999999998E-2</v>
      </c>
      <c r="F38" s="20">
        <v>105433.125665</v>
      </c>
      <c r="G38" s="146">
        <f t="shared" ref="G38" si="8">F38</f>
        <v>105433.125665</v>
      </c>
      <c r="H38" s="36">
        <f t="shared" si="0"/>
        <v>0</v>
      </c>
      <c r="I38" s="36">
        <f t="shared" si="1"/>
        <v>0</v>
      </c>
      <c r="J38" s="36">
        <f t="shared" si="2"/>
        <v>0</v>
      </c>
      <c r="K38" s="9"/>
      <c r="L38" s="37">
        <f t="shared" si="3"/>
        <v>87777.733734999987</v>
      </c>
      <c r="M38" s="37">
        <f t="shared" si="4"/>
        <v>21500</v>
      </c>
      <c r="N38" s="38">
        <f t="shared" si="5"/>
        <v>109277.73373499999</v>
      </c>
      <c r="O38" s="39">
        <f t="shared" si="6"/>
        <v>111463.28840969999</v>
      </c>
    </row>
    <row r="39" spans="1:16" ht="15.75" x14ac:dyDescent="0.25">
      <c r="A39" s="6">
        <f t="shared" si="7"/>
        <v>31</v>
      </c>
      <c r="B39" s="61" t="s">
        <v>80</v>
      </c>
      <c r="C39" s="62" t="s">
        <v>81</v>
      </c>
      <c r="D39" s="6" t="s">
        <v>82</v>
      </c>
      <c r="E39" s="33">
        <v>1.3599999999999999E-2</v>
      </c>
      <c r="F39" s="20">
        <v>66692.581816000005</v>
      </c>
      <c r="G39" s="146">
        <f>F39</f>
        <v>66692.581816000005</v>
      </c>
      <c r="H39" s="36">
        <f t="shared" si="0"/>
        <v>0</v>
      </c>
      <c r="I39" s="36">
        <f t="shared" si="1"/>
        <v>0</v>
      </c>
      <c r="J39" s="36">
        <f t="shared" si="2"/>
        <v>0</v>
      </c>
      <c r="K39" s="9"/>
      <c r="L39" s="37">
        <f t="shared" si="3"/>
        <v>55524.519944</v>
      </c>
      <c r="M39" s="37">
        <f t="shared" si="4"/>
        <v>13600</v>
      </c>
      <c r="N39" s="38">
        <f t="shared" si="5"/>
        <v>69124.519944</v>
      </c>
      <c r="O39" s="39">
        <f t="shared" si="6"/>
        <v>70507.010342880007</v>
      </c>
    </row>
    <row r="40" spans="1:16" ht="15.75" x14ac:dyDescent="0.25">
      <c r="A40" s="6">
        <f t="shared" si="7"/>
        <v>32</v>
      </c>
      <c r="B40" s="61" t="s">
        <v>83</v>
      </c>
      <c r="C40" s="62" t="s">
        <v>84</v>
      </c>
      <c r="D40" s="6"/>
      <c r="E40" s="33">
        <v>2.7900000000000001E-2</v>
      </c>
      <c r="F40" s="20">
        <v>-80803.551613018033</v>
      </c>
      <c r="G40" s="146">
        <v>140000</v>
      </c>
      <c r="H40" s="36">
        <f t="shared" si="0"/>
        <v>0</v>
      </c>
      <c r="I40" s="36">
        <f t="shared" si="1"/>
        <v>0</v>
      </c>
      <c r="J40" s="36">
        <f t="shared" si="2"/>
        <v>220803.55161301803</v>
      </c>
      <c r="K40" s="9"/>
      <c r="L40" s="37">
        <f t="shared" si="3"/>
        <v>113906.91959100001</v>
      </c>
      <c r="M40" s="37">
        <f t="shared" si="4"/>
        <v>27900</v>
      </c>
      <c r="N40" s="38">
        <f t="shared" si="5"/>
        <v>-78996.632022018021</v>
      </c>
      <c r="O40" s="39">
        <f t="shared" si="6"/>
        <v>-80576.564662458375</v>
      </c>
    </row>
    <row r="41" spans="1:16" ht="15.75" x14ac:dyDescent="0.25">
      <c r="A41" s="6">
        <f t="shared" si="7"/>
        <v>33</v>
      </c>
      <c r="B41" s="61" t="s">
        <v>85</v>
      </c>
      <c r="C41" s="62" t="s">
        <v>86</v>
      </c>
      <c r="D41" s="6" t="s">
        <v>144</v>
      </c>
      <c r="E41" s="33">
        <v>2.4899999999999999E-2</v>
      </c>
      <c r="F41" s="20">
        <v>122106.27111900001</v>
      </c>
      <c r="G41" s="146">
        <f>F41</f>
        <v>122106.27111900001</v>
      </c>
      <c r="H41" s="36">
        <f t="shared" si="0"/>
        <v>0</v>
      </c>
      <c r="I41" s="36">
        <f t="shared" si="1"/>
        <v>0</v>
      </c>
      <c r="J41" s="36">
        <f t="shared" si="2"/>
        <v>0</v>
      </c>
      <c r="K41" s="9"/>
      <c r="L41" s="37">
        <f t="shared" si="3"/>
        <v>101658.863721</v>
      </c>
      <c r="M41" s="37">
        <f t="shared" si="4"/>
        <v>24900</v>
      </c>
      <c r="N41" s="38">
        <f t="shared" si="5"/>
        <v>126558.863721</v>
      </c>
      <c r="O41" s="39">
        <f t="shared" si="6"/>
        <v>129090.04099542</v>
      </c>
    </row>
    <row r="42" spans="1:16" ht="16.5" thickBot="1" x14ac:dyDescent="0.3">
      <c r="A42" s="63">
        <f t="shared" si="7"/>
        <v>34</v>
      </c>
      <c r="B42" s="64" t="s">
        <v>87</v>
      </c>
      <c r="C42" s="65" t="s">
        <v>64</v>
      </c>
      <c r="D42" s="63" t="s">
        <v>88</v>
      </c>
      <c r="E42" s="33">
        <v>3.6700000000000003E-2</v>
      </c>
      <c r="F42" s="66">
        <v>179972.21421258067</v>
      </c>
      <c r="G42" s="166">
        <f>188321.89</f>
        <v>188321.89</v>
      </c>
      <c r="H42" s="36">
        <f t="shared" si="0"/>
        <v>0</v>
      </c>
      <c r="I42" s="36">
        <f t="shared" si="1"/>
        <v>0</v>
      </c>
      <c r="J42" s="36">
        <f t="shared" si="2"/>
        <v>8349.6757874193427</v>
      </c>
      <c r="K42" s="67"/>
      <c r="L42" s="37">
        <f t="shared" si="3"/>
        <v>149834.55014300003</v>
      </c>
      <c r="M42" s="37">
        <f t="shared" si="4"/>
        <v>36700</v>
      </c>
      <c r="N42" s="38">
        <f t="shared" si="5"/>
        <v>178184.87435558069</v>
      </c>
      <c r="O42" s="39">
        <f t="shared" si="6"/>
        <v>181748.5718426923</v>
      </c>
    </row>
    <row r="43" spans="1:16" ht="15.75" thickBot="1" x14ac:dyDescent="0.3">
      <c r="A43" s="68"/>
      <c r="B43" s="68"/>
      <c r="C43" s="69"/>
      <c r="D43" s="69"/>
      <c r="E43" s="70">
        <f>SUM(E9:E42)</f>
        <v>1.0035000000000001</v>
      </c>
      <c r="F43" s="71">
        <f>SUM(F9:F42)</f>
        <v>5439973.1671172278</v>
      </c>
      <c r="G43" s="248">
        <f t="shared" ref="G43:N43" si="9">SUM(G9:G42)</f>
        <v>4829973.1820290927</v>
      </c>
      <c r="H43" s="72">
        <f t="shared" si="9"/>
        <v>876599.41061065427</v>
      </c>
      <c r="I43" s="73">
        <f t="shared" si="9"/>
        <v>26297.982318319628</v>
      </c>
      <c r="J43" s="74">
        <f t="shared" si="9"/>
        <v>266599.42552251951</v>
      </c>
      <c r="K43" s="157">
        <f t="shared" si="9"/>
        <v>0</v>
      </c>
      <c r="L43" s="71">
        <f t="shared" si="9"/>
        <v>4096974.6885150005</v>
      </c>
      <c r="M43" s="71">
        <f t="shared" si="9"/>
        <v>1003500</v>
      </c>
      <c r="N43" s="71">
        <f t="shared" si="9"/>
        <v>5736772.6559214545</v>
      </c>
      <c r="O43" s="71"/>
      <c r="P43" s="75"/>
    </row>
    <row r="44" spans="1:16" x14ac:dyDescent="0.25">
      <c r="A44" s="76"/>
    </row>
    <row r="45" spans="1:16" x14ac:dyDescent="0.25">
      <c r="A45" s="76"/>
    </row>
    <row r="46" spans="1:16" x14ac:dyDescent="0.25">
      <c r="A46" s="76"/>
    </row>
    <row r="47" spans="1:16" x14ac:dyDescent="0.25">
      <c r="A47" s="76"/>
    </row>
    <row r="48" spans="1:16" x14ac:dyDescent="0.25">
      <c r="A48" s="76"/>
    </row>
    <row r="49" spans="1:1" x14ac:dyDescent="0.25">
      <c r="A49" s="76"/>
    </row>
    <row r="50" spans="1:1" x14ac:dyDescent="0.25">
      <c r="A50" s="76"/>
    </row>
    <row r="51" spans="1:1" x14ac:dyDescent="0.25">
      <c r="A51" s="76"/>
    </row>
    <row r="52" spans="1:1" x14ac:dyDescent="0.25">
      <c r="A52" s="76"/>
    </row>
    <row r="53" spans="1:1" x14ac:dyDescent="0.25">
      <c r="A53" s="76"/>
    </row>
    <row r="54" spans="1:1" x14ac:dyDescent="0.25">
      <c r="A54" s="76"/>
    </row>
    <row r="55" spans="1:1" x14ac:dyDescent="0.25">
      <c r="A55" s="76"/>
    </row>
  </sheetData>
  <mergeCells count="3">
    <mergeCell ref="F3:J6"/>
    <mergeCell ref="B5:C5"/>
    <mergeCell ref="B7:C7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"/>
  <sheetViews>
    <sheetView topLeftCell="A52" workbookViewId="0">
      <selection activeCell="H114" sqref="H114"/>
    </sheetView>
  </sheetViews>
  <sheetFormatPr baseColWidth="10" defaultRowHeight="15" x14ac:dyDescent="0.25"/>
  <cols>
    <col min="1" max="1" width="18.7109375" customWidth="1"/>
    <col min="2" max="2" width="14.28515625" customWidth="1"/>
    <col min="3" max="3" width="13.5703125" customWidth="1"/>
    <col min="4" max="4" width="24.5703125" customWidth="1"/>
    <col min="5" max="5" width="17.28515625" customWidth="1"/>
    <col min="6" max="6" width="15.7109375" customWidth="1"/>
    <col min="8" max="8" width="25.42578125" customWidth="1"/>
    <col min="9" max="9" width="15.5703125" bestFit="1" customWidth="1"/>
    <col min="10" max="11" width="14.5703125" bestFit="1" customWidth="1"/>
  </cols>
  <sheetData>
    <row r="1" spans="1:8" x14ac:dyDescent="0.25">
      <c r="A1" s="78"/>
      <c r="B1" s="79"/>
      <c r="C1" s="79"/>
      <c r="D1" s="79"/>
      <c r="E1" s="79"/>
      <c r="F1" s="79"/>
      <c r="G1" s="79"/>
      <c r="H1" s="80"/>
    </row>
    <row r="2" spans="1:8" ht="15.75" x14ac:dyDescent="0.25">
      <c r="A2" s="43"/>
      <c r="B2" s="76"/>
      <c r="C2" s="76"/>
      <c r="D2" s="238"/>
      <c r="E2" s="239"/>
      <c r="F2" s="239"/>
      <c r="G2" s="239"/>
      <c r="H2" s="240"/>
    </row>
    <row r="3" spans="1:8" x14ac:dyDescent="0.25">
      <c r="A3" s="43"/>
      <c r="B3" s="76"/>
      <c r="C3" s="76"/>
      <c r="D3" s="81" t="s">
        <v>89</v>
      </c>
      <c r="E3" s="241" t="s">
        <v>90</v>
      </c>
      <c r="F3" s="241"/>
      <c r="G3" s="241"/>
      <c r="H3" s="242"/>
    </row>
    <row r="4" spans="1:8" x14ac:dyDescent="0.25">
      <c r="A4" s="43"/>
      <c r="B4" s="76"/>
      <c r="C4" s="76"/>
      <c r="D4" s="81" t="s">
        <v>91</v>
      </c>
      <c r="E4" s="82" t="s">
        <v>92</v>
      </c>
      <c r="F4" s="76"/>
      <c r="G4" s="76"/>
      <c r="H4" s="83"/>
    </row>
    <row r="5" spans="1:8" x14ac:dyDescent="0.25">
      <c r="A5" s="43"/>
      <c r="B5" s="76"/>
      <c r="C5" s="76"/>
      <c r="D5" s="81" t="s">
        <v>93</v>
      </c>
      <c r="E5" s="84">
        <v>27231256879</v>
      </c>
      <c r="F5" s="76"/>
      <c r="G5" s="76"/>
      <c r="H5" s="83"/>
    </row>
    <row r="6" spans="1:8" x14ac:dyDescent="0.25">
      <c r="A6" s="43"/>
      <c r="B6" s="76"/>
      <c r="C6" s="76"/>
      <c r="D6" s="85" t="s">
        <v>94</v>
      </c>
      <c r="E6" s="76"/>
      <c r="F6" s="76"/>
      <c r="G6" s="76" t="s">
        <v>95</v>
      </c>
      <c r="H6" s="83"/>
    </row>
    <row r="7" spans="1:8" x14ac:dyDescent="0.25">
      <c r="A7" s="43"/>
      <c r="B7" s="76"/>
      <c r="C7" s="76"/>
      <c r="D7" s="85" t="s">
        <v>96</v>
      </c>
      <c r="E7" s="76"/>
      <c r="F7" s="76"/>
      <c r="G7" s="76"/>
      <c r="H7" s="83"/>
    </row>
    <row r="8" spans="1:8" ht="18.75" x14ac:dyDescent="0.3">
      <c r="A8" s="86" t="s">
        <v>97</v>
      </c>
      <c r="B8" s="87"/>
      <c r="C8" s="87" t="s">
        <v>171</v>
      </c>
      <c r="D8" s="87"/>
      <c r="E8" s="87"/>
      <c r="F8" s="88"/>
      <c r="G8" s="87" t="s">
        <v>180</v>
      </c>
      <c r="H8" s="89"/>
    </row>
    <row r="9" spans="1:8" x14ac:dyDescent="0.25">
      <c r="A9" s="15" t="s">
        <v>98</v>
      </c>
      <c r="B9" s="6"/>
      <c r="C9" s="6"/>
      <c r="D9" s="6"/>
      <c r="E9" s="6"/>
      <c r="F9" s="6"/>
      <c r="G9" s="6"/>
      <c r="H9" s="6"/>
    </row>
    <row r="10" spans="1:8" ht="42.75" customHeight="1" x14ac:dyDescent="0.25">
      <c r="A10" s="243" t="s">
        <v>99</v>
      </c>
      <c r="B10" s="244"/>
      <c r="C10" s="244"/>
      <c r="D10" s="244"/>
      <c r="E10" s="244"/>
      <c r="F10" s="244"/>
      <c r="G10" s="244"/>
      <c r="H10" s="245"/>
    </row>
    <row r="11" spans="1:8" x14ac:dyDescent="0.25">
      <c r="A11" s="15"/>
      <c r="B11" s="6"/>
      <c r="C11" s="6"/>
      <c r="D11" s="6"/>
      <c r="E11" s="15"/>
      <c r="F11" s="6"/>
      <c r="G11" s="6"/>
      <c r="H11" s="6"/>
    </row>
    <row r="12" spans="1:8" ht="15.75" x14ac:dyDescent="0.25">
      <c r="A12" s="216" t="s">
        <v>100</v>
      </c>
      <c r="B12" s="216"/>
      <c r="C12" s="216"/>
      <c r="D12" s="216"/>
      <c r="E12" s="216"/>
      <c r="F12" s="216"/>
      <c r="G12" s="216"/>
      <c r="H12" s="216"/>
    </row>
    <row r="13" spans="1:8" x14ac:dyDescent="0.25">
      <c r="A13" s="90" t="s">
        <v>149</v>
      </c>
      <c r="B13" s="91"/>
      <c r="C13" s="91"/>
      <c r="D13" s="91"/>
      <c r="E13" s="91"/>
      <c r="F13" s="91"/>
      <c r="G13" s="91"/>
      <c r="H13" s="92">
        <v>928324.1</v>
      </c>
    </row>
    <row r="14" spans="1:8" x14ac:dyDescent="0.25">
      <c r="A14" s="90" t="s">
        <v>148</v>
      </c>
      <c r="B14" s="91"/>
      <c r="C14" s="91"/>
      <c r="D14" s="91"/>
      <c r="E14" s="91"/>
      <c r="F14" s="91"/>
      <c r="G14" s="91"/>
      <c r="H14" s="92">
        <v>0.38</v>
      </c>
    </row>
    <row r="15" spans="1:8" x14ac:dyDescent="0.25">
      <c r="A15" s="158" t="s">
        <v>104</v>
      </c>
      <c r="B15" s="158"/>
      <c r="C15" s="158"/>
      <c r="D15" s="158"/>
      <c r="E15" s="158"/>
      <c r="F15" s="158"/>
      <c r="G15" s="158"/>
      <c r="H15" s="92">
        <v>-201910.48</v>
      </c>
    </row>
    <row r="16" spans="1:8" x14ac:dyDescent="0.25">
      <c r="A16" s="158"/>
      <c r="B16" s="158"/>
      <c r="C16" s="158"/>
      <c r="D16" s="158"/>
      <c r="E16" s="158"/>
      <c r="F16" s="158"/>
      <c r="G16" s="158"/>
      <c r="H16" s="92"/>
    </row>
    <row r="17" spans="1:9" x14ac:dyDescent="0.25">
      <c r="A17" s="158"/>
      <c r="B17" s="158"/>
      <c r="C17" s="158"/>
      <c r="D17" s="158"/>
      <c r="E17" s="158"/>
      <c r="F17" s="158"/>
      <c r="G17" s="158"/>
      <c r="H17" s="92"/>
      <c r="I17" s="93"/>
    </row>
    <row r="18" spans="1:9" x14ac:dyDescent="0.25">
      <c r="A18" s="90"/>
      <c r="B18" s="91"/>
      <c r="C18" s="91"/>
      <c r="D18" s="91"/>
      <c r="E18" s="91"/>
      <c r="F18" s="91"/>
      <c r="G18" s="91"/>
      <c r="H18" s="92"/>
      <c r="I18" s="93"/>
    </row>
    <row r="19" spans="1:9" ht="14.25" customHeight="1" x14ac:dyDescent="0.25">
      <c r="A19" s="94" t="s">
        <v>101</v>
      </c>
      <c r="B19" s="95"/>
      <c r="C19" s="95"/>
      <c r="D19" s="95"/>
      <c r="E19" s="95"/>
      <c r="F19" s="95"/>
      <c r="G19" s="95"/>
      <c r="H19" s="96">
        <f>SUM(H13:H18)</f>
        <v>726414</v>
      </c>
      <c r="I19" s="93"/>
    </row>
    <row r="20" spans="1:9" ht="0.75" hidden="1" customHeight="1" x14ac:dyDescent="0.25">
      <c r="A20" s="246" t="s">
        <v>102</v>
      </c>
      <c r="B20" s="246"/>
      <c r="C20" s="246"/>
      <c r="D20" s="246"/>
      <c r="E20" s="246"/>
      <c r="F20" s="246"/>
      <c r="G20" s="246"/>
      <c r="H20" s="246"/>
      <c r="I20" s="76"/>
    </row>
    <row r="21" spans="1:9" hidden="1" x14ac:dyDescent="0.25">
      <c r="A21" s="90" t="s">
        <v>103</v>
      </c>
      <c r="B21" s="91"/>
      <c r="C21" s="91"/>
      <c r="D21" s="91"/>
      <c r="E21" s="91"/>
      <c r="F21" s="91"/>
      <c r="G21" s="91"/>
      <c r="H21" s="92">
        <v>0</v>
      </c>
      <c r="I21" s="76"/>
    </row>
    <row r="22" spans="1:9" hidden="1" x14ac:dyDescent="0.25">
      <c r="A22" s="90" t="s">
        <v>104</v>
      </c>
      <c r="B22" s="91"/>
      <c r="C22" s="91"/>
      <c r="D22" s="91"/>
      <c r="E22" s="91"/>
      <c r="F22" s="91"/>
      <c r="G22" s="91"/>
      <c r="H22" s="92">
        <v>0</v>
      </c>
      <c r="I22" s="76"/>
    </row>
    <row r="23" spans="1:9" hidden="1" x14ac:dyDescent="0.25">
      <c r="A23" s="90" t="s">
        <v>172</v>
      </c>
      <c r="B23" s="91"/>
      <c r="C23" s="91"/>
      <c r="D23" s="91"/>
      <c r="E23" s="91"/>
      <c r="F23" s="91"/>
      <c r="G23" s="91"/>
      <c r="H23" s="92">
        <v>0</v>
      </c>
      <c r="I23" s="76"/>
    </row>
    <row r="24" spans="1:9" hidden="1" x14ac:dyDescent="0.25">
      <c r="A24" s="90" t="s">
        <v>104</v>
      </c>
      <c r="B24" s="91"/>
      <c r="C24" s="91"/>
      <c r="D24" s="91"/>
      <c r="E24" s="91"/>
      <c r="F24" s="91"/>
      <c r="G24" s="91"/>
      <c r="H24" s="92">
        <v>0</v>
      </c>
      <c r="I24" s="76"/>
    </row>
    <row r="25" spans="1:9" hidden="1" x14ac:dyDescent="0.25">
      <c r="A25" s="90" t="s">
        <v>105</v>
      </c>
      <c r="B25" s="91"/>
      <c r="C25" s="91"/>
      <c r="D25" s="91"/>
      <c r="E25" s="91"/>
      <c r="F25" s="91"/>
      <c r="G25" s="91"/>
      <c r="H25" s="92">
        <v>0</v>
      </c>
      <c r="I25" s="76"/>
    </row>
    <row r="26" spans="1:9" hidden="1" x14ac:dyDescent="0.25">
      <c r="A26" s="90" t="s">
        <v>104</v>
      </c>
      <c r="B26" s="91"/>
      <c r="C26" s="91"/>
      <c r="D26" s="91"/>
      <c r="E26" s="91"/>
      <c r="F26" s="91"/>
      <c r="G26" s="91"/>
      <c r="H26" s="92">
        <v>0</v>
      </c>
      <c r="I26" s="76"/>
    </row>
    <row r="27" spans="1:9" ht="14.25" hidden="1" customHeight="1" x14ac:dyDescent="0.25">
      <c r="A27" s="90" t="s">
        <v>101</v>
      </c>
      <c r="B27" s="91"/>
      <c r="C27" s="91"/>
      <c r="D27" s="91"/>
      <c r="E27" s="91"/>
      <c r="F27" s="91"/>
      <c r="G27" s="91"/>
      <c r="H27" s="92">
        <f>SUM(H21:H26)</f>
        <v>0</v>
      </c>
      <c r="I27" s="76"/>
    </row>
    <row r="28" spans="1:9" ht="15.75" hidden="1" x14ac:dyDescent="0.25">
      <c r="A28" s="247" t="s">
        <v>166</v>
      </c>
      <c r="B28" s="247"/>
      <c r="C28" s="247"/>
      <c r="D28" s="247"/>
      <c r="E28" s="247"/>
      <c r="F28" s="247"/>
      <c r="G28" s="247"/>
      <c r="H28" s="247"/>
    </row>
    <row r="29" spans="1:9" hidden="1" x14ac:dyDescent="0.25">
      <c r="A29" s="91" t="s">
        <v>168</v>
      </c>
      <c r="B29" s="91"/>
      <c r="C29" s="91"/>
      <c r="D29" s="91"/>
      <c r="E29" s="91"/>
      <c r="F29" s="91"/>
      <c r="G29" s="91"/>
      <c r="H29" s="92"/>
    </row>
    <row r="30" spans="1:9" hidden="1" x14ac:dyDescent="0.25">
      <c r="A30" s="91" t="s">
        <v>148</v>
      </c>
      <c r="B30" s="91"/>
      <c r="C30" s="91"/>
      <c r="D30" s="91"/>
      <c r="E30" s="91"/>
      <c r="F30" s="91"/>
      <c r="G30" s="91"/>
      <c r="H30" s="92"/>
    </row>
    <row r="31" spans="1:9" hidden="1" x14ac:dyDescent="0.25">
      <c r="A31" s="91" t="s">
        <v>104</v>
      </c>
      <c r="B31" s="91"/>
      <c r="C31" s="91"/>
      <c r="D31" s="91"/>
      <c r="E31" s="91"/>
      <c r="F31" s="91"/>
      <c r="G31" s="91"/>
      <c r="H31" s="92"/>
    </row>
    <row r="32" spans="1:9" hidden="1" x14ac:dyDescent="0.25">
      <c r="A32" s="91" t="s">
        <v>106</v>
      </c>
      <c r="B32" s="91"/>
      <c r="C32" s="91"/>
      <c r="D32" s="91"/>
      <c r="E32" s="91"/>
      <c r="F32" s="91"/>
      <c r="G32" s="91"/>
      <c r="H32" s="92">
        <f>SUM(H29:H31)</f>
        <v>0</v>
      </c>
    </row>
    <row r="33" spans="1:9" ht="15.75" x14ac:dyDescent="0.25">
      <c r="A33" s="247" t="s">
        <v>107</v>
      </c>
      <c r="B33" s="247"/>
      <c r="C33" s="247"/>
      <c r="D33" s="247"/>
      <c r="E33" s="247"/>
      <c r="F33" s="247"/>
      <c r="G33" s="247"/>
      <c r="H33" s="247"/>
      <c r="I33" s="76"/>
    </row>
    <row r="34" spans="1:9" ht="16.5" customHeight="1" x14ac:dyDescent="0.25">
      <c r="A34" s="90" t="s">
        <v>108</v>
      </c>
      <c r="B34" s="152" t="s">
        <v>177</v>
      </c>
      <c r="C34" s="152"/>
      <c r="D34" s="152"/>
      <c r="E34" s="152"/>
      <c r="F34" s="152"/>
      <c r="G34" s="91"/>
      <c r="H34" s="92">
        <v>100173.44</v>
      </c>
    </row>
    <row r="35" spans="1:9" x14ac:dyDescent="0.25">
      <c r="A35" s="90" t="s">
        <v>161</v>
      </c>
      <c r="B35" s="91" t="str">
        <f>B34</f>
        <v>Debito</v>
      </c>
      <c r="C35" s="152"/>
      <c r="D35" s="152"/>
      <c r="E35" s="152"/>
      <c r="F35" s="152"/>
      <c r="G35" s="91"/>
      <c r="H35" s="92">
        <v>60528.08</v>
      </c>
    </row>
    <row r="36" spans="1:9" x14ac:dyDescent="0.25">
      <c r="A36" s="90" t="s">
        <v>109</v>
      </c>
      <c r="B36" s="91" t="str">
        <f>B35</f>
        <v>Debito</v>
      </c>
      <c r="C36" s="152"/>
      <c r="D36" s="152"/>
      <c r="E36" s="152"/>
      <c r="F36" s="152"/>
      <c r="G36" s="91"/>
      <c r="H36" s="92">
        <v>6725.34</v>
      </c>
    </row>
    <row r="37" spans="1:9" x14ac:dyDescent="0.25">
      <c r="A37" s="90" t="s">
        <v>175</v>
      </c>
      <c r="B37" s="91"/>
      <c r="C37" s="152"/>
      <c r="D37" s="152"/>
      <c r="E37" s="152"/>
      <c r="F37" s="152"/>
      <c r="G37" s="91"/>
      <c r="H37" s="92">
        <v>695364.81</v>
      </c>
    </row>
    <row r="38" spans="1:9" x14ac:dyDescent="0.25">
      <c r="A38" s="90"/>
      <c r="B38" s="91"/>
      <c r="C38" s="152"/>
      <c r="D38" s="152"/>
      <c r="E38" s="152"/>
      <c r="F38" s="152"/>
      <c r="G38" s="91"/>
      <c r="H38" s="92"/>
    </row>
    <row r="39" spans="1:9" x14ac:dyDescent="0.25">
      <c r="A39" s="90"/>
      <c r="B39" s="91"/>
      <c r="C39" s="152"/>
      <c r="D39" s="152"/>
      <c r="E39" s="152"/>
      <c r="F39" s="152"/>
      <c r="G39" s="91"/>
      <c r="H39" s="92"/>
    </row>
    <row r="40" spans="1:9" x14ac:dyDescent="0.25">
      <c r="A40" s="90"/>
      <c r="B40" s="91"/>
      <c r="C40" s="152"/>
      <c r="D40" s="152"/>
      <c r="E40" s="152"/>
      <c r="F40" s="152"/>
      <c r="G40" s="91"/>
      <c r="H40" s="92">
        <v>0</v>
      </c>
    </row>
    <row r="41" spans="1:9" x14ac:dyDescent="0.25">
      <c r="A41" s="95" t="s">
        <v>110</v>
      </c>
      <c r="B41" s="95"/>
      <c r="C41" s="95"/>
      <c r="D41" s="95"/>
      <c r="E41" s="95"/>
      <c r="F41" s="95"/>
      <c r="G41" s="95"/>
      <c r="H41" s="96">
        <f>SUM(H34:H40)</f>
        <v>862791.67</v>
      </c>
    </row>
    <row r="42" spans="1:9" ht="15.75" x14ac:dyDescent="0.25">
      <c r="A42" s="216" t="s">
        <v>111</v>
      </c>
      <c r="B42" s="216"/>
      <c r="C42" s="216"/>
      <c r="D42" s="216"/>
      <c r="E42" s="216"/>
      <c r="F42" s="216"/>
      <c r="G42" s="216"/>
      <c r="H42" s="216"/>
    </row>
    <row r="43" spans="1:9" x14ac:dyDescent="0.25">
      <c r="A43" s="91" t="s">
        <v>112</v>
      </c>
      <c r="B43" s="91" t="s">
        <v>155</v>
      </c>
      <c r="C43" s="91"/>
      <c r="D43" s="91"/>
      <c r="E43" s="91"/>
      <c r="F43" s="91"/>
      <c r="G43" s="91"/>
      <c r="H43" s="92">
        <v>3547.47</v>
      </c>
    </row>
    <row r="44" spans="1:9" hidden="1" x14ac:dyDescent="0.25">
      <c r="A44" s="91"/>
      <c r="B44" s="91"/>
      <c r="C44" s="91"/>
      <c r="D44" s="91"/>
      <c r="E44" s="91"/>
      <c r="F44" s="91"/>
      <c r="G44" s="91"/>
      <c r="H44" s="92"/>
    </row>
    <row r="45" spans="1:9" x14ac:dyDescent="0.25">
      <c r="A45" s="91" t="s">
        <v>113</v>
      </c>
      <c r="B45" s="91" t="s">
        <v>114</v>
      </c>
      <c r="C45" s="91"/>
      <c r="D45" s="91"/>
      <c r="E45" s="91"/>
      <c r="F45" s="91"/>
      <c r="G45" s="91"/>
      <c r="H45" s="92">
        <v>979099.5</v>
      </c>
    </row>
    <row r="46" spans="1:9" ht="0.75" customHeight="1" x14ac:dyDescent="0.25">
      <c r="A46" s="91"/>
      <c r="B46" s="91"/>
      <c r="C46" s="91"/>
      <c r="D46" s="91"/>
      <c r="E46" s="91"/>
      <c r="F46" s="91"/>
      <c r="G46" s="91"/>
      <c r="H46" s="92"/>
    </row>
    <row r="47" spans="1:9" x14ac:dyDescent="0.25">
      <c r="A47" s="98" t="s">
        <v>115</v>
      </c>
      <c r="B47" s="91" t="s">
        <v>116</v>
      </c>
      <c r="C47" s="91"/>
      <c r="D47" s="91"/>
      <c r="E47" s="91"/>
      <c r="F47" s="91"/>
      <c r="G47" s="91"/>
      <c r="H47" s="92">
        <v>160427.06</v>
      </c>
    </row>
    <row r="48" spans="1:9" x14ac:dyDescent="0.25">
      <c r="A48" s="95" t="s">
        <v>101</v>
      </c>
      <c r="B48" s="95"/>
      <c r="C48" s="95"/>
      <c r="D48" s="95"/>
      <c r="E48" s="95"/>
      <c r="F48" s="95"/>
      <c r="G48" s="95"/>
      <c r="H48" s="99">
        <f>SUM(H43:H47)</f>
        <v>1143074.03</v>
      </c>
    </row>
    <row r="49" spans="1:10" ht="15.75" x14ac:dyDescent="0.25">
      <c r="A49" s="216" t="s">
        <v>117</v>
      </c>
      <c r="B49" s="216"/>
      <c r="C49" s="216"/>
      <c r="D49" s="216"/>
      <c r="E49" s="216"/>
      <c r="F49" s="216"/>
      <c r="G49" s="216"/>
      <c r="H49" s="216"/>
    </row>
    <row r="50" spans="1:10" ht="14.25" hidden="1" customHeight="1" x14ac:dyDescent="0.25">
      <c r="A50" s="100"/>
      <c r="B50" s="97"/>
      <c r="C50" s="91"/>
      <c r="D50" s="91"/>
      <c r="E50" s="91"/>
      <c r="F50" s="91"/>
      <c r="G50" s="91"/>
      <c r="H50" s="92"/>
      <c r="J50" t="s">
        <v>174</v>
      </c>
    </row>
    <row r="51" spans="1:10" ht="14.25" hidden="1" customHeight="1" x14ac:dyDescent="0.25">
      <c r="A51" s="100"/>
      <c r="B51" s="97"/>
      <c r="C51" s="91"/>
      <c r="D51" s="91"/>
      <c r="E51" s="91"/>
      <c r="F51" s="91"/>
      <c r="G51" s="91"/>
      <c r="H51" s="92"/>
    </row>
    <row r="52" spans="1:10" ht="13.5" customHeight="1" x14ac:dyDescent="0.25">
      <c r="A52" s="100" t="s">
        <v>176</v>
      </c>
      <c r="B52" s="97"/>
      <c r="C52" s="91"/>
      <c r="D52" s="91"/>
      <c r="E52" s="91"/>
      <c r="F52" s="91"/>
      <c r="G52" s="91"/>
      <c r="H52" s="92">
        <v>177625</v>
      </c>
    </row>
    <row r="53" spans="1:10" hidden="1" x14ac:dyDescent="0.25">
      <c r="A53" s="100"/>
      <c r="B53" s="97"/>
      <c r="C53" s="91"/>
      <c r="D53" s="91"/>
      <c r="E53" s="91"/>
      <c r="F53" s="91"/>
      <c r="G53" s="91"/>
      <c r="H53" s="92"/>
    </row>
    <row r="54" spans="1:10" hidden="1" x14ac:dyDescent="0.25">
      <c r="A54" s="100"/>
      <c r="B54" s="97"/>
      <c r="C54" s="91"/>
      <c r="D54" s="91"/>
      <c r="E54" s="91"/>
      <c r="F54" s="91"/>
      <c r="G54" s="91"/>
      <c r="H54" s="92"/>
    </row>
    <row r="55" spans="1:10" hidden="1" x14ac:dyDescent="0.25">
      <c r="A55" s="100"/>
      <c r="B55" s="97"/>
      <c r="C55" s="91"/>
      <c r="D55" s="91"/>
      <c r="E55" s="91"/>
      <c r="F55" s="91"/>
      <c r="G55" s="91"/>
      <c r="H55" s="92"/>
    </row>
    <row r="56" spans="1:10" hidden="1" x14ac:dyDescent="0.25">
      <c r="A56" s="100"/>
      <c r="B56" s="97"/>
      <c r="C56" s="91"/>
      <c r="D56" s="91"/>
      <c r="E56" s="91"/>
      <c r="F56" s="91"/>
      <c r="G56" s="91"/>
      <c r="H56" s="92"/>
    </row>
    <row r="57" spans="1:10" ht="14.25" hidden="1" customHeight="1" x14ac:dyDescent="0.25">
      <c r="A57" s="100"/>
      <c r="B57" s="97"/>
      <c r="C57" s="91"/>
      <c r="D57" s="91"/>
      <c r="E57" s="91"/>
      <c r="F57" s="91"/>
      <c r="G57" s="91"/>
      <c r="H57" s="92"/>
      <c r="J57" s="144"/>
    </row>
    <row r="58" spans="1:10" hidden="1" x14ac:dyDescent="0.25">
      <c r="A58" s="100"/>
      <c r="B58" s="97"/>
      <c r="C58" s="91"/>
      <c r="D58" s="91"/>
      <c r="E58" s="91"/>
      <c r="F58" s="91"/>
      <c r="G58" s="91"/>
      <c r="H58" s="92"/>
      <c r="J58" s="144"/>
    </row>
    <row r="59" spans="1:10" hidden="1" x14ac:dyDescent="0.25">
      <c r="A59" s="100"/>
      <c r="B59" s="97"/>
      <c r="C59" s="91"/>
      <c r="D59" s="91"/>
      <c r="E59" s="91"/>
      <c r="F59" s="91"/>
      <c r="G59" s="91"/>
      <c r="H59" s="92"/>
    </row>
    <row r="60" spans="1:10" hidden="1" x14ac:dyDescent="0.25">
      <c r="A60" s="100"/>
      <c r="B60" s="97"/>
      <c r="C60" s="91"/>
      <c r="D60" s="91"/>
      <c r="E60" s="91"/>
      <c r="F60" s="91"/>
      <c r="G60" s="91"/>
      <c r="H60" s="92"/>
    </row>
    <row r="61" spans="1:10" hidden="1" x14ac:dyDescent="0.25">
      <c r="A61" s="100"/>
      <c r="B61" s="97"/>
      <c r="C61" s="91"/>
      <c r="D61" s="91"/>
      <c r="E61" s="91"/>
      <c r="F61" s="91"/>
      <c r="G61" s="91"/>
      <c r="H61" s="92"/>
    </row>
    <row r="62" spans="1:10" x14ac:dyDescent="0.25">
      <c r="A62" s="100" t="s">
        <v>165</v>
      </c>
      <c r="B62" s="97"/>
      <c r="C62" s="91"/>
      <c r="D62" s="91"/>
      <c r="E62" s="91"/>
      <c r="F62" s="91"/>
      <c r="G62" s="91"/>
      <c r="H62" s="92">
        <v>35000</v>
      </c>
    </row>
    <row r="63" spans="1:10" hidden="1" x14ac:dyDescent="0.25">
      <c r="A63" s="100"/>
      <c r="B63" s="97"/>
      <c r="C63" s="91"/>
      <c r="D63" s="91"/>
      <c r="E63" s="91"/>
      <c r="F63" s="91"/>
      <c r="G63" s="91"/>
      <c r="H63" s="92"/>
    </row>
    <row r="64" spans="1:10" ht="13.5" hidden="1" customHeight="1" x14ac:dyDescent="0.25">
      <c r="A64" s="100"/>
      <c r="B64" s="97"/>
      <c r="C64" s="91"/>
      <c r="D64" s="91"/>
      <c r="E64" s="91"/>
      <c r="F64" s="91"/>
      <c r="G64" s="91"/>
      <c r="H64" s="92"/>
    </row>
    <row r="65" spans="1:11" x14ac:dyDescent="0.25">
      <c r="A65" s="100" t="s">
        <v>178</v>
      </c>
      <c r="B65" s="97"/>
      <c r="C65" s="91"/>
      <c r="D65" s="91"/>
      <c r="E65" s="91"/>
      <c r="F65" s="91"/>
      <c r="G65" s="91"/>
      <c r="H65" s="92">
        <v>600000</v>
      </c>
    </row>
    <row r="66" spans="1:11" x14ac:dyDescent="0.25">
      <c r="A66" s="100" t="s">
        <v>160</v>
      </c>
      <c r="B66" s="97"/>
      <c r="C66" s="91"/>
      <c r="D66" s="91"/>
      <c r="E66" s="91"/>
      <c r="F66" s="91"/>
      <c r="G66" s="91"/>
      <c r="H66" s="92">
        <f>96800+76900</f>
        <v>173700</v>
      </c>
    </row>
    <row r="67" spans="1:11" x14ac:dyDescent="0.25">
      <c r="A67" s="91" t="s">
        <v>101</v>
      </c>
      <c r="B67" s="91"/>
      <c r="C67" s="91"/>
      <c r="D67" s="91"/>
      <c r="E67" s="91"/>
      <c r="F67" s="91"/>
      <c r="G67" s="91"/>
      <c r="H67" s="96">
        <f>SUM(H50:H66)</f>
        <v>986325</v>
      </c>
    </row>
    <row r="68" spans="1:11" ht="15.75" x14ac:dyDescent="0.25">
      <c r="A68" s="216" t="s">
        <v>118</v>
      </c>
      <c r="B68" s="216"/>
      <c r="C68" s="216"/>
      <c r="D68" s="216"/>
      <c r="E68" s="216"/>
      <c r="F68" s="216"/>
      <c r="G68" s="216"/>
      <c r="H68" s="216"/>
    </row>
    <row r="69" spans="1:11" x14ac:dyDescent="0.25">
      <c r="A69" s="91" t="s">
        <v>119</v>
      </c>
      <c r="B69" s="91"/>
      <c r="C69" s="91" t="s">
        <v>173</v>
      </c>
      <c r="D69" s="174"/>
      <c r="E69" s="91"/>
      <c r="F69" s="91"/>
      <c r="G69" s="91"/>
      <c r="H69" s="92">
        <v>230231.85</v>
      </c>
      <c r="J69" t="s">
        <v>179</v>
      </c>
    </row>
    <row r="70" spans="1:11" ht="16.5" customHeight="1" x14ac:dyDescent="0.25">
      <c r="A70" s="153" t="s">
        <v>153</v>
      </c>
      <c r="B70" s="91"/>
      <c r="C70" s="234"/>
      <c r="D70" s="235"/>
      <c r="E70" s="154"/>
      <c r="F70" s="152"/>
      <c r="G70" s="91"/>
      <c r="H70" s="92">
        <v>25000</v>
      </c>
    </row>
    <row r="71" spans="1:11" x14ac:dyDescent="0.25">
      <c r="A71" s="91"/>
      <c r="B71" s="91"/>
      <c r="C71" s="152"/>
      <c r="D71" s="152"/>
      <c r="E71" s="152"/>
      <c r="F71" s="152"/>
      <c r="G71" s="91"/>
      <c r="H71" s="92"/>
    </row>
    <row r="72" spans="1:11" x14ac:dyDescent="0.25">
      <c r="A72" s="95" t="s">
        <v>101</v>
      </c>
      <c r="B72" s="95"/>
      <c r="C72" s="95"/>
      <c r="D72" s="95"/>
      <c r="E72" s="95"/>
      <c r="F72" s="95"/>
      <c r="G72" s="95"/>
      <c r="H72" s="96">
        <f>SUM(H69:H71)</f>
        <v>255231.85</v>
      </c>
    </row>
    <row r="73" spans="1:11" ht="15.75" x14ac:dyDescent="0.25">
      <c r="A73" s="217" t="s">
        <v>120</v>
      </c>
      <c r="B73" s="218"/>
      <c r="C73" s="218"/>
      <c r="D73" s="218"/>
      <c r="E73" s="218"/>
      <c r="F73" s="218"/>
      <c r="G73" s="218"/>
      <c r="H73" s="219"/>
    </row>
    <row r="74" spans="1:11" x14ac:dyDescent="0.25">
      <c r="A74" s="91" t="s">
        <v>121</v>
      </c>
      <c r="B74" s="91"/>
      <c r="C74" s="91"/>
      <c r="D74" s="91"/>
      <c r="E74" s="91"/>
      <c r="F74" s="91"/>
      <c r="G74" s="91"/>
      <c r="H74" s="92">
        <v>60394.720000000001</v>
      </c>
    </row>
    <row r="75" spans="1:11" x14ac:dyDescent="0.25">
      <c r="A75" s="91"/>
      <c r="B75" s="91"/>
      <c r="C75" s="91"/>
      <c r="D75" s="91"/>
      <c r="E75" s="91"/>
      <c r="F75" s="91"/>
      <c r="G75" s="91"/>
      <c r="H75" s="92"/>
    </row>
    <row r="76" spans="1:11" x14ac:dyDescent="0.25">
      <c r="A76" s="95" t="s">
        <v>110</v>
      </c>
      <c r="B76" s="95"/>
      <c r="C76" s="95"/>
      <c r="D76" s="95"/>
      <c r="E76" s="95"/>
      <c r="F76" s="95"/>
      <c r="G76" s="95"/>
      <c r="H76" s="99">
        <f>SUM(H74:H75)</f>
        <v>60394.720000000001</v>
      </c>
    </row>
    <row r="77" spans="1:11" ht="15.75" x14ac:dyDescent="0.25">
      <c r="A77" s="217" t="s">
        <v>122</v>
      </c>
      <c r="B77" s="218"/>
      <c r="C77" s="218"/>
      <c r="D77" s="218"/>
      <c r="E77" s="218"/>
      <c r="F77" s="218"/>
      <c r="G77" s="218"/>
      <c r="H77" s="219"/>
      <c r="I77" s="102"/>
    </row>
    <row r="78" spans="1:11" x14ac:dyDescent="0.25">
      <c r="A78" s="100" t="s">
        <v>145</v>
      </c>
      <c r="B78" s="100"/>
      <c r="C78" s="100"/>
      <c r="D78" s="100"/>
      <c r="E78" s="100"/>
      <c r="F78" s="100"/>
      <c r="G78" s="100"/>
      <c r="H78" s="96">
        <v>44956</v>
      </c>
      <c r="I78" s="102"/>
    </row>
    <row r="79" spans="1:11" x14ac:dyDescent="0.25">
      <c r="A79" s="100" t="s">
        <v>146</v>
      </c>
      <c r="B79" s="100"/>
      <c r="C79" s="100"/>
      <c r="D79" s="100"/>
      <c r="E79" s="100"/>
      <c r="F79" s="100"/>
      <c r="G79" s="100"/>
      <c r="H79" s="96">
        <v>3498.02</v>
      </c>
      <c r="I79" s="102"/>
    </row>
    <row r="80" spans="1:11" x14ac:dyDescent="0.25">
      <c r="A80" s="100" t="s">
        <v>101</v>
      </c>
      <c r="B80" s="100"/>
      <c r="C80" s="100"/>
      <c r="D80" s="100"/>
      <c r="E80" s="100"/>
      <c r="F80" s="100"/>
      <c r="G80" s="100"/>
      <c r="H80" s="96">
        <f>SUM(H78:H79)</f>
        <v>48454.02</v>
      </c>
      <c r="I80" s="102"/>
      <c r="K80" s="144"/>
    </row>
    <row r="81" spans="1:9" x14ac:dyDescent="0.25">
      <c r="A81" s="220"/>
      <c r="B81" s="220"/>
      <c r="C81" s="220"/>
      <c r="D81" s="220"/>
      <c r="E81" s="220"/>
      <c r="F81" s="220"/>
      <c r="G81" s="220"/>
      <c r="H81" s="220"/>
      <c r="I81" s="102"/>
    </row>
    <row r="82" spans="1:9" x14ac:dyDescent="0.25">
      <c r="A82" s="100"/>
      <c r="B82" s="100"/>
      <c r="C82" s="100"/>
      <c r="D82" s="100"/>
      <c r="E82" s="100"/>
      <c r="F82" s="100"/>
      <c r="G82" s="100"/>
      <c r="H82" s="96"/>
      <c r="I82" s="102"/>
    </row>
    <row r="83" spans="1:9" x14ac:dyDescent="0.25">
      <c r="A83" s="100"/>
      <c r="B83" s="100"/>
      <c r="C83" s="100"/>
      <c r="D83" s="100"/>
      <c r="E83" s="100"/>
      <c r="F83" s="100"/>
      <c r="G83" s="100"/>
      <c r="H83" s="96"/>
      <c r="I83" s="102"/>
    </row>
    <row r="84" spans="1:9" x14ac:dyDescent="0.25">
      <c r="A84" s="100"/>
      <c r="B84" s="100"/>
      <c r="C84" s="100"/>
      <c r="D84" s="100"/>
      <c r="E84" s="100"/>
      <c r="F84" s="100"/>
      <c r="G84" s="100"/>
      <c r="H84" s="96">
        <v>0</v>
      </c>
      <c r="I84" s="103"/>
    </row>
    <row r="85" spans="1:9" x14ac:dyDescent="0.25">
      <c r="A85" s="221"/>
      <c r="B85" s="222"/>
      <c r="C85" s="222"/>
      <c r="D85" s="222"/>
      <c r="E85" s="222"/>
      <c r="F85" s="222"/>
      <c r="G85" s="222"/>
      <c r="H85" s="223"/>
      <c r="I85" s="102"/>
    </row>
    <row r="86" spans="1:9" x14ac:dyDescent="0.25">
      <c r="A86" s="104"/>
      <c r="B86" s="105"/>
      <c r="C86" s="105"/>
      <c r="D86" s="105"/>
      <c r="E86" s="105"/>
      <c r="F86" s="105"/>
      <c r="G86" s="105"/>
      <c r="H86" s="106">
        <v>0</v>
      </c>
      <c r="I86" s="102"/>
    </row>
    <row r="87" spans="1:9" x14ac:dyDescent="0.25">
      <c r="A87" s="107"/>
      <c r="B87" s="108"/>
      <c r="C87" s="108"/>
      <c r="D87" s="108"/>
      <c r="E87" s="108"/>
      <c r="F87" s="108"/>
      <c r="G87" s="108"/>
      <c r="H87" s="109">
        <v>0</v>
      </c>
      <c r="I87" s="102"/>
    </row>
    <row r="88" spans="1:9" x14ac:dyDescent="0.25">
      <c r="A88" s="110"/>
      <c r="B88" s="111"/>
      <c r="C88" s="111"/>
      <c r="D88" s="111"/>
      <c r="E88" s="111"/>
      <c r="F88" s="111"/>
      <c r="G88" s="111"/>
      <c r="H88" s="106">
        <v>0</v>
      </c>
      <c r="I88" s="102"/>
    </row>
    <row r="89" spans="1:9" ht="15.75" x14ac:dyDescent="0.25">
      <c r="A89" s="224" t="s">
        <v>123</v>
      </c>
      <c r="B89" s="225"/>
      <c r="C89" s="225"/>
      <c r="D89" s="225"/>
      <c r="E89" s="225"/>
      <c r="F89" s="225"/>
      <c r="G89" s="225"/>
      <c r="H89" s="226"/>
    </row>
    <row r="90" spans="1:9" x14ac:dyDescent="0.25">
      <c r="A90" s="101"/>
      <c r="B90" s="101"/>
      <c r="C90" s="101"/>
      <c r="D90" s="101"/>
      <c r="E90" s="101"/>
      <c r="F90" s="101"/>
      <c r="G90" s="101"/>
      <c r="H90" s="113"/>
    </row>
    <row r="91" spans="1:9" x14ac:dyDescent="0.25">
      <c r="A91" s="101"/>
      <c r="B91" s="101"/>
      <c r="C91" s="101"/>
      <c r="D91" s="101"/>
      <c r="E91" s="101"/>
      <c r="F91" s="101"/>
      <c r="G91" s="101"/>
      <c r="H91" s="113"/>
    </row>
    <row r="92" spans="1:9" x14ac:dyDescent="0.25">
      <c r="A92" s="101"/>
      <c r="B92" s="101"/>
      <c r="C92" s="101"/>
      <c r="D92" s="101"/>
      <c r="E92" s="101"/>
      <c r="F92" s="101"/>
      <c r="G92" s="101"/>
      <c r="H92" s="113"/>
    </row>
    <row r="93" spans="1:9" ht="18.75" x14ac:dyDescent="0.25">
      <c r="A93" s="101"/>
      <c r="B93" s="112"/>
      <c r="C93" s="112"/>
      <c r="D93" s="112"/>
      <c r="E93" s="112"/>
      <c r="F93" s="112"/>
      <c r="G93" s="112"/>
      <c r="H93" s="113"/>
    </row>
    <row r="94" spans="1:9" ht="18.75" x14ac:dyDescent="0.25">
      <c r="A94" s="114" t="s">
        <v>101</v>
      </c>
      <c r="B94" s="112"/>
      <c r="C94" s="112"/>
      <c r="D94" s="112"/>
      <c r="E94" s="112"/>
      <c r="F94" s="112"/>
      <c r="G94" s="112"/>
      <c r="H94" s="115"/>
    </row>
    <row r="95" spans="1:9" ht="18.75" x14ac:dyDescent="0.25">
      <c r="A95" s="116"/>
      <c r="B95" s="160"/>
      <c r="C95" s="160"/>
      <c r="D95" s="160"/>
      <c r="E95" s="160"/>
      <c r="F95" s="160"/>
      <c r="G95" s="160"/>
      <c r="H95" s="117"/>
    </row>
    <row r="96" spans="1:9" ht="33" customHeight="1" x14ac:dyDescent="0.25">
      <c r="A96" s="114"/>
      <c r="B96" s="112"/>
      <c r="C96" s="112"/>
      <c r="D96" s="112"/>
      <c r="E96" s="112"/>
      <c r="F96" s="112"/>
      <c r="G96" s="112"/>
      <c r="H96" s="115"/>
    </row>
    <row r="97" spans="1:10" ht="15" customHeight="1" x14ac:dyDescent="0.25">
      <c r="A97" s="236" t="s">
        <v>162</v>
      </c>
      <c r="B97" s="237"/>
      <c r="C97" s="237"/>
      <c r="D97" s="237"/>
      <c r="E97" s="237"/>
      <c r="F97" s="237"/>
      <c r="G97" s="237"/>
      <c r="H97" s="155"/>
    </row>
    <row r="98" spans="1:10" ht="15" customHeight="1" x14ac:dyDescent="0.25">
      <c r="A98" s="114"/>
      <c r="B98" s="112"/>
      <c r="C98" s="112"/>
      <c r="D98" s="112"/>
      <c r="E98" s="112"/>
      <c r="F98" s="112"/>
      <c r="G98" s="112"/>
      <c r="H98" s="115"/>
    </row>
    <row r="99" spans="1:10" ht="15" customHeight="1" x14ac:dyDescent="0.25">
      <c r="A99" s="114"/>
      <c r="B99" s="112"/>
      <c r="C99" s="112"/>
      <c r="D99" s="112"/>
      <c r="E99" s="112"/>
      <c r="F99" s="112"/>
      <c r="G99" s="112"/>
      <c r="H99" s="115"/>
    </row>
    <row r="100" spans="1:10" ht="14.25" customHeight="1" x14ac:dyDescent="0.25">
      <c r="A100" s="156" t="s">
        <v>101</v>
      </c>
      <c r="B100" s="160"/>
      <c r="C100" s="160"/>
      <c r="D100" s="160"/>
      <c r="E100" s="160"/>
      <c r="F100" s="160"/>
      <c r="G100" s="160"/>
      <c r="H100" s="117">
        <f>SUM(H98:H99)</f>
        <v>0</v>
      </c>
    </row>
    <row r="101" spans="1:10" ht="18.75" x14ac:dyDescent="0.25">
      <c r="A101" s="114"/>
      <c r="B101" s="112"/>
      <c r="C101" s="112"/>
      <c r="D101" s="112"/>
      <c r="E101" s="112"/>
      <c r="F101" s="112"/>
      <c r="G101" s="112"/>
      <c r="H101" s="115"/>
    </row>
    <row r="102" spans="1:10" ht="18.75" x14ac:dyDescent="0.3">
      <c r="A102" s="227" t="s">
        <v>124</v>
      </c>
      <c r="B102" s="227"/>
      <c r="C102" s="227"/>
      <c r="D102" s="227"/>
      <c r="E102" s="227"/>
      <c r="F102" s="227"/>
      <c r="G102" s="227"/>
      <c r="H102" s="118"/>
    </row>
    <row r="103" spans="1:10" x14ac:dyDescent="0.25">
      <c r="A103" s="228"/>
      <c r="B103" s="229"/>
      <c r="C103" s="229"/>
      <c r="D103" s="229"/>
      <c r="E103" s="229"/>
      <c r="F103" s="229"/>
      <c r="G103" s="230"/>
      <c r="H103" s="148"/>
    </row>
    <row r="104" spans="1:10" x14ac:dyDescent="0.25">
      <c r="A104" s="119"/>
      <c r="B104" s="120"/>
      <c r="C104" s="120"/>
      <c r="D104" s="120"/>
      <c r="E104" s="120"/>
      <c r="F104" s="120"/>
      <c r="G104" s="121"/>
      <c r="H104" s="148"/>
    </row>
    <row r="105" spans="1:10" x14ac:dyDescent="0.25">
      <c r="A105" s="231"/>
      <c r="B105" s="232"/>
      <c r="C105" s="232"/>
      <c r="D105" s="232"/>
      <c r="E105" s="232"/>
      <c r="F105" s="232"/>
      <c r="G105" s="233"/>
      <c r="H105" s="92">
        <v>0</v>
      </c>
    </row>
    <row r="106" spans="1:10" x14ac:dyDescent="0.25">
      <c r="A106" s="161"/>
      <c r="B106" s="162"/>
      <c r="C106" s="162"/>
      <c r="D106" s="162"/>
      <c r="E106" s="162"/>
      <c r="F106" s="162"/>
      <c r="G106" s="163"/>
      <c r="H106" s="92">
        <v>0</v>
      </c>
    </row>
    <row r="107" spans="1:10" x14ac:dyDescent="0.25">
      <c r="A107" s="161"/>
      <c r="B107" s="162"/>
      <c r="C107" s="162"/>
      <c r="D107" s="162"/>
      <c r="E107" s="162"/>
      <c r="F107" s="162"/>
      <c r="G107" s="163"/>
      <c r="H107" s="92">
        <v>0</v>
      </c>
    </row>
    <row r="108" spans="1:10" x14ac:dyDescent="0.25">
      <c r="A108" s="167" t="s">
        <v>101</v>
      </c>
      <c r="B108" s="100"/>
      <c r="C108" s="100"/>
      <c r="D108" s="100"/>
      <c r="E108" s="100"/>
      <c r="F108" s="100"/>
      <c r="G108" s="100"/>
      <c r="H108" s="96">
        <f>SUM(H103:H107)</f>
        <v>0</v>
      </c>
    </row>
    <row r="109" spans="1:10" ht="15.75" thickBot="1" x14ac:dyDescent="0.3">
      <c r="A109" s="168"/>
      <c r="B109" s="168"/>
      <c r="C109" s="168"/>
      <c r="D109" s="168"/>
      <c r="E109" s="168"/>
      <c r="F109" s="168"/>
      <c r="G109" s="168"/>
      <c r="H109" s="169"/>
      <c r="I109" s="102"/>
    </row>
    <row r="110" spans="1:10" ht="19.5" thickBot="1" x14ac:dyDescent="0.35">
      <c r="A110" s="198" t="s">
        <v>125</v>
      </c>
      <c r="B110" s="199"/>
      <c r="C110" s="199"/>
      <c r="D110" s="199"/>
      <c r="E110" s="199"/>
      <c r="F110" s="199"/>
      <c r="G110" s="199"/>
      <c r="H110" s="170">
        <f>H108</f>
        <v>0</v>
      </c>
      <c r="I110" s="102"/>
    </row>
    <row r="111" spans="1:10" ht="19.5" thickBot="1" x14ac:dyDescent="0.35">
      <c r="A111" s="213" t="s">
        <v>126</v>
      </c>
      <c r="B111" s="214"/>
      <c r="C111" s="214"/>
      <c r="D111" s="214"/>
      <c r="E111" s="214"/>
      <c r="F111" s="214"/>
      <c r="G111" s="215"/>
      <c r="H111" s="170"/>
      <c r="I111" s="103"/>
    </row>
    <row r="112" spans="1:10" ht="17.25" customHeight="1" thickBot="1" x14ac:dyDescent="0.35">
      <c r="A112" s="195" t="s">
        <v>147</v>
      </c>
      <c r="B112" s="196"/>
      <c r="C112" s="196"/>
      <c r="D112" s="196"/>
      <c r="E112" s="196"/>
      <c r="F112" s="196"/>
      <c r="G112" s="197"/>
      <c r="H112" s="170">
        <v>1000000</v>
      </c>
      <c r="I112" s="102"/>
      <c r="J112" s="144"/>
    </row>
    <row r="113" spans="1:9" ht="18.75" x14ac:dyDescent="0.3">
      <c r="A113" s="198" t="s">
        <v>127</v>
      </c>
      <c r="B113" s="199"/>
      <c r="C113" s="199"/>
      <c r="D113" s="199"/>
      <c r="E113" s="199"/>
      <c r="F113" s="199"/>
      <c r="G113" s="199"/>
      <c r="H113" s="170">
        <f>H94+H88+H84+H80+H76+H72+H67+H48+H27+H19+H32+H41</f>
        <v>4082685.29</v>
      </c>
      <c r="I113" s="144"/>
    </row>
    <row r="114" spans="1:9" ht="18.75" x14ac:dyDescent="0.3">
      <c r="A114" s="200" t="s">
        <v>128</v>
      </c>
      <c r="B114" s="201"/>
      <c r="C114" s="201"/>
      <c r="D114" s="201"/>
      <c r="E114" s="201"/>
      <c r="F114" s="201"/>
      <c r="G114" s="202"/>
      <c r="H114" s="171">
        <f>H113+H111</f>
        <v>4082685.29</v>
      </c>
      <c r="I114" s="144"/>
    </row>
    <row r="115" spans="1:9" ht="18.75" x14ac:dyDescent="0.3">
      <c r="A115" s="200" t="s">
        <v>129</v>
      </c>
      <c r="B115" s="201"/>
      <c r="C115" s="201"/>
      <c r="D115" s="201"/>
      <c r="E115" s="201"/>
      <c r="F115" s="201"/>
      <c r="G115" s="202"/>
      <c r="H115" s="172">
        <f>H110+H112</f>
        <v>1000000</v>
      </c>
      <c r="I115" s="144"/>
    </row>
    <row r="116" spans="1:9" ht="18.75" customHeight="1" thickBot="1" x14ac:dyDescent="0.35">
      <c r="A116" s="203" t="s">
        <v>130</v>
      </c>
      <c r="B116" s="204"/>
      <c r="C116" s="204"/>
      <c r="D116" s="204"/>
      <c r="E116" s="204"/>
      <c r="F116" s="204"/>
      <c r="G116" s="204"/>
      <c r="H116" s="173">
        <f>H113+H110</f>
        <v>4082685.29</v>
      </c>
    </row>
    <row r="117" spans="1:9" ht="18.75" hidden="1" x14ac:dyDescent="0.3">
      <c r="A117" s="205" t="s">
        <v>131</v>
      </c>
      <c r="B117" s="206"/>
      <c r="C117" s="206"/>
      <c r="D117" s="206"/>
      <c r="E117" s="206"/>
      <c r="F117" s="206"/>
      <c r="G117" s="206"/>
      <c r="H117" s="123">
        <v>0</v>
      </c>
    </row>
    <row r="118" spans="1:9" ht="45" customHeight="1" x14ac:dyDescent="0.3">
      <c r="A118" s="124"/>
      <c r="B118" s="124"/>
      <c r="C118" s="124"/>
      <c r="D118" s="124"/>
      <c r="E118" s="124"/>
      <c r="F118" s="124"/>
      <c r="G118" s="124"/>
      <c r="H118" s="125"/>
    </row>
    <row r="119" spans="1:9" ht="27.75" customHeight="1" x14ac:dyDescent="0.25">
      <c r="A119" s="207"/>
      <c r="B119" s="208"/>
      <c r="C119" s="208"/>
      <c r="D119" s="208"/>
      <c r="E119" s="208"/>
      <c r="F119" s="208"/>
      <c r="G119" s="208"/>
      <c r="H119" s="209"/>
    </row>
    <row r="120" spans="1:9" ht="39" customHeight="1" x14ac:dyDescent="0.25">
      <c r="A120" s="210"/>
      <c r="B120" s="211"/>
      <c r="C120" s="211"/>
      <c r="D120" s="211"/>
      <c r="E120" s="211"/>
      <c r="F120" s="211"/>
      <c r="G120" s="211"/>
      <c r="H120" s="212"/>
    </row>
    <row r="121" spans="1:9" x14ac:dyDescent="0.25">
      <c r="A121" s="6"/>
      <c r="B121" s="6"/>
      <c r="C121" s="6"/>
      <c r="D121" s="6"/>
      <c r="E121" s="6"/>
      <c r="F121" s="6"/>
      <c r="G121" s="6"/>
      <c r="H121" s="6"/>
    </row>
    <row r="122" spans="1:9" ht="18.75" x14ac:dyDescent="0.3">
      <c r="A122" s="186" t="s">
        <v>132</v>
      </c>
      <c r="B122" s="187"/>
      <c r="C122" s="187"/>
      <c r="D122" s="187"/>
      <c r="E122" s="187"/>
      <c r="F122" s="187"/>
      <c r="G122" s="187"/>
      <c r="H122" s="188"/>
    </row>
    <row r="123" spans="1:9" ht="18.75" x14ac:dyDescent="0.3">
      <c r="A123" s="126" t="s">
        <v>133</v>
      </c>
      <c r="B123" s="127"/>
      <c r="C123" s="127"/>
      <c r="D123" s="127"/>
      <c r="E123" s="127"/>
      <c r="F123" s="127"/>
      <c r="G123" s="127"/>
      <c r="H123" s="128">
        <v>-649403.83382128272</v>
      </c>
    </row>
    <row r="124" spans="1:9" x14ac:dyDescent="0.25">
      <c r="A124" s="8" t="s">
        <v>134</v>
      </c>
      <c r="B124" s="129"/>
      <c r="C124" s="129"/>
      <c r="D124" s="129"/>
      <c r="E124" s="129"/>
      <c r="F124" s="129"/>
      <c r="G124" s="129"/>
      <c r="H124" s="20">
        <f>Planilla!G43</f>
        <v>4829973.1820290927</v>
      </c>
    </row>
    <row r="125" spans="1:9" x14ac:dyDescent="0.25">
      <c r="A125" s="130" t="s">
        <v>135</v>
      </c>
      <c r="B125" s="131"/>
      <c r="C125" s="131"/>
      <c r="D125" s="131"/>
      <c r="E125" s="131"/>
      <c r="F125" s="131"/>
      <c r="G125" s="131"/>
      <c r="H125" s="34"/>
    </row>
    <row r="126" spans="1:9" x14ac:dyDescent="0.25">
      <c r="A126" s="130" t="s">
        <v>141</v>
      </c>
      <c r="B126" s="131"/>
      <c r="C126" s="131"/>
      <c r="D126" s="131"/>
      <c r="E126" s="131"/>
      <c r="F126" s="131"/>
      <c r="G126" s="131"/>
      <c r="H126" s="147">
        <f>-H116</f>
        <v>-4082685.29</v>
      </c>
    </row>
    <row r="127" spans="1:9" x14ac:dyDescent="0.25">
      <c r="A127" s="130" t="s">
        <v>136</v>
      </c>
      <c r="B127" s="131"/>
      <c r="C127" s="131"/>
      <c r="D127" s="131"/>
      <c r="E127" s="131"/>
      <c r="F127" s="131"/>
      <c r="G127" s="131"/>
      <c r="H127" s="34">
        <f>D146</f>
        <v>0</v>
      </c>
    </row>
    <row r="128" spans="1:9" x14ac:dyDescent="0.25">
      <c r="A128" s="130" t="s">
        <v>154</v>
      </c>
      <c r="B128" s="131"/>
      <c r="C128" s="131"/>
      <c r="D128" s="131"/>
      <c r="E128" s="131"/>
      <c r="F128" s="131"/>
      <c r="G128" s="131"/>
      <c r="H128" s="147">
        <f>-3020*2</f>
        <v>-6040</v>
      </c>
    </row>
    <row r="129" spans="1:10" hidden="1" x14ac:dyDescent="0.25">
      <c r="A129" s="130"/>
      <c r="B129" s="131"/>
      <c r="C129" s="131"/>
      <c r="D129" s="131"/>
      <c r="E129" s="131"/>
      <c r="F129" s="131"/>
      <c r="G129" s="131"/>
      <c r="H129" s="145"/>
    </row>
    <row r="130" spans="1:10" ht="1.5" hidden="1" customHeight="1" x14ac:dyDescent="0.25">
      <c r="A130" s="130"/>
      <c r="B130" s="131"/>
      <c r="C130" s="131"/>
      <c r="D130" s="131"/>
      <c r="E130" s="131"/>
      <c r="F130" s="131"/>
      <c r="G130" s="131"/>
      <c r="H130" s="147"/>
    </row>
    <row r="131" spans="1:10" x14ac:dyDescent="0.25">
      <c r="A131" s="130" t="s">
        <v>170</v>
      </c>
      <c r="B131" s="131"/>
      <c r="C131" s="131"/>
      <c r="D131" s="131"/>
      <c r="E131" s="131"/>
      <c r="F131" s="131"/>
      <c r="G131" s="131"/>
      <c r="H131" s="147"/>
      <c r="J131" s="102"/>
    </row>
    <row r="132" spans="1:10" x14ac:dyDescent="0.25">
      <c r="A132" s="130" t="s">
        <v>181</v>
      </c>
      <c r="B132" s="131"/>
      <c r="C132" s="131"/>
      <c r="D132" s="131"/>
      <c r="E132" s="131"/>
      <c r="F132" s="131"/>
      <c r="G132" s="131"/>
      <c r="H132" s="147">
        <v>-100672.27</v>
      </c>
    </row>
    <row r="133" spans="1:10" x14ac:dyDescent="0.25">
      <c r="A133" s="130" t="s">
        <v>163</v>
      </c>
      <c r="B133" s="132"/>
      <c r="C133" s="131"/>
      <c r="D133" s="131"/>
      <c r="E133" s="131"/>
      <c r="F133" s="131"/>
      <c r="G133" s="131"/>
      <c r="H133" s="159">
        <f>-H100</f>
        <v>0</v>
      </c>
    </row>
    <row r="134" spans="1:10" ht="18.75" x14ac:dyDescent="0.3">
      <c r="A134" s="133" t="s">
        <v>137</v>
      </c>
      <c r="B134" s="134"/>
      <c r="C134" s="134"/>
      <c r="D134" s="134"/>
      <c r="E134" s="134"/>
      <c r="F134" s="134"/>
      <c r="G134" s="134"/>
      <c r="H134" s="135">
        <f>SUM(H123:H133)</f>
        <v>-8828.211792190079</v>
      </c>
    </row>
    <row r="135" spans="1:10" ht="15.75" thickBot="1" x14ac:dyDescent="0.3"/>
    <row r="136" spans="1:10" ht="16.5" thickBot="1" x14ac:dyDescent="0.3">
      <c r="A136" s="189" t="s">
        <v>138</v>
      </c>
      <c r="B136" s="190"/>
      <c r="C136" s="190"/>
      <c r="D136" s="190"/>
      <c r="E136" s="190"/>
      <c r="F136" s="190"/>
      <c r="G136" s="190"/>
      <c r="H136" s="191"/>
    </row>
    <row r="137" spans="1:10" ht="15.75" x14ac:dyDescent="0.25">
      <c r="A137" s="136" t="s">
        <v>133</v>
      </c>
      <c r="B137" s="136"/>
      <c r="C137" s="136"/>
      <c r="D137" s="136"/>
      <c r="E137" s="136"/>
      <c r="F137" s="136"/>
      <c r="G137" s="136"/>
      <c r="H137" s="137">
        <v>0</v>
      </c>
    </row>
    <row r="138" spans="1:10" x14ac:dyDescent="0.25">
      <c r="A138" s="6"/>
      <c r="B138" s="138"/>
      <c r="C138" s="131"/>
      <c r="D138" s="6"/>
      <c r="E138" s="6"/>
      <c r="F138" s="6"/>
      <c r="G138" s="6"/>
      <c r="H138" s="20"/>
    </row>
    <row r="139" spans="1:10" x14ac:dyDescent="0.25">
      <c r="A139" s="6"/>
      <c r="B139" s="139"/>
      <c r="C139" s="6"/>
      <c r="D139" s="6"/>
      <c r="E139" s="6"/>
      <c r="F139" s="6"/>
      <c r="G139" s="6"/>
      <c r="H139" s="20"/>
    </row>
    <row r="140" spans="1:10" x14ac:dyDescent="0.25">
      <c r="A140" s="6"/>
      <c r="B140" s="6"/>
      <c r="C140" s="6"/>
      <c r="D140" s="6"/>
      <c r="E140" s="6"/>
      <c r="F140" s="6"/>
      <c r="G140" s="6"/>
      <c r="H140" s="20"/>
    </row>
    <row r="141" spans="1:10" x14ac:dyDescent="0.25">
      <c r="A141" s="140" t="s">
        <v>137</v>
      </c>
      <c r="B141" s="140"/>
      <c r="C141" s="140"/>
      <c r="D141" s="140"/>
      <c r="E141" s="140"/>
      <c r="F141" s="140"/>
      <c r="G141" s="140"/>
      <c r="H141" s="141">
        <v>0</v>
      </c>
    </row>
    <row r="143" spans="1:10" x14ac:dyDescent="0.25">
      <c r="A143" s="149" t="s">
        <v>151</v>
      </c>
      <c r="B143" s="150"/>
      <c r="C143" s="150"/>
      <c r="D143" s="150"/>
    </row>
    <row r="144" spans="1:10" x14ac:dyDescent="0.25">
      <c r="A144" s="6"/>
      <c r="B144" s="6"/>
      <c r="C144" s="6"/>
      <c r="D144" s="20"/>
    </row>
    <row r="145" spans="1:8" x14ac:dyDescent="0.25">
      <c r="A145" s="6"/>
      <c r="B145" s="6"/>
      <c r="C145" s="6"/>
      <c r="D145" s="20"/>
    </row>
    <row r="146" spans="1:8" x14ac:dyDescent="0.25">
      <c r="A146" s="142" t="s">
        <v>101</v>
      </c>
      <c r="B146" s="150"/>
      <c r="C146" s="150"/>
      <c r="D146" s="165">
        <f>SUM(D144:D145)</f>
        <v>0</v>
      </c>
    </row>
    <row r="148" spans="1:8" ht="13.5" customHeight="1" x14ac:dyDescent="0.25">
      <c r="A148" s="149" t="s">
        <v>152</v>
      </c>
      <c r="B148" s="142"/>
      <c r="C148" s="142"/>
      <c r="D148" s="142"/>
    </row>
    <row r="149" spans="1:8" hidden="1" x14ac:dyDescent="0.25">
      <c r="A149" s="6"/>
      <c r="B149" s="122"/>
      <c r="C149" s="122"/>
      <c r="D149" s="145"/>
    </row>
    <row r="150" spans="1:8" hidden="1" x14ac:dyDescent="0.25">
      <c r="A150" s="6"/>
      <c r="B150" s="6"/>
      <c r="C150" s="6"/>
      <c r="D150" s="151"/>
    </row>
    <row r="151" spans="1:8" hidden="1" x14ac:dyDescent="0.25">
      <c r="A151" s="6"/>
      <c r="B151" s="6"/>
      <c r="C151" s="6"/>
      <c r="D151" s="151"/>
    </row>
    <row r="152" spans="1:8" x14ac:dyDescent="0.25">
      <c r="A152" s="6"/>
      <c r="B152" s="6"/>
      <c r="C152" s="6"/>
      <c r="D152" s="151"/>
    </row>
    <row r="153" spans="1:8" x14ac:dyDescent="0.25">
      <c r="A153" s="143" t="s">
        <v>101</v>
      </c>
      <c r="B153" s="143"/>
      <c r="C153" s="192">
        <f>SUM(D149:D152)</f>
        <v>0</v>
      </c>
      <c r="D153" s="193"/>
    </row>
    <row r="156" spans="1:8" x14ac:dyDescent="0.25">
      <c r="A156" s="194"/>
      <c r="B156" s="194"/>
      <c r="C156" s="194"/>
      <c r="D156" s="194"/>
      <c r="E156" s="194"/>
      <c r="F156" s="194"/>
      <c r="G156" s="194"/>
      <c r="H156" s="194"/>
    </row>
    <row r="157" spans="1:8" x14ac:dyDescent="0.25">
      <c r="A157" s="194"/>
      <c r="B157" s="194"/>
      <c r="C157" s="194"/>
      <c r="D157" s="194"/>
      <c r="E157" s="194"/>
      <c r="F157" s="194"/>
      <c r="G157" s="194"/>
      <c r="H157" s="194"/>
    </row>
    <row r="158" spans="1:8" x14ac:dyDescent="0.25">
      <c r="A158" s="194"/>
      <c r="B158" s="194"/>
      <c r="C158" s="194"/>
      <c r="D158" s="194"/>
      <c r="E158" s="194"/>
      <c r="F158" s="194"/>
      <c r="G158" s="194"/>
      <c r="H158" s="194"/>
    </row>
    <row r="159" spans="1:8" x14ac:dyDescent="0.25">
      <c r="A159" s="194"/>
      <c r="B159" s="194"/>
      <c r="C159" s="194"/>
      <c r="D159" s="194"/>
      <c r="E159" s="194"/>
      <c r="F159" s="194"/>
      <c r="G159" s="194"/>
      <c r="H159" s="194"/>
    </row>
  </sheetData>
  <mergeCells count="33">
    <mergeCell ref="A42:H42"/>
    <mergeCell ref="D2:H2"/>
    <mergeCell ref="E3:H3"/>
    <mergeCell ref="A10:H10"/>
    <mergeCell ref="A12:H12"/>
    <mergeCell ref="A20:H20"/>
    <mergeCell ref="A28:H28"/>
    <mergeCell ref="A33:H33"/>
    <mergeCell ref="A111:G111"/>
    <mergeCell ref="A49:H49"/>
    <mergeCell ref="A68:H68"/>
    <mergeCell ref="A73:H73"/>
    <mergeCell ref="A77:H77"/>
    <mergeCell ref="A81:H81"/>
    <mergeCell ref="A85:H85"/>
    <mergeCell ref="A89:H89"/>
    <mergeCell ref="A102:G102"/>
    <mergeCell ref="A103:G103"/>
    <mergeCell ref="A105:G105"/>
    <mergeCell ref="A110:G110"/>
    <mergeCell ref="C70:D70"/>
    <mergeCell ref="A97:G97"/>
    <mergeCell ref="A122:H122"/>
    <mergeCell ref="A136:H136"/>
    <mergeCell ref="C153:D153"/>
    <mergeCell ref="A156:H159"/>
    <mergeCell ref="A112:G112"/>
    <mergeCell ref="A113:G113"/>
    <mergeCell ref="A114:G114"/>
    <mergeCell ref="A115:G115"/>
    <mergeCell ref="A116:G116"/>
    <mergeCell ref="A117:G117"/>
    <mergeCell ref="A119:H120"/>
  </mergeCells>
  <hyperlinks>
    <hyperlink ref="E4" r:id="rId1"/>
  </hyperlinks>
  <pageMargins left="0.25" right="0.25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Planilla</vt:lpstr>
      <vt:lpstr>Gastos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2025-02-03T16:40:18Z</cp:lastPrinted>
  <dcterms:created xsi:type="dcterms:W3CDTF">2024-08-02T14:44:36Z</dcterms:created>
  <dcterms:modified xsi:type="dcterms:W3CDTF">2025-02-03T16:40:26Z</dcterms:modified>
</cp:coreProperties>
</file>