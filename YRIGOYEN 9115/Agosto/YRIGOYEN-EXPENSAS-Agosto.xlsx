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115\Agosto\"/>
    </mc:Choice>
  </mc:AlternateContent>
  <xr:revisionPtr revIDLastSave="0" documentId="13_ncr:1_{11FDBE6B-3628-416F-B75C-19D30E4A61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Gastos" sheetId="2" r:id="rId2"/>
  </sheets>
  <definedNames>
    <definedName name="_xlnm.Print_Area" localSheetId="1">Gastos!$A$1:$H$112</definedName>
    <definedName name="_xlnm.Print_Area" localSheetId="0">Planilla!$A$1:$O$45</definedName>
  </definedNames>
  <calcPr calcId="181029"/>
</workbook>
</file>

<file path=xl/calcChain.xml><?xml version="1.0" encoding="utf-8"?>
<calcChain xmlns="http://schemas.openxmlformats.org/spreadsheetml/2006/main">
  <c r="G26" i="1" l="1"/>
  <c r="G40" i="1"/>
  <c r="H26" i="2"/>
  <c r="G38" i="1" l="1"/>
  <c r="G10" i="1" l="1"/>
  <c r="H41" i="2" l="1"/>
  <c r="G39" i="1"/>
  <c r="G35" i="1" l="1"/>
  <c r="G29" i="1"/>
  <c r="G16" i="1" l="1"/>
  <c r="B7" i="1" l="1"/>
  <c r="G19" i="1" l="1"/>
  <c r="G15" i="1" l="1"/>
  <c r="G18" i="1" l="1"/>
  <c r="G23" i="1" l="1"/>
  <c r="G36" i="1" l="1"/>
  <c r="G34" i="1"/>
  <c r="H28" i="2" l="1"/>
  <c r="D103" i="2"/>
  <c r="H88" i="2" s="1"/>
  <c r="G27" i="1" l="1"/>
  <c r="H64" i="2" l="1"/>
  <c r="H90" i="2" s="1"/>
  <c r="B24" i="2"/>
  <c r="B25" i="2" s="1"/>
  <c r="G22" i="1" l="1"/>
  <c r="H9" i="1" l="1"/>
  <c r="C110" i="2" l="1"/>
  <c r="B5" i="1" l="1"/>
  <c r="J1" i="1"/>
  <c r="G1" i="1"/>
  <c r="H16" i="2" l="1"/>
  <c r="H54" i="2" l="1"/>
  <c r="H33" i="2" l="1"/>
  <c r="G30" i="1" l="1"/>
  <c r="H72" i="2" l="1"/>
  <c r="H74" i="2" s="1"/>
  <c r="H46" i="2"/>
  <c r="H50" i="2"/>
  <c r="H21" i="2"/>
  <c r="K43" i="1"/>
  <c r="F43" i="1"/>
  <c r="E43" i="1"/>
  <c r="H41" i="1"/>
  <c r="I41" i="1" s="1"/>
  <c r="J40" i="1"/>
  <c r="H40" i="1"/>
  <c r="I40" i="1" s="1"/>
  <c r="H39" i="1"/>
  <c r="J38" i="1"/>
  <c r="H38" i="1"/>
  <c r="J37" i="1"/>
  <c r="J36" i="1"/>
  <c r="H36" i="1"/>
  <c r="J35" i="1"/>
  <c r="J34" i="1"/>
  <c r="H34" i="1"/>
  <c r="I34" i="1" s="1"/>
  <c r="J33" i="1"/>
  <c r="H33" i="1"/>
  <c r="I33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J32" i="1"/>
  <c r="J31" i="1"/>
  <c r="H31" i="1"/>
  <c r="J30" i="1"/>
  <c r="J29" i="1"/>
  <c r="J28" i="1"/>
  <c r="H28" i="1"/>
  <c r="J27" i="1"/>
  <c r="J26" i="1"/>
  <c r="J25" i="1"/>
  <c r="J24" i="1"/>
  <c r="J23" i="1"/>
  <c r="H23" i="1"/>
  <c r="J22" i="1"/>
  <c r="H22" i="1"/>
  <c r="I22" i="1" s="1"/>
  <c r="J21" i="1"/>
  <c r="H21" i="1"/>
  <c r="I21" i="1" s="1"/>
  <c r="J20" i="1"/>
  <c r="H20" i="1"/>
  <c r="J19" i="1"/>
  <c r="J18" i="1"/>
  <c r="H18" i="1"/>
  <c r="J17" i="1"/>
  <c r="H17" i="1"/>
  <c r="I17" i="1" s="1"/>
  <c r="J16" i="1"/>
  <c r="H16" i="1"/>
  <c r="I16" i="1" s="1"/>
  <c r="J15" i="1"/>
  <c r="J14" i="1"/>
  <c r="H14" i="1"/>
  <c r="J13" i="1"/>
  <c r="J12" i="1"/>
  <c r="J11" i="1"/>
  <c r="J10" i="1"/>
  <c r="J9" i="1"/>
  <c r="M41" i="1"/>
  <c r="L41" i="1"/>
  <c r="H77" i="2" l="1"/>
  <c r="H78" i="2" s="1"/>
  <c r="H32" i="1"/>
  <c r="I32" i="1" s="1"/>
  <c r="L15" i="1"/>
  <c r="L22" i="1"/>
  <c r="L29" i="1"/>
  <c r="L36" i="1"/>
  <c r="L42" i="1"/>
  <c r="L9" i="1"/>
  <c r="L11" i="1"/>
  <c r="L25" i="1"/>
  <c r="L10" i="1"/>
  <c r="L12" i="1"/>
  <c r="L18" i="1"/>
  <c r="L24" i="1"/>
  <c r="L26" i="1"/>
  <c r="L35" i="1"/>
  <c r="L38" i="1"/>
  <c r="L13" i="1"/>
  <c r="L19" i="1"/>
  <c r="L23" i="1"/>
  <c r="L27" i="1"/>
  <c r="L14" i="1"/>
  <c r="L17" i="1"/>
  <c r="L20" i="1"/>
  <c r="L28" i="1"/>
  <c r="L30" i="1"/>
  <c r="L37" i="1"/>
  <c r="J41" i="1"/>
  <c r="N41" i="1" s="1"/>
  <c r="O41" i="1" s="1"/>
  <c r="H15" i="1"/>
  <c r="I15" i="1" s="1"/>
  <c r="H35" i="1"/>
  <c r="I35" i="1" s="1"/>
  <c r="J39" i="1"/>
  <c r="H79" i="2"/>
  <c r="I39" i="1"/>
  <c r="M14" i="1"/>
  <c r="M15" i="1"/>
  <c r="M20" i="1"/>
  <c r="M28" i="1"/>
  <c r="H29" i="1"/>
  <c r="M29" i="1"/>
  <c r="H30" i="1"/>
  <c r="M30" i="1"/>
  <c r="I31" i="1"/>
  <c r="M35" i="1"/>
  <c r="M36" i="1"/>
  <c r="M42" i="1"/>
  <c r="M18" i="1"/>
  <c r="M19" i="1"/>
  <c r="M23" i="1"/>
  <c r="M24" i="1"/>
  <c r="H25" i="1"/>
  <c r="M25" i="1"/>
  <c r="M26" i="1"/>
  <c r="H27" i="1"/>
  <c r="M27" i="1"/>
  <c r="I28" i="1"/>
  <c r="I36" i="1"/>
  <c r="H37" i="1"/>
  <c r="M37" i="1"/>
  <c r="M38" i="1"/>
  <c r="L39" i="1"/>
  <c r="L40" i="1"/>
  <c r="G43" i="1"/>
  <c r="H86" i="2" s="1"/>
  <c r="M9" i="1"/>
  <c r="H10" i="1"/>
  <c r="M10" i="1"/>
  <c r="H11" i="1"/>
  <c r="M11" i="1"/>
  <c r="H12" i="1"/>
  <c r="M12" i="1"/>
  <c r="H13" i="1"/>
  <c r="M13" i="1"/>
  <c r="I14" i="1"/>
  <c r="H19" i="1"/>
  <c r="I20" i="1"/>
  <c r="H24" i="1"/>
  <c r="H26" i="1"/>
  <c r="L16" i="1"/>
  <c r="M17" i="1"/>
  <c r="I18" i="1"/>
  <c r="L21" i="1"/>
  <c r="M22" i="1"/>
  <c r="I23" i="1"/>
  <c r="L31" i="1"/>
  <c r="L32" i="1"/>
  <c r="L33" i="1"/>
  <c r="L34" i="1"/>
  <c r="I38" i="1"/>
  <c r="M39" i="1"/>
  <c r="M40" i="1"/>
  <c r="M16" i="1"/>
  <c r="M21" i="1"/>
  <c r="M31" i="1"/>
  <c r="M32" i="1"/>
  <c r="M33" i="1"/>
  <c r="M34" i="1"/>
  <c r="H80" i="2" l="1"/>
  <c r="N17" i="1"/>
  <c r="O17" i="1" s="1"/>
  <c r="N20" i="1"/>
  <c r="O20" i="1" s="1"/>
  <c r="N22" i="1"/>
  <c r="O22" i="1" s="1"/>
  <c r="N23" i="1"/>
  <c r="O23" i="1" s="1"/>
  <c r="H42" i="1"/>
  <c r="I42" i="1" s="1"/>
  <c r="J42" i="1"/>
  <c r="J43" i="1" s="1"/>
  <c r="N32" i="1"/>
  <c r="O32" i="1" s="1"/>
  <c r="N38" i="1"/>
  <c r="O38" i="1" s="1"/>
  <c r="N18" i="1"/>
  <c r="O18" i="1" s="1"/>
  <c r="N40" i="1"/>
  <c r="O40" i="1" s="1"/>
  <c r="N36" i="1"/>
  <c r="O36" i="1" s="1"/>
  <c r="L43" i="1"/>
  <c r="N14" i="1"/>
  <c r="O14" i="1" s="1"/>
  <c r="N34" i="1"/>
  <c r="O34" i="1" s="1"/>
  <c r="N39" i="1"/>
  <c r="O39" i="1" s="1"/>
  <c r="N35" i="1"/>
  <c r="O35" i="1" s="1"/>
  <c r="N33" i="1"/>
  <c r="O33" i="1" s="1"/>
  <c r="N28" i="1"/>
  <c r="O28" i="1" s="1"/>
  <c r="N15" i="1"/>
  <c r="O15" i="1" s="1"/>
  <c r="N21" i="1"/>
  <c r="O21" i="1" s="1"/>
  <c r="N31" i="1"/>
  <c r="O31" i="1" s="1"/>
  <c r="I13" i="1"/>
  <c r="N13" i="1" s="1"/>
  <c r="O13" i="1" s="1"/>
  <c r="I11" i="1"/>
  <c r="N11" i="1" s="1"/>
  <c r="O11" i="1" s="1"/>
  <c r="I9" i="1"/>
  <c r="N9" i="1" s="1"/>
  <c r="I27" i="1"/>
  <c r="N27" i="1" s="1"/>
  <c r="O27" i="1" s="1"/>
  <c r="I29" i="1"/>
  <c r="N29" i="1" s="1"/>
  <c r="O29" i="1" s="1"/>
  <c r="N16" i="1"/>
  <c r="O16" i="1" s="1"/>
  <c r="I26" i="1"/>
  <c r="N26" i="1" s="1"/>
  <c r="O26" i="1" s="1"/>
  <c r="I12" i="1"/>
  <c r="N12" i="1" s="1"/>
  <c r="O12" i="1" s="1"/>
  <c r="I10" i="1"/>
  <c r="N10" i="1" s="1"/>
  <c r="O10" i="1" s="1"/>
  <c r="I30" i="1"/>
  <c r="N30" i="1" s="1"/>
  <c r="O30" i="1" s="1"/>
  <c r="I19" i="1"/>
  <c r="N19" i="1" s="1"/>
  <c r="O19" i="1" s="1"/>
  <c r="I24" i="1"/>
  <c r="N24" i="1" s="1"/>
  <c r="O24" i="1" s="1"/>
  <c r="M43" i="1"/>
  <c r="I37" i="1"/>
  <c r="N37" i="1" s="1"/>
  <c r="O37" i="1" s="1"/>
  <c r="I25" i="1"/>
  <c r="N25" i="1" s="1"/>
  <c r="O25" i="1" s="1"/>
  <c r="H87" i="2" l="1"/>
  <c r="H91" i="2" s="1"/>
  <c r="H43" i="1"/>
  <c r="N42" i="1"/>
  <c r="O42" i="1" s="1"/>
  <c r="I43" i="1"/>
  <c r="O9" i="1" l="1"/>
  <c r="N43" i="1"/>
</calcChain>
</file>

<file path=xl/sharedStrings.xml><?xml version="1.0" encoding="utf-8"?>
<sst xmlns="http://schemas.openxmlformats.org/spreadsheetml/2006/main" count="198" uniqueCount="184">
  <si>
    <t xml:space="preserve">Banco Comafi:
Cons. Prop. Edif. Yrigoyen 9115 CUIT: 30-56975974-5
Cuenta Corriente: 1600-02921-7
CBU: 2990160716000292170004 Alias:  TORRE.MARTES.JABON </t>
  </si>
  <si>
    <t>ORDINARIOS:</t>
  </si>
  <si>
    <t>EXTRAORDINARIOS: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</si>
  <si>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</si>
  <si>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</si>
  <si>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</si>
  <si>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</si>
  <si>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</si>
  <si>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</si>
  <si>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</si>
  <si>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</si>
  <si>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</si>
  <si>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</si>
  <si>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</si>
  <si>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</si>
  <si>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1 ER VTO.</t>
  </si>
  <si>
    <t>2DO VTO.</t>
  </si>
  <si>
    <t>PB A</t>
  </si>
  <si>
    <t>Goldberg Luis</t>
  </si>
  <si>
    <t>1° A</t>
  </si>
  <si>
    <t>Basaldella Silvia</t>
  </si>
  <si>
    <t>1° B</t>
  </si>
  <si>
    <t>Walsh Carlos</t>
  </si>
  <si>
    <t>1° C</t>
  </si>
  <si>
    <t>Ponti Liliana</t>
  </si>
  <si>
    <t>1° D</t>
  </si>
  <si>
    <t>Raúl Benvenuto</t>
  </si>
  <si>
    <t>2°A</t>
  </si>
  <si>
    <t>Gonzalez Nuñez</t>
  </si>
  <si>
    <t>2° B</t>
  </si>
  <si>
    <t>Fernandez Sandra</t>
  </si>
  <si>
    <t>2°C</t>
  </si>
  <si>
    <t>Salomon Osvaldo</t>
  </si>
  <si>
    <t>2° D</t>
  </si>
  <si>
    <t>Rodriguez A.</t>
  </si>
  <si>
    <t>3° A</t>
  </si>
  <si>
    <t>3° B</t>
  </si>
  <si>
    <t>Capone Haydee</t>
  </si>
  <si>
    <t>3° C</t>
  </si>
  <si>
    <t>Bossi Juan Alberto</t>
  </si>
  <si>
    <t>4° A</t>
  </si>
  <si>
    <t>Marino Silvia</t>
  </si>
  <si>
    <t>4° B</t>
  </si>
  <si>
    <t>Spagnolo Gonzalo</t>
  </si>
  <si>
    <t>4° C</t>
  </si>
  <si>
    <t>Fresno Gabriel</t>
  </si>
  <si>
    <t>5° A</t>
  </si>
  <si>
    <t>Bellino Jorge</t>
  </si>
  <si>
    <t>5° B</t>
  </si>
  <si>
    <t>Heffel Lorena</t>
  </si>
  <si>
    <t>5° C</t>
  </si>
  <si>
    <t>Larocca Martha</t>
  </si>
  <si>
    <t>6° A</t>
  </si>
  <si>
    <t>Roperti Claudio</t>
  </si>
  <si>
    <t>6° B</t>
  </si>
  <si>
    <t>Sakugawa E.</t>
  </si>
  <si>
    <t>6° C</t>
  </si>
  <si>
    <t>Gomez Gabriela</t>
  </si>
  <si>
    <t>7° A</t>
  </si>
  <si>
    <t>Nora Palagi</t>
  </si>
  <si>
    <t>Guillermo y noelia</t>
  </si>
  <si>
    <t>7° B</t>
  </si>
  <si>
    <t>De Falco Alicia</t>
  </si>
  <si>
    <t>7° C</t>
  </si>
  <si>
    <t>Carballo Carolina S.</t>
  </si>
  <si>
    <t>8° A</t>
  </si>
  <si>
    <t>Haydee Cordal</t>
  </si>
  <si>
    <t>Victoria y agustin</t>
  </si>
  <si>
    <t>8° B</t>
  </si>
  <si>
    <t>Salvia</t>
  </si>
  <si>
    <t>Noelia</t>
  </si>
  <si>
    <t>8° C</t>
  </si>
  <si>
    <t>Bruno Liliana</t>
  </si>
  <si>
    <t>9° A</t>
  </si>
  <si>
    <t>Damian</t>
  </si>
  <si>
    <t>9° B</t>
  </si>
  <si>
    <t>Cariboni Marisa</t>
  </si>
  <si>
    <t>9° C</t>
  </si>
  <si>
    <t>Favio Felice</t>
  </si>
  <si>
    <t>9° D</t>
  </si>
  <si>
    <t>Vainorius Jose</t>
  </si>
  <si>
    <t>Romina</t>
  </si>
  <si>
    <t>10° A</t>
  </si>
  <si>
    <t>Cutrera/Almandoz</t>
  </si>
  <si>
    <t>10° B</t>
  </si>
  <si>
    <t>Alba Nuria</t>
  </si>
  <si>
    <t>10° C</t>
  </si>
  <si>
    <t>Marta</t>
  </si>
  <si>
    <t>Cel.</t>
  </si>
  <si>
    <t>1153202676 - Horarios de atencion: Lunes a Viernes de 10hs a 16hs</t>
  </si>
  <si>
    <t>e-mail:</t>
  </si>
  <si>
    <t>consorcioyrigoyen9115@gmail.com</t>
  </si>
  <si>
    <t>C.U.I.T:</t>
  </si>
  <si>
    <t>Administradora: CAROLINA CANCIANI</t>
  </si>
  <si>
    <t>MP 1148</t>
  </si>
  <si>
    <t>Doctor Melo 2958 - Lanus Oeste - Piso 8 -  con cita previa</t>
  </si>
  <si>
    <t>LIQUIDACION DE EXPENSAS</t>
  </si>
  <si>
    <t>CONSORCIO: ADMINISTRACION DE CONSORCIOS RC</t>
  </si>
  <si>
    <t>SE SOLICTA ENCARECIDAMENTE EL INFORMAR EL PAGO DE EXPENSAS VIA MAIL ADJUNTANDO COMPROBANTES DE PAGO CORRESPONDIENTES JUNTO A LA UF A LA QUE PERTENECE.</t>
  </si>
  <si>
    <t>1- SUELDO ENCARGADA</t>
  </si>
  <si>
    <t>TOTAL</t>
  </si>
  <si>
    <t>Deducciones</t>
  </si>
  <si>
    <t>TOTAL SAC</t>
  </si>
  <si>
    <t>2-CARGAS SOCIALES</t>
  </si>
  <si>
    <t xml:space="preserve">SUTHER </t>
  </si>
  <si>
    <t>SERACARH</t>
  </si>
  <si>
    <t xml:space="preserve">TOTAL </t>
  </si>
  <si>
    <t>3- SERVICIO PUBLICIO</t>
  </si>
  <si>
    <t xml:space="preserve">Metrogas </t>
  </si>
  <si>
    <t xml:space="preserve">AySa </t>
  </si>
  <si>
    <t>Cuenta de servicios Nro. 3882803</t>
  </si>
  <si>
    <t xml:space="preserve">Edesur </t>
  </si>
  <si>
    <t>Nro. De cliente: 01672813</t>
  </si>
  <si>
    <t>4- MANTENIMIENTO DE PARTES COMUNES</t>
  </si>
  <si>
    <t>5 - GASTO DE ADMINISTRACION</t>
  </si>
  <si>
    <t xml:space="preserve">Administracion Honorarios </t>
  </si>
  <si>
    <t>6- GASTOS BANCARIOS</t>
  </si>
  <si>
    <t>Gastos bancarios</t>
  </si>
  <si>
    <t>7- SEGUROS OBLIGATORIOS</t>
  </si>
  <si>
    <t>8- GASTOS VARIOS</t>
  </si>
  <si>
    <t>GASTOS EXTRAORDINARIOS</t>
  </si>
  <si>
    <t>TOTAL GASTOS EXTRAORDINARIOS: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</si>
  <si>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</si>
  <si>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</si>
  <si>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</si>
  <si>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</si>
  <si>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</si>
  <si>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</si>
  <si>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>Saldo anterior</t>
  </si>
  <si>
    <t xml:space="preserve">Ingreso por pago de Expensas </t>
  </si>
  <si>
    <t>Depositos sin identificar</t>
  </si>
  <si>
    <t>Saldo al cierre</t>
  </si>
  <si>
    <t>CAJA DOLARES</t>
  </si>
  <si>
    <t>Delgado Matias</t>
  </si>
  <si>
    <t>Florencia</t>
  </si>
  <si>
    <t xml:space="preserve">Egresos por gastos mes </t>
  </si>
  <si>
    <t>Juan Pablo Fariña</t>
  </si>
  <si>
    <t>Mejias Leosmari</t>
  </si>
  <si>
    <t>Seguro obligatorio Mercantil andina poliza nro. 00170533</t>
  </si>
  <si>
    <t>Sguro La Holando Poliza accidente personal Sra Jimena Borges 601540.8</t>
  </si>
  <si>
    <t xml:space="preserve">FONDO DE GASTOS EXTRAORDINARIOS </t>
  </si>
  <si>
    <t>Redondeo</t>
  </si>
  <si>
    <t>Aisquel Santoyo Gimenez</t>
  </si>
  <si>
    <t>Depositos sin identificar de este mes</t>
  </si>
  <si>
    <t xml:space="preserve">Depositos sin identificar </t>
  </si>
  <si>
    <t>Gustavo padron Contador</t>
  </si>
  <si>
    <t>Fernando tavella</t>
  </si>
  <si>
    <t>Mondo Jose Alberto</t>
  </si>
  <si>
    <t>Marcelina Valvuena</t>
  </si>
  <si>
    <t xml:space="preserve">FATHERY </t>
  </si>
  <si>
    <t>GASTO PARTICULAR</t>
  </si>
  <si>
    <t>Egreros gastos particulares</t>
  </si>
  <si>
    <t>Gastos part</t>
  </si>
  <si>
    <t xml:space="preserve">Merlina </t>
  </si>
  <si>
    <t xml:space="preserve">Micaela </t>
  </si>
  <si>
    <t>ARCA 931</t>
  </si>
  <si>
    <t>Ascensores Lema - Mantenimiento</t>
  </si>
  <si>
    <t>Seguro Sra Silvia</t>
  </si>
  <si>
    <t>Suplencia Semana de Vacaciones - Sra Silvia</t>
  </si>
  <si>
    <t xml:space="preserve">Nazareno e Ivon Iriarte
</t>
  </si>
  <si>
    <t xml:space="preserve">SRA SILVIA REEMPLAZO </t>
  </si>
  <si>
    <t>Daniel Salgueiro</t>
  </si>
  <si>
    <t>Macarena perez ruiz</t>
  </si>
  <si>
    <t>AUMENTADOS EN juli 2025</t>
  </si>
  <si>
    <t>Punitorios mal cobrados</t>
  </si>
  <si>
    <t>VTO: 15/09</t>
  </si>
  <si>
    <t>PERIODO: AGOSTO</t>
  </si>
  <si>
    <t>MES DE AGOSTO</t>
  </si>
  <si>
    <t>Impermeabilizacion interna tanque de reserva compartimiento cambio de dos tapas y marcos laterales - Limpieza y desinfeccion de tanques de agua potable -  cuota 4 de 4</t>
  </si>
  <si>
    <t>Articulos de limpieza - Transf 19/08</t>
  </si>
  <si>
    <t>Salvatierra Nicolas - Desobstruccion de lavadero en terraza</t>
  </si>
  <si>
    <t xml:space="preserve">Sueldo encargada - Jimena Borges </t>
  </si>
  <si>
    <t>Debito 07/08</t>
  </si>
  <si>
    <t>Debito 12/08</t>
  </si>
  <si>
    <t>Fumigacion Lanus 12/08</t>
  </si>
  <si>
    <t>Debito 13/08</t>
  </si>
  <si>
    <t>Debito 14/08</t>
  </si>
  <si>
    <t>Salvatierra Nicolas - Desobstruccion 5C colectora</t>
  </si>
  <si>
    <t>Debito 21/08</t>
  </si>
  <si>
    <t>Debito 22/08</t>
  </si>
  <si>
    <t>Valeria</t>
  </si>
  <si>
    <t>Lucas damian Cabrera</t>
  </si>
  <si>
    <t>FONDO DE GASTOS ORDINARIOS - ARREGLO TERRAZA</t>
  </si>
  <si>
    <t>Administracion Honorarios traspaso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</si>
</sst>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0.0"/>
    <numFmt numFmtId="169" formatCode="#,##0.0"/>
    <numFmt numFmtId="170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29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7" fontId="6" fillId="2" borderId="2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167" fontId="0" fillId="0" borderId="4" xfId="1" applyNumberFormat="1" applyFont="1" applyBorder="1"/>
    <xf numFmtId="0" fontId="7" fillId="0" borderId="4" xfId="0" applyFont="1" applyBorder="1"/>
    <xf numFmtId="0" fontId="8" fillId="0" borderId="4" xfId="0" applyFont="1" applyBorder="1"/>
    <xf numFmtId="0" fontId="5" fillId="3" borderId="4" xfId="0" applyFont="1" applyFill="1" applyBorder="1"/>
    <xf numFmtId="0" fontId="9" fillId="0" borderId="4" xfId="0" applyFont="1" applyBorder="1"/>
    <xf numFmtId="0" fontId="4" fillId="0" borderId="4" xfId="0" applyFont="1" applyBorder="1"/>
    <xf numFmtId="0" fontId="10" fillId="0" borderId="4" xfId="0" applyFont="1" applyBorder="1" applyAlignment="1">
      <alignment vertical="center" wrapText="1"/>
    </xf>
    <xf numFmtId="166" fontId="0" fillId="0" borderId="5" xfId="1" applyFont="1" applyBorder="1"/>
    <xf numFmtId="166" fontId="4" fillId="0" borderId="4" xfId="1" applyFont="1" applyBorder="1" applyAlignment="1">
      <alignment horizontal="left"/>
    </xf>
    <xf numFmtId="166" fontId="0" fillId="0" borderId="4" xfId="1" applyFont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167" fontId="4" fillId="2" borderId="13" xfId="1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right"/>
    </xf>
    <xf numFmtId="168" fontId="12" fillId="0" borderId="4" xfId="0" applyNumberFormat="1" applyFont="1" applyBorder="1" applyAlignment="1">
      <alignment horizontal="center"/>
    </xf>
    <xf numFmtId="0" fontId="13" fillId="0" borderId="16" xfId="0" applyFont="1" applyBorder="1"/>
    <xf numFmtId="0" fontId="14" fillId="0" borderId="16" xfId="0" applyFont="1" applyBorder="1"/>
    <xf numFmtId="10" fontId="15" fillId="0" borderId="17" xfId="0" applyNumberFormat="1" applyFont="1" applyBorder="1" applyAlignment="1">
      <alignment horizontal="right" vertical="top" shrinkToFit="1"/>
    </xf>
    <xf numFmtId="166" fontId="0" fillId="0" borderId="15" xfId="1" applyFont="1" applyBorder="1"/>
    <xf numFmtId="167" fontId="0" fillId="0" borderId="15" xfId="1" applyNumberFormat="1" applyFont="1" applyBorder="1"/>
    <xf numFmtId="166" fontId="0" fillId="0" borderId="15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0" fontId="0" fillId="0" borderId="4" xfId="0" applyBorder="1" applyAlignment="1">
      <alignment horizontal="right"/>
    </xf>
    <xf numFmtId="169" fontId="12" fillId="0" borderId="4" xfId="0" applyNumberFormat="1" applyFont="1" applyBorder="1" applyAlignment="1">
      <alignment horizontal="center"/>
    </xf>
    <xf numFmtId="0" fontId="0" fillId="0" borderId="8" xfId="0" applyBorder="1"/>
    <xf numFmtId="0" fontId="13" fillId="0" borderId="4" xfId="0" applyFont="1" applyBorder="1"/>
    <xf numFmtId="1" fontId="12" fillId="0" borderId="4" xfId="0" applyNumberFormat="1" applyFont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0" fontId="17" fillId="3" borderId="18" xfId="0" applyFont="1" applyFill="1" applyBorder="1"/>
    <xf numFmtId="0" fontId="14" fillId="0" borderId="3" xfId="0" applyFont="1" applyBorder="1"/>
    <xf numFmtId="0" fontId="14" fillId="0" borderId="4" xfId="0" applyFont="1" applyBorder="1"/>
    <xf numFmtId="1" fontId="12" fillId="3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4" fillId="3" borderId="4" xfId="0" applyFont="1" applyFill="1" applyBorder="1"/>
    <xf numFmtId="1" fontId="18" fillId="0" borderId="4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4" xfId="0" applyFont="1" applyBorder="1"/>
    <xf numFmtId="1" fontId="18" fillId="0" borderId="4" xfId="0" quotePrefix="1" applyNumberFormat="1" applyFont="1" applyBorder="1" applyAlignment="1">
      <alignment horizontal="center" vertical="center"/>
    </xf>
    <xf numFmtId="0" fontId="20" fillId="0" borderId="0" xfId="0" applyFont="1"/>
    <xf numFmtId="1" fontId="18" fillId="0" borderId="4" xfId="0" applyNumberFormat="1" applyFont="1" applyBorder="1" applyAlignment="1">
      <alignment horizontal="center" vertical="center"/>
    </xf>
    <xf numFmtId="167" fontId="0" fillId="3" borderId="15" xfId="1" applyNumberFormat="1" applyFont="1" applyFill="1" applyBorder="1"/>
    <xf numFmtId="0" fontId="21" fillId="0" borderId="4" xfId="0" applyFont="1" applyBorder="1" applyAlignment="1">
      <alignment horizontal="center"/>
    </xf>
    <xf numFmtId="0" fontId="22" fillId="0" borderId="4" xfId="0" applyFont="1" applyBorder="1"/>
    <xf numFmtId="0" fontId="0" fillId="0" borderId="18" xfId="0" applyBorder="1"/>
    <xf numFmtId="0" fontId="21" fillId="0" borderId="18" xfId="0" applyFont="1" applyBorder="1" applyAlignment="1">
      <alignment horizontal="center"/>
    </xf>
    <xf numFmtId="0" fontId="22" fillId="0" borderId="18" xfId="0" applyFont="1" applyBorder="1"/>
    <xf numFmtId="166" fontId="0" fillId="0" borderId="18" xfId="1" applyFont="1" applyBorder="1"/>
    <xf numFmtId="167" fontId="0" fillId="0" borderId="18" xfId="1" applyNumberFormat="1" applyFont="1" applyBorder="1"/>
    <xf numFmtId="0" fontId="0" fillId="2" borderId="19" xfId="0" applyFill="1" applyBorder="1"/>
    <xf numFmtId="0" fontId="0" fillId="2" borderId="20" xfId="0" applyFill="1" applyBorder="1"/>
    <xf numFmtId="10" fontId="0" fillId="2" borderId="19" xfId="0" applyNumberFormat="1" applyFill="1" applyBorder="1"/>
    <xf numFmtId="166" fontId="0" fillId="2" borderId="19" xfId="1" applyFont="1" applyFill="1" applyBorder="1"/>
    <xf numFmtId="167" fontId="8" fillId="2" borderId="19" xfId="1" applyNumberFormat="1" applyFont="1" applyFill="1" applyBorder="1"/>
    <xf numFmtId="166" fontId="8" fillId="2" borderId="19" xfId="1" applyFont="1" applyFill="1" applyBorder="1"/>
    <xf numFmtId="167" fontId="0" fillId="2" borderId="19" xfId="1" applyNumberFormat="1" applyFont="1" applyFill="1" applyBorder="1"/>
    <xf numFmtId="0" fontId="0" fillId="0" borderId="19" xfId="0" applyBorder="1"/>
    <xf numFmtId="167" fontId="0" fillId="0" borderId="0" xfId="1" applyNumberFormat="1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4" fillId="0" borderId="0" xfId="0" applyFont="1"/>
    <xf numFmtId="0" fontId="24" fillId="0" borderId="0" xfId="2" applyAlignment="1">
      <alignment horizontal="left" vertical="center"/>
    </xf>
    <xf numFmtId="0" fontId="0" fillId="0" borderId="9" xfId="0" applyBorder="1"/>
    <xf numFmtId="0" fontId="25" fillId="3" borderId="0" xfId="2" applyFont="1" applyFill="1" applyBorder="1" applyAlignment="1">
      <alignment horizontal="left"/>
    </xf>
    <xf numFmtId="0" fontId="26" fillId="2" borderId="5" xfId="0" applyFont="1" applyFill="1" applyBorder="1"/>
    <xf numFmtId="0" fontId="26" fillId="2" borderId="21" xfId="0" applyFont="1" applyFill="1" applyBorder="1"/>
    <xf numFmtId="17" fontId="26" fillId="2" borderId="21" xfId="0" applyNumberFormat="1" applyFont="1" applyFill="1" applyBorder="1"/>
    <xf numFmtId="0" fontId="27" fillId="2" borderId="16" xfId="0" applyFont="1" applyFill="1" applyBorder="1"/>
    <xf numFmtId="166" fontId="16" fillId="3" borderId="4" xfId="1" applyFont="1" applyFill="1" applyBorder="1"/>
    <xf numFmtId="166" fontId="0" fillId="0" borderId="0" xfId="0" applyNumberFormat="1"/>
    <xf numFmtId="166" fontId="28" fillId="3" borderId="4" xfId="1" applyFont="1" applyFill="1" applyBorder="1"/>
    <xf numFmtId="0" fontId="16" fillId="3" borderId="4" xfId="0" applyFont="1" applyFill="1" applyBorder="1"/>
    <xf numFmtId="0" fontId="16" fillId="3" borderId="4" xfId="0" applyFont="1" applyFill="1" applyBorder="1" applyAlignment="1">
      <alignment vertical="center"/>
    </xf>
    <xf numFmtId="0" fontId="0" fillId="3" borderId="0" xfId="0" applyFill="1"/>
    <xf numFmtId="166" fontId="0" fillId="3" borderId="0" xfId="0" applyNumberFormat="1" applyFill="1"/>
    <xf numFmtId="0" fontId="30" fillId="3" borderId="4" xfId="0" applyFont="1" applyFill="1" applyBorder="1" applyAlignment="1">
      <alignment horizontal="center" vertical="center"/>
    </xf>
    <xf numFmtId="166" fontId="16" fillId="3" borderId="4" xfId="0" applyNumberFormat="1" applyFont="1" applyFill="1" applyBorder="1"/>
    <xf numFmtId="0" fontId="16" fillId="3" borderId="4" xfId="0" applyFont="1" applyFill="1" applyBorder="1" applyAlignment="1">
      <alignment horizontal="left" vertical="center"/>
    </xf>
    <xf numFmtId="166" fontId="28" fillId="3" borderId="4" xfId="0" applyNumberFormat="1" applyFont="1" applyFill="1" applyBorder="1"/>
    <xf numFmtId="0" fontId="16" fillId="2" borderId="4" xfId="0" applyFont="1" applyFill="1" applyBorder="1" applyAlignment="1">
      <alignment horizontal="left" vertical="center"/>
    </xf>
    <xf numFmtId="166" fontId="28" fillId="2" borderId="4" xfId="0" applyNumberFormat="1" applyFont="1" applyFill="1" applyBorder="1"/>
    <xf numFmtId="166" fontId="30" fillId="2" borderId="4" xfId="0" applyNumberFormat="1" applyFont="1" applyFill="1" applyBorder="1"/>
    <xf numFmtId="0" fontId="16" fillId="3" borderId="5" xfId="0" applyFont="1" applyFill="1" applyBorder="1" applyAlignment="1">
      <alignment horizontal="left" vertical="center"/>
    </xf>
    <xf numFmtId="0" fontId="16" fillId="3" borderId="21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0" fillId="3" borderId="4" xfId="0" applyFill="1" applyBorder="1"/>
    <xf numFmtId="166" fontId="26" fillId="2" borderId="34" xfId="0" applyNumberFormat="1" applyFont="1" applyFill="1" applyBorder="1"/>
    <xf numFmtId="0" fontId="26" fillId="3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0" fontId="26" fillId="3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/>
    </xf>
    <xf numFmtId="165" fontId="11" fillId="0" borderId="0" xfId="0" applyNumberFormat="1" applyFont="1"/>
    <xf numFmtId="0" fontId="0" fillId="0" borderId="21" xfId="0" applyBorder="1"/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26" fillId="3" borderId="5" xfId="0" applyFont="1" applyFill="1" applyBorder="1"/>
    <xf numFmtId="0" fontId="27" fillId="3" borderId="21" xfId="0" applyFont="1" applyFill="1" applyBorder="1"/>
    <xf numFmtId="165" fontId="26" fillId="3" borderId="4" xfId="1" applyNumberFormat="1" applyFont="1" applyFill="1" applyBorder="1"/>
    <xf numFmtId="0" fontId="0" fillId="7" borderId="15" xfId="0" applyFill="1" applyBorder="1"/>
    <xf numFmtId="166" fontId="23" fillId="7" borderId="15" xfId="1" applyFont="1" applyFill="1" applyBorder="1"/>
    <xf numFmtId="164" fontId="0" fillId="0" borderId="4" xfId="0" applyNumberFormat="1" applyBorder="1"/>
    <xf numFmtId="164" fontId="0" fillId="3" borderId="4" xfId="0" applyNumberFormat="1" applyFill="1" applyBorder="1"/>
    <xf numFmtId="0" fontId="0" fillId="7" borderId="4" xfId="0" applyFill="1" applyBorder="1"/>
    <xf numFmtId="166" fontId="0" fillId="7" borderId="4" xfId="1" applyFont="1" applyFill="1" applyBorder="1"/>
    <xf numFmtId="0" fontId="2" fillId="8" borderId="0" xfId="0" applyFont="1" applyFill="1"/>
    <xf numFmtId="0" fontId="2" fillId="8" borderId="4" xfId="0" applyFont="1" applyFill="1" applyBorder="1"/>
    <xf numFmtId="166" fontId="3" fillId="0" borderId="4" xfId="1" applyFont="1" applyBorder="1"/>
    <xf numFmtId="166" fontId="3" fillId="0" borderId="15" xfId="1" applyFont="1" applyBorder="1"/>
    <xf numFmtId="166" fontId="16" fillId="3" borderId="4" xfId="1" applyFont="1" applyFill="1" applyBorder="1" applyAlignment="1"/>
    <xf numFmtId="0" fontId="5" fillId="8" borderId="0" xfId="0" applyFont="1" applyFill="1"/>
    <xf numFmtId="0" fontId="0" fillId="8" borderId="0" xfId="0" applyFill="1"/>
    <xf numFmtId="166" fontId="16" fillId="0" borderId="4" xfId="1" applyFont="1" applyBorder="1"/>
    <xf numFmtId="0" fontId="30" fillId="2" borderId="16" xfId="0" applyFont="1" applyFill="1" applyBorder="1" applyAlignment="1">
      <alignment vertical="center"/>
    </xf>
    <xf numFmtId="0" fontId="28" fillId="2" borderId="4" xfId="0" applyFont="1" applyFill="1" applyBorder="1" applyAlignment="1">
      <alignment horizontal="left" vertical="center"/>
    </xf>
    <xf numFmtId="167" fontId="31" fillId="2" borderId="19" xfId="1" applyNumberFormat="1" applyFont="1" applyFill="1" applyBorder="1"/>
    <xf numFmtId="166" fontId="3" fillId="3" borderId="15" xfId="1" applyFont="1" applyFill="1" applyBorder="1"/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1" xfId="0" applyFont="1" applyFill="1" applyBorder="1" applyAlignment="1">
      <alignment horizontal="left"/>
    </xf>
    <xf numFmtId="0" fontId="16" fillId="3" borderId="16" xfId="0" applyFont="1" applyFill="1" applyBorder="1" applyAlignment="1">
      <alignment horizontal="left"/>
    </xf>
    <xf numFmtId="166" fontId="0" fillId="8" borderId="0" xfId="0" applyNumberFormat="1" applyFill="1"/>
    <xf numFmtId="0" fontId="28" fillId="3" borderId="4" xfId="0" applyFont="1" applyFill="1" applyBorder="1"/>
    <xf numFmtId="0" fontId="16" fillId="3" borderId="0" xfId="0" applyFont="1" applyFill="1"/>
    <xf numFmtId="166" fontId="28" fillId="3" borderId="0" xfId="1" applyFont="1" applyFill="1" applyBorder="1"/>
    <xf numFmtId="166" fontId="30" fillId="2" borderId="24" xfId="0" applyNumberFormat="1" applyFont="1" applyFill="1" applyBorder="1"/>
    <xf numFmtId="166" fontId="30" fillId="2" borderId="28" xfId="0" applyNumberFormat="1" applyFont="1" applyFill="1" applyBorder="1"/>
    <xf numFmtId="166" fontId="30" fillId="2" borderId="29" xfId="0" applyNumberFormat="1" applyFont="1" applyFill="1" applyBorder="1"/>
    <xf numFmtId="166" fontId="30" fillId="2" borderId="32" xfId="0" applyNumberFormat="1" applyFont="1" applyFill="1" applyBorder="1"/>
    <xf numFmtId="167" fontId="32" fillId="2" borderId="19" xfId="1" applyNumberFormat="1" applyFont="1" applyFill="1" applyBorder="1"/>
    <xf numFmtId="0" fontId="4" fillId="0" borderId="5" xfId="0" applyFont="1" applyBorder="1"/>
    <xf numFmtId="166" fontId="5" fillId="0" borderId="5" xfId="1" applyFont="1" applyBorder="1" applyAlignment="1">
      <alignment horizontal="left"/>
    </xf>
    <xf numFmtId="167" fontId="4" fillId="0" borderId="16" xfId="1" applyNumberFormat="1" applyFont="1" applyBorder="1"/>
    <xf numFmtId="167" fontId="0" fillId="0" borderId="16" xfId="1" applyNumberFormat="1" applyFont="1" applyBorder="1"/>
    <xf numFmtId="43" fontId="0" fillId="0" borderId="0" xfId="0" applyNumberFormat="1"/>
    <xf numFmtId="167" fontId="16" fillId="3" borderId="4" xfId="1" applyNumberFormat="1" applyFont="1" applyFill="1" applyBorder="1"/>
    <xf numFmtId="170" fontId="16" fillId="0" borderId="4" xfId="0" applyNumberFormat="1" applyFont="1" applyBorder="1"/>
    <xf numFmtId="0" fontId="16" fillId="0" borderId="4" xfId="0" applyFont="1" applyBorder="1"/>
    <xf numFmtId="170" fontId="16" fillId="0" borderId="4" xfId="0" applyNumberFormat="1" applyFont="1" applyBorder="1" applyAlignment="1">
      <alignment vertical="center" wrapText="1"/>
    </xf>
    <xf numFmtId="170" fontId="28" fillId="0" borderId="4" xfId="0" applyNumberFormat="1" applyFont="1" applyBorder="1"/>
    <xf numFmtId="0" fontId="28" fillId="0" borderId="4" xfId="0" applyFont="1" applyBorder="1"/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/>
    </xf>
    <xf numFmtId="166" fontId="28" fillId="0" borderId="4" xfId="1" applyFont="1" applyBorder="1"/>
    <xf numFmtId="16" fontId="16" fillId="0" borderId="4" xfId="0" applyNumberFormat="1" applyFont="1" applyBorder="1"/>
    <xf numFmtId="16" fontId="16" fillId="3" borderId="4" xfId="0" applyNumberFormat="1" applyFont="1" applyFill="1" applyBorder="1"/>
    <xf numFmtId="0" fontId="16" fillId="0" borderId="16" xfId="0" applyFont="1" applyBorder="1"/>
    <xf numFmtId="0" fontId="16" fillId="0" borderId="4" xfId="0" applyFont="1" applyBorder="1" applyAlignment="1">
      <alignment vertical="center"/>
    </xf>
    <xf numFmtId="16" fontId="16" fillId="0" borderId="4" xfId="0" applyNumberFormat="1" applyFont="1" applyBorder="1" applyAlignment="1">
      <alignment vertical="center" wrapText="1"/>
    </xf>
    <xf numFmtId="0" fontId="14" fillId="3" borderId="16" xfId="0" applyFont="1" applyFill="1" applyBorder="1"/>
    <xf numFmtId="167" fontId="0" fillId="3" borderId="0" xfId="1" applyNumberFormat="1" applyFont="1" applyFill="1"/>
    <xf numFmtId="167" fontId="16" fillId="3" borderId="15" xfId="1" applyNumberFormat="1" applyFont="1" applyFill="1" applyBorder="1"/>
    <xf numFmtId="167" fontId="16" fillId="0" borderId="4" xfId="1" applyNumberFormat="1" applyFont="1" applyBorder="1"/>
    <xf numFmtId="167" fontId="16" fillId="3" borderId="18" xfId="1" applyNumberFormat="1" applyFont="1" applyFill="1" applyBorder="1"/>
    <xf numFmtId="167" fontId="4" fillId="0" borderId="1" xfId="1" applyNumberFormat="1" applyFont="1" applyBorder="1" applyAlignment="1">
      <alignment horizontal="center" vertical="center" wrapText="1"/>
    </xf>
    <xf numFmtId="167" fontId="4" fillId="0" borderId="2" xfId="1" applyNumberFormat="1" applyFont="1" applyBorder="1" applyAlignment="1">
      <alignment horizontal="center" vertical="center" wrapText="1"/>
    </xf>
    <xf numFmtId="167" fontId="4" fillId="0" borderId="36" xfId="1" applyNumberFormat="1" applyFont="1" applyBorder="1" applyAlignment="1">
      <alignment horizontal="center" vertical="center" wrapText="1"/>
    </xf>
    <xf numFmtId="167" fontId="4" fillId="0" borderId="37" xfId="1" applyNumberFormat="1" applyFont="1" applyBorder="1" applyAlignment="1">
      <alignment horizontal="center" vertical="center" wrapText="1"/>
    </xf>
    <xf numFmtId="167" fontId="4" fillId="0" borderId="0" xfId="1" applyNumberFormat="1" applyFont="1" applyBorder="1" applyAlignment="1">
      <alignment horizontal="center" vertical="center" wrapText="1"/>
    </xf>
    <xf numFmtId="167" fontId="4" fillId="0" borderId="38" xfId="1" applyNumberFormat="1" applyFont="1" applyBorder="1" applyAlignment="1">
      <alignment horizontal="center" vertical="center" wrapText="1"/>
    </xf>
    <xf numFmtId="167" fontId="4" fillId="0" borderId="39" xfId="1" applyNumberFormat="1" applyFont="1" applyBorder="1" applyAlignment="1">
      <alignment horizontal="center" vertical="center" wrapText="1"/>
    </xf>
    <xf numFmtId="167" fontId="4" fillId="0" borderId="40" xfId="1" applyNumberFormat="1" applyFont="1" applyBorder="1" applyAlignment="1">
      <alignment horizontal="center" vertical="center" wrapText="1"/>
    </xf>
    <xf numFmtId="167" fontId="4" fillId="0" borderId="41" xfId="1" applyNumberFormat="1" applyFont="1" applyBorder="1" applyAlignment="1">
      <alignment horizontal="center" vertical="center" wrapText="1"/>
    </xf>
    <xf numFmtId="166" fontId="11" fillId="0" borderId="4" xfId="1" applyFont="1" applyBorder="1" applyAlignment="1">
      <alignment horizontal="center"/>
    </xf>
    <xf numFmtId="0" fontId="26" fillId="2" borderId="33" xfId="0" applyFont="1" applyFill="1" applyBorder="1" applyAlignment="1">
      <alignment horizontal="center"/>
    </xf>
    <xf numFmtId="0" fontId="26" fillId="2" borderId="18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170" fontId="29" fillId="2" borderId="4" xfId="0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21" xfId="0" applyFont="1" applyFill="1" applyBorder="1" applyAlignment="1">
      <alignment horizontal="center"/>
    </xf>
    <xf numFmtId="0" fontId="29" fillId="2" borderId="16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6" fillId="3" borderId="21" xfId="0" applyFont="1" applyFill="1" applyBorder="1" applyAlignment="1">
      <alignment horizontal="left" vertical="center" wrapText="1"/>
    </xf>
    <xf numFmtId="0" fontId="16" fillId="3" borderId="16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wrapText="1"/>
    </xf>
    <xf numFmtId="0" fontId="26" fillId="5" borderId="5" xfId="0" applyFont="1" applyFill="1" applyBorder="1" applyAlignment="1">
      <alignment horizontal="center"/>
    </xf>
    <xf numFmtId="0" fontId="26" fillId="5" borderId="21" xfId="0" applyFont="1" applyFill="1" applyBorder="1" applyAlignment="1">
      <alignment horizontal="center"/>
    </xf>
    <xf numFmtId="0" fontId="26" fillId="5" borderId="16" xfId="0" applyFont="1" applyFill="1" applyBorder="1" applyAlignment="1">
      <alignment horizontal="center"/>
    </xf>
    <xf numFmtId="0" fontId="23" fillId="6" borderId="25" xfId="0" applyFont="1" applyFill="1" applyBorder="1" applyAlignment="1">
      <alignment horizontal="center" vertical="center" wrapText="1"/>
    </xf>
    <xf numFmtId="0" fontId="23" fillId="6" borderId="20" xfId="0" applyFont="1" applyFill="1" applyBorder="1" applyAlignment="1">
      <alignment horizontal="center" vertical="center" wrapText="1"/>
    </xf>
    <xf numFmtId="0" fontId="23" fillId="6" borderId="35" xfId="0" applyFont="1" applyFill="1" applyBorder="1" applyAlignment="1">
      <alignment horizontal="center" vertical="center" wrapText="1"/>
    </xf>
    <xf numFmtId="166" fontId="2" fillId="8" borderId="5" xfId="0" applyNumberFormat="1" applyFont="1" applyFill="1" applyBorder="1" applyAlignment="1">
      <alignment horizontal="center"/>
    </xf>
    <xf numFmtId="166" fontId="2" fillId="8" borderId="16" xfId="0" applyNumberFormat="1" applyFont="1" applyFill="1" applyBorder="1" applyAlignment="1">
      <alignment horizontal="center"/>
    </xf>
    <xf numFmtId="0" fontId="30" fillId="2" borderId="25" xfId="0" applyFont="1" applyFill="1" applyBorder="1" applyAlignment="1">
      <alignment horizontal="center" vertical="center"/>
    </xf>
    <xf numFmtId="0" fontId="30" fillId="2" borderId="20" xfId="0" applyFont="1" applyFill="1" applyBorder="1" applyAlignment="1">
      <alignment horizontal="center" vertical="center"/>
    </xf>
    <xf numFmtId="0" fontId="30" fillId="2" borderId="26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1" xfId="0" applyFont="1" applyFill="1" applyBorder="1" applyAlignment="1">
      <alignment horizontal="left"/>
    </xf>
    <xf numFmtId="0" fontId="16" fillId="3" borderId="16" xfId="0" applyFont="1" applyFill="1" applyBorder="1" applyAlignment="1">
      <alignment horizontal="left"/>
    </xf>
    <xf numFmtId="0" fontId="30" fillId="2" borderId="22" xfId="0" applyFont="1" applyFill="1" applyBorder="1" applyAlignment="1">
      <alignment horizontal="center"/>
    </xf>
    <xf numFmtId="0" fontId="30" fillId="2" borderId="23" xfId="0" applyFont="1" applyFill="1" applyBorder="1" applyAlignment="1">
      <alignment horizontal="center"/>
    </xf>
    <xf numFmtId="0" fontId="16" fillId="0" borderId="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30" fillId="2" borderId="25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/>
    </xf>
    <xf numFmtId="0" fontId="30" fillId="2" borderId="21" xfId="0" applyFont="1" applyFill="1" applyBorder="1" applyAlignment="1">
      <alignment horizontal="center"/>
    </xf>
    <xf numFmtId="0" fontId="30" fillId="2" borderId="16" xfId="0" applyFont="1" applyFill="1" applyBorder="1" applyAlignment="1">
      <alignment horizontal="center"/>
    </xf>
    <xf numFmtId="0" fontId="30" fillId="2" borderId="30" xfId="0" applyFont="1" applyFill="1" applyBorder="1" applyAlignment="1">
      <alignment horizontal="center"/>
    </xf>
    <xf numFmtId="0" fontId="30" fillId="2" borderId="31" xfId="0" applyFont="1" applyFill="1" applyBorder="1" applyAlignment="1">
      <alignment horizontal="center"/>
    </xf>
    <xf numFmtId="0" fontId="22" fillId="3" borderId="4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1</xdr:row>
      <xdr:rowOff>32426</xdr:rowOff>
    </xdr:from>
    <xdr:to>
      <xdr:col>14</xdr:col>
      <xdr:colOff>1019175</xdr:colOff>
      <xdr:row>6</xdr:row>
      <xdr:rowOff>180134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365801"/>
          <a:ext cx="2600325" cy="117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400050</xdr:colOff>
      <xdr:row>6</xdr:row>
      <xdr:rowOff>81033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600325" cy="117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yrigoyen9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zoomScaleNormal="100" workbookViewId="0">
      <selection activeCell="C3" sqref="C3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20.85546875" customWidth="1"/>
    <col min="4" max="4" width="7" customWidth="1"/>
    <col min="5" max="5" width="8.5703125" customWidth="1"/>
    <col min="6" max="6" width="14.28515625" style="70" customWidth="1"/>
    <col min="7" max="7" width="10.28515625" style="70" customWidth="1"/>
    <col min="8" max="8" width="11.5703125" style="70" customWidth="1"/>
    <col min="9" max="9" width="12.5703125" style="70" customWidth="1"/>
    <col min="10" max="10" width="10.85546875" style="70" customWidth="1"/>
    <col min="11" max="11" width="9" style="70" customWidth="1"/>
    <col min="12" max="12" width="14.5703125" customWidth="1"/>
    <col min="13" max="13" width="14.42578125" customWidth="1"/>
    <col min="14" max="14" width="16.28515625" bestFit="1" customWidth="1"/>
    <col min="15" max="15" width="16.28515625" customWidth="1"/>
  </cols>
  <sheetData>
    <row r="1" spans="1:16" ht="26.25" customHeight="1" x14ac:dyDescent="0.25">
      <c r="A1" s="1"/>
      <c r="B1" s="2"/>
      <c r="C1" s="2"/>
      <c r="D1" s="2"/>
      <c r="E1" s="3"/>
      <c r="F1" s="4"/>
      <c r="G1" s="3" t="str">
        <f>Gastos!C8</f>
        <v>PERIODO: AGOSTO</v>
      </c>
      <c r="H1" s="3"/>
      <c r="I1" s="2"/>
      <c r="J1" s="3" t="str">
        <f>Gastos!G8</f>
        <v>VTO: 15/09</v>
      </c>
      <c r="K1" s="2"/>
      <c r="L1" s="2"/>
      <c r="M1" s="2"/>
      <c r="N1" s="2"/>
      <c r="O1" s="5"/>
    </row>
    <row r="2" spans="1:16" ht="15.75" thickBot="1" x14ac:dyDescent="0.3">
      <c r="A2" s="6"/>
      <c r="B2" s="6"/>
      <c r="C2" s="7"/>
      <c r="D2" s="8"/>
      <c r="E2" s="6"/>
      <c r="F2" s="61"/>
      <c r="G2" s="61"/>
      <c r="H2" s="61"/>
      <c r="I2" s="61"/>
      <c r="J2" s="61"/>
      <c r="K2" s="9"/>
      <c r="L2" s="6"/>
      <c r="M2" s="6"/>
      <c r="N2" s="6"/>
      <c r="O2" s="6"/>
    </row>
    <row r="3" spans="1:16" x14ac:dyDescent="0.25">
      <c r="A3" s="10"/>
      <c r="B3" s="11"/>
      <c r="C3" s="12">
        <v>5482071.4900000002</v>
      </c>
      <c r="D3" s="8"/>
      <c r="E3" s="8"/>
      <c r="F3" s="168" t="s">
        <v>0</v>
      </c>
      <c r="G3" s="169"/>
      <c r="H3" s="169"/>
      <c r="I3" s="169"/>
      <c r="J3" s="170"/>
      <c r="K3" s="146"/>
      <c r="L3" s="6"/>
      <c r="M3" s="6"/>
      <c r="N3" s="6"/>
      <c r="O3" s="6"/>
    </row>
    <row r="4" spans="1:16" ht="18.75" customHeight="1" x14ac:dyDescent="0.25">
      <c r="A4" s="13"/>
      <c r="B4" s="14" t="s">
        <v>1</v>
      </c>
      <c r="C4" s="6"/>
      <c r="D4" s="8"/>
      <c r="E4" s="144"/>
      <c r="F4" s="171"/>
      <c r="G4" s="172"/>
      <c r="H4" s="172"/>
      <c r="I4" s="172"/>
      <c r="J4" s="173"/>
      <c r="K4" s="146"/>
      <c r="L4" s="6"/>
      <c r="M4" s="6"/>
      <c r="N4" s="6"/>
      <c r="O4" s="6"/>
    </row>
    <row r="5" spans="1:16" ht="15.75" customHeight="1" x14ac:dyDescent="0.25">
      <c r="A5" s="15"/>
      <c r="B5" s="177">
        <f>C3</f>
        <v>5482071.4900000002</v>
      </c>
      <c r="C5" s="177"/>
      <c r="D5" s="16"/>
      <c r="E5" s="145">
        <v>0</v>
      </c>
      <c r="F5" s="171"/>
      <c r="G5" s="172"/>
      <c r="H5" s="172"/>
      <c r="I5" s="172"/>
      <c r="J5" s="173"/>
      <c r="K5" s="147"/>
      <c r="L5" s="6"/>
      <c r="M5" s="6"/>
      <c r="N5" s="6"/>
      <c r="O5" s="6"/>
    </row>
    <row r="6" spans="1:16" ht="15.75" customHeight="1" thickBot="1" x14ac:dyDescent="0.3">
      <c r="A6" s="15"/>
      <c r="B6" s="17" t="s">
        <v>2</v>
      </c>
      <c r="C6" s="18"/>
      <c r="D6" s="16"/>
      <c r="E6" s="144"/>
      <c r="F6" s="174"/>
      <c r="G6" s="175"/>
      <c r="H6" s="175"/>
      <c r="I6" s="175"/>
      <c r="J6" s="176"/>
      <c r="K6" s="147"/>
      <c r="L6" s="6"/>
      <c r="M6" s="6"/>
      <c r="N6" s="6"/>
      <c r="O6" s="6"/>
    </row>
    <row r="7" spans="1:16" ht="18.75" customHeight="1" x14ac:dyDescent="0.25">
      <c r="A7" s="15"/>
      <c r="B7" s="177">
        <f>C2</f>
        <v>0</v>
      </c>
      <c r="C7" s="177"/>
      <c r="D7" s="16"/>
      <c r="E7" s="18"/>
      <c r="F7" s="32"/>
      <c r="G7" s="32"/>
      <c r="H7" s="32"/>
      <c r="I7" s="32"/>
      <c r="J7" s="32"/>
      <c r="K7" s="9"/>
      <c r="L7" s="6"/>
      <c r="M7" s="6"/>
      <c r="N7" s="6"/>
      <c r="O7" s="6"/>
    </row>
    <row r="8" spans="1:16" ht="36.75" customHeight="1" thickBot="1" x14ac:dyDescent="0.3">
      <c r="A8" s="19" t="s">
        <v>3</v>
      </c>
      <c r="B8" s="20" t="s">
        <v>4</v>
      </c>
      <c r="C8" s="21" t="s">
        <v>5</v>
      </c>
      <c r="D8" s="22" t="s">
        <v>6</v>
      </c>
      <c r="E8" s="20" t="s">
        <v>7</v>
      </c>
      <c r="F8" s="23" t="s">
        <v>8</v>
      </c>
      <c r="G8" s="23" t="s">
        <v>9</v>
      </c>
      <c r="H8" s="23" t="s">
        <v>10</v>
      </c>
      <c r="I8" s="23" t="s">
        <v>11</v>
      </c>
      <c r="J8" s="23" t="s">
        <v>12</v>
      </c>
      <c r="K8" s="23" t="s">
        <v>152</v>
      </c>
      <c r="L8" s="20" t="s">
        <v>13</v>
      </c>
      <c r="M8" s="20" t="s">
        <v>14</v>
      </c>
      <c r="N8" s="24" t="s">
        <v>15</v>
      </c>
      <c r="O8" s="25" t="s">
        <v>16</v>
      </c>
    </row>
    <row r="9" spans="1:16" ht="15" customHeight="1" x14ac:dyDescent="0.25">
      <c r="A9" s="26">
        <v>1</v>
      </c>
      <c r="B9" s="27" t="s">
        <v>17</v>
      </c>
      <c r="C9" s="28" t="s">
        <v>18</v>
      </c>
      <c r="D9" s="29"/>
      <c r="E9" s="30">
        <v>0.108</v>
      </c>
      <c r="F9" s="31">
        <v>540000</v>
      </c>
      <c r="G9" s="165">
        <v>540000</v>
      </c>
      <c r="H9" s="32">
        <f t="shared" ref="H9:H42" si="0">IF(F9&gt;G9,F9-G9,0)</f>
        <v>0</v>
      </c>
      <c r="I9" s="32">
        <f>H9*3%</f>
        <v>0</v>
      </c>
      <c r="J9" s="32">
        <f>IF(G9&gt;F9,G9-F9,0)</f>
        <v>0</v>
      </c>
      <c r="K9" s="32"/>
      <c r="L9" s="33">
        <f>B$5*E9</f>
        <v>592063.72091999999</v>
      </c>
      <c r="M9" s="33">
        <f>B$7*E9</f>
        <v>0</v>
      </c>
      <c r="N9" s="34">
        <f>H9+I9-J9+K9+L9+M9</f>
        <v>592063.72091999999</v>
      </c>
      <c r="O9" s="35">
        <f>N9*2% + N9</f>
        <v>603904.99533840001</v>
      </c>
    </row>
    <row r="10" spans="1:16" ht="15" customHeight="1" x14ac:dyDescent="0.25">
      <c r="A10" s="36">
        <v>2</v>
      </c>
      <c r="B10" s="27" t="s">
        <v>19</v>
      </c>
      <c r="C10" s="28" t="s">
        <v>20</v>
      </c>
      <c r="D10" s="29"/>
      <c r="E10" s="30">
        <v>2.8799999999999999E-2</v>
      </c>
      <c r="F10" s="31">
        <v>144000</v>
      </c>
      <c r="G10" s="149">
        <f>F10</f>
        <v>144000</v>
      </c>
      <c r="H10" s="32">
        <f t="shared" si="0"/>
        <v>0</v>
      </c>
      <c r="I10" s="32">
        <f t="shared" ref="I10:I42" si="1">H10*3%</f>
        <v>0</v>
      </c>
      <c r="J10" s="32">
        <f t="shared" ref="J10:J42" si="2">IF(G10&gt;F10,G10-F10,0)</f>
        <v>0</v>
      </c>
      <c r="K10" s="32"/>
      <c r="L10" s="33">
        <f t="shared" ref="L10:L42" si="3">B$5*E10</f>
        <v>157883.65891200001</v>
      </c>
      <c r="M10" s="33">
        <f t="shared" ref="M10:M42" si="4">B$7*E10</f>
        <v>0</v>
      </c>
      <c r="N10" s="34">
        <f t="shared" ref="N10:N42" si="5">H10+I10-J10+K10+L10+M10</f>
        <v>157883.65891200001</v>
      </c>
      <c r="O10" s="35">
        <f t="shared" ref="O10:O42" si="6">N10*2% + N10</f>
        <v>161041.33209024</v>
      </c>
    </row>
    <row r="11" spans="1:16" ht="15" customHeight="1" x14ac:dyDescent="0.25">
      <c r="A11" s="36">
        <v>3</v>
      </c>
      <c r="B11" s="27" t="s">
        <v>21</v>
      </c>
      <c r="C11" s="28" t="s">
        <v>22</v>
      </c>
      <c r="D11" s="29"/>
      <c r="E11" s="30">
        <v>2.5600000000000001E-2</v>
      </c>
      <c r="F11" s="31">
        <v>128000.82</v>
      </c>
      <c r="G11" s="149">
        <v>130560</v>
      </c>
      <c r="H11" s="32">
        <f t="shared" si="0"/>
        <v>0</v>
      </c>
      <c r="I11" s="32">
        <f t="shared" si="1"/>
        <v>0</v>
      </c>
      <c r="J11" s="32">
        <f t="shared" si="2"/>
        <v>2559.179999999993</v>
      </c>
      <c r="K11" s="32"/>
      <c r="L11" s="33">
        <f t="shared" si="3"/>
        <v>140341.03014400002</v>
      </c>
      <c r="M11" s="33">
        <f t="shared" si="4"/>
        <v>0</v>
      </c>
      <c r="N11" s="34">
        <f>H11+I11-J11+K11+L11+M11+E7</f>
        <v>137781.85014400003</v>
      </c>
      <c r="O11" s="35">
        <f t="shared" si="6"/>
        <v>140537.48714688001</v>
      </c>
    </row>
    <row r="12" spans="1:16" ht="15" customHeight="1" x14ac:dyDescent="0.25">
      <c r="A12" s="36">
        <v>4</v>
      </c>
      <c r="B12" s="37" t="s">
        <v>23</v>
      </c>
      <c r="C12" s="28" t="s">
        <v>24</v>
      </c>
      <c r="D12" s="29"/>
      <c r="E12" s="30">
        <v>2.1499999999999998E-2</v>
      </c>
      <c r="F12" s="31">
        <v>109649.99999999999</v>
      </c>
      <c r="G12" s="149">
        <v>107500</v>
      </c>
      <c r="H12" s="32">
        <f t="shared" si="0"/>
        <v>2149.9999999999854</v>
      </c>
      <c r="I12" s="32">
        <f t="shared" si="1"/>
        <v>64.499999999999559</v>
      </c>
      <c r="J12" s="32">
        <f t="shared" si="2"/>
        <v>0</v>
      </c>
      <c r="K12" s="32"/>
      <c r="L12" s="33">
        <f t="shared" si="3"/>
        <v>117864.537035</v>
      </c>
      <c r="M12" s="33">
        <f t="shared" si="4"/>
        <v>0</v>
      </c>
      <c r="N12" s="34">
        <f t="shared" si="5"/>
        <v>120079.03703499999</v>
      </c>
      <c r="O12" s="35">
        <f t="shared" si="6"/>
        <v>122480.61777569998</v>
      </c>
      <c r="P12" s="38"/>
    </row>
    <row r="13" spans="1:16" ht="15" customHeight="1" x14ac:dyDescent="0.25">
      <c r="A13" s="36">
        <v>5</v>
      </c>
      <c r="B13" s="27" t="s">
        <v>25</v>
      </c>
      <c r="C13" s="39" t="s">
        <v>26</v>
      </c>
      <c r="D13" s="29" t="s">
        <v>180</v>
      </c>
      <c r="E13" s="30">
        <v>1.7299999999999999E-2</v>
      </c>
      <c r="F13" s="31">
        <v>88230</v>
      </c>
      <c r="G13" s="149">
        <v>86500</v>
      </c>
      <c r="H13" s="32">
        <f t="shared" si="0"/>
        <v>1730</v>
      </c>
      <c r="I13" s="32">
        <f t="shared" si="1"/>
        <v>51.9</v>
      </c>
      <c r="J13" s="32">
        <f t="shared" si="2"/>
        <v>0</v>
      </c>
      <c r="K13" s="32"/>
      <c r="L13" s="33">
        <f t="shared" si="3"/>
        <v>94839.836777000004</v>
      </c>
      <c r="M13" s="33">
        <f t="shared" si="4"/>
        <v>0</v>
      </c>
      <c r="N13" s="34">
        <f t="shared" si="5"/>
        <v>96621.736776999998</v>
      </c>
      <c r="O13" s="35">
        <f t="shared" si="6"/>
        <v>98554.171512539993</v>
      </c>
    </row>
    <row r="14" spans="1:16" ht="15" customHeight="1" x14ac:dyDescent="0.25">
      <c r="A14" s="36">
        <v>6</v>
      </c>
      <c r="B14" s="40" t="s">
        <v>27</v>
      </c>
      <c r="C14" s="39" t="s">
        <v>28</v>
      </c>
      <c r="D14" s="29"/>
      <c r="E14" s="30">
        <v>2.7900000000000001E-2</v>
      </c>
      <c r="F14" s="31">
        <v>138866.92475261347</v>
      </c>
      <c r="G14" s="149">
        <v>140000</v>
      </c>
      <c r="H14" s="32">
        <f t="shared" si="0"/>
        <v>0</v>
      </c>
      <c r="I14" s="32">
        <f t="shared" si="1"/>
        <v>0</v>
      </c>
      <c r="J14" s="32">
        <f t="shared" si="2"/>
        <v>1133.0752473865286</v>
      </c>
      <c r="K14" s="32"/>
      <c r="L14" s="33">
        <f t="shared" si="3"/>
        <v>152949.79457100001</v>
      </c>
      <c r="M14" s="33">
        <f t="shared" si="4"/>
        <v>0</v>
      </c>
      <c r="N14" s="34">
        <f t="shared" si="5"/>
        <v>151816.71932361348</v>
      </c>
      <c r="O14" s="35">
        <f t="shared" si="6"/>
        <v>154853.05371008575</v>
      </c>
    </row>
    <row r="15" spans="1:16" ht="15" customHeight="1" x14ac:dyDescent="0.25">
      <c r="A15" s="36">
        <v>7</v>
      </c>
      <c r="B15" s="40" t="s">
        <v>29</v>
      </c>
      <c r="C15" s="39" t="s">
        <v>30</v>
      </c>
      <c r="D15" s="29"/>
      <c r="E15" s="30">
        <v>2.4899999999999999E-2</v>
      </c>
      <c r="F15" s="31">
        <v>124499.99999999999</v>
      </c>
      <c r="G15" s="149">
        <f>F15</f>
        <v>124499.99999999999</v>
      </c>
      <c r="H15" s="32">
        <f t="shared" si="0"/>
        <v>0</v>
      </c>
      <c r="I15" s="32">
        <f t="shared" si="1"/>
        <v>0</v>
      </c>
      <c r="J15" s="32">
        <f t="shared" si="2"/>
        <v>0</v>
      </c>
      <c r="K15" s="32"/>
      <c r="L15" s="33">
        <f t="shared" si="3"/>
        <v>136503.580101</v>
      </c>
      <c r="M15" s="33">
        <f t="shared" si="4"/>
        <v>0</v>
      </c>
      <c r="N15" s="34">
        <f t="shared" si="5"/>
        <v>136503.580101</v>
      </c>
      <c r="O15" s="35">
        <f t="shared" si="6"/>
        <v>139233.65170302</v>
      </c>
    </row>
    <row r="16" spans="1:16" ht="15" customHeight="1" x14ac:dyDescent="0.25">
      <c r="A16" s="36">
        <v>8</v>
      </c>
      <c r="B16" s="40" t="s">
        <v>31</v>
      </c>
      <c r="C16" s="39" t="s">
        <v>32</v>
      </c>
      <c r="D16" s="29" t="s">
        <v>146</v>
      </c>
      <c r="E16" s="30">
        <v>2.1499999999999998E-2</v>
      </c>
      <c r="F16" s="31">
        <v>107499.99999999999</v>
      </c>
      <c r="G16" s="149">
        <f>F16</f>
        <v>107499.99999999999</v>
      </c>
      <c r="H16" s="32">
        <f t="shared" si="0"/>
        <v>0</v>
      </c>
      <c r="I16" s="32">
        <f t="shared" si="1"/>
        <v>0</v>
      </c>
      <c r="J16" s="32">
        <f t="shared" si="2"/>
        <v>0</v>
      </c>
      <c r="K16" s="32"/>
      <c r="L16" s="33">
        <f t="shared" si="3"/>
        <v>117864.537035</v>
      </c>
      <c r="M16" s="33">
        <f t="shared" si="4"/>
        <v>0</v>
      </c>
      <c r="N16" s="34">
        <f t="shared" si="5"/>
        <v>117864.537035</v>
      </c>
      <c r="O16" s="35">
        <f t="shared" si="6"/>
        <v>120221.8277757</v>
      </c>
    </row>
    <row r="17" spans="1:17" ht="15" customHeight="1" x14ac:dyDescent="0.25">
      <c r="A17" s="36">
        <v>9</v>
      </c>
      <c r="B17" s="40" t="s">
        <v>33</v>
      </c>
      <c r="C17" s="39" t="s">
        <v>34</v>
      </c>
      <c r="D17" s="29" t="s">
        <v>134</v>
      </c>
      <c r="E17" s="30">
        <v>1.3599999999999999E-2</v>
      </c>
      <c r="F17" s="31">
        <v>286378.8386091576</v>
      </c>
      <c r="G17" s="149"/>
      <c r="H17" s="32">
        <f t="shared" si="0"/>
        <v>286378.8386091576</v>
      </c>
      <c r="I17" s="32">
        <f t="shared" si="1"/>
        <v>8591.3651582747279</v>
      </c>
      <c r="J17" s="32">
        <f t="shared" si="2"/>
        <v>0</v>
      </c>
      <c r="K17" s="32"/>
      <c r="L17" s="33">
        <f t="shared" si="3"/>
        <v>74556.172263999993</v>
      </c>
      <c r="M17" s="33">
        <f t="shared" si="4"/>
        <v>0</v>
      </c>
      <c r="N17" s="34">
        <f t="shared" si="5"/>
        <v>369526.3760314323</v>
      </c>
      <c r="O17" s="35">
        <f t="shared" si="6"/>
        <v>376916.90355206095</v>
      </c>
    </row>
    <row r="18" spans="1:17" ht="15" customHeight="1" x14ac:dyDescent="0.25">
      <c r="A18" s="36">
        <v>10</v>
      </c>
      <c r="B18" s="40" t="s">
        <v>35</v>
      </c>
      <c r="C18" s="39" t="s">
        <v>133</v>
      </c>
      <c r="D18" s="29" t="s">
        <v>148</v>
      </c>
      <c r="E18" s="30">
        <v>2.7900000000000001E-2</v>
      </c>
      <c r="F18" s="31">
        <v>142290</v>
      </c>
      <c r="G18" s="149">
        <f t="shared" ref="G18:G23" si="7">F18</f>
        <v>142290</v>
      </c>
      <c r="H18" s="32">
        <f>IF(F18&gt;G18,F18-G18,0)</f>
        <v>0</v>
      </c>
      <c r="I18" s="32">
        <f t="shared" si="1"/>
        <v>0</v>
      </c>
      <c r="J18" s="32">
        <f t="shared" si="2"/>
        <v>0</v>
      </c>
      <c r="K18" s="32"/>
      <c r="L18" s="33">
        <f t="shared" si="3"/>
        <v>152949.79457100001</v>
      </c>
      <c r="M18" s="33">
        <f t="shared" si="4"/>
        <v>0</v>
      </c>
      <c r="N18" s="34">
        <f t="shared" si="5"/>
        <v>152949.79457100001</v>
      </c>
      <c r="O18" s="35">
        <f t="shared" si="6"/>
        <v>156008.79046242</v>
      </c>
    </row>
    <row r="19" spans="1:17" ht="15" customHeight="1" x14ac:dyDescent="0.25">
      <c r="A19" s="36">
        <v>11</v>
      </c>
      <c r="B19" s="40" t="s">
        <v>36</v>
      </c>
      <c r="C19" s="39" t="s">
        <v>37</v>
      </c>
      <c r="D19" s="163" t="s">
        <v>159</v>
      </c>
      <c r="E19" s="30">
        <v>2.4899999999999999E-2</v>
      </c>
      <c r="F19" s="31">
        <v>124499.99999999999</v>
      </c>
      <c r="G19" s="149">
        <f t="shared" si="7"/>
        <v>124499.99999999999</v>
      </c>
      <c r="H19" s="32">
        <f t="shared" si="0"/>
        <v>0</v>
      </c>
      <c r="I19" s="32">
        <f t="shared" si="1"/>
        <v>0</v>
      </c>
      <c r="J19" s="32">
        <f t="shared" si="2"/>
        <v>0</v>
      </c>
      <c r="K19" s="32"/>
      <c r="L19" s="33">
        <f t="shared" si="3"/>
        <v>136503.580101</v>
      </c>
      <c r="M19" s="33">
        <f t="shared" si="4"/>
        <v>0</v>
      </c>
      <c r="N19" s="34">
        <f t="shared" si="5"/>
        <v>136503.580101</v>
      </c>
      <c r="O19" s="35">
        <f t="shared" si="6"/>
        <v>139233.65170302</v>
      </c>
    </row>
    <row r="20" spans="1:17" ht="15" customHeight="1" x14ac:dyDescent="0.25">
      <c r="A20" s="36">
        <v>12</v>
      </c>
      <c r="B20" s="41" t="s">
        <v>38</v>
      </c>
      <c r="C20" s="42" t="s">
        <v>39</v>
      </c>
      <c r="D20" s="43"/>
      <c r="E20" s="30">
        <v>3.6700000000000003E-2</v>
      </c>
      <c r="F20" s="31">
        <v>375207.45998426212</v>
      </c>
      <c r="G20" s="149">
        <v>190000</v>
      </c>
      <c r="H20" s="32">
        <f t="shared" si="0"/>
        <v>185207.45998426212</v>
      </c>
      <c r="I20" s="32">
        <f t="shared" si="1"/>
        <v>5556.2237995278638</v>
      </c>
      <c r="J20" s="32">
        <f t="shared" si="2"/>
        <v>0</v>
      </c>
      <c r="K20" s="32"/>
      <c r="L20" s="33">
        <f t="shared" si="3"/>
        <v>201192.02368300004</v>
      </c>
      <c r="M20" s="33">
        <f t="shared" si="4"/>
        <v>0</v>
      </c>
      <c r="N20" s="34">
        <f t="shared" si="5"/>
        <v>391955.70746678999</v>
      </c>
      <c r="O20" s="35">
        <f t="shared" si="6"/>
        <v>399794.82161612576</v>
      </c>
    </row>
    <row r="21" spans="1:17" ht="15" customHeight="1" x14ac:dyDescent="0.25">
      <c r="A21" s="36">
        <v>13</v>
      </c>
      <c r="B21" s="40" t="s">
        <v>40</v>
      </c>
      <c r="C21" s="39" t="s">
        <v>41</v>
      </c>
      <c r="D21" s="44" t="s">
        <v>136</v>
      </c>
      <c r="E21" s="30">
        <v>2.7900000000000001E-2</v>
      </c>
      <c r="F21" s="31">
        <v>145309.10922000001</v>
      </c>
      <c r="G21" s="149">
        <v>145222</v>
      </c>
      <c r="H21" s="32">
        <f t="shared" si="0"/>
        <v>87.109220000013011</v>
      </c>
      <c r="I21" s="32">
        <f t="shared" si="1"/>
        <v>2.6132766000003902</v>
      </c>
      <c r="J21" s="32">
        <f t="shared" si="2"/>
        <v>0</v>
      </c>
      <c r="K21" s="32"/>
      <c r="L21" s="33">
        <f t="shared" si="3"/>
        <v>152949.79457100001</v>
      </c>
      <c r="M21" s="33">
        <f t="shared" si="4"/>
        <v>0</v>
      </c>
      <c r="N21" s="34">
        <f t="shared" si="5"/>
        <v>153039.51706760001</v>
      </c>
      <c r="O21" s="35">
        <f t="shared" si="6"/>
        <v>156100.30740895201</v>
      </c>
    </row>
    <row r="22" spans="1:17" ht="15" customHeight="1" x14ac:dyDescent="0.25">
      <c r="A22" s="36">
        <v>14</v>
      </c>
      <c r="B22" s="40" t="s">
        <v>42</v>
      </c>
      <c r="C22" s="39" t="s">
        <v>43</v>
      </c>
      <c r="D22" s="44"/>
      <c r="E22" s="30">
        <v>2.4899999999999999E-2</v>
      </c>
      <c r="F22" s="31">
        <v>124499.99999999999</v>
      </c>
      <c r="G22" s="149">
        <f t="shared" si="7"/>
        <v>124499.99999999999</v>
      </c>
      <c r="H22" s="32">
        <f t="shared" si="0"/>
        <v>0</v>
      </c>
      <c r="I22" s="32">
        <f t="shared" si="1"/>
        <v>0</v>
      </c>
      <c r="J22" s="32">
        <f t="shared" si="2"/>
        <v>0</v>
      </c>
      <c r="K22" s="32"/>
      <c r="L22" s="33">
        <f t="shared" si="3"/>
        <v>136503.580101</v>
      </c>
      <c r="M22" s="33">
        <f t="shared" si="4"/>
        <v>0</v>
      </c>
      <c r="N22" s="34">
        <f t="shared" si="5"/>
        <v>136503.580101</v>
      </c>
      <c r="O22" s="35">
        <f t="shared" si="6"/>
        <v>139233.65170302</v>
      </c>
    </row>
    <row r="23" spans="1:17" ht="15" customHeight="1" x14ac:dyDescent="0.25">
      <c r="A23" s="36">
        <v>15</v>
      </c>
      <c r="B23" s="45" t="s">
        <v>44</v>
      </c>
      <c r="C23" s="46" t="s">
        <v>45</v>
      </c>
      <c r="D23" s="47" t="s">
        <v>142</v>
      </c>
      <c r="E23" s="30">
        <v>3.6700000000000003E-2</v>
      </c>
      <c r="F23" s="31">
        <v>183500.00000000003</v>
      </c>
      <c r="G23" s="149">
        <f t="shared" si="7"/>
        <v>183500.00000000003</v>
      </c>
      <c r="H23" s="32">
        <f t="shared" si="0"/>
        <v>0</v>
      </c>
      <c r="I23" s="32">
        <f t="shared" si="1"/>
        <v>0</v>
      </c>
      <c r="J23" s="32">
        <f t="shared" si="2"/>
        <v>0</v>
      </c>
      <c r="K23" s="32"/>
      <c r="L23" s="33">
        <f t="shared" si="3"/>
        <v>201192.02368300004</v>
      </c>
      <c r="M23" s="33">
        <f t="shared" si="4"/>
        <v>0</v>
      </c>
      <c r="N23" s="34">
        <f t="shared" si="5"/>
        <v>201192.02368300004</v>
      </c>
      <c r="O23" s="35">
        <f t="shared" si="6"/>
        <v>205215.86415666004</v>
      </c>
    </row>
    <row r="24" spans="1:17" ht="15" customHeight="1" x14ac:dyDescent="0.25">
      <c r="A24" s="36">
        <v>16</v>
      </c>
      <c r="B24" s="48" t="s">
        <v>46</v>
      </c>
      <c r="C24" s="49" t="s">
        <v>47</v>
      </c>
      <c r="D24" s="50" t="s">
        <v>154</v>
      </c>
      <c r="E24" s="30">
        <v>2.7900000000000001E-2</v>
      </c>
      <c r="F24" s="31">
        <v>236559.50579935202</v>
      </c>
      <c r="G24" s="149">
        <v>139500</v>
      </c>
      <c r="H24" s="32">
        <f t="shared" si="0"/>
        <v>97059.505799352017</v>
      </c>
      <c r="I24" s="32">
        <f t="shared" si="1"/>
        <v>2911.7851739805606</v>
      </c>
      <c r="J24" s="32">
        <f t="shared" si="2"/>
        <v>0</v>
      </c>
      <c r="K24" s="32"/>
      <c r="L24" s="33">
        <f t="shared" si="3"/>
        <v>152949.79457100001</v>
      </c>
      <c r="M24" s="33">
        <f t="shared" si="4"/>
        <v>0</v>
      </c>
      <c r="N24" s="34">
        <f t="shared" si="5"/>
        <v>252921.08554433257</v>
      </c>
      <c r="O24" s="35">
        <f t="shared" si="6"/>
        <v>257979.50725521921</v>
      </c>
      <c r="Q24" t="s">
        <v>181</v>
      </c>
    </row>
    <row r="25" spans="1:17" s="52" customFormat="1" ht="15.75" customHeight="1" x14ac:dyDescent="0.35">
      <c r="A25" s="36">
        <v>17</v>
      </c>
      <c r="B25" s="51" t="s">
        <v>48</v>
      </c>
      <c r="C25" s="49" t="s">
        <v>49</v>
      </c>
      <c r="D25" s="50"/>
      <c r="E25" s="30">
        <v>2.4899999999999999E-2</v>
      </c>
      <c r="F25" s="31">
        <v>122009.77512699994</v>
      </c>
      <c r="G25" s="149">
        <v>124500</v>
      </c>
      <c r="H25" s="32">
        <f t="shared" si="0"/>
        <v>0</v>
      </c>
      <c r="I25" s="32">
        <f t="shared" si="1"/>
        <v>0</v>
      </c>
      <c r="J25" s="32">
        <f t="shared" si="2"/>
        <v>2490.2248730000574</v>
      </c>
      <c r="K25" s="32"/>
      <c r="L25" s="33">
        <f t="shared" si="3"/>
        <v>136503.580101</v>
      </c>
      <c r="M25" s="33">
        <f t="shared" si="4"/>
        <v>0</v>
      </c>
      <c r="N25" s="34">
        <f t="shared" si="5"/>
        <v>134013.35522799994</v>
      </c>
      <c r="O25" s="35">
        <f t="shared" si="6"/>
        <v>136693.62233255993</v>
      </c>
    </row>
    <row r="26" spans="1:17" ht="15" customHeight="1" x14ac:dyDescent="0.25">
      <c r="A26" s="36">
        <v>18</v>
      </c>
      <c r="B26" s="53" t="s">
        <v>50</v>
      </c>
      <c r="C26" s="49" t="s">
        <v>51</v>
      </c>
      <c r="D26" s="50"/>
      <c r="E26" s="30">
        <v>3.6700000000000003E-2</v>
      </c>
      <c r="F26" s="31">
        <v>183500.00000000003</v>
      </c>
      <c r="G26" s="149">
        <f>F26</f>
        <v>183500.00000000003</v>
      </c>
      <c r="H26" s="32">
        <f t="shared" si="0"/>
        <v>0</v>
      </c>
      <c r="I26" s="32">
        <f t="shared" si="1"/>
        <v>0</v>
      </c>
      <c r="J26" s="32">
        <f t="shared" si="2"/>
        <v>0</v>
      </c>
      <c r="K26" s="32"/>
      <c r="L26" s="33">
        <f t="shared" si="3"/>
        <v>201192.02368300004</v>
      </c>
      <c r="M26" s="33">
        <f t="shared" si="4"/>
        <v>0</v>
      </c>
      <c r="N26" s="34">
        <f t="shared" si="5"/>
        <v>201192.02368300004</v>
      </c>
      <c r="O26" s="35">
        <f t="shared" si="6"/>
        <v>205215.86415666004</v>
      </c>
    </row>
    <row r="27" spans="1:17" ht="15" customHeight="1" x14ac:dyDescent="0.25">
      <c r="A27" s="36">
        <v>19</v>
      </c>
      <c r="B27" s="48" t="s">
        <v>52</v>
      </c>
      <c r="C27" s="49" t="s">
        <v>53</v>
      </c>
      <c r="D27" s="50"/>
      <c r="E27" s="30">
        <v>2.7900000000000001E-2</v>
      </c>
      <c r="F27" s="31">
        <v>139500</v>
      </c>
      <c r="G27" s="149">
        <f>F27</f>
        <v>139500</v>
      </c>
      <c r="H27" s="32">
        <f t="shared" si="0"/>
        <v>0</v>
      </c>
      <c r="I27" s="32">
        <f t="shared" si="1"/>
        <v>0</v>
      </c>
      <c r="J27" s="32">
        <f t="shared" si="2"/>
        <v>0</v>
      </c>
      <c r="K27" s="32"/>
      <c r="L27" s="33">
        <f t="shared" si="3"/>
        <v>152949.79457100001</v>
      </c>
      <c r="M27" s="33">
        <f t="shared" si="4"/>
        <v>0</v>
      </c>
      <c r="N27" s="34">
        <f t="shared" si="5"/>
        <v>152949.79457100001</v>
      </c>
      <c r="O27" s="35">
        <f t="shared" si="6"/>
        <v>156008.79046242</v>
      </c>
    </row>
    <row r="28" spans="1:17" ht="15" customHeight="1" x14ac:dyDescent="0.25">
      <c r="A28" s="36">
        <v>20</v>
      </c>
      <c r="B28" s="53" t="s">
        <v>54</v>
      </c>
      <c r="C28" s="49" t="s">
        <v>55</v>
      </c>
      <c r="D28" s="50"/>
      <c r="E28" s="30">
        <v>2.4899999999999999E-2</v>
      </c>
      <c r="F28" s="31">
        <v>379336.03478424886</v>
      </c>
      <c r="G28" s="149"/>
      <c r="H28" s="54">
        <f t="shared" si="0"/>
        <v>379336.03478424886</v>
      </c>
      <c r="I28" s="32">
        <f t="shared" si="1"/>
        <v>11380.081043527465</v>
      </c>
      <c r="J28" s="32">
        <f t="shared" si="2"/>
        <v>0</v>
      </c>
      <c r="K28" s="32"/>
      <c r="L28" s="33">
        <f t="shared" si="3"/>
        <v>136503.580101</v>
      </c>
      <c r="M28" s="33">
        <f t="shared" si="4"/>
        <v>0</v>
      </c>
      <c r="N28" s="34">
        <f t="shared" si="5"/>
        <v>527219.69592877629</v>
      </c>
      <c r="O28" s="35">
        <f t="shared" si="6"/>
        <v>537764.08984735177</v>
      </c>
    </row>
    <row r="29" spans="1:17" ht="15" customHeight="1" x14ac:dyDescent="0.25">
      <c r="A29" s="36">
        <v>21</v>
      </c>
      <c r="B29" s="48" t="s">
        <v>56</v>
      </c>
      <c r="C29" s="49" t="s">
        <v>57</v>
      </c>
      <c r="D29" s="50" t="s">
        <v>147</v>
      </c>
      <c r="E29" s="30">
        <v>3.6700000000000003E-2</v>
      </c>
      <c r="F29" s="31">
        <v>183500.00000000003</v>
      </c>
      <c r="G29" s="149">
        <f>F29</f>
        <v>183500.00000000003</v>
      </c>
      <c r="H29" s="32">
        <f t="shared" si="0"/>
        <v>0</v>
      </c>
      <c r="I29" s="32">
        <f t="shared" si="1"/>
        <v>0</v>
      </c>
      <c r="J29" s="32">
        <f t="shared" si="2"/>
        <v>0</v>
      </c>
      <c r="K29" s="32"/>
      <c r="L29" s="33">
        <f t="shared" si="3"/>
        <v>201192.02368300004</v>
      </c>
      <c r="M29" s="33">
        <f t="shared" si="4"/>
        <v>0</v>
      </c>
      <c r="N29" s="34">
        <f t="shared" si="5"/>
        <v>201192.02368300004</v>
      </c>
      <c r="O29" s="35">
        <f t="shared" si="6"/>
        <v>205215.86415666004</v>
      </c>
    </row>
    <row r="30" spans="1:17" ht="15" customHeight="1" x14ac:dyDescent="0.25">
      <c r="A30" s="36">
        <v>22</v>
      </c>
      <c r="B30" s="48" t="s">
        <v>58</v>
      </c>
      <c r="C30" s="49" t="s">
        <v>59</v>
      </c>
      <c r="D30" s="50" t="s">
        <v>60</v>
      </c>
      <c r="E30" s="30">
        <v>2.7900000000000001E-2</v>
      </c>
      <c r="F30" s="31">
        <v>139500</v>
      </c>
      <c r="G30" s="149">
        <f>F30</f>
        <v>139500</v>
      </c>
      <c r="H30" s="32">
        <f t="shared" si="0"/>
        <v>0</v>
      </c>
      <c r="I30" s="32">
        <f t="shared" si="1"/>
        <v>0</v>
      </c>
      <c r="J30" s="32">
        <f t="shared" si="2"/>
        <v>0</v>
      </c>
      <c r="K30" s="32"/>
      <c r="L30" s="33">
        <f t="shared" si="3"/>
        <v>152949.79457100001</v>
      </c>
      <c r="M30" s="33">
        <f t="shared" si="4"/>
        <v>0</v>
      </c>
      <c r="N30" s="34">
        <f t="shared" si="5"/>
        <v>152949.79457100001</v>
      </c>
      <c r="O30" s="35">
        <f t="shared" si="6"/>
        <v>156008.79046242</v>
      </c>
    </row>
    <row r="31" spans="1:17" ht="15" customHeight="1" x14ac:dyDescent="0.25">
      <c r="A31" s="36">
        <v>23</v>
      </c>
      <c r="B31" s="48" t="s">
        <v>61</v>
      </c>
      <c r="C31" s="49" t="s">
        <v>62</v>
      </c>
      <c r="D31" s="50"/>
      <c r="E31" s="30">
        <v>2.4899999999999999E-2</v>
      </c>
      <c r="F31" s="31">
        <v>256758.11304265523</v>
      </c>
      <c r="G31" s="149"/>
      <c r="H31" s="32">
        <f t="shared" si="0"/>
        <v>256758.11304265523</v>
      </c>
      <c r="I31" s="32">
        <f t="shared" si="1"/>
        <v>7702.7433912796569</v>
      </c>
      <c r="J31" s="32">
        <f t="shared" si="2"/>
        <v>0</v>
      </c>
      <c r="K31" s="32"/>
      <c r="L31" s="33">
        <f t="shared" si="3"/>
        <v>136503.580101</v>
      </c>
      <c r="M31" s="33">
        <f t="shared" si="4"/>
        <v>0</v>
      </c>
      <c r="N31" s="34">
        <f t="shared" si="5"/>
        <v>400964.43653493491</v>
      </c>
      <c r="O31" s="35">
        <f t="shared" si="6"/>
        <v>408983.72526563361</v>
      </c>
    </row>
    <row r="32" spans="1:17" ht="15.75" x14ac:dyDescent="0.25">
      <c r="A32" s="36">
        <v>24</v>
      </c>
      <c r="B32" s="55" t="s">
        <v>63</v>
      </c>
      <c r="C32" s="56" t="s">
        <v>64</v>
      </c>
      <c r="D32" s="6" t="s">
        <v>153</v>
      </c>
      <c r="E32" s="30">
        <v>3.6700000000000003E-2</v>
      </c>
      <c r="F32" s="18">
        <v>514545.5590705385</v>
      </c>
      <c r="G32" s="149">
        <v>350000</v>
      </c>
      <c r="H32" s="32">
        <f t="shared" si="0"/>
        <v>164545.5590705385</v>
      </c>
      <c r="I32" s="32">
        <f t="shared" si="1"/>
        <v>4936.3667721161546</v>
      </c>
      <c r="J32" s="32">
        <f t="shared" si="2"/>
        <v>0</v>
      </c>
      <c r="K32" s="6"/>
      <c r="L32" s="33">
        <f t="shared" si="3"/>
        <v>201192.02368300004</v>
      </c>
      <c r="M32" s="33">
        <f t="shared" si="4"/>
        <v>0</v>
      </c>
      <c r="N32" s="34">
        <f t="shared" si="5"/>
        <v>370673.94952565467</v>
      </c>
      <c r="O32" s="35">
        <f t="shared" si="6"/>
        <v>378087.42851616774</v>
      </c>
    </row>
    <row r="33" spans="1:16" ht="15.75" x14ac:dyDescent="0.25">
      <c r="A33" s="6">
        <f>A32+1</f>
        <v>25</v>
      </c>
      <c r="B33" s="55" t="s">
        <v>65</v>
      </c>
      <c r="C33" s="56" t="s">
        <v>66</v>
      </c>
      <c r="D33" s="6" t="s">
        <v>67</v>
      </c>
      <c r="E33" s="30">
        <v>2.7900000000000001E-2</v>
      </c>
      <c r="F33" s="126">
        <v>146258.89221863748</v>
      </c>
      <c r="G33" s="149">
        <v>139500</v>
      </c>
      <c r="H33" s="32">
        <f t="shared" si="0"/>
        <v>6758.8922186374839</v>
      </c>
      <c r="I33" s="32">
        <f t="shared" si="1"/>
        <v>202.76676655912451</v>
      </c>
      <c r="J33" s="32">
        <f t="shared" si="2"/>
        <v>0</v>
      </c>
      <c r="K33" s="9"/>
      <c r="L33" s="33">
        <f t="shared" si="3"/>
        <v>152949.79457100001</v>
      </c>
      <c r="M33" s="33">
        <f t="shared" si="4"/>
        <v>0</v>
      </c>
      <c r="N33" s="34">
        <f t="shared" si="5"/>
        <v>159911.45355619662</v>
      </c>
      <c r="O33" s="35">
        <f t="shared" si="6"/>
        <v>163109.68262732055</v>
      </c>
    </row>
    <row r="34" spans="1:16" ht="15.75" x14ac:dyDescent="0.25">
      <c r="A34" s="6">
        <f t="shared" ref="A34:A42" si="8">A33+1</f>
        <v>26</v>
      </c>
      <c r="B34" s="55" t="s">
        <v>68</v>
      </c>
      <c r="C34" s="56" t="s">
        <v>69</v>
      </c>
      <c r="D34" s="6" t="s">
        <v>70</v>
      </c>
      <c r="E34" s="30">
        <v>2.4899999999999999E-2</v>
      </c>
      <c r="F34" s="18">
        <v>124499.99999999999</v>
      </c>
      <c r="G34" s="166">
        <f t="shared" ref="G34:G39" si="9">F34</f>
        <v>124499.99999999999</v>
      </c>
      <c r="H34" s="32">
        <f t="shared" si="0"/>
        <v>0</v>
      </c>
      <c r="I34" s="32">
        <f t="shared" si="1"/>
        <v>0</v>
      </c>
      <c r="J34" s="32">
        <f t="shared" si="2"/>
        <v>0</v>
      </c>
      <c r="K34" s="6"/>
      <c r="L34" s="33">
        <f t="shared" si="3"/>
        <v>136503.580101</v>
      </c>
      <c r="M34" s="33">
        <f t="shared" si="4"/>
        <v>0</v>
      </c>
      <c r="N34" s="34">
        <f t="shared" si="5"/>
        <v>136503.580101</v>
      </c>
      <c r="O34" s="35">
        <f t="shared" si="6"/>
        <v>139233.65170302</v>
      </c>
    </row>
    <row r="35" spans="1:16" ht="15.75" x14ac:dyDescent="0.25">
      <c r="A35" s="6">
        <f t="shared" si="8"/>
        <v>27</v>
      </c>
      <c r="B35" s="55" t="s">
        <v>71</v>
      </c>
      <c r="C35" s="56" t="s">
        <v>72</v>
      </c>
      <c r="D35" s="6"/>
      <c r="E35" s="30">
        <v>3.6700000000000003E-2</v>
      </c>
      <c r="F35" s="18">
        <v>183500.00000000003</v>
      </c>
      <c r="G35" s="149">
        <f t="shared" si="9"/>
        <v>183500.00000000003</v>
      </c>
      <c r="H35" s="32">
        <f t="shared" si="0"/>
        <v>0</v>
      </c>
      <c r="I35" s="32">
        <f t="shared" si="1"/>
        <v>0</v>
      </c>
      <c r="J35" s="32">
        <f t="shared" si="2"/>
        <v>0</v>
      </c>
      <c r="K35" s="6"/>
      <c r="L35" s="33">
        <f t="shared" si="3"/>
        <v>201192.02368300004</v>
      </c>
      <c r="M35" s="33">
        <f t="shared" si="4"/>
        <v>0</v>
      </c>
      <c r="N35" s="34">
        <f t="shared" si="5"/>
        <v>201192.02368300004</v>
      </c>
      <c r="O35" s="35">
        <f t="shared" si="6"/>
        <v>205215.86415666004</v>
      </c>
      <c r="P35" s="87"/>
    </row>
    <row r="36" spans="1:16" ht="15.75" x14ac:dyDescent="0.25">
      <c r="A36" s="6">
        <f t="shared" si="8"/>
        <v>28</v>
      </c>
      <c r="B36" s="55" t="s">
        <v>73</v>
      </c>
      <c r="C36" s="56" t="s">
        <v>69</v>
      </c>
      <c r="D36" s="6" t="s">
        <v>74</v>
      </c>
      <c r="E36" s="30">
        <v>2.7900000000000001E-2</v>
      </c>
      <c r="F36" s="18">
        <v>139500</v>
      </c>
      <c r="G36" s="166">
        <f t="shared" si="9"/>
        <v>139500</v>
      </c>
      <c r="H36" s="32">
        <f t="shared" si="0"/>
        <v>0</v>
      </c>
      <c r="I36" s="32">
        <f t="shared" si="1"/>
        <v>0</v>
      </c>
      <c r="J36" s="32">
        <f t="shared" si="2"/>
        <v>0</v>
      </c>
      <c r="K36" s="6"/>
      <c r="L36" s="33">
        <f t="shared" si="3"/>
        <v>152949.79457100001</v>
      </c>
      <c r="M36" s="33">
        <f t="shared" si="4"/>
        <v>0</v>
      </c>
      <c r="N36" s="34">
        <f t="shared" si="5"/>
        <v>152949.79457100001</v>
      </c>
      <c r="O36" s="35">
        <f t="shared" si="6"/>
        <v>156008.79046242</v>
      </c>
    </row>
    <row r="37" spans="1:16" ht="15.75" x14ac:dyDescent="0.25">
      <c r="A37" s="6">
        <f t="shared" si="8"/>
        <v>29</v>
      </c>
      <c r="B37" s="55" t="s">
        <v>75</v>
      </c>
      <c r="C37" s="56" t="s">
        <v>76</v>
      </c>
      <c r="D37" s="6" t="s">
        <v>161</v>
      </c>
      <c r="E37" s="30">
        <v>2.4899999999999999E-2</v>
      </c>
      <c r="F37" s="18">
        <v>126989.99999999999</v>
      </c>
      <c r="G37" s="166">
        <v>124500</v>
      </c>
      <c r="H37" s="32">
        <f t="shared" si="0"/>
        <v>2489.9999999999854</v>
      </c>
      <c r="I37" s="32">
        <f t="shared" si="1"/>
        <v>74.699999999999562</v>
      </c>
      <c r="J37" s="32">
        <f t="shared" si="2"/>
        <v>0</v>
      </c>
      <c r="K37" s="6"/>
      <c r="L37" s="33">
        <f t="shared" si="3"/>
        <v>136503.580101</v>
      </c>
      <c r="M37" s="33">
        <f t="shared" si="4"/>
        <v>0</v>
      </c>
      <c r="N37" s="34">
        <f t="shared" si="5"/>
        <v>139068.28010099998</v>
      </c>
      <c r="O37" s="35">
        <f t="shared" si="6"/>
        <v>141849.64570301998</v>
      </c>
    </row>
    <row r="38" spans="1:16" ht="15.75" x14ac:dyDescent="0.25">
      <c r="A38" s="6">
        <f t="shared" si="8"/>
        <v>30</v>
      </c>
      <c r="B38" s="55" t="s">
        <v>77</v>
      </c>
      <c r="C38" s="56" t="s">
        <v>78</v>
      </c>
      <c r="D38" s="6" t="s">
        <v>162</v>
      </c>
      <c r="E38" s="30">
        <v>2.1499999999999998E-2</v>
      </c>
      <c r="F38" s="18">
        <v>107499.99999999999</v>
      </c>
      <c r="G38" s="166">
        <f t="shared" si="9"/>
        <v>107499.99999999999</v>
      </c>
      <c r="H38" s="32">
        <f t="shared" si="0"/>
        <v>0</v>
      </c>
      <c r="I38" s="32">
        <f t="shared" si="1"/>
        <v>0</v>
      </c>
      <c r="J38" s="32">
        <f t="shared" si="2"/>
        <v>0</v>
      </c>
      <c r="K38" s="9"/>
      <c r="L38" s="33">
        <f t="shared" si="3"/>
        <v>117864.537035</v>
      </c>
      <c r="M38" s="33">
        <f t="shared" si="4"/>
        <v>0</v>
      </c>
      <c r="N38" s="34">
        <f t="shared" si="5"/>
        <v>117864.537035</v>
      </c>
      <c r="O38" s="35">
        <f t="shared" si="6"/>
        <v>120221.8277757</v>
      </c>
    </row>
    <row r="39" spans="1:16" ht="15.75" x14ac:dyDescent="0.25">
      <c r="A39" s="6">
        <f t="shared" si="8"/>
        <v>31</v>
      </c>
      <c r="B39" s="55" t="s">
        <v>79</v>
      </c>
      <c r="C39" s="56" t="s">
        <v>80</v>
      </c>
      <c r="D39" s="6" t="s">
        <v>81</v>
      </c>
      <c r="E39" s="30">
        <v>1.3599999999999999E-2</v>
      </c>
      <c r="F39" s="18">
        <v>68000</v>
      </c>
      <c r="G39" s="166">
        <f t="shared" si="9"/>
        <v>68000</v>
      </c>
      <c r="H39" s="32">
        <f t="shared" si="0"/>
        <v>0</v>
      </c>
      <c r="I39" s="32">
        <f t="shared" si="1"/>
        <v>0</v>
      </c>
      <c r="J39" s="32">
        <f t="shared" si="2"/>
        <v>0</v>
      </c>
      <c r="K39" s="9"/>
      <c r="L39" s="33">
        <f t="shared" si="3"/>
        <v>74556.172263999993</v>
      </c>
      <c r="M39" s="33">
        <f t="shared" si="4"/>
        <v>0</v>
      </c>
      <c r="N39" s="34">
        <f t="shared" si="5"/>
        <v>74556.172263999993</v>
      </c>
      <c r="O39" s="35">
        <f t="shared" si="6"/>
        <v>76047.295709279992</v>
      </c>
    </row>
    <row r="40" spans="1:16" ht="15.75" x14ac:dyDescent="0.25">
      <c r="A40" s="6">
        <f t="shared" si="8"/>
        <v>32</v>
      </c>
      <c r="B40" s="55" t="s">
        <v>82</v>
      </c>
      <c r="C40" s="228" t="s">
        <v>83</v>
      </c>
      <c r="D40" s="6"/>
      <c r="E40" s="30">
        <v>2.7900000000000001E-2</v>
      </c>
      <c r="F40" s="18">
        <v>142373.70000000001</v>
      </c>
      <c r="G40" s="166">
        <f>2874+139500</f>
        <v>142374</v>
      </c>
      <c r="H40" s="32">
        <f t="shared" si="0"/>
        <v>0</v>
      </c>
      <c r="I40" s="32">
        <f t="shared" si="1"/>
        <v>0</v>
      </c>
      <c r="J40" s="32">
        <f t="shared" si="2"/>
        <v>0.29999999998835847</v>
      </c>
      <c r="K40" s="9"/>
      <c r="L40" s="33">
        <f t="shared" si="3"/>
        <v>152949.79457100001</v>
      </c>
      <c r="M40" s="33">
        <f t="shared" si="4"/>
        <v>0</v>
      </c>
      <c r="N40" s="34">
        <f t="shared" si="5"/>
        <v>152949.49457100002</v>
      </c>
      <c r="O40" s="35">
        <f t="shared" si="6"/>
        <v>156008.48446242002</v>
      </c>
    </row>
    <row r="41" spans="1:16" ht="15.75" x14ac:dyDescent="0.25">
      <c r="A41" s="6">
        <f t="shared" si="8"/>
        <v>33</v>
      </c>
      <c r="B41" s="55" t="s">
        <v>84</v>
      </c>
      <c r="C41" s="56" t="s">
        <v>85</v>
      </c>
      <c r="D41" s="6" t="s">
        <v>137</v>
      </c>
      <c r="E41" s="30">
        <v>2.4899999999999999E-2</v>
      </c>
      <c r="F41" s="18">
        <v>126989.99999999999</v>
      </c>
      <c r="G41" s="166">
        <v>124500</v>
      </c>
      <c r="H41" s="32">
        <f t="shared" si="0"/>
        <v>2489.9999999999854</v>
      </c>
      <c r="I41" s="32">
        <f t="shared" si="1"/>
        <v>74.699999999999562</v>
      </c>
      <c r="J41" s="32">
        <f t="shared" si="2"/>
        <v>0</v>
      </c>
      <c r="K41" s="9"/>
      <c r="L41" s="33">
        <f t="shared" si="3"/>
        <v>136503.580101</v>
      </c>
      <c r="M41" s="33">
        <f t="shared" si="4"/>
        <v>0</v>
      </c>
      <c r="N41" s="34">
        <f t="shared" si="5"/>
        <v>139068.28010099998</v>
      </c>
      <c r="O41" s="35">
        <f t="shared" si="6"/>
        <v>141849.64570301998</v>
      </c>
    </row>
    <row r="42" spans="1:16" ht="16.5" thickBot="1" x14ac:dyDescent="0.3">
      <c r="A42" s="57">
        <f t="shared" si="8"/>
        <v>34</v>
      </c>
      <c r="B42" s="58" t="s">
        <v>86</v>
      </c>
      <c r="C42" s="59" t="s">
        <v>64</v>
      </c>
      <c r="D42" s="57" t="s">
        <v>87</v>
      </c>
      <c r="E42" s="30">
        <v>3.6700000000000003E-2</v>
      </c>
      <c r="F42" s="60">
        <v>187170.00000000003</v>
      </c>
      <c r="G42" s="167">
        <v>183500</v>
      </c>
      <c r="H42" s="32">
        <f t="shared" si="0"/>
        <v>3670.0000000000291</v>
      </c>
      <c r="I42" s="32">
        <f t="shared" si="1"/>
        <v>110.10000000000088</v>
      </c>
      <c r="J42" s="32">
        <f t="shared" si="2"/>
        <v>0</v>
      </c>
      <c r="K42" s="61"/>
      <c r="L42" s="33">
        <f t="shared" si="3"/>
        <v>201192.02368300004</v>
      </c>
      <c r="M42" s="33">
        <f t="shared" si="4"/>
        <v>0</v>
      </c>
      <c r="N42" s="34">
        <f t="shared" si="5"/>
        <v>204972.12368300007</v>
      </c>
      <c r="O42" s="35">
        <f t="shared" si="6"/>
        <v>209071.56615666006</v>
      </c>
    </row>
    <row r="43" spans="1:16" ht="15.75" thickBot="1" x14ac:dyDescent="0.3">
      <c r="A43" s="62"/>
      <c r="B43" s="62"/>
      <c r="C43" s="63"/>
      <c r="D43" s="63"/>
      <c r="E43" s="64">
        <f>SUM(E9:E42)</f>
        <v>1.0035000000000001</v>
      </c>
      <c r="F43" s="65">
        <f>SUM(F9:F42)</f>
        <v>6270424.7326084664</v>
      </c>
      <c r="G43" s="143">
        <f t="shared" ref="G43:N43" si="10">SUM(G9:G42)</f>
        <v>4887946</v>
      </c>
      <c r="H43" s="66">
        <f t="shared" si="10"/>
        <v>1388661.5127288518</v>
      </c>
      <c r="I43" s="67">
        <f t="shared" si="10"/>
        <v>41659.84538186554</v>
      </c>
      <c r="J43" s="68">
        <f t="shared" si="10"/>
        <v>6182.7801203865674</v>
      </c>
      <c r="K43" s="129">
        <f t="shared" si="10"/>
        <v>0</v>
      </c>
      <c r="L43" s="65">
        <f t="shared" si="10"/>
        <v>5501258.7402150016</v>
      </c>
      <c r="M43" s="65">
        <f t="shared" si="10"/>
        <v>0</v>
      </c>
      <c r="N43" s="65">
        <f t="shared" si="10"/>
        <v>6925397.3182053324</v>
      </c>
      <c r="O43" s="65"/>
      <c r="P43" s="69"/>
    </row>
    <row r="45" spans="1:16" x14ac:dyDescent="0.25">
      <c r="G45" s="164"/>
    </row>
  </sheetData>
  <mergeCells count="3">
    <mergeCell ref="F3:J6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"/>
  <sheetViews>
    <sheetView topLeftCell="A70" workbookViewId="0">
      <selection activeCell="H78" sqref="H78"/>
    </sheetView>
  </sheetViews>
  <sheetFormatPr baseColWidth="10" defaultRowHeight="15" x14ac:dyDescent="0.25"/>
  <cols>
    <col min="1" max="1" width="18.7109375" customWidth="1"/>
    <col min="2" max="2" width="14.28515625" customWidth="1"/>
    <col min="3" max="3" width="13.5703125" customWidth="1"/>
    <col min="4" max="4" width="24.5703125" customWidth="1"/>
    <col min="5" max="5" width="17.28515625" customWidth="1"/>
    <col min="6" max="6" width="15.7109375" customWidth="1"/>
    <col min="8" max="8" width="25.42578125" customWidth="1"/>
    <col min="9" max="9" width="15.5703125" bestFit="1" customWidth="1"/>
    <col min="10" max="11" width="14.5703125" bestFit="1" customWidth="1"/>
  </cols>
  <sheetData>
    <row r="1" spans="1:9" x14ac:dyDescent="0.25">
      <c r="A1" s="71"/>
      <c r="B1" s="72"/>
      <c r="C1" s="72"/>
      <c r="D1" s="72"/>
      <c r="E1" s="72"/>
      <c r="F1" s="72"/>
      <c r="G1" s="72"/>
      <c r="H1" s="73"/>
    </row>
    <row r="2" spans="1:9" ht="15.75" x14ac:dyDescent="0.25">
      <c r="A2" s="38"/>
      <c r="D2" s="181"/>
      <c r="E2" s="182"/>
      <c r="F2" s="182"/>
      <c r="G2" s="182"/>
      <c r="H2" s="183"/>
    </row>
    <row r="3" spans="1:9" x14ac:dyDescent="0.25">
      <c r="A3" s="38"/>
      <c r="D3" s="74" t="s">
        <v>88</v>
      </c>
      <c r="E3" s="184" t="s">
        <v>89</v>
      </c>
      <c r="F3" s="184"/>
      <c r="G3" s="184"/>
      <c r="H3" s="185"/>
    </row>
    <row r="4" spans="1:9" x14ac:dyDescent="0.25">
      <c r="A4" s="38"/>
      <c r="D4" s="74" t="s">
        <v>90</v>
      </c>
      <c r="E4" s="75" t="s">
        <v>91</v>
      </c>
      <c r="H4" s="76"/>
    </row>
    <row r="5" spans="1:9" x14ac:dyDescent="0.25">
      <c r="A5" s="38"/>
      <c r="D5" s="74" t="s">
        <v>92</v>
      </c>
      <c r="E5" s="77">
        <v>27231256879</v>
      </c>
      <c r="H5" s="76"/>
    </row>
    <row r="6" spans="1:9" x14ac:dyDescent="0.25">
      <c r="A6" s="38"/>
      <c r="D6" s="74" t="s">
        <v>93</v>
      </c>
      <c r="G6" t="s">
        <v>94</v>
      </c>
      <c r="H6" s="76"/>
    </row>
    <row r="7" spans="1:9" x14ac:dyDescent="0.25">
      <c r="A7" s="38"/>
      <c r="D7" s="74" t="s">
        <v>95</v>
      </c>
      <c r="H7" s="76"/>
    </row>
    <row r="8" spans="1:9" ht="18.75" x14ac:dyDescent="0.3">
      <c r="A8" s="78" t="s">
        <v>96</v>
      </c>
      <c r="B8" s="79"/>
      <c r="C8" s="79" t="s">
        <v>166</v>
      </c>
      <c r="D8" s="79"/>
      <c r="E8" s="79"/>
      <c r="F8" s="80"/>
      <c r="G8" s="79" t="s">
        <v>165</v>
      </c>
      <c r="H8" s="81"/>
    </row>
    <row r="9" spans="1:9" x14ac:dyDescent="0.25">
      <c r="A9" s="14" t="s">
        <v>97</v>
      </c>
      <c r="B9" s="6"/>
      <c r="C9" s="6"/>
      <c r="D9" s="6"/>
      <c r="E9" s="6"/>
      <c r="F9" s="6"/>
      <c r="G9" s="6"/>
      <c r="H9" s="6"/>
    </row>
    <row r="10" spans="1:9" ht="42.75" customHeight="1" x14ac:dyDescent="0.25">
      <c r="A10" s="186" t="s">
        <v>98</v>
      </c>
      <c r="B10" s="187"/>
      <c r="C10" s="187"/>
      <c r="D10" s="187"/>
      <c r="E10" s="187"/>
      <c r="F10" s="187"/>
      <c r="G10" s="187"/>
      <c r="H10" s="188"/>
    </row>
    <row r="11" spans="1:9" x14ac:dyDescent="0.25">
      <c r="A11" s="14"/>
      <c r="B11" s="6"/>
      <c r="C11" s="6"/>
      <c r="D11" s="6"/>
      <c r="E11" s="14"/>
      <c r="F11" s="6"/>
      <c r="G11" s="6"/>
      <c r="H11" s="6"/>
    </row>
    <row r="12" spans="1:9" ht="15.75" x14ac:dyDescent="0.25">
      <c r="A12" s="189" t="s">
        <v>99</v>
      </c>
      <c r="B12" s="189"/>
      <c r="C12" s="189"/>
      <c r="D12" s="189"/>
      <c r="E12" s="189"/>
      <c r="F12" s="189"/>
      <c r="G12" s="189"/>
      <c r="H12" s="189"/>
    </row>
    <row r="13" spans="1:9" x14ac:dyDescent="0.25">
      <c r="A13" s="150" t="s">
        <v>171</v>
      </c>
      <c r="B13" s="151"/>
      <c r="C13" s="151"/>
      <c r="D13" s="151"/>
      <c r="E13" s="151"/>
      <c r="F13" s="151"/>
      <c r="G13" s="151"/>
      <c r="H13" s="82">
        <v>1057740.8999999999</v>
      </c>
    </row>
    <row r="14" spans="1:9" x14ac:dyDescent="0.25">
      <c r="A14" s="150" t="s">
        <v>141</v>
      </c>
      <c r="B14" s="151"/>
      <c r="C14" s="151"/>
      <c r="D14" s="151"/>
      <c r="E14" s="151"/>
      <c r="F14" s="151"/>
      <c r="G14" s="151"/>
      <c r="H14" s="82">
        <v>0.76</v>
      </c>
    </row>
    <row r="15" spans="1:9" x14ac:dyDescent="0.25">
      <c r="A15" s="152" t="s">
        <v>101</v>
      </c>
      <c r="B15" s="152"/>
      <c r="C15" s="152"/>
      <c r="D15" s="152"/>
      <c r="E15" s="152"/>
      <c r="F15" s="152"/>
      <c r="G15" s="152"/>
      <c r="H15" s="82">
        <v>-230058.66</v>
      </c>
    </row>
    <row r="16" spans="1:9" ht="14.25" customHeight="1" x14ac:dyDescent="0.25">
      <c r="A16" s="153" t="s">
        <v>100</v>
      </c>
      <c r="B16" s="154"/>
      <c r="C16" s="154"/>
      <c r="D16" s="154"/>
      <c r="E16" s="154"/>
      <c r="F16" s="154"/>
      <c r="G16" s="154"/>
      <c r="H16" s="84">
        <f>SUM(H13:H15)</f>
        <v>827682.99999999988</v>
      </c>
      <c r="I16" s="83"/>
    </row>
    <row r="17" spans="1:9" ht="15.75" hidden="1" x14ac:dyDescent="0.25">
      <c r="A17" s="190" t="s">
        <v>160</v>
      </c>
      <c r="B17" s="190"/>
      <c r="C17" s="190"/>
      <c r="D17" s="190"/>
      <c r="E17" s="190"/>
      <c r="F17" s="190"/>
      <c r="G17" s="190"/>
      <c r="H17" s="190"/>
    </row>
    <row r="18" spans="1:9" hidden="1" x14ac:dyDescent="0.25">
      <c r="A18" s="85" t="s">
        <v>158</v>
      </c>
      <c r="B18" s="151"/>
      <c r="C18" s="151"/>
      <c r="D18" s="151"/>
      <c r="E18" s="151"/>
      <c r="F18" s="151"/>
      <c r="G18" s="151"/>
      <c r="H18" s="82"/>
    </row>
    <row r="19" spans="1:9" hidden="1" x14ac:dyDescent="0.25">
      <c r="A19" s="85" t="s">
        <v>157</v>
      </c>
      <c r="B19" s="151"/>
      <c r="C19" s="151"/>
      <c r="D19" s="151"/>
      <c r="E19" s="151"/>
      <c r="F19" s="151"/>
      <c r="G19" s="151"/>
      <c r="H19" s="82"/>
    </row>
    <row r="20" spans="1:9" hidden="1" x14ac:dyDescent="0.25">
      <c r="A20" s="151"/>
      <c r="B20" s="151"/>
      <c r="C20" s="151"/>
      <c r="D20" s="151"/>
      <c r="E20" s="151"/>
      <c r="F20" s="151"/>
      <c r="G20" s="151"/>
      <c r="H20" s="82"/>
    </row>
    <row r="21" spans="1:9" hidden="1" x14ac:dyDescent="0.25">
      <c r="A21" s="151" t="s">
        <v>102</v>
      </c>
      <c r="B21" s="151"/>
      <c r="C21" s="151"/>
      <c r="D21" s="151"/>
      <c r="E21" s="151"/>
      <c r="F21" s="151"/>
      <c r="G21" s="151"/>
      <c r="H21" s="82">
        <f>SUM(H18:H20)</f>
        <v>0</v>
      </c>
    </row>
    <row r="22" spans="1:9" ht="15.75" x14ac:dyDescent="0.25">
      <c r="A22" s="190" t="s">
        <v>103</v>
      </c>
      <c r="B22" s="190"/>
      <c r="C22" s="190"/>
      <c r="D22" s="190"/>
      <c r="E22" s="190"/>
      <c r="F22" s="190"/>
      <c r="G22" s="190"/>
      <c r="H22" s="190"/>
    </row>
    <row r="23" spans="1:9" ht="16.5" customHeight="1" x14ac:dyDescent="0.25">
      <c r="A23" s="150" t="s">
        <v>104</v>
      </c>
      <c r="B23" s="155" t="s">
        <v>175</v>
      </c>
      <c r="C23" s="155"/>
      <c r="D23" s="155"/>
      <c r="E23" s="155"/>
      <c r="F23" s="155"/>
      <c r="G23" s="151"/>
      <c r="H23" s="82">
        <v>92476.76</v>
      </c>
    </row>
    <row r="24" spans="1:9" x14ac:dyDescent="0.25">
      <c r="A24" s="150" t="s">
        <v>149</v>
      </c>
      <c r="B24" s="151" t="str">
        <f>B23</f>
        <v>Debito 13/08</v>
      </c>
      <c r="C24" s="155"/>
      <c r="D24" s="155"/>
      <c r="E24" s="155"/>
      <c r="F24" s="155"/>
      <c r="G24" s="151"/>
      <c r="H24" s="82">
        <v>46972.22</v>
      </c>
    </row>
    <row r="25" spans="1:9" x14ac:dyDescent="0.25">
      <c r="A25" s="150" t="s">
        <v>105</v>
      </c>
      <c r="B25" s="151" t="str">
        <f>B24</f>
        <v>Debito 13/08</v>
      </c>
      <c r="C25" s="155"/>
      <c r="D25" s="155"/>
      <c r="E25" s="155"/>
      <c r="F25" s="155"/>
      <c r="G25" s="151"/>
      <c r="H25" s="82">
        <v>5219.1400000000003</v>
      </c>
    </row>
    <row r="26" spans="1:9" x14ac:dyDescent="0.25">
      <c r="A26" s="150" t="s">
        <v>155</v>
      </c>
      <c r="B26" s="151" t="s">
        <v>173</v>
      </c>
      <c r="C26" s="155"/>
      <c r="D26" s="155"/>
      <c r="E26" s="155"/>
      <c r="F26" s="155"/>
      <c r="G26" s="151"/>
      <c r="H26" s="82">
        <f>61422.03+480315.88</f>
        <v>541737.91</v>
      </c>
    </row>
    <row r="27" spans="1:9" x14ac:dyDescent="0.25">
      <c r="A27" s="150"/>
      <c r="B27" s="151"/>
      <c r="C27" s="155"/>
      <c r="D27" s="155"/>
      <c r="E27" s="155"/>
      <c r="F27" s="155"/>
      <c r="G27" s="151"/>
      <c r="H27" s="82">
        <v>0</v>
      </c>
    </row>
    <row r="28" spans="1:9" x14ac:dyDescent="0.25">
      <c r="A28" s="154" t="s">
        <v>106</v>
      </c>
      <c r="B28" s="154"/>
      <c r="C28" s="154"/>
      <c r="D28" s="154"/>
      <c r="E28" s="154"/>
      <c r="F28" s="154"/>
      <c r="G28" s="154"/>
      <c r="H28" s="84">
        <f>SUM(H23:H27)</f>
        <v>686406.03</v>
      </c>
    </row>
    <row r="29" spans="1:9" ht="15.75" x14ac:dyDescent="0.25">
      <c r="A29" s="180" t="s">
        <v>107</v>
      </c>
      <c r="B29" s="180"/>
      <c r="C29" s="180"/>
      <c r="D29" s="180"/>
      <c r="E29" s="180"/>
      <c r="F29" s="180"/>
      <c r="G29" s="180"/>
      <c r="H29" s="180"/>
    </row>
    <row r="30" spans="1:9" x14ac:dyDescent="0.25">
      <c r="A30" s="151" t="s">
        <v>108</v>
      </c>
      <c r="B30" s="151"/>
      <c r="C30" s="151"/>
      <c r="D30" s="151"/>
      <c r="E30" s="151" t="s">
        <v>179</v>
      </c>
      <c r="F30" s="151"/>
      <c r="G30" s="151"/>
      <c r="H30" s="82">
        <v>4381.32</v>
      </c>
    </row>
    <row r="31" spans="1:9" x14ac:dyDescent="0.25">
      <c r="A31" s="151" t="s">
        <v>109</v>
      </c>
      <c r="B31" s="151" t="s">
        <v>110</v>
      </c>
      <c r="C31" s="151"/>
      <c r="D31" s="151"/>
      <c r="E31" s="151" t="s">
        <v>176</v>
      </c>
      <c r="F31" s="151"/>
      <c r="G31" s="151"/>
      <c r="H31" s="82">
        <v>1073579.78</v>
      </c>
      <c r="I31" s="87"/>
    </row>
    <row r="32" spans="1:9" x14ac:dyDescent="0.25">
      <c r="A32" s="156" t="s">
        <v>111</v>
      </c>
      <c r="B32" s="151" t="s">
        <v>112</v>
      </c>
      <c r="C32" s="151"/>
      <c r="D32" s="151"/>
      <c r="E32" s="151"/>
      <c r="F32" s="151"/>
      <c r="G32" s="151"/>
      <c r="H32" s="82">
        <v>196434.48</v>
      </c>
    </row>
    <row r="33" spans="1:10" x14ac:dyDescent="0.25">
      <c r="A33" s="154" t="s">
        <v>100</v>
      </c>
      <c r="B33" s="154"/>
      <c r="C33" s="154"/>
      <c r="D33" s="154"/>
      <c r="E33" s="154"/>
      <c r="F33" s="154"/>
      <c r="G33" s="154"/>
      <c r="H33" s="157">
        <f>SUM(H30:H32)</f>
        <v>1274395.58</v>
      </c>
    </row>
    <row r="34" spans="1:10" ht="15" customHeight="1" x14ac:dyDescent="0.25">
      <c r="A34" s="180" t="s">
        <v>113</v>
      </c>
      <c r="B34" s="180"/>
      <c r="C34" s="180"/>
      <c r="D34" s="180"/>
      <c r="E34" s="180"/>
      <c r="F34" s="180"/>
      <c r="G34" s="180"/>
      <c r="H34" s="180"/>
    </row>
    <row r="35" spans="1:10" x14ac:dyDescent="0.25">
      <c r="A35" s="85" t="s">
        <v>156</v>
      </c>
      <c r="B35" s="158"/>
      <c r="C35" s="151"/>
      <c r="D35" s="151"/>
      <c r="E35" s="151"/>
      <c r="F35" s="151"/>
      <c r="G35" s="151"/>
      <c r="H35" s="82">
        <v>140000</v>
      </c>
    </row>
    <row r="36" spans="1:10" x14ac:dyDescent="0.25">
      <c r="A36" s="85" t="s">
        <v>174</v>
      </c>
      <c r="B36" s="159"/>
      <c r="C36" s="85"/>
      <c r="D36" s="85"/>
      <c r="E36" s="85"/>
      <c r="F36" s="85"/>
      <c r="G36" s="85"/>
      <c r="H36" s="82">
        <v>45000</v>
      </c>
      <c r="J36" s="87"/>
    </row>
    <row r="37" spans="1:10" ht="14.45" customHeight="1" x14ac:dyDescent="0.25">
      <c r="A37" s="197" t="s">
        <v>170</v>
      </c>
      <c r="B37" s="198"/>
      <c r="C37" s="198"/>
      <c r="D37" s="198"/>
      <c r="E37" s="198"/>
      <c r="F37" s="198"/>
      <c r="G37" s="199"/>
      <c r="H37" s="82">
        <v>24100</v>
      </c>
    </row>
    <row r="38" spans="1:10" ht="14.45" customHeight="1" x14ac:dyDescent="0.25">
      <c r="A38" s="197" t="s">
        <v>177</v>
      </c>
      <c r="B38" s="198"/>
      <c r="C38" s="198"/>
      <c r="D38" s="198"/>
      <c r="E38" s="198"/>
      <c r="F38" s="198"/>
      <c r="G38" s="199"/>
      <c r="H38" s="82">
        <v>24100</v>
      </c>
    </row>
    <row r="39" spans="1:10" x14ac:dyDescent="0.25">
      <c r="A39" s="85" t="s">
        <v>169</v>
      </c>
      <c r="B39" s="158"/>
      <c r="C39" s="151"/>
      <c r="D39" s="151"/>
      <c r="E39" s="151"/>
      <c r="F39" s="151"/>
      <c r="G39" s="151"/>
      <c r="H39" s="82">
        <v>112550</v>
      </c>
      <c r="I39" s="148"/>
      <c r="J39" s="200"/>
    </row>
    <row r="40" spans="1:10" ht="38.450000000000003" customHeight="1" x14ac:dyDescent="0.25">
      <c r="A40" s="197" t="s">
        <v>168</v>
      </c>
      <c r="B40" s="198"/>
      <c r="C40" s="198"/>
      <c r="D40" s="198"/>
      <c r="E40" s="198"/>
      <c r="F40" s="198"/>
      <c r="G40" s="199"/>
      <c r="H40" s="82">
        <v>741000</v>
      </c>
      <c r="J40" s="200"/>
    </row>
    <row r="41" spans="1:10" x14ac:dyDescent="0.25">
      <c r="A41" s="151" t="s">
        <v>100</v>
      </c>
      <c r="B41" s="151"/>
      <c r="C41" s="151"/>
      <c r="D41" s="151"/>
      <c r="E41" s="151"/>
      <c r="F41" s="151"/>
      <c r="G41" s="151"/>
      <c r="H41" s="84">
        <f>SUM(H35:H40)</f>
        <v>1086750</v>
      </c>
    </row>
    <row r="42" spans="1:10" ht="15.75" x14ac:dyDescent="0.25">
      <c r="A42" s="180" t="s">
        <v>114</v>
      </c>
      <c r="B42" s="180"/>
      <c r="C42" s="180"/>
      <c r="D42" s="180"/>
      <c r="E42" s="180"/>
      <c r="F42" s="180"/>
      <c r="G42" s="180"/>
      <c r="H42" s="180"/>
    </row>
    <row r="43" spans="1:10" x14ac:dyDescent="0.25">
      <c r="A43" s="151" t="s">
        <v>115</v>
      </c>
      <c r="B43" s="151"/>
      <c r="C43" s="151" t="s">
        <v>167</v>
      </c>
      <c r="D43" s="160"/>
      <c r="E43" s="151"/>
      <c r="F43" s="151"/>
      <c r="G43" s="151"/>
      <c r="H43" s="82">
        <v>265000</v>
      </c>
      <c r="J43" t="s">
        <v>163</v>
      </c>
    </row>
    <row r="44" spans="1:10" ht="16.5" customHeight="1" x14ac:dyDescent="0.25">
      <c r="A44" s="161" t="s">
        <v>145</v>
      </c>
      <c r="B44" s="151"/>
      <c r="C44" s="218"/>
      <c r="D44" s="219"/>
      <c r="E44" s="162"/>
      <c r="F44" s="155"/>
      <c r="G44" s="151"/>
      <c r="H44" s="82">
        <v>30000</v>
      </c>
    </row>
    <row r="45" spans="1:10" x14ac:dyDescent="0.25">
      <c r="A45" s="151" t="s">
        <v>183</v>
      </c>
      <c r="B45" s="151"/>
      <c r="C45" s="155"/>
      <c r="D45" s="155"/>
      <c r="E45" s="155"/>
      <c r="F45" s="155"/>
      <c r="G45" s="151"/>
      <c r="H45" s="82">
        <v>195000</v>
      </c>
    </row>
    <row r="46" spans="1:10" x14ac:dyDescent="0.25">
      <c r="A46" s="154" t="s">
        <v>100</v>
      </c>
      <c r="B46" s="154"/>
      <c r="C46" s="154"/>
      <c r="D46" s="154"/>
      <c r="E46" s="154"/>
      <c r="F46" s="154"/>
      <c r="G46" s="154"/>
      <c r="H46" s="84">
        <f>SUM(H43:H45)</f>
        <v>490000</v>
      </c>
    </row>
    <row r="47" spans="1:10" ht="15.75" x14ac:dyDescent="0.25">
      <c r="A47" s="191" t="s">
        <v>116</v>
      </c>
      <c r="B47" s="192"/>
      <c r="C47" s="192"/>
      <c r="D47" s="192"/>
      <c r="E47" s="192"/>
      <c r="F47" s="192"/>
      <c r="G47" s="192"/>
      <c r="H47" s="193"/>
    </row>
    <row r="48" spans="1:10" x14ac:dyDescent="0.25">
      <c r="A48" s="151" t="s">
        <v>117</v>
      </c>
      <c r="B48" s="151"/>
      <c r="C48" s="151"/>
      <c r="D48" s="151"/>
      <c r="E48" s="151"/>
      <c r="F48" s="151"/>
      <c r="G48" s="151"/>
      <c r="H48" s="82">
        <v>58309.62</v>
      </c>
    </row>
    <row r="49" spans="1:11" x14ac:dyDescent="0.25">
      <c r="A49" s="151"/>
      <c r="B49" s="151"/>
      <c r="C49" s="151"/>
      <c r="D49" s="151"/>
      <c r="E49" s="151"/>
      <c r="F49" s="151"/>
      <c r="G49" s="151"/>
      <c r="H49" s="82"/>
    </row>
    <row r="50" spans="1:11" x14ac:dyDescent="0.25">
      <c r="A50" s="154" t="s">
        <v>106</v>
      </c>
      <c r="B50" s="154"/>
      <c r="C50" s="154"/>
      <c r="D50" s="154"/>
      <c r="E50" s="154"/>
      <c r="F50" s="154"/>
      <c r="G50" s="154"/>
      <c r="H50" s="157">
        <f>SUM(H48:H49)</f>
        <v>58309.62</v>
      </c>
    </row>
    <row r="51" spans="1:11" ht="15.75" x14ac:dyDescent="0.25">
      <c r="A51" s="191" t="s">
        <v>118</v>
      </c>
      <c r="B51" s="192"/>
      <c r="C51" s="192"/>
      <c r="D51" s="192"/>
      <c r="E51" s="192"/>
      <c r="F51" s="192"/>
      <c r="G51" s="192"/>
      <c r="H51" s="193"/>
      <c r="I51" s="87"/>
    </row>
    <row r="52" spans="1:11" x14ac:dyDescent="0.25">
      <c r="A52" s="85" t="s">
        <v>138</v>
      </c>
      <c r="B52" s="85"/>
      <c r="C52" s="85"/>
      <c r="D52" s="85"/>
      <c r="E52" s="85"/>
      <c r="F52" s="85" t="s">
        <v>178</v>
      </c>
      <c r="G52" s="85"/>
      <c r="H52" s="82">
        <v>55029.24</v>
      </c>
      <c r="I52" s="87"/>
    </row>
    <row r="53" spans="1:11" x14ac:dyDescent="0.25">
      <c r="A53" s="85" t="s">
        <v>139</v>
      </c>
      <c r="B53" s="85"/>
      <c r="C53" s="85"/>
      <c r="D53" s="85"/>
      <c r="E53" s="85"/>
      <c r="F53" s="85" t="s">
        <v>172</v>
      </c>
      <c r="G53" s="85"/>
      <c r="H53" s="82">
        <v>3498.02</v>
      </c>
      <c r="I53" s="87"/>
    </row>
    <row r="54" spans="1:11" x14ac:dyDescent="0.25">
      <c r="A54" s="85" t="s">
        <v>100</v>
      </c>
      <c r="B54" s="85"/>
      <c r="C54" s="85"/>
      <c r="D54" s="85"/>
      <c r="E54" s="85"/>
      <c r="F54" s="85"/>
      <c r="G54" s="85"/>
      <c r="H54" s="84">
        <f>SUM(H52:H53)</f>
        <v>58527.259999999995</v>
      </c>
      <c r="I54" s="87"/>
      <c r="K54" s="83"/>
    </row>
    <row r="55" spans="1:11" ht="15.75" x14ac:dyDescent="0.25">
      <c r="A55" s="194" t="s">
        <v>119</v>
      </c>
      <c r="B55" s="195"/>
      <c r="C55" s="195"/>
      <c r="D55" s="195"/>
      <c r="E55" s="195"/>
      <c r="F55" s="195"/>
      <c r="G55" s="195"/>
      <c r="H55" s="196"/>
    </row>
    <row r="56" spans="1:11" x14ac:dyDescent="0.25">
      <c r="A56" s="86"/>
      <c r="B56" s="86"/>
      <c r="C56" s="86"/>
      <c r="D56" s="86"/>
      <c r="E56" s="86"/>
      <c r="F56" s="86"/>
      <c r="G56" s="86"/>
      <c r="H56" s="90"/>
    </row>
    <row r="57" spans="1:11" x14ac:dyDescent="0.25">
      <c r="A57" s="86"/>
      <c r="B57" s="86"/>
      <c r="C57" s="86"/>
      <c r="D57" s="86"/>
      <c r="E57" s="86"/>
      <c r="F57" s="86"/>
      <c r="G57" s="86"/>
      <c r="H57" s="90"/>
    </row>
    <row r="58" spans="1:11" ht="18.75" x14ac:dyDescent="0.25">
      <c r="A58" s="91" t="s">
        <v>100</v>
      </c>
      <c r="B58" s="89"/>
      <c r="C58" s="89"/>
      <c r="D58" s="89"/>
      <c r="E58" s="89"/>
      <c r="F58" s="89"/>
      <c r="G58" s="89"/>
      <c r="H58" s="92"/>
    </row>
    <row r="59" spans="1:11" ht="18.75" x14ac:dyDescent="0.25">
      <c r="A59" s="93"/>
      <c r="B59" s="131"/>
      <c r="C59" s="131"/>
      <c r="D59" s="131"/>
      <c r="E59" s="131"/>
      <c r="F59" s="131"/>
      <c r="G59" s="131"/>
      <c r="H59" s="94"/>
    </row>
    <row r="60" spans="1:11" ht="20.25" customHeight="1" x14ac:dyDescent="0.25">
      <c r="A60" s="91"/>
      <c r="B60" s="89"/>
      <c r="C60" s="89"/>
      <c r="D60" s="89"/>
      <c r="E60" s="89"/>
      <c r="F60" s="89"/>
      <c r="G60" s="89"/>
      <c r="H60" s="92"/>
    </row>
    <row r="61" spans="1:11" ht="15" customHeight="1" x14ac:dyDescent="0.25">
      <c r="A61" s="194" t="s">
        <v>150</v>
      </c>
      <c r="B61" s="195"/>
      <c r="C61" s="195"/>
      <c r="D61" s="195"/>
      <c r="E61" s="195"/>
      <c r="F61" s="195"/>
      <c r="G61" s="195"/>
      <c r="H61" s="127"/>
    </row>
    <row r="62" spans="1:11" ht="15" customHeight="1" x14ac:dyDescent="0.25">
      <c r="A62" s="91"/>
      <c r="B62" s="89"/>
      <c r="C62" s="89"/>
      <c r="D62" s="89"/>
      <c r="E62" s="89"/>
      <c r="F62" s="89"/>
      <c r="G62" s="89"/>
      <c r="H62" s="92"/>
    </row>
    <row r="63" spans="1:11" ht="15" customHeight="1" x14ac:dyDescent="0.25">
      <c r="A63" s="91"/>
      <c r="B63" s="89"/>
      <c r="C63" s="89"/>
      <c r="D63" s="89"/>
      <c r="E63" s="89"/>
      <c r="F63" s="89"/>
      <c r="G63" s="89"/>
      <c r="H63" s="92"/>
    </row>
    <row r="64" spans="1:11" ht="14.25" customHeight="1" x14ac:dyDescent="0.25">
      <c r="A64" s="128" t="s">
        <v>100</v>
      </c>
      <c r="B64" s="131"/>
      <c r="C64" s="131"/>
      <c r="D64" s="131"/>
      <c r="E64" s="131"/>
      <c r="F64" s="131"/>
      <c r="G64" s="131"/>
      <c r="H64" s="94">
        <f>SUM(H62:H63)</f>
        <v>0</v>
      </c>
    </row>
    <row r="65" spans="1:11" ht="18.75" x14ac:dyDescent="0.25">
      <c r="A65" s="91"/>
      <c r="B65" s="89"/>
      <c r="C65" s="89"/>
      <c r="D65" s="89"/>
      <c r="E65" s="89"/>
      <c r="F65" s="89"/>
      <c r="G65" s="89"/>
      <c r="H65" s="92"/>
    </row>
    <row r="66" spans="1:11" ht="18.75" x14ac:dyDescent="0.3">
      <c r="A66" s="212" t="s">
        <v>120</v>
      </c>
      <c r="B66" s="212"/>
      <c r="C66" s="212"/>
      <c r="D66" s="212"/>
      <c r="E66" s="212"/>
      <c r="F66" s="212"/>
      <c r="G66" s="212"/>
      <c r="H66" s="95"/>
    </row>
    <row r="67" spans="1:11" x14ac:dyDescent="0.25">
      <c r="A67" s="197"/>
      <c r="B67" s="198"/>
      <c r="C67" s="198"/>
      <c r="D67" s="198"/>
      <c r="E67" s="198"/>
      <c r="F67" s="198"/>
      <c r="G67" s="199"/>
      <c r="H67" s="123"/>
    </row>
    <row r="68" spans="1:11" x14ac:dyDescent="0.25">
      <c r="A68" s="96"/>
      <c r="B68" s="97"/>
      <c r="C68" s="97"/>
      <c r="D68" s="97"/>
      <c r="E68" s="97"/>
      <c r="F68" s="97"/>
      <c r="G68" s="98"/>
      <c r="H68" s="123"/>
    </row>
    <row r="69" spans="1:11" x14ac:dyDescent="0.25">
      <c r="A69" s="213"/>
      <c r="B69" s="214"/>
      <c r="C69" s="214"/>
      <c r="D69" s="214"/>
      <c r="E69" s="214"/>
      <c r="F69" s="214"/>
      <c r="G69" s="215"/>
      <c r="H69" s="82">
        <v>0</v>
      </c>
    </row>
    <row r="70" spans="1:11" x14ac:dyDescent="0.25">
      <c r="A70" s="132"/>
      <c r="B70" s="133"/>
      <c r="C70" s="133"/>
      <c r="D70" s="133"/>
      <c r="E70" s="133"/>
      <c r="F70" s="133"/>
      <c r="G70" s="134"/>
      <c r="H70" s="82">
        <v>0</v>
      </c>
    </row>
    <row r="71" spans="1:11" x14ac:dyDescent="0.25">
      <c r="A71" s="132"/>
      <c r="B71" s="133"/>
      <c r="C71" s="133"/>
      <c r="D71" s="133"/>
      <c r="E71" s="133"/>
      <c r="F71" s="133"/>
      <c r="G71" s="134"/>
      <c r="H71" s="82">
        <v>0</v>
      </c>
    </row>
    <row r="72" spans="1:11" x14ac:dyDescent="0.25">
      <c r="A72" s="136" t="s">
        <v>100</v>
      </c>
      <c r="B72" s="85"/>
      <c r="C72" s="85"/>
      <c r="D72" s="85"/>
      <c r="E72" s="85"/>
      <c r="F72" s="85"/>
      <c r="G72" s="85"/>
      <c r="H72" s="84">
        <f>SUM(H67:H71)</f>
        <v>0</v>
      </c>
    </row>
    <row r="73" spans="1:11" ht="15.75" thickBot="1" x14ac:dyDescent="0.3">
      <c r="A73" s="137"/>
      <c r="B73" s="137"/>
      <c r="C73" s="137"/>
      <c r="D73" s="137"/>
      <c r="E73" s="137"/>
      <c r="F73" s="137"/>
      <c r="G73" s="137"/>
      <c r="H73" s="138"/>
      <c r="I73" s="87"/>
    </row>
    <row r="74" spans="1:11" ht="19.5" thickBot="1" x14ac:dyDescent="0.35">
      <c r="A74" s="216" t="s">
        <v>121</v>
      </c>
      <c r="B74" s="217"/>
      <c r="C74" s="217"/>
      <c r="D74" s="217"/>
      <c r="E74" s="217"/>
      <c r="F74" s="217"/>
      <c r="G74" s="217"/>
      <c r="H74" s="139">
        <f>H72</f>
        <v>0</v>
      </c>
      <c r="I74" s="87"/>
    </row>
    <row r="75" spans="1:11" ht="19.5" thickBot="1" x14ac:dyDescent="0.35">
      <c r="A75" s="209" t="s">
        <v>182</v>
      </c>
      <c r="B75" s="210"/>
      <c r="C75" s="210"/>
      <c r="D75" s="210"/>
      <c r="E75" s="210"/>
      <c r="F75" s="210"/>
      <c r="G75" s="211"/>
      <c r="H75" s="139">
        <v>1000000</v>
      </c>
      <c r="I75" s="88"/>
    </row>
    <row r="76" spans="1:11" ht="17.25" customHeight="1" thickBot="1" x14ac:dyDescent="0.35">
      <c r="A76" s="220" t="s">
        <v>140</v>
      </c>
      <c r="B76" s="221"/>
      <c r="C76" s="221"/>
      <c r="D76" s="221"/>
      <c r="E76" s="221"/>
      <c r="F76" s="221"/>
      <c r="G76" s="222"/>
      <c r="H76" s="139"/>
      <c r="I76" s="87"/>
      <c r="J76" s="83"/>
    </row>
    <row r="77" spans="1:11" ht="18.75" x14ac:dyDescent="0.3">
      <c r="A77" s="216" t="s">
        <v>122</v>
      </c>
      <c r="B77" s="217"/>
      <c r="C77" s="217"/>
      <c r="D77" s="217"/>
      <c r="E77" s="217"/>
      <c r="F77" s="217"/>
      <c r="G77" s="217"/>
      <c r="H77" s="139">
        <f>H58+H54+H50+H46+H41+H33+H16+H21+H28+H64</f>
        <v>4482071.49</v>
      </c>
      <c r="I77" s="83"/>
    </row>
    <row r="78" spans="1:11" ht="18.75" x14ac:dyDescent="0.3">
      <c r="A78" s="223" t="s">
        <v>123</v>
      </c>
      <c r="B78" s="224"/>
      <c r="C78" s="224"/>
      <c r="D78" s="224"/>
      <c r="E78" s="224"/>
      <c r="F78" s="224"/>
      <c r="G78" s="225"/>
      <c r="H78" s="140">
        <f>H77+H75</f>
        <v>5482071.4900000002</v>
      </c>
      <c r="I78" s="83"/>
      <c r="J78">
        <v>5000000</v>
      </c>
      <c r="K78" s="148"/>
    </row>
    <row r="79" spans="1:11" ht="18.75" x14ac:dyDescent="0.3">
      <c r="A79" s="223" t="s">
        <v>124</v>
      </c>
      <c r="B79" s="224"/>
      <c r="C79" s="224"/>
      <c r="D79" s="224"/>
      <c r="E79" s="224"/>
      <c r="F79" s="224"/>
      <c r="G79" s="225"/>
      <c r="H79" s="141">
        <f>H74+H76</f>
        <v>0</v>
      </c>
      <c r="I79" s="83"/>
      <c r="J79" s="148"/>
    </row>
    <row r="80" spans="1:11" ht="18.75" customHeight="1" thickBot="1" x14ac:dyDescent="0.35">
      <c r="A80" s="226" t="s">
        <v>125</v>
      </c>
      <c r="B80" s="227"/>
      <c r="C80" s="227"/>
      <c r="D80" s="227"/>
      <c r="E80" s="227"/>
      <c r="F80" s="227"/>
      <c r="G80" s="227"/>
      <c r="H80" s="142">
        <f>H77+H74</f>
        <v>4482071.49</v>
      </c>
    </row>
    <row r="81" spans="1:8" ht="18.75" hidden="1" x14ac:dyDescent="0.3">
      <c r="A81" s="178" t="s">
        <v>126</v>
      </c>
      <c r="B81" s="179"/>
      <c r="C81" s="179"/>
      <c r="D81" s="179"/>
      <c r="E81" s="179"/>
      <c r="F81" s="179"/>
      <c r="G81" s="179"/>
      <c r="H81" s="100">
        <v>0</v>
      </c>
    </row>
    <row r="82" spans="1:8" ht="45" customHeight="1" x14ac:dyDescent="0.3">
      <c r="A82" s="101"/>
      <c r="B82" s="101"/>
      <c r="C82" s="101"/>
      <c r="D82" s="101"/>
      <c r="E82" s="101"/>
      <c r="F82" s="101"/>
      <c r="G82" s="101"/>
      <c r="H82" s="102"/>
    </row>
    <row r="83" spans="1:8" x14ac:dyDescent="0.25">
      <c r="A83" s="6"/>
      <c r="B83" s="6"/>
      <c r="C83" s="6"/>
      <c r="D83" s="6"/>
      <c r="E83" s="6"/>
      <c r="F83" s="6"/>
      <c r="G83" s="6"/>
      <c r="H83" s="6"/>
    </row>
    <row r="84" spans="1:8" ht="18.75" x14ac:dyDescent="0.3">
      <c r="A84" s="201" t="s">
        <v>127</v>
      </c>
      <c r="B84" s="202"/>
      <c r="C84" s="202"/>
      <c r="D84" s="202"/>
      <c r="E84" s="202"/>
      <c r="F84" s="202"/>
      <c r="G84" s="202"/>
      <c r="H84" s="203"/>
    </row>
    <row r="85" spans="1:8" ht="18.75" x14ac:dyDescent="0.3">
      <c r="A85" s="103" t="s">
        <v>128</v>
      </c>
      <c r="B85" s="104"/>
      <c r="C85" s="104"/>
      <c r="D85" s="104"/>
      <c r="E85" s="104"/>
      <c r="F85" s="104"/>
      <c r="G85" s="104"/>
      <c r="H85" s="105">
        <v>-11568.140593531542</v>
      </c>
    </row>
    <row r="86" spans="1:8" x14ac:dyDescent="0.25">
      <c r="A86" s="8" t="s">
        <v>129</v>
      </c>
      <c r="B86" s="106"/>
      <c r="C86" s="106"/>
      <c r="D86" s="106"/>
      <c r="E86" s="106"/>
      <c r="F86" s="106"/>
      <c r="G86" s="106"/>
      <c r="H86" s="18">
        <f>Planilla!G43</f>
        <v>4887946</v>
      </c>
    </row>
    <row r="87" spans="1:8" x14ac:dyDescent="0.25">
      <c r="A87" s="107" t="s">
        <v>135</v>
      </c>
      <c r="B87" s="108"/>
      <c r="C87" s="108"/>
      <c r="D87" s="108"/>
      <c r="E87" s="108"/>
      <c r="F87" s="108"/>
      <c r="G87" s="108"/>
      <c r="H87" s="122">
        <f>-H80</f>
        <v>-4482071.49</v>
      </c>
    </row>
    <row r="88" spans="1:8" x14ac:dyDescent="0.25">
      <c r="A88" s="107" t="s">
        <v>130</v>
      </c>
      <c r="B88" s="108"/>
      <c r="C88" s="108"/>
      <c r="D88" s="108"/>
      <c r="E88" s="108"/>
      <c r="F88" s="108"/>
      <c r="G88" s="108"/>
      <c r="H88" s="31">
        <f>D103</f>
        <v>0</v>
      </c>
    </row>
    <row r="89" spans="1:8" x14ac:dyDescent="0.25">
      <c r="A89" s="107" t="s">
        <v>164</v>
      </c>
      <c r="B89" s="108"/>
      <c r="C89" s="108"/>
      <c r="D89" s="108"/>
      <c r="E89" s="108"/>
      <c r="F89" s="108"/>
      <c r="G89" s="108"/>
      <c r="H89" s="122">
        <v>-2874</v>
      </c>
    </row>
    <row r="90" spans="1:8" x14ac:dyDescent="0.25">
      <c r="A90" s="107" t="s">
        <v>151</v>
      </c>
      <c r="B90" s="109"/>
      <c r="C90" s="108"/>
      <c r="D90" s="108"/>
      <c r="E90" s="108"/>
      <c r="F90" s="108"/>
      <c r="G90" s="108"/>
      <c r="H90" s="130">
        <f>-H64</f>
        <v>0</v>
      </c>
    </row>
    <row r="91" spans="1:8" ht="18.75" x14ac:dyDescent="0.3">
      <c r="A91" s="110" t="s">
        <v>131</v>
      </c>
      <c r="B91" s="111"/>
      <c r="C91" s="111"/>
      <c r="D91" s="111"/>
      <c r="E91" s="111"/>
      <c r="F91" s="111"/>
      <c r="G91" s="111"/>
      <c r="H91" s="112">
        <f>SUM(H85:H90)</f>
        <v>391432.36940646823</v>
      </c>
    </row>
    <row r="92" spans="1:8" ht="15.75" thickBot="1" x14ac:dyDescent="0.3"/>
    <row r="93" spans="1:8" ht="16.5" thickBot="1" x14ac:dyDescent="0.3">
      <c r="A93" s="204" t="s">
        <v>132</v>
      </c>
      <c r="B93" s="205"/>
      <c r="C93" s="205"/>
      <c r="D93" s="205"/>
      <c r="E93" s="205"/>
      <c r="F93" s="205"/>
      <c r="G93" s="205"/>
      <c r="H93" s="206"/>
    </row>
    <row r="94" spans="1:8" ht="15.75" x14ac:dyDescent="0.25">
      <c r="A94" s="113" t="s">
        <v>128</v>
      </c>
      <c r="B94" s="113"/>
      <c r="C94" s="113"/>
      <c r="D94" s="113"/>
      <c r="E94" s="113"/>
      <c r="F94" s="113"/>
      <c r="G94" s="113"/>
      <c r="H94" s="114">
        <v>0</v>
      </c>
    </row>
    <row r="95" spans="1:8" x14ac:dyDescent="0.25">
      <c r="A95" s="6"/>
      <c r="B95" s="115"/>
      <c r="C95" s="108"/>
      <c r="D95" s="6"/>
      <c r="E95" s="6"/>
      <c r="F95" s="6"/>
      <c r="G95" s="6"/>
      <c r="H95" s="18"/>
    </row>
    <row r="96" spans="1:8" x14ac:dyDescent="0.25">
      <c r="A96" s="6"/>
      <c r="B96" s="116"/>
      <c r="C96" s="6"/>
      <c r="D96" s="6"/>
      <c r="E96" s="6"/>
      <c r="F96" s="6"/>
      <c r="G96" s="6"/>
      <c r="H96" s="18"/>
    </row>
    <row r="97" spans="1:8" x14ac:dyDescent="0.25">
      <c r="A97" s="6"/>
      <c r="B97" s="6"/>
      <c r="C97" s="6"/>
      <c r="D97" s="6"/>
      <c r="E97" s="6"/>
      <c r="F97" s="6"/>
      <c r="G97" s="6"/>
      <c r="H97" s="18"/>
    </row>
    <row r="98" spans="1:8" x14ac:dyDescent="0.25">
      <c r="A98" s="117" t="s">
        <v>131</v>
      </c>
      <c r="B98" s="117"/>
      <c r="C98" s="117"/>
      <c r="D98" s="117"/>
      <c r="E98" s="117"/>
      <c r="F98" s="117"/>
      <c r="G98" s="117"/>
      <c r="H98" s="118">
        <v>0</v>
      </c>
    </row>
    <row r="100" spans="1:8" x14ac:dyDescent="0.25">
      <c r="A100" s="124" t="s">
        <v>143</v>
      </c>
      <c r="B100" s="125"/>
      <c r="C100" s="125"/>
      <c r="D100" s="125"/>
    </row>
    <row r="101" spans="1:8" x14ac:dyDescent="0.25">
      <c r="A101" s="6"/>
      <c r="B101" s="6"/>
      <c r="C101" s="6"/>
      <c r="D101" s="18"/>
    </row>
    <row r="102" spans="1:8" x14ac:dyDescent="0.25">
      <c r="A102" s="6"/>
      <c r="B102" s="6"/>
      <c r="C102" s="6"/>
      <c r="D102" s="18"/>
    </row>
    <row r="103" spans="1:8" x14ac:dyDescent="0.25">
      <c r="A103" s="119" t="s">
        <v>100</v>
      </c>
      <c r="B103" s="125"/>
      <c r="C103" s="125"/>
      <c r="D103" s="135">
        <f>SUM(D101:D102)</f>
        <v>0</v>
      </c>
    </row>
    <row r="105" spans="1:8" ht="13.5" customHeight="1" x14ac:dyDescent="0.25">
      <c r="A105" s="124" t="s">
        <v>144</v>
      </c>
      <c r="B105" s="119"/>
      <c r="C105" s="119"/>
      <c r="D105" s="119"/>
    </row>
    <row r="106" spans="1:8" hidden="1" x14ac:dyDescent="0.25">
      <c r="A106" s="6"/>
      <c r="B106" s="99"/>
      <c r="C106" s="99"/>
      <c r="D106" s="121"/>
    </row>
    <row r="107" spans="1:8" hidden="1" x14ac:dyDescent="0.25">
      <c r="A107" s="6"/>
      <c r="B107" s="6"/>
      <c r="C107" s="6"/>
      <c r="D107" s="126"/>
    </row>
    <row r="108" spans="1:8" hidden="1" x14ac:dyDescent="0.25">
      <c r="A108" s="6"/>
      <c r="B108" s="6"/>
      <c r="C108" s="6"/>
      <c r="D108" s="126"/>
    </row>
    <row r="109" spans="1:8" x14ac:dyDescent="0.25">
      <c r="A109" s="6"/>
      <c r="B109" s="6"/>
      <c r="C109" s="6"/>
      <c r="D109" s="126"/>
    </row>
    <row r="110" spans="1:8" x14ac:dyDescent="0.25">
      <c r="A110" s="120" t="s">
        <v>100</v>
      </c>
      <c r="B110" s="120"/>
      <c r="C110" s="207">
        <f>SUM(D106:D109)</f>
        <v>0</v>
      </c>
      <c r="D110" s="208"/>
    </row>
  </sheetData>
  <mergeCells count="32">
    <mergeCell ref="J39:J40"/>
    <mergeCell ref="A84:H84"/>
    <mergeCell ref="A93:H93"/>
    <mergeCell ref="C110:D110"/>
    <mergeCell ref="A75:G75"/>
    <mergeCell ref="A66:G66"/>
    <mergeCell ref="A67:G67"/>
    <mergeCell ref="A69:G69"/>
    <mergeCell ref="A74:G74"/>
    <mergeCell ref="C44:D44"/>
    <mergeCell ref="A61:G61"/>
    <mergeCell ref="A76:G76"/>
    <mergeCell ref="A77:G77"/>
    <mergeCell ref="A78:G78"/>
    <mergeCell ref="A79:G79"/>
    <mergeCell ref="A80:G80"/>
    <mergeCell ref="A81:G81"/>
    <mergeCell ref="A29:H29"/>
    <mergeCell ref="D2:H2"/>
    <mergeCell ref="E3:H3"/>
    <mergeCell ref="A10:H10"/>
    <mergeCell ref="A12:H12"/>
    <mergeCell ref="A17:H17"/>
    <mergeCell ref="A22:H22"/>
    <mergeCell ref="A34:H34"/>
    <mergeCell ref="A42:H42"/>
    <mergeCell ref="A47:H47"/>
    <mergeCell ref="A51:H51"/>
    <mergeCell ref="A55:H55"/>
    <mergeCell ref="A40:G40"/>
    <mergeCell ref="A37:G37"/>
    <mergeCell ref="A38:G38"/>
  </mergeCells>
  <hyperlinks>
    <hyperlink ref="E4" r:id="rId1" xr:uid="{00000000-0004-0000-0100-000000000000}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Planilla</vt:lpstr>
      <vt:lpstr>Gastos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2025-08-11T16:25:46Z</cp:lastPrinted>
  <dcterms:created xsi:type="dcterms:W3CDTF">2024-08-02T14:44:36Z</dcterms:created>
  <dcterms:modified xsi:type="dcterms:W3CDTF">2025-09-05T17:03:12Z</dcterms:modified>
</cp:coreProperties>
</file>