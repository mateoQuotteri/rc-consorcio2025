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115\Junio\"/>
    </mc:Choice>
  </mc:AlternateContent>
  <xr:revisionPtr revIDLastSave="0" documentId="13_ncr:1_{7D039CD5-7FD4-4E8D-843F-DF1C916ED2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Gastos!$A$1:$H$118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H40" i="2" l="1"/>
  <c r="G39" i="1"/>
  <c r="G26" i="1" l="1"/>
  <c r="G9" i="1"/>
  <c r="G35" i="1"/>
  <c r="G25" i="1"/>
  <c r="G42" i="1"/>
  <c r="G29" i="1"/>
  <c r="G21" i="1"/>
  <c r="H46" i="2"/>
  <c r="H15" i="2"/>
  <c r="G16" i="1" l="1"/>
  <c r="B7" i="1" l="1"/>
  <c r="G40" i="1" l="1"/>
  <c r="G19" i="1" l="1"/>
  <c r="G37" i="1" l="1"/>
  <c r="G15" i="1"/>
  <c r="G12" i="1" l="1"/>
  <c r="G18" i="1"/>
  <c r="G41" i="1" l="1"/>
  <c r="G23" i="1" l="1"/>
  <c r="G36" i="1" l="1"/>
  <c r="G34" i="1"/>
  <c r="H28" i="2" l="1"/>
  <c r="D109" i="2"/>
  <c r="H95" i="2" s="1"/>
  <c r="G27" i="1" l="1"/>
  <c r="H69" i="2" l="1"/>
  <c r="H96" i="2" s="1"/>
  <c r="B24" i="2"/>
  <c r="B25" i="2" s="1"/>
  <c r="G13" i="1" l="1"/>
  <c r="G22" i="1"/>
  <c r="H9" i="1" l="1"/>
  <c r="C116" i="2" l="1"/>
  <c r="B5" i="1" l="1"/>
  <c r="J1" i="1"/>
  <c r="G1" i="1"/>
  <c r="H16" i="2" l="1"/>
  <c r="H59" i="2" l="1"/>
  <c r="H33" i="2" l="1"/>
  <c r="G30" i="1" l="1"/>
  <c r="H77" i="2" l="1"/>
  <c r="H79" i="2" s="1"/>
  <c r="H51" i="2"/>
  <c r="H55" i="2"/>
  <c r="H82" i="2" s="1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32" i="1" l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4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3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5" i="2" l="1"/>
  <c r="N17" i="1"/>
  <c r="O17" i="1" s="1"/>
  <c r="H83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94" i="2" l="1"/>
  <c r="H97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<sst xmlns="http://schemas.openxmlformats.org/spreadsheetml/2006/main" count="197" uniqueCount="183">
  <si>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</si>
  <si>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</si>
  <si>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</si>
  <si>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</si>
  <si>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</si>
  <si>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</si>
  <si>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</si>
  <si>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</si>
  <si>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</si>
  <si>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</si>
  <si>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</si>
  <si>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</si>
  <si>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</si>
  <si>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</si>
  <si>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</si>
  <si>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</si>
  <si>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</si>
  <si>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</si>
  <si>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</si>
  <si>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</si>
  <si>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</si>
  <si>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</si>
  <si>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</si>
  <si>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</si>
  <si>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</si>
  <si>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</si>
  <si>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</si>
  <si>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</si>
  <si>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</si>
  <si>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</si>
  <si>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</si>
  <si>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</si>
  <si>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</si>
  <si>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</si>
  <si>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</si>
  <si>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</si>
  <si>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</si>
  <si>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</si>
  <si>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</si>
  <si>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</si>
  <si>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</si>
  <si>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</si>
  <si>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</si>
  <si>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</si>
  <si>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</si>
  <si>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</si>
  <si>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</si>
  <si>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</si>
  <si>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</si>
  <si>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</si>
  <si>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</si>
  <si>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</si>
  <si>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</si>
  <si>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</si>
  <si>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</si>
  <si>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</si>
  <si>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</si>
  <si>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</si>
  <si>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</si>
  <si>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</si>
  <si>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</si>
  <si>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</si>
  <si>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</si>
  <si>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</si>
  <si>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</si>
  <si>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</si>
  <si>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</si>
  <si>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</si>
  <si>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</si>
  <si>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</si>
  <si>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</si>
  <si>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</si>
  <si>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</si>
  <si>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</si>
  <si>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</si>
  <si>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</si>
  <si>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</si>
  <si>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</si>
  <si>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</si>
  <si>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</si>
  <si>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</si>
  <si>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</si>
  <si>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</si>
  <si>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</si>
  <si>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</si>
  <si>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</si>
  <si>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</si>
  <si>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</si>
  <si>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</si>
  <si>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</si>
  <si>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</si>
  <si>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</si>
  <si>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</si>
  <si>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</si>
  <si>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</si>
  <si>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</si>
  <si>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</si>
  <si>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</si>
  <si>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</si>
  <si>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</si>
  <si>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</si>
  <si>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</si>
  <si>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</si>
  <si>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</si>
  <si>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</si>
  <si>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</si>
  <si>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</si>
  <si>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</si>
  <si>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</si>
  <si>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</si>
  <si>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</si>
  <si>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</si>
  <si>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</si>
  <si>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</si>
  <si>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</si>
  <si>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</si>
  <si>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</si>
  <si>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</si>
  <si>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</si>
  <si>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</si>
  <si>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</si>
  <si>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</si>
  <si>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</si>
  <si>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</si>
  <si>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</si>
  <si>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</si>
  <si>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</si>
  <si>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</si>
  <si>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</si>
  <si>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</si>
  <si>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</si>
  <si>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</si>
  <si>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</si>
  <si>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</si>
  <si>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</si>
  <si>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</si>
  <si>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</si>
  <si>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</si>
  <si>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</si>
  <si>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</si>
  <si>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</si>
  <si>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</si>
  <si>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</si>
  <si>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</si>
  <si>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</si>
  <si>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</si>
  <si>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</si>
  <si>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</si>
  <si>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</si>
  <si>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</si>
  <si>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</si>
  <si>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</si>
  <si>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</si>
  <si>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</si>
  <si>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</si>
  <si>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</si>
  <si>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</si>
  <si>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</si>
  <si>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</si>
  <si>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</si>
  <si>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</si>
  <si>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</si>
  <si>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>AUMENTADOS EN abri 2025</t>
  </si>
  <si>
    <t xml:space="preserve">Nazareno e Ivon Iriarte
</t>
  </si>
  <si>
    <t xml:space="preserve">SRA SILVIA REEMPLAZO </t>
  </si>
  <si>
    <t>Daniel Salgueiro</t>
  </si>
  <si>
    <t>Macarena perez ruiz</t>
  </si>
  <si>
    <t>VTO: 14/07</t>
  </si>
  <si>
    <t>PERIODO: JUNIO</t>
  </si>
  <si>
    <t>MES DE JUNIO</t>
  </si>
  <si>
    <t xml:space="preserve">Servisur 12/06 - Reconeccion circuito pulsadores y reemplazo de 6 de los mismos </t>
  </si>
  <si>
    <t>Fumigacion Lanus 09/06</t>
  </si>
  <si>
    <t>Debito 09/06</t>
  </si>
  <si>
    <t>Debito 13/06</t>
  </si>
  <si>
    <t>Impermeabilizacion interna tanque de reserva compartimiento cambio de dos tapas y marcos laterales - Limpieza y desinfeccion de tanques de agua potable -  cuota 2 de 4</t>
  </si>
  <si>
    <t>Casa monini - Compra de pulsadores y compra de teclas de luz</t>
  </si>
  <si>
    <t>Antonio Santillan - Gasista matriculado - Transferencia 02/06 y 05/06 - Arreglo perdida de gas 9A</t>
  </si>
  <si>
    <t>Imputacion de gasto incorrecta - Mes anterior - Destapacion Italoamericana - Mantenimiento de cañerias, repaso de camaras de cloacas, salida colectora AYSA</t>
  </si>
  <si>
    <t>Articulos de limpieza - Transf 11/06</t>
  </si>
  <si>
    <t>Sueldo encargada - Jimena Borges y SAC</t>
  </si>
  <si>
    <t>Servisur 27/05 - Reemplazo de tres lamparas en pasillos y en el 10A - Material y mano de obra</t>
  </si>
  <si>
    <t xml:space="preserve">Urbeco - Cambio de tapa y marco de tanques cisternas de vombeo </t>
  </si>
  <si>
    <t>macarena en febrero no le contamos un pago de 109277 , por lo que viene arrastrando una deuda inexistente, hay que corregirlo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</si>
</sst>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0.0"/>
    <numFmt numFmtId="169" formatCode="#,##0.0"/>
    <numFmt numFmtId="170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8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7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166" fontId="0" fillId="0" borderId="5" xfId="1" applyFont="1" applyBorder="1"/>
    <xf numFmtId="166" fontId="4" fillId="0" borderId="4" xfId="1" applyFont="1" applyBorder="1" applyAlignment="1">
      <alignment horizontal="left"/>
    </xf>
    <xf numFmtId="166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7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8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166" fontId="0" fillId="0" borderId="16" xfId="1" applyFont="1" applyBorder="1"/>
    <xf numFmtId="167" fontId="0" fillId="0" borderId="16" xfId="1" applyNumberFormat="1" applyFont="1" applyBorder="1"/>
    <xf numFmtId="166" fontId="0" fillId="0" borderId="16" xfId="0" applyNumberFormat="1" applyBorder="1"/>
    <xf numFmtId="166" fontId="0" fillId="0" borderId="10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169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7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166" fontId="0" fillId="0" borderId="19" xfId="1" applyFont="1" applyBorder="1"/>
    <xf numFmtId="167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166" fontId="0" fillId="2" borderId="20" xfId="1" applyFont="1" applyFill="1" applyBorder="1"/>
    <xf numFmtId="167" fontId="8" fillId="2" borderId="20" xfId="1" applyNumberFormat="1" applyFont="1" applyFill="1" applyBorder="1"/>
    <xf numFmtId="166" fontId="8" fillId="2" borderId="20" xfId="1" applyFont="1" applyFill="1" applyBorder="1"/>
    <xf numFmtId="167" fontId="0" fillId="2" borderId="20" xfId="1" applyNumberFormat="1" applyFont="1" applyFill="1" applyBorder="1"/>
    <xf numFmtId="0" fontId="0" fillId="0" borderId="20" xfId="0" applyBorder="1"/>
    <xf numFmtId="167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166" fontId="16" fillId="3" borderId="4" xfId="1" applyFont="1" applyFill="1" applyBorder="1"/>
    <xf numFmtId="166" fontId="0" fillId="0" borderId="0" xfId="0" applyNumberFormat="1"/>
    <xf numFmtId="166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166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166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166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166" fontId="28" fillId="2" borderId="4" xfId="0" applyNumberFormat="1" applyFont="1" applyFill="1" applyBorder="1"/>
    <xf numFmtId="166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166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166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165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165" fontId="26" fillId="3" borderId="4" xfId="1" applyNumberFormat="1" applyFont="1" applyFill="1" applyBorder="1"/>
    <xf numFmtId="0" fontId="0" fillId="7" borderId="16" xfId="0" applyFill="1" applyBorder="1"/>
    <xf numFmtId="166" fontId="23" fillId="7" borderId="16" xfId="1" applyFont="1" applyFill="1" applyBorder="1"/>
    <xf numFmtId="164" fontId="0" fillId="0" borderId="4" xfId="0" applyNumberFormat="1" applyBorder="1"/>
    <xf numFmtId="164" fontId="0" fillId="3" borderId="4" xfId="0" applyNumberFormat="1" applyFill="1" applyBorder="1"/>
    <xf numFmtId="0" fontId="0" fillId="7" borderId="4" xfId="0" applyFill="1" applyBorder="1"/>
    <xf numFmtId="166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166" fontId="3" fillId="0" borderId="4" xfId="1" applyFont="1" applyBorder="1"/>
    <xf numFmtId="167" fontId="16" fillId="0" borderId="4" xfId="1" applyNumberFormat="1" applyFont="1" applyBorder="1"/>
    <xf numFmtId="166" fontId="3" fillId="0" borderId="16" xfId="1" applyFont="1" applyBorder="1"/>
    <xf numFmtId="166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166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7" fontId="31" fillId="2" borderId="20" xfId="1" applyNumberFormat="1" applyFont="1" applyFill="1" applyBorder="1"/>
    <xf numFmtId="166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166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166" fontId="28" fillId="3" borderId="0" xfId="1" applyFont="1" applyFill="1" applyBorder="1"/>
    <xf numFmtId="166" fontId="30" fillId="2" borderId="25" xfId="0" applyNumberFormat="1" applyFont="1" applyFill="1" applyBorder="1"/>
    <xf numFmtId="166" fontId="30" fillId="2" borderId="29" xfId="0" applyNumberFormat="1" applyFont="1" applyFill="1" applyBorder="1"/>
    <xf numFmtId="166" fontId="30" fillId="2" borderId="30" xfId="0" applyNumberFormat="1" applyFont="1" applyFill="1" applyBorder="1"/>
    <xf numFmtId="166" fontId="30" fillId="2" borderId="33" xfId="0" applyNumberFormat="1" applyFont="1" applyFill="1" applyBorder="1"/>
    <xf numFmtId="167" fontId="32" fillId="2" borderId="20" xfId="1" applyNumberFormat="1" applyFont="1" applyFill="1" applyBorder="1"/>
    <xf numFmtId="0" fontId="4" fillId="0" borderId="5" xfId="0" applyFont="1" applyBorder="1"/>
    <xf numFmtId="166" fontId="5" fillId="0" borderId="5" xfId="1" applyFont="1" applyBorder="1" applyAlignment="1">
      <alignment horizontal="left"/>
    </xf>
    <xf numFmtId="167" fontId="4" fillId="0" borderId="17" xfId="1" applyNumberFormat="1" applyFont="1" applyBorder="1"/>
    <xf numFmtId="167" fontId="0" fillId="0" borderId="17" xfId="1" applyNumberFormat="1" applyFont="1" applyBorder="1"/>
    <xf numFmtId="43" fontId="0" fillId="0" borderId="0" xfId="0" applyNumberFormat="1"/>
    <xf numFmtId="167" fontId="16" fillId="3" borderId="16" xfId="1" applyNumberFormat="1" applyFont="1" applyFill="1" applyBorder="1"/>
    <xf numFmtId="167" fontId="16" fillId="3" borderId="4" xfId="1" applyNumberFormat="1" applyFont="1" applyFill="1" applyBorder="1"/>
    <xf numFmtId="167" fontId="16" fillId="3" borderId="19" xfId="1" applyNumberFormat="1" applyFont="1" applyFill="1" applyBorder="1"/>
    <xf numFmtId="170" fontId="16" fillId="0" borderId="4" xfId="0" applyNumberFormat="1" applyFont="1" applyBorder="1"/>
    <xf numFmtId="0" fontId="16" fillId="0" borderId="4" xfId="0" applyFont="1" applyBorder="1"/>
    <xf numFmtId="170" fontId="16" fillId="0" borderId="4" xfId="0" applyNumberFormat="1" applyFont="1" applyBorder="1" applyAlignment="1">
      <alignment vertical="center" wrapText="1"/>
    </xf>
    <xf numFmtId="170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166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0" fontId="0" fillId="3" borderId="0" xfId="0" applyFill="1" applyAlignment="1">
      <alignment horizont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7" xfId="1" applyNumberFormat="1" applyFont="1" applyBorder="1" applyAlignment="1">
      <alignment horizontal="center" vertical="center" wrapText="1"/>
    </xf>
    <xf numFmtId="167" fontId="4" fillId="0" borderId="38" xfId="1" applyNumberFormat="1" applyFont="1" applyBorder="1" applyAlignment="1">
      <alignment horizontal="center" vertical="center" wrapText="1"/>
    </xf>
    <xf numFmtId="167" fontId="4" fillId="0" borderId="0" xfId="1" applyNumberFormat="1" applyFont="1" applyBorder="1" applyAlignment="1">
      <alignment horizontal="center" vertical="center" wrapText="1"/>
    </xf>
    <xf numFmtId="167" fontId="4" fillId="0" borderId="39" xfId="1" applyNumberFormat="1" applyFont="1" applyBorder="1" applyAlignment="1">
      <alignment horizontal="center" vertical="center" wrapText="1"/>
    </xf>
    <xf numFmtId="167" fontId="4" fillId="0" borderId="40" xfId="1" applyNumberFormat="1" applyFont="1" applyBorder="1" applyAlignment="1">
      <alignment horizontal="center" vertical="center" wrapText="1"/>
    </xf>
    <xf numFmtId="167" fontId="4" fillId="0" borderId="41" xfId="1" applyNumberFormat="1" applyFont="1" applyBorder="1" applyAlignment="1">
      <alignment horizontal="center" vertical="center" wrapText="1"/>
    </xf>
    <xf numFmtId="167" fontId="4" fillId="0" borderId="42" xfId="1" applyNumberFormat="1" applyFont="1" applyBorder="1" applyAlignment="1">
      <alignment horizontal="center" vertical="center" wrapText="1"/>
    </xf>
    <xf numFmtId="166" fontId="11" fillId="0" borderId="4" xfId="1" applyFont="1" applyBorder="1" applyAlignment="1">
      <alignment horizont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166" fontId="2" fillId="8" borderId="5" xfId="0" applyNumberFormat="1" applyFont="1" applyFill="1" applyBorder="1" applyAlignment="1">
      <alignment horizontal="center"/>
    </xf>
    <xf numFmtId="166" fontId="2" fillId="8" borderId="17" xfId="0" applyNumberFormat="1" applyFont="1" applyFill="1" applyBorder="1" applyAlignment="1">
      <alignment horizontal="center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70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 vertical="center"/>
    </xf>
    <xf numFmtId="167" fontId="16" fillId="10" borderId="4" xfId="1" applyNumberFormat="1" applyFont="1" applyFill="1" applyBorder="1"/>
    <xf numFmtId="167" fontId="0" fillId="10" borderId="0" xfId="1" applyNumberFormat="1" applyFont="1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abSelected="1" topLeftCell="A28" zoomScaleNormal="100" workbookViewId="0">
      <selection activeCell="G45" sqref="G45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20.85546875" customWidth="1"/>
    <col min="4" max="4" width="7" customWidth="1"/>
    <col min="5" max="5" width="8.5703125" customWidth="1"/>
    <col min="6" max="6" width="14.28515625" style="70" customWidth="1"/>
    <col min="7" max="7" width="10.28515625" style="70" customWidth="1"/>
    <col min="8" max="8" width="11.5703125" style="70" customWidth="1"/>
    <col min="9" max="9" width="12.5703125" style="70" customWidth="1"/>
    <col min="10" max="10" width="10.85546875" style="70" customWidth="1"/>
    <col min="11" max="11" width="9" style="70" customWidth="1"/>
    <col min="12" max="12" width="14.5703125" customWidth="1"/>
    <col min="13" max="13" width="14.42578125" customWidth="1"/>
    <col min="14" max="14" width="16.28515625" bestFit="1" customWidth="1"/>
    <col min="15" max="15" width="16.28515625" customWidth="1"/>
  </cols>
  <sheetData>
    <row r="1" spans="1:16" ht="26.25" customHeight="1" x14ac:dyDescent="0.25">
      <c r="A1" s="1"/>
      <c r="B1" s="2"/>
      <c r="C1" s="2"/>
      <c r="D1" s="2"/>
      <c r="E1" s="3"/>
      <c r="F1" s="4"/>
      <c r="G1" s="3" t="str">
        <f>Gastos!C8</f>
        <v>PERIODO: JUNIO</v>
      </c>
      <c r="H1" s="3"/>
      <c r="I1" s="2"/>
      <c r="J1" s="3" t="str">
        <f>Gastos!G8</f>
        <v>VTO: 14/07</v>
      </c>
      <c r="K1" s="2"/>
      <c r="L1" s="2"/>
      <c r="M1" s="2"/>
      <c r="N1" s="2"/>
      <c r="O1" s="5"/>
    </row>
    <row r="2" spans="1:16" ht="15.75" thickBot="1" x14ac:dyDescent="0.3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25">
      <c r="A3" s="10"/>
      <c r="B3" s="11"/>
      <c r="C3" s="12">
        <v>5000000</v>
      </c>
      <c r="D3" s="8"/>
      <c r="E3" s="8"/>
      <c r="F3" s="170" t="s">
        <v>0</v>
      </c>
      <c r="G3" s="171"/>
      <c r="H3" s="171"/>
      <c r="I3" s="171"/>
      <c r="J3" s="172"/>
      <c r="K3" s="147"/>
      <c r="L3" s="6"/>
      <c r="M3" s="6"/>
      <c r="N3" s="6"/>
      <c r="O3" s="6"/>
    </row>
    <row r="4" spans="1:16" ht="18.75" customHeight="1" x14ac:dyDescent="0.25">
      <c r="A4" s="13"/>
      <c r="B4" s="14" t="s">
        <v>1</v>
      </c>
      <c r="C4" s="6"/>
      <c r="D4" s="8"/>
      <c r="E4" s="145"/>
      <c r="F4" s="173"/>
      <c r="G4" s="174"/>
      <c r="H4" s="174"/>
      <c r="I4" s="174"/>
      <c r="J4" s="175"/>
      <c r="K4" s="147"/>
      <c r="L4" s="6"/>
      <c r="M4" s="6"/>
      <c r="N4" s="6"/>
      <c r="O4" s="6"/>
    </row>
    <row r="5" spans="1:16" ht="15.75" customHeight="1" x14ac:dyDescent="0.25">
      <c r="A5" s="15"/>
      <c r="B5" s="179">
        <f>C3</f>
        <v>5000000</v>
      </c>
      <c r="C5" s="179"/>
      <c r="D5" s="16"/>
      <c r="E5" s="146">
        <v>0</v>
      </c>
      <c r="F5" s="173"/>
      <c r="G5" s="174"/>
      <c r="H5" s="174"/>
      <c r="I5" s="174"/>
      <c r="J5" s="175"/>
      <c r="K5" s="148"/>
      <c r="L5" s="6"/>
      <c r="M5" s="6"/>
      <c r="N5" s="6"/>
      <c r="O5" s="6"/>
    </row>
    <row r="6" spans="1:16" ht="15.75" customHeight="1" thickBot="1" x14ac:dyDescent="0.3">
      <c r="A6" s="15"/>
      <c r="B6" s="17" t="s">
        <v>2</v>
      </c>
      <c r="C6" s="18"/>
      <c r="D6" s="16"/>
      <c r="E6" s="145"/>
      <c r="F6" s="176"/>
      <c r="G6" s="177"/>
      <c r="H6" s="177"/>
      <c r="I6" s="177"/>
      <c r="J6" s="178"/>
      <c r="K6" s="148"/>
      <c r="L6" s="6"/>
      <c r="M6" s="6"/>
      <c r="N6" s="6"/>
      <c r="O6" s="6"/>
    </row>
    <row r="7" spans="1:16" ht="18.75" customHeight="1" x14ac:dyDescent="0.25">
      <c r="A7" s="15"/>
      <c r="B7" s="179">
        <f>C2</f>
        <v>0</v>
      </c>
      <c r="C7" s="179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25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50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25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51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25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127948.34067113716</v>
      </c>
      <c r="G11" s="151">
        <v>128000</v>
      </c>
      <c r="H11" s="32">
        <f t="shared" si="0"/>
        <v>0</v>
      </c>
      <c r="I11" s="32">
        <f t="shared" si="1"/>
        <v>0</v>
      </c>
      <c r="J11" s="32">
        <f t="shared" si="2"/>
        <v>51.659328862835537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127948.34067113716</v>
      </c>
      <c r="O11" s="35">
        <f t="shared" si="6"/>
        <v>130507.3074845599</v>
      </c>
    </row>
    <row r="12" spans="1:16" ht="15" customHeight="1" x14ac:dyDescent="0.25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51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25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51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25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138866.92475261347</v>
      </c>
      <c r="G14" s="151">
        <v>139000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25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51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25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51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25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288367.27175903256</v>
      </c>
      <c r="G17" s="151">
        <v>100000</v>
      </c>
      <c r="H17" s="32">
        <f t="shared" si="0"/>
        <v>188367.27175903256</v>
      </c>
      <c r="I17" s="32">
        <f t="shared" si="1"/>
        <v>5651.0181527709765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262018.28991180353</v>
      </c>
      <c r="O17" s="35">
        <f t="shared" si="6"/>
        <v>267258.6557100396</v>
      </c>
    </row>
    <row r="18" spans="1:15" ht="15" customHeight="1" x14ac:dyDescent="0.25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51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25">
      <c r="A19" s="36">
        <v>11</v>
      </c>
      <c r="B19" s="40" t="s">
        <v>36</v>
      </c>
      <c r="C19" s="39" t="s">
        <v>37</v>
      </c>
      <c r="D19" s="166" t="s">
        <v>163</v>
      </c>
      <c r="E19" s="30">
        <v>2.4899999999999999E-2</v>
      </c>
      <c r="F19" s="31">
        <v>124499.99999999999</v>
      </c>
      <c r="G19" s="151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25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167547.32772576308</v>
      </c>
      <c r="G20" s="151">
        <v>165000</v>
      </c>
      <c r="H20" s="32">
        <f t="shared" si="0"/>
        <v>2547.3277257630834</v>
      </c>
      <c r="I20" s="32">
        <f t="shared" si="1"/>
        <v>76.419831772892493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186123.747557536</v>
      </c>
      <c r="O20" s="35">
        <f t="shared" si="6"/>
        <v>189846.22250868671</v>
      </c>
    </row>
    <row r="21" spans="1:15" ht="15" customHeight="1" x14ac:dyDescent="0.25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136710</v>
      </c>
      <c r="G21" s="151">
        <f>F21</f>
        <v>136710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5" ht="15" customHeight="1" x14ac:dyDescent="0.25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51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25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51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25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230987.89310901312</v>
      </c>
      <c r="G24" s="151">
        <v>139500</v>
      </c>
      <c r="H24" s="32">
        <f t="shared" si="0"/>
        <v>91487.893109013123</v>
      </c>
      <c r="I24" s="32">
        <f t="shared" si="1"/>
        <v>2744.6367932703934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233732.52990228351</v>
      </c>
      <c r="O24" s="35">
        <f t="shared" si="6"/>
        <v>238407.18050032918</v>
      </c>
    </row>
    <row r="25" spans="1:15" s="52" customFormat="1" ht="15.75" customHeight="1" x14ac:dyDescent="0.35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122060.77512699997</v>
      </c>
      <c r="G25" s="151">
        <f>122061</f>
        <v>122061</v>
      </c>
      <c r="H25" s="32">
        <f t="shared" si="0"/>
        <v>0</v>
      </c>
      <c r="I25" s="32">
        <f t="shared" si="1"/>
        <v>0</v>
      </c>
      <c r="J25" s="32">
        <f t="shared" si="2"/>
        <v>0.22487300002831034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124499.77512699996</v>
      </c>
      <c r="O25" s="35">
        <f t="shared" si="6"/>
        <v>126989.77062953995</v>
      </c>
    </row>
    <row r="26" spans="1:15" ht="15" customHeight="1" x14ac:dyDescent="0.25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179516.58835500007</v>
      </c>
      <c r="G26" s="151">
        <f>F26</f>
        <v>179516.58835500007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25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51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25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119333.61747973312</v>
      </c>
      <c r="G28" s="151"/>
      <c r="H28" s="54">
        <f t="shared" si="0"/>
        <v>119333.61747973312</v>
      </c>
      <c r="I28" s="32">
        <f t="shared" si="1"/>
        <v>3580.0085243919934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247413.62600412511</v>
      </c>
      <c r="O28" s="35">
        <f t="shared" si="6"/>
        <v>252361.89852420762</v>
      </c>
    </row>
    <row r="29" spans="1:15" ht="15" customHeight="1" x14ac:dyDescent="0.25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179000.00000000006</v>
      </c>
      <c r="G29" s="151">
        <f>F29</f>
        <v>179000.00000000006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25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51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25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390587.31552705751</v>
      </c>
      <c r="G31" s="151"/>
      <c r="H31" s="32">
        <f t="shared" si="0"/>
        <v>390587.31552705751</v>
      </c>
      <c r="I31" s="32">
        <f t="shared" si="1"/>
        <v>11717.619465811726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526804.93499286915</v>
      </c>
      <c r="O31" s="35">
        <f t="shared" si="6"/>
        <v>537341.03369272652</v>
      </c>
    </row>
    <row r="32" spans="1:15" ht="15.75" x14ac:dyDescent="0.25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474834.42272649496</v>
      </c>
      <c r="G32" s="151"/>
      <c r="H32" s="32">
        <f t="shared" si="0"/>
        <v>474834.42272649496</v>
      </c>
      <c r="I32" s="32">
        <f t="shared" si="1"/>
        <v>14245.032681794848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672579.4554082898</v>
      </c>
      <c r="O32" s="35">
        <f t="shared" si="6"/>
        <v>686031.04451645561</v>
      </c>
    </row>
    <row r="33" spans="1:16" ht="15.75" x14ac:dyDescent="0.25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7">
        <v>130777.73864328716</v>
      </c>
      <c r="G33" s="151">
        <v>135000</v>
      </c>
      <c r="H33" s="32">
        <f t="shared" si="0"/>
        <v>0</v>
      </c>
      <c r="I33" s="32">
        <f t="shared" si="1"/>
        <v>0</v>
      </c>
      <c r="J33" s="32">
        <f t="shared" si="2"/>
        <v>4222.2613567128428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135277.73864328716</v>
      </c>
      <c r="O33" s="35">
        <f t="shared" si="6"/>
        <v>137983.29341615291</v>
      </c>
    </row>
    <row r="34" spans="1:16" ht="15.75" x14ac:dyDescent="0.25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22">
        <f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75" x14ac:dyDescent="0.25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183500.08858581958</v>
      </c>
      <c r="G35" s="151">
        <f>F35</f>
        <v>183500.08858581958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75" x14ac:dyDescent="0.25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22">
        <f>F36</f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75" x14ac:dyDescent="0.25">
      <c r="A37" s="6">
        <f t="shared" si="8"/>
        <v>29</v>
      </c>
      <c r="B37" s="55" t="s">
        <v>75</v>
      </c>
      <c r="C37" s="56" t="s">
        <v>76</v>
      </c>
      <c r="D37" s="6" t="s">
        <v>165</v>
      </c>
      <c r="E37" s="30">
        <v>2.4899999999999999E-2</v>
      </c>
      <c r="F37" s="18">
        <v>124499.99999999999</v>
      </c>
      <c r="G37" s="122">
        <f>F37</f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75" x14ac:dyDescent="0.25">
      <c r="A38" s="6">
        <f t="shared" si="8"/>
        <v>30</v>
      </c>
      <c r="B38" s="55" t="s">
        <v>77</v>
      </c>
      <c r="C38" s="56" t="s">
        <v>78</v>
      </c>
      <c r="D38" s="6" t="s">
        <v>166</v>
      </c>
      <c r="E38" s="30">
        <v>2.1499999999999998E-2</v>
      </c>
      <c r="F38" s="18">
        <v>344673.7297766995</v>
      </c>
      <c r="G38" s="236">
        <v>107500</v>
      </c>
      <c r="H38" s="32">
        <f t="shared" si="0"/>
        <v>237173.7297766995</v>
      </c>
      <c r="I38" s="32">
        <f t="shared" si="1"/>
        <v>7115.2118933009851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351788.94167000049</v>
      </c>
      <c r="O38" s="35">
        <f t="shared" si="6"/>
        <v>358824.72050340049</v>
      </c>
    </row>
    <row r="39" spans="1:16" ht="15.75" x14ac:dyDescent="0.25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22">
        <f>F39</f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75" x14ac:dyDescent="0.25">
      <c r="A40" s="6">
        <f t="shared" si="8"/>
        <v>32</v>
      </c>
      <c r="B40" s="55" t="s">
        <v>82</v>
      </c>
      <c r="C40" s="56" t="s">
        <v>83</v>
      </c>
      <c r="D40" s="6"/>
      <c r="E40" s="30">
        <v>2.7900000000000001E-2</v>
      </c>
      <c r="F40" s="18">
        <v>139500</v>
      </c>
      <c r="G40" s="122">
        <f>F40</f>
        <v>139500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75" x14ac:dyDescent="0.25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22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5" thickBot="1" x14ac:dyDescent="0.3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183500.43615587871</v>
      </c>
      <c r="G42" s="152">
        <f>F42</f>
        <v>183500.43615587871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.75" thickBot="1" x14ac:dyDescent="0.3">
      <c r="A43" s="62"/>
      <c r="B43" s="62"/>
      <c r="C43" s="63"/>
      <c r="D43" s="63"/>
      <c r="E43" s="64">
        <f>SUM(E9:E42)</f>
        <v>1.0035000000000001</v>
      </c>
      <c r="F43" s="65">
        <f>SUM(F9:F42)</f>
        <v>6081442.4703945303</v>
      </c>
      <c r="G43" s="144">
        <f t="shared" ref="G43:N43" si="9">SUM(G9:G42)</f>
        <v>4581518.1130966982</v>
      </c>
      <c r="H43" s="66">
        <f t="shared" si="9"/>
        <v>1504331.578103794</v>
      </c>
      <c r="I43" s="67">
        <f t="shared" si="9"/>
        <v>45129.94734311381</v>
      </c>
      <c r="J43" s="68">
        <f t="shared" si="9"/>
        <v>4407.2208059622353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6562554.304640945</v>
      </c>
      <c r="O43" s="65"/>
      <c r="P43" s="69"/>
    </row>
    <row r="45" spans="1:16" x14ac:dyDescent="0.25">
      <c r="G45" s="237" t="s">
        <v>182</v>
      </c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6"/>
  <sheetViews>
    <sheetView topLeftCell="A34" workbookViewId="0">
      <selection activeCell="H45" sqref="H45"/>
    </sheetView>
  </sheetViews>
  <sheetFormatPr baseColWidth="10" defaultRowHeight="15" x14ac:dyDescent="0.25"/>
  <cols>
    <col min="1" max="1" width="18.7109375" customWidth="1"/>
    <col min="2" max="2" width="14.28515625" customWidth="1"/>
    <col min="3" max="3" width="13.5703125" customWidth="1"/>
    <col min="4" max="4" width="24.5703125" customWidth="1"/>
    <col min="5" max="5" width="17.28515625" customWidth="1"/>
    <col min="6" max="6" width="15.7109375" customWidth="1"/>
    <col min="8" max="8" width="25.42578125" customWidth="1"/>
    <col min="9" max="9" width="15.5703125" bestFit="1" customWidth="1"/>
    <col min="10" max="11" width="14.5703125" bestFit="1" customWidth="1"/>
  </cols>
  <sheetData>
    <row r="1" spans="1:9" x14ac:dyDescent="0.25">
      <c r="A1" s="71"/>
      <c r="B1" s="72"/>
      <c r="C1" s="72"/>
      <c r="D1" s="72"/>
      <c r="E1" s="72"/>
      <c r="F1" s="72"/>
      <c r="G1" s="72"/>
      <c r="H1" s="73"/>
    </row>
    <row r="2" spans="1:9" ht="15.75" x14ac:dyDescent="0.25">
      <c r="A2" s="38"/>
      <c r="D2" s="222"/>
      <c r="E2" s="223"/>
      <c r="F2" s="223"/>
      <c r="G2" s="223"/>
      <c r="H2" s="224"/>
    </row>
    <row r="3" spans="1:9" x14ac:dyDescent="0.25">
      <c r="A3" s="38"/>
      <c r="D3" s="74" t="s">
        <v>88</v>
      </c>
      <c r="E3" s="225" t="s">
        <v>89</v>
      </c>
      <c r="F3" s="225"/>
      <c r="G3" s="225"/>
      <c r="H3" s="226"/>
    </row>
    <row r="4" spans="1:9" x14ac:dyDescent="0.25">
      <c r="A4" s="38"/>
      <c r="D4" s="74" t="s">
        <v>90</v>
      </c>
      <c r="E4" s="75" t="s">
        <v>91</v>
      </c>
      <c r="H4" s="76"/>
    </row>
    <row r="5" spans="1:9" x14ac:dyDescent="0.25">
      <c r="A5" s="38"/>
      <c r="D5" s="74" t="s">
        <v>92</v>
      </c>
      <c r="E5" s="77">
        <v>27231256879</v>
      </c>
      <c r="H5" s="76"/>
    </row>
    <row r="6" spans="1:9" x14ac:dyDescent="0.25">
      <c r="A6" s="38"/>
      <c r="D6" s="74" t="s">
        <v>93</v>
      </c>
      <c r="G6" t="s">
        <v>94</v>
      </c>
      <c r="H6" s="76"/>
    </row>
    <row r="7" spans="1:9" x14ac:dyDescent="0.25">
      <c r="A7" s="38"/>
      <c r="D7" s="74" t="s">
        <v>95</v>
      </c>
      <c r="H7" s="76"/>
    </row>
    <row r="8" spans="1:9" ht="18.75" x14ac:dyDescent="0.3">
      <c r="A8" s="78" t="s">
        <v>96</v>
      </c>
      <c r="B8" s="79"/>
      <c r="C8" s="79" t="s">
        <v>168</v>
      </c>
      <c r="D8" s="79"/>
      <c r="E8" s="79"/>
      <c r="F8" s="80"/>
      <c r="G8" s="79" t="s">
        <v>167</v>
      </c>
      <c r="H8" s="81"/>
    </row>
    <row r="9" spans="1:9" x14ac:dyDescent="0.25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25">
      <c r="A10" s="227" t="s">
        <v>98</v>
      </c>
      <c r="B10" s="228"/>
      <c r="C10" s="228"/>
      <c r="D10" s="228"/>
      <c r="E10" s="228"/>
      <c r="F10" s="228"/>
      <c r="G10" s="228"/>
      <c r="H10" s="229"/>
    </row>
    <row r="11" spans="1:9" x14ac:dyDescent="0.25">
      <c r="A11" s="14"/>
      <c r="B11" s="6"/>
      <c r="C11" s="6"/>
      <c r="D11" s="6"/>
      <c r="E11" s="14"/>
      <c r="F11" s="6"/>
      <c r="G11" s="6"/>
      <c r="H11" s="6"/>
    </row>
    <row r="12" spans="1:9" ht="15.75" x14ac:dyDescent="0.25">
      <c r="A12" s="230" t="s">
        <v>99</v>
      </c>
      <c r="B12" s="230"/>
      <c r="C12" s="230"/>
      <c r="D12" s="230"/>
      <c r="E12" s="230"/>
      <c r="F12" s="230"/>
      <c r="G12" s="230"/>
      <c r="H12" s="230"/>
    </row>
    <row r="13" spans="1:9" x14ac:dyDescent="0.25">
      <c r="A13" s="153" t="s">
        <v>179</v>
      </c>
      <c r="B13" s="154"/>
      <c r="C13" s="154"/>
      <c r="D13" s="154"/>
      <c r="E13" s="154"/>
      <c r="F13" s="154"/>
      <c r="G13" s="154"/>
      <c r="H13" s="82">
        <v>1552501</v>
      </c>
    </row>
    <row r="14" spans="1:9" x14ac:dyDescent="0.25">
      <c r="A14" s="153" t="s">
        <v>143</v>
      </c>
      <c r="B14" s="154"/>
      <c r="C14" s="154"/>
      <c r="D14" s="154"/>
      <c r="E14" s="154"/>
      <c r="F14" s="154"/>
      <c r="G14" s="154"/>
      <c r="H14" s="82">
        <v>0.97</v>
      </c>
    </row>
    <row r="15" spans="1:9" x14ac:dyDescent="0.25">
      <c r="A15" s="155" t="s">
        <v>101</v>
      </c>
      <c r="B15" s="155"/>
      <c r="C15" s="155"/>
      <c r="D15" s="155"/>
      <c r="E15" s="155"/>
      <c r="F15" s="155"/>
      <c r="G15" s="155"/>
      <c r="H15" s="82">
        <f>-337668.97</f>
        <v>-337668.97</v>
      </c>
    </row>
    <row r="16" spans="1:9" ht="14.25" customHeight="1" x14ac:dyDescent="0.25">
      <c r="A16" s="156" t="s">
        <v>100</v>
      </c>
      <c r="B16" s="157"/>
      <c r="C16" s="157"/>
      <c r="D16" s="157"/>
      <c r="E16" s="157"/>
      <c r="F16" s="157"/>
      <c r="G16" s="157"/>
      <c r="H16" s="84">
        <f>SUM(H13:H15)</f>
        <v>1214833</v>
      </c>
      <c r="I16" s="83"/>
    </row>
    <row r="17" spans="1:9" ht="15.75" hidden="1" x14ac:dyDescent="0.25">
      <c r="A17" s="231" t="s">
        <v>164</v>
      </c>
      <c r="B17" s="231"/>
      <c r="C17" s="231"/>
      <c r="D17" s="231"/>
      <c r="E17" s="231"/>
      <c r="F17" s="231"/>
      <c r="G17" s="231"/>
      <c r="H17" s="231"/>
    </row>
    <row r="18" spans="1:9" hidden="1" x14ac:dyDescent="0.25">
      <c r="A18" s="85" t="s">
        <v>160</v>
      </c>
      <c r="B18" s="154"/>
      <c r="C18" s="154"/>
      <c r="D18" s="154"/>
      <c r="E18" s="154"/>
      <c r="F18" s="154"/>
      <c r="G18" s="154"/>
      <c r="H18" s="82"/>
    </row>
    <row r="19" spans="1:9" hidden="1" x14ac:dyDescent="0.25">
      <c r="A19" s="85" t="s">
        <v>159</v>
      </c>
      <c r="B19" s="154"/>
      <c r="C19" s="154"/>
      <c r="D19" s="154"/>
      <c r="E19" s="154"/>
      <c r="F19" s="154"/>
      <c r="G19" s="154"/>
      <c r="H19" s="82"/>
    </row>
    <row r="20" spans="1:9" hidden="1" x14ac:dyDescent="0.25">
      <c r="A20" s="154"/>
      <c r="B20" s="154"/>
      <c r="C20" s="154"/>
      <c r="D20" s="154"/>
      <c r="E20" s="154"/>
      <c r="F20" s="154"/>
      <c r="G20" s="154"/>
      <c r="H20" s="82"/>
    </row>
    <row r="21" spans="1:9" hidden="1" x14ac:dyDescent="0.25">
      <c r="A21" s="154" t="s">
        <v>102</v>
      </c>
      <c r="B21" s="154"/>
      <c r="C21" s="154"/>
      <c r="D21" s="154"/>
      <c r="E21" s="154"/>
      <c r="F21" s="154"/>
      <c r="G21" s="154"/>
      <c r="H21" s="82">
        <f>SUM(H18:H20)</f>
        <v>0</v>
      </c>
    </row>
    <row r="22" spans="1:9" ht="15.75" x14ac:dyDescent="0.25">
      <c r="A22" s="231" t="s">
        <v>103</v>
      </c>
      <c r="B22" s="231"/>
      <c r="C22" s="231"/>
      <c r="D22" s="231"/>
      <c r="E22" s="231"/>
      <c r="F22" s="231"/>
      <c r="G22" s="231"/>
      <c r="H22" s="231"/>
    </row>
    <row r="23" spans="1:9" ht="16.5" customHeight="1" x14ac:dyDescent="0.25">
      <c r="A23" s="153" t="s">
        <v>104</v>
      </c>
      <c r="B23" s="158" t="s">
        <v>173</v>
      </c>
      <c r="C23" s="158"/>
      <c r="D23" s="158"/>
      <c r="E23" s="158"/>
      <c r="F23" s="158"/>
      <c r="G23" s="154"/>
      <c r="H23" s="82">
        <v>94123.39</v>
      </c>
    </row>
    <row r="24" spans="1:9" x14ac:dyDescent="0.25">
      <c r="A24" s="153" t="s">
        <v>151</v>
      </c>
      <c r="B24" s="154" t="str">
        <f>B23</f>
        <v>Debito 13/06</v>
      </c>
      <c r="C24" s="158"/>
      <c r="D24" s="158"/>
      <c r="E24" s="158"/>
      <c r="F24" s="158"/>
      <c r="G24" s="154"/>
      <c r="H24" s="82">
        <v>48546.96</v>
      </c>
    </row>
    <row r="25" spans="1:9" x14ac:dyDescent="0.25">
      <c r="A25" s="153" t="s">
        <v>105</v>
      </c>
      <c r="B25" s="154" t="str">
        <f>B24</f>
        <v>Debito 13/06</v>
      </c>
      <c r="C25" s="158"/>
      <c r="D25" s="158"/>
      <c r="E25" s="158"/>
      <c r="F25" s="158"/>
      <c r="G25" s="154"/>
      <c r="H25" s="82">
        <v>5394.11</v>
      </c>
    </row>
    <row r="26" spans="1:9" x14ac:dyDescent="0.25">
      <c r="A26" s="153" t="s">
        <v>157</v>
      </c>
      <c r="B26" s="154" t="s">
        <v>172</v>
      </c>
      <c r="C26" s="158"/>
      <c r="D26" s="158"/>
      <c r="E26" s="158"/>
      <c r="F26" s="158"/>
      <c r="G26" s="154"/>
      <c r="H26" s="82">
        <v>496397.21</v>
      </c>
    </row>
    <row r="27" spans="1:9" x14ac:dyDescent="0.25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25">
      <c r="A28" s="157" t="s">
        <v>106</v>
      </c>
      <c r="B28" s="157"/>
      <c r="C28" s="157"/>
      <c r="D28" s="157"/>
      <c r="E28" s="157"/>
      <c r="F28" s="157"/>
      <c r="G28" s="157"/>
      <c r="H28" s="84">
        <f>SUM(H23:H27)</f>
        <v>644461.67000000004</v>
      </c>
    </row>
    <row r="29" spans="1:9" ht="15.75" x14ac:dyDescent="0.25">
      <c r="A29" s="221" t="s">
        <v>107</v>
      </c>
      <c r="B29" s="221"/>
      <c r="C29" s="221"/>
      <c r="D29" s="221"/>
      <c r="E29" s="221"/>
      <c r="F29" s="221"/>
      <c r="G29" s="221"/>
      <c r="H29" s="221"/>
    </row>
    <row r="30" spans="1:9" x14ac:dyDescent="0.25">
      <c r="A30" s="154" t="s">
        <v>108</v>
      </c>
      <c r="B30" s="154"/>
      <c r="C30" s="154"/>
      <c r="D30" s="154"/>
      <c r="E30" s="154"/>
      <c r="F30" s="154"/>
      <c r="G30" s="154"/>
      <c r="H30" s="82">
        <v>4128.4799999999996</v>
      </c>
    </row>
    <row r="31" spans="1:9" x14ac:dyDescent="0.25">
      <c r="A31" s="154" t="s">
        <v>109</v>
      </c>
      <c r="B31" s="154" t="s">
        <v>110</v>
      </c>
      <c r="C31" s="154"/>
      <c r="D31" s="154"/>
      <c r="E31" s="154"/>
      <c r="F31" s="154"/>
      <c r="G31" s="154"/>
      <c r="H31" s="82">
        <v>1229017.1599999999</v>
      </c>
      <c r="I31" s="87"/>
    </row>
    <row r="32" spans="1:9" x14ac:dyDescent="0.25">
      <c r="A32" s="159" t="s">
        <v>111</v>
      </c>
      <c r="B32" s="154" t="s">
        <v>112</v>
      </c>
      <c r="C32" s="154"/>
      <c r="D32" s="154"/>
      <c r="E32" s="154"/>
      <c r="F32" s="154"/>
      <c r="G32" s="154"/>
      <c r="H32" s="82">
        <v>189273</v>
      </c>
    </row>
    <row r="33" spans="1:10" x14ac:dyDescent="0.25">
      <c r="A33" s="157" t="s">
        <v>100</v>
      </c>
      <c r="B33" s="157"/>
      <c r="C33" s="157"/>
      <c r="D33" s="157"/>
      <c r="E33" s="157"/>
      <c r="F33" s="157"/>
      <c r="G33" s="157"/>
      <c r="H33" s="160">
        <f>SUM(H30:H32)</f>
        <v>1422418.64</v>
      </c>
    </row>
    <row r="34" spans="1:10" ht="15" customHeight="1" x14ac:dyDescent="0.25">
      <c r="A34" s="221" t="s">
        <v>113</v>
      </c>
      <c r="B34" s="221"/>
      <c r="C34" s="221"/>
      <c r="D34" s="221"/>
      <c r="E34" s="221"/>
      <c r="F34" s="221"/>
      <c r="G34" s="221"/>
      <c r="H34" s="221"/>
    </row>
    <row r="35" spans="1:10" hidden="1" x14ac:dyDescent="0.25">
      <c r="A35" s="85"/>
      <c r="B35" s="161"/>
      <c r="C35" s="154"/>
      <c r="D35" s="154"/>
      <c r="E35" s="154"/>
      <c r="F35" s="154"/>
      <c r="G35" s="154"/>
      <c r="H35" s="82"/>
    </row>
    <row r="36" spans="1:10" x14ac:dyDescent="0.25">
      <c r="A36" s="85" t="s">
        <v>158</v>
      </c>
      <c r="B36" s="161"/>
      <c r="C36" s="154"/>
      <c r="D36" s="154"/>
      <c r="E36" s="154"/>
      <c r="F36" s="154"/>
      <c r="G36" s="154"/>
      <c r="H36" s="82">
        <v>140000</v>
      </c>
    </row>
    <row r="37" spans="1:10" x14ac:dyDescent="0.25">
      <c r="A37" s="85" t="s">
        <v>171</v>
      </c>
      <c r="B37" s="162"/>
      <c r="C37" s="85"/>
      <c r="D37" s="85"/>
      <c r="E37" s="85"/>
      <c r="F37" s="85"/>
      <c r="G37" s="85"/>
      <c r="H37" s="82">
        <v>40000</v>
      </c>
      <c r="J37" s="87"/>
    </row>
    <row r="38" spans="1:10" ht="40.5" customHeight="1" x14ac:dyDescent="0.25">
      <c r="A38" s="180" t="s">
        <v>177</v>
      </c>
      <c r="B38" s="181"/>
      <c r="C38" s="181"/>
      <c r="D38" s="181"/>
      <c r="E38" s="181"/>
      <c r="F38" s="181"/>
      <c r="G38" s="182"/>
      <c r="H38" s="82">
        <v>-58000</v>
      </c>
    </row>
    <row r="39" spans="1:10" x14ac:dyDescent="0.25">
      <c r="A39" s="85" t="s">
        <v>178</v>
      </c>
      <c r="B39" s="161"/>
      <c r="C39" s="154"/>
      <c r="D39" s="154"/>
      <c r="E39" s="154"/>
      <c r="F39" s="154"/>
      <c r="G39" s="154"/>
      <c r="H39" s="82">
        <v>53150</v>
      </c>
      <c r="I39" s="149"/>
      <c r="J39" s="183"/>
    </row>
    <row r="40" spans="1:10" ht="38.450000000000003" customHeight="1" x14ac:dyDescent="0.25">
      <c r="A40" s="180" t="s">
        <v>174</v>
      </c>
      <c r="B40" s="181"/>
      <c r="C40" s="181"/>
      <c r="D40" s="181"/>
      <c r="E40" s="181"/>
      <c r="F40" s="181"/>
      <c r="G40" s="182"/>
      <c r="H40" s="82">
        <f>500000+245000</f>
        <v>745000</v>
      </c>
      <c r="J40" s="183"/>
    </row>
    <row r="41" spans="1:10" ht="38.450000000000003" customHeight="1" x14ac:dyDescent="0.25">
      <c r="A41" s="96" t="s">
        <v>181</v>
      </c>
      <c r="B41" s="168"/>
      <c r="C41" s="168"/>
      <c r="D41" s="168"/>
      <c r="E41" s="168"/>
      <c r="F41" s="168"/>
      <c r="G41" s="169"/>
      <c r="H41" s="82">
        <v>500000</v>
      </c>
      <c r="J41" s="183"/>
    </row>
    <row r="42" spans="1:10" ht="38.450000000000003" customHeight="1" x14ac:dyDescent="0.25">
      <c r="A42" s="96" t="s">
        <v>176</v>
      </c>
      <c r="B42" s="168"/>
      <c r="C42" s="168"/>
      <c r="D42" s="168"/>
      <c r="E42" s="168"/>
      <c r="F42" s="168"/>
      <c r="G42" s="169"/>
      <c r="H42" s="82">
        <v>1200000</v>
      </c>
      <c r="J42" s="183"/>
    </row>
    <row r="43" spans="1:10" x14ac:dyDescent="0.25">
      <c r="A43" s="85" t="s">
        <v>170</v>
      </c>
      <c r="B43" s="161"/>
      <c r="C43" s="154"/>
      <c r="D43" s="154"/>
      <c r="E43" s="154"/>
      <c r="F43" s="154"/>
      <c r="G43" s="154"/>
      <c r="H43" s="82">
        <v>160000</v>
      </c>
      <c r="J43" s="183"/>
    </row>
    <row r="44" spans="1:10" x14ac:dyDescent="0.25">
      <c r="A44" s="85" t="s">
        <v>180</v>
      </c>
      <c r="B44" s="161"/>
      <c r="C44" s="154"/>
      <c r="D44" s="154"/>
      <c r="E44" s="154"/>
      <c r="F44" s="154"/>
      <c r="G44" s="154"/>
      <c r="H44" s="82">
        <v>57535</v>
      </c>
      <c r="J44" s="167"/>
    </row>
    <row r="45" spans="1:10" x14ac:dyDescent="0.25">
      <c r="A45" s="85" t="s">
        <v>175</v>
      </c>
      <c r="B45" s="161"/>
      <c r="C45" s="154"/>
      <c r="D45" s="154"/>
      <c r="E45" s="154"/>
      <c r="F45" s="154"/>
      <c r="G45" s="154"/>
      <c r="H45" s="82">
        <v>156892.12</v>
      </c>
      <c r="I45" s="149"/>
    </row>
    <row r="46" spans="1:10" x14ac:dyDescent="0.25">
      <c r="A46" s="154" t="s">
        <v>100</v>
      </c>
      <c r="B46" s="154"/>
      <c r="C46" s="154"/>
      <c r="D46" s="154"/>
      <c r="E46" s="154"/>
      <c r="F46" s="154"/>
      <c r="G46" s="154"/>
      <c r="H46" s="84">
        <f>SUM(H35:H45)</f>
        <v>2994577.12</v>
      </c>
    </row>
    <row r="47" spans="1:10" ht="15.75" x14ac:dyDescent="0.25">
      <c r="A47" s="221" t="s">
        <v>114</v>
      </c>
      <c r="B47" s="221"/>
      <c r="C47" s="221"/>
      <c r="D47" s="221"/>
      <c r="E47" s="221"/>
      <c r="F47" s="221"/>
      <c r="G47" s="221"/>
      <c r="H47" s="221"/>
    </row>
    <row r="48" spans="1:10" x14ac:dyDescent="0.25">
      <c r="A48" s="154" t="s">
        <v>115</v>
      </c>
      <c r="B48" s="154"/>
      <c r="C48" s="154" t="s">
        <v>169</v>
      </c>
      <c r="D48" s="163"/>
      <c r="E48" s="154"/>
      <c r="F48" s="154"/>
      <c r="G48" s="154"/>
      <c r="H48" s="82">
        <v>250000</v>
      </c>
      <c r="J48" t="s">
        <v>162</v>
      </c>
    </row>
    <row r="49" spans="1:11" ht="16.5" customHeight="1" x14ac:dyDescent="0.25">
      <c r="A49" s="164" t="s">
        <v>147</v>
      </c>
      <c r="B49" s="154"/>
      <c r="C49" s="201"/>
      <c r="D49" s="202"/>
      <c r="E49" s="165"/>
      <c r="F49" s="158"/>
      <c r="G49" s="154"/>
      <c r="H49" s="82">
        <v>28000</v>
      </c>
    </row>
    <row r="50" spans="1:11" x14ac:dyDescent="0.25">
      <c r="A50" s="154"/>
      <c r="B50" s="154"/>
      <c r="C50" s="158"/>
      <c r="D50" s="158"/>
      <c r="E50" s="158"/>
      <c r="F50" s="158"/>
      <c r="G50" s="154"/>
      <c r="H50" s="82"/>
    </row>
    <row r="51" spans="1:11" x14ac:dyDescent="0.25">
      <c r="A51" s="157" t="s">
        <v>100</v>
      </c>
      <c r="B51" s="157"/>
      <c r="C51" s="157"/>
      <c r="D51" s="157"/>
      <c r="E51" s="157"/>
      <c r="F51" s="157"/>
      <c r="G51" s="157"/>
      <c r="H51" s="84">
        <f>SUM(H48:H50)</f>
        <v>278000</v>
      </c>
    </row>
    <row r="52" spans="1:11" ht="15.75" x14ac:dyDescent="0.25">
      <c r="A52" s="232" t="s">
        <v>116</v>
      </c>
      <c r="B52" s="233"/>
      <c r="C52" s="233"/>
      <c r="D52" s="233"/>
      <c r="E52" s="233"/>
      <c r="F52" s="233"/>
      <c r="G52" s="233"/>
      <c r="H52" s="234"/>
    </row>
    <row r="53" spans="1:11" x14ac:dyDescent="0.25">
      <c r="A53" s="154" t="s">
        <v>117</v>
      </c>
      <c r="B53" s="154"/>
      <c r="C53" s="154"/>
      <c r="D53" s="154"/>
      <c r="E53" s="154"/>
      <c r="F53" s="154"/>
      <c r="G53" s="154"/>
      <c r="H53" s="82">
        <v>89235.14</v>
      </c>
    </row>
    <row r="54" spans="1:11" x14ac:dyDescent="0.25">
      <c r="A54" s="154"/>
      <c r="B54" s="154"/>
      <c r="C54" s="154"/>
      <c r="D54" s="154"/>
      <c r="E54" s="154"/>
      <c r="F54" s="154"/>
      <c r="G54" s="154"/>
      <c r="H54" s="82"/>
    </row>
    <row r="55" spans="1:11" x14ac:dyDescent="0.25">
      <c r="A55" s="157" t="s">
        <v>106</v>
      </c>
      <c r="B55" s="157"/>
      <c r="C55" s="157"/>
      <c r="D55" s="157"/>
      <c r="E55" s="157"/>
      <c r="F55" s="157"/>
      <c r="G55" s="157"/>
      <c r="H55" s="160">
        <f>SUM(H53:H54)</f>
        <v>89235.14</v>
      </c>
    </row>
    <row r="56" spans="1:11" ht="15.75" x14ac:dyDescent="0.25">
      <c r="A56" s="232" t="s">
        <v>118</v>
      </c>
      <c r="B56" s="233"/>
      <c r="C56" s="233"/>
      <c r="D56" s="233"/>
      <c r="E56" s="233"/>
      <c r="F56" s="233"/>
      <c r="G56" s="233"/>
      <c r="H56" s="234"/>
      <c r="I56" s="87"/>
    </row>
    <row r="57" spans="1:11" x14ac:dyDescent="0.25">
      <c r="A57" s="85" t="s">
        <v>140</v>
      </c>
      <c r="B57" s="85"/>
      <c r="C57" s="85"/>
      <c r="D57" s="85"/>
      <c r="E57" s="85"/>
      <c r="F57" s="85"/>
      <c r="G57" s="85"/>
      <c r="H57" s="82">
        <v>49889.86</v>
      </c>
      <c r="I57" s="87"/>
    </row>
    <row r="58" spans="1:11" x14ac:dyDescent="0.25">
      <c r="A58" s="85" t="s">
        <v>141</v>
      </c>
      <c r="B58" s="85"/>
      <c r="C58" s="85"/>
      <c r="D58" s="85"/>
      <c r="E58" s="85"/>
      <c r="F58" s="85"/>
      <c r="G58" s="85"/>
      <c r="H58" s="82">
        <v>3498.02</v>
      </c>
      <c r="I58" s="87"/>
    </row>
    <row r="59" spans="1:11" x14ac:dyDescent="0.25">
      <c r="A59" s="85" t="s">
        <v>100</v>
      </c>
      <c r="B59" s="85"/>
      <c r="C59" s="85"/>
      <c r="D59" s="85"/>
      <c r="E59" s="85"/>
      <c r="F59" s="85"/>
      <c r="G59" s="85"/>
      <c r="H59" s="84">
        <f>SUM(H57:H58)</f>
        <v>53387.88</v>
      </c>
      <c r="I59" s="87"/>
      <c r="K59" s="83"/>
    </row>
    <row r="60" spans="1:11" ht="15.75" x14ac:dyDescent="0.25">
      <c r="A60" s="203" t="s">
        <v>119</v>
      </c>
      <c r="B60" s="204"/>
      <c r="C60" s="204"/>
      <c r="D60" s="204"/>
      <c r="E60" s="204"/>
      <c r="F60" s="204"/>
      <c r="G60" s="204"/>
      <c r="H60" s="235"/>
    </row>
    <row r="61" spans="1:11" x14ac:dyDescent="0.25">
      <c r="A61" s="86"/>
      <c r="B61" s="86"/>
      <c r="C61" s="86"/>
      <c r="D61" s="86"/>
      <c r="E61" s="86"/>
      <c r="F61" s="86"/>
      <c r="G61" s="86"/>
      <c r="H61" s="90"/>
    </row>
    <row r="62" spans="1:11" x14ac:dyDescent="0.25">
      <c r="A62" s="86"/>
      <c r="B62" s="86"/>
      <c r="C62" s="86"/>
      <c r="D62" s="86"/>
      <c r="E62" s="86"/>
      <c r="F62" s="86"/>
      <c r="G62" s="86"/>
      <c r="H62" s="90"/>
    </row>
    <row r="63" spans="1:11" ht="18.75" x14ac:dyDescent="0.25">
      <c r="A63" s="91" t="s">
        <v>100</v>
      </c>
      <c r="B63" s="89"/>
      <c r="C63" s="89"/>
      <c r="D63" s="89"/>
      <c r="E63" s="89"/>
      <c r="F63" s="89"/>
      <c r="G63" s="89"/>
      <c r="H63" s="92"/>
    </row>
    <row r="64" spans="1:11" ht="18.75" x14ac:dyDescent="0.25">
      <c r="A64" s="93"/>
      <c r="B64" s="132"/>
      <c r="C64" s="132"/>
      <c r="D64" s="132"/>
      <c r="E64" s="132"/>
      <c r="F64" s="132"/>
      <c r="G64" s="132"/>
      <c r="H64" s="94"/>
    </row>
    <row r="65" spans="1:9" ht="20.25" customHeight="1" x14ac:dyDescent="0.25">
      <c r="A65" s="91"/>
      <c r="B65" s="89"/>
      <c r="C65" s="89"/>
      <c r="D65" s="89"/>
      <c r="E65" s="89"/>
      <c r="F65" s="89"/>
      <c r="G65" s="89"/>
      <c r="H65" s="92"/>
    </row>
    <row r="66" spans="1:9" ht="15" customHeight="1" x14ac:dyDescent="0.25">
      <c r="A66" s="203" t="s">
        <v>152</v>
      </c>
      <c r="B66" s="204"/>
      <c r="C66" s="204"/>
      <c r="D66" s="204"/>
      <c r="E66" s="204"/>
      <c r="F66" s="204"/>
      <c r="G66" s="204"/>
      <c r="H66" s="128"/>
    </row>
    <row r="67" spans="1:9" ht="15" customHeight="1" x14ac:dyDescent="0.25">
      <c r="A67" s="91"/>
      <c r="B67" s="89"/>
      <c r="C67" s="89"/>
      <c r="D67" s="89"/>
      <c r="E67" s="89"/>
      <c r="F67" s="89"/>
      <c r="G67" s="89"/>
      <c r="H67" s="92"/>
    </row>
    <row r="68" spans="1:9" ht="15" customHeight="1" x14ac:dyDescent="0.25">
      <c r="A68" s="91"/>
      <c r="B68" s="89"/>
      <c r="C68" s="89"/>
      <c r="D68" s="89"/>
      <c r="E68" s="89"/>
      <c r="F68" s="89"/>
      <c r="G68" s="89"/>
      <c r="H68" s="92"/>
    </row>
    <row r="69" spans="1:9" ht="14.25" customHeight="1" x14ac:dyDescent="0.25">
      <c r="A69" s="129" t="s">
        <v>100</v>
      </c>
      <c r="B69" s="132"/>
      <c r="C69" s="132"/>
      <c r="D69" s="132"/>
      <c r="E69" s="132"/>
      <c r="F69" s="132"/>
      <c r="G69" s="132"/>
      <c r="H69" s="94">
        <f>SUM(H67:H68)</f>
        <v>0</v>
      </c>
    </row>
    <row r="70" spans="1:9" ht="18.75" x14ac:dyDescent="0.25">
      <c r="A70" s="91"/>
      <c r="B70" s="89"/>
      <c r="C70" s="89"/>
      <c r="D70" s="89"/>
      <c r="E70" s="89"/>
      <c r="F70" s="89"/>
      <c r="G70" s="89"/>
      <c r="H70" s="92"/>
    </row>
    <row r="71" spans="1:9" ht="18.75" x14ac:dyDescent="0.3">
      <c r="A71" s="195" t="s">
        <v>120</v>
      </c>
      <c r="B71" s="195"/>
      <c r="C71" s="195"/>
      <c r="D71" s="195"/>
      <c r="E71" s="195"/>
      <c r="F71" s="195"/>
      <c r="G71" s="195"/>
      <c r="H71" s="95"/>
    </row>
    <row r="72" spans="1:9" x14ac:dyDescent="0.25">
      <c r="A72" s="180"/>
      <c r="B72" s="181"/>
      <c r="C72" s="181"/>
      <c r="D72" s="181"/>
      <c r="E72" s="181"/>
      <c r="F72" s="181"/>
      <c r="G72" s="182"/>
      <c r="H72" s="124"/>
    </row>
    <row r="73" spans="1:9" x14ac:dyDescent="0.25">
      <c r="A73" s="96"/>
      <c r="B73" s="97"/>
      <c r="C73" s="97"/>
      <c r="D73" s="97"/>
      <c r="E73" s="97"/>
      <c r="F73" s="97"/>
      <c r="G73" s="98"/>
      <c r="H73" s="124"/>
    </row>
    <row r="74" spans="1:9" x14ac:dyDescent="0.25">
      <c r="A74" s="196"/>
      <c r="B74" s="197"/>
      <c r="C74" s="197"/>
      <c r="D74" s="197"/>
      <c r="E74" s="197"/>
      <c r="F74" s="197"/>
      <c r="G74" s="198"/>
      <c r="H74" s="82">
        <v>0</v>
      </c>
    </row>
    <row r="75" spans="1:9" x14ac:dyDescent="0.25">
      <c r="A75" s="133"/>
      <c r="B75" s="134"/>
      <c r="C75" s="134"/>
      <c r="D75" s="134"/>
      <c r="E75" s="134"/>
      <c r="F75" s="134"/>
      <c r="G75" s="135"/>
      <c r="H75" s="82">
        <v>0</v>
      </c>
    </row>
    <row r="76" spans="1:9" x14ac:dyDescent="0.25">
      <c r="A76" s="133"/>
      <c r="B76" s="134"/>
      <c r="C76" s="134"/>
      <c r="D76" s="134"/>
      <c r="E76" s="134"/>
      <c r="F76" s="134"/>
      <c r="G76" s="135"/>
      <c r="H76" s="82">
        <v>0</v>
      </c>
    </row>
    <row r="77" spans="1:9" x14ac:dyDescent="0.25">
      <c r="A77" s="137" t="s">
        <v>100</v>
      </c>
      <c r="B77" s="85"/>
      <c r="C77" s="85"/>
      <c r="D77" s="85"/>
      <c r="E77" s="85"/>
      <c r="F77" s="85"/>
      <c r="G77" s="85"/>
      <c r="H77" s="84">
        <f>SUM(H72:H76)</f>
        <v>0</v>
      </c>
    </row>
    <row r="78" spans="1:9" ht="15.75" thickBot="1" x14ac:dyDescent="0.3">
      <c r="A78" s="138"/>
      <c r="B78" s="138"/>
      <c r="C78" s="138"/>
      <c r="D78" s="138"/>
      <c r="E78" s="138"/>
      <c r="F78" s="138"/>
      <c r="G78" s="138"/>
      <c r="H78" s="139"/>
      <c r="I78" s="87"/>
    </row>
    <row r="79" spans="1:9" ht="19.5" thickBot="1" x14ac:dyDescent="0.35">
      <c r="A79" s="199" t="s">
        <v>121</v>
      </c>
      <c r="B79" s="200"/>
      <c r="C79" s="200"/>
      <c r="D79" s="200"/>
      <c r="E79" s="200"/>
      <c r="F79" s="200"/>
      <c r="G79" s="200"/>
      <c r="H79" s="140">
        <f>H77</f>
        <v>0</v>
      </c>
      <c r="I79" s="87"/>
    </row>
    <row r="80" spans="1:9" ht="19.5" thickBot="1" x14ac:dyDescent="0.35">
      <c r="A80" s="192" t="s">
        <v>122</v>
      </c>
      <c r="B80" s="193"/>
      <c r="C80" s="193"/>
      <c r="D80" s="193"/>
      <c r="E80" s="193"/>
      <c r="F80" s="193"/>
      <c r="G80" s="194"/>
      <c r="H80" s="140"/>
      <c r="I80" s="88"/>
    </row>
    <row r="81" spans="1:11" ht="17.25" customHeight="1" thickBot="1" x14ac:dyDescent="0.35">
      <c r="A81" s="205" t="s">
        <v>142</v>
      </c>
      <c r="B81" s="206"/>
      <c r="C81" s="206"/>
      <c r="D81" s="206"/>
      <c r="E81" s="206"/>
      <c r="F81" s="206"/>
      <c r="G81" s="207"/>
      <c r="H81" s="140"/>
      <c r="I81" s="87"/>
      <c r="J81" s="83"/>
    </row>
    <row r="82" spans="1:11" ht="18.75" x14ac:dyDescent="0.3">
      <c r="A82" s="199" t="s">
        <v>123</v>
      </c>
      <c r="B82" s="200"/>
      <c r="C82" s="200"/>
      <c r="D82" s="200"/>
      <c r="E82" s="200"/>
      <c r="F82" s="200"/>
      <c r="G82" s="200"/>
      <c r="H82" s="140">
        <f>H63+H59+H55+H51+H46+H33+H16+H21+H28+H69</f>
        <v>6696913.4500000002</v>
      </c>
      <c r="I82" s="83"/>
    </row>
    <row r="83" spans="1:11" ht="18.75" x14ac:dyDescent="0.3">
      <c r="A83" s="208" t="s">
        <v>124</v>
      </c>
      <c r="B83" s="209"/>
      <c r="C83" s="209"/>
      <c r="D83" s="209"/>
      <c r="E83" s="209"/>
      <c r="F83" s="209"/>
      <c r="G83" s="210"/>
      <c r="H83" s="141">
        <f>H82+H80</f>
        <v>6696913.4500000002</v>
      </c>
      <c r="I83" s="83"/>
      <c r="K83" s="149"/>
    </row>
    <row r="84" spans="1:11" ht="18.75" x14ac:dyDescent="0.3">
      <c r="A84" s="208" t="s">
        <v>125</v>
      </c>
      <c r="B84" s="209"/>
      <c r="C84" s="209"/>
      <c r="D84" s="209"/>
      <c r="E84" s="209"/>
      <c r="F84" s="209"/>
      <c r="G84" s="210"/>
      <c r="H84" s="142">
        <f>H79+H81</f>
        <v>0</v>
      </c>
      <c r="I84" s="83"/>
    </row>
    <row r="85" spans="1:11" ht="18.75" customHeight="1" thickBot="1" x14ac:dyDescent="0.35">
      <c r="A85" s="211" t="s">
        <v>126</v>
      </c>
      <c r="B85" s="212"/>
      <c r="C85" s="212"/>
      <c r="D85" s="212"/>
      <c r="E85" s="212"/>
      <c r="F85" s="212"/>
      <c r="G85" s="212"/>
      <c r="H85" s="143">
        <f>H82+H79</f>
        <v>6696913.4500000002</v>
      </c>
    </row>
    <row r="86" spans="1:11" ht="18.75" hidden="1" x14ac:dyDescent="0.3">
      <c r="A86" s="213" t="s">
        <v>127</v>
      </c>
      <c r="B86" s="214"/>
      <c r="C86" s="214"/>
      <c r="D86" s="214"/>
      <c r="E86" s="214"/>
      <c r="F86" s="214"/>
      <c r="G86" s="214"/>
      <c r="H86" s="100">
        <v>0</v>
      </c>
    </row>
    <row r="87" spans="1:11" ht="45" customHeight="1" x14ac:dyDescent="0.3">
      <c r="A87" s="101"/>
      <c r="B87" s="101"/>
      <c r="C87" s="101"/>
      <c r="D87" s="101"/>
      <c r="E87" s="101"/>
      <c r="F87" s="101"/>
      <c r="G87" s="101"/>
      <c r="H87" s="102"/>
    </row>
    <row r="88" spans="1:11" ht="27.75" customHeight="1" x14ac:dyDescent="0.25">
      <c r="A88" s="215" t="s">
        <v>161</v>
      </c>
      <c r="B88" s="216"/>
      <c r="C88" s="216"/>
      <c r="D88" s="216"/>
      <c r="E88" s="216"/>
      <c r="F88" s="216"/>
      <c r="G88" s="216"/>
      <c r="H88" s="217"/>
    </row>
    <row r="89" spans="1:11" ht="39" customHeight="1" x14ac:dyDescent="0.25">
      <c r="A89" s="218"/>
      <c r="B89" s="219"/>
      <c r="C89" s="219"/>
      <c r="D89" s="219"/>
      <c r="E89" s="219"/>
      <c r="F89" s="219"/>
      <c r="G89" s="219"/>
      <c r="H89" s="220"/>
    </row>
    <row r="90" spans="1:11" x14ac:dyDescent="0.25">
      <c r="A90" s="6"/>
      <c r="B90" s="6"/>
      <c r="C90" s="6"/>
      <c r="D90" s="6"/>
      <c r="E90" s="6"/>
      <c r="F90" s="6"/>
      <c r="G90" s="6"/>
      <c r="H90" s="6"/>
    </row>
    <row r="91" spans="1:11" ht="18.75" x14ac:dyDescent="0.3">
      <c r="A91" s="184" t="s">
        <v>128</v>
      </c>
      <c r="B91" s="185"/>
      <c r="C91" s="185"/>
      <c r="D91" s="185"/>
      <c r="E91" s="185"/>
      <c r="F91" s="185"/>
      <c r="G91" s="185"/>
      <c r="H91" s="186"/>
    </row>
    <row r="92" spans="1:11" ht="18.75" x14ac:dyDescent="0.3">
      <c r="A92" s="103" t="s">
        <v>129</v>
      </c>
      <c r="B92" s="104"/>
      <c r="C92" s="104"/>
      <c r="D92" s="104"/>
      <c r="E92" s="104"/>
      <c r="F92" s="104"/>
      <c r="G92" s="104"/>
      <c r="H92" s="105">
        <v>1280791.0346397704</v>
      </c>
    </row>
    <row r="93" spans="1:11" x14ac:dyDescent="0.25">
      <c r="A93" s="8" t="s">
        <v>130</v>
      </c>
      <c r="B93" s="106"/>
      <c r="C93" s="106"/>
      <c r="D93" s="106"/>
      <c r="E93" s="106"/>
      <c r="F93" s="106"/>
      <c r="G93" s="106"/>
      <c r="H93" s="18">
        <f>Planilla!G43</f>
        <v>4581518.1130966982</v>
      </c>
    </row>
    <row r="94" spans="1:11" x14ac:dyDescent="0.25">
      <c r="A94" s="107" t="s">
        <v>136</v>
      </c>
      <c r="B94" s="108"/>
      <c r="C94" s="108"/>
      <c r="D94" s="108"/>
      <c r="E94" s="108"/>
      <c r="F94" s="108"/>
      <c r="G94" s="108"/>
      <c r="H94" s="123">
        <f>-H85</f>
        <v>-6696913.4500000002</v>
      </c>
    </row>
    <row r="95" spans="1:11" x14ac:dyDescent="0.25">
      <c r="A95" s="107" t="s">
        <v>131</v>
      </c>
      <c r="B95" s="108"/>
      <c r="C95" s="108"/>
      <c r="D95" s="108"/>
      <c r="E95" s="108"/>
      <c r="F95" s="108"/>
      <c r="G95" s="108"/>
      <c r="H95" s="31">
        <f>D109</f>
        <v>0</v>
      </c>
    </row>
    <row r="96" spans="1:11" x14ac:dyDescent="0.25">
      <c r="A96" s="107" t="s">
        <v>153</v>
      </c>
      <c r="B96" s="109"/>
      <c r="C96" s="108"/>
      <c r="D96" s="108"/>
      <c r="E96" s="108"/>
      <c r="F96" s="108"/>
      <c r="G96" s="108"/>
      <c r="H96" s="131">
        <f>-H69</f>
        <v>0</v>
      </c>
    </row>
    <row r="97" spans="1:8" ht="18.75" x14ac:dyDescent="0.3">
      <c r="A97" s="110" t="s">
        <v>132</v>
      </c>
      <c r="B97" s="111"/>
      <c r="C97" s="111"/>
      <c r="D97" s="111"/>
      <c r="E97" s="111"/>
      <c r="F97" s="111"/>
      <c r="G97" s="111"/>
      <c r="H97" s="112">
        <f>SUM(H92:H96)</f>
        <v>-834604.30226353183</v>
      </c>
    </row>
    <row r="98" spans="1:8" ht="15.75" thickBot="1" x14ac:dyDescent="0.3"/>
    <row r="99" spans="1:8" ht="16.5" thickBot="1" x14ac:dyDescent="0.3">
      <c r="A99" s="187" t="s">
        <v>133</v>
      </c>
      <c r="B99" s="188"/>
      <c r="C99" s="188"/>
      <c r="D99" s="188"/>
      <c r="E99" s="188"/>
      <c r="F99" s="188"/>
      <c r="G99" s="188"/>
      <c r="H99" s="189"/>
    </row>
    <row r="100" spans="1:8" ht="15.75" x14ac:dyDescent="0.25">
      <c r="A100" s="113" t="s">
        <v>129</v>
      </c>
      <c r="B100" s="113"/>
      <c r="C100" s="113"/>
      <c r="D100" s="113"/>
      <c r="E100" s="113"/>
      <c r="F100" s="113"/>
      <c r="G100" s="113"/>
      <c r="H100" s="114">
        <v>0</v>
      </c>
    </row>
    <row r="101" spans="1:8" x14ac:dyDescent="0.25">
      <c r="A101" s="6"/>
      <c r="B101" s="115"/>
      <c r="C101" s="108"/>
      <c r="D101" s="6"/>
      <c r="E101" s="6"/>
      <c r="F101" s="6"/>
      <c r="G101" s="6"/>
      <c r="H101" s="18"/>
    </row>
    <row r="102" spans="1:8" x14ac:dyDescent="0.25">
      <c r="A102" s="6"/>
      <c r="B102" s="116"/>
      <c r="C102" s="6"/>
      <c r="D102" s="6"/>
      <c r="E102" s="6"/>
      <c r="F102" s="6"/>
      <c r="G102" s="6"/>
      <c r="H102" s="18"/>
    </row>
    <row r="103" spans="1:8" x14ac:dyDescent="0.25">
      <c r="A103" s="6"/>
      <c r="B103" s="6"/>
      <c r="C103" s="6"/>
      <c r="D103" s="6"/>
      <c r="E103" s="6"/>
      <c r="F103" s="6"/>
      <c r="G103" s="6"/>
      <c r="H103" s="18"/>
    </row>
    <row r="104" spans="1:8" x14ac:dyDescent="0.25">
      <c r="A104" s="117" t="s">
        <v>132</v>
      </c>
      <c r="B104" s="117"/>
      <c r="C104" s="117"/>
      <c r="D104" s="117"/>
      <c r="E104" s="117"/>
      <c r="F104" s="117"/>
      <c r="G104" s="117"/>
      <c r="H104" s="118">
        <v>0</v>
      </c>
    </row>
    <row r="106" spans="1:8" x14ac:dyDescent="0.25">
      <c r="A106" s="125" t="s">
        <v>145</v>
      </c>
      <c r="B106" s="126"/>
      <c r="C106" s="126"/>
      <c r="D106" s="126"/>
    </row>
    <row r="107" spans="1:8" x14ac:dyDescent="0.25">
      <c r="A107" s="6"/>
      <c r="B107" s="6"/>
      <c r="C107" s="6"/>
      <c r="D107" s="18"/>
    </row>
    <row r="108" spans="1:8" x14ac:dyDescent="0.25">
      <c r="A108" s="6"/>
      <c r="B108" s="6"/>
      <c r="C108" s="6"/>
      <c r="D108" s="18"/>
    </row>
    <row r="109" spans="1:8" x14ac:dyDescent="0.25">
      <c r="A109" s="119" t="s">
        <v>100</v>
      </c>
      <c r="B109" s="126"/>
      <c r="C109" s="126"/>
      <c r="D109" s="136">
        <f>SUM(D107:D108)</f>
        <v>0</v>
      </c>
    </row>
    <row r="111" spans="1:8" ht="13.5" customHeight="1" x14ac:dyDescent="0.25">
      <c r="A111" s="125" t="s">
        <v>146</v>
      </c>
      <c r="B111" s="119"/>
      <c r="C111" s="119"/>
      <c r="D111" s="119"/>
    </row>
    <row r="112" spans="1:8" hidden="1" x14ac:dyDescent="0.25">
      <c r="A112" s="6"/>
      <c r="B112" s="99"/>
      <c r="C112" s="99"/>
      <c r="D112" s="121"/>
    </row>
    <row r="113" spans="1:4" hidden="1" x14ac:dyDescent="0.25">
      <c r="A113" s="6"/>
      <c r="B113" s="6"/>
      <c r="C113" s="6"/>
      <c r="D113" s="127"/>
    </row>
    <row r="114" spans="1:4" hidden="1" x14ac:dyDescent="0.25">
      <c r="A114" s="6"/>
      <c r="B114" s="6"/>
      <c r="C114" s="6"/>
      <c r="D114" s="127"/>
    </row>
    <row r="115" spans="1:4" x14ac:dyDescent="0.25">
      <c r="A115" s="6"/>
      <c r="B115" s="6"/>
      <c r="C115" s="6"/>
      <c r="D115" s="127"/>
    </row>
    <row r="116" spans="1:4" x14ac:dyDescent="0.25">
      <c r="A116" s="120" t="s">
        <v>100</v>
      </c>
      <c r="B116" s="120"/>
      <c r="C116" s="190">
        <f>SUM(D112:D115)</f>
        <v>0</v>
      </c>
      <c r="D116" s="191"/>
    </row>
  </sheetData>
  <mergeCells count="32">
    <mergeCell ref="A85:G85"/>
    <mergeCell ref="A86:G86"/>
    <mergeCell ref="A88:H89"/>
    <mergeCell ref="A29:H29"/>
    <mergeCell ref="D2:H2"/>
    <mergeCell ref="E3:H3"/>
    <mergeCell ref="A10:H10"/>
    <mergeCell ref="A12:H12"/>
    <mergeCell ref="A17:H17"/>
    <mergeCell ref="A22:H22"/>
    <mergeCell ref="A34:H34"/>
    <mergeCell ref="A47:H47"/>
    <mergeCell ref="A52:H52"/>
    <mergeCell ref="A56:H56"/>
    <mergeCell ref="A60:H60"/>
    <mergeCell ref="A40:G40"/>
    <mergeCell ref="A38:G38"/>
    <mergeCell ref="J39:J43"/>
    <mergeCell ref="A91:H91"/>
    <mergeCell ref="A99:H99"/>
    <mergeCell ref="C116:D116"/>
    <mergeCell ref="A80:G80"/>
    <mergeCell ref="A71:G71"/>
    <mergeCell ref="A72:G72"/>
    <mergeCell ref="A74:G74"/>
    <mergeCell ref="A79:G79"/>
    <mergeCell ref="C49:D49"/>
    <mergeCell ref="A66:G66"/>
    <mergeCell ref="A81:G81"/>
    <mergeCell ref="A82:G82"/>
    <mergeCell ref="A83:G83"/>
    <mergeCell ref="A84:G84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2025-06-01T17:26:13Z</cp:lastPrinted>
  <dcterms:created xsi:type="dcterms:W3CDTF">2024-08-02T14:44:36Z</dcterms:created>
  <dcterms:modified xsi:type="dcterms:W3CDTF">2025-07-07T14:41:07Z</dcterms:modified>
</cp:coreProperties>
</file>