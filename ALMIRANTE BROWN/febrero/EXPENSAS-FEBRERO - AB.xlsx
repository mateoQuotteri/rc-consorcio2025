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febrero\"/>
    </mc:Choice>
  </mc:AlternateContent>
  <xr:revisionPtr revIDLastSave="0" documentId="13_ncr:1_{E61890D2-D578-453B-B80A-1E5084658D5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expensas!$A$1:$H$103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D6" i="2" l="1"/>
  <c r="G68" i="2"/>
  <c r="G39" i="2"/>
  <c r="G62" i="2"/>
  <c r="G20" i="2"/>
  <c r="G30" i="2" l="1"/>
  <c r="G22" i="2"/>
  <c r="G38" i="2"/>
  <c r="G18" i="2"/>
  <c r="H60" i="1"/>
  <c r="H75" i="1"/>
  <c r="H78" i="1" s="1"/>
  <c r="G12" i="2" l="1"/>
  <c r="G25" i="2"/>
  <c r="H53" i="1" l="1"/>
  <c r="H30" i="1" l="1"/>
  <c r="H35" i="1"/>
  <c r="H39" i="1"/>
  <c r="H44" i="1"/>
  <c r="G16" i="2"/>
  <c r="G67" i="2"/>
  <c r="G11" i="2"/>
  <c r="G69" i="2" l="1"/>
  <c r="G32" i="2" s="1"/>
  <c r="G17" i="2"/>
  <c r="G60" i="2"/>
  <c r="G27" i="2" s="1"/>
  <c r="G14" i="2" l="1"/>
  <c r="G31" i="2"/>
  <c r="M70" i="2" l="1"/>
  <c r="G26" i="2"/>
  <c r="H88" i="1" l="1"/>
  <c r="H63" i="1"/>
  <c r="G21" i="2" l="1"/>
  <c r="G55" i="2"/>
  <c r="G44" i="2" s="1"/>
  <c r="H102" i="1" l="1"/>
  <c r="G64" i="2" l="1"/>
  <c r="G33" i="2" s="1"/>
  <c r="H18" i="1" l="1"/>
  <c r="G57" i="2" l="1"/>
  <c r="G42" i="2" s="1"/>
  <c r="I1" i="2" l="1"/>
  <c r="G19" i="2" l="1"/>
  <c r="F70" i="2" l="1"/>
  <c r="H24" i="1"/>
  <c r="H66" i="1" s="1"/>
  <c r="G23" i="2"/>
  <c r="G15" i="2"/>
  <c r="E53" i="2" l="1"/>
  <c r="H63" i="2"/>
  <c r="I63" i="2" s="1"/>
  <c r="G66" i="2"/>
  <c r="G49" i="2" s="1"/>
  <c r="H67" i="2"/>
  <c r="I67" i="2" s="1"/>
  <c r="H69" i="2"/>
  <c r="I69" i="2" s="1"/>
  <c r="G50" i="2"/>
  <c r="G48" i="2" s="1"/>
  <c r="G51" i="2"/>
  <c r="G40" i="2" s="1"/>
  <c r="G52" i="2"/>
  <c r="G35" i="2" s="1"/>
  <c r="G53" i="2"/>
  <c r="G47" i="2" s="1"/>
  <c r="G54" i="2"/>
  <c r="H54" i="2" s="1"/>
  <c r="I54" i="2" s="1"/>
  <c r="G58" i="2"/>
  <c r="G46" i="2" s="1"/>
  <c r="G59" i="2"/>
  <c r="G43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9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8" i="1" l="1"/>
  <c r="H70" i="1" l="1"/>
  <c r="H89" i="1" s="1"/>
  <c r="G70" i="2"/>
  <c r="H87" i="1" s="1"/>
  <c r="B28" i="1"/>
  <c r="B27" i="1"/>
  <c r="H92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<sst xmlns="http://schemas.openxmlformats.org/spreadsheetml/2006/main" count="2332" uniqueCount="241">
  <si>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</si>
  <si>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</si>
  <si>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</si>
  <si>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</si>
  <si>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</si>
  <si>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</si>
  <si>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</si>
  <si>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</si>
  <si>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</si>
  <si>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</si>
  <si>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</si>
  <si>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</si>
  <si>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</si>
  <si>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</si>
  <si>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</si>
  <si>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</si>
  <si>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</si>
  <si>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</si>
  <si>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</si>
  <si>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</si>
  <si>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</si>
  <si>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</si>
  <si>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</si>
  <si>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</si>
  <si>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</si>
  <si>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</si>
  <si>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</si>
  <si>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</si>
  <si>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</si>
  <si>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</si>
  <si>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</si>
  <si>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</si>
  <si>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</si>
  <si>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</si>
  <si>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</si>
  <si>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</si>
  <si>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</si>
  <si>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</si>
  <si>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</si>
  <si>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</si>
  <si>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</si>
  <si>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</si>
  <si>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</si>
  <si>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</si>
  <si>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</si>
  <si>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</si>
  <si>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</si>
  <si>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</si>
  <si>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</si>
  <si>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</si>
  <si>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</si>
  <si>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</si>
  <si>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</si>
  <si>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</si>
  <si>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</si>
  <si>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</si>
  <si>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</si>
  <si>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</si>
  <si>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</si>
  <si>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</si>
  <si>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</si>
  <si>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</si>
  <si>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</si>
  <si>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</si>
  <si>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</si>
  <si>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</si>
  <si>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</si>
  <si>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</si>
  <si>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</si>
  <si>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</si>
  <si>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</si>
  <si>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</si>
  <si>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</si>
  <si>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</si>
  <si>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</si>
  <si>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</si>
  <si>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</si>
  <si>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</si>
  <si>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</si>
  <si>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</si>
  <si>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</si>
  <si>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</si>
  <si>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</si>
  <si>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</si>
  <si>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</si>
  <si>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</si>
  <si>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</si>
  <si>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</si>
  <si>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</si>
  <si>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</si>
  <si>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</si>
  <si>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</si>
  <si>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</si>
  <si>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</si>
  <si>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</si>
  <si>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</si>
  <si>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</si>
  <si>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</si>
  <si>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</si>
  <si>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</si>
  <si>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</si>
  <si>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</si>
  <si>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</si>
  <si>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</si>
  <si>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</si>
  <si>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</si>
  <si>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</si>
  <si>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Genoveva Rios Sueldo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</si>
  <si>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</si>
  <si>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</si>
  <si>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</si>
  <si>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</si>
  <si>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</si>
  <si>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</si>
  <si>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</si>
  <si>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</si>
  <si>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</si>
  <si>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</si>
  <si>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</si>
  <si>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</si>
  <si>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Maldonado Noelia</t>
  </si>
  <si>
    <t>Rodas Nicolas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</si>
  <si>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</si>
  <si>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</si>
  <si>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</si>
  <si>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</si>
  <si>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</si>
  <si>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</si>
  <si>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</si>
  <si>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</si>
  <si>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</si>
  <si>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</si>
  <si>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</si>
  <si>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</si>
  <si>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</si>
  <si>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</si>
  <si>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</si>
  <si>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</si>
  <si>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</si>
  <si>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</si>
  <si>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</si>
  <si>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</si>
  <si>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</si>
  <si>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</si>
  <si>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</si>
  <si>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</si>
  <si>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</si>
  <si>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</si>
  <si>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</si>
  <si>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</si>
  <si>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</si>
  <si>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</si>
  <si>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</si>
  <si>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</si>
  <si>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</si>
  <si>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</si>
  <si>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</si>
  <si>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FEDERACION PATRONAL SEGURO INTEGRAL DE CONSORCIO</t>
  </si>
  <si>
    <t>GASTOS EXTRAORD</t>
  </si>
  <si>
    <t>Ricardo Reyes</t>
  </si>
  <si>
    <t>CAJA GASTOS EXTRAORDINARIOS</t>
  </si>
  <si>
    <t>Santiago Martinez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</si>
  <si>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</si>
  <si>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</si>
  <si>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</si>
  <si>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</si>
  <si>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</si>
  <si>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</si>
  <si>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</si>
  <si>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</si>
  <si>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</si>
  <si>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</si>
  <si>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</si>
  <si>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</si>
  <si>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</si>
  <si>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</si>
  <si>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</si>
  <si>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</si>
  <si>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</si>
  <si>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</si>
  <si>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</si>
  <si>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</si>
  <si>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</si>
  <si>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</si>
  <si>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</si>
  <si>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</si>
  <si>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</si>
  <si>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</si>
  <si>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</si>
  <si>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</si>
  <si>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</si>
  <si>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</si>
  <si>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</si>
  <si>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</si>
  <si>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Punitorios mal cobrados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</si>
  <si>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</si>
  <si>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</si>
  <si>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</si>
  <si>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</si>
  <si>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</si>
  <si>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</si>
  <si>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</si>
  <si>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</si>
  <si>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</si>
  <si>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</si>
  <si>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</si>
  <si>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</si>
  <si>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</si>
  <si>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ARTICULOS DE LIMPIEZA</t>
  </si>
  <si>
    <t>REEMPLAZOS</t>
  </si>
  <si>
    <t>SERVISUR COLOCACION LUCES DE EMERGENCIA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</si>
  <si>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</si>
  <si>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</si>
  <si>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</si>
  <si>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</si>
  <si>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</si>
  <si>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VTO: 13/03</t>
  </si>
  <si>
    <t>FEBRERO</t>
  </si>
  <si>
    <t>MES DE FEBRERO -  TRANSF BANCARIA 29/1</t>
  </si>
  <si>
    <t>Egresos por gastos mes - FEBRERO</t>
  </si>
  <si>
    <t>Ingreso por pago de Expensas - enero</t>
  </si>
  <si>
    <t xml:space="preserve">Ingreso SUM usado en enero </t>
  </si>
  <si>
    <t>ARCA PAGO MIS CUENTAS 8/2</t>
  </si>
  <si>
    <t>DOARTERO MANO DE OBRA DESAGUE REJULLAS - 10/02</t>
  </si>
  <si>
    <t>actualizados ENE 2025</t>
  </si>
  <si>
    <t>FERRETERIA V&amp;A COMPRA SELLADOR</t>
  </si>
  <si>
    <t>ASCENSORES GUILLEMI MANTENIMIENTO MENSUAL - 10/02</t>
  </si>
  <si>
    <t>Debito autom 04/02</t>
  </si>
  <si>
    <t>Seguro Sr Omar Silletero</t>
  </si>
  <si>
    <t>DEBITO 08/02</t>
  </si>
  <si>
    <t>DEBITO AUTOMATICO 12/02</t>
  </si>
  <si>
    <t>DEBITO 14/02</t>
  </si>
  <si>
    <t>Sr Omar silletero mano de obra - TRABAJO EN MEDIANERAS SELLADO IMPERMEABILIZADO EN GRIETAS - Trabajo todavia a concluir</t>
  </si>
  <si>
    <t>Ferreteria El Herrero - compra de materiales - 24/02</t>
  </si>
  <si>
    <t>CASA RUAN - COMPRA DE LUCES DE EMERGENCIA</t>
  </si>
  <si>
    <t>ASCENSORES GUILLEMI - CAMBIO DE CONTACTOR CABINA 4 Y LUCES DICROICAS</t>
  </si>
  <si>
    <t>Jose Francisco</t>
  </si>
  <si>
    <t>Deuda inexistente 8C</t>
  </si>
  <si>
    <t xml:space="preserve">Carlos Simonetti </t>
  </si>
  <si>
    <t xml:space="preserve"> Speranza, Nicolás Ricardo y Brunetti, María Angélica.</t>
  </si>
  <si>
    <t>HAY QUE CAMBIARLE EL NOMBRE AL 10C Y C 13 A TRES PROPIETARIOS TAL COMO INDICA MARINA SPERANZA EN EL MAIL QUE ENVIO A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</si>
</sst>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165" fontId="0" fillId="0" borderId="1" xfId="1" applyFont="1" applyBorder="1"/>
    <xf numFmtId="0" fontId="5" fillId="0" borderId="0" xfId="2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2" borderId="1" xfId="0" applyFill="1" applyBorder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0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7" fillId="2" borderId="1" xfId="0" applyFont="1" applyFill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19" fillId="2" borderId="1" xfId="1" applyFont="1" applyFill="1" applyBorder="1"/>
    <xf numFmtId="165" fontId="20" fillId="2" borderId="1" xfId="1" applyFont="1" applyFill="1" applyBorder="1"/>
    <xf numFmtId="165" fontId="20" fillId="6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/>
    </xf>
    <xf numFmtId="168" fontId="17" fillId="2" borderId="28" xfId="0" applyNumberFormat="1" applyFont="1" applyFill="1" applyBorder="1" applyAlignment="1">
      <alignment horizontal="center"/>
    </xf>
    <xf numFmtId="10" fontId="16" fillId="0" borderId="19" xfId="0" applyNumberFormat="1" applyFont="1" applyBorder="1"/>
    <xf numFmtId="10" fontId="18" fillId="2" borderId="28" xfId="0" applyNumberFormat="1" applyFont="1" applyFill="1" applyBorder="1" applyAlignment="1">
      <alignment horizontal="right"/>
    </xf>
    <xf numFmtId="10" fontId="16" fillId="0" borderId="20" xfId="0" applyNumberFormat="1" applyFont="1" applyBorder="1"/>
    <xf numFmtId="10" fontId="18" fillId="2" borderId="28" xfId="0" applyNumberFormat="1" applyFont="1" applyFill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0" borderId="30" xfId="0" applyBorder="1" applyAlignment="1">
      <alignment horizontal="right"/>
    </xf>
    <xf numFmtId="0" fontId="16" fillId="0" borderId="19" xfId="0" applyFont="1" applyBorder="1"/>
    <xf numFmtId="166" fontId="14" fillId="0" borderId="19" xfId="1" applyNumberFormat="1" applyFont="1" applyBorder="1"/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0" fontId="18" fillId="2" borderId="28" xfId="0" applyFont="1" applyFill="1" applyBorder="1" applyAlignment="1">
      <alignment horizontal="left"/>
    </xf>
    <xf numFmtId="165" fontId="2" fillId="3" borderId="1" xfId="0" applyNumberFormat="1" applyFont="1" applyFill="1" applyBorder="1"/>
    <xf numFmtId="166" fontId="14" fillId="0" borderId="11" xfId="1" applyNumberFormat="1" applyFont="1" applyBorder="1"/>
    <xf numFmtId="166" fontId="14" fillId="0" borderId="28" xfId="1" applyNumberFormat="1" applyFont="1" applyBorder="1"/>
    <xf numFmtId="167" fontId="19" fillId="0" borderId="1" xfId="0" applyNumberFormat="1" applyFont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166" fontId="14" fillId="2" borderId="28" xfId="1" applyNumberFormat="1" applyFont="1" applyFill="1" applyBorder="1" applyAlignment="1">
      <alignment horizontal="center"/>
    </xf>
    <xf numFmtId="166" fontId="14" fillId="0" borderId="20" xfId="1" applyNumberFormat="1" applyFont="1" applyBorder="1"/>
    <xf numFmtId="165" fontId="2" fillId="2" borderId="1" xfId="0" applyNumberFormat="1" applyFont="1" applyFill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31" xfId="0" applyFont="1" applyFill="1" applyBorder="1" applyAlignment="1">
      <alignment vertical="center" wrapText="1"/>
    </xf>
    <xf numFmtId="0" fontId="0" fillId="0" borderId="32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5" xfId="0" applyBorder="1"/>
    <xf numFmtId="0" fontId="0" fillId="0" borderId="36" xfId="0" applyBorder="1"/>
    <xf numFmtId="0" fontId="0" fillId="0" borderId="21" xfId="0" applyBorder="1"/>
    <xf numFmtId="0" fontId="0" fillId="0" borderId="22" xfId="0" applyBorder="1"/>
    <xf numFmtId="165" fontId="0" fillId="0" borderId="37" xfId="1" applyFont="1" applyBorder="1"/>
    <xf numFmtId="0" fontId="0" fillId="0" borderId="19" xfId="0" applyBorder="1"/>
    <xf numFmtId="165" fontId="0" fillId="0" borderId="33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/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3" xfId="0" applyBorder="1"/>
    <xf numFmtId="165" fontId="0" fillId="0" borderId="38" xfId="1" applyFont="1" applyBorder="1"/>
    <xf numFmtId="16" fontId="0" fillId="0" borderId="0" xfId="0" applyNumberFormat="1"/>
    <xf numFmtId="0" fontId="19" fillId="2" borderId="4" xfId="0" applyFont="1" applyFill="1" applyBorder="1" applyAlignment="1">
      <alignment horizontal="left" vertical="center"/>
    </xf>
    <xf numFmtId="0" fontId="0" fillId="2" borderId="0" xfId="0" applyFill="1"/>
    <xf numFmtId="165" fontId="24" fillId="0" borderId="1" xfId="1" applyFont="1" applyBorder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3" fontId="12" fillId="0" borderId="0" xfId="0" applyNumberFormat="1" applyFont="1"/>
    <xf numFmtId="0" fontId="6" fillId="2" borderId="5" xfId="0" applyFont="1" applyFill="1" applyBorder="1" applyAlignment="1">
      <alignment horizontal="left"/>
    </xf>
    <xf numFmtId="165" fontId="0" fillId="2" borderId="1" xfId="0" applyNumberFormat="1" applyFill="1" applyBorder="1"/>
    <xf numFmtId="166" fontId="14" fillId="2" borderId="19" xfId="1" applyNumberFormat="1" applyFont="1" applyFill="1" applyBorder="1"/>
    <xf numFmtId="165" fontId="3" fillId="0" borderId="0" xfId="1" applyFont="1" applyBorder="1"/>
    <xf numFmtId="0" fontId="19" fillId="0" borderId="0" xfId="0" applyFont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  <xf numFmtId="0" fontId="18" fillId="7" borderId="1" xfId="0" applyFont="1" applyFill="1" applyBorder="1"/>
    <xf numFmtId="0" fontId="0" fillId="7" borderId="0" xfId="0" applyFill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17"/>
  <sheetViews>
    <sheetView topLeftCell="A51" zoomScaleNormal="100" workbookViewId="0">
      <selection activeCell="H61" sqref="A15:H61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209" t="s">
        <v>198</v>
      </c>
      <c r="E2" s="210"/>
      <c r="F2" s="210"/>
      <c r="G2" s="210"/>
      <c r="H2" s="211"/>
    </row>
    <row r="3" spans="1:8" x14ac:dyDescent="0.25">
      <c r="A3" s="5"/>
      <c r="D3" s="9" t="s">
        <v>0</v>
      </c>
      <c r="E3" s="189">
        <v>1153202676</v>
      </c>
      <c r="F3" s="189"/>
      <c r="G3" s="189"/>
      <c r="H3" s="190"/>
    </row>
    <row r="4" spans="1:8" x14ac:dyDescent="0.25">
      <c r="A4" s="5"/>
      <c r="D4" s="9" t="s">
        <v>1</v>
      </c>
      <c r="E4" s="20" t="s">
        <v>12</v>
      </c>
      <c r="H4" s="6"/>
    </row>
    <row r="5" spans="1:8" x14ac:dyDescent="0.25">
      <c r="A5" s="5"/>
      <c r="D5" s="9" t="s">
        <v>2</v>
      </c>
      <c r="E5" s="15" t="s">
        <v>135</v>
      </c>
      <c r="H5" s="6"/>
    </row>
    <row r="6" spans="1:8" x14ac:dyDescent="0.25">
      <c r="A6" s="5"/>
      <c r="D6" s="9" t="s">
        <v>3</v>
      </c>
      <c r="G6" t="s">
        <v>190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217</v>
      </c>
      <c r="G8" s="12" t="s">
        <v>216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207</v>
      </c>
      <c r="H9" s="4"/>
    </row>
    <row r="10" spans="1:8" x14ac:dyDescent="0.25">
      <c r="A10" s="10" t="s">
        <v>6</v>
      </c>
      <c r="E10" s="9" t="s">
        <v>136</v>
      </c>
      <c r="H10" s="6"/>
    </row>
    <row r="11" spans="1:8" x14ac:dyDescent="0.25">
      <c r="A11" s="7" t="s">
        <v>137</v>
      </c>
      <c r="B11" s="2"/>
      <c r="C11" s="2"/>
      <c r="D11" s="2"/>
      <c r="E11" s="2"/>
      <c r="F11" s="2"/>
      <c r="G11" s="2" t="s">
        <v>138</v>
      </c>
      <c r="H11" s="8"/>
    </row>
    <row r="12" spans="1:8" x14ac:dyDescent="0.25">
      <c r="A12" s="7" t="s">
        <v>139</v>
      </c>
      <c r="B12" s="2"/>
      <c r="C12" s="2"/>
      <c r="D12" s="2"/>
      <c r="E12" s="2" t="s">
        <v>140</v>
      </c>
      <c r="F12" s="2"/>
      <c r="G12" s="2" t="s">
        <v>141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99" t="s">
        <v>142</v>
      </c>
      <c r="B14" s="200"/>
      <c r="C14" s="200"/>
      <c r="D14" s="200"/>
      <c r="E14" s="200"/>
      <c r="F14" s="200"/>
      <c r="G14" s="200"/>
      <c r="H14" s="201"/>
    </row>
    <row r="15" spans="1:8" x14ac:dyDescent="0.25">
      <c r="A15" s="121" t="s">
        <v>107</v>
      </c>
      <c r="B15" s="97"/>
      <c r="C15" s="97"/>
      <c r="D15" s="97"/>
      <c r="E15" s="97"/>
      <c r="F15" s="97"/>
      <c r="G15" s="97"/>
      <c r="H15" s="94">
        <v>1118406</v>
      </c>
    </row>
    <row r="16" spans="1:8" x14ac:dyDescent="0.25">
      <c r="A16" s="97" t="s">
        <v>109</v>
      </c>
      <c r="B16" s="97"/>
      <c r="C16" s="97"/>
      <c r="D16" s="97"/>
      <c r="E16" s="97"/>
      <c r="F16" s="97"/>
      <c r="G16" s="97"/>
      <c r="H16" s="94">
        <v>-243253.31</v>
      </c>
    </row>
    <row r="17" spans="1:16384" customFormat="1" x14ac:dyDescent="0.25">
      <c r="A17" s="97" t="s">
        <v>199</v>
      </c>
      <c r="B17" s="97"/>
      <c r="C17" s="97"/>
      <c r="D17" s="97"/>
      <c r="E17" s="97"/>
      <c r="F17" s="97"/>
      <c r="G17" s="97"/>
      <c r="H17" s="94">
        <v>0.31</v>
      </c>
      <c r="I17" s="140"/>
    </row>
    <row r="18" spans="1:16384" ht="13.5" customHeight="1" x14ac:dyDescent="0.25">
      <c r="A18" s="97" t="s">
        <v>108</v>
      </c>
      <c r="B18" s="97"/>
      <c r="C18" s="97"/>
      <c r="D18" s="97"/>
      <c r="E18" s="97"/>
      <c r="F18" s="97"/>
      <c r="G18" s="97"/>
      <c r="H18" s="96">
        <f>SUM(H15:H17)</f>
        <v>875153</v>
      </c>
    </row>
    <row r="19" spans="1:16384" customFormat="1" hidden="1" x14ac:dyDescent="0.25">
      <c r="A19" s="193" t="s">
        <v>209</v>
      </c>
      <c r="B19" s="193"/>
      <c r="C19" s="193"/>
      <c r="D19" s="193"/>
      <c r="E19" s="193"/>
      <c r="F19" s="193"/>
      <c r="G19" s="193"/>
      <c r="H19" s="193"/>
      <c r="Q19" s="199" t="s">
        <v>7</v>
      </c>
      <c r="R19" s="200"/>
      <c r="S19" s="200"/>
      <c r="T19" s="200"/>
      <c r="U19" s="200"/>
      <c r="V19" s="200"/>
      <c r="W19" s="200"/>
      <c r="X19" s="201"/>
      <c r="Y19" s="199" t="s">
        <v>7</v>
      </c>
      <c r="Z19" s="200"/>
      <c r="AA19" s="200"/>
      <c r="AB19" s="200"/>
      <c r="AC19" s="200"/>
      <c r="AD19" s="200"/>
      <c r="AE19" s="200"/>
      <c r="AF19" s="201"/>
      <c r="AG19" s="199" t="s">
        <v>7</v>
      </c>
      <c r="AH19" s="200"/>
      <c r="AI19" s="200"/>
      <c r="AJ19" s="200"/>
      <c r="AK19" s="200"/>
      <c r="AL19" s="200"/>
      <c r="AM19" s="200"/>
      <c r="AN19" s="201"/>
      <c r="AO19" s="199" t="s">
        <v>7</v>
      </c>
      <c r="AP19" s="200"/>
      <c r="AQ19" s="200"/>
      <c r="AR19" s="200"/>
      <c r="AS19" s="200"/>
      <c r="AT19" s="200"/>
      <c r="AU19" s="200"/>
      <c r="AV19" s="201"/>
      <c r="AW19" s="199" t="s">
        <v>7</v>
      </c>
      <c r="AX19" s="200"/>
      <c r="AY19" s="200"/>
      <c r="AZ19" s="200"/>
      <c r="BA19" s="200"/>
      <c r="BB19" s="200"/>
      <c r="BC19" s="200"/>
      <c r="BD19" s="201"/>
      <c r="BE19" s="199" t="s">
        <v>7</v>
      </c>
      <c r="BF19" s="200"/>
      <c r="BG19" s="200"/>
      <c r="BH19" s="200"/>
      <c r="BI19" s="200"/>
      <c r="BJ19" s="200"/>
      <c r="BK19" s="200"/>
      <c r="BL19" s="201"/>
      <c r="BM19" s="199" t="s">
        <v>7</v>
      </c>
      <c r="BN19" s="200"/>
      <c r="BO19" s="200"/>
      <c r="BP19" s="200"/>
      <c r="BQ19" s="200"/>
      <c r="BR19" s="200"/>
      <c r="BS19" s="200"/>
      <c r="BT19" s="201"/>
      <c r="BU19" s="199" t="s">
        <v>7</v>
      </c>
      <c r="BV19" s="200"/>
      <c r="BW19" s="200"/>
      <c r="BX19" s="200"/>
      <c r="BY19" s="200"/>
      <c r="BZ19" s="200"/>
      <c r="CA19" s="200"/>
      <c r="CB19" s="201"/>
      <c r="CC19" s="199" t="s">
        <v>7</v>
      </c>
      <c r="CD19" s="200"/>
      <c r="CE19" s="200"/>
      <c r="CF19" s="200"/>
      <c r="CG19" s="200"/>
      <c r="CH19" s="200"/>
      <c r="CI19" s="200"/>
      <c r="CJ19" s="201"/>
      <c r="CK19" s="199" t="s">
        <v>7</v>
      </c>
      <c r="CL19" s="200"/>
      <c r="CM19" s="200"/>
      <c r="CN19" s="200"/>
      <c r="CO19" s="200"/>
      <c r="CP19" s="200"/>
      <c r="CQ19" s="200"/>
      <c r="CR19" s="201"/>
      <c r="CS19" s="199" t="s">
        <v>7</v>
      </c>
      <c r="CT19" s="200"/>
      <c r="CU19" s="200"/>
      <c r="CV19" s="200"/>
      <c r="CW19" s="200"/>
      <c r="CX19" s="200"/>
      <c r="CY19" s="200"/>
      <c r="CZ19" s="201"/>
      <c r="DA19" s="199" t="s">
        <v>7</v>
      </c>
      <c r="DB19" s="200"/>
      <c r="DC19" s="200"/>
      <c r="DD19" s="200"/>
      <c r="DE19" s="200"/>
      <c r="DF19" s="200"/>
      <c r="DG19" s="200"/>
      <c r="DH19" s="201"/>
      <c r="DI19" s="199" t="s">
        <v>7</v>
      </c>
      <c r="DJ19" s="200"/>
      <c r="DK19" s="200"/>
      <c r="DL19" s="200"/>
      <c r="DM19" s="200"/>
      <c r="DN19" s="200"/>
      <c r="DO19" s="200"/>
      <c r="DP19" s="201"/>
      <c r="DQ19" s="199" t="s">
        <v>7</v>
      </c>
      <c r="DR19" s="200"/>
      <c r="DS19" s="200"/>
      <c r="DT19" s="200"/>
      <c r="DU19" s="200"/>
      <c r="DV19" s="200"/>
      <c r="DW19" s="200"/>
      <c r="DX19" s="201"/>
      <c r="DY19" s="199" t="s">
        <v>7</v>
      </c>
      <c r="DZ19" s="200"/>
      <c r="EA19" s="200"/>
      <c r="EB19" s="200"/>
      <c r="EC19" s="200"/>
      <c r="ED19" s="200"/>
      <c r="EE19" s="200"/>
      <c r="EF19" s="201"/>
      <c r="EG19" s="199" t="s">
        <v>7</v>
      </c>
      <c r="EH19" s="200"/>
      <c r="EI19" s="200"/>
      <c r="EJ19" s="200"/>
      <c r="EK19" s="200"/>
      <c r="EL19" s="200"/>
      <c r="EM19" s="200"/>
      <c r="EN19" s="201"/>
      <c r="EO19" s="199" t="s">
        <v>7</v>
      </c>
      <c r="EP19" s="200"/>
      <c r="EQ19" s="200"/>
      <c r="ER19" s="200"/>
      <c r="ES19" s="200"/>
      <c r="ET19" s="200"/>
      <c r="EU19" s="200"/>
      <c r="EV19" s="201"/>
      <c r="EW19" s="199" t="s">
        <v>7</v>
      </c>
      <c r="EX19" s="200"/>
      <c r="EY19" s="200"/>
      <c r="EZ19" s="200"/>
      <c r="FA19" s="200"/>
      <c r="FB19" s="200"/>
      <c r="FC19" s="200"/>
      <c r="FD19" s="201"/>
      <c r="FE19" s="199" t="s">
        <v>7</v>
      </c>
      <c r="FF19" s="200"/>
      <c r="FG19" s="200"/>
      <c r="FH19" s="200"/>
      <c r="FI19" s="200"/>
      <c r="FJ19" s="200"/>
      <c r="FK19" s="200"/>
      <c r="FL19" s="201"/>
      <c r="FM19" s="199" t="s">
        <v>7</v>
      </c>
      <c r="FN19" s="200"/>
      <c r="FO19" s="200"/>
      <c r="FP19" s="200"/>
      <c r="FQ19" s="200"/>
      <c r="FR19" s="200"/>
      <c r="FS19" s="200"/>
      <c r="FT19" s="201"/>
      <c r="FU19" s="199" t="s">
        <v>7</v>
      </c>
      <c r="FV19" s="200"/>
      <c r="FW19" s="200"/>
      <c r="FX19" s="200"/>
      <c r="FY19" s="200"/>
      <c r="FZ19" s="200"/>
      <c r="GA19" s="200"/>
      <c r="GB19" s="201"/>
      <c r="GC19" s="199" t="s">
        <v>7</v>
      </c>
      <c r="GD19" s="200"/>
      <c r="GE19" s="200"/>
      <c r="GF19" s="200"/>
      <c r="GG19" s="200"/>
      <c r="GH19" s="200"/>
      <c r="GI19" s="200"/>
      <c r="GJ19" s="201"/>
      <c r="GK19" s="199" t="s">
        <v>7</v>
      </c>
      <c r="GL19" s="200"/>
      <c r="GM19" s="200"/>
      <c r="GN19" s="200"/>
      <c r="GO19" s="200"/>
      <c r="GP19" s="200"/>
      <c r="GQ19" s="200"/>
      <c r="GR19" s="201"/>
      <c r="GS19" s="199" t="s">
        <v>7</v>
      </c>
      <c r="GT19" s="200"/>
      <c r="GU19" s="200"/>
      <c r="GV19" s="200"/>
      <c r="GW19" s="200"/>
      <c r="GX19" s="200"/>
      <c r="GY19" s="200"/>
      <c r="GZ19" s="201"/>
      <c r="HA19" s="199" t="s">
        <v>7</v>
      </c>
      <c r="HB19" s="200"/>
      <c r="HC19" s="200"/>
      <c r="HD19" s="200"/>
      <c r="HE19" s="200"/>
      <c r="HF19" s="200"/>
      <c r="HG19" s="200"/>
      <c r="HH19" s="201"/>
      <c r="HI19" s="199" t="s">
        <v>7</v>
      </c>
      <c r="HJ19" s="200"/>
      <c r="HK19" s="200"/>
      <c r="HL19" s="200"/>
      <c r="HM19" s="200"/>
      <c r="HN19" s="200"/>
      <c r="HO19" s="200"/>
      <c r="HP19" s="201"/>
      <c r="HQ19" s="199" t="s">
        <v>7</v>
      </c>
      <c r="HR19" s="200"/>
      <c r="HS19" s="200"/>
      <c r="HT19" s="200"/>
      <c r="HU19" s="200"/>
      <c r="HV19" s="200"/>
      <c r="HW19" s="200"/>
      <c r="HX19" s="201"/>
      <c r="HY19" s="199" t="s">
        <v>7</v>
      </c>
      <c r="HZ19" s="200"/>
      <c r="IA19" s="200"/>
      <c r="IB19" s="200"/>
      <c r="IC19" s="200"/>
      <c r="ID19" s="200"/>
      <c r="IE19" s="200"/>
      <c r="IF19" s="201"/>
      <c r="IG19" s="199" t="s">
        <v>7</v>
      </c>
      <c r="IH19" s="200"/>
      <c r="II19" s="200"/>
      <c r="IJ19" s="200"/>
      <c r="IK19" s="200"/>
      <c r="IL19" s="200"/>
      <c r="IM19" s="200"/>
      <c r="IN19" s="201"/>
      <c r="IO19" s="199" t="s">
        <v>7</v>
      </c>
      <c r="IP19" s="200"/>
      <c r="IQ19" s="200"/>
      <c r="IR19" s="200"/>
      <c r="IS19" s="200"/>
      <c r="IT19" s="200"/>
      <c r="IU19" s="200"/>
      <c r="IV19" s="201"/>
      <c r="IW19" s="199" t="s">
        <v>7</v>
      </c>
      <c r="IX19" s="200"/>
      <c r="IY19" s="200"/>
      <c r="IZ19" s="200"/>
      <c r="JA19" s="200"/>
      <c r="JB19" s="200"/>
      <c r="JC19" s="200"/>
      <c r="JD19" s="201"/>
      <c r="JE19" s="199" t="s">
        <v>7</v>
      </c>
      <c r="JF19" s="200"/>
      <c r="JG19" s="200"/>
      <c r="JH19" s="200"/>
      <c r="JI19" s="200"/>
      <c r="JJ19" s="200"/>
      <c r="JK19" s="200"/>
      <c r="JL19" s="201"/>
      <c r="JM19" s="199" t="s">
        <v>7</v>
      </c>
      <c r="JN19" s="200"/>
      <c r="JO19" s="200"/>
      <c r="JP19" s="200"/>
      <c r="JQ19" s="200"/>
      <c r="JR19" s="200"/>
      <c r="JS19" s="200"/>
      <c r="JT19" s="201"/>
      <c r="JU19" s="199" t="s">
        <v>7</v>
      </c>
      <c r="JV19" s="200"/>
      <c r="JW19" s="200"/>
      <c r="JX19" s="200"/>
      <c r="JY19" s="200"/>
      <c r="JZ19" s="200"/>
      <c r="KA19" s="200"/>
      <c r="KB19" s="201"/>
      <c r="KC19" s="199" t="s">
        <v>7</v>
      </c>
      <c r="KD19" s="200"/>
      <c r="KE19" s="200"/>
      <c r="KF19" s="200"/>
      <c r="KG19" s="200"/>
      <c r="KH19" s="200"/>
      <c r="KI19" s="200"/>
      <c r="KJ19" s="201"/>
      <c r="KK19" s="199" t="s">
        <v>7</v>
      </c>
      <c r="KL19" s="200"/>
      <c r="KM19" s="200"/>
      <c r="KN19" s="200"/>
      <c r="KO19" s="200"/>
      <c r="KP19" s="200"/>
      <c r="KQ19" s="200"/>
      <c r="KR19" s="201"/>
      <c r="KS19" s="199" t="s">
        <v>7</v>
      </c>
      <c r="KT19" s="200"/>
      <c r="KU19" s="200"/>
      <c r="KV19" s="200"/>
      <c r="KW19" s="200"/>
      <c r="KX19" s="200"/>
      <c r="KY19" s="200"/>
      <c r="KZ19" s="201"/>
      <c r="LA19" s="199" t="s">
        <v>7</v>
      </c>
      <c r="LB19" s="200"/>
      <c r="LC19" s="200"/>
      <c r="LD19" s="200"/>
      <c r="LE19" s="200"/>
      <c r="LF19" s="200"/>
      <c r="LG19" s="200"/>
      <c r="LH19" s="201"/>
      <c r="LI19" s="199" t="s">
        <v>7</v>
      </c>
      <c r="LJ19" s="200"/>
      <c r="LK19" s="200"/>
      <c r="LL19" s="200"/>
      <c r="LM19" s="200"/>
      <c r="LN19" s="200"/>
      <c r="LO19" s="200"/>
      <c r="LP19" s="201"/>
      <c r="LQ19" s="199" t="s">
        <v>7</v>
      </c>
      <c r="LR19" s="200"/>
      <c r="LS19" s="200"/>
      <c r="LT19" s="200"/>
      <c r="LU19" s="200"/>
      <c r="LV19" s="200"/>
      <c r="LW19" s="200"/>
      <c r="LX19" s="201"/>
      <c r="LY19" s="199" t="s">
        <v>7</v>
      </c>
      <c r="LZ19" s="200"/>
      <c r="MA19" s="200"/>
      <c r="MB19" s="200"/>
      <c r="MC19" s="200"/>
      <c r="MD19" s="200"/>
      <c r="ME19" s="200"/>
      <c r="MF19" s="201"/>
      <c r="MG19" s="199" t="s">
        <v>7</v>
      </c>
      <c r="MH19" s="200"/>
      <c r="MI19" s="200"/>
      <c r="MJ19" s="200"/>
      <c r="MK19" s="200"/>
      <c r="ML19" s="200"/>
      <c r="MM19" s="200"/>
      <c r="MN19" s="201"/>
      <c r="MO19" s="199" t="s">
        <v>7</v>
      </c>
      <c r="MP19" s="200"/>
      <c r="MQ19" s="200"/>
      <c r="MR19" s="200"/>
      <c r="MS19" s="200"/>
      <c r="MT19" s="200"/>
      <c r="MU19" s="200"/>
      <c r="MV19" s="201"/>
      <c r="MW19" s="199" t="s">
        <v>7</v>
      </c>
      <c r="MX19" s="200"/>
      <c r="MY19" s="200"/>
      <c r="MZ19" s="200"/>
      <c r="NA19" s="200"/>
      <c r="NB19" s="200"/>
      <c r="NC19" s="200"/>
      <c r="ND19" s="201"/>
      <c r="NE19" s="199" t="s">
        <v>7</v>
      </c>
      <c r="NF19" s="200"/>
      <c r="NG19" s="200"/>
      <c r="NH19" s="200"/>
      <c r="NI19" s="200"/>
      <c r="NJ19" s="200"/>
      <c r="NK19" s="200"/>
      <c r="NL19" s="201"/>
      <c r="NM19" s="199" t="s">
        <v>7</v>
      </c>
      <c r="NN19" s="200"/>
      <c r="NO19" s="200"/>
      <c r="NP19" s="200"/>
      <c r="NQ19" s="200"/>
      <c r="NR19" s="200"/>
      <c r="NS19" s="200"/>
      <c r="NT19" s="201"/>
      <c r="NU19" s="199" t="s">
        <v>7</v>
      </c>
      <c r="NV19" s="200"/>
      <c r="NW19" s="200"/>
      <c r="NX19" s="200"/>
      <c r="NY19" s="200"/>
      <c r="NZ19" s="200"/>
      <c r="OA19" s="200"/>
      <c r="OB19" s="201"/>
      <c r="OC19" s="199" t="s">
        <v>7</v>
      </c>
      <c r="OD19" s="200"/>
      <c r="OE19" s="200"/>
      <c r="OF19" s="200"/>
      <c r="OG19" s="200"/>
      <c r="OH19" s="200"/>
      <c r="OI19" s="200"/>
      <c r="OJ19" s="201"/>
      <c r="OK19" s="199" t="s">
        <v>7</v>
      </c>
      <c r="OL19" s="200"/>
      <c r="OM19" s="200"/>
      <c r="ON19" s="200"/>
      <c r="OO19" s="200"/>
      <c r="OP19" s="200"/>
      <c r="OQ19" s="200"/>
      <c r="OR19" s="201"/>
      <c r="OS19" s="199" t="s">
        <v>7</v>
      </c>
      <c r="OT19" s="200"/>
      <c r="OU19" s="200"/>
      <c r="OV19" s="200"/>
      <c r="OW19" s="200"/>
      <c r="OX19" s="200"/>
      <c r="OY19" s="200"/>
      <c r="OZ19" s="201"/>
      <c r="PA19" s="199" t="s">
        <v>7</v>
      </c>
      <c r="PB19" s="200"/>
      <c r="PC19" s="200"/>
      <c r="PD19" s="200"/>
      <c r="PE19" s="200"/>
      <c r="PF19" s="200"/>
      <c r="PG19" s="200"/>
      <c r="PH19" s="201"/>
      <c r="PI19" s="199" t="s">
        <v>7</v>
      </c>
      <c r="PJ19" s="200"/>
      <c r="PK19" s="200"/>
      <c r="PL19" s="200"/>
      <c r="PM19" s="200"/>
      <c r="PN19" s="200"/>
      <c r="PO19" s="200"/>
      <c r="PP19" s="201"/>
      <c r="PQ19" s="199" t="s">
        <v>7</v>
      </c>
      <c r="PR19" s="200"/>
      <c r="PS19" s="200"/>
      <c r="PT19" s="200"/>
      <c r="PU19" s="200"/>
      <c r="PV19" s="200"/>
      <c r="PW19" s="200"/>
      <c r="PX19" s="201"/>
      <c r="PY19" s="199" t="s">
        <v>7</v>
      </c>
      <c r="PZ19" s="200"/>
      <c r="QA19" s="200"/>
      <c r="QB19" s="200"/>
      <c r="QC19" s="200"/>
      <c r="QD19" s="200"/>
      <c r="QE19" s="200"/>
      <c r="QF19" s="201"/>
      <c r="QG19" s="199" t="s">
        <v>7</v>
      </c>
      <c r="QH19" s="200"/>
      <c r="QI19" s="200"/>
      <c r="QJ19" s="200"/>
      <c r="QK19" s="200"/>
      <c r="QL19" s="200"/>
      <c r="QM19" s="200"/>
      <c r="QN19" s="201"/>
      <c r="QO19" s="199" t="s">
        <v>7</v>
      </c>
      <c r="QP19" s="200"/>
      <c r="QQ19" s="200"/>
      <c r="QR19" s="200"/>
      <c r="QS19" s="200"/>
      <c r="QT19" s="200"/>
      <c r="QU19" s="200"/>
      <c r="QV19" s="201"/>
      <c r="QW19" s="199" t="s">
        <v>7</v>
      </c>
      <c r="QX19" s="200"/>
      <c r="QY19" s="200"/>
      <c r="QZ19" s="200"/>
      <c r="RA19" s="200"/>
      <c r="RB19" s="200"/>
      <c r="RC19" s="200"/>
      <c r="RD19" s="201"/>
      <c r="RE19" s="199" t="s">
        <v>7</v>
      </c>
      <c r="RF19" s="200"/>
      <c r="RG19" s="200"/>
      <c r="RH19" s="200"/>
      <c r="RI19" s="200"/>
      <c r="RJ19" s="200"/>
      <c r="RK19" s="200"/>
      <c r="RL19" s="201"/>
      <c r="RM19" s="199" t="s">
        <v>7</v>
      </c>
      <c r="RN19" s="200"/>
      <c r="RO19" s="200"/>
      <c r="RP19" s="200"/>
      <c r="RQ19" s="200"/>
      <c r="RR19" s="200"/>
      <c r="RS19" s="200"/>
      <c r="RT19" s="201"/>
      <c r="RU19" s="199" t="s">
        <v>7</v>
      </c>
      <c r="RV19" s="200"/>
      <c r="RW19" s="200"/>
      <c r="RX19" s="200"/>
      <c r="RY19" s="200"/>
      <c r="RZ19" s="200"/>
      <c r="SA19" s="200"/>
      <c r="SB19" s="201"/>
      <c r="SC19" s="199" t="s">
        <v>7</v>
      </c>
      <c r="SD19" s="200"/>
      <c r="SE19" s="200"/>
      <c r="SF19" s="200"/>
      <c r="SG19" s="200"/>
      <c r="SH19" s="200"/>
      <c r="SI19" s="200"/>
      <c r="SJ19" s="201"/>
      <c r="SK19" s="199" t="s">
        <v>7</v>
      </c>
      <c r="SL19" s="200"/>
      <c r="SM19" s="200"/>
      <c r="SN19" s="200"/>
      <c r="SO19" s="200"/>
      <c r="SP19" s="200"/>
      <c r="SQ19" s="200"/>
      <c r="SR19" s="201"/>
      <c r="SS19" s="199" t="s">
        <v>7</v>
      </c>
      <c r="ST19" s="200"/>
      <c r="SU19" s="200"/>
      <c r="SV19" s="200"/>
      <c r="SW19" s="200"/>
      <c r="SX19" s="200"/>
      <c r="SY19" s="200"/>
      <c r="SZ19" s="201"/>
      <c r="TA19" s="199" t="s">
        <v>7</v>
      </c>
      <c r="TB19" s="200"/>
      <c r="TC19" s="200"/>
      <c r="TD19" s="200"/>
      <c r="TE19" s="200"/>
      <c r="TF19" s="200"/>
      <c r="TG19" s="200"/>
      <c r="TH19" s="201"/>
      <c r="TI19" s="199" t="s">
        <v>7</v>
      </c>
      <c r="TJ19" s="200"/>
      <c r="TK19" s="200"/>
      <c r="TL19" s="200"/>
      <c r="TM19" s="200"/>
      <c r="TN19" s="200"/>
      <c r="TO19" s="200"/>
      <c r="TP19" s="201"/>
      <c r="TQ19" s="199" t="s">
        <v>7</v>
      </c>
      <c r="TR19" s="200"/>
      <c r="TS19" s="200"/>
      <c r="TT19" s="200"/>
      <c r="TU19" s="200"/>
      <c r="TV19" s="200"/>
      <c r="TW19" s="200"/>
      <c r="TX19" s="201"/>
      <c r="TY19" s="199" t="s">
        <v>7</v>
      </c>
      <c r="TZ19" s="200"/>
      <c r="UA19" s="200"/>
      <c r="UB19" s="200"/>
      <c r="UC19" s="200"/>
      <c r="UD19" s="200"/>
      <c r="UE19" s="200"/>
      <c r="UF19" s="201"/>
      <c r="UG19" s="199" t="s">
        <v>7</v>
      </c>
      <c r="UH19" s="200"/>
      <c r="UI19" s="200"/>
      <c r="UJ19" s="200"/>
      <c r="UK19" s="200"/>
      <c r="UL19" s="200"/>
      <c r="UM19" s="200"/>
      <c r="UN19" s="201"/>
      <c r="UO19" s="199" t="s">
        <v>7</v>
      </c>
      <c r="UP19" s="200"/>
      <c r="UQ19" s="200"/>
      <c r="UR19" s="200"/>
      <c r="US19" s="200"/>
      <c r="UT19" s="200"/>
      <c r="UU19" s="200"/>
      <c r="UV19" s="201"/>
      <c r="UW19" s="199" t="s">
        <v>7</v>
      </c>
      <c r="UX19" s="200"/>
      <c r="UY19" s="200"/>
      <c r="UZ19" s="200"/>
      <c r="VA19" s="200"/>
      <c r="VB19" s="200"/>
      <c r="VC19" s="200"/>
      <c r="VD19" s="201"/>
      <c r="VE19" s="199" t="s">
        <v>7</v>
      </c>
      <c r="VF19" s="200"/>
      <c r="VG19" s="200"/>
      <c r="VH19" s="200"/>
      <c r="VI19" s="200"/>
      <c r="VJ19" s="200"/>
      <c r="VK19" s="200"/>
      <c r="VL19" s="201"/>
      <c r="VM19" s="199" t="s">
        <v>7</v>
      </c>
      <c r="VN19" s="200"/>
      <c r="VO19" s="200"/>
      <c r="VP19" s="200"/>
      <c r="VQ19" s="200"/>
      <c r="VR19" s="200"/>
      <c r="VS19" s="200"/>
      <c r="VT19" s="201"/>
      <c r="VU19" s="199" t="s">
        <v>7</v>
      </c>
      <c r="VV19" s="200"/>
      <c r="VW19" s="200"/>
      <c r="VX19" s="200"/>
      <c r="VY19" s="200"/>
      <c r="VZ19" s="200"/>
      <c r="WA19" s="200"/>
      <c r="WB19" s="201"/>
      <c r="WC19" s="199" t="s">
        <v>7</v>
      </c>
      <c r="WD19" s="200"/>
      <c r="WE19" s="200"/>
      <c r="WF19" s="200"/>
      <c r="WG19" s="200"/>
      <c r="WH19" s="200"/>
      <c r="WI19" s="200"/>
      <c r="WJ19" s="201"/>
      <c r="WK19" s="199" t="s">
        <v>7</v>
      </c>
      <c r="WL19" s="200"/>
      <c r="WM19" s="200"/>
      <c r="WN19" s="200"/>
      <c r="WO19" s="200"/>
      <c r="WP19" s="200"/>
      <c r="WQ19" s="200"/>
      <c r="WR19" s="201"/>
      <c r="WS19" s="199" t="s">
        <v>7</v>
      </c>
      <c r="WT19" s="200"/>
      <c r="WU19" s="200"/>
      <c r="WV19" s="200"/>
      <c r="WW19" s="200"/>
      <c r="WX19" s="200"/>
      <c r="WY19" s="200"/>
      <c r="WZ19" s="201"/>
      <c r="XA19" s="199" t="s">
        <v>7</v>
      </c>
      <c r="XB19" s="200"/>
      <c r="XC19" s="200"/>
      <c r="XD19" s="200"/>
      <c r="XE19" s="200"/>
      <c r="XF19" s="200"/>
      <c r="XG19" s="200"/>
      <c r="XH19" s="201"/>
      <c r="XI19" s="199" t="s">
        <v>7</v>
      </c>
      <c r="XJ19" s="200"/>
      <c r="XK19" s="200"/>
      <c r="XL19" s="200"/>
      <c r="XM19" s="200"/>
      <c r="XN19" s="200"/>
      <c r="XO19" s="200"/>
      <c r="XP19" s="201"/>
      <c r="XQ19" s="199" t="s">
        <v>7</v>
      </c>
      <c r="XR19" s="200"/>
      <c r="XS19" s="200"/>
      <c r="XT19" s="200"/>
      <c r="XU19" s="200"/>
      <c r="XV19" s="200"/>
      <c r="XW19" s="200"/>
      <c r="XX19" s="201"/>
      <c r="XY19" s="199" t="s">
        <v>7</v>
      </c>
      <c r="XZ19" s="200"/>
      <c r="YA19" s="200"/>
      <c r="YB19" s="200"/>
      <c r="YC19" s="200"/>
      <c r="YD19" s="200"/>
      <c r="YE19" s="200"/>
      <c r="YF19" s="201"/>
      <c r="YG19" s="199" t="s">
        <v>7</v>
      </c>
      <c r="YH19" s="200"/>
      <c r="YI19" s="200"/>
      <c r="YJ19" s="200"/>
      <c r="YK19" s="200"/>
      <c r="YL19" s="200"/>
      <c r="YM19" s="200"/>
      <c r="YN19" s="201"/>
      <c r="YO19" s="199" t="s">
        <v>7</v>
      </c>
      <c r="YP19" s="200"/>
      <c r="YQ19" s="200"/>
      <c r="YR19" s="200"/>
      <c r="YS19" s="200"/>
      <c r="YT19" s="200"/>
      <c r="YU19" s="200"/>
      <c r="YV19" s="201"/>
      <c r="YW19" s="199" t="s">
        <v>7</v>
      </c>
      <c r="YX19" s="200"/>
      <c r="YY19" s="200"/>
      <c r="YZ19" s="200"/>
      <c r="ZA19" s="200"/>
      <c r="ZB19" s="200"/>
      <c r="ZC19" s="200"/>
      <c r="ZD19" s="201"/>
      <c r="ZE19" s="199" t="s">
        <v>7</v>
      </c>
      <c r="ZF19" s="200"/>
      <c r="ZG19" s="200"/>
      <c r="ZH19" s="200"/>
      <c r="ZI19" s="200"/>
      <c r="ZJ19" s="200"/>
      <c r="ZK19" s="200"/>
      <c r="ZL19" s="201"/>
      <c r="ZM19" s="199" t="s">
        <v>7</v>
      </c>
      <c r="ZN19" s="200"/>
      <c r="ZO19" s="200"/>
      <c r="ZP19" s="200"/>
      <c r="ZQ19" s="200"/>
      <c r="ZR19" s="200"/>
      <c r="ZS19" s="200"/>
      <c r="ZT19" s="201"/>
      <c r="ZU19" s="199" t="s">
        <v>7</v>
      </c>
      <c r="ZV19" s="200"/>
      <c r="ZW19" s="200"/>
      <c r="ZX19" s="200"/>
      <c r="ZY19" s="200"/>
      <c r="ZZ19" s="200"/>
      <c r="AAA19" s="200"/>
      <c r="AAB19" s="201"/>
      <c r="AAC19" s="199" t="s">
        <v>7</v>
      </c>
      <c r="AAD19" s="200"/>
      <c r="AAE19" s="200"/>
      <c r="AAF19" s="200"/>
      <c r="AAG19" s="200"/>
      <c r="AAH19" s="200"/>
      <c r="AAI19" s="200"/>
      <c r="AAJ19" s="201"/>
      <c r="AAK19" s="199" t="s">
        <v>7</v>
      </c>
      <c r="AAL19" s="200"/>
      <c r="AAM19" s="200"/>
      <c r="AAN19" s="200"/>
      <c r="AAO19" s="200"/>
      <c r="AAP19" s="200"/>
      <c r="AAQ19" s="200"/>
      <c r="AAR19" s="201"/>
      <c r="AAS19" s="199" t="s">
        <v>7</v>
      </c>
      <c r="AAT19" s="200"/>
      <c r="AAU19" s="200"/>
      <c r="AAV19" s="200"/>
      <c r="AAW19" s="200"/>
      <c r="AAX19" s="200"/>
      <c r="AAY19" s="200"/>
      <c r="AAZ19" s="201"/>
      <c r="ABA19" s="199" t="s">
        <v>7</v>
      </c>
      <c r="ABB19" s="200"/>
      <c r="ABC19" s="200"/>
      <c r="ABD19" s="200"/>
      <c r="ABE19" s="200"/>
      <c r="ABF19" s="200"/>
      <c r="ABG19" s="200"/>
      <c r="ABH19" s="201"/>
      <c r="ABI19" s="199" t="s">
        <v>7</v>
      </c>
      <c r="ABJ19" s="200"/>
      <c r="ABK19" s="200"/>
      <c r="ABL19" s="200"/>
      <c r="ABM19" s="200"/>
      <c r="ABN19" s="200"/>
      <c r="ABO19" s="200"/>
      <c r="ABP19" s="201"/>
      <c r="ABQ19" s="199" t="s">
        <v>7</v>
      </c>
      <c r="ABR19" s="200"/>
      <c r="ABS19" s="200"/>
      <c r="ABT19" s="200"/>
      <c r="ABU19" s="200"/>
      <c r="ABV19" s="200"/>
      <c r="ABW19" s="200"/>
      <c r="ABX19" s="201"/>
      <c r="ABY19" s="199" t="s">
        <v>7</v>
      </c>
      <c r="ABZ19" s="200"/>
      <c r="ACA19" s="200"/>
      <c r="ACB19" s="200"/>
      <c r="ACC19" s="200"/>
      <c r="ACD19" s="200"/>
      <c r="ACE19" s="200"/>
      <c r="ACF19" s="201"/>
      <c r="ACG19" s="199" t="s">
        <v>7</v>
      </c>
      <c r="ACH19" s="200"/>
      <c r="ACI19" s="200"/>
      <c r="ACJ19" s="200"/>
      <c r="ACK19" s="200"/>
      <c r="ACL19" s="200"/>
      <c r="ACM19" s="200"/>
      <c r="ACN19" s="201"/>
      <c r="ACO19" s="199" t="s">
        <v>7</v>
      </c>
      <c r="ACP19" s="200"/>
      <c r="ACQ19" s="200"/>
      <c r="ACR19" s="200"/>
      <c r="ACS19" s="200"/>
      <c r="ACT19" s="200"/>
      <c r="ACU19" s="200"/>
      <c r="ACV19" s="201"/>
      <c r="ACW19" s="199" t="s">
        <v>7</v>
      </c>
      <c r="ACX19" s="200"/>
      <c r="ACY19" s="200"/>
      <c r="ACZ19" s="200"/>
      <c r="ADA19" s="200"/>
      <c r="ADB19" s="200"/>
      <c r="ADC19" s="200"/>
      <c r="ADD19" s="201"/>
      <c r="ADE19" s="199" t="s">
        <v>7</v>
      </c>
      <c r="ADF19" s="200"/>
      <c r="ADG19" s="200"/>
      <c r="ADH19" s="200"/>
      <c r="ADI19" s="200"/>
      <c r="ADJ19" s="200"/>
      <c r="ADK19" s="200"/>
      <c r="ADL19" s="201"/>
      <c r="ADM19" s="199" t="s">
        <v>7</v>
      </c>
      <c r="ADN19" s="200"/>
      <c r="ADO19" s="200"/>
      <c r="ADP19" s="200"/>
      <c r="ADQ19" s="200"/>
      <c r="ADR19" s="200"/>
      <c r="ADS19" s="200"/>
      <c r="ADT19" s="201"/>
      <c r="ADU19" s="199" t="s">
        <v>7</v>
      </c>
      <c r="ADV19" s="200"/>
      <c r="ADW19" s="200"/>
      <c r="ADX19" s="200"/>
      <c r="ADY19" s="200"/>
      <c r="ADZ19" s="200"/>
      <c r="AEA19" s="200"/>
      <c r="AEB19" s="201"/>
      <c r="AEC19" s="199" t="s">
        <v>7</v>
      </c>
      <c r="AED19" s="200"/>
      <c r="AEE19" s="200"/>
      <c r="AEF19" s="200"/>
      <c r="AEG19" s="200"/>
      <c r="AEH19" s="200"/>
      <c r="AEI19" s="200"/>
      <c r="AEJ19" s="201"/>
      <c r="AEK19" s="199" t="s">
        <v>7</v>
      </c>
      <c r="AEL19" s="200"/>
      <c r="AEM19" s="200"/>
      <c r="AEN19" s="200"/>
      <c r="AEO19" s="200"/>
      <c r="AEP19" s="200"/>
      <c r="AEQ19" s="200"/>
      <c r="AER19" s="201"/>
      <c r="AES19" s="199" t="s">
        <v>7</v>
      </c>
      <c r="AET19" s="200"/>
      <c r="AEU19" s="200"/>
      <c r="AEV19" s="200"/>
      <c r="AEW19" s="200"/>
      <c r="AEX19" s="200"/>
      <c r="AEY19" s="200"/>
      <c r="AEZ19" s="201"/>
      <c r="AFA19" s="199" t="s">
        <v>7</v>
      </c>
      <c r="AFB19" s="200"/>
      <c r="AFC19" s="200"/>
      <c r="AFD19" s="200"/>
      <c r="AFE19" s="200"/>
      <c r="AFF19" s="200"/>
      <c r="AFG19" s="200"/>
      <c r="AFH19" s="201"/>
      <c r="AFI19" s="199" t="s">
        <v>7</v>
      </c>
      <c r="AFJ19" s="200"/>
      <c r="AFK19" s="200"/>
      <c r="AFL19" s="200"/>
      <c r="AFM19" s="200"/>
      <c r="AFN19" s="200"/>
      <c r="AFO19" s="200"/>
      <c r="AFP19" s="201"/>
      <c r="AFQ19" s="199" t="s">
        <v>7</v>
      </c>
      <c r="AFR19" s="200"/>
      <c r="AFS19" s="200"/>
      <c r="AFT19" s="200"/>
      <c r="AFU19" s="200"/>
      <c r="AFV19" s="200"/>
      <c r="AFW19" s="200"/>
      <c r="AFX19" s="201"/>
      <c r="AFY19" s="199" t="s">
        <v>7</v>
      </c>
      <c r="AFZ19" s="200"/>
      <c r="AGA19" s="200"/>
      <c r="AGB19" s="200"/>
      <c r="AGC19" s="200"/>
      <c r="AGD19" s="200"/>
      <c r="AGE19" s="200"/>
      <c r="AGF19" s="201"/>
      <c r="AGG19" s="199" t="s">
        <v>7</v>
      </c>
      <c r="AGH19" s="200"/>
      <c r="AGI19" s="200"/>
      <c r="AGJ19" s="200"/>
      <c r="AGK19" s="200"/>
      <c r="AGL19" s="200"/>
      <c r="AGM19" s="200"/>
      <c r="AGN19" s="201"/>
      <c r="AGO19" s="199" t="s">
        <v>7</v>
      </c>
      <c r="AGP19" s="200"/>
      <c r="AGQ19" s="200"/>
      <c r="AGR19" s="200"/>
      <c r="AGS19" s="200"/>
      <c r="AGT19" s="200"/>
      <c r="AGU19" s="200"/>
      <c r="AGV19" s="201"/>
      <c r="AGW19" s="199" t="s">
        <v>7</v>
      </c>
      <c r="AGX19" s="200"/>
      <c r="AGY19" s="200"/>
      <c r="AGZ19" s="200"/>
      <c r="AHA19" s="200"/>
      <c r="AHB19" s="200"/>
      <c r="AHC19" s="200"/>
      <c r="AHD19" s="201"/>
      <c r="AHE19" s="199" t="s">
        <v>7</v>
      </c>
      <c r="AHF19" s="200"/>
      <c r="AHG19" s="200"/>
      <c r="AHH19" s="200"/>
      <c r="AHI19" s="200"/>
      <c r="AHJ19" s="200"/>
      <c r="AHK19" s="200"/>
      <c r="AHL19" s="201"/>
      <c r="AHM19" s="199" t="s">
        <v>7</v>
      </c>
      <c r="AHN19" s="200"/>
      <c r="AHO19" s="200"/>
      <c r="AHP19" s="200"/>
      <c r="AHQ19" s="200"/>
      <c r="AHR19" s="200"/>
      <c r="AHS19" s="200"/>
      <c r="AHT19" s="201"/>
      <c r="AHU19" s="199" t="s">
        <v>7</v>
      </c>
      <c r="AHV19" s="200"/>
      <c r="AHW19" s="200"/>
      <c r="AHX19" s="200"/>
      <c r="AHY19" s="200"/>
      <c r="AHZ19" s="200"/>
      <c r="AIA19" s="200"/>
      <c r="AIB19" s="201"/>
      <c r="AIC19" s="199" t="s">
        <v>7</v>
      </c>
      <c r="AID19" s="200"/>
      <c r="AIE19" s="200"/>
      <c r="AIF19" s="200"/>
      <c r="AIG19" s="200"/>
      <c r="AIH19" s="200"/>
      <c r="AII19" s="200"/>
      <c r="AIJ19" s="201"/>
      <c r="AIK19" s="199" t="s">
        <v>7</v>
      </c>
      <c r="AIL19" s="200"/>
      <c r="AIM19" s="200"/>
      <c r="AIN19" s="200"/>
      <c r="AIO19" s="200"/>
      <c r="AIP19" s="200"/>
      <c r="AIQ19" s="200"/>
      <c r="AIR19" s="201"/>
      <c r="AIS19" s="199" t="s">
        <v>7</v>
      </c>
      <c r="AIT19" s="200"/>
      <c r="AIU19" s="200"/>
      <c r="AIV19" s="200"/>
      <c r="AIW19" s="200"/>
      <c r="AIX19" s="200"/>
      <c r="AIY19" s="200"/>
      <c r="AIZ19" s="201"/>
      <c r="AJA19" s="199" t="s">
        <v>7</v>
      </c>
      <c r="AJB19" s="200"/>
      <c r="AJC19" s="200"/>
      <c r="AJD19" s="200"/>
      <c r="AJE19" s="200"/>
      <c r="AJF19" s="200"/>
      <c r="AJG19" s="200"/>
      <c r="AJH19" s="201"/>
      <c r="AJI19" s="199" t="s">
        <v>7</v>
      </c>
      <c r="AJJ19" s="200"/>
      <c r="AJK19" s="200"/>
      <c r="AJL19" s="200"/>
      <c r="AJM19" s="200"/>
      <c r="AJN19" s="200"/>
      <c r="AJO19" s="200"/>
      <c r="AJP19" s="201"/>
      <c r="AJQ19" s="199" t="s">
        <v>7</v>
      </c>
      <c r="AJR19" s="200"/>
      <c r="AJS19" s="200"/>
      <c r="AJT19" s="200"/>
      <c r="AJU19" s="200"/>
      <c r="AJV19" s="200"/>
      <c r="AJW19" s="200"/>
      <c r="AJX19" s="201"/>
      <c r="AJY19" s="199" t="s">
        <v>7</v>
      </c>
      <c r="AJZ19" s="200"/>
      <c r="AKA19" s="200"/>
      <c r="AKB19" s="200"/>
      <c r="AKC19" s="200"/>
      <c r="AKD19" s="200"/>
      <c r="AKE19" s="200"/>
      <c r="AKF19" s="201"/>
      <c r="AKG19" s="199" t="s">
        <v>7</v>
      </c>
      <c r="AKH19" s="200"/>
      <c r="AKI19" s="200"/>
      <c r="AKJ19" s="200"/>
      <c r="AKK19" s="200"/>
      <c r="AKL19" s="200"/>
      <c r="AKM19" s="200"/>
      <c r="AKN19" s="201"/>
      <c r="AKO19" s="199" t="s">
        <v>7</v>
      </c>
      <c r="AKP19" s="200"/>
      <c r="AKQ19" s="200"/>
      <c r="AKR19" s="200"/>
      <c r="AKS19" s="200"/>
      <c r="AKT19" s="200"/>
      <c r="AKU19" s="200"/>
      <c r="AKV19" s="201"/>
      <c r="AKW19" s="199" t="s">
        <v>7</v>
      </c>
      <c r="AKX19" s="200"/>
      <c r="AKY19" s="200"/>
      <c r="AKZ19" s="200"/>
      <c r="ALA19" s="200"/>
      <c r="ALB19" s="200"/>
      <c r="ALC19" s="200"/>
      <c r="ALD19" s="201"/>
      <c r="ALE19" s="199" t="s">
        <v>7</v>
      </c>
      <c r="ALF19" s="200"/>
      <c r="ALG19" s="200"/>
      <c r="ALH19" s="200"/>
      <c r="ALI19" s="200"/>
      <c r="ALJ19" s="200"/>
      <c r="ALK19" s="200"/>
      <c r="ALL19" s="201"/>
      <c r="ALM19" s="199" t="s">
        <v>7</v>
      </c>
      <c r="ALN19" s="200"/>
      <c r="ALO19" s="200"/>
      <c r="ALP19" s="200"/>
      <c r="ALQ19" s="200"/>
      <c r="ALR19" s="200"/>
      <c r="ALS19" s="200"/>
      <c r="ALT19" s="201"/>
      <c r="ALU19" s="199" t="s">
        <v>7</v>
      </c>
      <c r="ALV19" s="200"/>
      <c r="ALW19" s="200"/>
      <c r="ALX19" s="200"/>
      <c r="ALY19" s="200"/>
      <c r="ALZ19" s="200"/>
      <c r="AMA19" s="200"/>
      <c r="AMB19" s="201"/>
      <c r="AMC19" s="199" t="s">
        <v>7</v>
      </c>
      <c r="AMD19" s="200"/>
      <c r="AME19" s="200"/>
      <c r="AMF19" s="200"/>
      <c r="AMG19" s="200"/>
      <c r="AMH19" s="200"/>
      <c r="AMI19" s="200"/>
      <c r="AMJ19" s="201"/>
      <c r="AMK19" s="199" t="s">
        <v>7</v>
      </c>
      <c r="AML19" s="200"/>
      <c r="AMM19" s="200"/>
      <c r="AMN19" s="200"/>
      <c r="AMO19" s="200"/>
      <c r="AMP19" s="200"/>
      <c r="AMQ19" s="200"/>
      <c r="AMR19" s="201"/>
      <c r="AMS19" s="199" t="s">
        <v>7</v>
      </c>
      <c r="AMT19" s="200"/>
      <c r="AMU19" s="200"/>
      <c r="AMV19" s="200"/>
      <c r="AMW19" s="200"/>
      <c r="AMX19" s="200"/>
      <c r="AMY19" s="200"/>
      <c r="AMZ19" s="201"/>
      <c r="ANA19" s="199" t="s">
        <v>7</v>
      </c>
      <c r="ANB19" s="200"/>
      <c r="ANC19" s="200"/>
      <c r="AND19" s="200"/>
      <c r="ANE19" s="200"/>
      <c r="ANF19" s="200"/>
      <c r="ANG19" s="200"/>
      <c r="ANH19" s="201"/>
      <c r="ANI19" s="199" t="s">
        <v>7</v>
      </c>
      <c r="ANJ19" s="200"/>
      <c r="ANK19" s="200"/>
      <c r="ANL19" s="200"/>
      <c r="ANM19" s="200"/>
      <c r="ANN19" s="200"/>
      <c r="ANO19" s="200"/>
      <c r="ANP19" s="201"/>
      <c r="ANQ19" s="199" t="s">
        <v>7</v>
      </c>
      <c r="ANR19" s="200"/>
      <c r="ANS19" s="200"/>
      <c r="ANT19" s="200"/>
      <c r="ANU19" s="200"/>
      <c r="ANV19" s="200"/>
      <c r="ANW19" s="200"/>
      <c r="ANX19" s="201"/>
      <c r="ANY19" s="199" t="s">
        <v>7</v>
      </c>
      <c r="ANZ19" s="200"/>
      <c r="AOA19" s="200"/>
      <c r="AOB19" s="200"/>
      <c r="AOC19" s="200"/>
      <c r="AOD19" s="200"/>
      <c r="AOE19" s="200"/>
      <c r="AOF19" s="201"/>
      <c r="AOG19" s="199" t="s">
        <v>7</v>
      </c>
      <c r="AOH19" s="200"/>
      <c r="AOI19" s="200"/>
      <c r="AOJ19" s="200"/>
      <c r="AOK19" s="200"/>
      <c r="AOL19" s="200"/>
      <c r="AOM19" s="200"/>
      <c r="AON19" s="201"/>
      <c r="AOO19" s="199" t="s">
        <v>7</v>
      </c>
      <c r="AOP19" s="200"/>
      <c r="AOQ19" s="200"/>
      <c r="AOR19" s="200"/>
      <c r="AOS19" s="200"/>
      <c r="AOT19" s="200"/>
      <c r="AOU19" s="200"/>
      <c r="AOV19" s="201"/>
      <c r="AOW19" s="199" t="s">
        <v>7</v>
      </c>
      <c r="AOX19" s="200"/>
      <c r="AOY19" s="200"/>
      <c r="AOZ19" s="200"/>
      <c r="APA19" s="200"/>
      <c r="APB19" s="200"/>
      <c r="APC19" s="200"/>
      <c r="APD19" s="201"/>
      <c r="APE19" s="199" t="s">
        <v>7</v>
      </c>
      <c r="APF19" s="200"/>
      <c r="APG19" s="200"/>
      <c r="APH19" s="200"/>
      <c r="API19" s="200"/>
      <c r="APJ19" s="200"/>
      <c r="APK19" s="200"/>
      <c r="APL19" s="201"/>
      <c r="APM19" s="199" t="s">
        <v>7</v>
      </c>
      <c r="APN19" s="200"/>
      <c r="APO19" s="200"/>
      <c r="APP19" s="200"/>
      <c r="APQ19" s="200"/>
      <c r="APR19" s="200"/>
      <c r="APS19" s="200"/>
      <c r="APT19" s="201"/>
      <c r="APU19" s="199" t="s">
        <v>7</v>
      </c>
      <c r="APV19" s="200"/>
      <c r="APW19" s="200"/>
      <c r="APX19" s="200"/>
      <c r="APY19" s="200"/>
      <c r="APZ19" s="200"/>
      <c r="AQA19" s="200"/>
      <c r="AQB19" s="201"/>
      <c r="AQC19" s="199" t="s">
        <v>7</v>
      </c>
      <c r="AQD19" s="200"/>
      <c r="AQE19" s="200"/>
      <c r="AQF19" s="200"/>
      <c r="AQG19" s="200"/>
      <c r="AQH19" s="200"/>
      <c r="AQI19" s="200"/>
      <c r="AQJ19" s="201"/>
      <c r="AQK19" s="199" t="s">
        <v>7</v>
      </c>
      <c r="AQL19" s="200"/>
      <c r="AQM19" s="200"/>
      <c r="AQN19" s="200"/>
      <c r="AQO19" s="200"/>
      <c r="AQP19" s="200"/>
      <c r="AQQ19" s="200"/>
      <c r="AQR19" s="201"/>
      <c r="AQS19" s="199" t="s">
        <v>7</v>
      </c>
      <c r="AQT19" s="200"/>
      <c r="AQU19" s="200"/>
      <c r="AQV19" s="200"/>
      <c r="AQW19" s="200"/>
      <c r="AQX19" s="200"/>
      <c r="AQY19" s="200"/>
      <c r="AQZ19" s="201"/>
      <c r="ARA19" s="199" t="s">
        <v>7</v>
      </c>
      <c r="ARB19" s="200"/>
      <c r="ARC19" s="200"/>
      <c r="ARD19" s="200"/>
      <c r="ARE19" s="200"/>
      <c r="ARF19" s="200"/>
      <c r="ARG19" s="200"/>
      <c r="ARH19" s="201"/>
      <c r="ARI19" s="199" t="s">
        <v>7</v>
      </c>
      <c r="ARJ19" s="200"/>
      <c r="ARK19" s="200"/>
      <c r="ARL19" s="200"/>
      <c r="ARM19" s="200"/>
      <c r="ARN19" s="200"/>
      <c r="ARO19" s="200"/>
      <c r="ARP19" s="201"/>
      <c r="ARQ19" s="199" t="s">
        <v>7</v>
      </c>
      <c r="ARR19" s="200"/>
      <c r="ARS19" s="200"/>
      <c r="ART19" s="200"/>
      <c r="ARU19" s="200"/>
      <c r="ARV19" s="200"/>
      <c r="ARW19" s="200"/>
      <c r="ARX19" s="201"/>
      <c r="ARY19" s="199" t="s">
        <v>7</v>
      </c>
      <c r="ARZ19" s="200"/>
      <c r="ASA19" s="200"/>
      <c r="ASB19" s="200"/>
      <c r="ASC19" s="200"/>
      <c r="ASD19" s="200"/>
      <c r="ASE19" s="200"/>
      <c r="ASF19" s="201"/>
      <c r="ASG19" s="199" t="s">
        <v>7</v>
      </c>
      <c r="ASH19" s="200"/>
      <c r="ASI19" s="200"/>
      <c r="ASJ19" s="200"/>
      <c r="ASK19" s="200"/>
      <c r="ASL19" s="200"/>
      <c r="ASM19" s="200"/>
      <c r="ASN19" s="201"/>
      <c r="ASO19" s="199" t="s">
        <v>7</v>
      </c>
      <c r="ASP19" s="200"/>
      <c r="ASQ19" s="200"/>
      <c r="ASR19" s="200"/>
      <c r="ASS19" s="200"/>
      <c r="AST19" s="200"/>
      <c r="ASU19" s="200"/>
      <c r="ASV19" s="201"/>
      <c r="ASW19" s="199" t="s">
        <v>7</v>
      </c>
      <c r="ASX19" s="200"/>
      <c r="ASY19" s="200"/>
      <c r="ASZ19" s="200"/>
      <c r="ATA19" s="200"/>
      <c r="ATB19" s="200"/>
      <c r="ATC19" s="200"/>
      <c r="ATD19" s="201"/>
      <c r="ATE19" s="199" t="s">
        <v>7</v>
      </c>
      <c r="ATF19" s="200"/>
      <c r="ATG19" s="200"/>
      <c r="ATH19" s="200"/>
      <c r="ATI19" s="200"/>
      <c r="ATJ19" s="200"/>
      <c r="ATK19" s="200"/>
      <c r="ATL19" s="201"/>
      <c r="ATM19" s="199" t="s">
        <v>7</v>
      </c>
      <c r="ATN19" s="200"/>
      <c r="ATO19" s="200"/>
      <c r="ATP19" s="200"/>
      <c r="ATQ19" s="200"/>
      <c r="ATR19" s="200"/>
      <c r="ATS19" s="200"/>
      <c r="ATT19" s="201"/>
      <c r="ATU19" s="199" t="s">
        <v>7</v>
      </c>
      <c r="ATV19" s="200"/>
      <c r="ATW19" s="200"/>
      <c r="ATX19" s="200"/>
      <c r="ATY19" s="200"/>
      <c r="ATZ19" s="200"/>
      <c r="AUA19" s="200"/>
      <c r="AUB19" s="201"/>
      <c r="AUC19" s="199" t="s">
        <v>7</v>
      </c>
      <c r="AUD19" s="200"/>
      <c r="AUE19" s="200"/>
      <c r="AUF19" s="200"/>
      <c r="AUG19" s="200"/>
      <c r="AUH19" s="200"/>
      <c r="AUI19" s="200"/>
      <c r="AUJ19" s="201"/>
      <c r="AUK19" s="199" t="s">
        <v>7</v>
      </c>
      <c r="AUL19" s="200"/>
      <c r="AUM19" s="200"/>
      <c r="AUN19" s="200"/>
      <c r="AUO19" s="200"/>
      <c r="AUP19" s="200"/>
      <c r="AUQ19" s="200"/>
      <c r="AUR19" s="201"/>
      <c r="AUS19" s="199" t="s">
        <v>7</v>
      </c>
      <c r="AUT19" s="200"/>
      <c r="AUU19" s="200"/>
      <c r="AUV19" s="200"/>
      <c r="AUW19" s="200"/>
      <c r="AUX19" s="200"/>
      <c r="AUY19" s="200"/>
      <c r="AUZ19" s="201"/>
      <c r="AVA19" s="199" t="s">
        <v>7</v>
      </c>
      <c r="AVB19" s="200"/>
      <c r="AVC19" s="200"/>
      <c r="AVD19" s="200"/>
      <c r="AVE19" s="200"/>
      <c r="AVF19" s="200"/>
      <c r="AVG19" s="200"/>
      <c r="AVH19" s="201"/>
      <c r="AVI19" s="199" t="s">
        <v>7</v>
      </c>
      <c r="AVJ19" s="200"/>
      <c r="AVK19" s="200"/>
      <c r="AVL19" s="200"/>
      <c r="AVM19" s="200"/>
      <c r="AVN19" s="200"/>
      <c r="AVO19" s="200"/>
      <c r="AVP19" s="201"/>
      <c r="AVQ19" s="199" t="s">
        <v>7</v>
      </c>
      <c r="AVR19" s="200"/>
      <c r="AVS19" s="200"/>
      <c r="AVT19" s="200"/>
      <c r="AVU19" s="200"/>
      <c r="AVV19" s="200"/>
      <c r="AVW19" s="200"/>
      <c r="AVX19" s="201"/>
      <c r="AVY19" s="199" t="s">
        <v>7</v>
      </c>
      <c r="AVZ19" s="200"/>
      <c r="AWA19" s="200"/>
      <c r="AWB19" s="200"/>
      <c r="AWC19" s="200"/>
      <c r="AWD19" s="200"/>
      <c r="AWE19" s="200"/>
      <c r="AWF19" s="201"/>
      <c r="AWG19" s="199" t="s">
        <v>7</v>
      </c>
      <c r="AWH19" s="200"/>
      <c r="AWI19" s="200"/>
      <c r="AWJ19" s="200"/>
      <c r="AWK19" s="200"/>
      <c r="AWL19" s="200"/>
      <c r="AWM19" s="200"/>
      <c r="AWN19" s="201"/>
      <c r="AWO19" s="199" t="s">
        <v>7</v>
      </c>
      <c r="AWP19" s="200"/>
      <c r="AWQ19" s="200"/>
      <c r="AWR19" s="200"/>
      <c r="AWS19" s="200"/>
      <c r="AWT19" s="200"/>
      <c r="AWU19" s="200"/>
      <c r="AWV19" s="201"/>
      <c r="AWW19" s="199" t="s">
        <v>7</v>
      </c>
      <c r="AWX19" s="200"/>
      <c r="AWY19" s="200"/>
      <c r="AWZ19" s="200"/>
      <c r="AXA19" s="200"/>
      <c r="AXB19" s="200"/>
      <c r="AXC19" s="200"/>
      <c r="AXD19" s="201"/>
      <c r="AXE19" s="199" t="s">
        <v>7</v>
      </c>
      <c r="AXF19" s="200"/>
      <c r="AXG19" s="200"/>
      <c r="AXH19" s="200"/>
      <c r="AXI19" s="200"/>
      <c r="AXJ19" s="200"/>
      <c r="AXK19" s="200"/>
      <c r="AXL19" s="201"/>
      <c r="AXM19" s="199" t="s">
        <v>7</v>
      </c>
      <c r="AXN19" s="200"/>
      <c r="AXO19" s="200"/>
      <c r="AXP19" s="200"/>
      <c r="AXQ19" s="200"/>
      <c r="AXR19" s="200"/>
      <c r="AXS19" s="200"/>
      <c r="AXT19" s="201"/>
      <c r="AXU19" s="199" t="s">
        <v>7</v>
      </c>
      <c r="AXV19" s="200"/>
      <c r="AXW19" s="200"/>
      <c r="AXX19" s="200"/>
      <c r="AXY19" s="200"/>
      <c r="AXZ19" s="200"/>
      <c r="AYA19" s="200"/>
      <c r="AYB19" s="201"/>
      <c r="AYC19" s="199" t="s">
        <v>7</v>
      </c>
      <c r="AYD19" s="200"/>
      <c r="AYE19" s="200"/>
      <c r="AYF19" s="200"/>
      <c r="AYG19" s="200"/>
      <c r="AYH19" s="200"/>
      <c r="AYI19" s="200"/>
      <c r="AYJ19" s="201"/>
      <c r="AYK19" s="199" t="s">
        <v>7</v>
      </c>
      <c r="AYL19" s="200"/>
      <c r="AYM19" s="200"/>
      <c r="AYN19" s="200"/>
      <c r="AYO19" s="200"/>
      <c r="AYP19" s="200"/>
      <c r="AYQ19" s="200"/>
      <c r="AYR19" s="201"/>
      <c r="AYS19" s="199" t="s">
        <v>7</v>
      </c>
      <c r="AYT19" s="200"/>
      <c r="AYU19" s="200"/>
      <c r="AYV19" s="200"/>
      <c r="AYW19" s="200"/>
      <c r="AYX19" s="200"/>
      <c r="AYY19" s="200"/>
      <c r="AYZ19" s="201"/>
      <c r="AZA19" s="199" t="s">
        <v>7</v>
      </c>
      <c r="AZB19" s="200"/>
      <c r="AZC19" s="200"/>
      <c r="AZD19" s="200"/>
      <c r="AZE19" s="200"/>
      <c r="AZF19" s="200"/>
      <c r="AZG19" s="200"/>
      <c r="AZH19" s="201"/>
      <c r="AZI19" s="199" t="s">
        <v>7</v>
      </c>
      <c r="AZJ19" s="200"/>
      <c r="AZK19" s="200"/>
      <c r="AZL19" s="200"/>
      <c r="AZM19" s="200"/>
      <c r="AZN19" s="200"/>
      <c r="AZO19" s="200"/>
      <c r="AZP19" s="201"/>
      <c r="AZQ19" s="199" t="s">
        <v>7</v>
      </c>
      <c r="AZR19" s="200"/>
      <c r="AZS19" s="200"/>
      <c r="AZT19" s="200"/>
      <c r="AZU19" s="200"/>
      <c r="AZV19" s="200"/>
      <c r="AZW19" s="200"/>
      <c r="AZX19" s="201"/>
      <c r="AZY19" s="199" t="s">
        <v>7</v>
      </c>
      <c r="AZZ19" s="200"/>
      <c r="BAA19" s="200"/>
      <c r="BAB19" s="200"/>
      <c r="BAC19" s="200"/>
      <c r="BAD19" s="200"/>
      <c r="BAE19" s="200"/>
      <c r="BAF19" s="201"/>
      <c r="BAG19" s="199" t="s">
        <v>7</v>
      </c>
      <c r="BAH19" s="200"/>
      <c r="BAI19" s="200"/>
      <c r="BAJ19" s="200"/>
      <c r="BAK19" s="200"/>
      <c r="BAL19" s="200"/>
      <c r="BAM19" s="200"/>
      <c r="BAN19" s="201"/>
      <c r="BAO19" s="199" t="s">
        <v>7</v>
      </c>
      <c r="BAP19" s="200"/>
      <c r="BAQ19" s="200"/>
      <c r="BAR19" s="200"/>
      <c r="BAS19" s="200"/>
      <c r="BAT19" s="200"/>
      <c r="BAU19" s="200"/>
      <c r="BAV19" s="201"/>
      <c r="BAW19" s="199" t="s">
        <v>7</v>
      </c>
      <c r="BAX19" s="200"/>
      <c r="BAY19" s="200"/>
      <c r="BAZ19" s="200"/>
      <c r="BBA19" s="200"/>
      <c r="BBB19" s="200"/>
      <c r="BBC19" s="200"/>
      <c r="BBD19" s="201"/>
      <c r="BBE19" s="199" t="s">
        <v>7</v>
      </c>
      <c r="BBF19" s="200"/>
      <c r="BBG19" s="200"/>
      <c r="BBH19" s="200"/>
      <c r="BBI19" s="200"/>
      <c r="BBJ19" s="200"/>
      <c r="BBK19" s="200"/>
      <c r="BBL19" s="201"/>
      <c r="BBM19" s="199" t="s">
        <v>7</v>
      </c>
      <c r="BBN19" s="200"/>
      <c r="BBO19" s="200"/>
      <c r="BBP19" s="200"/>
      <c r="BBQ19" s="200"/>
      <c r="BBR19" s="200"/>
      <c r="BBS19" s="200"/>
      <c r="BBT19" s="201"/>
      <c r="BBU19" s="199" t="s">
        <v>7</v>
      </c>
      <c r="BBV19" s="200"/>
      <c r="BBW19" s="200"/>
      <c r="BBX19" s="200"/>
      <c r="BBY19" s="200"/>
      <c r="BBZ19" s="200"/>
      <c r="BCA19" s="200"/>
      <c r="BCB19" s="201"/>
      <c r="BCC19" s="199" t="s">
        <v>7</v>
      </c>
      <c r="BCD19" s="200"/>
      <c r="BCE19" s="200"/>
      <c r="BCF19" s="200"/>
      <c r="BCG19" s="200"/>
      <c r="BCH19" s="200"/>
      <c r="BCI19" s="200"/>
      <c r="BCJ19" s="201"/>
      <c r="BCK19" s="199" t="s">
        <v>7</v>
      </c>
      <c r="BCL19" s="200"/>
      <c r="BCM19" s="200"/>
      <c r="BCN19" s="200"/>
      <c r="BCO19" s="200"/>
      <c r="BCP19" s="200"/>
      <c r="BCQ19" s="200"/>
      <c r="BCR19" s="201"/>
      <c r="BCS19" s="199" t="s">
        <v>7</v>
      </c>
      <c r="BCT19" s="200"/>
      <c r="BCU19" s="200"/>
      <c r="BCV19" s="200"/>
      <c r="BCW19" s="200"/>
      <c r="BCX19" s="200"/>
      <c r="BCY19" s="200"/>
      <c r="BCZ19" s="201"/>
      <c r="BDA19" s="199" t="s">
        <v>7</v>
      </c>
      <c r="BDB19" s="200"/>
      <c r="BDC19" s="200"/>
      <c r="BDD19" s="200"/>
      <c r="BDE19" s="200"/>
      <c r="BDF19" s="200"/>
      <c r="BDG19" s="200"/>
      <c r="BDH19" s="201"/>
      <c r="BDI19" s="199" t="s">
        <v>7</v>
      </c>
      <c r="BDJ19" s="200"/>
      <c r="BDK19" s="200"/>
      <c r="BDL19" s="200"/>
      <c r="BDM19" s="200"/>
      <c r="BDN19" s="200"/>
      <c r="BDO19" s="200"/>
      <c r="BDP19" s="201"/>
      <c r="BDQ19" s="199" t="s">
        <v>7</v>
      </c>
      <c r="BDR19" s="200"/>
      <c r="BDS19" s="200"/>
      <c r="BDT19" s="200"/>
      <c r="BDU19" s="200"/>
      <c r="BDV19" s="200"/>
      <c r="BDW19" s="200"/>
      <c r="BDX19" s="201"/>
      <c r="BDY19" s="199" t="s">
        <v>7</v>
      </c>
      <c r="BDZ19" s="200"/>
      <c r="BEA19" s="200"/>
      <c r="BEB19" s="200"/>
      <c r="BEC19" s="200"/>
      <c r="BED19" s="200"/>
      <c r="BEE19" s="200"/>
      <c r="BEF19" s="201"/>
      <c r="BEG19" s="199" t="s">
        <v>7</v>
      </c>
      <c r="BEH19" s="200"/>
      <c r="BEI19" s="200"/>
      <c r="BEJ19" s="200"/>
      <c r="BEK19" s="200"/>
      <c r="BEL19" s="200"/>
      <c r="BEM19" s="200"/>
      <c r="BEN19" s="201"/>
      <c r="BEO19" s="199" t="s">
        <v>7</v>
      </c>
      <c r="BEP19" s="200"/>
      <c r="BEQ19" s="200"/>
      <c r="BER19" s="200"/>
      <c r="BES19" s="200"/>
      <c r="BET19" s="200"/>
      <c r="BEU19" s="200"/>
      <c r="BEV19" s="201"/>
      <c r="BEW19" s="199" t="s">
        <v>7</v>
      </c>
      <c r="BEX19" s="200"/>
      <c r="BEY19" s="200"/>
      <c r="BEZ19" s="200"/>
      <c r="BFA19" s="200"/>
      <c r="BFB19" s="200"/>
      <c r="BFC19" s="200"/>
      <c r="BFD19" s="201"/>
      <c r="BFE19" s="199" t="s">
        <v>7</v>
      </c>
      <c r="BFF19" s="200"/>
      <c r="BFG19" s="200"/>
      <c r="BFH19" s="200"/>
      <c r="BFI19" s="200"/>
      <c r="BFJ19" s="200"/>
      <c r="BFK19" s="200"/>
      <c r="BFL19" s="201"/>
      <c r="BFM19" s="199" t="s">
        <v>7</v>
      </c>
      <c r="BFN19" s="200"/>
      <c r="BFO19" s="200"/>
      <c r="BFP19" s="200"/>
      <c r="BFQ19" s="200"/>
      <c r="BFR19" s="200"/>
      <c r="BFS19" s="200"/>
      <c r="BFT19" s="201"/>
      <c r="BFU19" s="199" t="s">
        <v>7</v>
      </c>
      <c r="BFV19" s="200"/>
      <c r="BFW19" s="200"/>
      <c r="BFX19" s="200"/>
      <c r="BFY19" s="200"/>
      <c r="BFZ19" s="200"/>
      <c r="BGA19" s="200"/>
      <c r="BGB19" s="201"/>
      <c r="BGC19" s="199" t="s">
        <v>7</v>
      </c>
      <c r="BGD19" s="200"/>
      <c r="BGE19" s="200"/>
      <c r="BGF19" s="200"/>
      <c r="BGG19" s="200"/>
      <c r="BGH19" s="200"/>
      <c r="BGI19" s="200"/>
      <c r="BGJ19" s="201"/>
      <c r="BGK19" s="199" t="s">
        <v>7</v>
      </c>
      <c r="BGL19" s="200"/>
      <c r="BGM19" s="200"/>
      <c r="BGN19" s="200"/>
      <c r="BGO19" s="200"/>
      <c r="BGP19" s="200"/>
      <c r="BGQ19" s="200"/>
      <c r="BGR19" s="201"/>
      <c r="BGS19" s="199" t="s">
        <v>7</v>
      </c>
      <c r="BGT19" s="200"/>
      <c r="BGU19" s="200"/>
      <c r="BGV19" s="200"/>
      <c r="BGW19" s="200"/>
      <c r="BGX19" s="200"/>
      <c r="BGY19" s="200"/>
      <c r="BGZ19" s="201"/>
      <c r="BHA19" s="199" t="s">
        <v>7</v>
      </c>
      <c r="BHB19" s="200"/>
      <c r="BHC19" s="200"/>
      <c r="BHD19" s="200"/>
      <c r="BHE19" s="200"/>
      <c r="BHF19" s="200"/>
      <c r="BHG19" s="200"/>
      <c r="BHH19" s="201"/>
      <c r="BHI19" s="199" t="s">
        <v>7</v>
      </c>
      <c r="BHJ19" s="200"/>
      <c r="BHK19" s="200"/>
      <c r="BHL19" s="200"/>
      <c r="BHM19" s="200"/>
      <c r="BHN19" s="200"/>
      <c r="BHO19" s="200"/>
      <c r="BHP19" s="201"/>
      <c r="BHQ19" s="199" t="s">
        <v>7</v>
      </c>
      <c r="BHR19" s="200"/>
      <c r="BHS19" s="200"/>
      <c r="BHT19" s="200"/>
      <c r="BHU19" s="200"/>
      <c r="BHV19" s="200"/>
      <c r="BHW19" s="200"/>
      <c r="BHX19" s="201"/>
      <c r="BHY19" s="199" t="s">
        <v>7</v>
      </c>
      <c r="BHZ19" s="200"/>
      <c r="BIA19" s="200"/>
      <c r="BIB19" s="200"/>
      <c r="BIC19" s="200"/>
      <c r="BID19" s="200"/>
      <c r="BIE19" s="200"/>
      <c r="BIF19" s="201"/>
      <c r="BIG19" s="199" t="s">
        <v>7</v>
      </c>
      <c r="BIH19" s="200"/>
      <c r="BII19" s="200"/>
      <c r="BIJ19" s="200"/>
      <c r="BIK19" s="200"/>
      <c r="BIL19" s="200"/>
      <c r="BIM19" s="200"/>
      <c r="BIN19" s="201"/>
      <c r="BIO19" s="199" t="s">
        <v>7</v>
      </c>
      <c r="BIP19" s="200"/>
      <c r="BIQ19" s="200"/>
      <c r="BIR19" s="200"/>
      <c r="BIS19" s="200"/>
      <c r="BIT19" s="200"/>
      <c r="BIU19" s="200"/>
      <c r="BIV19" s="201"/>
      <c r="BIW19" s="199" t="s">
        <v>7</v>
      </c>
      <c r="BIX19" s="200"/>
      <c r="BIY19" s="200"/>
      <c r="BIZ19" s="200"/>
      <c r="BJA19" s="200"/>
      <c r="BJB19" s="200"/>
      <c r="BJC19" s="200"/>
      <c r="BJD19" s="201"/>
      <c r="BJE19" s="199" t="s">
        <v>7</v>
      </c>
      <c r="BJF19" s="200"/>
      <c r="BJG19" s="200"/>
      <c r="BJH19" s="200"/>
      <c r="BJI19" s="200"/>
      <c r="BJJ19" s="200"/>
      <c r="BJK19" s="200"/>
      <c r="BJL19" s="201"/>
      <c r="BJM19" s="199" t="s">
        <v>7</v>
      </c>
      <c r="BJN19" s="200"/>
      <c r="BJO19" s="200"/>
      <c r="BJP19" s="200"/>
      <c r="BJQ19" s="200"/>
      <c r="BJR19" s="200"/>
      <c r="BJS19" s="200"/>
      <c r="BJT19" s="201"/>
      <c r="BJU19" s="199" t="s">
        <v>7</v>
      </c>
      <c r="BJV19" s="200"/>
      <c r="BJW19" s="200"/>
      <c r="BJX19" s="200"/>
      <c r="BJY19" s="200"/>
      <c r="BJZ19" s="200"/>
      <c r="BKA19" s="200"/>
      <c r="BKB19" s="201"/>
      <c r="BKC19" s="199" t="s">
        <v>7</v>
      </c>
      <c r="BKD19" s="200"/>
      <c r="BKE19" s="200"/>
      <c r="BKF19" s="200"/>
      <c r="BKG19" s="200"/>
      <c r="BKH19" s="200"/>
      <c r="BKI19" s="200"/>
      <c r="BKJ19" s="201"/>
      <c r="BKK19" s="199" t="s">
        <v>7</v>
      </c>
      <c r="BKL19" s="200"/>
      <c r="BKM19" s="200"/>
      <c r="BKN19" s="200"/>
      <c r="BKO19" s="200"/>
      <c r="BKP19" s="200"/>
      <c r="BKQ19" s="200"/>
      <c r="BKR19" s="201"/>
      <c r="BKS19" s="199" t="s">
        <v>7</v>
      </c>
      <c r="BKT19" s="200"/>
      <c r="BKU19" s="200"/>
      <c r="BKV19" s="200"/>
      <c r="BKW19" s="200"/>
      <c r="BKX19" s="200"/>
      <c r="BKY19" s="200"/>
      <c r="BKZ19" s="201"/>
      <c r="BLA19" s="199" t="s">
        <v>7</v>
      </c>
      <c r="BLB19" s="200"/>
      <c r="BLC19" s="200"/>
      <c r="BLD19" s="200"/>
      <c r="BLE19" s="200"/>
      <c r="BLF19" s="200"/>
      <c r="BLG19" s="200"/>
      <c r="BLH19" s="201"/>
      <c r="BLI19" s="199" t="s">
        <v>7</v>
      </c>
      <c r="BLJ19" s="200"/>
      <c r="BLK19" s="200"/>
      <c r="BLL19" s="200"/>
      <c r="BLM19" s="200"/>
      <c r="BLN19" s="200"/>
      <c r="BLO19" s="200"/>
      <c r="BLP19" s="201"/>
      <c r="BLQ19" s="199" t="s">
        <v>7</v>
      </c>
      <c r="BLR19" s="200"/>
      <c r="BLS19" s="200"/>
      <c r="BLT19" s="200"/>
      <c r="BLU19" s="200"/>
      <c r="BLV19" s="200"/>
      <c r="BLW19" s="200"/>
      <c r="BLX19" s="201"/>
      <c r="BLY19" s="199" t="s">
        <v>7</v>
      </c>
      <c r="BLZ19" s="200"/>
      <c r="BMA19" s="200"/>
      <c r="BMB19" s="200"/>
      <c r="BMC19" s="200"/>
      <c r="BMD19" s="200"/>
      <c r="BME19" s="200"/>
      <c r="BMF19" s="201"/>
      <c r="BMG19" s="199" t="s">
        <v>7</v>
      </c>
      <c r="BMH19" s="200"/>
      <c r="BMI19" s="200"/>
      <c r="BMJ19" s="200"/>
      <c r="BMK19" s="200"/>
      <c r="BML19" s="200"/>
      <c r="BMM19" s="200"/>
      <c r="BMN19" s="201"/>
      <c r="BMO19" s="199" t="s">
        <v>7</v>
      </c>
      <c r="BMP19" s="200"/>
      <c r="BMQ19" s="200"/>
      <c r="BMR19" s="200"/>
      <c r="BMS19" s="200"/>
      <c r="BMT19" s="200"/>
      <c r="BMU19" s="200"/>
      <c r="BMV19" s="201"/>
      <c r="BMW19" s="199" t="s">
        <v>7</v>
      </c>
      <c r="BMX19" s="200"/>
      <c r="BMY19" s="200"/>
      <c r="BMZ19" s="200"/>
      <c r="BNA19" s="200"/>
      <c r="BNB19" s="200"/>
      <c r="BNC19" s="200"/>
      <c r="BND19" s="201"/>
      <c r="BNE19" s="199" t="s">
        <v>7</v>
      </c>
      <c r="BNF19" s="200"/>
      <c r="BNG19" s="200"/>
      <c r="BNH19" s="200"/>
      <c r="BNI19" s="200"/>
      <c r="BNJ19" s="200"/>
      <c r="BNK19" s="200"/>
      <c r="BNL19" s="201"/>
      <c r="BNM19" s="199" t="s">
        <v>7</v>
      </c>
      <c r="BNN19" s="200"/>
      <c r="BNO19" s="200"/>
      <c r="BNP19" s="200"/>
      <c r="BNQ19" s="200"/>
      <c r="BNR19" s="200"/>
      <c r="BNS19" s="200"/>
      <c r="BNT19" s="201"/>
      <c r="BNU19" s="199" t="s">
        <v>7</v>
      </c>
      <c r="BNV19" s="200"/>
      <c r="BNW19" s="200"/>
      <c r="BNX19" s="200"/>
      <c r="BNY19" s="200"/>
      <c r="BNZ19" s="200"/>
      <c r="BOA19" s="200"/>
      <c r="BOB19" s="201"/>
      <c r="BOC19" s="199" t="s">
        <v>7</v>
      </c>
      <c r="BOD19" s="200"/>
      <c r="BOE19" s="200"/>
      <c r="BOF19" s="200"/>
      <c r="BOG19" s="200"/>
      <c r="BOH19" s="200"/>
      <c r="BOI19" s="200"/>
      <c r="BOJ19" s="201"/>
      <c r="BOK19" s="199" t="s">
        <v>7</v>
      </c>
      <c r="BOL19" s="200"/>
      <c r="BOM19" s="200"/>
      <c r="BON19" s="200"/>
      <c r="BOO19" s="200"/>
      <c r="BOP19" s="200"/>
      <c r="BOQ19" s="200"/>
      <c r="BOR19" s="201"/>
      <c r="BOS19" s="199" t="s">
        <v>7</v>
      </c>
      <c r="BOT19" s="200"/>
      <c r="BOU19" s="200"/>
      <c r="BOV19" s="200"/>
      <c r="BOW19" s="200"/>
      <c r="BOX19" s="200"/>
      <c r="BOY19" s="200"/>
      <c r="BOZ19" s="201"/>
      <c r="BPA19" s="199" t="s">
        <v>7</v>
      </c>
      <c r="BPB19" s="200"/>
      <c r="BPC19" s="200"/>
      <c r="BPD19" s="200"/>
      <c r="BPE19" s="200"/>
      <c r="BPF19" s="200"/>
      <c r="BPG19" s="200"/>
      <c r="BPH19" s="201"/>
      <c r="BPI19" s="199" t="s">
        <v>7</v>
      </c>
      <c r="BPJ19" s="200"/>
      <c r="BPK19" s="200"/>
      <c r="BPL19" s="200"/>
      <c r="BPM19" s="200"/>
      <c r="BPN19" s="200"/>
      <c r="BPO19" s="200"/>
      <c r="BPP19" s="201"/>
      <c r="BPQ19" s="199" t="s">
        <v>7</v>
      </c>
      <c r="BPR19" s="200"/>
      <c r="BPS19" s="200"/>
      <c r="BPT19" s="200"/>
      <c r="BPU19" s="200"/>
      <c r="BPV19" s="200"/>
      <c r="BPW19" s="200"/>
      <c r="BPX19" s="201"/>
      <c r="BPY19" s="199" t="s">
        <v>7</v>
      </c>
      <c r="BPZ19" s="200"/>
      <c r="BQA19" s="200"/>
      <c r="BQB19" s="200"/>
      <c r="BQC19" s="200"/>
      <c r="BQD19" s="200"/>
      <c r="BQE19" s="200"/>
      <c r="BQF19" s="201"/>
      <c r="BQG19" s="199" t="s">
        <v>7</v>
      </c>
      <c r="BQH19" s="200"/>
      <c r="BQI19" s="200"/>
      <c r="BQJ19" s="200"/>
      <c r="BQK19" s="200"/>
      <c r="BQL19" s="200"/>
      <c r="BQM19" s="200"/>
      <c r="BQN19" s="201"/>
      <c r="BQO19" s="199" t="s">
        <v>7</v>
      </c>
      <c r="BQP19" s="200"/>
      <c r="BQQ19" s="200"/>
      <c r="BQR19" s="200"/>
      <c r="BQS19" s="200"/>
      <c r="BQT19" s="200"/>
      <c r="BQU19" s="200"/>
      <c r="BQV19" s="201"/>
      <c r="BQW19" s="199" t="s">
        <v>7</v>
      </c>
      <c r="BQX19" s="200"/>
      <c r="BQY19" s="200"/>
      <c r="BQZ19" s="200"/>
      <c r="BRA19" s="200"/>
      <c r="BRB19" s="200"/>
      <c r="BRC19" s="200"/>
      <c r="BRD19" s="201"/>
      <c r="BRE19" s="199" t="s">
        <v>7</v>
      </c>
      <c r="BRF19" s="200"/>
      <c r="BRG19" s="200"/>
      <c r="BRH19" s="200"/>
      <c r="BRI19" s="200"/>
      <c r="BRJ19" s="200"/>
      <c r="BRK19" s="200"/>
      <c r="BRL19" s="201"/>
      <c r="BRM19" s="199" t="s">
        <v>7</v>
      </c>
      <c r="BRN19" s="200"/>
      <c r="BRO19" s="200"/>
      <c r="BRP19" s="200"/>
      <c r="BRQ19" s="200"/>
      <c r="BRR19" s="200"/>
      <c r="BRS19" s="200"/>
      <c r="BRT19" s="201"/>
      <c r="BRU19" s="199" t="s">
        <v>7</v>
      </c>
      <c r="BRV19" s="200"/>
      <c r="BRW19" s="200"/>
      <c r="BRX19" s="200"/>
      <c r="BRY19" s="200"/>
      <c r="BRZ19" s="200"/>
      <c r="BSA19" s="200"/>
      <c r="BSB19" s="201"/>
      <c r="BSC19" s="199" t="s">
        <v>7</v>
      </c>
      <c r="BSD19" s="200"/>
      <c r="BSE19" s="200"/>
      <c r="BSF19" s="200"/>
      <c r="BSG19" s="200"/>
      <c r="BSH19" s="200"/>
      <c r="BSI19" s="200"/>
      <c r="BSJ19" s="201"/>
      <c r="BSK19" s="199" t="s">
        <v>7</v>
      </c>
      <c r="BSL19" s="200"/>
      <c r="BSM19" s="200"/>
      <c r="BSN19" s="200"/>
      <c r="BSO19" s="200"/>
      <c r="BSP19" s="200"/>
      <c r="BSQ19" s="200"/>
      <c r="BSR19" s="201"/>
      <c r="BSS19" s="199" t="s">
        <v>7</v>
      </c>
      <c r="BST19" s="200"/>
      <c r="BSU19" s="200"/>
      <c r="BSV19" s="200"/>
      <c r="BSW19" s="200"/>
      <c r="BSX19" s="200"/>
      <c r="BSY19" s="200"/>
      <c r="BSZ19" s="201"/>
      <c r="BTA19" s="199" t="s">
        <v>7</v>
      </c>
      <c r="BTB19" s="200"/>
      <c r="BTC19" s="200"/>
      <c r="BTD19" s="200"/>
      <c r="BTE19" s="200"/>
      <c r="BTF19" s="200"/>
      <c r="BTG19" s="200"/>
      <c r="BTH19" s="201"/>
      <c r="BTI19" s="199" t="s">
        <v>7</v>
      </c>
      <c r="BTJ19" s="200"/>
      <c r="BTK19" s="200"/>
      <c r="BTL19" s="200"/>
      <c r="BTM19" s="200"/>
      <c r="BTN19" s="200"/>
      <c r="BTO19" s="200"/>
      <c r="BTP19" s="201"/>
      <c r="BTQ19" s="199" t="s">
        <v>7</v>
      </c>
      <c r="BTR19" s="200"/>
      <c r="BTS19" s="200"/>
      <c r="BTT19" s="200"/>
      <c r="BTU19" s="200"/>
      <c r="BTV19" s="200"/>
      <c r="BTW19" s="200"/>
      <c r="BTX19" s="201"/>
      <c r="BTY19" s="199" t="s">
        <v>7</v>
      </c>
      <c r="BTZ19" s="200"/>
      <c r="BUA19" s="200"/>
      <c r="BUB19" s="200"/>
      <c r="BUC19" s="200"/>
      <c r="BUD19" s="200"/>
      <c r="BUE19" s="200"/>
      <c r="BUF19" s="201"/>
      <c r="BUG19" s="199" t="s">
        <v>7</v>
      </c>
      <c r="BUH19" s="200"/>
      <c r="BUI19" s="200"/>
      <c r="BUJ19" s="200"/>
      <c r="BUK19" s="200"/>
      <c r="BUL19" s="200"/>
      <c r="BUM19" s="200"/>
      <c r="BUN19" s="201"/>
      <c r="BUO19" s="199" t="s">
        <v>7</v>
      </c>
      <c r="BUP19" s="200"/>
      <c r="BUQ19" s="200"/>
      <c r="BUR19" s="200"/>
      <c r="BUS19" s="200"/>
      <c r="BUT19" s="200"/>
      <c r="BUU19" s="200"/>
      <c r="BUV19" s="201"/>
      <c r="BUW19" s="199" t="s">
        <v>7</v>
      </c>
      <c r="BUX19" s="200"/>
      <c r="BUY19" s="200"/>
      <c r="BUZ19" s="200"/>
      <c r="BVA19" s="200"/>
      <c r="BVB19" s="200"/>
      <c r="BVC19" s="200"/>
      <c r="BVD19" s="201"/>
      <c r="BVE19" s="199" t="s">
        <v>7</v>
      </c>
      <c r="BVF19" s="200"/>
      <c r="BVG19" s="200"/>
      <c r="BVH19" s="200"/>
      <c r="BVI19" s="200"/>
      <c r="BVJ19" s="200"/>
      <c r="BVK19" s="200"/>
      <c r="BVL19" s="201"/>
      <c r="BVM19" s="199" t="s">
        <v>7</v>
      </c>
      <c r="BVN19" s="200"/>
      <c r="BVO19" s="200"/>
      <c r="BVP19" s="200"/>
      <c r="BVQ19" s="200"/>
      <c r="BVR19" s="200"/>
      <c r="BVS19" s="200"/>
      <c r="BVT19" s="201"/>
      <c r="BVU19" s="199" t="s">
        <v>7</v>
      </c>
      <c r="BVV19" s="200"/>
      <c r="BVW19" s="200"/>
      <c r="BVX19" s="200"/>
      <c r="BVY19" s="200"/>
      <c r="BVZ19" s="200"/>
      <c r="BWA19" s="200"/>
      <c r="BWB19" s="201"/>
      <c r="BWC19" s="199" t="s">
        <v>7</v>
      </c>
      <c r="BWD19" s="200"/>
      <c r="BWE19" s="200"/>
      <c r="BWF19" s="200"/>
      <c r="BWG19" s="200"/>
      <c r="BWH19" s="200"/>
      <c r="BWI19" s="200"/>
      <c r="BWJ19" s="201"/>
      <c r="BWK19" s="199" t="s">
        <v>7</v>
      </c>
      <c r="BWL19" s="200"/>
      <c r="BWM19" s="200"/>
      <c r="BWN19" s="200"/>
      <c r="BWO19" s="200"/>
      <c r="BWP19" s="200"/>
      <c r="BWQ19" s="200"/>
      <c r="BWR19" s="201"/>
      <c r="BWS19" s="199" t="s">
        <v>7</v>
      </c>
      <c r="BWT19" s="200"/>
      <c r="BWU19" s="200"/>
      <c r="BWV19" s="200"/>
      <c r="BWW19" s="200"/>
      <c r="BWX19" s="200"/>
      <c r="BWY19" s="200"/>
      <c r="BWZ19" s="201"/>
      <c r="BXA19" s="199" t="s">
        <v>7</v>
      </c>
      <c r="BXB19" s="200"/>
      <c r="BXC19" s="200"/>
      <c r="BXD19" s="200"/>
      <c r="BXE19" s="200"/>
      <c r="BXF19" s="200"/>
      <c r="BXG19" s="200"/>
      <c r="BXH19" s="201"/>
      <c r="BXI19" s="199" t="s">
        <v>7</v>
      </c>
      <c r="BXJ19" s="200"/>
      <c r="BXK19" s="200"/>
      <c r="BXL19" s="200"/>
      <c r="BXM19" s="200"/>
      <c r="BXN19" s="200"/>
      <c r="BXO19" s="200"/>
      <c r="BXP19" s="201"/>
      <c r="BXQ19" s="199" t="s">
        <v>7</v>
      </c>
      <c r="BXR19" s="200"/>
      <c r="BXS19" s="200"/>
      <c r="BXT19" s="200"/>
      <c r="BXU19" s="200"/>
      <c r="BXV19" s="200"/>
      <c r="BXW19" s="200"/>
      <c r="BXX19" s="201"/>
      <c r="BXY19" s="199" t="s">
        <v>7</v>
      </c>
      <c r="BXZ19" s="200"/>
      <c r="BYA19" s="200"/>
      <c r="BYB19" s="200"/>
      <c r="BYC19" s="200"/>
      <c r="BYD19" s="200"/>
      <c r="BYE19" s="200"/>
      <c r="BYF19" s="201"/>
      <c r="BYG19" s="199" t="s">
        <v>7</v>
      </c>
      <c r="BYH19" s="200"/>
      <c r="BYI19" s="200"/>
      <c r="BYJ19" s="200"/>
      <c r="BYK19" s="200"/>
      <c r="BYL19" s="200"/>
      <c r="BYM19" s="200"/>
      <c r="BYN19" s="201"/>
      <c r="BYO19" s="199" t="s">
        <v>7</v>
      </c>
      <c r="BYP19" s="200"/>
      <c r="BYQ19" s="200"/>
      <c r="BYR19" s="200"/>
      <c r="BYS19" s="200"/>
      <c r="BYT19" s="200"/>
      <c r="BYU19" s="200"/>
      <c r="BYV19" s="201"/>
      <c r="BYW19" s="199" t="s">
        <v>7</v>
      </c>
      <c r="BYX19" s="200"/>
      <c r="BYY19" s="200"/>
      <c r="BYZ19" s="200"/>
      <c r="BZA19" s="200"/>
      <c r="BZB19" s="200"/>
      <c r="BZC19" s="200"/>
      <c r="BZD19" s="201"/>
      <c r="BZE19" s="199" t="s">
        <v>7</v>
      </c>
      <c r="BZF19" s="200"/>
      <c r="BZG19" s="200"/>
      <c r="BZH19" s="200"/>
      <c r="BZI19" s="200"/>
      <c r="BZJ19" s="200"/>
      <c r="BZK19" s="200"/>
      <c r="BZL19" s="201"/>
      <c r="BZM19" s="199" t="s">
        <v>7</v>
      </c>
      <c r="BZN19" s="200"/>
      <c r="BZO19" s="200"/>
      <c r="BZP19" s="200"/>
      <c r="BZQ19" s="200"/>
      <c r="BZR19" s="200"/>
      <c r="BZS19" s="200"/>
      <c r="BZT19" s="201"/>
      <c r="BZU19" s="199" t="s">
        <v>7</v>
      </c>
      <c r="BZV19" s="200"/>
      <c r="BZW19" s="200"/>
      <c r="BZX19" s="200"/>
      <c r="BZY19" s="200"/>
      <c r="BZZ19" s="200"/>
      <c r="CAA19" s="200"/>
      <c r="CAB19" s="201"/>
      <c r="CAC19" s="199" t="s">
        <v>7</v>
      </c>
      <c r="CAD19" s="200"/>
      <c r="CAE19" s="200"/>
      <c r="CAF19" s="200"/>
      <c r="CAG19" s="200"/>
      <c r="CAH19" s="200"/>
      <c r="CAI19" s="200"/>
      <c r="CAJ19" s="201"/>
      <c r="CAK19" s="199" t="s">
        <v>7</v>
      </c>
      <c r="CAL19" s="200"/>
      <c r="CAM19" s="200"/>
      <c r="CAN19" s="200"/>
      <c r="CAO19" s="200"/>
      <c r="CAP19" s="200"/>
      <c r="CAQ19" s="200"/>
      <c r="CAR19" s="201"/>
      <c r="CAS19" s="199" t="s">
        <v>7</v>
      </c>
      <c r="CAT19" s="200"/>
      <c r="CAU19" s="200"/>
      <c r="CAV19" s="200"/>
      <c r="CAW19" s="200"/>
      <c r="CAX19" s="200"/>
      <c r="CAY19" s="200"/>
      <c r="CAZ19" s="201"/>
      <c r="CBA19" s="199" t="s">
        <v>7</v>
      </c>
      <c r="CBB19" s="200"/>
      <c r="CBC19" s="200"/>
      <c r="CBD19" s="200"/>
      <c r="CBE19" s="200"/>
      <c r="CBF19" s="200"/>
      <c r="CBG19" s="200"/>
      <c r="CBH19" s="201"/>
      <c r="CBI19" s="199" t="s">
        <v>7</v>
      </c>
      <c r="CBJ19" s="200"/>
      <c r="CBK19" s="200"/>
      <c r="CBL19" s="200"/>
      <c r="CBM19" s="200"/>
      <c r="CBN19" s="200"/>
      <c r="CBO19" s="200"/>
      <c r="CBP19" s="201"/>
      <c r="CBQ19" s="199" t="s">
        <v>7</v>
      </c>
      <c r="CBR19" s="200"/>
      <c r="CBS19" s="200"/>
      <c r="CBT19" s="200"/>
      <c r="CBU19" s="200"/>
      <c r="CBV19" s="200"/>
      <c r="CBW19" s="200"/>
      <c r="CBX19" s="201"/>
      <c r="CBY19" s="199" t="s">
        <v>7</v>
      </c>
      <c r="CBZ19" s="200"/>
      <c r="CCA19" s="200"/>
      <c r="CCB19" s="200"/>
      <c r="CCC19" s="200"/>
      <c r="CCD19" s="200"/>
      <c r="CCE19" s="200"/>
      <c r="CCF19" s="201"/>
      <c r="CCG19" s="199" t="s">
        <v>7</v>
      </c>
      <c r="CCH19" s="200"/>
      <c r="CCI19" s="200"/>
      <c r="CCJ19" s="200"/>
      <c r="CCK19" s="200"/>
      <c r="CCL19" s="200"/>
      <c r="CCM19" s="200"/>
      <c r="CCN19" s="201"/>
      <c r="CCO19" s="199" t="s">
        <v>7</v>
      </c>
      <c r="CCP19" s="200"/>
      <c r="CCQ19" s="200"/>
      <c r="CCR19" s="200"/>
      <c r="CCS19" s="200"/>
      <c r="CCT19" s="200"/>
      <c r="CCU19" s="200"/>
      <c r="CCV19" s="201"/>
      <c r="CCW19" s="199" t="s">
        <v>7</v>
      </c>
      <c r="CCX19" s="200"/>
      <c r="CCY19" s="200"/>
      <c r="CCZ19" s="200"/>
      <c r="CDA19" s="200"/>
      <c r="CDB19" s="200"/>
      <c r="CDC19" s="200"/>
      <c r="CDD19" s="201"/>
      <c r="CDE19" s="199" t="s">
        <v>7</v>
      </c>
      <c r="CDF19" s="200"/>
      <c r="CDG19" s="200"/>
      <c r="CDH19" s="200"/>
      <c r="CDI19" s="200"/>
      <c r="CDJ19" s="200"/>
      <c r="CDK19" s="200"/>
      <c r="CDL19" s="201"/>
      <c r="CDM19" s="199" t="s">
        <v>7</v>
      </c>
      <c r="CDN19" s="200"/>
      <c r="CDO19" s="200"/>
      <c r="CDP19" s="200"/>
      <c r="CDQ19" s="200"/>
      <c r="CDR19" s="200"/>
      <c r="CDS19" s="200"/>
      <c r="CDT19" s="201"/>
      <c r="CDU19" s="199" t="s">
        <v>7</v>
      </c>
      <c r="CDV19" s="200"/>
      <c r="CDW19" s="200"/>
      <c r="CDX19" s="200"/>
      <c r="CDY19" s="200"/>
      <c r="CDZ19" s="200"/>
      <c r="CEA19" s="200"/>
      <c r="CEB19" s="201"/>
      <c r="CEC19" s="199" t="s">
        <v>7</v>
      </c>
      <c r="CED19" s="200"/>
      <c r="CEE19" s="200"/>
      <c r="CEF19" s="200"/>
      <c r="CEG19" s="200"/>
      <c r="CEH19" s="200"/>
      <c r="CEI19" s="200"/>
      <c r="CEJ19" s="201"/>
      <c r="CEK19" s="199" t="s">
        <v>7</v>
      </c>
      <c r="CEL19" s="200"/>
      <c r="CEM19" s="200"/>
      <c r="CEN19" s="200"/>
      <c r="CEO19" s="200"/>
      <c r="CEP19" s="200"/>
      <c r="CEQ19" s="200"/>
      <c r="CER19" s="201"/>
      <c r="CES19" s="199" t="s">
        <v>7</v>
      </c>
      <c r="CET19" s="200"/>
      <c r="CEU19" s="200"/>
      <c r="CEV19" s="200"/>
      <c r="CEW19" s="200"/>
      <c r="CEX19" s="200"/>
      <c r="CEY19" s="200"/>
      <c r="CEZ19" s="201"/>
      <c r="CFA19" s="199" t="s">
        <v>7</v>
      </c>
      <c r="CFB19" s="200"/>
      <c r="CFC19" s="200"/>
      <c r="CFD19" s="200"/>
      <c r="CFE19" s="200"/>
      <c r="CFF19" s="200"/>
      <c r="CFG19" s="200"/>
      <c r="CFH19" s="201"/>
      <c r="CFI19" s="199" t="s">
        <v>7</v>
      </c>
      <c r="CFJ19" s="200"/>
      <c r="CFK19" s="200"/>
      <c r="CFL19" s="200"/>
      <c r="CFM19" s="200"/>
      <c r="CFN19" s="200"/>
      <c r="CFO19" s="200"/>
      <c r="CFP19" s="201"/>
      <c r="CFQ19" s="199" t="s">
        <v>7</v>
      </c>
      <c r="CFR19" s="200"/>
      <c r="CFS19" s="200"/>
      <c r="CFT19" s="200"/>
      <c r="CFU19" s="200"/>
      <c r="CFV19" s="200"/>
      <c r="CFW19" s="200"/>
      <c r="CFX19" s="201"/>
      <c r="CFY19" s="199" t="s">
        <v>7</v>
      </c>
      <c r="CFZ19" s="200"/>
      <c r="CGA19" s="200"/>
      <c r="CGB19" s="200"/>
      <c r="CGC19" s="200"/>
      <c r="CGD19" s="200"/>
      <c r="CGE19" s="200"/>
      <c r="CGF19" s="201"/>
      <c r="CGG19" s="199" t="s">
        <v>7</v>
      </c>
      <c r="CGH19" s="200"/>
      <c r="CGI19" s="200"/>
      <c r="CGJ19" s="200"/>
      <c r="CGK19" s="200"/>
      <c r="CGL19" s="200"/>
      <c r="CGM19" s="200"/>
      <c r="CGN19" s="201"/>
      <c r="CGO19" s="199" t="s">
        <v>7</v>
      </c>
      <c r="CGP19" s="200"/>
      <c r="CGQ19" s="200"/>
      <c r="CGR19" s="200"/>
      <c r="CGS19" s="200"/>
      <c r="CGT19" s="200"/>
      <c r="CGU19" s="200"/>
      <c r="CGV19" s="201"/>
      <c r="CGW19" s="199" t="s">
        <v>7</v>
      </c>
      <c r="CGX19" s="200"/>
      <c r="CGY19" s="200"/>
      <c r="CGZ19" s="200"/>
      <c r="CHA19" s="200"/>
      <c r="CHB19" s="200"/>
      <c r="CHC19" s="200"/>
      <c r="CHD19" s="201"/>
      <c r="CHE19" s="199" t="s">
        <v>7</v>
      </c>
      <c r="CHF19" s="200"/>
      <c r="CHG19" s="200"/>
      <c r="CHH19" s="200"/>
      <c r="CHI19" s="200"/>
      <c r="CHJ19" s="200"/>
      <c r="CHK19" s="200"/>
      <c r="CHL19" s="201"/>
      <c r="CHM19" s="199" t="s">
        <v>7</v>
      </c>
      <c r="CHN19" s="200"/>
      <c r="CHO19" s="200"/>
      <c r="CHP19" s="200"/>
      <c r="CHQ19" s="200"/>
      <c r="CHR19" s="200"/>
      <c r="CHS19" s="200"/>
      <c r="CHT19" s="201"/>
      <c r="CHU19" s="199" t="s">
        <v>7</v>
      </c>
      <c r="CHV19" s="200"/>
      <c r="CHW19" s="200"/>
      <c r="CHX19" s="200"/>
      <c r="CHY19" s="200"/>
      <c r="CHZ19" s="200"/>
      <c r="CIA19" s="200"/>
      <c r="CIB19" s="201"/>
      <c r="CIC19" s="199" t="s">
        <v>7</v>
      </c>
      <c r="CID19" s="200"/>
      <c r="CIE19" s="200"/>
      <c r="CIF19" s="200"/>
      <c r="CIG19" s="200"/>
      <c r="CIH19" s="200"/>
      <c r="CII19" s="200"/>
      <c r="CIJ19" s="201"/>
      <c r="CIK19" s="199" t="s">
        <v>7</v>
      </c>
      <c r="CIL19" s="200"/>
      <c r="CIM19" s="200"/>
      <c r="CIN19" s="200"/>
      <c r="CIO19" s="200"/>
      <c r="CIP19" s="200"/>
      <c r="CIQ19" s="200"/>
      <c r="CIR19" s="201"/>
      <c r="CIS19" s="199" t="s">
        <v>7</v>
      </c>
      <c r="CIT19" s="200"/>
      <c r="CIU19" s="200"/>
      <c r="CIV19" s="200"/>
      <c r="CIW19" s="200"/>
      <c r="CIX19" s="200"/>
      <c r="CIY19" s="200"/>
      <c r="CIZ19" s="201"/>
      <c r="CJA19" s="199" t="s">
        <v>7</v>
      </c>
      <c r="CJB19" s="200"/>
      <c r="CJC19" s="200"/>
      <c r="CJD19" s="200"/>
      <c r="CJE19" s="200"/>
      <c r="CJF19" s="200"/>
      <c r="CJG19" s="200"/>
      <c r="CJH19" s="201"/>
      <c r="CJI19" s="199" t="s">
        <v>7</v>
      </c>
      <c r="CJJ19" s="200"/>
      <c r="CJK19" s="200"/>
      <c r="CJL19" s="200"/>
      <c r="CJM19" s="200"/>
      <c r="CJN19" s="200"/>
      <c r="CJO19" s="200"/>
      <c r="CJP19" s="201"/>
      <c r="CJQ19" s="199" t="s">
        <v>7</v>
      </c>
      <c r="CJR19" s="200"/>
      <c r="CJS19" s="200"/>
      <c r="CJT19" s="200"/>
      <c r="CJU19" s="200"/>
      <c r="CJV19" s="200"/>
      <c r="CJW19" s="200"/>
      <c r="CJX19" s="201"/>
      <c r="CJY19" s="199" t="s">
        <v>7</v>
      </c>
      <c r="CJZ19" s="200"/>
      <c r="CKA19" s="200"/>
      <c r="CKB19" s="200"/>
      <c r="CKC19" s="200"/>
      <c r="CKD19" s="200"/>
      <c r="CKE19" s="200"/>
      <c r="CKF19" s="201"/>
      <c r="CKG19" s="199" t="s">
        <v>7</v>
      </c>
      <c r="CKH19" s="200"/>
      <c r="CKI19" s="200"/>
      <c r="CKJ19" s="200"/>
      <c r="CKK19" s="200"/>
      <c r="CKL19" s="200"/>
      <c r="CKM19" s="200"/>
      <c r="CKN19" s="201"/>
      <c r="CKO19" s="199" t="s">
        <v>7</v>
      </c>
      <c r="CKP19" s="200"/>
      <c r="CKQ19" s="200"/>
      <c r="CKR19" s="200"/>
      <c r="CKS19" s="200"/>
      <c r="CKT19" s="200"/>
      <c r="CKU19" s="200"/>
      <c r="CKV19" s="201"/>
      <c r="CKW19" s="199" t="s">
        <v>7</v>
      </c>
      <c r="CKX19" s="200"/>
      <c r="CKY19" s="200"/>
      <c r="CKZ19" s="200"/>
      <c r="CLA19" s="200"/>
      <c r="CLB19" s="200"/>
      <c r="CLC19" s="200"/>
      <c r="CLD19" s="201"/>
      <c r="CLE19" s="199" t="s">
        <v>7</v>
      </c>
      <c r="CLF19" s="200"/>
      <c r="CLG19" s="200"/>
      <c r="CLH19" s="200"/>
      <c r="CLI19" s="200"/>
      <c r="CLJ19" s="200"/>
      <c r="CLK19" s="200"/>
      <c r="CLL19" s="201"/>
      <c r="CLM19" s="199" t="s">
        <v>7</v>
      </c>
      <c r="CLN19" s="200"/>
      <c r="CLO19" s="200"/>
      <c r="CLP19" s="200"/>
      <c r="CLQ19" s="200"/>
      <c r="CLR19" s="200"/>
      <c r="CLS19" s="200"/>
      <c r="CLT19" s="201"/>
      <c r="CLU19" s="199" t="s">
        <v>7</v>
      </c>
      <c r="CLV19" s="200"/>
      <c r="CLW19" s="200"/>
      <c r="CLX19" s="200"/>
      <c r="CLY19" s="200"/>
      <c r="CLZ19" s="200"/>
      <c r="CMA19" s="200"/>
      <c r="CMB19" s="201"/>
      <c r="CMC19" s="199" t="s">
        <v>7</v>
      </c>
      <c r="CMD19" s="200"/>
      <c r="CME19" s="200"/>
      <c r="CMF19" s="200"/>
      <c r="CMG19" s="200"/>
      <c r="CMH19" s="200"/>
      <c r="CMI19" s="200"/>
      <c r="CMJ19" s="201"/>
      <c r="CMK19" s="199" t="s">
        <v>7</v>
      </c>
      <c r="CML19" s="200"/>
      <c r="CMM19" s="200"/>
      <c r="CMN19" s="200"/>
      <c r="CMO19" s="200"/>
      <c r="CMP19" s="200"/>
      <c r="CMQ19" s="200"/>
      <c r="CMR19" s="201"/>
      <c r="CMS19" s="199" t="s">
        <v>7</v>
      </c>
      <c r="CMT19" s="200"/>
      <c r="CMU19" s="200"/>
      <c r="CMV19" s="200"/>
      <c r="CMW19" s="200"/>
      <c r="CMX19" s="200"/>
      <c r="CMY19" s="200"/>
      <c r="CMZ19" s="201"/>
      <c r="CNA19" s="199" t="s">
        <v>7</v>
      </c>
      <c r="CNB19" s="200"/>
      <c r="CNC19" s="200"/>
      <c r="CND19" s="200"/>
      <c r="CNE19" s="200"/>
      <c r="CNF19" s="200"/>
      <c r="CNG19" s="200"/>
      <c r="CNH19" s="201"/>
      <c r="CNI19" s="199" t="s">
        <v>7</v>
      </c>
      <c r="CNJ19" s="200"/>
      <c r="CNK19" s="200"/>
      <c r="CNL19" s="200"/>
      <c r="CNM19" s="200"/>
      <c r="CNN19" s="200"/>
      <c r="CNO19" s="200"/>
      <c r="CNP19" s="201"/>
      <c r="CNQ19" s="199" t="s">
        <v>7</v>
      </c>
      <c r="CNR19" s="200"/>
      <c r="CNS19" s="200"/>
      <c r="CNT19" s="200"/>
      <c r="CNU19" s="200"/>
      <c r="CNV19" s="200"/>
      <c r="CNW19" s="200"/>
      <c r="CNX19" s="201"/>
      <c r="CNY19" s="199" t="s">
        <v>7</v>
      </c>
      <c r="CNZ19" s="200"/>
      <c r="COA19" s="200"/>
      <c r="COB19" s="200"/>
      <c r="COC19" s="200"/>
      <c r="COD19" s="200"/>
      <c r="COE19" s="200"/>
      <c r="COF19" s="201"/>
      <c r="COG19" s="199" t="s">
        <v>7</v>
      </c>
      <c r="COH19" s="200"/>
      <c r="COI19" s="200"/>
      <c r="COJ19" s="200"/>
      <c r="COK19" s="200"/>
      <c r="COL19" s="200"/>
      <c r="COM19" s="200"/>
      <c r="CON19" s="201"/>
      <c r="COO19" s="199" t="s">
        <v>7</v>
      </c>
      <c r="COP19" s="200"/>
      <c r="COQ19" s="200"/>
      <c r="COR19" s="200"/>
      <c r="COS19" s="200"/>
      <c r="COT19" s="200"/>
      <c r="COU19" s="200"/>
      <c r="COV19" s="201"/>
      <c r="COW19" s="199" t="s">
        <v>7</v>
      </c>
      <c r="COX19" s="200"/>
      <c r="COY19" s="200"/>
      <c r="COZ19" s="200"/>
      <c r="CPA19" s="200"/>
      <c r="CPB19" s="200"/>
      <c r="CPC19" s="200"/>
      <c r="CPD19" s="201"/>
      <c r="CPE19" s="199" t="s">
        <v>7</v>
      </c>
      <c r="CPF19" s="200"/>
      <c r="CPG19" s="200"/>
      <c r="CPH19" s="200"/>
      <c r="CPI19" s="200"/>
      <c r="CPJ19" s="200"/>
      <c r="CPK19" s="200"/>
      <c r="CPL19" s="201"/>
      <c r="CPM19" s="199" t="s">
        <v>7</v>
      </c>
      <c r="CPN19" s="200"/>
      <c r="CPO19" s="200"/>
      <c r="CPP19" s="200"/>
      <c r="CPQ19" s="200"/>
      <c r="CPR19" s="200"/>
      <c r="CPS19" s="200"/>
      <c r="CPT19" s="201"/>
      <c r="CPU19" s="199" t="s">
        <v>7</v>
      </c>
      <c r="CPV19" s="200"/>
      <c r="CPW19" s="200"/>
      <c r="CPX19" s="200"/>
      <c r="CPY19" s="200"/>
      <c r="CPZ19" s="200"/>
      <c r="CQA19" s="200"/>
      <c r="CQB19" s="201"/>
      <c r="CQC19" s="199" t="s">
        <v>7</v>
      </c>
      <c r="CQD19" s="200"/>
      <c r="CQE19" s="200"/>
      <c r="CQF19" s="200"/>
      <c r="CQG19" s="200"/>
      <c r="CQH19" s="200"/>
      <c r="CQI19" s="200"/>
      <c r="CQJ19" s="201"/>
      <c r="CQK19" s="199" t="s">
        <v>7</v>
      </c>
      <c r="CQL19" s="200"/>
      <c r="CQM19" s="200"/>
      <c r="CQN19" s="200"/>
      <c r="CQO19" s="200"/>
      <c r="CQP19" s="200"/>
      <c r="CQQ19" s="200"/>
      <c r="CQR19" s="201"/>
      <c r="CQS19" s="199" t="s">
        <v>7</v>
      </c>
      <c r="CQT19" s="200"/>
      <c r="CQU19" s="200"/>
      <c r="CQV19" s="200"/>
      <c r="CQW19" s="200"/>
      <c r="CQX19" s="200"/>
      <c r="CQY19" s="200"/>
      <c r="CQZ19" s="201"/>
      <c r="CRA19" s="199" t="s">
        <v>7</v>
      </c>
      <c r="CRB19" s="200"/>
      <c r="CRC19" s="200"/>
      <c r="CRD19" s="200"/>
      <c r="CRE19" s="200"/>
      <c r="CRF19" s="200"/>
      <c r="CRG19" s="200"/>
      <c r="CRH19" s="201"/>
      <c r="CRI19" s="199" t="s">
        <v>7</v>
      </c>
      <c r="CRJ19" s="200"/>
      <c r="CRK19" s="200"/>
      <c r="CRL19" s="200"/>
      <c r="CRM19" s="200"/>
      <c r="CRN19" s="200"/>
      <c r="CRO19" s="200"/>
      <c r="CRP19" s="201"/>
      <c r="CRQ19" s="199" t="s">
        <v>7</v>
      </c>
      <c r="CRR19" s="200"/>
      <c r="CRS19" s="200"/>
      <c r="CRT19" s="200"/>
      <c r="CRU19" s="200"/>
      <c r="CRV19" s="200"/>
      <c r="CRW19" s="200"/>
      <c r="CRX19" s="201"/>
      <c r="CRY19" s="199" t="s">
        <v>7</v>
      </c>
      <c r="CRZ19" s="200"/>
      <c r="CSA19" s="200"/>
      <c r="CSB19" s="200"/>
      <c r="CSC19" s="200"/>
      <c r="CSD19" s="200"/>
      <c r="CSE19" s="200"/>
      <c r="CSF19" s="201"/>
      <c r="CSG19" s="199" t="s">
        <v>7</v>
      </c>
      <c r="CSH19" s="200"/>
      <c r="CSI19" s="200"/>
      <c r="CSJ19" s="200"/>
      <c r="CSK19" s="200"/>
      <c r="CSL19" s="200"/>
      <c r="CSM19" s="200"/>
      <c r="CSN19" s="201"/>
      <c r="CSO19" s="199" t="s">
        <v>7</v>
      </c>
      <c r="CSP19" s="200"/>
      <c r="CSQ19" s="200"/>
      <c r="CSR19" s="200"/>
      <c r="CSS19" s="200"/>
      <c r="CST19" s="200"/>
      <c r="CSU19" s="200"/>
      <c r="CSV19" s="201"/>
      <c r="CSW19" s="199" t="s">
        <v>7</v>
      </c>
      <c r="CSX19" s="200"/>
      <c r="CSY19" s="200"/>
      <c r="CSZ19" s="200"/>
      <c r="CTA19" s="200"/>
      <c r="CTB19" s="200"/>
      <c r="CTC19" s="200"/>
      <c r="CTD19" s="201"/>
      <c r="CTE19" s="199" t="s">
        <v>7</v>
      </c>
      <c r="CTF19" s="200"/>
      <c r="CTG19" s="200"/>
      <c r="CTH19" s="200"/>
      <c r="CTI19" s="200"/>
      <c r="CTJ19" s="200"/>
      <c r="CTK19" s="200"/>
      <c r="CTL19" s="201"/>
      <c r="CTM19" s="199" t="s">
        <v>7</v>
      </c>
      <c r="CTN19" s="200"/>
      <c r="CTO19" s="200"/>
      <c r="CTP19" s="200"/>
      <c r="CTQ19" s="200"/>
      <c r="CTR19" s="200"/>
      <c r="CTS19" s="200"/>
      <c r="CTT19" s="201"/>
      <c r="CTU19" s="199" t="s">
        <v>7</v>
      </c>
      <c r="CTV19" s="200"/>
      <c r="CTW19" s="200"/>
      <c r="CTX19" s="200"/>
      <c r="CTY19" s="200"/>
      <c r="CTZ19" s="200"/>
      <c r="CUA19" s="200"/>
      <c r="CUB19" s="201"/>
      <c r="CUC19" s="199" t="s">
        <v>7</v>
      </c>
      <c r="CUD19" s="200"/>
      <c r="CUE19" s="200"/>
      <c r="CUF19" s="200"/>
      <c r="CUG19" s="200"/>
      <c r="CUH19" s="200"/>
      <c r="CUI19" s="200"/>
      <c r="CUJ19" s="201"/>
      <c r="CUK19" s="199" t="s">
        <v>7</v>
      </c>
      <c r="CUL19" s="200"/>
      <c r="CUM19" s="200"/>
      <c r="CUN19" s="200"/>
      <c r="CUO19" s="200"/>
      <c r="CUP19" s="200"/>
      <c r="CUQ19" s="200"/>
      <c r="CUR19" s="201"/>
      <c r="CUS19" s="199" t="s">
        <v>7</v>
      </c>
      <c r="CUT19" s="200"/>
      <c r="CUU19" s="200"/>
      <c r="CUV19" s="200"/>
      <c r="CUW19" s="200"/>
      <c r="CUX19" s="200"/>
      <c r="CUY19" s="200"/>
      <c r="CUZ19" s="201"/>
      <c r="CVA19" s="199" t="s">
        <v>7</v>
      </c>
      <c r="CVB19" s="200"/>
      <c r="CVC19" s="200"/>
      <c r="CVD19" s="200"/>
      <c r="CVE19" s="200"/>
      <c r="CVF19" s="200"/>
      <c r="CVG19" s="200"/>
      <c r="CVH19" s="201"/>
      <c r="CVI19" s="199" t="s">
        <v>7</v>
      </c>
      <c r="CVJ19" s="200"/>
      <c r="CVK19" s="200"/>
      <c r="CVL19" s="200"/>
      <c r="CVM19" s="200"/>
      <c r="CVN19" s="200"/>
      <c r="CVO19" s="200"/>
      <c r="CVP19" s="201"/>
      <c r="CVQ19" s="199" t="s">
        <v>7</v>
      </c>
      <c r="CVR19" s="200"/>
      <c r="CVS19" s="200"/>
      <c r="CVT19" s="200"/>
      <c r="CVU19" s="200"/>
      <c r="CVV19" s="200"/>
      <c r="CVW19" s="200"/>
      <c r="CVX19" s="201"/>
      <c r="CVY19" s="199" t="s">
        <v>7</v>
      </c>
      <c r="CVZ19" s="200"/>
      <c r="CWA19" s="200"/>
      <c r="CWB19" s="200"/>
      <c r="CWC19" s="200"/>
      <c r="CWD19" s="200"/>
      <c r="CWE19" s="200"/>
      <c r="CWF19" s="201"/>
      <c r="CWG19" s="199" t="s">
        <v>7</v>
      </c>
      <c r="CWH19" s="200"/>
      <c r="CWI19" s="200"/>
      <c r="CWJ19" s="200"/>
      <c r="CWK19" s="200"/>
      <c r="CWL19" s="200"/>
      <c r="CWM19" s="200"/>
      <c r="CWN19" s="201"/>
      <c r="CWO19" s="199" t="s">
        <v>7</v>
      </c>
      <c r="CWP19" s="200"/>
      <c r="CWQ19" s="200"/>
      <c r="CWR19" s="200"/>
      <c r="CWS19" s="200"/>
      <c r="CWT19" s="200"/>
      <c r="CWU19" s="200"/>
      <c r="CWV19" s="201"/>
      <c r="CWW19" s="199" t="s">
        <v>7</v>
      </c>
      <c r="CWX19" s="200"/>
      <c r="CWY19" s="200"/>
      <c r="CWZ19" s="200"/>
      <c r="CXA19" s="200"/>
      <c r="CXB19" s="200"/>
      <c r="CXC19" s="200"/>
      <c r="CXD19" s="201"/>
      <c r="CXE19" s="199" t="s">
        <v>7</v>
      </c>
      <c r="CXF19" s="200"/>
      <c r="CXG19" s="200"/>
      <c r="CXH19" s="200"/>
      <c r="CXI19" s="200"/>
      <c r="CXJ19" s="200"/>
      <c r="CXK19" s="200"/>
      <c r="CXL19" s="201"/>
      <c r="CXM19" s="199" t="s">
        <v>7</v>
      </c>
      <c r="CXN19" s="200"/>
      <c r="CXO19" s="200"/>
      <c r="CXP19" s="200"/>
      <c r="CXQ19" s="200"/>
      <c r="CXR19" s="200"/>
      <c r="CXS19" s="200"/>
      <c r="CXT19" s="201"/>
      <c r="CXU19" s="199" t="s">
        <v>7</v>
      </c>
      <c r="CXV19" s="200"/>
      <c r="CXW19" s="200"/>
      <c r="CXX19" s="200"/>
      <c r="CXY19" s="200"/>
      <c r="CXZ19" s="200"/>
      <c r="CYA19" s="200"/>
      <c r="CYB19" s="201"/>
      <c r="CYC19" s="199" t="s">
        <v>7</v>
      </c>
      <c r="CYD19" s="200"/>
      <c r="CYE19" s="200"/>
      <c r="CYF19" s="200"/>
      <c r="CYG19" s="200"/>
      <c r="CYH19" s="200"/>
      <c r="CYI19" s="200"/>
      <c r="CYJ19" s="201"/>
      <c r="CYK19" s="199" t="s">
        <v>7</v>
      </c>
      <c r="CYL19" s="200"/>
      <c r="CYM19" s="200"/>
      <c r="CYN19" s="200"/>
      <c r="CYO19" s="200"/>
      <c r="CYP19" s="200"/>
      <c r="CYQ19" s="200"/>
      <c r="CYR19" s="201"/>
      <c r="CYS19" s="199" t="s">
        <v>7</v>
      </c>
      <c r="CYT19" s="200"/>
      <c r="CYU19" s="200"/>
      <c r="CYV19" s="200"/>
      <c r="CYW19" s="200"/>
      <c r="CYX19" s="200"/>
      <c r="CYY19" s="200"/>
      <c r="CYZ19" s="201"/>
      <c r="CZA19" s="199" t="s">
        <v>7</v>
      </c>
      <c r="CZB19" s="200"/>
      <c r="CZC19" s="200"/>
      <c r="CZD19" s="200"/>
      <c r="CZE19" s="200"/>
      <c r="CZF19" s="200"/>
      <c r="CZG19" s="200"/>
      <c r="CZH19" s="201"/>
      <c r="CZI19" s="199" t="s">
        <v>7</v>
      </c>
      <c r="CZJ19" s="200"/>
      <c r="CZK19" s="200"/>
      <c r="CZL19" s="200"/>
      <c r="CZM19" s="200"/>
      <c r="CZN19" s="200"/>
      <c r="CZO19" s="200"/>
      <c r="CZP19" s="201"/>
      <c r="CZQ19" s="199" t="s">
        <v>7</v>
      </c>
      <c r="CZR19" s="200"/>
      <c r="CZS19" s="200"/>
      <c r="CZT19" s="200"/>
      <c r="CZU19" s="200"/>
      <c r="CZV19" s="200"/>
      <c r="CZW19" s="200"/>
      <c r="CZX19" s="201"/>
      <c r="CZY19" s="199" t="s">
        <v>7</v>
      </c>
      <c r="CZZ19" s="200"/>
      <c r="DAA19" s="200"/>
      <c r="DAB19" s="200"/>
      <c r="DAC19" s="200"/>
      <c r="DAD19" s="200"/>
      <c r="DAE19" s="200"/>
      <c r="DAF19" s="201"/>
      <c r="DAG19" s="199" t="s">
        <v>7</v>
      </c>
      <c r="DAH19" s="200"/>
      <c r="DAI19" s="200"/>
      <c r="DAJ19" s="200"/>
      <c r="DAK19" s="200"/>
      <c r="DAL19" s="200"/>
      <c r="DAM19" s="200"/>
      <c r="DAN19" s="201"/>
      <c r="DAO19" s="199" t="s">
        <v>7</v>
      </c>
      <c r="DAP19" s="200"/>
      <c r="DAQ19" s="200"/>
      <c r="DAR19" s="200"/>
      <c r="DAS19" s="200"/>
      <c r="DAT19" s="200"/>
      <c r="DAU19" s="200"/>
      <c r="DAV19" s="201"/>
      <c r="DAW19" s="199" t="s">
        <v>7</v>
      </c>
      <c r="DAX19" s="200"/>
      <c r="DAY19" s="200"/>
      <c r="DAZ19" s="200"/>
      <c r="DBA19" s="200"/>
      <c r="DBB19" s="200"/>
      <c r="DBC19" s="200"/>
      <c r="DBD19" s="201"/>
      <c r="DBE19" s="199" t="s">
        <v>7</v>
      </c>
      <c r="DBF19" s="200"/>
      <c r="DBG19" s="200"/>
      <c r="DBH19" s="200"/>
      <c r="DBI19" s="200"/>
      <c r="DBJ19" s="200"/>
      <c r="DBK19" s="200"/>
      <c r="DBL19" s="201"/>
      <c r="DBM19" s="199" t="s">
        <v>7</v>
      </c>
      <c r="DBN19" s="200"/>
      <c r="DBO19" s="200"/>
      <c r="DBP19" s="200"/>
      <c r="DBQ19" s="200"/>
      <c r="DBR19" s="200"/>
      <c r="DBS19" s="200"/>
      <c r="DBT19" s="201"/>
      <c r="DBU19" s="199" t="s">
        <v>7</v>
      </c>
      <c r="DBV19" s="200"/>
      <c r="DBW19" s="200"/>
      <c r="DBX19" s="200"/>
      <c r="DBY19" s="200"/>
      <c r="DBZ19" s="200"/>
      <c r="DCA19" s="200"/>
      <c r="DCB19" s="201"/>
      <c r="DCC19" s="199" t="s">
        <v>7</v>
      </c>
      <c r="DCD19" s="200"/>
      <c r="DCE19" s="200"/>
      <c r="DCF19" s="200"/>
      <c r="DCG19" s="200"/>
      <c r="DCH19" s="200"/>
      <c r="DCI19" s="200"/>
      <c r="DCJ19" s="201"/>
      <c r="DCK19" s="199" t="s">
        <v>7</v>
      </c>
      <c r="DCL19" s="200"/>
      <c r="DCM19" s="200"/>
      <c r="DCN19" s="200"/>
      <c r="DCO19" s="200"/>
      <c r="DCP19" s="200"/>
      <c r="DCQ19" s="200"/>
      <c r="DCR19" s="201"/>
      <c r="DCS19" s="199" t="s">
        <v>7</v>
      </c>
      <c r="DCT19" s="200"/>
      <c r="DCU19" s="200"/>
      <c r="DCV19" s="200"/>
      <c r="DCW19" s="200"/>
      <c r="DCX19" s="200"/>
      <c r="DCY19" s="200"/>
      <c r="DCZ19" s="201"/>
      <c r="DDA19" s="199" t="s">
        <v>7</v>
      </c>
      <c r="DDB19" s="200"/>
      <c r="DDC19" s="200"/>
      <c r="DDD19" s="200"/>
      <c r="DDE19" s="200"/>
      <c r="DDF19" s="200"/>
      <c r="DDG19" s="200"/>
      <c r="DDH19" s="201"/>
      <c r="DDI19" s="199" t="s">
        <v>7</v>
      </c>
      <c r="DDJ19" s="200"/>
      <c r="DDK19" s="200"/>
      <c r="DDL19" s="200"/>
      <c r="DDM19" s="200"/>
      <c r="DDN19" s="200"/>
      <c r="DDO19" s="200"/>
      <c r="DDP19" s="201"/>
      <c r="DDQ19" s="199" t="s">
        <v>7</v>
      </c>
      <c r="DDR19" s="200"/>
      <c r="DDS19" s="200"/>
      <c r="DDT19" s="200"/>
      <c r="DDU19" s="200"/>
      <c r="DDV19" s="200"/>
      <c r="DDW19" s="200"/>
      <c r="DDX19" s="201"/>
      <c r="DDY19" s="199" t="s">
        <v>7</v>
      </c>
      <c r="DDZ19" s="200"/>
      <c r="DEA19" s="200"/>
      <c r="DEB19" s="200"/>
      <c r="DEC19" s="200"/>
      <c r="DED19" s="200"/>
      <c r="DEE19" s="200"/>
      <c r="DEF19" s="201"/>
      <c r="DEG19" s="199" t="s">
        <v>7</v>
      </c>
      <c r="DEH19" s="200"/>
      <c r="DEI19" s="200"/>
      <c r="DEJ19" s="200"/>
      <c r="DEK19" s="200"/>
      <c r="DEL19" s="200"/>
      <c r="DEM19" s="200"/>
      <c r="DEN19" s="201"/>
      <c r="DEO19" s="199" t="s">
        <v>7</v>
      </c>
      <c r="DEP19" s="200"/>
      <c r="DEQ19" s="200"/>
      <c r="DER19" s="200"/>
      <c r="DES19" s="200"/>
      <c r="DET19" s="200"/>
      <c r="DEU19" s="200"/>
      <c r="DEV19" s="201"/>
      <c r="DEW19" s="199" t="s">
        <v>7</v>
      </c>
      <c r="DEX19" s="200"/>
      <c r="DEY19" s="200"/>
      <c r="DEZ19" s="200"/>
      <c r="DFA19" s="200"/>
      <c r="DFB19" s="200"/>
      <c r="DFC19" s="200"/>
      <c r="DFD19" s="201"/>
      <c r="DFE19" s="199" t="s">
        <v>7</v>
      </c>
      <c r="DFF19" s="200"/>
      <c r="DFG19" s="200"/>
      <c r="DFH19" s="200"/>
      <c r="DFI19" s="200"/>
      <c r="DFJ19" s="200"/>
      <c r="DFK19" s="200"/>
      <c r="DFL19" s="201"/>
      <c r="DFM19" s="199" t="s">
        <v>7</v>
      </c>
      <c r="DFN19" s="200"/>
      <c r="DFO19" s="200"/>
      <c r="DFP19" s="200"/>
      <c r="DFQ19" s="200"/>
      <c r="DFR19" s="200"/>
      <c r="DFS19" s="200"/>
      <c r="DFT19" s="201"/>
      <c r="DFU19" s="199" t="s">
        <v>7</v>
      </c>
      <c r="DFV19" s="200"/>
      <c r="DFW19" s="200"/>
      <c r="DFX19" s="200"/>
      <c r="DFY19" s="200"/>
      <c r="DFZ19" s="200"/>
      <c r="DGA19" s="200"/>
      <c r="DGB19" s="201"/>
      <c r="DGC19" s="199" t="s">
        <v>7</v>
      </c>
      <c r="DGD19" s="200"/>
      <c r="DGE19" s="200"/>
      <c r="DGF19" s="200"/>
      <c r="DGG19" s="200"/>
      <c r="DGH19" s="200"/>
      <c r="DGI19" s="200"/>
      <c r="DGJ19" s="201"/>
      <c r="DGK19" s="199" t="s">
        <v>7</v>
      </c>
      <c r="DGL19" s="200"/>
      <c r="DGM19" s="200"/>
      <c r="DGN19" s="200"/>
      <c r="DGO19" s="200"/>
      <c r="DGP19" s="200"/>
      <c r="DGQ19" s="200"/>
      <c r="DGR19" s="201"/>
      <c r="DGS19" s="199" t="s">
        <v>7</v>
      </c>
      <c r="DGT19" s="200"/>
      <c r="DGU19" s="200"/>
      <c r="DGV19" s="200"/>
      <c r="DGW19" s="200"/>
      <c r="DGX19" s="200"/>
      <c r="DGY19" s="200"/>
      <c r="DGZ19" s="201"/>
      <c r="DHA19" s="199" t="s">
        <v>7</v>
      </c>
      <c r="DHB19" s="200"/>
      <c r="DHC19" s="200"/>
      <c r="DHD19" s="200"/>
      <c r="DHE19" s="200"/>
      <c r="DHF19" s="200"/>
      <c r="DHG19" s="200"/>
      <c r="DHH19" s="201"/>
      <c r="DHI19" s="199" t="s">
        <v>7</v>
      </c>
      <c r="DHJ19" s="200"/>
      <c r="DHK19" s="200"/>
      <c r="DHL19" s="200"/>
      <c r="DHM19" s="200"/>
      <c r="DHN19" s="200"/>
      <c r="DHO19" s="200"/>
      <c r="DHP19" s="201"/>
      <c r="DHQ19" s="199" t="s">
        <v>7</v>
      </c>
      <c r="DHR19" s="200"/>
      <c r="DHS19" s="200"/>
      <c r="DHT19" s="200"/>
      <c r="DHU19" s="200"/>
      <c r="DHV19" s="200"/>
      <c r="DHW19" s="200"/>
      <c r="DHX19" s="201"/>
      <c r="DHY19" s="199" t="s">
        <v>7</v>
      </c>
      <c r="DHZ19" s="200"/>
      <c r="DIA19" s="200"/>
      <c r="DIB19" s="200"/>
      <c r="DIC19" s="200"/>
      <c r="DID19" s="200"/>
      <c r="DIE19" s="200"/>
      <c r="DIF19" s="201"/>
      <c r="DIG19" s="199" t="s">
        <v>7</v>
      </c>
      <c r="DIH19" s="200"/>
      <c r="DII19" s="200"/>
      <c r="DIJ19" s="200"/>
      <c r="DIK19" s="200"/>
      <c r="DIL19" s="200"/>
      <c r="DIM19" s="200"/>
      <c r="DIN19" s="201"/>
      <c r="DIO19" s="199" t="s">
        <v>7</v>
      </c>
      <c r="DIP19" s="200"/>
      <c r="DIQ19" s="200"/>
      <c r="DIR19" s="200"/>
      <c r="DIS19" s="200"/>
      <c r="DIT19" s="200"/>
      <c r="DIU19" s="200"/>
      <c r="DIV19" s="201"/>
      <c r="DIW19" s="199" t="s">
        <v>7</v>
      </c>
      <c r="DIX19" s="200"/>
      <c r="DIY19" s="200"/>
      <c r="DIZ19" s="200"/>
      <c r="DJA19" s="200"/>
      <c r="DJB19" s="200"/>
      <c r="DJC19" s="200"/>
      <c r="DJD19" s="201"/>
      <c r="DJE19" s="199" t="s">
        <v>7</v>
      </c>
      <c r="DJF19" s="200"/>
      <c r="DJG19" s="200"/>
      <c r="DJH19" s="200"/>
      <c r="DJI19" s="200"/>
      <c r="DJJ19" s="200"/>
      <c r="DJK19" s="200"/>
      <c r="DJL19" s="201"/>
      <c r="DJM19" s="199" t="s">
        <v>7</v>
      </c>
      <c r="DJN19" s="200"/>
      <c r="DJO19" s="200"/>
      <c r="DJP19" s="200"/>
      <c r="DJQ19" s="200"/>
      <c r="DJR19" s="200"/>
      <c r="DJS19" s="200"/>
      <c r="DJT19" s="201"/>
      <c r="DJU19" s="199" t="s">
        <v>7</v>
      </c>
      <c r="DJV19" s="200"/>
      <c r="DJW19" s="200"/>
      <c r="DJX19" s="200"/>
      <c r="DJY19" s="200"/>
      <c r="DJZ19" s="200"/>
      <c r="DKA19" s="200"/>
      <c r="DKB19" s="201"/>
      <c r="DKC19" s="199" t="s">
        <v>7</v>
      </c>
      <c r="DKD19" s="200"/>
      <c r="DKE19" s="200"/>
      <c r="DKF19" s="200"/>
      <c r="DKG19" s="200"/>
      <c r="DKH19" s="200"/>
      <c r="DKI19" s="200"/>
      <c r="DKJ19" s="201"/>
      <c r="DKK19" s="199" t="s">
        <v>7</v>
      </c>
      <c r="DKL19" s="200"/>
      <c r="DKM19" s="200"/>
      <c r="DKN19" s="200"/>
      <c r="DKO19" s="200"/>
      <c r="DKP19" s="200"/>
      <c r="DKQ19" s="200"/>
      <c r="DKR19" s="201"/>
      <c r="DKS19" s="199" t="s">
        <v>7</v>
      </c>
      <c r="DKT19" s="200"/>
      <c r="DKU19" s="200"/>
      <c r="DKV19" s="200"/>
      <c r="DKW19" s="200"/>
      <c r="DKX19" s="200"/>
      <c r="DKY19" s="200"/>
      <c r="DKZ19" s="201"/>
      <c r="DLA19" s="199" t="s">
        <v>7</v>
      </c>
      <c r="DLB19" s="200"/>
      <c r="DLC19" s="200"/>
      <c r="DLD19" s="200"/>
      <c r="DLE19" s="200"/>
      <c r="DLF19" s="200"/>
      <c r="DLG19" s="200"/>
      <c r="DLH19" s="201"/>
      <c r="DLI19" s="199" t="s">
        <v>7</v>
      </c>
      <c r="DLJ19" s="200"/>
      <c r="DLK19" s="200"/>
      <c r="DLL19" s="200"/>
      <c r="DLM19" s="200"/>
      <c r="DLN19" s="200"/>
      <c r="DLO19" s="200"/>
      <c r="DLP19" s="201"/>
      <c r="DLQ19" s="199" t="s">
        <v>7</v>
      </c>
      <c r="DLR19" s="200"/>
      <c r="DLS19" s="200"/>
      <c r="DLT19" s="200"/>
      <c r="DLU19" s="200"/>
      <c r="DLV19" s="200"/>
      <c r="DLW19" s="200"/>
      <c r="DLX19" s="201"/>
      <c r="DLY19" s="199" t="s">
        <v>7</v>
      </c>
      <c r="DLZ19" s="200"/>
      <c r="DMA19" s="200"/>
      <c r="DMB19" s="200"/>
      <c r="DMC19" s="200"/>
      <c r="DMD19" s="200"/>
      <c r="DME19" s="200"/>
      <c r="DMF19" s="201"/>
      <c r="DMG19" s="199" t="s">
        <v>7</v>
      </c>
      <c r="DMH19" s="200"/>
      <c r="DMI19" s="200"/>
      <c r="DMJ19" s="200"/>
      <c r="DMK19" s="200"/>
      <c r="DML19" s="200"/>
      <c r="DMM19" s="200"/>
      <c r="DMN19" s="201"/>
      <c r="DMO19" s="199" t="s">
        <v>7</v>
      </c>
      <c r="DMP19" s="200"/>
      <c r="DMQ19" s="200"/>
      <c r="DMR19" s="200"/>
      <c r="DMS19" s="200"/>
      <c r="DMT19" s="200"/>
      <c r="DMU19" s="200"/>
      <c r="DMV19" s="201"/>
      <c r="DMW19" s="199" t="s">
        <v>7</v>
      </c>
      <c r="DMX19" s="200"/>
      <c r="DMY19" s="200"/>
      <c r="DMZ19" s="200"/>
      <c r="DNA19" s="200"/>
      <c r="DNB19" s="200"/>
      <c r="DNC19" s="200"/>
      <c r="DND19" s="201"/>
      <c r="DNE19" s="199" t="s">
        <v>7</v>
      </c>
      <c r="DNF19" s="200"/>
      <c r="DNG19" s="200"/>
      <c r="DNH19" s="200"/>
      <c r="DNI19" s="200"/>
      <c r="DNJ19" s="200"/>
      <c r="DNK19" s="200"/>
      <c r="DNL19" s="201"/>
      <c r="DNM19" s="199" t="s">
        <v>7</v>
      </c>
      <c r="DNN19" s="200"/>
      <c r="DNO19" s="200"/>
      <c r="DNP19" s="200"/>
      <c r="DNQ19" s="200"/>
      <c r="DNR19" s="200"/>
      <c r="DNS19" s="200"/>
      <c r="DNT19" s="201"/>
      <c r="DNU19" s="199" t="s">
        <v>7</v>
      </c>
      <c r="DNV19" s="200"/>
      <c r="DNW19" s="200"/>
      <c r="DNX19" s="200"/>
      <c r="DNY19" s="200"/>
      <c r="DNZ19" s="200"/>
      <c r="DOA19" s="200"/>
      <c r="DOB19" s="201"/>
      <c r="DOC19" s="199" t="s">
        <v>7</v>
      </c>
      <c r="DOD19" s="200"/>
      <c r="DOE19" s="200"/>
      <c r="DOF19" s="200"/>
      <c r="DOG19" s="200"/>
      <c r="DOH19" s="200"/>
      <c r="DOI19" s="200"/>
      <c r="DOJ19" s="201"/>
      <c r="DOK19" s="199" t="s">
        <v>7</v>
      </c>
      <c r="DOL19" s="200"/>
      <c r="DOM19" s="200"/>
      <c r="DON19" s="200"/>
      <c r="DOO19" s="200"/>
      <c r="DOP19" s="200"/>
      <c r="DOQ19" s="200"/>
      <c r="DOR19" s="201"/>
      <c r="DOS19" s="199" t="s">
        <v>7</v>
      </c>
      <c r="DOT19" s="200"/>
      <c r="DOU19" s="200"/>
      <c r="DOV19" s="200"/>
      <c r="DOW19" s="200"/>
      <c r="DOX19" s="200"/>
      <c r="DOY19" s="200"/>
      <c r="DOZ19" s="201"/>
      <c r="DPA19" s="199" t="s">
        <v>7</v>
      </c>
      <c r="DPB19" s="200"/>
      <c r="DPC19" s="200"/>
      <c r="DPD19" s="200"/>
      <c r="DPE19" s="200"/>
      <c r="DPF19" s="200"/>
      <c r="DPG19" s="200"/>
      <c r="DPH19" s="201"/>
      <c r="DPI19" s="199" t="s">
        <v>7</v>
      </c>
      <c r="DPJ19" s="200"/>
      <c r="DPK19" s="200"/>
      <c r="DPL19" s="200"/>
      <c r="DPM19" s="200"/>
      <c r="DPN19" s="200"/>
      <c r="DPO19" s="200"/>
      <c r="DPP19" s="201"/>
      <c r="DPQ19" s="199" t="s">
        <v>7</v>
      </c>
      <c r="DPR19" s="200"/>
      <c r="DPS19" s="200"/>
      <c r="DPT19" s="200"/>
      <c r="DPU19" s="200"/>
      <c r="DPV19" s="200"/>
      <c r="DPW19" s="200"/>
      <c r="DPX19" s="201"/>
      <c r="DPY19" s="199" t="s">
        <v>7</v>
      </c>
      <c r="DPZ19" s="200"/>
      <c r="DQA19" s="200"/>
      <c r="DQB19" s="200"/>
      <c r="DQC19" s="200"/>
      <c r="DQD19" s="200"/>
      <c r="DQE19" s="200"/>
      <c r="DQF19" s="201"/>
      <c r="DQG19" s="199" t="s">
        <v>7</v>
      </c>
      <c r="DQH19" s="200"/>
      <c r="DQI19" s="200"/>
      <c r="DQJ19" s="200"/>
      <c r="DQK19" s="200"/>
      <c r="DQL19" s="200"/>
      <c r="DQM19" s="200"/>
      <c r="DQN19" s="201"/>
      <c r="DQO19" s="199" t="s">
        <v>7</v>
      </c>
      <c r="DQP19" s="200"/>
      <c r="DQQ19" s="200"/>
      <c r="DQR19" s="200"/>
      <c r="DQS19" s="200"/>
      <c r="DQT19" s="200"/>
      <c r="DQU19" s="200"/>
      <c r="DQV19" s="201"/>
      <c r="DQW19" s="199" t="s">
        <v>7</v>
      </c>
      <c r="DQX19" s="200"/>
      <c r="DQY19" s="200"/>
      <c r="DQZ19" s="200"/>
      <c r="DRA19" s="200"/>
      <c r="DRB19" s="200"/>
      <c r="DRC19" s="200"/>
      <c r="DRD19" s="201"/>
      <c r="DRE19" s="199" t="s">
        <v>7</v>
      </c>
      <c r="DRF19" s="200"/>
      <c r="DRG19" s="200"/>
      <c r="DRH19" s="200"/>
      <c r="DRI19" s="200"/>
      <c r="DRJ19" s="200"/>
      <c r="DRK19" s="200"/>
      <c r="DRL19" s="201"/>
      <c r="DRM19" s="199" t="s">
        <v>7</v>
      </c>
      <c r="DRN19" s="200"/>
      <c r="DRO19" s="200"/>
      <c r="DRP19" s="200"/>
      <c r="DRQ19" s="200"/>
      <c r="DRR19" s="200"/>
      <c r="DRS19" s="200"/>
      <c r="DRT19" s="201"/>
      <c r="DRU19" s="199" t="s">
        <v>7</v>
      </c>
      <c r="DRV19" s="200"/>
      <c r="DRW19" s="200"/>
      <c r="DRX19" s="200"/>
      <c r="DRY19" s="200"/>
      <c r="DRZ19" s="200"/>
      <c r="DSA19" s="200"/>
      <c r="DSB19" s="201"/>
      <c r="DSC19" s="199" t="s">
        <v>7</v>
      </c>
      <c r="DSD19" s="200"/>
      <c r="DSE19" s="200"/>
      <c r="DSF19" s="200"/>
      <c r="DSG19" s="200"/>
      <c r="DSH19" s="200"/>
      <c r="DSI19" s="200"/>
      <c r="DSJ19" s="201"/>
      <c r="DSK19" s="199" t="s">
        <v>7</v>
      </c>
      <c r="DSL19" s="200"/>
      <c r="DSM19" s="200"/>
      <c r="DSN19" s="200"/>
      <c r="DSO19" s="200"/>
      <c r="DSP19" s="200"/>
      <c r="DSQ19" s="200"/>
      <c r="DSR19" s="201"/>
      <c r="DSS19" s="199" t="s">
        <v>7</v>
      </c>
      <c r="DST19" s="200"/>
      <c r="DSU19" s="200"/>
      <c r="DSV19" s="200"/>
      <c r="DSW19" s="200"/>
      <c r="DSX19" s="200"/>
      <c r="DSY19" s="200"/>
      <c r="DSZ19" s="201"/>
      <c r="DTA19" s="199" t="s">
        <v>7</v>
      </c>
      <c r="DTB19" s="200"/>
      <c r="DTC19" s="200"/>
      <c r="DTD19" s="200"/>
      <c r="DTE19" s="200"/>
      <c r="DTF19" s="200"/>
      <c r="DTG19" s="200"/>
      <c r="DTH19" s="201"/>
      <c r="DTI19" s="199" t="s">
        <v>7</v>
      </c>
      <c r="DTJ19" s="200"/>
      <c r="DTK19" s="200"/>
      <c r="DTL19" s="200"/>
      <c r="DTM19" s="200"/>
      <c r="DTN19" s="200"/>
      <c r="DTO19" s="200"/>
      <c r="DTP19" s="201"/>
      <c r="DTQ19" s="199" t="s">
        <v>7</v>
      </c>
      <c r="DTR19" s="200"/>
      <c r="DTS19" s="200"/>
      <c r="DTT19" s="200"/>
      <c r="DTU19" s="200"/>
      <c r="DTV19" s="200"/>
      <c r="DTW19" s="200"/>
      <c r="DTX19" s="201"/>
      <c r="DTY19" s="199" t="s">
        <v>7</v>
      </c>
      <c r="DTZ19" s="200"/>
      <c r="DUA19" s="200"/>
      <c r="DUB19" s="200"/>
      <c r="DUC19" s="200"/>
      <c r="DUD19" s="200"/>
      <c r="DUE19" s="200"/>
      <c r="DUF19" s="201"/>
      <c r="DUG19" s="199" t="s">
        <v>7</v>
      </c>
      <c r="DUH19" s="200"/>
      <c r="DUI19" s="200"/>
      <c r="DUJ19" s="200"/>
      <c r="DUK19" s="200"/>
      <c r="DUL19" s="200"/>
      <c r="DUM19" s="200"/>
      <c r="DUN19" s="201"/>
      <c r="DUO19" s="199" t="s">
        <v>7</v>
      </c>
      <c r="DUP19" s="200"/>
      <c r="DUQ19" s="200"/>
      <c r="DUR19" s="200"/>
      <c r="DUS19" s="200"/>
      <c r="DUT19" s="200"/>
      <c r="DUU19" s="200"/>
      <c r="DUV19" s="201"/>
      <c r="DUW19" s="199" t="s">
        <v>7</v>
      </c>
      <c r="DUX19" s="200"/>
      <c r="DUY19" s="200"/>
      <c r="DUZ19" s="200"/>
      <c r="DVA19" s="200"/>
      <c r="DVB19" s="200"/>
      <c r="DVC19" s="200"/>
      <c r="DVD19" s="201"/>
      <c r="DVE19" s="199" t="s">
        <v>7</v>
      </c>
      <c r="DVF19" s="200"/>
      <c r="DVG19" s="200"/>
      <c r="DVH19" s="200"/>
      <c r="DVI19" s="200"/>
      <c r="DVJ19" s="200"/>
      <c r="DVK19" s="200"/>
      <c r="DVL19" s="201"/>
      <c r="DVM19" s="199" t="s">
        <v>7</v>
      </c>
      <c r="DVN19" s="200"/>
      <c r="DVO19" s="200"/>
      <c r="DVP19" s="200"/>
      <c r="DVQ19" s="200"/>
      <c r="DVR19" s="200"/>
      <c r="DVS19" s="200"/>
      <c r="DVT19" s="201"/>
      <c r="DVU19" s="199" t="s">
        <v>7</v>
      </c>
      <c r="DVV19" s="200"/>
      <c r="DVW19" s="200"/>
      <c r="DVX19" s="200"/>
      <c r="DVY19" s="200"/>
      <c r="DVZ19" s="200"/>
      <c r="DWA19" s="200"/>
      <c r="DWB19" s="201"/>
      <c r="DWC19" s="199" t="s">
        <v>7</v>
      </c>
      <c r="DWD19" s="200"/>
      <c r="DWE19" s="200"/>
      <c r="DWF19" s="200"/>
      <c r="DWG19" s="200"/>
      <c r="DWH19" s="200"/>
      <c r="DWI19" s="200"/>
      <c r="DWJ19" s="201"/>
      <c r="DWK19" s="199" t="s">
        <v>7</v>
      </c>
      <c r="DWL19" s="200"/>
      <c r="DWM19" s="200"/>
      <c r="DWN19" s="200"/>
      <c r="DWO19" s="200"/>
      <c r="DWP19" s="200"/>
      <c r="DWQ19" s="200"/>
      <c r="DWR19" s="201"/>
      <c r="DWS19" s="199" t="s">
        <v>7</v>
      </c>
      <c r="DWT19" s="200"/>
      <c r="DWU19" s="200"/>
      <c r="DWV19" s="200"/>
      <c r="DWW19" s="200"/>
      <c r="DWX19" s="200"/>
      <c r="DWY19" s="200"/>
      <c r="DWZ19" s="201"/>
      <c r="DXA19" s="199" t="s">
        <v>7</v>
      </c>
      <c r="DXB19" s="200"/>
      <c r="DXC19" s="200"/>
      <c r="DXD19" s="200"/>
      <c r="DXE19" s="200"/>
      <c r="DXF19" s="200"/>
      <c r="DXG19" s="200"/>
      <c r="DXH19" s="201"/>
      <c r="DXI19" s="199" t="s">
        <v>7</v>
      </c>
      <c r="DXJ19" s="200"/>
      <c r="DXK19" s="200"/>
      <c r="DXL19" s="200"/>
      <c r="DXM19" s="200"/>
      <c r="DXN19" s="200"/>
      <c r="DXO19" s="200"/>
      <c r="DXP19" s="201"/>
      <c r="DXQ19" s="199" t="s">
        <v>7</v>
      </c>
      <c r="DXR19" s="200"/>
      <c r="DXS19" s="200"/>
      <c r="DXT19" s="200"/>
      <c r="DXU19" s="200"/>
      <c r="DXV19" s="200"/>
      <c r="DXW19" s="200"/>
      <c r="DXX19" s="201"/>
      <c r="DXY19" s="199" t="s">
        <v>7</v>
      </c>
      <c r="DXZ19" s="200"/>
      <c r="DYA19" s="200"/>
      <c r="DYB19" s="200"/>
      <c r="DYC19" s="200"/>
      <c r="DYD19" s="200"/>
      <c r="DYE19" s="200"/>
      <c r="DYF19" s="201"/>
      <c r="DYG19" s="199" t="s">
        <v>7</v>
      </c>
      <c r="DYH19" s="200"/>
      <c r="DYI19" s="200"/>
      <c r="DYJ19" s="200"/>
      <c r="DYK19" s="200"/>
      <c r="DYL19" s="200"/>
      <c r="DYM19" s="200"/>
      <c r="DYN19" s="201"/>
      <c r="DYO19" s="199" t="s">
        <v>7</v>
      </c>
      <c r="DYP19" s="200"/>
      <c r="DYQ19" s="200"/>
      <c r="DYR19" s="200"/>
      <c r="DYS19" s="200"/>
      <c r="DYT19" s="200"/>
      <c r="DYU19" s="200"/>
      <c r="DYV19" s="201"/>
      <c r="DYW19" s="199" t="s">
        <v>7</v>
      </c>
      <c r="DYX19" s="200"/>
      <c r="DYY19" s="200"/>
      <c r="DYZ19" s="200"/>
      <c r="DZA19" s="200"/>
      <c r="DZB19" s="200"/>
      <c r="DZC19" s="200"/>
      <c r="DZD19" s="201"/>
      <c r="DZE19" s="199" t="s">
        <v>7</v>
      </c>
      <c r="DZF19" s="200"/>
      <c r="DZG19" s="200"/>
      <c r="DZH19" s="200"/>
      <c r="DZI19" s="200"/>
      <c r="DZJ19" s="200"/>
      <c r="DZK19" s="200"/>
      <c r="DZL19" s="201"/>
      <c r="DZM19" s="199" t="s">
        <v>7</v>
      </c>
      <c r="DZN19" s="200"/>
      <c r="DZO19" s="200"/>
      <c r="DZP19" s="200"/>
      <c r="DZQ19" s="200"/>
      <c r="DZR19" s="200"/>
      <c r="DZS19" s="200"/>
      <c r="DZT19" s="201"/>
      <c r="DZU19" s="199" t="s">
        <v>7</v>
      </c>
      <c r="DZV19" s="200"/>
      <c r="DZW19" s="200"/>
      <c r="DZX19" s="200"/>
      <c r="DZY19" s="200"/>
      <c r="DZZ19" s="200"/>
      <c r="EAA19" s="200"/>
      <c r="EAB19" s="201"/>
      <c r="EAC19" s="199" t="s">
        <v>7</v>
      </c>
      <c r="EAD19" s="200"/>
      <c r="EAE19" s="200"/>
      <c r="EAF19" s="200"/>
      <c r="EAG19" s="200"/>
      <c r="EAH19" s="200"/>
      <c r="EAI19" s="200"/>
      <c r="EAJ19" s="201"/>
      <c r="EAK19" s="199" t="s">
        <v>7</v>
      </c>
      <c r="EAL19" s="200"/>
      <c r="EAM19" s="200"/>
      <c r="EAN19" s="200"/>
      <c r="EAO19" s="200"/>
      <c r="EAP19" s="200"/>
      <c r="EAQ19" s="200"/>
      <c r="EAR19" s="201"/>
      <c r="EAS19" s="199" t="s">
        <v>7</v>
      </c>
      <c r="EAT19" s="200"/>
      <c r="EAU19" s="200"/>
      <c r="EAV19" s="200"/>
      <c r="EAW19" s="200"/>
      <c r="EAX19" s="200"/>
      <c r="EAY19" s="200"/>
      <c r="EAZ19" s="201"/>
      <c r="EBA19" s="199" t="s">
        <v>7</v>
      </c>
      <c r="EBB19" s="200"/>
      <c r="EBC19" s="200"/>
      <c r="EBD19" s="200"/>
      <c r="EBE19" s="200"/>
      <c r="EBF19" s="200"/>
      <c r="EBG19" s="200"/>
      <c r="EBH19" s="201"/>
      <c r="EBI19" s="199" t="s">
        <v>7</v>
      </c>
      <c r="EBJ19" s="200"/>
      <c r="EBK19" s="200"/>
      <c r="EBL19" s="200"/>
      <c r="EBM19" s="200"/>
      <c r="EBN19" s="200"/>
      <c r="EBO19" s="200"/>
      <c r="EBP19" s="201"/>
      <c r="EBQ19" s="199" t="s">
        <v>7</v>
      </c>
      <c r="EBR19" s="200"/>
      <c r="EBS19" s="200"/>
      <c r="EBT19" s="200"/>
      <c r="EBU19" s="200"/>
      <c r="EBV19" s="200"/>
      <c r="EBW19" s="200"/>
      <c r="EBX19" s="201"/>
      <c r="EBY19" s="199" t="s">
        <v>7</v>
      </c>
      <c r="EBZ19" s="200"/>
      <c r="ECA19" s="200"/>
      <c r="ECB19" s="200"/>
      <c r="ECC19" s="200"/>
      <c r="ECD19" s="200"/>
      <c r="ECE19" s="200"/>
      <c r="ECF19" s="201"/>
      <c r="ECG19" s="199" t="s">
        <v>7</v>
      </c>
      <c r="ECH19" s="200"/>
      <c r="ECI19" s="200"/>
      <c r="ECJ19" s="200"/>
      <c r="ECK19" s="200"/>
      <c r="ECL19" s="200"/>
      <c r="ECM19" s="200"/>
      <c r="ECN19" s="201"/>
      <c r="ECO19" s="199" t="s">
        <v>7</v>
      </c>
      <c r="ECP19" s="200"/>
      <c r="ECQ19" s="200"/>
      <c r="ECR19" s="200"/>
      <c r="ECS19" s="200"/>
      <c r="ECT19" s="200"/>
      <c r="ECU19" s="200"/>
      <c r="ECV19" s="201"/>
      <c r="ECW19" s="199" t="s">
        <v>7</v>
      </c>
      <c r="ECX19" s="200"/>
      <c r="ECY19" s="200"/>
      <c r="ECZ19" s="200"/>
      <c r="EDA19" s="200"/>
      <c r="EDB19" s="200"/>
      <c r="EDC19" s="200"/>
      <c r="EDD19" s="201"/>
      <c r="EDE19" s="199" t="s">
        <v>7</v>
      </c>
      <c r="EDF19" s="200"/>
      <c r="EDG19" s="200"/>
      <c r="EDH19" s="200"/>
      <c r="EDI19" s="200"/>
      <c r="EDJ19" s="200"/>
      <c r="EDK19" s="200"/>
      <c r="EDL19" s="201"/>
      <c r="EDM19" s="199" t="s">
        <v>7</v>
      </c>
      <c r="EDN19" s="200"/>
      <c r="EDO19" s="200"/>
      <c r="EDP19" s="200"/>
      <c r="EDQ19" s="200"/>
      <c r="EDR19" s="200"/>
      <c r="EDS19" s="200"/>
      <c r="EDT19" s="201"/>
      <c r="EDU19" s="199" t="s">
        <v>7</v>
      </c>
      <c r="EDV19" s="200"/>
      <c r="EDW19" s="200"/>
      <c r="EDX19" s="200"/>
      <c r="EDY19" s="200"/>
      <c r="EDZ19" s="200"/>
      <c r="EEA19" s="200"/>
      <c r="EEB19" s="201"/>
      <c r="EEC19" s="199" t="s">
        <v>7</v>
      </c>
      <c r="EED19" s="200"/>
      <c r="EEE19" s="200"/>
      <c r="EEF19" s="200"/>
      <c r="EEG19" s="200"/>
      <c r="EEH19" s="200"/>
      <c r="EEI19" s="200"/>
      <c r="EEJ19" s="201"/>
      <c r="EEK19" s="199" t="s">
        <v>7</v>
      </c>
      <c r="EEL19" s="200"/>
      <c r="EEM19" s="200"/>
      <c r="EEN19" s="200"/>
      <c r="EEO19" s="200"/>
      <c r="EEP19" s="200"/>
      <c r="EEQ19" s="200"/>
      <c r="EER19" s="201"/>
      <c r="EES19" s="199" t="s">
        <v>7</v>
      </c>
      <c r="EET19" s="200"/>
      <c r="EEU19" s="200"/>
      <c r="EEV19" s="200"/>
      <c r="EEW19" s="200"/>
      <c r="EEX19" s="200"/>
      <c r="EEY19" s="200"/>
      <c r="EEZ19" s="201"/>
      <c r="EFA19" s="199" t="s">
        <v>7</v>
      </c>
      <c r="EFB19" s="200"/>
      <c r="EFC19" s="200"/>
      <c r="EFD19" s="200"/>
      <c r="EFE19" s="200"/>
      <c r="EFF19" s="200"/>
      <c r="EFG19" s="200"/>
      <c r="EFH19" s="201"/>
      <c r="EFI19" s="199" t="s">
        <v>7</v>
      </c>
      <c r="EFJ19" s="200"/>
      <c r="EFK19" s="200"/>
      <c r="EFL19" s="200"/>
      <c r="EFM19" s="200"/>
      <c r="EFN19" s="200"/>
      <c r="EFO19" s="200"/>
      <c r="EFP19" s="201"/>
      <c r="EFQ19" s="199" t="s">
        <v>7</v>
      </c>
      <c r="EFR19" s="200"/>
      <c r="EFS19" s="200"/>
      <c r="EFT19" s="200"/>
      <c r="EFU19" s="200"/>
      <c r="EFV19" s="200"/>
      <c r="EFW19" s="200"/>
      <c r="EFX19" s="201"/>
      <c r="EFY19" s="199" t="s">
        <v>7</v>
      </c>
      <c r="EFZ19" s="200"/>
      <c r="EGA19" s="200"/>
      <c r="EGB19" s="200"/>
      <c r="EGC19" s="200"/>
      <c r="EGD19" s="200"/>
      <c r="EGE19" s="200"/>
      <c r="EGF19" s="201"/>
      <c r="EGG19" s="199" t="s">
        <v>7</v>
      </c>
      <c r="EGH19" s="200"/>
      <c r="EGI19" s="200"/>
      <c r="EGJ19" s="200"/>
      <c r="EGK19" s="200"/>
      <c r="EGL19" s="200"/>
      <c r="EGM19" s="200"/>
      <c r="EGN19" s="201"/>
      <c r="EGO19" s="199" t="s">
        <v>7</v>
      </c>
      <c r="EGP19" s="200"/>
      <c r="EGQ19" s="200"/>
      <c r="EGR19" s="200"/>
      <c r="EGS19" s="200"/>
      <c r="EGT19" s="200"/>
      <c r="EGU19" s="200"/>
      <c r="EGV19" s="201"/>
      <c r="EGW19" s="199" t="s">
        <v>7</v>
      </c>
      <c r="EGX19" s="200"/>
      <c r="EGY19" s="200"/>
      <c r="EGZ19" s="200"/>
      <c r="EHA19" s="200"/>
      <c r="EHB19" s="200"/>
      <c r="EHC19" s="200"/>
      <c r="EHD19" s="201"/>
      <c r="EHE19" s="199" t="s">
        <v>7</v>
      </c>
      <c r="EHF19" s="200"/>
      <c r="EHG19" s="200"/>
      <c r="EHH19" s="200"/>
      <c r="EHI19" s="200"/>
      <c r="EHJ19" s="200"/>
      <c r="EHK19" s="200"/>
      <c r="EHL19" s="201"/>
      <c r="EHM19" s="199" t="s">
        <v>7</v>
      </c>
      <c r="EHN19" s="200"/>
      <c r="EHO19" s="200"/>
      <c r="EHP19" s="200"/>
      <c r="EHQ19" s="200"/>
      <c r="EHR19" s="200"/>
      <c r="EHS19" s="200"/>
      <c r="EHT19" s="201"/>
      <c r="EHU19" s="199" t="s">
        <v>7</v>
      </c>
      <c r="EHV19" s="200"/>
      <c r="EHW19" s="200"/>
      <c r="EHX19" s="200"/>
      <c r="EHY19" s="200"/>
      <c r="EHZ19" s="200"/>
      <c r="EIA19" s="200"/>
      <c r="EIB19" s="201"/>
      <c r="EIC19" s="199" t="s">
        <v>7</v>
      </c>
      <c r="EID19" s="200"/>
      <c r="EIE19" s="200"/>
      <c r="EIF19" s="200"/>
      <c r="EIG19" s="200"/>
      <c r="EIH19" s="200"/>
      <c r="EII19" s="200"/>
      <c r="EIJ19" s="201"/>
      <c r="EIK19" s="199" t="s">
        <v>7</v>
      </c>
      <c r="EIL19" s="200"/>
      <c r="EIM19" s="200"/>
      <c r="EIN19" s="200"/>
      <c r="EIO19" s="200"/>
      <c r="EIP19" s="200"/>
      <c r="EIQ19" s="200"/>
      <c r="EIR19" s="201"/>
      <c r="EIS19" s="199" t="s">
        <v>7</v>
      </c>
      <c r="EIT19" s="200"/>
      <c r="EIU19" s="200"/>
      <c r="EIV19" s="200"/>
      <c r="EIW19" s="200"/>
      <c r="EIX19" s="200"/>
      <c r="EIY19" s="200"/>
      <c r="EIZ19" s="201"/>
      <c r="EJA19" s="199" t="s">
        <v>7</v>
      </c>
      <c r="EJB19" s="200"/>
      <c r="EJC19" s="200"/>
      <c r="EJD19" s="200"/>
      <c r="EJE19" s="200"/>
      <c r="EJF19" s="200"/>
      <c r="EJG19" s="200"/>
      <c r="EJH19" s="201"/>
      <c r="EJI19" s="199" t="s">
        <v>7</v>
      </c>
      <c r="EJJ19" s="200"/>
      <c r="EJK19" s="200"/>
      <c r="EJL19" s="200"/>
      <c r="EJM19" s="200"/>
      <c r="EJN19" s="200"/>
      <c r="EJO19" s="200"/>
      <c r="EJP19" s="201"/>
      <c r="EJQ19" s="199" t="s">
        <v>7</v>
      </c>
      <c r="EJR19" s="200"/>
      <c r="EJS19" s="200"/>
      <c r="EJT19" s="200"/>
      <c r="EJU19" s="200"/>
      <c r="EJV19" s="200"/>
      <c r="EJW19" s="200"/>
      <c r="EJX19" s="201"/>
      <c r="EJY19" s="199" t="s">
        <v>7</v>
      </c>
      <c r="EJZ19" s="200"/>
      <c r="EKA19" s="200"/>
      <c r="EKB19" s="200"/>
      <c r="EKC19" s="200"/>
      <c r="EKD19" s="200"/>
      <c r="EKE19" s="200"/>
      <c r="EKF19" s="201"/>
      <c r="EKG19" s="199" t="s">
        <v>7</v>
      </c>
      <c r="EKH19" s="200"/>
      <c r="EKI19" s="200"/>
      <c r="EKJ19" s="200"/>
      <c r="EKK19" s="200"/>
      <c r="EKL19" s="200"/>
      <c r="EKM19" s="200"/>
      <c r="EKN19" s="201"/>
      <c r="EKO19" s="199" t="s">
        <v>7</v>
      </c>
      <c r="EKP19" s="200"/>
      <c r="EKQ19" s="200"/>
      <c r="EKR19" s="200"/>
      <c r="EKS19" s="200"/>
      <c r="EKT19" s="200"/>
      <c r="EKU19" s="200"/>
      <c r="EKV19" s="201"/>
      <c r="EKW19" s="199" t="s">
        <v>7</v>
      </c>
      <c r="EKX19" s="200"/>
      <c r="EKY19" s="200"/>
      <c r="EKZ19" s="200"/>
      <c r="ELA19" s="200"/>
      <c r="ELB19" s="200"/>
      <c r="ELC19" s="200"/>
      <c r="ELD19" s="201"/>
      <c r="ELE19" s="199" t="s">
        <v>7</v>
      </c>
      <c r="ELF19" s="200"/>
      <c r="ELG19" s="200"/>
      <c r="ELH19" s="200"/>
      <c r="ELI19" s="200"/>
      <c r="ELJ19" s="200"/>
      <c r="ELK19" s="200"/>
      <c r="ELL19" s="201"/>
      <c r="ELM19" s="199" t="s">
        <v>7</v>
      </c>
      <c r="ELN19" s="200"/>
      <c r="ELO19" s="200"/>
      <c r="ELP19" s="200"/>
      <c r="ELQ19" s="200"/>
      <c r="ELR19" s="200"/>
      <c r="ELS19" s="200"/>
      <c r="ELT19" s="201"/>
      <c r="ELU19" s="199" t="s">
        <v>7</v>
      </c>
      <c r="ELV19" s="200"/>
      <c r="ELW19" s="200"/>
      <c r="ELX19" s="200"/>
      <c r="ELY19" s="200"/>
      <c r="ELZ19" s="200"/>
      <c r="EMA19" s="200"/>
      <c r="EMB19" s="201"/>
      <c r="EMC19" s="199" t="s">
        <v>7</v>
      </c>
      <c r="EMD19" s="200"/>
      <c r="EME19" s="200"/>
      <c r="EMF19" s="200"/>
      <c r="EMG19" s="200"/>
      <c r="EMH19" s="200"/>
      <c r="EMI19" s="200"/>
      <c r="EMJ19" s="201"/>
      <c r="EMK19" s="199" t="s">
        <v>7</v>
      </c>
      <c r="EML19" s="200"/>
      <c r="EMM19" s="200"/>
      <c r="EMN19" s="200"/>
      <c r="EMO19" s="200"/>
      <c r="EMP19" s="200"/>
      <c r="EMQ19" s="200"/>
      <c r="EMR19" s="201"/>
      <c r="EMS19" s="199" t="s">
        <v>7</v>
      </c>
      <c r="EMT19" s="200"/>
      <c r="EMU19" s="200"/>
      <c r="EMV19" s="200"/>
      <c r="EMW19" s="200"/>
      <c r="EMX19" s="200"/>
      <c r="EMY19" s="200"/>
      <c r="EMZ19" s="201"/>
      <c r="ENA19" s="199" t="s">
        <v>7</v>
      </c>
      <c r="ENB19" s="200"/>
      <c r="ENC19" s="200"/>
      <c r="END19" s="200"/>
      <c r="ENE19" s="200"/>
      <c r="ENF19" s="200"/>
      <c r="ENG19" s="200"/>
      <c r="ENH19" s="201"/>
      <c r="ENI19" s="199" t="s">
        <v>7</v>
      </c>
      <c r="ENJ19" s="200"/>
      <c r="ENK19" s="200"/>
      <c r="ENL19" s="200"/>
      <c r="ENM19" s="200"/>
      <c r="ENN19" s="200"/>
      <c r="ENO19" s="200"/>
      <c r="ENP19" s="201"/>
      <c r="ENQ19" s="199" t="s">
        <v>7</v>
      </c>
      <c r="ENR19" s="200"/>
      <c r="ENS19" s="200"/>
      <c r="ENT19" s="200"/>
      <c r="ENU19" s="200"/>
      <c r="ENV19" s="200"/>
      <c r="ENW19" s="200"/>
      <c r="ENX19" s="201"/>
      <c r="ENY19" s="199" t="s">
        <v>7</v>
      </c>
      <c r="ENZ19" s="200"/>
      <c r="EOA19" s="200"/>
      <c r="EOB19" s="200"/>
      <c r="EOC19" s="200"/>
      <c r="EOD19" s="200"/>
      <c r="EOE19" s="200"/>
      <c r="EOF19" s="201"/>
      <c r="EOG19" s="199" t="s">
        <v>7</v>
      </c>
      <c r="EOH19" s="200"/>
      <c r="EOI19" s="200"/>
      <c r="EOJ19" s="200"/>
      <c r="EOK19" s="200"/>
      <c r="EOL19" s="200"/>
      <c r="EOM19" s="200"/>
      <c r="EON19" s="201"/>
      <c r="EOO19" s="199" t="s">
        <v>7</v>
      </c>
      <c r="EOP19" s="200"/>
      <c r="EOQ19" s="200"/>
      <c r="EOR19" s="200"/>
      <c r="EOS19" s="200"/>
      <c r="EOT19" s="200"/>
      <c r="EOU19" s="200"/>
      <c r="EOV19" s="201"/>
      <c r="EOW19" s="199" t="s">
        <v>7</v>
      </c>
      <c r="EOX19" s="200"/>
      <c r="EOY19" s="200"/>
      <c r="EOZ19" s="200"/>
      <c r="EPA19" s="200"/>
      <c r="EPB19" s="200"/>
      <c r="EPC19" s="200"/>
      <c r="EPD19" s="201"/>
      <c r="EPE19" s="199" t="s">
        <v>7</v>
      </c>
      <c r="EPF19" s="200"/>
      <c r="EPG19" s="200"/>
      <c r="EPH19" s="200"/>
      <c r="EPI19" s="200"/>
      <c r="EPJ19" s="200"/>
      <c r="EPK19" s="200"/>
      <c r="EPL19" s="201"/>
      <c r="EPM19" s="199" t="s">
        <v>7</v>
      </c>
      <c r="EPN19" s="200"/>
      <c r="EPO19" s="200"/>
      <c r="EPP19" s="200"/>
      <c r="EPQ19" s="200"/>
      <c r="EPR19" s="200"/>
      <c r="EPS19" s="200"/>
      <c r="EPT19" s="201"/>
      <c r="EPU19" s="199" t="s">
        <v>7</v>
      </c>
      <c r="EPV19" s="200"/>
      <c r="EPW19" s="200"/>
      <c r="EPX19" s="200"/>
      <c r="EPY19" s="200"/>
      <c r="EPZ19" s="200"/>
      <c r="EQA19" s="200"/>
      <c r="EQB19" s="201"/>
      <c r="EQC19" s="199" t="s">
        <v>7</v>
      </c>
      <c r="EQD19" s="200"/>
      <c r="EQE19" s="200"/>
      <c r="EQF19" s="200"/>
      <c r="EQG19" s="200"/>
      <c r="EQH19" s="200"/>
      <c r="EQI19" s="200"/>
      <c r="EQJ19" s="201"/>
      <c r="EQK19" s="199" t="s">
        <v>7</v>
      </c>
      <c r="EQL19" s="200"/>
      <c r="EQM19" s="200"/>
      <c r="EQN19" s="200"/>
      <c r="EQO19" s="200"/>
      <c r="EQP19" s="200"/>
      <c r="EQQ19" s="200"/>
      <c r="EQR19" s="201"/>
      <c r="EQS19" s="199" t="s">
        <v>7</v>
      </c>
      <c r="EQT19" s="200"/>
      <c r="EQU19" s="200"/>
      <c r="EQV19" s="200"/>
      <c r="EQW19" s="200"/>
      <c r="EQX19" s="200"/>
      <c r="EQY19" s="200"/>
      <c r="EQZ19" s="201"/>
      <c r="ERA19" s="199" t="s">
        <v>7</v>
      </c>
      <c r="ERB19" s="200"/>
      <c r="ERC19" s="200"/>
      <c r="ERD19" s="200"/>
      <c r="ERE19" s="200"/>
      <c r="ERF19" s="200"/>
      <c r="ERG19" s="200"/>
      <c r="ERH19" s="201"/>
      <c r="ERI19" s="199" t="s">
        <v>7</v>
      </c>
      <c r="ERJ19" s="200"/>
      <c r="ERK19" s="200"/>
      <c r="ERL19" s="200"/>
      <c r="ERM19" s="200"/>
      <c r="ERN19" s="200"/>
      <c r="ERO19" s="200"/>
      <c r="ERP19" s="201"/>
      <c r="ERQ19" s="199" t="s">
        <v>7</v>
      </c>
      <c r="ERR19" s="200"/>
      <c r="ERS19" s="200"/>
      <c r="ERT19" s="200"/>
      <c r="ERU19" s="200"/>
      <c r="ERV19" s="200"/>
      <c r="ERW19" s="200"/>
      <c r="ERX19" s="201"/>
      <c r="ERY19" s="199" t="s">
        <v>7</v>
      </c>
      <c r="ERZ19" s="200"/>
      <c r="ESA19" s="200"/>
      <c r="ESB19" s="200"/>
      <c r="ESC19" s="200"/>
      <c r="ESD19" s="200"/>
      <c r="ESE19" s="200"/>
      <c r="ESF19" s="201"/>
      <c r="ESG19" s="199" t="s">
        <v>7</v>
      </c>
      <c r="ESH19" s="200"/>
      <c r="ESI19" s="200"/>
      <c r="ESJ19" s="200"/>
      <c r="ESK19" s="200"/>
      <c r="ESL19" s="200"/>
      <c r="ESM19" s="200"/>
      <c r="ESN19" s="201"/>
      <c r="ESO19" s="199" t="s">
        <v>7</v>
      </c>
      <c r="ESP19" s="200"/>
      <c r="ESQ19" s="200"/>
      <c r="ESR19" s="200"/>
      <c r="ESS19" s="200"/>
      <c r="EST19" s="200"/>
      <c r="ESU19" s="200"/>
      <c r="ESV19" s="201"/>
      <c r="ESW19" s="199" t="s">
        <v>7</v>
      </c>
      <c r="ESX19" s="200"/>
      <c r="ESY19" s="200"/>
      <c r="ESZ19" s="200"/>
      <c r="ETA19" s="200"/>
      <c r="ETB19" s="200"/>
      <c r="ETC19" s="200"/>
      <c r="ETD19" s="201"/>
      <c r="ETE19" s="199" t="s">
        <v>7</v>
      </c>
      <c r="ETF19" s="200"/>
      <c r="ETG19" s="200"/>
      <c r="ETH19" s="200"/>
      <c r="ETI19" s="200"/>
      <c r="ETJ19" s="200"/>
      <c r="ETK19" s="200"/>
      <c r="ETL19" s="201"/>
      <c r="ETM19" s="199" t="s">
        <v>7</v>
      </c>
      <c r="ETN19" s="200"/>
      <c r="ETO19" s="200"/>
      <c r="ETP19" s="200"/>
      <c r="ETQ19" s="200"/>
      <c r="ETR19" s="200"/>
      <c r="ETS19" s="200"/>
      <c r="ETT19" s="201"/>
      <c r="ETU19" s="199" t="s">
        <v>7</v>
      </c>
      <c r="ETV19" s="200"/>
      <c r="ETW19" s="200"/>
      <c r="ETX19" s="200"/>
      <c r="ETY19" s="200"/>
      <c r="ETZ19" s="200"/>
      <c r="EUA19" s="200"/>
      <c r="EUB19" s="201"/>
      <c r="EUC19" s="199" t="s">
        <v>7</v>
      </c>
      <c r="EUD19" s="200"/>
      <c r="EUE19" s="200"/>
      <c r="EUF19" s="200"/>
      <c r="EUG19" s="200"/>
      <c r="EUH19" s="200"/>
      <c r="EUI19" s="200"/>
      <c r="EUJ19" s="201"/>
      <c r="EUK19" s="199" t="s">
        <v>7</v>
      </c>
      <c r="EUL19" s="200"/>
      <c r="EUM19" s="200"/>
      <c r="EUN19" s="200"/>
      <c r="EUO19" s="200"/>
      <c r="EUP19" s="200"/>
      <c r="EUQ19" s="200"/>
      <c r="EUR19" s="201"/>
      <c r="EUS19" s="199" t="s">
        <v>7</v>
      </c>
      <c r="EUT19" s="200"/>
      <c r="EUU19" s="200"/>
      <c r="EUV19" s="200"/>
      <c r="EUW19" s="200"/>
      <c r="EUX19" s="200"/>
      <c r="EUY19" s="200"/>
      <c r="EUZ19" s="201"/>
      <c r="EVA19" s="199" t="s">
        <v>7</v>
      </c>
      <c r="EVB19" s="200"/>
      <c r="EVC19" s="200"/>
      <c r="EVD19" s="200"/>
      <c r="EVE19" s="200"/>
      <c r="EVF19" s="200"/>
      <c r="EVG19" s="200"/>
      <c r="EVH19" s="201"/>
      <c r="EVI19" s="199" t="s">
        <v>7</v>
      </c>
      <c r="EVJ19" s="200"/>
      <c r="EVK19" s="200"/>
      <c r="EVL19" s="200"/>
      <c r="EVM19" s="200"/>
      <c r="EVN19" s="200"/>
      <c r="EVO19" s="200"/>
      <c r="EVP19" s="201"/>
      <c r="EVQ19" s="199" t="s">
        <v>7</v>
      </c>
      <c r="EVR19" s="200"/>
      <c r="EVS19" s="200"/>
      <c r="EVT19" s="200"/>
      <c r="EVU19" s="200"/>
      <c r="EVV19" s="200"/>
      <c r="EVW19" s="200"/>
      <c r="EVX19" s="201"/>
      <c r="EVY19" s="199" t="s">
        <v>7</v>
      </c>
      <c r="EVZ19" s="200"/>
      <c r="EWA19" s="200"/>
      <c r="EWB19" s="200"/>
      <c r="EWC19" s="200"/>
      <c r="EWD19" s="200"/>
      <c r="EWE19" s="200"/>
      <c r="EWF19" s="201"/>
      <c r="EWG19" s="199" t="s">
        <v>7</v>
      </c>
      <c r="EWH19" s="200"/>
      <c r="EWI19" s="200"/>
      <c r="EWJ19" s="200"/>
      <c r="EWK19" s="200"/>
      <c r="EWL19" s="200"/>
      <c r="EWM19" s="200"/>
      <c r="EWN19" s="201"/>
      <c r="EWO19" s="199" t="s">
        <v>7</v>
      </c>
      <c r="EWP19" s="200"/>
      <c r="EWQ19" s="200"/>
      <c r="EWR19" s="200"/>
      <c r="EWS19" s="200"/>
      <c r="EWT19" s="200"/>
      <c r="EWU19" s="200"/>
      <c r="EWV19" s="201"/>
      <c r="EWW19" s="199" t="s">
        <v>7</v>
      </c>
      <c r="EWX19" s="200"/>
      <c r="EWY19" s="200"/>
      <c r="EWZ19" s="200"/>
      <c r="EXA19" s="200"/>
      <c r="EXB19" s="200"/>
      <c r="EXC19" s="200"/>
      <c r="EXD19" s="201"/>
      <c r="EXE19" s="199" t="s">
        <v>7</v>
      </c>
      <c r="EXF19" s="200"/>
      <c r="EXG19" s="200"/>
      <c r="EXH19" s="200"/>
      <c r="EXI19" s="200"/>
      <c r="EXJ19" s="200"/>
      <c r="EXK19" s="200"/>
      <c r="EXL19" s="201"/>
      <c r="EXM19" s="199" t="s">
        <v>7</v>
      </c>
      <c r="EXN19" s="200"/>
      <c r="EXO19" s="200"/>
      <c r="EXP19" s="200"/>
      <c r="EXQ19" s="200"/>
      <c r="EXR19" s="200"/>
      <c r="EXS19" s="200"/>
      <c r="EXT19" s="201"/>
      <c r="EXU19" s="199" t="s">
        <v>7</v>
      </c>
      <c r="EXV19" s="200"/>
      <c r="EXW19" s="200"/>
      <c r="EXX19" s="200"/>
      <c r="EXY19" s="200"/>
      <c r="EXZ19" s="200"/>
      <c r="EYA19" s="200"/>
      <c r="EYB19" s="201"/>
      <c r="EYC19" s="199" t="s">
        <v>7</v>
      </c>
      <c r="EYD19" s="200"/>
      <c r="EYE19" s="200"/>
      <c r="EYF19" s="200"/>
      <c r="EYG19" s="200"/>
      <c r="EYH19" s="200"/>
      <c r="EYI19" s="200"/>
      <c r="EYJ19" s="201"/>
      <c r="EYK19" s="199" t="s">
        <v>7</v>
      </c>
      <c r="EYL19" s="200"/>
      <c r="EYM19" s="200"/>
      <c r="EYN19" s="200"/>
      <c r="EYO19" s="200"/>
      <c r="EYP19" s="200"/>
      <c r="EYQ19" s="200"/>
      <c r="EYR19" s="201"/>
      <c r="EYS19" s="199" t="s">
        <v>7</v>
      </c>
      <c r="EYT19" s="200"/>
      <c r="EYU19" s="200"/>
      <c r="EYV19" s="200"/>
      <c r="EYW19" s="200"/>
      <c r="EYX19" s="200"/>
      <c r="EYY19" s="200"/>
      <c r="EYZ19" s="201"/>
      <c r="EZA19" s="199" t="s">
        <v>7</v>
      </c>
      <c r="EZB19" s="200"/>
      <c r="EZC19" s="200"/>
      <c r="EZD19" s="200"/>
      <c r="EZE19" s="200"/>
      <c r="EZF19" s="200"/>
      <c r="EZG19" s="200"/>
      <c r="EZH19" s="201"/>
      <c r="EZI19" s="199" t="s">
        <v>7</v>
      </c>
      <c r="EZJ19" s="200"/>
      <c r="EZK19" s="200"/>
      <c r="EZL19" s="200"/>
      <c r="EZM19" s="200"/>
      <c r="EZN19" s="200"/>
      <c r="EZO19" s="200"/>
      <c r="EZP19" s="201"/>
      <c r="EZQ19" s="199" t="s">
        <v>7</v>
      </c>
      <c r="EZR19" s="200"/>
      <c r="EZS19" s="200"/>
      <c r="EZT19" s="200"/>
      <c r="EZU19" s="200"/>
      <c r="EZV19" s="200"/>
      <c r="EZW19" s="200"/>
      <c r="EZX19" s="201"/>
      <c r="EZY19" s="199" t="s">
        <v>7</v>
      </c>
      <c r="EZZ19" s="200"/>
      <c r="FAA19" s="200"/>
      <c r="FAB19" s="200"/>
      <c r="FAC19" s="200"/>
      <c r="FAD19" s="200"/>
      <c r="FAE19" s="200"/>
      <c r="FAF19" s="201"/>
      <c r="FAG19" s="199" t="s">
        <v>7</v>
      </c>
      <c r="FAH19" s="200"/>
      <c r="FAI19" s="200"/>
      <c r="FAJ19" s="200"/>
      <c r="FAK19" s="200"/>
      <c r="FAL19" s="200"/>
      <c r="FAM19" s="200"/>
      <c r="FAN19" s="201"/>
      <c r="FAO19" s="199" t="s">
        <v>7</v>
      </c>
      <c r="FAP19" s="200"/>
      <c r="FAQ19" s="200"/>
      <c r="FAR19" s="200"/>
      <c r="FAS19" s="200"/>
      <c r="FAT19" s="200"/>
      <c r="FAU19" s="200"/>
      <c r="FAV19" s="201"/>
      <c r="FAW19" s="199" t="s">
        <v>7</v>
      </c>
      <c r="FAX19" s="200"/>
      <c r="FAY19" s="200"/>
      <c r="FAZ19" s="200"/>
      <c r="FBA19" s="200"/>
      <c r="FBB19" s="200"/>
      <c r="FBC19" s="200"/>
      <c r="FBD19" s="201"/>
      <c r="FBE19" s="199" t="s">
        <v>7</v>
      </c>
      <c r="FBF19" s="200"/>
      <c r="FBG19" s="200"/>
      <c r="FBH19" s="200"/>
      <c r="FBI19" s="200"/>
      <c r="FBJ19" s="200"/>
      <c r="FBK19" s="200"/>
      <c r="FBL19" s="201"/>
      <c r="FBM19" s="199" t="s">
        <v>7</v>
      </c>
      <c r="FBN19" s="200"/>
      <c r="FBO19" s="200"/>
      <c r="FBP19" s="200"/>
      <c r="FBQ19" s="200"/>
      <c r="FBR19" s="200"/>
      <c r="FBS19" s="200"/>
      <c r="FBT19" s="201"/>
      <c r="FBU19" s="199" t="s">
        <v>7</v>
      </c>
      <c r="FBV19" s="200"/>
      <c r="FBW19" s="200"/>
      <c r="FBX19" s="200"/>
      <c r="FBY19" s="200"/>
      <c r="FBZ19" s="200"/>
      <c r="FCA19" s="200"/>
      <c r="FCB19" s="201"/>
      <c r="FCC19" s="199" t="s">
        <v>7</v>
      </c>
      <c r="FCD19" s="200"/>
      <c r="FCE19" s="200"/>
      <c r="FCF19" s="200"/>
      <c r="FCG19" s="200"/>
      <c r="FCH19" s="200"/>
      <c r="FCI19" s="200"/>
      <c r="FCJ19" s="201"/>
      <c r="FCK19" s="199" t="s">
        <v>7</v>
      </c>
      <c r="FCL19" s="200"/>
      <c r="FCM19" s="200"/>
      <c r="FCN19" s="200"/>
      <c r="FCO19" s="200"/>
      <c r="FCP19" s="200"/>
      <c r="FCQ19" s="200"/>
      <c r="FCR19" s="201"/>
      <c r="FCS19" s="199" t="s">
        <v>7</v>
      </c>
      <c r="FCT19" s="200"/>
      <c r="FCU19" s="200"/>
      <c r="FCV19" s="200"/>
      <c r="FCW19" s="200"/>
      <c r="FCX19" s="200"/>
      <c r="FCY19" s="200"/>
      <c r="FCZ19" s="201"/>
      <c r="FDA19" s="199" t="s">
        <v>7</v>
      </c>
      <c r="FDB19" s="200"/>
      <c r="FDC19" s="200"/>
      <c r="FDD19" s="200"/>
      <c r="FDE19" s="200"/>
      <c r="FDF19" s="200"/>
      <c r="FDG19" s="200"/>
      <c r="FDH19" s="201"/>
      <c r="FDI19" s="199" t="s">
        <v>7</v>
      </c>
      <c r="FDJ19" s="200"/>
      <c r="FDK19" s="200"/>
      <c r="FDL19" s="200"/>
      <c r="FDM19" s="200"/>
      <c r="FDN19" s="200"/>
      <c r="FDO19" s="200"/>
      <c r="FDP19" s="201"/>
      <c r="FDQ19" s="199" t="s">
        <v>7</v>
      </c>
      <c r="FDR19" s="200"/>
      <c r="FDS19" s="200"/>
      <c r="FDT19" s="200"/>
      <c r="FDU19" s="200"/>
      <c r="FDV19" s="200"/>
      <c r="FDW19" s="200"/>
      <c r="FDX19" s="201"/>
      <c r="FDY19" s="199" t="s">
        <v>7</v>
      </c>
      <c r="FDZ19" s="200"/>
      <c r="FEA19" s="200"/>
      <c r="FEB19" s="200"/>
      <c r="FEC19" s="200"/>
      <c r="FED19" s="200"/>
      <c r="FEE19" s="200"/>
      <c r="FEF19" s="201"/>
      <c r="FEG19" s="199" t="s">
        <v>7</v>
      </c>
      <c r="FEH19" s="200"/>
      <c r="FEI19" s="200"/>
      <c r="FEJ19" s="200"/>
      <c r="FEK19" s="200"/>
      <c r="FEL19" s="200"/>
      <c r="FEM19" s="200"/>
      <c r="FEN19" s="201"/>
      <c r="FEO19" s="199" t="s">
        <v>7</v>
      </c>
      <c r="FEP19" s="200"/>
      <c r="FEQ19" s="200"/>
      <c r="FER19" s="200"/>
      <c r="FES19" s="200"/>
      <c r="FET19" s="200"/>
      <c r="FEU19" s="200"/>
      <c r="FEV19" s="201"/>
      <c r="FEW19" s="199" t="s">
        <v>7</v>
      </c>
      <c r="FEX19" s="200"/>
      <c r="FEY19" s="200"/>
      <c r="FEZ19" s="200"/>
      <c r="FFA19" s="200"/>
      <c r="FFB19" s="200"/>
      <c r="FFC19" s="200"/>
      <c r="FFD19" s="201"/>
      <c r="FFE19" s="199" t="s">
        <v>7</v>
      </c>
      <c r="FFF19" s="200"/>
      <c r="FFG19" s="200"/>
      <c r="FFH19" s="200"/>
      <c r="FFI19" s="200"/>
      <c r="FFJ19" s="200"/>
      <c r="FFK19" s="200"/>
      <c r="FFL19" s="201"/>
      <c r="FFM19" s="199" t="s">
        <v>7</v>
      </c>
      <c r="FFN19" s="200"/>
      <c r="FFO19" s="200"/>
      <c r="FFP19" s="200"/>
      <c r="FFQ19" s="200"/>
      <c r="FFR19" s="200"/>
      <c r="FFS19" s="200"/>
      <c r="FFT19" s="201"/>
      <c r="FFU19" s="199" t="s">
        <v>7</v>
      </c>
      <c r="FFV19" s="200"/>
      <c r="FFW19" s="200"/>
      <c r="FFX19" s="200"/>
      <c r="FFY19" s="200"/>
      <c r="FFZ19" s="200"/>
      <c r="FGA19" s="200"/>
      <c r="FGB19" s="201"/>
      <c r="FGC19" s="199" t="s">
        <v>7</v>
      </c>
      <c r="FGD19" s="200"/>
      <c r="FGE19" s="200"/>
      <c r="FGF19" s="200"/>
      <c r="FGG19" s="200"/>
      <c r="FGH19" s="200"/>
      <c r="FGI19" s="200"/>
      <c r="FGJ19" s="201"/>
      <c r="FGK19" s="199" t="s">
        <v>7</v>
      </c>
      <c r="FGL19" s="200"/>
      <c r="FGM19" s="200"/>
      <c r="FGN19" s="200"/>
      <c r="FGO19" s="200"/>
      <c r="FGP19" s="200"/>
      <c r="FGQ19" s="200"/>
      <c r="FGR19" s="201"/>
      <c r="FGS19" s="199" t="s">
        <v>7</v>
      </c>
      <c r="FGT19" s="200"/>
      <c r="FGU19" s="200"/>
      <c r="FGV19" s="200"/>
      <c r="FGW19" s="200"/>
      <c r="FGX19" s="200"/>
      <c r="FGY19" s="200"/>
      <c r="FGZ19" s="201"/>
      <c r="FHA19" s="199" t="s">
        <v>7</v>
      </c>
      <c r="FHB19" s="200"/>
      <c r="FHC19" s="200"/>
      <c r="FHD19" s="200"/>
      <c r="FHE19" s="200"/>
      <c r="FHF19" s="200"/>
      <c r="FHG19" s="200"/>
      <c r="FHH19" s="201"/>
      <c r="FHI19" s="199" t="s">
        <v>7</v>
      </c>
      <c r="FHJ19" s="200"/>
      <c r="FHK19" s="200"/>
      <c r="FHL19" s="200"/>
      <c r="FHM19" s="200"/>
      <c r="FHN19" s="200"/>
      <c r="FHO19" s="200"/>
      <c r="FHP19" s="201"/>
      <c r="FHQ19" s="199" t="s">
        <v>7</v>
      </c>
      <c r="FHR19" s="200"/>
      <c r="FHS19" s="200"/>
      <c r="FHT19" s="200"/>
      <c r="FHU19" s="200"/>
      <c r="FHV19" s="200"/>
      <c r="FHW19" s="200"/>
      <c r="FHX19" s="201"/>
      <c r="FHY19" s="199" t="s">
        <v>7</v>
      </c>
      <c r="FHZ19" s="200"/>
      <c r="FIA19" s="200"/>
      <c r="FIB19" s="200"/>
      <c r="FIC19" s="200"/>
      <c r="FID19" s="200"/>
      <c r="FIE19" s="200"/>
      <c r="FIF19" s="201"/>
      <c r="FIG19" s="199" t="s">
        <v>7</v>
      </c>
      <c r="FIH19" s="200"/>
      <c r="FII19" s="200"/>
      <c r="FIJ19" s="200"/>
      <c r="FIK19" s="200"/>
      <c r="FIL19" s="200"/>
      <c r="FIM19" s="200"/>
      <c r="FIN19" s="201"/>
      <c r="FIO19" s="199" t="s">
        <v>7</v>
      </c>
      <c r="FIP19" s="200"/>
      <c r="FIQ19" s="200"/>
      <c r="FIR19" s="200"/>
      <c r="FIS19" s="200"/>
      <c r="FIT19" s="200"/>
      <c r="FIU19" s="200"/>
      <c r="FIV19" s="201"/>
      <c r="FIW19" s="199" t="s">
        <v>7</v>
      </c>
      <c r="FIX19" s="200"/>
      <c r="FIY19" s="200"/>
      <c r="FIZ19" s="200"/>
      <c r="FJA19" s="200"/>
      <c r="FJB19" s="200"/>
      <c r="FJC19" s="200"/>
      <c r="FJD19" s="201"/>
      <c r="FJE19" s="199" t="s">
        <v>7</v>
      </c>
      <c r="FJF19" s="200"/>
      <c r="FJG19" s="200"/>
      <c r="FJH19" s="200"/>
      <c r="FJI19" s="200"/>
      <c r="FJJ19" s="200"/>
      <c r="FJK19" s="200"/>
      <c r="FJL19" s="201"/>
      <c r="FJM19" s="199" t="s">
        <v>7</v>
      </c>
      <c r="FJN19" s="200"/>
      <c r="FJO19" s="200"/>
      <c r="FJP19" s="200"/>
      <c r="FJQ19" s="200"/>
      <c r="FJR19" s="200"/>
      <c r="FJS19" s="200"/>
      <c r="FJT19" s="201"/>
      <c r="FJU19" s="199" t="s">
        <v>7</v>
      </c>
      <c r="FJV19" s="200"/>
      <c r="FJW19" s="200"/>
      <c r="FJX19" s="200"/>
      <c r="FJY19" s="200"/>
      <c r="FJZ19" s="200"/>
      <c r="FKA19" s="200"/>
      <c r="FKB19" s="201"/>
      <c r="FKC19" s="199" t="s">
        <v>7</v>
      </c>
      <c r="FKD19" s="200"/>
      <c r="FKE19" s="200"/>
      <c r="FKF19" s="200"/>
      <c r="FKG19" s="200"/>
      <c r="FKH19" s="200"/>
      <c r="FKI19" s="200"/>
      <c r="FKJ19" s="201"/>
      <c r="FKK19" s="199" t="s">
        <v>7</v>
      </c>
      <c r="FKL19" s="200"/>
      <c r="FKM19" s="200"/>
      <c r="FKN19" s="200"/>
      <c r="FKO19" s="200"/>
      <c r="FKP19" s="200"/>
      <c r="FKQ19" s="200"/>
      <c r="FKR19" s="201"/>
      <c r="FKS19" s="199" t="s">
        <v>7</v>
      </c>
      <c r="FKT19" s="200"/>
      <c r="FKU19" s="200"/>
      <c r="FKV19" s="200"/>
      <c r="FKW19" s="200"/>
      <c r="FKX19" s="200"/>
      <c r="FKY19" s="200"/>
      <c r="FKZ19" s="201"/>
      <c r="FLA19" s="199" t="s">
        <v>7</v>
      </c>
      <c r="FLB19" s="200"/>
      <c r="FLC19" s="200"/>
      <c r="FLD19" s="200"/>
      <c r="FLE19" s="200"/>
      <c r="FLF19" s="200"/>
      <c r="FLG19" s="200"/>
      <c r="FLH19" s="201"/>
      <c r="FLI19" s="199" t="s">
        <v>7</v>
      </c>
      <c r="FLJ19" s="200"/>
      <c r="FLK19" s="200"/>
      <c r="FLL19" s="200"/>
      <c r="FLM19" s="200"/>
      <c r="FLN19" s="200"/>
      <c r="FLO19" s="200"/>
      <c r="FLP19" s="201"/>
      <c r="FLQ19" s="199" t="s">
        <v>7</v>
      </c>
      <c r="FLR19" s="200"/>
      <c r="FLS19" s="200"/>
      <c r="FLT19" s="200"/>
      <c r="FLU19" s="200"/>
      <c r="FLV19" s="200"/>
      <c r="FLW19" s="200"/>
      <c r="FLX19" s="201"/>
      <c r="FLY19" s="199" t="s">
        <v>7</v>
      </c>
      <c r="FLZ19" s="200"/>
      <c r="FMA19" s="200"/>
      <c r="FMB19" s="200"/>
      <c r="FMC19" s="200"/>
      <c r="FMD19" s="200"/>
      <c r="FME19" s="200"/>
      <c r="FMF19" s="201"/>
      <c r="FMG19" s="199" t="s">
        <v>7</v>
      </c>
      <c r="FMH19" s="200"/>
      <c r="FMI19" s="200"/>
      <c r="FMJ19" s="200"/>
      <c r="FMK19" s="200"/>
      <c r="FML19" s="200"/>
      <c r="FMM19" s="200"/>
      <c r="FMN19" s="201"/>
      <c r="FMO19" s="199" t="s">
        <v>7</v>
      </c>
      <c r="FMP19" s="200"/>
      <c r="FMQ19" s="200"/>
      <c r="FMR19" s="200"/>
      <c r="FMS19" s="200"/>
      <c r="FMT19" s="200"/>
      <c r="FMU19" s="200"/>
      <c r="FMV19" s="201"/>
      <c r="FMW19" s="199" t="s">
        <v>7</v>
      </c>
      <c r="FMX19" s="200"/>
      <c r="FMY19" s="200"/>
      <c r="FMZ19" s="200"/>
      <c r="FNA19" s="200"/>
      <c r="FNB19" s="200"/>
      <c r="FNC19" s="200"/>
      <c r="FND19" s="201"/>
      <c r="FNE19" s="199" t="s">
        <v>7</v>
      </c>
      <c r="FNF19" s="200"/>
      <c r="FNG19" s="200"/>
      <c r="FNH19" s="200"/>
      <c r="FNI19" s="200"/>
      <c r="FNJ19" s="200"/>
      <c r="FNK19" s="200"/>
      <c r="FNL19" s="201"/>
      <c r="FNM19" s="199" t="s">
        <v>7</v>
      </c>
      <c r="FNN19" s="200"/>
      <c r="FNO19" s="200"/>
      <c r="FNP19" s="200"/>
      <c r="FNQ19" s="200"/>
      <c r="FNR19" s="200"/>
      <c r="FNS19" s="200"/>
      <c r="FNT19" s="201"/>
      <c r="FNU19" s="199" t="s">
        <v>7</v>
      </c>
      <c r="FNV19" s="200"/>
      <c r="FNW19" s="200"/>
      <c r="FNX19" s="200"/>
      <c r="FNY19" s="200"/>
      <c r="FNZ19" s="200"/>
      <c r="FOA19" s="200"/>
      <c r="FOB19" s="201"/>
      <c r="FOC19" s="199" t="s">
        <v>7</v>
      </c>
      <c r="FOD19" s="200"/>
      <c r="FOE19" s="200"/>
      <c r="FOF19" s="200"/>
      <c r="FOG19" s="200"/>
      <c r="FOH19" s="200"/>
      <c r="FOI19" s="200"/>
      <c r="FOJ19" s="201"/>
      <c r="FOK19" s="199" t="s">
        <v>7</v>
      </c>
      <c r="FOL19" s="200"/>
      <c r="FOM19" s="200"/>
      <c r="FON19" s="200"/>
      <c r="FOO19" s="200"/>
      <c r="FOP19" s="200"/>
      <c r="FOQ19" s="200"/>
      <c r="FOR19" s="201"/>
      <c r="FOS19" s="199" t="s">
        <v>7</v>
      </c>
      <c r="FOT19" s="200"/>
      <c r="FOU19" s="200"/>
      <c r="FOV19" s="200"/>
      <c r="FOW19" s="200"/>
      <c r="FOX19" s="200"/>
      <c r="FOY19" s="200"/>
      <c r="FOZ19" s="201"/>
      <c r="FPA19" s="199" t="s">
        <v>7</v>
      </c>
      <c r="FPB19" s="200"/>
      <c r="FPC19" s="200"/>
      <c r="FPD19" s="200"/>
      <c r="FPE19" s="200"/>
      <c r="FPF19" s="200"/>
      <c r="FPG19" s="200"/>
      <c r="FPH19" s="201"/>
      <c r="FPI19" s="199" t="s">
        <v>7</v>
      </c>
      <c r="FPJ19" s="200"/>
      <c r="FPK19" s="200"/>
      <c r="FPL19" s="200"/>
      <c r="FPM19" s="200"/>
      <c r="FPN19" s="200"/>
      <c r="FPO19" s="200"/>
      <c r="FPP19" s="201"/>
      <c r="FPQ19" s="199" t="s">
        <v>7</v>
      </c>
      <c r="FPR19" s="200"/>
      <c r="FPS19" s="200"/>
      <c r="FPT19" s="200"/>
      <c r="FPU19" s="200"/>
      <c r="FPV19" s="200"/>
      <c r="FPW19" s="200"/>
      <c r="FPX19" s="201"/>
      <c r="FPY19" s="199" t="s">
        <v>7</v>
      </c>
      <c r="FPZ19" s="200"/>
      <c r="FQA19" s="200"/>
      <c r="FQB19" s="200"/>
      <c r="FQC19" s="200"/>
      <c r="FQD19" s="200"/>
      <c r="FQE19" s="200"/>
      <c r="FQF19" s="201"/>
      <c r="FQG19" s="199" t="s">
        <v>7</v>
      </c>
      <c r="FQH19" s="200"/>
      <c r="FQI19" s="200"/>
      <c r="FQJ19" s="200"/>
      <c r="FQK19" s="200"/>
      <c r="FQL19" s="200"/>
      <c r="FQM19" s="200"/>
      <c r="FQN19" s="201"/>
      <c r="FQO19" s="199" t="s">
        <v>7</v>
      </c>
      <c r="FQP19" s="200"/>
      <c r="FQQ19" s="200"/>
      <c r="FQR19" s="200"/>
      <c r="FQS19" s="200"/>
      <c r="FQT19" s="200"/>
      <c r="FQU19" s="200"/>
      <c r="FQV19" s="201"/>
      <c r="FQW19" s="199" t="s">
        <v>7</v>
      </c>
      <c r="FQX19" s="200"/>
      <c r="FQY19" s="200"/>
      <c r="FQZ19" s="200"/>
      <c r="FRA19" s="200"/>
      <c r="FRB19" s="200"/>
      <c r="FRC19" s="200"/>
      <c r="FRD19" s="201"/>
      <c r="FRE19" s="199" t="s">
        <v>7</v>
      </c>
      <c r="FRF19" s="200"/>
      <c r="FRG19" s="200"/>
      <c r="FRH19" s="200"/>
      <c r="FRI19" s="200"/>
      <c r="FRJ19" s="200"/>
      <c r="FRK19" s="200"/>
      <c r="FRL19" s="201"/>
      <c r="FRM19" s="199" t="s">
        <v>7</v>
      </c>
      <c r="FRN19" s="200"/>
      <c r="FRO19" s="200"/>
      <c r="FRP19" s="200"/>
      <c r="FRQ19" s="200"/>
      <c r="FRR19" s="200"/>
      <c r="FRS19" s="200"/>
      <c r="FRT19" s="201"/>
      <c r="FRU19" s="199" t="s">
        <v>7</v>
      </c>
      <c r="FRV19" s="200"/>
      <c r="FRW19" s="200"/>
      <c r="FRX19" s="200"/>
      <c r="FRY19" s="200"/>
      <c r="FRZ19" s="200"/>
      <c r="FSA19" s="200"/>
      <c r="FSB19" s="201"/>
      <c r="FSC19" s="199" t="s">
        <v>7</v>
      </c>
      <c r="FSD19" s="200"/>
      <c r="FSE19" s="200"/>
      <c r="FSF19" s="200"/>
      <c r="FSG19" s="200"/>
      <c r="FSH19" s="200"/>
      <c r="FSI19" s="200"/>
      <c r="FSJ19" s="201"/>
      <c r="FSK19" s="199" t="s">
        <v>7</v>
      </c>
      <c r="FSL19" s="200"/>
      <c r="FSM19" s="200"/>
      <c r="FSN19" s="200"/>
      <c r="FSO19" s="200"/>
      <c r="FSP19" s="200"/>
      <c r="FSQ19" s="200"/>
      <c r="FSR19" s="201"/>
      <c r="FSS19" s="199" t="s">
        <v>7</v>
      </c>
      <c r="FST19" s="200"/>
      <c r="FSU19" s="200"/>
      <c r="FSV19" s="200"/>
      <c r="FSW19" s="200"/>
      <c r="FSX19" s="200"/>
      <c r="FSY19" s="200"/>
      <c r="FSZ19" s="201"/>
      <c r="FTA19" s="199" t="s">
        <v>7</v>
      </c>
      <c r="FTB19" s="200"/>
      <c r="FTC19" s="200"/>
      <c r="FTD19" s="200"/>
      <c r="FTE19" s="200"/>
      <c r="FTF19" s="200"/>
      <c r="FTG19" s="200"/>
      <c r="FTH19" s="201"/>
      <c r="FTI19" s="199" t="s">
        <v>7</v>
      </c>
      <c r="FTJ19" s="200"/>
      <c r="FTK19" s="200"/>
      <c r="FTL19" s="200"/>
      <c r="FTM19" s="200"/>
      <c r="FTN19" s="200"/>
      <c r="FTO19" s="200"/>
      <c r="FTP19" s="201"/>
      <c r="FTQ19" s="199" t="s">
        <v>7</v>
      </c>
      <c r="FTR19" s="200"/>
      <c r="FTS19" s="200"/>
      <c r="FTT19" s="200"/>
      <c r="FTU19" s="200"/>
      <c r="FTV19" s="200"/>
      <c r="FTW19" s="200"/>
      <c r="FTX19" s="201"/>
      <c r="FTY19" s="199" t="s">
        <v>7</v>
      </c>
      <c r="FTZ19" s="200"/>
      <c r="FUA19" s="200"/>
      <c r="FUB19" s="200"/>
      <c r="FUC19" s="200"/>
      <c r="FUD19" s="200"/>
      <c r="FUE19" s="200"/>
      <c r="FUF19" s="201"/>
      <c r="FUG19" s="199" t="s">
        <v>7</v>
      </c>
      <c r="FUH19" s="200"/>
      <c r="FUI19" s="200"/>
      <c r="FUJ19" s="200"/>
      <c r="FUK19" s="200"/>
      <c r="FUL19" s="200"/>
      <c r="FUM19" s="200"/>
      <c r="FUN19" s="201"/>
      <c r="FUO19" s="199" t="s">
        <v>7</v>
      </c>
      <c r="FUP19" s="200"/>
      <c r="FUQ19" s="200"/>
      <c r="FUR19" s="200"/>
      <c r="FUS19" s="200"/>
      <c r="FUT19" s="200"/>
      <c r="FUU19" s="200"/>
      <c r="FUV19" s="201"/>
      <c r="FUW19" s="199" t="s">
        <v>7</v>
      </c>
      <c r="FUX19" s="200"/>
      <c r="FUY19" s="200"/>
      <c r="FUZ19" s="200"/>
      <c r="FVA19" s="200"/>
      <c r="FVB19" s="200"/>
      <c r="FVC19" s="200"/>
      <c r="FVD19" s="201"/>
      <c r="FVE19" s="199" t="s">
        <v>7</v>
      </c>
      <c r="FVF19" s="200"/>
      <c r="FVG19" s="200"/>
      <c r="FVH19" s="200"/>
      <c r="FVI19" s="200"/>
      <c r="FVJ19" s="200"/>
      <c r="FVK19" s="200"/>
      <c r="FVL19" s="201"/>
      <c r="FVM19" s="199" t="s">
        <v>7</v>
      </c>
      <c r="FVN19" s="200"/>
      <c r="FVO19" s="200"/>
      <c r="FVP19" s="200"/>
      <c r="FVQ19" s="200"/>
      <c r="FVR19" s="200"/>
      <c r="FVS19" s="200"/>
      <c r="FVT19" s="201"/>
      <c r="FVU19" s="199" t="s">
        <v>7</v>
      </c>
      <c r="FVV19" s="200"/>
      <c r="FVW19" s="200"/>
      <c r="FVX19" s="200"/>
      <c r="FVY19" s="200"/>
      <c r="FVZ19" s="200"/>
      <c r="FWA19" s="200"/>
      <c r="FWB19" s="201"/>
      <c r="FWC19" s="199" t="s">
        <v>7</v>
      </c>
      <c r="FWD19" s="200"/>
      <c r="FWE19" s="200"/>
      <c r="FWF19" s="200"/>
      <c r="FWG19" s="200"/>
      <c r="FWH19" s="200"/>
      <c r="FWI19" s="200"/>
      <c r="FWJ19" s="201"/>
      <c r="FWK19" s="199" t="s">
        <v>7</v>
      </c>
      <c r="FWL19" s="200"/>
      <c r="FWM19" s="200"/>
      <c r="FWN19" s="200"/>
      <c r="FWO19" s="200"/>
      <c r="FWP19" s="200"/>
      <c r="FWQ19" s="200"/>
      <c r="FWR19" s="201"/>
      <c r="FWS19" s="199" t="s">
        <v>7</v>
      </c>
      <c r="FWT19" s="200"/>
      <c r="FWU19" s="200"/>
      <c r="FWV19" s="200"/>
      <c r="FWW19" s="200"/>
      <c r="FWX19" s="200"/>
      <c r="FWY19" s="200"/>
      <c r="FWZ19" s="201"/>
      <c r="FXA19" s="199" t="s">
        <v>7</v>
      </c>
      <c r="FXB19" s="200"/>
      <c r="FXC19" s="200"/>
      <c r="FXD19" s="200"/>
      <c r="FXE19" s="200"/>
      <c r="FXF19" s="200"/>
      <c r="FXG19" s="200"/>
      <c r="FXH19" s="201"/>
      <c r="FXI19" s="199" t="s">
        <v>7</v>
      </c>
      <c r="FXJ19" s="200"/>
      <c r="FXK19" s="200"/>
      <c r="FXL19" s="200"/>
      <c r="FXM19" s="200"/>
      <c r="FXN19" s="200"/>
      <c r="FXO19" s="200"/>
      <c r="FXP19" s="201"/>
      <c r="FXQ19" s="199" t="s">
        <v>7</v>
      </c>
      <c r="FXR19" s="200"/>
      <c r="FXS19" s="200"/>
      <c r="FXT19" s="200"/>
      <c r="FXU19" s="200"/>
      <c r="FXV19" s="200"/>
      <c r="FXW19" s="200"/>
      <c r="FXX19" s="201"/>
      <c r="FXY19" s="199" t="s">
        <v>7</v>
      </c>
      <c r="FXZ19" s="200"/>
      <c r="FYA19" s="200"/>
      <c r="FYB19" s="200"/>
      <c r="FYC19" s="200"/>
      <c r="FYD19" s="200"/>
      <c r="FYE19" s="200"/>
      <c r="FYF19" s="201"/>
      <c r="FYG19" s="199" t="s">
        <v>7</v>
      </c>
      <c r="FYH19" s="200"/>
      <c r="FYI19" s="200"/>
      <c r="FYJ19" s="200"/>
      <c r="FYK19" s="200"/>
      <c r="FYL19" s="200"/>
      <c r="FYM19" s="200"/>
      <c r="FYN19" s="201"/>
      <c r="FYO19" s="199" t="s">
        <v>7</v>
      </c>
      <c r="FYP19" s="200"/>
      <c r="FYQ19" s="200"/>
      <c r="FYR19" s="200"/>
      <c r="FYS19" s="200"/>
      <c r="FYT19" s="200"/>
      <c r="FYU19" s="200"/>
      <c r="FYV19" s="201"/>
      <c r="FYW19" s="199" t="s">
        <v>7</v>
      </c>
      <c r="FYX19" s="200"/>
      <c r="FYY19" s="200"/>
      <c r="FYZ19" s="200"/>
      <c r="FZA19" s="200"/>
      <c r="FZB19" s="200"/>
      <c r="FZC19" s="200"/>
      <c r="FZD19" s="201"/>
      <c r="FZE19" s="199" t="s">
        <v>7</v>
      </c>
      <c r="FZF19" s="200"/>
      <c r="FZG19" s="200"/>
      <c r="FZH19" s="200"/>
      <c r="FZI19" s="200"/>
      <c r="FZJ19" s="200"/>
      <c r="FZK19" s="200"/>
      <c r="FZL19" s="201"/>
      <c r="FZM19" s="199" t="s">
        <v>7</v>
      </c>
      <c r="FZN19" s="200"/>
      <c r="FZO19" s="200"/>
      <c r="FZP19" s="200"/>
      <c r="FZQ19" s="200"/>
      <c r="FZR19" s="200"/>
      <c r="FZS19" s="200"/>
      <c r="FZT19" s="201"/>
      <c r="FZU19" s="199" t="s">
        <v>7</v>
      </c>
      <c r="FZV19" s="200"/>
      <c r="FZW19" s="200"/>
      <c r="FZX19" s="200"/>
      <c r="FZY19" s="200"/>
      <c r="FZZ19" s="200"/>
      <c r="GAA19" s="200"/>
      <c r="GAB19" s="201"/>
      <c r="GAC19" s="199" t="s">
        <v>7</v>
      </c>
      <c r="GAD19" s="200"/>
      <c r="GAE19" s="200"/>
      <c r="GAF19" s="200"/>
      <c r="GAG19" s="200"/>
      <c r="GAH19" s="200"/>
      <c r="GAI19" s="200"/>
      <c r="GAJ19" s="201"/>
      <c r="GAK19" s="199" t="s">
        <v>7</v>
      </c>
      <c r="GAL19" s="200"/>
      <c r="GAM19" s="200"/>
      <c r="GAN19" s="200"/>
      <c r="GAO19" s="200"/>
      <c r="GAP19" s="200"/>
      <c r="GAQ19" s="200"/>
      <c r="GAR19" s="201"/>
      <c r="GAS19" s="199" t="s">
        <v>7</v>
      </c>
      <c r="GAT19" s="200"/>
      <c r="GAU19" s="200"/>
      <c r="GAV19" s="200"/>
      <c r="GAW19" s="200"/>
      <c r="GAX19" s="200"/>
      <c r="GAY19" s="200"/>
      <c r="GAZ19" s="201"/>
      <c r="GBA19" s="199" t="s">
        <v>7</v>
      </c>
      <c r="GBB19" s="200"/>
      <c r="GBC19" s="200"/>
      <c r="GBD19" s="200"/>
      <c r="GBE19" s="200"/>
      <c r="GBF19" s="200"/>
      <c r="GBG19" s="200"/>
      <c r="GBH19" s="201"/>
      <c r="GBI19" s="199" t="s">
        <v>7</v>
      </c>
      <c r="GBJ19" s="200"/>
      <c r="GBK19" s="200"/>
      <c r="GBL19" s="200"/>
      <c r="GBM19" s="200"/>
      <c r="GBN19" s="200"/>
      <c r="GBO19" s="200"/>
      <c r="GBP19" s="201"/>
      <c r="GBQ19" s="199" t="s">
        <v>7</v>
      </c>
      <c r="GBR19" s="200"/>
      <c r="GBS19" s="200"/>
      <c r="GBT19" s="200"/>
      <c r="GBU19" s="200"/>
      <c r="GBV19" s="200"/>
      <c r="GBW19" s="200"/>
      <c r="GBX19" s="201"/>
      <c r="GBY19" s="199" t="s">
        <v>7</v>
      </c>
      <c r="GBZ19" s="200"/>
      <c r="GCA19" s="200"/>
      <c r="GCB19" s="200"/>
      <c r="GCC19" s="200"/>
      <c r="GCD19" s="200"/>
      <c r="GCE19" s="200"/>
      <c r="GCF19" s="201"/>
      <c r="GCG19" s="199" t="s">
        <v>7</v>
      </c>
      <c r="GCH19" s="200"/>
      <c r="GCI19" s="200"/>
      <c r="GCJ19" s="200"/>
      <c r="GCK19" s="200"/>
      <c r="GCL19" s="200"/>
      <c r="GCM19" s="200"/>
      <c r="GCN19" s="201"/>
      <c r="GCO19" s="199" t="s">
        <v>7</v>
      </c>
      <c r="GCP19" s="200"/>
      <c r="GCQ19" s="200"/>
      <c r="GCR19" s="200"/>
      <c r="GCS19" s="200"/>
      <c r="GCT19" s="200"/>
      <c r="GCU19" s="200"/>
      <c r="GCV19" s="201"/>
      <c r="GCW19" s="199" t="s">
        <v>7</v>
      </c>
      <c r="GCX19" s="200"/>
      <c r="GCY19" s="200"/>
      <c r="GCZ19" s="200"/>
      <c r="GDA19" s="200"/>
      <c r="GDB19" s="200"/>
      <c r="GDC19" s="200"/>
      <c r="GDD19" s="201"/>
      <c r="GDE19" s="199" t="s">
        <v>7</v>
      </c>
      <c r="GDF19" s="200"/>
      <c r="GDG19" s="200"/>
      <c r="GDH19" s="200"/>
      <c r="GDI19" s="200"/>
      <c r="GDJ19" s="200"/>
      <c r="GDK19" s="200"/>
      <c r="GDL19" s="201"/>
      <c r="GDM19" s="199" t="s">
        <v>7</v>
      </c>
      <c r="GDN19" s="200"/>
      <c r="GDO19" s="200"/>
      <c r="GDP19" s="200"/>
      <c r="GDQ19" s="200"/>
      <c r="GDR19" s="200"/>
      <c r="GDS19" s="200"/>
      <c r="GDT19" s="201"/>
      <c r="GDU19" s="199" t="s">
        <v>7</v>
      </c>
      <c r="GDV19" s="200"/>
      <c r="GDW19" s="200"/>
      <c r="GDX19" s="200"/>
      <c r="GDY19" s="200"/>
      <c r="GDZ19" s="200"/>
      <c r="GEA19" s="200"/>
      <c r="GEB19" s="201"/>
      <c r="GEC19" s="199" t="s">
        <v>7</v>
      </c>
      <c r="GED19" s="200"/>
      <c r="GEE19" s="200"/>
      <c r="GEF19" s="200"/>
      <c r="GEG19" s="200"/>
      <c r="GEH19" s="200"/>
      <c r="GEI19" s="200"/>
      <c r="GEJ19" s="201"/>
      <c r="GEK19" s="199" t="s">
        <v>7</v>
      </c>
      <c r="GEL19" s="200"/>
      <c r="GEM19" s="200"/>
      <c r="GEN19" s="200"/>
      <c r="GEO19" s="200"/>
      <c r="GEP19" s="200"/>
      <c r="GEQ19" s="200"/>
      <c r="GER19" s="201"/>
      <c r="GES19" s="199" t="s">
        <v>7</v>
      </c>
      <c r="GET19" s="200"/>
      <c r="GEU19" s="200"/>
      <c r="GEV19" s="200"/>
      <c r="GEW19" s="200"/>
      <c r="GEX19" s="200"/>
      <c r="GEY19" s="200"/>
      <c r="GEZ19" s="201"/>
      <c r="GFA19" s="199" t="s">
        <v>7</v>
      </c>
      <c r="GFB19" s="200"/>
      <c r="GFC19" s="200"/>
      <c r="GFD19" s="200"/>
      <c r="GFE19" s="200"/>
      <c r="GFF19" s="200"/>
      <c r="GFG19" s="200"/>
      <c r="GFH19" s="201"/>
      <c r="GFI19" s="199" t="s">
        <v>7</v>
      </c>
      <c r="GFJ19" s="200"/>
      <c r="GFK19" s="200"/>
      <c r="GFL19" s="200"/>
      <c r="GFM19" s="200"/>
      <c r="GFN19" s="200"/>
      <c r="GFO19" s="200"/>
      <c r="GFP19" s="201"/>
      <c r="GFQ19" s="199" t="s">
        <v>7</v>
      </c>
      <c r="GFR19" s="200"/>
      <c r="GFS19" s="200"/>
      <c r="GFT19" s="200"/>
      <c r="GFU19" s="200"/>
      <c r="GFV19" s="200"/>
      <c r="GFW19" s="200"/>
      <c r="GFX19" s="201"/>
      <c r="GFY19" s="199" t="s">
        <v>7</v>
      </c>
      <c r="GFZ19" s="200"/>
      <c r="GGA19" s="200"/>
      <c r="GGB19" s="200"/>
      <c r="GGC19" s="200"/>
      <c r="GGD19" s="200"/>
      <c r="GGE19" s="200"/>
      <c r="GGF19" s="201"/>
      <c r="GGG19" s="199" t="s">
        <v>7</v>
      </c>
      <c r="GGH19" s="200"/>
      <c r="GGI19" s="200"/>
      <c r="GGJ19" s="200"/>
      <c r="GGK19" s="200"/>
      <c r="GGL19" s="200"/>
      <c r="GGM19" s="200"/>
      <c r="GGN19" s="201"/>
      <c r="GGO19" s="199" t="s">
        <v>7</v>
      </c>
      <c r="GGP19" s="200"/>
      <c r="GGQ19" s="200"/>
      <c r="GGR19" s="200"/>
      <c r="GGS19" s="200"/>
      <c r="GGT19" s="200"/>
      <c r="GGU19" s="200"/>
      <c r="GGV19" s="201"/>
      <c r="GGW19" s="199" t="s">
        <v>7</v>
      </c>
      <c r="GGX19" s="200"/>
      <c r="GGY19" s="200"/>
      <c r="GGZ19" s="200"/>
      <c r="GHA19" s="200"/>
      <c r="GHB19" s="200"/>
      <c r="GHC19" s="200"/>
      <c r="GHD19" s="201"/>
      <c r="GHE19" s="199" t="s">
        <v>7</v>
      </c>
      <c r="GHF19" s="200"/>
      <c r="GHG19" s="200"/>
      <c r="GHH19" s="200"/>
      <c r="GHI19" s="200"/>
      <c r="GHJ19" s="200"/>
      <c r="GHK19" s="200"/>
      <c r="GHL19" s="201"/>
      <c r="GHM19" s="199" t="s">
        <v>7</v>
      </c>
      <c r="GHN19" s="200"/>
      <c r="GHO19" s="200"/>
      <c r="GHP19" s="200"/>
      <c r="GHQ19" s="200"/>
      <c r="GHR19" s="200"/>
      <c r="GHS19" s="200"/>
      <c r="GHT19" s="201"/>
      <c r="GHU19" s="199" t="s">
        <v>7</v>
      </c>
      <c r="GHV19" s="200"/>
      <c r="GHW19" s="200"/>
      <c r="GHX19" s="200"/>
      <c r="GHY19" s="200"/>
      <c r="GHZ19" s="200"/>
      <c r="GIA19" s="200"/>
      <c r="GIB19" s="201"/>
      <c r="GIC19" s="199" t="s">
        <v>7</v>
      </c>
      <c r="GID19" s="200"/>
      <c r="GIE19" s="200"/>
      <c r="GIF19" s="200"/>
      <c r="GIG19" s="200"/>
      <c r="GIH19" s="200"/>
      <c r="GII19" s="200"/>
      <c r="GIJ19" s="201"/>
      <c r="GIK19" s="199" t="s">
        <v>7</v>
      </c>
      <c r="GIL19" s="200"/>
      <c r="GIM19" s="200"/>
      <c r="GIN19" s="200"/>
      <c r="GIO19" s="200"/>
      <c r="GIP19" s="200"/>
      <c r="GIQ19" s="200"/>
      <c r="GIR19" s="201"/>
      <c r="GIS19" s="199" t="s">
        <v>7</v>
      </c>
      <c r="GIT19" s="200"/>
      <c r="GIU19" s="200"/>
      <c r="GIV19" s="200"/>
      <c r="GIW19" s="200"/>
      <c r="GIX19" s="200"/>
      <c r="GIY19" s="200"/>
      <c r="GIZ19" s="201"/>
      <c r="GJA19" s="199" t="s">
        <v>7</v>
      </c>
      <c r="GJB19" s="200"/>
      <c r="GJC19" s="200"/>
      <c r="GJD19" s="200"/>
      <c r="GJE19" s="200"/>
      <c r="GJF19" s="200"/>
      <c r="GJG19" s="200"/>
      <c r="GJH19" s="201"/>
      <c r="GJI19" s="199" t="s">
        <v>7</v>
      </c>
      <c r="GJJ19" s="200"/>
      <c r="GJK19" s="200"/>
      <c r="GJL19" s="200"/>
      <c r="GJM19" s="200"/>
      <c r="GJN19" s="200"/>
      <c r="GJO19" s="200"/>
      <c r="GJP19" s="201"/>
      <c r="GJQ19" s="199" t="s">
        <v>7</v>
      </c>
      <c r="GJR19" s="200"/>
      <c r="GJS19" s="200"/>
      <c r="GJT19" s="200"/>
      <c r="GJU19" s="200"/>
      <c r="GJV19" s="200"/>
      <c r="GJW19" s="200"/>
      <c r="GJX19" s="201"/>
      <c r="GJY19" s="199" t="s">
        <v>7</v>
      </c>
      <c r="GJZ19" s="200"/>
      <c r="GKA19" s="200"/>
      <c r="GKB19" s="200"/>
      <c r="GKC19" s="200"/>
      <c r="GKD19" s="200"/>
      <c r="GKE19" s="200"/>
      <c r="GKF19" s="201"/>
      <c r="GKG19" s="199" t="s">
        <v>7</v>
      </c>
      <c r="GKH19" s="200"/>
      <c r="GKI19" s="200"/>
      <c r="GKJ19" s="200"/>
      <c r="GKK19" s="200"/>
      <c r="GKL19" s="200"/>
      <c r="GKM19" s="200"/>
      <c r="GKN19" s="201"/>
      <c r="GKO19" s="199" t="s">
        <v>7</v>
      </c>
      <c r="GKP19" s="200"/>
      <c r="GKQ19" s="200"/>
      <c r="GKR19" s="200"/>
      <c r="GKS19" s="200"/>
      <c r="GKT19" s="200"/>
      <c r="GKU19" s="200"/>
      <c r="GKV19" s="201"/>
      <c r="GKW19" s="199" t="s">
        <v>7</v>
      </c>
      <c r="GKX19" s="200"/>
      <c r="GKY19" s="200"/>
      <c r="GKZ19" s="200"/>
      <c r="GLA19" s="200"/>
      <c r="GLB19" s="200"/>
      <c r="GLC19" s="200"/>
      <c r="GLD19" s="201"/>
      <c r="GLE19" s="199" t="s">
        <v>7</v>
      </c>
      <c r="GLF19" s="200"/>
      <c r="GLG19" s="200"/>
      <c r="GLH19" s="200"/>
      <c r="GLI19" s="200"/>
      <c r="GLJ19" s="200"/>
      <c r="GLK19" s="200"/>
      <c r="GLL19" s="201"/>
      <c r="GLM19" s="199" t="s">
        <v>7</v>
      </c>
      <c r="GLN19" s="200"/>
      <c r="GLO19" s="200"/>
      <c r="GLP19" s="200"/>
      <c r="GLQ19" s="200"/>
      <c r="GLR19" s="200"/>
      <c r="GLS19" s="200"/>
      <c r="GLT19" s="201"/>
      <c r="GLU19" s="199" t="s">
        <v>7</v>
      </c>
      <c r="GLV19" s="200"/>
      <c r="GLW19" s="200"/>
      <c r="GLX19" s="200"/>
      <c r="GLY19" s="200"/>
      <c r="GLZ19" s="200"/>
      <c r="GMA19" s="200"/>
      <c r="GMB19" s="201"/>
      <c r="GMC19" s="199" t="s">
        <v>7</v>
      </c>
      <c r="GMD19" s="200"/>
      <c r="GME19" s="200"/>
      <c r="GMF19" s="200"/>
      <c r="GMG19" s="200"/>
      <c r="GMH19" s="200"/>
      <c r="GMI19" s="200"/>
      <c r="GMJ19" s="201"/>
      <c r="GMK19" s="199" t="s">
        <v>7</v>
      </c>
      <c r="GML19" s="200"/>
      <c r="GMM19" s="200"/>
      <c r="GMN19" s="200"/>
      <c r="GMO19" s="200"/>
      <c r="GMP19" s="200"/>
      <c r="GMQ19" s="200"/>
      <c r="GMR19" s="201"/>
      <c r="GMS19" s="199" t="s">
        <v>7</v>
      </c>
      <c r="GMT19" s="200"/>
      <c r="GMU19" s="200"/>
      <c r="GMV19" s="200"/>
      <c r="GMW19" s="200"/>
      <c r="GMX19" s="200"/>
      <c r="GMY19" s="200"/>
      <c r="GMZ19" s="201"/>
      <c r="GNA19" s="199" t="s">
        <v>7</v>
      </c>
      <c r="GNB19" s="200"/>
      <c r="GNC19" s="200"/>
      <c r="GND19" s="200"/>
      <c r="GNE19" s="200"/>
      <c r="GNF19" s="200"/>
      <c r="GNG19" s="200"/>
      <c r="GNH19" s="201"/>
      <c r="GNI19" s="199" t="s">
        <v>7</v>
      </c>
      <c r="GNJ19" s="200"/>
      <c r="GNK19" s="200"/>
      <c r="GNL19" s="200"/>
      <c r="GNM19" s="200"/>
      <c r="GNN19" s="200"/>
      <c r="GNO19" s="200"/>
      <c r="GNP19" s="201"/>
      <c r="GNQ19" s="199" t="s">
        <v>7</v>
      </c>
      <c r="GNR19" s="200"/>
      <c r="GNS19" s="200"/>
      <c r="GNT19" s="200"/>
      <c r="GNU19" s="200"/>
      <c r="GNV19" s="200"/>
      <c r="GNW19" s="200"/>
      <c r="GNX19" s="201"/>
      <c r="GNY19" s="199" t="s">
        <v>7</v>
      </c>
      <c r="GNZ19" s="200"/>
      <c r="GOA19" s="200"/>
      <c r="GOB19" s="200"/>
      <c r="GOC19" s="200"/>
      <c r="GOD19" s="200"/>
      <c r="GOE19" s="200"/>
      <c r="GOF19" s="201"/>
      <c r="GOG19" s="199" t="s">
        <v>7</v>
      </c>
      <c r="GOH19" s="200"/>
      <c r="GOI19" s="200"/>
      <c r="GOJ19" s="200"/>
      <c r="GOK19" s="200"/>
      <c r="GOL19" s="200"/>
      <c r="GOM19" s="200"/>
      <c r="GON19" s="201"/>
      <c r="GOO19" s="199" t="s">
        <v>7</v>
      </c>
      <c r="GOP19" s="200"/>
      <c r="GOQ19" s="200"/>
      <c r="GOR19" s="200"/>
      <c r="GOS19" s="200"/>
      <c r="GOT19" s="200"/>
      <c r="GOU19" s="200"/>
      <c r="GOV19" s="201"/>
      <c r="GOW19" s="199" t="s">
        <v>7</v>
      </c>
      <c r="GOX19" s="200"/>
      <c r="GOY19" s="200"/>
      <c r="GOZ19" s="200"/>
      <c r="GPA19" s="200"/>
      <c r="GPB19" s="200"/>
      <c r="GPC19" s="200"/>
      <c r="GPD19" s="201"/>
      <c r="GPE19" s="199" t="s">
        <v>7</v>
      </c>
      <c r="GPF19" s="200"/>
      <c r="GPG19" s="200"/>
      <c r="GPH19" s="200"/>
      <c r="GPI19" s="200"/>
      <c r="GPJ19" s="200"/>
      <c r="GPK19" s="200"/>
      <c r="GPL19" s="201"/>
      <c r="GPM19" s="199" t="s">
        <v>7</v>
      </c>
      <c r="GPN19" s="200"/>
      <c r="GPO19" s="200"/>
      <c r="GPP19" s="200"/>
      <c r="GPQ19" s="200"/>
      <c r="GPR19" s="200"/>
      <c r="GPS19" s="200"/>
      <c r="GPT19" s="201"/>
      <c r="GPU19" s="199" t="s">
        <v>7</v>
      </c>
      <c r="GPV19" s="200"/>
      <c r="GPW19" s="200"/>
      <c r="GPX19" s="200"/>
      <c r="GPY19" s="200"/>
      <c r="GPZ19" s="200"/>
      <c r="GQA19" s="200"/>
      <c r="GQB19" s="201"/>
      <c r="GQC19" s="199" t="s">
        <v>7</v>
      </c>
      <c r="GQD19" s="200"/>
      <c r="GQE19" s="200"/>
      <c r="GQF19" s="200"/>
      <c r="GQG19" s="200"/>
      <c r="GQH19" s="200"/>
      <c r="GQI19" s="200"/>
      <c r="GQJ19" s="201"/>
      <c r="GQK19" s="199" t="s">
        <v>7</v>
      </c>
      <c r="GQL19" s="200"/>
      <c r="GQM19" s="200"/>
      <c r="GQN19" s="200"/>
      <c r="GQO19" s="200"/>
      <c r="GQP19" s="200"/>
      <c r="GQQ19" s="200"/>
      <c r="GQR19" s="201"/>
      <c r="GQS19" s="199" t="s">
        <v>7</v>
      </c>
      <c r="GQT19" s="200"/>
      <c r="GQU19" s="200"/>
      <c r="GQV19" s="200"/>
      <c r="GQW19" s="200"/>
      <c r="GQX19" s="200"/>
      <c r="GQY19" s="200"/>
      <c r="GQZ19" s="201"/>
      <c r="GRA19" s="199" t="s">
        <v>7</v>
      </c>
      <c r="GRB19" s="200"/>
      <c r="GRC19" s="200"/>
      <c r="GRD19" s="200"/>
      <c r="GRE19" s="200"/>
      <c r="GRF19" s="200"/>
      <c r="GRG19" s="200"/>
      <c r="GRH19" s="201"/>
      <c r="GRI19" s="199" t="s">
        <v>7</v>
      </c>
      <c r="GRJ19" s="200"/>
      <c r="GRK19" s="200"/>
      <c r="GRL19" s="200"/>
      <c r="GRM19" s="200"/>
      <c r="GRN19" s="200"/>
      <c r="GRO19" s="200"/>
      <c r="GRP19" s="201"/>
      <c r="GRQ19" s="199" t="s">
        <v>7</v>
      </c>
      <c r="GRR19" s="200"/>
      <c r="GRS19" s="200"/>
      <c r="GRT19" s="200"/>
      <c r="GRU19" s="200"/>
      <c r="GRV19" s="200"/>
      <c r="GRW19" s="200"/>
      <c r="GRX19" s="201"/>
      <c r="GRY19" s="199" t="s">
        <v>7</v>
      </c>
      <c r="GRZ19" s="200"/>
      <c r="GSA19" s="200"/>
      <c r="GSB19" s="200"/>
      <c r="GSC19" s="200"/>
      <c r="GSD19" s="200"/>
      <c r="GSE19" s="200"/>
      <c r="GSF19" s="201"/>
      <c r="GSG19" s="199" t="s">
        <v>7</v>
      </c>
      <c r="GSH19" s="200"/>
      <c r="GSI19" s="200"/>
      <c r="GSJ19" s="200"/>
      <c r="GSK19" s="200"/>
      <c r="GSL19" s="200"/>
      <c r="GSM19" s="200"/>
      <c r="GSN19" s="201"/>
      <c r="GSO19" s="199" t="s">
        <v>7</v>
      </c>
      <c r="GSP19" s="200"/>
      <c r="GSQ19" s="200"/>
      <c r="GSR19" s="200"/>
      <c r="GSS19" s="200"/>
      <c r="GST19" s="200"/>
      <c r="GSU19" s="200"/>
      <c r="GSV19" s="201"/>
      <c r="GSW19" s="199" t="s">
        <v>7</v>
      </c>
      <c r="GSX19" s="200"/>
      <c r="GSY19" s="200"/>
      <c r="GSZ19" s="200"/>
      <c r="GTA19" s="200"/>
      <c r="GTB19" s="200"/>
      <c r="GTC19" s="200"/>
      <c r="GTD19" s="201"/>
      <c r="GTE19" s="199" t="s">
        <v>7</v>
      </c>
      <c r="GTF19" s="200"/>
      <c r="GTG19" s="200"/>
      <c r="GTH19" s="200"/>
      <c r="GTI19" s="200"/>
      <c r="GTJ19" s="200"/>
      <c r="GTK19" s="200"/>
      <c r="GTL19" s="201"/>
      <c r="GTM19" s="199" t="s">
        <v>7</v>
      </c>
      <c r="GTN19" s="200"/>
      <c r="GTO19" s="200"/>
      <c r="GTP19" s="200"/>
      <c r="GTQ19" s="200"/>
      <c r="GTR19" s="200"/>
      <c r="GTS19" s="200"/>
      <c r="GTT19" s="201"/>
      <c r="GTU19" s="199" t="s">
        <v>7</v>
      </c>
      <c r="GTV19" s="200"/>
      <c r="GTW19" s="200"/>
      <c r="GTX19" s="200"/>
      <c r="GTY19" s="200"/>
      <c r="GTZ19" s="200"/>
      <c r="GUA19" s="200"/>
      <c r="GUB19" s="201"/>
      <c r="GUC19" s="199" t="s">
        <v>7</v>
      </c>
      <c r="GUD19" s="200"/>
      <c r="GUE19" s="200"/>
      <c r="GUF19" s="200"/>
      <c r="GUG19" s="200"/>
      <c r="GUH19" s="200"/>
      <c r="GUI19" s="200"/>
      <c r="GUJ19" s="201"/>
      <c r="GUK19" s="199" t="s">
        <v>7</v>
      </c>
      <c r="GUL19" s="200"/>
      <c r="GUM19" s="200"/>
      <c r="GUN19" s="200"/>
      <c r="GUO19" s="200"/>
      <c r="GUP19" s="200"/>
      <c r="GUQ19" s="200"/>
      <c r="GUR19" s="201"/>
      <c r="GUS19" s="199" t="s">
        <v>7</v>
      </c>
      <c r="GUT19" s="200"/>
      <c r="GUU19" s="200"/>
      <c r="GUV19" s="200"/>
      <c r="GUW19" s="200"/>
      <c r="GUX19" s="200"/>
      <c r="GUY19" s="200"/>
      <c r="GUZ19" s="201"/>
      <c r="GVA19" s="199" t="s">
        <v>7</v>
      </c>
      <c r="GVB19" s="200"/>
      <c r="GVC19" s="200"/>
      <c r="GVD19" s="200"/>
      <c r="GVE19" s="200"/>
      <c r="GVF19" s="200"/>
      <c r="GVG19" s="200"/>
      <c r="GVH19" s="201"/>
      <c r="GVI19" s="199" t="s">
        <v>7</v>
      </c>
      <c r="GVJ19" s="200"/>
      <c r="GVK19" s="200"/>
      <c r="GVL19" s="200"/>
      <c r="GVM19" s="200"/>
      <c r="GVN19" s="200"/>
      <c r="GVO19" s="200"/>
      <c r="GVP19" s="201"/>
      <c r="GVQ19" s="199" t="s">
        <v>7</v>
      </c>
      <c r="GVR19" s="200"/>
      <c r="GVS19" s="200"/>
      <c r="GVT19" s="200"/>
      <c r="GVU19" s="200"/>
      <c r="GVV19" s="200"/>
      <c r="GVW19" s="200"/>
      <c r="GVX19" s="201"/>
      <c r="GVY19" s="199" t="s">
        <v>7</v>
      </c>
      <c r="GVZ19" s="200"/>
      <c r="GWA19" s="200"/>
      <c r="GWB19" s="200"/>
      <c r="GWC19" s="200"/>
      <c r="GWD19" s="200"/>
      <c r="GWE19" s="200"/>
      <c r="GWF19" s="201"/>
      <c r="GWG19" s="199" t="s">
        <v>7</v>
      </c>
      <c r="GWH19" s="200"/>
      <c r="GWI19" s="200"/>
      <c r="GWJ19" s="200"/>
      <c r="GWK19" s="200"/>
      <c r="GWL19" s="200"/>
      <c r="GWM19" s="200"/>
      <c r="GWN19" s="201"/>
      <c r="GWO19" s="199" t="s">
        <v>7</v>
      </c>
      <c r="GWP19" s="200"/>
      <c r="GWQ19" s="200"/>
      <c r="GWR19" s="200"/>
      <c r="GWS19" s="200"/>
      <c r="GWT19" s="200"/>
      <c r="GWU19" s="200"/>
      <c r="GWV19" s="201"/>
      <c r="GWW19" s="199" t="s">
        <v>7</v>
      </c>
      <c r="GWX19" s="200"/>
      <c r="GWY19" s="200"/>
      <c r="GWZ19" s="200"/>
      <c r="GXA19" s="200"/>
      <c r="GXB19" s="200"/>
      <c r="GXC19" s="200"/>
      <c r="GXD19" s="201"/>
      <c r="GXE19" s="199" t="s">
        <v>7</v>
      </c>
      <c r="GXF19" s="200"/>
      <c r="GXG19" s="200"/>
      <c r="GXH19" s="200"/>
      <c r="GXI19" s="200"/>
      <c r="GXJ19" s="200"/>
      <c r="GXK19" s="200"/>
      <c r="GXL19" s="201"/>
      <c r="GXM19" s="199" t="s">
        <v>7</v>
      </c>
      <c r="GXN19" s="200"/>
      <c r="GXO19" s="200"/>
      <c r="GXP19" s="200"/>
      <c r="GXQ19" s="200"/>
      <c r="GXR19" s="200"/>
      <c r="GXS19" s="200"/>
      <c r="GXT19" s="201"/>
      <c r="GXU19" s="199" t="s">
        <v>7</v>
      </c>
      <c r="GXV19" s="200"/>
      <c r="GXW19" s="200"/>
      <c r="GXX19" s="200"/>
      <c r="GXY19" s="200"/>
      <c r="GXZ19" s="200"/>
      <c r="GYA19" s="200"/>
      <c r="GYB19" s="201"/>
      <c r="GYC19" s="199" t="s">
        <v>7</v>
      </c>
      <c r="GYD19" s="200"/>
      <c r="GYE19" s="200"/>
      <c r="GYF19" s="200"/>
      <c r="GYG19" s="200"/>
      <c r="GYH19" s="200"/>
      <c r="GYI19" s="200"/>
      <c r="GYJ19" s="201"/>
      <c r="GYK19" s="199" t="s">
        <v>7</v>
      </c>
      <c r="GYL19" s="200"/>
      <c r="GYM19" s="200"/>
      <c r="GYN19" s="200"/>
      <c r="GYO19" s="200"/>
      <c r="GYP19" s="200"/>
      <c r="GYQ19" s="200"/>
      <c r="GYR19" s="201"/>
      <c r="GYS19" s="199" t="s">
        <v>7</v>
      </c>
      <c r="GYT19" s="200"/>
      <c r="GYU19" s="200"/>
      <c r="GYV19" s="200"/>
      <c r="GYW19" s="200"/>
      <c r="GYX19" s="200"/>
      <c r="GYY19" s="200"/>
      <c r="GYZ19" s="201"/>
      <c r="GZA19" s="199" t="s">
        <v>7</v>
      </c>
      <c r="GZB19" s="200"/>
      <c r="GZC19" s="200"/>
      <c r="GZD19" s="200"/>
      <c r="GZE19" s="200"/>
      <c r="GZF19" s="200"/>
      <c r="GZG19" s="200"/>
      <c r="GZH19" s="201"/>
      <c r="GZI19" s="199" t="s">
        <v>7</v>
      </c>
      <c r="GZJ19" s="200"/>
      <c r="GZK19" s="200"/>
      <c r="GZL19" s="200"/>
      <c r="GZM19" s="200"/>
      <c r="GZN19" s="200"/>
      <c r="GZO19" s="200"/>
      <c r="GZP19" s="201"/>
      <c r="GZQ19" s="199" t="s">
        <v>7</v>
      </c>
      <c r="GZR19" s="200"/>
      <c r="GZS19" s="200"/>
      <c r="GZT19" s="200"/>
      <c r="GZU19" s="200"/>
      <c r="GZV19" s="200"/>
      <c r="GZW19" s="200"/>
      <c r="GZX19" s="201"/>
      <c r="GZY19" s="199" t="s">
        <v>7</v>
      </c>
      <c r="GZZ19" s="200"/>
      <c r="HAA19" s="200"/>
      <c r="HAB19" s="200"/>
      <c r="HAC19" s="200"/>
      <c r="HAD19" s="200"/>
      <c r="HAE19" s="200"/>
      <c r="HAF19" s="201"/>
      <c r="HAG19" s="199" t="s">
        <v>7</v>
      </c>
      <c r="HAH19" s="200"/>
      <c r="HAI19" s="200"/>
      <c r="HAJ19" s="200"/>
      <c r="HAK19" s="200"/>
      <c r="HAL19" s="200"/>
      <c r="HAM19" s="200"/>
      <c r="HAN19" s="201"/>
      <c r="HAO19" s="199" t="s">
        <v>7</v>
      </c>
      <c r="HAP19" s="200"/>
      <c r="HAQ19" s="200"/>
      <c r="HAR19" s="200"/>
      <c r="HAS19" s="200"/>
      <c r="HAT19" s="200"/>
      <c r="HAU19" s="200"/>
      <c r="HAV19" s="201"/>
      <c r="HAW19" s="199" t="s">
        <v>7</v>
      </c>
      <c r="HAX19" s="200"/>
      <c r="HAY19" s="200"/>
      <c r="HAZ19" s="200"/>
      <c r="HBA19" s="200"/>
      <c r="HBB19" s="200"/>
      <c r="HBC19" s="200"/>
      <c r="HBD19" s="201"/>
      <c r="HBE19" s="199" t="s">
        <v>7</v>
      </c>
      <c r="HBF19" s="200"/>
      <c r="HBG19" s="200"/>
      <c r="HBH19" s="200"/>
      <c r="HBI19" s="200"/>
      <c r="HBJ19" s="200"/>
      <c r="HBK19" s="200"/>
      <c r="HBL19" s="201"/>
      <c r="HBM19" s="199" t="s">
        <v>7</v>
      </c>
      <c r="HBN19" s="200"/>
      <c r="HBO19" s="200"/>
      <c r="HBP19" s="200"/>
      <c r="HBQ19" s="200"/>
      <c r="HBR19" s="200"/>
      <c r="HBS19" s="200"/>
      <c r="HBT19" s="201"/>
      <c r="HBU19" s="199" t="s">
        <v>7</v>
      </c>
      <c r="HBV19" s="200"/>
      <c r="HBW19" s="200"/>
      <c r="HBX19" s="200"/>
      <c r="HBY19" s="200"/>
      <c r="HBZ19" s="200"/>
      <c r="HCA19" s="200"/>
      <c r="HCB19" s="201"/>
      <c r="HCC19" s="199" t="s">
        <v>7</v>
      </c>
      <c r="HCD19" s="200"/>
      <c r="HCE19" s="200"/>
      <c r="HCF19" s="200"/>
      <c r="HCG19" s="200"/>
      <c r="HCH19" s="200"/>
      <c r="HCI19" s="200"/>
      <c r="HCJ19" s="201"/>
      <c r="HCK19" s="199" t="s">
        <v>7</v>
      </c>
      <c r="HCL19" s="200"/>
      <c r="HCM19" s="200"/>
      <c r="HCN19" s="200"/>
      <c r="HCO19" s="200"/>
      <c r="HCP19" s="200"/>
      <c r="HCQ19" s="200"/>
      <c r="HCR19" s="201"/>
      <c r="HCS19" s="199" t="s">
        <v>7</v>
      </c>
      <c r="HCT19" s="200"/>
      <c r="HCU19" s="200"/>
      <c r="HCV19" s="200"/>
      <c r="HCW19" s="200"/>
      <c r="HCX19" s="200"/>
      <c r="HCY19" s="200"/>
      <c r="HCZ19" s="201"/>
      <c r="HDA19" s="199" t="s">
        <v>7</v>
      </c>
      <c r="HDB19" s="200"/>
      <c r="HDC19" s="200"/>
      <c r="HDD19" s="200"/>
      <c r="HDE19" s="200"/>
      <c r="HDF19" s="200"/>
      <c r="HDG19" s="200"/>
      <c r="HDH19" s="201"/>
      <c r="HDI19" s="199" t="s">
        <v>7</v>
      </c>
      <c r="HDJ19" s="200"/>
      <c r="HDK19" s="200"/>
      <c r="HDL19" s="200"/>
      <c r="HDM19" s="200"/>
      <c r="HDN19" s="200"/>
      <c r="HDO19" s="200"/>
      <c r="HDP19" s="201"/>
      <c r="HDQ19" s="199" t="s">
        <v>7</v>
      </c>
      <c r="HDR19" s="200"/>
      <c r="HDS19" s="200"/>
      <c r="HDT19" s="200"/>
      <c r="HDU19" s="200"/>
      <c r="HDV19" s="200"/>
      <c r="HDW19" s="200"/>
      <c r="HDX19" s="201"/>
      <c r="HDY19" s="199" t="s">
        <v>7</v>
      </c>
      <c r="HDZ19" s="200"/>
      <c r="HEA19" s="200"/>
      <c r="HEB19" s="200"/>
      <c r="HEC19" s="200"/>
      <c r="HED19" s="200"/>
      <c r="HEE19" s="200"/>
      <c r="HEF19" s="201"/>
      <c r="HEG19" s="199" t="s">
        <v>7</v>
      </c>
      <c r="HEH19" s="200"/>
      <c r="HEI19" s="200"/>
      <c r="HEJ19" s="200"/>
      <c r="HEK19" s="200"/>
      <c r="HEL19" s="200"/>
      <c r="HEM19" s="200"/>
      <c r="HEN19" s="201"/>
      <c r="HEO19" s="199" t="s">
        <v>7</v>
      </c>
      <c r="HEP19" s="200"/>
      <c r="HEQ19" s="200"/>
      <c r="HER19" s="200"/>
      <c r="HES19" s="200"/>
      <c r="HET19" s="200"/>
      <c r="HEU19" s="200"/>
      <c r="HEV19" s="201"/>
      <c r="HEW19" s="199" t="s">
        <v>7</v>
      </c>
      <c r="HEX19" s="200"/>
      <c r="HEY19" s="200"/>
      <c r="HEZ19" s="200"/>
      <c r="HFA19" s="200"/>
      <c r="HFB19" s="200"/>
      <c r="HFC19" s="200"/>
      <c r="HFD19" s="201"/>
      <c r="HFE19" s="199" t="s">
        <v>7</v>
      </c>
      <c r="HFF19" s="200"/>
      <c r="HFG19" s="200"/>
      <c r="HFH19" s="200"/>
      <c r="HFI19" s="200"/>
      <c r="HFJ19" s="200"/>
      <c r="HFK19" s="200"/>
      <c r="HFL19" s="201"/>
      <c r="HFM19" s="199" t="s">
        <v>7</v>
      </c>
      <c r="HFN19" s="200"/>
      <c r="HFO19" s="200"/>
      <c r="HFP19" s="200"/>
      <c r="HFQ19" s="200"/>
      <c r="HFR19" s="200"/>
      <c r="HFS19" s="200"/>
      <c r="HFT19" s="201"/>
      <c r="HFU19" s="199" t="s">
        <v>7</v>
      </c>
      <c r="HFV19" s="200"/>
      <c r="HFW19" s="200"/>
      <c r="HFX19" s="200"/>
      <c r="HFY19" s="200"/>
      <c r="HFZ19" s="200"/>
      <c r="HGA19" s="200"/>
      <c r="HGB19" s="201"/>
      <c r="HGC19" s="199" t="s">
        <v>7</v>
      </c>
      <c r="HGD19" s="200"/>
      <c r="HGE19" s="200"/>
      <c r="HGF19" s="200"/>
      <c r="HGG19" s="200"/>
      <c r="HGH19" s="200"/>
      <c r="HGI19" s="200"/>
      <c r="HGJ19" s="201"/>
      <c r="HGK19" s="199" t="s">
        <v>7</v>
      </c>
      <c r="HGL19" s="200"/>
      <c r="HGM19" s="200"/>
      <c r="HGN19" s="200"/>
      <c r="HGO19" s="200"/>
      <c r="HGP19" s="200"/>
      <c r="HGQ19" s="200"/>
      <c r="HGR19" s="201"/>
      <c r="HGS19" s="199" t="s">
        <v>7</v>
      </c>
      <c r="HGT19" s="200"/>
      <c r="HGU19" s="200"/>
      <c r="HGV19" s="200"/>
      <c r="HGW19" s="200"/>
      <c r="HGX19" s="200"/>
      <c r="HGY19" s="200"/>
      <c r="HGZ19" s="201"/>
      <c r="HHA19" s="199" t="s">
        <v>7</v>
      </c>
      <c r="HHB19" s="200"/>
      <c r="HHC19" s="200"/>
      <c r="HHD19" s="200"/>
      <c r="HHE19" s="200"/>
      <c r="HHF19" s="200"/>
      <c r="HHG19" s="200"/>
      <c r="HHH19" s="201"/>
      <c r="HHI19" s="199" t="s">
        <v>7</v>
      </c>
      <c r="HHJ19" s="200"/>
      <c r="HHK19" s="200"/>
      <c r="HHL19" s="200"/>
      <c r="HHM19" s="200"/>
      <c r="HHN19" s="200"/>
      <c r="HHO19" s="200"/>
      <c r="HHP19" s="201"/>
      <c r="HHQ19" s="199" t="s">
        <v>7</v>
      </c>
      <c r="HHR19" s="200"/>
      <c r="HHS19" s="200"/>
      <c r="HHT19" s="200"/>
      <c r="HHU19" s="200"/>
      <c r="HHV19" s="200"/>
      <c r="HHW19" s="200"/>
      <c r="HHX19" s="201"/>
      <c r="HHY19" s="199" t="s">
        <v>7</v>
      </c>
      <c r="HHZ19" s="200"/>
      <c r="HIA19" s="200"/>
      <c r="HIB19" s="200"/>
      <c r="HIC19" s="200"/>
      <c r="HID19" s="200"/>
      <c r="HIE19" s="200"/>
      <c r="HIF19" s="201"/>
      <c r="HIG19" s="199" t="s">
        <v>7</v>
      </c>
      <c r="HIH19" s="200"/>
      <c r="HII19" s="200"/>
      <c r="HIJ19" s="200"/>
      <c r="HIK19" s="200"/>
      <c r="HIL19" s="200"/>
      <c r="HIM19" s="200"/>
      <c r="HIN19" s="201"/>
      <c r="HIO19" s="199" t="s">
        <v>7</v>
      </c>
      <c r="HIP19" s="200"/>
      <c r="HIQ19" s="200"/>
      <c r="HIR19" s="200"/>
      <c r="HIS19" s="200"/>
      <c r="HIT19" s="200"/>
      <c r="HIU19" s="200"/>
      <c r="HIV19" s="201"/>
      <c r="HIW19" s="199" t="s">
        <v>7</v>
      </c>
      <c r="HIX19" s="200"/>
      <c r="HIY19" s="200"/>
      <c r="HIZ19" s="200"/>
      <c r="HJA19" s="200"/>
      <c r="HJB19" s="200"/>
      <c r="HJC19" s="200"/>
      <c r="HJD19" s="201"/>
      <c r="HJE19" s="199" t="s">
        <v>7</v>
      </c>
      <c r="HJF19" s="200"/>
      <c r="HJG19" s="200"/>
      <c r="HJH19" s="200"/>
      <c r="HJI19" s="200"/>
      <c r="HJJ19" s="200"/>
      <c r="HJK19" s="200"/>
      <c r="HJL19" s="201"/>
      <c r="HJM19" s="199" t="s">
        <v>7</v>
      </c>
      <c r="HJN19" s="200"/>
      <c r="HJO19" s="200"/>
      <c r="HJP19" s="200"/>
      <c r="HJQ19" s="200"/>
      <c r="HJR19" s="200"/>
      <c r="HJS19" s="200"/>
      <c r="HJT19" s="201"/>
      <c r="HJU19" s="199" t="s">
        <v>7</v>
      </c>
      <c r="HJV19" s="200"/>
      <c r="HJW19" s="200"/>
      <c r="HJX19" s="200"/>
      <c r="HJY19" s="200"/>
      <c r="HJZ19" s="200"/>
      <c r="HKA19" s="200"/>
      <c r="HKB19" s="201"/>
      <c r="HKC19" s="199" t="s">
        <v>7</v>
      </c>
      <c r="HKD19" s="200"/>
      <c r="HKE19" s="200"/>
      <c r="HKF19" s="200"/>
      <c r="HKG19" s="200"/>
      <c r="HKH19" s="200"/>
      <c r="HKI19" s="200"/>
      <c r="HKJ19" s="201"/>
      <c r="HKK19" s="199" t="s">
        <v>7</v>
      </c>
      <c r="HKL19" s="200"/>
      <c r="HKM19" s="200"/>
      <c r="HKN19" s="200"/>
      <c r="HKO19" s="200"/>
      <c r="HKP19" s="200"/>
      <c r="HKQ19" s="200"/>
      <c r="HKR19" s="201"/>
      <c r="HKS19" s="199" t="s">
        <v>7</v>
      </c>
      <c r="HKT19" s="200"/>
      <c r="HKU19" s="200"/>
      <c r="HKV19" s="200"/>
      <c r="HKW19" s="200"/>
      <c r="HKX19" s="200"/>
      <c r="HKY19" s="200"/>
      <c r="HKZ19" s="201"/>
      <c r="HLA19" s="199" t="s">
        <v>7</v>
      </c>
      <c r="HLB19" s="200"/>
      <c r="HLC19" s="200"/>
      <c r="HLD19" s="200"/>
      <c r="HLE19" s="200"/>
      <c r="HLF19" s="200"/>
      <c r="HLG19" s="200"/>
      <c r="HLH19" s="201"/>
      <c r="HLI19" s="199" t="s">
        <v>7</v>
      </c>
      <c r="HLJ19" s="200"/>
      <c r="HLK19" s="200"/>
      <c r="HLL19" s="200"/>
      <c r="HLM19" s="200"/>
      <c r="HLN19" s="200"/>
      <c r="HLO19" s="200"/>
      <c r="HLP19" s="201"/>
      <c r="HLQ19" s="199" t="s">
        <v>7</v>
      </c>
      <c r="HLR19" s="200"/>
      <c r="HLS19" s="200"/>
      <c r="HLT19" s="200"/>
      <c r="HLU19" s="200"/>
      <c r="HLV19" s="200"/>
      <c r="HLW19" s="200"/>
      <c r="HLX19" s="201"/>
      <c r="HLY19" s="199" t="s">
        <v>7</v>
      </c>
      <c r="HLZ19" s="200"/>
      <c r="HMA19" s="200"/>
      <c r="HMB19" s="200"/>
      <c r="HMC19" s="200"/>
      <c r="HMD19" s="200"/>
      <c r="HME19" s="200"/>
      <c r="HMF19" s="201"/>
      <c r="HMG19" s="199" t="s">
        <v>7</v>
      </c>
      <c r="HMH19" s="200"/>
      <c r="HMI19" s="200"/>
      <c r="HMJ19" s="200"/>
      <c r="HMK19" s="200"/>
      <c r="HML19" s="200"/>
      <c r="HMM19" s="200"/>
      <c r="HMN19" s="201"/>
      <c r="HMO19" s="199" t="s">
        <v>7</v>
      </c>
      <c r="HMP19" s="200"/>
      <c r="HMQ19" s="200"/>
      <c r="HMR19" s="200"/>
      <c r="HMS19" s="200"/>
      <c r="HMT19" s="200"/>
      <c r="HMU19" s="200"/>
      <c r="HMV19" s="201"/>
      <c r="HMW19" s="199" t="s">
        <v>7</v>
      </c>
      <c r="HMX19" s="200"/>
      <c r="HMY19" s="200"/>
      <c r="HMZ19" s="200"/>
      <c r="HNA19" s="200"/>
      <c r="HNB19" s="200"/>
      <c r="HNC19" s="200"/>
      <c r="HND19" s="201"/>
      <c r="HNE19" s="199" t="s">
        <v>7</v>
      </c>
      <c r="HNF19" s="200"/>
      <c r="HNG19" s="200"/>
      <c r="HNH19" s="200"/>
      <c r="HNI19" s="200"/>
      <c r="HNJ19" s="200"/>
      <c r="HNK19" s="200"/>
      <c r="HNL19" s="201"/>
      <c r="HNM19" s="199" t="s">
        <v>7</v>
      </c>
      <c r="HNN19" s="200"/>
      <c r="HNO19" s="200"/>
      <c r="HNP19" s="200"/>
      <c r="HNQ19" s="200"/>
      <c r="HNR19" s="200"/>
      <c r="HNS19" s="200"/>
      <c r="HNT19" s="201"/>
      <c r="HNU19" s="199" t="s">
        <v>7</v>
      </c>
      <c r="HNV19" s="200"/>
      <c r="HNW19" s="200"/>
      <c r="HNX19" s="200"/>
      <c r="HNY19" s="200"/>
      <c r="HNZ19" s="200"/>
      <c r="HOA19" s="200"/>
      <c r="HOB19" s="201"/>
      <c r="HOC19" s="199" t="s">
        <v>7</v>
      </c>
      <c r="HOD19" s="200"/>
      <c r="HOE19" s="200"/>
      <c r="HOF19" s="200"/>
      <c r="HOG19" s="200"/>
      <c r="HOH19" s="200"/>
      <c r="HOI19" s="200"/>
      <c r="HOJ19" s="201"/>
      <c r="HOK19" s="199" t="s">
        <v>7</v>
      </c>
      <c r="HOL19" s="200"/>
      <c r="HOM19" s="200"/>
      <c r="HON19" s="200"/>
      <c r="HOO19" s="200"/>
      <c r="HOP19" s="200"/>
      <c r="HOQ19" s="200"/>
      <c r="HOR19" s="201"/>
      <c r="HOS19" s="199" t="s">
        <v>7</v>
      </c>
      <c r="HOT19" s="200"/>
      <c r="HOU19" s="200"/>
      <c r="HOV19" s="200"/>
      <c r="HOW19" s="200"/>
      <c r="HOX19" s="200"/>
      <c r="HOY19" s="200"/>
      <c r="HOZ19" s="201"/>
      <c r="HPA19" s="199" t="s">
        <v>7</v>
      </c>
      <c r="HPB19" s="200"/>
      <c r="HPC19" s="200"/>
      <c r="HPD19" s="200"/>
      <c r="HPE19" s="200"/>
      <c r="HPF19" s="200"/>
      <c r="HPG19" s="200"/>
      <c r="HPH19" s="201"/>
      <c r="HPI19" s="199" t="s">
        <v>7</v>
      </c>
      <c r="HPJ19" s="200"/>
      <c r="HPK19" s="200"/>
      <c r="HPL19" s="200"/>
      <c r="HPM19" s="200"/>
      <c r="HPN19" s="200"/>
      <c r="HPO19" s="200"/>
      <c r="HPP19" s="201"/>
      <c r="HPQ19" s="199" t="s">
        <v>7</v>
      </c>
      <c r="HPR19" s="200"/>
      <c r="HPS19" s="200"/>
      <c r="HPT19" s="200"/>
      <c r="HPU19" s="200"/>
      <c r="HPV19" s="200"/>
      <c r="HPW19" s="200"/>
      <c r="HPX19" s="201"/>
      <c r="HPY19" s="199" t="s">
        <v>7</v>
      </c>
      <c r="HPZ19" s="200"/>
      <c r="HQA19" s="200"/>
      <c r="HQB19" s="200"/>
      <c r="HQC19" s="200"/>
      <c r="HQD19" s="200"/>
      <c r="HQE19" s="200"/>
      <c r="HQF19" s="201"/>
      <c r="HQG19" s="199" t="s">
        <v>7</v>
      </c>
      <c r="HQH19" s="200"/>
      <c r="HQI19" s="200"/>
      <c r="HQJ19" s="200"/>
      <c r="HQK19" s="200"/>
      <c r="HQL19" s="200"/>
      <c r="HQM19" s="200"/>
      <c r="HQN19" s="201"/>
      <c r="HQO19" s="199" t="s">
        <v>7</v>
      </c>
      <c r="HQP19" s="200"/>
      <c r="HQQ19" s="200"/>
      <c r="HQR19" s="200"/>
      <c r="HQS19" s="200"/>
      <c r="HQT19" s="200"/>
      <c r="HQU19" s="200"/>
      <c r="HQV19" s="201"/>
      <c r="HQW19" s="199" t="s">
        <v>7</v>
      </c>
      <c r="HQX19" s="200"/>
      <c r="HQY19" s="200"/>
      <c r="HQZ19" s="200"/>
      <c r="HRA19" s="200"/>
      <c r="HRB19" s="200"/>
      <c r="HRC19" s="200"/>
      <c r="HRD19" s="201"/>
      <c r="HRE19" s="199" t="s">
        <v>7</v>
      </c>
      <c r="HRF19" s="200"/>
      <c r="HRG19" s="200"/>
      <c r="HRH19" s="200"/>
      <c r="HRI19" s="200"/>
      <c r="HRJ19" s="200"/>
      <c r="HRK19" s="200"/>
      <c r="HRL19" s="201"/>
      <c r="HRM19" s="199" t="s">
        <v>7</v>
      </c>
      <c r="HRN19" s="200"/>
      <c r="HRO19" s="200"/>
      <c r="HRP19" s="200"/>
      <c r="HRQ19" s="200"/>
      <c r="HRR19" s="200"/>
      <c r="HRS19" s="200"/>
      <c r="HRT19" s="201"/>
      <c r="HRU19" s="199" t="s">
        <v>7</v>
      </c>
      <c r="HRV19" s="200"/>
      <c r="HRW19" s="200"/>
      <c r="HRX19" s="200"/>
      <c r="HRY19" s="200"/>
      <c r="HRZ19" s="200"/>
      <c r="HSA19" s="200"/>
      <c r="HSB19" s="201"/>
      <c r="HSC19" s="199" t="s">
        <v>7</v>
      </c>
      <c r="HSD19" s="200"/>
      <c r="HSE19" s="200"/>
      <c r="HSF19" s="200"/>
      <c r="HSG19" s="200"/>
      <c r="HSH19" s="200"/>
      <c r="HSI19" s="200"/>
      <c r="HSJ19" s="201"/>
      <c r="HSK19" s="199" t="s">
        <v>7</v>
      </c>
      <c r="HSL19" s="200"/>
      <c r="HSM19" s="200"/>
      <c r="HSN19" s="200"/>
      <c r="HSO19" s="200"/>
      <c r="HSP19" s="200"/>
      <c r="HSQ19" s="200"/>
      <c r="HSR19" s="201"/>
      <c r="HSS19" s="199" t="s">
        <v>7</v>
      </c>
      <c r="HST19" s="200"/>
      <c r="HSU19" s="200"/>
      <c r="HSV19" s="200"/>
      <c r="HSW19" s="200"/>
      <c r="HSX19" s="200"/>
      <c r="HSY19" s="200"/>
      <c r="HSZ19" s="201"/>
      <c r="HTA19" s="199" t="s">
        <v>7</v>
      </c>
      <c r="HTB19" s="200"/>
      <c r="HTC19" s="200"/>
      <c r="HTD19" s="200"/>
      <c r="HTE19" s="200"/>
      <c r="HTF19" s="200"/>
      <c r="HTG19" s="200"/>
      <c r="HTH19" s="201"/>
      <c r="HTI19" s="199" t="s">
        <v>7</v>
      </c>
      <c r="HTJ19" s="200"/>
      <c r="HTK19" s="200"/>
      <c r="HTL19" s="200"/>
      <c r="HTM19" s="200"/>
      <c r="HTN19" s="200"/>
      <c r="HTO19" s="200"/>
      <c r="HTP19" s="201"/>
      <c r="HTQ19" s="199" t="s">
        <v>7</v>
      </c>
      <c r="HTR19" s="200"/>
      <c r="HTS19" s="200"/>
      <c r="HTT19" s="200"/>
      <c r="HTU19" s="200"/>
      <c r="HTV19" s="200"/>
      <c r="HTW19" s="200"/>
      <c r="HTX19" s="201"/>
      <c r="HTY19" s="199" t="s">
        <v>7</v>
      </c>
      <c r="HTZ19" s="200"/>
      <c r="HUA19" s="200"/>
      <c r="HUB19" s="200"/>
      <c r="HUC19" s="200"/>
      <c r="HUD19" s="200"/>
      <c r="HUE19" s="200"/>
      <c r="HUF19" s="201"/>
      <c r="HUG19" s="199" t="s">
        <v>7</v>
      </c>
      <c r="HUH19" s="200"/>
      <c r="HUI19" s="200"/>
      <c r="HUJ19" s="200"/>
      <c r="HUK19" s="200"/>
      <c r="HUL19" s="200"/>
      <c r="HUM19" s="200"/>
      <c r="HUN19" s="201"/>
      <c r="HUO19" s="199" t="s">
        <v>7</v>
      </c>
      <c r="HUP19" s="200"/>
      <c r="HUQ19" s="200"/>
      <c r="HUR19" s="200"/>
      <c r="HUS19" s="200"/>
      <c r="HUT19" s="200"/>
      <c r="HUU19" s="200"/>
      <c r="HUV19" s="201"/>
      <c r="HUW19" s="199" t="s">
        <v>7</v>
      </c>
      <c r="HUX19" s="200"/>
      <c r="HUY19" s="200"/>
      <c r="HUZ19" s="200"/>
      <c r="HVA19" s="200"/>
      <c r="HVB19" s="200"/>
      <c r="HVC19" s="200"/>
      <c r="HVD19" s="201"/>
      <c r="HVE19" s="199" t="s">
        <v>7</v>
      </c>
      <c r="HVF19" s="200"/>
      <c r="HVG19" s="200"/>
      <c r="HVH19" s="200"/>
      <c r="HVI19" s="200"/>
      <c r="HVJ19" s="200"/>
      <c r="HVK19" s="200"/>
      <c r="HVL19" s="201"/>
      <c r="HVM19" s="199" t="s">
        <v>7</v>
      </c>
      <c r="HVN19" s="200"/>
      <c r="HVO19" s="200"/>
      <c r="HVP19" s="200"/>
      <c r="HVQ19" s="200"/>
      <c r="HVR19" s="200"/>
      <c r="HVS19" s="200"/>
      <c r="HVT19" s="201"/>
      <c r="HVU19" s="199" t="s">
        <v>7</v>
      </c>
      <c r="HVV19" s="200"/>
      <c r="HVW19" s="200"/>
      <c r="HVX19" s="200"/>
      <c r="HVY19" s="200"/>
      <c r="HVZ19" s="200"/>
      <c r="HWA19" s="200"/>
      <c r="HWB19" s="201"/>
      <c r="HWC19" s="199" t="s">
        <v>7</v>
      </c>
      <c r="HWD19" s="200"/>
      <c r="HWE19" s="200"/>
      <c r="HWF19" s="200"/>
      <c r="HWG19" s="200"/>
      <c r="HWH19" s="200"/>
      <c r="HWI19" s="200"/>
      <c r="HWJ19" s="201"/>
      <c r="HWK19" s="199" t="s">
        <v>7</v>
      </c>
      <c r="HWL19" s="200"/>
      <c r="HWM19" s="200"/>
      <c r="HWN19" s="200"/>
      <c r="HWO19" s="200"/>
      <c r="HWP19" s="200"/>
      <c r="HWQ19" s="200"/>
      <c r="HWR19" s="201"/>
      <c r="HWS19" s="199" t="s">
        <v>7</v>
      </c>
      <c r="HWT19" s="200"/>
      <c r="HWU19" s="200"/>
      <c r="HWV19" s="200"/>
      <c r="HWW19" s="200"/>
      <c r="HWX19" s="200"/>
      <c r="HWY19" s="200"/>
      <c r="HWZ19" s="201"/>
      <c r="HXA19" s="199" t="s">
        <v>7</v>
      </c>
      <c r="HXB19" s="200"/>
      <c r="HXC19" s="200"/>
      <c r="HXD19" s="200"/>
      <c r="HXE19" s="200"/>
      <c r="HXF19" s="200"/>
      <c r="HXG19" s="200"/>
      <c r="HXH19" s="201"/>
      <c r="HXI19" s="199" t="s">
        <v>7</v>
      </c>
      <c r="HXJ19" s="200"/>
      <c r="HXK19" s="200"/>
      <c r="HXL19" s="200"/>
      <c r="HXM19" s="200"/>
      <c r="HXN19" s="200"/>
      <c r="HXO19" s="200"/>
      <c r="HXP19" s="201"/>
      <c r="HXQ19" s="199" t="s">
        <v>7</v>
      </c>
      <c r="HXR19" s="200"/>
      <c r="HXS19" s="200"/>
      <c r="HXT19" s="200"/>
      <c r="HXU19" s="200"/>
      <c r="HXV19" s="200"/>
      <c r="HXW19" s="200"/>
      <c r="HXX19" s="201"/>
      <c r="HXY19" s="199" t="s">
        <v>7</v>
      </c>
      <c r="HXZ19" s="200"/>
      <c r="HYA19" s="200"/>
      <c r="HYB19" s="200"/>
      <c r="HYC19" s="200"/>
      <c r="HYD19" s="200"/>
      <c r="HYE19" s="200"/>
      <c r="HYF19" s="201"/>
      <c r="HYG19" s="199" t="s">
        <v>7</v>
      </c>
      <c r="HYH19" s="200"/>
      <c r="HYI19" s="200"/>
      <c r="HYJ19" s="200"/>
      <c r="HYK19" s="200"/>
      <c r="HYL19" s="200"/>
      <c r="HYM19" s="200"/>
      <c r="HYN19" s="201"/>
      <c r="HYO19" s="199" t="s">
        <v>7</v>
      </c>
      <c r="HYP19" s="200"/>
      <c r="HYQ19" s="200"/>
      <c r="HYR19" s="200"/>
      <c r="HYS19" s="200"/>
      <c r="HYT19" s="200"/>
      <c r="HYU19" s="200"/>
      <c r="HYV19" s="201"/>
      <c r="HYW19" s="199" t="s">
        <v>7</v>
      </c>
      <c r="HYX19" s="200"/>
      <c r="HYY19" s="200"/>
      <c r="HYZ19" s="200"/>
      <c r="HZA19" s="200"/>
      <c r="HZB19" s="200"/>
      <c r="HZC19" s="200"/>
      <c r="HZD19" s="201"/>
      <c r="HZE19" s="199" t="s">
        <v>7</v>
      </c>
      <c r="HZF19" s="200"/>
      <c r="HZG19" s="200"/>
      <c r="HZH19" s="200"/>
      <c r="HZI19" s="200"/>
      <c r="HZJ19" s="200"/>
      <c r="HZK19" s="200"/>
      <c r="HZL19" s="201"/>
      <c r="HZM19" s="199" t="s">
        <v>7</v>
      </c>
      <c r="HZN19" s="200"/>
      <c r="HZO19" s="200"/>
      <c r="HZP19" s="200"/>
      <c r="HZQ19" s="200"/>
      <c r="HZR19" s="200"/>
      <c r="HZS19" s="200"/>
      <c r="HZT19" s="201"/>
      <c r="HZU19" s="199" t="s">
        <v>7</v>
      </c>
      <c r="HZV19" s="200"/>
      <c r="HZW19" s="200"/>
      <c r="HZX19" s="200"/>
      <c r="HZY19" s="200"/>
      <c r="HZZ19" s="200"/>
      <c r="IAA19" s="200"/>
      <c r="IAB19" s="201"/>
      <c r="IAC19" s="199" t="s">
        <v>7</v>
      </c>
      <c r="IAD19" s="200"/>
      <c r="IAE19" s="200"/>
      <c r="IAF19" s="200"/>
      <c r="IAG19" s="200"/>
      <c r="IAH19" s="200"/>
      <c r="IAI19" s="200"/>
      <c r="IAJ19" s="201"/>
      <c r="IAK19" s="199" t="s">
        <v>7</v>
      </c>
      <c r="IAL19" s="200"/>
      <c r="IAM19" s="200"/>
      <c r="IAN19" s="200"/>
      <c r="IAO19" s="200"/>
      <c r="IAP19" s="200"/>
      <c r="IAQ19" s="200"/>
      <c r="IAR19" s="201"/>
      <c r="IAS19" s="199" t="s">
        <v>7</v>
      </c>
      <c r="IAT19" s="200"/>
      <c r="IAU19" s="200"/>
      <c r="IAV19" s="200"/>
      <c r="IAW19" s="200"/>
      <c r="IAX19" s="200"/>
      <c r="IAY19" s="200"/>
      <c r="IAZ19" s="201"/>
      <c r="IBA19" s="199" t="s">
        <v>7</v>
      </c>
      <c r="IBB19" s="200"/>
      <c r="IBC19" s="200"/>
      <c r="IBD19" s="200"/>
      <c r="IBE19" s="200"/>
      <c r="IBF19" s="200"/>
      <c r="IBG19" s="200"/>
      <c r="IBH19" s="201"/>
      <c r="IBI19" s="199" t="s">
        <v>7</v>
      </c>
      <c r="IBJ19" s="200"/>
      <c r="IBK19" s="200"/>
      <c r="IBL19" s="200"/>
      <c r="IBM19" s="200"/>
      <c r="IBN19" s="200"/>
      <c r="IBO19" s="200"/>
      <c r="IBP19" s="201"/>
      <c r="IBQ19" s="199" t="s">
        <v>7</v>
      </c>
      <c r="IBR19" s="200"/>
      <c r="IBS19" s="200"/>
      <c r="IBT19" s="200"/>
      <c r="IBU19" s="200"/>
      <c r="IBV19" s="200"/>
      <c r="IBW19" s="200"/>
      <c r="IBX19" s="201"/>
      <c r="IBY19" s="199" t="s">
        <v>7</v>
      </c>
      <c r="IBZ19" s="200"/>
      <c r="ICA19" s="200"/>
      <c r="ICB19" s="200"/>
      <c r="ICC19" s="200"/>
      <c r="ICD19" s="200"/>
      <c r="ICE19" s="200"/>
      <c r="ICF19" s="201"/>
      <c r="ICG19" s="199" t="s">
        <v>7</v>
      </c>
      <c r="ICH19" s="200"/>
      <c r="ICI19" s="200"/>
      <c r="ICJ19" s="200"/>
      <c r="ICK19" s="200"/>
      <c r="ICL19" s="200"/>
      <c r="ICM19" s="200"/>
      <c r="ICN19" s="201"/>
      <c r="ICO19" s="199" t="s">
        <v>7</v>
      </c>
      <c r="ICP19" s="200"/>
      <c r="ICQ19" s="200"/>
      <c r="ICR19" s="200"/>
      <c r="ICS19" s="200"/>
      <c r="ICT19" s="200"/>
      <c r="ICU19" s="200"/>
      <c r="ICV19" s="201"/>
      <c r="ICW19" s="199" t="s">
        <v>7</v>
      </c>
      <c r="ICX19" s="200"/>
      <c r="ICY19" s="200"/>
      <c r="ICZ19" s="200"/>
      <c r="IDA19" s="200"/>
      <c r="IDB19" s="200"/>
      <c r="IDC19" s="200"/>
      <c r="IDD19" s="201"/>
      <c r="IDE19" s="199" t="s">
        <v>7</v>
      </c>
      <c r="IDF19" s="200"/>
      <c r="IDG19" s="200"/>
      <c r="IDH19" s="200"/>
      <c r="IDI19" s="200"/>
      <c r="IDJ19" s="200"/>
      <c r="IDK19" s="200"/>
      <c r="IDL19" s="201"/>
      <c r="IDM19" s="199" t="s">
        <v>7</v>
      </c>
      <c r="IDN19" s="200"/>
      <c r="IDO19" s="200"/>
      <c r="IDP19" s="200"/>
      <c r="IDQ19" s="200"/>
      <c r="IDR19" s="200"/>
      <c r="IDS19" s="200"/>
      <c r="IDT19" s="201"/>
      <c r="IDU19" s="199" t="s">
        <v>7</v>
      </c>
      <c r="IDV19" s="200"/>
      <c r="IDW19" s="200"/>
      <c r="IDX19" s="200"/>
      <c r="IDY19" s="200"/>
      <c r="IDZ19" s="200"/>
      <c r="IEA19" s="200"/>
      <c r="IEB19" s="201"/>
      <c r="IEC19" s="199" t="s">
        <v>7</v>
      </c>
      <c r="IED19" s="200"/>
      <c r="IEE19" s="200"/>
      <c r="IEF19" s="200"/>
      <c r="IEG19" s="200"/>
      <c r="IEH19" s="200"/>
      <c r="IEI19" s="200"/>
      <c r="IEJ19" s="201"/>
      <c r="IEK19" s="199" t="s">
        <v>7</v>
      </c>
      <c r="IEL19" s="200"/>
      <c r="IEM19" s="200"/>
      <c r="IEN19" s="200"/>
      <c r="IEO19" s="200"/>
      <c r="IEP19" s="200"/>
      <c r="IEQ19" s="200"/>
      <c r="IER19" s="201"/>
      <c r="IES19" s="199" t="s">
        <v>7</v>
      </c>
      <c r="IET19" s="200"/>
      <c r="IEU19" s="200"/>
      <c r="IEV19" s="200"/>
      <c r="IEW19" s="200"/>
      <c r="IEX19" s="200"/>
      <c r="IEY19" s="200"/>
      <c r="IEZ19" s="201"/>
      <c r="IFA19" s="199" t="s">
        <v>7</v>
      </c>
      <c r="IFB19" s="200"/>
      <c r="IFC19" s="200"/>
      <c r="IFD19" s="200"/>
      <c r="IFE19" s="200"/>
      <c r="IFF19" s="200"/>
      <c r="IFG19" s="200"/>
      <c r="IFH19" s="201"/>
      <c r="IFI19" s="199" t="s">
        <v>7</v>
      </c>
      <c r="IFJ19" s="200"/>
      <c r="IFK19" s="200"/>
      <c r="IFL19" s="200"/>
      <c r="IFM19" s="200"/>
      <c r="IFN19" s="200"/>
      <c r="IFO19" s="200"/>
      <c r="IFP19" s="201"/>
      <c r="IFQ19" s="199" t="s">
        <v>7</v>
      </c>
      <c r="IFR19" s="200"/>
      <c r="IFS19" s="200"/>
      <c r="IFT19" s="200"/>
      <c r="IFU19" s="200"/>
      <c r="IFV19" s="200"/>
      <c r="IFW19" s="200"/>
      <c r="IFX19" s="201"/>
      <c r="IFY19" s="199" t="s">
        <v>7</v>
      </c>
      <c r="IFZ19" s="200"/>
      <c r="IGA19" s="200"/>
      <c r="IGB19" s="200"/>
      <c r="IGC19" s="200"/>
      <c r="IGD19" s="200"/>
      <c r="IGE19" s="200"/>
      <c r="IGF19" s="201"/>
      <c r="IGG19" s="199" t="s">
        <v>7</v>
      </c>
      <c r="IGH19" s="200"/>
      <c r="IGI19" s="200"/>
      <c r="IGJ19" s="200"/>
      <c r="IGK19" s="200"/>
      <c r="IGL19" s="200"/>
      <c r="IGM19" s="200"/>
      <c r="IGN19" s="201"/>
      <c r="IGO19" s="199" t="s">
        <v>7</v>
      </c>
      <c r="IGP19" s="200"/>
      <c r="IGQ19" s="200"/>
      <c r="IGR19" s="200"/>
      <c r="IGS19" s="200"/>
      <c r="IGT19" s="200"/>
      <c r="IGU19" s="200"/>
      <c r="IGV19" s="201"/>
      <c r="IGW19" s="199" t="s">
        <v>7</v>
      </c>
      <c r="IGX19" s="200"/>
      <c r="IGY19" s="200"/>
      <c r="IGZ19" s="200"/>
      <c r="IHA19" s="200"/>
      <c r="IHB19" s="200"/>
      <c r="IHC19" s="200"/>
      <c r="IHD19" s="201"/>
      <c r="IHE19" s="199" t="s">
        <v>7</v>
      </c>
      <c r="IHF19" s="200"/>
      <c r="IHG19" s="200"/>
      <c r="IHH19" s="200"/>
      <c r="IHI19" s="200"/>
      <c r="IHJ19" s="200"/>
      <c r="IHK19" s="200"/>
      <c r="IHL19" s="201"/>
      <c r="IHM19" s="199" t="s">
        <v>7</v>
      </c>
      <c r="IHN19" s="200"/>
      <c r="IHO19" s="200"/>
      <c r="IHP19" s="200"/>
      <c r="IHQ19" s="200"/>
      <c r="IHR19" s="200"/>
      <c r="IHS19" s="200"/>
      <c r="IHT19" s="201"/>
      <c r="IHU19" s="199" t="s">
        <v>7</v>
      </c>
      <c r="IHV19" s="200"/>
      <c r="IHW19" s="200"/>
      <c r="IHX19" s="200"/>
      <c r="IHY19" s="200"/>
      <c r="IHZ19" s="200"/>
      <c r="IIA19" s="200"/>
      <c r="IIB19" s="201"/>
      <c r="IIC19" s="199" t="s">
        <v>7</v>
      </c>
      <c r="IID19" s="200"/>
      <c r="IIE19" s="200"/>
      <c r="IIF19" s="200"/>
      <c r="IIG19" s="200"/>
      <c r="IIH19" s="200"/>
      <c r="III19" s="200"/>
      <c r="IIJ19" s="201"/>
      <c r="IIK19" s="199" t="s">
        <v>7</v>
      </c>
      <c r="IIL19" s="200"/>
      <c r="IIM19" s="200"/>
      <c r="IIN19" s="200"/>
      <c r="IIO19" s="200"/>
      <c r="IIP19" s="200"/>
      <c r="IIQ19" s="200"/>
      <c r="IIR19" s="201"/>
      <c r="IIS19" s="199" t="s">
        <v>7</v>
      </c>
      <c r="IIT19" s="200"/>
      <c r="IIU19" s="200"/>
      <c r="IIV19" s="200"/>
      <c r="IIW19" s="200"/>
      <c r="IIX19" s="200"/>
      <c r="IIY19" s="200"/>
      <c r="IIZ19" s="201"/>
      <c r="IJA19" s="199" t="s">
        <v>7</v>
      </c>
      <c r="IJB19" s="200"/>
      <c r="IJC19" s="200"/>
      <c r="IJD19" s="200"/>
      <c r="IJE19" s="200"/>
      <c r="IJF19" s="200"/>
      <c r="IJG19" s="200"/>
      <c r="IJH19" s="201"/>
      <c r="IJI19" s="199" t="s">
        <v>7</v>
      </c>
      <c r="IJJ19" s="200"/>
      <c r="IJK19" s="200"/>
      <c r="IJL19" s="200"/>
      <c r="IJM19" s="200"/>
      <c r="IJN19" s="200"/>
      <c r="IJO19" s="200"/>
      <c r="IJP19" s="201"/>
      <c r="IJQ19" s="199" t="s">
        <v>7</v>
      </c>
      <c r="IJR19" s="200"/>
      <c r="IJS19" s="200"/>
      <c r="IJT19" s="200"/>
      <c r="IJU19" s="200"/>
      <c r="IJV19" s="200"/>
      <c r="IJW19" s="200"/>
      <c r="IJX19" s="201"/>
      <c r="IJY19" s="199" t="s">
        <v>7</v>
      </c>
      <c r="IJZ19" s="200"/>
      <c r="IKA19" s="200"/>
      <c r="IKB19" s="200"/>
      <c r="IKC19" s="200"/>
      <c r="IKD19" s="200"/>
      <c r="IKE19" s="200"/>
      <c r="IKF19" s="201"/>
      <c r="IKG19" s="199" t="s">
        <v>7</v>
      </c>
      <c r="IKH19" s="200"/>
      <c r="IKI19" s="200"/>
      <c r="IKJ19" s="200"/>
      <c r="IKK19" s="200"/>
      <c r="IKL19" s="200"/>
      <c r="IKM19" s="200"/>
      <c r="IKN19" s="201"/>
      <c r="IKO19" s="199" t="s">
        <v>7</v>
      </c>
      <c r="IKP19" s="200"/>
      <c r="IKQ19" s="200"/>
      <c r="IKR19" s="200"/>
      <c r="IKS19" s="200"/>
      <c r="IKT19" s="200"/>
      <c r="IKU19" s="200"/>
      <c r="IKV19" s="201"/>
      <c r="IKW19" s="199" t="s">
        <v>7</v>
      </c>
      <c r="IKX19" s="200"/>
      <c r="IKY19" s="200"/>
      <c r="IKZ19" s="200"/>
      <c r="ILA19" s="200"/>
      <c r="ILB19" s="200"/>
      <c r="ILC19" s="200"/>
      <c r="ILD19" s="201"/>
      <c r="ILE19" s="199" t="s">
        <v>7</v>
      </c>
      <c r="ILF19" s="200"/>
      <c r="ILG19" s="200"/>
      <c r="ILH19" s="200"/>
      <c r="ILI19" s="200"/>
      <c r="ILJ19" s="200"/>
      <c r="ILK19" s="200"/>
      <c r="ILL19" s="201"/>
      <c r="ILM19" s="199" t="s">
        <v>7</v>
      </c>
      <c r="ILN19" s="200"/>
      <c r="ILO19" s="200"/>
      <c r="ILP19" s="200"/>
      <c r="ILQ19" s="200"/>
      <c r="ILR19" s="200"/>
      <c r="ILS19" s="200"/>
      <c r="ILT19" s="201"/>
      <c r="ILU19" s="199" t="s">
        <v>7</v>
      </c>
      <c r="ILV19" s="200"/>
      <c r="ILW19" s="200"/>
      <c r="ILX19" s="200"/>
      <c r="ILY19" s="200"/>
      <c r="ILZ19" s="200"/>
      <c r="IMA19" s="200"/>
      <c r="IMB19" s="201"/>
      <c r="IMC19" s="199" t="s">
        <v>7</v>
      </c>
      <c r="IMD19" s="200"/>
      <c r="IME19" s="200"/>
      <c r="IMF19" s="200"/>
      <c r="IMG19" s="200"/>
      <c r="IMH19" s="200"/>
      <c r="IMI19" s="200"/>
      <c r="IMJ19" s="201"/>
      <c r="IMK19" s="199" t="s">
        <v>7</v>
      </c>
      <c r="IML19" s="200"/>
      <c r="IMM19" s="200"/>
      <c r="IMN19" s="200"/>
      <c r="IMO19" s="200"/>
      <c r="IMP19" s="200"/>
      <c r="IMQ19" s="200"/>
      <c r="IMR19" s="201"/>
      <c r="IMS19" s="199" t="s">
        <v>7</v>
      </c>
      <c r="IMT19" s="200"/>
      <c r="IMU19" s="200"/>
      <c r="IMV19" s="200"/>
      <c r="IMW19" s="200"/>
      <c r="IMX19" s="200"/>
      <c r="IMY19" s="200"/>
      <c r="IMZ19" s="201"/>
      <c r="INA19" s="199" t="s">
        <v>7</v>
      </c>
      <c r="INB19" s="200"/>
      <c r="INC19" s="200"/>
      <c r="IND19" s="200"/>
      <c r="INE19" s="200"/>
      <c r="INF19" s="200"/>
      <c r="ING19" s="200"/>
      <c r="INH19" s="201"/>
      <c r="INI19" s="199" t="s">
        <v>7</v>
      </c>
      <c r="INJ19" s="200"/>
      <c r="INK19" s="200"/>
      <c r="INL19" s="200"/>
      <c r="INM19" s="200"/>
      <c r="INN19" s="200"/>
      <c r="INO19" s="200"/>
      <c r="INP19" s="201"/>
      <c r="INQ19" s="199" t="s">
        <v>7</v>
      </c>
      <c r="INR19" s="200"/>
      <c r="INS19" s="200"/>
      <c r="INT19" s="200"/>
      <c r="INU19" s="200"/>
      <c r="INV19" s="200"/>
      <c r="INW19" s="200"/>
      <c r="INX19" s="201"/>
      <c r="INY19" s="199" t="s">
        <v>7</v>
      </c>
      <c r="INZ19" s="200"/>
      <c r="IOA19" s="200"/>
      <c r="IOB19" s="200"/>
      <c r="IOC19" s="200"/>
      <c r="IOD19" s="200"/>
      <c r="IOE19" s="200"/>
      <c r="IOF19" s="201"/>
      <c r="IOG19" s="199" t="s">
        <v>7</v>
      </c>
      <c r="IOH19" s="200"/>
      <c r="IOI19" s="200"/>
      <c r="IOJ19" s="200"/>
      <c r="IOK19" s="200"/>
      <c r="IOL19" s="200"/>
      <c r="IOM19" s="200"/>
      <c r="ION19" s="201"/>
      <c r="IOO19" s="199" t="s">
        <v>7</v>
      </c>
      <c r="IOP19" s="200"/>
      <c r="IOQ19" s="200"/>
      <c r="IOR19" s="200"/>
      <c r="IOS19" s="200"/>
      <c r="IOT19" s="200"/>
      <c r="IOU19" s="200"/>
      <c r="IOV19" s="201"/>
      <c r="IOW19" s="199" t="s">
        <v>7</v>
      </c>
      <c r="IOX19" s="200"/>
      <c r="IOY19" s="200"/>
      <c r="IOZ19" s="200"/>
      <c r="IPA19" s="200"/>
      <c r="IPB19" s="200"/>
      <c r="IPC19" s="200"/>
      <c r="IPD19" s="201"/>
      <c r="IPE19" s="199" t="s">
        <v>7</v>
      </c>
      <c r="IPF19" s="200"/>
      <c r="IPG19" s="200"/>
      <c r="IPH19" s="200"/>
      <c r="IPI19" s="200"/>
      <c r="IPJ19" s="200"/>
      <c r="IPK19" s="200"/>
      <c r="IPL19" s="201"/>
      <c r="IPM19" s="199" t="s">
        <v>7</v>
      </c>
      <c r="IPN19" s="200"/>
      <c r="IPO19" s="200"/>
      <c r="IPP19" s="200"/>
      <c r="IPQ19" s="200"/>
      <c r="IPR19" s="200"/>
      <c r="IPS19" s="200"/>
      <c r="IPT19" s="201"/>
      <c r="IPU19" s="199" t="s">
        <v>7</v>
      </c>
      <c r="IPV19" s="200"/>
      <c r="IPW19" s="200"/>
      <c r="IPX19" s="200"/>
      <c r="IPY19" s="200"/>
      <c r="IPZ19" s="200"/>
      <c r="IQA19" s="200"/>
      <c r="IQB19" s="201"/>
      <c r="IQC19" s="199" t="s">
        <v>7</v>
      </c>
      <c r="IQD19" s="200"/>
      <c r="IQE19" s="200"/>
      <c r="IQF19" s="200"/>
      <c r="IQG19" s="200"/>
      <c r="IQH19" s="200"/>
      <c r="IQI19" s="200"/>
      <c r="IQJ19" s="201"/>
      <c r="IQK19" s="199" t="s">
        <v>7</v>
      </c>
      <c r="IQL19" s="200"/>
      <c r="IQM19" s="200"/>
      <c r="IQN19" s="200"/>
      <c r="IQO19" s="200"/>
      <c r="IQP19" s="200"/>
      <c r="IQQ19" s="200"/>
      <c r="IQR19" s="201"/>
      <c r="IQS19" s="199" t="s">
        <v>7</v>
      </c>
      <c r="IQT19" s="200"/>
      <c r="IQU19" s="200"/>
      <c r="IQV19" s="200"/>
      <c r="IQW19" s="200"/>
      <c r="IQX19" s="200"/>
      <c r="IQY19" s="200"/>
      <c r="IQZ19" s="201"/>
      <c r="IRA19" s="199" t="s">
        <v>7</v>
      </c>
      <c r="IRB19" s="200"/>
      <c r="IRC19" s="200"/>
      <c r="IRD19" s="200"/>
      <c r="IRE19" s="200"/>
      <c r="IRF19" s="200"/>
      <c r="IRG19" s="200"/>
      <c r="IRH19" s="201"/>
      <c r="IRI19" s="199" t="s">
        <v>7</v>
      </c>
      <c r="IRJ19" s="200"/>
      <c r="IRK19" s="200"/>
      <c r="IRL19" s="200"/>
      <c r="IRM19" s="200"/>
      <c r="IRN19" s="200"/>
      <c r="IRO19" s="200"/>
      <c r="IRP19" s="201"/>
      <c r="IRQ19" s="199" t="s">
        <v>7</v>
      </c>
      <c r="IRR19" s="200"/>
      <c r="IRS19" s="200"/>
      <c r="IRT19" s="200"/>
      <c r="IRU19" s="200"/>
      <c r="IRV19" s="200"/>
      <c r="IRW19" s="200"/>
      <c r="IRX19" s="201"/>
      <c r="IRY19" s="199" t="s">
        <v>7</v>
      </c>
      <c r="IRZ19" s="200"/>
      <c r="ISA19" s="200"/>
      <c r="ISB19" s="200"/>
      <c r="ISC19" s="200"/>
      <c r="ISD19" s="200"/>
      <c r="ISE19" s="200"/>
      <c r="ISF19" s="201"/>
      <c r="ISG19" s="199" t="s">
        <v>7</v>
      </c>
      <c r="ISH19" s="200"/>
      <c r="ISI19" s="200"/>
      <c r="ISJ19" s="200"/>
      <c r="ISK19" s="200"/>
      <c r="ISL19" s="200"/>
      <c r="ISM19" s="200"/>
      <c r="ISN19" s="201"/>
      <c r="ISO19" s="199" t="s">
        <v>7</v>
      </c>
      <c r="ISP19" s="200"/>
      <c r="ISQ19" s="200"/>
      <c r="ISR19" s="200"/>
      <c r="ISS19" s="200"/>
      <c r="IST19" s="200"/>
      <c r="ISU19" s="200"/>
      <c r="ISV19" s="201"/>
      <c r="ISW19" s="199" t="s">
        <v>7</v>
      </c>
      <c r="ISX19" s="200"/>
      <c r="ISY19" s="200"/>
      <c r="ISZ19" s="200"/>
      <c r="ITA19" s="200"/>
      <c r="ITB19" s="200"/>
      <c r="ITC19" s="200"/>
      <c r="ITD19" s="201"/>
      <c r="ITE19" s="199" t="s">
        <v>7</v>
      </c>
      <c r="ITF19" s="200"/>
      <c r="ITG19" s="200"/>
      <c r="ITH19" s="200"/>
      <c r="ITI19" s="200"/>
      <c r="ITJ19" s="200"/>
      <c r="ITK19" s="200"/>
      <c r="ITL19" s="201"/>
      <c r="ITM19" s="199" t="s">
        <v>7</v>
      </c>
      <c r="ITN19" s="200"/>
      <c r="ITO19" s="200"/>
      <c r="ITP19" s="200"/>
      <c r="ITQ19" s="200"/>
      <c r="ITR19" s="200"/>
      <c r="ITS19" s="200"/>
      <c r="ITT19" s="201"/>
      <c r="ITU19" s="199" t="s">
        <v>7</v>
      </c>
      <c r="ITV19" s="200"/>
      <c r="ITW19" s="200"/>
      <c r="ITX19" s="200"/>
      <c r="ITY19" s="200"/>
      <c r="ITZ19" s="200"/>
      <c r="IUA19" s="200"/>
      <c r="IUB19" s="201"/>
      <c r="IUC19" s="199" t="s">
        <v>7</v>
      </c>
      <c r="IUD19" s="200"/>
      <c r="IUE19" s="200"/>
      <c r="IUF19" s="200"/>
      <c r="IUG19" s="200"/>
      <c r="IUH19" s="200"/>
      <c r="IUI19" s="200"/>
      <c r="IUJ19" s="201"/>
      <c r="IUK19" s="199" t="s">
        <v>7</v>
      </c>
      <c r="IUL19" s="200"/>
      <c r="IUM19" s="200"/>
      <c r="IUN19" s="200"/>
      <c r="IUO19" s="200"/>
      <c r="IUP19" s="200"/>
      <c r="IUQ19" s="200"/>
      <c r="IUR19" s="201"/>
      <c r="IUS19" s="199" t="s">
        <v>7</v>
      </c>
      <c r="IUT19" s="200"/>
      <c r="IUU19" s="200"/>
      <c r="IUV19" s="200"/>
      <c r="IUW19" s="200"/>
      <c r="IUX19" s="200"/>
      <c r="IUY19" s="200"/>
      <c r="IUZ19" s="201"/>
      <c r="IVA19" s="199" t="s">
        <v>7</v>
      </c>
      <c r="IVB19" s="200"/>
      <c r="IVC19" s="200"/>
      <c r="IVD19" s="200"/>
      <c r="IVE19" s="200"/>
      <c r="IVF19" s="200"/>
      <c r="IVG19" s="200"/>
      <c r="IVH19" s="201"/>
      <c r="IVI19" s="199" t="s">
        <v>7</v>
      </c>
      <c r="IVJ19" s="200"/>
      <c r="IVK19" s="200"/>
      <c r="IVL19" s="200"/>
      <c r="IVM19" s="200"/>
      <c r="IVN19" s="200"/>
      <c r="IVO19" s="200"/>
      <c r="IVP19" s="201"/>
      <c r="IVQ19" s="199" t="s">
        <v>7</v>
      </c>
      <c r="IVR19" s="200"/>
      <c r="IVS19" s="200"/>
      <c r="IVT19" s="200"/>
      <c r="IVU19" s="200"/>
      <c r="IVV19" s="200"/>
      <c r="IVW19" s="200"/>
      <c r="IVX19" s="201"/>
      <c r="IVY19" s="199" t="s">
        <v>7</v>
      </c>
      <c r="IVZ19" s="200"/>
      <c r="IWA19" s="200"/>
      <c r="IWB19" s="200"/>
      <c r="IWC19" s="200"/>
      <c r="IWD19" s="200"/>
      <c r="IWE19" s="200"/>
      <c r="IWF19" s="201"/>
      <c r="IWG19" s="199" t="s">
        <v>7</v>
      </c>
      <c r="IWH19" s="200"/>
      <c r="IWI19" s="200"/>
      <c r="IWJ19" s="200"/>
      <c r="IWK19" s="200"/>
      <c r="IWL19" s="200"/>
      <c r="IWM19" s="200"/>
      <c r="IWN19" s="201"/>
      <c r="IWO19" s="199" t="s">
        <v>7</v>
      </c>
      <c r="IWP19" s="200"/>
      <c r="IWQ19" s="200"/>
      <c r="IWR19" s="200"/>
      <c r="IWS19" s="200"/>
      <c r="IWT19" s="200"/>
      <c r="IWU19" s="200"/>
      <c r="IWV19" s="201"/>
      <c r="IWW19" s="199" t="s">
        <v>7</v>
      </c>
      <c r="IWX19" s="200"/>
      <c r="IWY19" s="200"/>
      <c r="IWZ19" s="200"/>
      <c r="IXA19" s="200"/>
      <c r="IXB19" s="200"/>
      <c r="IXC19" s="200"/>
      <c r="IXD19" s="201"/>
      <c r="IXE19" s="199" t="s">
        <v>7</v>
      </c>
      <c r="IXF19" s="200"/>
      <c r="IXG19" s="200"/>
      <c r="IXH19" s="200"/>
      <c r="IXI19" s="200"/>
      <c r="IXJ19" s="200"/>
      <c r="IXK19" s="200"/>
      <c r="IXL19" s="201"/>
      <c r="IXM19" s="199" t="s">
        <v>7</v>
      </c>
      <c r="IXN19" s="200"/>
      <c r="IXO19" s="200"/>
      <c r="IXP19" s="200"/>
      <c r="IXQ19" s="200"/>
      <c r="IXR19" s="200"/>
      <c r="IXS19" s="200"/>
      <c r="IXT19" s="201"/>
      <c r="IXU19" s="199" t="s">
        <v>7</v>
      </c>
      <c r="IXV19" s="200"/>
      <c r="IXW19" s="200"/>
      <c r="IXX19" s="200"/>
      <c r="IXY19" s="200"/>
      <c r="IXZ19" s="200"/>
      <c r="IYA19" s="200"/>
      <c r="IYB19" s="201"/>
      <c r="IYC19" s="199" t="s">
        <v>7</v>
      </c>
      <c r="IYD19" s="200"/>
      <c r="IYE19" s="200"/>
      <c r="IYF19" s="200"/>
      <c r="IYG19" s="200"/>
      <c r="IYH19" s="200"/>
      <c r="IYI19" s="200"/>
      <c r="IYJ19" s="201"/>
      <c r="IYK19" s="199" t="s">
        <v>7</v>
      </c>
      <c r="IYL19" s="200"/>
      <c r="IYM19" s="200"/>
      <c r="IYN19" s="200"/>
      <c r="IYO19" s="200"/>
      <c r="IYP19" s="200"/>
      <c r="IYQ19" s="200"/>
      <c r="IYR19" s="201"/>
      <c r="IYS19" s="199" t="s">
        <v>7</v>
      </c>
      <c r="IYT19" s="200"/>
      <c r="IYU19" s="200"/>
      <c r="IYV19" s="200"/>
      <c r="IYW19" s="200"/>
      <c r="IYX19" s="200"/>
      <c r="IYY19" s="200"/>
      <c r="IYZ19" s="201"/>
      <c r="IZA19" s="199" t="s">
        <v>7</v>
      </c>
      <c r="IZB19" s="200"/>
      <c r="IZC19" s="200"/>
      <c r="IZD19" s="200"/>
      <c r="IZE19" s="200"/>
      <c r="IZF19" s="200"/>
      <c r="IZG19" s="200"/>
      <c r="IZH19" s="201"/>
      <c r="IZI19" s="199" t="s">
        <v>7</v>
      </c>
      <c r="IZJ19" s="200"/>
      <c r="IZK19" s="200"/>
      <c r="IZL19" s="200"/>
      <c r="IZM19" s="200"/>
      <c r="IZN19" s="200"/>
      <c r="IZO19" s="200"/>
      <c r="IZP19" s="201"/>
      <c r="IZQ19" s="199" t="s">
        <v>7</v>
      </c>
      <c r="IZR19" s="200"/>
      <c r="IZS19" s="200"/>
      <c r="IZT19" s="200"/>
      <c r="IZU19" s="200"/>
      <c r="IZV19" s="200"/>
      <c r="IZW19" s="200"/>
      <c r="IZX19" s="201"/>
      <c r="IZY19" s="199" t="s">
        <v>7</v>
      </c>
      <c r="IZZ19" s="200"/>
      <c r="JAA19" s="200"/>
      <c r="JAB19" s="200"/>
      <c r="JAC19" s="200"/>
      <c r="JAD19" s="200"/>
      <c r="JAE19" s="200"/>
      <c r="JAF19" s="201"/>
      <c r="JAG19" s="199" t="s">
        <v>7</v>
      </c>
      <c r="JAH19" s="200"/>
      <c r="JAI19" s="200"/>
      <c r="JAJ19" s="200"/>
      <c r="JAK19" s="200"/>
      <c r="JAL19" s="200"/>
      <c r="JAM19" s="200"/>
      <c r="JAN19" s="201"/>
      <c r="JAO19" s="199" t="s">
        <v>7</v>
      </c>
      <c r="JAP19" s="200"/>
      <c r="JAQ19" s="200"/>
      <c r="JAR19" s="200"/>
      <c r="JAS19" s="200"/>
      <c r="JAT19" s="200"/>
      <c r="JAU19" s="200"/>
      <c r="JAV19" s="201"/>
      <c r="JAW19" s="199" t="s">
        <v>7</v>
      </c>
      <c r="JAX19" s="200"/>
      <c r="JAY19" s="200"/>
      <c r="JAZ19" s="200"/>
      <c r="JBA19" s="200"/>
      <c r="JBB19" s="200"/>
      <c r="JBC19" s="200"/>
      <c r="JBD19" s="201"/>
      <c r="JBE19" s="199" t="s">
        <v>7</v>
      </c>
      <c r="JBF19" s="200"/>
      <c r="JBG19" s="200"/>
      <c r="JBH19" s="200"/>
      <c r="JBI19" s="200"/>
      <c r="JBJ19" s="200"/>
      <c r="JBK19" s="200"/>
      <c r="JBL19" s="201"/>
      <c r="JBM19" s="199" t="s">
        <v>7</v>
      </c>
      <c r="JBN19" s="200"/>
      <c r="JBO19" s="200"/>
      <c r="JBP19" s="200"/>
      <c r="JBQ19" s="200"/>
      <c r="JBR19" s="200"/>
      <c r="JBS19" s="200"/>
      <c r="JBT19" s="201"/>
      <c r="JBU19" s="199" t="s">
        <v>7</v>
      </c>
      <c r="JBV19" s="200"/>
      <c r="JBW19" s="200"/>
      <c r="JBX19" s="200"/>
      <c r="JBY19" s="200"/>
      <c r="JBZ19" s="200"/>
      <c r="JCA19" s="200"/>
      <c r="JCB19" s="201"/>
      <c r="JCC19" s="199" t="s">
        <v>7</v>
      </c>
      <c r="JCD19" s="200"/>
      <c r="JCE19" s="200"/>
      <c r="JCF19" s="200"/>
      <c r="JCG19" s="200"/>
      <c r="JCH19" s="200"/>
      <c r="JCI19" s="200"/>
      <c r="JCJ19" s="201"/>
      <c r="JCK19" s="199" t="s">
        <v>7</v>
      </c>
      <c r="JCL19" s="200"/>
      <c r="JCM19" s="200"/>
      <c r="JCN19" s="200"/>
      <c r="JCO19" s="200"/>
      <c r="JCP19" s="200"/>
      <c r="JCQ19" s="200"/>
      <c r="JCR19" s="201"/>
      <c r="JCS19" s="199" t="s">
        <v>7</v>
      </c>
      <c r="JCT19" s="200"/>
      <c r="JCU19" s="200"/>
      <c r="JCV19" s="200"/>
      <c r="JCW19" s="200"/>
      <c r="JCX19" s="200"/>
      <c r="JCY19" s="200"/>
      <c r="JCZ19" s="201"/>
      <c r="JDA19" s="199" t="s">
        <v>7</v>
      </c>
      <c r="JDB19" s="200"/>
      <c r="JDC19" s="200"/>
      <c r="JDD19" s="200"/>
      <c r="JDE19" s="200"/>
      <c r="JDF19" s="200"/>
      <c r="JDG19" s="200"/>
      <c r="JDH19" s="201"/>
      <c r="JDI19" s="199" t="s">
        <v>7</v>
      </c>
      <c r="JDJ19" s="200"/>
      <c r="JDK19" s="200"/>
      <c r="JDL19" s="200"/>
      <c r="JDM19" s="200"/>
      <c r="JDN19" s="200"/>
      <c r="JDO19" s="200"/>
      <c r="JDP19" s="201"/>
      <c r="JDQ19" s="199" t="s">
        <v>7</v>
      </c>
      <c r="JDR19" s="200"/>
      <c r="JDS19" s="200"/>
      <c r="JDT19" s="200"/>
      <c r="JDU19" s="200"/>
      <c r="JDV19" s="200"/>
      <c r="JDW19" s="200"/>
      <c r="JDX19" s="201"/>
      <c r="JDY19" s="199" t="s">
        <v>7</v>
      </c>
      <c r="JDZ19" s="200"/>
      <c r="JEA19" s="200"/>
      <c r="JEB19" s="200"/>
      <c r="JEC19" s="200"/>
      <c r="JED19" s="200"/>
      <c r="JEE19" s="200"/>
      <c r="JEF19" s="201"/>
      <c r="JEG19" s="199" t="s">
        <v>7</v>
      </c>
      <c r="JEH19" s="200"/>
      <c r="JEI19" s="200"/>
      <c r="JEJ19" s="200"/>
      <c r="JEK19" s="200"/>
      <c r="JEL19" s="200"/>
      <c r="JEM19" s="200"/>
      <c r="JEN19" s="201"/>
      <c r="JEO19" s="199" t="s">
        <v>7</v>
      </c>
      <c r="JEP19" s="200"/>
      <c r="JEQ19" s="200"/>
      <c r="JER19" s="200"/>
      <c r="JES19" s="200"/>
      <c r="JET19" s="200"/>
      <c r="JEU19" s="200"/>
      <c r="JEV19" s="201"/>
      <c r="JEW19" s="199" t="s">
        <v>7</v>
      </c>
      <c r="JEX19" s="200"/>
      <c r="JEY19" s="200"/>
      <c r="JEZ19" s="200"/>
      <c r="JFA19" s="200"/>
      <c r="JFB19" s="200"/>
      <c r="JFC19" s="200"/>
      <c r="JFD19" s="201"/>
      <c r="JFE19" s="199" t="s">
        <v>7</v>
      </c>
      <c r="JFF19" s="200"/>
      <c r="JFG19" s="200"/>
      <c r="JFH19" s="200"/>
      <c r="JFI19" s="200"/>
      <c r="JFJ19" s="200"/>
      <c r="JFK19" s="200"/>
      <c r="JFL19" s="201"/>
      <c r="JFM19" s="199" t="s">
        <v>7</v>
      </c>
      <c r="JFN19" s="200"/>
      <c r="JFO19" s="200"/>
      <c r="JFP19" s="200"/>
      <c r="JFQ19" s="200"/>
      <c r="JFR19" s="200"/>
      <c r="JFS19" s="200"/>
      <c r="JFT19" s="201"/>
      <c r="JFU19" s="199" t="s">
        <v>7</v>
      </c>
      <c r="JFV19" s="200"/>
      <c r="JFW19" s="200"/>
      <c r="JFX19" s="200"/>
      <c r="JFY19" s="200"/>
      <c r="JFZ19" s="200"/>
      <c r="JGA19" s="200"/>
      <c r="JGB19" s="201"/>
      <c r="JGC19" s="199" t="s">
        <v>7</v>
      </c>
      <c r="JGD19" s="200"/>
      <c r="JGE19" s="200"/>
      <c r="JGF19" s="200"/>
      <c r="JGG19" s="200"/>
      <c r="JGH19" s="200"/>
      <c r="JGI19" s="200"/>
      <c r="JGJ19" s="201"/>
      <c r="JGK19" s="199" t="s">
        <v>7</v>
      </c>
      <c r="JGL19" s="200"/>
      <c r="JGM19" s="200"/>
      <c r="JGN19" s="200"/>
      <c r="JGO19" s="200"/>
      <c r="JGP19" s="200"/>
      <c r="JGQ19" s="200"/>
      <c r="JGR19" s="201"/>
      <c r="JGS19" s="199" t="s">
        <v>7</v>
      </c>
      <c r="JGT19" s="200"/>
      <c r="JGU19" s="200"/>
      <c r="JGV19" s="200"/>
      <c r="JGW19" s="200"/>
      <c r="JGX19" s="200"/>
      <c r="JGY19" s="200"/>
      <c r="JGZ19" s="201"/>
      <c r="JHA19" s="199" t="s">
        <v>7</v>
      </c>
      <c r="JHB19" s="200"/>
      <c r="JHC19" s="200"/>
      <c r="JHD19" s="200"/>
      <c r="JHE19" s="200"/>
      <c r="JHF19" s="200"/>
      <c r="JHG19" s="200"/>
      <c r="JHH19" s="201"/>
      <c r="JHI19" s="199" t="s">
        <v>7</v>
      </c>
      <c r="JHJ19" s="200"/>
      <c r="JHK19" s="200"/>
      <c r="JHL19" s="200"/>
      <c r="JHM19" s="200"/>
      <c r="JHN19" s="200"/>
      <c r="JHO19" s="200"/>
      <c r="JHP19" s="201"/>
      <c r="JHQ19" s="199" t="s">
        <v>7</v>
      </c>
      <c r="JHR19" s="200"/>
      <c r="JHS19" s="200"/>
      <c r="JHT19" s="200"/>
      <c r="JHU19" s="200"/>
      <c r="JHV19" s="200"/>
      <c r="JHW19" s="200"/>
      <c r="JHX19" s="201"/>
      <c r="JHY19" s="199" t="s">
        <v>7</v>
      </c>
      <c r="JHZ19" s="200"/>
      <c r="JIA19" s="200"/>
      <c r="JIB19" s="200"/>
      <c r="JIC19" s="200"/>
      <c r="JID19" s="200"/>
      <c r="JIE19" s="200"/>
      <c r="JIF19" s="201"/>
      <c r="JIG19" s="199" t="s">
        <v>7</v>
      </c>
      <c r="JIH19" s="200"/>
      <c r="JII19" s="200"/>
      <c r="JIJ19" s="200"/>
      <c r="JIK19" s="200"/>
      <c r="JIL19" s="200"/>
      <c r="JIM19" s="200"/>
      <c r="JIN19" s="201"/>
      <c r="JIO19" s="199" t="s">
        <v>7</v>
      </c>
      <c r="JIP19" s="200"/>
      <c r="JIQ19" s="200"/>
      <c r="JIR19" s="200"/>
      <c r="JIS19" s="200"/>
      <c r="JIT19" s="200"/>
      <c r="JIU19" s="200"/>
      <c r="JIV19" s="201"/>
      <c r="JIW19" s="199" t="s">
        <v>7</v>
      </c>
      <c r="JIX19" s="200"/>
      <c r="JIY19" s="200"/>
      <c r="JIZ19" s="200"/>
      <c r="JJA19" s="200"/>
      <c r="JJB19" s="200"/>
      <c r="JJC19" s="200"/>
      <c r="JJD19" s="201"/>
      <c r="JJE19" s="199" t="s">
        <v>7</v>
      </c>
      <c r="JJF19" s="200"/>
      <c r="JJG19" s="200"/>
      <c r="JJH19" s="200"/>
      <c r="JJI19" s="200"/>
      <c r="JJJ19" s="200"/>
      <c r="JJK19" s="200"/>
      <c r="JJL19" s="201"/>
      <c r="JJM19" s="199" t="s">
        <v>7</v>
      </c>
      <c r="JJN19" s="200"/>
      <c r="JJO19" s="200"/>
      <c r="JJP19" s="200"/>
      <c r="JJQ19" s="200"/>
      <c r="JJR19" s="200"/>
      <c r="JJS19" s="200"/>
      <c r="JJT19" s="201"/>
      <c r="JJU19" s="199" t="s">
        <v>7</v>
      </c>
      <c r="JJV19" s="200"/>
      <c r="JJW19" s="200"/>
      <c r="JJX19" s="200"/>
      <c r="JJY19" s="200"/>
      <c r="JJZ19" s="200"/>
      <c r="JKA19" s="200"/>
      <c r="JKB19" s="201"/>
      <c r="JKC19" s="199" t="s">
        <v>7</v>
      </c>
      <c r="JKD19" s="200"/>
      <c r="JKE19" s="200"/>
      <c r="JKF19" s="200"/>
      <c r="JKG19" s="200"/>
      <c r="JKH19" s="200"/>
      <c r="JKI19" s="200"/>
      <c r="JKJ19" s="201"/>
      <c r="JKK19" s="199" t="s">
        <v>7</v>
      </c>
      <c r="JKL19" s="200"/>
      <c r="JKM19" s="200"/>
      <c r="JKN19" s="200"/>
      <c r="JKO19" s="200"/>
      <c r="JKP19" s="200"/>
      <c r="JKQ19" s="200"/>
      <c r="JKR19" s="201"/>
      <c r="JKS19" s="199" t="s">
        <v>7</v>
      </c>
      <c r="JKT19" s="200"/>
      <c r="JKU19" s="200"/>
      <c r="JKV19" s="200"/>
      <c r="JKW19" s="200"/>
      <c r="JKX19" s="200"/>
      <c r="JKY19" s="200"/>
      <c r="JKZ19" s="201"/>
      <c r="JLA19" s="199" t="s">
        <v>7</v>
      </c>
      <c r="JLB19" s="200"/>
      <c r="JLC19" s="200"/>
      <c r="JLD19" s="200"/>
      <c r="JLE19" s="200"/>
      <c r="JLF19" s="200"/>
      <c r="JLG19" s="200"/>
      <c r="JLH19" s="201"/>
      <c r="JLI19" s="199" t="s">
        <v>7</v>
      </c>
      <c r="JLJ19" s="200"/>
      <c r="JLK19" s="200"/>
      <c r="JLL19" s="200"/>
      <c r="JLM19" s="200"/>
      <c r="JLN19" s="200"/>
      <c r="JLO19" s="200"/>
      <c r="JLP19" s="201"/>
      <c r="JLQ19" s="199" t="s">
        <v>7</v>
      </c>
      <c r="JLR19" s="200"/>
      <c r="JLS19" s="200"/>
      <c r="JLT19" s="200"/>
      <c r="JLU19" s="200"/>
      <c r="JLV19" s="200"/>
      <c r="JLW19" s="200"/>
      <c r="JLX19" s="201"/>
      <c r="JLY19" s="199" t="s">
        <v>7</v>
      </c>
      <c r="JLZ19" s="200"/>
      <c r="JMA19" s="200"/>
      <c r="JMB19" s="200"/>
      <c r="JMC19" s="200"/>
      <c r="JMD19" s="200"/>
      <c r="JME19" s="200"/>
      <c r="JMF19" s="201"/>
      <c r="JMG19" s="199" t="s">
        <v>7</v>
      </c>
      <c r="JMH19" s="200"/>
      <c r="JMI19" s="200"/>
      <c r="JMJ19" s="200"/>
      <c r="JMK19" s="200"/>
      <c r="JML19" s="200"/>
      <c r="JMM19" s="200"/>
      <c r="JMN19" s="201"/>
      <c r="JMO19" s="199" t="s">
        <v>7</v>
      </c>
      <c r="JMP19" s="200"/>
      <c r="JMQ19" s="200"/>
      <c r="JMR19" s="200"/>
      <c r="JMS19" s="200"/>
      <c r="JMT19" s="200"/>
      <c r="JMU19" s="200"/>
      <c r="JMV19" s="201"/>
      <c r="JMW19" s="199" t="s">
        <v>7</v>
      </c>
      <c r="JMX19" s="200"/>
      <c r="JMY19" s="200"/>
      <c r="JMZ19" s="200"/>
      <c r="JNA19" s="200"/>
      <c r="JNB19" s="200"/>
      <c r="JNC19" s="200"/>
      <c r="JND19" s="201"/>
      <c r="JNE19" s="199" t="s">
        <v>7</v>
      </c>
      <c r="JNF19" s="200"/>
      <c r="JNG19" s="200"/>
      <c r="JNH19" s="200"/>
      <c r="JNI19" s="200"/>
      <c r="JNJ19" s="200"/>
      <c r="JNK19" s="200"/>
      <c r="JNL19" s="201"/>
      <c r="JNM19" s="199" t="s">
        <v>7</v>
      </c>
      <c r="JNN19" s="200"/>
      <c r="JNO19" s="200"/>
      <c r="JNP19" s="200"/>
      <c r="JNQ19" s="200"/>
      <c r="JNR19" s="200"/>
      <c r="JNS19" s="200"/>
      <c r="JNT19" s="201"/>
      <c r="JNU19" s="199" t="s">
        <v>7</v>
      </c>
      <c r="JNV19" s="200"/>
      <c r="JNW19" s="200"/>
      <c r="JNX19" s="200"/>
      <c r="JNY19" s="200"/>
      <c r="JNZ19" s="200"/>
      <c r="JOA19" s="200"/>
      <c r="JOB19" s="201"/>
      <c r="JOC19" s="199" t="s">
        <v>7</v>
      </c>
      <c r="JOD19" s="200"/>
      <c r="JOE19" s="200"/>
      <c r="JOF19" s="200"/>
      <c r="JOG19" s="200"/>
      <c r="JOH19" s="200"/>
      <c r="JOI19" s="200"/>
      <c r="JOJ19" s="201"/>
      <c r="JOK19" s="199" t="s">
        <v>7</v>
      </c>
      <c r="JOL19" s="200"/>
      <c r="JOM19" s="200"/>
      <c r="JON19" s="200"/>
      <c r="JOO19" s="200"/>
      <c r="JOP19" s="200"/>
      <c r="JOQ19" s="200"/>
      <c r="JOR19" s="201"/>
      <c r="JOS19" s="199" t="s">
        <v>7</v>
      </c>
      <c r="JOT19" s="200"/>
      <c r="JOU19" s="200"/>
      <c r="JOV19" s="200"/>
      <c r="JOW19" s="200"/>
      <c r="JOX19" s="200"/>
      <c r="JOY19" s="200"/>
      <c r="JOZ19" s="201"/>
      <c r="JPA19" s="199" t="s">
        <v>7</v>
      </c>
      <c r="JPB19" s="200"/>
      <c r="JPC19" s="200"/>
      <c r="JPD19" s="200"/>
      <c r="JPE19" s="200"/>
      <c r="JPF19" s="200"/>
      <c r="JPG19" s="200"/>
      <c r="JPH19" s="201"/>
      <c r="JPI19" s="199" t="s">
        <v>7</v>
      </c>
      <c r="JPJ19" s="200"/>
      <c r="JPK19" s="200"/>
      <c r="JPL19" s="200"/>
      <c r="JPM19" s="200"/>
      <c r="JPN19" s="200"/>
      <c r="JPO19" s="200"/>
      <c r="JPP19" s="201"/>
      <c r="JPQ19" s="199" t="s">
        <v>7</v>
      </c>
      <c r="JPR19" s="200"/>
      <c r="JPS19" s="200"/>
      <c r="JPT19" s="200"/>
      <c r="JPU19" s="200"/>
      <c r="JPV19" s="200"/>
      <c r="JPW19" s="200"/>
      <c r="JPX19" s="201"/>
      <c r="JPY19" s="199" t="s">
        <v>7</v>
      </c>
      <c r="JPZ19" s="200"/>
      <c r="JQA19" s="200"/>
      <c r="JQB19" s="200"/>
      <c r="JQC19" s="200"/>
      <c r="JQD19" s="200"/>
      <c r="JQE19" s="200"/>
      <c r="JQF19" s="201"/>
      <c r="JQG19" s="199" t="s">
        <v>7</v>
      </c>
      <c r="JQH19" s="200"/>
      <c r="JQI19" s="200"/>
      <c r="JQJ19" s="200"/>
      <c r="JQK19" s="200"/>
      <c r="JQL19" s="200"/>
      <c r="JQM19" s="200"/>
      <c r="JQN19" s="201"/>
      <c r="JQO19" s="199" t="s">
        <v>7</v>
      </c>
      <c r="JQP19" s="200"/>
      <c r="JQQ19" s="200"/>
      <c r="JQR19" s="200"/>
      <c r="JQS19" s="200"/>
      <c r="JQT19" s="200"/>
      <c r="JQU19" s="200"/>
      <c r="JQV19" s="201"/>
      <c r="JQW19" s="199" t="s">
        <v>7</v>
      </c>
      <c r="JQX19" s="200"/>
      <c r="JQY19" s="200"/>
      <c r="JQZ19" s="200"/>
      <c r="JRA19" s="200"/>
      <c r="JRB19" s="200"/>
      <c r="JRC19" s="200"/>
      <c r="JRD19" s="201"/>
      <c r="JRE19" s="199" t="s">
        <v>7</v>
      </c>
      <c r="JRF19" s="200"/>
      <c r="JRG19" s="200"/>
      <c r="JRH19" s="200"/>
      <c r="JRI19" s="200"/>
      <c r="JRJ19" s="200"/>
      <c r="JRK19" s="200"/>
      <c r="JRL19" s="201"/>
      <c r="JRM19" s="199" t="s">
        <v>7</v>
      </c>
      <c r="JRN19" s="200"/>
      <c r="JRO19" s="200"/>
      <c r="JRP19" s="200"/>
      <c r="JRQ19" s="200"/>
      <c r="JRR19" s="200"/>
      <c r="JRS19" s="200"/>
      <c r="JRT19" s="201"/>
      <c r="JRU19" s="199" t="s">
        <v>7</v>
      </c>
      <c r="JRV19" s="200"/>
      <c r="JRW19" s="200"/>
      <c r="JRX19" s="200"/>
      <c r="JRY19" s="200"/>
      <c r="JRZ19" s="200"/>
      <c r="JSA19" s="200"/>
      <c r="JSB19" s="201"/>
      <c r="JSC19" s="199" t="s">
        <v>7</v>
      </c>
      <c r="JSD19" s="200"/>
      <c r="JSE19" s="200"/>
      <c r="JSF19" s="200"/>
      <c r="JSG19" s="200"/>
      <c r="JSH19" s="200"/>
      <c r="JSI19" s="200"/>
      <c r="JSJ19" s="201"/>
      <c r="JSK19" s="199" t="s">
        <v>7</v>
      </c>
      <c r="JSL19" s="200"/>
      <c r="JSM19" s="200"/>
      <c r="JSN19" s="200"/>
      <c r="JSO19" s="200"/>
      <c r="JSP19" s="200"/>
      <c r="JSQ19" s="200"/>
      <c r="JSR19" s="201"/>
      <c r="JSS19" s="199" t="s">
        <v>7</v>
      </c>
      <c r="JST19" s="200"/>
      <c r="JSU19" s="200"/>
      <c r="JSV19" s="200"/>
      <c r="JSW19" s="200"/>
      <c r="JSX19" s="200"/>
      <c r="JSY19" s="200"/>
      <c r="JSZ19" s="201"/>
      <c r="JTA19" s="199" t="s">
        <v>7</v>
      </c>
      <c r="JTB19" s="200"/>
      <c r="JTC19" s="200"/>
      <c r="JTD19" s="200"/>
      <c r="JTE19" s="200"/>
      <c r="JTF19" s="200"/>
      <c r="JTG19" s="200"/>
      <c r="JTH19" s="201"/>
      <c r="JTI19" s="199" t="s">
        <v>7</v>
      </c>
      <c r="JTJ19" s="200"/>
      <c r="JTK19" s="200"/>
      <c r="JTL19" s="200"/>
      <c r="JTM19" s="200"/>
      <c r="JTN19" s="200"/>
      <c r="JTO19" s="200"/>
      <c r="JTP19" s="201"/>
      <c r="JTQ19" s="199" t="s">
        <v>7</v>
      </c>
      <c r="JTR19" s="200"/>
      <c r="JTS19" s="200"/>
      <c r="JTT19" s="200"/>
      <c r="JTU19" s="200"/>
      <c r="JTV19" s="200"/>
      <c r="JTW19" s="200"/>
      <c r="JTX19" s="201"/>
      <c r="JTY19" s="199" t="s">
        <v>7</v>
      </c>
      <c r="JTZ19" s="200"/>
      <c r="JUA19" s="200"/>
      <c r="JUB19" s="200"/>
      <c r="JUC19" s="200"/>
      <c r="JUD19" s="200"/>
      <c r="JUE19" s="200"/>
      <c r="JUF19" s="201"/>
      <c r="JUG19" s="199" t="s">
        <v>7</v>
      </c>
      <c r="JUH19" s="200"/>
      <c r="JUI19" s="200"/>
      <c r="JUJ19" s="200"/>
      <c r="JUK19" s="200"/>
      <c r="JUL19" s="200"/>
      <c r="JUM19" s="200"/>
      <c r="JUN19" s="201"/>
      <c r="JUO19" s="199" t="s">
        <v>7</v>
      </c>
      <c r="JUP19" s="200"/>
      <c r="JUQ19" s="200"/>
      <c r="JUR19" s="200"/>
      <c r="JUS19" s="200"/>
      <c r="JUT19" s="200"/>
      <c r="JUU19" s="200"/>
      <c r="JUV19" s="201"/>
      <c r="JUW19" s="199" t="s">
        <v>7</v>
      </c>
      <c r="JUX19" s="200"/>
      <c r="JUY19" s="200"/>
      <c r="JUZ19" s="200"/>
      <c r="JVA19" s="200"/>
      <c r="JVB19" s="200"/>
      <c r="JVC19" s="200"/>
      <c r="JVD19" s="201"/>
      <c r="JVE19" s="199" t="s">
        <v>7</v>
      </c>
      <c r="JVF19" s="200"/>
      <c r="JVG19" s="200"/>
      <c r="JVH19" s="200"/>
      <c r="JVI19" s="200"/>
      <c r="JVJ19" s="200"/>
      <c r="JVK19" s="200"/>
      <c r="JVL19" s="201"/>
      <c r="JVM19" s="199" t="s">
        <v>7</v>
      </c>
      <c r="JVN19" s="200"/>
      <c r="JVO19" s="200"/>
      <c r="JVP19" s="200"/>
      <c r="JVQ19" s="200"/>
      <c r="JVR19" s="200"/>
      <c r="JVS19" s="200"/>
      <c r="JVT19" s="201"/>
      <c r="JVU19" s="199" t="s">
        <v>7</v>
      </c>
      <c r="JVV19" s="200"/>
      <c r="JVW19" s="200"/>
      <c r="JVX19" s="200"/>
      <c r="JVY19" s="200"/>
      <c r="JVZ19" s="200"/>
      <c r="JWA19" s="200"/>
      <c r="JWB19" s="201"/>
      <c r="JWC19" s="199" t="s">
        <v>7</v>
      </c>
      <c r="JWD19" s="200"/>
      <c r="JWE19" s="200"/>
      <c r="JWF19" s="200"/>
      <c r="JWG19" s="200"/>
      <c r="JWH19" s="200"/>
      <c r="JWI19" s="200"/>
      <c r="JWJ19" s="201"/>
      <c r="JWK19" s="199" t="s">
        <v>7</v>
      </c>
      <c r="JWL19" s="200"/>
      <c r="JWM19" s="200"/>
      <c r="JWN19" s="200"/>
      <c r="JWO19" s="200"/>
      <c r="JWP19" s="200"/>
      <c r="JWQ19" s="200"/>
      <c r="JWR19" s="201"/>
      <c r="JWS19" s="199" t="s">
        <v>7</v>
      </c>
      <c r="JWT19" s="200"/>
      <c r="JWU19" s="200"/>
      <c r="JWV19" s="200"/>
      <c r="JWW19" s="200"/>
      <c r="JWX19" s="200"/>
      <c r="JWY19" s="200"/>
      <c r="JWZ19" s="201"/>
      <c r="JXA19" s="199" t="s">
        <v>7</v>
      </c>
      <c r="JXB19" s="200"/>
      <c r="JXC19" s="200"/>
      <c r="JXD19" s="200"/>
      <c r="JXE19" s="200"/>
      <c r="JXF19" s="200"/>
      <c r="JXG19" s="200"/>
      <c r="JXH19" s="201"/>
      <c r="JXI19" s="199" t="s">
        <v>7</v>
      </c>
      <c r="JXJ19" s="200"/>
      <c r="JXK19" s="200"/>
      <c r="JXL19" s="200"/>
      <c r="JXM19" s="200"/>
      <c r="JXN19" s="200"/>
      <c r="JXO19" s="200"/>
      <c r="JXP19" s="201"/>
      <c r="JXQ19" s="199" t="s">
        <v>7</v>
      </c>
      <c r="JXR19" s="200"/>
      <c r="JXS19" s="200"/>
      <c r="JXT19" s="200"/>
      <c r="JXU19" s="200"/>
      <c r="JXV19" s="200"/>
      <c r="JXW19" s="200"/>
      <c r="JXX19" s="201"/>
      <c r="JXY19" s="199" t="s">
        <v>7</v>
      </c>
      <c r="JXZ19" s="200"/>
      <c r="JYA19" s="200"/>
      <c r="JYB19" s="200"/>
      <c r="JYC19" s="200"/>
      <c r="JYD19" s="200"/>
      <c r="JYE19" s="200"/>
      <c r="JYF19" s="201"/>
      <c r="JYG19" s="199" t="s">
        <v>7</v>
      </c>
      <c r="JYH19" s="200"/>
      <c r="JYI19" s="200"/>
      <c r="JYJ19" s="200"/>
      <c r="JYK19" s="200"/>
      <c r="JYL19" s="200"/>
      <c r="JYM19" s="200"/>
      <c r="JYN19" s="201"/>
      <c r="JYO19" s="199" t="s">
        <v>7</v>
      </c>
      <c r="JYP19" s="200"/>
      <c r="JYQ19" s="200"/>
      <c r="JYR19" s="200"/>
      <c r="JYS19" s="200"/>
      <c r="JYT19" s="200"/>
      <c r="JYU19" s="200"/>
      <c r="JYV19" s="201"/>
      <c r="JYW19" s="199" t="s">
        <v>7</v>
      </c>
      <c r="JYX19" s="200"/>
      <c r="JYY19" s="200"/>
      <c r="JYZ19" s="200"/>
      <c r="JZA19" s="200"/>
      <c r="JZB19" s="200"/>
      <c r="JZC19" s="200"/>
      <c r="JZD19" s="201"/>
      <c r="JZE19" s="199" t="s">
        <v>7</v>
      </c>
      <c r="JZF19" s="200"/>
      <c r="JZG19" s="200"/>
      <c r="JZH19" s="200"/>
      <c r="JZI19" s="200"/>
      <c r="JZJ19" s="200"/>
      <c r="JZK19" s="200"/>
      <c r="JZL19" s="201"/>
      <c r="JZM19" s="199" t="s">
        <v>7</v>
      </c>
      <c r="JZN19" s="200"/>
      <c r="JZO19" s="200"/>
      <c r="JZP19" s="200"/>
      <c r="JZQ19" s="200"/>
      <c r="JZR19" s="200"/>
      <c r="JZS19" s="200"/>
      <c r="JZT19" s="201"/>
      <c r="JZU19" s="199" t="s">
        <v>7</v>
      </c>
      <c r="JZV19" s="200"/>
      <c r="JZW19" s="200"/>
      <c r="JZX19" s="200"/>
      <c r="JZY19" s="200"/>
      <c r="JZZ19" s="200"/>
      <c r="KAA19" s="200"/>
      <c r="KAB19" s="201"/>
      <c r="KAC19" s="199" t="s">
        <v>7</v>
      </c>
      <c r="KAD19" s="200"/>
      <c r="KAE19" s="200"/>
      <c r="KAF19" s="200"/>
      <c r="KAG19" s="200"/>
      <c r="KAH19" s="200"/>
      <c r="KAI19" s="200"/>
      <c r="KAJ19" s="201"/>
      <c r="KAK19" s="199" t="s">
        <v>7</v>
      </c>
      <c r="KAL19" s="200"/>
      <c r="KAM19" s="200"/>
      <c r="KAN19" s="200"/>
      <c r="KAO19" s="200"/>
      <c r="KAP19" s="200"/>
      <c r="KAQ19" s="200"/>
      <c r="KAR19" s="201"/>
      <c r="KAS19" s="199" t="s">
        <v>7</v>
      </c>
      <c r="KAT19" s="200"/>
      <c r="KAU19" s="200"/>
      <c r="KAV19" s="200"/>
      <c r="KAW19" s="200"/>
      <c r="KAX19" s="200"/>
      <c r="KAY19" s="200"/>
      <c r="KAZ19" s="201"/>
      <c r="KBA19" s="199" t="s">
        <v>7</v>
      </c>
      <c r="KBB19" s="200"/>
      <c r="KBC19" s="200"/>
      <c r="KBD19" s="200"/>
      <c r="KBE19" s="200"/>
      <c r="KBF19" s="200"/>
      <c r="KBG19" s="200"/>
      <c r="KBH19" s="201"/>
      <c r="KBI19" s="199" t="s">
        <v>7</v>
      </c>
      <c r="KBJ19" s="200"/>
      <c r="KBK19" s="200"/>
      <c r="KBL19" s="200"/>
      <c r="KBM19" s="200"/>
      <c r="KBN19" s="200"/>
      <c r="KBO19" s="200"/>
      <c r="KBP19" s="201"/>
      <c r="KBQ19" s="199" t="s">
        <v>7</v>
      </c>
      <c r="KBR19" s="200"/>
      <c r="KBS19" s="200"/>
      <c r="KBT19" s="200"/>
      <c r="KBU19" s="200"/>
      <c r="KBV19" s="200"/>
      <c r="KBW19" s="200"/>
      <c r="KBX19" s="201"/>
      <c r="KBY19" s="199" t="s">
        <v>7</v>
      </c>
      <c r="KBZ19" s="200"/>
      <c r="KCA19" s="200"/>
      <c r="KCB19" s="200"/>
      <c r="KCC19" s="200"/>
      <c r="KCD19" s="200"/>
      <c r="KCE19" s="200"/>
      <c r="KCF19" s="201"/>
      <c r="KCG19" s="199" t="s">
        <v>7</v>
      </c>
      <c r="KCH19" s="200"/>
      <c r="KCI19" s="200"/>
      <c r="KCJ19" s="200"/>
      <c r="KCK19" s="200"/>
      <c r="KCL19" s="200"/>
      <c r="KCM19" s="200"/>
      <c r="KCN19" s="201"/>
      <c r="KCO19" s="199" t="s">
        <v>7</v>
      </c>
      <c r="KCP19" s="200"/>
      <c r="KCQ19" s="200"/>
      <c r="KCR19" s="200"/>
      <c r="KCS19" s="200"/>
      <c r="KCT19" s="200"/>
      <c r="KCU19" s="200"/>
      <c r="KCV19" s="201"/>
      <c r="KCW19" s="199" t="s">
        <v>7</v>
      </c>
      <c r="KCX19" s="200"/>
      <c r="KCY19" s="200"/>
      <c r="KCZ19" s="200"/>
      <c r="KDA19" s="200"/>
      <c r="KDB19" s="200"/>
      <c r="KDC19" s="200"/>
      <c r="KDD19" s="201"/>
      <c r="KDE19" s="199" t="s">
        <v>7</v>
      </c>
      <c r="KDF19" s="200"/>
      <c r="KDG19" s="200"/>
      <c r="KDH19" s="200"/>
      <c r="KDI19" s="200"/>
      <c r="KDJ19" s="200"/>
      <c r="KDK19" s="200"/>
      <c r="KDL19" s="201"/>
      <c r="KDM19" s="199" t="s">
        <v>7</v>
      </c>
      <c r="KDN19" s="200"/>
      <c r="KDO19" s="200"/>
      <c r="KDP19" s="200"/>
      <c r="KDQ19" s="200"/>
      <c r="KDR19" s="200"/>
      <c r="KDS19" s="200"/>
      <c r="KDT19" s="201"/>
      <c r="KDU19" s="199" t="s">
        <v>7</v>
      </c>
      <c r="KDV19" s="200"/>
      <c r="KDW19" s="200"/>
      <c r="KDX19" s="200"/>
      <c r="KDY19" s="200"/>
      <c r="KDZ19" s="200"/>
      <c r="KEA19" s="200"/>
      <c r="KEB19" s="201"/>
      <c r="KEC19" s="199" t="s">
        <v>7</v>
      </c>
      <c r="KED19" s="200"/>
      <c r="KEE19" s="200"/>
      <c r="KEF19" s="200"/>
      <c r="KEG19" s="200"/>
      <c r="KEH19" s="200"/>
      <c r="KEI19" s="200"/>
      <c r="KEJ19" s="201"/>
      <c r="KEK19" s="199" t="s">
        <v>7</v>
      </c>
      <c r="KEL19" s="200"/>
      <c r="KEM19" s="200"/>
      <c r="KEN19" s="200"/>
      <c r="KEO19" s="200"/>
      <c r="KEP19" s="200"/>
      <c r="KEQ19" s="200"/>
      <c r="KER19" s="201"/>
      <c r="KES19" s="199" t="s">
        <v>7</v>
      </c>
      <c r="KET19" s="200"/>
      <c r="KEU19" s="200"/>
      <c r="KEV19" s="200"/>
      <c r="KEW19" s="200"/>
      <c r="KEX19" s="200"/>
      <c r="KEY19" s="200"/>
      <c r="KEZ19" s="201"/>
      <c r="KFA19" s="199" t="s">
        <v>7</v>
      </c>
      <c r="KFB19" s="200"/>
      <c r="KFC19" s="200"/>
      <c r="KFD19" s="200"/>
      <c r="KFE19" s="200"/>
      <c r="KFF19" s="200"/>
      <c r="KFG19" s="200"/>
      <c r="KFH19" s="201"/>
      <c r="KFI19" s="199" t="s">
        <v>7</v>
      </c>
      <c r="KFJ19" s="200"/>
      <c r="KFK19" s="200"/>
      <c r="KFL19" s="200"/>
      <c r="KFM19" s="200"/>
      <c r="KFN19" s="200"/>
      <c r="KFO19" s="200"/>
      <c r="KFP19" s="201"/>
      <c r="KFQ19" s="199" t="s">
        <v>7</v>
      </c>
      <c r="KFR19" s="200"/>
      <c r="KFS19" s="200"/>
      <c r="KFT19" s="200"/>
      <c r="KFU19" s="200"/>
      <c r="KFV19" s="200"/>
      <c r="KFW19" s="200"/>
      <c r="KFX19" s="201"/>
      <c r="KFY19" s="199" t="s">
        <v>7</v>
      </c>
      <c r="KFZ19" s="200"/>
      <c r="KGA19" s="200"/>
      <c r="KGB19" s="200"/>
      <c r="KGC19" s="200"/>
      <c r="KGD19" s="200"/>
      <c r="KGE19" s="200"/>
      <c r="KGF19" s="201"/>
      <c r="KGG19" s="199" t="s">
        <v>7</v>
      </c>
      <c r="KGH19" s="200"/>
      <c r="KGI19" s="200"/>
      <c r="KGJ19" s="200"/>
      <c r="KGK19" s="200"/>
      <c r="KGL19" s="200"/>
      <c r="KGM19" s="200"/>
      <c r="KGN19" s="201"/>
      <c r="KGO19" s="199" t="s">
        <v>7</v>
      </c>
      <c r="KGP19" s="200"/>
      <c r="KGQ19" s="200"/>
      <c r="KGR19" s="200"/>
      <c r="KGS19" s="200"/>
      <c r="KGT19" s="200"/>
      <c r="KGU19" s="200"/>
      <c r="KGV19" s="201"/>
      <c r="KGW19" s="199" t="s">
        <v>7</v>
      </c>
      <c r="KGX19" s="200"/>
      <c r="KGY19" s="200"/>
      <c r="KGZ19" s="200"/>
      <c r="KHA19" s="200"/>
      <c r="KHB19" s="200"/>
      <c r="KHC19" s="200"/>
      <c r="KHD19" s="201"/>
      <c r="KHE19" s="199" t="s">
        <v>7</v>
      </c>
      <c r="KHF19" s="200"/>
      <c r="KHG19" s="200"/>
      <c r="KHH19" s="200"/>
      <c r="KHI19" s="200"/>
      <c r="KHJ19" s="200"/>
      <c r="KHK19" s="200"/>
      <c r="KHL19" s="201"/>
      <c r="KHM19" s="199" t="s">
        <v>7</v>
      </c>
      <c r="KHN19" s="200"/>
      <c r="KHO19" s="200"/>
      <c r="KHP19" s="200"/>
      <c r="KHQ19" s="200"/>
      <c r="KHR19" s="200"/>
      <c r="KHS19" s="200"/>
      <c r="KHT19" s="201"/>
      <c r="KHU19" s="199" t="s">
        <v>7</v>
      </c>
      <c r="KHV19" s="200"/>
      <c r="KHW19" s="200"/>
      <c r="KHX19" s="200"/>
      <c r="KHY19" s="200"/>
      <c r="KHZ19" s="200"/>
      <c r="KIA19" s="200"/>
      <c r="KIB19" s="201"/>
      <c r="KIC19" s="199" t="s">
        <v>7</v>
      </c>
      <c r="KID19" s="200"/>
      <c r="KIE19" s="200"/>
      <c r="KIF19" s="200"/>
      <c r="KIG19" s="200"/>
      <c r="KIH19" s="200"/>
      <c r="KII19" s="200"/>
      <c r="KIJ19" s="201"/>
      <c r="KIK19" s="199" t="s">
        <v>7</v>
      </c>
      <c r="KIL19" s="200"/>
      <c r="KIM19" s="200"/>
      <c r="KIN19" s="200"/>
      <c r="KIO19" s="200"/>
      <c r="KIP19" s="200"/>
      <c r="KIQ19" s="200"/>
      <c r="KIR19" s="201"/>
      <c r="KIS19" s="199" t="s">
        <v>7</v>
      </c>
      <c r="KIT19" s="200"/>
      <c r="KIU19" s="200"/>
      <c r="KIV19" s="200"/>
      <c r="KIW19" s="200"/>
      <c r="KIX19" s="200"/>
      <c r="KIY19" s="200"/>
      <c r="KIZ19" s="201"/>
      <c r="KJA19" s="199" t="s">
        <v>7</v>
      </c>
      <c r="KJB19" s="200"/>
      <c r="KJC19" s="200"/>
      <c r="KJD19" s="200"/>
      <c r="KJE19" s="200"/>
      <c r="KJF19" s="200"/>
      <c r="KJG19" s="200"/>
      <c r="KJH19" s="201"/>
      <c r="KJI19" s="199" t="s">
        <v>7</v>
      </c>
      <c r="KJJ19" s="200"/>
      <c r="KJK19" s="200"/>
      <c r="KJL19" s="200"/>
      <c r="KJM19" s="200"/>
      <c r="KJN19" s="200"/>
      <c r="KJO19" s="200"/>
      <c r="KJP19" s="201"/>
      <c r="KJQ19" s="199" t="s">
        <v>7</v>
      </c>
      <c r="KJR19" s="200"/>
      <c r="KJS19" s="200"/>
      <c r="KJT19" s="200"/>
      <c r="KJU19" s="200"/>
      <c r="KJV19" s="200"/>
      <c r="KJW19" s="200"/>
      <c r="KJX19" s="201"/>
      <c r="KJY19" s="199" t="s">
        <v>7</v>
      </c>
      <c r="KJZ19" s="200"/>
      <c r="KKA19" s="200"/>
      <c r="KKB19" s="200"/>
      <c r="KKC19" s="200"/>
      <c r="KKD19" s="200"/>
      <c r="KKE19" s="200"/>
      <c r="KKF19" s="201"/>
      <c r="KKG19" s="199" t="s">
        <v>7</v>
      </c>
      <c r="KKH19" s="200"/>
      <c r="KKI19" s="200"/>
      <c r="KKJ19" s="200"/>
      <c r="KKK19" s="200"/>
      <c r="KKL19" s="200"/>
      <c r="KKM19" s="200"/>
      <c r="KKN19" s="201"/>
      <c r="KKO19" s="199" t="s">
        <v>7</v>
      </c>
      <c r="KKP19" s="200"/>
      <c r="KKQ19" s="200"/>
      <c r="KKR19" s="200"/>
      <c r="KKS19" s="200"/>
      <c r="KKT19" s="200"/>
      <c r="KKU19" s="200"/>
      <c r="KKV19" s="201"/>
      <c r="KKW19" s="199" t="s">
        <v>7</v>
      </c>
      <c r="KKX19" s="200"/>
      <c r="KKY19" s="200"/>
      <c r="KKZ19" s="200"/>
      <c r="KLA19" s="200"/>
      <c r="KLB19" s="200"/>
      <c r="KLC19" s="200"/>
      <c r="KLD19" s="201"/>
      <c r="KLE19" s="199" t="s">
        <v>7</v>
      </c>
      <c r="KLF19" s="200"/>
      <c r="KLG19" s="200"/>
      <c r="KLH19" s="200"/>
      <c r="KLI19" s="200"/>
      <c r="KLJ19" s="200"/>
      <c r="KLK19" s="200"/>
      <c r="KLL19" s="201"/>
      <c r="KLM19" s="199" t="s">
        <v>7</v>
      </c>
      <c r="KLN19" s="200"/>
      <c r="KLO19" s="200"/>
      <c r="KLP19" s="200"/>
      <c r="KLQ19" s="200"/>
      <c r="KLR19" s="200"/>
      <c r="KLS19" s="200"/>
      <c r="KLT19" s="201"/>
      <c r="KLU19" s="199" t="s">
        <v>7</v>
      </c>
      <c r="KLV19" s="200"/>
      <c r="KLW19" s="200"/>
      <c r="KLX19" s="200"/>
      <c r="KLY19" s="200"/>
      <c r="KLZ19" s="200"/>
      <c r="KMA19" s="200"/>
      <c r="KMB19" s="201"/>
      <c r="KMC19" s="199" t="s">
        <v>7</v>
      </c>
      <c r="KMD19" s="200"/>
      <c r="KME19" s="200"/>
      <c r="KMF19" s="200"/>
      <c r="KMG19" s="200"/>
      <c r="KMH19" s="200"/>
      <c r="KMI19" s="200"/>
      <c r="KMJ19" s="201"/>
      <c r="KMK19" s="199" t="s">
        <v>7</v>
      </c>
      <c r="KML19" s="200"/>
      <c r="KMM19" s="200"/>
      <c r="KMN19" s="200"/>
      <c r="KMO19" s="200"/>
      <c r="KMP19" s="200"/>
      <c r="KMQ19" s="200"/>
      <c r="KMR19" s="201"/>
      <c r="KMS19" s="199" t="s">
        <v>7</v>
      </c>
      <c r="KMT19" s="200"/>
      <c r="KMU19" s="200"/>
      <c r="KMV19" s="200"/>
      <c r="KMW19" s="200"/>
      <c r="KMX19" s="200"/>
      <c r="KMY19" s="200"/>
      <c r="KMZ19" s="201"/>
      <c r="KNA19" s="199" t="s">
        <v>7</v>
      </c>
      <c r="KNB19" s="200"/>
      <c r="KNC19" s="200"/>
      <c r="KND19" s="200"/>
      <c r="KNE19" s="200"/>
      <c r="KNF19" s="200"/>
      <c r="KNG19" s="200"/>
      <c r="KNH19" s="201"/>
      <c r="KNI19" s="199" t="s">
        <v>7</v>
      </c>
      <c r="KNJ19" s="200"/>
      <c r="KNK19" s="200"/>
      <c r="KNL19" s="200"/>
      <c r="KNM19" s="200"/>
      <c r="KNN19" s="200"/>
      <c r="KNO19" s="200"/>
      <c r="KNP19" s="201"/>
      <c r="KNQ19" s="199" t="s">
        <v>7</v>
      </c>
      <c r="KNR19" s="200"/>
      <c r="KNS19" s="200"/>
      <c r="KNT19" s="200"/>
      <c r="KNU19" s="200"/>
      <c r="KNV19" s="200"/>
      <c r="KNW19" s="200"/>
      <c r="KNX19" s="201"/>
      <c r="KNY19" s="199" t="s">
        <v>7</v>
      </c>
      <c r="KNZ19" s="200"/>
      <c r="KOA19" s="200"/>
      <c r="KOB19" s="200"/>
      <c r="KOC19" s="200"/>
      <c r="KOD19" s="200"/>
      <c r="KOE19" s="200"/>
      <c r="KOF19" s="201"/>
      <c r="KOG19" s="199" t="s">
        <v>7</v>
      </c>
      <c r="KOH19" s="200"/>
      <c r="KOI19" s="200"/>
      <c r="KOJ19" s="200"/>
      <c r="KOK19" s="200"/>
      <c r="KOL19" s="200"/>
      <c r="KOM19" s="200"/>
      <c r="KON19" s="201"/>
      <c r="KOO19" s="199" t="s">
        <v>7</v>
      </c>
      <c r="KOP19" s="200"/>
      <c r="KOQ19" s="200"/>
      <c r="KOR19" s="200"/>
      <c r="KOS19" s="200"/>
      <c r="KOT19" s="200"/>
      <c r="KOU19" s="200"/>
      <c r="KOV19" s="201"/>
      <c r="KOW19" s="199" t="s">
        <v>7</v>
      </c>
      <c r="KOX19" s="200"/>
      <c r="KOY19" s="200"/>
      <c r="KOZ19" s="200"/>
      <c r="KPA19" s="200"/>
      <c r="KPB19" s="200"/>
      <c r="KPC19" s="200"/>
      <c r="KPD19" s="201"/>
      <c r="KPE19" s="199" t="s">
        <v>7</v>
      </c>
      <c r="KPF19" s="200"/>
      <c r="KPG19" s="200"/>
      <c r="KPH19" s="200"/>
      <c r="KPI19" s="200"/>
      <c r="KPJ19" s="200"/>
      <c r="KPK19" s="200"/>
      <c r="KPL19" s="201"/>
      <c r="KPM19" s="199" t="s">
        <v>7</v>
      </c>
      <c r="KPN19" s="200"/>
      <c r="KPO19" s="200"/>
      <c r="KPP19" s="200"/>
      <c r="KPQ19" s="200"/>
      <c r="KPR19" s="200"/>
      <c r="KPS19" s="200"/>
      <c r="KPT19" s="201"/>
      <c r="KPU19" s="199" t="s">
        <v>7</v>
      </c>
      <c r="KPV19" s="200"/>
      <c r="KPW19" s="200"/>
      <c r="KPX19" s="200"/>
      <c r="KPY19" s="200"/>
      <c r="KPZ19" s="200"/>
      <c r="KQA19" s="200"/>
      <c r="KQB19" s="201"/>
      <c r="KQC19" s="199" t="s">
        <v>7</v>
      </c>
      <c r="KQD19" s="200"/>
      <c r="KQE19" s="200"/>
      <c r="KQF19" s="200"/>
      <c r="KQG19" s="200"/>
      <c r="KQH19" s="200"/>
      <c r="KQI19" s="200"/>
      <c r="KQJ19" s="201"/>
      <c r="KQK19" s="199" t="s">
        <v>7</v>
      </c>
      <c r="KQL19" s="200"/>
      <c r="KQM19" s="200"/>
      <c r="KQN19" s="200"/>
      <c r="KQO19" s="200"/>
      <c r="KQP19" s="200"/>
      <c r="KQQ19" s="200"/>
      <c r="KQR19" s="201"/>
      <c r="KQS19" s="199" t="s">
        <v>7</v>
      </c>
      <c r="KQT19" s="200"/>
      <c r="KQU19" s="200"/>
      <c r="KQV19" s="200"/>
      <c r="KQW19" s="200"/>
      <c r="KQX19" s="200"/>
      <c r="KQY19" s="200"/>
      <c r="KQZ19" s="201"/>
      <c r="KRA19" s="199" t="s">
        <v>7</v>
      </c>
      <c r="KRB19" s="200"/>
      <c r="KRC19" s="200"/>
      <c r="KRD19" s="200"/>
      <c r="KRE19" s="200"/>
      <c r="KRF19" s="200"/>
      <c r="KRG19" s="200"/>
      <c r="KRH19" s="201"/>
      <c r="KRI19" s="199" t="s">
        <v>7</v>
      </c>
      <c r="KRJ19" s="200"/>
      <c r="KRK19" s="200"/>
      <c r="KRL19" s="200"/>
      <c r="KRM19" s="200"/>
      <c r="KRN19" s="200"/>
      <c r="KRO19" s="200"/>
      <c r="KRP19" s="201"/>
      <c r="KRQ19" s="199" t="s">
        <v>7</v>
      </c>
      <c r="KRR19" s="200"/>
      <c r="KRS19" s="200"/>
      <c r="KRT19" s="200"/>
      <c r="KRU19" s="200"/>
      <c r="KRV19" s="200"/>
      <c r="KRW19" s="200"/>
      <c r="KRX19" s="201"/>
      <c r="KRY19" s="199" t="s">
        <v>7</v>
      </c>
      <c r="KRZ19" s="200"/>
      <c r="KSA19" s="200"/>
      <c r="KSB19" s="200"/>
      <c r="KSC19" s="200"/>
      <c r="KSD19" s="200"/>
      <c r="KSE19" s="200"/>
      <c r="KSF19" s="201"/>
      <c r="KSG19" s="199" t="s">
        <v>7</v>
      </c>
      <c r="KSH19" s="200"/>
      <c r="KSI19" s="200"/>
      <c r="KSJ19" s="200"/>
      <c r="KSK19" s="200"/>
      <c r="KSL19" s="200"/>
      <c r="KSM19" s="200"/>
      <c r="KSN19" s="201"/>
      <c r="KSO19" s="199" t="s">
        <v>7</v>
      </c>
      <c r="KSP19" s="200"/>
      <c r="KSQ19" s="200"/>
      <c r="KSR19" s="200"/>
      <c r="KSS19" s="200"/>
      <c r="KST19" s="200"/>
      <c r="KSU19" s="200"/>
      <c r="KSV19" s="201"/>
      <c r="KSW19" s="199" t="s">
        <v>7</v>
      </c>
      <c r="KSX19" s="200"/>
      <c r="KSY19" s="200"/>
      <c r="KSZ19" s="200"/>
      <c r="KTA19" s="200"/>
      <c r="KTB19" s="200"/>
      <c r="KTC19" s="200"/>
      <c r="KTD19" s="201"/>
      <c r="KTE19" s="199" t="s">
        <v>7</v>
      </c>
      <c r="KTF19" s="200"/>
      <c r="KTG19" s="200"/>
      <c r="KTH19" s="200"/>
      <c r="KTI19" s="200"/>
      <c r="KTJ19" s="200"/>
      <c r="KTK19" s="200"/>
      <c r="KTL19" s="201"/>
      <c r="KTM19" s="199" t="s">
        <v>7</v>
      </c>
      <c r="KTN19" s="200"/>
      <c r="KTO19" s="200"/>
      <c r="KTP19" s="200"/>
      <c r="KTQ19" s="200"/>
      <c r="KTR19" s="200"/>
      <c r="KTS19" s="200"/>
      <c r="KTT19" s="201"/>
      <c r="KTU19" s="199" t="s">
        <v>7</v>
      </c>
      <c r="KTV19" s="200"/>
      <c r="KTW19" s="200"/>
      <c r="KTX19" s="200"/>
      <c r="KTY19" s="200"/>
      <c r="KTZ19" s="200"/>
      <c r="KUA19" s="200"/>
      <c r="KUB19" s="201"/>
      <c r="KUC19" s="199" t="s">
        <v>7</v>
      </c>
      <c r="KUD19" s="200"/>
      <c r="KUE19" s="200"/>
      <c r="KUF19" s="200"/>
      <c r="KUG19" s="200"/>
      <c r="KUH19" s="200"/>
      <c r="KUI19" s="200"/>
      <c r="KUJ19" s="201"/>
      <c r="KUK19" s="199" t="s">
        <v>7</v>
      </c>
      <c r="KUL19" s="200"/>
      <c r="KUM19" s="200"/>
      <c r="KUN19" s="200"/>
      <c r="KUO19" s="200"/>
      <c r="KUP19" s="200"/>
      <c r="KUQ19" s="200"/>
      <c r="KUR19" s="201"/>
      <c r="KUS19" s="199" t="s">
        <v>7</v>
      </c>
      <c r="KUT19" s="200"/>
      <c r="KUU19" s="200"/>
      <c r="KUV19" s="200"/>
      <c r="KUW19" s="200"/>
      <c r="KUX19" s="200"/>
      <c r="KUY19" s="200"/>
      <c r="KUZ19" s="201"/>
      <c r="KVA19" s="199" t="s">
        <v>7</v>
      </c>
      <c r="KVB19" s="200"/>
      <c r="KVC19" s="200"/>
      <c r="KVD19" s="200"/>
      <c r="KVE19" s="200"/>
      <c r="KVF19" s="200"/>
      <c r="KVG19" s="200"/>
      <c r="KVH19" s="201"/>
      <c r="KVI19" s="199" t="s">
        <v>7</v>
      </c>
      <c r="KVJ19" s="200"/>
      <c r="KVK19" s="200"/>
      <c r="KVL19" s="200"/>
      <c r="KVM19" s="200"/>
      <c r="KVN19" s="200"/>
      <c r="KVO19" s="200"/>
      <c r="KVP19" s="201"/>
      <c r="KVQ19" s="199" t="s">
        <v>7</v>
      </c>
      <c r="KVR19" s="200"/>
      <c r="KVS19" s="200"/>
      <c r="KVT19" s="200"/>
      <c r="KVU19" s="200"/>
      <c r="KVV19" s="200"/>
      <c r="KVW19" s="200"/>
      <c r="KVX19" s="201"/>
      <c r="KVY19" s="199" t="s">
        <v>7</v>
      </c>
      <c r="KVZ19" s="200"/>
      <c r="KWA19" s="200"/>
      <c r="KWB19" s="200"/>
      <c r="KWC19" s="200"/>
      <c r="KWD19" s="200"/>
      <c r="KWE19" s="200"/>
      <c r="KWF19" s="201"/>
      <c r="KWG19" s="199" t="s">
        <v>7</v>
      </c>
      <c r="KWH19" s="200"/>
      <c r="KWI19" s="200"/>
      <c r="KWJ19" s="200"/>
      <c r="KWK19" s="200"/>
      <c r="KWL19" s="200"/>
      <c r="KWM19" s="200"/>
      <c r="KWN19" s="201"/>
      <c r="KWO19" s="199" t="s">
        <v>7</v>
      </c>
      <c r="KWP19" s="200"/>
      <c r="KWQ19" s="200"/>
      <c r="KWR19" s="200"/>
      <c r="KWS19" s="200"/>
      <c r="KWT19" s="200"/>
      <c r="KWU19" s="200"/>
      <c r="KWV19" s="201"/>
      <c r="KWW19" s="199" t="s">
        <v>7</v>
      </c>
      <c r="KWX19" s="200"/>
      <c r="KWY19" s="200"/>
      <c r="KWZ19" s="200"/>
      <c r="KXA19" s="200"/>
      <c r="KXB19" s="200"/>
      <c r="KXC19" s="200"/>
      <c r="KXD19" s="201"/>
      <c r="KXE19" s="199" t="s">
        <v>7</v>
      </c>
      <c r="KXF19" s="200"/>
      <c r="KXG19" s="200"/>
      <c r="KXH19" s="200"/>
      <c r="KXI19" s="200"/>
      <c r="KXJ19" s="200"/>
      <c r="KXK19" s="200"/>
      <c r="KXL19" s="201"/>
      <c r="KXM19" s="199" t="s">
        <v>7</v>
      </c>
      <c r="KXN19" s="200"/>
      <c r="KXO19" s="200"/>
      <c r="KXP19" s="200"/>
      <c r="KXQ19" s="200"/>
      <c r="KXR19" s="200"/>
      <c r="KXS19" s="200"/>
      <c r="KXT19" s="201"/>
      <c r="KXU19" s="199" t="s">
        <v>7</v>
      </c>
      <c r="KXV19" s="200"/>
      <c r="KXW19" s="200"/>
      <c r="KXX19" s="200"/>
      <c r="KXY19" s="200"/>
      <c r="KXZ19" s="200"/>
      <c r="KYA19" s="200"/>
      <c r="KYB19" s="201"/>
      <c r="KYC19" s="199" t="s">
        <v>7</v>
      </c>
      <c r="KYD19" s="200"/>
      <c r="KYE19" s="200"/>
      <c r="KYF19" s="200"/>
      <c r="KYG19" s="200"/>
      <c r="KYH19" s="200"/>
      <c r="KYI19" s="200"/>
      <c r="KYJ19" s="201"/>
      <c r="KYK19" s="199" t="s">
        <v>7</v>
      </c>
      <c r="KYL19" s="200"/>
      <c r="KYM19" s="200"/>
      <c r="KYN19" s="200"/>
      <c r="KYO19" s="200"/>
      <c r="KYP19" s="200"/>
      <c r="KYQ19" s="200"/>
      <c r="KYR19" s="201"/>
      <c r="KYS19" s="199" t="s">
        <v>7</v>
      </c>
      <c r="KYT19" s="200"/>
      <c r="KYU19" s="200"/>
      <c r="KYV19" s="200"/>
      <c r="KYW19" s="200"/>
      <c r="KYX19" s="200"/>
      <c r="KYY19" s="200"/>
      <c r="KYZ19" s="201"/>
      <c r="KZA19" s="199" t="s">
        <v>7</v>
      </c>
      <c r="KZB19" s="200"/>
      <c r="KZC19" s="200"/>
      <c r="KZD19" s="200"/>
      <c r="KZE19" s="200"/>
      <c r="KZF19" s="200"/>
      <c r="KZG19" s="200"/>
      <c r="KZH19" s="201"/>
      <c r="KZI19" s="199" t="s">
        <v>7</v>
      </c>
      <c r="KZJ19" s="200"/>
      <c r="KZK19" s="200"/>
      <c r="KZL19" s="200"/>
      <c r="KZM19" s="200"/>
      <c r="KZN19" s="200"/>
      <c r="KZO19" s="200"/>
      <c r="KZP19" s="201"/>
      <c r="KZQ19" s="199" t="s">
        <v>7</v>
      </c>
      <c r="KZR19" s="200"/>
      <c r="KZS19" s="200"/>
      <c r="KZT19" s="200"/>
      <c r="KZU19" s="200"/>
      <c r="KZV19" s="200"/>
      <c r="KZW19" s="200"/>
      <c r="KZX19" s="201"/>
      <c r="KZY19" s="199" t="s">
        <v>7</v>
      </c>
      <c r="KZZ19" s="200"/>
      <c r="LAA19" s="200"/>
      <c r="LAB19" s="200"/>
      <c r="LAC19" s="200"/>
      <c r="LAD19" s="200"/>
      <c r="LAE19" s="200"/>
      <c r="LAF19" s="201"/>
      <c r="LAG19" s="199" t="s">
        <v>7</v>
      </c>
      <c r="LAH19" s="200"/>
      <c r="LAI19" s="200"/>
      <c r="LAJ19" s="200"/>
      <c r="LAK19" s="200"/>
      <c r="LAL19" s="200"/>
      <c r="LAM19" s="200"/>
      <c r="LAN19" s="201"/>
      <c r="LAO19" s="199" t="s">
        <v>7</v>
      </c>
      <c r="LAP19" s="200"/>
      <c r="LAQ19" s="200"/>
      <c r="LAR19" s="200"/>
      <c r="LAS19" s="200"/>
      <c r="LAT19" s="200"/>
      <c r="LAU19" s="200"/>
      <c r="LAV19" s="201"/>
      <c r="LAW19" s="199" t="s">
        <v>7</v>
      </c>
      <c r="LAX19" s="200"/>
      <c r="LAY19" s="200"/>
      <c r="LAZ19" s="200"/>
      <c r="LBA19" s="200"/>
      <c r="LBB19" s="200"/>
      <c r="LBC19" s="200"/>
      <c r="LBD19" s="201"/>
      <c r="LBE19" s="199" t="s">
        <v>7</v>
      </c>
      <c r="LBF19" s="200"/>
      <c r="LBG19" s="200"/>
      <c r="LBH19" s="200"/>
      <c r="LBI19" s="200"/>
      <c r="LBJ19" s="200"/>
      <c r="LBK19" s="200"/>
      <c r="LBL19" s="201"/>
      <c r="LBM19" s="199" t="s">
        <v>7</v>
      </c>
      <c r="LBN19" s="200"/>
      <c r="LBO19" s="200"/>
      <c r="LBP19" s="200"/>
      <c r="LBQ19" s="200"/>
      <c r="LBR19" s="200"/>
      <c r="LBS19" s="200"/>
      <c r="LBT19" s="201"/>
      <c r="LBU19" s="199" t="s">
        <v>7</v>
      </c>
      <c r="LBV19" s="200"/>
      <c r="LBW19" s="200"/>
      <c r="LBX19" s="200"/>
      <c r="LBY19" s="200"/>
      <c r="LBZ19" s="200"/>
      <c r="LCA19" s="200"/>
      <c r="LCB19" s="201"/>
      <c r="LCC19" s="199" t="s">
        <v>7</v>
      </c>
      <c r="LCD19" s="200"/>
      <c r="LCE19" s="200"/>
      <c r="LCF19" s="200"/>
      <c r="LCG19" s="200"/>
      <c r="LCH19" s="200"/>
      <c r="LCI19" s="200"/>
      <c r="LCJ19" s="201"/>
      <c r="LCK19" s="199" t="s">
        <v>7</v>
      </c>
      <c r="LCL19" s="200"/>
      <c r="LCM19" s="200"/>
      <c r="LCN19" s="200"/>
      <c r="LCO19" s="200"/>
      <c r="LCP19" s="200"/>
      <c r="LCQ19" s="200"/>
      <c r="LCR19" s="201"/>
      <c r="LCS19" s="199" t="s">
        <v>7</v>
      </c>
      <c r="LCT19" s="200"/>
      <c r="LCU19" s="200"/>
      <c r="LCV19" s="200"/>
      <c r="LCW19" s="200"/>
      <c r="LCX19" s="200"/>
      <c r="LCY19" s="200"/>
      <c r="LCZ19" s="201"/>
      <c r="LDA19" s="199" t="s">
        <v>7</v>
      </c>
      <c r="LDB19" s="200"/>
      <c r="LDC19" s="200"/>
      <c r="LDD19" s="200"/>
      <c r="LDE19" s="200"/>
      <c r="LDF19" s="200"/>
      <c r="LDG19" s="200"/>
      <c r="LDH19" s="201"/>
      <c r="LDI19" s="199" t="s">
        <v>7</v>
      </c>
      <c r="LDJ19" s="200"/>
      <c r="LDK19" s="200"/>
      <c r="LDL19" s="200"/>
      <c r="LDM19" s="200"/>
      <c r="LDN19" s="200"/>
      <c r="LDO19" s="200"/>
      <c r="LDP19" s="201"/>
      <c r="LDQ19" s="199" t="s">
        <v>7</v>
      </c>
      <c r="LDR19" s="200"/>
      <c r="LDS19" s="200"/>
      <c r="LDT19" s="200"/>
      <c r="LDU19" s="200"/>
      <c r="LDV19" s="200"/>
      <c r="LDW19" s="200"/>
      <c r="LDX19" s="201"/>
      <c r="LDY19" s="199" t="s">
        <v>7</v>
      </c>
      <c r="LDZ19" s="200"/>
      <c r="LEA19" s="200"/>
      <c r="LEB19" s="200"/>
      <c r="LEC19" s="200"/>
      <c r="LED19" s="200"/>
      <c r="LEE19" s="200"/>
      <c r="LEF19" s="201"/>
      <c r="LEG19" s="199" t="s">
        <v>7</v>
      </c>
      <c r="LEH19" s="200"/>
      <c r="LEI19" s="200"/>
      <c r="LEJ19" s="200"/>
      <c r="LEK19" s="200"/>
      <c r="LEL19" s="200"/>
      <c r="LEM19" s="200"/>
      <c r="LEN19" s="201"/>
      <c r="LEO19" s="199" t="s">
        <v>7</v>
      </c>
      <c r="LEP19" s="200"/>
      <c r="LEQ19" s="200"/>
      <c r="LER19" s="200"/>
      <c r="LES19" s="200"/>
      <c r="LET19" s="200"/>
      <c r="LEU19" s="200"/>
      <c r="LEV19" s="201"/>
      <c r="LEW19" s="199" t="s">
        <v>7</v>
      </c>
      <c r="LEX19" s="200"/>
      <c r="LEY19" s="200"/>
      <c r="LEZ19" s="200"/>
      <c r="LFA19" s="200"/>
      <c r="LFB19" s="200"/>
      <c r="LFC19" s="200"/>
      <c r="LFD19" s="201"/>
      <c r="LFE19" s="199" t="s">
        <v>7</v>
      </c>
      <c r="LFF19" s="200"/>
      <c r="LFG19" s="200"/>
      <c r="LFH19" s="200"/>
      <c r="LFI19" s="200"/>
      <c r="LFJ19" s="200"/>
      <c r="LFK19" s="200"/>
      <c r="LFL19" s="201"/>
      <c r="LFM19" s="199" t="s">
        <v>7</v>
      </c>
      <c r="LFN19" s="200"/>
      <c r="LFO19" s="200"/>
      <c r="LFP19" s="200"/>
      <c r="LFQ19" s="200"/>
      <c r="LFR19" s="200"/>
      <c r="LFS19" s="200"/>
      <c r="LFT19" s="201"/>
      <c r="LFU19" s="199" t="s">
        <v>7</v>
      </c>
      <c r="LFV19" s="200"/>
      <c r="LFW19" s="200"/>
      <c r="LFX19" s="200"/>
      <c r="LFY19" s="200"/>
      <c r="LFZ19" s="200"/>
      <c r="LGA19" s="200"/>
      <c r="LGB19" s="201"/>
      <c r="LGC19" s="199" t="s">
        <v>7</v>
      </c>
      <c r="LGD19" s="200"/>
      <c r="LGE19" s="200"/>
      <c r="LGF19" s="200"/>
      <c r="LGG19" s="200"/>
      <c r="LGH19" s="200"/>
      <c r="LGI19" s="200"/>
      <c r="LGJ19" s="201"/>
      <c r="LGK19" s="199" t="s">
        <v>7</v>
      </c>
      <c r="LGL19" s="200"/>
      <c r="LGM19" s="200"/>
      <c r="LGN19" s="200"/>
      <c r="LGO19" s="200"/>
      <c r="LGP19" s="200"/>
      <c r="LGQ19" s="200"/>
      <c r="LGR19" s="201"/>
      <c r="LGS19" s="199" t="s">
        <v>7</v>
      </c>
      <c r="LGT19" s="200"/>
      <c r="LGU19" s="200"/>
      <c r="LGV19" s="200"/>
      <c r="LGW19" s="200"/>
      <c r="LGX19" s="200"/>
      <c r="LGY19" s="200"/>
      <c r="LGZ19" s="201"/>
      <c r="LHA19" s="199" t="s">
        <v>7</v>
      </c>
      <c r="LHB19" s="200"/>
      <c r="LHC19" s="200"/>
      <c r="LHD19" s="200"/>
      <c r="LHE19" s="200"/>
      <c r="LHF19" s="200"/>
      <c r="LHG19" s="200"/>
      <c r="LHH19" s="201"/>
      <c r="LHI19" s="199" t="s">
        <v>7</v>
      </c>
      <c r="LHJ19" s="200"/>
      <c r="LHK19" s="200"/>
      <c r="LHL19" s="200"/>
      <c r="LHM19" s="200"/>
      <c r="LHN19" s="200"/>
      <c r="LHO19" s="200"/>
      <c r="LHP19" s="201"/>
      <c r="LHQ19" s="199" t="s">
        <v>7</v>
      </c>
      <c r="LHR19" s="200"/>
      <c r="LHS19" s="200"/>
      <c r="LHT19" s="200"/>
      <c r="LHU19" s="200"/>
      <c r="LHV19" s="200"/>
      <c r="LHW19" s="200"/>
      <c r="LHX19" s="201"/>
      <c r="LHY19" s="199" t="s">
        <v>7</v>
      </c>
      <c r="LHZ19" s="200"/>
      <c r="LIA19" s="200"/>
      <c r="LIB19" s="200"/>
      <c r="LIC19" s="200"/>
      <c r="LID19" s="200"/>
      <c r="LIE19" s="200"/>
      <c r="LIF19" s="201"/>
      <c r="LIG19" s="199" t="s">
        <v>7</v>
      </c>
      <c r="LIH19" s="200"/>
      <c r="LII19" s="200"/>
      <c r="LIJ19" s="200"/>
      <c r="LIK19" s="200"/>
      <c r="LIL19" s="200"/>
      <c r="LIM19" s="200"/>
      <c r="LIN19" s="201"/>
      <c r="LIO19" s="199" t="s">
        <v>7</v>
      </c>
      <c r="LIP19" s="200"/>
      <c r="LIQ19" s="200"/>
      <c r="LIR19" s="200"/>
      <c r="LIS19" s="200"/>
      <c r="LIT19" s="200"/>
      <c r="LIU19" s="200"/>
      <c r="LIV19" s="201"/>
      <c r="LIW19" s="199" t="s">
        <v>7</v>
      </c>
      <c r="LIX19" s="200"/>
      <c r="LIY19" s="200"/>
      <c r="LIZ19" s="200"/>
      <c r="LJA19" s="200"/>
      <c r="LJB19" s="200"/>
      <c r="LJC19" s="200"/>
      <c r="LJD19" s="201"/>
      <c r="LJE19" s="199" t="s">
        <v>7</v>
      </c>
      <c r="LJF19" s="200"/>
      <c r="LJG19" s="200"/>
      <c r="LJH19" s="200"/>
      <c r="LJI19" s="200"/>
      <c r="LJJ19" s="200"/>
      <c r="LJK19" s="200"/>
      <c r="LJL19" s="201"/>
      <c r="LJM19" s="199" t="s">
        <v>7</v>
      </c>
      <c r="LJN19" s="200"/>
      <c r="LJO19" s="200"/>
      <c r="LJP19" s="200"/>
      <c r="LJQ19" s="200"/>
      <c r="LJR19" s="200"/>
      <c r="LJS19" s="200"/>
      <c r="LJT19" s="201"/>
      <c r="LJU19" s="199" t="s">
        <v>7</v>
      </c>
      <c r="LJV19" s="200"/>
      <c r="LJW19" s="200"/>
      <c r="LJX19" s="200"/>
      <c r="LJY19" s="200"/>
      <c r="LJZ19" s="200"/>
      <c r="LKA19" s="200"/>
      <c r="LKB19" s="201"/>
      <c r="LKC19" s="199" t="s">
        <v>7</v>
      </c>
      <c r="LKD19" s="200"/>
      <c r="LKE19" s="200"/>
      <c r="LKF19" s="200"/>
      <c r="LKG19" s="200"/>
      <c r="LKH19" s="200"/>
      <c r="LKI19" s="200"/>
      <c r="LKJ19" s="201"/>
      <c r="LKK19" s="199" t="s">
        <v>7</v>
      </c>
      <c r="LKL19" s="200"/>
      <c r="LKM19" s="200"/>
      <c r="LKN19" s="200"/>
      <c r="LKO19" s="200"/>
      <c r="LKP19" s="200"/>
      <c r="LKQ19" s="200"/>
      <c r="LKR19" s="201"/>
      <c r="LKS19" s="199" t="s">
        <v>7</v>
      </c>
      <c r="LKT19" s="200"/>
      <c r="LKU19" s="200"/>
      <c r="LKV19" s="200"/>
      <c r="LKW19" s="200"/>
      <c r="LKX19" s="200"/>
      <c r="LKY19" s="200"/>
      <c r="LKZ19" s="201"/>
      <c r="LLA19" s="199" t="s">
        <v>7</v>
      </c>
      <c r="LLB19" s="200"/>
      <c r="LLC19" s="200"/>
      <c r="LLD19" s="200"/>
      <c r="LLE19" s="200"/>
      <c r="LLF19" s="200"/>
      <c r="LLG19" s="200"/>
      <c r="LLH19" s="201"/>
      <c r="LLI19" s="199" t="s">
        <v>7</v>
      </c>
      <c r="LLJ19" s="200"/>
      <c r="LLK19" s="200"/>
      <c r="LLL19" s="200"/>
      <c r="LLM19" s="200"/>
      <c r="LLN19" s="200"/>
      <c r="LLO19" s="200"/>
      <c r="LLP19" s="201"/>
      <c r="LLQ19" s="199" t="s">
        <v>7</v>
      </c>
      <c r="LLR19" s="200"/>
      <c r="LLS19" s="200"/>
      <c r="LLT19" s="200"/>
      <c r="LLU19" s="200"/>
      <c r="LLV19" s="200"/>
      <c r="LLW19" s="200"/>
      <c r="LLX19" s="201"/>
      <c r="LLY19" s="199" t="s">
        <v>7</v>
      </c>
      <c r="LLZ19" s="200"/>
      <c r="LMA19" s="200"/>
      <c r="LMB19" s="200"/>
      <c r="LMC19" s="200"/>
      <c r="LMD19" s="200"/>
      <c r="LME19" s="200"/>
      <c r="LMF19" s="201"/>
      <c r="LMG19" s="199" t="s">
        <v>7</v>
      </c>
      <c r="LMH19" s="200"/>
      <c r="LMI19" s="200"/>
      <c r="LMJ19" s="200"/>
      <c r="LMK19" s="200"/>
      <c r="LML19" s="200"/>
      <c r="LMM19" s="200"/>
      <c r="LMN19" s="201"/>
      <c r="LMO19" s="199" t="s">
        <v>7</v>
      </c>
      <c r="LMP19" s="200"/>
      <c r="LMQ19" s="200"/>
      <c r="LMR19" s="200"/>
      <c r="LMS19" s="200"/>
      <c r="LMT19" s="200"/>
      <c r="LMU19" s="200"/>
      <c r="LMV19" s="201"/>
      <c r="LMW19" s="199" t="s">
        <v>7</v>
      </c>
      <c r="LMX19" s="200"/>
      <c r="LMY19" s="200"/>
      <c r="LMZ19" s="200"/>
      <c r="LNA19" s="200"/>
      <c r="LNB19" s="200"/>
      <c r="LNC19" s="200"/>
      <c r="LND19" s="201"/>
      <c r="LNE19" s="199" t="s">
        <v>7</v>
      </c>
      <c r="LNF19" s="200"/>
      <c r="LNG19" s="200"/>
      <c r="LNH19" s="200"/>
      <c r="LNI19" s="200"/>
      <c r="LNJ19" s="200"/>
      <c r="LNK19" s="200"/>
      <c r="LNL19" s="201"/>
      <c r="LNM19" s="199" t="s">
        <v>7</v>
      </c>
      <c r="LNN19" s="200"/>
      <c r="LNO19" s="200"/>
      <c r="LNP19" s="200"/>
      <c r="LNQ19" s="200"/>
      <c r="LNR19" s="200"/>
      <c r="LNS19" s="200"/>
      <c r="LNT19" s="201"/>
      <c r="LNU19" s="199" t="s">
        <v>7</v>
      </c>
      <c r="LNV19" s="200"/>
      <c r="LNW19" s="200"/>
      <c r="LNX19" s="200"/>
      <c r="LNY19" s="200"/>
      <c r="LNZ19" s="200"/>
      <c r="LOA19" s="200"/>
      <c r="LOB19" s="201"/>
      <c r="LOC19" s="199" t="s">
        <v>7</v>
      </c>
      <c r="LOD19" s="200"/>
      <c r="LOE19" s="200"/>
      <c r="LOF19" s="200"/>
      <c r="LOG19" s="200"/>
      <c r="LOH19" s="200"/>
      <c r="LOI19" s="200"/>
      <c r="LOJ19" s="201"/>
      <c r="LOK19" s="199" t="s">
        <v>7</v>
      </c>
      <c r="LOL19" s="200"/>
      <c r="LOM19" s="200"/>
      <c r="LON19" s="200"/>
      <c r="LOO19" s="200"/>
      <c r="LOP19" s="200"/>
      <c r="LOQ19" s="200"/>
      <c r="LOR19" s="201"/>
      <c r="LOS19" s="199" t="s">
        <v>7</v>
      </c>
      <c r="LOT19" s="200"/>
      <c r="LOU19" s="200"/>
      <c r="LOV19" s="200"/>
      <c r="LOW19" s="200"/>
      <c r="LOX19" s="200"/>
      <c r="LOY19" s="200"/>
      <c r="LOZ19" s="201"/>
      <c r="LPA19" s="199" t="s">
        <v>7</v>
      </c>
      <c r="LPB19" s="200"/>
      <c r="LPC19" s="200"/>
      <c r="LPD19" s="200"/>
      <c r="LPE19" s="200"/>
      <c r="LPF19" s="200"/>
      <c r="LPG19" s="200"/>
      <c r="LPH19" s="201"/>
      <c r="LPI19" s="199" t="s">
        <v>7</v>
      </c>
      <c r="LPJ19" s="200"/>
      <c r="LPK19" s="200"/>
      <c r="LPL19" s="200"/>
      <c r="LPM19" s="200"/>
      <c r="LPN19" s="200"/>
      <c r="LPO19" s="200"/>
      <c r="LPP19" s="201"/>
      <c r="LPQ19" s="199" t="s">
        <v>7</v>
      </c>
      <c r="LPR19" s="200"/>
      <c r="LPS19" s="200"/>
      <c r="LPT19" s="200"/>
      <c r="LPU19" s="200"/>
      <c r="LPV19" s="200"/>
      <c r="LPW19" s="200"/>
      <c r="LPX19" s="201"/>
      <c r="LPY19" s="199" t="s">
        <v>7</v>
      </c>
      <c r="LPZ19" s="200"/>
      <c r="LQA19" s="200"/>
      <c r="LQB19" s="200"/>
      <c r="LQC19" s="200"/>
      <c r="LQD19" s="200"/>
      <c r="LQE19" s="200"/>
      <c r="LQF19" s="201"/>
      <c r="LQG19" s="199" t="s">
        <v>7</v>
      </c>
      <c r="LQH19" s="200"/>
      <c r="LQI19" s="200"/>
      <c r="LQJ19" s="200"/>
      <c r="LQK19" s="200"/>
      <c r="LQL19" s="200"/>
      <c r="LQM19" s="200"/>
      <c r="LQN19" s="201"/>
      <c r="LQO19" s="199" t="s">
        <v>7</v>
      </c>
      <c r="LQP19" s="200"/>
      <c r="LQQ19" s="200"/>
      <c r="LQR19" s="200"/>
      <c r="LQS19" s="200"/>
      <c r="LQT19" s="200"/>
      <c r="LQU19" s="200"/>
      <c r="LQV19" s="201"/>
      <c r="LQW19" s="199" t="s">
        <v>7</v>
      </c>
      <c r="LQX19" s="200"/>
      <c r="LQY19" s="200"/>
      <c r="LQZ19" s="200"/>
      <c r="LRA19" s="200"/>
      <c r="LRB19" s="200"/>
      <c r="LRC19" s="200"/>
      <c r="LRD19" s="201"/>
      <c r="LRE19" s="199" t="s">
        <v>7</v>
      </c>
      <c r="LRF19" s="200"/>
      <c r="LRG19" s="200"/>
      <c r="LRH19" s="200"/>
      <c r="LRI19" s="200"/>
      <c r="LRJ19" s="200"/>
      <c r="LRK19" s="200"/>
      <c r="LRL19" s="201"/>
      <c r="LRM19" s="199" t="s">
        <v>7</v>
      </c>
      <c r="LRN19" s="200"/>
      <c r="LRO19" s="200"/>
      <c r="LRP19" s="200"/>
      <c r="LRQ19" s="200"/>
      <c r="LRR19" s="200"/>
      <c r="LRS19" s="200"/>
      <c r="LRT19" s="201"/>
      <c r="LRU19" s="199" t="s">
        <v>7</v>
      </c>
      <c r="LRV19" s="200"/>
      <c r="LRW19" s="200"/>
      <c r="LRX19" s="200"/>
      <c r="LRY19" s="200"/>
      <c r="LRZ19" s="200"/>
      <c r="LSA19" s="200"/>
      <c r="LSB19" s="201"/>
      <c r="LSC19" s="199" t="s">
        <v>7</v>
      </c>
      <c r="LSD19" s="200"/>
      <c r="LSE19" s="200"/>
      <c r="LSF19" s="200"/>
      <c r="LSG19" s="200"/>
      <c r="LSH19" s="200"/>
      <c r="LSI19" s="200"/>
      <c r="LSJ19" s="201"/>
      <c r="LSK19" s="199" t="s">
        <v>7</v>
      </c>
      <c r="LSL19" s="200"/>
      <c r="LSM19" s="200"/>
      <c r="LSN19" s="200"/>
      <c r="LSO19" s="200"/>
      <c r="LSP19" s="200"/>
      <c r="LSQ19" s="200"/>
      <c r="LSR19" s="201"/>
      <c r="LSS19" s="199" t="s">
        <v>7</v>
      </c>
      <c r="LST19" s="200"/>
      <c r="LSU19" s="200"/>
      <c r="LSV19" s="200"/>
      <c r="LSW19" s="200"/>
      <c r="LSX19" s="200"/>
      <c r="LSY19" s="200"/>
      <c r="LSZ19" s="201"/>
      <c r="LTA19" s="199" t="s">
        <v>7</v>
      </c>
      <c r="LTB19" s="200"/>
      <c r="LTC19" s="200"/>
      <c r="LTD19" s="200"/>
      <c r="LTE19" s="200"/>
      <c r="LTF19" s="200"/>
      <c r="LTG19" s="200"/>
      <c r="LTH19" s="201"/>
      <c r="LTI19" s="199" t="s">
        <v>7</v>
      </c>
      <c r="LTJ19" s="200"/>
      <c r="LTK19" s="200"/>
      <c r="LTL19" s="200"/>
      <c r="LTM19" s="200"/>
      <c r="LTN19" s="200"/>
      <c r="LTO19" s="200"/>
      <c r="LTP19" s="201"/>
      <c r="LTQ19" s="199" t="s">
        <v>7</v>
      </c>
      <c r="LTR19" s="200"/>
      <c r="LTS19" s="200"/>
      <c r="LTT19" s="200"/>
      <c r="LTU19" s="200"/>
      <c r="LTV19" s="200"/>
      <c r="LTW19" s="200"/>
      <c r="LTX19" s="201"/>
      <c r="LTY19" s="199" t="s">
        <v>7</v>
      </c>
      <c r="LTZ19" s="200"/>
      <c r="LUA19" s="200"/>
      <c r="LUB19" s="200"/>
      <c r="LUC19" s="200"/>
      <c r="LUD19" s="200"/>
      <c r="LUE19" s="200"/>
      <c r="LUF19" s="201"/>
      <c r="LUG19" s="199" t="s">
        <v>7</v>
      </c>
      <c r="LUH19" s="200"/>
      <c r="LUI19" s="200"/>
      <c r="LUJ19" s="200"/>
      <c r="LUK19" s="200"/>
      <c r="LUL19" s="200"/>
      <c r="LUM19" s="200"/>
      <c r="LUN19" s="201"/>
      <c r="LUO19" s="199" t="s">
        <v>7</v>
      </c>
      <c r="LUP19" s="200"/>
      <c r="LUQ19" s="200"/>
      <c r="LUR19" s="200"/>
      <c r="LUS19" s="200"/>
      <c r="LUT19" s="200"/>
      <c r="LUU19" s="200"/>
      <c r="LUV19" s="201"/>
      <c r="LUW19" s="199" t="s">
        <v>7</v>
      </c>
      <c r="LUX19" s="200"/>
      <c r="LUY19" s="200"/>
      <c r="LUZ19" s="200"/>
      <c r="LVA19" s="200"/>
      <c r="LVB19" s="200"/>
      <c r="LVC19" s="200"/>
      <c r="LVD19" s="201"/>
      <c r="LVE19" s="199" t="s">
        <v>7</v>
      </c>
      <c r="LVF19" s="200"/>
      <c r="LVG19" s="200"/>
      <c r="LVH19" s="200"/>
      <c r="LVI19" s="200"/>
      <c r="LVJ19" s="200"/>
      <c r="LVK19" s="200"/>
      <c r="LVL19" s="201"/>
      <c r="LVM19" s="199" t="s">
        <v>7</v>
      </c>
      <c r="LVN19" s="200"/>
      <c r="LVO19" s="200"/>
      <c r="LVP19" s="200"/>
      <c r="LVQ19" s="200"/>
      <c r="LVR19" s="200"/>
      <c r="LVS19" s="200"/>
      <c r="LVT19" s="201"/>
      <c r="LVU19" s="199" t="s">
        <v>7</v>
      </c>
      <c r="LVV19" s="200"/>
      <c r="LVW19" s="200"/>
      <c r="LVX19" s="200"/>
      <c r="LVY19" s="200"/>
      <c r="LVZ19" s="200"/>
      <c r="LWA19" s="200"/>
      <c r="LWB19" s="201"/>
      <c r="LWC19" s="199" t="s">
        <v>7</v>
      </c>
      <c r="LWD19" s="200"/>
      <c r="LWE19" s="200"/>
      <c r="LWF19" s="200"/>
      <c r="LWG19" s="200"/>
      <c r="LWH19" s="200"/>
      <c r="LWI19" s="200"/>
      <c r="LWJ19" s="201"/>
      <c r="LWK19" s="199" t="s">
        <v>7</v>
      </c>
      <c r="LWL19" s="200"/>
      <c r="LWM19" s="200"/>
      <c r="LWN19" s="200"/>
      <c r="LWO19" s="200"/>
      <c r="LWP19" s="200"/>
      <c r="LWQ19" s="200"/>
      <c r="LWR19" s="201"/>
      <c r="LWS19" s="199" t="s">
        <v>7</v>
      </c>
      <c r="LWT19" s="200"/>
      <c r="LWU19" s="200"/>
      <c r="LWV19" s="200"/>
      <c r="LWW19" s="200"/>
      <c r="LWX19" s="200"/>
      <c r="LWY19" s="200"/>
      <c r="LWZ19" s="201"/>
      <c r="LXA19" s="199" t="s">
        <v>7</v>
      </c>
      <c r="LXB19" s="200"/>
      <c r="LXC19" s="200"/>
      <c r="LXD19" s="200"/>
      <c r="LXE19" s="200"/>
      <c r="LXF19" s="200"/>
      <c r="LXG19" s="200"/>
      <c r="LXH19" s="201"/>
      <c r="LXI19" s="199" t="s">
        <v>7</v>
      </c>
      <c r="LXJ19" s="200"/>
      <c r="LXK19" s="200"/>
      <c r="LXL19" s="200"/>
      <c r="LXM19" s="200"/>
      <c r="LXN19" s="200"/>
      <c r="LXO19" s="200"/>
      <c r="LXP19" s="201"/>
      <c r="LXQ19" s="199" t="s">
        <v>7</v>
      </c>
      <c r="LXR19" s="200"/>
      <c r="LXS19" s="200"/>
      <c r="LXT19" s="200"/>
      <c r="LXU19" s="200"/>
      <c r="LXV19" s="200"/>
      <c r="LXW19" s="200"/>
      <c r="LXX19" s="201"/>
      <c r="LXY19" s="199" t="s">
        <v>7</v>
      </c>
      <c r="LXZ19" s="200"/>
      <c r="LYA19" s="200"/>
      <c r="LYB19" s="200"/>
      <c r="LYC19" s="200"/>
      <c r="LYD19" s="200"/>
      <c r="LYE19" s="200"/>
      <c r="LYF19" s="201"/>
      <c r="LYG19" s="199" t="s">
        <v>7</v>
      </c>
      <c r="LYH19" s="200"/>
      <c r="LYI19" s="200"/>
      <c r="LYJ19" s="200"/>
      <c r="LYK19" s="200"/>
      <c r="LYL19" s="200"/>
      <c r="LYM19" s="200"/>
      <c r="LYN19" s="201"/>
      <c r="LYO19" s="199" t="s">
        <v>7</v>
      </c>
      <c r="LYP19" s="200"/>
      <c r="LYQ19" s="200"/>
      <c r="LYR19" s="200"/>
      <c r="LYS19" s="200"/>
      <c r="LYT19" s="200"/>
      <c r="LYU19" s="200"/>
      <c r="LYV19" s="201"/>
      <c r="LYW19" s="199" t="s">
        <v>7</v>
      </c>
      <c r="LYX19" s="200"/>
      <c r="LYY19" s="200"/>
      <c r="LYZ19" s="200"/>
      <c r="LZA19" s="200"/>
      <c r="LZB19" s="200"/>
      <c r="LZC19" s="200"/>
      <c r="LZD19" s="201"/>
      <c r="LZE19" s="199" t="s">
        <v>7</v>
      </c>
      <c r="LZF19" s="200"/>
      <c r="LZG19" s="200"/>
      <c r="LZH19" s="200"/>
      <c r="LZI19" s="200"/>
      <c r="LZJ19" s="200"/>
      <c r="LZK19" s="200"/>
      <c r="LZL19" s="201"/>
      <c r="LZM19" s="199" t="s">
        <v>7</v>
      </c>
      <c r="LZN19" s="200"/>
      <c r="LZO19" s="200"/>
      <c r="LZP19" s="200"/>
      <c r="LZQ19" s="200"/>
      <c r="LZR19" s="200"/>
      <c r="LZS19" s="200"/>
      <c r="LZT19" s="201"/>
      <c r="LZU19" s="199" t="s">
        <v>7</v>
      </c>
      <c r="LZV19" s="200"/>
      <c r="LZW19" s="200"/>
      <c r="LZX19" s="200"/>
      <c r="LZY19" s="200"/>
      <c r="LZZ19" s="200"/>
      <c r="MAA19" s="200"/>
      <c r="MAB19" s="201"/>
      <c r="MAC19" s="199" t="s">
        <v>7</v>
      </c>
      <c r="MAD19" s="200"/>
      <c r="MAE19" s="200"/>
      <c r="MAF19" s="200"/>
      <c r="MAG19" s="200"/>
      <c r="MAH19" s="200"/>
      <c r="MAI19" s="200"/>
      <c r="MAJ19" s="201"/>
      <c r="MAK19" s="199" t="s">
        <v>7</v>
      </c>
      <c r="MAL19" s="200"/>
      <c r="MAM19" s="200"/>
      <c r="MAN19" s="200"/>
      <c r="MAO19" s="200"/>
      <c r="MAP19" s="200"/>
      <c r="MAQ19" s="200"/>
      <c r="MAR19" s="201"/>
      <c r="MAS19" s="199" t="s">
        <v>7</v>
      </c>
      <c r="MAT19" s="200"/>
      <c r="MAU19" s="200"/>
      <c r="MAV19" s="200"/>
      <c r="MAW19" s="200"/>
      <c r="MAX19" s="200"/>
      <c r="MAY19" s="200"/>
      <c r="MAZ19" s="201"/>
      <c r="MBA19" s="199" t="s">
        <v>7</v>
      </c>
      <c r="MBB19" s="200"/>
      <c r="MBC19" s="200"/>
      <c r="MBD19" s="200"/>
      <c r="MBE19" s="200"/>
      <c r="MBF19" s="200"/>
      <c r="MBG19" s="200"/>
      <c r="MBH19" s="201"/>
      <c r="MBI19" s="199" t="s">
        <v>7</v>
      </c>
      <c r="MBJ19" s="200"/>
      <c r="MBK19" s="200"/>
      <c r="MBL19" s="200"/>
      <c r="MBM19" s="200"/>
      <c r="MBN19" s="200"/>
      <c r="MBO19" s="200"/>
      <c r="MBP19" s="201"/>
      <c r="MBQ19" s="199" t="s">
        <v>7</v>
      </c>
      <c r="MBR19" s="200"/>
      <c r="MBS19" s="200"/>
      <c r="MBT19" s="200"/>
      <c r="MBU19" s="200"/>
      <c r="MBV19" s="200"/>
      <c r="MBW19" s="200"/>
      <c r="MBX19" s="201"/>
      <c r="MBY19" s="199" t="s">
        <v>7</v>
      </c>
      <c r="MBZ19" s="200"/>
      <c r="MCA19" s="200"/>
      <c r="MCB19" s="200"/>
      <c r="MCC19" s="200"/>
      <c r="MCD19" s="200"/>
      <c r="MCE19" s="200"/>
      <c r="MCF19" s="201"/>
      <c r="MCG19" s="199" t="s">
        <v>7</v>
      </c>
      <c r="MCH19" s="200"/>
      <c r="MCI19" s="200"/>
      <c r="MCJ19" s="200"/>
      <c r="MCK19" s="200"/>
      <c r="MCL19" s="200"/>
      <c r="MCM19" s="200"/>
      <c r="MCN19" s="201"/>
      <c r="MCO19" s="199" t="s">
        <v>7</v>
      </c>
      <c r="MCP19" s="200"/>
      <c r="MCQ19" s="200"/>
      <c r="MCR19" s="200"/>
      <c r="MCS19" s="200"/>
      <c r="MCT19" s="200"/>
      <c r="MCU19" s="200"/>
      <c r="MCV19" s="201"/>
      <c r="MCW19" s="199" t="s">
        <v>7</v>
      </c>
      <c r="MCX19" s="200"/>
      <c r="MCY19" s="200"/>
      <c r="MCZ19" s="200"/>
      <c r="MDA19" s="200"/>
      <c r="MDB19" s="200"/>
      <c r="MDC19" s="200"/>
      <c r="MDD19" s="201"/>
      <c r="MDE19" s="199" t="s">
        <v>7</v>
      </c>
      <c r="MDF19" s="200"/>
      <c r="MDG19" s="200"/>
      <c r="MDH19" s="200"/>
      <c r="MDI19" s="200"/>
      <c r="MDJ19" s="200"/>
      <c r="MDK19" s="200"/>
      <c r="MDL19" s="201"/>
      <c r="MDM19" s="199" t="s">
        <v>7</v>
      </c>
      <c r="MDN19" s="200"/>
      <c r="MDO19" s="200"/>
      <c r="MDP19" s="200"/>
      <c r="MDQ19" s="200"/>
      <c r="MDR19" s="200"/>
      <c r="MDS19" s="200"/>
      <c r="MDT19" s="201"/>
      <c r="MDU19" s="199" t="s">
        <v>7</v>
      </c>
      <c r="MDV19" s="200"/>
      <c r="MDW19" s="200"/>
      <c r="MDX19" s="200"/>
      <c r="MDY19" s="200"/>
      <c r="MDZ19" s="200"/>
      <c r="MEA19" s="200"/>
      <c r="MEB19" s="201"/>
      <c r="MEC19" s="199" t="s">
        <v>7</v>
      </c>
      <c r="MED19" s="200"/>
      <c r="MEE19" s="200"/>
      <c r="MEF19" s="200"/>
      <c r="MEG19" s="200"/>
      <c r="MEH19" s="200"/>
      <c r="MEI19" s="200"/>
      <c r="MEJ19" s="201"/>
      <c r="MEK19" s="199" t="s">
        <v>7</v>
      </c>
      <c r="MEL19" s="200"/>
      <c r="MEM19" s="200"/>
      <c r="MEN19" s="200"/>
      <c r="MEO19" s="200"/>
      <c r="MEP19" s="200"/>
      <c r="MEQ19" s="200"/>
      <c r="MER19" s="201"/>
      <c r="MES19" s="199" t="s">
        <v>7</v>
      </c>
      <c r="MET19" s="200"/>
      <c r="MEU19" s="200"/>
      <c r="MEV19" s="200"/>
      <c r="MEW19" s="200"/>
      <c r="MEX19" s="200"/>
      <c r="MEY19" s="200"/>
      <c r="MEZ19" s="201"/>
      <c r="MFA19" s="199" t="s">
        <v>7</v>
      </c>
      <c r="MFB19" s="200"/>
      <c r="MFC19" s="200"/>
      <c r="MFD19" s="200"/>
      <c r="MFE19" s="200"/>
      <c r="MFF19" s="200"/>
      <c r="MFG19" s="200"/>
      <c r="MFH19" s="201"/>
      <c r="MFI19" s="199" t="s">
        <v>7</v>
      </c>
      <c r="MFJ19" s="200"/>
      <c r="MFK19" s="200"/>
      <c r="MFL19" s="200"/>
      <c r="MFM19" s="200"/>
      <c r="MFN19" s="200"/>
      <c r="MFO19" s="200"/>
      <c r="MFP19" s="201"/>
      <c r="MFQ19" s="199" t="s">
        <v>7</v>
      </c>
      <c r="MFR19" s="200"/>
      <c r="MFS19" s="200"/>
      <c r="MFT19" s="200"/>
      <c r="MFU19" s="200"/>
      <c r="MFV19" s="200"/>
      <c r="MFW19" s="200"/>
      <c r="MFX19" s="201"/>
      <c r="MFY19" s="199" t="s">
        <v>7</v>
      </c>
      <c r="MFZ19" s="200"/>
      <c r="MGA19" s="200"/>
      <c r="MGB19" s="200"/>
      <c r="MGC19" s="200"/>
      <c r="MGD19" s="200"/>
      <c r="MGE19" s="200"/>
      <c r="MGF19" s="201"/>
      <c r="MGG19" s="199" t="s">
        <v>7</v>
      </c>
      <c r="MGH19" s="200"/>
      <c r="MGI19" s="200"/>
      <c r="MGJ19" s="200"/>
      <c r="MGK19" s="200"/>
      <c r="MGL19" s="200"/>
      <c r="MGM19" s="200"/>
      <c r="MGN19" s="201"/>
      <c r="MGO19" s="199" t="s">
        <v>7</v>
      </c>
      <c r="MGP19" s="200"/>
      <c r="MGQ19" s="200"/>
      <c r="MGR19" s="200"/>
      <c r="MGS19" s="200"/>
      <c r="MGT19" s="200"/>
      <c r="MGU19" s="200"/>
      <c r="MGV19" s="201"/>
      <c r="MGW19" s="199" t="s">
        <v>7</v>
      </c>
      <c r="MGX19" s="200"/>
      <c r="MGY19" s="200"/>
      <c r="MGZ19" s="200"/>
      <c r="MHA19" s="200"/>
      <c r="MHB19" s="200"/>
      <c r="MHC19" s="200"/>
      <c r="MHD19" s="201"/>
      <c r="MHE19" s="199" t="s">
        <v>7</v>
      </c>
      <c r="MHF19" s="200"/>
      <c r="MHG19" s="200"/>
      <c r="MHH19" s="200"/>
      <c r="MHI19" s="200"/>
      <c r="MHJ19" s="200"/>
      <c r="MHK19" s="200"/>
      <c r="MHL19" s="201"/>
      <c r="MHM19" s="199" t="s">
        <v>7</v>
      </c>
      <c r="MHN19" s="200"/>
      <c r="MHO19" s="200"/>
      <c r="MHP19" s="200"/>
      <c r="MHQ19" s="200"/>
      <c r="MHR19" s="200"/>
      <c r="MHS19" s="200"/>
      <c r="MHT19" s="201"/>
      <c r="MHU19" s="199" t="s">
        <v>7</v>
      </c>
      <c r="MHV19" s="200"/>
      <c r="MHW19" s="200"/>
      <c r="MHX19" s="200"/>
      <c r="MHY19" s="200"/>
      <c r="MHZ19" s="200"/>
      <c r="MIA19" s="200"/>
      <c r="MIB19" s="201"/>
      <c r="MIC19" s="199" t="s">
        <v>7</v>
      </c>
      <c r="MID19" s="200"/>
      <c r="MIE19" s="200"/>
      <c r="MIF19" s="200"/>
      <c r="MIG19" s="200"/>
      <c r="MIH19" s="200"/>
      <c r="MII19" s="200"/>
      <c r="MIJ19" s="201"/>
      <c r="MIK19" s="199" t="s">
        <v>7</v>
      </c>
      <c r="MIL19" s="200"/>
      <c r="MIM19" s="200"/>
      <c r="MIN19" s="200"/>
      <c r="MIO19" s="200"/>
      <c r="MIP19" s="200"/>
      <c r="MIQ19" s="200"/>
      <c r="MIR19" s="201"/>
      <c r="MIS19" s="199" t="s">
        <v>7</v>
      </c>
      <c r="MIT19" s="200"/>
      <c r="MIU19" s="200"/>
      <c r="MIV19" s="200"/>
      <c r="MIW19" s="200"/>
      <c r="MIX19" s="200"/>
      <c r="MIY19" s="200"/>
      <c r="MIZ19" s="201"/>
      <c r="MJA19" s="199" t="s">
        <v>7</v>
      </c>
      <c r="MJB19" s="200"/>
      <c r="MJC19" s="200"/>
      <c r="MJD19" s="200"/>
      <c r="MJE19" s="200"/>
      <c r="MJF19" s="200"/>
      <c r="MJG19" s="200"/>
      <c r="MJH19" s="201"/>
      <c r="MJI19" s="199" t="s">
        <v>7</v>
      </c>
      <c r="MJJ19" s="200"/>
      <c r="MJK19" s="200"/>
      <c r="MJL19" s="200"/>
      <c r="MJM19" s="200"/>
      <c r="MJN19" s="200"/>
      <c r="MJO19" s="200"/>
      <c r="MJP19" s="201"/>
      <c r="MJQ19" s="199" t="s">
        <v>7</v>
      </c>
      <c r="MJR19" s="200"/>
      <c r="MJS19" s="200"/>
      <c r="MJT19" s="200"/>
      <c r="MJU19" s="200"/>
      <c r="MJV19" s="200"/>
      <c r="MJW19" s="200"/>
      <c r="MJX19" s="201"/>
      <c r="MJY19" s="199" t="s">
        <v>7</v>
      </c>
      <c r="MJZ19" s="200"/>
      <c r="MKA19" s="200"/>
      <c r="MKB19" s="200"/>
      <c r="MKC19" s="200"/>
      <c r="MKD19" s="200"/>
      <c r="MKE19" s="200"/>
      <c r="MKF19" s="201"/>
      <c r="MKG19" s="199" t="s">
        <v>7</v>
      </c>
      <c r="MKH19" s="200"/>
      <c r="MKI19" s="200"/>
      <c r="MKJ19" s="200"/>
      <c r="MKK19" s="200"/>
      <c r="MKL19" s="200"/>
      <c r="MKM19" s="200"/>
      <c r="MKN19" s="201"/>
      <c r="MKO19" s="199" t="s">
        <v>7</v>
      </c>
      <c r="MKP19" s="200"/>
      <c r="MKQ19" s="200"/>
      <c r="MKR19" s="200"/>
      <c r="MKS19" s="200"/>
      <c r="MKT19" s="200"/>
      <c r="MKU19" s="200"/>
      <c r="MKV19" s="201"/>
      <c r="MKW19" s="199" t="s">
        <v>7</v>
      </c>
      <c r="MKX19" s="200"/>
      <c r="MKY19" s="200"/>
      <c r="MKZ19" s="200"/>
      <c r="MLA19" s="200"/>
      <c r="MLB19" s="200"/>
      <c r="MLC19" s="200"/>
      <c r="MLD19" s="201"/>
      <c r="MLE19" s="199" t="s">
        <v>7</v>
      </c>
      <c r="MLF19" s="200"/>
      <c r="MLG19" s="200"/>
      <c r="MLH19" s="200"/>
      <c r="MLI19" s="200"/>
      <c r="MLJ19" s="200"/>
      <c r="MLK19" s="200"/>
      <c r="MLL19" s="201"/>
      <c r="MLM19" s="199" t="s">
        <v>7</v>
      </c>
      <c r="MLN19" s="200"/>
      <c r="MLO19" s="200"/>
      <c r="MLP19" s="200"/>
      <c r="MLQ19" s="200"/>
      <c r="MLR19" s="200"/>
      <c r="MLS19" s="200"/>
      <c r="MLT19" s="201"/>
      <c r="MLU19" s="199" t="s">
        <v>7</v>
      </c>
      <c r="MLV19" s="200"/>
      <c r="MLW19" s="200"/>
      <c r="MLX19" s="200"/>
      <c r="MLY19" s="200"/>
      <c r="MLZ19" s="200"/>
      <c r="MMA19" s="200"/>
      <c r="MMB19" s="201"/>
      <c r="MMC19" s="199" t="s">
        <v>7</v>
      </c>
      <c r="MMD19" s="200"/>
      <c r="MME19" s="200"/>
      <c r="MMF19" s="200"/>
      <c r="MMG19" s="200"/>
      <c r="MMH19" s="200"/>
      <c r="MMI19" s="200"/>
      <c r="MMJ19" s="201"/>
      <c r="MMK19" s="199" t="s">
        <v>7</v>
      </c>
      <c r="MML19" s="200"/>
      <c r="MMM19" s="200"/>
      <c r="MMN19" s="200"/>
      <c r="MMO19" s="200"/>
      <c r="MMP19" s="200"/>
      <c r="MMQ19" s="200"/>
      <c r="MMR19" s="201"/>
      <c r="MMS19" s="199" t="s">
        <v>7</v>
      </c>
      <c r="MMT19" s="200"/>
      <c r="MMU19" s="200"/>
      <c r="MMV19" s="200"/>
      <c r="MMW19" s="200"/>
      <c r="MMX19" s="200"/>
      <c r="MMY19" s="200"/>
      <c r="MMZ19" s="201"/>
      <c r="MNA19" s="199" t="s">
        <v>7</v>
      </c>
      <c r="MNB19" s="200"/>
      <c r="MNC19" s="200"/>
      <c r="MND19" s="200"/>
      <c r="MNE19" s="200"/>
      <c r="MNF19" s="200"/>
      <c r="MNG19" s="200"/>
      <c r="MNH19" s="201"/>
      <c r="MNI19" s="199" t="s">
        <v>7</v>
      </c>
      <c r="MNJ19" s="200"/>
      <c r="MNK19" s="200"/>
      <c r="MNL19" s="200"/>
      <c r="MNM19" s="200"/>
      <c r="MNN19" s="200"/>
      <c r="MNO19" s="200"/>
      <c r="MNP19" s="201"/>
      <c r="MNQ19" s="199" t="s">
        <v>7</v>
      </c>
      <c r="MNR19" s="200"/>
      <c r="MNS19" s="200"/>
      <c r="MNT19" s="200"/>
      <c r="MNU19" s="200"/>
      <c r="MNV19" s="200"/>
      <c r="MNW19" s="200"/>
      <c r="MNX19" s="201"/>
      <c r="MNY19" s="199" t="s">
        <v>7</v>
      </c>
      <c r="MNZ19" s="200"/>
      <c r="MOA19" s="200"/>
      <c r="MOB19" s="200"/>
      <c r="MOC19" s="200"/>
      <c r="MOD19" s="200"/>
      <c r="MOE19" s="200"/>
      <c r="MOF19" s="201"/>
      <c r="MOG19" s="199" t="s">
        <v>7</v>
      </c>
      <c r="MOH19" s="200"/>
      <c r="MOI19" s="200"/>
      <c r="MOJ19" s="200"/>
      <c r="MOK19" s="200"/>
      <c r="MOL19" s="200"/>
      <c r="MOM19" s="200"/>
      <c r="MON19" s="201"/>
      <c r="MOO19" s="199" t="s">
        <v>7</v>
      </c>
      <c r="MOP19" s="200"/>
      <c r="MOQ19" s="200"/>
      <c r="MOR19" s="200"/>
      <c r="MOS19" s="200"/>
      <c r="MOT19" s="200"/>
      <c r="MOU19" s="200"/>
      <c r="MOV19" s="201"/>
      <c r="MOW19" s="199" t="s">
        <v>7</v>
      </c>
      <c r="MOX19" s="200"/>
      <c r="MOY19" s="200"/>
      <c r="MOZ19" s="200"/>
      <c r="MPA19" s="200"/>
      <c r="MPB19" s="200"/>
      <c r="MPC19" s="200"/>
      <c r="MPD19" s="201"/>
      <c r="MPE19" s="199" t="s">
        <v>7</v>
      </c>
      <c r="MPF19" s="200"/>
      <c r="MPG19" s="200"/>
      <c r="MPH19" s="200"/>
      <c r="MPI19" s="200"/>
      <c r="MPJ19" s="200"/>
      <c r="MPK19" s="200"/>
      <c r="MPL19" s="201"/>
      <c r="MPM19" s="199" t="s">
        <v>7</v>
      </c>
      <c r="MPN19" s="200"/>
      <c r="MPO19" s="200"/>
      <c r="MPP19" s="200"/>
      <c r="MPQ19" s="200"/>
      <c r="MPR19" s="200"/>
      <c r="MPS19" s="200"/>
      <c r="MPT19" s="201"/>
      <c r="MPU19" s="199" t="s">
        <v>7</v>
      </c>
      <c r="MPV19" s="200"/>
      <c r="MPW19" s="200"/>
      <c r="MPX19" s="200"/>
      <c r="MPY19" s="200"/>
      <c r="MPZ19" s="200"/>
      <c r="MQA19" s="200"/>
      <c r="MQB19" s="201"/>
      <c r="MQC19" s="199" t="s">
        <v>7</v>
      </c>
      <c r="MQD19" s="200"/>
      <c r="MQE19" s="200"/>
      <c r="MQF19" s="200"/>
      <c r="MQG19" s="200"/>
      <c r="MQH19" s="200"/>
      <c r="MQI19" s="200"/>
      <c r="MQJ19" s="201"/>
      <c r="MQK19" s="199" t="s">
        <v>7</v>
      </c>
      <c r="MQL19" s="200"/>
      <c r="MQM19" s="200"/>
      <c r="MQN19" s="200"/>
      <c r="MQO19" s="200"/>
      <c r="MQP19" s="200"/>
      <c r="MQQ19" s="200"/>
      <c r="MQR19" s="201"/>
      <c r="MQS19" s="199" t="s">
        <v>7</v>
      </c>
      <c r="MQT19" s="200"/>
      <c r="MQU19" s="200"/>
      <c r="MQV19" s="200"/>
      <c r="MQW19" s="200"/>
      <c r="MQX19" s="200"/>
      <c r="MQY19" s="200"/>
      <c r="MQZ19" s="201"/>
      <c r="MRA19" s="199" t="s">
        <v>7</v>
      </c>
      <c r="MRB19" s="200"/>
      <c r="MRC19" s="200"/>
      <c r="MRD19" s="200"/>
      <c r="MRE19" s="200"/>
      <c r="MRF19" s="200"/>
      <c r="MRG19" s="200"/>
      <c r="MRH19" s="201"/>
      <c r="MRI19" s="199" t="s">
        <v>7</v>
      </c>
      <c r="MRJ19" s="200"/>
      <c r="MRK19" s="200"/>
      <c r="MRL19" s="200"/>
      <c r="MRM19" s="200"/>
      <c r="MRN19" s="200"/>
      <c r="MRO19" s="200"/>
      <c r="MRP19" s="201"/>
      <c r="MRQ19" s="199" t="s">
        <v>7</v>
      </c>
      <c r="MRR19" s="200"/>
      <c r="MRS19" s="200"/>
      <c r="MRT19" s="200"/>
      <c r="MRU19" s="200"/>
      <c r="MRV19" s="200"/>
      <c r="MRW19" s="200"/>
      <c r="MRX19" s="201"/>
      <c r="MRY19" s="199" t="s">
        <v>7</v>
      </c>
      <c r="MRZ19" s="200"/>
      <c r="MSA19" s="200"/>
      <c r="MSB19" s="200"/>
      <c r="MSC19" s="200"/>
      <c r="MSD19" s="200"/>
      <c r="MSE19" s="200"/>
      <c r="MSF19" s="201"/>
      <c r="MSG19" s="199" t="s">
        <v>7</v>
      </c>
      <c r="MSH19" s="200"/>
      <c r="MSI19" s="200"/>
      <c r="MSJ19" s="200"/>
      <c r="MSK19" s="200"/>
      <c r="MSL19" s="200"/>
      <c r="MSM19" s="200"/>
      <c r="MSN19" s="201"/>
      <c r="MSO19" s="199" t="s">
        <v>7</v>
      </c>
      <c r="MSP19" s="200"/>
      <c r="MSQ19" s="200"/>
      <c r="MSR19" s="200"/>
      <c r="MSS19" s="200"/>
      <c r="MST19" s="200"/>
      <c r="MSU19" s="200"/>
      <c r="MSV19" s="201"/>
      <c r="MSW19" s="199" t="s">
        <v>7</v>
      </c>
      <c r="MSX19" s="200"/>
      <c r="MSY19" s="200"/>
      <c r="MSZ19" s="200"/>
      <c r="MTA19" s="200"/>
      <c r="MTB19" s="200"/>
      <c r="MTC19" s="200"/>
      <c r="MTD19" s="201"/>
      <c r="MTE19" s="199" t="s">
        <v>7</v>
      </c>
      <c r="MTF19" s="200"/>
      <c r="MTG19" s="200"/>
      <c r="MTH19" s="200"/>
      <c r="MTI19" s="200"/>
      <c r="MTJ19" s="200"/>
      <c r="MTK19" s="200"/>
      <c r="MTL19" s="201"/>
      <c r="MTM19" s="199" t="s">
        <v>7</v>
      </c>
      <c r="MTN19" s="200"/>
      <c r="MTO19" s="200"/>
      <c r="MTP19" s="200"/>
      <c r="MTQ19" s="200"/>
      <c r="MTR19" s="200"/>
      <c r="MTS19" s="200"/>
      <c r="MTT19" s="201"/>
      <c r="MTU19" s="199" t="s">
        <v>7</v>
      </c>
      <c r="MTV19" s="200"/>
      <c r="MTW19" s="200"/>
      <c r="MTX19" s="200"/>
      <c r="MTY19" s="200"/>
      <c r="MTZ19" s="200"/>
      <c r="MUA19" s="200"/>
      <c r="MUB19" s="201"/>
      <c r="MUC19" s="199" t="s">
        <v>7</v>
      </c>
      <c r="MUD19" s="200"/>
      <c r="MUE19" s="200"/>
      <c r="MUF19" s="200"/>
      <c r="MUG19" s="200"/>
      <c r="MUH19" s="200"/>
      <c r="MUI19" s="200"/>
      <c r="MUJ19" s="201"/>
      <c r="MUK19" s="199" t="s">
        <v>7</v>
      </c>
      <c r="MUL19" s="200"/>
      <c r="MUM19" s="200"/>
      <c r="MUN19" s="200"/>
      <c r="MUO19" s="200"/>
      <c r="MUP19" s="200"/>
      <c r="MUQ19" s="200"/>
      <c r="MUR19" s="201"/>
      <c r="MUS19" s="199" t="s">
        <v>7</v>
      </c>
      <c r="MUT19" s="200"/>
      <c r="MUU19" s="200"/>
      <c r="MUV19" s="200"/>
      <c r="MUW19" s="200"/>
      <c r="MUX19" s="200"/>
      <c r="MUY19" s="200"/>
      <c r="MUZ19" s="201"/>
      <c r="MVA19" s="199" t="s">
        <v>7</v>
      </c>
      <c r="MVB19" s="200"/>
      <c r="MVC19" s="200"/>
      <c r="MVD19" s="200"/>
      <c r="MVE19" s="200"/>
      <c r="MVF19" s="200"/>
      <c r="MVG19" s="200"/>
      <c r="MVH19" s="201"/>
      <c r="MVI19" s="199" t="s">
        <v>7</v>
      </c>
      <c r="MVJ19" s="200"/>
      <c r="MVK19" s="200"/>
      <c r="MVL19" s="200"/>
      <c r="MVM19" s="200"/>
      <c r="MVN19" s="200"/>
      <c r="MVO19" s="200"/>
      <c r="MVP19" s="201"/>
      <c r="MVQ19" s="199" t="s">
        <v>7</v>
      </c>
      <c r="MVR19" s="200"/>
      <c r="MVS19" s="200"/>
      <c r="MVT19" s="200"/>
      <c r="MVU19" s="200"/>
      <c r="MVV19" s="200"/>
      <c r="MVW19" s="200"/>
      <c r="MVX19" s="201"/>
      <c r="MVY19" s="199" t="s">
        <v>7</v>
      </c>
      <c r="MVZ19" s="200"/>
      <c r="MWA19" s="200"/>
      <c r="MWB19" s="200"/>
      <c r="MWC19" s="200"/>
      <c r="MWD19" s="200"/>
      <c r="MWE19" s="200"/>
      <c r="MWF19" s="201"/>
      <c r="MWG19" s="199" t="s">
        <v>7</v>
      </c>
      <c r="MWH19" s="200"/>
      <c r="MWI19" s="200"/>
      <c r="MWJ19" s="200"/>
      <c r="MWK19" s="200"/>
      <c r="MWL19" s="200"/>
      <c r="MWM19" s="200"/>
      <c r="MWN19" s="201"/>
      <c r="MWO19" s="199" t="s">
        <v>7</v>
      </c>
      <c r="MWP19" s="200"/>
      <c r="MWQ19" s="200"/>
      <c r="MWR19" s="200"/>
      <c r="MWS19" s="200"/>
      <c r="MWT19" s="200"/>
      <c r="MWU19" s="200"/>
      <c r="MWV19" s="201"/>
      <c r="MWW19" s="199" t="s">
        <v>7</v>
      </c>
      <c r="MWX19" s="200"/>
      <c r="MWY19" s="200"/>
      <c r="MWZ19" s="200"/>
      <c r="MXA19" s="200"/>
      <c r="MXB19" s="200"/>
      <c r="MXC19" s="200"/>
      <c r="MXD19" s="201"/>
      <c r="MXE19" s="199" t="s">
        <v>7</v>
      </c>
      <c r="MXF19" s="200"/>
      <c r="MXG19" s="200"/>
      <c r="MXH19" s="200"/>
      <c r="MXI19" s="200"/>
      <c r="MXJ19" s="200"/>
      <c r="MXK19" s="200"/>
      <c r="MXL19" s="201"/>
      <c r="MXM19" s="199" t="s">
        <v>7</v>
      </c>
      <c r="MXN19" s="200"/>
      <c r="MXO19" s="200"/>
      <c r="MXP19" s="200"/>
      <c r="MXQ19" s="200"/>
      <c r="MXR19" s="200"/>
      <c r="MXS19" s="200"/>
      <c r="MXT19" s="201"/>
      <c r="MXU19" s="199" t="s">
        <v>7</v>
      </c>
      <c r="MXV19" s="200"/>
      <c r="MXW19" s="200"/>
      <c r="MXX19" s="200"/>
      <c r="MXY19" s="200"/>
      <c r="MXZ19" s="200"/>
      <c r="MYA19" s="200"/>
      <c r="MYB19" s="201"/>
      <c r="MYC19" s="199" t="s">
        <v>7</v>
      </c>
      <c r="MYD19" s="200"/>
      <c r="MYE19" s="200"/>
      <c r="MYF19" s="200"/>
      <c r="MYG19" s="200"/>
      <c r="MYH19" s="200"/>
      <c r="MYI19" s="200"/>
      <c r="MYJ19" s="201"/>
      <c r="MYK19" s="199" t="s">
        <v>7</v>
      </c>
      <c r="MYL19" s="200"/>
      <c r="MYM19" s="200"/>
      <c r="MYN19" s="200"/>
      <c r="MYO19" s="200"/>
      <c r="MYP19" s="200"/>
      <c r="MYQ19" s="200"/>
      <c r="MYR19" s="201"/>
      <c r="MYS19" s="199" t="s">
        <v>7</v>
      </c>
      <c r="MYT19" s="200"/>
      <c r="MYU19" s="200"/>
      <c r="MYV19" s="200"/>
      <c r="MYW19" s="200"/>
      <c r="MYX19" s="200"/>
      <c r="MYY19" s="200"/>
      <c r="MYZ19" s="201"/>
      <c r="MZA19" s="199" t="s">
        <v>7</v>
      </c>
      <c r="MZB19" s="200"/>
      <c r="MZC19" s="200"/>
      <c r="MZD19" s="200"/>
      <c r="MZE19" s="200"/>
      <c r="MZF19" s="200"/>
      <c r="MZG19" s="200"/>
      <c r="MZH19" s="201"/>
      <c r="MZI19" s="199" t="s">
        <v>7</v>
      </c>
      <c r="MZJ19" s="200"/>
      <c r="MZK19" s="200"/>
      <c r="MZL19" s="200"/>
      <c r="MZM19" s="200"/>
      <c r="MZN19" s="200"/>
      <c r="MZO19" s="200"/>
      <c r="MZP19" s="201"/>
      <c r="MZQ19" s="199" t="s">
        <v>7</v>
      </c>
      <c r="MZR19" s="200"/>
      <c r="MZS19" s="200"/>
      <c r="MZT19" s="200"/>
      <c r="MZU19" s="200"/>
      <c r="MZV19" s="200"/>
      <c r="MZW19" s="200"/>
      <c r="MZX19" s="201"/>
      <c r="MZY19" s="199" t="s">
        <v>7</v>
      </c>
      <c r="MZZ19" s="200"/>
      <c r="NAA19" s="200"/>
      <c r="NAB19" s="200"/>
      <c r="NAC19" s="200"/>
      <c r="NAD19" s="200"/>
      <c r="NAE19" s="200"/>
      <c r="NAF19" s="201"/>
      <c r="NAG19" s="199" t="s">
        <v>7</v>
      </c>
      <c r="NAH19" s="200"/>
      <c r="NAI19" s="200"/>
      <c r="NAJ19" s="200"/>
      <c r="NAK19" s="200"/>
      <c r="NAL19" s="200"/>
      <c r="NAM19" s="200"/>
      <c r="NAN19" s="201"/>
      <c r="NAO19" s="199" t="s">
        <v>7</v>
      </c>
      <c r="NAP19" s="200"/>
      <c r="NAQ19" s="200"/>
      <c r="NAR19" s="200"/>
      <c r="NAS19" s="200"/>
      <c r="NAT19" s="200"/>
      <c r="NAU19" s="200"/>
      <c r="NAV19" s="201"/>
      <c r="NAW19" s="199" t="s">
        <v>7</v>
      </c>
      <c r="NAX19" s="200"/>
      <c r="NAY19" s="200"/>
      <c r="NAZ19" s="200"/>
      <c r="NBA19" s="200"/>
      <c r="NBB19" s="200"/>
      <c r="NBC19" s="200"/>
      <c r="NBD19" s="201"/>
      <c r="NBE19" s="199" t="s">
        <v>7</v>
      </c>
      <c r="NBF19" s="200"/>
      <c r="NBG19" s="200"/>
      <c r="NBH19" s="200"/>
      <c r="NBI19" s="200"/>
      <c r="NBJ19" s="200"/>
      <c r="NBK19" s="200"/>
      <c r="NBL19" s="201"/>
      <c r="NBM19" s="199" t="s">
        <v>7</v>
      </c>
      <c r="NBN19" s="200"/>
      <c r="NBO19" s="200"/>
      <c r="NBP19" s="200"/>
      <c r="NBQ19" s="200"/>
      <c r="NBR19" s="200"/>
      <c r="NBS19" s="200"/>
      <c r="NBT19" s="201"/>
      <c r="NBU19" s="199" t="s">
        <v>7</v>
      </c>
      <c r="NBV19" s="200"/>
      <c r="NBW19" s="200"/>
      <c r="NBX19" s="200"/>
      <c r="NBY19" s="200"/>
      <c r="NBZ19" s="200"/>
      <c r="NCA19" s="200"/>
      <c r="NCB19" s="201"/>
      <c r="NCC19" s="199" t="s">
        <v>7</v>
      </c>
      <c r="NCD19" s="200"/>
      <c r="NCE19" s="200"/>
      <c r="NCF19" s="200"/>
      <c r="NCG19" s="200"/>
      <c r="NCH19" s="200"/>
      <c r="NCI19" s="200"/>
      <c r="NCJ19" s="201"/>
      <c r="NCK19" s="199" t="s">
        <v>7</v>
      </c>
      <c r="NCL19" s="200"/>
      <c r="NCM19" s="200"/>
      <c r="NCN19" s="200"/>
      <c r="NCO19" s="200"/>
      <c r="NCP19" s="200"/>
      <c r="NCQ19" s="200"/>
      <c r="NCR19" s="201"/>
      <c r="NCS19" s="199" t="s">
        <v>7</v>
      </c>
      <c r="NCT19" s="200"/>
      <c r="NCU19" s="200"/>
      <c r="NCV19" s="200"/>
      <c r="NCW19" s="200"/>
      <c r="NCX19" s="200"/>
      <c r="NCY19" s="200"/>
      <c r="NCZ19" s="201"/>
      <c r="NDA19" s="199" t="s">
        <v>7</v>
      </c>
      <c r="NDB19" s="200"/>
      <c r="NDC19" s="200"/>
      <c r="NDD19" s="200"/>
      <c r="NDE19" s="200"/>
      <c r="NDF19" s="200"/>
      <c r="NDG19" s="200"/>
      <c r="NDH19" s="201"/>
      <c r="NDI19" s="199" t="s">
        <v>7</v>
      </c>
      <c r="NDJ19" s="200"/>
      <c r="NDK19" s="200"/>
      <c r="NDL19" s="200"/>
      <c r="NDM19" s="200"/>
      <c r="NDN19" s="200"/>
      <c r="NDO19" s="200"/>
      <c r="NDP19" s="201"/>
      <c r="NDQ19" s="199" t="s">
        <v>7</v>
      </c>
      <c r="NDR19" s="200"/>
      <c r="NDS19" s="200"/>
      <c r="NDT19" s="200"/>
      <c r="NDU19" s="200"/>
      <c r="NDV19" s="200"/>
      <c r="NDW19" s="200"/>
      <c r="NDX19" s="201"/>
      <c r="NDY19" s="199" t="s">
        <v>7</v>
      </c>
      <c r="NDZ19" s="200"/>
      <c r="NEA19" s="200"/>
      <c r="NEB19" s="200"/>
      <c r="NEC19" s="200"/>
      <c r="NED19" s="200"/>
      <c r="NEE19" s="200"/>
      <c r="NEF19" s="201"/>
      <c r="NEG19" s="199" t="s">
        <v>7</v>
      </c>
      <c r="NEH19" s="200"/>
      <c r="NEI19" s="200"/>
      <c r="NEJ19" s="200"/>
      <c r="NEK19" s="200"/>
      <c r="NEL19" s="200"/>
      <c r="NEM19" s="200"/>
      <c r="NEN19" s="201"/>
      <c r="NEO19" s="199" t="s">
        <v>7</v>
      </c>
      <c r="NEP19" s="200"/>
      <c r="NEQ19" s="200"/>
      <c r="NER19" s="200"/>
      <c r="NES19" s="200"/>
      <c r="NET19" s="200"/>
      <c r="NEU19" s="200"/>
      <c r="NEV19" s="201"/>
      <c r="NEW19" s="199" t="s">
        <v>7</v>
      </c>
      <c r="NEX19" s="200"/>
      <c r="NEY19" s="200"/>
      <c r="NEZ19" s="200"/>
      <c r="NFA19" s="200"/>
      <c r="NFB19" s="200"/>
      <c r="NFC19" s="200"/>
      <c r="NFD19" s="201"/>
      <c r="NFE19" s="199" t="s">
        <v>7</v>
      </c>
      <c r="NFF19" s="200"/>
      <c r="NFG19" s="200"/>
      <c r="NFH19" s="200"/>
      <c r="NFI19" s="200"/>
      <c r="NFJ19" s="200"/>
      <c r="NFK19" s="200"/>
      <c r="NFL19" s="201"/>
      <c r="NFM19" s="199" t="s">
        <v>7</v>
      </c>
      <c r="NFN19" s="200"/>
      <c r="NFO19" s="200"/>
      <c r="NFP19" s="200"/>
      <c r="NFQ19" s="200"/>
      <c r="NFR19" s="200"/>
      <c r="NFS19" s="200"/>
      <c r="NFT19" s="201"/>
      <c r="NFU19" s="199" t="s">
        <v>7</v>
      </c>
      <c r="NFV19" s="200"/>
      <c r="NFW19" s="200"/>
      <c r="NFX19" s="200"/>
      <c r="NFY19" s="200"/>
      <c r="NFZ19" s="200"/>
      <c r="NGA19" s="200"/>
      <c r="NGB19" s="201"/>
      <c r="NGC19" s="199" t="s">
        <v>7</v>
      </c>
      <c r="NGD19" s="200"/>
      <c r="NGE19" s="200"/>
      <c r="NGF19" s="200"/>
      <c r="NGG19" s="200"/>
      <c r="NGH19" s="200"/>
      <c r="NGI19" s="200"/>
      <c r="NGJ19" s="201"/>
      <c r="NGK19" s="199" t="s">
        <v>7</v>
      </c>
      <c r="NGL19" s="200"/>
      <c r="NGM19" s="200"/>
      <c r="NGN19" s="200"/>
      <c r="NGO19" s="200"/>
      <c r="NGP19" s="200"/>
      <c r="NGQ19" s="200"/>
      <c r="NGR19" s="201"/>
      <c r="NGS19" s="199" t="s">
        <v>7</v>
      </c>
      <c r="NGT19" s="200"/>
      <c r="NGU19" s="200"/>
      <c r="NGV19" s="200"/>
      <c r="NGW19" s="200"/>
      <c r="NGX19" s="200"/>
      <c r="NGY19" s="200"/>
      <c r="NGZ19" s="201"/>
      <c r="NHA19" s="199" t="s">
        <v>7</v>
      </c>
      <c r="NHB19" s="200"/>
      <c r="NHC19" s="200"/>
      <c r="NHD19" s="200"/>
      <c r="NHE19" s="200"/>
      <c r="NHF19" s="200"/>
      <c r="NHG19" s="200"/>
      <c r="NHH19" s="201"/>
      <c r="NHI19" s="199" t="s">
        <v>7</v>
      </c>
      <c r="NHJ19" s="200"/>
      <c r="NHK19" s="200"/>
      <c r="NHL19" s="200"/>
      <c r="NHM19" s="200"/>
      <c r="NHN19" s="200"/>
      <c r="NHO19" s="200"/>
      <c r="NHP19" s="201"/>
      <c r="NHQ19" s="199" t="s">
        <v>7</v>
      </c>
      <c r="NHR19" s="200"/>
      <c r="NHS19" s="200"/>
      <c r="NHT19" s="200"/>
      <c r="NHU19" s="200"/>
      <c r="NHV19" s="200"/>
      <c r="NHW19" s="200"/>
      <c r="NHX19" s="201"/>
      <c r="NHY19" s="199" t="s">
        <v>7</v>
      </c>
      <c r="NHZ19" s="200"/>
      <c r="NIA19" s="200"/>
      <c r="NIB19" s="200"/>
      <c r="NIC19" s="200"/>
      <c r="NID19" s="200"/>
      <c r="NIE19" s="200"/>
      <c r="NIF19" s="201"/>
      <c r="NIG19" s="199" t="s">
        <v>7</v>
      </c>
      <c r="NIH19" s="200"/>
      <c r="NII19" s="200"/>
      <c r="NIJ19" s="200"/>
      <c r="NIK19" s="200"/>
      <c r="NIL19" s="200"/>
      <c r="NIM19" s="200"/>
      <c r="NIN19" s="201"/>
      <c r="NIO19" s="199" t="s">
        <v>7</v>
      </c>
      <c r="NIP19" s="200"/>
      <c r="NIQ19" s="200"/>
      <c r="NIR19" s="200"/>
      <c r="NIS19" s="200"/>
      <c r="NIT19" s="200"/>
      <c r="NIU19" s="200"/>
      <c r="NIV19" s="201"/>
      <c r="NIW19" s="199" t="s">
        <v>7</v>
      </c>
      <c r="NIX19" s="200"/>
      <c r="NIY19" s="200"/>
      <c r="NIZ19" s="200"/>
      <c r="NJA19" s="200"/>
      <c r="NJB19" s="200"/>
      <c r="NJC19" s="200"/>
      <c r="NJD19" s="201"/>
      <c r="NJE19" s="199" t="s">
        <v>7</v>
      </c>
      <c r="NJF19" s="200"/>
      <c r="NJG19" s="200"/>
      <c r="NJH19" s="200"/>
      <c r="NJI19" s="200"/>
      <c r="NJJ19" s="200"/>
      <c r="NJK19" s="200"/>
      <c r="NJL19" s="201"/>
      <c r="NJM19" s="199" t="s">
        <v>7</v>
      </c>
      <c r="NJN19" s="200"/>
      <c r="NJO19" s="200"/>
      <c r="NJP19" s="200"/>
      <c r="NJQ19" s="200"/>
      <c r="NJR19" s="200"/>
      <c r="NJS19" s="200"/>
      <c r="NJT19" s="201"/>
      <c r="NJU19" s="199" t="s">
        <v>7</v>
      </c>
      <c r="NJV19" s="200"/>
      <c r="NJW19" s="200"/>
      <c r="NJX19" s="200"/>
      <c r="NJY19" s="200"/>
      <c r="NJZ19" s="200"/>
      <c r="NKA19" s="200"/>
      <c r="NKB19" s="201"/>
      <c r="NKC19" s="199" t="s">
        <v>7</v>
      </c>
      <c r="NKD19" s="200"/>
      <c r="NKE19" s="200"/>
      <c r="NKF19" s="200"/>
      <c r="NKG19" s="200"/>
      <c r="NKH19" s="200"/>
      <c r="NKI19" s="200"/>
      <c r="NKJ19" s="201"/>
      <c r="NKK19" s="199" t="s">
        <v>7</v>
      </c>
      <c r="NKL19" s="200"/>
      <c r="NKM19" s="200"/>
      <c r="NKN19" s="200"/>
      <c r="NKO19" s="200"/>
      <c r="NKP19" s="200"/>
      <c r="NKQ19" s="200"/>
      <c r="NKR19" s="201"/>
      <c r="NKS19" s="199" t="s">
        <v>7</v>
      </c>
      <c r="NKT19" s="200"/>
      <c r="NKU19" s="200"/>
      <c r="NKV19" s="200"/>
      <c r="NKW19" s="200"/>
      <c r="NKX19" s="200"/>
      <c r="NKY19" s="200"/>
      <c r="NKZ19" s="201"/>
      <c r="NLA19" s="199" t="s">
        <v>7</v>
      </c>
      <c r="NLB19" s="200"/>
      <c r="NLC19" s="200"/>
      <c r="NLD19" s="200"/>
      <c r="NLE19" s="200"/>
      <c r="NLF19" s="200"/>
      <c r="NLG19" s="200"/>
      <c r="NLH19" s="201"/>
      <c r="NLI19" s="199" t="s">
        <v>7</v>
      </c>
      <c r="NLJ19" s="200"/>
      <c r="NLK19" s="200"/>
      <c r="NLL19" s="200"/>
      <c r="NLM19" s="200"/>
      <c r="NLN19" s="200"/>
      <c r="NLO19" s="200"/>
      <c r="NLP19" s="201"/>
      <c r="NLQ19" s="199" t="s">
        <v>7</v>
      </c>
      <c r="NLR19" s="200"/>
      <c r="NLS19" s="200"/>
      <c r="NLT19" s="200"/>
      <c r="NLU19" s="200"/>
      <c r="NLV19" s="200"/>
      <c r="NLW19" s="200"/>
      <c r="NLX19" s="201"/>
      <c r="NLY19" s="199" t="s">
        <v>7</v>
      </c>
      <c r="NLZ19" s="200"/>
      <c r="NMA19" s="200"/>
      <c r="NMB19" s="200"/>
      <c r="NMC19" s="200"/>
      <c r="NMD19" s="200"/>
      <c r="NME19" s="200"/>
      <c r="NMF19" s="201"/>
      <c r="NMG19" s="199" t="s">
        <v>7</v>
      </c>
      <c r="NMH19" s="200"/>
      <c r="NMI19" s="200"/>
      <c r="NMJ19" s="200"/>
      <c r="NMK19" s="200"/>
      <c r="NML19" s="200"/>
      <c r="NMM19" s="200"/>
      <c r="NMN19" s="201"/>
      <c r="NMO19" s="199" t="s">
        <v>7</v>
      </c>
      <c r="NMP19" s="200"/>
      <c r="NMQ19" s="200"/>
      <c r="NMR19" s="200"/>
      <c r="NMS19" s="200"/>
      <c r="NMT19" s="200"/>
      <c r="NMU19" s="200"/>
      <c r="NMV19" s="201"/>
      <c r="NMW19" s="199" t="s">
        <v>7</v>
      </c>
      <c r="NMX19" s="200"/>
      <c r="NMY19" s="200"/>
      <c r="NMZ19" s="200"/>
      <c r="NNA19" s="200"/>
      <c r="NNB19" s="200"/>
      <c r="NNC19" s="200"/>
      <c r="NND19" s="201"/>
      <c r="NNE19" s="199" t="s">
        <v>7</v>
      </c>
      <c r="NNF19" s="200"/>
      <c r="NNG19" s="200"/>
      <c r="NNH19" s="200"/>
      <c r="NNI19" s="200"/>
      <c r="NNJ19" s="200"/>
      <c r="NNK19" s="200"/>
      <c r="NNL19" s="201"/>
      <c r="NNM19" s="199" t="s">
        <v>7</v>
      </c>
      <c r="NNN19" s="200"/>
      <c r="NNO19" s="200"/>
      <c r="NNP19" s="200"/>
      <c r="NNQ19" s="200"/>
      <c r="NNR19" s="200"/>
      <c r="NNS19" s="200"/>
      <c r="NNT19" s="201"/>
      <c r="NNU19" s="199" t="s">
        <v>7</v>
      </c>
      <c r="NNV19" s="200"/>
      <c r="NNW19" s="200"/>
      <c r="NNX19" s="200"/>
      <c r="NNY19" s="200"/>
      <c r="NNZ19" s="200"/>
      <c r="NOA19" s="200"/>
      <c r="NOB19" s="201"/>
      <c r="NOC19" s="199" t="s">
        <v>7</v>
      </c>
      <c r="NOD19" s="200"/>
      <c r="NOE19" s="200"/>
      <c r="NOF19" s="200"/>
      <c r="NOG19" s="200"/>
      <c r="NOH19" s="200"/>
      <c r="NOI19" s="200"/>
      <c r="NOJ19" s="201"/>
      <c r="NOK19" s="199" t="s">
        <v>7</v>
      </c>
      <c r="NOL19" s="200"/>
      <c r="NOM19" s="200"/>
      <c r="NON19" s="200"/>
      <c r="NOO19" s="200"/>
      <c r="NOP19" s="200"/>
      <c r="NOQ19" s="200"/>
      <c r="NOR19" s="201"/>
      <c r="NOS19" s="199" t="s">
        <v>7</v>
      </c>
      <c r="NOT19" s="200"/>
      <c r="NOU19" s="200"/>
      <c r="NOV19" s="200"/>
      <c r="NOW19" s="200"/>
      <c r="NOX19" s="200"/>
      <c r="NOY19" s="200"/>
      <c r="NOZ19" s="201"/>
      <c r="NPA19" s="199" t="s">
        <v>7</v>
      </c>
      <c r="NPB19" s="200"/>
      <c r="NPC19" s="200"/>
      <c r="NPD19" s="200"/>
      <c r="NPE19" s="200"/>
      <c r="NPF19" s="200"/>
      <c r="NPG19" s="200"/>
      <c r="NPH19" s="201"/>
      <c r="NPI19" s="199" t="s">
        <v>7</v>
      </c>
      <c r="NPJ19" s="200"/>
      <c r="NPK19" s="200"/>
      <c r="NPL19" s="200"/>
      <c r="NPM19" s="200"/>
      <c r="NPN19" s="200"/>
      <c r="NPO19" s="200"/>
      <c r="NPP19" s="201"/>
      <c r="NPQ19" s="199" t="s">
        <v>7</v>
      </c>
      <c r="NPR19" s="200"/>
      <c r="NPS19" s="200"/>
      <c r="NPT19" s="200"/>
      <c r="NPU19" s="200"/>
      <c r="NPV19" s="200"/>
      <c r="NPW19" s="200"/>
      <c r="NPX19" s="201"/>
      <c r="NPY19" s="199" t="s">
        <v>7</v>
      </c>
      <c r="NPZ19" s="200"/>
      <c r="NQA19" s="200"/>
      <c r="NQB19" s="200"/>
      <c r="NQC19" s="200"/>
      <c r="NQD19" s="200"/>
      <c r="NQE19" s="200"/>
      <c r="NQF19" s="201"/>
      <c r="NQG19" s="199" t="s">
        <v>7</v>
      </c>
      <c r="NQH19" s="200"/>
      <c r="NQI19" s="200"/>
      <c r="NQJ19" s="200"/>
      <c r="NQK19" s="200"/>
      <c r="NQL19" s="200"/>
      <c r="NQM19" s="200"/>
      <c r="NQN19" s="201"/>
      <c r="NQO19" s="199" t="s">
        <v>7</v>
      </c>
      <c r="NQP19" s="200"/>
      <c r="NQQ19" s="200"/>
      <c r="NQR19" s="200"/>
      <c r="NQS19" s="200"/>
      <c r="NQT19" s="200"/>
      <c r="NQU19" s="200"/>
      <c r="NQV19" s="201"/>
      <c r="NQW19" s="199" t="s">
        <v>7</v>
      </c>
      <c r="NQX19" s="200"/>
      <c r="NQY19" s="200"/>
      <c r="NQZ19" s="200"/>
      <c r="NRA19" s="200"/>
      <c r="NRB19" s="200"/>
      <c r="NRC19" s="200"/>
      <c r="NRD19" s="201"/>
      <c r="NRE19" s="199" t="s">
        <v>7</v>
      </c>
      <c r="NRF19" s="200"/>
      <c r="NRG19" s="200"/>
      <c r="NRH19" s="200"/>
      <c r="NRI19" s="200"/>
      <c r="NRJ19" s="200"/>
      <c r="NRK19" s="200"/>
      <c r="NRL19" s="201"/>
      <c r="NRM19" s="199" t="s">
        <v>7</v>
      </c>
      <c r="NRN19" s="200"/>
      <c r="NRO19" s="200"/>
      <c r="NRP19" s="200"/>
      <c r="NRQ19" s="200"/>
      <c r="NRR19" s="200"/>
      <c r="NRS19" s="200"/>
      <c r="NRT19" s="201"/>
      <c r="NRU19" s="199" t="s">
        <v>7</v>
      </c>
      <c r="NRV19" s="200"/>
      <c r="NRW19" s="200"/>
      <c r="NRX19" s="200"/>
      <c r="NRY19" s="200"/>
      <c r="NRZ19" s="200"/>
      <c r="NSA19" s="200"/>
      <c r="NSB19" s="201"/>
      <c r="NSC19" s="199" t="s">
        <v>7</v>
      </c>
      <c r="NSD19" s="200"/>
      <c r="NSE19" s="200"/>
      <c r="NSF19" s="200"/>
      <c r="NSG19" s="200"/>
      <c r="NSH19" s="200"/>
      <c r="NSI19" s="200"/>
      <c r="NSJ19" s="201"/>
      <c r="NSK19" s="199" t="s">
        <v>7</v>
      </c>
      <c r="NSL19" s="200"/>
      <c r="NSM19" s="200"/>
      <c r="NSN19" s="200"/>
      <c r="NSO19" s="200"/>
      <c r="NSP19" s="200"/>
      <c r="NSQ19" s="200"/>
      <c r="NSR19" s="201"/>
      <c r="NSS19" s="199" t="s">
        <v>7</v>
      </c>
      <c r="NST19" s="200"/>
      <c r="NSU19" s="200"/>
      <c r="NSV19" s="200"/>
      <c r="NSW19" s="200"/>
      <c r="NSX19" s="200"/>
      <c r="NSY19" s="200"/>
      <c r="NSZ19" s="201"/>
      <c r="NTA19" s="199" t="s">
        <v>7</v>
      </c>
      <c r="NTB19" s="200"/>
      <c r="NTC19" s="200"/>
      <c r="NTD19" s="200"/>
      <c r="NTE19" s="200"/>
      <c r="NTF19" s="200"/>
      <c r="NTG19" s="200"/>
      <c r="NTH19" s="201"/>
      <c r="NTI19" s="199" t="s">
        <v>7</v>
      </c>
      <c r="NTJ19" s="200"/>
      <c r="NTK19" s="200"/>
      <c r="NTL19" s="200"/>
      <c r="NTM19" s="200"/>
      <c r="NTN19" s="200"/>
      <c r="NTO19" s="200"/>
      <c r="NTP19" s="201"/>
      <c r="NTQ19" s="199" t="s">
        <v>7</v>
      </c>
      <c r="NTR19" s="200"/>
      <c r="NTS19" s="200"/>
      <c r="NTT19" s="200"/>
      <c r="NTU19" s="200"/>
      <c r="NTV19" s="200"/>
      <c r="NTW19" s="200"/>
      <c r="NTX19" s="201"/>
      <c r="NTY19" s="199" t="s">
        <v>7</v>
      </c>
      <c r="NTZ19" s="200"/>
      <c r="NUA19" s="200"/>
      <c r="NUB19" s="200"/>
      <c r="NUC19" s="200"/>
      <c r="NUD19" s="200"/>
      <c r="NUE19" s="200"/>
      <c r="NUF19" s="201"/>
      <c r="NUG19" s="199" t="s">
        <v>7</v>
      </c>
      <c r="NUH19" s="200"/>
      <c r="NUI19" s="200"/>
      <c r="NUJ19" s="200"/>
      <c r="NUK19" s="200"/>
      <c r="NUL19" s="200"/>
      <c r="NUM19" s="200"/>
      <c r="NUN19" s="201"/>
      <c r="NUO19" s="199" t="s">
        <v>7</v>
      </c>
      <c r="NUP19" s="200"/>
      <c r="NUQ19" s="200"/>
      <c r="NUR19" s="200"/>
      <c r="NUS19" s="200"/>
      <c r="NUT19" s="200"/>
      <c r="NUU19" s="200"/>
      <c r="NUV19" s="201"/>
      <c r="NUW19" s="199" t="s">
        <v>7</v>
      </c>
      <c r="NUX19" s="200"/>
      <c r="NUY19" s="200"/>
      <c r="NUZ19" s="200"/>
      <c r="NVA19" s="200"/>
      <c r="NVB19" s="200"/>
      <c r="NVC19" s="200"/>
      <c r="NVD19" s="201"/>
      <c r="NVE19" s="199" t="s">
        <v>7</v>
      </c>
      <c r="NVF19" s="200"/>
      <c r="NVG19" s="200"/>
      <c r="NVH19" s="200"/>
      <c r="NVI19" s="200"/>
      <c r="NVJ19" s="200"/>
      <c r="NVK19" s="200"/>
      <c r="NVL19" s="201"/>
      <c r="NVM19" s="199" t="s">
        <v>7</v>
      </c>
      <c r="NVN19" s="200"/>
      <c r="NVO19" s="200"/>
      <c r="NVP19" s="200"/>
      <c r="NVQ19" s="200"/>
      <c r="NVR19" s="200"/>
      <c r="NVS19" s="200"/>
      <c r="NVT19" s="201"/>
      <c r="NVU19" s="199" t="s">
        <v>7</v>
      </c>
      <c r="NVV19" s="200"/>
      <c r="NVW19" s="200"/>
      <c r="NVX19" s="200"/>
      <c r="NVY19" s="200"/>
      <c r="NVZ19" s="200"/>
      <c r="NWA19" s="200"/>
      <c r="NWB19" s="201"/>
      <c r="NWC19" s="199" t="s">
        <v>7</v>
      </c>
      <c r="NWD19" s="200"/>
      <c r="NWE19" s="200"/>
      <c r="NWF19" s="200"/>
      <c r="NWG19" s="200"/>
      <c r="NWH19" s="200"/>
      <c r="NWI19" s="200"/>
      <c r="NWJ19" s="201"/>
      <c r="NWK19" s="199" t="s">
        <v>7</v>
      </c>
      <c r="NWL19" s="200"/>
      <c r="NWM19" s="200"/>
      <c r="NWN19" s="200"/>
      <c r="NWO19" s="200"/>
      <c r="NWP19" s="200"/>
      <c r="NWQ19" s="200"/>
      <c r="NWR19" s="201"/>
      <c r="NWS19" s="199" t="s">
        <v>7</v>
      </c>
      <c r="NWT19" s="200"/>
      <c r="NWU19" s="200"/>
      <c r="NWV19" s="200"/>
      <c r="NWW19" s="200"/>
      <c r="NWX19" s="200"/>
      <c r="NWY19" s="200"/>
      <c r="NWZ19" s="201"/>
      <c r="NXA19" s="199" t="s">
        <v>7</v>
      </c>
      <c r="NXB19" s="200"/>
      <c r="NXC19" s="200"/>
      <c r="NXD19" s="200"/>
      <c r="NXE19" s="200"/>
      <c r="NXF19" s="200"/>
      <c r="NXG19" s="200"/>
      <c r="NXH19" s="201"/>
      <c r="NXI19" s="199" t="s">
        <v>7</v>
      </c>
      <c r="NXJ19" s="200"/>
      <c r="NXK19" s="200"/>
      <c r="NXL19" s="200"/>
      <c r="NXM19" s="200"/>
      <c r="NXN19" s="200"/>
      <c r="NXO19" s="200"/>
      <c r="NXP19" s="201"/>
      <c r="NXQ19" s="199" t="s">
        <v>7</v>
      </c>
      <c r="NXR19" s="200"/>
      <c r="NXS19" s="200"/>
      <c r="NXT19" s="200"/>
      <c r="NXU19" s="200"/>
      <c r="NXV19" s="200"/>
      <c r="NXW19" s="200"/>
      <c r="NXX19" s="201"/>
      <c r="NXY19" s="199" t="s">
        <v>7</v>
      </c>
      <c r="NXZ19" s="200"/>
      <c r="NYA19" s="200"/>
      <c r="NYB19" s="200"/>
      <c r="NYC19" s="200"/>
      <c r="NYD19" s="200"/>
      <c r="NYE19" s="200"/>
      <c r="NYF19" s="201"/>
      <c r="NYG19" s="199" t="s">
        <v>7</v>
      </c>
      <c r="NYH19" s="200"/>
      <c r="NYI19" s="200"/>
      <c r="NYJ19" s="200"/>
      <c r="NYK19" s="200"/>
      <c r="NYL19" s="200"/>
      <c r="NYM19" s="200"/>
      <c r="NYN19" s="201"/>
      <c r="NYO19" s="199" t="s">
        <v>7</v>
      </c>
      <c r="NYP19" s="200"/>
      <c r="NYQ19" s="200"/>
      <c r="NYR19" s="200"/>
      <c r="NYS19" s="200"/>
      <c r="NYT19" s="200"/>
      <c r="NYU19" s="200"/>
      <c r="NYV19" s="201"/>
      <c r="NYW19" s="199" t="s">
        <v>7</v>
      </c>
      <c r="NYX19" s="200"/>
      <c r="NYY19" s="200"/>
      <c r="NYZ19" s="200"/>
      <c r="NZA19" s="200"/>
      <c r="NZB19" s="200"/>
      <c r="NZC19" s="200"/>
      <c r="NZD19" s="201"/>
      <c r="NZE19" s="199" t="s">
        <v>7</v>
      </c>
      <c r="NZF19" s="200"/>
      <c r="NZG19" s="200"/>
      <c r="NZH19" s="200"/>
      <c r="NZI19" s="200"/>
      <c r="NZJ19" s="200"/>
      <c r="NZK19" s="200"/>
      <c r="NZL19" s="201"/>
      <c r="NZM19" s="199" t="s">
        <v>7</v>
      </c>
      <c r="NZN19" s="200"/>
      <c r="NZO19" s="200"/>
      <c r="NZP19" s="200"/>
      <c r="NZQ19" s="200"/>
      <c r="NZR19" s="200"/>
      <c r="NZS19" s="200"/>
      <c r="NZT19" s="201"/>
      <c r="NZU19" s="199" t="s">
        <v>7</v>
      </c>
      <c r="NZV19" s="200"/>
      <c r="NZW19" s="200"/>
      <c r="NZX19" s="200"/>
      <c r="NZY19" s="200"/>
      <c r="NZZ19" s="200"/>
      <c r="OAA19" s="200"/>
      <c r="OAB19" s="201"/>
      <c r="OAC19" s="199" t="s">
        <v>7</v>
      </c>
      <c r="OAD19" s="200"/>
      <c r="OAE19" s="200"/>
      <c r="OAF19" s="200"/>
      <c r="OAG19" s="200"/>
      <c r="OAH19" s="200"/>
      <c r="OAI19" s="200"/>
      <c r="OAJ19" s="201"/>
      <c r="OAK19" s="199" t="s">
        <v>7</v>
      </c>
      <c r="OAL19" s="200"/>
      <c r="OAM19" s="200"/>
      <c r="OAN19" s="200"/>
      <c r="OAO19" s="200"/>
      <c r="OAP19" s="200"/>
      <c r="OAQ19" s="200"/>
      <c r="OAR19" s="201"/>
      <c r="OAS19" s="199" t="s">
        <v>7</v>
      </c>
      <c r="OAT19" s="200"/>
      <c r="OAU19" s="200"/>
      <c r="OAV19" s="200"/>
      <c r="OAW19" s="200"/>
      <c r="OAX19" s="200"/>
      <c r="OAY19" s="200"/>
      <c r="OAZ19" s="201"/>
      <c r="OBA19" s="199" t="s">
        <v>7</v>
      </c>
      <c r="OBB19" s="200"/>
      <c r="OBC19" s="200"/>
      <c r="OBD19" s="200"/>
      <c r="OBE19" s="200"/>
      <c r="OBF19" s="200"/>
      <c r="OBG19" s="200"/>
      <c r="OBH19" s="201"/>
      <c r="OBI19" s="199" t="s">
        <v>7</v>
      </c>
      <c r="OBJ19" s="200"/>
      <c r="OBK19" s="200"/>
      <c r="OBL19" s="200"/>
      <c r="OBM19" s="200"/>
      <c r="OBN19" s="200"/>
      <c r="OBO19" s="200"/>
      <c r="OBP19" s="201"/>
      <c r="OBQ19" s="199" t="s">
        <v>7</v>
      </c>
      <c r="OBR19" s="200"/>
      <c r="OBS19" s="200"/>
      <c r="OBT19" s="200"/>
      <c r="OBU19" s="200"/>
      <c r="OBV19" s="200"/>
      <c r="OBW19" s="200"/>
      <c r="OBX19" s="201"/>
      <c r="OBY19" s="199" t="s">
        <v>7</v>
      </c>
      <c r="OBZ19" s="200"/>
      <c r="OCA19" s="200"/>
      <c r="OCB19" s="200"/>
      <c r="OCC19" s="200"/>
      <c r="OCD19" s="200"/>
      <c r="OCE19" s="200"/>
      <c r="OCF19" s="201"/>
      <c r="OCG19" s="199" t="s">
        <v>7</v>
      </c>
      <c r="OCH19" s="200"/>
      <c r="OCI19" s="200"/>
      <c r="OCJ19" s="200"/>
      <c r="OCK19" s="200"/>
      <c r="OCL19" s="200"/>
      <c r="OCM19" s="200"/>
      <c r="OCN19" s="201"/>
      <c r="OCO19" s="199" t="s">
        <v>7</v>
      </c>
      <c r="OCP19" s="200"/>
      <c r="OCQ19" s="200"/>
      <c r="OCR19" s="200"/>
      <c r="OCS19" s="200"/>
      <c r="OCT19" s="200"/>
      <c r="OCU19" s="200"/>
      <c r="OCV19" s="201"/>
      <c r="OCW19" s="199" t="s">
        <v>7</v>
      </c>
      <c r="OCX19" s="200"/>
      <c r="OCY19" s="200"/>
      <c r="OCZ19" s="200"/>
      <c r="ODA19" s="200"/>
      <c r="ODB19" s="200"/>
      <c r="ODC19" s="200"/>
      <c r="ODD19" s="201"/>
      <c r="ODE19" s="199" t="s">
        <v>7</v>
      </c>
      <c r="ODF19" s="200"/>
      <c r="ODG19" s="200"/>
      <c r="ODH19" s="200"/>
      <c r="ODI19" s="200"/>
      <c r="ODJ19" s="200"/>
      <c r="ODK19" s="200"/>
      <c r="ODL19" s="201"/>
      <c r="ODM19" s="199" t="s">
        <v>7</v>
      </c>
      <c r="ODN19" s="200"/>
      <c r="ODO19" s="200"/>
      <c r="ODP19" s="200"/>
      <c r="ODQ19" s="200"/>
      <c r="ODR19" s="200"/>
      <c r="ODS19" s="200"/>
      <c r="ODT19" s="201"/>
      <c r="ODU19" s="199" t="s">
        <v>7</v>
      </c>
      <c r="ODV19" s="200"/>
      <c r="ODW19" s="200"/>
      <c r="ODX19" s="200"/>
      <c r="ODY19" s="200"/>
      <c r="ODZ19" s="200"/>
      <c r="OEA19" s="200"/>
      <c r="OEB19" s="201"/>
      <c r="OEC19" s="199" t="s">
        <v>7</v>
      </c>
      <c r="OED19" s="200"/>
      <c r="OEE19" s="200"/>
      <c r="OEF19" s="200"/>
      <c r="OEG19" s="200"/>
      <c r="OEH19" s="200"/>
      <c r="OEI19" s="200"/>
      <c r="OEJ19" s="201"/>
      <c r="OEK19" s="199" t="s">
        <v>7</v>
      </c>
      <c r="OEL19" s="200"/>
      <c r="OEM19" s="200"/>
      <c r="OEN19" s="200"/>
      <c r="OEO19" s="200"/>
      <c r="OEP19" s="200"/>
      <c r="OEQ19" s="200"/>
      <c r="OER19" s="201"/>
      <c r="OES19" s="199" t="s">
        <v>7</v>
      </c>
      <c r="OET19" s="200"/>
      <c r="OEU19" s="200"/>
      <c r="OEV19" s="200"/>
      <c r="OEW19" s="200"/>
      <c r="OEX19" s="200"/>
      <c r="OEY19" s="200"/>
      <c r="OEZ19" s="201"/>
      <c r="OFA19" s="199" t="s">
        <v>7</v>
      </c>
      <c r="OFB19" s="200"/>
      <c r="OFC19" s="200"/>
      <c r="OFD19" s="200"/>
      <c r="OFE19" s="200"/>
      <c r="OFF19" s="200"/>
      <c r="OFG19" s="200"/>
      <c r="OFH19" s="201"/>
      <c r="OFI19" s="199" t="s">
        <v>7</v>
      </c>
      <c r="OFJ19" s="200"/>
      <c r="OFK19" s="200"/>
      <c r="OFL19" s="200"/>
      <c r="OFM19" s="200"/>
      <c r="OFN19" s="200"/>
      <c r="OFO19" s="200"/>
      <c r="OFP19" s="201"/>
      <c r="OFQ19" s="199" t="s">
        <v>7</v>
      </c>
      <c r="OFR19" s="200"/>
      <c r="OFS19" s="200"/>
      <c r="OFT19" s="200"/>
      <c r="OFU19" s="200"/>
      <c r="OFV19" s="200"/>
      <c r="OFW19" s="200"/>
      <c r="OFX19" s="201"/>
      <c r="OFY19" s="199" t="s">
        <v>7</v>
      </c>
      <c r="OFZ19" s="200"/>
      <c r="OGA19" s="200"/>
      <c r="OGB19" s="200"/>
      <c r="OGC19" s="200"/>
      <c r="OGD19" s="200"/>
      <c r="OGE19" s="200"/>
      <c r="OGF19" s="201"/>
      <c r="OGG19" s="199" t="s">
        <v>7</v>
      </c>
      <c r="OGH19" s="200"/>
      <c r="OGI19" s="200"/>
      <c r="OGJ19" s="200"/>
      <c r="OGK19" s="200"/>
      <c r="OGL19" s="200"/>
      <c r="OGM19" s="200"/>
      <c r="OGN19" s="201"/>
      <c r="OGO19" s="199" t="s">
        <v>7</v>
      </c>
      <c r="OGP19" s="200"/>
      <c r="OGQ19" s="200"/>
      <c r="OGR19" s="200"/>
      <c r="OGS19" s="200"/>
      <c r="OGT19" s="200"/>
      <c r="OGU19" s="200"/>
      <c r="OGV19" s="201"/>
      <c r="OGW19" s="199" t="s">
        <v>7</v>
      </c>
      <c r="OGX19" s="200"/>
      <c r="OGY19" s="200"/>
      <c r="OGZ19" s="200"/>
      <c r="OHA19" s="200"/>
      <c r="OHB19" s="200"/>
      <c r="OHC19" s="200"/>
      <c r="OHD19" s="201"/>
      <c r="OHE19" s="199" t="s">
        <v>7</v>
      </c>
      <c r="OHF19" s="200"/>
      <c r="OHG19" s="200"/>
      <c r="OHH19" s="200"/>
      <c r="OHI19" s="200"/>
      <c r="OHJ19" s="200"/>
      <c r="OHK19" s="200"/>
      <c r="OHL19" s="201"/>
      <c r="OHM19" s="199" t="s">
        <v>7</v>
      </c>
      <c r="OHN19" s="200"/>
      <c r="OHO19" s="200"/>
      <c r="OHP19" s="200"/>
      <c r="OHQ19" s="200"/>
      <c r="OHR19" s="200"/>
      <c r="OHS19" s="200"/>
      <c r="OHT19" s="201"/>
      <c r="OHU19" s="199" t="s">
        <v>7</v>
      </c>
      <c r="OHV19" s="200"/>
      <c r="OHW19" s="200"/>
      <c r="OHX19" s="200"/>
      <c r="OHY19" s="200"/>
      <c r="OHZ19" s="200"/>
      <c r="OIA19" s="200"/>
      <c r="OIB19" s="201"/>
      <c r="OIC19" s="199" t="s">
        <v>7</v>
      </c>
      <c r="OID19" s="200"/>
      <c r="OIE19" s="200"/>
      <c r="OIF19" s="200"/>
      <c r="OIG19" s="200"/>
      <c r="OIH19" s="200"/>
      <c r="OII19" s="200"/>
      <c r="OIJ19" s="201"/>
      <c r="OIK19" s="199" t="s">
        <v>7</v>
      </c>
      <c r="OIL19" s="200"/>
      <c r="OIM19" s="200"/>
      <c r="OIN19" s="200"/>
      <c r="OIO19" s="200"/>
      <c r="OIP19" s="200"/>
      <c r="OIQ19" s="200"/>
      <c r="OIR19" s="201"/>
      <c r="OIS19" s="199" t="s">
        <v>7</v>
      </c>
      <c r="OIT19" s="200"/>
      <c r="OIU19" s="200"/>
      <c r="OIV19" s="200"/>
      <c r="OIW19" s="200"/>
      <c r="OIX19" s="200"/>
      <c r="OIY19" s="200"/>
      <c r="OIZ19" s="201"/>
      <c r="OJA19" s="199" t="s">
        <v>7</v>
      </c>
      <c r="OJB19" s="200"/>
      <c r="OJC19" s="200"/>
      <c r="OJD19" s="200"/>
      <c r="OJE19" s="200"/>
      <c r="OJF19" s="200"/>
      <c r="OJG19" s="200"/>
      <c r="OJH19" s="201"/>
      <c r="OJI19" s="199" t="s">
        <v>7</v>
      </c>
      <c r="OJJ19" s="200"/>
      <c r="OJK19" s="200"/>
      <c r="OJL19" s="200"/>
      <c r="OJM19" s="200"/>
      <c r="OJN19" s="200"/>
      <c r="OJO19" s="200"/>
      <c r="OJP19" s="201"/>
      <c r="OJQ19" s="199" t="s">
        <v>7</v>
      </c>
      <c r="OJR19" s="200"/>
      <c r="OJS19" s="200"/>
      <c r="OJT19" s="200"/>
      <c r="OJU19" s="200"/>
      <c r="OJV19" s="200"/>
      <c r="OJW19" s="200"/>
      <c r="OJX19" s="201"/>
      <c r="OJY19" s="199" t="s">
        <v>7</v>
      </c>
      <c r="OJZ19" s="200"/>
      <c r="OKA19" s="200"/>
      <c r="OKB19" s="200"/>
      <c r="OKC19" s="200"/>
      <c r="OKD19" s="200"/>
      <c r="OKE19" s="200"/>
      <c r="OKF19" s="201"/>
      <c r="OKG19" s="199" t="s">
        <v>7</v>
      </c>
      <c r="OKH19" s="200"/>
      <c r="OKI19" s="200"/>
      <c r="OKJ19" s="200"/>
      <c r="OKK19" s="200"/>
      <c r="OKL19" s="200"/>
      <c r="OKM19" s="200"/>
      <c r="OKN19" s="201"/>
      <c r="OKO19" s="199" t="s">
        <v>7</v>
      </c>
      <c r="OKP19" s="200"/>
      <c r="OKQ19" s="200"/>
      <c r="OKR19" s="200"/>
      <c r="OKS19" s="200"/>
      <c r="OKT19" s="200"/>
      <c r="OKU19" s="200"/>
      <c r="OKV19" s="201"/>
      <c r="OKW19" s="199" t="s">
        <v>7</v>
      </c>
      <c r="OKX19" s="200"/>
      <c r="OKY19" s="200"/>
      <c r="OKZ19" s="200"/>
      <c r="OLA19" s="200"/>
      <c r="OLB19" s="200"/>
      <c r="OLC19" s="200"/>
      <c r="OLD19" s="201"/>
      <c r="OLE19" s="199" t="s">
        <v>7</v>
      </c>
      <c r="OLF19" s="200"/>
      <c r="OLG19" s="200"/>
      <c r="OLH19" s="200"/>
      <c r="OLI19" s="200"/>
      <c r="OLJ19" s="200"/>
      <c r="OLK19" s="200"/>
      <c r="OLL19" s="201"/>
      <c r="OLM19" s="199" t="s">
        <v>7</v>
      </c>
      <c r="OLN19" s="200"/>
      <c r="OLO19" s="200"/>
      <c r="OLP19" s="200"/>
      <c r="OLQ19" s="200"/>
      <c r="OLR19" s="200"/>
      <c r="OLS19" s="200"/>
      <c r="OLT19" s="201"/>
      <c r="OLU19" s="199" t="s">
        <v>7</v>
      </c>
      <c r="OLV19" s="200"/>
      <c r="OLW19" s="200"/>
      <c r="OLX19" s="200"/>
      <c r="OLY19" s="200"/>
      <c r="OLZ19" s="200"/>
      <c r="OMA19" s="200"/>
      <c r="OMB19" s="201"/>
      <c r="OMC19" s="199" t="s">
        <v>7</v>
      </c>
      <c r="OMD19" s="200"/>
      <c r="OME19" s="200"/>
      <c r="OMF19" s="200"/>
      <c r="OMG19" s="200"/>
      <c r="OMH19" s="200"/>
      <c r="OMI19" s="200"/>
      <c r="OMJ19" s="201"/>
      <c r="OMK19" s="199" t="s">
        <v>7</v>
      </c>
      <c r="OML19" s="200"/>
      <c r="OMM19" s="200"/>
      <c r="OMN19" s="200"/>
      <c r="OMO19" s="200"/>
      <c r="OMP19" s="200"/>
      <c r="OMQ19" s="200"/>
      <c r="OMR19" s="201"/>
      <c r="OMS19" s="199" t="s">
        <v>7</v>
      </c>
      <c r="OMT19" s="200"/>
      <c r="OMU19" s="200"/>
      <c r="OMV19" s="200"/>
      <c r="OMW19" s="200"/>
      <c r="OMX19" s="200"/>
      <c r="OMY19" s="200"/>
      <c r="OMZ19" s="201"/>
      <c r="ONA19" s="199" t="s">
        <v>7</v>
      </c>
      <c r="ONB19" s="200"/>
      <c r="ONC19" s="200"/>
      <c r="OND19" s="200"/>
      <c r="ONE19" s="200"/>
      <c r="ONF19" s="200"/>
      <c r="ONG19" s="200"/>
      <c r="ONH19" s="201"/>
      <c r="ONI19" s="199" t="s">
        <v>7</v>
      </c>
      <c r="ONJ19" s="200"/>
      <c r="ONK19" s="200"/>
      <c r="ONL19" s="200"/>
      <c r="ONM19" s="200"/>
      <c r="ONN19" s="200"/>
      <c r="ONO19" s="200"/>
      <c r="ONP19" s="201"/>
      <c r="ONQ19" s="199" t="s">
        <v>7</v>
      </c>
      <c r="ONR19" s="200"/>
      <c r="ONS19" s="200"/>
      <c r="ONT19" s="200"/>
      <c r="ONU19" s="200"/>
      <c r="ONV19" s="200"/>
      <c r="ONW19" s="200"/>
      <c r="ONX19" s="201"/>
      <c r="ONY19" s="199" t="s">
        <v>7</v>
      </c>
      <c r="ONZ19" s="200"/>
      <c r="OOA19" s="200"/>
      <c r="OOB19" s="200"/>
      <c r="OOC19" s="200"/>
      <c r="OOD19" s="200"/>
      <c r="OOE19" s="200"/>
      <c r="OOF19" s="201"/>
      <c r="OOG19" s="199" t="s">
        <v>7</v>
      </c>
      <c r="OOH19" s="200"/>
      <c r="OOI19" s="200"/>
      <c r="OOJ19" s="200"/>
      <c r="OOK19" s="200"/>
      <c r="OOL19" s="200"/>
      <c r="OOM19" s="200"/>
      <c r="OON19" s="201"/>
      <c r="OOO19" s="199" t="s">
        <v>7</v>
      </c>
      <c r="OOP19" s="200"/>
      <c r="OOQ19" s="200"/>
      <c r="OOR19" s="200"/>
      <c r="OOS19" s="200"/>
      <c r="OOT19" s="200"/>
      <c r="OOU19" s="200"/>
      <c r="OOV19" s="201"/>
      <c r="OOW19" s="199" t="s">
        <v>7</v>
      </c>
      <c r="OOX19" s="200"/>
      <c r="OOY19" s="200"/>
      <c r="OOZ19" s="200"/>
      <c r="OPA19" s="200"/>
      <c r="OPB19" s="200"/>
      <c r="OPC19" s="200"/>
      <c r="OPD19" s="201"/>
      <c r="OPE19" s="199" t="s">
        <v>7</v>
      </c>
      <c r="OPF19" s="200"/>
      <c r="OPG19" s="200"/>
      <c r="OPH19" s="200"/>
      <c r="OPI19" s="200"/>
      <c r="OPJ19" s="200"/>
      <c r="OPK19" s="200"/>
      <c r="OPL19" s="201"/>
      <c r="OPM19" s="199" t="s">
        <v>7</v>
      </c>
      <c r="OPN19" s="200"/>
      <c r="OPO19" s="200"/>
      <c r="OPP19" s="200"/>
      <c r="OPQ19" s="200"/>
      <c r="OPR19" s="200"/>
      <c r="OPS19" s="200"/>
      <c r="OPT19" s="201"/>
      <c r="OPU19" s="199" t="s">
        <v>7</v>
      </c>
      <c r="OPV19" s="200"/>
      <c r="OPW19" s="200"/>
      <c r="OPX19" s="200"/>
      <c r="OPY19" s="200"/>
      <c r="OPZ19" s="200"/>
      <c r="OQA19" s="200"/>
      <c r="OQB19" s="201"/>
      <c r="OQC19" s="199" t="s">
        <v>7</v>
      </c>
      <c r="OQD19" s="200"/>
      <c r="OQE19" s="200"/>
      <c r="OQF19" s="200"/>
      <c r="OQG19" s="200"/>
      <c r="OQH19" s="200"/>
      <c r="OQI19" s="200"/>
      <c r="OQJ19" s="201"/>
      <c r="OQK19" s="199" t="s">
        <v>7</v>
      </c>
      <c r="OQL19" s="200"/>
      <c r="OQM19" s="200"/>
      <c r="OQN19" s="200"/>
      <c r="OQO19" s="200"/>
      <c r="OQP19" s="200"/>
      <c r="OQQ19" s="200"/>
      <c r="OQR19" s="201"/>
      <c r="OQS19" s="199" t="s">
        <v>7</v>
      </c>
      <c r="OQT19" s="200"/>
      <c r="OQU19" s="200"/>
      <c r="OQV19" s="200"/>
      <c r="OQW19" s="200"/>
      <c r="OQX19" s="200"/>
      <c r="OQY19" s="200"/>
      <c r="OQZ19" s="201"/>
      <c r="ORA19" s="199" t="s">
        <v>7</v>
      </c>
      <c r="ORB19" s="200"/>
      <c r="ORC19" s="200"/>
      <c r="ORD19" s="200"/>
      <c r="ORE19" s="200"/>
      <c r="ORF19" s="200"/>
      <c r="ORG19" s="200"/>
      <c r="ORH19" s="201"/>
      <c r="ORI19" s="199" t="s">
        <v>7</v>
      </c>
      <c r="ORJ19" s="200"/>
      <c r="ORK19" s="200"/>
      <c r="ORL19" s="200"/>
      <c r="ORM19" s="200"/>
      <c r="ORN19" s="200"/>
      <c r="ORO19" s="200"/>
      <c r="ORP19" s="201"/>
      <c r="ORQ19" s="199" t="s">
        <v>7</v>
      </c>
      <c r="ORR19" s="200"/>
      <c r="ORS19" s="200"/>
      <c r="ORT19" s="200"/>
      <c r="ORU19" s="200"/>
      <c r="ORV19" s="200"/>
      <c r="ORW19" s="200"/>
      <c r="ORX19" s="201"/>
      <c r="ORY19" s="199" t="s">
        <v>7</v>
      </c>
      <c r="ORZ19" s="200"/>
      <c r="OSA19" s="200"/>
      <c r="OSB19" s="200"/>
      <c r="OSC19" s="200"/>
      <c r="OSD19" s="200"/>
      <c r="OSE19" s="200"/>
      <c r="OSF19" s="201"/>
      <c r="OSG19" s="199" t="s">
        <v>7</v>
      </c>
      <c r="OSH19" s="200"/>
      <c r="OSI19" s="200"/>
      <c r="OSJ19" s="200"/>
      <c r="OSK19" s="200"/>
      <c r="OSL19" s="200"/>
      <c r="OSM19" s="200"/>
      <c r="OSN19" s="201"/>
      <c r="OSO19" s="199" t="s">
        <v>7</v>
      </c>
      <c r="OSP19" s="200"/>
      <c r="OSQ19" s="200"/>
      <c r="OSR19" s="200"/>
      <c r="OSS19" s="200"/>
      <c r="OST19" s="200"/>
      <c r="OSU19" s="200"/>
      <c r="OSV19" s="201"/>
      <c r="OSW19" s="199" t="s">
        <v>7</v>
      </c>
      <c r="OSX19" s="200"/>
      <c r="OSY19" s="200"/>
      <c r="OSZ19" s="200"/>
      <c r="OTA19" s="200"/>
      <c r="OTB19" s="200"/>
      <c r="OTC19" s="200"/>
      <c r="OTD19" s="201"/>
      <c r="OTE19" s="199" t="s">
        <v>7</v>
      </c>
      <c r="OTF19" s="200"/>
      <c r="OTG19" s="200"/>
      <c r="OTH19" s="200"/>
      <c r="OTI19" s="200"/>
      <c r="OTJ19" s="200"/>
      <c r="OTK19" s="200"/>
      <c r="OTL19" s="201"/>
      <c r="OTM19" s="199" t="s">
        <v>7</v>
      </c>
      <c r="OTN19" s="200"/>
      <c r="OTO19" s="200"/>
      <c r="OTP19" s="200"/>
      <c r="OTQ19" s="200"/>
      <c r="OTR19" s="200"/>
      <c r="OTS19" s="200"/>
      <c r="OTT19" s="201"/>
      <c r="OTU19" s="199" t="s">
        <v>7</v>
      </c>
      <c r="OTV19" s="200"/>
      <c r="OTW19" s="200"/>
      <c r="OTX19" s="200"/>
      <c r="OTY19" s="200"/>
      <c r="OTZ19" s="200"/>
      <c r="OUA19" s="200"/>
      <c r="OUB19" s="201"/>
      <c r="OUC19" s="199" t="s">
        <v>7</v>
      </c>
      <c r="OUD19" s="200"/>
      <c r="OUE19" s="200"/>
      <c r="OUF19" s="200"/>
      <c r="OUG19" s="200"/>
      <c r="OUH19" s="200"/>
      <c r="OUI19" s="200"/>
      <c r="OUJ19" s="201"/>
      <c r="OUK19" s="199" t="s">
        <v>7</v>
      </c>
      <c r="OUL19" s="200"/>
      <c r="OUM19" s="200"/>
      <c r="OUN19" s="200"/>
      <c r="OUO19" s="200"/>
      <c r="OUP19" s="200"/>
      <c r="OUQ19" s="200"/>
      <c r="OUR19" s="201"/>
      <c r="OUS19" s="199" t="s">
        <v>7</v>
      </c>
      <c r="OUT19" s="200"/>
      <c r="OUU19" s="200"/>
      <c r="OUV19" s="200"/>
      <c r="OUW19" s="200"/>
      <c r="OUX19" s="200"/>
      <c r="OUY19" s="200"/>
      <c r="OUZ19" s="201"/>
      <c r="OVA19" s="199" t="s">
        <v>7</v>
      </c>
      <c r="OVB19" s="200"/>
      <c r="OVC19" s="200"/>
      <c r="OVD19" s="200"/>
      <c r="OVE19" s="200"/>
      <c r="OVF19" s="200"/>
      <c r="OVG19" s="200"/>
      <c r="OVH19" s="201"/>
      <c r="OVI19" s="199" t="s">
        <v>7</v>
      </c>
      <c r="OVJ19" s="200"/>
      <c r="OVK19" s="200"/>
      <c r="OVL19" s="200"/>
      <c r="OVM19" s="200"/>
      <c r="OVN19" s="200"/>
      <c r="OVO19" s="200"/>
      <c r="OVP19" s="201"/>
      <c r="OVQ19" s="199" t="s">
        <v>7</v>
      </c>
      <c r="OVR19" s="200"/>
      <c r="OVS19" s="200"/>
      <c r="OVT19" s="200"/>
      <c r="OVU19" s="200"/>
      <c r="OVV19" s="200"/>
      <c r="OVW19" s="200"/>
      <c r="OVX19" s="201"/>
      <c r="OVY19" s="199" t="s">
        <v>7</v>
      </c>
      <c r="OVZ19" s="200"/>
      <c r="OWA19" s="200"/>
      <c r="OWB19" s="200"/>
      <c r="OWC19" s="200"/>
      <c r="OWD19" s="200"/>
      <c r="OWE19" s="200"/>
      <c r="OWF19" s="201"/>
      <c r="OWG19" s="199" t="s">
        <v>7</v>
      </c>
      <c r="OWH19" s="200"/>
      <c r="OWI19" s="200"/>
      <c r="OWJ19" s="200"/>
      <c r="OWK19" s="200"/>
      <c r="OWL19" s="200"/>
      <c r="OWM19" s="200"/>
      <c r="OWN19" s="201"/>
      <c r="OWO19" s="199" t="s">
        <v>7</v>
      </c>
      <c r="OWP19" s="200"/>
      <c r="OWQ19" s="200"/>
      <c r="OWR19" s="200"/>
      <c r="OWS19" s="200"/>
      <c r="OWT19" s="200"/>
      <c r="OWU19" s="200"/>
      <c r="OWV19" s="201"/>
      <c r="OWW19" s="199" t="s">
        <v>7</v>
      </c>
      <c r="OWX19" s="200"/>
      <c r="OWY19" s="200"/>
      <c r="OWZ19" s="200"/>
      <c r="OXA19" s="200"/>
      <c r="OXB19" s="200"/>
      <c r="OXC19" s="200"/>
      <c r="OXD19" s="201"/>
      <c r="OXE19" s="199" t="s">
        <v>7</v>
      </c>
      <c r="OXF19" s="200"/>
      <c r="OXG19" s="200"/>
      <c r="OXH19" s="200"/>
      <c r="OXI19" s="200"/>
      <c r="OXJ19" s="200"/>
      <c r="OXK19" s="200"/>
      <c r="OXL19" s="201"/>
      <c r="OXM19" s="199" t="s">
        <v>7</v>
      </c>
      <c r="OXN19" s="200"/>
      <c r="OXO19" s="200"/>
      <c r="OXP19" s="200"/>
      <c r="OXQ19" s="200"/>
      <c r="OXR19" s="200"/>
      <c r="OXS19" s="200"/>
      <c r="OXT19" s="201"/>
      <c r="OXU19" s="199" t="s">
        <v>7</v>
      </c>
      <c r="OXV19" s="200"/>
      <c r="OXW19" s="200"/>
      <c r="OXX19" s="200"/>
      <c r="OXY19" s="200"/>
      <c r="OXZ19" s="200"/>
      <c r="OYA19" s="200"/>
      <c r="OYB19" s="201"/>
      <c r="OYC19" s="199" t="s">
        <v>7</v>
      </c>
      <c r="OYD19" s="200"/>
      <c r="OYE19" s="200"/>
      <c r="OYF19" s="200"/>
      <c r="OYG19" s="200"/>
      <c r="OYH19" s="200"/>
      <c r="OYI19" s="200"/>
      <c r="OYJ19" s="201"/>
      <c r="OYK19" s="199" t="s">
        <v>7</v>
      </c>
      <c r="OYL19" s="200"/>
      <c r="OYM19" s="200"/>
      <c r="OYN19" s="200"/>
      <c r="OYO19" s="200"/>
      <c r="OYP19" s="200"/>
      <c r="OYQ19" s="200"/>
      <c r="OYR19" s="201"/>
      <c r="OYS19" s="199" t="s">
        <v>7</v>
      </c>
      <c r="OYT19" s="200"/>
      <c r="OYU19" s="200"/>
      <c r="OYV19" s="200"/>
      <c r="OYW19" s="200"/>
      <c r="OYX19" s="200"/>
      <c r="OYY19" s="200"/>
      <c r="OYZ19" s="201"/>
      <c r="OZA19" s="199" t="s">
        <v>7</v>
      </c>
      <c r="OZB19" s="200"/>
      <c r="OZC19" s="200"/>
      <c r="OZD19" s="200"/>
      <c r="OZE19" s="200"/>
      <c r="OZF19" s="200"/>
      <c r="OZG19" s="200"/>
      <c r="OZH19" s="201"/>
      <c r="OZI19" s="199" t="s">
        <v>7</v>
      </c>
      <c r="OZJ19" s="200"/>
      <c r="OZK19" s="200"/>
      <c r="OZL19" s="200"/>
      <c r="OZM19" s="200"/>
      <c r="OZN19" s="200"/>
      <c r="OZO19" s="200"/>
      <c r="OZP19" s="201"/>
      <c r="OZQ19" s="199" t="s">
        <v>7</v>
      </c>
      <c r="OZR19" s="200"/>
      <c r="OZS19" s="200"/>
      <c r="OZT19" s="200"/>
      <c r="OZU19" s="200"/>
      <c r="OZV19" s="200"/>
      <c r="OZW19" s="200"/>
      <c r="OZX19" s="201"/>
      <c r="OZY19" s="199" t="s">
        <v>7</v>
      </c>
      <c r="OZZ19" s="200"/>
      <c r="PAA19" s="200"/>
      <c r="PAB19" s="200"/>
      <c r="PAC19" s="200"/>
      <c r="PAD19" s="200"/>
      <c r="PAE19" s="200"/>
      <c r="PAF19" s="201"/>
      <c r="PAG19" s="199" t="s">
        <v>7</v>
      </c>
      <c r="PAH19" s="200"/>
      <c r="PAI19" s="200"/>
      <c r="PAJ19" s="200"/>
      <c r="PAK19" s="200"/>
      <c r="PAL19" s="200"/>
      <c r="PAM19" s="200"/>
      <c r="PAN19" s="201"/>
      <c r="PAO19" s="199" t="s">
        <v>7</v>
      </c>
      <c r="PAP19" s="200"/>
      <c r="PAQ19" s="200"/>
      <c r="PAR19" s="200"/>
      <c r="PAS19" s="200"/>
      <c r="PAT19" s="200"/>
      <c r="PAU19" s="200"/>
      <c r="PAV19" s="201"/>
      <c r="PAW19" s="199" t="s">
        <v>7</v>
      </c>
      <c r="PAX19" s="200"/>
      <c r="PAY19" s="200"/>
      <c r="PAZ19" s="200"/>
      <c r="PBA19" s="200"/>
      <c r="PBB19" s="200"/>
      <c r="PBC19" s="200"/>
      <c r="PBD19" s="201"/>
      <c r="PBE19" s="199" t="s">
        <v>7</v>
      </c>
      <c r="PBF19" s="200"/>
      <c r="PBG19" s="200"/>
      <c r="PBH19" s="200"/>
      <c r="PBI19" s="200"/>
      <c r="PBJ19" s="200"/>
      <c r="PBK19" s="200"/>
      <c r="PBL19" s="201"/>
      <c r="PBM19" s="199" t="s">
        <v>7</v>
      </c>
      <c r="PBN19" s="200"/>
      <c r="PBO19" s="200"/>
      <c r="PBP19" s="200"/>
      <c r="PBQ19" s="200"/>
      <c r="PBR19" s="200"/>
      <c r="PBS19" s="200"/>
      <c r="PBT19" s="201"/>
      <c r="PBU19" s="199" t="s">
        <v>7</v>
      </c>
      <c r="PBV19" s="200"/>
      <c r="PBW19" s="200"/>
      <c r="PBX19" s="200"/>
      <c r="PBY19" s="200"/>
      <c r="PBZ19" s="200"/>
      <c r="PCA19" s="200"/>
      <c r="PCB19" s="201"/>
      <c r="PCC19" s="199" t="s">
        <v>7</v>
      </c>
      <c r="PCD19" s="200"/>
      <c r="PCE19" s="200"/>
      <c r="PCF19" s="200"/>
      <c r="PCG19" s="200"/>
      <c r="PCH19" s="200"/>
      <c r="PCI19" s="200"/>
      <c r="PCJ19" s="201"/>
      <c r="PCK19" s="199" t="s">
        <v>7</v>
      </c>
      <c r="PCL19" s="200"/>
      <c r="PCM19" s="200"/>
      <c r="PCN19" s="200"/>
      <c r="PCO19" s="200"/>
      <c r="PCP19" s="200"/>
      <c r="PCQ19" s="200"/>
      <c r="PCR19" s="201"/>
      <c r="PCS19" s="199" t="s">
        <v>7</v>
      </c>
      <c r="PCT19" s="200"/>
      <c r="PCU19" s="200"/>
      <c r="PCV19" s="200"/>
      <c r="PCW19" s="200"/>
      <c r="PCX19" s="200"/>
      <c r="PCY19" s="200"/>
      <c r="PCZ19" s="201"/>
      <c r="PDA19" s="199" t="s">
        <v>7</v>
      </c>
      <c r="PDB19" s="200"/>
      <c r="PDC19" s="200"/>
      <c r="PDD19" s="200"/>
      <c r="PDE19" s="200"/>
      <c r="PDF19" s="200"/>
      <c r="PDG19" s="200"/>
      <c r="PDH19" s="201"/>
      <c r="PDI19" s="199" t="s">
        <v>7</v>
      </c>
      <c r="PDJ19" s="200"/>
      <c r="PDK19" s="200"/>
      <c r="PDL19" s="200"/>
      <c r="PDM19" s="200"/>
      <c r="PDN19" s="200"/>
      <c r="PDO19" s="200"/>
      <c r="PDP19" s="201"/>
      <c r="PDQ19" s="199" t="s">
        <v>7</v>
      </c>
      <c r="PDR19" s="200"/>
      <c r="PDS19" s="200"/>
      <c r="PDT19" s="200"/>
      <c r="PDU19" s="200"/>
      <c r="PDV19" s="200"/>
      <c r="PDW19" s="200"/>
      <c r="PDX19" s="201"/>
      <c r="PDY19" s="199" t="s">
        <v>7</v>
      </c>
      <c r="PDZ19" s="200"/>
      <c r="PEA19" s="200"/>
      <c r="PEB19" s="200"/>
      <c r="PEC19" s="200"/>
      <c r="PED19" s="200"/>
      <c r="PEE19" s="200"/>
      <c r="PEF19" s="201"/>
      <c r="PEG19" s="199" t="s">
        <v>7</v>
      </c>
      <c r="PEH19" s="200"/>
      <c r="PEI19" s="200"/>
      <c r="PEJ19" s="200"/>
      <c r="PEK19" s="200"/>
      <c r="PEL19" s="200"/>
      <c r="PEM19" s="200"/>
      <c r="PEN19" s="201"/>
      <c r="PEO19" s="199" t="s">
        <v>7</v>
      </c>
      <c r="PEP19" s="200"/>
      <c r="PEQ19" s="200"/>
      <c r="PER19" s="200"/>
      <c r="PES19" s="200"/>
      <c r="PET19" s="200"/>
      <c r="PEU19" s="200"/>
      <c r="PEV19" s="201"/>
      <c r="PEW19" s="199" t="s">
        <v>7</v>
      </c>
      <c r="PEX19" s="200"/>
      <c r="PEY19" s="200"/>
      <c r="PEZ19" s="200"/>
      <c r="PFA19" s="200"/>
      <c r="PFB19" s="200"/>
      <c r="PFC19" s="200"/>
      <c r="PFD19" s="201"/>
      <c r="PFE19" s="199" t="s">
        <v>7</v>
      </c>
      <c r="PFF19" s="200"/>
      <c r="PFG19" s="200"/>
      <c r="PFH19" s="200"/>
      <c r="PFI19" s="200"/>
      <c r="PFJ19" s="200"/>
      <c r="PFK19" s="200"/>
      <c r="PFL19" s="201"/>
      <c r="PFM19" s="199" t="s">
        <v>7</v>
      </c>
      <c r="PFN19" s="200"/>
      <c r="PFO19" s="200"/>
      <c r="PFP19" s="200"/>
      <c r="PFQ19" s="200"/>
      <c r="PFR19" s="200"/>
      <c r="PFS19" s="200"/>
      <c r="PFT19" s="201"/>
      <c r="PFU19" s="199" t="s">
        <v>7</v>
      </c>
      <c r="PFV19" s="200"/>
      <c r="PFW19" s="200"/>
      <c r="PFX19" s="200"/>
      <c r="PFY19" s="200"/>
      <c r="PFZ19" s="200"/>
      <c r="PGA19" s="200"/>
      <c r="PGB19" s="201"/>
      <c r="PGC19" s="199" t="s">
        <v>7</v>
      </c>
      <c r="PGD19" s="200"/>
      <c r="PGE19" s="200"/>
      <c r="PGF19" s="200"/>
      <c r="PGG19" s="200"/>
      <c r="PGH19" s="200"/>
      <c r="PGI19" s="200"/>
      <c r="PGJ19" s="201"/>
      <c r="PGK19" s="199" t="s">
        <v>7</v>
      </c>
      <c r="PGL19" s="200"/>
      <c r="PGM19" s="200"/>
      <c r="PGN19" s="200"/>
      <c r="PGO19" s="200"/>
      <c r="PGP19" s="200"/>
      <c r="PGQ19" s="200"/>
      <c r="PGR19" s="201"/>
      <c r="PGS19" s="199" t="s">
        <v>7</v>
      </c>
      <c r="PGT19" s="200"/>
      <c r="PGU19" s="200"/>
      <c r="PGV19" s="200"/>
      <c r="PGW19" s="200"/>
      <c r="PGX19" s="200"/>
      <c r="PGY19" s="200"/>
      <c r="PGZ19" s="201"/>
      <c r="PHA19" s="199" t="s">
        <v>7</v>
      </c>
      <c r="PHB19" s="200"/>
      <c r="PHC19" s="200"/>
      <c r="PHD19" s="200"/>
      <c r="PHE19" s="200"/>
      <c r="PHF19" s="200"/>
      <c r="PHG19" s="200"/>
      <c r="PHH19" s="201"/>
      <c r="PHI19" s="199" t="s">
        <v>7</v>
      </c>
      <c r="PHJ19" s="200"/>
      <c r="PHK19" s="200"/>
      <c r="PHL19" s="200"/>
      <c r="PHM19" s="200"/>
      <c r="PHN19" s="200"/>
      <c r="PHO19" s="200"/>
      <c r="PHP19" s="201"/>
      <c r="PHQ19" s="199" t="s">
        <v>7</v>
      </c>
      <c r="PHR19" s="200"/>
      <c r="PHS19" s="200"/>
      <c r="PHT19" s="200"/>
      <c r="PHU19" s="200"/>
      <c r="PHV19" s="200"/>
      <c r="PHW19" s="200"/>
      <c r="PHX19" s="201"/>
      <c r="PHY19" s="199" t="s">
        <v>7</v>
      </c>
      <c r="PHZ19" s="200"/>
      <c r="PIA19" s="200"/>
      <c r="PIB19" s="200"/>
      <c r="PIC19" s="200"/>
      <c r="PID19" s="200"/>
      <c r="PIE19" s="200"/>
      <c r="PIF19" s="201"/>
      <c r="PIG19" s="199" t="s">
        <v>7</v>
      </c>
      <c r="PIH19" s="200"/>
      <c r="PII19" s="200"/>
      <c r="PIJ19" s="200"/>
      <c r="PIK19" s="200"/>
      <c r="PIL19" s="200"/>
      <c r="PIM19" s="200"/>
      <c r="PIN19" s="201"/>
      <c r="PIO19" s="199" t="s">
        <v>7</v>
      </c>
      <c r="PIP19" s="200"/>
      <c r="PIQ19" s="200"/>
      <c r="PIR19" s="200"/>
      <c r="PIS19" s="200"/>
      <c r="PIT19" s="200"/>
      <c r="PIU19" s="200"/>
      <c r="PIV19" s="201"/>
      <c r="PIW19" s="199" t="s">
        <v>7</v>
      </c>
      <c r="PIX19" s="200"/>
      <c r="PIY19" s="200"/>
      <c r="PIZ19" s="200"/>
      <c r="PJA19" s="200"/>
      <c r="PJB19" s="200"/>
      <c r="PJC19" s="200"/>
      <c r="PJD19" s="201"/>
      <c r="PJE19" s="199" t="s">
        <v>7</v>
      </c>
      <c r="PJF19" s="200"/>
      <c r="PJG19" s="200"/>
      <c r="PJH19" s="200"/>
      <c r="PJI19" s="200"/>
      <c r="PJJ19" s="200"/>
      <c r="PJK19" s="200"/>
      <c r="PJL19" s="201"/>
      <c r="PJM19" s="199" t="s">
        <v>7</v>
      </c>
      <c r="PJN19" s="200"/>
      <c r="PJO19" s="200"/>
      <c r="PJP19" s="200"/>
      <c r="PJQ19" s="200"/>
      <c r="PJR19" s="200"/>
      <c r="PJS19" s="200"/>
      <c r="PJT19" s="201"/>
      <c r="PJU19" s="199" t="s">
        <v>7</v>
      </c>
      <c r="PJV19" s="200"/>
      <c r="PJW19" s="200"/>
      <c r="PJX19" s="200"/>
      <c r="PJY19" s="200"/>
      <c r="PJZ19" s="200"/>
      <c r="PKA19" s="200"/>
      <c r="PKB19" s="201"/>
      <c r="PKC19" s="199" t="s">
        <v>7</v>
      </c>
      <c r="PKD19" s="200"/>
      <c r="PKE19" s="200"/>
      <c r="PKF19" s="200"/>
      <c r="PKG19" s="200"/>
      <c r="PKH19" s="200"/>
      <c r="PKI19" s="200"/>
      <c r="PKJ19" s="201"/>
      <c r="PKK19" s="199" t="s">
        <v>7</v>
      </c>
      <c r="PKL19" s="200"/>
      <c r="PKM19" s="200"/>
      <c r="PKN19" s="200"/>
      <c r="PKO19" s="200"/>
      <c r="PKP19" s="200"/>
      <c r="PKQ19" s="200"/>
      <c r="PKR19" s="201"/>
      <c r="PKS19" s="199" t="s">
        <v>7</v>
      </c>
      <c r="PKT19" s="200"/>
      <c r="PKU19" s="200"/>
      <c r="PKV19" s="200"/>
      <c r="PKW19" s="200"/>
      <c r="PKX19" s="200"/>
      <c r="PKY19" s="200"/>
      <c r="PKZ19" s="201"/>
      <c r="PLA19" s="199" t="s">
        <v>7</v>
      </c>
      <c r="PLB19" s="200"/>
      <c r="PLC19" s="200"/>
      <c r="PLD19" s="200"/>
      <c r="PLE19" s="200"/>
      <c r="PLF19" s="200"/>
      <c r="PLG19" s="200"/>
      <c r="PLH19" s="201"/>
      <c r="PLI19" s="199" t="s">
        <v>7</v>
      </c>
      <c r="PLJ19" s="200"/>
      <c r="PLK19" s="200"/>
      <c r="PLL19" s="200"/>
      <c r="PLM19" s="200"/>
      <c r="PLN19" s="200"/>
      <c r="PLO19" s="200"/>
      <c r="PLP19" s="201"/>
      <c r="PLQ19" s="199" t="s">
        <v>7</v>
      </c>
      <c r="PLR19" s="200"/>
      <c r="PLS19" s="200"/>
      <c r="PLT19" s="200"/>
      <c r="PLU19" s="200"/>
      <c r="PLV19" s="200"/>
      <c r="PLW19" s="200"/>
      <c r="PLX19" s="201"/>
      <c r="PLY19" s="199" t="s">
        <v>7</v>
      </c>
      <c r="PLZ19" s="200"/>
      <c r="PMA19" s="200"/>
      <c r="PMB19" s="200"/>
      <c r="PMC19" s="200"/>
      <c r="PMD19" s="200"/>
      <c r="PME19" s="200"/>
      <c r="PMF19" s="201"/>
      <c r="PMG19" s="199" t="s">
        <v>7</v>
      </c>
      <c r="PMH19" s="200"/>
      <c r="PMI19" s="200"/>
      <c r="PMJ19" s="200"/>
      <c r="PMK19" s="200"/>
      <c r="PML19" s="200"/>
      <c r="PMM19" s="200"/>
      <c r="PMN19" s="201"/>
      <c r="PMO19" s="199" t="s">
        <v>7</v>
      </c>
      <c r="PMP19" s="200"/>
      <c r="PMQ19" s="200"/>
      <c r="PMR19" s="200"/>
      <c r="PMS19" s="200"/>
      <c r="PMT19" s="200"/>
      <c r="PMU19" s="200"/>
      <c r="PMV19" s="201"/>
      <c r="PMW19" s="199" t="s">
        <v>7</v>
      </c>
      <c r="PMX19" s="200"/>
      <c r="PMY19" s="200"/>
      <c r="PMZ19" s="200"/>
      <c r="PNA19" s="200"/>
      <c r="PNB19" s="200"/>
      <c r="PNC19" s="200"/>
      <c r="PND19" s="201"/>
      <c r="PNE19" s="199" t="s">
        <v>7</v>
      </c>
      <c r="PNF19" s="200"/>
      <c r="PNG19" s="200"/>
      <c r="PNH19" s="200"/>
      <c r="PNI19" s="200"/>
      <c r="PNJ19" s="200"/>
      <c r="PNK19" s="200"/>
      <c r="PNL19" s="201"/>
      <c r="PNM19" s="199" t="s">
        <v>7</v>
      </c>
      <c r="PNN19" s="200"/>
      <c r="PNO19" s="200"/>
      <c r="PNP19" s="200"/>
      <c r="PNQ19" s="200"/>
      <c r="PNR19" s="200"/>
      <c r="PNS19" s="200"/>
      <c r="PNT19" s="201"/>
      <c r="PNU19" s="199" t="s">
        <v>7</v>
      </c>
      <c r="PNV19" s="200"/>
      <c r="PNW19" s="200"/>
      <c r="PNX19" s="200"/>
      <c r="PNY19" s="200"/>
      <c r="PNZ19" s="200"/>
      <c r="POA19" s="200"/>
      <c r="POB19" s="201"/>
      <c r="POC19" s="199" t="s">
        <v>7</v>
      </c>
      <c r="POD19" s="200"/>
      <c r="POE19" s="200"/>
      <c r="POF19" s="200"/>
      <c r="POG19" s="200"/>
      <c r="POH19" s="200"/>
      <c r="POI19" s="200"/>
      <c r="POJ19" s="201"/>
      <c r="POK19" s="199" t="s">
        <v>7</v>
      </c>
      <c r="POL19" s="200"/>
      <c r="POM19" s="200"/>
      <c r="PON19" s="200"/>
      <c r="POO19" s="200"/>
      <c r="POP19" s="200"/>
      <c r="POQ19" s="200"/>
      <c r="POR19" s="201"/>
      <c r="POS19" s="199" t="s">
        <v>7</v>
      </c>
      <c r="POT19" s="200"/>
      <c r="POU19" s="200"/>
      <c r="POV19" s="200"/>
      <c r="POW19" s="200"/>
      <c r="POX19" s="200"/>
      <c r="POY19" s="200"/>
      <c r="POZ19" s="201"/>
      <c r="PPA19" s="199" t="s">
        <v>7</v>
      </c>
      <c r="PPB19" s="200"/>
      <c r="PPC19" s="200"/>
      <c r="PPD19" s="200"/>
      <c r="PPE19" s="200"/>
      <c r="PPF19" s="200"/>
      <c r="PPG19" s="200"/>
      <c r="PPH19" s="201"/>
      <c r="PPI19" s="199" t="s">
        <v>7</v>
      </c>
      <c r="PPJ19" s="200"/>
      <c r="PPK19" s="200"/>
      <c r="PPL19" s="200"/>
      <c r="PPM19" s="200"/>
      <c r="PPN19" s="200"/>
      <c r="PPO19" s="200"/>
      <c r="PPP19" s="201"/>
      <c r="PPQ19" s="199" t="s">
        <v>7</v>
      </c>
      <c r="PPR19" s="200"/>
      <c r="PPS19" s="200"/>
      <c r="PPT19" s="200"/>
      <c r="PPU19" s="200"/>
      <c r="PPV19" s="200"/>
      <c r="PPW19" s="200"/>
      <c r="PPX19" s="201"/>
      <c r="PPY19" s="199" t="s">
        <v>7</v>
      </c>
      <c r="PPZ19" s="200"/>
      <c r="PQA19" s="200"/>
      <c r="PQB19" s="200"/>
      <c r="PQC19" s="200"/>
      <c r="PQD19" s="200"/>
      <c r="PQE19" s="200"/>
      <c r="PQF19" s="201"/>
      <c r="PQG19" s="199" t="s">
        <v>7</v>
      </c>
      <c r="PQH19" s="200"/>
      <c r="PQI19" s="200"/>
      <c r="PQJ19" s="200"/>
      <c r="PQK19" s="200"/>
      <c r="PQL19" s="200"/>
      <c r="PQM19" s="200"/>
      <c r="PQN19" s="201"/>
      <c r="PQO19" s="199" t="s">
        <v>7</v>
      </c>
      <c r="PQP19" s="200"/>
      <c r="PQQ19" s="200"/>
      <c r="PQR19" s="200"/>
      <c r="PQS19" s="200"/>
      <c r="PQT19" s="200"/>
      <c r="PQU19" s="200"/>
      <c r="PQV19" s="201"/>
      <c r="PQW19" s="199" t="s">
        <v>7</v>
      </c>
      <c r="PQX19" s="200"/>
      <c r="PQY19" s="200"/>
      <c r="PQZ19" s="200"/>
      <c r="PRA19" s="200"/>
      <c r="PRB19" s="200"/>
      <c r="PRC19" s="200"/>
      <c r="PRD19" s="201"/>
      <c r="PRE19" s="199" t="s">
        <v>7</v>
      </c>
      <c r="PRF19" s="200"/>
      <c r="PRG19" s="200"/>
      <c r="PRH19" s="200"/>
      <c r="PRI19" s="200"/>
      <c r="PRJ19" s="200"/>
      <c r="PRK19" s="200"/>
      <c r="PRL19" s="201"/>
      <c r="PRM19" s="199" t="s">
        <v>7</v>
      </c>
      <c r="PRN19" s="200"/>
      <c r="PRO19" s="200"/>
      <c r="PRP19" s="200"/>
      <c r="PRQ19" s="200"/>
      <c r="PRR19" s="200"/>
      <c r="PRS19" s="200"/>
      <c r="PRT19" s="201"/>
      <c r="PRU19" s="199" t="s">
        <v>7</v>
      </c>
      <c r="PRV19" s="200"/>
      <c r="PRW19" s="200"/>
      <c r="PRX19" s="200"/>
      <c r="PRY19" s="200"/>
      <c r="PRZ19" s="200"/>
      <c r="PSA19" s="200"/>
      <c r="PSB19" s="201"/>
      <c r="PSC19" s="199" t="s">
        <v>7</v>
      </c>
      <c r="PSD19" s="200"/>
      <c r="PSE19" s="200"/>
      <c r="PSF19" s="200"/>
      <c r="PSG19" s="200"/>
      <c r="PSH19" s="200"/>
      <c r="PSI19" s="200"/>
      <c r="PSJ19" s="201"/>
      <c r="PSK19" s="199" t="s">
        <v>7</v>
      </c>
      <c r="PSL19" s="200"/>
      <c r="PSM19" s="200"/>
      <c r="PSN19" s="200"/>
      <c r="PSO19" s="200"/>
      <c r="PSP19" s="200"/>
      <c r="PSQ19" s="200"/>
      <c r="PSR19" s="201"/>
      <c r="PSS19" s="199" t="s">
        <v>7</v>
      </c>
      <c r="PST19" s="200"/>
      <c r="PSU19" s="200"/>
      <c r="PSV19" s="200"/>
      <c r="PSW19" s="200"/>
      <c r="PSX19" s="200"/>
      <c r="PSY19" s="200"/>
      <c r="PSZ19" s="201"/>
      <c r="PTA19" s="199" t="s">
        <v>7</v>
      </c>
      <c r="PTB19" s="200"/>
      <c r="PTC19" s="200"/>
      <c r="PTD19" s="200"/>
      <c r="PTE19" s="200"/>
      <c r="PTF19" s="200"/>
      <c r="PTG19" s="200"/>
      <c r="PTH19" s="201"/>
      <c r="PTI19" s="199" t="s">
        <v>7</v>
      </c>
      <c r="PTJ19" s="200"/>
      <c r="PTK19" s="200"/>
      <c r="PTL19" s="200"/>
      <c r="PTM19" s="200"/>
      <c r="PTN19" s="200"/>
      <c r="PTO19" s="200"/>
      <c r="PTP19" s="201"/>
      <c r="PTQ19" s="199" t="s">
        <v>7</v>
      </c>
      <c r="PTR19" s="200"/>
      <c r="PTS19" s="200"/>
      <c r="PTT19" s="200"/>
      <c r="PTU19" s="200"/>
      <c r="PTV19" s="200"/>
      <c r="PTW19" s="200"/>
      <c r="PTX19" s="201"/>
      <c r="PTY19" s="199" t="s">
        <v>7</v>
      </c>
      <c r="PTZ19" s="200"/>
      <c r="PUA19" s="200"/>
      <c r="PUB19" s="200"/>
      <c r="PUC19" s="200"/>
      <c r="PUD19" s="200"/>
      <c r="PUE19" s="200"/>
      <c r="PUF19" s="201"/>
      <c r="PUG19" s="199" t="s">
        <v>7</v>
      </c>
      <c r="PUH19" s="200"/>
      <c r="PUI19" s="200"/>
      <c r="PUJ19" s="200"/>
      <c r="PUK19" s="200"/>
      <c r="PUL19" s="200"/>
      <c r="PUM19" s="200"/>
      <c r="PUN19" s="201"/>
      <c r="PUO19" s="199" t="s">
        <v>7</v>
      </c>
      <c r="PUP19" s="200"/>
      <c r="PUQ19" s="200"/>
      <c r="PUR19" s="200"/>
      <c r="PUS19" s="200"/>
      <c r="PUT19" s="200"/>
      <c r="PUU19" s="200"/>
      <c r="PUV19" s="201"/>
      <c r="PUW19" s="199" t="s">
        <v>7</v>
      </c>
      <c r="PUX19" s="200"/>
      <c r="PUY19" s="200"/>
      <c r="PUZ19" s="200"/>
      <c r="PVA19" s="200"/>
      <c r="PVB19" s="200"/>
      <c r="PVC19" s="200"/>
      <c r="PVD19" s="201"/>
      <c r="PVE19" s="199" t="s">
        <v>7</v>
      </c>
      <c r="PVF19" s="200"/>
      <c r="PVG19" s="200"/>
      <c r="PVH19" s="200"/>
      <c r="PVI19" s="200"/>
      <c r="PVJ19" s="200"/>
      <c r="PVK19" s="200"/>
      <c r="PVL19" s="201"/>
      <c r="PVM19" s="199" t="s">
        <v>7</v>
      </c>
      <c r="PVN19" s="200"/>
      <c r="PVO19" s="200"/>
      <c r="PVP19" s="200"/>
      <c r="PVQ19" s="200"/>
      <c r="PVR19" s="200"/>
      <c r="PVS19" s="200"/>
      <c r="PVT19" s="201"/>
      <c r="PVU19" s="199" t="s">
        <v>7</v>
      </c>
      <c r="PVV19" s="200"/>
      <c r="PVW19" s="200"/>
      <c r="PVX19" s="200"/>
      <c r="PVY19" s="200"/>
      <c r="PVZ19" s="200"/>
      <c r="PWA19" s="200"/>
      <c r="PWB19" s="201"/>
      <c r="PWC19" s="199" t="s">
        <v>7</v>
      </c>
      <c r="PWD19" s="200"/>
      <c r="PWE19" s="200"/>
      <c r="PWF19" s="200"/>
      <c r="PWG19" s="200"/>
      <c r="PWH19" s="200"/>
      <c r="PWI19" s="200"/>
      <c r="PWJ19" s="201"/>
      <c r="PWK19" s="199" t="s">
        <v>7</v>
      </c>
      <c r="PWL19" s="200"/>
      <c r="PWM19" s="200"/>
      <c r="PWN19" s="200"/>
      <c r="PWO19" s="200"/>
      <c r="PWP19" s="200"/>
      <c r="PWQ19" s="200"/>
      <c r="PWR19" s="201"/>
      <c r="PWS19" s="199" t="s">
        <v>7</v>
      </c>
      <c r="PWT19" s="200"/>
      <c r="PWU19" s="200"/>
      <c r="PWV19" s="200"/>
      <c r="PWW19" s="200"/>
      <c r="PWX19" s="200"/>
      <c r="PWY19" s="200"/>
      <c r="PWZ19" s="201"/>
      <c r="PXA19" s="199" t="s">
        <v>7</v>
      </c>
      <c r="PXB19" s="200"/>
      <c r="PXC19" s="200"/>
      <c r="PXD19" s="200"/>
      <c r="PXE19" s="200"/>
      <c r="PXF19" s="200"/>
      <c r="PXG19" s="200"/>
      <c r="PXH19" s="201"/>
      <c r="PXI19" s="199" t="s">
        <v>7</v>
      </c>
      <c r="PXJ19" s="200"/>
      <c r="PXK19" s="200"/>
      <c r="PXL19" s="200"/>
      <c r="PXM19" s="200"/>
      <c r="PXN19" s="200"/>
      <c r="PXO19" s="200"/>
      <c r="PXP19" s="201"/>
      <c r="PXQ19" s="199" t="s">
        <v>7</v>
      </c>
      <c r="PXR19" s="200"/>
      <c r="PXS19" s="200"/>
      <c r="PXT19" s="200"/>
      <c r="PXU19" s="200"/>
      <c r="PXV19" s="200"/>
      <c r="PXW19" s="200"/>
      <c r="PXX19" s="201"/>
      <c r="PXY19" s="199" t="s">
        <v>7</v>
      </c>
      <c r="PXZ19" s="200"/>
      <c r="PYA19" s="200"/>
      <c r="PYB19" s="200"/>
      <c r="PYC19" s="200"/>
      <c r="PYD19" s="200"/>
      <c r="PYE19" s="200"/>
      <c r="PYF19" s="201"/>
      <c r="PYG19" s="199" t="s">
        <v>7</v>
      </c>
      <c r="PYH19" s="200"/>
      <c r="PYI19" s="200"/>
      <c r="PYJ19" s="200"/>
      <c r="PYK19" s="200"/>
      <c r="PYL19" s="200"/>
      <c r="PYM19" s="200"/>
      <c r="PYN19" s="201"/>
      <c r="PYO19" s="199" t="s">
        <v>7</v>
      </c>
      <c r="PYP19" s="200"/>
      <c r="PYQ19" s="200"/>
      <c r="PYR19" s="200"/>
      <c r="PYS19" s="200"/>
      <c r="PYT19" s="200"/>
      <c r="PYU19" s="200"/>
      <c r="PYV19" s="201"/>
      <c r="PYW19" s="199" t="s">
        <v>7</v>
      </c>
      <c r="PYX19" s="200"/>
      <c r="PYY19" s="200"/>
      <c r="PYZ19" s="200"/>
      <c r="PZA19" s="200"/>
      <c r="PZB19" s="200"/>
      <c r="PZC19" s="200"/>
      <c r="PZD19" s="201"/>
      <c r="PZE19" s="199" t="s">
        <v>7</v>
      </c>
      <c r="PZF19" s="200"/>
      <c r="PZG19" s="200"/>
      <c r="PZH19" s="200"/>
      <c r="PZI19" s="200"/>
      <c r="PZJ19" s="200"/>
      <c r="PZK19" s="200"/>
      <c r="PZL19" s="201"/>
      <c r="PZM19" s="199" t="s">
        <v>7</v>
      </c>
      <c r="PZN19" s="200"/>
      <c r="PZO19" s="200"/>
      <c r="PZP19" s="200"/>
      <c r="PZQ19" s="200"/>
      <c r="PZR19" s="200"/>
      <c r="PZS19" s="200"/>
      <c r="PZT19" s="201"/>
      <c r="PZU19" s="199" t="s">
        <v>7</v>
      </c>
      <c r="PZV19" s="200"/>
      <c r="PZW19" s="200"/>
      <c r="PZX19" s="200"/>
      <c r="PZY19" s="200"/>
      <c r="PZZ19" s="200"/>
      <c r="QAA19" s="200"/>
      <c r="QAB19" s="201"/>
      <c r="QAC19" s="199" t="s">
        <v>7</v>
      </c>
      <c r="QAD19" s="200"/>
      <c r="QAE19" s="200"/>
      <c r="QAF19" s="200"/>
      <c r="QAG19" s="200"/>
      <c r="QAH19" s="200"/>
      <c r="QAI19" s="200"/>
      <c r="QAJ19" s="201"/>
      <c r="QAK19" s="199" t="s">
        <v>7</v>
      </c>
      <c r="QAL19" s="200"/>
      <c r="QAM19" s="200"/>
      <c r="QAN19" s="200"/>
      <c r="QAO19" s="200"/>
      <c r="QAP19" s="200"/>
      <c r="QAQ19" s="200"/>
      <c r="QAR19" s="201"/>
      <c r="QAS19" s="199" t="s">
        <v>7</v>
      </c>
      <c r="QAT19" s="200"/>
      <c r="QAU19" s="200"/>
      <c r="QAV19" s="200"/>
      <c r="QAW19" s="200"/>
      <c r="QAX19" s="200"/>
      <c r="QAY19" s="200"/>
      <c r="QAZ19" s="201"/>
      <c r="QBA19" s="199" t="s">
        <v>7</v>
      </c>
      <c r="QBB19" s="200"/>
      <c r="QBC19" s="200"/>
      <c r="QBD19" s="200"/>
      <c r="QBE19" s="200"/>
      <c r="QBF19" s="200"/>
      <c r="QBG19" s="200"/>
      <c r="QBH19" s="201"/>
      <c r="QBI19" s="199" t="s">
        <v>7</v>
      </c>
      <c r="QBJ19" s="200"/>
      <c r="QBK19" s="200"/>
      <c r="QBL19" s="200"/>
      <c r="QBM19" s="200"/>
      <c r="QBN19" s="200"/>
      <c r="QBO19" s="200"/>
      <c r="QBP19" s="201"/>
      <c r="QBQ19" s="199" t="s">
        <v>7</v>
      </c>
      <c r="QBR19" s="200"/>
      <c r="QBS19" s="200"/>
      <c r="QBT19" s="200"/>
      <c r="QBU19" s="200"/>
      <c r="QBV19" s="200"/>
      <c r="QBW19" s="200"/>
      <c r="QBX19" s="201"/>
      <c r="QBY19" s="199" t="s">
        <v>7</v>
      </c>
      <c r="QBZ19" s="200"/>
      <c r="QCA19" s="200"/>
      <c r="QCB19" s="200"/>
      <c r="QCC19" s="200"/>
      <c r="QCD19" s="200"/>
      <c r="QCE19" s="200"/>
      <c r="QCF19" s="201"/>
      <c r="QCG19" s="199" t="s">
        <v>7</v>
      </c>
      <c r="QCH19" s="200"/>
      <c r="QCI19" s="200"/>
      <c r="QCJ19" s="200"/>
      <c r="QCK19" s="200"/>
      <c r="QCL19" s="200"/>
      <c r="QCM19" s="200"/>
      <c r="QCN19" s="201"/>
      <c r="QCO19" s="199" t="s">
        <v>7</v>
      </c>
      <c r="QCP19" s="200"/>
      <c r="QCQ19" s="200"/>
      <c r="QCR19" s="200"/>
      <c r="QCS19" s="200"/>
      <c r="QCT19" s="200"/>
      <c r="QCU19" s="200"/>
      <c r="QCV19" s="201"/>
      <c r="QCW19" s="199" t="s">
        <v>7</v>
      </c>
      <c r="QCX19" s="200"/>
      <c r="QCY19" s="200"/>
      <c r="QCZ19" s="200"/>
      <c r="QDA19" s="200"/>
      <c r="QDB19" s="200"/>
      <c r="QDC19" s="200"/>
      <c r="QDD19" s="201"/>
      <c r="QDE19" s="199" t="s">
        <v>7</v>
      </c>
      <c r="QDF19" s="200"/>
      <c r="QDG19" s="200"/>
      <c r="QDH19" s="200"/>
      <c r="QDI19" s="200"/>
      <c r="QDJ19" s="200"/>
      <c r="QDK19" s="200"/>
      <c r="QDL19" s="201"/>
      <c r="QDM19" s="199" t="s">
        <v>7</v>
      </c>
      <c r="QDN19" s="200"/>
      <c r="QDO19" s="200"/>
      <c r="QDP19" s="200"/>
      <c r="QDQ19" s="200"/>
      <c r="QDR19" s="200"/>
      <c r="QDS19" s="200"/>
      <c r="QDT19" s="201"/>
      <c r="QDU19" s="199" t="s">
        <v>7</v>
      </c>
      <c r="QDV19" s="200"/>
      <c r="QDW19" s="200"/>
      <c r="QDX19" s="200"/>
      <c r="QDY19" s="200"/>
      <c r="QDZ19" s="200"/>
      <c r="QEA19" s="200"/>
      <c r="QEB19" s="201"/>
      <c r="QEC19" s="199" t="s">
        <v>7</v>
      </c>
      <c r="QED19" s="200"/>
      <c r="QEE19" s="200"/>
      <c r="QEF19" s="200"/>
      <c r="QEG19" s="200"/>
      <c r="QEH19" s="200"/>
      <c r="QEI19" s="200"/>
      <c r="QEJ19" s="201"/>
      <c r="QEK19" s="199" t="s">
        <v>7</v>
      </c>
      <c r="QEL19" s="200"/>
      <c r="QEM19" s="200"/>
      <c r="QEN19" s="200"/>
      <c r="QEO19" s="200"/>
      <c r="QEP19" s="200"/>
      <c r="QEQ19" s="200"/>
      <c r="QER19" s="201"/>
      <c r="QES19" s="199" t="s">
        <v>7</v>
      </c>
      <c r="QET19" s="200"/>
      <c r="QEU19" s="200"/>
      <c r="QEV19" s="200"/>
      <c r="QEW19" s="200"/>
      <c r="QEX19" s="200"/>
      <c r="QEY19" s="200"/>
      <c r="QEZ19" s="201"/>
      <c r="QFA19" s="199" t="s">
        <v>7</v>
      </c>
      <c r="QFB19" s="200"/>
      <c r="QFC19" s="200"/>
      <c r="QFD19" s="200"/>
      <c r="QFE19" s="200"/>
      <c r="QFF19" s="200"/>
      <c r="QFG19" s="200"/>
      <c r="QFH19" s="201"/>
      <c r="QFI19" s="199" t="s">
        <v>7</v>
      </c>
      <c r="QFJ19" s="200"/>
      <c r="QFK19" s="200"/>
      <c r="QFL19" s="200"/>
      <c r="QFM19" s="200"/>
      <c r="QFN19" s="200"/>
      <c r="QFO19" s="200"/>
      <c r="QFP19" s="201"/>
      <c r="QFQ19" s="199" t="s">
        <v>7</v>
      </c>
      <c r="QFR19" s="200"/>
      <c r="QFS19" s="200"/>
      <c r="QFT19" s="200"/>
      <c r="QFU19" s="200"/>
      <c r="QFV19" s="200"/>
      <c r="QFW19" s="200"/>
      <c r="QFX19" s="201"/>
      <c r="QFY19" s="199" t="s">
        <v>7</v>
      </c>
      <c r="QFZ19" s="200"/>
      <c r="QGA19" s="200"/>
      <c r="QGB19" s="200"/>
      <c r="QGC19" s="200"/>
      <c r="QGD19" s="200"/>
      <c r="QGE19" s="200"/>
      <c r="QGF19" s="201"/>
      <c r="QGG19" s="199" t="s">
        <v>7</v>
      </c>
      <c r="QGH19" s="200"/>
      <c r="QGI19" s="200"/>
      <c r="QGJ19" s="200"/>
      <c r="QGK19" s="200"/>
      <c r="QGL19" s="200"/>
      <c r="QGM19" s="200"/>
      <c r="QGN19" s="201"/>
      <c r="QGO19" s="199" t="s">
        <v>7</v>
      </c>
      <c r="QGP19" s="200"/>
      <c r="QGQ19" s="200"/>
      <c r="QGR19" s="200"/>
      <c r="QGS19" s="200"/>
      <c r="QGT19" s="200"/>
      <c r="QGU19" s="200"/>
      <c r="QGV19" s="201"/>
      <c r="QGW19" s="199" t="s">
        <v>7</v>
      </c>
      <c r="QGX19" s="200"/>
      <c r="QGY19" s="200"/>
      <c r="QGZ19" s="200"/>
      <c r="QHA19" s="200"/>
      <c r="QHB19" s="200"/>
      <c r="QHC19" s="200"/>
      <c r="QHD19" s="201"/>
      <c r="QHE19" s="199" t="s">
        <v>7</v>
      </c>
      <c r="QHF19" s="200"/>
      <c r="QHG19" s="200"/>
      <c r="QHH19" s="200"/>
      <c r="QHI19" s="200"/>
      <c r="QHJ19" s="200"/>
      <c r="QHK19" s="200"/>
      <c r="QHL19" s="201"/>
      <c r="QHM19" s="199" t="s">
        <v>7</v>
      </c>
      <c r="QHN19" s="200"/>
      <c r="QHO19" s="200"/>
      <c r="QHP19" s="200"/>
      <c r="QHQ19" s="200"/>
      <c r="QHR19" s="200"/>
      <c r="QHS19" s="200"/>
      <c r="QHT19" s="201"/>
      <c r="QHU19" s="199" t="s">
        <v>7</v>
      </c>
      <c r="QHV19" s="200"/>
      <c r="QHW19" s="200"/>
      <c r="QHX19" s="200"/>
      <c r="QHY19" s="200"/>
      <c r="QHZ19" s="200"/>
      <c r="QIA19" s="200"/>
      <c r="QIB19" s="201"/>
      <c r="QIC19" s="199" t="s">
        <v>7</v>
      </c>
      <c r="QID19" s="200"/>
      <c r="QIE19" s="200"/>
      <c r="QIF19" s="200"/>
      <c r="QIG19" s="200"/>
      <c r="QIH19" s="200"/>
      <c r="QII19" s="200"/>
      <c r="QIJ19" s="201"/>
      <c r="QIK19" s="199" t="s">
        <v>7</v>
      </c>
      <c r="QIL19" s="200"/>
      <c r="QIM19" s="200"/>
      <c r="QIN19" s="200"/>
      <c r="QIO19" s="200"/>
      <c r="QIP19" s="200"/>
      <c r="QIQ19" s="200"/>
      <c r="QIR19" s="201"/>
      <c r="QIS19" s="199" t="s">
        <v>7</v>
      </c>
      <c r="QIT19" s="200"/>
      <c r="QIU19" s="200"/>
      <c r="QIV19" s="200"/>
      <c r="QIW19" s="200"/>
      <c r="QIX19" s="200"/>
      <c r="QIY19" s="200"/>
      <c r="QIZ19" s="201"/>
      <c r="QJA19" s="199" t="s">
        <v>7</v>
      </c>
      <c r="QJB19" s="200"/>
      <c r="QJC19" s="200"/>
      <c r="QJD19" s="200"/>
      <c r="QJE19" s="200"/>
      <c r="QJF19" s="200"/>
      <c r="QJG19" s="200"/>
      <c r="QJH19" s="201"/>
      <c r="QJI19" s="199" t="s">
        <v>7</v>
      </c>
      <c r="QJJ19" s="200"/>
      <c r="QJK19" s="200"/>
      <c r="QJL19" s="200"/>
      <c r="QJM19" s="200"/>
      <c r="QJN19" s="200"/>
      <c r="QJO19" s="200"/>
      <c r="QJP19" s="201"/>
      <c r="QJQ19" s="199" t="s">
        <v>7</v>
      </c>
      <c r="QJR19" s="200"/>
      <c r="QJS19" s="200"/>
      <c r="QJT19" s="200"/>
      <c r="QJU19" s="200"/>
      <c r="QJV19" s="200"/>
      <c r="QJW19" s="200"/>
      <c r="QJX19" s="201"/>
      <c r="QJY19" s="199" t="s">
        <v>7</v>
      </c>
      <c r="QJZ19" s="200"/>
      <c r="QKA19" s="200"/>
      <c r="QKB19" s="200"/>
      <c r="QKC19" s="200"/>
      <c r="QKD19" s="200"/>
      <c r="QKE19" s="200"/>
      <c r="QKF19" s="201"/>
      <c r="QKG19" s="199" t="s">
        <v>7</v>
      </c>
      <c r="QKH19" s="200"/>
      <c r="QKI19" s="200"/>
      <c r="QKJ19" s="200"/>
      <c r="QKK19" s="200"/>
      <c r="QKL19" s="200"/>
      <c r="QKM19" s="200"/>
      <c r="QKN19" s="201"/>
      <c r="QKO19" s="199" t="s">
        <v>7</v>
      </c>
      <c r="QKP19" s="200"/>
      <c r="QKQ19" s="200"/>
      <c r="QKR19" s="200"/>
      <c r="QKS19" s="200"/>
      <c r="QKT19" s="200"/>
      <c r="QKU19" s="200"/>
      <c r="QKV19" s="201"/>
      <c r="QKW19" s="199" t="s">
        <v>7</v>
      </c>
      <c r="QKX19" s="200"/>
      <c r="QKY19" s="200"/>
      <c r="QKZ19" s="200"/>
      <c r="QLA19" s="200"/>
      <c r="QLB19" s="200"/>
      <c r="QLC19" s="200"/>
      <c r="QLD19" s="201"/>
      <c r="QLE19" s="199" t="s">
        <v>7</v>
      </c>
      <c r="QLF19" s="200"/>
      <c r="QLG19" s="200"/>
      <c r="QLH19" s="200"/>
      <c r="QLI19" s="200"/>
      <c r="QLJ19" s="200"/>
      <c r="QLK19" s="200"/>
      <c r="QLL19" s="201"/>
      <c r="QLM19" s="199" t="s">
        <v>7</v>
      </c>
      <c r="QLN19" s="200"/>
      <c r="QLO19" s="200"/>
      <c r="QLP19" s="200"/>
      <c r="QLQ19" s="200"/>
      <c r="QLR19" s="200"/>
      <c r="QLS19" s="200"/>
      <c r="QLT19" s="201"/>
      <c r="QLU19" s="199" t="s">
        <v>7</v>
      </c>
      <c r="QLV19" s="200"/>
      <c r="QLW19" s="200"/>
      <c r="QLX19" s="200"/>
      <c r="QLY19" s="200"/>
      <c r="QLZ19" s="200"/>
      <c r="QMA19" s="200"/>
      <c r="QMB19" s="201"/>
      <c r="QMC19" s="199" t="s">
        <v>7</v>
      </c>
      <c r="QMD19" s="200"/>
      <c r="QME19" s="200"/>
      <c r="QMF19" s="200"/>
      <c r="QMG19" s="200"/>
      <c r="QMH19" s="200"/>
      <c r="QMI19" s="200"/>
      <c r="QMJ19" s="201"/>
      <c r="QMK19" s="199" t="s">
        <v>7</v>
      </c>
      <c r="QML19" s="200"/>
      <c r="QMM19" s="200"/>
      <c r="QMN19" s="200"/>
      <c r="QMO19" s="200"/>
      <c r="QMP19" s="200"/>
      <c r="QMQ19" s="200"/>
      <c r="QMR19" s="201"/>
      <c r="QMS19" s="199" t="s">
        <v>7</v>
      </c>
      <c r="QMT19" s="200"/>
      <c r="QMU19" s="200"/>
      <c r="QMV19" s="200"/>
      <c r="QMW19" s="200"/>
      <c r="QMX19" s="200"/>
      <c r="QMY19" s="200"/>
      <c r="QMZ19" s="201"/>
      <c r="QNA19" s="199" t="s">
        <v>7</v>
      </c>
      <c r="QNB19" s="200"/>
      <c r="QNC19" s="200"/>
      <c r="QND19" s="200"/>
      <c r="QNE19" s="200"/>
      <c r="QNF19" s="200"/>
      <c r="QNG19" s="200"/>
      <c r="QNH19" s="201"/>
      <c r="QNI19" s="199" t="s">
        <v>7</v>
      </c>
      <c r="QNJ19" s="200"/>
      <c r="QNK19" s="200"/>
      <c r="QNL19" s="200"/>
      <c r="QNM19" s="200"/>
      <c r="QNN19" s="200"/>
      <c r="QNO19" s="200"/>
      <c r="QNP19" s="201"/>
      <c r="QNQ19" s="199" t="s">
        <v>7</v>
      </c>
      <c r="QNR19" s="200"/>
      <c r="QNS19" s="200"/>
      <c r="QNT19" s="200"/>
      <c r="QNU19" s="200"/>
      <c r="QNV19" s="200"/>
      <c r="QNW19" s="200"/>
      <c r="QNX19" s="201"/>
      <c r="QNY19" s="199" t="s">
        <v>7</v>
      </c>
      <c r="QNZ19" s="200"/>
      <c r="QOA19" s="200"/>
      <c r="QOB19" s="200"/>
      <c r="QOC19" s="200"/>
      <c r="QOD19" s="200"/>
      <c r="QOE19" s="200"/>
      <c r="QOF19" s="201"/>
      <c r="QOG19" s="199" t="s">
        <v>7</v>
      </c>
      <c r="QOH19" s="200"/>
      <c r="QOI19" s="200"/>
      <c r="QOJ19" s="200"/>
      <c r="QOK19" s="200"/>
      <c r="QOL19" s="200"/>
      <c r="QOM19" s="200"/>
      <c r="QON19" s="201"/>
      <c r="QOO19" s="199" t="s">
        <v>7</v>
      </c>
      <c r="QOP19" s="200"/>
      <c r="QOQ19" s="200"/>
      <c r="QOR19" s="200"/>
      <c r="QOS19" s="200"/>
      <c r="QOT19" s="200"/>
      <c r="QOU19" s="200"/>
      <c r="QOV19" s="201"/>
      <c r="QOW19" s="199" t="s">
        <v>7</v>
      </c>
      <c r="QOX19" s="200"/>
      <c r="QOY19" s="200"/>
      <c r="QOZ19" s="200"/>
      <c r="QPA19" s="200"/>
      <c r="QPB19" s="200"/>
      <c r="QPC19" s="200"/>
      <c r="QPD19" s="201"/>
      <c r="QPE19" s="199" t="s">
        <v>7</v>
      </c>
      <c r="QPF19" s="200"/>
      <c r="QPG19" s="200"/>
      <c r="QPH19" s="200"/>
      <c r="QPI19" s="200"/>
      <c r="QPJ19" s="200"/>
      <c r="QPK19" s="200"/>
      <c r="QPL19" s="201"/>
      <c r="QPM19" s="199" t="s">
        <v>7</v>
      </c>
      <c r="QPN19" s="200"/>
      <c r="QPO19" s="200"/>
      <c r="QPP19" s="200"/>
      <c r="QPQ19" s="200"/>
      <c r="QPR19" s="200"/>
      <c r="QPS19" s="200"/>
      <c r="QPT19" s="201"/>
      <c r="QPU19" s="199" t="s">
        <v>7</v>
      </c>
      <c r="QPV19" s="200"/>
      <c r="QPW19" s="200"/>
      <c r="QPX19" s="200"/>
      <c r="QPY19" s="200"/>
      <c r="QPZ19" s="200"/>
      <c r="QQA19" s="200"/>
      <c r="QQB19" s="201"/>
      <c r="QQC19" s="199" t="s">
        <v>7</v>
      </c>
      <c r="QQD19" s="200"/>
      <c r="QQE19" s="200"/>
      <c r="QQF19" s="200"/>
      <c r="QQG19" s="200"/>
      <c r="QQH19" s="200"/>
      <c r="QQI19" s="200"/>
      <c r="QQJ19" s="201"/>
      <c r="QQK19" s="199" t="s">
        <v>7</v>
      </c>
      <c r="QQL19" s="200"/>
      <c r="QQM19" s="200"/>
      <c r="QQN19" s="200"/>
      <c r="QQO19" s="200"/>
      <c r="QQP19" s="200"/>
      <c r="QQQ19" s="200"/>
      <c r="QQR19" s="201"/>
      <c r="QQS19" s="199" t="s">
        <v>7</v>
      </c>
      <c r="QQT19" s="200"/>
      <c r="QQU19" s="200"/>
      <c r="QQV19" s="200"/>
      <c r="QQW19" s="200"/>
      <c r="QQX19" s="200"/>
      <c r="QQY19" s="200"/>
      <c r="QQZ19" s="201"/>
      <c r="QRA19" s="199" t="s">
        <v>7</v>
      </c>
      <c r="QRB19" s="200"/>
      <c r="QRC19" s="200"/>
      <c r="QRD19" s="200"/>
      <c r="QRE19" s="200"/>
      <c r="QRF19" s="200"/>
      <c r="QRG19" s="200"/>
      <c r="QRH19" s="201"/>
      <c r="QRI19" s="199" t="s">
        <v>7</v>
      </c>
      <c r="QRJ19" s="200"/>
      <c r="QRK19" s="200"/>
      <c r="QRL19" s="200"/>
      <c r="QRM19" s="200"/>
      <c r="QRN19" s="200"/>
      <c r="QRO19" s="200"/>
      <c r="QRP19" s="201"/>
      <c r="QRQ19" s="199" t="s">
        <v>7</v>
      </c>
      <c r="QRR19" s="200"/>
      <c r="QRS19" s="200"/>
      <c r="QRT19" s="200"/>
      <c r="QRU19" s="200"/>
      <c r="QRV19" s="200"/>
      <c r="QRW19" s="200"/>
      <c r="QRX19" s="201"/>
      <c r="QRY19" s="199" t="s">
        <v>7</v>
      </c>
      <c r="QRZ19" s="200"/>
      <c r="QSA19" s="200"/>
      <c r="QSB19" s="200"/>
      <c r="QSC19" s="200"/>
      <c r="QSD19" s="200"/>
      <c r="QSE19" s="200"/>
      <c r="QSF19" s="201"/>
      <c r="QSG19" s="199" t="s">
        <v>7</v>
      </c>
      <c r="QSH19" s="200"/>
      <c r="QSI19" s="200"/>
      <c r="QSJ19" s="200"/>
      <c r="QSK19" s="200"/>
      <c r="QSL19" s="200"/>
      <c r="QSM19" s="200"/>
      <c r="QSN19" s="201"/>
      <c r="QSO19" s="199" t="s">
        <v>7</v>
      </c>
      <c r="QSP19" s="200"/>
      <c r="QSQ19" s="200"/>
      <c r="QSR19" s="200"/>
      <c r="QSS19" s="200"/>
      <c r="QST19" s="200"/>
      <c r="QSU19" s="200"/>
      <c r="QSV19" s="201"/>
      <c r="QSW19" s="199" t="s">
        <v>7</v>
      </c>
      <c r="QSX19" s="200"/>
      <c r="QSY19" s="200"/>
      <c r="QSZ19" s="200"/>
      <c r="QTA19" s="200"/>
      <c r="QTB19" s="200"/>
      <c r="QTC19" s="200"/>
      <c r="QTD19" s="201"/>
      <c r="QTE19" s="199" t="s">
        <v>7</v>
      </c>
      <c r="QTF19" s="200"/>
      <c r="QTG19" s="200"/>
      <c r="QTH19" s="200"/>
      <c r="QTI19" s="200"/>
      <c r="QTJ19" s="200"/>
      <c r="QTK19" s="200"/>
      <c r="QTL19" s="201"/>
      <c r="QTM19" s="199" t="s">
        <v>7</v>
      </c>
      <c r="QTN19" s="200"/>
      <c r="QTO19" s="200"/>
      <c r="QTP19" s="200"/>
      <c r="QTQ19" s="200"/>
      <c r="QTR19" s="200"/>
      <c r="QTS19" s="200"/>
      <c r="QTT19" s="201"/>
      <c r="QTU19" s="199" t="s">
        <v>7</v>
      </c>
      <c r="QTV19" s="200"/>
      <c r="QTW19" s="200"/>
      <c r="QTX19" s="200"/>
      <c r="QTY19" s="200"/>
      <c r="QTZ19" s="200"/>
      <c r="QUA19" s="200"/>
      <c r="QUB19" s="201"/>
      <c r="QUC19" s="199" t="s">
        <v>7</v>
      </c>
      <c r="QUD19" s="200"/>
      <c r="QUE19" s="200"/>
      <c r="QUF19" s="200"/>
      <c r="QUG19" s="200"/>
      <c r="QUH19" s="200"/>
      <c r="QUI19" s="200"/>
      <c r="QUJ19" s="201"/>
      <c r="QUK19" s="199" t="s">
        <v>7</v>
      </c>
      <c r="QUL19" s="200"/>
      <c r="QUM19" s="200"/>
      <c r="QUN19" s="200"/>
      <c r="QUO19" s="200"/>
      <c r="QUP19" s="200"/>
      <c r="QUQ19" s="200"/>
      <c r="QUR19" s="201"/>
      <c r="QUS19" s="199" t="s">
        <v>7</v>
      </c>
      <c r="QUT19" s="200"/>
      <c r="QUU19" s="200"/>
      <c r="QUV19" s="200"/>
      <c r="QUW19" s="200"/>
      <c r="QUX19" s="200"/>
      <c r="QUY19" s="200"/>
      <c r="QUZ19" s="201"/>
      <c r="QVA19" s="199" t="s">
        <v>7</v>
      </c>
      <c r="QVB19" s="200"/>
      <c r="QVC19" s="200"/>
      <c r="QVD19" s="200"/>
      <c r="QVE19" s="200"/>
      <c r="QVF19" s="200"/>
      <c r="QVG19" s="200"/>
      <c r="QVH19" s="201"/>
      <c r="QVI19" s="199" t="s">
        <v>7</v>
      </c>
      <c r="QVJ19" s="200"/>
      <c r="QVK19" s="200"/>
      <c r="QVL19" s="200"/>
      <c r="QVM19" s="200"/>
      <c r="QVN19" s="200"/>
      <c r="QVO19" s="200"/>
      <c r="QVP19" s="201"/>
      <c r="QVQ19" s="199" t="s">
        <v>7</v>
      </c>
      <c r="QVR19" s="200"/>
      <c r="QVS19" s="200"/>
      <c r="QVT19" s="200"/>
      <c r="QVU19" s="200"/>
      <c r="QVV19" s="200"/>
      <c r="QVW19" s="200"/>
      <c r="QVX19" s="201"/>
      <c r="QVY19" s="199" t="s">
        <v>7</v>
      </c>
      <c r="QVZ19" s="200"/>
      <c r="QWA19" s="200"/>
      <c r="QWB19" s="200"/>
      <c r="QWC19" s="200"/>
      <c r="QWD19" s="200"/>
      <c r="QWE19" s="200"/>
      <c r="QWF19" s="201"/>
      <c r="QWG19" s="199" t="s">
        <v>7</v>
      </c>
      <c r="QWH19" s="200"/>
      <c r="QWI19" s="200"/>
      <c r="QWJ19" s="200"/>
      <c r="QWK19" s="200"/>
      <c r="QWL19" s="200"/>
      <c r="QWM19" s="200"/>
      <c r="QWN19" s="201"/>
      <c r="QWO19" s="199" t="s">
        <v>7</v>
      </c>
      <c r="QWP19" s="200"/>
      <c r="QWQ19" s="200"/>
      <c r="QWR19" s="200"/>
      <c r="QWS19" s="200"/>
      <c r="QWT19" s="200"/>
      <c r="QWU19" s="200"/>
      <c r="QWV19" s="201"/>
      <c r="QWW19" s="199" t="s">
        <v>7</v>
      </c>
      <c r="QWX19" s="200"/>
      <c r="QWY19" s="200"/>
      <c r="QWZ19" s="200"/>
      <c r="QXA19" s="200"/>
      <c r="QXB19" s="200"/>
      <c r="QXC19" s="200"/>
      <c r="QXD19" s="201"/>
      <c r="QXE19" s="199" t="s">
        <v>7</v>
      </c>
      <c r="QXF19" s="200"/>
      <c r="QXG19" s="200"/>
      <c r="QXH19" s="200"/>
      <c r="QXI19" s="200"/>
      <c r="QXJ19" s="200"/>
      <c r="QXK19" s="200"/>
      <c r="QXL19" s="201"/>
      <c r="QXM19" s="199" t="s">
        <v>7</v>
      </c>
      <c r="QXN19" s="200"/>
      <c r="QXO19" s="200"/>
      <c r="QXP19" s="200"/>
      <c r="QXQ19" s="200"/>
      <c r="QXR19" s="200"/>
      <c r="QXS19" s="200"/>
      <c r="QXT19" s="201"/>
      <c r="QXU19" s="199" t="s">
        <v>7</v>
      </c>
      <c r="QXV19" s="200"/>
      <c r="QXW19" s="200"/>
      <c r="QXX19" s="200"/>
      <c r="QXY19" s="200"/>
      <c r="QXZ19" s="200"/>
      <c r="QYA19" s="200"/>
      <c r="QYB19" s="201"/>
      <c r="QYC19" s="199" t="s">
        <v>7</v>
      </c>
      <c r="QYD19" s="200"/>
      <c r="QYE19" s="200"/>
      <c r="QYF19" s="200"/>
      <c r="QYG19" s="200"/>
      <c r="QYH19" s="200"/>
      <c r="QYI19" s="200"/>
      <c r="QYJ19" s="201"/>
      <c r="QYK19" s="199" t="s">
        <v>7</v>
      </c>
      <c r="QYL19" s="200"/>
      <c r="QYM19" s="200"/>
      <c r="QYN19" s="200"/>
      <c r="QYO19" s="200"/>
      <c r="QYP19" s="200"/>
      <c r="QYQ19" s="200"/>
      <c r="QYR19" s="201"/>
      <c r="QYS19" s="199" t="s">
        <v>7</v>
      </c>
      <c r="QYT19" s="200"/>
      <c r="QYU19" s="200"/>
      <c r="QYV19" s="200"/>
      <c r="QYW19" s="200"/>
      <c r="QYX19" s="200"/>
      <c r="QYY19" s="200"/>
      <c r="QYZ19" s="201"/>
      <c r="QZA19" s="199" t="s">
        <v>7</v>
      </c>
      <c r="QZB19" s="200"/>
      <c r="QZC19" s="200"/>
      <c r="QZD19" s="200"/>
      <c r="QZE19" s="200"/>
      <c r="QZF19" s="200"/>
      <c r="QZG19" s="200"/>
      <c r="QZH19" s="201"/>
      <c r="QZI19" s="199" t="s">
        <v>7</v>
      </c>
      <c r="QZJ19" s="200"/>
      <c r="QZK19" s="200"/>
      <c r="QZL19" s="200"/>
      <c r="QZM19" s="200"/>
      <c r="QZN19" s="200"/>
      <c r="QZO19" s="200"/>
      <c r="QZP19" s="201"/>
      <c r="QZQ19" s="199" t="s">
        <v>7</v>
      </c>
      <c r="QZR19" s="200"/>
      <c r="QZS19" s="200"/>
      <c r="QZT19" s="200"/>
      <c r="QZU19" s="200"/>
      <c r="QZV19" s="200"/>
      <c r="QZW19" s="200"/>
      <c r="QZX19" s="201"/>
      <c r="QZY19" s="199" t="s">
        <v>7</v>
      </c>
      <c r="QZZ19" s="200"/>
      <c r="RAA19" s="200"/>
      <c r="RAB19" s="200"/>
      <c r="RAC19" s="200"/>
      <c r="RAD19" s="200"/>
      <c r="RAE19" s="200"/>
      <c r="RAF19" s="201"/>
      <c r="RAG19" s="199" t="s">
        <v>7</v>
      </c>
      <c r="RAH19" s="200"/>
      <c r="RAI19" s="200"/>
      <c r="RAJ19" s="200"/>
      <c r="RAK19" s="200"/>
      <c r="RAL19" s="200"/>
      <c r="RAM19" s="200"/>
      <c r="RAN19" s="201"/>
      <c r="RAO19" s="199" t="s">
        <v>7</v>
      </c>
      <c r="RAP19" s="200"/>
      <c r="RAQ19" s="200"/>
      <c r="RAR19" s="200"/>
      <c r="RAS19" s="200"/>
      <c r="RAT19" s="200"/>
      <c r="RAU19" s="200"/>
      <c r="RAV19" s="201"/>
      <c r="RAW19" s="199" t="s">
        <v>7</v>
      </c>
      <c r="RAX19" s="200"/>
      <c r="RAY19" s="200"/>
      <c r="RAZ19" s="200"/>
      <c r="RBA19" s="200"/>
      <c r="RBB19" s="200"/>
      <c r="RBC19" s="200"/>
      <c r="RBD19" s="201"/>
      <c r="RBE19" s="199" t="s">
        <v>7</v>
      </c>
      <c r="RBF19" s="200"/>
      <c r="RBG19" s="200"/>
      <c r="RBH19" s="200"/>
      <c r="RBI19" s="200"/>
      <c r="RBJ19" s="200"/>
      <c r="RBK19" s="200"/>
      <c r="RBL19" s="201"/>
      <c r="RBM19" s="199" t="s">
        <v>7</v>
      </c>
      <c r="RBN19" s="200"/>
      <c r="RBO19" s="200"/>
      <c r="RBP19" s="200"/>
      <c r="RBQ19" s="200"/>
      <c r="RBR19" s="200"/>
      <c r="RBS19" s="200"/>
      <c r="RBT19" s="201"/>
      <c r="RBU19" s="199" t="s">
        <v>7</v>
      </c>
      <c r="RBV19" s="200"/>
      <c r="RBW19" s="200"/>
      <c r="RBX19" s="200"/>
      <c r="RBY19" s="200"/>
      <c r="RBZ19" s="200"/>
      <c r="RCA19" s="200"/>
      <c r="RCB19" s="201"/>
      <c r="RCC19" s="199" t="s">
        <v>7</v>
      </c>
      <c r="RCD19" s="200"/>
      <c r="RCE19" s="200"/>
      <c r="RCF19" s="200"/>
      <c r="RCG19" s="200"/>
      <c r="RCH19" s="200"/>
      <c r="RCI19" s="200"/>
      <c r="RCJ19" s="201"/>
      <c r="RCK19" s="199" t="s">
        <v>7</v>
      </c>
      <c r="RCL19" s="200"/>
      <c r="RCM19" s="200"/>
      <c r="RCN19" s="200"/>
      <c r="RCO19" s="200"/>
      <c r="RCP19" s="200"/>
      <c r="RCQ19" s="200"/>
      <c r="RCR19" s="201"/>
      <c r="RCS19" s="199" t="s">
        <v>7</v>
      </c>
      <c r="RCT19" s="200"/>
      <c r="RCU19" s="200"/>
      <c r="RCV19" s="200"/>
      <c r="RCW19" s="200"/>
      <c r="RCX19" s="200"/>
      <c r="RCY19" s="200"/>
      <c r="RCZ19" s="201"/>
      <c r="RDA19" s="199" t="s">
        <v>7</v>
      </c>
      <c r="RDB19" s="200"/>
      <c r="RDC19" s="200"/>
      <c r="RDD19" s="200"/>
      <c r="RDE19" s="200"/>
      <c r="RDF19" s="200"/>
      <c r="RDG19" s="200"/>
      <c r="RDH19" s="201"/>
      <c r="RDI19" s="199" t="s">
        <v>7</v>
      </c>
      <c r="RDJ19" s="200"/>
      <c r="RDK19" s="200"/>
      <c r="RDL19" s="200"/>
      <c r="RDM19" s="200"/>
      <c r="RDN19" s="200"/>
      <c r="RDO19" s="200"/>
      <c r="RDP19" s="201"/>
      <c r="RDQ19" s="199" t="s">
        <v>7</v>
      </c>
      <c r="RDR19" s="200"/>
      <c r="RDS19" s="200"/>
      <c r="RDT19" s="200"/>
      <c r="RDU19" s="200"/>
      <c r="RDV19" s="200"/>
      <c r="RDW19" s="200"/>
      <c r="RDX19" s="201"/>
      <c r="RDY19" s="199" t="s">
        <v>7</v>
      </c>
      <c r="RDZ19" s="200"/>
      <c r="REA19" s="200"/>
      <c r="REB19" s="200"/>
      <c r="REC19" s="200"/>
      <c r="RED19" s="200"/>
      <c r="REE19" s="200"/>
      <c r="REF19" s="201"/>
      <c r="REG19" s="199" t="s">
        <v>7</v>
      </c>
      <c r="REH19" s="200"/>
      <c r="REI19" s="200"/>
      <c r="REJ19" s="200"/>
      <c r="REK19" s="200"/>
      <c r="REL19" s="200"/>
      <c r="REM19" s="200"/>
      <c r="REN19" s="201"/>
      <c r="REO19" s="199" t="s">
        <v>7</v>
      </c>
      <c r="REP19" s="200"/>
      <c r="REQ19" s="200"/>
      <c r="RER19" s="200"/>
      <c r="RES19" s="200"/>
      <c r="RET19" s="200"/>
      <c r="REU19" s="200"/>
      <c r="REV19" s="201"/>
      <c r="REW19" s="199" t="s">
        <v>7</v>
      </c>
      <c r="REX19" s="200"/>
      <c r="REY19" s="200"/>
      <c r="REZ19" s="200"/>
      <c r="RFA19" s="200"/>
      <c r="RFB19" s="200"/>
      <c r="RFC19" s="200"/>
      <c r="RFD19" s="201"/>
      <c r="RFE19" s="199" t="s">
        <v>7</v>
      </c>
      <c r="RFF19" s="200"/>
      <c r="RFG19" s="200"/>
      <c r="RFH19" s="200"/>
      <c r="RFI19" s="200"/>
      <c r="RFJ19" s="200"/>
      <c r="RFK19" s="200"/>
      <c r="RFL19" s="201"/>
      <c r="RFM19" s="199" t="s">
        <v>7</v>
      </c>
      <c r="RFN19" s="200"/>
      <c r="RFO19" s="200"/>
      <c r="RFP19" s="200"/>
      <c r="RFQ19" s="200"/>
      <c r="RFR19" s="200"/>
      <c r="RFS19" s="200"/>
      <c r="RFT19" s="201"/>
      <c r="RFU19" s="199" t="s">
        <v>7</v>
      </c>
      <c r="RFV19" s="200"/>
      <c r="RFW19" s="200"/>
      <c r="RFX19" s="200"/>
      <c r="RFY19" s="200"/>
      <c r="RFZ19" s="200"/>
      <c r="RGA19" s="200"/>
      <c r="RGB19" s="201"/>
      <c r="RGC19" s="199" t="s">
        <v>7</v>
      </c>
      <c r="RGD19" s="200"/>
      <c r="RGE19" s="200"/>
      <c r="RGF19" s="200"/>
      <c r="RGG19" s="200"/>
      <c r="RGH19" s="200"/>
      <c r="RGI19" s="200"/>
      <c r="RGJ19" s="201"/>
      <c r="RGK19" s="199" t="s">
        <v>7</v>
      </c>
      <c r="RGL19" s="200"/>
      <c r="RGM19" s="200"/>
      <c r="RGN19" s="200"/>
      <c r="RGO19" s="200"/>
      <c r="RGP19" s="200"/>
      <c r="RGQ19" s="200"/>
      <c r="RGR19" s="201"/>
      <c r="RGS19" s="199" t="s">
        <v>7</v>
      </c>
      <c r="RGT19" s="200"/>
      <c r="RGU19" s="200"/>
      <c r="RGV19" s="200"/>
      <c r="RGW19" s="200"/>
      <c r="RGX19" s="200"/>
      <c r="RGY19" s="200"/>
      <c r="RGZ19" s="201"/>
      <c r="RHA19" s="199" t="s">
        <v>7</v>
      </c>
      <c r="RHB19" s="200"/>
      <c r="RHC19" s="200"/>
      <c r="RHD19" s="200"/>
      <c r="RHE19" s="200"/>
      <c r="RHF19" s="200"/>
      <c r="RHG19" s="200"/>
      <c r="RHH19" s="201"/>
      <c r="RHI19" s="199" t="s">
        <v>7</v>
      </c>
      <c r="RHJ19" s="200"/>
      <c r="RHK19" s="200"/>
      <c r="RHL19" s="200"/>
      <c r="RHM19" s="200"/>
      <c r="RHN19" s="200"/>
      <c r="RHO19" s="200"/>
      <c r="RHP19" s="201"/>
      <c r="RHQ19" s="199" t="s">
        <v>7</v>
      </c>
      <c r="RHR19" s="200"/>
      <c r="RHS19" s="200"/>
      <c r="RHT19" s="200"/>
      <c r="RHU19" s="200"/>
      <c r="RHV19" s="200"/>
      <c r="RHW19" s="200"/>
      <c r="RHX19" s="201"/>
      <c r="RHY19" s="199" t="s">
        <v>7</v>
      </c>
      <c r="RHZ19" s="200"/>
      <c r="RIA19" s="200"/>
      <c r="RIB19" s="200"/>
      <c r="RIC19" s="200"/>
      <c r="RID19" s="200"/>
      <c r="RIE19" s="200"/>
      <c r="RIF19" s="201"/>
      <c r="RIG19" s="199" t="s">
        <v>7</v>
      </c>
      <c r="RIH19" s="200"/>
      <c r="RII19" s="200"/>
      <c r="RIJ19" s="200"/>
      <c r="RIK19" s="200"/>
      <c r="RIL19" s="200"/>
      <c r="RIM19" s="200"/>
      <c r="RIN19" s="201"/>
      <c r="RIO19" s="199" t="s">
        <v>7</v>
      </c>
      <c r="RIP19" s="200"/>
      <c r="RIQ19" s="200"/>
      <c r="RIR19" s="200"/>
      <c r="RIS19" s="200"/>
      <c r="RIT19" s="200"/>
      <c r="RIU19" s="200"/>
      <c r="RIV19" s="201"/>
      <c r="RIW19" s="199" t="s">
        <v>7</v>
      </c>
      <c r="RIX19" s="200"/>
      <c r="RIY19" s="200"/>
      <c r="RIZ19" s="200"/>
      <c r="RJA19" s="200"/>
      <c r="RJB19" s="200"/>
      <c r="RJC19" s="200"/>
      <c r="RJD19" s="201"/>
      <c r="RJE19" s="199" t="s">
        <v>7</v>
      </c>
      <c r="RJF19" s="200"/>
      <c r="RJG19" s="200"/>
      <c r="RJH19" s="200"/>
      <c r="RJI19" s="200"/>
      <c r="RJJ19" s="200"/>
      <c r="RJK19" s="200"/>
      <c r="RJL19" s="201"/>
      <c r="RJM19" s="199" t="s">
        <v>7</v>
      </c>
      <c r="RJN19" s="200"/>
      <c r="RJO19" s="200"/>
      <c r="RJP19" s="200"/>
      <c r="RJQ19" s="200"/>
      <c r="RJR19" s="200"/>
      <c r="RJS19" s="200"/>
      <c r="RJT19" s="201"/>
      <c r="RJU19" s="199" t="s">
        <v>7</v>
      </c>
      <c r="RJV19" s="200"/>
      <c r="RJW19" s="200"/>
      <c r="RJX19" s="200"/>
      <c r="RJY19" s="200"/>
      <c r="RJZ19" s="200"/>
      <c r="RKA19" s="200"/>
      <c r="RKB19" s="201"/>
      <c r="RKC19" s="199" t="s">
        <v>7</v>
      </c>
      <c r="RKD19" s="200"/>
      <c r="RKE19" s="200"/>
      <c r="RKF19" s="200"/>
      <c r="RKG19" s="200"/>
      <c r="RKH19" s="200"/>
      <c r="RKI19" s="200"/>
      <c r="RKJ19" s="201"/>
      <c r="RKK19" s="199" t="s">
        <v>7</v>
      </c>
      <c r="RKL19" s="200"/>
      <c r="RKM19" s="200"/>
      <c r="RKN19" s="200"/>
      <c r="RKO19" s="200"/>
      <c r="RKP19" s="200"/>
      <c r="RKQ19" s="200"/>
      <c r="RKR19" s="201"/>
      <c r="RKS19" s="199" t="s">
        <v>7</v>
      </c>
      <c r="RKT19" s="200"/>
      <c r="RKU19" s="200"/>
      <c r="RKV19" s="200"/>
      <c r="RKW19" s="200"/>
      <c r="RKX19" s="200"/>
      <c r="RKY19" s="200"/>
      <c r="RKZ19" s="201"/>
      <c r="RLA19" s="199" t="s">
        <v>7</v>
      </c>
      <c r="RLB19" s="200"/>
      <c r="RLC19" s="200"/>
      <c r="RLD19" s="200"/>
      <c r="RLE19" s="200"/>
      <c r="RLF19" s="200"/>
      <c r="RLG19" s="200"/>
      <c r="RLH19" s="201"/>
      <c r="RLI19" s="199" t="s">
        <v>7</v>
      </c>
      <c r="RLJ19" s="200"/>
      <c r="RLK19" s="200"/>
      <c r="RLL19" s="200"/>
      <c r="RLM19" s="200"/>
      <c r="RLN19" s="200"/>
      <c r="RLO19" s="200"/>
      <c r="RLP19" s="201"/>
      <c r="RLQ19" s="199" t="s">
        <v>7</v>
      </c>
      <c r="RLR19" s="200"/>
      <c r="RLS19" s="200"/>
      <c r="RLT19" s="200"/>
      <c r="RLU19" s="200"/>
      <c r="RLV19" s="200"/>
      <c r="RLW19" s="200"/>
      <c r="RLX19" s="201"/>
      <c r="RLY19" s="199" t="s">
        <v>7</v>
      </c>
      <c r="RLZ19" s="200"/>
      <c r="RMA19" s="200"/>
      <c r="RMB19" s="200"/>
      <c r="RMC19" s="200"/>
      <c r="RMD19" s="200"/>
      <c r="RME19" s="200"/>
      <c r="RMF19" s="201"/>
      <c r="RMG19" s="199" t="s">
        <v>7</v>
      </c>
      <c r="RMH19" s="200"/>
      <c r="RMI19" s="200"/>
      <c r="RMJ19" s="200"/>
      <c r="RMK19" s="200"/>
      <c r="RML19" s="200"/>
      <c r="RMM19" s="200"/>
      <c r="RMN19" s="201"/>
      <c r="RMO19" s="199" t="s">
        <v>7</v>
      </c>
      <c r="RMP19" s="200"/>
      <c r="RMQ19" s="200"/>
      <c r="RMR19" s="200"/>
      <c r="RMS19" s="200"/>
      <c r="RMT19" s="200"/>
      <c r="RMU19" s="200"/>
      <c r="RMV19" s="201"/>
      <c r="RMW19" s="199" t="s">
        <v>7</v>
      </c>
      <c r="RMX19" s="200"/>
      <c r="RMY19" s="200"/>
      <c r="RMZ19" s="200"/>
      <c r="RNA19" s="200"/>
      <c r="RNB19" s="200"/>
      <c r="RNC19" s="200"/>
      <c r="RND19" s="201"/>
      <c r="RNE19" s="199" t="s">
        <v>7</v>
      </c>
      <c r="RNF19" s="200"/>
      <c r="RNG19" s="200"/>
      <c r="RNH19" s="200"/>
      <c r="RNI19" s="200"/>
      <c r="RNJ19" s="200"/>
      <c r="RNK19" s="200"/>
      <c r="RNL19" s="201"/>
      <c r="RNM19" s="199" t="s">
        <v>7</v>
      </c>
      <c r="RNN19" s="200"/>
      <c r="RNO19" s="200"/>
      <c r="RNP19" s="200"/>
      <c r="RNQ19" s="200"/>
      <c r="RNR19" s="200"/>
      <c r="RNS19" s="200"/>
      <c r="RNT19" s="201"/>
      <c r="RNU19" s="199" t="s">
        <v>7</v>
      </c>
      <c r="RNV19" s="200"/>
      <c r="RNW19" s="200"/>
      <c r="RNX19" s="200"/>
      <c r="RNY19" s="200"/>
      <c r="RNZ19" s="200"/>
      <c r="ROA19" s="200"/>
      <c r="ROB19" s="201"/>
      <c r="ROC19" s="199" t="s">
        <v>7</v>
      </c>
      <c r="ROD19" s="200"/>
      <c r="ROE19" s="200"/>
      <c r="ROF19" s="200"/>
      <c r="ROG19" s="200"/>
      <c r="ROH19" s="200"/>
      <c r="ROI19" s="200"/>
      <c r="ROJ19" s="201"/>
      <c r="ROK19" s="199" t="s">
        <v>7</v>
      </c>
      <c r="ROL19" s="200"/>
      <c r="ROM19" s="200"/>
      <c r="RON19" s="200"/>
      <c r="ROO19" s="200"/>
      <c r="ROP19" s="200"/>
      <c r="ROQ19" s="200"/>
      <c r="ROR19" s="201"/>
      <c r="ROS19" s="199" t="s">
        <v>7</v>
      </c>
      <c r="ROT19" s="200"/>
      <c r="ROU19" s="200"/>
      <c r="ROV19" s="200"/>
      <c r="ROW19" s="200"/>
      <c r="ROX19" s="200"/>
      <c r="ROY19" s="200"/>
      <c r="ROZ19" s="201"/>
      <c r="RPA19" s="199" t="s">
        <v>7</v>
      </c>
      <c r="RPB19" s="200"/>
      <c r="RPC19" s="200"/>
      <c r="RPD19" s="200"/>
      <c r="RPE19" s="200"/>
      <c r="RPF19" s="200"/>
      <c r="RPG19" s="200"/>
      <c r="RPH19" s="201"/>
      <c r="RPI19" s="199" t="s">
        <v>7</v>
      </c>
      <c r="RPJ19" s="200"/>
      <c r="RPK19" s="200"/>
      <c r="RPL19" s="200"/>
      <c r="RPM19" s="200"/>
      <c r="RPN19" s="200"/>
      <c r="RPO19" s="200"/>
      <c r="RPP19" s="201"/>
      <c r="RPQ19" s="199" t="s">
        <v>7</v>
      </c>
      <c r="RPR19" s="200"/>
      <c r="RPS19" s="200"/>
      <c r="RPT19" s="200"/>
      <c r="RPU19" s="200"/>
      <c r="RPV19" s="200"/>
      <c r="RPW19" s="200"/>
      <c r="RPX19" s="201"/>
      <c r="RPY19" s="199" t="s">
        <v>7</v>
      </c>
      <c r="RPZ19" s="200"/>
      <c r="RQA19" s="200"/>
      <c r="RQB19" s="200"/>
      <c r="RQC19" s="200"/>
      <c r="RQD19" s="200"/>
      <c r="RQE19" s="200"/>
      <c r="RQF19" s="201"/>
      <c r="RQG19" s="199" t="s">
        <v>7</v>
      </c>
      <c r="RQH19" s="200"/>
      <c r="RQI19" s="200"/>
      <c r="RQJ19" s="200"/>
      <c r="RQK19" s="200"/>
      <c r="RQL19" s="200"/>
      <c r="RQM19" s="200"/>
      <c r="RQN19" s="201"/>
      <c r="RQO19" s="199" t="s">
        <v>7</v>
      </c>
      <c r="RQP19" s="200"/>
      <c r="RQQ19" s="200"/>
      <c r="RQR19" s="200"/>
      <c r="RQS19" s="200"/>
      <c r="RQT19" s="200"/>
      <c r="RQU19" s="200"/>
      <c r="RQV19" s="201"/>
      <c r="RQW19" s="199" t="s">
        <v>7</v>
      </c>
      <c r="RQX19" s="200"/>
      <c r="RQY19" s="200"/>
      <c r="RQZ19" s="200"/>
      <c r="RRA19" s="200"/>
      <c r="RRB19" s="200"/>
      <c r="RRC19" s="200"/>
      <c r="RRD19" s="201"/>
      <c r="RRE19" s="199" t="s">
        <v>7</v>
      </c>
      <c r="RRF19" s="200"/>
      <c r="RRG19" s="200"/>
      <c r="RRH19" s="200"/>
      <c r="RRI19" s="200"/>
      <c r="RRJ19" s="200"/>
      <c r="RRK19" s="200"/>
      <c r="RRL19" s="201"/>
      <c r="RRM19" s="199" t="s">
        <v>7</v>
      </c>
      <c r="RRN19" s="200"/>
      <c r="RRO19" s="200"/>
      <c r="RRP19" s="200"/>
      <c r="RRQ19" s="200"/>
      <c r="RRR19" s="200"/>
      <c r="RRS19" s="200"/>
      <c r="RRT19" s="201"/>
      <c r="RRU19" s="199" t="s">
        <v>7</v>
      </c>
      <c r="RRV19" s="200"/>
      <c r="RRW19" s="200"/>
      <c r="RRX19" s="200"/>
      <c r="RRY19" s="200"/>
      <c r="RRZ19" s="200"/>
      <c r="RSA19" s="200"/>
      <c r="RSB19" s="201"/>
      <c r="RSC19" s="199" t="s">
        <v>7</v>
      </c>
      <c r="RSD19" s="200"/>
      <c r="RSE19" s="200"/>
      <c r="RSF19" s="200"/>
      <c r="RSG19" s="200"/>
      <c r="RSH19" s="200"/>
      <c r="RSI19" s="200"/>
      <c r="RSJ19" s="201"/>
      <c r="RSK19" s="199" t="s">
        <v>7</v>
      </c>
      <c r="RSL19" s="200"/>
      <c r="RSM19" s="200"/>
      <c r="RSN19" s="200"/>
      <c r="RSO19" s="200"/>
      <c r="RSP19" s="200"/>
      <c r="RSQ19" s="200"/>
      <c r="RSR19" s="201"/>
      <c r="RSS19" s="199" t="s">
        <v>7</v>
      </c>
      <c r="RST19" s="200"/>
      <c r="RSU19" s="200"/>
      <c r="RSV19" s="200"/>
      <c r="RSW19" s="200"/>
      <c r="RSX19" s="200"/>
      <c r="RSY19" s="200"/>
      <c r="RSZ19" s="201"/>
      <c r="RTA19" s="199" t="s">
        <v>7</v>
      </c>
      <c r="RTB19" s="200"/>
      <c r="RTC19" s="200"/>
      <c r="RTD19" s="200"/>
      <c r="RTE19" s="200"/>
      <c r="RTF19" s="200"/>
      <c r="RTG19" s="200"/>
      <c r="RTH19" s="201"/>
      <c r="RTI19" s="199" t="s">
        <v>7</v>
      </c>
      <c r="RTJ19" s="200"/>
      <c r="RTK19" s="200"/>
      <c r="RTL19" s="200"/>
      <c r="RTM19" s="200"/>
      <c r="RTN19" s="200"/>
      <c r="RTO19" s="200"/>
      <c r="RTP19" s="201"/>
      <c r="RTQ19" s="199" t="s">
        <v>7</v>
      </c>
      <c r="RTR19" s="200"/>
      <c r="RTS19" s="200"/>
      <c r="RTT19" s="200"/>
      <c r="RTU19" s="200"/>
      <c r="RTV19" s="200"/>
      <c r="RTW19" s="200"/>
      <c r="RTX19" s="201"/>
      <c r="RTY19" s="199" t="s">
        <v>7</v>
      </c>
      <c r="RTZ19" s="200"/>
      <c r="RUA19" s="200"/>
      <c r="RUB19" s="200"/>
      <c r="RUC19" s="200"/>
      <c r="RUD19" s="200"/>
      <c r="RUE19" s="200"/>
      <c r="RUF19" s="201"/>
      <c r="RUG19" s="199" t="s">
        <v>7</v>
      </c>
      <c r="RUH19" s="200"/>
      <c r="RUI19" s="200"/>
      <c r="RUJ19" s="200"/>
      <c r="RUK19" s="200"/>
      <c r="RUL19" s="200"/>
      <c r="RUM19" s="200"/>
      <c r="RUN19" s="201"/>
      <c r="RUO19" s="199" t="s">
        <v>7</v>
      </c>
      <c r="RUP19" s="200"/>
      <c r="RUQ19" s="200"/>
      <c r="RUR19" s="200"/>
      <c r="RUS19" s="200"/>
      <c r="RUT19" s="200"/>
      <c r="RUU19" s="200"/>
      <c r="RUV19" s="201"/>
      <c r="RUW19" s="199" t="s">
        <v>7</v>
      </c>
      <c r="RUX19" s="200"/>
      <c r="RUY19" s="200"/>
      <c r="RUZ19" s="200"/>
      <c r="RVA19" s="200"/>
      <c r="RVB19" s="200"/>
      <c r="RVC19" s="200"/>
      <c r="RVD19" s="201"/>
      <c r="RVE19" s="199" t="s">
        <v>7</v>
      </c>
      <c r="RVF19" s="200"/>
      <c r="RVG19" s="200"/>
      <c r="RVH19" s="200"/>
      <c r="RVI19" s="200"/>
      <c r="RVJ19" s="200"/>
      <c r="RVK19" s="200"/>
      <c r="RVL19" s="201"/>
      <c r="RVM19" s="199" t="s">
        <v>7</v>
      </c>
      <c r="RVN19" s="200"/>
      <c r="RVO19" s="200"/>
      <c r="RVP19" s="200"/>
      <c r="RVQ19" s="200"/>
      <c r="RVR19" s="200"/>
      <c r="RVS19" s="200"/>
      <c r="RVT19" s="201"/>
      <c r="RVU19" s="199" t="s">
        <v>7</v>
      </c>
      <c r="RVV19" s="200"/>
      <c r="RVW19" s="200"/>
      <c r="RVX19" s="200"/>
      <c r="RVY19" s="200"/>
      <c r="RVZ19" s="200"/>
      <c r="RWA19" s="200"/>
      <c r="RWB19" s="201"/>
      <c r="RWC19" s="199" t="s">
        <v>7</v>
      </c>
      <c r="RWD19" s="200"/>
      <c r="RWE19" s="200"/>
      <c r="RWF19" s="200"/>
      <c r="RWG19" s="200"/>
      <c r="RWH19" s="200"/>
      <c r="RWI19" s="200"/>
      <c r="RWJ19" s="201"/>
      <c r="RWK19" s="199" t="s">
        <v>7</v>
      </c>
      <c r="RWL19" s="200"/>
      <c r="RWM19" s="200"/>
      <c r="RWN19" s="200"/>
      <c r="RWO19" s="200"/>
      <c r="RWP19" s="200"/>
      <c r="RWQ19" s="200"/>
      <c r="RWR19" s="201"/>
      <c r="RWS19" s="199" t="s">
        <v>7</v>
      </c>
      <c r="RWT19" s="200"/>
      <c r="RWU19" s="200"/>
      <c r="RWV19" s="200"/>
      <c r="RWW19" s="200"/>
      <c r="RWX19" s="200"/>
      <c r="RWY19" s="200"/>
      <c r="RWZ19" s="201"/>
      <c r="RXA19" s="199" t="s">
        <v>7</v>
      </c>
      <c r="RXB19" s="200"/>
      <c r="RXC19" s="200"/>
      <c r="RXD19" s="200"/>
      <c r="RXE19" s="200"/>
      <c r="RXF19" s="200"/>
      <c r="RXG19" s="200"/>
      <c r="RXH19" s="201"/>
      <c r="RXI19" s="199" t="s">
        <v>7</v>
      </c>
      <c r="RXJ19" s="200"/>
      <c r="RXK19" s="200"/>
      <c r="RXL19" s="200"/>
      <c r="RXM19" s="200"/>
      <c r="RXN19" s="200"/>
      <c r="RXO19" s="200"/>
      <c r="RXP19" s="201"/>
      <c r="RXQ19" s="199" t="s">
        <v>7</v>
      </c>
      <c r="RXR19" s="200"/>
      <c r="RXS19" s="200"/>
      <c r="RXT19" s="200"/>
      <c r="RXU19" s="200"/>
      <c r="RXV19" s="200"/>
      <c r="RXW19" s="200"/>
      <c r="RXX19" s="201"/>
      <c r="RXY19" s="199" t="s">
        <v>7</v>
      </c>
      <c r="RXZ19" s="200"/>
      <c r="RYA19" s="200"/>
      <c r="RYB19" s="200"/>
      <c r="RYC19" s="200"/>
      <c r="RYD19" s="200"/>
      <c r="RYE19" s="200"/>
      <c r="RYF19" s="201"/>
      <c r="RYG19" s="199" t="s">
        <v>7</v>
      </c>
      <c r="RYH19" s="200"/>
      <c r="RYI19" s="200"/>
      <c r="RYJ19" s="200"/>
      <c r="RYK19" s="200"/>
      <c r="RYL19" s="200"/>
      <c r="RYM19" s="200"/>
      <c r="RYN19" s="201"/>
      <c r="RYO19" s="199" t="s">
        <v>7</v>
      </c>
      <c r="RYP19" s="200"/>
      <c r="RYQ19" s="200"/>
      <c r="RYR19" s="200"/>
      <c r="RYS19" s="200"/>
      <c r="RYT19" s="200"/>
      <c r="RYU19" s="200"/>
      <c r="RYV19" s="201"/>
      <c r="RYW19" s="199" t="s">
        <v>7</v>
      </c>
      <c r="RYX19" s="200"/>
      <c r="RYY19" s="200"/>
      <c r="RYZ19" s="200"/>
      <c r="RZA19" s="200"/>
      <c r="RZB19" s="200"/>
      <c r="RZC19" s="200"/>
      <c r="RZD19" s="201"/>
      <c r="RZE19" s="199" t="s">
        <v>7</v>
      </c>
      <c r="RZF19" s="200"/>
      <c r="RZG19" s="200"/>
      <c r="RZH19" s="200"/>
      <c r="RZI19" s="200"/>
      <c r="RZJ19" s="200"/>
      <c r="RZK19" s="200"/>
      <c r="RZL19" s="201"/>
      <c r="RZM19" s="199" t="s">
        <v>7</v>
      </c>
      <c r="RZN19" s="200"/>
      <c r="RZO19" s="200"/>
      <c r="RZP19" s="200"/>
      <c r="RZQ19" s="200"/>
      <c r="RZR19" s="200"/>
      <c r="RZS19" s="200"/>
      <c r="RZT19" s="201"/>
      <c r="RZU19" s="199" t="s">
        <v>7</v>
      </c>
      <c r="RZV19" s="200"/>
      <c r="RZW19" s="200"/>
      <c r="RZX19" s="200"/>
      <c r="RZY19" s="200"/>
      <c r="RZZ19" s="200"/>
      <c r="SAA19" s="200"/>
      <c r="SAB19" s="201"/>
      <c r="SAC19" s="199" t="s">
        <v>7</v>
      </c>
      <c r="SAD19" s="200"/>
      <c r="SAE19" s="200"/>
      <c r="SAF19" s="200"/>
      <c r="SAG19" s="200"/>
      <c r="SAH19" s="200"/>
      <c r="SAI19" s="200"/>
      <c r="SAJ19" s="201"/>
      <c r="SAK19" s="199" t="s">
        <v>7</v>
      </c>
      <c r="SAL19" s="200"/>
      <c r="SAM19" s="200"/>
      <c r="SAN19" s="200"/>
      <c r="SAO19" s="200"/>
      <c r="SAP19" s="200"/>
      <c r="SAQ19" s="200"/>
      <c r="SAR19" s="201"/>
      <c r="SAS19" s="199" t="s">
        <v>7</v>
      </c>
      <c r="SAT19" s="200"/>
      <c r="SAU19" s="200"/>
      <c r="SAV19" s="200"/>
      <c r="SAW19" s="200"/>
      <c r="SAX19" s="200"/>
      <c r="SAY19" s="200"/>
      <c r="SAZ19" s="201"/>
      <c r="SBA19" s="199" t="s">
        <v>7</v>
      </c>
      <c r="SBB19" s="200"/>
      <c r="SBC19" s="200"/>
      <c r="SBD19" s="200"/>
      <c r="SBE19" s="200"/>
      <c r="SBF19" s="200"/>
      <c r="SBG19" s="200"/>
      <c r="SBH19" s="201"/>
      <c r="SBI19" s="199" t="s">
        <v>7</v>
      </c>
      <c r="SBJ19" s="200"/>
      <c r="SBK19" s="200"/>
      <c r="SBL19" s="200"/>
      <c r="SBM19" s="200"/>
      <c r="SBN19" s="200"/>
      <c r="SBO19" s="200"/>
      <c r="SBP19" s="201"/>
      <c r="SBQ19" s="199" t="s">
        <v>7</v>
      </c>
      <c r="SBR19" s="200"/>
      <c r="SBS19" s="200"/>
      <c r="SBT19" s="200"/>
      <c r="SBU19" s="200"/>
      <c r="SBV19" s="200"/>
      <c r="SBW19" s="200"/>
      <c r="SBX19" s="201"/>
      <c r="SBY19" s="199" t="s">
        <v>7</v>
      </c>
      <c r="SBZ19" s="200"/>
      <c r="SCA19" s="200"/>
      <c r="SCB19" s="200"/>
      <c r="SCC19" s="200"/>
      <c r="SCD19" s="200"/>
      <c r="SCE19" s="200"/>
      <c r="SCF19" s="201"/>
      <c r="SCG19" s="199" t="s">
        <v>7</v>
      </c>
      <c r="SCH19" s="200"/>
      <c r="SCI19" s="200"/>
      <c r="SCJ19" s="200"/>
      <c r="SCK19" s="200"/>
      <c r="SCL19" s="200"/>
      <c r="SCM19" s="200"/>
      <c r="SCN19" s="201"/>
      <c r="SCO19" s="199" t="s">
        <v>7</v>
      </c>
      <c r="SCP19" s="200"/>
      <c r="SCQ19" s="200"/>
      <c r="SCR19" s="200"/>
      <c r="SCS19" s="200"/>
      <c r="SCT19" s="200"/>
      <c r="SCU19" s="200"/>
      <c r="SCV19" s="201"/>
      <c r="SCW19" s="199" t="s">
        <v>7</v>
      </c>
      <c r="SCX19" s="200"/>
      <c r="SCY19" s="200"/>
      <c r="SCZ19" s="200"/>
      <c r="SDA19" s="200"/>
      <c r="SDB19" s="200"/>
      <c r="SDC19" s="200"/>
      <c r="SDD19" s="201"/>
      <c r="SDE19" s="199" t="s">
        <v>7</v>
      </c>
      <c r="SDF19" s="200"/>
      <c r="SDG19" s="200"/>
      <c r="SDH19" s="200"/>
      <c r="SDI19" s="200"/>
      <c r="SDJ19" s="200"/>
      <c r="SDK19" s="200"/>
      <c r="SDL19" s="201"/>
      <c r="SDM19" s="199" t="s">
        <v>7</v>
      </c>
      <c r="SDN19" s="200"/>
      <c r="SDO19" s="200"/>
      <c r="SDP19" s="200"/>
      <c r="SDQ19" s="200"/>
      <c r="SDR19" s="200"/>
      <c r="SDS19" s="200"/>
      <c r="SDT19" s="201"/>
      <c r="SDU19" s="199" t="s">
        <v>7</v>
      </c>
      <c r="SDV19" s="200"/>
      <c r="SDW19" s="200"/>
      <c r="SDX19" s="200"/>
      <c r="SDY19" s="200"/>
      <c r="SDZ19" s="200"/>
      <c r="SEA19" s="200"/>
      <c r="SEB19" s="201"/>
      <c r="SEC19" s="199" t="s">
        <v>7</v>
      </c>
      <c r="SED19" s="200"/>
      <c r="SEE19" s="200"/>
      <c r="SEF19" s="200"/>
      <c r="SEG19" s="200"/>
      <c r="SEH19" s="200"/>
      <c r="SEI19" s="200"/>
      <c r="SEJ19" s="201"/>
      <c r="SEK19" s="199" t="s">
        <v>7</v>
      </c>
      <c r="SEL19" s="200"/>
      <c r="SEM19" s="200"/>
      <c r="SEN19" s="200"/>
      <c r="SEO19" s="200"/>
      <c r="SEP19" s="200"/>
      <c r="SEQ19" s="200"/>
      <c r="SER19" s="201"/>
      <c r="SES19" s="199" t="s">
        <v>7</v>
      </c>
      <c r="SET19" s="200"/>
      <c r="SEU19" s="200"/>
      <c r="SEV19" s="200"/>
      <c r="SEW19" s="200"/>
      <c r="SEX19" s="200"/>
      <c r="SEY19" s="200"/>
      <c r="SEZ19" s="201"/>
      <c r="SFA19" s="199" t="s">
        <v>7</v>
      </c>
      <c r="SFB19" s="200"/>
      <c r="SFC19" s="200"/>
      <c r="SFD19" s="200"/>
      <c r="SFE19" s="200"/>
      <c r="SFF19" s="200"/>
      <c r="SFG19" s="200"/>
      <c r="SFH19" s="201"/>
      <c r="SFI19" s="199" t="s">
        <v>7</v>
      </c>
      <c r="SFJ19" s="200"/>
      <c r="SFK19" s="200"/>
      <c r="SFL19" s="200"/>
      <c r="SFM19" s="200"/>
      <c r="SFN19" s="200"/>
      <c r="SFO19" s="200"/>
      <c r="SFP19" s="201"/>
      <c r="SFQ19" s="199" t="s">
        <v>7</v>
      </c>
      <c r="SFR19" s="200"/>
      <c r="SFS19" s="200"/>
      <c r="SFT19" s="200"/>
      <c r="SFU19" s="200"/>
      <c r="SFV19" s="200"/>
      <c r="SFW19" s="200"/>
      <c r="SFX19" s="201"/>
      <c r="SFY19" s="199" t="s">
        <v>7</v>
      </c>
      <c r="SFZ19" s="200"/>
      <c r="SGA19" s="200"/>
      <c r="SGB19" s="200"/>
      <c r="SGC19" s="200"/>
      <c r="SGD19" s="200"/>
      <c r="SGE19" s="200"/>
      <c r="SGF19" s="201"/>
      <c r="SGG19" s="199" t="s">
        <v>7</v>
      </c>
      <c r="SGH19" s="200"/>
      <c r="SGI19" s="200"/>
      <c r="SGJ19" s="200"/>
      <c r="SGK19" s="200"/>
      <c r="SGL19" s="200"/>
      <c r="SGM19" s="200"/>
      <c r="SGN19" s="201"/>
      <c r="SGO19" s="199" t="s">
        <v>7</v>
      </c>
      <c r="SGP19" s="200"/>
      <c r="SGQ19" s="200"/>
      <c r="SGR19" s="200"/>
      <c r="SGS19" s="200"/>
      <c r="SGT19" s="200"/>
      <c r="SGU19" s="200"/>
      <c r="SGV19" s="201"/>
      <c r="SGW19" s="199" t="s">
        <v>7</v>
      </c>
      <c r="SGX19" s="200"/>
      <c r="SGY19" s="200"/>
      <c r="SGZ19" s="200"/>
      <c r="SHA19" s="200"/>
      <c r="SHB19" s="200"/>
      <c r="SHC19" s="200"/>
      <c r="SHD19" s="201"/>
      <c r="SHE19" s="199" t="s">
        <v>7</v>
      </c>
      <c r="SHF19" s="200"/>
      <c r="SHG19" s="200"/>
      <c r="SHH19" s="200"/>
      <c r="SHI19" s="200"/>
      <c r="SHJ19" s="200"/>
      <c r="SHK19" s="200"/>
      <c r="SHL19" s="201"/>
      <c r="SHM19" s="199" t="s">
        <v>7</v>
      </c>
      <c r="SHN19" s="200"/>
      <c r="SHO19" s="200"/>
      <c r="SHP19" s="200"/>
      <c r="SHQ19" s="200"/>
      <c r="SHR19" s="200"/>
      <c r="SHS19" s="200"/>
      <c r="SHT19" s="201"/>
      <c r="SHU19" s="199" t="s">
        <v>7</v>
      </c>
      <c r="SHV19" s="200"/>
      <c r="SHW19" s="200"/>
      <c r="SHX19" s="200"/>
      <c r="SHY19" s="200"/>
      <c r="SHZ19" s="200"/>
      <c r="SIA19" s="200"/>
      <c r="SIB19" s="201"/>
      <c r="SIC19" s="199" t="s">
        <v>7</v>
      </c>
      <c r="SID19" s="200"/>
      <c r="SIE19" s="200"/>
      <c r="SIF19" s="200"/>
      <c r="SIG19" s="200"/>
      <c r="SIH19" s="200"/>
      <c r="SII19" s="200"/>
      <c r="SIJ19" s="201"/>
      <c r="SIK19" s="199" t="s">
        <v>7</v>
      </c>
      <c r="SIL19" s="200"/>
      <c r="SIM19" s="200"/>
      <c r="SIN19" s="200"/>
      <c r="SIO19" s="200"/>
      <c r="SIP19" s="200"/>
      <c r="SIQ19" s="200"/>
      <c r="SIR19" s="201"/>
      <c r="SIS19" s="199" t="s">
        <v>7</v>
      </c>
      <c r="SIT19" s="200"/>
      <c r="SIU19" s="200"/>
      <c r="SIV19" s="200"/>
      <c r="SIW19" s="200"/>
      <c r="SIX19" s="200"/>
      <c r="SIY19" s="200"/>
      <c r="SIZ19" s="201"/>
      <c r="SJA19" s="199" t="s">
        <v>7</v>
      </c>
      <c r="SJB19" s="200"/>
      <c r="SJC19" s="200"/>
      <c r="SJD19" s="200"/>
      <c r="SJE19" s="200"/>
      <c r="SJF19" s="200"/>
      <c r="SJG19" s="200"/>
      <c r="SJH19" s="201"/>
      <c r="SJI19" s="199" t="s">
        <v>7</v>
      </c>
      <c r="SJJ19" s="200"/>
      <c r="SJK19" s="200"/>
      <c r="SJL19" s="200"/>
      <c r="SJM19" s="200"/>
      <c r="SJN19" s="200"/>
      <c r="SJO19" s="200"/>
      <c r="SJP19" s="201"/>
      <c r="SJQ19" s="199" t="s">
        <v>7</v>
      </c>
      <c r="SJR19" s="200"/>
      <c r="SJS19" s="200"/>
      <c r="SJT19" s="200"/>
      <c r="SJU19" s="200"/>
      <c r="SJV19" s="200"/>
      <c r="SJW19" s="200"/>
      <c r="SJX19" s="201"/>
      <c r="SJY19" s="199" t="s">
        <v>7</v>
      </c>
      <c r="SJZ19" s="200"/>
      <c r="SKA19" s="200"/>
      <c r="SKB19" s="200"/>
      <c r="SKC19" s="200"/>
      <c r="SKD19" s="200"/>
      <c r="SKE19" s="200"/>
      <c r="SKF19" s="201"/>
      <c r="SKG19" s="199" t="s">
        <v>7</v>
      </c>
      <c r="SKH19" s="200"/>
      <c r="SKI19" s="200"/>
      <c r="SKJ19" s="200"/>
      <c r="SKK19" s="200"/>
      <c r="SKL19" s="200"/>
      <c r="SKM19" s="200"/>
      <c r="SKN19" s="201"/>
      <c r="SKO19" s="199" t="s">
        <v>7</v>
      </c>
      <c r="SKP19" s="200"/>
      <c r="SKQ19" s="200"/>
      <c r="SKR19" s="200"/>
      <c r="SKS19" s="200"/>
      <c r="SKT19" s="200"/>
      <c r="SKU19" s="200"/>
      <c r="SKV19" s="201"/>
      <c r="SKW19" s="199" t="s">
        <v>7</v>
      </c>
      <c r="SKX19" s="200"/>
      <c r="SKY19" s="200"/>
      <c r="SKZ19" s="200"/>
      <c r="SLA19" s="200"/>
      <c r="SLB19" s="200"/>
      <c r="SLC19" s="200"/>
      <c r="SLD19" s="201"/>
      <c r="SLE19" s="199" t="s">
        <v>7</v>
      </c>
      <c r="SLF19" s="200"/>
      <c r="SLG19" s="200"/>
      <c r="SLH19" s="200"/>
      <c r="SLI19" s="200"/>
      <c r="SLJ19" s="200"/>
      <c r="SLK19" s="200"/>
      <c r="SLL19" s="201"/>
      <c r="SLM19" s="199" t="s">
        <v>7</v>
      </c>
      <c r="SLN19" s="200"/>
      <c r="SLO19" s="200"/>
      <c r="SLP19" s="200"/>
      <c r="SLQ19" s="200"/>
      <c r="SLR19" s="200"/>
      <c r="SLS19" s="200"/>
      <c r="SLT19" s="201"/>
      <c r="SLU19" s="199" t="s">
        <v>7</v>
      </c>
      <c r="SLV19" s="200"/>
      <c r="SLW19" s="200"/>
      <c r="SLX19" s="200"/>
      <c r="SLY19" s="200"/>
      <c r="SLZ19" s="200"/>
      <c r="SMA19" s="200"/>
      <c r="SMB19" s="201"/>
      <c r="SMC19" s="199" t="s">
        <v>7</v>
      </c>
      <c r="SMD19" s="200"/>
      <c r="SME19" s="200"/>
      <c r="SMF19" s="200"/>
      <c r="SMG19" s="200"/>
      <c r="SMH19" s="200"/>
      <c r="SMI19" s="200"/>
      <c r="SMJ19" s="201"/>
      <c r="SMK19" s="199" t="s">
        <v>7</v>
      </c>
      <c r="SML19" s="200"/>
      <c r="SMM19" s="200"/>
      <c r="SMN19" s="200"/>
      <c r="SMO19" s="200"/>
      <c r="SMP19" s="200"/>
      <c r="SMQ19" s="200"/>
      <c r="SMR19" s="201"/>
      <c r="SMS19" s="199" t="s">
        <v>7</v>
      </c>
      <c r="SMT19" s="200"/>
      <c r="SMU19" s="200"/>
      <c r="SMV19" s="200"/>
      <c r="SMW19" s="200"/>
      <c r="SMX19" s="200"/>
      <c r="SMY19" s="200"/>
      <c r="SMZ19" s="201"/>
      <c r="SNA19" s="199" t="s">
        <v>7</v>
      </c>
      <c r="SNB19" s="200"/>
      <c r="SNC19" s="200"/>
      <c r="SND19" s="200"/>
      <c r="SNE19" s="200"/>
      <c r="SNF19" s="200"/>
      <c r="SNG19" s="200"/>
      <c r="SNH19" s="201"/>
      <c r="SNI19" s="199" t="s">
        <v>7</v>
      </c>
      <c r="SNJ19" s="200"/>
      <c r="SNK19" s="200"/>
      <c r="SNL19" s="200"/>
      <c r="SNM19" s="200"/>
      <c r="SNN19" s="200"/>
      <c r="SNO19" s="200"/>
      <c r="SNP19" s="201"/>
      <c r="SNQ19" s="199" t="s">
        <v>7</v>
      </c>
      <c r="SNR19" s="200"/>
      <c r="SNS19" s="200"/>
      <c r="SNT19" s="200"/>
      <c r="SNU19" s="200"/>
      <c r="SNV19" s="200"/>
      <c r="SNW19" s="200"/>
      <c r="SNX19" s="201"/>
      <c r="SNY19" s="199" t="s">
        <v>7</v>
      </c>
      <c r="SNZ19" s="200"/>
      <c r="SOA19" s="200"/>
      <c r="SOB19" s="200"/>
      <c r="SOC19" s="200"/>
      <c r="SOD19" s="200"/>
      <c r="SOE19" s="200"/>
      <c r="SOF19" s="201"/>
      <c r="SOG19" s="199" t="s">
        <v>7</v>
      </c>
      <c r="SOH19" s="200"/>
      <c r="SOI19" s="200"/>
      <c r="SOJ19" s="200"/>
      <c r="SOK19" s="200"/>
      <c r="SOL19" s="200"/>
      <c r="SOM19" s="200"/>
      <c r="SON19" s="201"/>
      <c r="SOO19" s="199" t="s">
        <v>7</v>
      </c>
      <c r="SOP19" s="200"/>
      <c r="SOQ19" s="200"/>
      <c r="SOR19" s="200"/>
      <c r="SOS19" s="200"/>
      <c r="SOT19" s="200"/>
      <c r="SOU19" s="200"/>
      <c r="SOV19" s="201"/>
      <c r="SOW19" s="199" t="s">
        <v>7</v>
      </c>
      <c r="SOX19" s="200"/>
      <c r="SOY19" s="200"/>
      <c r="SOZ19" s="200"/>
      <c r="SPA19" s="200"/>
      <c r="SPB19" s="200"/>
      <c r="SPC19" s="200"/>
      <c r="SPD19" s="201"/>
      <c r="SPE19" s="199" t="s">
        <v>7</v>
      </c>
      <c r="SPF19" s="200"/>
      <c r="SPG19" s="200"/>
      <c r="SPH19" s="200"/>
      <c r="SPI19" s="200"/>
      <c r="SPJ19" s="200"/>
      <c r="SPK19" s="200"/>
      <c r="SPL19" s="201"/>
      <c r="SPM19" s="199" t="s">
        <v>7</v>
      </c>
      <c r="SPN19" s="200"/>
      <c r="SPO19" s="200"/>
      <c r="SPP19" s="200"/>
      <c r="SPQ19" s="200"/>
      <c r="SPR19" s="200"/>
      <c r="SPS19" s="200"/>
      <c r="SPT19" s="201"/>
      <c r="SPU19" s="199" t="s">
        <v>7</v>
      </c>
      <c r="SPV19" s="200"/>
      <c r="SPW19" s="200"/>
      <c r="SPX19" s="200"/>
      <c r="SPY19" s="200"/>
      <c r="SPZ19" s="200"/>
      <c r="SQA19" s="200"/>
      <c r="SQB19" s="201"/>
      <c r="SQC19" s="199" t="s">
        <v>7</v>
      </c>
      <c r="SQD19" s="200"/>
      <c r="SQE19" s="200"/>
      <c r="SQF19" s="200"/>
      <c r="SQG19" s="200"/>
      <c r="SQH19" s="200"/>
      <c r="SQI19" s="200"/>
      <c r="SQJ19" s="201"/>
      <c r="SQK19" s="199" t="s">
        <v>7</v>
      </c>
      <c r="SQL19" s="200"/>
      <c r="SQM19" s="200"/>
      <c r="SQN19" s="200"/>
      <c r="SQO19" s="200"/>
      <c r="SQP19" s="200"/>
      <c r="SQQ19" s="200"/>
      <c r="SQR19" s="201"/>
      <c r="SQS19" s="199" t="s">
        <v>7</v>
      </c>
      <c r="SQT19" s="200"/>
      <c r="SQU19" s="200"/>
      <c r="SQV19" s="200"/>
      <c r="SQW19" s="200"/>
      <c r="SQX19" s="200"/>
      <c r="SQY19" s="200"/>
      <c r="SQZ19" s="201"/>
      <c r="SRA19" s="199" t="s">
        <v>7</v>
      </c>
      <c r="SRB19" s="200"/>
      <c r="SRC19" s="200"/>
      <c r="SRD19" s="200"/>
      <c r="SRE19" s="200"/>
      <c r="SRF19" s="200"/>
      <c r="SRG19" s="200"/>
      <c r="SRH19" s="201"/>
      <c r="SRI19" s="199" t="s">
        <v>7</v>
      </c>
      <c r="SRJ19" s="200"/>
      <c r="SRK19" s="200"/>
      <c r="SRL19" s="200"/>
      <c r="SRM19" s="200"/>
      <c r="SRN19" s="200"/>
      <c r="SRO19" s="200"/>
      <c r="SRP19" s="201"/>
      <c r="SRQ19" s="199" t="s">
        <v>7</v>
      </c>
      <c r="SRR19" s="200"/>
      <c r="SRS19" s="200"/>
      <c r="SRT19" s="200"/>
      <c r="SRU19" s="200"/>
      <c r="SRV19" s="200"/>
      <c r="SRW19" s="200"/>
      <c r="SRX19" s="201"/>
      <c r="SRY19" s="199" t="s">
        <v>7</v>
      </c>
      <c r="SRZ19" s="200"/>
      <c r="SSA19" s="200"/>
      <c r="SSB19" s="200"/>
      <c r="SSC19" s="200"/>
      <c r="SSD19" s="200"/>
      <c r="SSE19" s="200"/>
      <c r="SSF19" s="201"/>
      <c r="SSG19" s="199" t="s">
        <v>7</v>
      </c>
      <c r="SSH19" s="200"/>
      <c r="SSI19" s="200"/>
      <c r="SSJ19" s="200"/>
      <c r="SSK19" s="200"/>
      <c r="SSL19" s="200"/>
      <c r="SSM19" s="200"/>
      <c r="SSN19" s="201"/>
      <c r="SSO19" s="199" t="s">
        <v>7</v>
      </c>
      <c r="SSP19" s="200"/>
      <c r="SSQ19" s="200"/>
      <c r="SSR19" s="200"/>
      <c r="SSS19" s="200"/>
      <c r="SST19" s="200"/>
      <c r="SSU19" s="200"/>
      <c r="SSV19" s="201"/>
      <c r="SSW19" s="199" t="s">
        <v>7</v>
      </c>
      <c r="SSX19" s="200"/>
      <c r="SSY19" s="200"/>
      <c r="SSZ19" s="200"/>
      <c r="STA19" s="200"/>
      <c r="STB19" s="200"/>
      <c r="STC19" s="200"/>
      <c r="STD19" s="201"/>
      <c r="STE19" s="199" t="s">
        <v>7</v>
      </c>
      <c r="STF19" s="200"/>
      <c r="STG19" s="200"/>
      <c r="STH19" s="200"/>
      <c r="STI19" s="200"/>
      <c r="STJ19" s="200"/>
      <c r="STK19" s="200"/>
      <c r="STL19" s="201"/>
      <c r="STM19" s="199" t="s">
        <v>7</v>
      </c>
      <c r="STN19" s="200"/>
      <c r="STO19" s="200"/>
      <c r="STP19" s="200"/>
      <c r="STQ19" s="200"/>
      <c r="STR19" s="200"/>
      <c r="STS19" s="200"/>
      <c r="STT19" s="201"/>
      <c r="STU19" s="199" t="s">
        <v>7</v>
      </c>
      <c r="STV19" s="200"/>
      <c r="STW19" s="200"/>
      <c r="STX19" s="200"/>
      <c r="STY19" s="200"/>
      <c r="STZ19" s="200"/>
      <c r="SUA19" s="200"/>
      <c r="SUB19" s="201"/>
      <c r="SUC19" s="199" t="s">
        <v>7</v>
      </c>
      <c r="SUD19" s="200"/>
      <c r="SUE19" s="200"/>
      <c r="SUF19" s="200"/>
      <c r="SUG19" s="200"/>
      <c r="SUH19" s="200"/>
      <c r="SUI19" s="200"/>
      <c r="SUJ19" s="201"/>
      <c r="SUK19" s="199" t="s">
        <v>7</v>
      </c>
      <c r="SUL19" s="200"/>
      <c r="SUM19" s="200"/>
      <c r="SUN19" s="200"/>
      <c r="SUO19" s="200"/>
      <c r="SUP19" s="200"/>
      <c r="SUQ19" s="200"/>
      <c r="SUR19" s="201"/>
      <c r="SUS19" s="199" t="s">
        <v>7</v>
      </c>
      <c r="SUT19" s="200"/>
      <c r="SUU19" s="200"/>
      <c r="SUV19" s="200"/>
      <c r="SUW19" s="200"/>
      <c r="SUX19" s="200"/>
      <c r="SUY19" s="200"/>
      <c r="SUZ19" s="201"/>
      <c r="SVA19" s="199" t="s">
        <v>7</v>
      </c>
      <c r="SVB19" s="200"/>
      <c r="SVC19" s="200"/>
      <c r="SVD19" s="200"/>
      <c r="SVE19" s="200"/>
      <c r="SVF19" s="200"/>
      <c r="SVG19" s="200"/>
      <c r="SVH19" s="201"/>
      <c r="SVI19" s="199" t="s">
        <v>7</v>
      </c>
      <c r="SVJ19" s="200"/>
      <c r="SVK19" s="200"/>
      <c r="SVL19" s="200"/>
      <c r="SVM19" s="200"/>
      <c r="SVN19" s="200"/>
      <c r="SVO19" s="200"/>
      <c r="SVP19" s="201"/>
      <c r="SVQ19" s="199" t="s">
        <v>7</v>
      </c>
      <c r="SVR19" s="200"/>
      <c r="SVS19" s="200"/>
      <c r="SVT19" s="200"/>
      <c r="SVU19" s="200"/>
      <c r="SVV19" s="200"/>
      <c r="SVW19" s="200"/>
      <c r="SVX19" s="201"/>
      <c r="SVY19" s="199" t="s">
        <v>7</v>
      </c>
      <c r="SVZ19" s="200"/>
      <c r="SWA19" s="200"/>
      <c r="SWB19" s="200"/>
      <c r="SWC19" s="200"/>
      <c r="SWD19" s="200"/>
      <c r="SWE19" s="200"/>
      <c r="SWF19" s="201"/>
      <c r="SWG19" s="199" t="s">
        <v>7</v>
      </c>
      <c r="SWH19" s="200"/>
      <c r="SWI19" s="200"/>
      <c r="SWJ19" s="200"/>
      <c r="SWK19" s="200"/>
      <c r="SWL19" s="200"/>
      <c r="SWM19" s="200"/>
      <c r="SWN19" s="201"/>
      <c r="SWO19" s="199" t="s">
        <v>7</v>
      </c>
      <c r="SWP19" s="200"/>
      <c r="SWQ19" s="200"/>
      <c r="SWR19" s="200"/>
      <c r="SWS19" s="200"/>
      <c r="SWT19" s="200"/>
      <c r="SWU19" s="200"/>
      <c r="SWV19" s="201"/>
      <c r="SWW19" s="199" t="s">
        <v>7</v>
      </c>
      <c r="SWX19" s="200"/>
      <c r="SWY19" s="200"/>
      <c r="SWZ19" s="200"/>
      <c r="SXA19" s="200"/>
      <c r="SXB19" s="200"/>
      <c r="SXC19" s="200"/>
      <c r="SXD19" s="201"/>
      <c r="SXE19" s="199" t="s">
        <v>7</v>
      </c>
      <c r="SXF19" s="200"/>
      <c r="SXG19" s="200"/>
      <c r="SXH19" s="200"/>
      <c r="SXI19" s="200"/>
      <c r="SXJ19" s="200"/>
      <c r="SXK19" s="200"/>
      <c r="SXL19" s="201"/>
      <c r="SXM19" s="199" t="s">
        <v>7</v>
      </c>
      <c r="SXN19" s="200"/>
      <c r="SXO19" s="200"/>
      <c r="SXP19" s="200"/>
      <c r="SXQ19" s="200"/>
      <c r="SXR19" s="200"/>
      <c r="SXS19" s="200"/>
      <c r="SXT19" s="201"/>
      <c r="SXU19" s="199" t="s">
        <v>7</v>
      </c>
      <c r="SXV19" s="200"/>
      <c r="SXW19" s="200"/>
      <c r="SXX19" s="200"/>
      <c r="SXY19" s="200"/>
      <c r="SXZ19" s="200"/>
      <c r="SYA19" s="200"/>
      <c r="SYB19" s="201"/>
      <c r="SYC19" s="199" t="s">
        <v>7</v>
      </c>
      <c r="SYD19" s="200"/>
      <c r="SYE19" s="200"/>
      <c r="SYF19" s="200"/>
      <c r="SYG19" s="200"/>
      <c r="SYH19" s="200"/>
      <c r="SYI19" s="200"/>
      <c r="SYJ19" s="201"/>
      <c r="SYK19" s="199" t="s">
        <v>7</v>
      </c>
      <c r="SYL19" s="200"/>
      <c r="SYM19" s="200"/>
      <c r="SYN19" s="200"/>
      <c r="SYO19" s="200"/>
      <c r="SYP19" s="200"/>
      <c r="SYQ19" s="200"/>
      <c r="SYR19" s="201"/>
      <c r="SYS19" s="199" t="s">
        <v>7</v>
      </c>
      <c r="SYT19" s="200"/>
      <c r="SYU19" s="200"/>
      <c r="SYV19" s="200"/>
      <c r="SYW19" s="200"/>
      <c r="SYX19" s="200"/>
      <c r="SYY19" s="200"/>
      <c r="SYZ19" s="201"/>
      <c r="SZA19" s="199" t="s">
        <v>7</v>
      </c>
      <c r="SZB19" s="200"/>
      <c r="SZC19" s="200"/>
      <c r="SZD19" s="200"/>
      <c r="SZE19" s="200"/>
      <c r="SZF19" s="200"/>
      <c r="SZG19" s="200"/>
      <c r="SZH19" s="201"/>
      <c r="SZI19" s="199" t="s">
        <v>7</v>
      </c>
      <c r="SZJ19" s="200"/>
      <c r="SZK19" s="200"/>
      <c r="SZL19" s="200"/>
      <c r="SZM19" s="200"/>
      <c r="SZN19" s="200"/>
      <c r="SZO19" s="200"/>
      <c r="SZP19" s="201"/>
      <c r="SZQ19" s="199" t="s">
        <v>7</v>
      </c>
      <c r="SZR19" s="200"/>
      <c r="SZS19" s="200"/>
      <c r="SZT19" s="200"/>
      <c r="SZU19" s="200"/>
      <c r="SZV19" s="200"/>
      <c r="SZW19" s="200"/>
      <c r="SZX19" s="201"/>
      <c r="SZY19" s="199" t="s">
        <v>7</v>
      </c>
      <c r="SZZ19" s="200"/>
      <c r="TAA19" s="200"/>
      <c r="TAB19" s="200"/>
      <c r="TAC19" s="200"/>
      <c r="TAD19" s="200"/>
      <c r="TAE19" s="200"/>
      <c r="TAF19" s="201"/>
      <c r="TAG19" s="199" t="s">
        <v>7</v>
      </c>
      <c r="TAH19" s="200"/>
      <c r="TAI19" s="200"/>
      <c r="TAJ19" s="200"/>
      <c r="TAK19" s="200"/>
      <c r="TAL19" s="200"/>
      <c r="TAM19" s="200"/>
      <c r="TAN19" s="201"/>
      <c r="TAO19" s="199" t="s">
        <v>7</v>
      </c>
      <c r="TAP19" s="200"/>
      <c r="TAQ19" s="200"/>
      <c r="TAR19" s="200"/>
      <c r="TAS19" s="200"/>
      <c r="TAT19" s="200"/>
      <c r="TAU19" s="200"/>
      <c r="TAV19" s="201"/>
      <c r="TAW19" s="199" t="s">
        <v>7</v>
      </c>
      <c r="TAX19" s="200"/>
      <c r="TAY19" s="200"/>
      <c r="TAZ19" s="200"/>
      <c r="TBA19" s="200"/>
      <c r="TBB19" s="200"/>
      <c r="TBC19" s="200"/>
      <c r="TBD19" s="201"/>
      <c r="TBE19" s="199" t="s">
        <v>7</v>
      </c>
      <c r="TBF19" s="200"/>
      <c r="TBG19" s="200"/>
      <c r="TBH19" s="200"/>
      <c r="TBI19" s="200"/>
      <c r="TBJ19" s="200"/>
      <c r="TBK19" s="200"/>
      <c r="TBL19" s="201"/>
      <c r="TBM19" s="199" t="s">
        <v>7</v>
      </c>
      <c r="TBN19" s="200"/>
      <c r="TBO19" s="200"/>
      <c r="TBP19" s="200"/>
      <c r="TBQ19" s="200"/>
      <c r="TBR19" s="200"/>
      <c r="TBS19" s="200"/>
      <c r="TBT19" s="201"/>
      <c r="TBU19" s="199" t="s">
        <v>7</v>
      </c>
      <c r="TBV19" s="200"/>
      <c r="TBW19" s="200"/>
      <c r="TBX19" s="200"/>
      <c r="TBY19" s="200"/>
      <c r="TBZ19" s="200"/>
      <c r="TCA19" s="200"/>
      <c r="TCB19" s="201"/>
      <c r="TCC19" s="199" t="s">
        <v>7</v>
      </c>
      <c r="TCD19" s="200"/>
      <c r="TCE19" s="200"/>
      <c r="TCF19" s="200"/>
      <c r="TCG19" s="200"/>
      <c r="TCH19" s="200"/>
      <c r="TCI19" s="200"/>
      <c r="TCJ19" s="201"/>
      <c r="TCK19" s="199" t="s">
        <v>7</v>
      </c>
      <c r="TCL19" s="200"/>
      <c r="TCM19" s="200"/>
      <c r="TCN19" s="200"/>
      <c r="TCO19" s="200"/>
      <c r="TCP19" s="200"/>
      <c r="TCQ19" s="200"/>
      <c r="TCR19" s="201"/>
      <c r="TCS19" s="199" t="s">
        <v>7</v>
      </c>
      <c r="TCT19" s="200"/>
      <c r="TCU19" s="200"/>
      <c r="TCV19" s="200"/>
      <c r="TCW19" s="200"/>
      <c r="TCX19" s="200"/>
      <c r="TCY19" s="200"/>
      <c r="TCZ19" s="201"/>
      <c r="TDA19" s="199" t="s">
        <v>7</v>
      </c>
      <c r="TDB19" s="200"/>
      <c r="TDC19" s="200"/>
      <c r="TDD19" s="200"/>
      <c r="TDE19" s="200"/>
      <c r="TDF19" s="200"/>
      <c r="TDG19" s="200"/>
      <c r="TDH19" s="201"/>
      <c r="TDI19" s="199" t="s">
        <v>7</v>
      </c>
      <c r="TDJ19" s="200"/>
      <c r="TDK19" s="200"/>
      <c r="TDL19" s="200"/>
      <c r="TDM19" s="200"/>
      <c r="TDN19" s="200"/>
      <c r="TDO19" s="200"/>
      <c r="TDP19" s="201"/>
      <c r="TDQ19" s="199" t="s">
        <v>7</v>
      </c>
      <c r="TDR19" s="200"/>
      <c r="TDS19" s="200"/>
      <c r="TDT19" s="200"/>
      <c r="TDU19" s="200"/>
      <c r="TDV19" s="200"/>
      <c r="TDW19" s="200"/>
      <c r="TDX19" s="201"/>
      <c r="TDY19" s="199" t="s">
        <v>7</v>
      </c>
      <c r="TDZ19" s="200"/>
      <c r="TEA19" s="200"/>
      <c r="TEB19" s="200"/>
      <c r="TEC19" s="200"/>
      <c r="TED19" s="200"/>
      <c r="TEE19" s="200"/>
      <c r="TEF19" s="201"/>
      <c r="TEG19" s="199" t="s">
        <v>7</v>
      </c>
      <c r="TEH19" s="200"/>
      <c r="TEI19" s="200"/>
      <c r="TEJ19" s="200"/>
      <c r="TEK19" s="200"/>
      <c r="TEL19" s="200"/>
      <c r="TEM19" s="200"/>
      <c r="TEN19" s="201"/>
      <c r="TEO19" s="199" t="s">
        <v>7</v>
      </c>
      <c r="TEP19" s="200"/>
      <c r="TEQ19" s="200"/>
      <c r="TER19" s="200"/>
      <c r="TES19" s="200"/>
      <c r="TET19" s="200"/>
      <c r="TEU19" s="200"/>
      <c r="TEV19" s="201"/>
      <c r="TEW19" s="199" t="s">
        <v>7</v>
      </c>
      <c r="TEX19" s="200"/>
      <c r="TEY19" s="200"/>
      <c r="TEZ19" s="200"/>
      <c r="TFA19" s="200"/>
      <c r="TFB19" s="200"/>
      <c r="TFC19" s="200"/>
      <c r="TFD19" s="201"/>
      <c r="TFE19" s="199" t="s">
        <v>7</v>
      </c>
      <c r="TFF19" s="200"/>
      <c r="TFG19" s="200"/>
      <c r="TFH19" s="200"/>
      <c r="TFI19" s="200"/>
      <c r="TFJ19" s="200"/>
      <c r="TFK19" s="200"/>
      <c r="TFL19" s="201"/>
      <c r="TFM19" s="199" t="s">
        <v>7</v>
      </c>
      <c r="TFN19" s="200"/>
      <c r="TFO19" s="200"/>
      <c r="TFP19" s="200"/>
      <c r="TFQ19" s="200"/>
      <c r="TFR19" s="200"/>
      <c r="TFS19" s="200"/>
      <c r="TFT19" s="201"/>
      <c r="TFU19" s="199" t="s">
        <v>7</v>
      </c>
      <c r="TFV19" s="200"/>
      <c r="TFW19" s="200"/>
      <c r="TFX19" s="200"/>
      <c r="TFY19" s="200"/>
      <c r="TFZ19" s="200"/>
      <c r="TGA19" s="200"/>
      <c r="TGB19" s="201"/>
      <c r="TGC19" s="199" t="s">
        <v>7</v>
      </c>
      <c r="TGD19" s="200"/>
      <c r="TGE19" s="200"/>
      <c r="TGF19" s="200"/>
      <c r="TGG19" s="200"/>
      <c r="TGH19" s="200"/>
      <c r="TGI19" s="200"/>
      <c r="TGJ19" s="201"/>
      <c r="TGK19" s="199" t="s">
        <v>7</v>
      </c>
      <c r="TGL19" s="200"/>
      <c r="TGM19" s="200"/>
      <c r="TGN19" s="200"/>
      <c r="TGO19" s="200"/>
      <c r="TGP19" s="200"/>
      <c r="TGQ19" s="200"/>
      <c r="TGR19" s="201"/>
      <c r="TGS19" s="199" t="s">
        <v>7</v>
      </c>
      <c r="TGT19" s="200"/>
      <c r="TGU19" s="200"/>
      <c r="TGV19" s="200"/>
      <c r="TGW19" s="200"/>
      <c r="TGX19" s="200"/>
      <c r="TGY19" s="200"/>
      <c r="TGZ19" s="201"/>
      <c r="THA19" s="199" t="s">
        <v>7</v>
      </c>
      <c r="THB19" s="200"/>
      <c r="THC19" s="200"/>
      <c r="THD19" s="200"/>
      <c r="THE19" s="200"/>
      <c r="THF19" s="200"/>
      <c r="THG19" s="200"/>
      <c r="THH19" s="201"/>
      <c r="THI19" s="199" t="s">
        <v>7</v>
      </c>
      <c r="THJ19" s="200"/>
      <c r="THK19" s="200"/>
      <c r="THL19" s="200"/>
      <c r="THM19" s="200"/>
      <c r="THN19" s="200"/>
      <c r="THO19" s="200"/>
      <c r="THP19" s="201"/>
      <c r="THQ19" s="199" t="s">
        <v>7</v>
      </c>
      <c r="THR19" s="200"/>
      <c r="THS19" s="200"/>
      <c r="THT19" s="200"/>
      <c r="THU19" s="200"/>
      <c r="THV19" s="200"/>
      <c r="THW19" s="200"/>
      <c r="THX19" s="201"/>
      <c r="THY19" s="199" t="s">
        <v>7</v>
      </c>
      <c r="THZ19" s="200"/>
      <c r="TIA19" s="200"/>
      <c r="TIB19" s="200"/>
      <c r="TIC19" s="200"/>
      <c r="TID19" s="200"/>
      <c r="TIE19" s="200"/>
      <c r="TIF19" s="201"/>
      <c r="TIG19" s="199" t="s">
        <v>7</v>
      </c>
      <c r="TIH19" s="200"/>
      <c r="TII19" s="200"/>
      <c r="TIJ19" s="200"/>
      <c r="TIK19" s="200"/>
      <c r="TIL19" s="200"/>
      <c r="TIM19" s="200"/>
      <c r="TIN19" s="201"/>
      <c r="TIO19" s="199" t="s">
        <v>7</v>
      </c>
      <c r="TIP19" s="200"/>
      <c r="TIQ19" s="200"/>
      <c r="TIR19" s="200"/>
      <c r="TIS19" s="200"/>
      <c r="TIT19" s="200"/>
      <c r="TIU19" s="200"/>
      <c r="TIV19" s="201"/>
      <c r="TIW19" s="199" t="s">
        <v>7</v>
      </c>
      <c r="TIX19" s="200"/>
      <c r="TIY19" s="200"/>
      <c r="TIZ19" s="200"/>
      <c r="TJA19" s="200"/>
      <c r="TJB19" s="200"/>
      <c r="TJC19" s="200"/>
      <c r="TJD19" s="201"/>
      <c r="TJE19" s="199" t="s">
        <v>7</v>
      </c>
      <c r="TJF19" s="200"/>
      <c r="TJG19" s="200"/>
      <c r="TJH19" s="200"/>
      <c r="TJI19" s="200"/>
      <c r="TJJ19" s="200"/>
      <c r="TJK19" s="200"/>
      <c r="TJL19" s="201"/>
      <c r="TJM19" s="199" t="s">
        <v>7</v>
      </c>
      <c r="TJN19" s="200"/>
      <c r="TJO19" s="200"/>
      <c r="TJP19" s="200"/>
      <c r="TJQ19" s="200"/>
      <c r="TJR19" s="200"/>
      <c r="TJS19" s="200"/>
      <c r="TJT19" s="201"/>
      <c r="TJU19" s="199" t="s">
        <v>7</v>
      </c>
      <c r="TJV19" s="200"/>
      <c r="TJW19" s="200"/>
      <c r="TJX19" s="200"/>
      <c r="TJY19" s="200"/>
      <c r="TJZ19" s="200"/>
      <c r="TKA19" s="200"/>
      <c r="TKB19" s="201"/>
      <c r="TKC19" s="199" t="s">
        <v>7</v>
      </c>
      <c r="TKD19" s="200"/>
      <c r="TKE19" s="200"/>
      <c r="TKF19" s="200"/>
      <c r="TKG19" s="200"/>
      <c r="TKH19" s="200"/>
      <c r="TKI19" s="200"/>
      <c r="TKJ19" s="201"/>
      <c r="TKK19" s="199" t="s">
        <v>7</v>
      </c>
      <c r="TKL19" s="200"/>
      <c r="TKM19" s="200"/>
      <c r="TKN19" s="200"/>
      <c r="TKO19" s="200"/>
      <c r="TKP19" s="200"/>
      <c r="TKQ19" s="200"/>
      <c r="TKR19" s="201"/>
      <c r="TKS19" s="199" t="s">
        <v>7</v>
      </c>
      <c r="TKT19" s="200"/>
      <c r="TKU19" s="200"/>
      <c r="TKV19" s="200"/>
      <c r="TKW19" s="200"/>
      <c r="TKX19" s="200"/>
      <c r="TKY19" s="200"/>
      <c r="TKZ19" s="201"/>
      <c r="TLA19" s="199" t="s">
        <v>7</v>
      </c>
      <c r="TLB19" s="200"/>
      <c r="TLC19" s="200"/>
      <c r="TLD19" s="200"/>
      <c r="TLE19" s="200"/>
      <c r="TLF19" s="200"/>
      <c r="TLG19" s="200"/>
      <c r="TLH19" s="201"/>
      <c r="TLI19" s="199" t="s">
        <v>7</v>
      </c>
      <c r="TLJ19" s="200"/>
      <c r="TLK19" s="200"/>
      <c r="TLL19" s="200"/>
      <c r="TLM19" s="200"/>
      <c r="TLN19" s="200"/>
      <c r="TLO19" s="200"/>
      <c r="TLP19" s="201"/>
      <c r="TLQ19" s="199" t="s">
        <v>7</v>
      </c>
      <c r="TLR19" s="200"/>
      <c r="TLS19" s="200"/>
      <c r="TLT19" s="200"/>
      <c r="TLU19" s="200"/>
      <c r="TLV19" s="200"/>
      <c r="TLW19" s="200"/>
      <c r="TLX19" s="201"/>
      <c r="TLY19" s="199" t="s">
        <v>7</v>
      </c>
      <c r="TLZ19" s="200"/>
      <c r="TMA19" s="200"/>
      <c r="TMB19" s="200"/>
      <c r="TMC19" s="200"/>
      <c r="TMD19" s="200"/>
      <c r="TME19" s="200"/>
      <c r="TMF19" s="201"/>
      <c r="TMG19" s="199" t="s">
        <v>7</v>
      </c>
      <c r="TMH19" s="200"/>
      <c r="TMI19" s="200"/>
      <c r="TMJ19" s="200"/>
      <c r="TMK19" s="200"/>
      <c r="TML19" s="200"/>
      <c r="TMM19" s="200"/>
      <c r="TMN19" s="201"/>
      <c r="TMO19" s="199" t="s">
        <v>7</v>
      </c>
      <c r="TMP19" s="200"/>
      <c r="TMQ19" s="200"/>
      <c r="TMR19" s="200"/>
      <c r="TMS19" s="200"/>
      <c r="TMT19" s="200"/>
      <c r="TMU19" s="200"/>
      <c r="TMV19" s="201"/>
      <c r="TMW19" s="199" t="s">
        <v>7</v>
      </c>
      <c r="TMX19" s="200"/>
      <c r="TMY19" s="200"/>
      <c r="TMZ19" s="200"/>
      <c r="TNA19" s="200"/>
      <c r="TNB19" s="200"/>
      <c r="TNC19" s="200"/>
      <c r="TND19" s="201"/>
      <c r="TNE19" s="199" t="s">
        <v>7</v>
      </c>
      <c r="TNF19" s="200"/>
      <c r="TNG19" s="200"/>
      <c r="TNH19" s="200"/>
      <c r="TNI19" s="200"/>
      <c r="TNJ19" s="200"/>
      <c r="TNK19" s="200"/>
      <c r="TNL19" s="201"/>
      <c r="TNM19" s="199" t="s">
        <v>7</v>
      </c>
      <c r="TNN19" s="200"/>
      <c r="TNO19" s="200"/>
      <c r="TNP19" s="200"/>
      <c r="TNQ19" s="200"/>
      <c r="TNR19" s="200"/>
      <c r="TNS19" s="200"/>
      <c r="TNT19" s="201"/>
      <c r="TNU19" s="199" t="s">
        <v>7</v>
      </c>
      <c r="TNV19" s="200"/>
      <c r="TNW19" s="200"/>
      <c r="TNX19" s="200"/>
      <c r="TNY19" s="200"/>
      <c r="TNZ19" s="200"/>
      <c r="TOA19" s="200"/>
      <c r="TOB19" s="201"/>
      <c r="TOC19" s="199" t="s">
        <v>7</v>
      </c>
      <c r="TOD19" s="200"/>
      <c r="TOE19" s="200"/>
      <c r="TOF19" s="200"/>
      <c r="TOG19" s="200"/>
      <c r="TOH19" s="200"/>
      <c r="TOI19" s="200"/>
      <c r="TOJ19" s="201"/>
      <c r="TOK19" s="199" t="s">
        <v>7</v>
      </c>
      <c r="TOL19" s="200"/>
      <c r="TOM19" s="200"/>
      <c r="TON19" s="200"/>
      <c r="TOO19" s="200"/>
      <c r="TOP19" s="200"/>
      <c r="TOQ19" s="200"/>
      <c r="TOR19" s="201"/>
      <c r="TOS19" s="199" t="s">
        <v>7</v>
      </c>
      <c r="TOT19" s="200"/>
      <c r="TOU19" s="200"/>
      <c r="TOV19" s="200"/>
      <c r="TOW19" s="200"/>
      <c r="TOX19" s="200"/>
      <c r="TOY19" s="200"/>
      <c r="TOZ19" s="201"/>
      <c r="TPA19" s="199" t="s">
        <v>7</v>
      </c>
      <c r="TPB19" s="200"/>
      <c r="TPC19" s="200"/>
      <c r="TPD19" s="200"/>
      <c r="TPE19" s="200"/>
      <c r="TPF19" s="200"/>
      <c r="TPG19" s="200"/>
      <c r="TPH19" s="201"/>
      <c r="TPI19" s="199" t="s">
        <v>7</v>
      </c>
      <c r="TPJ19" s="200"/>
      <c r="TPK19" s="200"/>
      <c r="TPL19" s="200"/>
      <c r="TPM19" s="200"/>
      <c r="TPN19" s="200"/>
      <c r="TPO19" s="200"/>
      <c r="TPP19" s="201"/>
      <c r="TPQ19" s="199" t="s">
        <v>7</v>
      </c>
      <c r="TPR19" s="200"/>
      <c r="TPS19" s="200"/>
      <c r="TPT19" s="200"/>
      <c r="TPU19" s="200"/>
      <c r="TPV19" s="200"/>
      <c r="TPW19" s="200"/>
      <c r="TPX19" s="201"/>
      <c r="TPY19" s="199" t="s">
        <v>7</v>
      </c>
      <c r="TPZ19" s="200"/>
      <c r="TQA19" s="200"/>
      <c r="TQB19" s="200"/>
      <c r="TQC19" s="200"/>
      <c r="TQD19" s="200"/>
      <c r="TQE19" s="200"/>
      <c r="TQF19" s="201"/>
      <c r="TQG19" s="199" t="s">
        <v>7</v>
      </c>
      <c r="TQH19" s="200"/>
      <c r="TQI19" s="200"/>
      <c r="TQJ19" s="200"/>
      <c r="TQK19" s="200"/>
      <c r="TQL19" s="200"/>
      <c r="TQM19" s="200"/>
      <c r="TQN19" s="201"/>
      <c r="TQO19" s="199" t="s">
        <v>7</v>
      </c>
      <c r="TQP19" s="200"/>
      <c r="TQQ19" s="200"/>
      <c r="TQR19" s="200"/>
      <c r="TQS19" s="200"/>
      <c r="TQT19" s="200"/>
      <c r="TQU19" s="200"/>
      <c r="TQV19" s="201"/>
      <c r="TQW19" s="199" t="s">
        <v>7</v>
      </c>
      <c r="TQX19" s="200"/>
      <c r="TQY19" s="200"/>
      <c r="TQZ19" s="200"/>
      <c r="TRA19" s="200"/>
      <c r="TRB19" s="200"/>
      <c r="TRC19" s="200"/>
      <c r="TRD19" s="201"/>
      <c r="TRE19" s="199" t="s">
        <v>7</v>
      </c>
      <c r="TRF19" s="200"/>
      <c r="TRG19" s="200"/>
      <c r="TRH19" s="200"/>
      <c r="TRI19" s="200"/>
      <c r="TRJ19" s="200"/>
      <c r="TRK19" s="200"/>
      <c r="TRL19" s="201"/>
      <c r="TRM19" s="199" t="s">
        <v>7</v>
      </c>
      <c r="TRN19" s="200"/>
      <c r="TRO19" s="200"/>
      <c r="TRP19" s="200"/>
      <c r="TRQ19" s="200"/>
      <c r="TRR19" s="200"/>
      <c r="TRS19" s="200"/>
      <c r="TRT19" s="201"/>
      <c r="TRU19" s="199" t="s">
        <v>7</v>
      </c>
      <c r="TRV19" s="200"/>
      <c r="TRW19" s="200"/>
      <c r="TRX19" s="200"/>
      <c r="TRY19" s="200"/>
      <c r="TRZ19" s="200"/>
      <c r="TSA19" s="200"/>
      <c r="TSB19" s="201"/>
      <c r="TSC19" s="199" t="s">
        <v>7</v>
      </c>
      <c r="TSD19" s="200"/>
      <c r="TSE19" s="200"/>
      <c r="TSF19" s="200"/>
      <c r="TSG19" s="200"/>
      <c r="TSH19" s="200"/>
      <c r="TSI19" s="200"/>
      <c r="TSJ19" s="201"/>
      <c r="TSK19" s="199" t="s">
        <v>7</v>
      </c>
      <c r="TSL19" s="200"/>
      <c r="TSM19" s="200"/>
      <c r="TSN19" s="200"/>
      <c r="TSO19" s="200"/>
      <c r="TSP19" s="200"/>
      <c r="TSQ19" s="200"/>
      <c r="TSR19" s="201"/>
      <c r="TSS19" s="199" t="s">
        <v>7</v>
      </c>
      <c r="TST19" s="200"/>
      <c r="TSU19" s="200"/>
      <c r="TSV19" s="200"/>
      <c r="TSW19" s="200"/>
      <c r="TSX19" s="200"/>
      <c r="TSY19" s="200"/>
      <c r="TSZ19" s="201"/>
      <c r="TTA19" s="199" t="s">
        <v>7</v>
      </c>
      <c r="TTB19" s="200"/>
      <c r="TTC19" s="200"/>
      <c r="TTD19" s="200"/>
      <c r="TTE19" s="200"/>
      <c r="TTF19" s="200"/>
      <c r="TTG19" s="200"/>
      <c r="TTH19" s="201"/>
      <c r="TTI19" s="199" t="s">
        <v>7</v>
      </c>
      <c r="TTJ19" s="200"/>
      <c r="TTK19" s="200"/>
      <c r="TTL19" s="200"/>
      <c r="TTM19" s="200"/>
      <c r="TTN19" s="200"/>
      <c r="TTO19" s="200"/>
      <c r="TTP19" s="201"/>
      <c r="TTQ19" s="199" t="s">
        <v>7</v>
      </c>
      <c r="TTR19" s="200"/>
      <c r="TTS19" s="200"/>
      <c r="TTT19" s="200"/>
      <c r="TTU19" s="200"/>
      <c r="TTV19" s="200"/>
      <c r="TTW19" s="200"/>
      <c r="TTX19" s="201"/>
      <c r="TTY19" s="199" t="s">
        <v>7</v>
      </c>
      <c r="TTZ19" s="200"/>
      <c r="TUA19" s="200"/>
      <c r="TUB19" s="200"/>
      <c r="TUC19" s="200"/>
      <c r="TUD19" s="200"/>
      <c r="TUE19" s="200"/>
      <c r="TUF19" s="201"/>
      <c r="TUG19" s="199" t="s">
        <v>7</v>
      </c>
      <c r="TUH19" s="200"/>
      <c r="TUI19" s="200"/>
      <c r="TUJ19" s="200"/>
      <c r="TUK19" s="200"/>
      <c r="TUL19" s="200"/>
      <c r="TUM19" s="200"/>
      <c r="TUN19" s="201"/>
      <c r="TUO19" s="199" t="s">
        <v>7</v>
      </c>
      <c r="TUP19" s="200"/>
      <c r="TUQ19" s="200"/>
      <c r="TUR19" s="200"/>
      <c r="TUS19" s="200"/>
      <c r="TUT19" s="200"/>
      <c r="TUU19" s="200"/>
      <c r="TUV19" s="201"/>
      <c r="TUW19" s="199" t="s">
        <v>7</v>
      </c>
      <c r="TUX19" s="200"/>
      <c r="TUY19" s="200"/>
      <c r="TUZ19" s="200"/>
      <c r="TVA19" s="200"/>
      <c r="TVB19" s="200"/>
      <c r="TVC19" s="200"/>
      <c r="TVD19" s="201"/>
      <c r="TVE19" s="199" t="s">
        <v>7</v>
      </c>
      <c r="TVF19" s="200"/>
      <c r="TVG19" s="200"/>
      <c r="TVH19" s="200"/>
      <c r="TVI19" s="200"/>
      <c r="TVJ19" s="200"/>
      <c r="TVK19" s="200"/>
      <c r="TVL19" s="201"/>
      <c r="TVM19" s="199" t="s">
        <v>7</v>
      </c>
      <c r="TVN19" s="200"/>
      <c r="TVO19" s="200"/>
      <c r="TVP19" s="200"/>
      <c r="TVQ19" s="200"/>
      <c r="TVR19" s="200"/>
      <c r="TVS19" s="200"/>
      <c r="TVT19" s="201"/>
      <c r="TVU19" s="199" t="s">
        <v>7</v>
      </c>
      <c r="TVV19" s="200"/>
      <c r="TVW19" s="200"/>
      <c r="TVX19" s="200"/>
      <c r="TVY19" s="200"/>
      <c r="TVZ19" s="200"/>
      <c r="TWA19" s="200"/>
      <c r="TWB19" s="201"/>
      <c r="TWC19" s="199" t="s">
        <v>7</v>
      </c>
      <c r="TWD19" s="200"/>
      <c r="TWE19" s="200"/>
      <c r="TWF19" s="200"/>
      <c r="TWG19" s="200"/>
      <c r="TWH19" s="200"/>
      <c r="TWI19" s="200"/>
      <c r="TWJ19" s="201"/>
      <c r="TWK19" s="199" t="s">
        <v>7</v>
      </c>
      <c r="TWL19" s="200"/>
      <c r="TWM19" s="200"/>
      <c r="TWN19" s="200"/>
      <c r="TWO19" s="200"/>
      <c r="TWP19" s="200"/>
      <c r="TWQ19" s="200"/>
      <c r="TWR19" s="201"/>
      <c r="TWS19" s="199" t="s">
        <v>7</v>
      </c>
      <c r="TWT19" s="200"/>
      <c r="TWU19" s="200"/>
      <c r="TWV19" s="200"/>
      <c r="TWW19" s="200"/>
      <c r="TWX19" s="200"/>
      <c r="TWY19" s="200"/>
      <c r="TWZ19" s="201"/>
      <c r="TXA19" s="199" t="s">
        <v>7</v>
      </c>
      <c r="TXB19" s="200"/>
      <c r="TXC19" s="200"/>
      <c r="TXD19" s="200"/>
      <c r="TXE19" s="200"/>
      <c r="TXF19" s="200"/>
      <c r="TXG19" s="200"/>
      <c r="TXH19" s="201"/>
      <c r="TXI19" s="199" t="s">
        <v>7</v>
      </c>
      <c r="TXJ19" s="200"/>
      <c r="TXK19" s="200"/>
      <c r="TXL19" s="200"/>
      <c r="TXM19" s="200"/>
      <c r="TXN19" s="200"/>
      <c r="TXO19" s="200"/>
      <c r="TXP19" s="201"/>
      <c r="TXQ19" s="199" t="s">
        <v>7</v>
      </c>
      <c r="TXR19" s="200"/>
      <c r="TXS19" s="200"/>
      <c r="TXT19" s="200"/>
      <c r="TXU19" s="200"/>
      <c r="TXV19" s="200"/>
      <c r="TXW19" s="200"/>
      <c r="TXX19" s="201"/>
      <c r="TXY19" s="199" t="s">
        <v>7</v>
      </c>
      <c r="TXZ19" s="200"/>
      <c r="TYA19" s="200"/>
      <c r="TYB19" s="200"/>
      <c r="TYC19" s="200"/>
      <c r="TYD19" s="200"/>
      <c r="TYE19" s="200"/>
      <c r="TYF19" s="201"/>
      <c r="TYG19" s="199" t="s">
        <v>7</v>
      </c>
      <c r="TYH19" s="200"/>
      <c r="TYI19" s="200"/>
      <c r="TYJ19" s="200"/>
      <c r="TYK19" s="200"/>
      <c r="TYL19" s="200"/>
      <c r="TYM19" s="200"/>
      <c r="TYN19" s="201"/>
      <c r="TYO19" s="199" t="s">
        <v>7</v>
      </c>
      <c r="TYP19" s="200"/>
      <c r="TYQ19" s="200"/>
      <c r="TYR19" s="200"/>
      <c r="TYS19" s="200"/>
      <c r="TYT19" s="200"/>
      <c r="TYU19" s="200"/>
      <c r="TYV19" s="201"/>
      <c r="TYW19" s="199" t="s">
        <v>7</v>
      </c>
      <c r="TYX19" s="200"/>
      <c r="TYY19" s="200"/>
      <c r="TYZ19" s="200"/>
      <c r="TZA19" s="200"/>
      <c r="TZB19" s="200"/>
      <c r="TZC19" s="200"/>
      <c r="TZD19" s="201"/>
      <c r="TZE19" s="199" t="s">
        <v>7</v>
      </c>
      <c r="TZF19" s="200"/>
      <c r="TZG19" s="200"/>
      <c r="TZH19" s="200"/>
      <c r="TZI19" s="200"/>
      <c r="TZJ19" s="200"/>
      <c r="TZK19" s="200"/>
      <c r="TZL19" s="201"/>
      <c r="TZM19" s="199" t="s">
        <v>7</v>
      </c>
      <c r="TZN19" s="200"/>
      <c r="TZO19" s="200"/>
      <c r="TZP19" s="200"/>
      <c r="TZQ19" s="200"/>
      <c r="TZR19" s="200"/>
      <c r="TZS19" s="200"/>
      <c r="TZT19" s="201"/>
      <c r="TZU19" s="199" t="s">
        <v>7</v>
      </c>
      <c r="TZV19" s="200"/>
      <c r="TZW19" s="200"/>
      <c r="TZX19" s="200"/>
      <c r="TZY19" s="200"/>
      <c r="TZZ19" s="200"/>
      <c r="UAA19" s="200"/>
      <c r="UAB19" s="201"/>
      <c r="UAC19" s="199" t="s">
        <v>7</v>
      </c>
      <c r="UAD19" s="200"/>
      <c r="UAE19" s="200"/>
      <c r="UAF19" s="200"/>
      <c r="UAG19" s="200"/>
      <c r="UAH19" s="200"/>
      <c r="UAI19" s="200"/>
      <c r="UAJ19" s="201"/>
      <c r="UAK19" s="199" t="s">
        <v>7</v>
      </c>
      <c r="UAL19" s="200"/>
      <c r="UAM19" s="200"/>
      <c r="UAN19" s="200"/>
      <c r="UAO19" s="200"/>
      <c r="UAP19" s="200"/>
      <c r="UAQ19" s="200"/>
      <c r="UAR19" s="201"/>
      <c r="UAS19" s="199" t="s">
        <v>7</v>
      </c>
      <c r="UAT19" s="200"/>
      <c r="UAU19" s="200"/>
      <c r="UAV19" s="200"/>
      <c r="UAW19" s="200"/>
      <c r="UAX19" s="200"/>
      <c r="UAY19" s="200"/>
      <c r="UAZ19" s="201"/>
      <c r="UBA19" s="199" t="s">
        <v>7</v>
      </c>
      <c r="UBB19" s="200"/>
      <c r="UBC19" s="200"/>
      <c r="UBD19" s="200"/>
      <c r="UBE19" s="200"/>
      <c r="UBF19" s="200"/>
      <c r="UBG19" s="200"/>
      <c r="UBH19" s="201"/>
      <c r="UBI19" s="199" t="s">
        <v>7</v>
      </c>
      <c r="UBJ19" s="200"/>
      <c r="UBK19" s="200"/>
      <c r="UBL19" s="200"/>
      <c r="UBM19" s="200"/>
      <c r="UBN19" s="200"/>
      <c r="UBO19" s="200"/>
      <c r="UBP19" s="201"/>
      <c r="UBQ19" s="199" t="s">
        <v>7</v>
      </c>
      <c r="UBR19" s="200"/>
      <c r="UBS19" s="200"/>
      <c r="UBT19" s="200"/>
      <c r="UBU19" s="200"/>
      <c r="UBV19" s="200"/>
      <c r="UBW19" s="200"/>
      <c r="UBX19" s="201"/>
      <c r="UBY19" s="199" t="s">
        <v>7</v>
      </c>
      <c r="UBZ19" s="200"/>
      <c r="UCA19" s="200"/>
      <c r="UCB19" s="200"/>
      <c r="UCC19" s="200"/>
      <c r="UCD19" s="200"/>
      <c r="UCE19" s="200"/>
      <c r="UCF19" s="201"/>
      <c r="UCG19" s="199" t="s">
        <v>7</v>
      </c>
      <c r="UCH19" s="200"/>
      <c r="UCI19" s="200"/>
      <c r="UCJ19" s="200"/>
      <c r="UCK19" s="200"/>
      <c r="UCL19" s="200"/>
      <c r="UCM19" s="200"/>
      <c r="UCN19" s="201"/>
      <c r="UCO19" s="199" t="s">
        <v>7</v>
      </c>
      <c r="UCP19" s="200"/>
      <c r="UCQ19" s="200"/>
      <c r="UCR19" s="200"/>
      <c r="UCS19" s="200"/>
      <c r="UCT19" s="200"/>
      <c r="UCU19" s="200"/>
      <c r="UCV19" s="201"/>
      <c r="UCW19" s="199" t="s">
        <v>7</v>
      </c>
      <c r="UCX19" s="200"/>
      <c r="UCY19" s="200"/>
      <c r="UCZ19" s="200"/>
      <c r="UDA19" s="200"/>
      <c r="UDB19" s="200"/>
      <c r="UDC19" s="200"/>
      <c r="UDD19" s="201"/>
      <c r="UDE19" s="199" t="s">
        <v>7</v>
      </c>
      <c r="UDF19" s="200"/>
      <c r="UDG19" s="200"/>
      <c r="UDH19" s="200"/>
      <c r="UDI19" s="200"/>
      <c r="UDJ19" s="200"/>
      <c r="UDK19" s="200"/>
      <c r="UDL19" s="201"/>
      <c r="UDM19" s="199" t="s">
        <v>7</v>
      </c>
      <c r="UDN19" s="200"/>
      <c r="UDO19" s="200"/>
      <c r="UDP19" s="200"/>
      <c r="UDQ19" s="200"/>
      <c r="UDR19" s="200"/>
      <c r="UDS19" s="200"/>
      <c r="UDT19" s="201"/>
      <c r="UDU19" s="199" t="s">
        <v>7</v>
      </c>
      <c r="UDV19" s="200"/>
      <c r="UDW19" s="200"/>
      <c r="UDX19" s="200"/>
      <c r="UDY19" s="200"/>
      <c r="UDZ19" s="200"/>
      <c r="UEA19" s="200"/>
      <c r="UEB19" s="201"/>
      <c r="UEC19" s="199" t="s">
        <v>7</v>
      </c>
      <c r="UED19" s="200"/>
      <c r="UEE19" s="200"/>
      <c r="UEF19" s="200"/>
      <c r="UEG19" s="200"/>
      <c r="UEH19" s="200"/>
      <c r="UEI19" s="200"/>
      <c r="UEJ19" s="201"/>
      <c r="UEK19" s="199" t="s">
        <v>7</v>
      </c>
      <c r="UEL19" s="200"/>
      <c r="UEM19" s="200"/>
      <c r="UEN19" s="200"/>
      <c r="UEO19" s="200"/>
      <c r="UEP19" s="200"/>
      <c r="UEQ19" s="200"/>
      <c r="UER19" s="201"/>
      <c r="UES19" s="199" t="s">
        <v>7</v>
      </c>
      <c r="UET19" s="200"/>
      <c r="UEU19" s="200"/>
      <c r="UEV19" s="200"/>
      <c r="UEW19" s="200"/>
      <c r="UEX19" s="200"/>
      <c r="UEY19" s="200"/>
      <c r="UEZ19" s="201"/>
      <c r="UFA19" s="199" t="s">
        <v>7</v>
      </c>
      <c r="UFB19" s="200"/>
      <c r="UFC19" s="200"/>
      <c r="UFD19" s="200"/>
      <c r="UFE19" s="200"/>
      <c r="UFF19" s="200"/>
      <c r="UFG19" s="200"/>
      <c r="UFH19" s="201"/>
      <c r="UFI19" s="199" t="s">
        <v>7</v>
      </c>
      <c r="UFJ19" s="200"/>
      <c r="UFK19" s="200"/>
      <c r="UFL19" s="200"/>
      <c r="UFM19" s="200"/>
      <c r="UFN19" s="200"/>
      <c r="UFO19" s="200"/>
      <c r="UFP19" s="201"/>
      <c r="UFQ19" s="199" t="s">
        <v>7</v>
      </c>
      <c r="UFR19" s="200"/>
      <c r="UFS19" s="200"/>
      <c r="UFT19" s="200"/>
      <c r="UFU19" s="200"/>
      <c r="UFV19" s="200"/>
      <c r="UFW19" s="200"/>
      <c r="UFX19" s="201"/>
      <c r="UFY19" s="199" t="s">
        <v>7</v>
      </c>
      <c r="UFZ19" s="200"/>
      <c r="UGA19" s="200"/>
      <c r="UGB19" s="200"/>
      <c r="UGC19" s="200"/>
      <c r="UGD19" s="200"/>
      <c r="UGE19" s="200"/>
      <c r="UGF19" s="201"/>
      <c r="UGG19" s="199" t="s">
        <v>7</v>
      </c>
      <c r="UGH19" s="200"/>
      <c r="UGI19" s="200"/>
      <c r="UGJ19" s="200"/>
      <c r="UGK19" s="200"/>
      <c r="UGL19" s="200"/>
      <c r="UGM19" s="200"/>
      <c r="UGN19" s="201"/>
      <c r="UGO19" s="199" t="s">
        <v>7</v>
      </c>
      <c r="UGP19" s="200"/>
      <c r="UGQ19" s="200"/>
      <c r="UGR19" s="200"/>
      <c r="UGS19" s="200"/>
      <c r="UGT19" s="200"/>
      <c r="UGU19" s="200"/>
      <c r="UGV19" s="201"/>
      <c r="UGW19" s="199" t="s">
        <v>7</v>
      </c>
      <c r="UGX19" s="200"/>
      <c r="UGY19" s="200"/>
      <c r="UGZ19" s="200"/>
      <c r="UHA19" s="200"/>
      <c r="UHB19" s="200"/>
      <c r="UHC19" s="200"/>
      <c r="UHD19" s="201"/>
      <c r="UHE19" s="199" t="s">
        <v>7</v>
      </c>
      <c r="UHF19" s="200"/>
      <c r="UHG19" s="200"/>
      <c r="UHH19" s="200"/>
      <c r="UHI19" s="200"/>
      <c r="UHJ19" s="200"/>
      <c r="UHK19" s="200"/>
      <c r="UHL19" s="201"/>
      <c r="UHM19" s="199" t="s">
        <v>7</v>
      </c>
      <c r="UHN19" s="200"/>
      <c r="UHO19" s="200"/>
      <c r="UHP19" s="200"/>
      <c r="UHQ19" s="200"/>
      <c r="UHR19" s="200"/>
      <c r="UHS19" s="200"/>
      <c r="UHT19" s="201"/>
      <c r="UHU19" s="199" t="s">
        <v>7</v>
      </c>
      <c r="UHV19" s="200"/>
      <c r="UHW19" s="200"/>
      <c r="UHX19" s="200"/>
      <c r="UHY19" s="200"/>
      <c r="UHZ19" s="200"/>
      <c r="UIA19" s="200"/>
      <c r="UIB19" s="201"/>
      <c r="UIC19" s="199" t="s">
        <v>7</v>
      </c>
      <c r="UID19" s="200"/>
      <c r="UIE19" s="200"/>
      <c r="UIF19" s="200"/>
      <c r="UIG19" s="200"/>
      <c r="UIH19" s="200"/>
      <c r="UII19" s="200"/>
      <c r="UIJ19" s="201"/>
      <c r="UIK19" s="199" t="s">
        <v>7</v>
      </c>
      <c r="UIL19" s="200"/>
      <c r="UIM19" s="200"/>
      <c r="UIN19" s="200"/>
      <c r="UIO19" s="200"/>
      <c r="UIP19" s="200"/>
      <c r="UIQ19" s="200"/>
      <c r="UIR19" s="201"/>
      <c r="UIS19" s="199" t="s">
        <v>7</v>
      </c>
      <c r="UIT19" s="200"/>
      <c r="UIU19" s="200"/>
      <c r="UIV19" s="200"/>
      <c r="UIW19" s="200"/>
      <c r="UIX19" s="200"/>
      <c r="UIY19" s="200"/>
      <c r="UIZ19" s="201"/>
      <c r="UJA19" s="199" t="s">
        <v>7</v>
      </c>
      <c r="UJB19" s="200"/>
      <c r="UJC19" s="200"/>
      <c r="UJD19" s="200"/>
      <c r="UJE19" s="200"/>
      <c r="UJF19" s="200"/>
      <c r="UJG19" s="200"/>
      <c r="UJH19" s="201"/>
      <c r="UJI19" s="199" t="s">
        <v>7</v>
      </c>
      <c r="UJJ19" s="200"/>
      <c r="UJK19" s="200"/>
      <c r="UJL19" s="200"/>
      <c r="UJM19" s="200"/>
      <c r="UJN19" s="200"/>
      <c r="UJO19" s="200"/>
      <c r="UJP19" s="201"/>
      <c r="UJQ19" s="199" t="s">
        <v>7</v>
      </c>
      <c r="UJR19" s="200"/>
      <c r="UJS19" s="200"/>
      <c r="UJT19" s="200"/>
      <c r="UJU19" s="200"/>
      <c r="UJV19" s="200"/>
      <c r="UJW19" s="200"/>
      <c r="UJX19" s="201"/>
      <c r="UJY19" s="199" t="s">
        <v>7</v>
      </c>
      <c r="UJZ19" s="200"/>
      <c r="UKA19" s="200"/>
      <c r="UKB19" s="200"/>
      <c r="UKC19" s="200"/>
      <c r="UKD19" s="200"/>
      <c r="UKE19" s="200"/>
      <c r="UKF19" s="201"/>
      <c r="UKG19" s="199" t="s">
        <v>7</v>
      </c>
      <c r="UKH19" s="200"/>
      <c r="UKI19" s="200"/>
      <c r="UKJ19" s="200"/>
      <c r="UKK19" s="200"/>
      <c r="UKL19" s="200"/>
      <c r="UKM19" s="200"/>
      <c r="UKN19" s="201"/>
      <c r="UKO19" s="199" t="s">
        <v>7</v>
      </c>
      <c r="UKP19" s="200"/>
      <c r="UKQ19" s="200"/>
      <c r="UKR19" s="200"/>
      <c r="UKS19" s="200"/>
      <c r="UKT19" s="200"/>
      <c r="UKU19" s="200"/>
      <c r="UKV19" s="201"/>
      <c r="UKW19" s="199" t="s">
        <v>7</v>
      </c>
      <c r="UKX19" s="200"/>
      <c r="UKY19" s="200"/>
      <c r="UKZ19" s="200"/>
      <c r="ULA19" s="200"/>
      <c r="ULB19" s="200"/>
      <c r="ULC19" s="200"/>
      <c r="ULD19" s="201"/>
      <c r="ULE19" s="199" t="s">
        <v>7</v>
      </c>
      <c r="ULF19" s="200"/>
      <c r="ULG19" s="200"/>
      <c r="ULH19" s="200"/>
      <c r="ULI19" s="200"/>
      <c r="ULJ19" s="200"/>
      <c r="ULK19" s="200"/>
      <c r="ULL19" s="201"/>
      <c r="ULM19" s="199" t="s">
        <v>7</v>
      </c>
      <c r="ULN19" s="200"/>
      <c r="ULO19" s="200"/>
      <c r="ULP19" s="200"/>
      <c r="ULQ19" s="200"/>
      <c r="ULR19" s="200"/>
      <c r="ULS19" s="200"/>
      <c r="ULT19" s="201"/>
      <c r="ULU19" s="199" t="s">
        <v>7</v>
      </c>
      <c r="ULV19" s="200"/>
      <c r="ULW19" s="200"/>
      <c r="ULX19" s="200"/>
      <c r="ULY19" s="200"/>
      <c r="ULZ19" s="200"/>
      <c r="UMA19" s="200"/>
      <c r="UMB19" s="201"/>
      <c r="UMC19" s="199" t="s">
        <v>7</v>
      </c>
      <c r="UMD19" s="200"/>
      <c r="UME19" s="200"/>
      <c r="UMF19" s="200"/>
      <c r="UMG19" s="200"/>
      <c r="UMH19" s="200"/>
      <c r="UMI19" s="200"/>
      <c r="UMJ19" s="201"/>
      <c r="UMK19" s="199" t="s">
        <v>7</v>
      </c>
      <c r="UML19" s="200"/>
      <c r="UMM19" s="200"/>
      <c r="UMN19" s="200"/>
      <c r="UMO19" s="200"/>
      <c r="UMP19" s="200"/>
      <c r="UMQ19" s="200"/>
      <c r="UMR19" s="201"/>
      <c r="UMS19" s="199" t="s">
        <v>7</v>
      </c>
      <c r="UMT19" s="200"/>
      <c r="UMU19" s="200"/>
      <c r="UMV19" s="200"/>
      <c r="UMW19" s="200"/>
      <c r="UMX19" s="200"/>
      <c r="UMY19" s="200"/>
      <c r="UMZ19" s="201"/>
      <c r="UNA19" s="199" t="s">
        <v>7</v>
      </c>
      <c r="UNB19" s="200"/>
      <c r="UNC19" s="200"/>
      <c r="UND19" s="200"/>
      <c r="UNE19" s="200"/>
      <c r="UNF19" s="200"/>
      <c r="UNG19" s="200"/>
      <c r="UNH19" s="201"/>
      <c r="UNI19" s="199" t="s">
        <v>7</v>
      </c>
      <c r="UNJ19" s="200"/>
      <c r="UNK19" s="200"/>
      <c r="UNL19" s="200"/>
      <c r="UNM19" s="200"/>
      <c r="UNN19" s="200"/>
      <c r="UNO19" s="200"/>
      <c r="UNP19" s="201"/>
      <c r="UNQ19" s="199" t="s">
        <v>7</v>
      </c>
      <c r="UNR19" s="200"/>
      <c r="UNS19" s="200"/>
      <c r="UNT19" s="200"/>
      <c r="UNU19" s="200"/>
      <c r="UNV19" s="200"/>
      <c r="UNW19" s="200"/>
      <c r="UNX19" s="201"/>
      <c r="UNY19" s="199" t="s">
        <v>7</v>
      </c>
      <c r="UNZ19" s="200"/>
      <c r="UOA19" s="200"/>
      <c r="UOB19" s="200"/>
      <c r="UOC19" s="200"/>
      <c r="UOD19" s="200"/>
      <c r="UOE19" s="200"/>
      <c r="UOF19" s="201"/>
      <c r="UOG19" s="199" t="s">
        <v>7</v>
      </c>
      <c r="UOH19" s="200"/>
      <c r="UOI19" s="200"/>
      <c r="UOJ19" s="200"/>
      <c r="UOK19" s="200"/>
      <c r="UOL19" s="200"/>
      <c r="UOM19" s="200"/>
      <c r="UON19" s="201"/>
      <c r="UOO19" s="199" t="s">
        <v>7</v>
      </c>
      <c r="UOP19" s="200"/>
      <c r="UOQ19" s="200"/>
      <c r="UOR19" s="200"/>
      <c r="UOS19" s="200"/>
      <c r="UOT19" s="200"/>
      <c r="UOU19" s="200"/>
      <c r="UOV19" s="201"/>
      <c r="UOW19" s="199" t="s">
        <v>7</v>
      </c>
      <c r="UOX19" s="200"/>
      <c r="UOY19" s="200"/>
      <c r="UOZ19" s="200"/>
      <c r="UPA19" s="200"/>
      <c r="UPB19" s="200"/>
      <c r="UPC19" s="200"/>
      <c r="UPD19" s="201"/>
      <c r="UPE19" s="199" t="s">
        <v>7</v>
      </c>
      <c r="UPF19" s="200"/>
      <c r="UPG19" s="200"/>
      <c r="UPH19" s="200"/>
      <c r="UPI19" s="200"/>
      <c r="UPJ19" s="200"/>
      <c r="UPK19" s="200"/>
      <c r="UPL19" s="201"/>
      <c r="UPM19" s="199" t="s">
        <v>7</v>
      </c>
      <c r="UPN19" s="200"/>
      <c r="UPO19" s="200"/>
      <c r="UPP19" s="200"/>
      <c r="UPQ19" s="200"/>
      <c r="UPR19" s="200"/>
      <c r="UPS19" s="200"/>
      <c r="UPT19" s="201"/>
      <c r="UPU19" s="199" t="s">
        <v>7</v>
      </c>
      <c r="UPV19" s="200"/>
      <c r="UPW19" s="200"/>
      <c r="UPX19" s="200"/>
      <c r="UPY19" s="200"/>
      <c r="UPZ19" s="200"/>
      <c r="UQA19" s="200"/>
      <c r="UQB19" s="201"/>
      <c r="UQC19" s="199" t="s">
        <v>7</v>
      </c>
      <c r="UQD19" s="200"/>
      <c r="UQE19" s="200"/>
      <c r="UQF19" s="200"/>
      <c r="UQG19" s="200"/>
      <c r="UQH19" s="200"/>
      <c r="UQI19" s="200"/>
      <c r="UQJ19" s="201"/>
      <c r="UQK19" s="199" t="s">
        <v>7</v>
      </c>
      <c r="UQL19" s="200"/>
      <c r="UQM19" s="200"/>
      <c r="UQN19" s="200"/>
      <c r="UQO19" s="200"/>
      <c r="UQP19" s="200"/>
      <c r="UQQ19" s="200"/>
      <c r="UQR19" s="201"/>
      <c r="UQS19" s="199" t="s">
        <v>7</v>
      </c>
      <c r="UQT19" s="200"/>
      <c r="UQU19" s="200"/>
      <c r="UQV19" s="200"/>
      <c r="UQW19" s="200"/>
      <c r="UQX19" s="200"/>
      <c r="UQY19" s="200"/>
      <c r="UQZ19" s="201"/>
      <c r="URA19" s="199" t="s">
        <v>7</v>
      </c>
      <c r="URB19" s="200"/>
      <c r="URC19" s="200"/>
      <c r="URD19" s="200"/>
      <c r="URE19" s="200"/>
      <c r="URF19" s="200"/>
      <c r="URG19" s="200"/>
      <c r="URH19" s="201"/>
      <c r="URI19" s="199" t="s">
        <v>7</v>
      </c>
      <c r="URJ19" s="200"/>
      <c r="URK19" s="200"/>
      <c r="URL19" s="200"/>
      <c r="URM19" s="200"/>
      <c r="URN19" s="200"/>
      <c r="URO19" s="200"/>
      <c r="URP19" s="201"/>
      <c r="URQ19" s="199" t="s">
        <v>7</v>
      </c>
      <c r="URR19" s="200"/>
      <c r="URS19" s="200"/>
      <c r="URT19" s="200"/>
      <c r="URU19" s="200"/>
      <c r="URV19" s="200"/>
      <c r="URW19" s="200"/>
      <c r="URX19" s="201"/>
      <c r="URY19" s="199" t="s">
        <v>7</v>
      </c>
      <c r="URZ19" s="200"/>
      <c r="USA19" s="200"/>
      <c r="USB19" s="200"/>
      <c r="USC19" s="200"/>
      <c r="USD19" s="200"/>
      <c r="USE19" s="200"/>
      <c r="USF19" s="201"/>
      <c r="USG19" s="199" t="s">
        <v>7</v>
      </c>
      <c r="USH19" s="200"/>
      <c r="USI19" s="200"/>
      <c r="USJ19" s="200"/>
      <c r="USK19" s="200"/>
      <c r="USL19" s="200"/>
      <c r="USM19" s="200"/>
      <c r="USN19" s="201"/>
      <c r="USO19" s="199" t="s">
        <v>7</v>
      </c>
      <c r="USP19" s="200"/>
      <c r="USQ19" s="200"/>
      <c r="USR19" s="200"/>
      <c r="USS19" s="200"/>
      <c r="UST19" s="200"/>
      <c r="USU19" s="200"/>
      <c r="USV19" s="201"/>
      <c r="USW19" s="199" t="s">
        <v>7</v>
      </c>
      <c r="USX19" s="200"/>
      <c r="USY19" s="200"/>
      <c r="USZ19" s="200"/>
      <c r="UTA19" s="200"/>
      <c r="UTB19" s="200"/>
      <c r="UTC19" s="200"/>
      <c r="UTD19" s="201"/>
      <c r="UTE19" s="199" t="s">
        <v>7</v>
      </c>
      <c r="UTF19" s="200"/>
      <c r="UTG19" s="200"/>
      <c r="UTH19" s="200"/>
      <c r="UTI19" s="200"/>
      <c r="UTJ19" s="200"/>
      <c r="UTK19" s="200"/>
      <c r="UTL19" s="201"/>
      <c r="UTM19" s="199" t="s">
        <v>7</v>
      </c>
      <c r="UTN19" s="200"/>
      <c r="UTO19" s="200"/>
      <c r="UTP19" s="200"/>
      <c r="UTQ19" s="200"/>
      <c r="UTR19" s="200"/>
      <c r="UTS19" s="200"/>
      <c r="UTT19" s="201"/>
      <c r="UTU19" s="199" t="s">
        <v>7</v>
      </c>
      <c r="UTV19" s="200"/>
      <c r="UTW19" s="200"/>
      <c r="UTX19" s="200"/>
      <c r="UTY19" s="200"/>
      <c r="UTZ19" s="200"/>
      <c r="UUA19" s="200"/>
      <c r="UUB19" s="201"/>
      <c r="UUC19" s="199" t="s">
        <v>7</v>
      </c>
      <c r="UUD19" s="200"/>
      <c r="UUE19" s="200"/>
      <c r="UUF19" s="200"/>
      <c r="UUG19" s="200"/>
      <c r="UUH19" s="200"/>
      <c r="UUI19" s="200"/>
      <c r="UUJ19" s="201"/>
      <c r="UUK19" s="199" t="s">
        <v>7</v>
      </c>
      <c r="UUL19" s="200"/>
      <c r="UUM19" s="200"/>
      <c r="UUN19" s="200"/>
      <c r="UUO19" s="200"/>
      <c r="UUP19" s="200"/>
      <c r="UUQ19" s="200"/>
      <c r="UUR19" s="201"/>
      <c r="UUS19" s="199" t="s">
        <v>7</v>
      </c>
      <c r="UUT19" s="200"/>
      <c r="UUU19" s="200"/>
      <c r="UUV19" s="200"/>
      <c r="UUW19" s="200"/>
      <c r="UUX19" s="200"/>
      <c r="UUY19" s="200"/>
      <c r="UUZ19" s="201"/>
      <c r="UVA19" s="199" t="s">
        <v>7</v>
      </c>
      <c r="UVB19" s="200"/>
      <c r="UVC19" s="200"/>
      <c r="UVD19" s="200"/>
      <c r="UVE19" s="200"/>
      <c r="UVF19" s="200"/>
      <c r="UVG19" s="200"/>
      <c r="UVH19" s="201"/>
      <c r="UVI19" s="199" t="s">
        <v>7</v>
      </c>
      <c r="UVJ19" s="200"/>
      <c r="UVK19" s="200"/>
      <c r="UVL19" s="200"/>
      <c r="UVM19" s="200"/>
      <c r="UVN19" s="200"/>
      <c r="UVO19" s="200"/>
      <c r="UVP19" s="201"/>
      <c r="UVQ19" s="199" t="s">
        <v>7</v>
      </c>
      <c r="UVR19" s="200"/>
      <c r="UVS19" s="200"/>
      <c r="UVT19" s="200"/>
      <c r="UVU19" s="200"/>
      <c r="UVV19" s="200"/>
      <c r="UVW19" s="200"/>
      <c r="UVX19" s="201"/>
      <c r="UVY19" s="199" t="s">
        <v>7</v>
      </c>
      <c r="UVZ19" s="200"/>
      <c r="UWA19" s="200"/>
      <c r="UWB19" s="200"/>
      <c r="UWC19" s="200"/>
      <c r="UWD19" s="200"/>
      <c r="UWE19" s="200"/>
      <c r="UWF19" s="201"/>
      <c r="UWG19" s="199" t="s">
        <v>7</v>
      </c>
      <c r="UWH19" s="200"/>
      <c r="UWI19" s="200"/>
      <c r="UWJ19" s="200"/>
      <c r="UWK19" s="200"/>
      <c r="UWL19" s="200"/>
      <c r="UWM19" s="200"/>
      <c r="UWN19" s="201"/>
      <c r="UWO19" s="199" t="s">
        <v>7</v>
      </c>
      <c r="UWP19" s="200"/>
      <c r="UWQ19" s="200"/>
      <c r="UWR19" s="200"/>
      <c r="UWS19" s="200"/>
      <c r="UWT19" s="200"/>
      <c r="UWU19" s="200"/>
      <c r="UWV19" s="201"/>
      <c r="UWW19" s="199" t="s">
        <v>7</v>
      </c>
      <c r="UWX19" s="200"/>
      <c r="UWY19" s="200"/>
      <c r="UWZ19" s="200"/>
      <c r="UXA19" s="200"/>
      <c r="UXB19" s="200"/>
      <c r="UXC19" s="200"/>
      <c r="UXD19" s="201"/>
      <c r="UXE19" s="199" t="s">
        <v>7</v>
      </c>
      <c r="UXF19" s="200"/>
      <c r="UXG19" s="200"/>
      <c r="UXH19" s="200"/>
      <c r="UXI19" s="200"/>
      <c r="UXJ19" s="200"/>
      <c r="UXK19" s="200"/>
      <c r="UXL19" s="201"/>
      <c r="UXM19" s="199" t="s">
        <v>7</v>
      </c>
      <c r="UXN19" s="200"/>
      <c r="UXO19" s="200"/>
      <c r="UXP19" s="200"/>
      <c r="UXQ19" s="200"/>
      <c r="UXR19" s="200"/>
      <c r="UXS19" s="200"/>
      <c r="UXT19" s="201"/>
      <c r="UXU19" s="199" t="s">
        <v>7</v>
      </c>
      <c r="UXV19" s="200"/>
      <c r="UXW19" s="200"/>
      <c r="UXX19" s="200"/>
      <c r="UXY19" s="200"/>
      <c r="UXZ19" s="200"/>
      <c r="UYA19" s="200"/>
      <c r="UYB19" s="201"/>
      <c r="UYC19" s="199" t="s">
        <v>7</v>
      </c>
      <c r="UYD19" s="200"/>
      <c r="UYE19" s="200"/>
      <c r="UYF19" s="200"/>
      <c r="UYG19" s="200"/>
      <c r="UYH19" s="200"/>
      <c r="UYI19" s="200"/>
      <c r="UYJ19" s="201"/>
      <c r="UYK19" s="199" t="s">
        <v>7</v>
      </c>
      <c r="UYL19" s="200"/>
      <c r="UYM19" s="200"/>
      <c r="UYN19" s="200"/>
      <c r="UYO19" s="200"/>
      <c r="UYP19" s="200"/>
      <c r="UYQ19" s="200"/>
      <c r="UYR19" s="201"/>
      <c r="UYS19" s="199" t="s">
        <v>7</v>
      </c>
      <c r="UYT19" s="200"/>
      <c r="UYU19" s="200"/>
      <c r="UYV19" s="200"/>
      <c r="UYW19" s="200"/>
      <c r="UYX19" s="200"/>
      <c r="UYY19" s="200"/>
      <c r="UYZ19" s="201"/>
      <c r="UZA19" s="199" t="s">
        <v>7</v>
      </c>
      <c r="UZB19" s="200"/>
      <c r="UZC19" s="200"/>
      <c r="UZD19" s="200"/>
      <c r="UZE19" s="200"/>
      <c r="UZF19" s="200"/>
      <c r="UZG19" s="200"/>
      <c r="UZH19" s="201"/>
      <c r="UZI19" s="199" t="s">
        <v>7</v>
      </c>
      <c r="UZJ19" s="200"/>
      <c r="UZK19" s="200"/>
      <c r="UZL19" s="200"/>
      <c r="UZM19" s="200"/>
      <c r="UZN19" s="200"/>
      <c r="UZO19" s="200"/>
      <c r="UZP19" s="201"/>
      <c r="UZQ19" s="199" t="s">
        <v>7</v>
      </c>
      <c r="UZR19" s="200"/>
      <c r="UZS19" s="200"/>
      <c r="UZT19" s="200"/>
      <c r="UZU19" s="200"/>
      <c r="UZV19" s="200"/>
      <c r="UZW19" s="200"/>
      <c r="UZX19" s="201"/>
      <c r="UZY19" s="199" t="s">
        <v>7</v>
      </c>
      <c r="UZZ19" s="200"/>
      <c r="VAA19" s="200"/>
      <c r="VAB19" s="200"/>
      <c r="VAC19" s="200"/>
      <c r="VAD19" s="200"/>
      <c r="VAE19" s="200"/>
      <c r="VAF19" s="201"/>
      <c r="VAG19" s="199" t="s">
        <v>7</v>
      </c>
      <c r="VAH19" s="200"/>
      <c r="VAI19" s="200"/>
      <c r="VAJ19" s="200"/>
      <c r="VAK19" s="200"/>
      <c r="VAL19" s="200"/>
      <c r="VAM19" s="200"/>
      <c r="VAN19" s="201"/>
      <c r="VAO19" s="199" t="s">
        <v>7</v>
      </c>
      <c r="VAP19" s="200"/>
      <c r="VAQ19" s="200"/>
      <c r="VAR19" s="200"/>
      <c r="VAS19" s="200"/>
      <c r="VAT19" s="200"/>
      <c r="VAU19" s="200"/>
      <c r="VAV19" s="201"/>
      <c r="VAW19" s="199" t="s">
        <v>7</v>
      </c>
      <c r="VAX19" s="200"/>
      <c r="VAY19" s="200"/>
      <c r="VAZ19" s="200"/>
      <c r="VBA19" s="200"/>
      <c r="VBB19" s="200"/>
      <c r="VBC19" s="200"/>
      <c r="VBD19" s="201"/>
      <c r="VBE19" s="199" t="s">
        <v>7</v>
      </c>
      <c r="VBF19" s="200"/>
      <c r="VBG19" s="200"/>
      <c r="VBH19" s="200"/>
      <c r="VBI19" s="200"/>
      <c r="VBJ19" s="200"/>
      <c r="VBK19" s="200"/>
      <c r="VBL19" s="201"/>
      <c r="VBM19" s="199" t="s">
        <v>7</v>
      </c>
      <c r="VBN19" s="200"/>
      <c r="VBO19" s="200"/>
      <c r="VBP19" s="200"/>
      <c r="VBQ19" s="200"/>
      <c r="VBR19" s="200"/>
      <c r="VBS19" s="200"/>
      <c r="VBT19" s="201"/>
      <c r="VBU19" s="199" t="s">
        <v>7</v>
      </c>
      <c r="VBV19" s="200"/>
      <c r="VBW19" s="200"/>
      <c r="VBX19" s="200"/>
      <c r="VBY19" s="200"/>
      <c r="VBZ19" s="200"/>
      <c r="VCA19" s="200"/>
      <c r="VCB19" s="201"/>
      <c r="VCC19" s="199" t="s">
        <v>7</v>
      </c>
      <c r="VCD19" s="200"/>
      <c r="VCE19" s="200"/>
      <c r="VCF19" s="200"/>
      <c r="VCG19" s="200"/>
      <c r="VCH19" s="200"/>
      <c r="VCI19" s="200"/>
      <c r="VCJ19" s="201"/>
      <c r="VCK19" s="199" t="s">
        <v>7</v>
      </c>
      <c r="VCL19" s="200"/>
      <c r="VCM19" s="200"/>
      <c r="VCN19" s="200"/>
      <c r="VCO19" s="200"/>
      <c r="VCP19" s="200"/>
      <c r="VCQ19" s="200"/>
      <c r="VCR19" s="201"/>
      <c r="VCS19" s="199" t="s">
        <v>7</v>
      </c>
      <c r="VCT19" s="200"/>
      <c r="VCU19" s="200"/>
      <c r="VCV19" s="200"/>
      <c r="VCW19" s="200"/>
      <c r="VCX19" s="200"/>
      <c r="VCY19" s="200"/>
      <c r="VCZ19" s="201"/>
      <c r="VDA19" s="199" t="s">
        <v>7</v>
      </c>
      <c r="VDB19" s="200"/>
      <c r="VDC19" s="200"/>
      <c r="VDD19" s="200"/>
      <c r="VDE19" s="200"/>
      <c r="VDF19" s="200"/>
      <c r="VDG19" s="200"/>
      <c r="VDH19" s="201"/>
      <c r="VDI19" s="199" t="s">
        <v>7</v>
      </c>
      <c r="VDJ19" s="200"/>
      <c r="VDK19" s="200"/>
      <c r="VDL19" s="200"/>
      <c r="VDM19" s="200"/>
      <c r="VDN19" s="200"/>
      <c r="VDO19" s="200"/>
      <c r="VDP19" s="201"/>
      <c r="VDQ19" s="199" t="s">
        <v>7</v>
      </c>
      <c r="VDR19" s="200"/>
      <c r="VDS19" s="200"/>
      <c r="VDT19" s="200"/>
      <c r="VDU19" s="200"/>
      <c r="VDV19" s="200"/>
      <c r="VDW19" s="200"/>
      <c r="VDX19" s="201"/>
      <c r="VDY19" s="199" t="s">
        <v>7</v>
      </c>
      <c r="VDZ19" s="200"/>
      <c r="VEA19" s="200"/>
      <c r="VEB19" s="200"/>
      <c r="VEC19" s="200"/>
      <c r="VED19" s="200"/>
      <c r="VEE19" s="200"/>
      <c r="VEF19" s="201"/>
      <c r="VEG19" s="199" t="s">
        <v>7</v>
      </c>
      <c r="VEH19" s="200"/>
      <c r="VEI19" s="200"/>
      <c r="VEJ19" s="200"/>
      <c r="VEK19" s="200"/>
      <c r="VEL19" s="200"/>
      <c r="VEM19" s="200"/>
      <c r="VEN19" s="201"/>
      <c r="VEO19" s="199" t="s">
        <v>7</v>
      </c>
      <c r="VEP19" s="200"/>
      <c r="VEQ19" s="200"/>
      <c r="VER19" s="200"/>
      <c r="VES19" s="200"/>
      <c r="VET19" s="200"/>
      <c r="VEU19" s="200"/>
      <c r="VEV19" s="201"/>
      <c r="VEW19" s="199" t="s">
        <v>7</v>
      </c>
      <c r="VEX19" s="200"/>
      <c r="VEY19" s="200"/>
      <c r="VEZ19" s="200"/>
      <c r="VFA19" s="200"/>
      <c r="VFB19" s="200"/>
      <c r="VFC19" s="200"/>
      <c r="VFD19" s="201"/>
      <c r="VFE19" s="199" t="s">
        <v>7</v>
      </c>
      <c r="VFF19" s="200"/>
      <c r="VFG19" s="200"/>
      <c r="VFH19" s="200"/>
      <c r="VFI19" s="200"/>
      <c r="VFJ19" s="200"/>
      <c r="VFK19" s="200"/>
      <c r="VFL19" s="201"/>
      <c r="VFM19" s="199" t="s">
        <v>7</v>
      </c>
      <c r="VFN19" s="200"/>
      <c r="VFO19" s="200"/>
      <c r="VFP19" s="200"/>
      <c r="VFQ19" s="200"/>
      <c r="VFR19" s="200"/>
      <c r="VFS19" s="200"/>
      <c r="VFT19" s="201"/>
      <c r="VFU19" s="199" t="s">
        <v>7</v>
      </c>
      <c r="VFV19" s="200"/>
      <c r="VFW19" s="200"/>
      <c r="VFX19" s="200"/>
      <c r="VFY19" s="200"/>
      <c r="VFZ19" s="200"/>
      <c r="VGA19" s="200"/>
      <c r="VGB19" s="201"/>
      <c r="VGC19" s="199" t="s">
        <v>7</v>
      </c>
      <c r="VGD19" s="200"/>
      <c r="VGE19" s="200"/>
      <c r="VGF19" s="200"/>
      <c r="VGG19" s="200"/>
      <c r="VGH19" s="200"/>
      <c r="VGI19" s="200"/>
      <c r="VGJ19" s="201"/>
      <c r="VGK19" s="199" t="s">
        <v>7</v>
      </c>
      <c r="VGL19" s="200"/>
      <c r="VGM19" s="200"/>
      <c r="VGN19" s="200"/>
      <c r="VGO19" s="200"/>
      <c r="VGP19" s="200"/>
      <c r="VGQ19" s="200"/>
      <c r="VGR19" s="201"/>
      <c r="VGS19" s="199" t="s">
        <v>7</v>
      </c>
      <c r="VGT19" s="200"/>
      <c r="VGU19" s="200"/>
      <c r="VGV19" s="200"/>
      <c r="VGW19" s="200"/>
      <c r="VGX19" s="200"/>
      <c r="VGY19" s="200"/>
      <c r="VGZ19" s="201"/>
      <c r="VHA19" s="199" t="s">
        <v>7</v>
      </c>
      <c r="VHB19" s="200"/>
      <c r="VHC19" s="200"/>
      <c r="VHD19" s="200"/>
      <c r="VHE19" s="200"/>
      <c r="VHF19" s="200"/>
      <c r="VHG19" s="200"/>
      <c r="VHH19" s="201"/>
      <c r="VHI19" s="199" t="s">
        <v>7</v>
      </c>
      <c r="VHJ19" s="200"/>
      <c r="VHK19" s="200"/>
      <c r="VHL19" s="200"/>
      <c r="VHM19" s="200"/>
      <c r="VHN19" s="200"/>
      <c r="VHO19" s="200"/>
      <c r="VHP19" s="201"/>
      <c r="VHQ19" s="199" t="s">
        <v>7</v>
      </c>
      <c r="VHR19" s="200"/>
      <c r="VHS19" s="200"/>
      <c r="VHT19" s="200"/>
      <c r="VHU19" s="200"/>
      <c r="VHV19" s="200"/>
      <c r="VHW19" s="200"/>
      <c r="VHX19" s="201"/>
      <c r="VHY19" s="199" t="s">
        <v>7</v>
      </c>
      <c r="VHZ19" s="200"/>
      <c r="VIA19" s="200"/>
      <c r="VIB19" s="200"/>
      <c r="VIC19" s="200"/>
      <c r="VID19" s="200"/>
      <c r="VIE19" s="200"/>
      <c r="VIF19" s="201"/>
      <c r="VIG19" s="199" t="s">
        <v>7</v>
      </c>
      <c r="VIH19" s="200"/>
      <c r="VII19" s="200"/>
      <c r="VIJ19" s="200"/>
      <c r="VIK19" s="200"/>
      <c r="VIL19" s="200"/>
      <c r="VIM19" s="200"/>
      <c r="VIN19" s="201"/>
      <c r="VIO19" s="199" t="s">
        <v>7</v>
      </c>
      <c r="VIP19" s="200"/>
      <c r="VIQ19" s="200"/>
      <c r="VIR19" s="200"/>
      <c r="VIS19" s="200"/>
      <c r="VIT19" s="200"/>
      <c r="VIU19" s="200"/>
      <c r="VIV19" s="201"/>
      <c r="VIW19" s="199" t="s">
        <v>7</v>
      </c>
      <c r="VIX19" s="200"/>
      <c r="VIY19" s="200"/>
      <c r="VIZ19" s="200"/>
      <c r="VJA19" s="200"/>
      <c r="VJB19" s="200"/>
      <c r="VJC19" s="200"/>
      <c r="VJD19" s="201"/>
      <c r="VJE19" s="199" t="s">
        <v>7</v>
      </c>
      <c r="VJF19" s="200"/>
      <c r="VJG19" s="200"/>
      <c r="VJH19" s="200"/>
      <c r="VJI19" s="200"/>
      <c r="VJJ19" s="200"/>
      <c r="VJK19" s="200"/>
      <c r="VJL19" s="201"/>
      <c r="VJM19" s="199" t="s">
        <v>7</v>
      </c>
      <c r="VJN19" s="200"/>
      <c r="VJO19" s="200"/>
      <c r="VJP19" s="200"/>
      <c r="VJQ19" s="200"/>
      <c r="VJR19" s="200"/>
      <c r="VJS19" s="200"/>
      <c r="VJT19" s="201"/>
      <c r="VJU19" s="199" t="s">
        <v>7</v>
      </c>
      <c r="VJV19" s="200"/>
      <c r="VJW19" s="200"/>
      <c r="VJX19" s="200"/>
      <c r="VJY19" s="200"/>
      <c r="VJZ19" s="200"/>
      <c r="VKA19" s="200"/>
      <c r="VKB19" s="201"/>
      <c r="VKC19" s="199" t="s">
        <v>7</v>
      </c>
      <c r="VKD19" s="200"/>
      <c r="VKE19" s="200"/>
      <c r="VKF19" s="200"/>
      <c r="VKG19" s="200"/>
      <c r="VKH19" s="200"/>
      <c r="VKI19" s="200"/>
      <c r="VKJ19" s="201"/>
      <c r="VKK19" s="199" t="s">
        <v>7</v>
      </c>
      <c r="VKL19" s="200"/>
      <c r="VKM19" s="200"/>
      <c r="VKN19" s="200"/>
      <c r="VKO19" s="200"/>
      <c r="VKP19" s="200"/>
      <c r="VKQ19" s="200"/>
      <c r="VKR19" s="201"/>
      <c r="VKS19" s="199" t="s">
        <v>7</v>
      </c>
      <c r="VKT19" s="200"/>
      <c r="VKU19" s="200"/>
      <c r="VKV19" s="200"/>
      <c r="VKW19" s="200"/>
      <c r="VKX19" s="200"/>
      <c r="VKY19" s="200"/>
      <c r="VKZ19" s="201"/>
      <c r="VLA19" s="199" t="s">
        <v>7</v>
      </c>
      <c r="VLB19" s="200"/>
      <c r="VLC19" s="200"/>
      <c r="VLD19" s="200"/>
      <c r="VLE19" s="200"/>
      <c r="VLF19" s="200"/>
      <c r="VLG19" s="200"/>
      <c r="VLH19" s="201"/>
      <c r="VLI19" s="199" t="s">
        <v>7</v>
      </c>
      <c r="VLJ19" s="200"/>
      <c r="VLK19" s="200"/>
      <c r="VLL19" s="200"/>
      <c r="VLM19" s="200"/>
      <c r="VLN19" s="200"/>
      <c r="VLO19" s="200"/>
      <c r="VLP19" s="201"/>
      <c r="VLQ19" s="199" t="s">
        <v>7</v>
      </c>
      <c r="VLR19" s="200"/>
      <c r="VLS19" s="200"/>
      <c r="VLT19" s="200"/>
      <c r="VLU19" s="200"/>
      <c r="VLV19" s="200"/>
      <c r="VLW19" s="200"/>
      <c r="VLX19" s="201"/>
      <c r="VLY19" s="199" t="s">
        <v>7</v>
      </c>
      <c r="VLZ19" s="200"/>
      <c r="VMA19" s="200"/>
      <c r="VMB19" s="200"/>
      <c r="VMC19" s="200"/>
      <c r="VMD19" s="200"/>
      <c r="VME19" s="200"/>
      <c r="VMF19" s="201"/>
      <c r="VMG19" s="199" t="s">
        <v>7</v>
      </c>
      <c r="VMH19" s="200"/>
      <c r="VMI19" s="200"/>
      <c r="VMJ19" s="200"/>
      <c r="VMK19" s="200"/>
      <c r="VML19" s="200"/>
      <c r="VMM19" s="200"/>
      <c r="VMN19" s="201"/>
      <c r="VMO19" s="199" t="s">
        <v>7</v>
      </c>
      <c r="VMP19" s="200"/>
      <c r="VMQ19" s="200"/>
      <c r="VMR19" s="200"/>
      <c r="VMS19" s="200"/>
      <c r="VMT19" s="200"/>
      <c r="VMU19" s="200"/>
      <c r="VMV19" s="201"/>
      <c r="VMW19" s="199" t="s">
        <v>7</v>
      </c>
      <c r="VMX19" s="200"/>
      <c r="VMY19" s="200"/>
      <c r="VMZ19" s="200"/>
      <c r="VNA19" s="200"/>
      <c r="VNB19" s="200"/>
      <c r="VNC19" s="200"/>
      <c r="VND19" s="201"/>
      <c r="VNE19" s="199" t="s">
        <v>7</v>
      </c>
      <c r="VNF19" s="200"/>
      <c r="VNG19" s="200"/>
      <c r="VNH19" s="200"/>
      <c r="VNI19" s="200"/>
      <c r="VNJ19" s="200"/>
      <c r="VNK19" s="200"/>
      <c r="VNL19" s="201"/>
      <c r="VNM19" s="199" t="s">
        <v>7</v>
      </c>
      <c r="VNN19" s="200"/>
      <c r="VNO19" s="200"/>
      <c r="VNP19" s="200"/>
      <c r="VNQ19" s="200"/>
      <c r="VNR19" s="200"/>
      <c r="VNS19" s="200"/>
      <c r="VNT19" s="201"/>
      <c r="VNU19" s="199" t="s">
        <v>7</v>
      </c>
      <c r="VNV19" s="200"/>
      <c r="VNW19" s="200"/>
      <c r="VNX19" s="200"/>
      <c r="VNY19" s="200"/>
      <c r="VNZ19" s="200"/>
      <c r="VOA19" s="200"/>
      <c r="VOB19" s="201"/>
      <c r="VOC19" s="199" t="s">
        <v>7</v>
      </c>
      <c r="VOD19" s="200"/>
      <c r="VOE19" s="200"/>
      <c r="VOF19" s="200"/>
      <c r="VOG19" s="200"/>
      <c r="VOH19" s="200"/>
      <c r="VOI19" s="200"/>
      <c r="VOJ19" s="201"/>
      <c r="VOK19" s="199" t="s">
        <v>7</v>
      </c>
      <c r="VOL19" s="200"/>
      <c r="VOM19" s="200"/>
      <c r="VON19" s="200"/>
      <c r="VOO19" s="200"/>
      <c r="VOP19" s="200"/>
      <c r="VOQ19" s="200"/>
      <c r="VOR19" s="201"/>
      <c r="VOS19" s="199" t="s">
        <v>7</v>
      </c>
      <c r="VOT19" s="200"/>
      <c r="VOU19" s="200"/>
      <c r="VOV19" s="200"/>
      <c r="VOW19" s="200"/>
      <c r="VOX19" s="200"/>
      <c r="VOY19" s="200"/>
      <c r="VOZ19" s="201"/>
      <c r="VPA19" s="199" t="s">
        <v>7</v>
      </c>
      <c r="VPB19" s="200"/>
      <c r="VPC19" s="200"/>
      <c r="VPD19" s="200"/>
      <c r="VPE19" s="200"/>
      <c r="VPF19" s="200"/>
      <c r="VPG19" s="200"/>
      <c r="VPH19" s="201"/>
      <c r="VPI19" s="199" t="s">
        <v>7</v>
      </c>
      <c r="VPJ19" s="200"/>
      <c r="VPK19" s="200"/>
      <c r="VPL19" s="200"/>
      <c r="VPM19" s="200"/>
      <c r="VPN19" s="200"/>
      <c r="VPO19" s="200"/>
      <c r="VPP19" s="201"/>
      <c r="VPQ19" s="199" t="s">
        <v>7</v>
      </c>
      <c r="VPR19" s="200"/>
      <c r="VPS19" s="200"/>
      <c r="VPT19" s="200"/>
      <c r="VPU19" s="200"/>
      <c r="VPV19" s="200"/>
      <c r="VPW19" s="200"/>
      <c r="VPX19" s="201"/>
      <c r="VPY19" s="199" t="s">
        <v>7</v>
      </c>
      <c r="VPZ19" s="200"/>
      <c r="VQA19" s="200"/>
      <c r="VQB19" s="200"/>
      <c r="VQC19" s="200"/>
      <c r="VQD19" s="200"/>
      <c r="VQE19" s="200"/>
      <c r="VQF19" s="201"/>
      <c r="VQG19" s="199" t="s">
        <v>7</v>
      </c>
      <c r="VQH19" s="200"/>
      <c r="VQI19" s="200"/>
      <c r="VQJ19" s="200"/>
      <c r="VQK19" s="200"/>
      <c r="VQL19" s="200"/>
      <c r="VQM19" s="200"/>
      <c r="VQN19" s="201"/>
      <c r="VQO19" s="199" t="s">
        <v>7</v>
      </c>
      <c r="VQP19" s="200"/>
      <c r="VQQ19" s="200"/>
      <c r="VQR19" s="200"/>
      <c r="VQS19" s="200"/>
      <c r="VQT19" s="200"/>
      <c r="VQU19" s="200"/>
      <c r="VQV19" s="201"/>
      <c r="VQW19" s="199" t="s">
        <v>7</v>
      </c>
      <c r="VQX19" s="200"/>
      <c r="VQY19" s="200"/>
      <c r="VQZ19" s="200"/>
      <c r="VRA19" s="200"/>
      <c r="VRB19" s="200"/>
      <c r="VRC19" s="200"/>
      <c r="VRD19" s="201"/>
      <c r="VRE19" s="199" t="s">
        <v>7</v>
      </c>
      <c r="VRF19" s="200"/>
      <c r="VRG19" s="200"/>
      <c r="VRH19" s="200"/>
      <c r="VRI19" s="200"/>
      <c r="VRJ19" s="200"/>
      <c r="VRK19" s="200"/>
      <c r="VRL19" s="201"/>
      <c r="VRM19" s="199" t="s">
        <v>7</v>
      </c>
      <c r="VRN19" s="200"/>
      <c r="VRO19" s="200"/>
      <c r="VRP19" s="200"/>
      <c r="VRQ19" s="200"/>
      <c r="VRR19" s="200"/>
      <c r="VRS19" s="200"/>
      <c r="VRT19" s="201"/>
      <c r="VRU19" s="199" t="s">
        <v>7</v>
      </c>
      <c r="VRV19" s="200"/>
      <c r="VRW19" s="200"/>
      <c r="VRX19" s="200"/>
      <c r="VRY19" s="200"/>
      <c r="VRZ19" s="200"/>
      <c r="VSA19" s="200"/>
      <c r="VSB19" s="201"/>
      <c r="VSC19" s="199" t="s">
        <v>7</v>
      </c>
      <c r="VSD19" s="200"/>
      <c r="VSE19" s="200"/>
      <c r="VSF19" s="200"/>
      <c r="VSG19" s="200"/>
      <c r="VSH19" s="200"/>
      <c r="VSI19" s="200"/>
      <c r="VSJ19" s="201"/>
      <c r="VSK19" s="199" t="s">
        <v>7</v>
      </c>
      <c r="VSL19" s="200"/>
      <c r="VSM19" s="200"/>
      <c r="VSN19" s="200"/>
      <c r="VSO19" s="200"/>
      <c r="VSP19" s="200"/>
      <c r="VSQ19" s="200"/>
      <c r="VSR19" s="201"/>
      <c r="VSS19" s="199" t="s">
        <v>7</v>
      </c>
      <c r="VST19" s="200"/>
      <c r="VSU19" s="200"/>
      <c r="VSV19" s="200"/>
      <c r="VSW19" s="200"/>
      <c r="VSX19" s="200"/>
      <c r="VSY19" s="200"/>
      <c r="VSZ19" s="201"/>
      <c r="VTA19" s="199" t="s">
        <v>7</v>
      </c>
      <c r="VTB19" s="200"/>
      <c r="VTC19" s="200"/>
      <c r="VTD19" s="200"/>
      <c r="VTE19" s="200"/>
      <c r="VTF19" s="200"/>
      <c r="VTG19" s="200"/>
      <c r="VTH19" s="201"/>
      <c r="VTI19" s="199" t="s">
        <v>7</v>
      </c>
      <c r="VTJ19" s="200"/>
      <c r="VTK19" s="200"/>
      <c r="VTL19" s="200"/>
      <c r="VTM19" s="200"/>
      <c r="VTN19" s="200"/>
      <c r="VTO19" s="200"/>
      <c r="VTP19" s="201"/>
      <c r="VTQ19" s="199" t="s">
        <v>7</v>
      </c>
      <c r="VTR19" s="200"/>
      <c r="VTS19" s="200"/>
      <c r="VTT19" s="200"/>
      <c r="VTU19" s="200"/>
      <c r="VTV19" s="200"/>
      <c r="VTW19" s="200"/>
      <c r="VTX19" s="201"/>
      <c r="VTY19" s="199" t="s">
        <v>7</v>
      </c>
      <c r="VTZ19" s="200"/>
      <c r="VUA19" s="200"/>
      <c r="VUB19" s="200"/>
      <c r="VUC19" s="200"/>
      <c r="VUD19" s="200"/>
      <c r="VUE19" s="200"/>
      <c r="VUF19" s="201"/>
      <c r="VUG19" s="199" t="s">
        <v>7</v>
      </c>
      <c r="VUH19" s="200"/>
      <c r="VUI19" s="200"/>
      <c r="VUJ19" s="200"/>
      <c r="VUK19" s="200"/>
      <c r="VUL19" s="200"/>
      <c r="VUM19" s="200"/>
      <c r="VUN19" s="201"/>
      <c r="VUO19" s="199" t="s">
        <v>7</v>
      </c>
      <c r="VUP19" s="200"/>
      <c r="VUQ19" s="200"/>
      <c r="VUR19" s="200"/>
      <c r="VUS19" s="200"/>
      <c r="VUT19" s="200"/>
      <c r="VUU19" s="200"/>
      <c r="VUV19" s="201"/>
      <c r="VUW19" s="199" t="s">
        <v>7</v>
      </c>
      <c r="VUX19" s="200"/>
      <c r="VUY19" s="200"/>
      <c r="VUZ19" s="200"/>
      <c r="VVA19" s="200"/>
      <c r="VVB19" s="200"/>
      <c r="VVC19" s="200"/>
      <c r="VVD19" s="201"/>
      <c r="VVE19" s="199" t="s">
        <v>7</v>
      </c>
      <c r="VVF19" s="200"/>
      <c r="VVG19" s="200"/>
      <c r="VVH19" s="200"/>
      <c r="VVI19" s="200"/>
      <c r="VVJ19" s="200"/>
      <c r="VVK19" s="200"/>
      <c r="VVL19" s="201"/>
      <c r="VVM19" s="199" t="s">
        <v>7</v>
      </c>
      <c r="VVN19" s="200"/>
      <c r="VVO19" s="200"/>
      <c r="VVP19" s="200"/>
      <c r="VVQ19" s="200"/>
      <c r="VVR19" s="200"/>
      <c r="VVS19" s="200"/>
      <c r="VVT19" s="201"/>
      <c r="VVU19" s="199" t="s">
        <v>7</v>
      </c>
      <c r="VVV19" s="200"/>
      <c r="VVW19" s="200"/>
      <c r="VVX19" s="200"/>
      <c r="VVY19" s="200"/>
      <c r="VVZ19" s="200"/>
      <c r="VWA19" s="200"/>
      <c r="VWB19" s="201"/>
      <c r="VWC19" s="199" t="s">
        <v>7</v>
      </c>
      <c r="VWD19" s="200"/>
      <c r="VWE19" s="200"/>
      <c r="VWF19" s="200"/>
      <c r="VWG19" s="200"/>
      <c r="VWH19" s="200"/>
      <c r="VWI19" s="200"/>
      <c r="VWJ19" s="201"/>
      <c r="VWK19" s="199" t="s">
        <v>7</v>
      </c>
      <c r="VWL19" s="200"/>
      <c r="VWM19" s="200"/>
      <c r="VWN19" s="200"/>
      <c r="VWO19" s="200"/>
      <c r="VWP19" s="200"/>
      <c r="VWQ19" s="200"/>
      <c r="VWR19" s="201"/>
      <c r="VWS19" s="199" t="s">
        <v>7</v>
      </c>
      <c r="VWT19" s="200"/>
      <c r="VWU19" s="200"/>
      <c r="VWV19" s="200"/>
      <c r="VWW19" s="200"/>
      <c r="VWX19" s="200"/>
      <c r="VWY19" s="200"/>
      <c r="VWZ19" s="201"/>
      <c r="VXA19" s="199" t="s">
        <v>7</v>
      </c>
      <c r="VXB19" s="200"/>
      <c r="VXC19" s="200"/>
      <c r="VXD19" s="200"/>
      <c r="VXE19" s="200"/>
      <c r="VXF19" s="200"/>
      <c r="VXG19" s="200"/>
      <c r="VXH19" s="201"/>
      <c r="VXI19" s="199" t="s">
        <v>7</v>
      </c>
      <c r="VXJ19" s="200"/>
      <c r="VXK19" s="200"/>
      <c r="VXL19" s="200"/>
      <c r="VXM19" s="200"/>
      <c r="VXN19" s="200"/>
      <c r="VXO19" s="200"/>
      <c r="VXP19" s="201"/>
      <c r="VXQ19" s="199" t="s">
        <v>7</v>
      </c>
      <c r="VXR19" s="200"/>
      <c r="VXS19" s="200"/>
      <c r="VXT19" s="200"/>
      <c r="VXU19" s="200"/>
      <c r="VXV19" s="200"/>
      <c r="VXW19" s="200"/>
      <c r="VXX19" s="201"/>
      <c r="VXY19" s="199" t="s">
        <v>7</v>
      </c>
      <c r="VXZ19" s="200"/>
      <c r="VYA19" s="200"/>
      <c r="VYB19" s="200"/>
      <c r="VYC19" s="200"/>
      <c r="VYD19" s="200"/>
      <c r="VYE19" s="200"/>
      <c r="VYF19" s="201"/>
      <c r="VYG19" s="199" t="s">
        <v>7</v>
      </c>
      <c r="VYH19" s="200"/>
      <c r="VYI19" s="200"/>
      <c r="VYJ19" s="200"/>
      <c r="VYK19" s="200"/>
      <c r="VYL19" s="200"/>
      <c r="VYM19" s="200"/>
      <c r="VYN19" s="201"/>
      <c r="VYO19" s="199" t="s">
        <v>7</v>
      </c>
      <c r="VYP19" s="200"/>
      <c r="VYQ19" s="200"/>
      <c r="VYR19" s="200"/>
      <c r="VYS19" s="200"/>
      <c r="VYT19" s="200"/>
      <c r="VYU19" s="200"/>
      <c r="VYV19" s="201"/>
      <c r="VYW19" s="199" t="s">
        <v>7</v>
      </c>
      <c r="VYX19" s="200"/>
      <c r="VYY19" s="200"/>
      <c r="VYZ19" s="200"/>
      <c r="VZA19" s="200"/>
      <c r="VZB19" s="200"/>
      <c r="VZC19" s="200"/>
      <c r="VZD19" s="201"/>
      <c r="VZE19" s="199" t="s">
        <v>7</v>
      </c>
      <c r="VZF19" s="200"/>
      <c r="VZG19" s="200"/>
      <c r="VZH19" s="200"/>
      <c r="VZI19" s="200"/>
      <c r="VZJ19" s="200"/>
      <c r="VZK19" s="200"/>
      <c r="VZL19" s="201"/>
      <c r="VZM19" s="199" t="s">
        <v>7</v>
      </c>
      <c r="VZN19" s="200"/>
      <c r="VZO19" s="200"/>
      <c r="VZP19" s="200"/>
      <c r="VZQ19" s="200"/>
      <c r="VZR19" s="200"/>
      <c r="VZS19" s="200"/>
      <c r="VZT19" s="201"/>
      <c r="VZU19" s="199" t="s">
        <v>7</v>
      </c>
      <c r="VZV19" s="200"/>
      <c r="VZW19" s="200"/>
      <c r="VZX19" s="200"/>
      <c r="VZY19" s="200"/>
      <c r="VZZ19" s="200"/>
      <c r="WAA19" s="200"/>
      <c r="WAB19" s="201"/>
      <c r="WAC19" s="199" t="s">
        <v>7</v>
      </c>
      <c r="WAD19" s="200"/>
      <c r="WAE19" s="200"/>
      <c r="WAF19" s="200"/>
      <c r="WAG19" s="200"/>
      <c r="WAH19" s="200"/>
      <c r="WAI19" s="200"/>
      <c r="WAJ19" s="201"/>
      <c r="WAK19" s="199" t="s">
        <v>7</v>
      </c>
      <c r="WAL19" s="200"/>
      <c r="WAM19" s="200"/>
      <c r="WAN19" s="200"/>
      <c r="WAO19" s="200"/>
      <c r="WAP19" s="200"/>
      <c r="WAQ19" s="200"/>
      <c r="WAR19" s="201"/>
      <c r="WAS19" s="199" t="s">
        <v>7</v>
      </c>
      <c r="WAT19" s="200"/>
      <c r="WAU19" s="200"/>
      <c r="WAV19" s="200"/>
      <c r="WAW19" s="200"/>
      <c r="WAX19" s="200"/>
      <c r="WAY19" s="200"/>
      <c r="WAZ19" s="201"/>
      <c r="WBA19" s="199" t="s">
        <v>7</v>
      </c>
      <c r="WBB19" s="200"/>
      <c r="WBC19" s="200"/>
      <c r="WBD19" s="200"/>
      <c r="WBE19" s="200"/>
      <c r="WBF19" s="200"/>
      <c r="WBG19" s="200"/>
      <c r="WBH19" s="201"/>
      <c r="WBI19" s="199" t="s">
        <v>7</v>
      </c>
      <c r="WBJ19" s="200"/>
      <c r="WBK19" s="200"/>
      <c r="WBL19" s="200"/>
      <c r="WBM19" s="200"/>
      <c r="WBN19" s="200"/>
      <c r="WBO19" s="200"/>
      <c r="WBP19" s="201"/>
      <c r="WBQ19" s="199" t="s">
        <v>7</v>
      </c>
      <c r="WBR19" s="200"/>
      <c r="WBS19" s="200"/>
      <c r="WBT19" s="200"/>
      <c r="WBU19" s="200"/>
      <c r="WBV19" s="200"/>
      <c r="WBW19" s="200"/>
      <c r="WBX19" s="201"/>
      <c r="WBY19" s="199" t="s">
        <v>7</v>
      </c>
      <c r="WBZ19" s="200"/>
      <c r="WCA19" s="200"/>
      <c r="WCB19" s="200"/>
      <c r="WCC19" s="200"/>
      <c r="WCD19" s="200"/>
      <c r="WCE19" s="200"/>
      <c r="WCF19" s="201"/>
      <c r="WCG19" s="199" t="s">
        <v>7</v>
      </c>
      <c r="WCH19" s="200"/>
      <c r="WCI19" s="200"/>
      <c r="WCJ19" s="200"/>
      <c r="WCK19" s="200"/>
      <c r="WCL19" s="200"/>
      <c r="WCM19" s="200"/>
      <c r="WCN19" s="201"/>
      <c r="WCO19" s="199" t="s">
        <v>7</v>
      </c>
      <c r="WCP19" s="200"/>
      <c r="WCQ19" s="200"/>
      <c r="WCR19" s="200"/>
      <c r="WCS19" s="200"/>
      <c r="WCT19" s="200"/>
      <c r="WCU19" s="200"/>
      <c r="WCV19" s="201"/>
      <c r="WCW19" s="199" t="s">
        <v>7</v>
      </c>
      <c r="WCX19" s="200"/>
      <c r="WCY19" s="200"/>
      <c r="WCZ19" s="200"/>
      <c r="WDA19" s="200"/>
      <c r="WDB19" s="200"/>
      <c r="WDC19" s="200"/>
      <c r="WDD19" s="201"/>
      <c r="WDE19" s="199" t="s">
        <v>7</v>
      </c>
      <c r="WDF19" s="200"/>
      <c r="WDG19" s="200"/>
      <c r="WDH19" s="200"/>
      <c r="WDI19" s="200"/>
      <c r="WDJ19" s="200"/>
      <c r="WDK19" s="200"/>
      <c r="WDL19" s="201"/>
      <c r="WDM19" s="199" t="s">
        <v>7</v>
      </c>
      <c r="WDN19" s="200"/>
      <c r="WDO19" s="200"/>
      <c r="WDP19" s="200"/>
      <c r="WDQ19" s="200"/>
      <c r="WDR19" s="200"/>
      <c r="WDS19" s="200"/>
      <c r="WDT19" s="201"/>
      <c r="WDU19" s="199" t="s">
        <v>7</v>
      </c>
      <c r="WDV19" s="200"/>
      <c r="WDW19" s="200"/>
      <c r="WDX19" s="200"/>
      <c r="WDY19" s="200"/>
      <c r="WDZ19" s="200"/>
      <c r="WEA19" s="200"/>
      <c r="WEB19" s="201"/>
      <c r="WEC19" s="199" t="s">
        <v>7</v>
      </c>
      <c r="WED19" s="200"/>
      <c r="WEE19" s="200"/>
      <c r="WEF19" s="200"/>
      <c r="WEG19" s="200"/>
      <c r="WEH19" s="200"/>
      <c r="WEI19" s="200"/>
      <c r="WEJ19" s="201"/>
      <c r="WEK19" s="199" t="s">
        <v>7</v>
      </c>
      <c r="WEL19" s="200"/>
      <c r="WEM19" s="200"/>
      <c r="WEN19" s="200"/>
      <c r="WEO19" s="200"/>
      <c r="WEP19" s="200"/>
      <c r="WEQ19" s="200"/>
      <c r="WER19" s="201"/>
      <c r="WES19" s="199" t="s">
        <v>7</v>
      </c>
      <c r="WET19" s="200"/>
      <c r="WEU19" s="200"/>
      <c r="WEV19" s="200"/>
      <c r="WEW19" s="200"/>
      <c r="WEX19" s="200"/>
      <c r="WEY19" s="200"/>
      <c r="WEZ19" s="201"/>
      <c r="WFA19" s="199" t="s">
        <v>7</v>
      </c>
      <c r="WFB19" s="200"/>
      <c r="WFC19" s="200"/>
      <c r="WFD19" s="200"/>
      <c r="WFE19" s="200"/>
      <c r="WFF19" s="200"/>
      <c r="WFG19" s="200"/>
      <c r="WFH19" s="201"/>
      <c r="WFI19" s="199" t="s">
        <v>7</v>
      </c>
      <c r="WFJ19" s="200"/>
      <c r="WFK19" s="200"/>
      <c r="WFL19" s="200"/>
      <c r="WFM19" s="200"/>
      <c r="WFN19" s="200"/>
      <c r="WFO19" s="200"/>
      <c r="WFP19" s="201"/>
      <c r="WFQ19" s="199" t="s">
        <v>7</v>
      </c>
      <c r="WFR19" s="200"/>
      <c r="WFS19" s="200"/>
      <c r="WFT19" s="200"/>
      <c r="WFU19" s="200"/>
      <c r="WFV19" s="200"/>
      <c r="WFW19" s="200"/>
      <c r="WFX19" s="201"/>
      <c r="WFY19" s="199" t="s">
        <v>7</v>
      </c>
      <c r="WFZ19" s="200"/>
      <c r="WGA19" s="200"/>
      <c r="WGB19" s="200"/>
      <c r="WGC19" s="200"/>
      <c r="WGD19" s="200"/>
      <c r="WGE19" s="200"/>
      <c r="WGF19" s="201"/>
      <c r="WGG19" s="199" t="s">
        <v>7</v>
      </c>
      <c r="WGH19" s="200"/>
      <c r="WGI19" s="200"/>
      <c r="WGJ19" s="200"/>
      <c r="WGK19" s="200"/>
      <c r="WGL19" s="200"/>
      <c r="WGM19" s="200"/>
      <c r="WGN19" s="201"/>
      <c r="WGO19" s="199" t="s">
        <v>7</v>
      </c>
      <c r="WGP19" s="200"/>
      <c r="WGQ19" s="200"/>
      <c r="WGR19" s="200"/>
      <c r="WGS19" s="200"/>
      <c r="WGT19" s="200"/>
      <c r="WGU19" s="200"/>
      <c r="WGV19" s="201"/>
      <c r="WGW19" s="199" t="s">
        <v>7</v>
      </c>
      <c r="WGX19" s="200"/>
      <c r="WGY19" s="200"/>
      <c r="WGZ19" s="200"/>
      <c r="WHA19" s="200"/>
      <c r="WHB19" s="200"/>
      <c r="WHC19" s="200"/>
      <c r="WHD19" s="201"/>
      <c r="WHE19" s="199" t="s">
        <v>7</v>
      </c>
      <c r="WHF19" s="200"/>
      <c r="WHG19" s="200"/>
      <c r="WHH19" s="200"/>
      <c r="WHI19" s="200"/>
      <c r="WHJ19" s="200"/>
      <c r="WHK19" s="200"/>
      <c r="WHL19" s="201"/>
      <c r="WHM19" s="199" t="s">
        <v>7</v>
      </c>
      <c r="WHN19" s="200"/>
      <c r="WHO19" s="200"/>
      <c r="WHP19" s="200"/>
      <c r="WHQ19" s="200"/>
      <c r="WHR19" s="200"/>
      <c r="WHS19" s="200"/>
      <c r="WHT19" s="201"/>
      <c r="WHU19" s="199" t="s">
        <v>7</v>
      </c>
      <c r="WHV19" s="200"/>
      <c r="WHW19" s="200"/>
      <c r="WHX19" s="200"/>
      <c r="WHY19" s="200"/>
      <c r="WHZ19" s="200"/>
      <c r="WIA19" s="200"/>
      <c r="WIB19" s="201"/>
      <c r="WIC19" s="199" t="s">
        <v>7</v>
      </c>
      <c r="WID19" s="200"/>
      <c r="WIE19" s="200"/>
      <c r="WIF19" s="200"/>
      <c r="WIG19" s="200"/>
      <c r="WIH19" s="200"/>
      <c r="WII19" s="200"/>
      <c r="WIJ19" s="201"/>
      <c r="WIK19" s="199" t="s">
        <v>7</v>
      </c>
      <c r="WIL19" s="200"/>
      <c r="WIM19" s="200"/>
      <c r="WIN19" s="200"/>
      <c r="WIO19" s="200"/>
      <c r="WIP19" s="200"/>
      <c r="WIQ19" s="200"/>
      <c r="WIR19" s="201"/>
      <c r="WIS19" s="199" t="s">
        <v>7</v>
      </c>
      <c r="WIT19" s="200"/>
      <c r="WIU19" s="200"/>
      <c r="WIV19" s="200"/>
      <c r="WIW19" s="200"/>
      <c r="WIX19" s="200"/>
      <c r="WIY19" s="200"/>
      <c r="WIZ19" s="201"/>
      <c r="WJA19" s="199" t="s">
        <v>7</v>
      </c>
      <c r="WJB19" s="200"/>
      <c r="WJC19" s="200"/>
      <c r="WJD19" s="200"/>
      <c r="WJE19" s="200"/>
      <c r="WJF19" s="200"/>
      <c r="WJG19" s="200"/>
      <c r="WJH19" s="201"/>
      <c r="WJI19" s="199" t="s">
        <v>7</v>
      </c>
      <c r="WJJ19" s="200"/>
      <c r="WJK19" s="200"/>
      <c r="WJL19" s="200"/>
      <c r="WJM19" s="200"/>
      <c r="WJN19" s="200"/>
      <c r="WJO19" s="200"/>
      <c r="WJP19" s="201"/>
      <c r="WJQ19" s="199" t="s">
        <v>7</v>
      </c>
      <c r="WJR19" s="200"/>
      <c r="WJS19" s="200"/>
      <c r="WJT19" s="200"/>
      <c r="WJU19" s="200"/>
      <c r="WJV19" s="200"/>
      <c r="WJW19" s="200"/>
      <c r="WJX19" s="201"/>
      <c r="WJY19" s="199" t="s">
        <v>7</v>
      </c>
      <c r="WJZ19" s="200"/>
      <c r="WKA19" s="200"/>
      <c r="WKB19" s="200"/>
      <c r="WKC19" s="200"/>
      <c r="WKD19" s="200"/>
      <c r="WKE19" s="200"/>
      <c r="WKF19" s="201"/>
      <c r="WKG19" s="199" t="s">
        <v>7</v>
      </c>
      <c r="WKH19" s="200"/>
      <c r="WKI19" s="200"/>
      <c r="WKJ19" s="200"/>
      <c r="WKK19" s="200"/>
      <c r="WKL19" s="200"/>
      <c r="WKM19" s="200"/>
      <c r="WKN19" s="201"/>
      <c r="WKO19" s="199" t="s">
        <v>7</v>
      </c>
      <c r="WKP19" s="200"/>
      <c r="WKQ19" s="200"/>
      <c r="WKR19" s="200"/>
      <c r="WKS19" s="200"/>
      <c r="WKT19" s="200"/>
      <c r="WKU19" s="200"/>
      <c r="WKV19" s="201"/>
      <c r="WKW19" s="199" t="s">
        <v>7</v>
      </c>
      <c r="WKX19" s="200"/>
      <c r="WKY19" s="200"/>
      <c r="WKZ19" s="200"/>
      <c r="WLA19" s="200"/>
      <c r="WLB19" s="200"/>
      <c r="WLC19" s="200"/>
      <c r="WLD19" s="201"/>
      <c r="WLE19" s="199" t="s">
        <v>7</v>
      </c>
      <c r="WLF19" s="200"/>
      <c r="WLG19" s="200"/>
      <c r="WLH19" s="200"/>
      <c r="WLI19" s="200"/>
      <c r="WLJ19" s="200"/>
      <c r="WLK19" s="200"/>
      <c r="WLL19" s="201"/>
      <c r="WLM19" s="199" t="s">
        <v>7</v>
      </c>
      <c r="WLN19" s="200"/>
      <c r="WLO19" s="200"/>
      <c r="WLP19" s="200"/>
      <c r="WLQ19" s="200"/>
      <c r="WLR19" s="200"/>
      <c r="WLS19" s="200"/>
      <c r="WLT19" s="201"/>
      <c r="WLU19" s="199" t="s">
        <v>7</v>
      </c>
      <c r="WLV19" s="200"/>
      <c r="WLW19" s="200"/>
      <c r="WLX19" s="200"/>
      <c r="WLY19" s="200"/>
      <c r="WLZ19" s="200"/>
      <c r="WMA19" s="200"/>
      <c r="WMB19" s="201"/>
      <c r="WMC19" s="199" t="s">
        <v>7</v>
      </c>
      <c r="WMD19" s="200"/>
      <c r="WME19" s="200"/>
      <c r="WMF19" s="200"/>
      <c r="WMG19" s="200"/>
      <c r="WMH19" s="200"/>
      <c r="WMI19" s="200"/>
      <c r="WMJ19" s="201"/>
      <c r="WMK19" s="199" t="s">
        <v>7</v>
      </c>
      <c r="WML19" s="200"/>
      <c r="WMM19" s="200"/>
      <c r="WMN19" s="200"/>
      <c r="WMO19" s="200"/>
      <c r="WMP19" s="200"/>
      <c r="WMQ19" s="200"/>
      <c r="WMR19" s="201"/>
      <c r="WMS19" s="199" t="s">
        <v>7</v>
      </c>
      <c r="WMT19" s="200"/>
      <c r="WMU19" s="200"/>
      <c r="WMV19" s="200"/>
      <c r="WMW19" s="200"/>
      <c r="WMX19" s="200"/>
      <c r="WMY19" s="200"/>
      <c r="WMZ19" s="201"/>
      <c r="WNA19" s="199" t="s">
        <v>7</v>
      </c>
      <c r="WNB19" s="200"/>
      <c r="WNC19" s="200"/>
      <c r="WND19" s="200"/>
      <c r="WNE19" s="200"/>
      <c r="WNF19" s="200"/>
      <c r="WNG19" s="200"/>
      <c r="WNH19" s="201"/>
      <c r="WNI19" s="199" t="s">
        <v>7</v>
      </c>
      <c r="WNJ19" s="200"/>
      <c r="WNK19" s="200"/>
      <c r="WNL19" s="200"/>
      <c r="WNM19" s="200"/>
      <c r="WNN19" s="200"/>
      <c r="WNO19" s="200"/>
      <c r="WNP19" s="201"/>
      <c r="WNQ19" s="199" t="s">
        <v>7</v>
      </c>
      <c r="WNR19" s="200"/>
      <c r="WNS19" s="200"/>
      <c r="WNT19" s="200"/>
      <c r="WNU19" s="200"/>
      <c r="WNV19" s="200"/>
      <c r="WNW19" s="200"/>
      <c r="WNX19" s="201"/>
      <c r="WNY19" s="199" t="s">
        <v>7</v>
      </c>
      <c r="WNZ19" s="200"/>
      <c r="WOA19" s="200"/>
      <c r="WOB19" s="200"/>
      <c r="WOC19" s="200"/>
      <c r="WOD19" s="200"/>
      <c r="WOE19" s="200"/>
      <c r="WOF19" s="201"/>
      <c r="WOG19" s="199" t="s">
        <v>7</v>
      </c>
      <c r="WOH19" s="200"/>
      <c r="WOI19" s="200"/>
      <c r="WOJ19" s="200"/>
      <c r="WOK19" s="200"/>
      <c r="WOL19" s="200"/>
      <c r="WOM19" s="200"/>
      <c r="WON19" s="201"/>
      <c r="WOO19" s="199" t="s">
        <v>7</v>
      </c>
      <c r="WOP19" s="200"/>
      <c r="WOQ19" s="200"/>
      <c r="WOR19" s="200"/>
      <c r="WOS19" s="200"/>
      <c r="WOT19" s="200"/>
      <c r="WOU19" s="200"/>
      <c r="WOV19" s="201"/>
      <c r="WOW19" s="199" t="s">
        <v>7</v>
      </c>
      <c r="WOX19" s="200"/>
      <c r="WOY19" s="200"/>
      <c r="WOZ19" s="200"/>
      <c r="WPA19" s="200"/>
      <c r="WPB19" s="200"/>
      <c r="WPC19" s="200"/>
      <c r="WPD19" s="201"/>
      <c r="WPE19" s="199" t="s">
        <v>7</v>
      </c>
      <c r="WPF19" s="200"/>
      <c r="WPG19" s="200"/>
      <c r="WPH19" s="200"/>
      <c r="WPI19" s="200"/>
      <c r="WPJ19" s="200"/>
      <c r="WPK19" s="200"/>
      <c r="WPL19" s="201"/>
      <c r="WPM19" s="199" t="s">
        <v>7</v>
      </c>
      <c r="WPN19" s="200"/>
      <c r="WPO19" s="200"/>
      <c r="WPP19" s="200"/>
      <c r="WPQ19" s="200"/>
      <c r="WPR19" s="200"/>
      <c r="WPS19" s="200"/>
      <c r="WPT19" s="201"/>
      <c r="WPU19" s="199" t="s">
        <v>7</v>
      </c>
      <c r="WPV19" s="200"/>
      <c r="WPW19" s="200"/>
      <c r="WPX19" s="200"/>
      <c r="WPY19" s="200"/>
      <c r="WPZ19" s="200"/>
      <c r="WQA19" s="200"/>
      <c r="WQB19" s="201"/>
      <c r="WQC19" s="199" t="s">
        <v>7</v>
      </c>
      <c r="WQD19" s="200"/>
      <c r="WQE19" s="200"/>
      <c r="WQF19" s="200"/>
      <c r="WQG19" s="200"/>
      <c r="WQH19" s="200"/>
      <c r="WQI19" s="200"/>
      <c r="WQJ19" s="201"/>
      <c r="WQK19" s="199" t="s">
        <v>7</v>
      </c>
      <c r="WQL19" s="200"/>
      <c r="WQM19" s="200"/>
      <c r="WQN19" s="200"/>
      <c r="WQO19" s="200"/>
      <c r="WQP19" s="200"/>
      <c r="WQQ19" s="200"/>
      <c r="WQR19" s="201"/>
      <c r="WQS19" s="199" t="s">
        <v>7</v>
      </c>
      <c r="WQT19" s="200"/>
      <c r="WQU19" s="200"/>
      <c r="WQV19" s="200"/>
      <c r="WQW19" s="200"/>
      <c r="WQX19" s="200"/>
      <c r="WQY19" s="200"/>
      <c r="WQZ19" s="201"/>
      <c r="WRA19" s="199" t="s">
        <v>7</v>
      </c>
      <c r="WRB19" s="200"/>
      <c r="WRC19" s="200"/>
      <c r="WRD19" s="200"/>
      <c r="WRE19" s="200"/>
      <c r="WRF19" s="200"/>
      <c r="WRG19" s="200"/>
      <c r="WRH19" s="201"/>
      <c r="WRI19" s="199" t="s">
        <v>7</v>
      </c>
      <c r="WRJ19" s="200"/>
      <c r="WRK19" s="200"/>
      <c r="WRL19" s="200"/>
      <c r="WRM19" s="200"/>
      <c r="WRN19" s="200"/>
      <c r="WRO19" s="200"/>
      <c r="WRP19" s="201"/>
      <c r="WRQ19" s="199" t="s">
        <v>7</v>
      </c>
      <c r="WRR19" s="200"/>
      <c r="WRS19" s="200"/>
      <c r="WRT19" s="200"/>
      <c r="WRU19" s="200"/>
      <c r="WRV19" s="200"/>
      <c r="WRW19" s="200"/>
      <c r="WRX19" s="201"/>
      <c r="WRY19" s="199" t="s">
        <v>7</v>
      </c>
      <c r="WRZ19" s="200"/>
      <c r="WSA19" s="200"/>
      <c r="WSB19" s="200"/>
      <c r="WSC19" s="200"/>
      <c r="WSD19" s="200"/>
      <c r="WSE19" s="200"/>
      <c r="WSF19" s="201"/>
      <c r="WSG19" s="199" t="s">
        <v>7</v>
      </c>
      <c r="WSH19" s="200"/>
      <c r="WSI19" s="200"/>
      <c r="WSJ19" s="200"/>
      <c r="WSK19" s="200"/>
      <c r="WSL19" s="200"/>
      <c r="WSM19" s="200"/>
      <c r="WSN19" s="201"/>
      <c r="WSO19" s="199" t="s">
        <v>7</v>
      </c>
      <c r="WSP19" s="200"/>
      <c r="WSQ19" s="200"/>
      <c r="WSR19" s="200"/>
      <c r="WSS19" s="200"/>
      <c r="WST19" s="200"/>
      <c r="WSU19" s="200"/>
      <c r="WSV19" s="201"/>
      <c r="WSW19" s="199" t="s">
        <v>7</v>
      </c>
      <c r="WSX19" s="200"/>
      <c r="WSY19" s="200"/>
      <c r="WSZ19" s="200"/>
      <c r="WTA19" s="200"/>
      <c r="WTB19" s="200"/>
      <c r="WTC19" s="200"/>
      <c r="WTD19" s="201"/>
      <c r="WTE19" s="199" t="s">
        <v>7</v>
      </c>
      <c r="WTF19" s="200"/>
      <c r="WTG19" s="200"/>
      <c r="WTH19" s="200"/>
      <c r="WTI19" s="200"/>
      <c r="WTJ19" s="200"/>
      <c r="WTK19" s="200"/>
      <c r="WTL19" s="201"/>
      <c r="WTM19" s="199" t="s">
        <v>7</v>
      </c>
      <c r="WTN19" s="200"/>
      <c r="WTO19" s="200"/>
      <c r="WTP19" s="200"/>
      <c r="WTQ19" s="200"/>
      <c r="WTR19" s="200"/>
      <c r="WTS19" s="200"/>
      <c r="WTT19" s="201"/>
      <c r="WTU19" s="199" t="s">
        <v>7</v>
      </c>
      <c r="WTV19" s="200"/>
      <c r="WTW19" s="200"/>
      <c r="WTX19" s="200"/>
      <c r="WTY19" s="200"/>
      <c r="WTZ19" s="200"/>
      <c r="WUA19" s="200"/>
      <c r="WUB19" s="201"/>
      <c r="WUC19" s="199" t="s">
        <v>7</v>
      </c>
      <c r="WUD19" s="200"/>
      <c r="WUE19" s="200"/>
      <c r="WUF19" s="200"/>
      <c r="WUG19" s="200"/>
      <c r="WUH19" s="200"/>
      <c r="WUI19" s="200"/>
      <c r="WUJ19" s="201"/>
      <c r="WUK19" s="199" t="s">
        <v>7</v>
      </c>
      <c r="WUL19" s="200"/>
      <c r="WUM19" s="200"/>
      <c r="WUN19" s="200"/>
      <c r="WUO19" s="200"/>
      <c r="WUP19" s="200"/>
      <c r="WUQ19" s="200"/>
      <c r="WUR19" s="201"/>
      <c r="WUS19" s="199" t="s">
        <v>7</v>
      </c>
      <c r="WUT19" s="200"/>
      <c r="WUU19" s="200"/>
      <c r="WUV19" s="200"/>
      <c r="WUW19" s="200"/>
      <c r="WUX19" s="200"/>
      <c r="WUY19" s="200"/>
      <c r="WUZ19" s="201"/>
      <c r="WVA19" s="199" t="s">
        <v>7</v>
      </c>
      <c r="WVB19" s="200"/>
      <c r="WVC19" s="200"/>
      <c r="WVD19" s="200"/>
      <c r="WVE19" s="200"/>
      <c r="WVF19" s="200"/>
      <c r="WVG19" s="200"/>
      <c r="WVH19" s="201"/>
      <c r="WVI19" s="199" t="s">
        <v>7</v>
      </c>
      <c r="WVJ19" s="200"/>
      <c r="WVK19" s="200"/>
      <c r="WVL19" s="200"/>
      <c r="WVM19" s="200"/>
      <c r="WVN19" s="200"/>
      <c r="WVO19" s="200"/>
      <c r="WVP19" s="201"/>
      <c r="WVQ19" s="199" t="s">
        <v>7</v>
      </c>
      <c r="WVR19" s="200"/>
      <c r="WVS19" s="200"/>
      <c r="WVT19" s="200"/>
      <c r="WVU19" s="200"/>
      <c r="WVV19" s="200"/>
      <c r="WVW19" s="200"/>
      <c r="WVX19" s="201"/>
      <c r="WVY19" s="199" t="s">
        <v>7</v>
      </c>
      <c r="WVZ19" s="200"/>
      <c r="WWA19" s="200"/>
      <c r="WWB19" s="200"/>
      <c r="WWC19" s="200"/>
      <c r="WWD19" s="200"/>
      <c r="WWE19" s="200"/>
      <c r="WWF19" s="201"/>
      <c r="WWG19" s="199" t="s">
        <v>7</v>
      </c>
      <c r="WWH19" s="200"/>
      <c r="WWI19" s="200"/>
      <c r="WWJ19" s="200"/>
      <c r="WWK19" s="200"/>
      <c r="WWL19" s="200"/>
      <c r="WWM19" s="200"/>
      <c r="WWN19" s="201"/>
      <c r="WWO19" s="199" t="s">
        <v>7</v>
      </c>
      <c r="WWP19" s="200"/>
      <c r="WWQ19" s="200"/>
      <c r="WWR19" s="200"/>
      <c r="WWS19" s="200"/>
      <c r="WWT19" s="200"/>
      <c r="WWU19" s="200"/>
      <c r="WWV19" s="201"/>
      <c r="WWW19" s="199" t="s">
        <v>7</v>
      </c>
      <c r="WWX19" s="200"/>
      <c r="WWY19" s="200"/>
      <c r="WWZ19" s="200"/>
      <c r="WXA19" s="200"/>
      <c r="WXB19" s="200"/>
      <c r="WXC19" s="200"/>
      <c r="WXD19" s="201"/>
      <c r="WXE19" s="199" t="s">
        <v>7</v>
      </c>
      <c r="WXF19" s="200"/>
      <c r="WXG19" s="200"/>
      <c r="WXH19" s="200"/>
      <c r="WXI19" s="200"/>
      <c r="WXJ19" s="200"/>
      <c r="WXK19" s="200"/>
      <c r="WXL19" s="201"/>
      <c r="WXM19" s="199" t="s">
        <v>7</v>
      </c>
      <c r="WXN19" s="200"/>
      <c r="WXO19" s="200"/>
      <c r="WXP19" s="200"/>
      <c r="WXQ19" s="200"/>
      <c r="WXR19" s="200"/>
      <c r="WXS19" s="200"/>
      <c r="WXT19" s="201"/>
      <c r="WXU19" s="199" t="s">
        <v>7</v>
      </c>
      <c r="WXV19" s="200"/>
      <c r="WXW19" s="200"/>
      <c r="WXX19" s="200"/>
      <c r="WXY19" s="200"/>
      <c r="WXZ19" s="200"/>
      <c r="WYA19" s="200"/>
      <c r="WYB19" s="201"/>
      <c r="WYC19" s="199" t="s">
        <v>7</v>
      </c>
      <c r="WYD19" s="200"/>
      <c r="WYE19" s="200"/>
      <c r="WYF19" s="200"/>
      <c r="WYG19" s="200"/>
      <c r="WYH19" s="200"/>
      <c r="WYI19" s="200"/>
      <c r="WYJ19" s="201"/>
      <c r="WYK19" s="199" t="s">
        <v>7</v>
      </c>
      <c r="WYL19" s="200"/>
      <c r="WYM19" s="200"/>
      <c r="WYN19" s="200"/>
      <c r="WYO19" s="200"/>
      <c r="WYP19" s="200"/>
      <c r="WYQ19" s="200"/>
      <c r="WYR19" s="201"/>
      <c r="WYS19" s="199" t="s">
        <v>7</v>
      </c>
      <c r="WYT19" s="200"/>
      <c r="WYU19" s="200"/>
      <c r="WYV19" s="200"/>
      <c r="WYW19" s="200"/>
      <c r="WYX19" s="200"/>
      <c r="WYY19" s="200"/>
      <c r="WYZ19" s="201"/>
      <c r="WZA19" s="199" t="s">
        <v>7</v>
      </c>
      <c r="WZB19" s="200"/>
      <c r="WZC19" s="200"/>
      <c r="WZD19" s="200"/>
      <c r="WZE19" s="200"/>
      <c r="WZF19" s="200"/>
      <c r="WZG19" s="200"/>
      <c r="WZH19" s="201"/>
      <c r="WZI19" s="199" t="s">
        <v>7</v>
      </c>
      <c r="WZJ19" s="200"/>
      <c r="WZK19" s="200"/>
      <c r="WZL19" s="200"/>
      <c r="WZM19" s="200"/>
      <c r="WZN19" s="200"/>
      <c r="WZO19" s="200"/>
      <c r="WZP19" s="201"/>
      <c r="WZQ19" s="199" t="s">
        <v>7</v>
      </c>
      <c r="WZR19" s="200"/>
      <c r="WZS19" s="200"/>
      <c r="WZT19" s="200"/>
      <c r="WZU19" s="200"/>
      <c r="WZV19" s="200"/>
      <c r="WZW19" s="200"/>
      <c r="WZX19" s="201"/>
      <c r="WZY19" s="199" t="s">
        <v>7</v>
      </c>
      <c r="WZZ19" s="200"/>
      <c r="XAA19" s="200"/>
      <c r="XAB19" s="200"/>
      <c r="XAC19" s="200"/>
      <c r="XAD19" s="200"/>
      <c r="XAE19" s="200"/>
      <c r="XAF19" s="201"/>
      <c r="XAG19" s="199" t="s">
        <v>7</v>
      </c>
      <c r="XAH19" s="200"/>
      <c r="XAI19" s="200"/>
      <c r="XAJ19" s="200"/>
      <c r="XAK19" s="200"/>
      <c r="XAL19" s="200"/>
      <c r="XAM19" s="200"/>
      <c r="XAN19" s="201"/>
      <c r="XAO19" s="199" t="s">
        <v>7</v>
      </c>
      <c r="XAP19" s="200"/>
      <c r="XAQ19" s="200"/>
      <c r="XAR19" s="200"/>
      <c r="XAS19" s="200"/>
      <c r="XAT19" s="200"/>
      <c r="XAU19" s="200"/>
      <c r="XAV19" s="201"/>
      <c r="XAW19" s="199" t="s">
        <v>7</v>
      </c>
      <c r="XAX19" s="200"/>
      <c r="XAY19" s="200"/>
      <c r="XAZ19" s="200"/>
      <c r="XBA19" s="200"/>
      <c r="XBB19" s="200"/>
      <c r="XBC19" s="200"/>
      <c r="XBD19" s="201"/>
      <c r="XBE19" s="199" t="s">
        <v>7</v>
      </c>
      <c r="XBF19" s="200"/>
      <c r="XBG19" s="200"/>
      <c r="XBH19" s="200"/>
      <c r="XBI19" s="200"/>
      <c r="XBJ19" s="200"/>
      <c r="XBK19" s="200"/>
      <c r="XBL19" s="201"/>
      <c r="XBM19" s="199" t="s">
        <v>7</v>
      </c>
      <c r="XBN19" s="200"/>
      <c r="XBO19" s="200"/>
      <c r="XBP19" s="200"/>
      <c r="XBQ19" s="200"/>
      <c r="XBR19" s="200"/>
      <c r="XBS19" s="200"/>
      <c r="XBT19" s="201"/>
      <c r="XBU19" s="199" t="s">
        <v>7</v>
      </c>
      <c r="XBV19" s="200"/>
      <c r="XBW19" s="200"/>
      <c r="XBX19" s="200"/>
      <c r="XBY19" s="200"/>
      <c r="XBZ19" s="200"/>
      <c r="XCA19" s="200"/>
      <c r="XCB19" s="201"/>
      <c r="XCC19" s="199" t="s">
        <v>7</v>
      </c>
      <c r="XCD19" s="200"/>
      <c r="XCE19" s="200"/>
      <c r="XCF19" s="200"/>
      <c r="XCG19" s="200"/>
      <c r="XCH19" s="200"/>
      <c r="XCI19" s="200"/>
      <c r="XCJ19" s="201"/>
      <c r="XCK19" s="199" t="s">
        <v>7</v>
      </c>
      <c r="XCL19" s="200"/>
      <c r="XCM19" s="200"/>
      <c r="XCN19" s="200"/>
      <c r="XCO19" s="200"/>
      <c r="XCP19" s="200"/>
      <c r="XCQ19" s="200"/>
      <c r="XCR19" s="201"/>
      <c r="XCS19" s="199" t="s">
        <v>7</v>
      </c>
      <c r="XCT19" s="200"/>
      <c r="XCU19" s="200"/>
      <c r="XCV19" s="200"/>
      <c r="XCW19" s="200"/>
      <c r="XCX19" s="200"/>
      <c r="XCY19" s="200"/>
      <c r="XCZ19" s="201"/>
      <c r="XDA19" s="199" t="s">
        <v>7</v>
      </c>
      <c r="XDB19" s="200"/>
      <c r="XDC19" s="200"/>
      <c r="XDD19" s="200"/>
      <c r="XDE19" s="200"/>
      <c r="XDF19" s="200"/>
      <c r="XDG19" s="200"/>
      <c r="XDH19" s="201"/>
      <c r="XDI19" s="199" t="s">
        <v>7</v>
      </c>
      <c r="XDJ19" s="200"/>
      <c r="XDK19" s="200"/>
      <c r="XDL19" s="200"/>
      <c r="XDM19" s="200"/>
      <c r="XDN19" s="200"/>
      <c r="XDO19" s="200"/>
      <c r="XDP19" s="201"/>
      <c r="XDQ19" s="199" t="s">
        <v>7</v>
      </c>
      <c r="XDR19" s="200"/>
      <c r="XDS19" s="200"/>
      <c r="XDT19" s="200"/>
      <c r="XDU19" s="200"/>
      <c r="XDV19" s="200"/>
      <c r="XDW19" s="200"/>
      <c r="XDX19" s="201"/>
      <c r="XDY19" s="199" t="s">
        <v>7</v>
      </c>
      <c r="XDZ19" s="200"/>
      <c r="XEA19" s="200"/>
      <c r="XEB19" s="200"/>
      <c r="XEC19" s="200"/>
      <c r="XED19" s="200"/>
      <c r="XEE19" s="200"/>
      <c r="XEF19" s="201"/>
      <c r="XEG19" s="199" t="s">
        <v>7</v>
      </c>
      <c r="XEH19" s="200"/>
      <c r="XEI19" s="200"/>
      <c r="XEJ19" s="200"/>
      <c r="XEK19" s="200"/>
      <c r="XEL19" s="200"/>
      <c r="XEM19" s="200"/>
      <c r="XEN19" s="201"/>
      <c r="XEO19" s="199" t="s">
        <v>7</v>
      </c>
      <c r="XEP19" s="200"/>
      <c r="XEQ19" s="200"/>
      <c r="XER19" s="200"/>
      <c r="XES19" s="200"/>
      <c r="XET19" s="200"/>
      <c r="XEU19" s="200"/>
      <c r="XEV19" s="201"/>
      <c r="XEW19" s="199" t="s">
        <v>7</v>
      </c>
      <c r="XEX19" s="200"/>
      <c r="XEY19" s="200"/>
      <c r="XEZ19" s="200"/>
      <c r="XFA19" s="200"/>
      <c r="XFB19" s="200"/>
      <c r="XFC19" s="200"/>
      <c r="XFD19" s="201"/>
    </row>
    <row r="20" spans="1:16384" customFormat="1" hidden="1" x14ac:dyDescent="0.25">
      <c r="A20" s="97"/>
      <c r="B20" s="97"/>
      <c r="C20" s="97"/>
      <c r="D20" s="97"/>
      <c r="E20" s="97"/>
      <c r="F20" s="97"/>
      <c r="G20" s="98"/>
      <c r="H20" s="94"/>
      <c r="Q20" s="5"/>
      <c r="X20" s="17"/>
      <c r="Y20" s="5"/>
      <c r="AF20" s="17"/>
      <c r="AG20" s="5"/>
      <c r="AN20" s="17"/>
      <c r="AO20" s="5"/>
      <c r="AV20" s="17"/>
      <c r="AW20" s="5"/>
      <c r="BD20" s="17"/>
      <c r="BE20" s="5"/>
      <c r="BL20" s="17"/>
      <c r="BM20" s="5"/>
      <c r="BT20" s="17"/>
      <c r="BU20" s="5"/>
      <c r="CB20" s="17"/>
      <c r="CC20" s="5"/>
      <c r="CJ20" s="17"/>
      <c r="CK20" s="5"/>
      <c r="CR20" s="17"/>
      <c r="CS20" s="5"/>
      <c r="CZ20" s="17"/>
      <c r="DA20" s="5"/>
      <c r="DH20" s="17"/>
      <c r="DI20" s="5"/>
      <c r="DP20" s="17"/>
      <c r="DQ20" s="5"/>
      <c r="DX20" s="17"/>
      <c r="DY20" s="5"/>
      <c r="EF20" s="17"/>
      <c r="EG20" s="5"/>
      <c r="EN20" s="17"/>
      <c r="EO20" s="5"/>
      <c r="EV20" s="17"/>
      <c r="EW20" s="5"/>
      <c r="FD20" s="17"/>
      <c r="FE20" s="5"/>
      <c r="FL20" s="17"/>
      <c r="FM20" s="5"/>
      <c r="FT20" s="17"/>
      <c r="FU20" s="5"/>
      <c r="GB20" s="17"/>
      <c r="GC20" s="5"/>
      <c r="GJ20" s="17"/>
      <c r="GK20" s="5"/>
      <c r="GR20" s="17"/>
      <c r="GS20" s="5"/>
      <c r="GZ20" s="17"/>
      <c r="HA20" s="5"/>
      <c r="HH20" s="17"/>
      <c r="HI20" s="5"/>
      <c r="HP20" s="17"/>
      <c r="HQ20" s="5"/>
      <c r="HX20" s="17"/>
      <c r="HY20" s="5"/>
      <c r="IF20" s="17"/>
      <c r="IG20" s="5"/>
      <c r="IN20" s="17"/>
      <c r="IO20" s="5"/>
      <c r="IV20" s="17"/>
      <c r="IW20" s="5"/>
      <c r="JD20" s="17"/>
      <c r="JE20" s="5"/>
      <c r="JL20" s="17"/>
      <c r="JM20" s="5"/>
      <c r="JT20" s="17"/>
      <c r="JU20" s="5"/>
      <c r="KB20" s="17"/>
      <c r="KC20" s="5"/>
      <c r="KJ20" s="17"/>
      <c r="KK20" s="5"/>
      <c r="KR20" s="17"/>
      <c r="KS20" s="5"/>
      <c r="KZ20" s="17"/>
      <c r="LA20" s="5"/>
      <c r="LH20" s="17"/>
      <c r="LI20" s="5"/>
      <c r="LP20" s="17"/>
      <c r="LQ20" s="5"/>
      <c r="LX20" s="17"/>
      <c r="LY20" s="5"/>
      <c r="MF20" s="17"/>
      <c r="MG20" s="5"/>
      <c r="MN20" s="17"/>
      <c r="MO20" s="5"/>
      <c r="MV20" s="17"/>
      <c r="MW20" s="5"/>
      <c r="ND20" s="17"/>
      <c r="NE20" s="5"/>
      <c r="NL20" s="17"/>
      <c r="NM20" s="5"/>
      <c r="NT20" s="17"/>
      <c r="NU20" s="5"/>
      <c r="OB20" s="17"/>
      <c r="OC20" s="5"/>
      <c r="OJ20" s="17"/>
      <c r="OK20" s="5"/>
      <c r="OR20" s="17"/>
      <c r="OS20" s="5"/>
      <c r="OZ20" s="17"/>
      <c r="PA20" s="5"/>
      <c r="PH20" s="17"/>
      <c r="PI20" s="5"/>
      <c r="PP20" s="17"/>
      <c r="PQ20" s="5"/>
      <c r="PX20" s="17"/>
      <c r="PY20" s="5"/>
      <c r="QF20" s="17"/>
      <c r="QG20" s="5"/>
      <c r="QN20" s="17"/>
      <c r="QO20" s="5"/>
      <c r="QV20" s="17"/>
      <c r="QW20" s="5"/>
      <c r="RD20" s="17"/>
      <c r="RE20" s="5"/>
      <c r="RL20" s="17"/>
      <c r="RM20" s="5"/>
      <c r="RT20" s="17"/>
      <c r="RU20" s="5"/>
      <c r="SB20" s="17"/>
      <c r="SC20" s="5"/>
      <c r="SJ20" s="17"/>
      <c r="SK20" s="5"/>
      <c r="SR20" s="17"/>
      <c r="SS20" s="5"/>
      <c r="SZ20" s="17"/>
      <c r="TA20" s="5"/>
      <c r="TH20" s="17"/>
      <c r="TI20" s="5"/>
      <c r="TP20" s="17"/>
      <c r="TQ20" s="5"/>
      <c r="TX20" s="17"/>
      <c r="TY20" s="5"/>
      <c r="UF20" s="17"/>
      <c r="UG20" s="5"/>
      <c r="UN20" s="17"/>
      <c r="UO20" s="5"/>
      <c r="UV20" s="17"/>
      <c r="UW20" s="5"/>
      <c r="VD20" s="17"/>
      <c r="VE20" s="5"/>
      <c r="VL20" s="17"/>
      <c r="VM20" s="5"/>
      <c r="VT20" s="17"/>
      <c r="VU20" s="5"/>
      <c r="WB20" s="17"/>
      <c r="WC20" s="5"/>
      <c r="WJ20" s="17"/>
      <c r="WK20" s="5"/>
      <c r="WR20" s="17"/>
      <c r="WS20" s="5"/>
      <c r="WZ20" s="17"/>
      <c r="XA20" s="5"/>
      <c r="XH20" s="17"/>
      <c r="XI20" s="5"/>
      <c r="XP20" s="17"/>
      <c r="XQ20" s="5"/>
      <c r="XX20" s="17"/>
      <c r="XY20" s="5"/>
      <c r="YF20" s="17"/>
      <c r="YG20" s="5"/>
      <c r="YN20" s="17"/>
      <c r="YO20" s="5"/>
      <c r="YV20" s="17"/>
      <c r="YW20" s="5"/>
      <c r="ZD20" s="17"/>
      <c r="ZE20" s="5"/>
      <c r="ZL20" s="17"/>
      <c r="ZM20" s="5"/>
      <c r="ZT20" s="17"/>
      <c r="ZU20" s="5"/>
      <c r="AAB20" s="17"/>
      <c r="AAC20" s="5"/>
      <c r="AAJ20" s="17"/>
      <c r="AAK20" s="5"/>
      <c r="AAR20" s="17"/>
      <c r="AAS20" s="5"/>
      <c r="AAZ20" s="17"/>
      <c r="ABA20" s="5"/>
      <c r="ABH20" s="17"/>
      <c r="ABI20" s="5"/>
      <c r="ABP20" s="17"/>
      <c r="ABQ20" s="5"/>
      <c r="ABX20" s="17"/>
      <c r="ABY20" s="5"/>
      <c r="ACF20" s="17"/>
      <c r="ACG20" s="5"/>
      <c r="ACN20" s="17"/>
      <c r="ACO20" s="5"/>
      <c r="ACV20" s="17"/>
      <c r="ACW20" s="5"/>
      <c r="ADD20" s="17"/>
      <c r="ADE20" s="5"/>
      <c r="ADL20" s="17"/>
      <c r="ADM20" s="5"/>
      <c r="ADT20" s="17"/>
      <c r="ADU20" s="5"/>
      <c r="AEB20" s="17"/>
      <c r="AEC20" s="5"/>
      <c r="AEJ20" s="17"/>
      <c r="AEK20" s="5"/>
      <c r="AER20" s="17"/>
      <c r="AES20" s="5"/>
      <c r="AEZ20" s="17"/>
      <c r="AFA20" s="5"/>
      <c r="AFH20" s="17"/>
      <c r="AFI20" s="5"/>
      <c r="AFP20" s="17"/>
      <c r="AFQ20" s="5"/>
      <c r="AFX20" s="17"/>
      <c r="AFY20" s="5"/>
      <c r="AGF20" s="17"/>
      <c r="AGG20" s="5"/>
      <c r="AGN20" s="17"/>
      <c r="AGO20" s="5"/>
      <c r="AGV20" s="17"/>
      <c r="AGW20" s="5"/>
      <c r="AHD20" s="17"/>
      <c r="AHE20" s="5"/>
      <c r="AHL20" s="17"/>
      <c r="AHM20" s="5"/>
      <c r="AHT20" s="17"/>
      <c r="AHU20" s="5"/>
      <c r="AIB20" s="17"/>
      <c r="AIC20" s="5"/>
      <c r="AIJ20" s="17"/>
      <c r="AIK20" s="5"/>
      <c r="AIR20" s="17"/>
      <c r="AIS20" s="5"/>
      <c r="AIZ20" s="17"/>
      <c r="AJA20" s="5"/>
      <c r="AJH20" s="17"/>
      <c r="AJI20" s="5"/>
      <c r="AJP20" s="17"/>
      <c r="AJQ20" s="5"/>
      <c r="AJX20" s="17"/>
      <c r="AJY20" s="5"/>
      <c r="AKF20" s="17"/>
      <c r="AKG20" s="5"/>
      <c r="AKN20" s="17"/>
      <c r="AKO20" s="5"/>
      <c r="AKV20" s="17"/>
      <c r="AKW20" s="5"/>
      <c r="ALD20" s="17"/>
      <c r="ALE20" s="5"/>
      <c r="ALL20" s="17"/>
      <c r="ALM20" s="5"/>
      <c r="ALT20" s="17"/>
      <c r="ALU20" s="5"/>
      <c r="AMB20" s="17"/>
      <c r="AMC20" s="5"/>
      <c r="AMJ20" s="17"/>
      <c r="AMK20" s="5"/>
      <c r="AMR20" s="17"/>
      <c r="AMS20" s="5"/>
      <c r="AMZ20" s="17"/>
      <c r="ANA20" s="5"/>
      <c r="ANH20" s="17"/>
      <c r="ANI20" s="5"/>
      <c r="ANP20" s="17"/>
      <c r="ANQ20" s="5"/>
      <c r="ANX20" s="17"/>
      <c r="ANY20" s="5"/>
      <c r="AOF20" s="17"/>
      <c r="AOG20" s="5"/>
      <c r="AON20" s="17"/>
      <c r="AOO20" s="5"/>
      <c r="AOV20" s="17"/>
      <c r="AOW20" s="5"/>
      <c r="APD20" s="17"/>
      <c r="APE20" s="5"/>
      <c r="APL20" s="17"/>
      <c r="APM20" s="5"/>
      <c r="APT20" s="17"/>
      <c r="APU20" s="5"/>
      <c r="AQB20" s="17"/>
      <c r="AQC20" s="5"/>
      <c r="AQJ20" s="17"/>
      <c r="AQK20" s="5"/>
      <c r="AQR20" s="17"/>
      <c r="AQS20" s="5"/>
      <c r="AQZ20" s="17"/>
      <c r="ARA20" s="5"/>
      <c r="ARH20" s="17"/>
      <c r="ARI20" s="5"/>
      <c r="ARP20" s="17"/>
      <c r="ARQ20" s="5"/>
      <c r="ARX20" s="17"/>
      <c r="ARY20" s="5"/>
      <c r="ASF20" s="17"/>
      <c r="ASG20" s="5"/>
      <c r="ASN20" s="17"/>
      <c r="ASO20" s="5"/>
      <c r="ASV20" s="17"/>
      <c r="ASW20" s="5"/>
      <c r="ATD20" s="17"/>
      <c r="ATE20" s="5"/>
      <c r="ATL20" s="17"/>
      <c r="ATM20" s="5"/>
      <c r="ATT20" s="17"/>
      <c r="ATU20" s="5"/>
      <c r="AUB20" s="17"/>
      <c r="AUC20" s="5"/>
      <c r="AUJ20" s="17"/>
      <c r="AUK20" s="5"/>
      <c r="AUR20" s="17"/>
      <c r="AUS20" s="5"/>
      <c r="AUZ20" s="17"/>
      <c r="AVA20" s="5"/>
      <c r="AVH20" s="17"/>
      <c r="AVI20" s="5"/>
      <c r="AVP20" s="17"/>
      <c r="AVQ20" s="5"/>
      <c r="AVX20" s="17"/>
      <c r="AVY20" s="5"/>
      <c r="AWF20" s="17"/>
      <c r="AWG20" s="5"/>
      <c r="AWN20" s="17"/>
      <c r="AWO20" s="5"/>
      <c r="AWV20" s="17"/>
      <c r="AWW20" s="5"/>
      <c r="AXD20" s="17"/>
      <c r="AXE20" s="5"/>
      <c r="AXL20" s="17"/>
      <c r="AXM20" s="5"/>
      <c r="AXT20" s="17"/>
      <c r="AXU20" s="5"/>
      <c r="AYB20" s="17"/>
      <c r="AYC20" s="5"/>
      <c r="AYJ20" s="17"/>
      <c r="AYK20" s="5"/>
      <c r="AYR20" s="17"/>
      <c r="AYS20" s="5"/>
      <c r="AYZ20" s="17"/>
      <c r="AZA20" s="5"/>
      <c r="AZH20" s="17"/>
      <c r="AZI20" s="5"/>
      <c r="AZP20" s="17"/>
      <c r="AZQ20" s="5"/>
      <c r="AZX20" s="17"/>
      <c r="AZY20" s="5"/>
      <c r="BAF20" s="17"/>
      <c r="BAG20" s="5"/>
      <c r="BAN20" s="17"/>
      <c r="BAO20" s="5"/>
      <c r="BAV20" s="17"/>
      <c r="BAW20" s="5"/>
      <c r="BBD20" s="17"/>
      <c r="BBE20" s="5"/>
      <c r="BBL20" s="17"/>
      <c r="BBM20" s="5"/>
      <c r="BBT20" s="17"/>
      <c r="BBU20" s="5"/>
      <c r="BCB20" s="17"/>
      <c r="BCC20" s="5"/>
      <c r="BCJ20" s="17"/>
      <c r="BCK20" s="5"/>
      <c r="BCR20" s="17"/>
      <c r="BCS20" s="5"/>
      <c r="BCZ20" s="17"/>
      <c r="BDA20" s="5"/>
      <c r="BDH20" s="17"/>
      <c r="BDI20" s="5"/>
      <c r="BDP20" s="17"/>
      <c r="BDQ20" s="5"/>
      <c r="BDX20" s="17"/>
      <c r="BDY20" s="5"/>
      <c r="BEF20" s="17"/>
      <c r="BEG20" s="5"/>
      <c r="BEN20" s="17"/>
      <c r="BEO20" s="5"/>
      <c r="BEV20" s="17"/>
      <c r="BEW20" s="5"/>
      <c r="BFD20" s="17"/>
      <c r="BFE20" s="5"/>
      <c r="BFL20" s="17"/>
      <c r="BFM20" s="5"/>
      <c r="BFT20" s="17"/>
      <c r="BFU20" s="5"/>
      <c r="BGB20" s="17"/>
      <c r="BGC20" s="5"/>
      <c r="BGJ20" s="17"/>
      <c r="BGK20" s="5"/>
      <c r="BGR20" s="17"/>
      <c r="BGS20" s="5"/>
      <c r="BGZ20" s="17"/>
      <c r="BHA20" s="5"/>
      <c r="BHH20" s="17"/>
      <c r="BHI20" s="5"/>
      <c r="BHP20" s="17"/>
      <c r="BHQ20" s="5"/>
      <c r="BHX20" s="17"/>
      <c r="BHY20" s="5"/>
      <c r="BIF20" s="17"/>
      <c r="BIG20" s="5"/>
      <c r="BIN20" s="17"/>
      <c r="BIO20" s="5"/>
      <c r="BIV20" s="17"/>
      <c r="BIW20" s="5"/>
      <c r="BJD20" s="17"/>
      <c r="BJE20" s="5"/>
      <c r="BJL20" s="17"/>
      <c r="BJM20" s="5"/>
      <c r="BJT20" s="17"/>
      <c r="BJU20" s="5"/>
      <c r="BKB20" s="17"/>
      <c r="BKC20" s="5"/>
      <c r="BKJ20" s="17"/>
      <c r="BKK20" s="5"/>
      <c r="BKR20" s="17"/>
      <c r="BKS20" s="5"/>
      <c r="BKZ20" s="17"/>
      <c r="BLA20" s="5"/>
      <c r="BLH20" s="17"/>
      <c r="BLI20" s="5"/>
      <c r="BLP20" s="17"/>
      <c r="BLQ20" s="5"/>
      <c r="BLX20" s="17"/>
      <c r="BLY20" s="5"/>
      <c r="BMF20" s="17"/>
      <c r="BMG20" s="5"/>
      <c r="BMN20" s="17"/>
      <c r="BMO20" s="5"/>
      <c r="BMV20" s="17"/>
      <c r="BMW20" s="5"/>
      <c r="BND20" s="17"/>
      <c r="BNE20" s="5"/>
      <c r="BNL20" s="17"/>
      <c r="BNM20" s="5"/>
      <c r="BNT20" s="17"/>
      <c r="BNU20" s="5"/>
      <c r="BOB20" s="17"/>
      <c r="BOC20" s="5"/>
      <c r="BOJ20" s="17"/>
      <c r="BOK20" s="5"/>
      <c r="BOR20" s="17"/>
      <c r="BOS20" s="5"/>
      <c r="BOZ20" s="17"/>
      <c r="BPA20" s="5"/>
      <c r="BPH20" s="17"/>
      <c r="BPI20" s="5"/>
      <c r="BPP20" s="17"/>
      <c r="BPQ20" s="5"/>
      <c r="BPX20" s="17"/>
      <c r="BPY20" s="5"/>
      <c r="BQF20" s="17"/>
      <c r="BQG20" s="5"/>
      <c r="BQN20" s="17"/>
      <c r="BQO20" s="5"/>
      <c r="BQV20" s="17"/>
      <c r="BQW20" s="5"/>
      <c r="BRD20" s="17"/>
      <c r="BRE20" s="5"/>
      <c r="BRL20" s="17"/>
      <c r="BRM20" s="5"/>
      <c r="BRT20" s="17"/>
      <c r="BRU20" s="5"/>
      <c r="BSB20" s="17"/>
      <c r="BSC20" s="5"/>
      <c r="BSJ20" s="17"/>
      <c r="BSK20" s="5"/>
      <c r="BSR20" s="17"/>
      <c r="BSS20" s="5"/>
      <c r="BSZ20" s="17"/>
      <c r="BTA20" s="5"/>
      <c r="BTH20" s="17"/>
      <c r="BTI20" s="5"/>
      <c r="BTP20" s="17"/>
      <c r="BTQ20" s="5"/>
      <c r="BTX20" s="17"/>
      <c r="BTY20" s="5"/>
      <c r="BUF20" s="17"/>
      <c r="BUG20" s="5"/>
      <c r="BUN20" s="17"/>
      <c r="BUO20" s="5"/>
      <c r="BUV20" s="17"/>
      <c r="BUW20" s="5"/>
      <c r="BVD20" s="17"/>
      <c r="BVE20" s="5"/>
      <c r="BVL20" s="17"/>
      <c r="BVM20" s="5"/>
      <c r="BVT20" s="17"/>
      <c r="BVU20" s="5"/>
      <c r="BWB20" s="17"/>
      <c r="BWC20" s="5"/>
      <c r="BWJ20" s="17"/>
      <c r="BWK20" s="5"/>
      <c r="BWR20" s="17"/>
      <c r="BWS20" s="5"/>
      <c r="BWZ20" s="17"/>
      <c r="BXA20" s="5"/>
      <c r="BXH20" s="17"/>
      <c r="BXI20" s="5"/>
      <c r="BXP20" s="17"/>
      <c r="BXQ20" s="5"/>
      <c r="BXX20" s="17"/>
      <c r="BXY20" s="5"/>
      <c r="BYF20" s="17"/>
      <c r="BYG20" s="5"/>
      <c r="BYN20" s="17"/>
      <c r="BYO20" s="5"/>
      <c r="BYV20" s="17"/>
      <c r="BYW20" s="5"/>
      <c r="BZD20" s="17"/>
      <c r="BZE20" s="5"/>
      <c r="BZL20" s="17"/>
      <c r="BZM20" s="5"/>
      <c r="BZT20" s="17"/>
      <c r="BZU20" s="5"/>
      <c r="CAB20" s="17"/>
      <c r="CAC20" s="5"/>
      <c r="CAJ20" s="17"/>
      <c r="CAK20" s="5"/>
      <c r="CAR20" s="17"/>
      <c r="CAS20" s="5"/>
      <c r="CAZ20" s="17"/>
      <c r="CBA20" s="5"/>
      <c r="CBH20" s="17"/>
      <c r="CBI20" s="5"/>
      <c r="CBP20" s="17"/>
      <c r="CBQ20" s="5"/>
      <c r="CBX20" s="17"/>
      <c r="CBY20" s="5"/>
      <c r="CCF20" s="17"/>
      <c r="CCG20" s="5"/>
      <c r="CCN20" s="17"/>
      <c r="CCO20" s="5"/>
      <c r="CCV20" s="17"/>
      <c r="CCW20" s="5"/>
      <c r="CDD20" s="17"/>
      <c r="CDE20" s="5"/>
      <c r="CDL20" s="17"/>
      <c r="CDM20" s="5"/>
      <c r="CDT20" s="17"/>
      <c r="CDU20" s="5"/>
      <c r="CEB20" s="17"/>
      <c r="CEC20" s="5"/>
      <c r="CEJ20" s="17"/>
      <c r="CEK20" s="5"/>
      <c r="CER20" s="17"/>
      <c r="CES20" s="5"/>
      <c r="CEZ20" s="17"/>
      <c r="CFA20" s="5"/>
      <c r="CFH20" s="17"/>
      <c r="CFI20" s="5"/>
      <c r="CFP20" s="17"/>
      <c r="CFQ20" s="5"/>
      <c r="CFX20" s="17"/>
      <c r="CFY20" s="5"/>
      <c r="CGF20" s="17"/>
      <c r="CGG20" s="5"/>
      <c r="CGN20" s="17"/>
      <c r="CGO20" s="5"/>
      <c r="CGV20" s="17"/>
      <c r="CGW20" s="5"/>
      <c r="CHD20" s="17"/>
      <c r="CHE20" s="5"/>
      <c r="CHL20" s="17"/>
      <c r="CHM20" s="5"/>
      <c r="CHT20" s="17"/>
      <c r="CHU20" s="5"/>
      <c r="CIB20" s="17"/>
      <c r="CIC20" s="5"/>
      <c r="CIJ20" s="17"/>
      <c r="CIK20" s="5"/>
      <c r="CIR20" s="17"/>
      <c r="CIS20" s="5"/>
      <c r="CIZ20" s="17"/>
      <c r="CJA20" s="5"/>
      <c r="CJH20" s="17"/>
      <c r="CJI20" s="5"/>
      <c r="CJP20" s="17"/>
      <c r="CJQ20" s="5"/>
      <c r="CJX20" s="17"/>
      <c r="CJY20" s="5"/>
      <c r="CKF20" s="17"/>
      <c r="CKG20" s="5"/>
      <c r="CKN20" s="17"/>
      <c r="CKO20" s="5"/>
      <c r="CKV20" s="17"/>
      <c r="CKW20" s="5"/>
      <c r="CLD20" s="17"/>
      <c r="CLE20" s="5"/>
      <c r="CLL20" s="17"/>
      <c r="CLM20" s="5"/>
      <c r="CLT20" s="17"/>
      <c r="CLU20" s="5"/>
      <c r="CMB20" s="17"/>
      <c r="CMC20" s="5"/>
      <c r="CMJ20" s="17"/>
      <c r="CMK20" s="5"/>
      <c r="CMR20" s="17"/>
      <c r="CMS20" s="5"/>
      <c r="CMZ20" s="17"/>
      <c r="CNA20" s="5"/>
      <c r="CNH20" s="17"/>
      <c r="CNI20" s="5"/>
      <c r="CNP20" s="17"/>
      <c r="CNQ20" s="5"/>
      <c r="CNX20" s="17"/>
      <c r="CNY20" s="5"/>
      <c r="COF20" s="17"/>
      <c r="COG20" s="5"/>
      <c r="CON20" s="17"/>
      <c r="COO20" s="5"/>
      <c r="COV20" s="17"/>
      <c r="COW20" s="5"/>
      <c r="CPD20" s="17"/>
      <c r="CPE20" s="5"/>
      <c r="CPL20" s="17"/>
      <c r="CPM20" s="5"/>
      <c r="CPT20" s="17"/>
      <c r="CPU20" s="5"/>
      <c r="CQB20" s="17"/>
      <c r="CQC20" s="5"/>
      <c r="CQJ20" s="17"/>
      <c r="CQK20" s="5"/>
      <c r="CQR20" s="17"/>
      <c r="CQS20" s="5"/>
      <c r="CQZ20" s="17"/>
      <c r="CRA20" s="5"/>
      <c r="CRH20" s="17"/>
      <c r="CRI20" s="5"/>
      <c r="CRP20" s="17"/>
      <c r="CRQ20" s="5"/>
      <c r="CRX20" s="17"/>
      <c r="CRY20" s="5"/>
      <c r="CSF20" s="17"/>
      <c r="CSG20" s="5"/>
      <c r="CSN20" s="17"/>
      <c r="CSO20" s="5"/>
      <c r="CSV20" s="17"/>
      <c r="CSW20" s="5"/>
      <c r="CTD20" s="17"/>
      <c r="CTE20" s="5"/>
      <c r="CTL20" s="17"/>
      <c r="CTM20" s="5"/>
      <c r="CTT20" s="17"/>
      <c r="CTU20" s="5"/>
      <c r="CUB20" s="17"/>
      <c r="CUC20" s="5"/>
      <c r="CUJ20" s="17"/>
      <c r="CUK20" s="5"/>
      <c r="CUR20" s="17"/>
      <c r="CUS20" s="5"/>
      <c r="CUZ20" s="17"/>
      <c r="CVA20" s="5"/>
      <c r="CVH20" s="17"/>
      <c r="CVI20" s="5"/>
      <c r="CVP20" s="17"/>
      <c r="CVQ20" s="5"/>
      <c r="CVX20" s="17"/>
      <c r="CVY20" s="5"/>
      <c r="CWF20" s="17"/>
      <c r="CWG20" s="5"/>
      <c r="CWN20" s="17"/>
      <c r="CWO20" s="5"/>
      <c r="CWV20" s="17"/>
      <c r="CWW20" s="5"/>
      <c r="CXD20" s="17"/>
      <c r="CXE20" s="5"/>
      <c r="CXL20" s="17"/>
      <c r="CXM20" s="5"/>
      <c r="CXT20" s="17"/>
      <c r="CXU20" s="5"/>
      <c r="CYB20" s="17"/>
      <c r="CYC20" s="5"/>
      <c r="CYJ20" s="17"/>
      <c r="CYK20" s="5"/>
      <c r="CYR20" s="17"/>
      <c r="CYS20" s="5"/>
      <c r="CYZ20" s="17"/>
      <c r="CZA20" s="5"/>
      <c r="CZH20" s="17"/>
      <c r="CZI20" s="5"/>
      <c r="CZP20" s="17"/>
      <c r="CZQ20" s="5"/>
      <c r="CZX20" s="17"/>
      <c r="CZY20" s="5"/>
      <c r="DAF20" s="17"/>
      <c r="DAG20" s="5"/>
      <c r="DAN20" s="17"/>
      <c r="DAO20" s="5"/>
      <c r="DAV20" s="17"/>
      <c r="DAW20" s="5"/>
      <c r="DBD20" s="17"/>
      <c r="DBE20" s="5"/>
      <c r="DBL20" s="17"/>
      <c r="DBM20" s="5"/>
      <c r="DBT20" s="17"/>
      <c r="DBU20" s="5"/>
      <c r="DCB20" s="17"/>
      <c r="DCC20" s="5"/>
      <c r="DCJ20" s="17"/>
      <c r="DCK20" s="5"/>
      <c r="DCR20" s="17"/>
      <c r="DCS20" s="5"/>
      <c r="DCZ20" s="17"/>
      <c r="DDA20" s="5"/>
      <c r="DDH20" s="17"/>
      <c r="DDI20" s="5"/>
      <c r="DDP20" s="17"/>
      <c r="DDQ20" s="5"/>
      <c r="DDX20" s="17"/>
      <c r="DDY20" s="5"/>
      <c r="DEF20" s="17"/>
      <c r="DEG20" s="5"/>
      <c r="DEN20" s="17"/>
      <c r="DEO20" s="5"/>
      <c r="DEV20" s="17"/>
      <c r="DEW20" s="5"/>
      <c r="DFD20" s="17"/>
      <c r="DFE20" s="5"/>
      <c r="DFL20" s="17"/>
      <c r="DFM20" s="5"/>
      <c r="DFT20" s="17"/>
      <c r="DFU20" s="5"/>
      <c r="DGB20" s="17"/>
      <c r="DGC20" s="5"/>
      <c r="DGJ20" s="17"/>
      <c r="DGK20" s="5"/>
      <c r="DGR20" s="17"/>
      <c r="DGS20" s="5"/>
      <c r="DGZ20" s="17"/>
      <c r="DHA20" s="5"/>
      <c r="DHH20" s="17"/>
      <c r="DHI20" s="5"/>
      <c r="DHP20" s="17"/>
      <c r="DHQ20" s="5"/>
      <c r="DHX20" s="17"/>
      <c r="DHY20" s="5"/>
      <c r="DIF20" s="17"/>
      <c r="DIG20" s="5"/>
      <c r="DIN20" s="17"/>
      <c r="DIO20" s="5"/>
      <c r="DIV20" s="17"/>
      <c r="DIW20" s="5"/>
      <c r="DJD20" s="17"/>
      <c r="DJE20" s="5"/>
      <c r="DJL20" s="17"/>
      <c r="DJM20" s="5"/>
      <c r="DJT20" s="17"/>
      <c r="DJU20" s="5"/>
      <c r="DKB20" s="17"/>
      <c r="DKC20" s="5"/>
      <c r="DKJ20" s="17"/>
      <c r="DKK20" s="5"/>
      <c r="DKR20" s="17"/>
      <c r="DKS20" s="5"/>
      <c r="DKZ20" s="17"/>
      <c r="DLA20" s="5"/>
      <c r="DLH20" s="17"/>
      <c r="DLI20" s="5"/>
      <c r="DLP20" s="17"/>
      <c r="DLQ20" s="5"/>
      <c r="DLX20" s="17"/>
      <c r="DLY20" s="5"/>
      <c r="DMF20" s="17"/>
      <c r="DMG20" s="5"/>
      <c r="DMN20" s="17"/>
      <c r="DMO20" s="5"/>
      <c r="DMV20" s="17"/>
      <c r="DMW20" s="5"/>
      <c r="DND20" s="17"/>
      <c r="DNE20" s="5"/>
      <c r="DNL20" s="17"/>
      <c r="DNM20" s="5"/>
      <c r="DNT20" s="17"/>
      <c r="DNU20" s="5"/>
      <c r="DOB20" s="17"/>
      <c r="DOC20" s="5"/>
      <c r="DOJ20" s="17"/>
      <c r="DOK20" s="5"/>
      <c r="DOR20" s="17"/>
      <c r="DOS20" s="5"/>
      <c r="DOZ20" s="17"/>
      <c r="DPA20" s="5"/>
      <c r="DPH20" s="17"/>
      <c r="DPI20" s="5"/>
      <c r="DPP20" s="17"/>
      <c r="DPQ20" s="5"/>
      <c r="DPX20" s="17"/>
      <c r="DPY20" s="5"/>
      <c r="DQF20" s="17"/>
      <c r="DQG20" s="5"/>
      <c r="DQN20" s="17"/>
      <c r="DQO20" s="5"/>
      <c r="DQV20" s="17"/>
      <c r="DQW20" s="5"/>
      <c r="DRD20" s="17"/>
      <c r="DRE20" s="5"/>
      <c r="DRL20" s="17"/>
      <c r="DRM20" s="5"/>
      <c r="DRT20" s="17"/>
      <c r="DRU20" s="5"/>
      <c r="DSB20" s="17"/>
      <c r="DSC20" s="5"/>
      <c r="DSJ20" s="17"/>
      <c r="DSK20" s="5"/>
      <c r="DSR20" s="17"/>
      <c r="DSS20" s="5"/>
      <c r="DSZ20" s="17"/>
      <c r="DTA20" s="5"/>
      <c r="DTH20" s="17"/>
      <c r="DTI20" s="5"/>
      <c r="DTP20" s="17"/>
      <c r="DTQ20" s="5"/>
      <c r="DTX20" s="17"/>
      <c r="DTY20" s="5"/>
      <c r="DUF20" s="17"/>
      <c r="DUG20" s="5"/>
      <c r="DUN20" s="17"/>
      <c r="DUO20" s="5"/>
      <c r="DUV20" s="17"/>
      <c r="DUW20" s="5"/>
      <c r="DVD20" s="17"/>
      <c r="DVE20" s="5"/>
      <c r="DVL20" s="17"/>
      <c r="DVM20" s="5"/>
      <c r="DVT20" s="17"/>
      <c r="DVU20" s="5"/>
      <c r="DWB20" s="17"/>
      <c r="DWC20" s="5"/>
      <c r="DWJ20" s="17"/>
      <c r="DWK20" s="5"/>
      <c r="DWR20" s="17"/>
      <c r="DWS20" s="5"/>
      <c r="DWZ20" s="17"/>
      <c r="DXA20" s="5"/>
      <c r="DXH20" s="17"/>
      <c r="DXI20" s="5"/>
      <c r="DXP20" s="17"/>
      <c r="DXQ20" s="5"/>
      <c r="DXX20" s="17"/>
      <c r="DXY20" s="5"/>
      <c r="DYF20" s="17"/>
      <c r="DYG20" s="5"/>
      <c r="DYN20" s="17"/>
      <c r="DYO20" s="5"/>
      <c r="DYV20" s="17"/>
      <c r="DYW20" s="5"/>
      <c r="DZD20" s="17"/>
      <c r="DZE20" s="5"/>
      <c r="DZL20" s="17"/>
      <c r="DZM20" s="5"/>
      <c r="DZT20" s="17"/>
      <c r="DZU20" s="5"/>
      <c r="EAB20" s="17"/>
      <c r="EAC20" s="5"/>
      <c r="EAJ20" s="17"/>
      <c r="EAK20" s="5"/>
      <c r="EAR20" s="17"/>
      <c r="EAS20" s="5"/>
      <c r="EAZ20" s="17"/>
      <c r="EBA20" s="5"/>
      <c r="EBH20" s="17"/>
      <c r="EBI20" s="5"/>
      <c r="EBP20" s="17"/>
      <c r="EBQ20" s="5"/>
      <c r="EBX20" s="17"/>
      <c r="EBY20" s="5"/>
      <c r="ECF20" s="17"/>
      <c r="ECG20" s="5"/>
      <c r="ECN20" s="17"/>
      <c r="ECO20" s="5"/>
      <c r="ECV20" s="17"/>
      <c r="ECW20" s="5"/>
      <c r="EDD20" s="17"/>
      <c r="EDE20" s="5"/>
      <c r="EDL20" s="17"/>
      <c r="EDM20" s="5"/>
      <c r="EDT20" s="17"/>
      <c r="EDU20" s="5"/>
      <c r="EEB20" s="17"/>
      <c r="EEC20" s="5"/>
      <c r="EEJ20" s="17"/>
      <c r="EEK20" s="5"/>
      <c r="EER20" s="17"/>
      <c r="EES20" s="5"/>
      <c r="EEZ20" s="17"/>
      <c r="EFA20" s="5"/>
      <c r="EFH20" s="17"/>
      <c r="EFI20" s="5"/>
      <c r="EFP20" s="17"/>
      <c r="EFQ20" s="5"/>
      <c r="EFX20" s="17"/>
      <c r="EFY20" s="5"/>
      <c r="EGF20" s="17"/>
      <c r="EGG20" s="5"/>
      <c r="EGN20" s="17"/>
      <c r="EGO20" s="5"/>
      <c r="EGV20" s="17"/>
      <c r="EGW20" s="5"/>
      <c r="EHD20" s="17"/>
      <c r="EHE20" s="5"/>
      <c r="EHL20" s="17"/>
      <c r="EHM20" s="5"/>
      <c r="EHT20" s="17"/>
      <c r="EHU20" s="5"/>
      <c r="EIB20" s="17"/>
      <c r="EIC20" s="5"/>
      <c r="EIJ20" s="17"/>
      <c r="EIK20" s="5"/>
      <c r="EIR20" s="17"/>
      <c r="EIS20" s="5"/>
      <c r="EIZ20" s="17"/>
      <c r="EJA20" s="5"/>
      <c r="EJH20" s="17"/>
      <c r="EJI20" s="5"/>
      <c r="EJP20" s="17"/>
      <c r="EJQ20" s="5"/>
      <c r="EJX20" s="17"/>
      <c r="EJY20" s="5"/>
      <c r="EKF20" s="17"/>
      <c r="EKG20" s="5"/>
      <c r="EKN20" s="17"/>
      <c r="EKO20" s="5"/>
      <c r="EKV20" s="17"/>
      <c r="EKW20" s="5"/>
      <c r="ELD20" s="17"/>
      <c r="ELE20" s="5"/>
      <c r="ELL20" s="17"/>
      <c r="ELM20" s="5"/>
      <c r="ELT20" s="17"/>
      <c r="ELU20" s="5"/>
      <c r="EMB20" s="17"/>
      <c r="EMC20" s="5"/>
      <c r="EMJ20" s="17"/>
      <c r="EMK20" s="5"/>
      <c r="EMR20" s="17"/>
      <c r="EMS20" s="5"/>
      <c r="EMZ20" s="17"/>
      <c r="ENA20" s="5"/>
      <c r="ENH20" s="17"/>
      <c r="ENI20" s="5"/>
      <c r="ENP20" s="17"/>
      <c r="ENQ20" s="5"/>
      <c r="ENX20" s="17"/>
      <c r="ENY20" s="5"/>
      <c r="EOF20" s="17"/>
      <c r="EOG20" s="5"/>
      <c r="EON20" s="17"/>
      <c r="EOO20" s="5"/>
      <c r="EOV20" s="17"/>
      <c r="EOW20" s="5"/>
      <c r="EPD20" s="17"/>
      <c r="EPE20" s="5"/>
      <c r="EPL20" s="17"/>
      <c r="EPM20" s="5"/>
      <c r="EPT20" s="17"/>
      <c r="EPU20" s="5"/>
      <c r="EQB20" s="17"/>
      <c r="EQC20" s="5"/>
      <c r="EQJ20" s="17"/>
      <c r="EQK20" s="5"/>
      <c r="EQR20" s="17"/>
      <c r="EQS20" s="5"/>
      <c r="EQZ20" s="17"/>
      <c r="ERA20" s="5"/>
      <c r="ERH20" s="17"/>
      <c r="ERI20" s="5"/>
      <c r="ERP20" s="17"/>
      <c r="ERQ20" s="5"/>
      <c r="ERX20" s="17"/>
      <c r="ERY20" s="5"/>
      <c r="ESF20" s="17"/>
      <c r="ESG20" s="5"/>
      <c r="ESN20" s="17"/>
      <c r="ESO20" s="5"/>
      <c r="ESV20" s="17"/>
      <c r="ESW20" s="5"/>
      <c r="ETD20" s="17"/>
      <c r="ETE20" s="5"/>
      <c r="ETL20" s="17"/>
      <c r="ETM20" s="5"/>
      <c r="ETT20" s="17"/>
      <c r="ETU20" s="5"/>
      <c r="EUB20" s="17"/>
      <c r="EUC20" s="5"/>
      <c r="EUJ20" s="17"/>
      <c r="EUK20" s="5"/>
      <c r="EUR20" s="17"/>
      <c r="EUS20" s="5"/>
      <c r="EUZ20" s="17"/>
      <c r="EVA20" s="5"/>
      <c r="EVH20" s="17"/>
      <c r="EVI20" s="5"/>
      <c r="EVP20" s="17"/>
      <c r="EVQ20" s="5"/>
      <c r="EVX20" s="17"/>
      <c r="EVY20" s="5"/>
      <c r="EWF20" s="17"/>
      <c r="EWG20" s="5"/>
      <c r="EWN20" s="17"/>
      <c r="EWO20" s="5"/>
      <c r="EWV20" s="17"/>
      <c r="EWW20" s="5"/>
      <c r="EXD20" s="17"/>
      <c r="EXE20" s="5"/>
      <c r="EXL20" s="17"/>
      <c r="EXM20" s="5"/>
      <c r="EXT20" s="17"/>
      <c r="EXU20" s="5"/>
      <c r="EYB20" s="17"/>
      <c r="EYC20" s="5"/>
      <c r="EYJ20" s="17"/>
      <c r="EYK20" s="5"/>
      <c r="EYR20" s="17"/>
      <c r="EYS20" s="5"/>
      <c r="EYZ20" s="17"/>
      <c r="EZA20" s="5"/>
      <c r="EZH20" s="17"/>
      <c r="EZI20" s="5"/>
      <c r="EZP20" s="17"/>
      <c r="EZQ20" s="5"/>
      <c r="EZX20" s="17"/>
      <c r="EZY20" s="5"/>
      <c r="FAF20" s="17"/>
      <c r="FAG20" s="5"/>
      <c r="FAN20" s="17"/>
      <c r="FAO20" s="5"/>
      <c r="FAV20" s="17"/>
      <c r="FAW20" s="5"/>
      <c r="FBD20" s="17"/>
      <c r="FBE20" s="5"/>
      <c r="FBL20" s="17"/>
      <c r="FBM20" s="5"/>
      <c r="FBT20" s="17"/>
      <c r="FBU20" s="5"/>
      <c r="FCB20" s="17"/>
      <c r="FCC20" s="5"/>
      <c r="FCJ20" s="17"/>
      <c r="FCK20" s="5"/>
      <c r="FCR20" s="17"/>
      <c r="FCS20" s="5"/>
      <c r="FCZ20" s="17"/>
      <c r="FDA20" s="5"/>
      <c r="FDH20" s="17"/>
      <c r="FDI20" s="5"/>
      <c r="FDP20" s="17"/>
      <c r="FDQ20" s="5"/>
      <c r="FDX20" s="17"/>
      <c r="FDY20" s="5"/>
      <c r="FEF20" s="17"/>
      <c r="FEG20" s="5"/>
      <c r="FEN20" s="17"/>
      <c r="FEO20" s="5"/>
      <c r="FEV20" s="17"/>
      <c r="FEW20" s="5"/>
      <c r="FFD20" s="17"/>
      <c r="FFE20" s="5"/>
      <c r="FFL20" s="17"/>
      <c r="FFM20" s="5"/>
      <c r="FFT20" s="17"/>
      <c r="FFU20" s="5"/>
      <c r="FGB20" s="17"/>
      <c r="FGC20" s="5"/>
      <c r="FGJ20" s="17"/>
      <c r="FGK20" s="5"/>
      <c r="FGR20" s="17"/>
      <c r="FGS20" s="5"/>
      <c r="FGZ20" s="17"/>
      <c r="FHA20" s="5"/>
      <c r="FHH20" s="17"/>
      <c r="FHI20" s="5"/>
      <c r="FHP20" s="17"/>
      <c r="FHQ20" s="5"/>
      <c r="FHX20" s="17"/>
      <c r="FHY20" s="5"/>
      <c r="FIF20" s="17"/>
      <c r="FIG20" s="5"/>
      <c r="FIN20" s="17"/>
      <c r="FIO20" s="5"/>
      <c r="FIV20" s="17"/>
      <c r="FIW20" s="5"/>
      <c r="FJD20" s="17"/>
      <c r="FJE20" s="5"/>
      <c r="FJL20" s="17"/>
      <c r="FJM20" s="5"/>
      <c r="FJT20" s="17"/>
      <c r="FJU20" s="5"/>
      <c r="FKB20" s="17"/>
      <c r="FKC20" s="5"/>
      <c r="FKJ20" s="17"/>
      <c r="FKK20" s="5"/>
      <c r="FKR20" s="17"/>
      <c r="FKS20" s="5"/>
      <c r="FKZ20" s="17"/>
      <c r="FLA20" s="5"/>
      <c r="FLH20" s="17"/>
      <c r="FLI20" s="5"/>
      <c r="FLP20" s="17"/>
      <c r="FLQ20" s="5"/>
      <c r="FLX20" s="17"/>
      <c r="FLY20" s="5"/>
      <c r="FMF20" s="17"/>
      <c r="FMG20" s="5"/>
      <c r="FMN20" s="17"/>
      <c r="FMO20" s="5"/>
      <c r="FMV20" s="17"/>
      <c r="FMW20" s="5"/>
      <c r="FND20" s="17"/>
      <c r="FNE20" s="5"/>
      <c r="FNL20" s="17"/>
      <c r="FNM20" s="5"/>
      <c r="FNT20" s="17"/>
      <c r="FNU20" s="5"/>
      <c r="FOB20" s="17"/>
      <c r="FOC20" s="5"/>
      <c r="FOJ20" s="17"/>
      <c r="FOK20" s="5"/>
      <c r="FOR20" s="17"/>
      <c r="FOS20" s="5"/>
      <c r="FOZ20" s="17"/>
      <c r="FPA20" s="5"/>
      <c r="FPH20" s="17"/>
      <c r="FPI20" s="5"/>
      <c r="FPP20" s="17"/>
      <c r="FPQ20" s="5"/>
      <c r="FPX20" s="17"/>
      <c r="FPY20" s="5"/>
      <c r="FQF20" s="17"/>
      <c r="FQG20" s="5"/>
      <c r="FQN20" s="17"/>
      <c r="FQO20" s="5"/>
      <c r="FQV20" s="17"/>
      <c r="FQW20" s="5"/>
      <c r="FRD20" s="17"/>
      <c r="FRE20" s="5"/>
      <c r="FRL20" s="17"/>
      <c r="FRM20" s="5"/>
      <c r="FRT20" s="17"/>
      <c r="FRU20" s="5"/>
      <c r="FSB20" s="17"/>
      <c r="FSC20" s="5"/>
      <c r="FSJ20" s="17"/>
      <c r="FSK20" s="5"/>
      <c r="FSR20" s="17"/>
      <c r="FSS20" s="5"/>
      <c r="FSZ20" s="17"/>
      <c r="FTA20" s="5"/>
      <c r="FTH20" s="17"/>
      <c r="FTI20" s="5"/>
      <c r="FTP20" s="17"/>
      <c r="FTQ20" s="5"/>
      <c r="FTX20" s="17"/>
      <c r="FTY20" s="5"/>
      <c r="FUF20" s="17"/>
      <c r="FUG20" s="5"/>
      <c r="FUN20" s="17"/>
      <c r="FUO20" s="5"/>
      <c r="FUV20" s="17"/>
      <c r="FUW20" s="5"/>
      <c r="FVD20" s="17"/>
      <c r="FVE20" s="5"/>
      <c r="FVL20" s="17"/>
      <c r="FVM20" s="5"/>
      <c r="FVT20" s="17"/>
      <c r="FVU20" s="5"/>
      <c r="FWB20" s="17"/>
      <c r="FWC20" s="5"/>
      <c r="FWJ20" s="17"/>
      <c r="FWK20" s="5"/>
      <c r="FWR20" s="17"/>
      <c r="FWS20" s="5"/>
      <c r="FWZ20" s="17"/>
      <c r="FXA20" s="5"/>
      <c r="FXH20" s="17"/>
      <c r="FXI20" s="5"/>
      <c r="FXP20" s="17"/>
      <c r="FXQ20" s="5"/>
      <c r="FXX20" s="17"/>
      <c r="FXY20" s="5"/>
      <c r="FYF20" s="17"/>
      <c r="FYG20" s="5"/>
      <c r="FYN20" s="17"/>
      <c r="FYO20" s="5"/>
      <c r="FYV20" s="17"/>
      <c r="FYW20" s="5"/>
      <c r="FZD20" s="17"/>
      <c r="FZE20" s="5"/>
      <c r="FZL20" s="17"/>
      <c r="FZM20" s="5"/>
      <c r="FZT20" s="17"/>
      <c r="FZU20" s="5"/>
      <c r="GAB20" s="17"/>
      <c r="GAC20" s="5"/>
      <c r="GAJ20" s="17"/>
      <c r="GAK20" s="5"/>
      <c r="GAR20" s="17"/>
      <c r="GAS20" s="5"/>
      <c r="GAZ20" s="17"/>
      <c r="GBA20" s="5"/>
      <c r="GBH20" s="17"/>
      <c r="GBI20" s="5"/>
      <c r="GBP20" s="17"/>
      <c r="GBQ20" s="5"/>
      <c r="GBX20" s="17"/>
      <c r="GBY20" s="5"/>
      <c r="GCF20" s="17"/>
      <c r="GCG20" s="5"/>
      <c r="GCN20" s="17"/>
      <c r="GCO20" s="5"/>
      <c r="GCV20" s="17"/>
      <c r="GCW20" s="5"/>
      <c r="GDD20" s="17"/>
      <c r="GDE20" s="5"/>
      <c r="GDL20" s="17"/>
      <c r="GDM20" s="5"/>
      <c r="GDT20" s="17"/>
      <c r="GDU20" s="5"/>
      <c r="GEB20" s="17"/>
      <c r="GEC20" s="5"/>
      <c r="GEJ20" s="17"/>
      <c r="GEK20" s="5"/>
      <c r="GER20" s="17"/>
      <c r="GES20" s="5"/>
      <c r="GEZ20" s="17"/>
      <c r="GFA20" s="5"/>
      <c r="GFH20" s="17"/>
      <c r="GFI20" s="5"/>
      <c r="GFP20" s="17"/>
      <c r="GFQ20" s="5"/>
      <c r="GFX20" s="17"/>
      <c r="GFY20" s="5"/>
      <c r="GGF20" s="17"/>
      <c r="GGG20" s="5"/>
      <c r="GGN20" s="17"/>
      <c r="GGO20" s="5"/>
      <c r="GGV20" s="17"/>
      <c r="GGW20" s="5"/>
      <c r="GHD20" s="17"/>
      <c r="GHE20" s="5"/>
      <c r="GHL20" s="17"/>
      <c r="GHM20" s="5"/>
      <c r="GHT20" s="17"/>
      <c r="GHU20" s="5"/>
      <c r="GIB20" s="17"/>
      <c r="GIC20" s="5"/>
      <c r="GIJ20" s="17"/>
      <c r="GIK20" s="5"/>
      <c r="GIR20" s="17"/>
      <c r="GIS20" s="5"/>
      <c r="GIZ20" s="17"/>
      <c r="GJA20" s="5"/>
      <c r="GJH20" s="17"/>
      <c r="GJI20" s="5"/>
      <c r="GJP20" s="17"/>
      <c r="GJQ20" s="5"/>
      <c r="GJX20" s="17"/>
      <c r="GJY20" s="5"/>
      <c r="GKF20" s="17"/>
      <c r="GKG20" s="5"/>
      <c r="GKN20" s="17"/>
      <c r="GKO20" s="5"/>
      <c r="GKV20" s="17"/>
      <c r="GKW20" s="5"/>
      <c r="GLD20" s="17"/>
      <c r="GLE20" s="5"/>
      <c r="GLL20" s="17"/>
      <c r="GLM20" s="5"/>
      <c r="GLT20" s="17"/>
      <c r="GLU20" s="5"/>
      <c r="GMB20" s="17"/>
      <c r="GMC20" s="5"/>
      <c r="GMJ20" s="17"/>
      <c r="GMK20" s="5"/>
      <c r="GMR20" s="17"/>
      <c r="GMS20" s="5"/>
      <c r="GMZ20" s="17"/>
      <c r="GNA20" s="5"/>
      <c r="GNH20" s="17"/>
      <c r="GNI20" s="5"/>
      <c r="GNP20" s="17"/>
      <c r="GNQ20" s="5"/>
      <c r="GNX20" s="17"/>
      <c r="GNY20" s="5"/>
      <c r="GOF20" s="17"/>
      <c r="GOG20" s="5"/>
      <c r="GON20" s="17"/>
      <c r="GOO20" s="5"/>
      <c r="GOV20" s="17"/>
      <c r="GOW20" s="5"/>
      <c r="GPD20" s="17"/>
      <c r="GPE20" s="5"/>
      <c r="GPL20" s="17"/>
      <c r="GPM20" s="5"/>
      <c r="GPT20" s="17"/>
      <c r="GPU20" s="5"/>
      <c r="GQB20" s="17"/>
      <c r="GQC20" s="5"/>
      <c r="GQJ20" s="17"/>
      <c r="GQK20" s="5"/>
      <c r="GQR20" s="17"/>
      <c r="GQS20" s="5"/>
      <c r="GQZ20" s="17"/>
      <c r="GRA20" s="5"/>
      <c r="GRH20" s="17"/>
      <c r="GRI20" s="5"/>
      <c r="GRP20" s="17"/>
      <c r="GRQ20" s="5"/>
      <c r="GRX20" s="17"/>
      <c r="GRY20" s="5"/>
      <c r="GSF20" s="17"/>
      <c r="GSG20" s="5"/>
      <c r="GSN20" s="17"/>
      <c r="GSO20" s="5"/>
      <c r="GSV20" s="17"/>
      <c r="GSW20" s="5"/>
      <c r="GTD20" s="17"/>
      <c r="GTE20" s="5"/>
      <c r="GTL20" s="17"/>
      <c r="GTM20" s="5"/>
      <c r="GTT20" s="17"/>
      <c r="GTU20" s="5"/>
      <c r="GUB20" s="17"/>
      <c r="GUC20" s="5"/>
      <c r="GUJ20" s="17"/>
      <c r="GUK20" s="5"/>
      <c r="GUR20" s="17"/>
      <c r="GUS20" s="5"/>
      <c r="GUZ20" s="17"/>
      <c r="GVA20" s="5"/>
      <c r="GVH20" s="17"/>
      <c r="GVI20" s="5"/>
      <c r="GVP20" s="17"/>
      <c r="GVQ20" s="5"/>
      <c r="GVX20" s="17"/>
      <c r="GVY20" s="5"/>
      <c r="GWF20" s="17"/>
      <c r="GWG20" s="5"/>
      <c r="GWN20" s="17"/>
      <c r="GWO20" s="5"/>
      <c r="GWV20" s="17"/>
      <c r="GWW20" s="5"/>
      <c r="GXD20" s="17"/>
      <c r="GXE20" s="5"/>
      <c r="GXL20" s="17"/>
      <c r="GXM20" s="5"/>
      <c r="GXT20" s="17"/>
      <c r="GXU20" s="5"/>
      <c r="GYB20" s="17"/>
      <c r="GYC20" s="5"/>
      <c r="GYJ20" s="17"/>
      <c r="GYK20" s="5"/>
      <c r="GYR20" s="17"/>
      <c r="GYS20" s="5"/>
      <c r="GYZ20" s="17"/>
      <c r="GZA20" s="5"/>
      <c r="GZH20" s="17"/>
      <c r="GZI20" s="5"/>
      <c r="GZP20" s="17"/>
      <c r="GZQ20" s="5"/>
      <c r="GZX20" s="17"/>
      <c r="GZY20" s="5"/>
      <c r="HAF20" s="17"/>
      <c r="HAG20" s="5"/>
      <c r="HAN20" s="17"/>
      <c r="HAO20" s="5"/>
      <c r="HAV20" s="17"/>
      <c r="HAW20" s="5"/>
      <c r="HBD20" s="17"/>
      <c r="HBE20" s="5"/>
      <c r="HBL20" s="17"/>
      <c r="HBM20" s="5"/>
      <c r="HBT20" s="17"/>
      <c r="HBU20" s="5"/>
      <c r="HCB20" s="17"/>
      <c r="HCC20" s="5"/>
      <c r="HCJ20" s="17"/>
      <c r="HCK20" s="5"/>
      <c r="HCR20" s="17"/>
      <c r="HCS20" s="5"/>
      <c r="HCZ20" s="17"/>
      <c r="HDA20" s="5"/>
      <c r="HDH20" s="17"/>
      <c r="HDI20" s="5"/>
      <c r="HDP20" s="17"/>
      <c r="HDQ20" s="5"/>
      <c r="HDX20" s="17"/>
      <c r="HDY20" s="5"/>
      <c r="HEF20" s="17"/>
      <c r="HEG20" s="5"/>
      <c r="HEN20" s="17"/>
      <c r="HEO20" s="5"/>
      <c r="HEV20" s="17"/>
      <c r="HEW20" s="5"/>
      <c r="HFD20" s="17"/>
      <c r="HFE20" s="5"/>
      <c r="HFL20" s="17"/>
      <c r="HFM20" s="5"/>
      <c r="HFT20" s="17"/>
      <c r="HFU20" s="5"/>
      <c r="HGB20" s="17"/>
      <c r="HGC20" s="5"/>
      <c r="HGJ20" s="17"/>
      <c r="HGK20" s="5"/>
      <c r="HGR20" s="17"/>
      <c r="HGS20" s="5"/>
      <c r="HGZ20" s="17"/>
      <c r="HHA20" s="5"/>
      <c r="HHH20" s="17"/>
      <c r="HHI20" s="5"/>
      <c r="HHP20" s="17"/>
      <c r="HHQ20" s="5"/>
      <c r="HHX20" s="17"/>
      <c r="HHY20" s="5"/>
      <c r="HIF20" s="17"/>
      <c r="HIG20" s="5"/>
      <c r="HIN20" s="17"/>
      <c r="HIO20" s="5"/>
      <c r="HIV20" s="17"/>
      <c r="HIW20" s="5"/>
      <c r="HJD20" s="17"/>
      <c r="HJE20" s="5"/>
      <c r="HJL20" s="17"/>
      <c r="HJM20" s="5"/>
      <c r="HJT20" s="17"/>
      <c r="HJU20" s="5"/>
      <c r="HKB20" s="17"/>
      <c r="HKC20" s="5"/>
      <c r="HKJ20" s="17"/>
      <c r="HKK20" s="5"/>
      <c r="HKR20" s="17"/>
      <c r="HKS20" s="5"/>
      <c r="HKZ20" s="17"/>
      <c r="HLA20" s="5"/>
      <c r="HLH20" s="17"/>
      <c r="HLI20" s="5"/>
      <c r="HLP20" s="17"/>
      <c r="HLQ20" s="5"/>
      <c r="HLX20" s="17"/>
      <c r="HLY20" s="5"/>
      <c r="HMF20" s="17"/>
      <c r="HMG20" s="5"/>
      <c r="HMN20" s="17"/>
      <c r="HMO20" s="5"/>
      <c r="HMV20" s="17"/>
      <c r="HMW20" s="5"/>
      <c r="HND20" s="17"/>
      <c r="HNE20" s="5"/>
      <c r="HNL20" s="17"/>
      <c r="HNM20" s="5"/>
      <c r="HNT20" s="17"/>
      <c r="HNU20" s="5"/>
      <c r="HOB20" s="17"/>
      <c r="HOC20" s="5"/>
      <c r="HOJ20" s="17"/>
      <c r="HOK20" s="5"/>
      <c r="HOR20" s="17"/>
      <c r="HOS20" s="5"/>
      <c r="HOZ20" s="17"/>
      <c r="HPA20" s="5"/>
      <c r="HPH20" s="17"/>
      <c r="HPI20" s="5"/>
      <c r="HPP20" s="17"/>
      <c r="HPQ20" s="5"/>
      <c r="HPX20" s="17"/>
      <c r="HPY20" s="5"/>
      <c r="HQF20" s="17"/>
      <c r="HQG20" s="5"/>
      <c r="HQN20" s="17"/>
      <c r="HQO20" s="5"/>
      <c r="HQV20" s="17"/>
      <c r="HQW20" s="5"/>
      <c r="HRD20" s="17"/>
      <c r="HRE20" s="5"/>
      <c r="HRL20" s="17"/>
      <c r="HRM20" s="5"/>
      <c r="HRT20" s="17"/>
      <c r="HRU20" s="5"/>
      <c r="HSB20" s="17"/>
      <c r="HSC20" s="5"/>
      <c r="HSJ20" s="17"/>
      <c r="HSK20" s="5"/>
      <c r="HSR20" s="17"/>
      <c r="HSS20" s="5"/>
      <c r="HSZ20" s="17"/>
      <c r="HTA20" s="5"/>
      <c r="HTH20" s="17"/>
      <c r="HTI20" s="5"/>
      <c r="HTP20" s="17"/>
      <c r="HTQ20" s="5"/>
      <c r="HTX20" s="17"/>
      <c r="HTY20" s="5"/>
      <c r="HUF20" s="17"/>
      <c r="HUG20" s="5"/>
      <c r="HUN20" s="17"/>
      <c r="HUO20" s="5"/>
      <c r="HUV20" s="17"/>
      <c r="HUW20" s="5"/>
      <c r="HVD20" s="17"/>
      <c r="HVE20" s="5"/>
      <c r="HVL20" s="17"/>
      <c r="HVM20" s="5"/>
      <c r="HVT20" s="17"/>
      <c r="HVU20" s="5"/>
      <c r="HWB20" s="17"/>
      <c r="HWC20" s="5"/>
      <c r="HWJ20" s="17"/>
      <c r="HWK20" s="5"/>
      <c r="HWR20" s="17"/>
      <c r="HWS20" s="5"/>
      <c r="HWZ20" s="17"/>
      <c r="HXA20" s="5"/>
      <c r="HXH20" s="17"/>
      <c r="HXI20" s="5"/>
      <c r="HXP20" s="17"/>
      <c r="HXQ20" s="5"/>
      <c r="HXX20" s="17"/>
      <c r="HXY20" s="5"/>
      <c r="HYF20" s="17"/>
      <c r="HYG20" s="5"/>
      <c r="HYN20" s="17"/>
      <c r="HYO20" s="5"/>
      <c r="HYV20" s="17"/>
      <c r="HYW20" s="5"/>
      <c r="HZD20" s="17"/>
      <c r="HZE20" s="5"/>
      <c r="HZL20" s="17"/>
      <c r="HZM20" s="5"/>
      <c r="HZT20" s="17"/>
      <c r="HZU20" s="5"/>
      <c r="IAB20" s="17"/>
      <c r="IAC20" s="5"/>
      <c r="IAJ20" s="17"/>
      <c r="IAK20" s="5"/>
      <c r="IAR20" s="17"/>
      <c r="IAS20" s="5"/>
      <c r="IAZ20" s="17"/>
      <c r="IBA20" s="5"/>
      <c r="IBH20" s="17"/>
      <c r="IBI20" s="5"/>
      <c r="IBP20" s="17"/>
      <c r="IBQ20" s="5"/>
      <c r="IBX20" s="17"/>
      <c r="IBY20" s="5"/>
      <c r="ICF20" s="17"/>
      <c r="ICG20" s="5"/>
      <c r="ICN20" s="17"/>
      <c r="ICO20" s="5"/>
      <c r="ICV20" s="17"/>
      <c r="ICW20" s="5"/>
      <c r="IDD20" s="17"/>
      <c r="IDE20" s="5"/>
      <c r="IDL20" s="17"/>
      <c r="IDM20" s="5"/>
      <c r="IDT20" s="17"/>
      <c r="IDU20" s="5"/>
      <c r="IEB20" s="17"/>
      <c r="IEC20" s="5"/>
      <c r="IEJ20" s="17"/>
      <c r="IEK20" s="5"/>
      <c r="IER20" s="17"/>
      <c r="IES20" s="5"/>
      <c r="IEZ20" s="17"/>
      <c r="IFA20" s="5"/>
      <c r="IFH20" s="17"/>
      <c r="IFI20" s="5"/>
      <c r="IFP20" s="17"/>
      <c r="IFQ20" s="5"/>
      <c r="IFX20" s="17"/>
      <c r="IFY20" s="5"/>
      <c r="IGF20" s="17"/>
      <c r="IGG20" s="5"/>
      <c r="IGN20" s="17"/>
      <c r="IGO20" s="5"/>
      <c r="IGV20" s="17"/>
      <c r="IGW20" s="5"/>
      <c r="IHD20" s="17"/>
      <c r="IHE20" s="5"/>
      <c r="IHL20" s="17"/>
      <c r="IHM20" s="5"/>
      <c r="IHT20" s="17"/>
      <c r="IHU20" s="5"/>
      <c r="IIB20" s="17"/>
      <c r="IIC20" s="5"/>
      <c r="IIJ20" s="17"/>
      <c r="IIK20" s="5"/>
      <c r="IIR20" s="17"/>
      <c r="IIS20" s="5"/>
      <c r="IIZ20" s="17"/>
      <c r="IJA20" s="5"/>
      <c r="IJH20" s="17"/>
      <c r="IJI20" s="5"/>
      <c r="IJP20" s="17"/>
      <c r="IJQ20" s="5"/>
      <c r="IJX20" s="17"/>
      <c r="IJY20" s="5"/>
      <c r="IKF20" s="17"/>
      <c r="IKG20" s="5"/>
      <c r="IKN20" s="17"/>
      <c r="IKO20" s="5"/>
      <c r="IKV20" s="17"/>
      <c r="IKW20" s="5"/>
      <c r="ILD20" s="17"/>
      <c r="ILE20" s="5"/>
      <c r="ILL20" s="17"/>
      <c r="ILM20" s="5"/>
      <c r="ILT20" s="17"/>
      <c r="ILU20" s="5"/>
      <c r="IMB20" s="17"/>
      <c r="IMC20" s="5"/>
      <c r="IMJ20" s="17"/>
      <c r="IMK20" s="5"/>
      <c r="IMR20" s="17"/>
      <c r="IMS20" s="5"/>
      <c r="IMZ20" s="17"/>
      <c r="INA20" s="5"/>
      <c r="INH20" s="17"/>
      <c r="INI20" s="5"/>
      <c r="INP20" s="17"/>
      <c r="INQ20" s="5"/>
      <c r="INX20" s="17"/>
      <c r="INY20" s="5"/>
      <c r="IOF20" s="17"/>
      <c r="IOG20" s="5"/>
      <c r="ION20" s="17"/>
      <c r="IOO20" s="5"/>
      <c r="IOV20" s="17"/>
      <c r="IOW20" s="5"/>
      <c r="IPD20" s="17"/>
      <c r="IPE20" s="5"/>
      <c r="IPL20" s="17"/>
      <c r="IPM20" s="5"/>
      <c r="IPT20" s="17"/>
      <c r="IPU20" s="5"/>
      <c r="IQB20" s="17"/>
      <c r="IQC20" s="5"/>
      <c r="IQJ20" s="17"/>
      <c r="IQK20" s="5"/>
      <c r="IQR20" s="17"/>
      <c r="IQS20" s="5"/>
      <c r="IQZ20" s="17"/>
      <c r="IRA20" s="5"/>
      <c r="IRH20" s="17"/>
      <c r="IRI20" s="5"/>
      <c r="IRP20" s="17"/>
      <c r="IRQ20" s="5"/>
      <c r="IRX20" s="17"/>
      <c r="IRY20" s="5"/>
      <c r="ISF20" s="17"/>
      <c r="ISG20" s="5"/>
      <c r="ISN20" s="17"/>
      <c r="ISO20" s="5"/>
      <c r="ISV20" s="17"/>
      <c r="ISW20" s="5"/>
      <c r="ITD20" s="17"/>
      <c r="ITE20" s="5"/>
      <c r="ITL20" s="17"/>
      <c r="ITM20" s="5"/>
      <c r="ITT20" s="17"/>
      <c r="ITU20" s="5"/>
      <c r="IUB20" s="17"/>
      <c r="IUC20" s="5"/>
      <c r="IUJ20" s="17"/>
      <c r="IUK20" s="5"/>
      <c r="IUR20" s="17"/>
      <c r="IUS20" s="5"/>
      <c r="IUZ20" s="17"/>
      <c r="IVA20" s="5"/>
      <c r="IVH20" s="17"/>
      <c r="IVI20" s="5"/>
      <c r="IVP20" s="17"/>
      <c r="IVQ20" s="5"/>
      <c r="IVX20" s="17"/>
      <c r="IVY20" s="5"/>
      <c r="IWF20" s="17"/>
      <c r="IWG20" s="5"/>
      <c r="IWN20" s="17"/>
      <c r="IWO20" s="5"/>
      <c r="IWV20" s="17"/>
      <c r="IWW20" s="5"/>
      <c r="IXD20" s="17"/>
      <c r="IXE20" s="5"/>
      <c r="IXL20" s="17"/>
      <c r="IXM20" s="5"/>
      <c r="IXT20" s="17"/>
      <c r="IXU20" s="5"/>
      <c r="IYB20" s="17"/>
      <c r="IYC20" s="5"/>
      <c r="IYJ20" s="17"/>
      <c r="IYK20" s="5"/>
      <c r="IYR20" s="17"/>
      <c r="IYS20" s="5"/>
      <c r="IYZ20" s="17"/>
      <c r="IZA20" s="5"/>
      <c r="IZH20" s="17"/>
      <c r="IZI20" s="5"/>
      <c r="IZP20" s="17"/>
      <c r="IZQ20" s="5"/>
      <c r="IZX20" s="17"/>
      <c r="IZY20" s="5"/>
      <c r="JAF20" s="17"/>
      <c r="JAG20" s="5"/>
      <c r="JAN20" s="17"/>
      <c r="JAO20" s="5"/>
      <c r="JAV20" s="17"/>
      <c r="JAW20" s="5"/>
      <c r="JBD20" s="17"/>
      <c r="JBE20" s="5"/>
      <c r="JBL20" s="17"/>
      <c r="JBM20" s="5"/>
      <c r="JBT20" s="17"/>
      <c r="JBU20" s="5"/>
      <c r="JCB20" s="17"/>
      <c r="JCC20" s="5"/>
      <c r="JCJ20" s="17"/>
      <c r="JCK20" s="5"/>
      <c r="JCR20" s="17"/>
      <c r="JCS20" s="5"/>
      <c r="JCZ20" s="17"/>
      <c r="JDA20" s="5"/>
      <c r="JDH20" s="17"/>
      <c r="JDI20" s="5"/>
      <c r="JDP20" s="17"/>
      <c r="JDQ20" s="5"/>
      <c r="JDX20" s="17"/>
      <c r="JDY20" s="5"/>
      <c r="JEF20" s="17"/>
      <c r="JEG20" s="5"/>
      <c r="JEN20" s="17"/>
      <c r="JEO20" s="5"/>
      <c r="JEV20" s="17"/>
      <c r="JEW20" s="5"/>
      <c r="JFD20" s="17"/>
      <c r="JFE20" s="5"/>
      <c r="JFL20" s="17"/>
      <c r="JFM20" s="5"/>
      <c r="JFT20" s="17"/>
      <c r="JFU20" s="5"/>
      <c r="JGB20" s="17"/>
      <c r="JGC20" s="5"/>
      <c r="JGJ20" s="17"/>
      <c r="JGK20" s="5"/>
      <c r="JGR20" s="17"/>
      <c r="JGS20" s="5"/>
      <c r="JGZ20" s="17"/>
      <c r="JHA20" s="5"/>
      <c r="JHH20" s="17"/>
      <c r="JHI20" s="5"/>
      <c r="JHP20" s="17"/>
      <c r="JHQ20" s="5"/>
      <c r="JHX20" s="17"/>
      <c r="JHY20" s="5"/>
      <c r="JIF20" s="17"/>
      <c r="JIG20" s="5"/>
      <c r="JIN20" s="17"/>
      <c r="JIO20" s="5"/>
      <c r="JIV20" s="17"/>
      <c r="JIW20" s="5"/>
      <c r="JJD20" s="17"/>
      <c r="JJE20" s="5"/>
      <c r="JJL20" s="17"/>
      <c r="JJM20" s="5"/>
      <c r="JJT20" s="17"/>
      <c r="JJU20" s="5"/>
      <c r="JKB20" s="17"/>
      <c r="JKC20" s="5"/>
      <c r="JKJ20" s="17"/>
      <c r="JKK20" s="5"/>
      <c r="JKR20" s="17"/>
      <c r="JKS20" s="5"/>
      <c r="JKZ20" s="17"/>
      <c r="JLA20" s="5"/>
      <c r="JLH20" s="17"/>
      <c r="JLI20" s="5"/>
      <c r="JLP20" s="17"/>
      <c r="JLQ20" s="5"/>
      <c r="JLX20" s="17"/>
      <c r="JLY20" s="5"/>
      <c r="JMF20" s="17"/>
      <c r="JMG20" s="5"/>
      <c r="JMN20" s="17"/>
      <c r="JMO20" s="5"/>
      <c r="JMV20" s="17"/>
      <c r="JMW20" s="5"/>
      <c r="JND20" s="17"/>
      <c r="JNE20" s="5"/>
      <c r="JNL20" s="17"/>
      <c r="JNM20" s="5"/>
      <c r="JNT20" s="17"/>
      <c r="JNU20" s="5"/>
      <c r="JOB20" s="17"/>
      <c r="JOC20" s="5"/>
      <c r="JOJ20" s="17"/>
      <c r="JOK20" s="5"/>
      <c r="JOR20" s="17"/>
      <c r="JOS20" s="5"/>
      <c r="JOZ20" s="17"/>
      <c r="JPA20" s="5"/>
      <c r="JPH20" s="17"/>
      <c r="JPI20" s="5"/>
      <c r="JPP20" s="17"/>
      <c r="JPQ20" s="5"/>
      <c r="JPX20" s="17"/>
      <c r="JPY20" s="5"/>
      <c r="JQF20" s="17"/>
      <c r="JQG20" s="5"/>
      <c r="JQN20" s="17"/>
      <c r="JQO20" s="5"/>
      <c r="JQV20" s="17"/>
      <c r="JQW20" s="5"/>
      <c r="JRD20" s="17"/>
      <c r="JRE20" s="5"/>
      <c r="JRL20" s="17"/>
      <c r="JRM20" s="5"/>
      <c r="JRT20" s="17"/>
      <c r="JRU20" s="5"/>
      <c r="JSB20" s="17"/>
      <c r="JSC20" s="5"/>
      <c r="JSJ20" s="17"/>
      <c r="JSK20" s="5"/>
      <c r="JSR20" s="17"/>
      <c r="JSS20" s="5"/>
      <c r="JSZ20" s="17"/>
      <c r="JTA20" s="5"/>
      <c r="JTH20" s="17"/>
      <c r="JTI20" s="5"/>
      <c r="JTP20" s="17"/>
      <c r="JTQ20" s="5"/>
      <c r="JTX20" s="17"/>
      <c r="JTY20" s="5"/>
      <c r="JUF20" s="17"/>
      <c r="JUG20" s="5"/>
      <c r="JUN20" s="17"/>
      <c r="JUO20" s="5"/>
      <c r="JUV20" s="17"/>
      <c r="JUW20" s="5"/>
      <c r="JVD20" s="17"/>
      <c r="JVE20" s="5"/>
      <c r="JVL20" s="17"/>
      <c r="JVM20" s="5"/>
      <c r="JVT20" s="17"/>
      <c r="JVU20" s="5"/>
      <c r="JWB20" s="17"/>
      <c r="JWC20" s="5"/>
      <c r="JWJ20" s="17"/>
      <c r="JWK20" s="5"/>
      <c r="JWR20" s="17"/>
      <c r="JWS20" s="5"/>
      <c r="JWZ20" s="17"/>
      <c r="JXA20" s="5"/>
      <c r="JXH20" s="17"/>
      <c r="JXI20" s="5"/>
      <c r="JXP20" s="17"/>
      <c r="JXQ20" s="5"/>
      <c r="JXX20" s="17"/>
      <c r="JXY20" s="5"/>
      <c r="JYF20" s="17"/>
      <c r="JYG20" s="5"/>
      <c r="JYN20" s="17"/>
      <c r="JYO20" s="5"/>
      <c r="JYV20" s="17"/>
      <c r="JYW20" s="5"/>
      <c r="JZD20" s="17"/>
      <c r="JZE20" s="5"/>
      <c r="JZL20" s="17"/>
      <c r="JZM20" s="5"/>
      <c r="JZT20" s="17"/>
      <c r="JZU20" s="5"/>
      <c r="KAB20" s="17"/>
      <c r="KAC20" s="5"/>
      <c r="KAJ20" s="17"/>
      <c r="KAK20" s="5"/>
      <c r="KAR20" s="17"/>
      <c r="KAS20" s="5"/>
      <c r="KAZ20" s="17"/>
      <c r="KBA20" s="5"/>
      <c r="KBH20" s="17"/>
      <c r="KBI20" s="5"/>
      <c r="KBP20" s="17"/>
      <c r="KBQ20" s="5"/>
      <c r="KBX20" s="17"/>
      <c r="KBY20" s="5"/>
      <c r="KCF20" s="17"/>
      <c r="KCG20" s="5"/>
      <c r="KCN20" s="17"/>
      <c r="KCO20" s="5"/>
      <c r="KCV20" s="17"/>
      <c r="KCW20" s="5"/>
      <c r="KDD20" s="17"/>
      <c r="KDE20" s="5"/>
      <c r="KDL20" s="17"/>
      <c r="KDM20" s="5"/>
      <c r="KDT20" s="17"/>
      <c r="KDU20" s="5"/>
      <c r="KEB20" s="17"/>
      <c r="KEC20" s="5"/>
      <c r="KEJ20" s="17"/>
      <c r="KEK20" s="5"/>
      <c r="KER20" s="17"/>
      <c r="KES20" s="5"/>
      <c r="KEZ20" s="17"/>
      <c r="KFA20" s="5"/>
      <c r="KFH20" s="17"/>
      <c r="KFI20" s="5"/>
      <c r="KFP20" s="17"/>
      <c r="KFQ20" s="5"/>
      <c r="KFX20" s="17"/>
      <c r="KFY20" s="5"/>
      <c r="KGF20" s="17"/>
      <c r="KGG20" s="5"/>
      <c r="KGN20" s="17"/>
      <c r="KGO20" s="5"/>
      <c r="KGV20" s="17"/>
      <c r="KGW20" s="5"/>
      <c r="KHD20" s="17"/>
      <c r="KHE20" s="5"/>
      <c r="KHL20" s="17"/>
      <c r="KHM20" s="5"/>
      <c r="KHT20" s="17"/>
      <c r="KHU20" s="5"/>
      <c r="KIB20" s="17"/>
      <c r="KIC20" s="5"/>
      <c r="KIJ20" s="17"/>
      <c r="KIK20" s="5"/>
      <c r="KIR20" s="17"/>
      <c r="KIS20" s="5"/>
      <c r="KIZ20" s="17"/>
      <c r="KJA20" s="5"/>
      <c r="KJH20" s="17"/>
      <c r="KJI20" s="5"/>
      <c r="KJP20" s="17"/>
      <c r="KJQ20" s="5"/>
      <c r="KJX20" s="17"/>
      <c r="KJY20" s="5"/>
      <c r="KKF20" s="17"/>
      <c r="KKG20" s="5"/>
      <c r="KKN20" s="17"/>
      <c r="KKO20" s="5"/>
      <c r="KKV20" s="17"/>
      <c r="KKW20" s="5"/>
      <c r="KLD20" s="17"/>
      <c r="KLE20" s="5"/>
      <c r="KLL20" s="17"/>
      <c r="KLM20" s="5"/>
      <c r="KLT20" s="17"/>
      <c r="KLU20" s="5"/>
      <c r="KMB20" s="17"/>
      <c r="KMC20" s="5"/>
      <c r="KMJ20" s="17"/>
      <c r="KMK20" s="5"/>
      <c r="KMR20" s="17"/>
      <c r="KMS20" s="5"/>
      <c r="KMZ20" s="17"/>
      <c r="KNA20" s="5"/>
      <c r="KNH20" s="17"/>
      <c r="KNI20" s="5"/>
      <c r="KNP20" s="17"/>
      <c r="KNQ20" s="5"/>
      <c r="KNX20" s="17"/>
      <c r="KNY20" s="5"/>
      <c r="KOF20" s="17"/>
      <c r="KOG20" s="5"/>
      <c r="KON20" s="17"/>
      <c r="KOO20" s="5"/>
      <c r="KOV20" s="17"/>
      <c r="KOW20" s="5"/>
      <c r="KPD20" s="17"/>
      <c r="KPE20" s="5"/>
      <c r="KPL20" s="17"/>
      <c r="KPM20" s="5"/>
      <c r="KPT20" s="17"/>
      <c r="KPU20" s="5"/>
      <c r="KQB20" s="17"/>
      <c r="KQC20" s="5"/>
      <c r="KQJ20" s="17"/>
      <c r="KQK20" s="5"/>
      <c r="KQR20" s="17"/>
      <c r="KQS20" s="5"/>
      <c r="KQZ20" s="17"/>
      <c r="KRA20" s="5"/>
      <c r="KRH20" s="17"/>
      <c r="KRI20" s="5"/>
      <c r="KRP20" s="17"/>
      <c r="KRQ20" s="5"/>
      <c r="KRX20" s="17"/>
      <c r="KRY20" s="5"/>
      <c r="KSF20" s="17"/>
      <c r="KSG20" s="5"/>
      <c r="KSN20" s="17"/>
      <c r="KSO20" s="5"/>
      <c r="KSV20" s="17"/>
      <c r="KSW20" s="5"/>
      <c r="KTD20" s="17"/>
      <c r="KTE20" s="5"/>
      <c r="KTL20" s="17"/>
      <c r="KTM20" s="5"/>
      <c r="KTT20" s="17"/>
      <c r="KTU20" s="5"/>
      <c r="KUB20" s="17"/>
      <c r="KUC20" s="5"/>
      <c r="KUJ20" s="17"/>
      <c r="KUK20" s="5"/>
      <c r="KUR20" s="17"/>
      <c r="KUS20" s="5"/>
      <c r="KUZ20" s="17"/>
      <c r="KVA20" s="5"/>
      <c r="KVH20" s="17"/>
      <c r="KVI20" s="5"/>
      <c r="KVP20" s="17"/>
      <c r="KVQ20" s="5"/>
      <c r="KVX20" s="17"/>
      <c r="KVY20" s="5"/>
      <c r="KWF20" s="17"/>
      <c r="KWG20" s="5"/>
      <c r="KWN20" s="17"/>
      <c r="KWO20" s="5"/>
      <c r="KWV20" s="17"/>
      <c r="KWW20" s="5"/>
      <c r="KXD20" s="17"/>
      <c r="KXE20" s="5"/>
      <c r="KXL20" s="17"/>
      <c r="KXM20" s="5"/>
      <c r="KXT20" s="17"/>
      <c r="KXU20" s="5"/>
      <c r="KYB20" s="17"/>
      <c r="KYC20" s="5"/>
      <c r="KYJ20" s="17"/>
      <c r="KYK20" s="5"/>
      <c r="KYR20" s="17"/>
      <c r="KYS20" s="5"/>
      <c r="KYZ20" s="17"/>
      <c r="KZA20" s="5"/>
      <c r="KZH20" s="17"/>
      <c r="KZI20" s="5"/>
      <c r="KZP20" s="17"/>
      <c r="KZQ20" s="5"/>
      <c r="KZX20" s="17"/>
      <c r="KZY20" s="5"/>
      <c r="LAF20" s="17"/>
      <c r="LAG20" s="5"/>
      <c r="LAN20" s="17"/>
      <c r="LAO20" s="5"/>
      <c r="LAV20" s="17"/>
      <c r="LAW20" s="5"/>
      <c r="LBD20" s="17"/>
      <c r="LBE20" s="5"/>
      <c r="LBL20" s="17"/>
      <c r="LBM20" s="5"/>
      <c r="LBT20" s="17"/>
      <c r="LBU20" s="5"/>
      <c r="LCB20" s="17"/>
      <c r="LCC20" s="5"/>
      <c r="LCJ20" s="17"/>
      <c r="LCK20" s="5"/>
      <c r="LCR20" s="17"/>
      <c r="LCS20" s="5"/>
      <c r="LCZ20" s="17"/>
      <c r="LDA20" s="5"/>
      <c r="LDH20" s="17"/>
      <c r="LDI20" s="5"/>
      <c r="LDP20" s="17"/>
      <c r="LDQ20" s="5"/>
      <c r="LDX20" s="17"/>
      <c r="LDY20" s="5"/>
      <c r="LEF20" s="17"/>
      <c r="LEG20" s="5"/>
      <c r="LEN20" s="17"/>
      <c r="LEO20" s="5"/>
      <c r="LEV20" s="17"/>
      <c r="LEW20" s="5"/>
      <c r="LFD20" s="17"/>
      <c r="LFE20" s="5"/>
      <c r="LFL20" s="17"/>
      <c r="LFM20" s="5"/>
      <c r="LFT20" s="17"/>
      <c r="LFU20" s="5"/>
      <c r="LGB20" s="17"/>
      <c r="LGC20" s="5"/>
      <c r="LGJ20" s="17"/>
      <c r="LGK20" s="5"/>
      <c r="LGR20" s="17"/>
      <c r="LGS20" s="5"/>
      <c r="LGZ20" s="17"/>
      <c r="LHA20" s="5"/>
      <c r="LHH20" s="17"/>
      <c r="LHI20" s="5"/>
      <c r="LHP20" s="17"/>
      <c r="LHQ20" s="5"/>
      <c r="LHX20" s="17"/>
      <c r="LHY20" s="5"/>
      <c r="LIF20" s="17"/>
      <c r="LIG20" s="5"/>
      <c r="LIN20" s="17"/>
      <c r="LIO20" s="5"/>
      <c r="LIV20" s="17"/>
      <c r="LIW20" s="5"/>
      <c r="LJD20" s="17"/>
      <c r="LJE20" s="5"/>
      <c r="LJL20" s="17"/>
      <c r="LJM20" s="5"/>
      <c r="LJT20" s="17"/>
      <c r="LJU20" s="5"/>
      <c r="LKB20" s="17"/>
      <c r="LKC20" s="5"/>
      <c r="LKJ20" s="17"/>
      <c r="LKK20" s="5"/>
      <c r="LKR20" s="17"/>
      <c r="LKS20" s="5"/>
      <c r="LKZ20" s="17"/>
      <c r="LLA20" s="5"/>
      <c r="LLH20" s="17"/>
      <c r="LLI20" s="5"/>
      <c r="LLP20" s="17"/>
      <c r="LLQ20" s="5"/>
      <c r="LLX20" s="17"/>
      <c r="LLY20" s="5"/>
      <c r="LMF20" s="17"/>
      <c r="LMG20" s="5"/>
      <c r="LMN20" s="17"/>
      <c r="LMO20" s="5"/>
      <c r="LMV20" s="17"/>
      <c r="LMW20" s="5"/>
      <c r="LND20" s="17"/>
      <c r="LNE20" s="5"/>
      <c r="LNL20" s="17"/>
      <c r="LNM20" s="5"/>
      <c r="LNT20" s="17"/>
      <c r="LNU20" s="5"/>
      <c r="LOB20" s="17"/>
      <c r="LOC20" s="5"/>
      <c r="LOJ20" s="17"/>
      <c r="LOK20" s="5"/>
      <c r="LOR20" s="17"/>
      <c r="LOS20" s="5"/>
      <c r="LOZ20" s="17"/>
      <c r="LPA20" s="5"/>
      <c r="LPH20" s="17"/>
      <c r="LPI20" s="5"/>
      <c r="LPP20" s="17"/>
      <c r="LPQ20" s="5"/>
      <c r="LPX20" s="17"/>
      <c r="LPY20" s="5"/>
      <c r="LQF20" s="17"/>
      <c r="LQG20" s="5"/>
      <c r="LQN20" s="17"/>
      <c r="LQO20" s="5"/>
      <c r="LQV20" s="17"/>
      <c r="LQW20" s="5"/>
      <c r="LRD20" s="17"/>
      <c r="LRE20" s="5"/>
      <c r="LRL20" s="17"/>
      <c r="LRM20" s="5"/>
      <c r="LRT20" s="17"/>
      <c r="LRU20" s="5"/>
      <c r="LSB20" s="17"/>
      <c r="LSC20" s="5"/>
      <c r="LSJ20" s="17"/>
      <c r="LSK20" s="5"/>
      <c r="LSR20" s="17"/>
      <c r="LSS20" s="5"/>
      <c r="LSZ20" s="17"/>
      <c r="LTA20" s="5"/>
      <c r="LTH20" s="17"/>
      <c r="LTI20" s="5"/>
      <c r="LTP20" s="17"/>
      <c r="LTQ20" s="5"/>
      <c r="LTX20" s="17"/>
      <c r="LTY20" s="5"/>
      <c r="LUF20" s="17"/>
      <c r="LUG20" s="5"/>
      <c r="LUN20" s="17"/>
      <c r="LUO20" s="5"/>
      <c r="LUV20" s="17"/>
      <c r="LUW20" s="5"/>
      <c r="LVD20" s="17"/>
      <c r="LVE20" s="5"/>
      <c r="LVL20" s="17"/>
      <c r="LVM20" s="5"/>
      <c r="LVT20" s="17"/>
      <c r="LVU20" s="5"/>
      <c r="LWB20" s="17"/>
      <c r="LWC20" s="5"/>
      <c r="LWJ20" s="17"/>
      <c r="LWK20" s="5"/>
      <c r="LWR20" s="17"/>
      <c r="LWS20" s="5"/>
      <c r="LWZ20" s="17"/>
      <c r="LXA20" s="5"/>
      <c r="LXH20" s="17"/>
      <c r="LXI20" s="5"/>
      <c r="LXP20" s="17"/>
      <c r="LXQ20" s="5"/>
      <c r="LXX20" s="17"/>
      <c r="LXY20" s="5"/>
      <c r="LYF20" s="17"/>
      <c r="LYG20" s="5"/>
      <c r="LYN20" s="17"/>
      <c r="LYO20" s="5"/>
      <c r="LYV20" s="17"/>
      <c r="LYW20" s="5"/>
      <c r="LZD20" s="17"/>
      <c r="LZE20" s="5"/>
      <c r="LZL20" s="17"/>
      <c r="LZM20" s="5"/>
      <c r="LZT20" s="17"/>
      <c r="LZU20" s="5"/>
      <c r="MAB20" s="17"/>
      <c r="MAC20" s="5"/>
      <c r="MAJ20" s="17"/>
      <c r="MAK20" s="5"/>
      <c r="MAR20" s="17"/>
      <c r="MAS20" s="5"/>
      <c r="MAZ20" s="17"/>
      <c r="MBA20" s="5"/>
      <c r="MBH20" s="17"/>
      <c r="MBI20" s="5"/>
      <c r="MBP20" s="17"/>
      <c r="MBQ20" s="5"/>
      <c r="MBX20" s="17"/>
      <c r="MBY20" s="5"/>
      <c r="MCF20" s="17"/>
      <c r="MCG20" s="5"/>
      <c r="MCN20" s="17"/>
      <c r="MCO20" s="5"/>
      <c r="MCV20" s="17"/>
      <c r="MCW20" s="5"/>
      <c r="MDD20" s="17"/>
      <c r="MDE20" s="5"/>
      <c r="MDL20" s="17"/>
      <c r="MDM20" s="5"/>
      <c r="MDT20" s="17"/>
      <c r="MDU20" s="5"/>
      <c r="MEB20" s="17"/>
      <c r="MEC20" s="5"/>
      <c r="MEJ20" s="17"/>
      <c r="MEK20" s="5"/>
      <c r="MER20" s="17"/>
      <c r="MES20" s="5"/>
      <c r="MEZ20" s="17"/>
      <c r="MFA20" s="5"/>
      <c r="MFH20" s="17"/>
      <c r="MFI20" s="5"/>
      <c r="MFP20" s="17"/>
      <c r="MFQ20" s="5"/>
      <c r="MFX20" s="17"/>
      <c r="MFY20" s="5"/>
      <c r="MGF20" s="17"/>
      <c r="MGG20" s="5"/>
      <c r="MGN20" s="17"/>
      <c r="MGO20" s="5"/>
      <c r="MGV20" s="17"/>
      <c r="MGW20" s="5"/>
      <c r="MHD20" s="17"/>
      <c r="MHE20" s="5"/>
      <c r="MHL20" s="17"/>
      <c r="MHM20" s="5"/>
      <c r="MHT20" s="17"/>
      <c r="MHU20" s="5"/>
      <c r="MIB20" s="17"/>
      <c r="MIC20" s="5"/>
      <c r="MIJ20" s="17"/>
      <c r="MIK20" s="5"/>
      <c r="MIR20" s="17"/>
      <c r="MIS20" s="5"/>
      <c r="MIZ20" s="17"/>
      <c r="MJA20" s="5"/>
      <c r="MJH20" s="17"/>
      <c r="MJI20" s="5"/>
      <c r="MJP20" s="17"/>
      <c r="MJQ20" s="5"/>
      <c r="MJX20" s="17"/>
      <c r="MJY20" s="5"/>
      <c r="MKF20" s="17"/>
      <c r="MKG20" s="5"/>
      <c r="MKN20" s="17"/>
      <c r="MKO20" s="5"/>
      <c r="MKV20" s="17"/>
      <c r="MKW20" s="5"/>
      <c r="MLD20" s="17"/>
      <c r="MLE20" s="5"/>
      <c r="MLL20" s="17"/>
      <c r="MLM20" s="5"/>
      <c r="MLT20" s="17"/>
      <c r="MLU20" s="5"/>
      <c r="MMB20" s="17"/>
      <c r="MMC20" s="5"/>
      <c r="MMJ20" s="17"/>
      <c r="MMK20" s="5"/>
      <c r="MMR20" s="17"/>
      <c r="MMS20" s="5"/>
      <c r="MMZ20" s="17"/>
      <c r="MNA20" s="5"/>
      <c r="MNH20" s="17"/>
      <c r="MNI20" s="5"/>
      <c r="MNP20" s="17"/>
      <c r="MNQ20" s="5"/>
      <c r="MNX20" s="17"/>
      <c r="MNY20" s="5"/>
      <c r="MOF20" s="17"/>
      <c r="MOG20" s="5"/>
      <c r="MON20" s="17"/>
      <c r="MOO20" s="5"/>
      <c r="MOV20" s="17"/>
      <c r="MOW20" s="5"/>
      <c r="MPD20" s="17"/>
      <c r="MPE20" s="5"/>
      <c r="MPL20" s="17"/>
      <c r="MPM20" s="5"/>
      <c r="MPT20" s="17"/>
      <c r="MPU20" s="5"/>
      <c r="MQB20" s="17"/>
      <c r="MQC20" s="5"/>
      <c r="MQJ20" s="17"/>
      <c r="MQK20" s="5"/>
      <c r="MQR20" s="17"/>
      <c r="MQS20" s="5"/>
      <c r="MQZ20" s="17"/>
      <c r="MRA20" s="5"/>
      <c r="MRH20" s="17"/>
      <c r="MRI20" s="5"/>
      <c r="MRP20" s="17"/>
      <c r="MRQ20" s="5"/>
      <c r="MRX20" s="17"/>
      <c r="MRY20" s="5"/>
      <c r="MSF20" s="17"/>
      <c r="MSG20" s="5"/>
      <c r="MSN20" s="17"/>
      <c r="MSO20" s="5"/>
      <c r="MSV20" s="17"/>
      <c r="MSW20" s="5"/>
      <c r="MTD20" s="17"/>
      <c r="MTE20" s="5"/>
      <c r="MTL20" s="17"/>
      <c r="MTM20" s="5"/>
      <c r="MTT20" s="17"/>
      <c r="MTU20" s="5"/>
      <c r="MUB20" s="17"/>
      <c r="MUC20" s="5"/>
      <c r="MUJ20" s="17"/>
      <c r="MUK20" s="5"/>
      <c r="MUR20" s="17"/>
      <c r="MUS20" s="5"/>
      <c r="MUZ20" s="17"/>
      <c r="MVA20" s="5"/>
      <c r="MVH20" s="17"/>
      <c r="MVI20" s="5"/>
      <c r="MVP20" s="17"/>
      <c r="MVQ20" s="5"/>
      <c r="MVX20" s="17"/>
      <c r="MVY20" s="5"/>
      <c r="MWF20" s="17"/>
      <c r="MWG20" s="5"/>
      <c r="MWN20" s="17"/>
      <c r="MWO20" s="5"/>
      <c r="MWV20" s="17"/>
      <c r="MWW20" s="5"/>
      <c r="MXD20" s="17"/>
      <c r="MXE20" s="5"/>
      <c r="MXL20" s="17"/>
      <c r="MXM20" s="5"/>
      <c r="MXT20" s="17"/>
      <c r="MXU20" s="5"/>
      <c r="MYB20" s="17"/>
      <c r="MYC20" s="5"/>
      <c r="MYJ20" s="17"/>
      <c r="MYK20" s="5"/>
      <c r="MYR20" s="17"/>
      <c r="MYS20" s="5"/>
      <c r="MYZ20" s="17"/>
      <c r="MZA20" s="5"/>
      <c r="MZH20" s="17"/>
      <c r="MZI20" s="5"/>
      <c r="MZP20" s="17"/>
      <c r="MZQ20" s="5"/>
      <c r="MZX20" s="17"/>
      <c r="MZY20" s="5"/>
      <c r="NAF20" s="17"/>
      <c r="NAG20" s="5"/>
      <c r="NAN20" s="17"/>
      <c r="NAO20" s="5"/>
      <c r="NAV20" s="17"/>
      <c r="NAW20" s="5"/>
      <c r="NBD20" s="17"/>
      <c r="NBE20" s="5"/>
      <c r="NBL20" s="17"/>
      <c r="NBM20" s="5"/>
      <c r="NBT20" s="17"/>
      <c r="NBU20" s="5"/>
      <c r="NCB20" s="17"/>
      <c r="NCC20" s="5"/>
      <c r="NCJ20" s="17"/>
      <c r="NCK20" s="5"/>
      <c r="NCR20" s="17"/>
      <c r="NCS20" s="5"/>
      <c r="NCZ20" s="17"/>
      <c r="NDA20" s="5"/>
      <c r="NDH20" s="17"/>
      <c r="NDI20" s="5"/>
      <c r="NDP20" s="17"/>
      <c r="NDQ20" s="5"/>
      <c r="NDX20" s="17"/>
      <c r="NDY20" s="5"/>
      <c r="NEF20" s="17"/>
      <c r="NEG20" s="5"/>
      <c r="NEN20" s="17"/>
      <c r="NEO20" s="5"/>
      <c r="NEV20" s="17"/>
      <c r="NEW20" s="5"/>
      <c r="NFD20" s="17"/>
      <c r="NFE20" s="5"/>
      <c r="NFL20" s="17"/>
      <c r="NFM20" s="5"/>
      <c r="NFT20" s="17"/>
      <c r="NFU20" s="5"/>
      <c r="NGB20" s="17"/>
      <c r="NGC20" s="5"/>
      <c r="NGJ20" s="17"/>
      <c r="NGK20" s="5"/>
      <c r="NGR20" s="17"/>
      <c r="NGS20" s="5"/>
      <c r="NGZ20" s="17"/>
      <c r="NHA20" s="5"/>
      <c r="NHH20" s="17"/>
      <c r="NHI20" s="5"/>
      <c r="NHP20" s="17"/>
      <c r="NHQ20" s="5"/>
      <c r="NHX20" s="17"/>
      <c r="NHY20" s="5"/>
      <c r="NIF20" s="17"/>
      <c r="NIG20" s="5"/>
      <c r="NIN20" s="17"/>
      <c r="NIO20" s="5"/>
      <c r="NIV20" s="17"/>
      <c r="NIW20" s="5"/>
      <c r="NJD20" s="17"/>
      <c r="NJE20" s="5"/>
      <c r="NJL20" s="17"/>
      <c r="NJM20" s="5"/>
      <c r="NJT20" s="17"/>
      <c r="NJU20" s="5"/>
      <c r="NKB20" s="17"/>
      <c r="NKC20" s="5"/>
      <c r="NKJ20" s="17"/>
      <c r="NKK20" s="5"/>
      <c r="NKR20" s="17"/>
      <c r="NKS20" s="5"/>
      <c r="NKZ20" s="17"/>
      <c r="NLA20" s="5"/>
      <c r="NLH20" s="17"/>
      <c r="NLI20" s="5"/>
      <c r="NLP20" s="17"/>
      <c r="NLQ20" s="5"/>
      <c r="NLX20" s="17"/>
      <c r="NLY20" s="5"/>
      <c r="NMF20" s="17"/>
      <c r="NMG20" s="5"/>
      <c r="NMN20" s="17"/>
      <c r="NMO20" s="5"/>
      <c r="NMV20" s="17"/>
      <c r="NMW20" s="5"/>
      <c r="NND20" s="17"/>
      <c r="NNE20" s="5"/>
      <c r="NNL20" s="17"/>
      <c r="NNM20" s="5"/>
      <c r="NNT20" s="17"/>
      <c r="NNU20" s="5"/>
      <c r="NOB20" s="17"/>
      <c r="NOC20" s="5"/>
      <c r="NOJ20" s="17"/>
      <c r="NOK20" s="5"/>
      <c r="NOR20" s="17"/>
      <c r="NOS20" s="5"/>
      <c r="NOZ20" s="17"/>
      <c r="NPA20" s="5"/>
      <c r="NPH20" s="17"/>
      <c r="NPI20" s="5"/>
      <c r="NPP20" s="17"/>
      <c r="NPQ20" s="5"/>
      <c r="NPX20" s="17"/>
      <c r="NPY20" s="5"/>
      <c r="NQF20" s="17"/>
      <c r="NQG20" s="5"/>
      <c r="NQN20" s="17"/>
      <c r="NQO20" s="5"/>
      <c r="NQV20" s="17"/>
      <c r="NQW20" s="5"/>
      <c r="NRD20" s="17"/>
      <c r="NRE20" s="5"/>
      <c r="NRL20" s="17"/>
      <c r="NRM20" s="5"/>
      <c r="NRT20" s="17"/>
      <c r="NRU20" s="5"/>
      <c r="NSB20" s="17"/>
      <c r="NSC20" s="5"/>
      <c r="NSJ20" s="17"/>
      <c r="NSK20" s="5"/>
      <c r="NSR20" s="17"/>
      <c r="NSS20" s="5"/>
      <c r="NSZ20" s="17"/>
      <c r="NTA20" s="5"/>
      <c r="NTH20" s="17"/>
      <c r="NTI20" s="5"/>
      <c r="NTP20" s="17"/>
      <c r="NTQ20" s="5"/>
      <c r="NTX20" s="17"/>
      <c r="NTY20" s="5"/>
      <c r="NUF20" s="17"/>
      <c r="NUG20" s="5"/>
      <c r="NUN20" s="17"/>
      <c r="NUO20" s="5"/>
      <c r="NUV20" s="17"/>
      <c r="NUW20" s="5"/>
      <c r="NVD20" s="17"/>
      <c r="NVE20" s="5"/>
      <c r="NVL20" s="17"/>
      <c r="NVM20" s="5"/>
      <c r="NVT20" s="17"/>
      <c r="NVU20" s="5"/>
      <c r="NWB20" s="17"/>
      <c r="NWC20" s="5"/>
      <c r="NWJ20" s="17"/>
      <c r="NWK20" s="5"/>
      <c r="NWR20" s="17"/>
      <c r="NWS20" s="5"/>
      <c r="NWZ20" s="17"/>
      <c r="NXA20" s="5"/>
      <c r="NXH20" s="17"/>
      <c r="NXI20" s="5"/>
      <c r="NXP20" s="17"/>
      <c r="NXQ20" s="5"/>
      <c r="NXX20" s="17"/>
      <c r="NXY20" s="5"/>
      <c r="NYF20" s="17"/>
      <c r="NYG20" s="5"/>
      <c r="NYN20" s="17"/>
      <c r="NYO20" s="5"/>
      <c r="NYV20" s="17"/>
      <c r="NYW20" s="5"/>
      <c r="NZD20" s="17"/>
      <c r="NZE20" s="5"/>
      <c r="NZL20" s="17"/>
      <c r="NZM20" s="5"/>
      <c r="NZT20" s="17"/>
      <c r="NZU20" s="5"/>
      <c r="OAB20" s="17"/>
      <c r="OAC20" s="5"/>
      <c r="OAJ20" s="17"/>
      <c r="OAK20" s="5"/>
      <c r="OAR20" s="17"/>
      <c r="OAS20" s="5"/>
      <c r="OAZ20" s="17"/>
      <c r="OBA20" s="5"/>
      <c r="OBH20" s="17"/>
      <c r="OBI20" s="5"/>
      <c r="OBP20" s="17"/>
      <c r="OBQ20" s="5"/>
      <c r="OBX20" s="17"/>
      <c r="OBY20" s="5"/>
      <c r="OCF20" s="17"/>
      <c r="OCG20" s="5"/>
      <c r="OCN20" s="17"/>
      <c r="OCO20" s="5"/>
      <c r="OCV20" s="17"/>
      <c r="OCW20" s="5"/>
      <c r="ODD20" s="17"/>
      <c r="ODE20" s="5"/>
      <c r="ODL20" s="17"/>
      <c r="ODM20" s="5"/>
      <c r="ODT20" s="17"/>
      <c r="ODU20" s="5"/>
      <c r="OEB20" s="17"/>
      <c r="OEC20" s="5"/>
      <c r="OEJ20" s="17"/>
      <c r="OEK20" s="5"/>
      <c r="OER20" s="17"/>
      <c r="OES20" s="5"/>
      <c r="OEZ20" s="17"/>
      <c r="OFA20" s="5"/>
      <c r="OFH20" s="17"/>
      <c r="OFI20" s="5"/>
      <c r="OFP20" s="17"/>
      <c r="OFQ20" s="5"/>
      <c r="OFX20" s="17"/>
      <c r="OFY20" s="5"/>
      <c r="OGF20" s="17"/>
      <c r="OGG20" s="5"/>
      <c r="OGN20" s="17"/>
      <c r="OGO20" s="5"/>
      <c r="OGV20" s="17"/>
      <c r="OGW20" s="5"/>
      <c r="OHD20" s="17"/>
      <c r="OHE20" s="5"/>
      <c r="OHL20" s="17"/>
      <c r="OHM20" s="5"/>
      <c r="OHT20" s="17"/>
      <c r="OHU20" s="5"/>
      <c r="OIB20" s="17"/>
      <c r="OIC20" s="5"/>
      <c r="OIJ20" s="17"/>
      <c r="OIK20" s="5"/>
      <c r="OIR20" s="17"/>
      <c r="OIS20" s="5"/>
      <c r="OIZ20" s="17"/>
      <c r="OJA20" s="5"/>
      <c r="OJH20" s="17"/>
      <c r="OJI20" s="5"/>
      <c r="OJP20" s="17"/>
      <c r="OJQ20" s="5"/>
      <c r="OJX20" s="17"/>
      <c r="OJY20" s="5"/>
      <c r="OKF20" s="17"/>
      <c r="OKG20" s="5"/>
      <c r="OKN20" s="17"/>
      <c r="OKO20" s="5"/>
      <c r="OKV20" s="17"/>
      <c r="OKW20" s="5"/>
      <c r="OLD20" s="17"/>
      <c r="OLE20" s="5"/>
      <c r="OLL20" s="17"/>
      <c r="OLM20" s="5"/>
      <c r="OLT20" s="17"/>
      <c r="OLU20" s="5"/>
      <c r="OMB20" s="17"/>
      <c r="OMC20" s="5"/>
      <c r="OMJ20" s="17"/>
      <c r="OMK20" s="5"/>
      <c r="OMR20" s="17"/>
      <c r="OMS20" s="5"/>
      <c r="OMZ20" s="17"/>
      <c r="ONA20" s="5"/>
      <c r="ONH20" s="17"/>
      <c r="ONI20" s="5"/>
      <c r="ONP20" s="17"/>
      <c r="ONQ20" s="5"/>
      <c r="ONX20" s="17"/>
      <c r="ONY20" s="5"/>
      <c r="OOF20" s="17"/>
      <c r="OOG20" s="5"/>
      <c r="OON20" s="17"/>
      <c r="OOO20" s="5"/>
      <c r="OOV20" s="17"/>
      <c r="OOW20" s="5"/>
      <c r="OPD20" s="17"/>
      <c r="OPE20" s="5"/>
      <c r="OPL20" s="17"/>
      <c r="OPM20" s="5"/>
      <c r="OPT20" s="17"/>
      <c r="OPU20" s="5"/>
      <c r="OQB20" s="17"/>
      <c r="OQC20" s="5"/>
      <c r="OQJ20" s="17"/>
      <c r="OQK20" s="5"/>
      <c r="OQR20" s="17"/>
      <c r="OQS20" s="5"/>
      <c r="OQZ20" s="17"/>
      <c r="ORA20" s="5"/>
      <c r="ORH20" s="17"/>
      <c r="ORI20" s="5"/>
      <c r="ORP20" s="17"/>
      <c r="ORQ20" s="5"/>
      <c r="ORX20" s="17"/>
      <c r="ORY20" s="5"/>
      <c r="OSF20" s="17"/>
      <c r="OSG20" s="5"/>
      <c r="OSN20" s="17"/>
      <c r="OSO20" s="5"/>
      <c r="OSV20" s="17"/>
      <c r="OSW20" s="5"/>
      <c r="OTD20" s="17"/>
      <c r="OTE20" s="5"/>
      <c r="OTL20" s="17"/>
      <c r="OTM20" s="5"/>
      <c r="OTT20" s="17"/>
      <c r="OTU20" s="5"/>
      <c r="OUB20" s="17"/>
      <c r="OUC20" s="5"/>
      <c r="OUJ20" s="17"/>
      <c r="OUK20" s="5"/>
      <c r="OUR20" s="17"/>
      <c r="OUS20" s="5"/>
      <c r="OUZ20" s="17"/>
      <c r="OVA20" s="5"/>
      <c r="OVH20" s="17"/>
      <c r="OVI20" s="5"/>
      <c r="OVP20" s="17"/>
      <c r="OVQ20" s="5"/>
      <c r="OVX20" s="17"/>
      <c r="OVY20" s="5"/>
      <c r="OWF20" s="17"/>
      <c r="OWG20" s="5"/>
      <c r="OWN20" s="17"/>
      <c r="OWO20" s="5"/>
      <c r="OWV20" s="17"/>
      <c r="OWW20" s="5"/>
      <c r="OXD20" s="17"/>
      <c r="OXE20" s="5"/>
      <c r="OXL20" s="17"/>
      <c r="OXM20" s="5"/>
      <c r="OXT20" s="17"/>
      <c r="OXU20" s="5"/>
      <c r="OYB20" s="17"/>
      <c r="OYC20" s="5"/>
      <c r="OYJ20" s="17"/>
      <c r="OYK20" s="5"/>
      <c r="OYR20" s="17"/>
      <c r="OYS20" s="5"/>
      <c r="OYZ20" s="17"/>
      <c r="OZA20" s="5"/>
      <c r="OZH20" s="17"/>
      <c r="OZI20" s="5"/>
      <c r="OZP20" s="17"/>
      <c r="OZQ20" s="5"/>
      <c r="OZX20" s="17"/>
      <c r="OZY20" s="5"/>
      <c r="PAF20" s="17"/>
      <c r="PAG20" s="5"/>
      <c r="PAN20" s="17"/>
      <c r="PAO20" s="5"/>
      <c r="PAV20" s="17"/>
      <c r="PAW20" s="5"/>
      <c r="PBD20" s="17"/>
      <c r="PBE20" s="5"/>
      <c r="PBL20" s="17"/>
      <c r="PBM20" s="5"/>
      <c r="PBT20" s="17"/>
      <c r="PBU20" s="5"/>
      <c r="PCB20" s="17"/>
      <c r="PCC20" s="5"/>
      <c r="PCJ20" s="17"/>
      <c r="PCK20" s="5"/>
      <c r="PCR20" s="17"/>
      <c r="PCS20" s="5"/>
      <c r="PCZ20" s="17"/>
      <c r="PDA20" s="5"/>
      <c r="PDH20" s="17"/>
      <c r="PDI20" s="5"/>
      <c r="PDP20" s="17"/>
      <c r="PDQ20" s="5"/>
      <c r="PDX20" s="17"/>
      <c r="PDY20" s="5"/>
      <c r="PEF20" s="17"/>
      <c r="PEG20" s="5"/>
      <c r="PEN20" s="17"/>
      <c r="PEO20" s="5"/>
      <c r="PEV20" s="17"/>
      <c r="PEW20" s="5"/>
      <c r="PFD20" s="17"/>
      <c r="PFE20" s="5"/>
      <c r="PFL20" s="17"/>
      <c r="PFM20" s="5"/>
      <c r="PFT20" s="17"/>
      <c r="PFU20" s="5"/>
      <c r="PGB20" s="17"/>
      <c r="PGC20" s="5"/>
      <c r="PGJ20" s="17"/>
      <c r="PGK20" s="5"/>
      <c r="PGR20" s="17"/>
      <c r="PGS20" s="5"/>
      <c r="PGZ20" s="17"/>
      <c r="PHA20" s="5"/>
      <c r="PHH20" s="17"/>
      <c r="PHI20" s="5"/>
      <c r="PHP20" s="17"/>
      <c r="PHQ20" s="5"/>
      <c r="PHX20" s="17"/>
      <c r="PHY20" s="5"/>
      <c r="PIF20" s="17"/>
      <c r="PIG20" s="5"/>
      <c r="PIN20" s="17"/>
      <c r="PIO20" s="5"/>
      <c r="PIV20" s="17"/>
      <c r="PIW20" s="5"/>
      <c r="PJD20" s="17"/>
      <c r="PJE20" s="5"/>
      <c r="PJL20" s="17"/>
      <c r="PJM20" s="5"/>
      <c r="PJT20" s="17"/>
      <c r="PJU20" s="5"/>
      <c r="PKB20" s="17"/>
      <c r="PKC20" s="5"/>
      <c r="PKJ20" s="17"/>
      <c r="PKK20" s="5"/>
      <c r="PKR20" s="17"/>
      <c r="PKS20" s="5"/>
      <c r="PKZ20" s="17"/>
      <c r="PLA20" s="5"/>
      <c r="PLH20" s="17"/>
      <c r="PLI20" s="5"/>
      <c r="PLP20" s="17"/>
      <c r="PLQ20" s="5"/>
      <c r="PLX20" s="17"/>
      <c r="PLY20" s="5"/>
      <c r="PMF20" s="17"/>
      <c r="PMG20" s="5"/>
      <c r="PMN20" s="17"/>
      <c r="PMO20" s="5"/>
      <c r="PMV20" s="17"/>
      <c r="PMW20" s="5"/>
      <c r="PND20" s="17"/>
      <c r="PNE20" s="5"/>
      <c r="PNL20" s="17"/>
      <c r="PNM20" s="5"/>
      <c r="PNT20" s="17"/>
      <c r="PNU20" s="5"/>
      <c r="POB20" s="17"/>
      <c r="POC20" s="5"/>
      <c r="POJ20" s="17"/>
      <c r="POK20" s="5"/>
      <c r="POR20" s="17"/>
      <c r="POS20" s="5"/>
      <c r="POZ20" s="17"/>
      <c r="PPA20" s="5"/>
      <c r="PPH20" s="17"/>
      <c r="PPI20" s="5"/>
      <c r="PPP20" s="17"/>
      <c r="PPQ20" s="5"/>
      <c r="PPX20" s="17"/>
      <c r="PPY20" s="5"/>
      <c r="PQF20" s="17"/>
      <c r="PQG20" s="5"/>
      <c r="PQN20" s="17"/>
      <c r="PQO20" s="5"/>
      <c r="PQV20" s="17"/>
      <c r="PQW20" s="5"/>
      <c r="PRD20" s="17"/>
      <c r="PRE20" s="5"/>
      <c r="PRL20" s="17"/>
      <c r="PRM20" s="5"/>
      <c r="PRT20" s="17"/>
      <c r="PRU20" s="5"/>
      <c r="PSB20" s="17"/>
      <c r="PSC20" s="5"/>
      <c r="PSJ20" s="17"/>
      <c r="PSK20" s="5"/>
      <c r="PSR20" s="17"/>
      <c r="PSS20" s="5"/>
      <c r="PSZ20" s="17"/>
      <c r="PTA20" s="5"/>
      <c r="PTH20" s="17"/>
      <c r="PTI20" s="5"/>
      <c r="PTP20" s="17"/>
      <c r="PTQ20" s="5"/>
      <c r="PTX20" s="17"/>
      <c r="PTY20" s="5"/>
      <c r="PUF20" s="17"/>
      <c r="PUG20" s="5"/>
      <c r="PUN20" s="17"/>
      <c r="PUO20" s="5"/>
      <c r="PUV20" s="17"/>
      <c r="PUW20" s="5"/>
      <c r="PVD20" s="17"/>
      <c r="PVE20" s="5"/>
      <c r="PVL20" s="17"/>
      <c r="PVM20" s="5"/>
      <c r="PVT20" s="17"/>
      <c r="PVU20" s="5"/>
      <c r="PWB20" s="17"/>
      <c r="PWC20" s="5"/>
      <c r="PWJ20" s="17"/>
      <c r="PWK20" s="5"/>
      <c r="PWR20" s="17"/>
      <c r="PWS20" s="5"/>
      <c r="PWZ20" s="17"/>
      <c r="PXA20" s="5"/>
      <c r="PXH20" s="17"/>
      <c r="PXI20" s="5"/>
      <c r="PXP20" s="17"/>
      <c r="PXQ20" s="5"/>
      <c r="PXX20" s="17"/>
      <c r="PXY20" s="5"/>
      <c r="PYF20" s="17"/>
      <c r="PYG20" s="5"/>
      <c r="PYN20" s="17"/>
      <c r="PYO20" s="5"/>
      <c r="PYV20" s="17"/>
      <c r="PYW20" s="5"/>
      <c r="PZD20" s="17"/>
      <c r="PZE20" s="5"/>
      <c r="PZL20" s="17"/>
      <c r="PZM20" s="5"/>
      <c r="PZT20" s="17"/>
      <c r="PZU20" s="5"/>
      <c r="QAB20" s="17"/>
      <c r="QAC20" s="5"/>
      <c r="QAJ20" s="17"/>
      <c r="QAK20" s="5"/>
      <c r="QAR20" s="17"/>
      <c r="QAS20" s="5"/>
      <c r="QAZ20" s="17"/>
      <c r="QBA20" s="5"/>
      <c r="QBH20" s="17"/>
      <c r="QBI20" s="5"/>
      <c r="QBP20" s="17"/>
      <c r="QBQ20" s="5"/>
      <c r="QBX20" s="17"/>
      <c r="QBY20" s="5"/>
      <c r="QCF20" s="17"/>
      <c r="QCG20" s="5"/>
      <c r="QCN20" s="17"/>
      <c r="QCO20" s="5"/>
      <c r="QCV20" s="17"/>
      <c r="QCW20" s="5"/>
      <c r="QDD20" s="17"/>
      <c r="QDE20" s="5"/>
      <c r="QDL20" s="17"/>
      <c r="QDM20" s="5"/>
      <c r="QDT20" s="17"/>
      <c r="QDU20" s="5"/>
      <c r="QEB20" s="17"/>
      <c r="QEC20" s="5"/>
      <c r="QEJ20" s="17"/>
      <c r="QEK20" s="5"/>
      <c r="QER20" s="17"/>
      <c r="QES20" s="5"/>
      <c r="QEZ20" s="17"/>
      <c r="QFA20" s="5"/>
      <c r="QFH20" s="17"/>
      <c r="QFI20" s="5"/>
      <c r="QFP20" s="17"/>
      <c r="QFQ20" s="5"/>
      <c r="QFX20" s="17"/>
      <c r="QFY20" s="5"/>
      <c r="QGF20" s="17"/>
      <c r="QGG20" s="5"/>
      <c r="QGN20" s="17"/>
      <c r="QGO20" s="5"/>
      <c r="QGV20" s="17"/>
      <c r="QGW20" s="5"/>
      <c r="QHD20" s="17"/>
      <c r="QHE20" s="5"/>
      <c r="QHL20" s="17"/>
      <c r="QHM20" s="5"/>
      <c r="QHT20" s="17"/>
      <c r="QHU20" s="5"/>
      <c r="QIB20" s="17"/>
      <c r="QIC20" s="5"/>
      <c r="QIJ20" s="17"/>
      <c r="QIK20" s="5"/>
      <c r="QIR20" s="17"/>
      <c r="QIS20" s="5"/>
      <c r="QIZ20" s="17"/>
      <c r="QJA20" s="5"/>
      <c r="QJH20" s="17"/>
      <c r="QJI20" s="5"/>
      <c r="QJP20" s="17"/>
      <c r="QJQ20" s="5"/>
      <c r="QJX20" s="17"/>
      <c r="QJY20" s="5"/>
      <c r="QKF20" s="17"/>
      <c r="QKG20" s="5"/>
      <c r="QKN20" s="17"/>
      <c r="QKO20" s="5"/>
      <c r="QKV20" s="17"/>
      <c r="QKW20" s="5"/>
      <c r="QLD20" s="17"/>
      <c r="QLE20" s="5"/>
      <c r="QLL20" s="17"/>
      <c r="QLM20" s="5"/>
      <c r="QLT20" s="17"/>
      <c r="QLU20" s="5"/>
      <c r="QMB20" s="17"/>
      <c r="QMC20" s="5"/>
      <c r="QMJ20" s="17"/>
      <c r="QMK20" s="5"/>
      <c r="QMR20" s="17"/>
      <c r="QMS20" s="5"/>
      <c r="QMZ20" s="17"/>
      <c r="QNA20" s="5"/>
      <c r="QNH20" s="17"/>
      <c r="QNI20" s="5"/>
      <c r="QNP20" s="17"/>
      <c r="QNQ20" s="5"/>
      <c r="QNX20" s="17"/>
      <c r="QNY20" s="5"/>
      <c r="QOF20" s="17"/>
      <c r="QOG20" s="5"/>
      <c r="QON20" s="17"/>
      <c r="QOO20" s="5"/>
      <c r="QOV20" s="17"/>
      <c r="QOW20" s="5"/>
      <c r="QPD20" s="17"/>
      <c r="QPE20" s="5"/>
      <c r="QPL20" s="17"/>
      <c r="QPM20" s="5"/>
      <c r="QPT20" s="17"/>
      <c r="QPU20" s="5"/>
      <c r="QQB20" s="17"/>
      <c r="QQC20" s="5"/>
      <c r="QQJ20" s="17"/>
      <c r="QQK20" s="5"/>
      <c r="QQR20" s="17"/>
      <c r="QQS20" s="5"/>
      <c r="QQZ20" s="17"/>
      <c r="QRA20" s="5"/>
      <c r="QRH20" s="17"/>
      <c r="QRI20" s="5"/>
      <c r="QRP20" s="17"/>
      <c r="QRQ20" s="5"/>
      <c r="QRX20" s="17"/>
      <c r="QRY20" s="5"/>
      <c r="QSF20" s="17"/>
      <c r="QSG20" s="5"/>
      <c r="QSN20" s="17"/>
      <c r="QSO20" s="5"/>
      <c r="QSV20" s="17"/>
      <c r="QSW20" s="5"/>
      <c r="QTD20" s="17"/>
      <c r="QTE20" s="5"/>
      <c r="QTL20" s="17"/>
      <c r="QTM20" s="5"/>
      <c r="QTT20" s="17"/>
      <c r="QTU20" s="5"/>
      <c r="QUB20" s="17"/>
      <c r="QUC20" s="5"/>
      <c r="QUJ20" s="17"/>
      <c r="QUK20" s="5"/>
      <c r="QUR20" s="17"/>
      <c r="QUS20" s="5"/>
      <c r="QUZ20" s="17"/>
      <c r="QVA20" s="5"/>
      <c r="QVH20" s="17"/>
      <c r="QVI20" s="5"/>
      <c r="QVP20" s="17"/>
      <c r="QVQ20" s="5"/>
      <c r="QVX20" s="17"/>
      <c r="QVY20" s="5"/>
      <c r="QWF20" s="17"/>
      <c r="QWG20" s="5"/>
      <c r="QWN20" s="17"/>
      <c r="QWO20" s="5"/>
      <c r="QWV20" s="17"/>
      <c r="QWW20" s="5"/>
      <c r="QXD20" s="17"/>
      <c r="QXE20" s="5"/>
      <c r="QXL20" s="17"/>
      <c r="QXM20" s="5"/>
      <c r="QXT20" s="17"/>
      <c r="QXU20" s="5"/>
      <c r="QYB20" s="17"/>
      <c r="QYC20" s="5"/>
      <c r="QYJ20" s="17"/>
      <c r="QYK20" s="5"/>
      <c r="QYR20" s="17"/>
      <c r="QYS20" s="5"/>
      <c r="QYZ20" s="17"/>
      <c r="QZA20" s="5"/>
      <c r="QZH20" s="17"/>
      <c r="QZI20" s="5"/>
      <c r="QZP20" s="17"/>
      <c r="QZQ20" s="5"/>
      <c r="QZX20" s="17"/>
      <c r="QZY20" s="5"/>
      <c r="RAF20" s="17"/>
      <c r="RAG20" s="5"/>
      <c r="RAN20" s="17"/>
      <c r="RAO20" s="5"/>
      <c r="RAV20" s="17"/>
      <c r="RAW20" s="5"/>
      <c r="RBD20" s="17"/>
      <c r="RBE20" s="5"/>
      <c r="RBL20" s="17"/>
      <c r="RBM20" s="5"/>
      <c r="RBT20" s="17"/>
      <c r="RBU20" s="5"/>
      <c r="RCB20" s="17"/>
      <c r="RCC20" s="5"/>
      <c r="RCJ20" s="17"/>
      <c r="RCK20" s="5"/>
      <c r="RCR20" s="17"/>
      <c r="RCS20" s="5"/>
      <c r="RCZ20" s="17"/>
      <c r="RDA20" s="5"/>
      <c r="RDH20" s="17"/>
      <c r="RDI20" s="5"/>
      <c r="RDP20" s="17"/>
      <c r="RDQ20" s="5"/>
      <c r="RDX20" s="17"/>
      <c r="RDY20" s="5"/>
      <c r="REF20" s="17"/>
      <c r="REG20" s="5"/>
      <c r="REN20" s="17"/>
      <c r="REO20" s="5"/>
      <c r="REV20" s="17"/>
      <c r="REW20" s="5"/>
      <c r="RFD20" s="17"/>
      <c r="RFE20" s="5"/>
      <c r="RFL20" s="17"/>
      <c r="RFM20" s="5"/>
      <c r="RFT20" s="17"/>
      <c r="RFU20" s="5"/>
      <c r="RGB20" s="17"/>
      <c r="RGC20" s="5"/>
      <c r="RGJ20" s="17"/>
      <c r="RGK20" s="5"/>
      <c r="RGR20" s="17"/>
      <c r="RGS20" s="5"/>
      <c r="RGZ20" s="17"/>
      <c r="RHA20" s="5"/>
      <c r="RHH20" s="17"/>
      <c r="RHI20" s="5"/>
      <c r="RHP20" s="17"/>
      <c r="RHQ20" s="5"/>
      <c r="RHX20" s="17"/>
      <c r="RHY20" s="5"/>
      <c r="RIF20" s="17"/>
      <c r="RIG20" s="5"/>
      <c r="RIN20" s="17"/>
      <c r="RIO20" s="5"/>
      <c r="RIV20" s="17"/>
      <c r="RIW20" s="5"/>
      <c r="RJD20" s="17"/>
      <c r="RJE20" s="5"/>
      <c r="RJL20" s="17"/>
      <c r="RJM20" s="5"/>
      <c r="RJT20" s="17"/>
      <c r="RJU20" s="5"/>
      <c r="RKB20" s="17"/>
      <c r="RKC20" s="5"/>
      <c r="RKJ20" s="17"/>
      <c r="RKK20" s="5"/>
      <c r="RKR20" s="17"/>
      <c r="RKS20" s="5"/>
      <c r="RKZ20" s="17"/>
      <c r="RLA20" s="5"/>
      <c r="RLH20" s="17"/>
      <c r="RLI20" s="5"/>
      <c r="RLP20" s="17"/>
      <c r="RLQ20" s="5"/>
      <c r="RLX20" s="17"/>
      <c r="RLY20" s="5"/>
      <c r="RMF20" s="17"/>
      <c r="RMG20" s="5"/>
      <c r="RMN20" s="17"/>
      <c r="RMO20" s="5"/>
      <c r="RMV20" s="17"/>
      <c r="RMW20" s="5"/>
      <c r="RND20" s="17"/>
      <c r="RNE20" s="5"/>
      <c r="RNL20" s="17"/>
      <c r="RNM20" s="5"/>
      <c r="RNT20" s="17"/>
      <c r="RNU20" s="5"/>
      <c r="ROB20" s="17"/>
      <c r="ROC20" s="5"/>
      <c r="ROJ20" s="17"/>
      <c r="ROK20" s="5"/>
      <c r="ROR20" s="17"/>
      <c r="ROS20" s="5"/>
      <c r="ROZ20" s="17"/>
      <c r="RPA20" s="5"/>
      <c r="RPH20" s="17"/>
      <c r="RPI20" s="5"/>
      <c r="RPP20" s="17"/>
      <c r="RPQ20" s="5"/>
      <c r="RPX20" s="17"/>
      <c r="RPY20" s="5"/>
      <c r="RQF20" s="17"/>
      <c r="RQG20" s="5"/>
      <c r="RQN20" s="17"/>
      <c r="RQO20" s="5"/>
      <c r="RQV20" s="17"/>
      <c r="RQW20" s="5"/>
      <c r="RRD20" s="17"/>
      <c r="RRE20" s="5"/>
      <c r="RRL20" s="17"/>
      <c r="RRM20" s="5"/>
      <c r="RRT20" s="17"/>
      <c r="RRU20" s="5"/>
      <c r="RSB20" s="17"/>
      <c r="RSC20" s="5"/>
      <c r="RSJ20" s="17"/>
      <c r="RSK20" s="5"/>
      <c r="RSR20" s="17"/>
      <c r="RSS20" s="5"/>
      <c r="RSZ20" s="17"/>
      <c r="RTA20" s="5"/>
      <c r="RTH20" s="17"/>
      <c r="RTI20" s="5"/>
      <c r="RTP20" s="17"/>
      <c r="RTQ20" s="5"/>
      <c r="RTX20" s="17"/>
      <c r="RTY20" s="5"/>
      <c r="RUF20" s="17"/>
      <c r="RUG20" s="5"/>
      <c r="RUN20" s="17"/>
      <c r="RUO20" s="5"/>
      <c r="RUV20" s="17"/>
      <c r="RUW20" s="5"/>
      <c r="RVD20" s="17"/>
      <c r="RVE20" s="5"/>
      <c r="RVL20" s="17"/>
      <c r="RVM20" s="5"/>
      <c r="RVT20" s="17"/>
      <c r="RVU20" s="5"/>
      <c r="RWB20" s="17"/>
      <c r="RWC20" s="5"/>
      <c r="RWJ20" s="17"/>
      <c r="RWK20" s="5"/>
      <c r="RWR20" s="17"/>
      <c r="RWS20" s="5"/>
      <c r="RWZ20" s="17"/>
      <c r="RXA20" s="5"/>
      <c r="RXH20" s="17"/>
      <c r="RXI20" s="5"/>
      <c r="RXP20" s="17"/>
      <c r="RXQ20" s="5"/>
      <c r="RXX20" s="17"/>
      <c r="RXY20" s="5"/>
      <c r="RYF20" s="17"/>
      <c r="RYG20" s="5"/>
      <c r="RYN20" s="17"/>
      <c r="RYO20" s="5"/>
      <c r="RYV20" s="17"/>
      <c r="RYW20" s="5"/>
      <c r="RZD20" s="17"/>
      <c r="RZE20" s="5"/>
      <c r="RZL20" s="17"/>
      <c r="RZM20" s="5"/>
      <c r="RZT20" s="17"/>
      <c r="RZU20" s="5"/>
      <c r="SAB20" s="17"/>
      <c r="SAC20" s="5"/>
      <c r="SAJ20" s="17"/>
      <c r="SAK20" s="5"/>
      <c r="SAR20" s="17"/>
      <c r="SAS20" s="5"/>
      <c r="SAZ20" s="17"/>
      <c r="SBA20" s="5"/>
      <c r="SBH20" s="17"/>
      <c r="SBI20" s="5"/>
      <c r="SBP20" s="17"/>
      <c r="SBQ20" s="5"/>
      <c r="SBX20" s="17"/>
      <c r="SBY20" s="5"/>
      <c r="SCF20" s="17"/>
      <c r="SCG20" s="5"/>
      <c r="SCN20" s="17"/>
      <c r="SCO20" s="5"/>
      <c r="SCV20" s="17"/>
      <c r="SCW20" s="5"/>
      <c r="SDD20" s="17"/>
      <c r="SDE20" s="5"/>
      <c r="SDL20" s="17"/>
      <c r="SDM20" s="5"/>
      <c r="SDT20" s="17"/>
      <c r="SDU20" s="5"/>
      <c r="SEB20" s="17"/>
      <c r="SEC20" s="5"/>
      <c r="SEJ20" s="17"/>
      <c r="SEK20" s="5"/>
      <c r="SER20" s="17"/>
      <c r="SES20" s="5"/>
      <c r="SEZ20" s="17"/>
      <c r="SFA20" s="5"/>
      <c r="SFH20" s="17"/>
      <c r="SFI20" s="5"/>
      <c r="SFP20" s="17"/>
      <c r="SFQ20" s="5"/>
      <c r="SFX20" s="17"/>
      <c r="SFY20" s="5"/>
      <c r="SGF20" s="17"/>
      <c r="SGG20" s="5"/>
      <c r="SGN20" s="17"/>
      <c r="SGO20" s="5"/>
      <c r="SGV20" s="17"/>
      <c r="SGW20" s="5"/>
      <c r="SHD20" s="17"/>
      <c r="SHE20" s="5"/>
      <c r="SHL20" s="17"/>
      <c r="SHM20" s="5"/>
      <c r="SHT20" s="17"/>
      <c r="SHU20" s="5"/>
      <c r="SIB20" s="17"/>
      <c r="SIC20" s="5"/>
      <c r="SIJ20" s="17"/>
      <c r="SIK20" s="5"/>
      <c r="SIR20" s="17"/>
      <c r="SIS20" s="5"/>
      <c r="SIZ20" s="17"/>
      <c r="SJA20" s="5"/>
      <c r="SJH20" s="17"/>
      <c r="SJI20" s="5"/>
      <c r="SJP20" s="17"/>
      <c r="SJQ20" s="5"/>
      <c r="SJX20" s="17"/>
      <c r="SJY20" s="5"/>
      <c r="SKF20" s="17"/>
      <c r="SKG20" s="5"/>
      <c r="SKN20" s="17"/>
      <c r="SKO20" s="5"/>
      <c r="SKV20" s="17"/>
      <c r="SKW20" s="5"/>
      <c r="SLD20" s="17"/>
      <c r="SLE20" s="5"/>
      <c r="SLL20" s="17"/>
      <c r="SLM20" s="5"/>
      <c r="SLT20" s="17"/>
      <c r="SLU20" s="5"/>
      <c r="SMB20" s="17"/>
      <c r="SMC20" s="5"/>
      <c r="SMJ20" s="17"/>
      <c r="SMK20" s="5"/>
      <c r="SMR20" s="17"/>
      <c r="SMS20" s="5"/>
      <c r="SMZ20" s="17"/>
      <c r="SNA20" s="5"/>
      <c r="SNH20" s="17"/>
      <c r="SNI20" s="5"/>
      <c r="SNP20" s="17"/>
      <c r="SNQ20" s="5"/>
      <c r="SNX20" s="17"/>
      <c r="SNY20" s="5"/>
      <c r="SOF20" s="17"/>
      <c r="SOG20" s="5"/>
      <c r="SON20" s="17"/>
      <c r="SOO20" s="5"/>
      <c r="SOV20" s="17"/>
      <c r="SOW20" s="5"/>
      <c r="SPD20" s="17"/>
      <c r="SPE20" s="5"/>
      <c r="SPL20" s="17"/>
      <c r="SPM20" s="5"/>
      <c r="SPT20" s="17"/>
      <c r="SPU20" s="5"/>
      <c r="SQB20" s="17"/>
      <c r="SQC20" s="5"/>
      <c r="SQJ20" s="17"/>
      <c r="SQK20" s="5"/>
      <c r="SQR20" s="17"/>
      <c r="SQS20" s="5"/>
      <c r="SQZ20" s="17"/>
      <c r="SRA20" s="5"/>
      <c r="SRH20" s="17"/>
      <c r="SRI20" s="5"/>
      <c r="SRP20" s="17"/>
      <c r="SRQ20" s="5"/>
      <c r="SRX20" s="17"/>
      <c r="SRY20" s="5"/>
      <c r="SSF20" s="17"/>
      <c r="SSG20" s="5"/>
      <c r="SSN20" s="17"/>
      <c r="SSO20" s="5"/>
      <c r="SSV20" s="17"/>
      <c r="SSW20" s="5"/>
      <c r="STD20" s="17"/>
      <c r="STE20" s="5"/>
      <c r="STL20" s="17"/>
      <c r="STM20" s="5"/>
      <c r="STT20" s="17"/>
      <c r="STU20" s="5"/>
      <c r="SUB20" s="17"/>
      <c r="SUC20" s="5"/>
      <c r="SUJ20" s="17"/>
      <c r="SUK20" s="5"/>
      <c r="SUR20" s="17"/>
      <c r="SUS20" s="5"/>
      <c r="SUZ20" s="17"/>
      <c r="SVA20" s="5"/>
      <c r="SVH20" s="17"/>
      <c r="SVI20" s="5"/>
      <c r="SVP20" s="17"/>
      <c r="SVQ20" s="5"/>
      <c r="SVX20" s="17"/>
      <c r="SVY20" s="5"/>
      <c r="SWF20" s="17"/>
      <c r="SWG20" s="5"/>
      <c r="SWN20" s="17"/>
      <c r="SWO20" s="5"/>
      <c r="SWV20" s="17"/>
      <c r="SWW20" s="5"/>
      <c r="SXD20" s="17"/>
      <c r="SXE20" s="5"/>
      <c r="SXL20" s="17"/>
      <c r="SXM20" s="5"/>
      <c r="SXT20" s="17"/>
      <c r="SXU20" s="5"/>
      <c r="SYB20" s="17"/>
      <c r="SYC20" s="5"/>
      <c r="SYJ20" s="17"/>
      <c r="SYK20" s="5"/>
      <c r="SYR20" s="17"/>
      <c r="SYS20" s="5"/>
      <c r="SYZ20" s="17"/>
      <c r="SZA20" s="5"/>
      <c r="SZH20" s="17"/>
      <c r="SZI20" s="5"/>
      <c r="SZP20" s="17"/>
      <c r="SZQ20" s="5"/>
      <c r="SZX20" s="17"/>
      <c r="SZY20" s="5"/>
      <c r="TAF20" s="17"/>
      <c r="TAG20" s="5"/>
      <c r="TAN20" s="17"/>
      <c r="TAO20" s="5"/>
      <c r="TAV20" s="17"/>
      <c r="TAW20" s="5"/>
      <c r="TBD20" s="17"/>
      <c r="TBE20" s="5"/>
      <c r="TBL20" s="17"/>
      <c r="TBM20" s="5"/>
      <c r="TBT20" s="17"/>
      <c r="TBU20" s="5"/>
      <c r="TCB20" s="17"/>
      <c r="TCC20" s="5"/>
      <c r="TCJ20" s="17"/>
      <c r="TCK20" s="5"/>
      <c r="TCR20" s="17"/>
      <c r="TCS20" s="5"/>
      <c r="TCZ20" s="17"/>
      <c r="TDA20" s="5"/>
      <c r="TDH20" s="17"/>
      <c r="TDI20" s="5"/>
      <c r="TDP20" s="17"/>
      <c r="TDQ20" s="5"/>
      <c r="TDX20" s="17"/>
      <c r="TDY20" s="5"/>
      <c r="TEF20" s="17"/>
      <c r="TEG20" s="5"/>
      <c r="TEN20" s="17"/>
      <c r="TEO20" s="5"/>
      <c r="TEV20" s="17"/>
      <c r="TEW20" s="5"/>
      <c r="TFD20" s="17"/>
      <c r="TFE20" s="5"/>
      <c r="TFL20" s="17"/>
      <c r="TFM20" s="5"/>
      <c r="TFT20" s="17"/>
      <c r="TFU20" s="5"/>
      <c r="TGB20" s="17"/>
      <c r="TGC20" s="5"/>
      <c r="TGJ20" s="17"/>
      <c r="TGK20" s="5"/>
      <c r="TGR20" s="17"/>
      <c r="TGS20" s="5"/>
      <c r="TGZ20" s="17"/>
      <c r="THA20" s="5"/>
      <c r="THH20" s="17"/>
      <c r="THI20" s="5"/>
      <c r="THP20" s="17"/>
      <c r="THQ20" s="5"/>
      <c r="THX20" s="17"/>
      <c r="THY20" s="5"/>
      <c r="TIF20" s="17"/>
      <c r="TIG20" s="5"/>
      <c r="TIN20" s="17"/>
      <c r="TIO20" s="5"/>
      <c r="TIV20" s="17"/>
      <c r="TIW20" s="5"/>
      <c r="TJD20" s="17"/>
      <c r="TJE20" s="5"/>
      <c r="TJL20" s="17"/>
      <c r="TJM20" s="5"/>
      <c r="TJT20" s="17"/>
      <c r="TJU20" s="5"/>
      <c r="TKB20" s="17"/>
      <c r="TKC20" s="5"/>
      <c r="TKJ20" s="17"/>
      <c r="TKK20" s="5"/>
      <c r="TKR20" s="17"/>
      <c r="TKS20" s="5"/>
      <c r="TKZ20" s="17"/>
      <c r="TLA20" s="5"/>
      <c r="TLH20" s="17"/>
      <c r="TLI20" s="5"/>
      <c r="TLP20" s="17"/>
      <c r="TLQ20" s="5"/>
      <c r="TLX20" s="17"/>
      <c r="TLY20" s="5"/>
      <c r="TMF20" s="17"/>
      <c r="TMG20" s="5"/>
      <c r="TMN20" s="17"/>
      <c r="TMO20" s="5"/>
      <c r="TMV20" s="17"/>
      <c r="TMW20" s="5"/>
      <c r="TND20" s="17"/>
      <c r="TNE20" s="5"/>
      <c r="TNL20" s="17"/>
      <c r="TNM20" s="5"/>
      <c r="TNT20" s="17"/>
      <c r="TNU20" s="5"/>
      <c r="TOB20" s="17"/>
      <c r="TOC20" s="5"/>
      <c r="TOJ20" s="17"/>
      <c r="TOK20" s="5"/>
      <c r="TOR20" s="17"/>
      <c r="TOS20" s="5"/>
      <c r="TOZ20" s="17"/>
      <c r="TPA20" s="5"/>
      <c r="TPH20" s="17"/>
      <c r="TPI20" s="5"/>
      <c r="TPP20" s="17"/>
      <c r="TPQ20" s="5"/>
      <c r="TPX20" s="17"/>
      <c r="TPY20" s="5"/>
      <c r="TQF20" s="17"/>
      <c r="TQG20" s="5"/>
      <c r="TQN20" s="17"/>
      <c r="TQO20" s="5"/>
      <c r="TQV20" s="17"/>
      <c r="TQW20" s="5"/>
      <c r="TRD20" s="17"/>
      <c r="TRE20" s="5"/>
      <c r="TRL20" s="17"/>
      <c r="TRM20" s="5"/>
      <c r="TRT20" s="17"/>
      <c r="TRU20" s="5"/>
      <c r="TSB20" s="17"/>
      <c r="TSC20" s="5"/>
      <c r="TSJ20" s="17"/>
      <c r="TSK20" s="5"/>
      <c r="TSR20" s="17"/>
      <c r="TSS20" s="5"/>
      <c r="TSZ20" s="17"/>
      <c r="TTA20" s="5"/>
      <c r="TTH20" s="17"/>
      <c r="TTI20" s="5"/>
      <c r="TTP20" s="17"/>
      <c r="TTQ20" s="5"/>
      <c r="TTX20" s="17"/>
      <c r="TTY20" s="5"/>
      <c r="TUF20" s="17"/>
      <c r="TUG20" s="5"/>
      <c r="TUN20" s="17"/>
      <c r="TUO20" s="5"/>
      <c r="TUV20" s="17"/>
      <c r="TUW20" s="5"/>
      <c r="TVD20" s="17"/>
      <c r="TVE20" s="5"/>
      <c r="TVL20" s="17"/>
      <c r="TVM20" s="5"/>
      <c r="TVT20" s="17"/>
      <c r="TVU20" s="5"/>
      <c r="TWB20" s="17"/>
      <c r="TWC20" s="5"/>
      <c r="TWJ20" s="17"/>
      <c r="TWK20" s="5"/>
      <c r="TWR20" s="17"/>
      <c r="TWS20" s="5"/>
      <c r="TWZ20" s="17"/>
      <c r="TXA20" s="5"/>
      <c r="TXH20" s="17"/>
      <c r="TXI20" s="5"/>
      <c r="TXP20" s="17"/>
      <c r="TXQ20" s="5"/>
      <c r="TXX20" s="17"/>
      <c r="TXY20" s="5"/>
      <c r="TYF20" s="17"/>
      <c r="TYG20" s="5"/>
      <c r="TYN20" s="17"/>
      <c r="TYO20" s="5"/>
      <c r="TYV20" s="17"/>
      <c r="TYW20" s="5"/>
      <c r="TZD20" s="17"/>
      <c r="TZE20" s="5"/>
      <c r="TZL20" s="17"/>
      <c r="TZM20" s="5"/>
      <c r="TZT20" s="17"/>
      <c r="TZU20" s="5"/>
      <c r="UAB20" s="17"/>
      <c r="UAC20" s="5"/>
      <c r="UAJ20" s="17"/>
      <c r="UAK20" s="5"/>
      <c r="UAR20" s="17"/>
      <c r="UAS20" s="5"/>
      <c r="UAZ20" s="17"/>
      <c r="UBA20" s="5"/>
      <c r="UBH20" s="17"/>
      <c r="UBI20" s="5"/>
      <c r="UBP20" s="17"/>
      <c r="UBQ20" s="5"/>
      <c r="UBX20" s="17"/>
      <c r="UBY20" s="5"/>
      <c r="UCF20" s="17"/>
      <c r="UCG20" s="5"/>
      <c r="UCN20" s="17"/>
      <c r="UCO20" s="5"/>
      <c r="UCV20" s="17"/>
      <c r="UCW20" s="5"/>
      <c r="UDD20" s="17"/>
      <c r="UDE20" s="5"/>
      <c r="UDL20" s="17"/>
      <c r="UDM20" s="5"/>
      <c r="UDT20" s="17"/>
      <c r="UDU20" s="5"/>
      <c r="UEB20" s="17"/>
      <c r="UEC20" s="5"/>
      <c r="UEJ20" s="17"/>
      <c r="UEK20" s="5"/>
      <c r="UER20" s="17"/>
      <c r="UES20" s="5"/>
      <c r="UEZ20" s="17"/>
      <c r="UFA20" s="5"/>
      <c r="UFH20" s="17"/>
      <c r="UFI20" s="5"/>
      <c r="UFP20" s="17"/>
      <c r="UFQ20" s="5"/>
      <c r="UFX20" s="17"/>
      <c r="UFY20" s="5"/>
      <c r="UGF20" s="17"/>
      <c r="UGG20" s="5"/>
      <c r="UGN20" s="17"/>
      <c r="UGO20" s="5"/>
      <c r="UGV20" s="17"/>
      <c r="UGW20" s="5"/>
      <c r="UHD20" s="17"/>
      <c r="UHE20" s="5"/>
      <c r="UHL20" s="17"/>
      <c r="UHM20" s="5"/>
      <c r="UHT20" s="17"/>
      <c r="UHU20" s="5"/>
      <c r="UIB20" s="17"/>
      <c r="UIC20" s="5"/>
      <c r="UIJ20" s="17"/>
      <c r="UIK20" s="5"/>
      <c r="UIR20" s="17"/>
      <c r="UIS20" s="5"/>
      <c r="UIZ20" s="17"/>
      <c r="UJA20" s="5"/>
      <c r="UJH20" s="17"/>
      <c r="UJI20" s="5"/>
      <c r="UJP20" s="17"/>
      <c r="UJQ20" s="5"/>
      <c r="UJX20" s="17"/>
      <c r="UJY20" s="5"/>
      <c r="UKF20" s="17"/>
      <c r="UKG20" s="5"/>
      <c r="UKN20" s="17"/>
      <c r="UKO20" s="5"/>
      <c r="UKV20" s="17"/>
      <c r="UKW20" s="5"/>
      <c r="ULD20" s="17"/>
      <c r="ULE20" s="5"/>
      <c r="ULL20" s="17"/>
      <c r="ULM20" s="5"/>
      <c r="ULT20" s="17"/>
      <c r="ULU20" s="5"/>
      <c r="UMB20" s="17"/>
      <c r="UMC20" s="5"/>
      <c r="UMJ20" s="17"/>
      <c r="UMK20" s="5"/>
      <c r="UMR20" s="17"/>
      <c r="UMS20" s="5"/>
      <c r="UMZ20" s="17"/>
      <c r="UNA20" s="5"/>
      <c r="UNH20" s="17"/>
      <c r="UNI20" s="5"/>
      <c r="UNP20" s="17"/>
      <c r="UNQ20" s="5"/>
      <c r="UNX20" s="17"/>
      <c r="UNY20" s="5"/>
      <c r="UOF20" s="17"/>
      <c r="UOG20" s="5"/>
      <c r="UON20" s="17"/>
      <c r="UOO20" s="5"/>
      <c r="UOV20" s="17"/>
      <c r="UOW20" s="5"/>
      <c r="UPD20" s="17"/>
      <c r="UPE20" s="5"/>
      <c r="UPL20" s="17"/>
      <c r="UPM20" s="5"/>
      <c r="UPT20" s="17"/>
      <c r="UPU20" s="5"/>
      <c r="UQB20" s="17"/>
      <c r="UQC20" s="5"/>
      <c r="UQJ20" s="17"/>
      <c r="UQK20" s="5"/>
      <c r="UQR20" s="17"/>
      <c r="UQS20" s="5"/>
      <c r="UQZ20" s="17"/>
      <c r="URA20" s="5"/>
      <c r="URH20" s="17"/>
      <c r="URI20" s="5"/>
      <c r="URP20" s="17"/>
      <c r="URQ20" s="5"/>
      <c r="URX20" s="17"/>
      <c r="URY20" s="5"/>
      <c r="USF20" s="17"/>
      <c r="USG20" s="5"/>
      <c r="USN20" s="17"/>
      <c r="USO20" s="5"/>
      <c r="USV20" s="17"/>
      <c r="USW20" s="5"/>
      <c r="UTD20" s="17"/>
      <c r="UTE20" s="5"/>
      <c r="UTL20" s="17"/>
      <c r="UTM20" s="5"/>
      <c r="UTT20" s="17"/>
      <c r="UTU20" s="5"/>
      <c r="UUB20" s="17"/>
      <c r="UUC20" s="5"/>
      <c r="UUJ20" s="17"/>
      <c r="UUK20" s="5"/>
      <c r="UUR20" s="17"/>
      <c r="UUS20" s="5"/>
      <c r="UUZ20" s="17"/>
      <c r="UVA20" s="5"/>
      <c r="UVH20" s="17"/>
      <c r="UVI20" s="5"/>
      <c r="UVP20" s="17"/>
      <c r="UVQ20" s="5"/>
      <c r="UVX20" s="17"/>
      <c r="UVY20" s="5"/>
      <c r="UWF20" s="17"/>
      <c r="UWG20" s="5"/>
      <c r="UWN20" s="17"/>
      <c r="UWO20" s="5"/>
      <c r="UWV20" s="17"/>
      <c r="UWW20" s="5"/>
      <c r="UXD20" s="17"/>
      <c r="UXE20" s="5"/>
      <c r="UXL20" s="17"/>
      <c r="UXM20" s="5"/>
      <c r="UXT20" s="17"/>
      <c r="UXU20" s="5"/>
      <c r="UYB20" s="17"/>
      <c r="UYC20" s="5"/>
      <c r="UYJ20" s="17"/>
      <c r="UYK20" s="5"/>
      <c r="UYR20" s="17"/>
      <c r="UYS20" s="5"/>
      <c r="UYZ20" s="17"/>
      <c r="UZA20" s="5"/>
      <c r="UZH20" s="17"/>
      <c r="UZI20" s="5"/>
      <c r="UZP20" s="17"/>
      <c r="UZQ20" s="5"/>
      <c r="UZX20" s="17"/>
      <c r="UZY20" s="5"/>
      <c r="VAF20" s="17"/>
      <c r="VAG20" s="5"/>
      <c r="VAN20" s="17"/>
      <c r="VAO20" s="5"/>
      <c r="VAV20" s="17"/>
      <c r="VAW20" s="5"/>
      <c r="VBD20" s="17"/>
      <c r="VBE20" s="5"/>
      <c r="VBL20" s="17"/>
      <c r="VBM20" s="5"/>
      <c r="VBT20" s="17"/>
      <c r="VBU20" s="5"/>
      <c r="VCB20" s="17"/>
      <c r="VCC20" s="5"/>
      <c r="VCJ20" s="17"/>
      <c r="VCK20" s="5"/>
      <c r="VCR20" s="17"/>
      <c r="VCS20" s="5"/>
      <c r="VCZ20" s="17"/>
      <c r="VDA20" s="5"/>
      <c r="VDH20" s="17"/>
      <c r="VDI20" s="5"/>
      <c r="VDP20" s="17"/>
      <c r="VDQ20" s="5"/>
      <c r="VDX20" s="17"/>
      <c r="VDY20" s="5"/>
      <c r="VEF20" s="17"/>
      <c r="VEG20" s="5"/>
      <c r="VEN20" s="17"/>
      <c r="VEO20" s="5"/>
      <c r="VEV20" s="17"/>
      <c r="VEW20" s="5"/>
      <c r="VFD20" s="17"/>
      <c r="VFE20" s="5"/>
      <c r="VFL20" s="17"/>
      <c r="VFM20" s="5"/>
      <c r="VFT20" s="17"/>
      <c r="VFU20" s="5"/>
      <c r="VGB20" s="17"/>
      <c r="VGC20" s="5"/>
      <c r="VGJ20" s="17"/>
      <c r="VGK20" s="5"/>
      <c r="VGR20" s="17"/>
      <c r="VGS20" s="5"/>
      <c r="VGZ20" s="17"/>
      <c r="VHA20" s="5"/>
      <c r="VHH20" s="17"/>
      <c r="VHI20" s="5"/>
      <c r="VHP20" s="17"/>
      <c r="VHQ20" s="5"/>
      <c r="VHX20" s="17"/>
      <c r="VHY20" s="5"/>
      <c r="VIF20" s="17"/>
      <c r="VIG20" s="5"/>
      <c r="VIN20" s="17"/>
      <c r="VIO20" s="5"/>
      <c r="VIV20" s="17"/>
      <c r="VIW20" s="5"/>
      <c r="VJD20" s="17"/>
      <c r="VJE20" s="5"/>
      <c r="VJL20" s="17"/>
      <c r="VJM20" s="5"/>
      <c r="VJT20" s="17"/>
      <c r="VJU20" s="5"/>
      <c r="VKB20" s="17"/>
      <c r="VKC20" s="5"/>
      <c r="VKJ20" s="17"/>
      <c r="VKK20" s="5"/>
      <c r="VKR20" s="17"/>
      <c r="VKS20" s="5"/>
      <c r="VKZ20" s="17"/>
      <c r="VLA20" s="5"/>
      <c r="VLH20" s="17"/>
      <c r="VLI20" s="5"/>
      <c r="VLP20" s="17"/>
      <c r="VLQ20" s="5"/>
      <c r="VLX20" s="17"/>
      <c r="VLY20" s="5"/>
      <c r="VMF20" s="17"/>
      <c r="VMG20" s="5"/>
      <c r="VMN20" s="17"/>
      <c r="VMO20" s="5"/>
      <c r="VMV20" s="17"/>
      <c r="VMW20" s="5"/>
      <c r="VND20" s="17"/>
      <c r="VNE20" s="5"/>
      <c r="VNL20" s="17"/>
      <c r="VNM20" s="5"/>
      <c r="VNT20" s="17"/>
      <c r="VNU20" s="5"/>
      <c r="VOB20" s="17"/>
      <c r="VOC20" s="5"/>
      <c r="VOJ20" s="17"/>
      <c r="VOK20" s="5"/>
      <c r="VOR20" s="17"/>
      <c r="VOS20" s="5"/>
      <c r="VOZ20" s="17"/>
      <c r="VPA20" s="5"/>
      <c r="VPH20" s="17"/>
      <c r="VPI20" s="5"/>
      <c r="VPP20" s="17"/>
      <c r="VPQ20" s="5"/>
      <c r="VPX20" s="17"/>
      <c r="VPY20" s="5"/>
      <c r="VQF20" s="17"/>
      <c r="VQG20" s="5"/>
      <c r="VQN20" s="17"/>
      <c r="VQO20" s="5"/>
      <c r="VQV20" s="17"/>
      <c r="VQW20" s="5"/>
      <c r="VRD20" s="17"/>
      <c r="VRE20" s="5"/>
      <c r="VRL20" s="17"/>
      <c r="VRM20" s="5"/>
      <c r="VRT20" s="17"/>
      <c r="VRU20" s="5"/>
      <c r="VSB20" s="17"/>
      <c r="VSC20" s="5"/>
      <c r="VSJ20" s="17"/>
      <c r="VSK20" s="5"/>
      <c r="VSR20" s="17"/>
      <c r="VSS20" s="5"/>
      <c r="VSZ20" s="17"/>
      <c r="VTA20" s="5"/>
      <c r="VTH20" s="17"/>
      <c r="VTI20" s="5"/>
      <c r="VTP20" s="17"/>
      <c r="VTQ20" s="5"/>
      <c r="VTX20" s="17"/>
      <c r="VTY20" s="5"/>
      <c r="VUF20" s="17"/>
      <c r="VUG20" s="5"/>
      <c r="VUN20" s="17"/>
      <c r="VUO20" s="5"/>
      <c r="VUV20" s="17"/>
      <c r="VUW20" s="5"/>
      <c r="VVD20" s="17"/>
      <c r="VVE20" s="5"/>
      <c r="VVL20" s="17"/>
      <c r="VVM20" s="5"/>
      <c r="VVT20" s="17"/>
      <c r="VVU20" s="5"/>
      <c r="VWB20" s="17"/>
      <c r="VWC20" s="5"/>
      <c r="VWJ20" s="17"/>
      <c r="VWK20" s="5"/>
      <c r="VWR20" s="17"/>
      <c r="VWS20" s="5"/>
      <c r="VWZ20" s="17"/>
      <c r="VXA20" s="5"/>
      <c r="VXH20" s="17"/>
      <c r="VXI20" s="5"/>
      <c r="VXP20" s="17"/>
      <c r="VXQ20" s="5"/>
      <c r="VXX20" s="17"/>
      <c r="VXY20" s="5"/>
      <c r="VYF20" s="17"/>
      <c r="VYG20" s="5"/>
      <c r="VYN20" s="17"/>
      <c r="VYO20" s="5"/>
      <c r="VYV20" s="17"/>
      <c r="VYW20" s="5"/>
      <c r="VZD20" s="17"/>
      <c r="VZE20" s="5"/>
      <c r="VZL20" s="17"/>
      <c r="VZM20" s="5"/>
      <c r="VZT20" s="17"/>
      <c r="VZU20" s="5"/>
      <c r="WAB20" s="17"/>
      <c r="WAC20" s="5"/>
      <c r="WAJ20" s="17"/>
      <c r="WAK20" s="5"/>
      <c r="WAR20" s="17"/>
      <c r="WAS20" s="5"/>
      <c r="WAZ20" s="17"/>
      <c r="WBA20" s="5"/>
      <c r="WBH20" s="17"/>
      <c r="WBI20" s="5"/>
      <c r="WBP20" s="17"/>
      <c r="WBQ20" s="5"/>
      <c r="WBX20" s="17"/>
      <c r="WBY20" s="5"/>
      <c r="WCF20" s="17"/>
      <c r="WCG20" s="5"/>
      <c r="WCN20" s="17"/>
      <c r="WCO20" s="5"/>
      <c r="WCV20" s="17"/>
      <c r="WCW20" s="5"/>
      <c r="WDD20" s="17"/>
      <c r="WDE20" s="5"/>
      <c r="WDL20" s="17"/>
      <c r="WDM20" s="5"/>
      <c r="WDT20" s="17"/>
      <c r="WDU20" s="5"/>
      <c r="WEB20" s="17"/>
      <c r="WEC20" s="5"/>
      <c r="WEJ20" s="17"/>
      <c r="WEK20" s="5"/>
      <c r="WER20" s="17"/>
      <c r="WES20" s="5"/>
      <c r="WEZ20" s="17"/>
      <c r="WFA20" s="5"/>
      <c r="WFH20" s="17"/>
      <c r="WFI20" s="5"/>
      <c r="WFP20" s="17"/>
      <c r="WFQ20" s="5"/>
      <c r="WFX20" s="17"/>
      <c r="WFY20" s="5"/>
      <c r="WGF20" s="17"/>
      <c r="WGG20" s="5"/>
      <c r="WGN20" s="17"/>
      <c r="WGO20" s="5"/>
      <c r="WGV20" s="17"/>
      <c r="WGW20" s="5"/>
      <c r="WHD20" s="17"/>
      <c r="WHE20" s="5"/>
      <c r="WHL20" s="17"/>
      <c r="WHM20" s="5"/>
      <c r="WHT20" s="17"/>
      <c r="WHU20" s="5"/>
      <c r="WIB20" s="17"/>
      <c r="WIC20" s="5"/>
      <c r="WIJ20" s="17"/>
      <c r="WIK20" s="5"/>
      <c r="WIR20" s="17"/>
      <c r="WIS20" s="5"/>
      <c r="WIZ20" s="17"/>
      <c r="WJA20" s="5"/>
      <c r="WJH20" s="17"/>
      <c r="WJI20" s="5"/>
      <c r="WJP20" s="17"/>
      <c r="WJQ20" s="5"/>
      <c r="WJX20" s="17"/>
      <c r="WJY20" s="5"/>
      <c r="WKF20" s="17"/>
      <c r="WKG20" s="5"/>
      <c r="WKN20" s="17"/>
      <c r="WKO20" s="5"/>
      <c r="WKV20" s="17"/>
      <c r="WKW20" s="5"/>
      <c r="WLD20" s="17"/>
      <c r="WLE20" s="5"/>
      <c r="WLL20" s="17"/>
      <c r="WLM20" s="5"/>
      <c r="WLT20" s="17"/>
      <c r="WLU20" s="5"/>
      <c r="WMB20" s="17"/>
      <c r="WMC20" s="5"/>
      <c r="WMJ20" s="17"/>
      <c r="WMK20" s="5"/>
      <c r="WMR20" s="17"/>
      <c r="WMS20" s="5"/>
      <c r="WMZ20" s="17"/>
      <c r="WNA20" s="5"/>
      <c r="WNH20" s="17"/>
      <c r="WNI20" s="5"/>
      <c r="WNP20" s="17"/>
      <c r="WNQ20" s="5"/>
      <c r="WNX20" s="17"/>
      <c r="WNY20" s="5"/>
      <c r="WOF20" s="17"/>
      <c r="WOG20" s="5"/>
      <c r="WON20" s="17"/>
      <c r="WOO20" s="5"/>
      <c r="WOV20" s="17"/>
      <c r="WOW20" s="5"/>
      <c r="WPD20" s="17"/>
      <c r="WPE20" s="5"/>
      <c r="WPL20" s="17"/>
      <c r="WPM20" s="5"/>
      <c r="WPT20" s="17"/>
      <c r="WPU20" s="5"/>
      <c r="WQB20" s="17"/>
      <c r="WQC20" s="5"/>
      <c r="WQJ20" s="17"/>
      <c r="WQK20" s="5"/>
      <c r="WQR20" s="17"/>
      <c r="WQS20" s="5"/>
      <c r="WQZ20" s="17"/>
      <c r="WRA20" s="5"/>
      <c r="WRH20" s="17"/>
      <c r="WRI20" s="5"/>
      <c r="WRP20" s="17"/>
      <c r="WRQ20" s="5"/>
      <c r="WRX20" s="17"/>
      <c r="WRY20" s="5"/>
      <c r="WSF20" s="17"/>
      <c r="WSG20" s="5"/>
      <c r="WSN20" s="17"/>
      <c r="WSO20" s="5"/>
      <c r="WSV20" s="17"/>
      <c r="WSW20" s="5"/>
      <c r="WTD20" s="17"/>
      <c r="WTE20" s="5"/>
      <c r="WTL20" s="17"/>
      <c r="WTM20" s="5"/>
      <c r="WTT20" s="17"/>
      <c r="WTU20" s="5"/>
      <c r="WUB20" s="17"/>
      <c r="WUC20" s="5"/>
      <c r="WUJ20" s="17"/>
      <c r="WUK20" s="5"/>
      <c r="WUR20" s="17"/>
      <c r="WUS20" s="5"/>
      <c r="WUZ20" s="17"/>
      <c r="WVA20" s="5"/>
      <c r="WVH20" s="17"/>
      <c r="WVI20" s="5"/>
      <c r="WVP20" s="17"/>
      <c r="WVQ20" s="5"/>
      <c r="WVX20" s="17"/>
      <c r="WVY20" s="5"/>
      <c r="WWF20" s="17"/>
      <c r="WWG20" s="5"/>
      <c r="WWN20" s="17"/>
      <c r="WWO20" s="5"/>
      <c r="WWV20" s="17"/>
      <c r="WWW20" s="5"/>
      <c r="WXD20" s="17"/>
      <c r="WXE20" s="5"/>
      <c r="WXL20" s="17"/>
      <c r="WXM20" s="5"/>
      <c r="WXT20" s="17"/>
      <c r="WXU20" s="5"/>
      <c r="WYB20" s="17"/>
      <c r="WYC20" s="5"/>
      <c r="WYJ20" s="17"/>
      <c r="WYK20" s="5"/>
      <c r="WYR20" s="17"/>
      <c r="WYS20" s="5"/>
      <c r="WYZ20" s="17"/>
      <c r="WZA20" s="5"/>
      <c r="WZH20" s="17"/>
      <c r="WZI20" s="5"/>
      <c r="WZP20" s="17"/>
      <c r="WZQ20" s="5"/>
      <c r="WZX20" s="17"/>
      <c r="WZY20" s="5"/>
      <c r="XAF20" s="17"/>
      <c r="XAG20" s="5"/>
      <c r="XAN20" s="17"/>
      <c r="XAO20" s="5"/>
      <c r="XAV20" s="17"/>
      <c r="XAW20" s="5"/>
      <c r="XBD20" s="17"/>
      <c r="XBE20" s="5"/>
      <c r="XBL20" s="17"/>
      <c r="XBM20" s="5"/>
      <c r="XBT20" s="17"/>
      <c r="XBU20" s="5"/>
      <c r="XCB20" s="17"/>
      <c r="XCC20" s="5"/>
      <c r="XCJ20" s="17"/>
      <c r="XCK20" s="5"/>
      <c r="XCR20" s="17"/>
      <c r="XCS20" s="5"/>
      <c r="XCZ20" s="17"/>
      <c r="XDA20" s="5"/>
      <c r="XDH20" s="17"/>
      <c r="XDI20" s="5"/>
      <c r="XDP20" s="17"/>
      <c r="XDQ20" s="5"/>
      <c r="XDX20" s="17"/>
      <c r="XDY20" s="5"/>
      <c r="XEF20" s="17"/>
      <c r="XEG20" s="5"/>
      <c r="XEN20" s="17"/>
      <c r="XEO20" s="5"/>
      <c r="XEV20" s="17"/>
      <c r="XEW20" s="5"/>
      <c r="XFD20" s="17"/>
    </row>
    <row r="21" spans="1:16384" customFormat="1" hidden="1" x14ac:dyDescent="0.25">
      <c r="A21" s="97"/>
      <c r="B21" s="97"/>
      <c r="C21" s="97"/>
      <c r="D21" s="97"/>
      <c r="E21" s="97"/>
      <c r="F21" s="97"/>
      <c r="G21" s="97"/>
      <c r="H21" s="94"/>
      <c r="Q21" s="5"/>
      <c r="X21" s="18"/>
      <c r="Y21" s="5"/>
      <c r="AF21" s="18"/>
      <c r="AG21" s="5"/>
      <c r="AN21" s="18"/>
      <c r="AO21" s="5"/>
      <c r="AV21" s="18"/>
      <c r="AW21" s="5"/>
      <c r="BD21" s="18"/>
      <c r="BE21" s="5"/>
      <c r="BL21" s="18"/>
      <c r="BM21" s="5"/>
      <c r="BT21" s="18"/>
      <c r="BU21" s="5"/>
      <c r="CB21" s="18"/>
      <c r="CC21" s="5"/>
      <c r="CJ21" s="18"/>
      <c r="CK21" s="5"/>
      <c r="CR21" s="18"/>
      <c r="CS21" s="5"/>
      <c r="CZ21" s="18"/>
      <c r="DA21" s="5"/>
      <c r="DH21" s="18"/>
      <c r="DI21" s="5"/>
      <c r="DP21" s="18"/>
      <c r="DQ21" s="5"/>
      <c r="DX21" s="18"/>
      <c r="DY21" s="5"/>
      <c r="EF21" s="18"/>
      <c r="EG21" s="5"/>
      <c r="EN21" s="18"/>
      <c r="EO21" s="5"/>
      <c r="EV21" s="18"/>
      <c r="EW21" s="5"/>
      <c r="FD21" s="18"/>
      <c r="FE21" s="5"/>
      <c r="FL21" s="18"/>
      <c r="FM21" s="5"/>
      <c r="FT21" s="18"/>
      <c r="FU21" s="5"/>
      <c r="GB21" s="18"/>
      <c r="GC21" s="5"/>
      <c r="GJ21" s="18"/>
      <c r="GK21" s="5"/>
      <c r="GR21" s="18"/>
      <c r="GS21" s="5"/>
      <c r="GZ21" s="18"/>
      <c r="HA21" s="5"/>
      <c r="HH21" s="18"/>
      <c r="HI21" s="5"/>
      <c r="HP21" s="18"/>
      <c r="HQ21" s="5"/>
      <c r="HX21" s="18"/>
      <c r="HY21" s="5"/>
      <c r="IF21" s="18"/>
      <c r="IG21" s="5"/>
      <c r="IN21" s="18"/>
      <c r="IO21" s="5"/>
      <c r="IV21" s="18"/>
      <c r="IW21" s="5"/>
      <c r="JD21" s="18"/>
      <c r="JE21" s="5"/>
      <c r="JL21" s="18"/>
      <c r="JM21" s="5"/>
      <c r="JT21" s="18"/>
      <c r="JU21" s="5"/>
      <c r="KB21" s="18"/>
      <c r="KC21" s="5"/>
      <c r="KJ21" s="18"/>
      <c r="KK21" s="5"/>
      <c r="KR21" s="18"/>
      <c r="KS21" s="5"/>
      <c r="KZ21" s="18"/>
      <c r="LA21" s="5"/>
      <c r="LH21" s="18"/>
      <c r="LI21" s="5"/>
      <c r="LP21" s="18"/>
      <c r="LQ21" s="5"/>
      <c r="LX21" s="18"/>
      <c r="LY21" s="5"/>
      <c r="MF21" s="18"/>
      <c r="MG21" s="5"/>
      <c r="MN21" s="18"/>
      <c r="MO21" s="5"/>
      <c r="MV21" s="18"/>
      <c r="MW21" s="5"/>
      <c r="ND21" s="18"/>
      <c r="NE21" s="5"/>
      <c r="NL21" s="18"/>
      <c r="NM21" s="5"/>
      <c r="NT21" s="18"/>
      <c r="NU21" s="5"/>
      <c r="OB21" s="18"/>
      <c r="OC21" s="5"/>
      <c r="OJ21" s="18"/>
      <c r="OK21" s="5"/>
      <c r="OR21" s="18"/>
      <c r="OS21" s="5"/>
      <c r="OZ21" s="18"/>
      <c r="PA21" s="5"/>
      <c r="PH21" s="18"/>
      <c r="PI21" s="5"/>
      <c r="PP21" s="18"/>
      <c r="PQ21" s="5"/>
      <c r="PX21" s="18"/>
      <c r="PY21" s="5"/>
      <c r="QF21" s="18"/>
      <c r="QG21" s="5"/>
      <c r="QN21" s="18"/>
      <c r="QO21" s="5"/>
      <c r="QV21" s="18"/>
      <c r="QW21" s="5"/>
      <c r="RD21" s="18"/>
      <c r="RE21" s="5"/>
      <c r="RL21" s="18"/>
      <c r="RM21" s="5"/>
      <c r="RT21" s="18"/>
      <c r="RU21" s="5"/>
      <c r="SB21" s="18"/>
      <c r="SC21" s="5"/>
      <c r="SJ21" s="18"/>
      <c r="SK21" s="5"/>
      <c r="SR21" s="18"/>
      <c r="SS21" s="5"/>
      <c r="SZ21" s="18"/>
      <c r="TA21" s="5"/>
      <c r="TH21" s="18"/>
      <c r="TI21" s="5"/>
      <c r="TP21" s="18"/>
      <c r="TQ21" s="5"/>
      <c r="TX21" s="18"/>
      <c r="TY21" s="5"/>
      <c r="UF21" s="18"/>
      <c r="UG21" s="5"/>
      <c r="UN21" s="18"/>
      <c r="UO21" s="5"/>
      <c r="UV21" s="18"/>
      <c r="UW21" s="5"/>
      <c r="VD21" s="18"/>
      <c r="VE21" s="5"/>
      <c r="VL21" s="18"/>
      <c r="VM21" s="5"/>
      <c r="VT21" s="18"/>
      <c r="VU21" s="5"/>
      <c r="WB21" s="18"/>
      <c r="WC21" s="5"/>
      <c r="WJ21" s="18"/>
      <c r="WK21" s="5"/>
      <c r="WR21" s="18"/>
      <c r="WS21" s="5"/>
      <c r="WZ21" s="18"/>
      <c r="XA21" s="5"/>
      <c r="XH21" s="18"/>
      <c r="XI21" s="5"/>
      <c r="XP21" s="18"/>
      <c r="XQ21" s="5"/>
      <c r="XX21" s="18"/>
      <c r="XY21" s="5"/>
      <c r="YF21" s="18"/>
      <c r="YG21" s="5"/>
      <c r="YN21" s="18"/>
      <c r="YO21" s="5"/>
      <c r="YV21" s="18"/>
      <c r="YW21" s="5"/>
      <c r="ZD21" s="18"/>
      <c r="ZE21" s="5"/>
      <c r="ZL21" s="18"/>
      <c r="ZM21" s="5"/>
      <c r="ZT21" s="18"/>
      <c r="ZU21" s="5"/>
      <c r="AAB21" s="18"/>
      <c r="AAC21" s="5"/>
      <c r="AAJ21" s="18"/>
      <c r="AAK21" s="5"/>
      <c r="AAR21" s="18"/>
      <c r="AAS21" s="5"/>
      <c r="AAZ21" s="18"/>
      <c r="ABA21" s="5"/>
      <c r="ABH21" s="18"/>
      <c r="ABI21" s="5"/>
      <c r="ABP21" s="18"/>
      <c r="ABQ21" s="5"/>
      <c r="ABX21" s="18"/>
      <c r="ABY21" s="5"/>
      <c r="ACF21" s="18"/>
      <c r="ACG21" s="5"/>
      <c r="ACN21" s="18"/>
      <c r="ACO21" s="5"/>
      <c r="ACV21" s="18"/>
      <c r="ACW21" s="5"/>
      <c r="ADD21" s="18"/>
      <c r="ADE21" s="5"/>
      <c r="ADL21" s="18"/>
      <c r="ADM21" s="5"/>
      <c r="ADT21" s="18"/>
      <c r="ADU21" s="5"/>
      <c r="AEB21" s="18"/>
      <c r="AEC21" s="5"/>
      <c r="AEJ21" s="18"/>
      <c r="AEK21" s="5"/>
      <c r="AER21" s="18"/>
      <c r="AES21" s="5"/>
      <c r="AEZ21" s="18"/>
      <c r="AFA21" s="5"/>
      <c r="AFH21" s="18"/>
      <c r="AFI21" s="5"/>
      <c r="AFP21" s="18"/>
      <c r="AFQ21" s="5"/>
      <c r="AFX21" s="18"/>
      <c r="AFY21" s="5"/>
      <c r="AGF21" s="18"/>
      <c r="AGG21" s="5"/>
      <c r="AGN21" s="18"/>
      <c r="AGO21" s="5"/>
      <c r="AGV21" s="18"/>
      <c r="AGW21" s="5"/>
      <c r="AHD21" s="18"/>
      <c r="AHE21" s="5"/>
      <c r="AHL21" s="18"/>
      <c r="AHM21" s="5"/>
      <c r="AHT21" s="18"/>
      <c r="AHU21" s="5"/>
      <c r="AIB21" s="18"/>
      <c r="AIC21" s="5"/>
      <c r="AIJ21" s="18"/>
      <c r="AIK21" s="5"/>
      <c r="AIR21" s="18"/>
      <c r="AIS21" s="5"/>
      <c r="AIZ21" s="18"/>
      <c r="AJA21" s="5"/>
      <c r="AJH21" s="18"/>
      <c r="AJI21" s="5"/>
      <c r="AJP21" s="18"/>
      <c r="AJQ21" s="5"/>
      <c r="AJX21" s="18"/>
      <c r="AJY21" s="5"/>
      <c r="AKF21" s="18"/>
      <c r="AKG21" s="5"/>
      <c r="AKN21" s="18"/>
      <c r="AKO21" s="5"/>
      <c r="AKV21" s="18"/>
      <c r="AKW21" s="5"/>
      <c r="ALD21" s="18"/>
      <c r="ALE21" s="5"/>
      <c r="ALL21" s="18"/>
      <c r="ALM21" s="5"/>
      <c r="ALT21" s="18"/>
      <c r="ALU21" s="5"/>
      <c r="AMB21" s="18"/>
      <c r="AMC21" s="5"/>
      <c r="AMJ21" s="18"/>
      <c r="AMK21" s="5"/>
      <c r="AMR21" s="18"/>
      <c r="AMS21" s="5"/>
      <c r="AMZ21" s="18"/>
      <c r="ANA21" s="5"/>
      <c r="ANH21" s="18"/>
      <c r="ANI21" s="5"/>
      <c r="ANP21" s="18"/>
      <c r="ANQ21" s="5"/>
      <c r="ANX21" s="18"/>
      <c r="ANY21" s="5"/>
      <c r="AOF21" s="18"/>
      <c r="AOG21" s="5"/>
      <c r="AON21" s="18"/>
      <c r="AOO21" s="5"/>
      <c r="AOV21" s="18"/>
      <c r="AOW21" s="5"/>
      <c r="APD21" s="18"/>
      <c r="APE21" s="5"/>
      <c r="APL21" s="18"/>
      <c r="APM21" s="5"/>
      <c r="APT21" s="18"/>
      <c r="APU21" s="5"/>
      <c r="AQB21" s="18"/>
      <c r="AQC21" s="5"/>
      <c r="AQJ21" s="18"/>
      <c r="AQK21" s="5"/>
      <c r="AQR21" s="18"/>
      <c r="AQS21" s="5"/>
      <c r="AQZ21" s="18"/>
      <c r="ARA21" s="5"/>
      <c r="ARH21" s="18"/>
      <c r="ARI21" s="5"/>
      <c r="ARP21" s="18"/>
      <c r="ARQ21" s="5"/>
      <c r="ARX21" s="18"/>
      <c r="ARY21" s="5"/>
      <c r="ASF21" s="18"/>
      <c r="ASG21" s="5"/>
      <c r="ASN21" s="18"/>
      <c r="ASO21" s="5"/>
      <c r="ASV21" s="18"/>
      <c r="ASW21" s="5"/>
      <c r="ATD21" s="18"/>
      <c r="ATE21" s="5"/>
      <c r="ATL21" s="18"/>
      <c r="ATM21" s="5"/>
      <c r="ATT21" s="18"/>
      <c r="ATU21" s="5"/>
      <c r="AUB21" s="18"/>
      <c r="AUC21" s="5"/>
      <c r="AUJ21" s="18"/>
      <c r="AUK21" s="5"/>
      <c r="AUR21" s="18"/>
      <c r="AUS21" s="5"/>
      <c r="AUZ21" s="18"/>
      <c r="AVA21" s="5"/>
      <c r="AVH21" s="18"/>
      <c r="AVI21" s="5"/>
      <c r="AVP21" s="18"/>
      <c r="AVQ21" s="5"/>
      <c r="AVX21" s="18"/>
      <c r="AVY21" s="5"/>
      <c r="AWF21" s="18"/>
      <c r="AWG21" s="5"/>
      <c r="AWN21" s="18"/>
      <c r="AWO21" s="5"/>
      <c r="AWV21" s="18"/>
      <c r="AWW21" s="5"/>
      <c r="AXD21" s="18"/>
      <c r="AXE21" s="5"/>
      <c r="AXL21" s="18"/>
      <c r="AXM21" s="5"/>
      <c r="AXT21" s="18"/>
      <c r="AXU21" s="5"/>
      <c r="AYB21" s="18"/>
      <c r="AYC21" s="5"/>
      <c r="AYJ21" s="18"/>
      <c r="AYK21" s="5"/>
      <c r="AYR21" s="18"/>
      <c r="AYS21" s="5"/>
      <c r="AYZ21" s="18"/>
      <c r="AZA21" s="5"/>
      <c r="AZH21" s="18"/>
      <c r="AZI21" s="5"/>
      <c r="AZP21" s="18"/>
      <c r="AZQ21" s="5"/>
      <c r="AZX21" s="18"/>
      <c r="AZY21" s="5"/>
      <c r="BAF21" s="18"/>
      <c r="BAG21" s="5"/>
      <c r="BAN21" s="18"/>
      <c r="BAO21" s="5"/>
      <c r="BAV21" s="18"/>
      <c r="BAW21" s="5"/>
      <c r="BBD21" s="18"/>
      <c r="BBE21" s="5"/>
      <c r="BBL21" s="18"/>
      <c r="BBM21" s="5"/>
      <c r="BBT21" s="18"/>
      <c r="BBU21" s="5"/>
      <c r="BCB21" s="18"/>
      <c r="BCC21" s="5"/>
      <c r="BCJ21" s="18"/>
      <c r="BCK21" s="5"/>
      <c r="BCR21" s="18"/>
      <c r="BCS21" s="5"/>
      <c r="BCZ21" s="18"/>
      <c r="BDA21" s="5"/>
      <c r="BDH21" s="18"/>
      <c r="BDI21" s="5"/>
      <c r="BDP21" s="18"/>
      <c r="BDQ21" s="5"/>
      <c r="BDX21" s="18"/>
      <c r="BDY21" s="5"/>
      <c r="BEF21" s="18"/>
      <c r="BEG21" s="5"/>
      <c r="BEN21" s="18"/>
      <c r="BEO21" s="5"/>
      <c r="BEV21" s="18"/>
      <c r="BEW21" s="5"/>
      <c r="BFD21" s="18"/>
      <c r="BFE21" s="5"/>
      <c r="BFL21" s="18"/>
      <c r="BFM21" s="5"/>
      <c r="BFT21" s="18"/>
      <c r="BFU21" s="5"/>
      <c r="BGB21" s="18"/>
      <c r="BGC21" s="5"/>
      <c r="BGJ21" s="18"/>
      <c r="BGK21" s="5"/>
      <c r="BGR21" s="18"/>
      <c r="BGS21" s="5"/>
      <c r="BGZ21" s="18"/>
      <c r="BHA21" s="5"/>
      <c r="BHH21" s="18"/>
      <c r="BHI21" s="5"/>
      <c r="BHP21" s="18"/>
      <c r="BHQ21" s="5"/>
      <c r="BHX21" s="18"/>
      <c r="BHY21" s="5"/>
      <c r="BIF21" s="18"/>
      <c r="BIG21" s="5"/>
      <c r="BIN21" s="18"/>
      <c r="BIO21" s="5"/>
      <c r="BIV21" s="18"/>
      <c r="BIW21" s="5"/>
      <c r="BJD21" s="18"/>
      <c r="BJE21" s="5"/>
      <c r="BJL21" s="18"/>
      <c r="BJM21" s="5"/>
      <c r="BJT21" s="18"/>
      <c r="BJU21" s="5"/>
      <c r="BKB21" s="18"/>
      <c r="BKC21" s="5"/>
      <c r="BKJ21" s="18"/>
      <c r="BKK21" s="5"/>
      <c r="BKR21" s="18"/>
      <c r="BKS21" s="5"/>
      <c r="BKZ21" s="18"/>
      <c r="BLA21" s="5"/>
      <c r="BLH21" s="18"/>
      <c r="BLI21" s="5"/>
      <c r="BLP21" s="18"/>
      <c r="BLQ21" s="5"/>
      <c r="BLX21" s="18"/>
      <c r="BLY21" s="5"/>
      <c r="BMF21" s="18"/>
      <c r="BMG21" s="5"/>
      <c r="BMN21" s="18"/>
      <c r="BMO21" s="5"/>
      <c r="BMV21" s="18"/>
      <c r="BMW21" s="5"/>
      <c r="BND21" s="18"/>
      <c r="BNE21" s="5"/>
      <c r="BNL21" s="18"/>
      <c r="BNM21" s="5"/>
      <c r="BNT21" s="18"/>
      <c r="BNU21" s="5"/>
      <c r="BOB21" s="18"/>
      <c r="BOC21" s="5"/>
      <c r="BOJ21" s="18"/>
      <c r="BOK21" s="5"/>
      <c r="BOR21" s="18"/>
      <c r="BOS21" s="5"/>
      <c r="BOZ21" s="18"/>
      <c r="BPA21" s="5"/>
      <c r="BPH21" s="18"/>
      <c r="BPI21" s="5"/>
      <c r="BPP21" s="18"/>
      <c r="BPQ21" s="5"/>
      <c r="BPX21" s="18"/>
      <c r="BPY21" s="5"/>
      <c r="BQF21" s="18"/>
      <c r="BQG21" s="5"/>
      <c r="BQN21" s="18"/>
      <c r="BQO21" s="5"/>
      <c r="BQV21" s="18"/>
      <c r="BQW21" s="5"/>
      <c r="BRD21" s="18"/>
      <c r="BRE21" s="5"/>
      <c r="BRL21" s="18"/>
      <c r="BRM21" s="5"/>
      <c r="BRT21" s="18"/>
      <c r="BRU21" s="5"/>
      <c r="BSB21" s="18"/>
      <c r="BSC21" s="5"/>
      <c r="BSJ21" s="18"/>
      <c r="BSK21" s="5"/>
      <c r="BSR21" s="18"/>
      <c r="BSS21" s="5"/>
      <c r="BSZ21" s="18"/>
      <c r="BTA21" s="5"/>
      <c r="BTH21" s="18"/>
      <c r="BTI21" s="5"/>
      <c r="BTP21" s="18"/>
      <c r="BTQ21" s="5"/>
      <c r="BTX21" s="18"/>
      <c r="BTY21" s="5"/>
      <c r="BUF21" s="18"/>
      <c r="BUG21" s="5"/>
      <c r="BUN21" s="18"/>
      <c r="BUO21" s="5"/>
      <c r="BUV21" s="18"/>
      <c r="BUW21" s="5"/>
      <c r="BVD21" s="18"/>
      <c r="BVE21" s="5"/>
      <c r="BVL21" s="18"/>
      <c r="BVM21" s="5"/>
      <c r="BVT21" s="18"/>
      <c r="BVU21" s="5"/>
      <c r="BWB21" s="18"/>
      <c r="BWC21" s="5"/>
      <c r="BWJ21" s="18"/>
      <c r="BWK21" s="5"/>
      <c r="BWR21" s="18"/>
      <c r="BWS21" s="5"/>
      <c r="BWZ21" s="18"/>
      <c r="BXA21" s="5"/>
      <c r="BXH21" s="18"/>
      <c r="BXI21" s="5"/>
      <c r="BXP21" s="18"/>
      <c r="BXQ21" s="5"/>
      <c r="BXX21" s="18"/>
      <c r="BXY21" s="5"/>
      <c r="BYF21" s="18"/>
      <c r="BYG21" s="5"/>
      <c r="BYN21" s="18"/>
      <c r="BYO21" s="5"/>
      <c r="BYV21" s="18"/>
      <c r="BYW21" s="5"/>
      <c r="BZD21" s="18"/>
      <c r="BZE21" s="5"/>
      <c r="BZL21" s="18"/>
      <c r="BZM21" s="5"/>
      <c r="BZT21" s="18"/>
      <c r="BZU21" s="5"/>
      <c r="CAB21" s="18"/>
      <c r="CAC21" s="5"/>
      <c r="CAJ21" s="18"/>
      <c r="CAK21" s="5"/>
      <c r="CAR21" s="18"/>
      <c r="CAS21" s="5"/>
      <c r="CAZ21" s="18"/>
      <c r="CBA21" s="5"/>
      <c r="CBH21" s="18"/>
      <c r="CBI21" s="5"/>
      <c r="CBP21" s="18"/>
      <c r="CBQ21" s="5"/>
      <c r="CBX21" s="18"/>
      <c r="CBY21" s="5"/>
      <c r="CCF21" s="18"/>
      <c r="CCG21" s="5"/>
      <c r="CCN21" s="18"/>
      <c r="CCO21" s="5"/>
      <c r="CCV21" s="18"/>
      <c r="CCW21" s="5"/>
      <c r="CDD21" s="18"/>
      <c r="CDE21" s="5"/>
      <c r="CDL21" s="18"/>
      <c r="CDM21" s="5"/>
      <c r="CDT21" s="18"/>
      <c r="CDU21" s="5"/>
      <c r="CEB21" s="18"/>
      <c r="CEC21" s="5"/>
      <c r="CEJ21" s="18"/>
      <c r="CEK21" s="5"/>
      <c r="CER21" s="18"/>
      <c r="CES21" s="5"/>
      <c r="CEZ21" s="18"/>
      <c r="CFA21" s="5"/>
      <c r="CFH21" s="18"/>
      <c r="CFI21" s="5"/>
      <c r="CFP21" s="18"/>
      <c r="CFQ21" s="5"/>
      <c r="CFX21" s="18"/>
      <c r="CFY21" s="5"/>
      <c r="CGF21" s="18"/>
      <c r="CGG21" s="5"/>
      <c r="CGN21" s="18"/>
      <c r="CGO21" s="5"/>
      <c r="CGV21" s="18"/>
      <c r="CGW21" s="5"/>
      <c r="CHD21" s="18"/>
      <c r="CHE21" s="5"/>
      <c r="CHL21" s="18"/>
      <c r="CHM21" s="5"/>
      <c r="CHT21" s="18"/>
      <c r="CHU21" s="5"/>
      <c r="CIB21" s="18"/>
      <c r="CIC21" s="5"/>
      <c r="CIJ21" s="18"/>
      <c r="CIK21" s="5"/>
      <c r="CIR21" s="18"/>
      <c r="CIS21" s="5"/>
      <c r="CIZ21" s="18"/>
      <c r="CJA21" s="5"/>
      <c r="CJH21" s="18"/>
      <c r="CJI21" s="5"/>
      <c r="CJP21" s="18"/>
      <c r="CJQ21" s="5"/>
      <c r="CJX21" s="18"/>
      <c r="CJY21" s="5"/>
      <c r="CKF21" s="18"/>
      <c r="CKG21" s="5"/>
      <c r="CKN21" s="18"/>
      <c r="CKO21" s="5"/>
      <c r="CKV21" s="18"/>
      <c r="CKW21" s="5"/>
      <c r="CLD21" s="18"/>
      <c r="CLE21" s="5"/>
      <c r="CLL21" s="18"/>
      <c r="CLM21" s="5"/>
      <c r="CLT21" s="18"/>
      <c r="CLU21" s="5"/>
      <c r="CMB21" s="18"/>
      <c r="CMC21" s="5"/>
      <c r="CMJ21" s="18"/>
      <c r="CMK21" s="5"/>
      <c r="CMR21" s="18"/>
      <c r="CMS21" s="5"/>
      <c r="CMZ21" s="18"/>
      <c r="CNA21" s="5"/>
      <c r="CNH21" s="18"/>
      <c r="CNI21" s="5"/>
      <c r="CNP21" s="18"/>
      <c r="CNQ21" s="5"/>
      <c r="CNX21" s="18"/>
      <c r="CNY21" s="5"/>
      <c r="COF21" s="18"/>
      <c r="COG21" s="5"/>
      <c r="CON21" s="18"/>
      <c r="COO21" s="5"/>
      <c r="COV21" s="18"/>
      <c r="COW21" s="5"/>
      <c r="CPD21" s="18"/>
      <c r="CPE21" s="5"/>
      <c r="CPL21" s="18"/>
      <c r="CPM21" s="5"/>
      <c r="CPT21" s="18"/>
      <c r="CPU21" s="5"/>
      <c r="CQB21" s="18"/>
      <c r="CQC21" s="5"/>
      <c r="CQJ21" s="18"/>
      <c r="CQK21" s="5"/>
      <c r="CQR21" s="18"/>
      <c r="CQS21" s="5"/>
      <c r="CQZ21" s="18"/>
      <c r="CRA21" s="5"/>
      <c r="CRH21" s="18"/>
      <c r="CRI21" s="5"/>
      <c r="CRP21" s="18"/>
      <c r="CRQ21" s="5"/>
      <c r="CRX21" s="18"/>
      <c r="CRY21" s="5"/>
      <c r="CSF21" s="18"/>
      <c r="CSG21" s="5"/>
      <c r="CSN21" s="18"/>
      <c r="CSO21" s="5"/>
      <c r="CSV21" s="18"/>
      <c r="CSW21" s="5"/>
      <c r="CTD21" s="18"/>
      <c r="CTE21" s="5"/>
      <c r="CTL21" s="18"/>
      <c r="CTM21" s="5"/>
      <c r="CTT21" s="18"/>
      <c r="CTU21" s="5"/>
      <c r="CUB21" s="18"/>
      <c r="CUC21" s="5"/>
      <c r="CUJ21" s="18"/>
      <c r="CUK21" s="5"/>
      <c r="CUR21" s="18"/>
      <c r="CUS21" s="5"/>
      <c r="CUZ21" s="18"/>
      <c r="CVA21" s="5"/>
      <c r="CVH21" s="18"/>
      <c r="CVI21" s="5"/>
      <c r="CVP21" s="18"/>
      <c r="CVQ21" s="5"/>
      <c r="CVX21" s="18"/>
      <c r="CVY21" s="5"/>
      <c r="CWF21" s="18"/>
      <c r="CWG21" s="5"/>
      <c r="CWN21" s="18"/>
      <c r="CWO21" s="5"/>
      <c r="CWV21" s="18"/>
      <c r="CWW21" s="5"/>
      <c r="CXD21" s="18"/>
      <c r="CXE21" s="5"/>
      <c r="CXL21" s="18"/>
      <c r="CXM21" s="5"/>
      <c r="CXT21" s="18"/>
      <c r="CXU21" s="5"/>
      <c r="CYB21" s="18"/>
      <c r="CYC21" s="5"/>
      <c r="CYJ21" s="18"/>
      <c r="CYK21" s="5"/>
      <c r="CYR21" s="18"/>
      <c r="CYS21" s="5"/>
      <c r="CYZ21" s="18"/>
      <c r="CZA21" s="5"/>
      <c r="CZH21" s="18"/>
      <c r="CZI21" s="5"/>
      <c r="CZP21" s="18"/>
      <c r="CZQ21" s="5"/>
      <c r="CZX21" s="18"/>
      <c r="CZY21" s="5"/>
      <c r="DAF21" s="18"/>
      <c r="DAG21" s="5"/>
      <c r="DAN21" s="18"/>
      <c r="DAO21" s="5"/>
      <c r="DAV21" s="18"/>
      <c r="DAW21" s="5"/>
      <c r="DBD21" s="18"/>
      <c r="DBE21" s="5"/>
      <c r="DBL21" s="18"/>
      <c r="DBM21" s="5"/>
      <c r="DBT21" s="18"/>
      <c r="DBU21" s="5"/>
      <c r="DCB21" s="18"/>
      <c r="DCC21" s="5"/>
      <c r="DCJ21" s="18"/>
      <c r="DCK21" s="5"/>
      <c r="DCR21" s="18"/>
      <c r="DCS21" s="5"/>
      <c r="DCZ21" s="18"/>
      <c r="DDA21" s="5"/>
      <c r="DDH21" s="18"/>
      <c r="DDI21" s="5"/>
      <c r="DDP21" s="18"/>
      <c r="DDQ21" s="5"/>
      <c r="DDX21" s="18"/>
      <c r="DDY21" s="5"/>
      <c r="DEF21" s="18"/>
      <c r="DEG21" s="5"/>
      <c r="DEN21" s="18"/>
      <c r="DEO21" s="5"/>
      <c r="DEV21" s="18"/>
      <c r="DEW21" s="5"/>
      <c r="DFD21" s="18"/>
      <c r="DFE21" s="5"/>
      <c r="DFL21" s="18"/>
      <c r="DFM21" s="5"/>
      <c r="DFT21" s="18"/>
      <c r="DFU21" s="5"/>
      <c r="DGB21" s="18"/>
      <c r="DGC21" s="5"/>
      <c r="DGJ21" s="18"/>
      <c r="DGK21" s="5"/>
      <c r="DGR21" s="18"/>
      <c r="DGS21" s="5"/>
      <c r="DGZ21" s="18"/>
      <c r="DHA21" s="5"/>
      <c r="DHH21" s="18"/>
      <c r="DHI21" s="5"/>
      <c r="DHP21" s="18"/>
      <c r="DHQ21" s="5"/>
      <c r="DHX21" s="18"/>
      <c r="DHY21" s="5"/>
      <c r="DIF21" s="18"/>
      <c r="DIG21" s="5"/>
      <c r="DIN21" s="18"/>
      <c r="DIO21" s="5"/>
      <c r="DIV21" s="18"/>
      <c r="DIW21" s="5"/>
      <c r="DJD21" s="18"/>
      <c r="DJE21" s="5"/>
      <c r="DJL21" s="18"/>
      <c r="DJM21" s="5"/>
      <c r="DJT21" s="18"/>
      <c r="DJU21" s="5"/>
      <c r="DKB21" s="18"/>
      <c r="DKC21" s="5"/>
      <c r="DKJ21" s="18"/>
      <c r="DKK21" s="5"/>
      <c r="DKR21" s="18"/>
      <c r="DKS21" s="5"/>
      <c r="DKZ21" s="18"/>
      <c r="DLA21" s="5"/>
      <c r="DLH21" s="18"/>
      <c r="DLI21" s="5"/>
      <c r="DLP21" s="18"/>
      <c r="DLQ21" s="5"/>
      <c r="DLX21" s="18"/>
      <c r="DLY21" s="5"/>
      <c r="DMF21" s="18"/>
      <c r="DMG21" s="5"/>
      <c r="DMN21" s="18"/>
      <c r="DMO21" s="5"/>
      <c r="DMV21" s="18"/>
      <c r="DMW21" s="5"/>
      <c r="DND21" s="18"/>
      <c r="DNE21" s="5"/>
      <c r="DNL21" s="18"/>
      <c r="DNM21" s="5"/>
      <c r="DNT21" s="18"/>
      <c r="DNU21" s="5"/>
      <c r="DOB21" s="18"/>
      <c r="DOC21" s="5"/>
      <c r="DOJ21" s="18"/>
      <c r="DOK21" s="5"/>
      <c r="DOR21" s="18"/>
      <c r="DOS21" s="5"/>
      <c r="DOZ21" s="18"/>
      <c r="DPA21" s="5"/>
      <c r="DPH21" s="18"/>
      <c r="DPI21" s="5"/>
      <c r="DPP21" s="18"/>
      <c r="DPQ21" s="5"/>
      <c r="DPX21" s="18"/>
      <c r="DPY21" s="5"/>
      <c r="DQF21" s="18"/>
      <c r="DQG21" s="5"/>
      <c r="DQN21" s="18"/>
      <c r="DQO21" s="5"/>
      <c r="DQV21" s="18"/>
      <c r="DQW21" s="5"/>
      <c r="DRD21" s="18"/>
      <c r="DRE21" s="5"/>
      <c r="DRL21" s="18"/>
      <c r="DRM21" s="5"/>
      <c r="DRT21" s="18"/>
      <c r="DRU21" s="5"/>
      <c r="DSB21" s="18"/>
      <c r="DSC21" s="5"/>
      <c r="DSJ21" s="18"/>
      <c r="DSK21" s="5"/>
      <c r="DSR21" s="18"/>
      <c r="DSS21" s="5"/>
      <c r="DSZ21" s="18"/>
      <c r="DTA21" s="5"/>
      <c r="DTH21" s="18"/>
      <c r="DTI21" s="5"/>
      <c r="DTP21" s="18"/>
      <c r="DTQ21" s="5"/>
      <c r="DTX21" s="18"/>
      <c r="DTY21" s="5"/>
      <c r="DUF21" s="18"/>
      <c r="DUG21" s="5"/>
      <c r="DUN21" s="18"/>
      <c r="DUO21" s="5"/>
      <c r="DUV21" s="18"/>
      <c r="DUW21" s="5"/>
      <c r="DVD21" s="18"/>
      <c r="DVE21" s="5"/>
      <c r="DVL21" s="18"/>
      <c r="DVM21" s="5"/>
      <c r="DVT21" s="18"/>
      <c r="DVU21" s="5"/>
      <c r="DWB21" s="18"/>
      <c r="DWC21" s="5"/>
      <c r="DWJ21" s="18"/>
      <c r="DWK21" s="5"/>
      <c r="DWR21" s="18"/>
      <c r="DWS21" s="5"/>
      <c r="DWZ21" s="18"/>
      <c r="DXA21" s="5"/>
      <c r="DXH21" s="18"/>
      <c r="DXI21" s="5"/>
      <c r="DXP21" s="18"/>
      <c r="DXQ21" s="5"/>
      <c r="DXX21" s="18"/>
      <c r="DXY21" s="5"/>
      <c r="DYF21" s="18"/>
      <c r="DYG21" s="5"/>
      <c r="DYN21" s="18"/>
      <c r="DYO21" s="5"/>
      <c r="DYV21" s="18"/>
      <c r="DYW21" s="5"/>
      <c r="DZD21" s="18"/>
      <c r="DZE21" s="5"/>
      <c r="DZL21" s="18"/>
      <c r="DZM21" s="5"/>
      <c r="DZT21" s="18"/>
      <c r="DZU21" s="5"/>
      <c r="EAB21" s="18"/>
      <c r="EAC21" s="5"/>
      <c r="EAJ21" s="18"/>
      <c r="EAK21" s="5"/>
      <c r="EAR21" s="18"/>
      <c r="EAS21" s="5"/>
      <c r="EAZ21" s="18"/>
      <c r="EBA21" s="5"/>
      <c r="EBH21" s="18"/>
      <c r="EBI21" s="5"/>
      <c r="EBP21" s="18"/>
      <c r="EBQ21" s="5"/>
      <c r="EBX21" s="18"/>
      <c r="EBY21" s="5"/>
      <c r="ECF21" s="18"/>
      <c r="ECG21" s="5"/>
      <c r="ECN21" s="18"/>
      <c r="ECO21" s="5"/>
      <c r="ECV21" s="18"/>
      <c r="ECW21" s="5"/>
      <c r="EDD21" s="18"/>
      <c r="EDE21" s="5"/>
      <c r="EDL21" s="18"/>
      <c r="EDM21" s="5"/>
      <c r="EDT21" s="18"/>
      <c r="EDU21" s="5"/>
      <c r="EEB21" s="18"/>
      <c r="EEC21" s="5"/>
      <c r="EEJ21" s="18"/>
      <c r="EEK21" s="5"/>
      <c r="EER21" s="18"/>
      <c r="EES21" s="5"/>
      <c r="EEZ21" s="18"/>
      <c r="EFA21" s="5"/>
      <c r="EFH21" s="18"/>
      <c r="EFI21" s="5"/>
      <c r="EFP21" s="18"/>
      <c r="EFQ21" s="5"/>
      <c r="EFX21" s="18"/>
      <c r="EFY21" s="5"/>
      <c r="EGF21" s="18"/>
      <c r="EGG21" s="5"/>
      <c r="EGN21" s="18"/>
      <c r="EGO21" s="5"/>
      <c r="EGV21" s="18"/>
      <c r="EGW21" s="5"/>
      <c r="EHD21" s="18"/>
      <c r="EHE21" s="5"/>
      <c r="EHL21" s="18"/>
      <c r="EHM21" s="5"/>
      <c r="EHT21" s="18"/>
      <c r="EHU21" s="5"/>
      <c r="EIB21" s="18"/>
      <c r="EIC21" s="5"/>
      <c r="EIJ21" s="18"/>
      <c r="EIK21" s="5"/>
      <c r="EIR21" s="18"/>
      <c r="EIS21" s="5"/>
      <c r="EIZ21" s="18"/>
      <c r="EJA21" s="5"/>
      <c r="EJH21" s="18"/>
      <c r="EJI21" s="5"/>
      <c r="EJP21" s="18"/>
      <c r="EJQ21" s="5"/>
      <c r="EJX21" s="18"/>
      <c r="EJY21" s="5"/>
      <c r="EKF21" s="18"/>
      <c r="EKG21" s="5"/>
      <c r="EKN21" s="18"/>
      <c r="EKO21" s="5"/>
      <c r="EKV21" s="18"/>
      <c r="EKW21" s="5"/>
      <c r="ELD21" s="18"/>
      <c r="ELE21" s="5"/>
      <c r="ELL21" s="18"/>
      <c r="ELM21" s="5"/>
      <c r="ELT21" s="18"/>
      <c r="ELU21" s="5"/>
      <c r="EMB21" s="18"/>
      <c r="EMC21" s="5"/>
      <c r="EMJ21" s="18"/>
      <c r="EMK21" s="5"/>
      <c r="EMR21" s="18"/>
      <c r="EMS21" s="5"/>
      <c r="EMZ21" s="18"/>
      <c r="ENA21" s="5"/>
      <c r="ENH21" s="18"/>
      <c r="ENI21" s="5"/>
      <c r="ENP21" s="18"/>
      <c r="ENQ21" s="5"/>
      <c r="ENX21" s="18"/>
      <c r="ENY21" s="5"/>
      <c r="EOF21" s="18"/>
      <c r="EOG21" s="5"/>
      <c r="EON21" s="18"/>
      <c r="EOO21" s="5"/>
      <c r="EOV21" s="18"/>
      <c r="EOW21" s="5"/>
      <c r="EPD21" s="18"/>
      <c r="EPE21" s="5"/>
      <c r="EPL21" s="18"/>
      <c r="EPM21" s="5"/>
      <c r="EPT21" s="18"/>
      <c r="EPU21" s="5"/>
      <c r="EQB21" s="18"/>
      <c r="EQC21" s="5"/>
      <c r="EQJ21" s="18"/>
      <c r="EQK21" s="5"/>
      <c r="EQR21" s="18"/>
      <c r="EQS21" s="5"/>
      <c r="EQZ21" s="18"/>
      <c r="ERA21" s="5"/>
      <c r="ERH21" s="18"/>
      <c r="ERI21" s="5"/>
      <c r="ERP21" s="18"/>
      <c r="ERQ21" s="5"/>
      <c r="ERX21" s="18"/>
      <c r="ERY21" s="5"/>
      <c r="ESF21" s="18"/>
      <c r="ESG21" s="5"/>
      <c r="ESN21" s="18"/>
      <c r="ESO21" s="5"/>
      <c r="ESV21" s="18"/>
      <c r="ESW21" s="5"/>
      <c r="ETD21" s="18"/>
      <c r="ETE21" s="5"/>
      <c r="ETL21" s="18"/>
      <c r="ETM21" s="5"/>
      <c r="ETT21" s="18"/>
      <c r="ETU21" s="5"/>
      <c r="EUB21" s="18"/>
      <c r="EUC21" s="5"/>
      <c r="EUJ21" s="18"/>
      <c r="EUK21" s="5"/>
      <c r="EUR21" s="18"/>
      <c r="EUS21" s="5"/>
      <c r="EUZ21" s="18"/>
      <c r="EVA21" s="5"/>
      <c r="EVH21" s="18"/>
      <c r="EVI21" s="5"/>
      <c r="EVP21" s="18"/>
      <c r="EVQ21" s="5"/>
      <c r="EVX21" s="18"/>
      <c r="EVY21" s="5"/>
      <c r="EWF21" s="18"/>
      <c r="EWG21" s="5"/>
      <c r="EWN21" s="18"/>
      <c r="EWO21" s="5"/>
      <c r="EWV21" s="18"/>
      <c r="EWW21" s="5"/>
      <c r="EXD21" s="18"/>
      <c r="EXE21" s="5"/>
      <c r="EXL21" s="18"/>
      <c r="EXM21" s="5"/>
      <c r="EXT21" s="18"/>
      <c r="EXU21" s="5"/>
      <c r="EYB21" s="18"/>
      <c r="EYC21" s="5"/>
      <c r="EYJ21" s="18"/>
      <c r="EYK21" s="5"/>
      <c r="EYR21" s="18"/>
      <c r="EYS21" s="5"/>
      <c r="EYZ21" s="18"/>
      <c r="EZA21" s="5"/>
      <c r="EZH21" s="18"/>
      <c r="EZI21" s="5"/>
      <c r="EZP21" s="18"/>
      <c r="EZQ21" s="5"/>
      <c r="EZX21" s="18"/>
      <c r="EZY21" s="5"/>
      <c r="FAF21" s="18"/>
      <c r="FAG21" s="5"/>
      <c r="FAN21" s="18"/>
      <c r="FAO21" s="5"/>
      <c r="FAV21" s="18"/>
      <c r="FAW21" s="5"/>
      <c r="FBD21" s="18"/>
      <c r="FBE21" s="5"/>
      <c r="FBL21" s="18"/>
      <c r="FBM21" s="5"/>
      <c r="FBT21" s="18"/>
      <c r="FBU21" s="5"/>
      <c r="FCB21" s="18"/>
      <c r="FCC21" s="5"/>
      <c r="FCJ21" s="18"/>
      <c r="FCK21" s="5"/>
      <c r="FCR21" s="18"/>
      <c r="FCS21" s="5"/>
      <c r="FCZ21" s="18"/>
      <c r="FDA21" s="5"/>
      <c r="FDH21" s="18"/>
      <c r="FDI21" s="5"/>
      <c r="FDP21" s="18"/>
      <c r="FDQ21" s="5"/>
      <c r="FDX21" s="18"/>
      <c r="FDY21" s="5"/>
      <c r="FEF21" s="18"/>
      <c r="FEG21" s="5"/>
      <c r="FEN21" s="18"/>
      <c r="FEO21" s="5"/>
      <c r="FEV21" s="18"/>
      <c r="FEW21" s="5"/>
      <c r="FFD21" s="18"/>
      <c r="FFE21" s="5"/>
      <c r="FFL21" s="18"/>
      <c r="FFM21" s="5"/>
      <c r="FFT21" s="18"/>
      <c r="FFU21" s="5"/>
      <c r="FGB21" s="18"/>
      <c r="FGC21" s="5"/>
      <c r="FGJ21" s="18"/>
      <c r="FGK21" s="5"/>
      <c r="FGR21" s="18"/>
      <c r="FGS21" s="5"/>
      <c r="FGZ21" s="18"/>
      <c r="FHA21" s="5"/>
      <c r="FHH21" s="18"/>
      <c r="FHI21" s="5"/>
      <c r="FHP21" s="18"/>
      <c r="FHQ21" s="5"/>
      <c r="FHX21" s="18"/>
      <c r="FHY21" s="5"/>
      <c r="FIF21" s="18"/>
      <c r="FIG21" s="5"/>
      <c r="FIN21" s="18"/>
      <c r="FIO21" s="5"/>
      <c r="FIV21" s="18"/>
      <c r="FIW21" s="5"/>
      <c r="FJD21" s="18"/>
      <c r="FJE21" s="5"/>
      <c r="FJL21" s="18"/>
      <c r="FJM21" s="5"/>
      <c r="FJT21" s="18"/>
      <c r="FJU21" s="5"/>
      <c r="FKB21" s="18"/>
      <c r="FKC21" s="5"/>
      <c r="FKJ21" s="18"/>
      <c r="FKK21" s="5"/>
      <c r="FKR21" s="18"/>
      <c r="FKS21" s="5"/>
      <c r="FKZ21" s="18"/>
      <c r="FLA21" s="5"/>
      <c r="FLH21" s="18"/>
      <c r="FLI21" s="5"/>
      <c r="FLP21" s="18"/>
      <c r="FLQ21" s="5"/>
      <c r="FLX21" s="18"/>
      <c r="FLY21" s="5"/>
      <c r="FMF21" s="18"/>
      <c r="FMG21" s="5"/>
      <c r="FMN21" s="18"/>
      <c r="FMO21" s="5"/>
      <c r="FMV21" s="18"/>
      <c r="FMW21" s="5"/>
      <c r="FND21" s="18"/>
      <c r="FNE21" s="5"/>
      <c r="FNL21" s="18"/>
      <c r="FNM21" s="5"/>
      <c r="FNT21" s="18"/>
      <c r="FNU21" s="5"/>
      <c r="FOB21" s="18"/>
      <c r="FOC21" s="5"/>
      <c r="FOJ21" s="18"/>
      <c r="FOK21" s="5"/>
      <c r="FOR21" s="18"/>
      <c r="FOS21" s="5"/>
      <c r="FOZ21" s="18"/>
      <c r="FPA21" s="5"/>
      <c r="FPH21" s="18"/>
      <c r="FPI21" s="5"/>
      <c r="FPP21" s="18"/>
      <c r="FPQ21" s="5"/>
      <c r="FPX21" s="18"/>
      <c r="FPY21" s="5"/>
      <c r="FQF21" s="18"/>
      <c r="FQG21" s="5"/>
      <c r="FQN21" s="18"/>
      <c r="FQO21" s="5"/>
      <c r="FQV21" s="18"/>
      <c r="FQW21" s="5"/>
      <c r="FRD21" s="18"/>
      <c r="FRE21" s="5"/>
      <c r="FRL21" s="18"/>
      <c r="FRM21" s="5"/>
      <c r="FRT21" s="18"/>
      <c r="FRU21" s="5"/>
      <c r="FSB21" s="18"/>
      <c r="FSC21" s="5"/>
      <c r="FSJ21" s="18"/>
      <c r="FSK21" s="5"/>
      <c r="FSR21" s="18"/>
      <c r="FSS21" s="5"/>
      <c r="FSZ21" s="18"/>
      <c r="FTA21" s="5"/>
      <c r="FTH21" s="18"/>
      <c r="FTI21" s="5"/>
      <c r="FTP21" s="18"/>
      <c r="FTQ21" s="5"/>
      <c r="FTX21" s="18"/>
      <c r="FTY21" s="5"/>
      <c r="FUF21" s="18"/>
      <c r="FUG21" s="5"/>
      <c r="FUN21" s="18"/>
      <c r="FUO21" s="5"/>
      <c r="FUV21" s="18"/>
      <c r="FUW21" s="5"/>
      <c r="FVD21" s="18"/>
      <c r="FVE21" s="5"/>
      <c r="FVL21" s="18"/>
      <c r="FVM21" s="5"/>
      <c r="FVT21" s="18"/>
      <c r="FVU21" s="5"/>
      <c r="FWB21" s="18"/>
      <c r="FWC21" s="5"/>
      <c r="FWJ21" s="18"/>
      <c r="FWK21" s="5"/>
      <c r="FWR21" s="18"/>
      <c r="FWS21" s="5"/>
      <c r="FWZ21" s="18"/>
      <c r="FXA21" s="5"/>
      <c r="FXH21" s="18"/>
      <c r="FXI21" s="5"/>
      <c r="FXP21" s="18"/>
      <c r="FXQ21" s="5"/>
      <c r="FXX21" s="18"/>
      <c r="FXY21" s="5"/>
      <c r="FYF21" s="18"/>
      <c r="FYG21" s="5"/>
      <c r="FYN21" s="18"/>
      <c r="FYO21" s="5"/>
      <c r="FYV21" s="18"/>
      <c r="FYW21" s="5"/>
      <c r="FZD21" s="18"/>
      <c r="FZE21" s="5"/>
      <c r="FZL21" s="18"/>
      <c r="FZM21" s="5"/>
      <c r="FZT21" s="18"/>
      <c r="FZU21" s="5"/>
      <c r="GAB21" s="18"/>
      <c r="GAC21" s="5"/>
      <c r="GAJ21" s="18"/>
      <c r="GAK21" s="5"/>
      <c r="GAR21" s="18"/>
      <c r="GAS21" s="5"/>
      <c r="GAZ21" s="18"/>
      <c r="GBA21" s="5"/>
      <c r="GBH21" s="18"/>
      <c r="GBI21" s="5"/>
      <c r="GBP21" s="18"/>
      <c r="GBQ21" s="5"/>
      <c r="GBX21" s="18"/>
      <c r="GBY21" s="5"/>
      <c r="GCF21" s="18"/>
      <c r="GCG21" s="5"/>
      <c r="GCN21" s="18"/>
      <c r="GCO21" s="5"/>
      <c r="GCV21" s="18"/>
      <c r="GCW21" s="5"/>
      <c r="GDD21" s="18"/>
      <c r="GDE21" s="5"/>
      <c r="GDL21" s="18"/>
      <c r="GDM21" s="5"/>
      <c r="GDT21" s="18"/>
      <c r="GDU21" s="5"/>
      <c r="GEB21" s="18"/>
      <c r="GEC21" s="5"/>
      <c r="GEJ21" s="18"/>
      <c r="GEK21" s="5"/>
      <c r="GER21" s="18"/>
      <c r="GES21" s="5"/>
      <c r="GEZ21" s="18"/>
      <c r="GFA21" s="5"/>
      <c r="GFH21" s="18"/>
      <c r="GFI21" s="5"/>
      <c r="GFP21" s="18"/>
      <c r="GFQ21" s="5"/>
      <c r="GFX21" s="18"/>
      <c r="GFY21" s="5"/>
      <c r="GGF21" s="18"/>
      <c r="GGG21" s="5"/>
      <c r="GGN21" s="18"/>
      <c r="GGO21" s="5"/>
      <c r="GGV21" s="18"/>
      <c r="GGW21" s="5"/>
      <c r="GHD21" s="18"/>
      <c r="GHE21" s="5"/>
      <c r="GHL21" s="18"/>
      <c r="GHM21" s="5"/>
      <c r="GHT21" s="18"/>
      <c r="GHU21" s="5"/>
      <c r="GIB21" s="18"/>
      <c r="GIC21" s="5"/>
      <c r="GIJ21" s="18"/>
      <c r="GIK21" s="5"/>
      <c r="GIR21" s="18"/>
      <c r="GIS21" s="5"/>
      <c r="GIZ21" s="18"/>
      <c r="GJA21" s="5"/>
      <c r="GJH21" s="18"/>
      <c r="GJI21" s="5"/>
      <c r="GJP21" s="18"/>
      <c r="GJQ21" s="5"/>
      <c r="GJX21" s="18"/>
      <c r="GJY21" s="5"/>
      <c r="GKF21" s="18"/>
      <c r="GKG21" s="5"/>
      <c r="GKN21" s="18"/>
      <c r="GKO21" s="5"/>
      <c r="GKV21" s="18"/>
      <c r="GKW21" s="5"/>
      <c r="GLD21" s="18"/>
      <c r="GLE21" s="5"/>
      <c r="GLL21" s="18"/>
      <c r="GLM21" s="5"/>
      <c r="GLT21" s="18"/>
      <c r="GLU21" s="5"/>
      <c r="GMB21" s="18"/>
      <c r="GMC21" s="5"/>
      <c r="GMJ21" s="18"/>
      <c r="GMK21" s="5"/>
      <c r="GMR21" s="18"/>
      <c r="GMS21" s="5"/>
      <c r="GMZ21" s="18"/>
      <c r="GNA21" s="5"/>
      <c r="GNH21" s="18"/>
      <c r="GNI21" s="5"/>
      <c r="GNP21" s="18"/>
      <c r="GNQ21" s="5"/>
      <c r="GNX21" s="18"/>
      <c r="GNY21" s="5"/>
      <c r="GOF21" s="18"/>
      <c r="GOG21" s="5"/>
      <c r="GON21" s="18"/>
      <c r="GOO21" s="5"/>
      <c r="GOV21" s="18"/>
      <c r="GOW21" s="5"/>
      <c r="GPD21" s="18"/>
      <c r="GPE21" s="5"/>
      <c r="GPL21" s="18"/>
      <c r="GPM21" s="5"/>
      <c r="GPT21" s="18"/>
      <c r="GPU21" s="5"/>
      <c r="GQB21" s="18"/>
      <c r="GQC21" s="5"/>
      <c r="GQJ21" s="18"/>
      <c r="GQK21" s="5"/>
      <c r="GQR21" s="18"/>
      <c r="GQS21" s="5"/>
      <c r="GQZ21" s="18"/>
      <c r="GRA21" s="5"/>
      <c r="GRH21" s="18"/>
      <c r="GRI21" s="5"/>
      <c r="GRP21" s="18"/>
      <c r="GRQ21" s="5"/>
      <c r="GRX21" s="18"/>
      <c r="GRY21" s="5"/>
      <c r="GSF21" s="18"/>
      <c r="GSG21" s="5"/>
      <c r="GSN21" s="18"/>
      <c r="GSO21" s="5"/>
      <c r="GSV21" s="18"/>
      <c r="GSW21" s="5"/>
      <c r="GTD21" s="18"/>
      <c r="GTE21" s="5"/>
      <c r="GTL21" s="18"/>
      <c r="GTM21" s="5"/>
      <c r="GTT21" s="18"/>
      <c r="GTU21" s="5"/>
      <c r="GUB21" s="18"/>
      <c r="GUC21" s="5"/>
      <c r="GUJ21" s="18"/>
      <c r="GUK21" s="5"/>
      <c r="GUR21" s="18"/>
      <c r="GUS21" s="5"/>
      <c r="GUZ21" s="18"/>
      <c r="GVA21" s="5"/>
      <c r="GVH21" s="18"/>
      <c r="GVI21" s="5"/>
      <c r="GVP21" s="18"/>
      <c r="GVQ21" s="5"/>
      <c r="GVX21" s="18"/>
      <c r="GVY21" s="5"/>
      <c r="GWF21" s="18"/>
      <c r="GWG21" s="5"/>
      <c r="GWN21" s="18"/>
      <c r="GWO21" s="5"/>
      <c r="GWV21" s="18"/>
      <c r="GWW21" s="5"/>
      <c r="GXD21" s="18"/>
      <c r="GXE21" s="5"/>
      <c r="GXL21" s="18"/>
      <c r="GXM21" s="5"/>
      <c r="GXT21" s="18"/>
      <c r="GXU21" s="5"/>
      <c r="GYB21" s="18"/>
      <c r="GYC21" s="5"/>
      <c r="GYJ21" s="18"/>
      <c r="GYK21" s="5"/>
      <c r="GYR21" s="18"/>
      <c r="GYS21" s="5"/>
      <c r="GYZ21" s="18"/>
      <c r="GZA21" s="5"/>
      <c r="GZH21" s="18"/>
      <c r="GZI21" s="5"/>
      <c r="GZP21" s="18"/>
      <c r="GZQ21" s="5"/>
      <c r="GZX21" s="18"/>
      <c r="GZY21" s="5"/>
      <c r="HAF21" s="18"/>
      <c r="HAG21" s="5"/>
      <c r="HAN21" s="18"/>
      <c r="HAO21" s="5"/>
      <c r="HAV21" s="18"/>
      <c r="HAW21" s="5"/>
      <c r="HBD21" s="18"/>
      <c r="HBE21" s="5"/>
      <c r="HBL21" s="18"/>
      <c r="HBM21" s="5"/>
      <c r="HBT21" s="18"/>
      <c r="HBU21" s="5"/>
      <c r="HCB21" s="18"/>
      <c r="HCC21" s="5"/>
      <c r="HCJ21" s="18"/>
      <c r="HCK21" s="5"/>
      <c r="HCR21" s="18"/>
      <c r="HCS21" s="5"/>
      <c r="HCZ21" s="18"/>
      <c r="HDA21" s="5"/>
      <c r="HDH21" s="18"/>
      <c r="HDI21" s="5"/>
      <c r="HDP21" s="18"/>
      <c r="HDQ21" s="5"/>
      <c r="HDX21" s="18"/>
      <c r="HDY21" s="5"/>
      <c r="HEF21" s="18"/>
      <c r="HEG21" s="5"/>
      <c r="HEN21" s="18"/>
      <c r="HEO21" s="5"/>
      <c r="HEV21" s="18"/>
      <c r="HEW21" s="5"/>
      <c r="HFD21" s="18"/>
      <c r="HFE21" s="5"/>
      <c r="HFL21" s="18"/>
      <c r="HFM21" s="5"/>
      <c r="HFT21" s="18"/>
      <c r="HFU21" s="5"/>
      <c r="HGB21" s="18"/>
      <c r="HGC21" s="5"/>
      <c r="HGJ21" s="18"/>
      <c r="HGK21" s="5"/>
      <c r="HGR21" s="18"/>
      <c r="HGS21" s="5"/>
      <c r="HGZ21" s="18"/>
      <c r="HHA21" s="5"/>
      <c r="HHH21" s="18"/>
      <c r="HHI21" s="5"/>
      <c r="HHP21" s="18"/>
      <c r="HHQ21" s="5"/>
      <c r="HHX21" s="18"/>
      <c r="HHY21" s="5"/>
      <c r="HIF21" s="18"/>
      <c r="HIG21" s="5"/>
      <c r="HIN21" s="18"/>
      <c r="HIO21" s="5"/>
      <c r="HIV21" s="18"/>
      <c r="HIW21" s="5"/>
      <c r="HJD21" s="18"/>
      <c r="HJE21" s="5"/>
      <c r="HJL21" s="18"/>
      <c r="HJM21" s="5"/>
      <c r="HJT21" s="18"/>
      <c r="HJU21" s="5"/>
      <c r="HKB21" s="18"/>
      <c r="HKC21" s="5"/>
      <c r="HKJ21" s="18"/>
      <c r="HKK21" s="5"/>
      <c r="HKR21" s="18"/>
      <c r="HKS21" s="5"/>
      <c r="HKZ21" s="18"/>
      <c r="HLA21" s="5"/>
      <c r="HLH21" s="18"/>
      <c r="HLI21" s="5"/>
      <c r="HLP21" s="18"/>
      <c r="HLQ21" s="5"/>
      <c r="HLX21" s="18"/>
      <c r="HLY21" s="5"/>
      <c r="HMF21" s="18"/>
      <c r="HMG21" s="5"/>
      <c r="HMN21" s="18"/>
      <c r="HMO21" s="5"/>
      <c r="HMV21" s="18"/>
      <c r="HMW21" s="5"/>
      <c r="HND21" s="18"/>
      <c r="HNE21" s="5"/>
      <c r="HNL21" s="18"/>
      <c r="HNM21" s="5"/>
      <c r="HNT21" s="18"/>
      <c r="HNU21" s="5"/>
      <c r="HOB21" s="18"/>
      <c r="HOC21" s="5"/>
      <c r="HOJ21" s="18"/>
      <c r="HOK21" s="5"/>
      <c r="HOR21" s="18"/>
      <c r="HOS21" s="5"/>
      <c r="HOZ21" s="18"/>
      <c r="HPA21" s="5"/>
      <c r="HPH21" s="18"/>
      <c r="HPI21" s="5"/>
      <c r="HPP21" s="18"/>
      <c r="HPQ21" s="5"/>
      <c r="HPX21" s="18"/>
      <c r="HPY21" s="5"/>
      <c r="HQF21" s="18"/>
      <c r="HQG21" s="5"/>
      <c r="HQN21" s="18"/>
      <c r="HQO21" s="5"/>
      <c r="HQV21" s="18"/>
      <c r="HQW21" s="5"/>
      <c r="HRD21" s="18"/>
      <c r="HRE21" s="5"/>
      <c r="HRL21" s="18"/>
      <c r="HRM21" s="5"/>
      <c r="HRT21" s="18"/>
      <c r="HRU21" s="5"/>
      <c r="HSB21" s="18"/>
      <c r="HSC21" s="5"/>
      <c r="HSJ21" s="18"/>
      <c r="HSK21" s="5"/>
      <c r="HSR21" s="18"/>
      <c r="HSS21" s="5"/>
      <c r="HSZ21" s="18"/>
      <c r="HTA21" s="5"/>
      <c r="HTH21" s="18"/>
      <c r="HTI21" s="5"/>
      <c r="HTP21" s="18"/>
      <c r="HTQ21" s="5"/>
      <c r="HTX21" s="18"/>
      <c r="HTY21" s="5"/>
      <c r="HUF21" s="18"/>
      <c r="HUG21" s="5"/>
      <c r="HUN21" s="18"/>
      <c r="HUO21" s="5"/>
      <c r="HUV21" s="18"/>
      <c r="HUW21" s="5"/>
      <c r="HVD21" s="18"/>
      <c r="HVE21" s="5"/>
      <c r="HVL21" s="18"/>
      <c r="HVM21" s="5"/>
      <c r="HVT21" s="18"/>
      <c r="HVU21" s="5"/>
      <c r="HWB21" s="18"/>
      <c r="HWC21" s="5"/>
      <c r="HWJ21" s="18"/>
      <c r="HWK21" s="5"/>
      <c r="HWR21" s="18"/>
      <c r="HWS21" s="5"/>
      <c r="HWZ21" s="18"/>
      <c r="HXA21" s="5"/>
      <c r="HXH21" s="18"/>
      <c r="HXI21" s="5"/>
      <c r="HXP21" s="18"/>
      <c r="HXQ21" s="5"/>
      <c r="HXX21" s="18"/>
      <c r="HXY21" s="5"/>
      <c r="HYF21" s="18"/>
      <c r="HYG21" s="5"/>
      <c r="HYN21" s="18"/>
      <c r="HYO21" s="5"/>
      <c r="HYV21" s="18"/>
      <c r="HYW21" s="5"/>
      <c r="HZD21" s="18"/>
      <c r="HZE21" s="5"/>
      <c r="HZL21" s="18"/>
      <c r="HZM21" s="5"/>
      <c r="HZT21" s="18"/>
      <c r="HZU21" s="5"/>
      <c r="IAB21" s="18"/>
      <c r="IAC21" s="5"/>
      <c r="IAJ21" s="18"/>
      <c r="IAK21" s="5"/>
      <c r="IAR21" s="18"/>
      <c r="IAS21" s="5"/>
      <c r="IAZ21" s="18"/>
      <c r="IBA21" s="5"/>
      <c r="IBH21" s="18"/>
      <c r="IBI21" s="5"/>
      <c r="IBP21" s="18"/>
      <c r="IBQ21" s="5"/>
      <c r="IBX21" s="18"/>
      <c r="IBY21" s="5"/>
      <c r="ICF21" s="18"/>
      <c r="ICG21" s="5"/>
      <c r="ICN21" s="18"/>
      <c r="ICO21" s="5"/>
      <c r="ICV21" s="18"/>
      <c r="ICW21" s="5"/>
      <c r="IDD21" s="18"/>
      <c r="IDE21" s="5"/>
      <c r="IDL21" s="18"/>
      <c r="IDM21" s="5"/>
      <c r="IDT21" s="18"/>
      <c r="IDU21" s="5"/>
      <c r="IEB21" s="18"/>
      <c r="IEC21" s="5"/>
      <c r="IEJ21" s="18"/>
      <c r="IEK21" s="5"/>
      <c r="IER21" s="18"/>
      <c r="IES21" s="5"/>
      <c r="IEZ21" s="18"/>
      <c r="IFA21" s="5"/>
      <c r="IFH21" s="18"/>
      <c r="IFI21" s="5"/>
      <c r="IFP21" s="18"/>
      <c r="IFQ21" s="5"/>
      <c r="IFX21" s="18"/>
      <c r="IFY21" s="5"/>
      <c r="IGF21" s="18"/>
      <c r="IGG21" s="5"/>
      <c r="IGN21" s="18"/>
      <c r="IGO21" s="5"/>
      <c r="IGV21" s="18"/>
      <c r="IGW21" s="5"/>
      <c r="IHD21" s="18"/>
      <c r="IHE21" s="5"/>
      <c r="IHL21" s="18"/>
      <c r="IHM21" s="5"/>
      <c r="IHT21" s="18"/>
      <c r="IHU21" s="5"/>
      <c r="IIB21" s="18"/>
      <c r="IIC21" s="5"/>
      <c r="IIJ21" s="18"/>
      <c r="IIK21" s="5"/>
      <c r="IIR21" s="18"/>
      <c r="IIS21" s="5"/>
      <c r="IIZ21" s="18"/>
      <c r="IJA21" s="5"/>
      <c r="IJH21" s="18"/>
      <c r="IJI21" s="5"/>
      <c r="IJP21" s="18"/>
      <c r="IJQ21" s="5"/>
      <c r="IJX21" s="18"/>
      <c r="IJY21" s="5"/>
      <c r="IKF21" s="18"/>
      <c r="IKG21" s="5"/>
      <c r="IKN21" s="18"/>
      <c r="IKO21" s="5"/>
      <c r="IKV21" s="18"/>
      <c r="IKW21" s="5"/>
      <c r="ILD21" s="18"/>
      <c r="ILE21" s="5"/>
      <c r="ILL21" s="18"/>
      <c r="ILM21" s="5"/>
      <c r="ILT21" s="18"/>
      <c r="ILU21" s="5"/>
      <c r="IMB21" s="18"/>
      <c r="IMC21" s="5"/>
      <c r="IMJ21" s="18"/>
      <c r="IMK21" s="5"/>
      <c r="IMR21" s="18"/>
      <c r="IMS21" s="5"/>
      <c r="IMZ21" s="18"/>
      <c r="INA21" s="5"/>
      <c r="INH21" s="18"/>
      <c r="INI21" s="5"/>
      <c r="INP21" s="18"/>
      <c r="INQ21" s="5"/>
      <c r="INX21" s="18"/>
      <c r="INY21" s="5"/>
      <c r="IOF21" s="18"/>
      <c r="IOG21" s="5"/>
      <c r="ION21" s="18"/>
      <c r="IOO21" s="5"/>
      <c r="IOV21" s="18"/>
      <c r="IOW21" s="5"/>
      <c r="IPD21" s="18"/>
      <c r="IPE21" s="5"/>
      <c r="IPL21" s="18"/>
      <c r="IPM21" s="5"/>
      <c r="IPT21" s="18"/>
      <c r="IPU21" s="5"/>
      <c r="IQB21" s="18"/>
      <c r="IQC21" s="5"/>
      <c r="IQJ21" s="18"/>
      <c r="IQK21" s="5"/>
      <c r="IQR21" s="18"/>
      <c r="IQS21" s="5"/>
      <c r="IQZ21" s="18"/>
      <c r="IRA21" s="5"/>
      <c r="IRH21" s="18"/>
      <c r="IRI21" s="5"/>
      <c r="IRP21" s="18"/>
      <c r="IRQ21" s="5"/>
      <c r="IRX21" s="18"/>
      <c r="IRY21" s="5"/>
      <c r="ISF21" s="18"/>
      <c r="ISG21" s="5"/>
      <c r="ISN21" s="18"/>
      <c r="ISO21" s="5"/>
      <c r="ISV21" s="18"/>
      <c r="ISW21" s="5"/>
      <c r="ITD21" s="18"/>
      <c r="ITE21" s="5"/>
      <c r="ITL21" s="18"/>
      <c r="ITM21" s="5"/>
      <c r="ITT21" s="18"/>
      <c r="ITU21" s="5"/>
      <c r="IUB21" s="18"/>
      <c r="IUC21" s="5"/>
      <c r="IUJ21" s="18"/>
      <c r="IUK21" s="5"/>
      <c r="IUR21" s="18"/>
      <c r="IUS21" s="5"/>
      <c r="IUZ21" s="18"/>
      <c r="IVA21" s="5"/>
      <c r="IVH21" s="18"/>
      <c r="IVI21" s="5"/>
      <c r="IVP21" s="18"/>
      <c r="IVQ21" s="5"/>
      <c r="IVX21" s="18"/>
      <c r="IVY21" s="5"/>
      <c r="IWF21" s="18"/>
      <c r="IWG21" s="5"/>
      <c r="IWN21" s="18"/>
      <c r="IWO21" s="5"/>
      <c r="IWV21" s="18"/>
      <c r="IWW21" s="5"/>
      <c r="IXD21" s="18"/>
      <c r="IXE21" s="5"/>
      <c r="IXL21" s="18"/>
      <c r="IXM21" s="5"/>
      <c r="IXT21" s="18"/>
      <c r="IXU21" s="5"/>
      <c r="IYB21" s="18"/>
      <c r="IYC21" s="5"/>
      <c r="IYJ21" s="18"/>
      <c r="IYK21" s="5"/>
      <c r="IYR21" s="18"/>
      <c r="IYS21" s="5"/>
      <c r="IYZ21" s="18"/>
      <c r="IZA21" s="5"/>
      <c r="IZH21" s="18"/>
      <c r="IZI21" s="5"/>
      <c r="IZP21" s="18"/>
      <c r="IZQ21" s="5"/>
      <c r="IZX21" s="18"/>
      <c r="IZY21" s="5"/>
      <c r="JAF21" s="18"/>
      <c r="JAG21" s="5"/>
      <c r="JAN21" s="18"/>
      <c r="JAO21" s="5"/>
      <c r="JAV21" s="18"/>
      <c r="JAW21" s="5"/>
      <c r="JBD21" s="18"/>
      <c r="JBE21" s="5"/>
      <c r="JBL21" s="18"/>
      <c r="JBM21" s="5"/>
      <c r="JBT21" s="18"/>
      <c r="JBU21" s="5"/>
      <c r="JCB21" s="18"/>
      <c r="JCC21" s="5"/>
      <c r="JCJ21" s="18"/>
      <c r="JCK21" s="5"/>
      <c r="JCR21" s="18"/>
      <c r="JCS21" s="5"/>
      <c r="JCZ21" s="18"/>
      <c r="JDA21" s="5"/>
      <c r="JDH21" s="18"/>
      <c r="JDI21" s="5"/>
      <c r="JDP21" s="18"/>
      <c r="JDQ21" s="5"/>
      <c r="JDX21" s="18"/>
      <c r="JDY21" s="5"/>
      <c r="JEF21" s="18"/>
      <c r="JEG21" s="5"/>
      <c r="JEN21" s="18"/>
      <c r="JEO21" s="5"/>
      <c r="JEV21" s="18"/>
      <c r="JEW21" s="5"/>
      <c r="JFD21" s="18"/>
      <c r="JFE21" s="5"/>
      <c r="JFL21" s="18"/>
      <c r="JFM21" s="5"/>
      <c r="JFT21" s="18"/>
      <c r="JFU21" s="5"/>
      <c r="JGB21" s="18"/>
      <c r="JGC21" s="5"/>
      <c r="JGJ21" s="18"/>
      <c r="JGK21" s="5"/>
      <c r="JGR21" s="18"/>
      <c r="JGS21" s="5"/>
      <c r="JGZ21" s="18"/>
      <c r="JHA21" s="5"/>
      <c r="JHH21" s="18"/>
      <c r="JHI21" s="5"/>
      <c r="JHP21" s="18"/>
      <c r="JHQ21" s="5"/>
      <c r="JHX21" s="18"/>
      <c r="JHY21" s="5"/>
      <c r="JIF21" s="18"/>
      <c r="JIG21" s="5"/>
      <c r="JIN21" s="18"/>
      <c r="JIO21" s="5"/>
      <c r="JIV21" s="18"/>
      <c r="JIW21" s="5"/>
      <c r="JJD21" s="18"/>
      <c r="JJE21" s="5"/>
      <c r="JJL21" s="18"/>
      <c r="JJM21" s="5"/>
      <c r="JJT21" s="18"/>
      <c r="JJU21" s="5"/>
      <c r="JKB21" s="18"/>
      <c r="JKC21" s="5"/>
      <c r="JKJ21" s="18"/>
      <c r="JKK21" s="5"/>
      <c r="JKR21" s="18"/>
      <c r="JKS21" s="5"/>
      <c r="JKZ21" s="18"/>
      <c r="JLA21" s="5"/>
      <c r="JLH21" s="18"/>
      <c r="JLI21" s="5"/>
      <c r="JLP21" s="18"/>
      <c r="JLQ21" s="5"/>
      <c r="JLX21" s="18"/>
      <c r="JLY21" s="5"/>
      <c r="JMF21" s="18"/>
      <c r="JMG21" s="5"/>
      <c r="JMN21" s="18"/>
      <c r="JMO21" s="5"/>
      <c r="JMV21" s="18"/>
      <c r="JMW21" s="5"/>
      <c r="JND21" s="18"/>
      <c r="JNE21" s="5"/>
      <c r="JNL21" s="18"/>
      <c r="JNM21" s="5"/>
      <c r="JNT21" s="18"/>
      <c r="JNU21" s="5"/>
      <c r="JOB21" s="18"/>
      <c r="JOC21" s="5"/>
      <c r="JOJ21" s="18"/>
      <c r="JOK21" s="5"/>
      <c r="JOR21" s="18"/>
      <c r="JOS21" s="5"/>
      <c r="JOZ21" s="18"/>
      <c r="JPA21" s="5"/>
      <c r="JPH21" s="18"/>
      <c r="JPI21" s="5"/>
      <c r="JPP21" s="18"/>
      <c r="JPQ21" s="5"/>
      <c r="JPX21" s="18"/>
      <c r="JPY21" s="5"/>
      <c r="JQF21" s="18"/>
      <c r="JQG21" s="5"/>
      <c r="JQN21" s="18"/>
      <c r="JQO21" s="5"/>
      <c r="JQV21" s="18"/>
      <c r="JQW21" s="5"/>
      <c r="JRD21" s="18"/>
      <c r="JRE21" s="5"/>
      <c r="JRL21" s="18"/>
      <c r="JRM21" s="5"/>
      <c r="JRT21" s="18"/>
      <c r="JRU21" s="5"/>
      <c r="JSB21" s="18"/>
      <c r="JSC21" s="5"/>
      <c r="JSJ21" s="18"/>
      <c r="JSK21" s="5"/>
      <c r="JSR21" s="18"/>
      <c r="JSS21" s="5"/>
      <c r="JSZ21" s="18"/>
      <c r="JTA21" s="5"/>
      <c r="JTH21" s="18"/>
      <c r="JTI21" s="5"/>
      <c r="JTP21" s="18"/>
      <c r="JTQ21" s="5"/>
      <c r="JTX21" s="18"/>
      <c r="JTY21" s="5"/>
      <c r="JUF21" s="18"/>
      <c r="JUG21" s="5"/>
      <c r="JUN21" s="18"/>
      <c r="JUO21" s="5"/>
      <c r="JUV21" s="18"/>
      <c r="JUW21" s="5"/>
      <c r="JVD21" s="18"/>
      <c r="JVE21" s="5"/>
      <c r="JVL21" s="18"/>
      <c r="JVM21" s="5"/>
      <c r="JVT21" s="18"/>
      <c r="JVU21" s="5"/>
      <c r="JWB21" s="18"/>
      <c r="JWC21" s="5"/>
      <c r="JWJ21" s="18"/>
      <c r="JWK21" s="5"/>
      <c r="JWR21" s="18"/>
      <c r="JWS21" s="5"/>
      <c r="JWZ21" s="18"/>
      <c r="JXA21" s="5"/>
      <c r="JXH21" s="18"/>
      <c r="JXI21" s="5"/>
      <c r="JXP21" s="18"/>
      <c r="JXQ21" s="5"/>
      <c r="JXX21" s="18"/>
      <c r="JXY21" s="5"/>
      <c r="JYF21" s="18"/>
      <c r="JYG21" s="5"/>
      <c r="JYN21" s="18"/>
      <c r="JYO21" s="5"/>
      <c r="JYV21" s="18"/>
      <c r="JYW21" s="5"/>
      <c r="JZD21" s="18"/>
      <c r="JZE21" s="5"/>
      <c r="JZL21" s="18"/>
      <c r="JZM21" s="5"/>
      <c r="JZT21" s="18"/>
      <c r="JZU21" s="5"/>
      <c r="KAB21" s="18"/>
      <c r="KAC21" s="5"/>
      <c r="KAJ21" s="18"/>
      <c r="KAK21" s="5"/>
      <c r="KAR21" s="18"/>
      <c r="KAS21" s="5"/>
      <c r="KAZ21" s="18"/>
      <c r="KBA21" s="5"/>
      <c r="KBH21" s="18"/>
      <c r="KBI21" s="5"/>
      <c r="KBP21" s="18"/>
      <c r="KBQ21" s="5"/>
      <c r="KBX21" s="18"/>
      <c r="KBY21" s="5"/>
      <c r="KCF21" s="18"/>
      <c r="KCG21" s="5"/>
      <c r="KCN21" s="18"/>
      <c r="KCO21" s="5"/>
      <c r="KCV21" s="18"/>
      <c r="KCW21" s="5"/>
      <c r="KDD21" s="18"/>
      <c r="KDE21" s="5"/>
      <c r="KDL21" s="18"/>
      <c r="KDM21" s="5"/>
      <c r="KDT21" s="18"/>
      <c r="KDU21" s="5"/>
      <c r="KEB21" s="18"/>
      <c r="KEC21" s="5"/>
      <c r="KEJ21" s="18"/>
      <c r="KEK21" s="5"/>
      <c r="KER21" s="18"/>
      <c r="KES21" s="5"/>
      <c r="KEZ21" s="18"/>
      <c r="KFA21" s="5"/>
      <c r="KFH21" s="18"/>
      <c r="KFI21" s="5"/>
      <c r="KFP21" s="18"/>
      <c r="KFQ21" s="5"/>
      <c r="KFX21" s="18"/>
      <c r="KFY21" s="5"/>
      <c r="KGF21" s="18"/>
      <c r="KGG21" s="5"/>
      <c r="KGN21" s="18"/>
      <c r="KGO21" s="5"/>
      <c r="KGV21" s="18"/>
      <c r="KGW21" s="5"/>
      <c r="KHD21" s="18"/>
      <c r="KHE21" s="5"/>
      <c r="KHL21" s="18"/>
      <c r="KHM21" s="5"/>
      <c r="KHT21" s="18"/>
      <c r="KHU21" s="5"/>
      <c r="KIB21" s="18"/>
      <c r="KIC21" s="5"/>
      <c r="KIJ21" s="18"/>
      <c r="KIK21" s="5"/>
      <c r="KIR21" s="18"/>
      <c r="KIS21" s="5"/>
      <c r="KIZ21" s="18"/>
      <c r="KJA21" s="5"/>
      <c r="KJH21" s="18"/>
      <c r="KJI21" s="5"/>
      <c r="KJP21" s="18"/>
      <c r="KJQ21" s="5"/>
      <c r="KJX21" s="18"/>
      <c r="KJY21" s="5"/>
      <c r="KKF21" s="18"/>
      <c r="KKG21" s="5"/>
      <c r="KKN21" s="18"/>
      <c r="KKO21" s="5"/>
      <c r="KKV21" s="18"/>
      <c r="KKW21" s="5"/>
      <c r="KLD21" s="18"/>
      <c r="KLE21" s="5"/>
      <c r="KLL21" s="18"/>
      <c r="KLM21" s="5"/>
      <c r="KLT21" s="18"/>
      <c r="KLU21" s="5"/>
      <c r="KMB21" s="18"/>
      <c r="KMC21" s="5"/>
      <c r="KMJ21" s="18"/>
      <c r="KMK21" s="5"/>
      <c r="KMR21" s="18"/>
      <c r="KMS21" s="5"/>
      <c r="KMZ21" s="18"/>
      <c r="KNA21" s="5"/>
      <c r="KNH21" s="18"/>
      <c r="KNI21" s="5"/>
      <c r="KNP21" s="18"/>
      <c r="KNQ21" s="5"/>
      <c r="KNX21" s="18"/>
      <c r="KNY21" s="5"/>
      <c r="KOF21" s="18"/>
      <c r="KOG21" s="5"/>
      <c r="KON21" s="18"/>
      <c r="KOO21" s="5"/>
      <c r="KOV21" s="18"/>
      <c r="KOW21" s="5"/>
      <c r="KPD21" s="18"/>
      <c r="KPE21" s="5"/>
      <c r="KPL21" s="18"/>
      <c r="KPM21" s="5"/>
      <c r="KPT21" s="18"/>
      <c r="KPU21" s="5"/>
      <c r="KQB21" s="18"/>
      <c r="KQC21" s="5"/>
      <c r="KQJ21" s="18"/>
      <c r="KQK21" s="5"/>
      <c r="KQR21" s="18"/>
      <c r="KQS21" s="5"/>
      <c r="KQZ21" s="18"/>
      <c r="KRA21" s="5"/>
      <c r="KRH21" s="18"/>
      <c r="KRI21" s="5"/>
      <c r="KRP21" s="18"/>
      <c r="KRQ21" s="5"/>
      <c r="KRX21" s="18"/>
      <c r="KRY21" s="5"/>
      <c r="KSF21" s="18"/>
      <c r="KSG21" s="5"/>
      <c r="KSN21" s="18"/>
      <c r="KSO21" s="5"/>
      <c r="KSV21" s="18"/>
      <c r="KSW21" s="5"/>
      <c r="KTD21" s="18"/>
      <c r="KTE21" s="5"/>
      <c r="KTL21" s="18"/>
      <c r="KTM21" s="5"/>
      <c r="KTT21" s="18"/>
      <c r="KTU21" s="5"/>
      <c r="KUB21" s="18"/>
      <c r="KUC21" s="5"/>
      <c r="KUJ21" s="18"/>
      <c r="KUK21" s="5"/>
      <c r="KUR21" s="18"/>
      <c r="KUS21" s="5"/>
      <c r="KUZ21" s="18"/>
      <c r="KVA21" s="5"/>
      <c r="KVH21" s="18"/>
      <c r="KVI21" s="5"/>
      <c r="KVP21" s="18"/>
      <c r="KVQ21" s="5"/>
      <c r="KVX21" s="18"/>
      <c r="KVY21" s="5"/>
      <c r="KWF21" s="18"/>
      <c r="KWG21" s="5"/>
      <c r="KWN21" s="18"/>
      <c r="KWO21" s="5"/>
      <c r="KWV21" s="18"/>
      <c r="KWW21" s="5"/>
      <c r="KXD21" s="18"/>
      <c r="KXE21" s="5"/>
      <c r="KXL21" s="18"/>
      <c r="KXM21" s="5"/>
      <c r="KXT21" s="18"/>
      <c r="KXU21" s="5"/>
      <c r="KYB21" s="18"/>
      <c r="KYC21" s="5"/>
      <c r="KYJ21" s="18"/>
      <c r="KYK21" s="5"/>
      <c r="KYR21" s="18"/>
      <c r="KYS21" s="5"/>
      <c r="KYZ21" s="18"/>
      <c r="KZA21" s="5"/>
      <c r="KZH21" s="18"/>
      <c r="KZI21" s="5"/>
      <c r="KZP21" s="18"/>
      <c r="KZQ21" s="5"/>
      <c r="KZX21" s="18"/>
      <c r="KZY21" s="5"/>
      <c r="LAF21" s="18"/>
      <c r="LAG21" s="5"/>
      <c r="LAN21" s="18"/>
      <c r="LAO21" s="5"/>
      <c r="LAV21" s="18"/>
      <c r="LAW21" s="5"/>
      <c r="LBD21" s="18"/>
      <c r="LBE21" s="5"/>
      <c r="LBL21" s="18"/>
      <c r="LBM21" s="5"/>
      <c r="LBT21" s="18"/>
      <c r="LBU21" s="5"/>
      <c r="LCB21" s="18"/>
      <c r="LCC21" s="5"/>
      <c r="LCJ21" s="18"/>
      <c r="LCK21" s="5"/>
      <c r="LCR21" s="18"/>
      <c r="LCS21" s="5"/>
      <c r="LCZ21" s="18"/>
      <c r="LDA21" s="5"/>
      <c r="LDH21" s="18"/>
      <c r="LDI21" s="5"/>
      <c r="LDP21" s="18"/>
      <c r="LDQ21" s="5"/>
      <c r="LDX21" s="18"/>
      <c r="LDY21" s="5"/>
      <c r="LEF21" s="18"/>
      <c r="LEG21" s="5"/>
      <c r="LEN21" s="18"/>
      <c r="LEO21" s="5"/>
      <c r="LEV21" s="18"/>
      <c r="LEW21" s="5"/>
      <c r="LFD21" s="18"/>
      <c r="LFE21" s="5"/>
      <c r="LFL21" s="18"/>
      <c r="LFM21" s="5"/>
      <c r="LFT21" s="18"/>
      <c r="LFU21" s="5"/>
      <c r="LGB21" s="18"/>
      <c r="LGC21" s="5"/>
      <c r="LGJ21" s="18"/>
      <c r="LGK21" s="5"/>
      <c r="LGR21" s="18"/>
      <c r="LGS21" s="5"/>
      <c r="LGZ21" s="18"/>
      <c r="LHA21" s="5"/>
      <c r="LHH21" s="18"/>
      <c r="LHI21" s="5"/>
      <c r="LHP21" s="18"/>
      <c r="LHQ21" s="5"/>
      <c r="LHX21" s="18"/>
      <c r="LHY21" s="5"/>
      <c r="LIF21" s="18"/>
      <c r="LIG21" s="5"/>
      <c r="LIN21" s="18"/>
      <c r="LIO21" s="5"/>
      <c r="LIV21" s="18"/>
      <c r="LIW21" s="5"/>
      <c r="LJD21" s="18"/>
      <c r="LJE21" s="5"/>
      <c r="LJL21" s="18"/>
      <c r="LJM21" s="5"/>
      <c r="LJT21" s="18"/>
      <c r="LJU21" s="5"/>
      <c r="LKB21" s="18"/>
      <c r="LKC21" s="5"/>
      <c r="LKJ21" s="18"/>
      <c r="LKK21" s="5"/>
      <c r="LKR21" s="18"/>
      <c r="LKS21" s="5"/>
      <c r="LKZ21" s="18"/>
      <c r="LLA21" s="5"/>
      <c r="LLH21" s="18"/>
      <c r="LLI21" s="5"/>
      <c r="LLP21" s="18"/>
      <c r="LLQ21" s="5"/>
      <c r="LLX21" s="18"/>
      <c r="LLY21" s="5"/>
      <c r="LMF21" s="18"/>
      <c r="LMG21" s="5"/>
      <c r="LMN21" s="18"/>
      <c r="LMO21" s="5"/>
      <c r="LMV21" s="18"/>
      <c r="LMW21" s="5"/>
      <c r="LND21" s="18"/>
      <c r="LNE21" s="5"/>
      <c r="LNL21" s="18"/>
      <c r="LNM21" s="5"/>
      <c r="LNT21" s="18"/>
      <c r="LNU21" s="5"/>
      <c r="LOB21" s="18"/>
      <c r="LOC21" s="5"/>
      <c r="LOJ21" s="18"/>
      <c r="LOK21" s="5"/>
      <c r="LOR21" s="18"/>
      <c r="LOS21" s="5"/>
      <c r="LOZ21" s="18"/>
      <c r="LPA21" s="5"/>
      <c r="LPH21" s="18"/>
      <c r="LPI21" s="5"/>
      <c r="LPP21" s="18"/>
      <c r="LPQ21" s="5"/>
      <c r="LPX21" s="18"/>
      <c r="LPY21" s="5"/>
      <c r="LQF21" s="18"/>
      <c r="LQG21" s="5"/>
      <c r="LQN21" s="18"/>
      <c r="LQO21" s="5"/>
      <c r="LQV21" s="18"/>
      <c r="LQW21" s="5"/>
      <c r="LRD21" s="18"/>
      <c r="LRE21" s="5"/>
      <c r="LRL21" s="18"/>
      <c r="LRM21" s="5"/>
      <c r="LRT21" s="18"/>
      <c r="LRU21" s="5"/>
      <c r="LSB21" s="18"/>
      <c r="LSC21" s="5"/>
      <c r="LSJ21" s="18"/>
      <c r="LSK21" s="5"/>
      <c r="LSR21" s="18"/>
      <c r="LSS21" s="5"/>
      <c r="LSZ21" s="18"/>
      <c r="LTA21" s="5"/>
      <c r="LTH21" s="18"/>
      <c r="LTI21" s="5"/>
      <c r="LTP21" s="18"/>
      <c r="LTQ21" s="5"/>
      <c r="LTX21" s="18"/>
      <c r="LTY21" s="5"/>
      <c r="LUF21" s="18"/>
      <c r="LUG21" s="5"/>
      <c r="LUN21" s="18"/>
      <c r="LUO21" s="5"/>
      <c r="LUV21" s="18"/>
      <c r="LUW21" s="5"/>
      <c r="LVD21" s="18"/>
      <c r="LVE21" s="5"/>
      <c r="LVL21" s="18"/>
      <c r="LVM21" s="5"/>
      <c r="LVT21" s="18"/>
      <c r="LVU21" s="5"/>
      <c r="LWB21" s="18"/>
      <c r="LWC21" s="5"/>
      <c r="LWJ21" s="18"/>
      <c r="LWK21" s="5"/>
      <c r="LWR21" s="18"/>
      <c r="LWS21" s="5"/>
      <c r="LWZ21" s="18"/>
      <c r="LXA21" s="5"/>
      <c r="LXH21" s="18"/>
      <c r="LXI21" s="5"/>
      <c r="LXP21" s="18"/>
      <c r="LXQ21" s="5"/>
      <c r="LXX21" s="18"/>
      <c r="LXY21" s="5"/>
      <c r="LYF21" s="18"/>
      <c r="LYG21" s="5"/>
      <c r="LYN21" s="18"/>
      <c r="LYO21" s="5"/>
      <c r="LYV21" s="18"/>
      <c r="LYW21" s="5"/>
      <c r="LZD21" s="18"/>
      <c r="LZE21" s="5"/>
      <c r="LZL21" s="18"/>
      <c r="LZM21" s="5"/>
      <c r="LZT21" s="18"/>
      <c r="LZU21" s="5"/>
      <c r="MAB21" s="18"/>
      <c r="MAC21" s="5"/>
      <c r="MAJ21" s="18"/>
      <c r="MAK21" s="5"/>
      <c r="MAR21" s="18"/>
      <c r="MAS21" s="5"/>
      <c r="MAZ21" s="18"/>
      <c r="MBA21" s="5"/>
      <c r="MBH21" s="18"/>
      <c r="MBI21" s="5"/>
      <c r="MBP21" s="18"/>
      <c r="MBQ21" s="5"/>
      <c r="MBX21" s="18"/>
      <c r="MBY21" s="5"/>
      <c r="MCF21" s="18"/>
      <c r="MCG21" s="5"/>
      <c r="MCN21" s="18"/>
      <c r="MCO21" s="5"/>
      <c r="MCV21" s="18"/>
      <c r="MCW21" s="5"/>
      <c r="MDD21" s="18"/>
      <c r="MDE21" s="5"/>
      <c r="MDL21" s="18"/>
      <c r="MDM21" s="5"/>
      <c r="MDT21" s="18"/>
      <c r="MDU21" s="5"/>
      <c r="MEB21" s="18"/>
      <c r="MEC21" s="5"/>
      <c r="MEJ21" s="18"/>
      <c r="MEK21" s="5"/>
      <c r="MER21" s="18"/>
      <c r="MES21" s="5"/>
      <c r="MEZ21" s="18"/>
      <c r="MFA21" s="5"/>
      <c r="MFH21" s="18"/>
      <c r="MFI21" s="5"/>
      <c r="MFP21" s="18"/>
      <c r="MFQ21" s="5"/>
      <c r="MFX21" s="18"/>
      <c r="MFY21" s="5"/>
      <c r="MGF21" s="18"/>
      <c r="MGG21" s="5"/>
      <c r="MGN21" s="18"/>
      <c r="MGO21" s="5"/>
      <c r="MGV21" s="18"/>
      <c r="MGW21" s="5"/>
      <c r="MHD21" s="18"/>
      <c r="MHE21" s="5"/>
      <c r="MHL21" s="18"/>
      <c r="MHM21" s="5"/>
      <c r="MHT21" s="18"/>
      <c r="MHU21" s="5"/>
      <c r="MIB21" s="18"/>
      <c r="MIC21" s="5"/>
      <c r="MIJ21" s="18"/>
      <c r="MIK21" s="5"/>
      <c r="MIR21" s="18"/>
      <c r="MIS21" s="5"/>
      <c r="MIZ21" s="18"/>
      <c r="MJA21" s="5"/>
      <c r="MJH21" s="18"/>
      <c r="MJI21" s="5"/>
      <c r="MJP21" s="18"/>
      <c r="MJQ21" s="5"/>
      <c r="MJX21" s="18"/>
      <c r="MJY21" s="5"/>
      <c r="MKF21" s="18"/>
      <c r="MKG21" s="5"/>
      <c r="MKN21" s="18"/>
      <c r="MKO21" s="5"/>
      <c r="MKV21" s="18"/>
      <c r="MKW21" s="5"/>
      <c r="MLD21" s="18"/>
      <c r="MLE21" s="5"/>
      <c r="MLL21" s="18"/>
      <c r="MLM21" s="5"/>
      <c r="MLT21" s="18"/>
      <c r="MLU21" s="5"/>
      <c r="MMB21" s="18"/>
      <c r="MMC21" s="5"/>
      <c r="MMJ21" s="18"/>
      <c r="MMK21" s="5"/>
      <c r="MMR21" s="18"/>
      <c r="MMS21" s="5"/>
      <c r="MMZ21" s="18"/>
      <c r="MNA21" s="5"/>
      <c r="MNH21" s="18"/>
      <c r="MNI21" s="5"/>
      <c r="MNP21" s="18"/>
      <c r="MNQ21" s="5"/>
      <c r="MNX21" s="18"/>
      <c r="MNY21" s="5"/>
      <c r="MOF21" s="18"/>
      <c r="MOG21" s="5"/>
      <c r="MON21" s="18"/>
      <c r="MOO21" s="5"/>
      <c r="MOV21" s="18"/>
      <c r="MOW21" s="5"/>
      <c r="MPD21" s="18"/>
      <c r="MPE21" s="5"/>
      <c r="MPL21" s="18"/>
      <c r="MPM21" s="5"/>
      <c r="MPT21" s="18"/>
      <c r="MPU21" s="5"/>
      <c r="MQB21" s="18"/>
      <c r="MQC21" s="5"/>
      <c r="MQJ21" s="18"/>
      <c r="MQK21" s="5"/>
      <c r="MQR21" s="18"/>
      <c r="MQS21" s="5"/>
      <c r="MQZ21" s="18"/>
      <c r="MRA21" s="5"/>
      <c r="MRH21" s="18"/>
      <c r="MRI21" s="5"/>
      <c r="MRP21" s="18"/>
      <c r="MRQ21" s="5"/>
      <c r="MRX21" s="18"/>
      <c r="MRY21" s="5"/>
      <c r="MSF21" s="18"/>
      <c r="MSG21" s="5"/>
      <c r="MSN21" s="18"/>
      <c r="MSO21" s="5"/>
      <c r="MSV21" s="18"/>
      <c r="MSW21" s="5"/>
      <c r="MTD21" s="18"/>
      <c r="MTE21" s="5"/>
      <c r="MTL21" s="18"/>
      <c r="MTM21" s="5"/>
      <c r="MTT21" s="18"/>
      <c r="MTU21" s="5"/>
      <c r="MUB21" s="18"/>
      <c r="MUC21" s="5"/>
      <c r="MUJ21" s="18"/>
      <c r="MUK21" s="5"/>
      <c r="MUR21" s="18"/>
      <c r="MUS21" s="5"/>
      <c r="MUZ21" s="18"/>
      <c r="MVA21" s="5"/>
      <c r="MVH21" s="18"/>
      <c r="MVI21" s="5"/>
      <c r="MVP21" s="18"/>
      <c r="MVQ21" s="5"/>
      <c r="MVX21" s="18"/>
      <c r="MVY21" s="5"/>
      <c r="MWF21" s="18"/>
      <c r="MWG21" s="5"/>
      <c r="MWN21" s="18"/>
      <c r="MWO21" s="5"/>
      <c r="MWV21" s="18"/>
      <c r="MWW21" s="5"/>
      <c r="MXD21" s="18"/>
      <c r="MXE21" s="5"/>
      <c r="MXL21" s="18"/>
      <c r="MXM21" s="5"/>
      <c r="MXT21" s="18"/>
      <c r="MXU21" s="5"/>
      <c r="MYB21" s="18"/>
      <c r="MYC21" s="5"/>
      <c r="MYJ21" s="18"/>
      <c r="MYK21" s="5"/>
      <c r="MYR21" s="18"/>
      <c r="MYS21" s="5"/>
      <c r="MYZ21" s="18"/>
      <c r="MZA21" s="5"/>
      <c r="MZH21" s="18"/>
      <c r="MZI21" s="5"/>
      <c r="MZP21" s="18"/>
      <c r="MZQ21" s="5"/>
      <c r="MZX21" s="18"/>
      <c r="MZY21" s="5"/>
      <c r="NAF21" s="18"/>
      <c r="NAG21" s="5"/>
      <c r="NAN21" s="18"/>
      <c r="NAO21" s="5"/>
      <c r="NAV21" s="18"/>
      <c r="NAW21" s="5"/>
      <c r="NBD21" s="18"/>
      <c r="NBE21" s="5"/>
      <c r="NBL21" s="18"/>
      <c r="NBM21" s="5"/>
      <c r="NBT21" s="18"/>
      <c r="NBU21" s="5"/>
      <c r="NCB21" s="18"/>
      <c r="NCC21" s="5"/>
      <c r="NCJ21" s="18"/>
      <c r="NCK21" s="5"/>
      <c r="NCR21" s="18"/>
      <c r="NCS21" s="5"/>
      <c r="NCZ21" s="18"/>
      <c r="NDA21" s="5"/>
      <c r="NDH21" s="18"/>
      <c r="NDI21" s="5"/>
      <c r="NDP21" s="18"/>
      <c r="NDQ21" s="5"/>
      <c r="NDX21" s="18"/>
      <c r="NDY21" s="5"/>
      <c r="NEF21" s="18"/>
      <c r="NEG21" s="5"/>
      <c r="NEN21" s="18"/>
      <c r="NEO21" s="5"/>
      <c r="NEV21" s="18"/>
      <c r="NEW21" s="5"/>
      <c r="NFD21" s="18"/>
      <c r="NFE21" s="5"/>
      <c r="NFL21" s="18"/>
      <c r="NFM21" s="5"/>
      <c r="NFT21" s="18"/>
      <c r="NFU21" s="5"/>
      <c r="NGB21" s="18"/>
      <c r="NGC21" s="5"/>
      <c r="NGJ21" s="18"/>
      <c r="NGK21" s="5"/>
      <c r="NGR21" s="18"/>
      <c r="NGS21" s="5"/>
      <c r="NGZ21" s="18"/>
      <c r="NHA21" s="5"/>
      <c r="NHH21" s="18"/>
      <c r="NHI21" s="5"/>
      <c r="NHP21" s="18"/>
      <c r="NHQ21" s="5"/>
      <c r="NHX21" s="18"/>
      <c r="NHY21" s="5"/>
      <c r="NIF21" s="18"/>
      <c r="NIG21" s="5"/>
      <c r="NIN21" s="18"/>
      <c r="NIO21" s="5"/>
      <c r="NIV21" s="18"/>
      <c r="NIW21" s="5"/>
      <c r="NJD21" s="18"/>
      <c r="NJE21" s="5"/>
      <c r="NJL21" s="18"/>
      <c r="NJM21" s="5"/>
      <c r="NJT21" s="18"/>
      <c r="NJU21" s="5"/>
      <c r="NKB21" s="18"/>
      <c r="NKC21" s="5"/>
      <c r="NKJ21" s="18"/>
      <c r="NKK21" s="5"/>
      <c r="NKR21" s="18"/>
      <c r="NKS21" s="5"/>
      <c r="NKZ21" s="18"/>
      <c r="NLA21" s="5"/>
      <c r="NLH21" s="18"/>
      <c r="NLI21" s="5"/>
      <c r="NLP21" s="18"/>
      <c r="NLQ21" s="5"/>
      <c r="NLX21" s="18"/>
      <c r="NLY21" s="5"/>
      <c r="NMF21" s="18"/>
      <c r="NMG21" s="5"/>
      <c r="NMN21" s="18"/>
      <c r="NMO21" s="5"/>
      <c r="NMV21" s="18"/>
      <c r="NMW21" s="5"/>
      <c r="NND21" s="18"/>
      <c r="NNE21" s="5"/>
      <c r="NNL21" s="18"/>
      <c r="NNM21" s="5"/>
      <c r="NNT21" s="18"/>
      <c r="NNU21" s="5"/>
      <c r="NOB21" s="18"/>
      <c r="NOC21" s="5"/>
      <c r="NOJ21" s="18"/>
      <c r="NOK21" s="5"/>
      <c r="NOR21" s="18"/>
      <c r="NOS21" s="5"/>
      <c r="NOZ21" s="18"/>
      <c r="NPA21" s="5"/>
      <c r="NPH21" s="18"/>
      <c r="NPI21" s="5"/>
      <c r="NPP21" s="18"/>
      <c r="NPQ21" s="5"/>
      <c r="NPX21" s="18"/>
      <c r="NPY21" s="5"/>
      <c r="NQF21" s="18"/>
      <c r="NQG21" s="5"/>
      <c r="NQN21" s="18"/>
      <c r="NQO21" s="5"/>
      <c r="NQV21" s="18"/>
      <c r="NQW21" s="5"/>
      <c r="NRD21" s="18"/>
      <c r="NRE21" s="5"/>
      <c r="NRL21" s="18"/>
      <c r="NRM21" s="5"/>
      <c r="NRT21" s="18"/>
      <c r="NRU21" s="5"/>
      <c r="NSB21" s="18"/>
      <c r="NSC21" s="5"/>
      <c r="NSJ21" s="18"/>
      <c r="NSK21" s="5"/>
      <c r="NSR21" s="18"/>
      <c r="NSS21" s="5"/>
      <c r="NSZ21" s="18"/>
      <c r="NTA21" s="5"/>
      <c r="NTH21" s="18"/>
      <c r="NTI21" s="5"/>
      <c r="NTP21" s="18"/>
      <c r="NTQ21" s="5"/>
      <c r="NTX21" s="18"/>
      <c r="NTY21" s="5"/>
      <c r="NUF21" s="18"/>
      <c r="NUG21" s="5"/>
      <c r="NUN21" s="18"/>
      <c r="NUO21" s="5"/>
      <c r="NUV21" s="18"/>
      <c r="NUW21" s="5"/>
      <c r="NVD21" s="18"/>
      <c r="NVE21" s="5"/>
      <c r="NVL21" s="18"/>
      <c r="NVM21" s="5"/>
      <c r="NVT21" s="18"/>
      <c r="NVU21" s="5"/>
      <c r="NWB21" s="18"/>
      <c r="NWC21" s="5"/>
      <c r="NWJ21" s="18"/>
      <c r="NWK21" s="5"/>
      <c r="NWR21" s="18"/>
      <c r="NWS21" s="5"/>
      <c r="NWZ21" s="18"/>
      <c r="NXA21" s="5"/>
      <c r="NXH21" s="18"/>
      <c r="NXI21" s="5"/>
      <c r="NXP21" s="18"/>
      <c r="NXQ21" s="5"/>
      <c r="NXX21" s="18"/>
      <c r="NXY21" s="5"/>
      <c r="NYF21" s="18"/>
      <c r="NYG21" s="5"/>
      <c r="NYN21" s="18"/>
      <c r="NYO21" s="5"/>
      <c r="NYV21" s="18"/>
      <c r="NYW21" s="5"/>
      <c r="NZD21" s="18"/>
      <c r="NZE21" s="5"/>
      <c r="NZL21" s="18"/>
      <c r="NZM21" s="5"/>
      <c r="NZT21" s="18"/>
      <c r="NZU21" s="5"/>
      <c r="OAB21" s="18"/>
      <c r="OAC21" s="5"/>
      <c r="OAJ21" s="18"/>
      <c r="OAK21" s="5"/>
      <c r="OAR21" s="18"/>
      <c r="OAS21" s="5"/>
      <c r="OAZ21" s="18"/>
      <c r="OBA21" s="5"/>
      <c r="OBH21" s="18"/>
      <c r="OBI21" s="5"/>
      <c r="OBP21" s="18"/>
      <c r="OBQ21" s="5"/>
      <c r="OBX21" s="18"/>
      <c r="OBY21" s="5"/>
      <c r="OCF21" s="18"/>
      <c r="OCG21" s="5"/>
      <c r="OCN21" s="18"/>
      <c r="OCO21" s="5"/>
      <c r="OCV21" s="18"/>
      <c r="OCW21" s="5"/>
      <c r="ODD21" s="18"/>
      <c r="ODE21" s="5"/>
      <c r="ODL21" s="18"/>
      <c r="ODM21" s="5"/>
      <c r="ODT21" s="18"/>
      <c r="ODU21" s="5"/>
      <c r="OEB21" s="18"/>
      <c r="OEC21" s="5"/>
      <c r="OEJ21" s="18"/>
      <c r="OEK21" s="5"/>
      <c r="OER21" s="18"/>
      <c r="OES21" s="5"/>
      <c r="OEZ21" s="18"/>
      <c r="OFA21" s="5"/>
      <c r="OFH21" s="18"/>
      <c r="OFI21" s="5"/>
      <c r="OFP21" s="18"/>
      <c r="OFQ21" s="5"/>
      <c r="OFX21" s="18"/>
      <c r="OFY21" s="5"/>
      <c r="OGF21" s="18"/>
      <c r="OGG21" s="5"/>
      <c r="OGN21" s="18"/>
      <c r="OGO21" s="5"/>
      <c r="OGV21" s="18"/>
      <c r="OGW21" s="5"/>
      <c r="OHD21" s="18"/>
      <c r="OHE21" s="5"/>
      <c r="OHL21" s="18"/>
      <c r="OHM21" s="5"/>
      <c r="OHT21" s="18"/>
      <c r="OHU21" s="5"/>
      <c r="OIB21" s="18"/>
      <c r="OIC21" s="5"/>
      <c r="OIJ21" s="18"/>
      <c r="OIK21" s="5"/>
      <c r="OIR21" s="18"/>
      <c r="OIS21" s="5"/>
      <c r="OIZ21" s="18"/>
      <c r="OJA21" s="5"/>
      <c r="OJH21" s="18"/>
      <c r="OJI21" s="5"/>
      <c r="OJP21" s="18"/>
      <c r="OJQ21" s="5"/>
      <c r="OJX21" s="18"/>
      <c r="OJY21" s="5"/>
      <c r="OKF21" s="18"/>
      <c r="OKG21" s="5"/>
      <c r="OKN21" s="18"/>
      <c r="OKO21" s="5"/>
      <c r="OKV21" s="18"/>
      <c r="OKW21" s="5"/>
      <c r="OLD21" s="18"/>
      <c r="OLE21" s="5"/>
      <c r="OLL21" s="18"/>
      <c r="OLM21" s="5"/>
      <c r="OLT21" s="18"/>
      <c r="OLU21" s="5"/>
      <c r="OMB21" s="18"/>
      <c r="OMC21" s="5"/>
      <c r="OMJ21" s="18"/>
      <c r="OMK21" s="5"/>
      <c r="OMR21" s="18"/>
      <c r="OMS21" s="5"/>
      <c r="OMZ21" s="18"/>
      <c r="ONA21" s="5"/>
      <c r="ONH21" s="18"/>
      <c r="ONI21" s="5"/>
      <c r="ONP21" s="18"/>
      <c r="ONQ21" s="5"/>
      <c r="ONX21" s="18"/>
      <c r="ONY21" s="5"/>
      <c r="OOF21" s="18"/>
      <c r="OOG21" s="5"/>
      <c r="OON21" s="18"/>
      <c r="OOO21" s="5"/>
      <c r="OOV21" s="18"/>
      <c r="OOW21" s="5"/>
      <c r="OPD21" s="18"/>
      <c r="OPE21" s="5"/>
      <c r="OPL21" s="18"/>
      <c r="OPM21" s="5"/>
      <c r="OPT21" s="18"/>
      <c r="OPU21" s="5"/>
      <c r="OQB21" s="18"/>
      <c r="OQC21" s="5"/>
      <c r="OQJ21" s="18"/>
      <c r="OQK21" s="5"/>
      <c r="OQR21" s="18"/>
      <c r="OQS21" s="5"/>
      <c r="OQZ21" s="18"/>
      <c r="ORA21" s="5"/>
      <c r="ORH21" s="18"/>
      <c r="ORI21" s="5"/>
      <c r="ORP21" s="18"/>
      <c r="ORQ21" s="5"/>
      <c r="ORX21" s="18"/>
      <c r="ORY21" s="5"/>
      <c r="OSF21" s="18"/>
      <c r="OSG21" s="5"/>
      <c r="OSN21" s="18"/>
      <c r="OSO21" s="5"/>
      <c r="OSV21" s="18"/>
      <c r="OSW21" s="5"/>
      <c r="OTD21" s="18"/>
      <c r="OTE21" s="5"/>
      <c r="OTL21" s="18"/>
      <c r="OTM21" s="5"/>
      <c r="OTT21" s="18"/>
      <c r="OTU21" s="5"/>
      <c r="OUB21" s="18"/>
      <c r="OUC21" s="5"/>
      <c r="OUJ21" s="18"/>
      <c r="OUK21" s="5"/>
      <c r="OUR21" s="18"/>
      <c r="OUS21" s="5"/>
      <c r="OUZ21" s="18"/>
      <c r="OVA21" s="5"/>
      <c r="OVH21" s="18"/>
      <c r="OVI21" s="5"/>
      <c r="OVP21" s="18"/>
      <c r="OVQ21" s="5"/>
      <c r="OVX21" s="18"/>
      <c r="OVY21" s="5"/>
      <c r="OWF21" s="18"/>
      <c r="OWG21" s="5"/>
      <c r="OWN21" s="18"/>
      <c r="OWO21" s="5"/>
      <c r="OWV21" s="18"/>
      <c r="OWW21" s="5"/>
      <c r="OXD21" s="18"/>
      <c r="OXE21" s="5"/>
      <c r="OXL21" s="18"/>
      <c r="OXM21" s="5"/>
      <c r="OXT21" s="18"/>
      <c r="OXU21" s="5"/>
      <c r="OYB21" s="18"/>
      <c r="OYC21" s="5"/>
      <c r="OYJ21" s="18"/>
      <c r="OYK21" s="5"/>
      <c r="OYR21" s="18"/>
      <c r="OYS21" s="5"/>
      <c r="OYZ21" s="18"/>
      <c r="OZA21" s="5"/>
      <c r="OZH21" s="18"/>
      <c r="OZI21" s="5"/>
      <c r="OZP21" s="18"/>
      <c r="OZQ21" s="5"/>
      <c r="OZX21" s="18"/>
      <c r="OZY21" s="5"/>
      <c r="PAF21" s="18"/>
      <c r="PAG21" s="5"/>
      <c r="PAN21" s="18"/>
      <c r="PAO21" s="5"/>
      <c r="PAV21" s="18"/>
      <c r="PAW21" s="5"/>
      <c r="PBD21" s="18"/>
      <c r="PBE21" s="5"/>
      <c r="PBL21" s="18"/>
      <c r="PBM21" s="5"/>
      <c r="PBT21" s="18"/>
      <c r="PBU21" s="5"/>
      <c r="PCB21" s="18"/>
      <c r="PCC21" s="5"/>
      <c r="PCJ21" s="18"/>
      <c r="PCK21" s="5"/>
      <c r="PCR21" s="18"/>
      <c r="PCS21" s="5"/>
      <c r="PCZ21" s="18"/>
      <c r="PDA21" s="5"/>
      <c r="PDH21" s="18"/>
      <c r="PDI21" s="5"/>
      <c r="PDP21" s="18"/>
      <c r="PDQ21" s="5"/>
      <c r="PDX21" s="18"/>
      <c r="PDY21" s="5"/>
      <c r="PEF21" s="18"/>
      <c r="PEG21" s="5"/>
      <c r="PEN21" s="18"/>
      <c r="PEO21" s="5"/>
      <c r="PEV21" s="18"/>
      <c r="PEW21" s="5"/>
      <c r="PFD21" s="18"/>
      <c r="PFE21" s="5"/>
      <c r="PFL21" s="18"/>
      <c r="PFM21" s="5"/>
      <c r="PFT21" s="18"/>
      <c r="PFU21" s="5"/>
      <c r="PGB21" s="18"/>
      <c r="PGC21" s="5"/>
      <c r="PGJ21" s="18"/>
      <c r="PGK21" s="5"/>
      <c r="PGR21" s="18"/>
      <c r="PGS21" s="5"/>
      <c r="PGZ21" s="18"/>
      <c r="PHA21" s="5"/>
      <c r="PHH21" s="18"/>
      <c r="PHI21" s="5"/>
      <c r="PHP21" s="18"/>
      <c r="PHQ21" s="5"/>
      <c r="PHX21" s="18"/>
      <c r="PHY21" s="5"/>
      <c r="PIF21" s="18"/>
      <c r="PIG21" s="5"/>
      <c r="PIN21" s="18"/>
      <c r="PIO21" s="5"/>
      <c r="PIV21" s="18"/>
      <c r="PIW21" s="5"/>
      <c r="PJD21" s="18"/>
      <c r="PJE21" s="5"/>
      <c r="PJL21" s="18"/>
      <c r="PJM21" s="5"/>
      <c r="PJT21" s="18"/>
      <c r="PJU21" s="5"/>
      <c r="PKB21" s="18"/>
      <c r="PKC21" s="5"/>
      <c r="PKJ21" s="18"/>
      <c r="PKK21" s="5"/>
      <c r="PKR21" s="18"/>
      <c r="PKS21" s="5"/>
      <c r="PKZ21" s="18"/>
      <c r="PLA21" s="5"/>
      <c r="PLH21" s="18"/>
      <c r="PLI21" s="5"/>
      <c r="PLP21" s="18"/>
      <c r="PLQ21" s="5"/>
      <c r="PLX21" s="18"/>
      <c r="PLY21" s="5"/>
      <c r="PMF21" s="18"/>
      <c r="PMG21" s="5"/>
      <c r="PMN21" s="18"/>
      <c r="PMO21" s="5"/>
      <c r="PMV21" s="18"/>
      <c r="PMW21" s="5"/>
      <c r="PND21" s="18"/>
      <c r="PNE21" s="5"/>
      <c r="PNL21" s="18"/>
      <c r="PNM21" s="5"/>
      <c r="PNT21" s="18"/>
      <c r="PNU21" s="5"/>
      <c r="POB21" s="18"/>
      <c r="POC21" s="5"/>
      <c r="POJ21" s="18"/>
      <c r="POK21" s="5"/>
      <c r="POR21" s="18"/>
      <c r="POS21" s="5"/>
      <c r="POZ21" s="18"/>
      <c r="PPA21" s="5"/>
      <c r="PPH21" s="18"/>
      <c r="PPI21" s="5"/>
      <c r="PPP21" s="18"/>
      <c r="PPQ21" s="5"/>
      <c r="PPX21" s="18"/>
      <c r="PPY21" s="5"/>
      <c r="PQF21" s="18"/>
      <c r="PQG21" s="5"/>
      <c r="PQN21" s="18"/>
      <c r="PQO21" s="5"/>
      <c r="PQV21" s="18"/>
      <c r="PQW21" s="5"/>
      <c r="PRD21" s="18"/>
      <c r="PRE21" s="5"/>
      <c r="PRL21" s="18"/>
      <c r="PRM21" s="5"/>
      <c r="PRT21" s="18"/>
      <c r="PRU21" s="5"/>
      <c r="PSB21" s="18"/>
      <c r="PSC21" s="5"/>
      <c r="PSJ21" s="18"/>
      <c r="PSK21" s="5"/>
      <c r="PSR21" s="18"/>
      <c r="PSS21" s="5"/>
      <c r="PSZ21" s="18"/>
      <c r="PTA21" s="5"/>
      <c r="PTH21" s="18"/>
      <c r="PTI21" s="5"/>
      <c r="PTP21" s="18"/>
      <c r="PTQ21" s="5"/>
      <c r="PTX21" s="18"/>
      <c r="PTY21" s="5"/>
      <c r="PUF21" s="18"/>
      <c r="PUG21" s="5"/>
      <c r="PUN21" s="18"/>
      <c r="PUO21" s="5"/>
      <c r="PUV21" s="18"/>
      <c r="PUW21" s="5"/>
      <c r="PVD21" s="18"/>
      <c r="PVE21" s="5"/>
      <c r="PVL21" s="18"/>
      <c r="PVM21" s="5"/>
      <c r="PVT21" s="18"/>
      <c r="PVU21" s="5"/>
      <c r="PWB21" s="18"/>
      <c r="PWC21" s="5"/>
      <c r="PWJ21" s="18"/>
      <c r="PWK21" s="5"/>
      <c r="PWR21" s="18"/>
      <c r="PWS21" s="5"/>
      <c r="PWZ21" s="18"/>
      <c r="PXA21" s="5"/>
      <c r="PXH21" s="18"/>
      <c r="PXI21" s="5"/>
      <c r="PXP21" s="18"/>
      <c r="PXQ21" s="5"/>
      <c r="PXX21" s="18"/>
      <c r="PXY21" s="5"/>
      <c r="PYF21" s="18"/>
      <c r="PYG21" s="5"/>
      <c r="PYN21" s="18"/>
      <c r="PYO21" s="5"/>
      <c r="PYV21" s="18"/>
      <c r="PYW21" s="5"/>
      <c r="PZD21" s="18"/>
      <c r="PZE21" s="5"/>
      <c r="PZL21" s="18"/>
      <c r="PZM21" s="5"/>
      <c r="PZT21" s="18"/>
      <c r="PZU21" s="5"/>
      <c r="QAB21" s="18"/>
      <c r="QAC21" s="5"/>
      <c r="QAJ21" s="18"/>
      <c r="QAK21" s="5"/>
      <c r="QAR21" s="18"/>
      <c r="QAS21" s="5"/>
      <c r="QAZ21" s="18"/>
      <c r="QBA21" s="5"/>
      <c r="QBH21" s="18"/>
      <c r="QBI21" s="5"/>
      <c r="QBP21" s="18"/>
      <c r="QBQ21" s="5"/>
      <c r="QBX21" s="18"/>
      <c r="QBY21" s="5"/>
      <c r="QCF21" s="18"/>
      <c r="QCG21" s="5"/>
      <c r="QCN21" s="18"/>
      <c r="QCO21" s="5"/>
      <c r="QCV21" s="18"/>
      <c r="QCW21" s="5"/>
      <c r="QDD21" s="18"/>
      <c r="QDE21" s="5"/>
      <c r="QDL21" s="18"/>
      <c r="QDM21" s="5"/>
      <c r="QDT21" s="18"/>
      <c r="QDU21" s="5"/>
      <c r="QEB21" s="18"/>
      <c r="QEC21" s="5"/>
      <c r="QEJ21" s="18"/>
      <c r="QEK21" s="5"/>
      <c r="QER21" s="18"/>
      <c r="QES21" s="5"/>
      <c r="QEZ21" s="18"/>
      <c r="QFA21" s="5"/>
      <c r="QFH21" s="18"/>
      <c r="QFI21" s="5"/>
      <c r="QFP21" s="18"/>
      <c r="QFQ21" s="5"/>
      <c r="QFX21" s="18"/>
      <c r="QFY21" s="5"/>
      <c r="QGF21" s="18"/>
      <c r="QGG21" s="5"/>
      <c r="QGN21" s="18"/>
      <c r="QGO21" s="5"/>
      <c r="QGV21" s="18"/>
      <c r="QGW21" s="5"/>
      <c r="QHD21" s="18"/>
      <c r="QHE21" s="5"/>
      <c r="QHL21" s="18"/>
      <c r="QHM21" s="5"/>
      <c r="QHT21" s="18"/>
      <c r="QHU21" s="5"/>
      <c r="QIB21" s="18"/>
      <c r="QIC21" s="5"/>
      <c r="QIJ21" s="18"/>
      <c r="QIK21" s="5"/>
      <c r="QIR21" s="18"/>
      <c r="QIS21" s="5"/>
      <c r="QIZ21" s="18"/>
      <c r="QJA21" s="5"/>
      <c r="QJH21" s="18"/>
      <c r="QJI21" s="5"/>
      <c r="QJP21" s="18"/>
      <c r="QJQ21" s="5"/>
      <c r="QJX21" s="18"/>
      <c r="QJY21" s="5"/>
      <c r="QKF21" s="18"/>
      <c r="QKG21" s="5"/>
      <c r="QKN21" s="18"/>
      <c r="QKO21" s="5"/>
      <c r="QKV21" s="18"/>
      <c r="QKW21" s="5"/>
      <c r="QLD21" s="18"/>
      <c r="QLE21" s="5"/>
      <c r="QLL21" s="18"/>
      <c r="QLM21" s="5"/>
      <c r="QLT21" s="18"/>
      <c r="QLU21" s="5"/>
      <c r="QMB21" s="18"/>
      <c r="QMC21" s="5"/>
      <c r="QMJ21" s="18"/>
      <c r="QMK21" s="5"/>
      <c r="QMR21" s="18"/>
      <c r="QMS21" s="5"/>
      <c r="QMZ21" s="18"/>
      <c r="QNA21" s="5"/>
      <c r="QNH21" s="18"/>
      <c r="QNI21" s="5"/>
      <c r="QNP21" s="18"/>
      <c r="QNQ21" s="5"/>
      <c r="QNX21" s="18"/>
      <c r="QNY21" s="5"/>
      <c r="QOF21" s="18"/>
      <c r="QOG21" s="5"/>
      <c r="QON21" s="18"/>
      <c r="QOO21" s="5"/>
      <c r="QOV21" s="18"/>
      <c r="QOW21" s="5"/>
      <c r="QPD21" s="18"/>
      <c r="QPE21" s="5"/>
      <c r="QPL21" s="18"/>
      <c r="QPM21" s="5"/>
      <c r="QPT21" s="18"/>
      <c r="QPU21" s="5"/>
      <c r="QQB21" s="18"/>
      <c r="QQC21" s="5"/>
      <c r="QQJ21" s="18"/>
      <c r="QQK21" s="5"/>
      <c r="QQR21" s="18"/>
      <c r="QQS21" s="5"/>
      <c r="QQZ21" s="18"/>
      <c r="QRA21" s="5"/>
      <c r="QRH21" s="18"/>
      <c r="QRI21" s="5"/>
      <c r="QRP21" s="18"/>
      <c r="QRQ21" s="5"/>
      <c r="QRX21" s="18"/>
      <c r="QRY21" s="5"/>
      <c r="QSF21" s="18"/>
      <c r="QSG21" s="5"/>
      <c r="QSN21" s="18"/>
      <c r="QSO21" s="5"/>
      <c r="QSV21" s="18"/>
      <c r="QSW21" s="5"/>
      <c r="QTD21" s="18"/>
      <c r="QTE21" s="5"/>
      <c r="QTL21" s="18"/>
      <c r="QTM21" s="5"/>
      <c r="QTT21" s="18"/>
      <c r="QTU21" s="5"/>
      <c r="QUB21" s="18"/>
      <c r="QUC21" s="5"/>
      <c r="QUJ21" s="18"/>
      <c r="QUK21" s="5"/>
      <c r="QUR21" s="18"/>
      <c r="QUS21" s="5"/>
      <c r="QUZ21" s="18"/>
      <c r="QVA21" s="5"/>
      <c r="QVH21" s="18"/>
      <c r="QVI21" s="5"/>
      <c r="QVP21" s="18"/>
      <c r="QVQ21" s="5"/>
      <c r="QVX21" s="18"/>
      <c r="QVY21" s="5"/>
      <c r="QWF21" s="18"/>
      <c r="QWG21" s="5"/>
      <c r="QWN21" s="18"/>
      <c r="QWO21" s="5"/>
      <c r="QWV21" s="18"/>
      <c r="QWW21" s="5"/>
      <c r="QXD21" s="18"/>
      <c r="QXE21" s="5"/>
      <c r="QXL21" s="18"/>
      <c r="QXM21" s="5"/>
      <c r="QXT21" s="18"/>
      <c r="QXU21" s="5"/>
      <c r="QYB21" s="18"/>
      <c r="QYC21" s="5"/>
      <c r="QYJ21" s="18"/>
      <c r="QYK21" s="5"/>
      <c r="QYR21" s="18"/>
      <c r="QYS21" s="5"/>
      <c r="QYZ21" s="18"/>
      <c r="QZA21" s="5"/>
      <c r="QZH21" s="18"/>
      <c r="QZI21" s="5"/>
      <c r="QZP21" s="18"/>
      <c r="QZQ21" s="5"/>
      <c r="QZX21" s="18"/>
      <c r="QZY21" s="5"/>
      <c r="RAF21" s="18"/>
      <c r="RAG21" s="5"/>
      <c r="RAN21" s="18"/>
      <c r="RAO21" s="5"/>
      <c r="RAV21" s="18"/>
      <c r="RAW21" s="5"/>
      <c r="RBD21" s="18"/>
      <c r="RBE21" s="5"/>
      <c r="RBL21" s="18"/>
      <c r="RBM21" s="5"/>
      <c r="RBT21" s="18"/>
      <c r="RBU21" s="5"/>
      <c r="RCB21" s="18"/>
      <c r="RCC21" s="5"/>
      <c r="RCJ21" s="18"/>
      <c r="RCK21" s="5"/>
      <c r="RCR21" s="18"/>
      <c r="RCS21" s="5"/>
      <c r="RCZ21" s="18"/>
      <c r="RDA21" s="5"/>
      <c r="RDH21" s="18"/>
      <c r="RDI21" s="5"/>
      <c r="RDP21" s="18"/>
      <c r="RDQ21" s="5"/>
      <c r="RDX21" s="18"/>
      <c r="RDY21" s="5"/>
      <c r="REF21" s="18"/>
      <c r="REG21" s="5"/>
      <c r="REN21" s="18"/>
      <c r="REO21" s="5"/>
      <c r="REV21" s="18"/>
      <c r="REW21" s="5"/>
      <c r="RFD21" s="18"/>
      <c r="RFE21" s="5"/>
      <c r="RFL21" s="18"/>
      <c r="RFM21" s="5"/>
      <c r="RFT21" s="18"/>
      <c r="RFU21" s="5"/>
      <c r="RGB21" s="18"/>
      <c r="RGC21" s="5"/>
      <c r="RGJ21" s="18"/>
      <c r="RGK21" s="5"/>
      <c r="RGR21" s="18"/>
      <c r="RGS21" s="5"/>
      <c r="RGZ21" s="18"/>
      <c r="RHA21" s="5"/>
      <c r="RHH21" s="18"/>
      <c r="RHI21" s="5"/>
      <c r="RHP21" s="18"/>
      <c r="RHQ21" s="5"/>
      <c r="RHX21" s="18"/>
      <c r="RHY21" s="5"/>
      <c r="RIF21" s="18"/>
      <c r="RIG21" s="5"/>
      <c r="RIN21" s="18"/>
      <c r="RIO21" s="5"/>
      <c r="RIV21" s="18"/>
      <c r="RIW21" s="5"/>
      <c r="RJD21" s="18"/>
      <c r="RJE21" s="5"/>
      <c r="RJL21" s="18"/>
      <c r="RJM21" s="5"/>
      <c r="RJT21" s="18"/>
      <c r="RJU21" s="5"/>
      <c r="RKB21" s="18"/>
      <c r="RKC21" s="5"/>
      <c r="RKJ21" s="18"/>
      <c r="RKK21" s="5"/>
      <c r="RKR21" s="18"/>
      <c r="RKS21" s="5"/>
      <c r="RKZ21" s="18"/>
      <c r="RLA21" s="5"/>
      <c r="RLH21" s="18"/>
      <c r="RLI21" s="5"/>
      <c r="RLP21" s="18"/>
      <c r="RLQ21" s="5"/>
      <c r="RLX21" s="18"/>
      <c r="RLY21" s="5"/>
      <c r="RMF21" s="18"/>
      <c r="RMG21" s="5"/>
      <c r="RMN21" s="18"/>
      <c r="RMO21" s="5"/>
      <c r="RMV21" s="18"/>
      <c r="RMW21" s="5"/>
      <c r="RND21" s="18"/>
      <c r="RNE21" s="5"/>
      <c r="RNL21" s="18"/>
      <c r="RNM21" s="5"/>
      <c r="RNT21" s="18"/>
      <c r="RNU21" s="5"/>
      <c r="ROB21" s="18"/>
      <c r="ROC21" s="5"/>
      <c r="ROJ21" s="18"/>
      <c r="ROK21" s="5"/>
      <c r="ROR21" s="18"/>
      <c r="ROS21" s="5"/>
      <c r="ROZ21" s="18"/>
      <c r="RPA21" s="5"/>
      <c r="RPH21" s="18"/>
      <c r="RPI21" s="5"/>
      <c r="RPP21" s="18"/>
      <c r="RPQ21" s="5"/>
      <c r="RPX21" s="18"/>
      <c r="RPY21" s="5"/>
      <c r="RQF21" s="18"/>
      <c r="RQG21" s="5"/>
      <c r="RQN21" s="18"/>
      <c r="RQO21" s="5"/>
      <c r="RQV21" s="18"/>
      <c r="RQW21" s="5"/>
      <c r="RRD21" s="18"/>
      <c r="RRE21" s="5"/>
      <c r="RRL21" s="18"/>
      <c r="RRM21" s="5"/>
      <c r="RRT21" s="18"/>
      <c r="RRU21" s="5"/>
      <c r="RSB21" s="18"/>
      <c r="RSC21" s="5"/>
      <c r="RSJ21" s="18"/>
      <c r="RSK21" s="5"/>
      <c r="RSR21" s="18"/>
      <c r="RSS21" s="5"/>
      <c r="RSZ21" s="18"/>
      <c r="RTA21" s="5"/>
      <c r="RTH21" s="18"/>
      <c r="RTI21" s="5"/>
      <c r="RTP21" s="18"/>
      <c r="RTQ21" s="5"/>
      <c r="RTX21" s="18"/>
      <c r="RTY21" s="5"/>
      <c r="RUF21" s="18"/>
      <c r="RUG21" s="5"/>
      <c r="RUN21" s="18"/>
      <c r="RUO21" s="5"/>
      <c r="RUV21" s="18"/>
      <c r="RUW21" s="5"/>
      <c r="RVD21" s="18"/>
      <c r="RVE21" s="5"/>
      <c r="RVL21" s="18"/>
      <c r="RVM21" s="5"/>
      <c r="RVT21" s="18"/>
      <c r="RVU21" s="5"/>
      <c r="RWB21" s="18"/>
      <c r="RWC21" s="5"/>
      <c r="RWJ21" s="18"/>
      <c r="RWK21" s="5"/>
      <c r="RWR21" s="18"/>
      <c r="RWS21" s="5"/>
      <c r="RWZ21" s="18"/>
      <c r="RXA21" s="5"/>
      <c r="RXH21" s="18"/>
      <c r="RXI21" s="5"/>
      <c r="RXP21" s="18"/>
      <c r="RXQ21" s="5"/>
      <c r="RXX21" s="18"/>
      <c r="RXY21" s="5"/>
      <c r="RYF21" s="18"/>
      <c r="RYG21" s="5"/>
      <c r="RYN21" s="18"/>
      <c r="RYO21" s="5"/>
      <c r="RYV21" s="18"/>
      <c r="RYW21" s="5"/>
      <c r="RZD21" s="18"/>
      <c r="RZE21" s="5"/>
      <c r="RZL21" s="18"/>
      <c r="RZM21" s="5"/>
      <c r="RZT21" s="18"/>
      <c r="RZU21" s="5"/>
      <c r="SAB21" s="18"/>
      <c r="SAC21" s="5"/>
      <c r="SAJ21" s="18"/>
      <c r="SAK21" s="5"/>
      <c r="SAR21" s="18"/>
      <c r="SAS21" s="5"/>
      <c r="SAZ21" s="18"/>
      <c r="SBA21" s="5"/>
      <c r="SBH21" s="18"/>
      <c r="SBI21" s="5"/>
      <c r="SBP21" s="18"/>
      <c r="SBQ21" s="5"/>
      <c r="SBX21" s="18"/>
      <c r="SBY21" s="5"/>
      <c r="SCF21" s="18"/>
      <c r="SCG21" s="5"/>
      <c r="SCN21" s="18"/>
      <c r="SCO21" s="5"/>
      <c r="SCV21" s="18"/>
      <c r="SCW21" s="5"/>
      <c r="SDD21" s="18"/>
      <c r="SDE21" s="5"/>
      <c r="SDL21" s="18"/>
      <c r="SDM21" s="5"/>
      <c r="SDT21" s="18"/>
      <c r="SDU21" s="5"/>
      <c r="SEB21" s="18"/>
      <c r="SEC21" s="5"/>
      <c r="SEJ21" s="18"/>
      <c r="SEK21" s="5"/>
      <c r="SER21" s="18"/>
      <c r="SES21" s="5"/>
      <c r="SEZ21" s="18"/>
      <c r="SFA21" s="5"/>
      <c r="SFH21" s="18"/>
      <c r="SFI21" s="5"/>
      <c r="SFP21" s="18"/>
      <c r="SFQ21" s="5"/>
      <c r="SFX21" s="18"/>
      <c r="SFY21" s="5"/>
      <c r="SGF21" s="18"/>
      <c r="SGG21" s="5"/>
      <c r="SGN21" s="18"/>
      <c r="SGO21" s="5"/>
      <c r="SGV21" s="18"/>
      <c r="SGW21" s="5"/>
      <c r="SHD21" s="18"/>
      <c r="SHE21" s="5"/>
      <c r="SHL21" s="18"/>
      <c r="SHM21" s="5"/>
      <c r="SHT21" s="18"/>
      <c r="SHU21" s="5"/>
      <c r="SIB21" s="18"/>
      <c r="SIC21" s="5"/>
      <c r="SIJ21" s="18"/>
      <c r="SIK21" s="5"/>
      <c r="SIR21" s="18"/>
      <c r="SIS21" s="5"/>
      <c r="SIZ21" s="18"/>
      <c r="SJA21" s="5"/>
      <c r="SJH21" s="18"/>
      <c r="SJI21" s="5"/>
      <c r="SJP21" s="18"/>
      <c r="SJQ21" s="5"/>
      <c r="SJX21" s="18"/>
      <c r="SJY21" s="5"/>
      <c r="SKF21" s="18"/>
      <c r="SKG21" s="5"/>
      <c r="SKN21" s="18"/>
      <c r="SKO21" s="5"/>
      <c r="SKV21" s="18"/>
      <c r="SKW21" s="5"/>
      <c r="SLD21" s="18"/>
      <c r="SLE21" s="5"/>
      <c r="SLL21" s="18"/>
      <c r="SLM21" s="5"/>
      <c r="SLT21" s="18"/>
      <c r="SLU21" s="5"/>
      <c r="SMB21" s="18"/>
      <c r="SMC21" s="5"/>
      <c r="SMJ21" s="18"/>
      <c r="SMK21" s="5"/>
      <c r="SMR21" s="18"/>
      <c r="SMS21" s="5"/>
      <c r="SMZ21" s="18"/>
      <c r="SNA21" s="5"/>
      <c r="SNH21" s="18"/>
      <c r="SNI21" s="5"/>
      <c r="SNP21" s="18"/>
      <c r="SNQ21" s="5"/>
      <c r="SNX21" s="18"/>
      <c r="SNY21" s="5"/>
      <c r="SOF21" s="18"/>
      <c r="SOG21" s="5"/>
      <c r="SON21" s="18"/>
      <c r="SOO21" s="5"/>
      <c r="SOV21" s="18"/>
      <c r="SOW21" s="5"/>
      <c r="SPD21" s="18"/>
      <c r="SPE21" s="5"/>
      <c r="SPL21" s="18"/>
      <c r="SPM21" s="5"/>
      <c r="SPT21" s="18"/>
      <c r="SPU21" s="5"/>
      <c r="SQB21" s="18"/>
      <c r="SQC21" s="5"/>
      <c r="SQJ21" s="18"/>
      <c r="SQK21" s="5"/>
      <c r="SQR21" s="18"/>
      <c r="SQS21" s="5"/>
      <c r="SQZ21" s="18"/>
      <c r="SRA21" s="5"/>
      <c r="SRH21" s="18"/>
      <c r="SRI21" s="5"/>
      <c r="SRP21" s="18"/>
      <c r="SRQ21" s="5"/>
      <c r="SRX21" s="18"/>
      <c r="SRY21" s="5"/>
      <c r="SSF21" s="18"/>
      <c r="SSG21" s="5"/>
      <c r="SSN21" s="18"/>
      <c r="SSO21" s="5"/>
      <c r="SSV21" s="18"/>
      <c r="SSW21" s="5"/>
      <c r="STD21" s="18"/>
      <c r="STE21" s="5"/>
      <c r="STL21" s="18"/>
      <c r="STM21" s="5"/>
      <c r="STT21" s="18"/>
      <c r="STU21" s="5"/>
      <c r="SUB21" s="18"/>
      <c r="SUC21" s="5"/>
      <c r="SUJ21" s="18"/>
      <c r="SUK21" s="5"/>
      <c r="SUR21" s="18"/>
      <c r="SUS21" s="5"/>
      <c r="SUZ21" s="18"/>
      <c r="SVA21" s="5"/>
      <c r="SVH21" s="18"/>
      <c r="SVI21" s="5"/>
      <c r="SVP21" s="18"/>
      <c r="SVQ21" s="5"/>
      <c r="SVX21" s="18"/>
      <c r="SVY21" s="5"/>
      <c r="SWF21" s="18"/>
      <c r="SWG21" s="5"/>
      <c r="SWN21" s="18"/>
      <c r="SWO21" s="5"/>
      <c r="SWV21" s="18"/>
      <c r="SWW21" s="5"/>
      <c r="SXD21" s="18"/>
      <c r="SXE21" s="5"/>
      <c r="SXL21" s="18"/>
      <c r="SXM21" s="5"/>
      <c r="SXT21" s="18"/>
      <c r="SXU21" s="5"/>
      <c r="SYB21" s="18"/>
      <c r="SYC21" s="5"/>
      <c r="SYJ21" s="18"/>
      <c r="SYK21" s="5"/>
      <c r="SYR21" s="18"/>
      <c r="SYS21" s="5"/>
      <c r="SYZ21" s="18"/>
      <c r="SZA21" s="5"/>
      <c r="SZH21" s="18"/>
      <c r="SZI21" s="5"/>
      <c r="SZP21" s="18"/>
      <c r="SZQ21" s="5"/>
      <c r="SZX21" s="18"/>
      <c r="SZY21" s="5"/>
      <c r="TAF21" s="18"/>
      <c r="TAG21" s="5"/>
      <c r="TAN21" s="18"/>
      <c r="TAO21" s="5"/>
      <c r="TAV21" s="18"/>
      <c r="TAW21" s="5"/>
      <c r="TBD21" s="18"/>
      <c r="TBE21" s="5"/>
      <c r="TBL21" s="18"/>
      <c r="TBM21" s="5"/>
      <c r="TBT21" s="18"/>
      <c r="TBU21" s="5"/>
      <c r="TCB21" s="18"/>
      <c r="TCC21" s="5"/>
      <c r="TCJ21" s="18"/>
      <c r="TCK21" s="5"/>
      <c r="TCR21" s="18"/>
      <c r="TCS21" s="5"/>
      <c r="TCZ21" s="18"/>
      <c r="TDA21" s="5"/>
      <c r="TDH21" s="18"/>
      <c r="TDI21" s="5"/>
      <c r="TDP21" s="18"/>
      <c r="TDQ21" s="5"/>
      <c r="TDX21" s="18"/>
      <c r="TDY21" s="5"/>
      <c r="TEF21" s="18"/>
      <c r="TEG21" s="5"/>
      <c r="TEN21" s="18"/>
      <c r="TEO21" s="5"/>
      <c r="TEV21" s="18"/>
      <c r="TEW21" s="5"/>
      <c r="TFD21" s="18"/>
      <c r="TFE21" s="5"/>
      <c r="TFL21" s="18"/>
      <c r="TFM21" s="5"/>
      <c r="TFT21" s="18"/>
      <c r="TFU21" s="5"/>
      <c r="TGB21" s="18"/>
      <c r="TGC21" s="5"/>
      <c r="TGJ21" s="18"/>
      <c r="TGK21" s="5"/>
      <c r="TGR21" s="18"/>
      <c r="TGS21" s="5"/>
      <c r="TGZ21" s="18"/>
      <c r="THA21" s="5"/>
      <c r="THH21" s="18"/>
      <c r="THI21" s="5"/>
      <c r="THP21" s="18"/>
      <c r="THQ21" s="5"/>
      <c r="THX21" s="18"/>
      <c r="THY21" s="5"/>
      <c r="TIF21" s="18"/>
      <c r="TIG21" s="5"/>
      <c r="TIN21" s="18"/>
      <c r="TIO21" s="5"/>
      <c r="TIV21" s="18"/>
      <c r="TIW21" s="5"/>
      <c r="TJD21" s="18"/>
      <c r="TJE21" s="5"/>
      <c r="TJL21" s="18"/>
      <c r="TJM21" s="5"/>
      <c r="TJT21" s="18"/>
      <c r="TJU21" s="5"/>
      <c r="TKB21" s="18"/>
      <c r="TKC21" s="5"/>
      <c r="TKJ21" s="18"/>
      <c r="TKK21" s="5"/>
      <c r="TKR21" s="18"/>
      <c r="TKS21" s="5"/>
      <c r="TKZ21" s="18"/>
      <c r="TLA21" s="5"/>
      <c r="TLH21" s="18"/>
      <c r="TLI21" s="5"/>
      <c r="TLP21" s="18"/>
      <c r="TLQ21" s="5"/>
      <c r="TLX21" s="18"/>
      <c r="TLY21" s="5"/>
      <c r="TMF21" s="18"/>
      <c r="TMG21" s="5"/>
      <c r="TMN21" s="18"/>
      <c r="TMO21" s="5"/>
      <c r="TMV21" s="18"/>
      <c r="TMW21" s="5"/>
      <c r="TND21" s="18"/>
      <c r="TNE21" s="5"/>
      <c r="TNL21" s="18"/>
      <c r="TNM21" s="5"/>
      <c r="TNT21" s="18"/>
      <c r="TNU21" s="5"/>
      <c r="TOB21" s="18"/>
      <c r="TOC21" s="5"/>
      <c r="TOJ21" s="18"/>
      <c r="TOK21" s="5"/>
      <c r="TOR21" s="18"/>
      <c r="TOS21" s="5"/>
      <c r="TOZ21" s="18"/>
      <c r="TPA21" s="5"/>
      <c r="TPH21" s="18"/>
      <c r="TPI21" s="5"/>
      <c r="TPP21" s="18"/>
      <c r="TPQ21" s="5"/>
      <c r="TPX21" s="18"/>
      <c r="TPY21" s="5"/>
      <c r="TQF21" s="18"/>
      <c r="TQG21" s="5"/>
      <c r="TQN21" s="18"/>
      <c r="TQO21" s="5"/>
      <c r="TQV21" s="18"/>
      <c r="TQW21" s="5"/>
      <c r="TRD21" s="18"/>
      <c r="TRE21" s="5"/>
      <c r="TRL21" s="18"/>
      <c r="TRM21" s="5"/>
      <c r="TRT21" s="18"/>
      <c r="TRU21" s="5"/>
      <c r="TSB21" s="18"/>
      <c r="TSC21" s="5"/>
      <c r="TSJ21" s="18"/>
      <c r="TSK21" s="5"/>
      <c r="TSR21" s="18"/>
      <c r="TSS21" s="5"/>
      <c r="TSZ21" s="18"/>
      <c r="TTA21" s="5"/>
      <c r="TTH21" s="18"/>
      <c r="TTI21" s="5"/>
      <c r="TTP21" s="18"/>
      <c r="TTQ21" s="5"/>
      <c r="TTX21" s="18"/>
      <c r="TTY21" s="5"/>
      <c r="TUF21" s="18"/>
      <c r="TUG21" s="5"/>
      <c r="TUN21" s="18"/>
      <c r="TUO21" s="5"/>
      <c r="TUV21" s="18"/>
      <c r="TUW21" s="5"/>
      <c r="TVD21" s="18"/>
      <c r="TVE21" s="5"/>
      <c r="TVL21" s="18"/>
      <c r="TVM21" s="5"/>
      <c r="TVT21" s="18"/>
      <c r="TVU21" s="5"/>
      <c r="TWB21" s="18"/>
      <c r="TWC21" s="5"/>
      <c r="TWJ21" s="18"/>
      <c r="TWK21" s="5"/>
      <c r="TWR21" s="18"/>
      <c r="TWS21" s="5"/>
      <c r="TWZ21" s="18"/>
      <c r="TXA21" s="5"/>
      <c r="TXH21" s="18"/>
      <c r="TXI21" s="5"/>
      <c r="TXP21" s="18"/>
      <c r="TXQ21" s="5"/>
      <c r="TXX21" s="18"/>
      <c r="TXY21" s="5"/>
      <c r="TYF21" s="18"/>
      <c r="TYG21" s="5"/>
      <c r="TYN21" s="18"/>
      <c r="TYO21" s="5"/>
      <c r="TYV21" s="18"/>
      <c r="TYW21" s="5"/>
      <c r="TZD21" s="18"/>
      <c r="TZE21" s="5"/>
      <c r="TZL21" s="18"/>
      <c r="TZM21" s="5"/>
      <c r="TZT21" s="18"/>
      <c r="TZU21" s="5"/>
      <c r="UAB21" s="18"/>
      <c r="UAC21" s="5"/>
      <c r="UAJ21" s="18"/>
      <c r="UAK21" s="5"/>
      <c r="UAR21" s="18"/>
      <c r="UAS21" s="5"/>
      <c r="UAZ21" s="18"/>
      <c r="UBA21" s="5"/>
      <c r="UBH21" s="18"/>
      <c r="UBI21" s="5"/>
      <c r="UBP21" s="18"/>
      <c r="UBQ21" s="5"/>
      <c r="UBX21" s="18"/>
      <c r="UBY21" s="5"/>
      <c r="UCF21" s="18"/>
      <c r="UCG21" s="5"/>
      <c r="UCN21" s="18"/>
      <c r="UCO21" s="5"/>
      <c r="UCV21" s="18"/>
      <c r="UCW21" s="5"/>
      <c r="UDD21" s="18"/>
      <c r="UDE21" s="5"/>
      <c r="UDL21" s="18"/>
      <c r="UDM21" s="5"/>
      <c r="UDT21" s="18"/>
      <c r="UDU21" s="5"/>
      <c r="UEB21" s="18"/>
      <c r="UEC21" s="5"/>
      <c r="UEJ21" s="18"/>
      <c r="UEK21" s="5"/>
      <c r="UER21" s="18"/>
      <c r="UES21" s="5"/>
      <c r="UEZ21" s="18"/>
      <c r="UFA21" s="5"/>
      <c r="UFH21" s="18"/>
      <c r="UFI21" s="5"/>
      <c r="UFP21" s="18"/>
      <c r="UFQ21" s="5"/>
      <c r="UFX21" s="18"/>
      <c r="UFY21" s="5"/>
      <c r="UGF21" s="18"/>
      <c r="UGG21" s="5"/>
      <c r="UGN21" s="18"/>
      <c r="UGO21" s="5"/>
      <c r="UGV21" s="18"/>
      <c r="UGW21" s="5"/>
      <c r="UHD21" s="18"/>
      <c r="UHE21" s="5"/>
      <c r="UHL21" s="18"/>
      <c r="UHM21" s="5"/>
      <c r="UHT21" s="18"/>
      <c r="UHU21" s="5"/>
      <c r="UIB21" s="18"/>
      <c r="UIC21" s="5"/>
      <c r="UIJ21" s="18"/>
      <c r="UIK21" s="5"/>
      <c r="UIR21" s="18"/>
      <c r="UIS21" s="5"/>
      <c r="UIZ21" s="18"/>
      <c r="UJA21" s="5"/>
      <c r="UJH21" s="18"/>
      <c r="UJI21" s="5"/>
      <c r="UJP21" s="18"/>
      <c r="UJQ21" s="5"/>
      <c r="UJX21" s="18"/>
      <c r="UJY21" s="5"/>
      <c r="UKF21" s="18"/>
      <c r="UKG21" s="5"/>
      <c r="UKN21" s="18"/>
      <c r="UKO21" s="5"/>
      <c r="UKV21" s="18"/>
      <c r="UKW21" s="5"/>
      <c r="ULD21" s="18"/>
      <c r="ULE21" s="5"/>
      <c r="ULL21" s="18"/>
      <c r="ULM21" s="5"/>
      <c r="ULT21" s="18"/>
      <c r="ULU21" s="5"/>
      <c r="UMB21" s="18"/>
      <c r="UMC21" s="5"/>
      <c r="UMJ21" s="18"/>
      <c r="UMK21" s="5"/>
      <c r="UMR21" s="18"/>
      <c r="UMS21" s="5"/>
      <c r="UMZ21" s="18"/>
      <c r="UNA21" s="5"/>
      <c r="UNH21" s="18"/>
      <c r="UNI21" s="5"/>
      <c r="UNP21" s="18"/>
      <c r="UNQ21" s="5"/>
      <c r="UNX21" s="18"/>
      <c r="UNY21" s="5"/>
      <c r="UOF21" s="18"/>
      <c r="UOG21" s="5"/>
      <c r="UON21" s="18"/>
      <c r="UOO21" s="5"/>
      <c r="UOV21" s="18"/>
      <c r="UOW21" s="5"/>
      <c r="UPD21" s="18"/>
      <c r="UPE21" s="5"/>
      <c r="UPL21" s="18"/>
      <c r="UPM21" s="5"/>
      <c r="UPT21" s="18"/>
      <c r="UPU21" s="5"/>
      <c r="UQB21" s="18"/>
      <c r="UQC21" s="5"/>
      <c r="UQJ21" s="18"/>
      <c r="UQK21" s="5"/>
      <c r="UQR21" s="18"/>
      <c r="UQS21" s="5"/>
      <c r="UQZ21" s="18"/>
      <c r="URA21" s="5"/>
      <c r="URH21" s="18"/>
      <c r="URI21" s="5"/>
      <c r="URP21" s="18"/>
      <c r="URQ21" s="5"/>
      <c r="URX21" s="18"/>
      <c r="URY21" s="5"/>
      <c r="USF21" s="18"/>
      <c r="USG21" s="5"/>
      <c r="USN21" s="18"/>
      <c r="USO21" s="5"/>
      <c r="USV21" s="18"/>
      <c r="USW21" s="5"/>
      <c r="UTD21" s="18"/>
      <c r="UTE21" s="5"/>
      <c r="UTL21" s="18"/>
      <c r="UTM21" s="5"/>
      <c r="UTT21" s="18"/>
      <c r="UTU21" s="5"/>
      <c r="UUB21" s="18"/>
      <c r="UUC21" s="5"/>
      <c r="UUJ21" s="18"/>
      <c r="UUK21" s="5"/>
      <c r="UUR21" s="18"/>
      <c r="UUS21" s="5"/>
      <c r="UUZ21" s="18"/>
      <c r="UVA21" s="5"/>
      <c r="UVH21" s="18"/>
      <c r="UVI21" s="5"/>
      <c r="UVP21" s="18"/>
      <c r="UVQ21" s="5"/>
      <c r="UVX21" s="18"/>
      <c r="UVY21" s="5"/>
      <c r="UWF21" s="18"/>
      <c r="UWG21" s="5"/>
      <c r="UWN21" s="18"/>
      <c r="UWO21" s="5"/>
      <c r="UWV21" s="18"/>
      <c r="UWW21" s="5"/>
      <c r="UXD21" s="18"/>
      <c r="UXE21" s="5"/>
      <c r="UXL21" s="18"/>
      <c r="UXM21" s="5"/>
      <c r="UXT21" s="18"/>
      <c r="UXU21" s="5"/>
      <c r="UYB21" s="18"/>
      <c r="UYC21" s="5"/>
      <c r="UYJ21" s="18"/>
      <c r="UYK21" s="5"/>
      <c r="UYR21" s="18"/>
      <c r="UYS21" s="5"/>
      <c r="UYZ21" s="18"/>
      <c r="UZA21" s="5"/>
      <c r="UZH21" s="18"/>
      <c r="UZI21" s="5"/>
      <c r="UZP21" s="18"/>
      <c r="UZQ21" s="5"/>
      <c r="UZX21" s="18"/>
      <c r="UZY21" s="5"/>
      <c r="VAF21" s="18"/>
      <c r="VAG21" s="5"/>
      <c r="VAN21" s="18"/>
      <c r="VAO21" s="5"/>
      <c r="VAV21" s="18"/>
      <c r="VAW21" s="5"/>
      <c r="VBD21" s="18"/>
      <c r="VBE21" s="5"/>
      <c r="VBL21" s="18"/>
      <c r="VBM21" s="5"/>
      <c r="VBT21" s="18"/>
      <c r="VBU21" s="5"/>
      <c r="VCB21" s="18"/>
      <c r="VCC21" s="5"/>
      <c r="VCJ21" s="18"/>
      <c r="VCK21" s="5"/>
      <c r="VCR21" s="18"/>
      <c r="VCS21" s="5"/>
      <c r="VCZ21" s="18"/>
      <c r="VDA21" s="5"/>
      <c r="VDH21" s="18"/>
      <c r="VDI21" s="5"/>
      <c r="VDP21" s="18"/>
      <c r="VDQ21" s="5"/>
      <c r="VDX21" s="18"/>
      <c r="VDY21" s="5"/>
      <c r="VEF21" s="18"/>
      <c r="VEG21" s="5"/>
      <c r="VEN21" s="18"/>
      <c r="VEO21" s="5"/>
      <c r="VEV21" s="18"/>
      <c r="VEW21" s="5"/>
      <c r="VFD21" s="18"/>
      <c r="VFE21" s="5"/>
      <c r="VFL21" s="18"/>
      <c r="VFM21" s="5"/>
      <c r="VFT21" s="18"/>
      <c r="VFU21" s="5"/>
      <c r="VGB21" s="18"/>
      <c r="VGC21" s="5"/>
      <c r="VGJ21" s="18"/>
      <c r="VGK21" s="5"/>
      <c r="VGR21" s="18"/>
      <c r="VGS21" s="5"/>
      <c r="VGZ21" s="18"/>
      <c r="VHA21" s="5"/>
      <c r="VHH21" s="18"/>
      <c r="VHI21" s="5"/>
      <c r="VHP21" s="18"/>
      <c r="VHQ21" s="5"/>
      <c r="VHX21" s="18"/>
      <c r="VHY21" s="5"/>
      <c r="VIF21" s="18"/>
      <c r="VIG21" s="5"/>
      <c r="VIN21" s="18"/>
      <c r="VIO21" s="5"/>
      <c r="VIV21" s="18"/>
      <c r="VIW21" s="5"/>
      <c r="VJD21" s="18"/>
      <c r="VJE21" s="5"/>
      <c r="VJL21" s="18"/>
      <c r="VJM21" s="5"/>
      <c r="VJT21" s="18"/>
      <c r="VJU21" s="5"/>
      <c r="VKB21" s="18"/>
      <c r="VKC21" s="5"/>
      <c r="VKJ21" s="18"/>
      <c r="VKK21" s="5"/>
      <c r="VKR21" s="18"/>
      <c r="VKS21" s="5"/>
      <c r="VKZ21" s="18"/>
      <c r="VLA21" s="5"/>
      <c r="VLH21" s="18"/>
      <c r="VLI21" s="5"/>
      <c r="VLP21" s="18"/>
      <c r="VLQ21" s="5"/>
      <c r="VLX21" s="18"/>
      <c r="VLY21" s="5"/>
      <c r="VMF21" s="18"/>
      <c r="VMG21" s="5"/>
      <c r="VMN21" s="18"/>
      <c r="VMO21" s="5"/>
      <c r="VMV21" s="18"/>
      <c r="VMW21" s="5"/>
      <c r="VND21" s="18"/>
      <c r="VNE21" s="5"/>
      <c r="VNL21" s="18"/>
      <c r="VNM21" s="5"/>
      <c r="VNT21" s="18"/>
      <c r="VNU21" s="5"/>
      <c r="VOB21" s="18"/>
      <c r="VOC21" s="5"/>
      <c r="VOJ21" s="18"/>
      <c r="VOK21" s="5"/>
      <c r="VOR21" s="18"/>
      <c r="VOS21" s="5"/>
      <c r="VOZ21" s="18"/>
      <c r="VPA21" s="5"/>
      <c r="VPH21" s="18"/>
      <c r="VPI21" s="5"/>
      <c r="VPP21" s="18"/>
      <c r="VPQ21" s="5"/>
      <c r="VPX21" s="18"/>
      <c r="VPY21" s="5"/>
      <c r="VQF21" s="18"/>
      <c r="VQG21" s="5"/>
      <c r="VQN21" s="18"/>
      <c r="VQO21" s="5"/>
      <c r="VQV21" s="18"/>
      <c r="VQW21" s="5"/>
      <c r="VRD21" s="18"/>
      <c r="VRE21" s="5"/>
      <c r="VRL21" s="18"/>
      <c r="VRM21" s="5"/>
      <c r="VRT21" s="18"/>
      <c r="VRU21" s="5"/>
      <c r="VSB21" s="18"/>
      <c r="VSC21" s="5"/>
      <c r="VSJ21" s="18"/>
      <c r="VSK21" s="5"/>
      <c r="VSR21" s="18"/>
      <c r="VSS21" s="5"/>
      <c r="VSZ21" s="18"/>
      <c r="VTA21" s="5"/>
      <c r="VTH21" s="18"/>
      <c r="VTI21" s="5"/>
      <c r="VTP21" s="18"/>
      <c r="VTQ21" s="5"/>
      <c r="VTX21" s="18"/>
      <c r="VTY21" s="5"/>
      <c r="VUF21" s="18"/>
      <c r="VUG21" s="5"/>
      <c r="VUN21" s="18"/>
      <c r="VUO21" s="5"/>
      <c r="VUV21" s="18"/>
      <c r="VUW21" s="5"/>
      <c r="VVD21" s="18"/>
      <c r="VVE21" s="5"/>
      <c r="VVL21" s="18"/>
      <c r="VVM21" s="5"/>
      <c r="VVT21" s="18"/>
      <c r="VVU21" s="5"/>
      <c r="VWB21" s="18"/>
      <c r="VWC21" s="5"/>
      <c r="VWJ21" s="18"/>
      <c r="VWK21" s="5"/>
      <c r="VWR21" s="18"/>
      <c r="VWS21" s="5"/>
      <c r="VWZ21" s="18"/>
      <c r="VXA21" s="5"/>
      <c r="VXH21" s="18"/>
      <c r="VXI21" s="5"/>
      <c r="VXP21" s="18"/>
      <c r="VXQ21" s="5"/>
      <c r="VXX21" s="18"/>
      <c r="VXY21" s="5"/>
      <c r="VYF21" s="18"/>
      <c r="VYG21" s="5"/>
      <c r="VYN21" s="18"/>
      <c r="VYO21" s="5"/>
      <c r="VYV21" s="18"/>
      <c r="VYW21" s="5"/>
      <c r="VZD21" s="18"/>
      <c r="VZE21" s="5"/>
      <c r="VZL21" s="18"/>
      <c r="VZM21" s="5"/>
      <c r="VZT21" s="18"/>
      <c r="VZU21" s="5"/>
      <c r="WAB21" s="18"/>
      <c r="WAC21" s="5"/>
      <c r="WAJ21" s="18"/>
      <c r="WAK21" s="5"/>
      <c r="WAR21" s="18"/>
      <c r="WAS21" s="5"/>
      <c r="WAZ21" s="18"/>
      <c r="WBA21" s="5"/>
      <c r="WBH21" s="18"/>
      <c r="WBI21" s="5"/>
      <c r="WBP21" s="18"/>
      <c r="WBQ21" s="5"/>
      <c r="WBX21" s="18"/>
      <c r="WBY21" s="5"/>
      <c r="WCF21" s="18"/>
      <c r="WCG21" s="5"/>
      <c r="WCN21" s="18"/>
      <c r="WCO21" s="5"/>
      <c r="WCV21" s="18"/>
      <c r="WCW21" s="5"/>
      <c r="WDD21" s="18"/>
      <c r="WDE21" s="5"/>
      <c r="WDL21" s="18"/>
      <c r="WDM21" s="5"/>
      <c r="WDT21" s="18"/>
      <c r="WDU21" s="5"/>
      <c r="WEB21" s="18"/>
      <c r="WEC21" s="5"/>
      <c r="WEJ21" s="18"/>
      <c r="WEK21" s="5"/>
      <c r="WER21" s="18"/>
      <c r="WES21" s="5"/>
      <c r="WEZ21" s="18"/>
      <c r="WFA21" s="5"/>
      <c r="WFH21" s="18"/>
      <c r="WFI21" s="5"/>
      <c r="WFP21" s="18"/>
      <c r="WFQ21" s="5"/>
      <c r="WFX21" s="18"/>
      <c r="WFY21" s="5"/>
      <c r="WGF21" s="18"/>
      <c r="WGG21" s="5"/>
      <c r="WGN21" s="18"/>
      <c r="WGO21" s="5"/>
      <c r="WGV21" s="18"/>
      <c r="WGW21" s="5"/>
      <c r="WHD21" s="18"/>
      <c r="WHE21" s="5"/>
      <c r="WHL21" s="18"/>
      <c r="WHM21" s="5"/>
      <c r="WHT21" s="18"/>
      <c r="WHU21" s="5"/>
      <c r="WIB21" s="18"/>
      <c r="WIC21" s="5"/>
      <c r="WIJ21" s="18"/>
      <c r="WIK21" s="5"/>
      <c r="WIR21" s="18"/>
      <c r="WIS21" s="5"/>
      <c r="WIZ21" s="18"/>
      <c r="WJA21" s="5"/>
      <c r="WJH21" s="18"/>
      <c r="WJI21" s="5"/>
      <c r="WJP21" s="18"/>
      <c r="WJQ21" s="5"/>
      <c r="WJX21" s="18"/>
      <c r="WJY21" s="5"/>
      <c r="WKF21" s="18"/>
      <c r="WKG21" s="5"/>
      <c r="WKN21" s="18"/>
      <c r="WKO21" s="5"/>
      <c r="WKV21" s="18"/>
      <c r="WKW21" s="5"/>
      <c r="WLD21" s="18"/>
      <c r="WLE21" s="5"/>
      <c r="WLL21" s="18"/>
      <c r="WLM21" s="5"/>
      <c r="WLT21" s="18"/>
      <c r="WLU21" s="5"/>
      <c r="WMB21" s="18"/>
      <c r="WMC21" s="5"/>
      <c r="WMJ21" s="18"/>
      <c r="WMK21" s="5"/>
      <c r="WMR21" s="18"/>
      <c r="WMS21" s="5"/>
      <c r="WMZ21" s="18"/>
      <c r="WNA21" s="5"/>
      <c r="WNH21" s="18"/>
      <c r="WNI21" s="5"/>
      <c r="WNP21" s="18"/>
      <c r="WNQ21" s="5"/>
      <c r="WNX21" s="18"/>
      <c r="WNY21" s="5"/>
      <c r="WOF21" s="18"/>
      <c r="WOG21" s="5"/>
      <c r="WON21" s="18"/>
      <c r="WOO21" s="5"/>
      <c r="WOV21" s="18"/>
      <c r="WOW21" s="5"/>
      <c r="WPD21" s="18"/>
      <c r="WPE21" s="5"/>
      <c r="WPL21" s="18"/>
      <c r="WPM21" s="5"/>
      <c r="WPT21" s="18"/>
      <c r="WPU21" s="5"/>
      <c r="WQB21" s="18"/>
      <c r="WQC21" s="5"/>
      <c r="WQJ21" s="18"/>
      <c r="WQK21" s="5"/>
      <c r="WQR21" s="18"/>
      <c r="WQS21" s="5"/>
      <c r="WQZ21" s="18"/>
      <c r="WRA21" s="5"/>
      <c r="WRH21" s="18"/>
      <c r="WRI21" s="5"/>
      <c r="WRP21" s="18"/>
      <c r="WRQ21" s="5"/>
      <c r="WRX21" s="18"/>
      <c r="WRY21" s="5"/>
      <c r="WSF21" s="18"/>
      <c r="WSG21" s="5"/>
      <c r="WSN21" s="18"/>
      <c r="WSO21" s="5"/>
      <c r="WSV21" s="18"/>
      <c r="WSW21" s="5"/>
      <c r="WTD21" s="18"/>
      <c r="WTE21" s="5"/>
      <c r="WTL21" s="18"/>
      <c r="WTM21" s="5"/>
      <c r="WTT21" s="18"/>
      <c r="WTU21" s="5"/>
      <c r="WUB21" s="18"/>
      <c r="WUC21" s="5"/>
      <c r="WUJ21" s="18"/>
      <c r="WUK21" s="5"/>
      <c r="WUR21" s="18"/>
      <c r="WUS21" s="5"/>
      <c r="WUZ21" s="18"/>
      <c r="WVA21" s="5"/>
      <c r="WVH21" s="18"/>
      <c r="WVI21" s="5"/>
      <c r="WVP21" s="18"/>
      <c r="WVQ21" s="5"/>
      <c r="WVX21" s="18"/>
      <c r="WVY21" s="5"/>
      <c r="WWF21" s="18"/>
      <c r="WWG21" s="5"/>
      <c r="WWN21" s="18"/>
      <c r="WWO21" s="5"/>
      <c r="WWV21" s="18"/>
      <c r="WWW21" s="5"/>
      <c r="WXD21" s="18"/>
      <c r="WXE21" s="5"/>
      <c r="WXL21" s="18"/>
      <c r="WXM21" s="5"/>
      <c r="WXT21" s="18"/>
      <c r="WXU21" s="5"/>
      <c r="WYB21" s="18"/>
      <c r="WYC21" s="5"/>
      <c r="WYJ21" s="18"/>
      <c r="WYK21" s="5"/>
      <c r="WYR21" s="18"/>
      <c r="WYS21" s="5"/>
      <c r="WYZ21" s="18"/>
      <c r="WZA21" s="5"/>
      <c r="WZH21" s="18"/>
      <c r="WZI21" s="5"/>
      <c r="WZP21" s="18"/>
      <c r="WZQ21" s="5"/>
      <c r="WZX21" s="18"/>
      <c r="WZY21" s="5"/>
      <c r="XAF21" s="18"/>
      <c r="XAG21" s="5"/>
      <c r="XAN21" s="18"/>
      <c r="XAO21" s="5"/>
      <c r="XAV21" s="18"/>
      <c r="XAW21" s="5"/>
      <c r="XBD21" s="18"/>
      <c r="XBE21" s="5"/>
      <c r="XBL21" s="18"/>
      <c r="XBM21" s="5"/>
      <c r="XBT21" s="18"/>
      <c r="XBU21" s="5"/>
      <c r="XCB21" s="18"/>
      <c r="XCC21" s="5"/>
      <c r="XCJ21" s="18"/>
      <c r="XCK21" s="5"/>
      <c r="XCR21" s="18"/>
      <c r="XCS21" s="5"/>
      <c r="XCZ21" s="18"/>
      <c r="XDA21" s="5"/>
      <c r="XDH21" s="18"/>
      <c r="XDI21" s="5"/>
      <c r="XDP21" s="18"/>
      <c r="XDQ21" s="5"/>
      <c r="XDX21" s="18"/>
      <c r="XDY21" s="5"/>
      <c r="XEF21" s="18"/>
      <c r="XEG21" s="5"/>
      <c r="XEN21" s="18"/>
      <c r="XEO21" s="5"/>
      <c r="XEV21" s="18"/>
      <c r="XEW21" s="5"/>
      <c r="XFD21" s="18"/>
    </row>
    <row r="22" spans="1:16384" customFormat="1" hidden="1" x14ac:dyDescent="0.25">
      <c r="A22" s="97"/>
      <c r="B22" s="97"/>
      <c r="C22" s="97"/>
      <c r="D22" s="97"/>
      <c r="E22" s="97"/>
      <c r="F22" s="97"/>
      <c r="G22" s="97"/>
      <c r="H22" s="94"/>
      <c r="Q22" s="5"/>
      <c r="X22" s="19"/>
      <c r="Y22" s="5"/>
      <c r="AF22" s="19"/>
      <c r="AG22" s="5"/>
      <c r="AN22" s="19"/>
      <c r="AO22" s="5"/>
      <c r="AV22" s="19"/>
      <c r="AW22" s="5"/>
      <c r="BD22" s="19"/>
      <c r="BE22" s="5"/>
      <c r="BL22" s="19"/>
      <c r="BM22" s="5"/>
      <c r="BT22" s="19"/>
      <c r="BU22" s="5"/>
      <c r="CB22" s="19"/>
      <c r="CC22" s="5"/>
      <c r="CJ22" s="19"/>
      <c r="CK22" s="5"/>
      <c r="CR22" s="19"/>
      <c r="CS22" s="5"/>
      <c r="CZ22" s="19"/>
      <c r="DA22" s="5"/>
      <c r="DH22" s="19"/>
      <c r="DI22" s="5"/>
      <c r="DP22" s="19"/>
      <c r="DQ22" s="5"/>
      <c r="DX22" s="19"/>
      <c r="DY22" s="5"/>
      <c r="EF22" s="19"/>
      <c r="EG22" s="5"/>
      <c r="EN22" s="19"/>
      <c r="EO22" s="5"/>
      <c r="EV22" s="19"/>
      <c r="EW22" s="5"/>
      <c r="FD22" s="19"/>
      <c r="FE22" s="5"/>
      <c r="FL22" s="19"/>
      <c r="FM22" s="5"/>
      <c r="FT22" s="19"/>
      <c r="FU22" s="5"/>
      <c r="GB22" s="19"/>
      <c r="GC22" s="5"/>
      <c r="GJ22" s="19"/>
      <c r="GK22" s="5"/>
      <c r="GR22" s="19"/>
      <c r="GS22" s="5"/>
      <c r="GZ22" s="19"/>
      <c r="HA22" s="5"/>
      <c r="HH22" s="19"/>
      <c r="HI22" s="5"/>
      <c r="HP22" s="19"/>
      <c r="HQ22" s="5"/>
      <c r="HX22" s="19"/>
      <c r="HY22" s="5"/>
      <c r="IF22" s="19"/>
      <c r="IG22" s="5"/>
      <c r="IN22" s="19"/>
      <c r="IO22" s="5"/>
      <c r="IV22" s="19"/>
      <c r="IW22" s="5"/>
      <c r="JD22" s="19"/>
      <c r="JE22" s="5"/>
      <c r="JL22" s="19"/>
      <c r="JM22" s="5"/>
      <c r="JT22" s="19"/>
      <c r="JU22" s="5"/>
      <c r="KB22" s="19"/>
      <c r="KC22" s="5"/>
      <c r="KJ22" s="19"/>
      <c r="KK22" s="5"/>
      <c r="KR22" s="19"/>
      <c r="KS22" s="5"/>
      <c r="KZ22" s="19"/>
      <c r="LA22" s="5"/>
      <c r="LH22" s="19"/>
      <c r="LI22" s="5"/>
      <c r="LP22" s="19"/>
      <c r="LQ22" s="5"/>
      <c r="LX22" s="19"/>
      <c r="LY22" s="5"/>
      <c r="MF22" s="19"/>
      <c r="MG22" s="5"/>
      <c r="MN22" s="19"/>
      <c r="MO22" s="5"/>
      <c r="MV22" s="19"/>
      <c r="MW22" s="5"/>
      <c r="ND22" s="19"/>
      <c r="NE22" s="5"/>
      <c r="NL22" s="19"/>
      <c r="NM22" s="5"/>
      <c r="NT22" s="19"/>
      <c r="NU22" s="5"/>
      <c r="OB22" s="19"/>
      <c r="OC22" s="5"/>
      <c r="OJ22" s="19"/>
      <c r="OK22" s="5"/>
      <c r="OR22" s="19"/>
      <c r="OS22" s="5"/>
      <c r="OZ22" s="19"/>
      <c r="PA22" s="5"/>
      <c r="PH22" s="19"/>
      <c r="PI22" s="5"/>
      <c r="PP22" s="19"/>
      <c r="PQ22" s="5"/>
      <c r="PX22" s="19"/>
      <c r="PY22" s="5"/>
      <c r="QF22" s="19"/>
      <c r="QG22" s="5"/>
      <c r="QN22" s="19"/>
      <c r="QO22" s="5"/>
      <c r="QV22" s="19"/>
      <c r="QW22" s="5"/>
      <c r="RD22" s="19"/>
      <c r="RE22" s="5"/>
      <c r="RL22" s="19"/>
      <c r="RM22" s="5"/>
      <c r="RT22" s="19"/>
      <c r="RU22" s="5"/>
      <c r="SB22" s="19"/>
      <c r="SC22" s="5"/>
      <c r="SJ22" s="19"/>
      <c r="SK22" s="5"/>
      <c r="SR22" s="19"/>
      <c r="SS22" s="5"/>
      <c r="SZ22" s="19"/>
      <c r="TA22" s="5"/>
      <c r="TH22" s="19"/>
      <c r="TI22" s="5"/>
      <c r="TP22" s="19"/>
      <c r="TQ22" s="5"/>
      <c r="TX22" s="19"/>
      <c r="TY22" s="5"/>
      <c r="UF22" s="19"/>
      <c r="UG22" s="5"/>
      <c r="UN22" s="19"/>
      <c r="UO22" s="5"/>
      <c r="UV22" s="19"/>
      <c r="UW22" s="5"/>
      <c r="VD22" s="19"/>
      <c r="VE22" s="5"/>
      <c r="VL22" s="19"/>
      <c r="VM22" s="5"/>
      <c r="VT22" s="19"/>
      <c r="VU22" s="5"/>
      <c r="WB22" s="19"/>
      <c r="WC22" s="5"/>
      <c r="WJ22" s="19"/>
      <c r="WK22" s="5"/>
      <c r="WR22" s="19"/>
      <c r="WS22" s="5"/>
      <c r="WZ22" s="19"/>
      <c r="XA22" s="5"/>
      <c r="XH22" s="19"/>
      <c r="XI22" s="5"/>
      <c r="XP22" s="19"/>
      <c r="XQ22" s="5"/>
      <c r="XX22" s="19"/>
      <c r="XY22" s="5"/>
      <c r="YF22" s="19"/>
      <c r="YG22" s="5"/>
      <c r="YN22" s="19"/>
      <c r="YO22" s="5"/>
      <c r="YV22" s="19"/>
      <c r="YW22" s="5"/>
      <c r="ZD22" s="19"/>
      <c r="ZE22" s="5"/>
      <c r="ZL22" s="19"/>
      <c r="ZM22" s="5"/>
      <c r="ZT22" s="19"/>
      <c r="ZU22" s="5"/>
      <c r="AAB22" s="19"/>
      <c r="AAC22" s="5"/>
      <c r="AAJ22" s="19"/>
      <c r="AAK22" s="5"/>
      <c r="AAR22" s="19"/>
      <c r="AAS22" s="5"/>
      <c r="AAZ22" s="19"/>
      <c r="ABA22" s="5"/>
      <c r="ABH22" s="19"/>
      <c r="ABI22" s="5"/>
      <c r="ABP22" s="19"/>
      <c r="ABQ22" s="5"/>
      <c r="ABX22" s="19"/>
      <c r="ABY22" s="5"/>
      <c r="ACF22" s="19"/>
      <c r="ACG22" s="5"/>
      <c r="ACN22" s="19"/>
      <c r="ACO22" s="5"/>
      <c r="ACV22" s="19"/>
      <c r="ACW22" s="5"/>
      <c r="ADD22" s="19"/>
      <c r="ADE22" s="5"/>
      <c r="ADL22" s="19"/>
      <c r="ADM22" s="5"/>
      <c r="ADT22" s="19"/>
      <c r="ADU22" s="5"/>
      <c r="AEB22" s="19"/>
      <c r="AEC22" s="5"/>
      <c r="AEJ22" s="19"/>
      <c r="AEK22" s="5"/>
      <c r="AER22" s="19"/>
      <c r="AES22" s="5"/>
      <c r="AEZ22" s="19"/>
      <c r="AFA22" s="5"/>
      <c r="AFH22" s="19"/>
      <c r="AFI22" s="5"/>
      <c r="AFP22" s="19"/>
      <c r="AFQ22" s="5"/>
      <c r="AFX22" s="19"/>
      <c r="AFY22" s="5"/>
      <c r="AGF22" s="19"/>
      <c r="AGG22" s="5"/>
      <c r="AGN22" s="19"/>
      <c r="AGO22" s="5"/>
      <c r="AGV22" s="19"/>
      <c r="AGW22" s="5"/>
      <c r="AHD22" s="19"/>
      <c r="AHE22" s="5"/>
      <c r="AHL22" s="19"/>
      <c r="AHM22" s="5"/>
      <c r="AHT22" s="19"/>
      <c r="AHU22" s="5"/>
      <c r="AIB22" s="19"/>
      <c r="AIC22" s="5"/>
      <c r="AIJ22" s="19"/>
      <c r="AIK22" s="5"/>
      <c r="AIR22" s="19"/>
      <c r="AIS22" s="5"/>
      <c r="AIZ22" s="19"/>
      <c r="AJA22" s="5"/>
      <c r="AJH22" s="19"/>
      <c r="AJI22" s="5"/>
      <c r="AJP22" s="19"/>
      <c r="AJQ22" s="5"/>
      <c r="AJX22" s="19"/>
      <c r="AJY22" s="5"/>
      <c r="AKF22" s="19"/>
      <c r="AKG22" s="5"/>
      <c r="AKN22" s="19"/>
      <c r="AKO22" s="5"/>
      <c r="AKV22" s="19"/>
      <c r="AKW22" s="5"/>
      <c r="ALD22" s="19"/>
      <c r="ALE22" s="5"/>
      <c r="ALL22" s="19"/>
      <c r="ALM22" s="5"/>
      <c r="ALT22" s="19"/>
      <c r="ALU22" s="5"/>
      <c r="AMB22" s="19"/>
      <c r="AMC22" s="5"/>
      <c r="AMJ22" s="19"/>
      <c r="AMK22" s="5"/>
      <c r="AMR22" s="19"/>
      <c r="AMS22" s="5"/>
      <c r="AMZ22" s="19"/>
      <c r="ANA22" s="5"/>
      <c r="ANH22" s="19"/>
      <c r="ANI22" s="5"/>
      <c r="ANP22" s="19"/>
      <c r="ANQ22" s="5"/>
      <c r="ANX22" s="19"/>
      <c r="ANY22" s="5"/>
      <c r="AOF22" s="19"/>
      <c r="AOG22" s="5"/>
      <c r="AON22" s="19"/>
      <c r="AOO22" s="5"/>
      <c r="AOV22" s="19"/>
      <c r="AOW22" s="5"/>
      <c r="APD22" s="19"/>
      <c r="APE22" s="5"/>
      <c r="APL22" s="19"/>
      <c r="APM22" s="5"/>
      <c r="APT22" s="19"/>
      <c r="APU22" s="5"/>
      <c r="AQB22" s="19"/>
      <c r="AQC22" s="5"/>
      <c r="AQJ22" s="19"/>
      <c r="AQK22" s="5"/>
      <c r="AQR22" s="19"/>
      <c r="AQS22" s="5"/>
      <c r="AQZ22" s="19"/>
      <c r="ARA22" s="5"/>
      <c r="ARH22" s="19"/>
      <c r="ARI22" s="5"/>
      <c r="ARP22" s="19"/>
      <c r="ARQ22" s="5"/>
      <c r="ARX22" s="19"/>
      <c r="ARY22" s="5"/>
      <c r="ASF22" s="19"/>
      <c r="ASG22" s="5"/>
      <c r="ASN22" s="19"/>
      <c r="ASO22" s="5"/>
      <c r="ASV22" s="19"/>
      <c r="ASW22" s="5"/>
      <c r="ATD22" s="19"/>
      <c r="ATE22" s="5"/>
      <c r="ATL22" s="19"/>
      <c r="ATM22" s="5"/>
      <c r="ATT22" s="19"/>
      <c r="ATU22" s="5"/>
      <c r="AUB22" s="19"/>
      <c r="AUC22" s="5"/>
      <c r="AUJ22" s="19"/>
      <c r="AUK22" s="5"/>
      <c r="AUR22" s="19"/>
      <c r="AUS22" s="5"/>
      <c r="AUZ22" s="19"/>
      <c r="AVA22" s="5"/>
      <c r="AVH22" s="19"/>
      <c r="AVI22" s="5"/>
      <c r="AVP22" s="19"/>
      <c r="AVQ22" s="5"/>
      <c r="AVX22" s="19"/>
      <c r="AVY22" s="5"/>
      <c r="AWF22" s="19"/>
      <c r="AWG22" s="5"/>
      <c r="AWN22" s="19"/>
      <c r="AWO22" s="5"/>
      <c r="AWV22" s="19"/>
      <c r="AWW22" s="5"/>
      <c r="AXD22" s="19"/>
      <c r="AXE22" s="5"/>
      <c r="AXL22" s="19"/>
      <c r="AXM22" s="5"/>
      <c r="AXT22" s="19"/>
      <c r="AXU22" s="5"/>
      <c r="AYB22" s="19"/>
      <c r="AYC22" s="5"/>
      <c r="AYJ22" s="19"/>
      <c r="AYK22" s="5"/>
      <c r="AYR22" s="19"/>
      <c r="AYS22" s="5"/>
      <c r="AYZ22" s="19"/>
      <c r="AZA22" s="5"/>
      <c r="AZH22" s="19"/>
      <c r="AZI22" s="5"/>
      <c r="AZP22" s="19"/>
      <c r="AZQ22" s="5"/>
      <c r="AZX22" s="19"/>
      <c r="AZY22" s="5"/>
      <c r="BAF22" s="19"/>
      <c r="BAG22" s="5"/>
      <c r="BAN22" s="19"/>
      <c r="BAO22" s="5"/>
      <c r="BAV22" s="19"/>
      <c r="BAW22" s="5"/>
      <c r="BBD22" s="19"/>
      <c r="BBE22" s="5"/>
      <c r="BBL22" s="19"/>
      <c r="BBM22" s="5"/>
      <c r="BBT22" s="19"/>
      <c r="BBU22" s="5"/>
      <c r="BCB22" s="19"/>
      <c r="BCC22" s="5"/>
      <c r="BCJ22" s="19"/>
      <c r="BCK22" s="5"/>
      <c r="BCR22" s="19"/>
      <c r="BCS22" s="5"/>
      <c r="BCZ22" s="19"/>
      <c r="BDA22" s="5"/>
      <c r="BDH22" s="19"/>
      <c r="BDI22" s="5"/>
      <c r="BDP22" s="19"/>
      <c r="BDQ22" s="5"/>
      <c r="BDX22" s="19"/>
      <c r="BDY22" s="5"/>
      <c r="BEF22" s="19"/>
      <c r="BEG22" s="5"/>
      <c r="BEN22" s="19"/>
      <c r="BEO22" s="5"/>
      <c r="BEV22" s="19"/>
      <c r="BEW22" s="5"/>
      <c r="BFD22" s="19"/>
      <c r="BFE22" s="5"/>
      <c r="BFL22" s="19"/>
      <c r="BFM22" s="5"/>
      <c r="BFT22" s="19"/>
      <c r="BFU22" s="5"/>
      <c r="BGB22" s="19"/>
      <c r="BGC22" s="5"/>
      <c r="BGJ22" s="19"/>
      <c r="BGK22" s="5"/>
      <c r="BGR22" s="19"/>
      <c r="BGS22" s="5"/>
      <c r="BGZ22" s="19"/>
      <c r="BHA22" s="5"/>
      <c r="BHH22" s="19"/>
      <c r="BHI22" s="5"/>
      <c r="BHP22" s="19"/>
      <c r="BHQ22" s="5"/>
      <c r="BHX22" s="19"/>
      <c r="BHY22" s="5"/>
      <c r="BIF22" s="19"/>
      <c r="BIG22" s="5"/>
      <c r="BIN22" s="19"/>
      <c r="BIO22" s="5"/>
      <c r="BIV22" s="19"/>
      <c r="BIW22" s="5"/>
      <c r="BJD22" s="19"/>
      <c r="BJE22" s="5"/>
      <c r="BJL22" s="19"/>
      <c r="BJM22" s="5"/>
      <c r="BJT22" s="19"/>
      <c r="BJU22" s="5"/>
      <c r="BKB22" s="19"/>
      <c r="BKC22" s="5"/>
      <c r="BKJ22" s="19"/>
      <c r="BKK22" s="5"/>
      <c r="BKR22" s="19"/>
      <c r="BKS22" s="5"/>
      <c r="BKZ22" s="19"/>
      <c r="BLA22" s="5"/>
      <c r="BLH22" s="19"/>
      <c r="BLI22" s="5"/>
      <c r="BLP22" s="19"/>
      <c r="BLQ22" s="5"/>
      <c r="BLX22" s="19"/>
      <c r="BLY22" s="5"/>
      <c r="BMF22" s="19"/>
      <c r="BMG22" s="5"/>
      <c r="BMN22" s="19"/>
      <c r="BMO22" s="5"/>
      <c r="BMV22" s="19"/>
      <c r="BMW22" s="5"/>
      <c r="BND22" s="19"/>
      <c r="BNE22" s="5"/>
      <c r="BNL22" s="19"/>
      <c r="BNM22" s="5"/>
      <c r="BNT22" s="19"/>
      <c r="BNU22" s="5"/>
      <c r="BOB22" s="19"/>
      <c r="BOC22" s="5"/>
      <c r="BOJ22" s="19"/>
      <c r="BOK22" s="5"/>
      <c r="BOR22" s="19"/>
      <c r="BOS22" s="5"/>
      <c r="BOZ22" s="19"/>
      <c r="BPA22" s="5"/>
      <c r="BPH22" s="19"/>
      <c r="BPI22" s="5"/>
      <c r="BPP22" s="19"/>
      <c r="BPQ22" s="5"/>
      <c r="BPX22" s="19"/>
      <c r="BPY22" s="5"/>
      <c r="BQF22" s="19"/>
      <c r="BQG22" s="5"/>
      <c r="BQN22" s="19"/>
      <c r="BQO22" s="5"/>
      <c r="BQV22" s="19"/>
      <c r="BQW22" s="5"/>
      <c r="BRD22" s="19"/>
      <c r="BRE22" s="5"/>
      <c r="BRL22" s="19"/>
      <c r="BRM22" s="5"/>
      <c r="BRT22" s="19"/>
      <c r="BRU22" s="5"/>
      <c r="BSB22" s="19"/>
      <c r="BSC22" s="5"/>
      <c r="BSJ22" s="19"/>
      <c r="BSK22" s="5"/>
      <c r="BSR22" s="19"/>
      <c r="BSS22" s="5"/>
      <c r="BSZ22" s="19"/>
      <c r="BTA22" s="5"/>
      <c r="BTH22" s="19"/>
      <c r="BTI22" s="5"/>
      <c r="BTP22" s="19"/>
      <c r="BTQ22" s="5"/>
      <c r="BTX22" s="19"/>
      <c r="BTY22" s="5"/>
      <c r="BUF22" s="19"/>
      <c r="BUG22" s="5"/>
      <c r="BUN22" s="19"/>
      <c r="BUO22" s="5"/>
      <c r="BUV22" s="19"/>
      <c r="BUW22" s="5"/>
      <c r="BVD22" s="19"/>
      <c r="BVE22" s="5"/>
      <c r="BVL22" s="19"/>
      <c r="BVM22" s="5"/>
      <c r="BVT22" s="19"/>
      <c r="BVU22" s="5"/>
      <c r="BWB22" s="19"/>
      <c r="BWC22" s="5"/>
      <c r="BWJ22" s="19"/>
      <c r="BWK22" s="5"/>
      <c r="BWR22" s="19"/>
      <c r="BWS22" s="5"/>
      <c r="BWZ22" s="19"/>
      <c r="BXA22" s="5"/>
      <c r="BXH22" s="19"/>
      <c r="BXI22" s="5"/>
      <c r="BXP22" s="19"/>
      <c r="BXQ22" s="5"/>
      <c r="BXX22" s="19"/>
      <c r="BXY22" s="5"/>
      <c r="BYF22" s="19"/>
      <c r="BYG22" s="5"/>
      <c r="BYN22" s="19"/>
      <c r="BYO22" s="5"/>
      <c r="BYV22" s="19"/>
      <c r="BYW22" s="5"/>
      <c r="BZD22" s="19"/>
      <c r="BZE22" s="5"/>
      <c r="BZL22" s="19"/>
      <c r="BZM22" s="5"/>
      <c r="BZT22" s="19"/>
      <c r="BZU22" s="5"/>
      <c r="CAB22" s="19"/>
      <c r="CAC22" s="5"/>
      <c r="CAJ22" s="19"/>
      <c r="CAK22" s="5"/>
      <c r="CAR22" s="19"/>
      <c r="CAS22" s="5"/>
      <c r="CAZ22" s="19"/>
      <c r="CBA22" s="5"/>
      <c r="CBH22" s="19"/>
      <c r="CBI22" s="5"/>
      <c r="CBP22" s="19"/>
      <c r="CBQ22" s="5"/>
      <c r="CBX22" s="19"/>
      <c r="CBY22" s="5"/>
      <c r="CCF22" s="19"/>
      <c r="CCG22" s="5"/>
      <c r="CCN22" s="19"/>
      <c r="CCO22" s="5"/>
      <c r="CCV22" s="19"/>
      <c r="CCW22" s="5"/>
      <c r="CDD22" s="19"/>
      <c r="CDE22" s="5"/>
      <c r="CDL22" s="19"/>
      <c r="CDM22" s="5"/>
      <c r="CDT22" s="19"/>
      <c r="CDU22" s="5"/>
      <c r="CEB22" s="19"/>
      <c r="CEC22" s="5"/>
      <c r="CEJ22" s="19"/>
      <c r="CEK22" s="5"/>
      <c r="CER22" s="19"/>
      <c r="CES22" s="5"/>
      <c r="CEZ22" s="19"/>
      <c r="CFA22" s="5"/>
      <c r="CFH22" s="19"/>
      <c r="CFI22" s="5"/>
      <c r="CFP22" s="19"/>
      <c r="CFQ22" s="5"/>
      <c r="CFX22" s="19"/>
      <c r="CFY22" s="5"/>
      <c r="CGF22" s="19"/>
      <c r="CGG22" s="5"/>
      <c r="CGN22" s="19"/>
      <c r="CGO22" s="5"/>
      <c r="CGV22" s="19"/>
      <c r="CGW22" s="5"/>
      <c r="CHD22" s="19"/>
      <c r="CHE22" s="5"/>
      <c r="CHL22" s="19"/>
      <c r="CHM22" s="5"/>
      <c r="CHT22" s="19"/>
      <c r="CHU22" s="5"/>
      <c r="CIB22" s="19"/>
      <c r="CIC22" s="5"/>
      <c r="CIJ22" s="19"/>
      <c r="CIK22" s="5"/>
      <c r="CIR22" s="19"/>
      <c r="CIS22" s="5"/>
      <c r="CIZ22" s="19"/>
      <c r="CJA22" s="5"/>
      <c r="CJH22" s="19"/>
      <c r="CJI22" s="5"/>
      <c r="CJP22" s="19"/>
      <c r="CJQ22" s="5"/>
      <c r="CJX22" s="19"/>
      <c r="CJY22" s="5"/>
      <c r="CKF22" s="19"/>
      <c r="CKG22" s="5"/>
      <c r="CKN22" s="19"/>
      <c r="CKO22" s="5"/>
      <c r="CKV22" s="19"/>
      <c r="CKW22" s="5"/>
      <c r="CLD22" s="19"/>
      <c r="CLE22" s="5"/>
      <c r="CLL22" s="19"/>
      <c r="CLM22" s="5"/>
      <c r="CLT22" s="19"/>
      <c r="CLU22" s="5"/>
      <c r="CMB22" s="19"/>
      <c r="CMC22" s="5"/>
      <c r="CMJ22" s="19"/>
      <c r="CMK22" s="5"/>
      <c r="CMR22" s="19"/>
      <c r="CMS22" s="5"/>
      <c r="CMZ22" s="19"/>
      <c r="CNA22" s="5"/>
      <c r="CNH22" s="19"/>
      <c r="CNI22" s="5"/>
      <c r="CNP22" s="19"/>
      <c r="CNQ22" s="5"/>
      <c r="CNX22" s="19"/>
      <c r="CNY22" s="5"/>
      <c r="COF22" s="19"/>
      <c r="COG22" s="5"/>
      <c r="CON22" s="19"/>
      <c r="COO22" s="5"/>
      <c r="COV22" s="19"/>
      <c r="COW22" s="5"/>
      <c r="CPD22" s="19"/>
      <c r="CPE22" s="5"/>
      <c r="CPL22" s="19"/>
      <c r="CPM22" s="5"/>
      <c r="CPT22" s="19"/>
      <c r="CPU22" s="5"/>
      <c r="CQB22" s="19"/>
      <c r="CQC22" s="5"/>
      <c r="CQJ22" s="19"/>
      <c r="CQK22" s="5"/>
      <c r="CQR22" s="19"/>
      <c r="CQS22" s="5"/>
      <c r="CQZ22" s="19"/>
      <c r="CRA22" s="5"/>
      <c r="CRH22" s="19"/>
      <c r="CRI22" s="5"/>
      <c r="CRP22" s="19"/>
      <c r="CRQ22" s="5"/>
      <c r="CRX22" s="19"/>
      <c r="CRY22" s="5"/>
      <c r="CSF22" s="19"/>
      <c r="CSG22" s="5"/>
      <c r="CSN22" s="19"/>
      <c r="CSO22" s="5"/>
      <c r="CSV22" s="19"/>
      <c r="CSW22" s="5"/>
      <c r="CTD22" s="19"/>
      <c r="CTE22" s="5"/>
      <c r="CTL22" s="19"/>
      <c r="CTM22" s="5"/>
      <c r="CTT22" s="19"/>
      <c r="CTU22" s="5"/>
      <c r="CUB22" s="19"/>
      <c r="CUC22" s="5"/>
      <c r="CUJ22" s="19"/>
      <c r="CUK22" s="5"/>
      <c r="CUR22" s="19"/>
      <c r="CUS22" s="5"/>
      <c r="CUZ22" s="19"/>
      <c r="CVA22" s="5"/>
      <c r="CVH22" s="19"/>
      <c r="CVI22" s="5"/>
      <c r="CVP22" s="19"/>
      <c r="CVQ22" s="5"/>
      <c r="CVX22" s="19"/>
      <c r="CVY22" s="5"/>
      <c r="CWF22" s="19"/>
      <c r="CWG22" s="5"/>
      <c r="CWN22" s="19"/>
      <c r="CWO22" s="5"/>
      <c r="CWV22" s="19"/>
      <c r="CWW22" s="5"/>
      <c r="CXD22" s="19"/>
      <c r="CXE22" s="5"/>
      <c r="CXL22" s="19"/>
      <c r="CXM22" s="5"/>
      <c r="CXT22" s="19"/>
      <c r="CXU22" s="5"/>
      <c r="CYB22" s="19"/>
      <c r="CYC22" s="5"/>
      <c r="CYJ22" s="19"/>
      <c r="CYK22" s="5"/>
      <c r="CYR22" s="19"/>
      <c r="CYS22" s="5"/>
      <c r="CYZ22" s="19"/>
      <c r="CZA22" s="5"/>
      <c r="CZH22" s="19"/>
      <c r="CZI22" s="5"/>
      <c r="CZP22" s="19"/>
      <c r="CZQ22" s="5"/>
      <c r="CZX22" s="19"/>
      <c r="CZY22" s="5"/>
      <c r="DAF22" s="19"/>
      <c r="DAG22" s="5"/>
      <c r="DAN22" s="19"/>
      <c r="DAO22" s="5"/>
      <c r="DAV22" s="19"/>
      <c r="DAW22" s="5"/>
      <c r="DBD22" s="19"/>
      <c r="DBE22" s="5"/>
      <c r="DBL22" s="19"/>
      <c r="DBM22" s="5"/>
      <c r="DBT22" s="19"/>
      <c r="DBU22" s="5"/>
      <c r="DCB22" s="19"/>
      <c r="DCC22" s="5"/>
      <c r="DCJ22" s="19"/>
      <c r="DCK22" s="5"/>
      <c r="DCR22" s="19"/>
      <c r="DCS22" s="5"/>
      <c r="DCZ22" s="19"/>
      <c r="DDA22" s="5"/>
      <c r="DDH22" s="19"/>
      <c r="DDI22" s="5"/>
      <c r="DDP22" s="19"/>
      <c r="DDQ22" s="5"/>
      <c r="DDX22" s="19"/>
      <c r="DDY22" s="5"/>
      <c r="DEF22" s="19"/>
      <c r="DEG22" s="5"/>
      <c r="DEN22" s="19"/>
      <c r="DEO22" s="5"/>
      <c r="DEV22" s="19"/>
      <c r="DEW22" s="5"/>
      <c r="DFD22" s="19"/>
      <c r="DFE22" s="5"/>
      <c r="DFL22" s="19"/>
      <c r="DFM22" s="5"/>
      <c r="DFT22" s="19"/>
      <c r="DFU22" s="5"/>
      <c r="DGB22" s="19"/>
      <c r="DGC22" s="5"/>
      <c r="DGJ22" s="19"/>
      <c r="DGK22" s="5"/>
      <c r="DGR22" s="19"/>
      <c r="DGS22" s="5"/>
      <c r="DGZ22" s="19"/>
      <c r="DHA22" s="5"/>
      <c r="DHH22" s="19"/>
      <c r="DHI22" s="5"/>
      <c r="DHP22" s="19"/>
      <c r="DHQ22" s="5"/>
      <c r="DHX22" s="19"/>
      <c r="DHY22" s="5"/>
      <c r="DIF22" s="19"/>
      <c r="DIG22" s="5"/>
      <c r="DIN22" s="19"/>
      <c r="DIO22" s="5"/>
      <c r="DIV22" s="19"/>
      <c r="DIW22" s="5"/>
      <c r="DJD22" s="19"/>
      <c r="DJE22" s="5"/>
      <c r="DJL22" s="19"/>
      <c r="DJM22" s="5"/>
      <c r="DJT22" s="19"/>
      <c r="DJU22" s="5"/>
      <c r="DKB22" s="19"/>
      <c r="DKC22" s="5"/>
      <c r="DKJ22" s="19"/>
      <c r="DKK22" s="5"/>
      <c r="DKR22" s="19"/>
      <c r="DKS22" s="5"/>
      <c r="DKZ22" s="19"/>
      <c r="DLA22" s="5"/>
      <c r="DLH22" s="19"/>
      <c r="DLI22" s="5"/>
      <c r="DLP22" s="19"/>
      <c r="DLQ22" s="5"/>
      <c r="DLX22" s="19"/>
      <c r="DLY22" s="5"/>
      <c r="DMF22" s="19"/>
      <c r="DMG22" s="5"/>
      <c r="DMN22" s="19"/>
      <c r="DMO22" s="5"/>
      <c r="DMV22" s="19"/>
      <c r="DMW22" s="5"/>
      <c r="DND22" s="19"/>
      <c r="DNE22" s="5"/>
      <c r="DNL22" s="19"/>
      <c r="DNM22" s="5"/>
      <c r="DNT22" s="19"/>
      <c r="DNU22" s="5"/>
      <c r="DOB22" s="19"/>
      <c r="DOC22" s="5"/>
      <c r="DOJ22" s="19"/>
      <c r="DOK22" s="5"/>
      <c r="DOR22" s="19"/>
      <c r="DOS22" s="5"/>
      <c r="DOZ22" s="19"/>
      <c r="DPA22" s="5"/>
      <c r="DPH22" s="19"/>
      <c r="DPI22" s="5"/>
      <c r="DPP22" s="19"/>
      <c r="DPQ22" s="5"/>
      <c r="DPX22" s="19"/>
      <c r="DPY22" s="5"/>
      <c r="DQF22" s="19"/>
      <c r="DQG22" s="5"/>
      <c r="DQN22" s="19"/>
      <c r="DQO22" s="5"/>
      <c r="DQV22" s="19"/>
      <c r="DQW22" s="5"/>
      <c r="DRD22" s="19"/>
      <c r="DRE22" s="5"/>
      <c r="DRL22" s="19"/>
      <c r="DRM22" s="5"/>
      <c r="DRT22" s="19"/>
      <c r="DRU22" s="5"/>
      <c r="DSB22" s="19"/>
      <c r="DSC22" s="5"/>
      <c r="DSJ22" s="19"/>
      <c r="DSK22" s="5"/>
      <c r="DSR22" s="19"/>
      <c r="DSS22" s="5"/>
      <c r="DSZ22" s="19"/>
      <c r="DTA22" s="5"/>
      <c r="DTH22" s="19"/>
      <c r="DTI22" s="5"/>
      <c r="DTP22" s="19"/>
      <c r="DTQ22" s="5"/>
      <c r="DTX22" s="19"/>
      <c r="DTY22" s="5"/>
      <c r="DUF22" s="19"/>
      <c r="DUG22" s="5"/>
      <c r="DUN22" s="19"/>
      <c r="DUO22" s="5"/>
      <c r="DUV22" s="19"/>
      <c r="DUW22" s="5"/>
      <c r="DVD22" s="19"/>
      <c r="DVE22" s="5"/>
      <c r="DVL22" s="19"/>
      <c r="DVM22" s="5"/>
      <c r="DVT22" s="19"/>
      <c r="DVU22" s="5"/>
      <c r="DWB22" s="19"/>
      <c r="DWC22" s="5"/>
      <c r="DWJ22" s="19"/>
      <c r="DWK22" s="5"/>
      <c r="DWR22" s="19"/>
      <c r="DWS22" s="5"/>
      <c r="DWZ22" s="19"/>
      <c r="DXA22" s="5"/>
      <c r="DXH22" s="19"/>
      <c r="DXI22" s="5"/>
      <c r="DXP22" s="19"/>
      <c r="DXQ22" s="5"/>
      <c r="DXX22" s="19"/>
      <c r="DXY22" s="5"/>
      <c r="DYF22" s="19"/>
      <c r="DYG22" s="5"/>
      <c r="DYN22" s="19"/>
      <c r="DYO22" s="5"/>
      <c r="DYV22" s="19"/>
      <c r="DYW22" s="5"/>
      <c r="DZD22" s="19"/>
      <c r="DZE22" s="5"/>
      <c r="DZL22" s="19"/>
      <c r="DZM22" s="5"/>
      <c r="DZT22" s="19"/>
      <c r="DZU22" s="5"/>
      <c r="EAB22" s="19"/>
      <c r="EAC22" s="5"/>
      <c r="EAJ22" s="19"/>
      <c r="EAK22" s="5"/>
      <c r="EAR22" s="19"/>
      <c r="EAS22" s="5"/>
      <c r="EAZ22" s="19"/>
      <c r="EBA22" s="5"/>
      <c r="EBH22" s="19"/>
      <c r="EBI22" s="5"/>
      <c r="EBP22" s="19"/>
      <c r="EBQ22" s="5"/>
      <c r="EBX22" s="19"/>
      <c r="EBY22" s="5"/>
      <c r="ECF22" s="19"/>
      <c r="ECG22" s="5"/>
      <c r="ECN22" s="19"/>
      <c r="ECO22" s="5"/>
      <c r="ECV22" s="19"/>
      <c r="ECW22" s="5"/>
      <c r="EDD22" s="19"/>
      <c r="EDE22" s="5"/>
      <c r="EDL22" s="19"/>
      <c r="EDM22" s="5"/>
      <c r="EDT22" s="19"/>
      <c r="EDU22" s="5"/>
      <c r="EEB22" s="19"/>
      <c r="EEC22" s="5"/>
      <c r="EEJ22" s="19"/>
      <c r="EEK22" s="5"/>
      <c r="EER22" s="19"/>
      <c r="EES22" s="5"/>
      <c r="EEZ22" s="19"/>
      <c r="EFA22" s="5"/>
      <c r="EFH22" s="19"/>
      <c r="EFI22" s="5"/>
      <c r="EFP22" s="19"/>
      <c r="EFQ22" s="5"/>
      <c r="EFX22" s="19"/>
      <c r="EFY22" s="5"/>
      <c r="EGF22" s="19"/>
      <c r="EGG22" s="5"/>
      <c r="EGN22" s="19"/>
      <c r="EGO22" s="5"/>
      <c r="EGV22" s="19"/>
      <c r="EGW22" s="5"/>
      <c r="EHD22" s="19"/>
      <c r="EHE22" s="5"/>
      <c r="EHL22" s="19"/>
      <c r="EHM22" s="5"/>
      <c r="EHT22" s="19"/>
      <c r="EHU22" s="5"/>
      <c r="EIB22" s="19"/>
      <c r="EIC22" s="5"/>
      <c r="EIJ22" s="19"/>
      <c r="EIK22" s="5"/>
      <c r="EIR22" s="19"/>
      <c r="EIS22" s="5"/>
      <c r="EIZ22" s="19"/>
      <c r="EJA22" s="5"/>
      <c r="EJH22" s="19"/>
      <c r="EJI22" s="5"/>
      <c r="EJP22" s="19"/>
      <c r="EJQ22" s="5"/>
      <c r="EJX22" s="19"/>
      <c r="EJY22" s="5"/>
      <c r="EKF22" s="19"/>
      <c r="EKG22" s="5"/>
      <c r="EKN22" s="19"/>
      <c r="EKO22" s="5"/>
      <c r="EKV22" s="19"/>
      <c r="EKW22" s="5"/>
      <c r="ELD22" s="19"/>
      <c r="ELE22" s="5"/>
      <c r="ELL22" s="19"/>
      <c r="ELM22" s="5"/>
      <c r="ELT22" s="19"/>
      <c r="ELU22" s="5"/>
      <c r="EMB22" s="19"/>
      <c r="EMC22" s="5"/>
      <c r="EMJ22" s="19"/>
      <c r="EMK22" s="5"/>
      <c r="EMR22" s="19"/>
      <c r="EMS22" s="5"/>
      <c r="EMZ22" s="19"/>
      <c r="ENA22" s="5"/>
      <c r="ENH22" s="19"/>
      <c r="ENI22" s="5"/>
      <c r="ENP22" s="19"/>
      <c r="ENQ22" s="5"/>
      <c r="ENX22" s="19"/>
      <c r="ENY22" s="5"/>
      <c r="EOF22" s="19"/>
      <c r="EOG22" s="5"/>
      <c r="EON22" s="19"/>
      <c r="EOO22" s="5"/>
      <c r="EOV22" s="19"/>
      <c r="EOW22" s="5"/>
      <c r="EPD22" s="19"/>
      <c r="EPE22" s="5"/>
      <c r="EPL22" s="19"/>
      <c r="EPM22" s="5"/>
      <c r="EPT22" s="19"/>
      <c r="EPU22" s="5"/>
      <c r="EQB22" s="19"/>
      <c r="EQC22" s="5"/>
      <c r="EQJ22" s="19"/>
      <c r="EQK22" s="5"/>
      <c r="EQR22" s="19"/>
      <c r="EQS22" s="5"/>
      <c r="EQZ22" s="19"/>
      <c r="ERA22" s="5"/>
      <c r="ERH22" s="19"/>
      <c r="ERI22" s="5"/>
      <c r="ERP22" s="19"/>
      <c r="ERQ22" s="5"/>
      <c r="ERX22" s="19"/>
      <c r="ERY22" s="5"/>
      <c r="ESF22" s="19"/>
      <c r="ESG22" s="5"/>
      <c r="ESN22" s="19"/>
      <c r="ESO22" s="5"/>
      <c r="ESV22" s="19"/>
      <c r="ESW22" s="5"/>
      <c r="ETD22" s="19"/>
      <c r="ETE22" s="5"/>
      <c r="ETL22" s="19"/>
      <c r="ETM22" s="5"/>
      <c r="ETT22" s="19"/>
      <c r="ETU22" s="5"/>
      <c r="EUB22" s="19"/>
      <c r="EUC22" s="5"/>
      <c r="EUJ22" s="19"/>
      <c r="EUK22" s="5"/>
      <c r="EUR22" s="19"/>
      <c r="EUS22" s="5"/>
      <c r="EUZ22" s="19"/>
      <c r="EVA22" s="5"/>
      <c r="EVH22" s="19"/>
      <c r="EVI22" s="5"/>
      <c r="EVP22" s="19"/>
      <c r="EVQ22" s="5"/>
      <c r="EVX22" s="19"/>
      <c r="EVY22" s="5"/>
      <c r="EWF22" s="19"/>
      <c r="EWG22" s="5"/>
      <c r="EWN22" s="19"/>
      <c r="EWO22" s="5"/>
      <c r="EWV22" s="19"/>
      <c r="EWW22" s="5"/>
      <c r="EXD22" s="19"/>
      <c r="EXE22" s="5"/>
      <c r="EXL22" s="19"/>
      <c r="EXM22" s="5"/>
      <c r="EXT22" s="19"/>
      <c r="EXU22" s="5"/>
      <c r="EYB22" s="19"/>
      <c r="EYC22" s="5"/>
      <c r="EYJ22" s="19"/>
      <c r="EYK22" s="5"/>
      <c r="EYR22" s="19"/>
      <c r="EYS22" s="5"/>
      <c r="EYZ22" s="19"/>
      <c r="EZA22" s="5"/>
      <c r="EZH22" s="19"/>
      <c r="EZI22" s="5"/>
      <c r="EZP22" s="19"/>
      <c r="EZQ22" s="5"/>
      <c r="EZX22" s="19"/>
      <c r="EZY22" s="5"/>
      <c r="FAF22" s="19"/>
      <c r="FAG22" s="5"/>
      <c r="FAN22" s="19"/>
      <c r="FAO22" s="5"/>
      <c r="FAV22" s="19"/>
      <c r="FAW22" s="5"/>
      <c r="FBD22" s="19"/>
      <c r="FBE22" s="5"/>
      <c r="FBL22" s="19"/>
      <c r="FBM22" s="5"/>
      <c r="FBT22" s="19"/>
      <c r="FBU22" s="5"/>
      <c r="FCB22" s="19"/>
      <c r="FCC22" s="5"/>
      <c r="FCJ22" s="19"/>
      <c r="FCK22" s="5"/>
      <c r="FCR22" s="19"/>
      <c r="FCS22" s="5"/>
      <c r="FCZ22" s="19"/>
      <c r="FDA22" s="5"/>
      <c r="FDH22" s="19"/>
      <c r="FDI22" s="5"/>
      <c r="FDP22" s="19"/>
      <c r="FDQ22" s="5"/>
      <c r="FDX22" s="19"/>
      <c r="FDY22" s="5"/>
      <c r="FEF22" s="19"/>
      <c r="FEG22" s="5"/>
      <c r="FEN22" s="19"/>
      <c r="FEO22" s="5"/>
      <c r="FEV22" s="19"/>
      <c r="FEW22" s="5"/>
      <c r="FFD22" s="19"/>
      <c r="FFE22" s="5"/>
      <c r="FFL22" s="19"/>
      <c r="FFM22" s="5"/>
      <c r="FFT22" s="19"/>
      <c r="FFU22" s="5"/>
      <c r="FGB22" s="19"/>
      <c r="FGC22" s="5"/>
      <c r="FGJ22" s="19"/>
      <c r="FGK22" s="5"/>
      <c r="FGR22" s="19"/>
      <c r="FGS22" s="5"/>
      <c r="FGZ22" s="19"/>
      <c r="FHA22" s="5"/>
      <c r="FHH22" s="19"/>
      <c r="FHI22" s="5"/>
      <c r="FHP22" s="19"/>
      <c r="FHQ22" s="5"/>
      <c r="FHX22" s="19"/>
      <c r="FHY22" s="5"/>
      <c r="FIF22" s="19"/>
      <c r="FIG22" s="5"/>
      <c r="FIN22" s="19"/>
      <c r="FIO22" s="5"/>
      <c r="FIV22" s="19"/>
      <c r="FIW22" s="5"/>
      <c r="FJD22" s="19"/>
      <c r="FJE22" s="5"/>
      <c r="FJL22" s="19"/>
      <c r="FJM22" s="5"/>
      <c r="FJT22" s="19"/>
      <c r="FJU22" s="5"/>
      <c r="FKB22" s="19"/>
      <c r="FKC22" s="5"/>
      <c r="FKJ22" s="19"/>
      <c r="FKK22" s="5"/>
      <c r="FKR22" s="19"/>
      <c r="FKS22" s="5"/>
      <c r="FKZ22" s="19"/>
      <c r="FLA22" s="5"/>
      <c r="FLH22" s="19"/>
      <c r="FLI22" s="5"/>
      <c r="FLP22" s="19"/>
      <c r="FLQ22" s="5"/>
      <c r="FLX22" s="19"/>
      <c r="FLY22" s="5"/>
      <c r="FMF22" s="19"/>
      <c r="FMG22" s="5"/>
      <c r="FMN22" s="19"/>
      <c r="FMO22" s="5"/>
      <c r="FMV22" s="19"/>
      <c r="FMW22" s="5"/>
      <c r="FND22" s="19"/>
      <c r="FNE22" s="5"/>
      <c r="FNL22" s="19"/>
      <c r="FNM22" s="5"/>
      <c r="FNT22" s="19"/>
      <c r="FNU22" s="5"/>
      <c r="FOB22" s="19"/>
      <c r="FOC22" s="5"/>
      <c r="FOJ22" s="19"/>
      <c r="FOK22" s="5"/>
      <c r="FOR22" s="19"/>
      <c r="FOS22" s="5"/>
      <c r="FOZ22" s="19"/>
      <c r="FPA22" s="5"/>
      <c r="FPH22" s="19"/>
      <c r="FPI22" s="5"/>
      <c r="FPP22" s="19"/>
      <c r="FPQ22" s="5"/>
      <c r="FPX22" s="19"/>
      <c r="FPY22" s="5"/>
      <c r="FQF22" s="19"/>
      <c r="FQG22" s="5"/>
      <c r="FQN22" s="19"/>
      <c r="FQO22" s="5"/>
      <c r="FQV22" s="19"/>
      <c r="FQW22" s="5"/>
      <c r="FRD22" s="19"/>
      <c r="FRE22" s="5"/>
      <c r="FRL22" s="19"/>
      <c r="FRM22" s="5"/>
      <c r="FRT22" s="19"/>
      <c r="FRU22" s="5"/>
      <c r="FSB22" s="19"/>
      <c r="FSC22" s="5"/>
      <c r="FSJ22" s="19"/>
      <c r="FSK22" s="5"/>
      <c r="FSR22" s="19"/>
      <c r="FSS22" s="5"/>
      <c r="FSZ22" s="19"/>
      <c r="FTA22" s="5"/>
      <c r="FTH22" s="19"/>
      <c r="FTI22" s="5"/>
      <c r="FTP22" s="19"/>
      <c r="FTQ22" s="5"/>
      <c r="FTX22" s="19"/>
      <c r="FTY22" s="5"/>
      <c r="FUF22" s="19"/>
      <c r="FUG22" s="5"/>
      <c r="FUN22" s="19"/>
      <c r="FUO22" s="5"/>
      <c r="FUV22" s="19"/>
      <c r="FUW22" s="5"/>
      <c r="FVD22" s="19"/>
      <c r="FVE22" s="5"/>
      <c r="FVL22" s="19"/>
      <c r="FVM22" s="5"/>
      <c r="FVT22" s="19"/>
      <c r="FVU22" s="5"/>
      <c r="FWB22" s="19"/>
      <c r="FWC22" s="5"/>
      <c r="FWJ22" s="19"/>
      <c r="FWK22" s="5"/>
      <c r="FWR22" s="19"/>
      <c r="FWS22" s="5"/>
      <c r="FWZ22" s="19"/>
      <c r="FXA22" s="5"/>
      <c r="FXH22" s="19"/>
      <c r="FXI22" s="5"/>
      <c r="FXP22" s="19"/>
      <c r="FXQ22" s="5"/>
      <c r="FXX22" s="19"/>
      <c r="FXY22" s="5"/>
      <c r="FYF22" s="19"/>
      <c r="FYG22" s="5"/>
      <c r="FYN22" s="19"/>
      <c r="FYO22" s="5"/>
      <c r="FYV22" s="19"/>
      <c r="FYW22" s="5"/>
      <c r="FZD22" s="19"/>
      <c r="FZE22" s="5"/>
      <c r="FZL22" s="19"/>
      <c r="FZM22" s="5"/>
      <c r="FZT22" s="19"/>
      <c r="FZU22" s="5"/>
      <c r="GAB22" s="19"/>
      <c r="GAC22" s="5"/>
      <c r="GAJ22" s="19"/>
      <c r="GAK22" s="5"/>
      <c r="GAR22" s="19"/>
      <c r="GAS22" s="5"/>
      <c r="GAZ22" s="19"/>
      <c r="GBA22" s="5"/>
      <c r="GBH22" s="19"/>
      <c r="GBI22" s="5"/>
      <c r="GBP22" s="19"/>
      <c r="GBQ22" s="5"/>
      <c r="GBX22" s="19"/>
      <c r="GBY22" s="5"/>
      <c r="GCF22" s="19"/>
      <c r="GCG22" s="5"/>
      <c r="GCN22" s="19"/>
      <c r="GCO22" s="5"/>
      <c r="GCV22" s="19"/>
      <c r="GCW22" s="5"/>
      <c r="GDD22" s="19"/>
      <c r="GDE22" s="5"/>
      <c r="GDL22" s="19"/>
      <c r="GDM22" s="5"/>
      <c r="GDT22" s="19"/>
      <c r="GDU22" s="5"/>
      <c r="GEB22" s="19"/>
      <c r="GEC22" s="5"/>
      <c r="GEJ22" s="19"/>
      <c r="GEK22" s="5"/>
      <c r="GER22" s="19"/>
      <c r="GES22" s="5"/>
      <c r="GEZ22" s="19"/>
      <c r="GFA22" s="5"/>
      <c r="GFH22" s="19"/>
      <c r="GFI22" s="5"/>
      <c r="GFP22" s="19"/>
      <c r="GFQ22" s="5"/>
      <c r="GFX22" s="19"/>
      <c r="GFY22" s="5"/>
      <c r="GGF22" s="19"/>
      <c r="GGG22" s="5"/>
      <c r="GGN22" s="19"/>
      <c r="GGO22" s="5"/>
      <c r="GGV22" s="19"/>
      <c r="GGW22" s="5"/>
      <c r="GHD22" s="19"/>
      <c r="GHE22" s="5"/>
      <c r="GHL22" s="19"/>
      <c r="GHM22" s="5"/>
      <c r="GHT22" s="19"/>
      <c r="GHU22" s="5"/>
      <c r="GIB22" s="19"/>
      <c r="GIC22" s="5"/>
      <c r="GIJ22" s="19"/>
      <c r="GIK22" s="5"/>
      <c r="GIR22" s="19"/>
      <c r="GIS22" s="5"/>
      <c r="GIZ22" s="19"/>
      <c r="GJA22" s="5"/>
      <c r="GJH22" s="19"/>
      <c r="GJI22" s="5"/>
      <c r="GJP22" s="19"/>
      <c r="GJQ22" s="5"/>
      <c r="GJX22" s="19"/>
      <c r="GJY22" s="5"/>
      <c r="GKF22" s="19"/>
      <c r="GKG22" s="5"/>
      <c r="GKN22" s="19"/>
      <c r="GKO22" s="5"/>
      <c r="GKV22" s="19"/>
      <c r="GKW22" s="5"/>
      <c r="GLD22" s="19"/>
      <c r="GLE22" s="5"/>
      <c r="GLL22" s="19"/>
      <c r="GLM22" s="5"/>
      <c r="GLT22" s="19"/>
      <c r="GLU22" s="5"/>
      <c r="GMB22" s="19"/>
      <c r="GMC22" s="5"/>
      <c r="GMJ22" s="19"/>
      <c r="GMK22" s="5"/>
      <c r="GMR22" s="19"/>
      <c r="GMS22" s="5"/>
      <c r="GMZ22" s="19"/>
      <c r="GNA22" s="5"/>
      <c r="GNH22" s="19"/>
      <c r="GNI22" s="5"/>
      <c r="GNP22" s="19"/>
      <c r="GNQ22" s="5"/>
      <c r="GNX22" s="19"/>
      <c r="GNY22" s="5"/>
      <c r="GOF22" s="19"/>
      <c r="GOG22" s="5"/>
      <c r="GON22" s="19"/>
      <c r="GOO22" s="5"/>
      <c r="GOV22" s="19"/>
      <c r="GOW22" s="5"/>
      <c r="GPD22" s="19"/>
      <c r="GPE22" s="5"/>
      <c r="GPL22" s="19"/>
      <c r="GPM22" s="5"/>
      <c r="GPT22" s="19"/>
      <c r="GPU22" s="5"/>
      <c r="GQB22" s="19"/>
      <c r="GQC22" s="5"/>
      <c r="GQJ22" s="19"/>
      <c r="GQK22" s="5"/>
      <c r="GQR22" s="19"/>
      <c r="GQS22" s="5"/>
      <c r="GQZ22" s="19"/>
      <c r="GRA22" s="5"/>
      <c r="GRH22" s="19"/>
      <c r="GRI22" s="5"/>
      <c r="GRP22" s="19"/>
      <c r="GRQ22" s="5"/>
      <c r="GRX22" s="19"/>
      <c r="GRY22" s="5"/>
      <c r="GSF22" s="19"/>
      <c r="GSG22" s="5"/>
      <c r="GSN22" s="19"/>
      <c r="GSO22" s="5"/>
      <c r="GSV22" s="19"/>
      <c r="GSW22" s="5"/>
      <c r="GTD22" s="19"/>
      <c r="GTE22" s="5"/>
      <c r="GTL22" s="19"/>
      <c r="GTM22" s="5"/>
      <c r="GTT22" s="19"/>
      <c r="GTU22" s="5"/>
      <c r="GUB22" s="19"/>
      <c r="GUC22" s="5"/>
      <c r="GUJ22" s="19"/>
      <c r="GUK22" s="5"/>
      <c r="GUR22" s="19"/>
      <c r="GUS22" s="5"/>
      <c r="GUZ22" s="19"/>
      <c r="GVA22" s="5"/>
      <c r="GVH22" s="19"/>
      <c r="GVI22" s="5"/>
      <c r="GVP22" s="19"/>
      <c r="GVQ22" s="5"/>
      <c r="GVX22" s="19"/>
      <c r="GVY22" s="5"/>
      <c r="GWF22" s="19"/>
      <c r="GWG22" s="5"/>
      <c r="GWN22" s="19"/>
      <c r="GWO22" s="5"/>
      <c r="GWV22" s="19"/>
      <c r="GWW22" s="5"/>
      <c r="GXD22" s="19"/>
      <c r="GXE22" s="5"/>
      <c r="GXL22" s="19"/>
      <c r="GXM22" s="5"/>
      <c r="GXT22" s="19"/>
      <c r="GXU22" s="5"/>
      <c r="GYB22" s="19"/>
      <c r="GYC22" s="5"/>
      <c r="GYJ22" s="19"/>
      <c r="GYK22" s="5"/>
      <c r="GYR22" s="19"/>
      <c r="GYS22" s="5"/>
      <c r="GYZ22" s="19"/>
      <c r="GZA22" s="5"/>
      <c r="GZH22" s="19"/>
      <c r="GZI22" s="5"/>
      <c r="GZP22" s="19"/>
      <c r="GZQ22" s="5"/>
      <c r="GZX22" s="19"/>
      <c r="GZY22" s="5"/>
      <c r="HAF22" s="19"/>
      <c r="HAG22" s="5"/>
      <c r="HAN22" s="19"/>
      <c r="HAO22" s="5"/>
      <c r="HAV22" s="19"/>
      <c r="HAW22" s="5"/>
      <c r="HBD22" s="19"/>
      <c r="HBE22" s="5"/>
      <c r="HBL22" s="19"/>
      <c r="HBM22" s="5"/>
      <c r="HBT22" s="19"/>
      <c r="HBU22" s="5"/>
      <c r="HCB22" s="19"/>
      <c r="HCC22" s="5"/>
      <c r="HCJ22" s="19"/>
      <c r="HCK22" s="5"/>
      <c r="HCR22" s="19"/>
      <c r="HCS22" s="5"/>
      <c r="HCZ22" s="19"/>
      <c r="HDA22" s="5"/>
      <c r="HDH22" s="19"/>
      <c r="HDI22" s="5"/>
      <c r="HDP22" s="19"/>
      <c r="HDQ22" s="5"/>
      <c r="HDX22" s="19"/>
      <c r="HDY22" s="5"/>
      <c r="HEF22" s="19"/>
      <c r="HEG22" s="5"/>
      <c r="HEN22" s="19"/>
      <c r="HEO22" s="5"/>
      <c r="HEV22" s="19"/>
      <c r="HEW22" s="5"/>
      <c r="HFD22" s="19"/>
      <c r="HFE22" s="5"/>
      <c r="HFL22" s="19"/>
      <c r="HFM22" s="5"/>
      <c r="HFT22" s="19"/>
      <c r="HFU22" s="5"/>
      <c r="HGB22" s="19"/>
      <c r="HGC22" s="5"/>
      <c r="HGJ22" s="19"/>
      <c r="HGK22" s="5"/>
      <c r="HGR22" s="19"/>
      <c r="HGS22" s="5"/>
      <c r="HGZ22" s="19"/>
      <c r="HHA22" s="5"/>
      <c r="HHH22" s="19"/>
      <c r="HHI22" s="5"/>
      <c r="HHP22" s="19"/>
      <c r="HHQ22" s="5"/>
      <c r="HHX22" s="19"/>
      <c r="HHY22" s="5"/>
      <c r="HIF22" s="19"/>
      <c r="HIG22" s="5"/>
      <c r="HIN22" s="19"/>
      <c r="HIO22" s="5"/>
      <c r="HIV22" s="19"/>
      <c r="HIW22" s="5"/>
      <c r="HJD22" s="19"/>
      <c r="HJE22" s="5"/>
      <c r="HJL22" s="19"/>
      <c r="HJM22" s="5"/>
      <c r="HJT22" s="19"/>
      <c r="HJU22" s="5"/>
      <c r="HKB22" s="19"/>
      <c r="HKC22" s="5"/>
      <c r="HKJ22" s="19"/>
      <c r="HKK22" s="5"/>
      <c r="HKR22" s="19"/>
      <c r="HKS22" s="5"/>
      <c r="HKZ22" s="19"/>
      <c r="HLA22" s="5"/>
      <c r="HLH22" s="19"/>
      <c r="HLI22" s="5"/>
      <c r="HLP22" s="19"/>
      <c r="HLQ22" s="5"/>
      <c r="HLX22" s="19"/>
      <c r="HLY22" s="5"/>
      <c r="HMF22" s="19"/>
      <c r="HMG22" s="5"/>
      <c r="HMN22" s="19"/>
      <c r="HMO22" s="5"/>
      <c r="HMV22" s="19"/>
      <c r="HMW22" s="5"/>
      <c r="HND22" s="19"/>
      <c r="HNE22" s="5"/>
      <c r="HNL22" s="19"/>
      <c r="HNM22" s="5"/>
      <c r="HNT22" s="19"/>
      <c r="HNU22" s="5"/>
      <c r="HOB22" s="19"/>
      <c r="HOC22" s="5"/>
      <c r="HOJ22" s="19"/>
      <c r="HOK22" s="5"/>
      <c r="HOR22" s="19"/>
      <c r="HOS22" s="5"/>
      <c r="HOZ22" s="19"/>
      <c r="HPA22" s="5"/>
      <c r="HPH22" s="19"/>
      <c r="HPI22" s="5"/>
      <c r="HPP22" s="19"/>
      <c r="HPQ22" s="5"/>
      <c r="HPX22" s="19"/>
      <c r="HPY22" s="5"/>
      <c r="HQF22" s="19"/>
      <c r="HQG22" s="5"/>
      <c r="HQN22" s="19"/>
      <c r="HQO22" s="5"/>
      <c r="HQV22" s="19"/>
      <c r="HQW22" s="5"/>
      <c r="HRD22" s="19"/>
      <c r="HRE22" s="5"/>
      <c r="HRL22" s="19"/>
      <c r="HRM22" s="5"/>
      <c r="HRT22" s="19"/>
      <c r="HRU22" s="5"/>
      <c r="HSB22" s="19"/>
      <c r="HSC22" s="5"/>
      <c r="HSJ22" s="19"/>
      <c r="HSK22" s="5"/>
      <c r="HSR22" s="19"/>
      <c r="HSS22" s="5"/>
      <c r="HSZ22" s="19"/>
      <c r="HTA22" s="5"/>
      <c r="HTH22" s="19"/>
      <c r="HTI22" s="5"/>
      <c r="HTP22" s="19"/>
      <c r="HTQ22" s="5"/>
      <c r="HTX22" s="19"/>
      <c r="HTY22" s="5"/>
      <c r="HUF22" s="19"/>
      <c r="HUG22" s="5"/>
      <c r="HUN22" s="19"/>
      <c r="HUO22" s="5"/>
      <c r="HUV22" s="19"/>
      <c r="HUW22" s="5"/>
      <c r="HVD22" s="19"/>
      <c r="HVE22" s="5"/>
      <c r="HVL22" s="19"/>
      <c r="HVM22" s="5"/>
      <c r="HVT22" s="19"/>
      <c r="HVU22" s="5"/>
      <c r="HWB22" s="19"/>
      <c r="HWC22" s="5"/>
      <c r="HWJ22" s="19"/>
      <c r="HWK22" s="5"/>
      <c r="HWR22" s="19"/>
      <c r="HWS22" s="5"/>
      <c r="HWZ22" s="19"/>
      <c r="HXA22" s="5"/>
      <c r="HXH22" s="19"/>
      <c r="HXI22" s="5"/>
      <c r="HXP22" s="19"/>
      <c r="HXQ22" s="5"/>
      <c r="HXX22" s="19"/>
      <c r="HXY22" s="5"/>
      <c r="HYF22" s="19"/>
      <c r="HYG22" s="5"/>
      <c r="HYN22" s="19"/>
      <c r="HYO22" s="5"/>
      <c r="HYV22" s="19"/>
      <c r="HYW22" s="5"/>
      <c r="HZD22" s="19"/>
      <c r="HZE22" s="5"/>
      <c r="HZL22" s="19"/>
      <c r="HZM22" s="5"/>
      <c r="HZT22" s="19"/>
      <c r="HZU22" s="5"/>
      <c r="IAB22" s="19"/>
      <c r="IAC22" s="5"/>
      <c r="IAJ22" s="19"/>
      <c r="IAK22" s="5"/>
      <c r="IAR22" s="19"/>
      <c r="IAS22" s="5"/>
      <c r="IAZ22" s="19"/>
      <c r="IBA22" s="5"/>
      <c r="IBH22" s="19"/>
      <c r="IBI22" s="5"/>
      <c r="IBP22" s="19"/>
      <c r="IBQ22" s="5"/>
      <c r="IBX22" s="19"/>
      <c r="IBY22" s="5"/>
      <c r="ICF22" s="19"/>
      <c r="ICG22" s="5"/>
      <c r="ICN22" s="19"/>
      <c r="ICO22" s="5"/>
      <c r="ICV22" s="19"/>
      <c r="ICW22" s="5"/>
      <c r="IDD22" s="19"/>
      <c r="IDE22" s="5"/>
      <c r="IDL22" s="19"/>
      <c r="IDM22" s="5"/>
      <c r="IDT22" s="19"/>
      <c r="IDU22" s="5"/>
      <c r="IEB22" s="19"/>
      <c r="IEC22" s="5"/>
      <c r="IEJ22" s="19"/>
      <c r="IEK22" s="5"/>
      <c r="IER22" s="19"/>
      <c r="IES22" s="5"/>
      <c r="IEZ22" s="19"/>
      <c r="IFA22" s="5"/>
      <c r="IFH22" s="19"/>
      <c r="IFI22" s="5"/>
      <c r="IFP22" s="19"/>
      <c r="IFQ22" s="5"/>
      <c r="IFX22" s="19"/>
      <c r="IFY22" s="5"/>
      <c r="IGF22" s="19"/>
      <c r="IGG22" s="5"/>
      <c r="IGN22" s="19"/>
      <c r="IGO22" s="5"/>
      <c r="IGV22" s="19"/>
      <c r="IGW22" s="5"/>
      <c r="IHD22" s="19"/>
      <c r="IHE22" s="5"/>
      <c r="IHL22" s="19"/>
      <c r="IHM22" s="5"/>
      <c r="IHT22" s="19"/>
      <c r="IHU22" s="5"/>
      <c r="IIB22" s="19"/>
      <c r="IIC22" s="5"/>
      <c r="IIJ22" s="19"/>
      <c r="IIK22" s="5"/>
      <c r="IIR22" s="19"/>
      <c r="IIS22" s="5"/>
      <c r="IIZ22" s="19"/>
      <c r="IJA22" s="5"/>
      <c r="IJH22" s="19"/>
      <c r="IJI22" s="5"/>
      <c r="IJP22" s="19"/>
      <c r="IJQ22" s="5"/>
      <c r="IJX22" s="19"/>
      <c r="IJY22" s="5"/>
      <c r="IKF22" s="19"/>
      <c r="IKG22" s="5"/>
      <c r="IKN22" s="19"/>
      <c r="IKO22" s="5"/>
      <c r="IKV22" s="19"/>
      <c r="IKW22" s="5"/>
      <c r="ILD22" s="19"/>
      <c r="ILE22" s="5"/>
      <c r="ILL22" s="19"/>
      <c r="ILM22" s="5"/>
      <c r="ILT22" s="19"/>
      <c r="ILU22" s="5"/>
      <c r="IMB22" s="19"/>
      <c r="IMC22" s="5"/>
      <c r="IMJ22" s="19"/>
      <c r="IMK22" s="5"/>
      <c r="IMR22" s="19"/>
      <c r="IMS22" s="5"/>
      <c r="IMZ22" s="19"/>
      <c r="INA22" s="5"/>
      <c r="INH22" s="19"/>
      <c r="INI22" s="5"/>
      <c r="INP22" s="19"/>
      <c r="INQ22" s="5"/>
      <c r="INX22" s="19"/>
      <c r="INY22" s="5"/>
      <c r="IOF22" s="19"/>
      <c r="IOG22" s="5"/>
      <c r="ION22" s="19"/>
      <c r="IOO22" s="5"/>
      <c r="IOV22" s="19"/>
      <c r="IOW22" s="5"/>
      <c r="IPD22" s="19"/>
      <c r="IPE22" s="5"/>
      <c r="IPL22" s="19"/>
      <c r="IPM22" s="5"/>
      <c r="IPT22" s="19"/>
      <c r="IPU22" s="5"/>
      <c r="IQB22" s="19"/>
      <c r="IQC22" s="5"/>
      <c r="IQJ22" s="19"/>
      <c r="IQK22" s="5"/>
      <c r="IQR22" s="19"/>
      <c r="IQS22" s="5"/>
      <c r="IQZ22" s="19"/>
      <c r="IRA22" s="5"/>
      <c r="IRH22" s="19"/>
      <c r="IRI22" s="5"/>
      <c r="IRP22" s="19"/>
      <c r="IRQ22" s="5"/>
      <c r="IRX22" s="19"/>
      <c r="IRY22" s="5"/>
      <c r="ISF22" s="19"/>
      <c r="ISG22" s="5"/>
      <c r="ISN22" s="19"/>
      <c r="ISO22" s="5"/>
      <c r="ISV22" s="19"/>
      <c r="ISW22" s="5"/>
      <c r="ITD22" s="19"/>
      <c r="ITE22" s="5"/>
      <c r="ITL22" s="19"/>
      <c r="ITM22" s="5"/>
      <c r="ITT22" s="19"/>
      <c r="ITU22" s="5"/>
      <c r="IUB22" s="19"/>
      <c r="IUC22" s="5"/>
      <c r="IUJ22" s="19"/>
      <c r="IUK22" s="5"/>
      <c r="IUR22" s="19"/>
      <c r="IUS22" s="5"/>
      <c r="IUZ22" s="19"/>
      <c r="IVA22" s="5"/>
      <c r="IVH22" s="19"/>
      <c r="IVI22" s="5"/>
      <c r="IVP22" s="19"/>
      <c r="IVQ22" s="5"/>
      <c r="IVX22" s="19"/>
      <c r="IVY22" s="5"/>
      <c r="IWF22" s="19"/>
      <c r="IWG22" s="5"/>
      <c r="IWN22" s="19"/>
      <c r="IWO22" s="5"/>
      <c r="IWV22" s="19"/>
      <c r="IWW22" s="5"/>
      <c r="IXD22" s="19"/>
      <c r="IXE22" s="5"/>
      <c r="IXL22" s="19"/>
      <c r="IXM22" s="5"/>
      <c r="IXT22" s="19"/>
      <c r="IXU22" s="5"/>
      <c r="IYB22" s="19"/>
      <c r="IYC22" s="5"/>
      <c r="IYJ22" s="19"/>
      <c r="IYK22" s="5"/>
      <c r="IYR22" s="19"/>
      <c r="IYS22" s="5"/>
      <c r="IYZ22" s="19"/>
      <c r="IZA22" s="5"/>
      <c r="IZH22" s="19"/>
      <c r="IZI22" s="5"/>
      <c r="IZP22" s="19"/>
      <c r="IZQ22" s="5"/>
      <c r="IZX22" s="19"/>
      <c r="IZY22" s="5"/>
      <c r="JAF22" s="19"/>
      <c r="JAG22" s="5"/>
      <c r="JAN22" s="19"/>
      <c r="JAO22" s="5"/>
      <c r="JAV22" s="19"/>
      <c r="JAW22" s="5"/>
      <c r="JBD22" s="19"/>
      <c r="JBE22" s="5"/>
      <c r="JBL22" s="19"/>
      <c r="JBM22" s="5"/>
      <c r="JBT22" s="19"/>
      <c r="JBU22" s="5"/>
      <c r="JCB22" s="19"/>
      <c r="JCC22" s="5"/>
      <c r="JCJ22" s="19"/>
      <c r="JCK22" s="5"/>
      <c r="JCR22" s="19"/>
      <c r="JCS22" s="5"/>
      <c r="JCZ22" s="19"/>
      <c r="JDA22" s="5"/>
      <c r="JDH22" s="19"/>
      <c r="JDI22" s="5"/>
      <c r="JDP22" s="19"/>
      <c r="JDQ22" s="5"/>
      <c r="JDX22" s="19"/>
      <c r="JDY22" s="5"/>
      <c r="JEF22" s="19"/>
      <c r="JEG22" s="5"/>
      <c r="JEN22" s="19"/>
      <c r="JEO22" s="5"/>
      <c r="JEV22" s="19"/>
      <c r="JEW22" s="5"/>
      <c r="JFD22" s="19"/>
      <c r="JFE22" s="5"/>
      <c r="JFL22" s="19"/>
      <c r="JFM22" s="5"/>
      <c r="JFT22" s="19"/>
      <c r="JFU22" s="5"/>
      <c r="JGB22" s="19"/>
      <c r="JGC22" s="5"/>
      <c r="JGJ22" s="19"/>
      <c r="JGK22" s="5"/>
      <c r="JGR22" s="19"/>
      <c r="JGS22" s="5"/>
      <c r="JGZ22" s="19"/>
      <c r="JHA22" s="5"/>
      <c r="JHH22" s="19"/>
      <c r="JHI22" s="5"/>
      <c r="JHP22" s="19"/>
      <c r="JHQ22" s="5"/>
      <c r="JHX22" s="19"/>
      <c r="JHY22" s="5"/>
      <c r="JIF22" s="19"/>
      <c r="JIG22" s="5"/>
      <c r="JIN22" s="19"/>
      <c r="JIO22" s="5"/>
      <c r="JIV22" s="19"/>
      <c r="JIW22" s="5"/>
      <c r="JJD22" s="19"/>
      <c r="JJE22" s="5"/>
      <c r="JJL22" s="19"/>
      <c r="JJM22" s="5"/>
      <c r="JJT22" s="19"/>
      <c r="JJU22" s="5"/>
      <c r="JKB22" s="19"/>
      <c r="JKC22" s="5"/>
      <c r="JKJ22" s="19"/>
      <c r="JKK22" s="5"/>
      <c r="JKR22" s="19"/>
      <c r="JKS22" s="5"/>
      <c r="JKZ22" s="19"/>
      <c r="JLA22" s="5"/>
      <c r="JLH22" s="19"/>
      <c r="JLI22" s="5"/>
      <c r="JLP22" s="19"/>
      <c r="JLQ22" s="5"/>
      <c r="JLX22" s="19"/>
      <c r="JLY22" s="5"/>
      <c r="JMF22" s="19"/>
      <c r="JMG22" s="5"/>
      <c r="JMN22" s="19"/>
      <c r="JMO22" s="5"/>
      <c r="JMV22" s="19"/>
      <c r="JMW22" s="5"/>
      <c r="JND22" s="19"/>
      <c r="JNE22" s="5"/>
      <c r="JNL22" s="19"/>
      <c r="JNM22" s="5"/>
      <c r="JNT22" s="19"/>
      <c r="JNU22" s="5"/>
      <c r="JOB22" s="19"/>
      <c r="JOC22" s="5"/>
      <c r="JOJ22" s="19"/>
      <c r="JOK22" s="5"/>
      <c r="JOR22" s="19"/>
      <c r="JOS22" s="5"/>
      <c r="JOZ22" s="19"/>
      <c r="JPA22" s="5"/>
      <c r="JPH22" s="19"/>
      <c r="JPI22" s="5"/>
      <c r="JPP22" s="19"/>
      <c r="JPQ22" s="5"/>
      <c r="JPX22" s="19"/>
      <c r="JPY22" s="5"/>
      <c r="JQF22" s="19"/>
      <c r="JQG22" s="5"/>
      <c r="JQN22" s="19"/>
      <c r="JQO22" s="5"/>
      <c r="JQV22" s="19"/>
      <c r="JQW22" s="5"/>
      <c r="JRD22" s="19"/>
      <c r="JRE22" s="5"/>
      <c r="JRL22" s="19"/>
      <c r="JRM22" s="5"/>
      <c r="JRT22" s="19"/>
      <c r="JRU22" s="5"/>
      <c r="JSB22" s="19"/>
      <c r="JSC22" s="5"/>
      <c r="JSJ22" s="19"/>
      <c r="JSK22" s="5"/>
      <c r="JSR22" s="19"/>
      <c r="JSS22" s="5"/>
      <c r="JSZ22" s="19"/>
      <c r="JTA22" s="5"/>
      <c r="JTH22" s="19"/>
      <c r="JTI22" s="5"/>
      <c r="JTP22" s="19"/>
      <c r="JTQ22" s="5"/>
      <c r="JTX22" s="19"/>
      <c r="JTY22" s="5"/>
      <c r="JUF22" s="19"/>
      <c r="JUG22" s="5"/>
      <c r="JUN22" s="19"/>
      <c r="JUO22" s="5"/>
      <c r="JUV22" s="19"/>
      <c r="JUW22" s="5"/>
      <c r="JVD22" s="19"/>
      <c r="JVE22" s="5"/>
      <c r="JVL22" s="19"/>
      <c r="JVM22" s="5"/>
      <c r="JVT22" s="19"/>
      <c r="JVU22" s="5"/>
      <c r="JWB22" s="19"/>
      <c r="JWC22" s="5"/>
      <c r="JWJ22" s="19"/>
      <c r="JWK22" s="5"/>
      <c r="JWR22" s="19"/>
      <c r="JWS22" s="5"/>
      <c r="JWZ22" s="19"/>
      <c r="JXA22" s="5"/>
      <c r="JXH22" s="19"/>
      <c r="JXI22" s="5"/>
      <c r="JXP22" s="19"/>
      <c r="JXQ22" s="5"/>
      <c r="JXX22" s="19"/>
      <c r="JXY22" s="5"/>
      <c r="JYF22" s="19"/>
      <c r="JYG22" s="5"/>
      <c r="JYN22" s="19"/>
      <c r="JYO22" s="5"/>
      <c r="JYV22" s="19"/>
      <c r="JYW22" s="5"/>
      <c r="JZD22" s="19"/>
      <c r="JZE22" s="5"/>
      <c r="JZL22" s="19"/>
      <c r="JZM22" s="5"/>
      <c r="JZT22" s="19"/>
      <c r="JZU22" s="5"/>
      <c r="KAB22" s="19"/>
      <c r="KAC22" s="5"/>
      <c r="KAJ22" s="19"/>
      <c r="KAK22" s="5"/>
      <c r="KAR22" s="19"/>
      <c r="KAS22" s="5"/>
      <c r="KAZ22" s="19"/>
      <c r="KBA22" s="5"/>
      <c r="KBH22" s="19"/>
      <c r="KBI22" s="5"/>
      <c r="KBP22" s="19"/>
      <c r="KBQ22" s="5"/>
      <c r="KBX22" s="19"/>
      <c r="KBY22" s="5"/>
      <c r="KCF22" s="19"/>
      <c r="KCG22" s="5"/>
      <c r="KCN22" s="19"/>
      <c r="KCO22" s="5"/>
      <c r="KCV22" s="19"/>
      <c r="KCW22" s="5"/>
      <c r="KDD22" s="19"/>
      <c r="KDE22" s="5"/>
      <c r="KDL22" s="19"/>
      <c r="KDM22" s="5"/>
      <c r="KDT22" s="19"/>
      <c r="KDU22" s="5"/>
      <c r="KEB22" s="19"/>
      <c r="KEC22" s="5"/>
      <c r="KEJ22" s="19"/>
      <c r="KEK22" s="5"/>
      <c r="KER22" s="19"/>
      <c r="KES22" s="5"/>
      <c r="KEZ22" s="19"/>
      <c r="KFA22" s="5"/>
      <c r="KFH22" s="19"/>
      <c r="KFI22" s="5"/>
      <c r="KFP22" s="19"/>
      <c r="KFQ22" s="5"/>
      <c r="KFX22" s="19"/>
      <c r="KFY22" s="5"/>
      <c r="KGF22" s="19"/>
      <c r="KGG22" s="5"/>
      <c r="KGN22" s="19"/>
      <c r="KGO22" s="5"/>
      <c r="KGV22" s="19"/>
      <c r="KGW22" s="5"/>
      <c r="KHD22" s="19"/>
      <c r="KHE22" s="5"/>
      <c r="KHL22" s="19"/>
      <c r="KHM22" s="5"/>
      <c r="KHT22" s="19"/>
      <c r="KHU22" s="5"/>
      <c r="KIB22" s="19"/>
      <c r="KIC22" s="5"/>
      <c r="KIJ22" s="19"/>
      <c r="KIK22" s="5"/>
      <c r="KIR22" s="19"/>
      <c r="KIS22" s="5"/>
      <c r="KIZ22" s="19"/>
      <c r="KJA22" s="5"/>
      <c r="KJH22" s="19"/>
      <c r="KJI22" s="5"/>
      <c r="KJP22" s="19"/>
      <c r="KJQ22" s="5"/>
      <c r="KJX22" s="19"/>
      <c r="KJY22" s="5"/>
      <c r="KKF22" s="19"/>
      <c r="KKG22" s="5"/>
      <c r="KKN22" s="19"/>
      <c r="KKO22" s="5"/>
      <c r="KKV22" s="19"/>
      <c r="KKW22" s="5"/>
      <c r="KLD22" s="19"/>
      <c r="KLE22" s="5"/>
      <c r="KLL22" s="19"/>
      <c r="KLM22" s="5"/>
      <c r="KLT22" s="19"/>
      <c r="KLU22" s="5"/>
      <c r="KMB22" s="19"/>
      <c r="KMC22" s="5"/>
      <c r="KMJ22" s="19"/>
      <c r="KMK22" s="5"/>
      <c r="KMR22" s="19"/>
      <c r="KMS22" s="5"/>
      <c r="KMZ22" s="19"/>
      <c r="KNA22" s="5"/>
      <c r="KNH22" s="19"/>
      <c r="KNI22" s="5"/>
      <c r="KNP22" s="19"/>
      <c r="KNQ22" s="5"/>
      <c r="KNX22" s="19"/>
      <c r="KNY22" s="5"/>
      <c r="KOF22" s="19"/>
      <c r="KOG22" s="5"/>
      <c r="KON22" s="19"/>
      <c r="KOO22" s="5"/>
      <c r="KOV22" s="19"/>
      <c r="KOW22" s="5"/>
      <c r="KPD22" s="19"/>
      <c r="KPE22" s="5"/>
      <c r="KPL22" s="19"/>
      <c r="KPM22" s="5"/>
      <c r="KPT22" s="19"/>
      <c r="KPU22" s="5"/>
      <c r="KQB22" s="19"/>
      <c r="KQC22" s="5"/>
      <c r="KQJ22" s="19"/>
      <c r="KQK22" s="5"/>
      <c r="KQR22" s="19"/>
      <c r="KQS22" s="5"/>
      <c r="KQZ22" s="19"/>
      <c r="KRA22" s="5"/>
      <c r="KRH22" s="19"/>
      <c r="KRI22" s="5"/>
      <c r="KRP22" s="19"/>
      <c r="KRQ22" s="5"/>
      <c r="KRX22" s="19"/>
      <c r="KRY22" s="5"/>
      <c r="KSF22" s="19"/>
      <c r="KSG22" s="5"/>
      <c r="KSN22" s="19"/>
      <c r="KSO22" s="5"/>
      <c r="KSV22" s="19"/>
      <c r="KSW22" s="5"/>
      <c r="KTD22" s="19"/>
      <c r="KTE22" s="5"/>
      <c r="KTL22" s="19"/>
      <c r="KTM22" s="5"/>
      <c r="KTT22" s="19"/>
      <c r="KTU22" s="5"/>
      <c r="KUB22" s="19"/>
      <c r="KUC22" s="5"/>
      <c r="KUJ22" s="19"/>
      <c r="KUK22" s="5"/>
      <c r="KUR22" s="19"/>
      <c r="KUS22" s="5"/>
      <c r="KUZ22" s="19"/>
      <c r="KVA22" s="5"/>
      <c r="KVH22" s="19"/>
      <c r="KVI22" s="5"/>
      <c r="KVP22" s="19"/>
      <c r="KVQ22" s="5"/>
      <c r="KVX22" s="19"/>
      <c r="KVY22" s="5"/>
      <c r="KWF22" s="19"/>
      <c r="KWG22" s="5"/>
      <c r="KWN22" s="19"/>
      <c r="KWO22" s="5"/>
      <c r="KWV22" s="19"/>
      <c r="KWW22" s="5"/>
      <c r="KXD22" s="19"/>
      <c r="KXE22" s="5"/>
      <c r="KXL22" s="19"/>
      <c r="KXM22" s="5"/>
      <c r="KXT22" s="19"/>
      <c r="KXU22" s="5"/>
      <c r="KYB22" s="19"/>
      <c r="KYC22" s="5"/>
      <c r="KYJ22" s="19"/>
      <c r="KYK22" s="5"/>
      <c r="KYR22" s="19"/>
      <c r="KYS22" s="5"/>
      <c r="KYZ22" s="19"/>
      <c r="KZA22" s="5"/>
      <c r="KZH22" s="19"/>
      <c r="KZI22" s="5"/>
      <c r="KZP22" s="19"/>
      <c r="KZQ22" s="5"/>
      <c r="KZX22" s="19"/>
      <c r="KZY22" s="5"/>
      <c r="LAF22" s="19"/>
      <c r="LAG22" s="5"/>
      <c r="LAN22" s="19"/>
      <c r="LAO22" s="5"/>
      <c r="LAV22" s="19"/>
      <c r="LAW22" s="5"/>
      <c r="LBD22" s="19"/>
      <c r="LBE22" s="5"/>
      <c r="LBL22" s="19"/>
      <c r="LBM22" s="5"/>
      <c r="LBT22" s="19"/>
      <c r="LBU22" s="5"/>
      <c r="LCB22" s="19"/>
      <c r="LCC22" s="5"/>
      <c r="LCJ22" s="19"/>
      <c r="LCK22" s="5"/>
      <c r="LCR22" s="19"/>
      <c r="LCS22" s="5"/>
      <c r="LCZ22" s="19"/>
      <c r="LDA22" s="5"/>
      <c r="LDH22" s="19"/>
      <c r="LDI22" s="5"/>
      <c r="LDP22" s="19"/>
      <c r="LDQ22" s="5"/>
      <c r="LDX22" s="19"/>
      <c r="LDY22" s="5"/>
      <c r="LEF22" s="19"/>
      <c r="LEG22" s="5"/>
      <c r="LEN22" s="19"/>
      <c r="LEO22" s="5"/>
      <c r="LEV22" s="19"/>
      <c r="LEW22" s="5"/>
      <c r="LFD22" s="19"/>
      <c r="LFE22" s="5"/>
      <c r="LFL22" s="19"/>
      <c r="LFM22" s="5"/>
      <c r="LFT22" s="19"/>
      <c r="LFU22" s="5"/>
      <c r="LGB22" s="19"/>
      <c r="LGC22" s="5"/>
      <c r="LGJ22" s="19"/>
      <c r="LGK22" s="5"/>
      <c r="LGR22" s="19"/>
      <c r="LGS22" s="5"/>
      <c r="LGZ22" s="19"/>
      <c r="LHA22" s="5"/>
      <c r="LHH22" s="19"/>
      <c r="LHI22" s="5"/>
      <c r="LHP22" s="19"/>
      <c r="LHQ22" s="5"/>
      <c r="LHX22" s="19"/>
      <c r="LHY22" s="5"/>
      <c r="LIF22" s="19"/>
      <c r="LIG22" s="5"/>
      <c r="LIN22" s="19"/>
      <c r="LIO22" s="5"/>
      <c r="LIV22" s="19"/>
      <c r="LIW22" s="5"/>
      <c r="LJD22" s="19"/>
      <c r="LJE22" s="5"/>
      <c r="LJL22" s="19"/>
      <c r="LJM22" s="5"/>
      <c r="LJT22" s="19"/>
      <c r="LJU22" s="5"/>
      <c r="LKB22" s="19"/>
      <c r="LKC22" s="5"/>
      <c r="LKJ22" s="19"/>
      <c r="LKK22" s="5"/>
      <c r="LKR22" s="19"/>
      <c r="LKS22" s="5"/>
      <c r="LKZ22" s="19"/>
      <c r="LLA22" s="5"/>
      <c r="LLH22" s="19"/>
      <c r="LLI22" s="5"/>
      <c r="LLP22" s="19"/>
      <c r="LLQ22" s="5"/>
      <c r="LLX22" s="19"/>
      <c r="LLY22" s="5"/>
      <c r="LMF22" s="19"/>
      <c r="LMG22" s="5"/>
      <c r="LMN22" s="19"/>
      <c r="LMO22" s="5"/>
      <c r="LMV22" s="19"/>
      <c r="LMW22" s="5"/>
      <c r="LND22" s="19"/>
      <c r="LNE22" s="5"/>
      <c r="LNL22" s="19"/>
      <c r="LNM22" s="5"/>
      <c r="LNT22" s="19"/>
      <c r="LNU22" s="5"/>
      <c r="LOB22" s="19"/>
      <c r="LOC22" s="5"/>
      <c r="LOJ22" s="19"/>
      <c r="LOK22" s="5"/>
      <c r="LOR22" s="19"/>
      <c r="LOS22" s="5"/>
      <c r="LOZ22" s="19"/>
      <c r="LPA22" s="5"/>
      <c r="LPH22" s="19"/>
      <c r="LPI22" s="5"/>
      <c r="LPP22" s="19"/>
      <c r="LPQ22" s="5"/>
      <c r="LPX22" s="19"/>
      <c r="LPY22" s="5"/>
      <c r="LQF22" s="19"/>
      <c r="LQG22" s="5"/>
      <c r="LQN22" s="19"/>
      <c r="LQO22" s="5"/>
      <c r="LQV22" s="19"/>
      <c r="LQW22" s="5"/>
      <c r="LRD22" s="19"/>
      <c r="LRE22" s="5"/>
      <c r="LRL22" s="19"/>
      <c r="LRM22" s="5"/>
      <c r="LRT22" s="19"/>
      <c r="LRU22" s="5"/>
      <c r="LSB22" s="19"/>
      <c r="LSC22" s="5"/>
      <c r="LSJ22" s="19"/>
      <c r="LSK22" s="5"/>
      <c r="LSR22" s="19"/>
      <c r="LSS22" s="5"/>
      <c r="LSZ22" s="19"/>
      <c r="LTA22" s="5"/>
      <c r="LTH22" s="19"/>
      <c r="LTI22" s="5"/>
      <c r="LTP22" s="19"/>
      <c r="LTQ22" s="5"/>
      <c r="LTX22" s="19"/>
      <c r="LTY22" s="5"/>
      <c r="LUF22" s="19"/>
      <c r="LUG22" s="5"/>
      <c r="LUN22" s="19"/>
      <c r="LUO22" s="5"/>
      <c r="LUV22" s="19"/>
      <c r="LUW22" s="5"/>
      <c r="LVD22" s="19"/>
      <c r="LVE22" s="5"/>
      <c r="LVL22" s="19"/>
      <c r="LVM22" s="5"/>
      <c r="LVT22" s="19"/>
      <c r="LVU22" s="5"/>
      <c r="LWB22" s="19"/>
      <c r="LWC22" s="5"/>
      <c r="LWJ22" s="19"/>
      <c r="LWK22" s="5"/>
      <c r="LWR22" s="19"/>
      <c r="LWS22" s="5"/>
      <c r="LWZ22" s="19"/>
      <c r="LXA22" s="5"/>
      <c r="LXH22" s="19"/>
      <c r="LXI22" s="5"/>
      <c r="LXP22" s="19"/>
      <c r="LXQ22" s="5"/>
      <c r="LXX22" s="19"/>
      <c r="LXY22" s="5"/>
      <c r="LYF22" s="19"/>
      <c r="LYG22" s="5"/>
      <c r="LYN22" s="19"/>
      <c r="LYO22" s="5"/>
      <c r="LYV22" s="19"/>
      <c r="LYW22" s="5"/>
      <c r="LZD22" s="19"/>
      <c r="LZE22" s="5"/>
      <c r="LZL22" s="19"/>
      <c r="LZM22" s="5"/>
      <c r="LZT22" s="19"/>
      <c r="LZU22" s="5"/>
      <c r="MAB22" s="19"/>
      <c r="MAC22" s="5"/>
      <c r="MAJ22" s="19"/>
      <c r="MAK22" s="5"/>
      <c r="MAR22" s="19"/>
      <c r="MAS22" s="5"/>
      <c r="MAZ22" s="19"/>
      <c r="MBA22" s="5"/>
      <c r="MBH22" s="19"/>
      <c r="MBI22" s="5"/>
      <c r="MBP22" s="19"/>
      <c r="MBQ22" s="5"/>
      <c r="MBX22" s="19"/>
      <c r="MBY22" s="5"/>
      <c r="MCF22" s="19"/>
      <c r="MCG22" s="5"/>
      <c r="MCN22" s="19"/>
      <c r="MCO22" s="5"/>
      <c r="MCV22" s="19"/>
      <c r="MCW22" s="5"/>
      <c r="MDD22" s="19"/>
      <c r="MDE22" s="5"/>
      <c r="MDL22" s="19"/>
      <c r="MDM22" s="5"/>
      <c r="MDT22" s="19"/>
      <c r="MDU22" s="5"/>
      <c r="MEB22" s="19"/>
      <c r="MEC22" s="5"/>
      <c r="MEJ22" s="19"/>
      <c r="MEK22" s="5"/>
      <c r="MER22" s="19"/>
      <c r="MES22" s="5"/>
      <c r="MEZ22" s="19"/>
      <c r="MFA22" s="5"/>
      <c r="MFH22" s="19"/>
      <c r="MFI22" s="5"/>
      <c r="MFP22" s="19"/>
      <c r="MFQ22" s="5"/>
      <c r="MFX22" s="19"/>
      <c r="MFY22" s="5"/>
      <c r="MGF22" s="19"/>
      <c r="MGG22" s="5"/>
      <c r="MGN22" s="19"/>
      <c r="MGO22" s="5"/>
      <c r="MGV22" s="19"/>
      <c r="MGW22" s="5"/>
      <c r="MHD22" s="19"/>
      <c r="MHE22" s="5"/>
      <c r="MHL22" s="19"/>
      <c r="MHM22" s="5"/>
      <c r="MHT22" s="19"/>
      <c r="MHU22" s="5"/>
      <c r="MIB22" s="19"/>
      <c r="MIC22" s="5"/>
      <c r="MIJ22" s="19"/>
      <c r="MIK22" s="5"/>
      <c r="MIR22" s="19"/>
      <c r="MIS22" s="5"/>
      <c r="MIZ22" s="19"/>
      <c r="MJA22" s="5"/>
      <c r="MJH22" s="19"/>
      <c r="MJI22" s="5"/>
      <c r="MJP22" s="19"/>
      <c r="MJQ22" s="5"/>
      <c r="MJX22" s="19"/>
      <c r="MJY22" s="5"/>
      <c r="MKF22" s="19"/>
      <c r="MKG22" s="5"/>
      <c r="MKN22" s="19"/>
      <c r="MKO22" s="5"/>
      <c r="MKV22" s="19"/>
      <c r="MKW22" s="5"/>
      <c r="MLD22" s="19"/>
      <c r="MLE22" s="5"/>
      <c r="MLL22" s="19"/>
      <c r="MLM22" s="5"/>
      <c r="MLT22" s="19"/>
      <c r="MLU22" s="5"/>
      <c r="MMB22" s="19"/>
      <c r="MMC22" s="5"/>
      <c r="MMJ22" s="19"/>
      <c r="MMK22" s="5"/>
      <c r="MMR22" s="19"/>
      <c r="MMS22" s="5"/>
      <c r="MMZ22" s="19"/>
      <c r="MNA22" s="5"/>
      <c r="MNH22" s="19"/>
      <c r="MNI22" s="5"/>
      <c r="MNP22" s="19"/>
      <c r="MNQ22" s="5"/>
      <c r="MNX22" s="19"/>
      <c r="MNY22" s="5"/>
      <c r="MOF22" s="19"/>
      <c r="MOG22" s="5"/>
      <c r="MON22" s="19"/>
      <c r="MOO22" s="5"/>
      <c r="MOV22" s="19"/>
      <c r="MOW22" s="5"/>
      <c r="MPD22" s="19"/>
      <c r="MPE22" s="5"/>
      <c r="MPL22" s="19"/>
      <c r="MPM22" s="5"/>
      <c r="MPT22" s="19"/>
      <c r="MPU22" s="5"/>
      <c r="MQB22" s="19"/>
      <c r="MQC22" s="5"/>
      <c r="MQJ22" s="19"/>
      <c r="MQK22" s="5"/>
      <c r="MQR22" s="19"/>
      <c r="MQS22" s="5"/>
      <c r="MQZ22" s="19"/>
      <c r="MRA22" s="5"/>
      <c r="MRH22" s="19"/>
      <c r="MRI22" s="5"/>
      <c r="MRP22" s="19"/>
      <c r="MRQ22" s="5"/>
      <c r="MRX22" s="19"/>
      <c r="MRY22" s="5"/>
      <c r="MSF22" s="19"/>
      <c r="MSG22" s="5"/>
      <c r="MSN22" s="19"/>
      <c r="MSO22" s="5"/>
      <c r="MSV22" s="19"/>
      <c r="MSW22" s="5"/>
      <c r="MTD22" s="19"/>
      <c r="MTE22" s="5"/>
      <c r="MTL22" s="19"/>
      <c r="MTM22" s="5"/>
      <c r="MTT22" s="19"/>
      <c r="MTU22" s="5"/>
      <c r="MUB22" s="19"/>
      <c r="MUC22" s="5"/>
      <c r="MUJ22" s="19"/>
      <c r="MUK22" s="5"/>
      <c r="MUR22" s="19"/>
      <c r="MUS22" s="5"/>
      <c r="MUZ22" s="19"/>
      <c r="MVA22" s="5"/>
      <c r="MVH22" s="19"/>
      <c r="MVI22" s="5"/>
      <c r="MVP22" s="19"/>
      <c r="MVQ22" s="5"/>
      <c r="MVX22" s="19"/>
      <c r="MVY22" s="5"/>
      <c r="MWF22" s="19"/>
      <c r="MWG22" s="5"/>
      <c r="MWN22" s="19"/>
      <c r="MWO22" s="5"/>
      <c r="MWV22" s="19"/>
      <c r="MWW22" s="5"/>
      <c r="MXD22" s="19"/>
      <c r="MXE22" s="5"/>
      <c r="MXL22" s="19"/>
      <c r="MXM22" s="5"/>
      <c r="MXT22" s="19"/>
      <c r="MXU22" s="5"/>
      <c r="MYB22" s="19"/>
      <c r="MYC22" s="5"/>
      <c r="MYJ22" s="19"/>
      <c r="MYK22" s="5"/>
      <c r="MYR22" s="19"/>
      <c r="MYS22" s="5"/>
      <c r="MYZ22" s="19"/>
      <c r="MZA22" s="5"/>
      <c r="MZH22" s="19"/>
      <c r="MZI22" s="5"/>
      <c r="MZP22" s="19"/>
      <c r="MZQ22" s="5"/>
      <c r="MZX22" s="19"/>
      <c r="MZY22" s="5"/>
      <c r="NAF22" s="19"/>
      <c r="NAG22" s="5"/>
      <c r="NAN22" s="19"/>
      <c r="NAO22" s="5"/>
      <c r="NAV22" s="19"/>
      <c r="NAW22" s="5"/>
      <c r="NBD22" s="19"/>
      <c r="NBE22" s="5"/>
      <c r="NBL22" s="19"/>
      <c r="NBM22" s="5"/>
      <c r="NBT22" s="19"/>
      <c r="NBU22" s="5"/>
      <c r="NCB22" s="19"/>
      <c r="NCC22" s="5"/>
      <c r="NCJ22" s="19"/>
      <c r="NCK22" s="5"/>
      <c r="NCR22" s="19"/>
      <c r="NCS22" s="5"/>
      <c r="NCZ22" s="19"/>
      <c r="NDA22" s="5"/>
      <c r="NDH22" s="19"/>
      <c r="NDI22" s="5"/>
      <c r="NDP22" s="19"/>
      <c r="NDQ22" s="5"/>
      <c r="NDX22" s="19"/>
      <c r="NDY22" s="5"/>
      <c r="NEF22" s="19"/>
      <c r="NEG22" s="5"/>
      <c r="NEN22" s="19"/>
      <c r="NEO22" s="5"/>
      <c r="NEV22" s="19"/>
      <c r="NEW22" s="5"/>
      <c r="NFD22" s="19"/>
      <c r="NFE22" s="5"/>
      <c r="NFL22" s="19"/>
      <c r="NFM22" s="5"/>
      <c r="NFT22" s="19"/>
      <c r="NFU22" s="5"/>
      <c r="NGB22" s="19"/>
      <c r="NGC22" s="5"/>
      <c r="NGJ22" s="19"/>
      <c r="NGK22" s="5"/>
      <c r="NGR22" s="19"/>
      <c r="NGS22" s="5"/>
      <c r="NGZ22" s="19"/>
      <c r="NHA22" s="5"/>
      <c r="NHH22" s="19"/>
      <c r="NHI22" s="5"/>
      <c r="NHP22" s="19"/>
      <c r="NHQ22" s="5"/>
      <c r="NHX22" s="19"/>
      <c r="NHY22" s="5"/>
      <c r="NIF22" s="19"/>
      <c r="NIG22" s="5"/>
      <c r="NIN22" s="19"/>
      <c r="NIO22" s="5"/>
      <c r="NIV22" s="19"/>
      <c r="NIW22" s="5"/>
      <c r="NJD22" s="19"/>
      <c r="NJE22" s="5"/>
      <c r="NJL22" s="19"/>
      <c r="NJM22" s="5"/>
      <c r="NJT22" s="19"/>
      <c r="NJU22" s="5"/>
      <c r="NKB22" s="19"/>
      <c r="NKC22" s="5"/>
      <c r="NKJ22" s="19"/>
      <c r="NKK22" s="5"/>
      <c r="NKR22" s="19"/>
      <c r="NKS22" s="5"/>
      <c r="NKZ22" s="19"/>
      <c r="NLA22" s="5"/>
      <c r="NLH22" s="19"/>
      <c r="NLI22" s="5"/>
      <c r="NLP22" s="19"/>
      <c r="NLQ22" s="5"/>
      <c r="NLX22" s="19"/>
      <c r="NLY22" s="5"/>
      <c r="NMF22" s="19"/>
      <c r="NMG22" s="5"/>
      <c r="NMN22" s="19"/>
      <c r="NMO22" s="5"/>
      <c r="NMV22" s="19"/>
      <c r="NMW22" s="5"/>
      <c r="NND22" s="19"/>
      <c r="NNE22" s="5"/>
      <c r="NNL22" s="19"/>
      <c r="NNM22" s="5"/>
      <c r="NNT22" s="19"/>
      <c r="NNU22" s="5"/>
      <c r="NOB22" s="19"/>
      <c r="NOC22" s="5"/>
      <c r="NOJ22" s="19"/>
      <c r="NOK22" s="5"/>
      <c r="NOR22" s="19"/>
      <c r="NOS22" s="5"/>
      <c r="NOZ22" s="19"/>
      <c r="NPA22" s="5"/>
      <c r="NPH22" s="19"/>
      <c r="NPI22" s="5"/>
      <c r="NPP22" s="19"/>
      <c r="NPQ22" s="5"/>
      <c r="NPX22" s="19"/>
      <c r="NPY22" s="5"/>
      <c r="NQF22" s="19"/>
      <c r="NQG22" s="5"/>
      <c r="NQN22" s="19"/>
      <c r="NQO22" s="5"/>
      <c r="NQV22" s="19"/>
      <c r="NQW22" s="5"/>
      <c r="NRD22" s="19"/>
      <c r="NRE22" s="5"/>
      <c r="NRL22" s="19"/>
      <c r="NRM22" s="5"/>
      <c r="NRT22" s="19"/>
      <c r="NRU22" s="5"/>
      <c r="NSB22" s="19"/>
      <c r="NSC22" s="5"/>
      <c r="NSJ22" s="19"/>
      <c r="NSK22" s="5"/>
      <c r="NSR22" s="19"/>
      <c r="NSS22" s="5"/>
      <c r="NSZ22" s="19"/>
      <c r="NTA22" s="5"/>
      <c r="NTH22" s="19"/>
      <c r="NTI22" s="5"/>
      <c r="NTP22" s="19"/>
      <c r="NTQ22" s="5"/>
      <c r="NTX22" s="19"/>
      <c r="NTY22" s="5"/>
      <c r="NUF22" s="19"/>
      <c r="NUG22" s="5"/>
      <c r="NUN22" s="19"/>
      <c r="NUO22" s="5"/>
      <c r="NUV22" s="19"/>
      <c r="NUW22" s="5"/>
      <c r="NVD22" s="19"/>
      <c r="NVE22" s="5"/>
      <c r="NVL22" s="19"/>
      <c r="NVM22" s="5"/>
      <c r="NVT22" s="19"/>
      <c r="NVU22" s="5"/>
      <c r="NWB22" s="19"/>
      <c r="NWC22" s="5"/>
      <c r="NWJ22" s="19"/>
      <c r="NWK22" s="5"/>
      <c r="NWR22" s="19"/>
      <c r="NWS22" s="5"/>
      <c r="NWZ22" s="19"/>
      <c r="NXA22" s="5"/>
      <c r="NXH22" s="19"/>
      <c r="NXI22" s="5"/>
      <c r="NXP22" s="19"/>
      <c r="NXQ22" s="5"/>
      <c r="NXX22" s="19"/>
      <c r="NXY22" s="5"/>
      <c r="NYF22" s="19"/>
      <c r="NYG22" s="5"/>
      <c r="NYN22" s="19"/>
      <c r="NYO22" s="5"/>
      <c r="NYV22" s="19"/>
      <c r="NYW22" s="5"/>
      <c r="NZD22" s="19"/>
      <c r="NZE22" s="5"/>
      <c r="NZL22" s="19"/>
      <c r="NZM22" s="5"/>
      <c r="NZT22" s="19"/>
      <c r="NZU22" s="5"/>
      <c r="OAB22" s="19"/>
      <c r="OAC22" s="5"/>
      <c r="OAJ22" s="19"/>
      <c r="OAK22" s="5"/>
      <c r="OAR22" s="19"/>
      <c r="OAS22" s="5"/>
      <c r="OAZ22" s="19"/>
      <c r="OBA22" s="5"/>
      <c r="OBH22" s="19"/>
      <c r="OBI22" s="5"/>
      <c r="OBP22" s="19"/>
      <c r="OBQ22" s="5"/>
      <c r="OBX22" s="19"/>
      <c r="OBY22" s="5"/>
      <c r="OCF22" s="19"/>
      <c r="OCG22" s="5"/>
      <c r="OCN22" s="19"/>
      <c r="OCO22" s="5"/>
      <c r="OCV22" s="19"/>
      <c r="OCW22" s="5"/>
      <c r="ODD22" s="19"/>
      <c r="ODE22" s="5"/>
      <c r="ODL22" s="19"/>
      <c r="ODM22" s="5"/>
      <c r="ODT22" s="19"/>
      <c r="ODU22" s="5"/>
      <c r="OEB22" s="19"/>
      <c r="OEC22" s="5"/>
      <c r="OEJ22" s="19"/>
      <c r="OEK22" s="5"/>
      <c r="OER22" s="19"/>
      <c r="OES22" s="5"/>
      <c r="OEZ22" s="19"/>
      <c r="OFA22" s="5"/>
      <c r="OFH22" s="19"/>
      <c r="OFI22" s="5"/>
      <c r="OFP22" s="19"/>
      <c r="OFQ22" s="5"/>
      <c r="OFX22" s="19"/>
      <c r="OFY22" s="5"/>
      <c r="OGF22" s="19"/>
      <c r="OGG22" s="5"/>
      <c r="OGN22" s="19"/>
      <c r="OGO22" s="5"/>
      <c r="OGV22" s="19"/>
      <c r="OGW22" s="5"/>
      <c r="OHD22" s="19"/>
      <c r="OHE22" s="5"/>
      <c r="OHL22" s="19"/>
      <c r="OHM22" s="5"/>
      <c r="OHT22" s="19"/>
      <c r="OHU22" s="5"/>
      <c r="OIB22" s="19"/>
      <c r="OIC22" s="5"/>
      <c r="OIJ22" s="19"/>
      <c r="OIK22" s="5"/>
      <c r="OIR22" s="19"/>
      <c r="OIS22" s="5"/>
      <c r="OIZ22" s="19"/>
      <c r="OJA22" s="5"/>
      <c r="OJH22" s="19"/>
      <c r="OJI22" s="5"/>
      <c r="OJP22" s="19"/>
      <c r="OJQ22" s="5"/>
      <c r="OJX22" s="19"/>
      <c r="OJY22" s="5"/>
      <c r="OKF22" s="19"/>
      <c r="OKG22" s="5"/>
      <c r="OKN22" s="19"/>
      <c r="OKO22" s="5"/>
      <c r="OKV22" s="19"/>
      <c r="OKW22" s="5"/>
      <c r="OLD22" s="19"/>
      <c r="OLE22" s="5"/>
      <c r="OLL22" s="19"/>
      <c r="OLM22" s="5"/>
      <c r="OLT22" s="19"/>
      <c r="OLU22" s="5"/>
      <c r="OMB22" s="19"/>
      <c r="OMC22" s="5"/>
      <c r="OMJ22" s="19"/>
      <c r="OMK22" s="5"/>
      <c r="OMR22" s="19"/>
      <c r="OMS22" s="5"/>
      <c r="OMZ22" s="19"/>
      <c r="ONA22" s="5"/>
      <c r="ONH22" s="19"/>
      <c r="ONI22" s="5"/>
      <c r="ONP22" s="19"/>
      <c r="ONQ22" s="5"/>
      <c r="ONX22" s="19"/>
      <c r="ONY22" s="5"/>
      <c r="OOF22" s="19"/>
      <c r="OOG22" s="5"/>
      <c r="OON22" s="19"/>
      <c r="OOO22" s="5"/>
      <c r="OOV22" s="19"/>
      <c r="OOW22" s="5"/>
      <c r="OPD22" s="19"/>
      <c r="OPE22" s="5"/>
      <c r="OPL22" s="19"/>
      <c r="OPM22" s="5"/>
      <c r="OPT22" s="19"/>
      <c r="OPU22" s="5"/>
      <c r="OQB22" s="19"/>
      <c r="OQC22" s="5"/>
      <c r="OQJ22" s="19"/>
      <c r="OQK22" s="5"/>
      <c r="OQR22" s="19"/>
      <c r="OQS22" s="5"/>
      <c r="OQZ22" s="19"/>
      <c r="ORA22" s="5"/>
      <c r="ORH22" s="19"/>
      <c r="ORI22" s="5"/>
      <c r="ORP22" s="19"/>
      <c r="ORQ22" s="5"/>
      <c r="ORX22" s="19"/>
      <c r="ORY22" s="5"/>
      <c r="OSF22" s="19"/>
      <c r="OSG22" s="5"/>
      <c r="OSN22" s="19"/>
      <c r="OSO22" s="5"/>
      <c r="OSV22" s="19"/>
      <c r="OSW22" s="5"/>
      <c r="OTD22" s="19"/>
      <c r="OTE22" s="5"/>
      <c r="OTL22" s="19"/>
      <c r="OTM22" s="5"/>
      <c r="OTT22" s="19"/>
      <c r="OTU22" s="5"/>
      <c r="OUB22" s="19"/>
      <c r="OUC22" s="5"/>
      <c r="OUJ22" s="19"/>
      <c r="OUK22" s="5"/>
      <c r="OUR22" s="19"/>
      <c r="OUS22" s="5"/>
      <c r="OUZ22" s="19"/>
      <c r="OVA22" s="5"/>
      <c r="OVH22" s="19"/>
      <c r="OVI22" s="5"/>
      <c r="OVP22" s="19"/>
      <c r="OVQ22" s="5"/>
      <c r="OVX22" s="19"/>
      <c r="OVY22" s="5"/>
      <c r="OWF22" s="19"/>
      <c r="OWG22" s="5"/>
      <c r="OWN22" s="19"/>
      <c r="OWO22" s="5"/>
      <c r="OWV22" s="19"/>
      <c r="OWW22" s="5"/>
      <c r="OXD22" s="19"/>
      <c r="OXE22" s="5"/>
      <c r="OXL22" s="19"/>
      <c r="OXM22" s="5"/>
      <c r="OXT22" s="19"/>
      <c r="OXU22" s="5"/>
      <c r="OYB22" s="19"/>
      <c r="OYC22" s="5"/>
      <c r="OYJ22" s="19"/>
      <c r="OYK22" s="5"/>
      <c r="OYR22" s="19"/>
      <c r="OYS22" s="5"/>
      <c r="OYZ22" s="19"/>
      <c r="OZA22" s="5"/>
      <c r="OZH22" s="19"/>
      <c r="OZI22" s="5"/>
      <c r="OZP22" s="19"/>
      <c r="OZQ22" s="5"/>
      <c r="OZX22" s="19"/>
      <c r="OZY22" s="5"/>
      <c r="PAF22" s="19"/>
      <c r="PAG22" s="5"/>
      <c r="PAN22" s="19"/>
      <c r="PAO22" s="5"/>
      <c r="PAV22" s="19"/>
      <c r="PAW22" s="5"/>
      <c r="PBD22" s="19"/>
      <c r="PBE22" s="5"/>
      <c r="PBL22" s="19"/>
      <c r="PBM22" s="5"/>
      <c r="PBT22" s="19"/>
      <c r="PBU22" s="5"/>
      <c r="PCB22" s="19"/>
      <c r="PCC22" s="5"/>
      <c r="PCJ22" s="19"/>
      <c r="PCK22" s="5"/>
      <c r="PCR22" s="19"/>
      <c r="PCS22" s="5"/>
      <c r="PCZ22" s="19"/>
      <c r="PDA22" s="5"/>
      <c r="PDH22" s="19"/>
      <c r="PDI22" s="5"/>
      <c r="PDP22" s="19"/>
      <c r="PDQ22" s="5"/>
      <c r="PDX22" s="19"/>
      <c r="PDY22" s="5"/>
      <c r="PEF22" s="19"/>
      <c r="PEG22" s="5"/>
      <c r="PEN22" s="19"/>
      <c r="PEO22" s="5"/>
      <c r="PEV22" s="19"/>
      <c r="PEW22" s="5"/>
      <c r="PFD22" s="19"/>
      <c r="PFE22" s="5"/>
      <c r="PFL22" s="19"/>
      <c r="PFM22" s="5"/>
      <c r="PFT22" s="19"/>
      <c r="PFU22" s="5"/>
      <c r="PGB22" s="19"/>
      <c r="PGC22" s="5"/>
      <c r="PGJ22" s="19"/>
      <c r="PGK22" s="5"/>
      <c r="PGR22" s="19"/>
      <c r="PGS22" s="5"/>
      <c r="PGZ22" s="19"/>
      <c r="PHA22" s="5"/>
      <c r="PHH22" s="19"/>
      <c r="PHI22" s="5"/>
      <c r="PHP22" s="19"/>
      <c r="PHQ22" s="5"/>
      <c r="PHX22" s="19"/>
      <c r="PHY22" s="5"/>
      <c r="PIF22" s="19"/>
      <c r="PIG22" s="5"/>
      <c r="PIN22" s="19"/>
      <c r="PIO22" s="5"/>
      <c r="PIV22" s="19"/>
      <c r="PIW22" s="5"/>
      <c r="PJD22" s="19"/>
      <c r="PJE22" s="5"/>
      <c r="PJL22" s="19"/>
      <c r="PJM22" s="5"/>
      <c r="PJT22" s="19"/>
      <c r="PJU22" s="5"/>
      <c r="PKB22" s="19"/>
      <c r="PKC22" s="5"/>
      <c r="PKJ22" s="19"/>
      <c r="PKK22" s="5"/>
      <c r="PKR22" s="19"/>
      <c r="PKS22" s="5"/>
      <c r="PKZ22" s="19"/>
      <c r="PLA22" s="5"/>
      <c r="PLH22" s="19"/>
      <c r="PLI22" s="5"/>
      <c r="PLP22" s="19"/>
      <c r="PLQ22" s="5"/>
      <c r="PLX22" s="19"/>
      <c r="PLY22" s="5"/>
      <c r="PMF22" s="19"/>
      <c r="PMG22" s="5"/>
      <c r="PMN22" s="19"/>
      <c r="PMO22" s="5"/>
      <c r="PMV22" s="19"/>
      <c r="PMW22" s="5"/>
      <c r="PND22" s="19"/>
      <c r="PNE22" s="5"/>
      <c r="PNL22" s="19"/>
      <c r="PNM22" s="5"/>
      <c r="PNT22" s="19"/>
      <c r="PNU22" s="5"/>
      <c r="POB22" s="19"/>
      <c r="POC22" s="5"/>
      <c r="POJ22" s="19"/>
      <c r="POK22" s="5"/>
      <c r="POR22" s="19"/>
      <c r="POS22" s="5"/>
      <c r="POZ22" s="19"/>
      <c r="PPA22" s="5"/>
      <c r="PPH22" s="19"/>
      <c r="PPI22" s="5"/>
      <c r="PPP22" s="19"/>
      <c r="PPQ22" s="5"/>
      <c r="PPX22" s="19"/>
      <c r="PPY22" s="5"/>
      <c r="PQF22" s="19"/>
      <c r="PQG22" s="5"/>
      <c r="PQN22" s="19"/>
      <c r="PQO22" s="5"/>
      <c r="PQV22" s="19"/>
      <c r="PQW22" s="5"/>
      <c r="PRD22" s="19"/>
      <c r="PRE22" s="5"/>
      <c r="PRL22" s="19"/>
      <c r="PRM22" s="5"/>
      <c r="PRT22" s="19"/>
      <c r="PRU22" s="5"/>
      <c r="PSB22" s="19"/>
      <c r="PSC22" s="5"/>
      <c r="PSJ22" s="19"/>
      <c r="PSK22" s="5"/>
      <c r="PSR22" s="19"/>
      <c r="PSS22" s="5"/>
      <c r="PSZ22" s="19"/>
      <c r="PTA22" s="5"/>
      <c r="PTH22" s="19"/>
      <c r="PTI22" s="5"/>
      <c r="PTP22" s="19"/>
      <c r="PTQ22" s="5"/>
      <c r="PTX22" s="19"/>
      <c r="PTY22" s="5"/>
      <c r="PUF22" s="19"/>
      <c r="PUG22" s="5"/>
      <c r="PUN22" s="19"/>
      <c r="PUO22" s="5"/>
      <c r="PUV22" s="19"/>
      <c r="PUW22" s="5"/>
      <c r="PVD22" s="19"/>
      <c r="PVE22" s="5"/>
      <c r="PVL22" s="19"/>
      <c r="PVM22" s="5"/>
      <c r="PVT22" s="19"/>
      <c r="PVU22" s="5"/>
      <c r="PWB22" s="19"/>
      <c r="PWC22" s="5"/>
      <c r="PWJ22" s="19"/>
      <c r="PWK22" s="5"/>
      <c r="PWR22" s="19"/>
      <c r="PWS22" s="5"/>
      <c r="PWZ22" s="19"/>
      <c r="PXA22" s="5"/>
      <c r="PXH22" s="19"/>
      <c r="PXI22" s="5"/>
      <c r="PXP22" s="19"/>
      <c r="PXQ22" s="5"/>
      <c r="PXX22" s="19"/>
      <c r="PXY22" s="5"/>
      <c r="PYF22" s="19"/>
      <c r="PYG22" s="5"/>
      <c r="PYN22" s="19"/>
      <c r="PYO22" s="5"/>
      <c r="PYV22" s="19"/>
      <c r="PYW22" s="5"/>
      <c r="PZD22" s="19"/>
      <c r="PZE22" s="5"/>
      <c r="PZL22" s="19"/>
      <c r="PZM22" s="5"/>
      <c r="PZT22" s="19"/>
      <c r="PZU22" s="5"/>
      <c r="QAB22" s="19"/>
      <c r="QAC22" s="5"/>
      <c r="QAJ22" s="19"/>
      <c r="QAK22" s="5"/>
      <c r="QAR22" s="19"/>
      <c r="QAS22" s="5"/>
      <c r="QAZ22" s="19"/>
      <c r="QBA22" s="5"/>
      <c r="QBH22" s="19"/>
      <c r="QBI22" s="5"/>
      <c r="QBP22" s="19"/>
      <c r="QBQ22" s="5"/>
      <c r="QBX22" s="19"/>
      <c r="QBY22" s="5"/>
      <c r="QCF22" s="19"/>
      <c r="QCG22" s="5"/>
      <c r="QCN22" s="19"/>
      <c r="QCO22" s="5"/>
      <c r="QCV22" s="19"/>
      <c r="QCW22" s="5"/>
      <c r="QDD22" s="19"/>
      <c r="QDE22" s="5"/>
      <c r="QDL22" s="19"/>
      <c r="QDM22" s="5"/>
      <c r="QDT22" s="19"/>
      <c r="QDU22" s="5"/>
      <c r="QEB22" s="19"/>
      <c r="QEC22" s="5"/>
      <c r="QEJ22" s="19"/>
      <c r="QEK22" s="5"/>
      <c r="QER22" s="19"/>
      <c r="QES22" s="5"/>
      <c r="QEZ22" s="19"/>
      <c r="QFA22" s="5"/>
      <c r="QFH22" s="19"/>
      <c r="QFI22" s="5"/>
      <c r="QFP22" s="19"/>
      <c r="QFQ22" s="5"/>
      <c r="QFX22" s="19"/>
      <c r="QFY22" s="5"/>
      <c r="QGF22" s="19"/>
      <c r="QGG22" s="5"/>
      <c r="QGN22" s="19"/>
      <c r="QGO22" s="5"/>
      <c r="QGV22" s="19"/>
      <c r="QGW22" s="5"/>
      <c r="QHD22" s="19"/>
      <c r="QHE22" s="5"/>
      <c r="QHL22" s="19"/>
      <c r="QHM22" s="5"/>
      <c r="QHT22" s="19"/>
      <c r="QHU22" s="5"/>
      <c r="QIB22" s="19"/>
      <c r="QIC22" s="5"/>
      <c r="QIJ22" s="19"/>
      <c r="QIK22" s="5"/>
      <c r="QIR22" s="19"/>
      <c r="QIS22" s="5"/>
      <c r="QIZ22" s="19"/>
      <c r="QJA22" s="5"/>
      <c r="QJH22" s="19"/>
      <c r="QJI22" s="5"/>
      <c r="QJP22" s="19"/>
      <c r="QJQ22" s="5"/>
      <c r="QJX22" s="19"/>
      <c r="QJY22" s="5"/>
      <c r="QKF22" s="19"/>
      <c r="QKG22" s="5"/>
      <c r="QKN22" s="19"/>
      <c r="QKO22" s="5"/>
      <c r="QKV22" s="19"/>
      <c r="QKW22" s="5"/>
      <c r="QLD22" s="19"/>
      <c r="QLE22" s="5"/>
      <c r="QLL22" s="19"/>
      <c r="QLM22" s="5"/>
      <c r="QLT22" s="19"/>
      <c r="QLU22" s="5"/>
      <c r="QMB22" s="19"/>
      <c r="QMC22" s="5"/>
      <c r="QMJ22" s="19"/>
      <c r="QMK22" s="5"/>
      <c r="QMR22" s="19"/>
      <c r="QMS22" s="5"/>
      <c r="QMZ22" s="19"/>
      <c r="QNA22" s="5"/>
      <c r="QNH22" s="19"/>
      <c r="QNI22" s="5"/>
      <c r="QNP22" s="19"/>
      <c r="QNQ22" s="5"/>
      <c r="QNX22" s="19"/>
      <c r="QNY22" s="5"/>
      <c r="QOF22" s="19"/>
      <c r="QOG22" s="5"/>
      <c r="QON22" s="19"/>
      <c r="QOO22" s="5"/>
      <c r="QOV22" s="19"/>
      <c r="QOW22" s="5"/>
      <c r="QPD22" s="19"/>
      <c r="QPE22" s="5"/>
      <c r="QPL22" s="19"/>
      <c r="QPM22" s="5"/>
      <c r="QPT22" s="19"/>
      <c r="QPU22" s="5"/>
      <c r="QQB22" s="19"/>
      <c r="QQC22" s="5"/>
      <c r="QQJ22" s="19"/>
      <c r="QQK22" s="5"/>
      <c r="QQR22" s="19"/>
      <c r="QQS22" s="5"/>
      <c r="QQZ22" s="19"/>
      <c r="QRA22" s="5"/>
      <c r="QRH22" s="19"/>
      <c r="QRI22" s="5"/>
      <c r="QRP22" s="19"/>
      <c r="QRQ22" s="5"/>
      <c r="QRX22" s="19"/>
      <c r="QRY22" s="5"/>
      <c r="QSF22" s="19"/>
      <c r="QSG22" s="5"/>
      <c r="QSN22" s="19"/>
      <c r="QSO22" s="5"/>
      <c r="QSV22" s="19"/>
      <c r="QSW22" s="5"/>
      <c r="QTD22" s="19"/>
      <c r="QTE22" s="5"/>
      <c r="QTL22" s="19"/>
      <c r="QTM22" s="5"/>
      <c r="QTT22" s="19"/>
      <c r="QTU22" s="5"/>
      <c r="QUB22" s="19"/>
      <c r="QUC22" s="5"/>
      <c r="QUJ22" s="19"/>
      <c r="QUK22" s="5"/>
      <c r="QUR22" s="19"/>
      <c r="QUS22" s="5"/>
      <c r="QUZ22" s="19"/>
      <c r="QVA22" s="5"/>
      <c r="QVH22" s="19"/>
      <c r="QVI22" s="5"/>
      <c r="QVP22" s="19"/>
      <c r="QVQ22" s="5"/>
      <c r="QVX22" s="19"/>
      <c r="QVY22" s="5"/>
      <c r="QWF22" s="19"/>
      <c r="QWG22" s="5"/>
      <c r="QWN22" s="19"/>
      <c r="QWO22" s="5"/>
      <c r="QWV22" s="19"/>
      <c r="QWW22" s="5"/>
      <c r="QXD22" s="19"/>
      <c r="QXE22" s="5"/>
      <c r="QXL22" s="19"/>
      <c r="QXM22" s="5"/>
      <c r="QXT22" s="19"/>
      <c r="QXU22" s="5"/>
      <c r="QYB22" s="19"/>
      <c r="QYC22" s="5"/>
      <c r="QYJ22" s="19"/>
      <c r="QYK22" s="5"/>
      <c r="QYR22" s="19"/>
      <c r="QYS22" s="5"/>
      <c r="QYZ22" s="19"/>
      <c r="QZA22" s="5"/>
      <c r="QZH22" s="19"/>
      <c r="QZI22" s="5"/>
      <c r="QZP22" s="19"/>
      <c r="QZQ22" s="5"/>
      <c r="QZX22" s="19"/>
      <c r="QZY22" s="5"/>
      <c r="RAF22" s="19"/>
      <c r="RAG22" s="5"/>
      <c r="RAN22" s="19"/>
      <c r="RAO22" s="5"/>
      <c r="RAV22" s="19"/>
      <c r="RAW22" s="5"/>
      <c r="RBD22" s="19"/>
      <c r="RBE22" s="5"/>
      <c r="RBL22" s="19"/>
      <c r="RBM22" s="5"/>
      <c r="RBT22" s="19"/>
      <c r="RBU22" s="5"/>
      <c r="RCB22" s="19"/>
      <c r="RCC22" s="5"/>
      <c r="RCJ22" s="19"/>
      <c r="RCK22" s="5"/>
      <c r="RCR22" s="19"/>
      <c r="RCS22" s="5"/>
      <c r="RCZ22" s="19"/>
      <c r="RDA22" s="5"/>
      <c r="RDH22" s="19"/>
      <c r="RDI22" s="5"/>
      <c r="RDP22" s="19"/>
      <c r="RDQ22" s="5"/>
      <c r="RDX22" s="19"/>
      <c r="RDY22" s="5"/>
      <c r="REF22" s="19"/>
      <c r="REG22" s="5"/>
      <c r="REN22" s="19"/>
      <c r="REO22" s="5"/>
      <c r="REV22" s="19"/>
      <c r="REW22" s="5"/>
      <c r="RFD22" s="19"/>
      <c r="RFE22" s="5"/>
      <c r="RFL22" s="19"/>
      <c r="RFM22" s="5"/>
      <c r="RFT22" s="19"/>
      <c r="RFU22" s="5"/>
      <c r="RGB22" s="19"/>
      <c r="RGC22" s="5"/>
      <c r="RGJ22" s="19"/>
      <c r="RGK22" s="5"/>
      <c r="RGR22" s="19"/>
      <c r="RGS22" s="5"/>
      <c r="RGZ22" s="19"/>
      <c r="RHA22" s="5"/>
      <c r="RHH22" s="19"/>
      <c r="RHI22" s="5"/>
      <c r="RHP22" s="19"/>
      <c r="RHQ22" s="5"/>
      <c r="RHX22" s="19"/>
      <c r="RHY22" s="5"/>
      <c r="RIF22" s="19"/>
      <c r="RIG22" s="5"/>
      <c r="RIN22" s="19"/>
      <c r="RIO22" s="5"/>
      <c r="RIV22" s="19"/>
      <c r="RIW22" s="5"/>
      <c r="RJD22" s="19"/>
      <c r="RJE22" s="5"/>
      <c r="RJL22" s="19"/>
      <c r="RJM22" s="5"/>
      <c r="RJT22" s="19"/>
      <c r="RJU22" s="5"/>
      <c r="RKB22" s="19"/>
      <c r="RKC22" s="5"/>
      <c r="RKJ22" s="19"/>
      <c r="RKK22" s="5"/>
      <c r="RKR22" s="19"/>
      <c r="RKS22" s="5"/>
      <c r="RKZ22" s="19"/>
      <c r="RLA22" s="5"/>
      <c r="RLH22" s="19"/>
      <c r="RLI22" s="5"/>
      <c r="RLP22" s="19"/>
      <c r="RLQ22" s="5"/>
      <c r="RLX22" s="19"/>
      <c r="RLY22" s="5"/>
      <c r="RMF22" s="19"/>
      <c r="RMG22" s="5"/>
      <c r="RMN22" s="19"/>
      <c r="RMO22" s="5"/>
      <c r="RMV22" s="19"/>
      <c r="RMW22" s="5"/>
      <c r="RND22" s="19"/>
      <c r="RNE22" s="5"/>
      <c r="RNL22" s="19"/>
      <c r="RNM22" s="5"/>
      <c r="RNT22" s="19"/>
      <c r="RNU22" s="5"/>
      <c r="ROB22" s="19"/>
      <c r="ROC22" s="5"/>
      <c r="ROJ22" s="19"/>
      <c r="ROK22" s="5"/>
      <c r="ROR22" s="19"/>
      <c r="ROS22" s="5"/>
      <c r="ROZ22" s="19"/>
      <c r="RPA22" s="5"/>
      <c r="RPH22" s="19"/>
      <c r="RPI22" s="5"/>
      <c r="RPP22" s="19"/>
      <c r="RPQ22" s="5"/>
      <c r="RPX22" s="19"/>
      <c r="RPY22" s="5"/>
      <c r="RQF22" s="19"/>
      <c r="RQG22" s="5"/>
      <c r="RQN22" s="19"/>
      <c r="RQO22" s="5"/>
      <c r="RQV22" s="19"/>
      <c r="RQW22" s="5"/>
      <c r="RRD22" s="19"/>
      <c r="RRE22" s="5"/>
      <c r="RRL22" s="19"/>
      <c r="RRM22" s="5"/>
      <c r="RRT22" s="19"/>
      <c r="RRU22" s="5"/>
      <c r="RSB22" s="19"/>
      <c r="RSC22" s="5"/>
      <c r="RSJ22" s="19"/>
      <c r="RSK22" s="5"/>
      <c r="RSR22" s="19"/>
      <c r="RSS22" s="5"/>
      <c r="RSZ22" s="19"/>
      <c r="RTA22" s="5"/>
      <c r="RTH22" s="19"/>
      <c r="RTI22" s="5"/>
      <c r="RTP22" s="19"/>
      <c r="RTQ22" s="5"/>
      <c r="RTX22" s="19"/>
      <c r="RTY22" s="5"/>
      <c r="RUF22" s="19"/>
      <c r="RUG22" s="5"/>
      <c r="RUN22" s="19"/>
      <c r="RUO22" s="5"/>
      <c r="RUV22" s="19"/>
      <c r="RUW22" s="5"/>
      <c r="RVD22" s="19"/>
      <c r="RVE22" s="5"/>
      <c r="RVL22" s="19"/>
      <c r="RVM22" s="5"/>
      <c r="RVT22" s="19"/>
      <c r="RVU22" s="5"/>
      <c r="RWB22" s="19"/>
      <c r="RWC22" s="5"/>
      <c r="RWJ22" s="19"/>
      <c r="RWK22" s="5"/>
      <c r="RWR22" s="19"/>
      <c r="RWS22" s="5"/>
      <c r="RWZ22" s="19"/>
      <c r="RXA22" s="5"/>
      <c r="RXH22" s="19"/>
      <c r="RXI22" s="5"/>
      <c r="RXP22" s="19"/>
      <c r="RXQ22" s="5"/>
      <c r="RXX22" s="19"/>
      <c r="RXY22" s="5"/>
      <c r="RYF22" s="19"/>
      <c r="RYG22" s="5"/>
      <c r="RYN22" s="19"/>
      <c r="RYO22" s="5"/>
      <c r="RYV22" s="19"/>
      <c r="RYW22" s="5"/>
      <c r="RZD22" s="19"/>
      <c r="RZE22" s="5"/>
      <c r="RZL22" s="19"/>
      <c r="RZM22" s="5"/>
      <c r="RZT22" s="19"/>
      <c r="RZU22" s="5"/>
      <c r="SAB22" s="19"/>
      <c r="SAC22" s="5"/>
      <c r="SAJ22" s="19"/>
      <c r="SAK22" s="5"/>
      <c r="SAR22" s="19"/>
      <c r="SAS22" s="5"/>
      <c r="SAZ22" s="19"/>
      <c r="SBA22" s="5"/>
      <c r="SBH22" s="19"/>
      <c r="SBI22" s="5"/>
      <c r="SBP22" s="19"/>
      <c r="SBQ22" s="5"/>
      <c r="SBX22" s="19"/>
      <c r="SBY22" s="5"/>
      <c r="SCF22" s="19"/>
      <c r="SCG22" s="5"/>
      <c r="SCN22" s="19"/>
      <c r="SCO22" s="5"/>
      <c r="SCV22" s="19"/>
      <c r="SCW22" s="5"/>
      <c r="SDD22" s="19"/>
      <c r="SDE22" s="5"/>
      <c r="SDL22" s="19"/>
      <c r="SDM22" s="5"/>
      <c r="SDT22" s="19"/>
      <c r="SDU22" s="5"/>
      <c r="SEB22" s="19"/>
      <c r="SEC22" s="5"/>
      <c r="SEJ22" s="19"/>
      <c r="SEK22" s="5"/>
      <c r="SER22" s="19"/>
      <c r="SES22" s="5"/>
      <c r="SEZ22" s="19"/>
      <c r="SFA22" s="5"/>
      <c r="SFH22" s="19"/>
      <c r="SFI22" s="5"/>
      <c r="SFP22" s="19"/>
      <c r="SFQ22" s="5"/>
      <c r="SFX22" s="19"/>
      <c r="SFY22" s="5"/>
      <c r="SGF22" s="19"/>
      <c r="SGG22" s="5"/>
      <c r="SGN22" s="19"/>
      <c r="SGO22" s="5"/>
      <c r="SGV22" s="19"/>
      <c r="SGW22" s="5"/>
      <c r="SHD22" s="19"/>
      <c r="SHE22" s="5"/>
      <c r="SHL22" s="19"/>
      <c r="SHM22" s="5"/>
      <c r="SHT22" s="19"/>
      <c r="SHU22" s="5"/>
      <c r="SIB22" s="19"/>
      <c r="SIC22" s="5"/>
      <c r="SIJ22" s="19"/>
      <c r="SIK22" s="5"/>
      <c r="SIR22" s="19"/>
      <c r="SIS22" s="5"/>
      <c r="SIZ22" s="19"/>
      <c r="SJA22" s="5"/>
      <c r="SJH22" s="19"/>
      <c r="SJI22" s="5"/>
      <c r="SJP22" s="19"/>
      <c r="SJQ22" s="5"/>
      <c r="SJX22" s="19"/>
      <c r="SJY22" s="5"/>
      <c r="SKF22" s="19"/>
      <c r="SKG22" s="5"/>
      <c r="SKN22" s="19"/>
      <c r="SKO22" s="5"/>
      <c r="SKV22" s="19"/>
      <c r="SKW22" s="5"/>
      <c r="SLD22" s="19"/>
      <c r="SLE22" s="5"/>
      <c r="SLL22" s="19"/>
      <c r="SLM22" s="5"/>
      <c r="SLT22" s="19"/>
      <c r="SLU22" s="5"/>
      <c r="SMB22" s="19"/>
      <c r="SMC22" s="5"/>
      <c r="SMJ22" s="19"/>
      <c r="SMK22" s="5"/>
      <c r="SMR22" s="19"/>
      <c r="SMS22" s="5"/>
      <c r="SMZ22" s="19"/>
      <c r="SNA22" s="5"/>
      <c r="SNH22" s="19"/>
      <c r="SNI22" s="5"/>
      <c r="SNP22" s="19"/>
      <c r="SNQ22" s="5"/>
      <c r="SNX22" s="19"/>
      <c r="SNY22" s="5"/>
      <c r="SOF22" s="19"/>
      <c r="SOG22" s="5"/>
      <c r="SON22" s="19"/>
      <c r="SOO22" s="5"/>
      <c r="SOV22" s="19"/>
      <c r="SOW22" s="5"/>
      <c r="SPD22" s="19"/>
      <c r="SPE22" s="5"/>
      <c r="SPL22" s="19"/>
      <c r="SPM22" s="5"/>
      <c r="SPT22" s="19"/>
      <c r="SPU22" s="5"/>
      <c r="SQB22" s="19"/>
      <c r="SQC22" s="5"/>
      <c r="SQJ22" s="19"/>
      <c r="SQK22" s="5"/>
      <c r="SQR22" s="19"/>
      <c r="SQS22" s="5"/>
      <c r="SQZ22" s="19"/>
      <c r="SRA22" s="5"/>
      <c r="SRH22" s="19"/>
      <c r="SRI22" s="5"/>
      <c r="SRP22" s="19"/>
      <c r="SRQ22" s="5"/>
      <c r="SRX22" s="19"/>
      <c r="SRY22" s="5"/>
      <c r="SSF22" s="19"/>
      <c r="SSG22" s="5"/>
      <c r="SSN22" s="19"/>
      <c r="SSO22" s="5"/>
      <c r="SSV22" s="19"/>
      <c r="SSW22" s="5"/>
      <c r="STD22" s="19"/>
      <c r="STE22" s="5"/>
      <c r="STL22" s="19"/>
      <c r="STM22" s="5"/>
      <c r="STT22" s="19"/>
      <c r="STU22" s="5"/>
      <c r="SUB22" s="19"/>
      <c r="SUC22" s="5"/>
      <c r="SUJ22" s="19"/>
      <c r="SUK22" s="5"/>
      <c r="SUR22" s="19"/>
      <c r="SUS22" s="5"/>
      <c r="SUZ22" s="19"/>
      <c r="SVA22" s="5"/>
      <c r="SVH22" s="19"/>
      <c r="SVI22" s="5"/>
      <c r="SVP22" s="19"/>
      <c r="SVQ22" s="5"/>
      <c r="SVX22" s="19"/>
      <c r="SVY22" s="5"/>
      <c r="SWF22" s="19"/>
      <c r="SWG22" s="5"/>
      <c r="SWN22" s="19"/>
      <c r="SWO22" s="5"/>
      <c r="SWV22" s="19"/>
      <c r="SWW22" s="5"/>
      <c r="SXD22" s="19"/>
      <c r="SXE22" s="5"/>
      <c r="SXL22" s="19"/>
      <c r="SXM22" s="5"/>
      <c r="SXT22" s="19"/>
      <c r="SXU22" s="5"/>
      <c r="SYB22" s="19"/>
      <c r="SYC22" s="5"/>
      <c r="SYJ22" s="19"/>
      <c r="SYK22" s="5"/>
      <c r="SYR22" s="19"/>
      <c r="SYS22" s="5"/>
      <c r="SYZ22" s="19"/>
      <c r="SZA22" s="5"/>
      <c r="SZH22" s="19"/>
      <c r="SZI22" s="5"/>
      <c r="SZP22" s="19"/>
      <c r="SZQ22" s="5"/>
      <c r="SZX22" s="19"/>
      <c r="SZY22" s="5"/>
      <c r="TAF22" s="19"/>
      <c r="TAG22" s="5"/>
      <c r="TAN22" s="19"/>
      <c r="TAO22" s="5"/>
      <c r="TAV22" s="19"/>
      <c r="TAW22" s="5"/>
      <c r="TBD22" s="19"/>
      <c r="TBE22" s="5"/>
      <c r="TBL22" s="19"/>
      <c r="TBM22" s="5"/>
      <c r="TBT22" s="19"/>
      <c r="TBU22" s="5"/>
      <c r="TCB22" s="19"/>
      <c r="TCC22" s="5"/>
      <c r="TCJ22" s="19"/>
      <c r="TCK22" s="5"/>
      <c r="TCR22" s="19"/>
      <c r="TCS22" s="5"/>
      <c r="TCZ22" s="19"/>
      <c r="TDA22" s="5"/>
      <c r="TDH22" s="19"/>
      <c r="TDI22" s="5"/>
      <c r="TDP22" s="19"/>
      <c r="TDQ22" s="5"/>
      <c r="TDX22" s="19"/>
      <c r="TDY22" s="5"/>
      <c r="TEF22" s="19"/>
      <c r="TEG22" s="5"/>
      <c r="TEN22" s="19"/>
      <c r="TEO22" s="5"/>
      <c r="TEV22" s="19"/>
      <c r="TEW22" s="5"/>
      <c r="TFD22" s="19"/>
      <c r="TFE22" s="5"/>
      <c r="TFL22" s="19"/>
      <c r="TFM22" s="5"/>
      <c r="TFT22" s="19"/>
      <c r="TFU22" s="5"/>
      <c r="TGB22" s="19"/>
      <c r="TGC22" s="5"/>
      <c r="TGJ22" s="19"/>
      <c r="TGK22" s="5"/>
      <c r="TGR22" s="19"/>
      <c r="TGS22" s="5"/>
      <c r="TGZ22" s="19"/>
      <c r="THA22" s="5"/>
      <c r="THH22" s="19"/>
      <c r="THI22" s="5"/>
      <c r="THP22" s="19"/>
      <c r="THQ22" s="5"/>
      <c r="THX22" s="19"/>
      <c r="THY22" s="5"/>
      <c r="TIF22" s="19"/>
      <c r="TIG22" s="5"/>
      <c r="TIN22" s="19"/>
      <c r="TIO22" s="5"/>
      <c r="TIV22" s="19"/>
      <c r="TIW22" s="5"/>
      <c r="TJD22" s="19"/>
      <c r="TJE22" s="5"/>
      <c r="TJL22" s="19"/>
      <c r="TJM22" s="5"/>
      <c r="TJT22" s="19"/>
      <c r="TJU22" s="5"/>
      <c r="TKB22" s="19"/>
      <c r="TKC22" s="5"/>
      <c r="TKJ22" s="19"/>
      <c r="TKK22" s="5"/>
      <c r="TKR22" s="19"/>
      <c r="TKS22" s="5"/>
      <c r="TKZ22" s="19"/>
      <c r="TLA22" s="5"/>
      <c r="TLH22" s="19"/>
      <c r="TLI22" s="5"/>
      <c r="TLP22" s="19"/>
      <c r="TLQ22" s="5"/>
      <c r="TLX22" s="19"/>
      <c r="TLY22" s="5"/>
      <c r="TMF22" s="19"/>
      <c r="TMG22" s="5"/>
      <c r="TMN22" s="19"/>
      <c r="TMO22" s="5"/>
      <c r="TMV22" s="19"/>
      <c r="TMW22" s="5"/>
      <c r="TND22" s="19"/>
      <c r="TNE22" s="5"/>
      <c r="TNL22" s="19"/>
      <c r="TNM22" s="5"/>
      <c r="TNT22" s="19"/>
      <c r="TNU22" s="5"/>
      <c r="TOB22" s="19"/>
      <c r="TOC22" s="5"/>
      <c r="TOJ22" s="19"/>
      <c r="TOK22" s="5"/>
      <c r="TOR22" s="19"/>
      <c r="TOS22" s="5"/>
      <c r="TOZ22" s="19"/>
      <c r="TPA22" s="5"/>
      <c r="TPH22" s="19"/>
      <c r="TPI22" s="5"/>
      <c r="TPP22" s="19"/>
      <c r="TPQ22" s="5"/>
      <c r="TPX22" s="19"/>
      <c r="TPY22" s="5"/>
      <c r="TQF22" s="19"/>
      <c r="TQG22" s="5"/>
      <c r="TQN22" s="19"/>
      <c r="TQO22" s="5"/>
      <c r="TQV22" s="19"/>
      <c r="TQW22" s="5"/>
      <c r="TRD22" s="19"/>
      <c r="TRE22" s="5"/>
      <c r="TRL22" s="19"/>
      <c r="TRM22" s="5"/>
      <c r="TRT22" s="19"/>
      <c r="TRU22" s="5"/>
      <c r="TSB22" s="19"/>
      <c r="TSC22" s="5"/>
      <c r="TSJ22" s="19"/>
      <c r="TSK22" s="5"/>
      <c r="TSR22" s="19"/>
      <c r="TSS22" s="5"/>
      <c r="TSZ22" s="19"/>
      <c r="TTA22" s="5"/>
      <c r="TTH22" s="19"/>
      <c r="TTI22" s="5"/>
      <c r="TTP22" s="19"/>
      <c r="TTQ22" s="5"/>
      <c r="TTX22" s="19"/>
      <c r="TTY22" s="5"/>
      <c r="TUF22" s="19"/>
      <c r="TUG22" s="5"/>
      <c r="TUN22" s="19"/>
      <c r="TUO22" s="5"/>
      <c r="TUV22" s="19"/>
      <c r="TUW22" s="5"/>
      <c r="TVD22" s="19"/>
      <c r="TVE22" s="5"/>
      <c r="TVL22" s="19"/>
      <c r="TVM22" s="5"/>
      <c r="TVT22" s="19"/>
      <c r="TVU22" s="5"/>
      <c r="TWB22" s="19"/>
      <c r="TWC22" s="5"/>
      <c r="TWJ22" s="19"/>
      <c r="TWK22" s="5"/>
      <c r="TWR22" s="19"/>
      <c r="TWS22" s="5"/>
      <c r="TWZ22" s="19"/>
      <c r="TXA22" s="5"/>
      <c r="TXH22" s="19"/>
      <c r="TXI22" s="5"/>
      <c r="TXP22" s="19"/>
      <c r="TXQ22" s="5"/>
      <c r="TXX22" s="19"/>
      <c r="TXY22" s="5"/>
      <c r="TYF22" s="19"/>
      <c r="TYG22" s="5"/>
      <c r="TYN22" s="19"/>
      <c r="TYO22" s="5"/>
      <c r="TYV22" s="19"/>
      <c r="TYW22" s="5"/>
      <c r="TZD22" s="19"/>
      <c r="TZE22" s="5"/>
      <c r="TZL22" s="19"/>
      <c r="TZM22" s="5"/>
      <c r="TZT22" s="19"/>
      <c r="TZU22" s="5"/>
      <c r="UAB22" s="19"/>
      <c r="UAC22" s="5"/>
      <c r="UAJ22" s="19"/>
      <c r="UAK22" s="5"/>
      <c r="UAR22" s="19"/>
      <c r="UAS22" s="5"/>
      <c r="UAZ22" s="19"/>
      <c r="UBA22" s="5"/>
      <c r="UBH22" s="19"/>
      <c r="UBI22" s="5"/>
      <c r="UBP22" s="19"/>
      <c r="UBQ22" s="5"/>
      <c r="UBX22" s="19"/>
      <c r="UBY22" s="5"/>
      <c r="UCF22" s="19"/>
      <c r="UCG22" s="5"/>
      <c r="UCN22" s="19"/>
      <c r="UCO22" s="5"/>
      <c r="UCV22" s="19"/>
      <c r="UCW22" s="5"/>
      <c r="UDD22" s="19"/>
      <c r="UDE22" s="5"/>
      <c r="UDL22" s="19"/>
      <c r="UDM22" s="5"/>
      <c r="UDT22" s="19"/>
      <c r="UDU22" s="5"/>
      <c r="UEB22" s="19"/>
      <c r="UEC22" s="5"/>
      <c r="UEJ22" s="19"/>
      <c r="UEK22" s="5"/>
      <c r="UER22" s="19"/>
      <c r="UES22" s="5"/>
      <c r="UEZ22" s="19"/>
      <c r="UFA22" s="5"/>
      <c r="UFH22" s="19"/>
      <c r="UFI22" s="5"/>
      <c r="UFP22" s="19"/>
      <c r="UFQ22" s="5"/>
      <c r="UFX22" s="19"/>
      <c r="UFY22" s="5"/>
      <c r="UGF22" s="19"/>
      <c r="UGG22" s="5"/>
      <c r="UGN22" s="19"/>
      <c r="UGO22" s="5"/>
      <c r="UGV22" s="19"/>
      <c r="UGW22" s="5"/>
      <c r="UHD22" s="19"/>
      <c r="UHE22" s="5"/>
      <c r="UHL22" s="19"/>
      <c r="UHM22" s="5"/>
      <c r="UHT22" s="19"/>
      <c r="UHU22" s="5"/>
      <c r="UIB22" s="19"/>
      <c r="UIC22" s="5"/>
      <c r="UIJ22" s="19"/>
      <c r="UIK22" s="5"/>
      <c r="UIR22" s="19"/>
      <c r="UIS22" s="5"/>
      <c r="UIZ22" s="19"/>
      <c r="UJA22" s="5"/>
      <c r="UJH22" s="19"/>
      <c r="UJI22" s="5"/>
      <c r="UJP22" s="19"/>
      <c r="UJQ22" s="5"/>
      <c r="UJX22" s="19"/>
      <c r="UJY22" s="5"/>
      <c r="UKF22" s="19"/>
      <c r="UKG22" s="5"/>
      <c r="UKN22" s="19"/>
      <c r="UKO22" s="5"/>
      <c r="UKV22" s="19"/>
      <c r="UKW22" s="5"/>
      <c r="ULD22" s="19"/>
      <c r="ULE22" s="5"/>
      <c r="ULL22" s="19"/>
      <c r="ULM22" s="5"/>
      <c r="ULT22" s="19"/>
      <c r="ULU22" s="5"/>
      <c r="UMB22" s="19"/>
      <c r="UMC22" s="5"/>
      <c r="UMJ22" s="19"/>
      <c r="UMK22" s="5"/>
      <c r="UMR22" s="19"/>
      <c r="UMS22" s="5"/>
      <c r="UMZ22" s="19"/>
      <c r="UNA22" s="5"/>
      <c r="UNH22" s="19"/>
      <c r="UNI22" s="5"/>
      <c r="UNP22" s="19"/>
      <c r="UNQ22" s="5"/>
      <c r="UNX22" s="19"/>
      <c r="UNY22" s="5"/>
      <c r="UOF22" s="19"/>
      <c r="UOG22" s="5"/>
      <c r="UON22" s="19"/>
      <c r="UOO22" s="5"/>
      <c r="UOV22" s="19"/>
      <c r="UOW22" s="5"/>
      <c r="UPD22" s="19"/>
      <c r="UPE22" s="5"/>
      <c r="UPL22" s="19"/>
      <c r="UPM22" s="5"/>
      <c r="UPT22" s="19"/>
      <c r="UPU22" s="5"/>
      <c r="UQB22" s="19"/>
      <c r="UQC22" s="5"/>
      <c r="UQJ22" s="19"/>
      <c r="UQK22" s="5"/>
      <c r="UQR22" s="19"/>
      <c r="UQS22" s="5"/>
      <c r="UQZ22" s="19"/>
      <c r="URA22" s="5"/>
      <c r="URH22" s="19"/>
      <c r="URI22" s="5"/>
      <c r="URP22" s="19"/>
      <c r="URQ22" s="5"/>
      <c r="URX22" s="19"/>
      <c r="URY22" s="5"/>
      <c r="USF22" s="19"/>
      <c r="USG22" s="5"/>
      <c r="USN22" s="19"/>
      <c r="USO22" s="5"/>
      <c r="USV22" s="19"/>
      <c r="USW22" s="5"/>
      <c r="UTD22" s="19"/>
      <c r="UTE22" s="5"/>
      <c r="UTL22" s="19"/>
      <c r="UTM22" s="5"/>
      <c r="UTT22" s="19"/>
      <c r="UTU22" s="5"/>
      <c r="UUB22" s="19"/>
      <c r="UUC22" s="5"/>
      <c r="UUJ22" s="19"/>
      <c r="UUK22" s="5"/>
      <c r="UUR22" s="19"/>
      <c r="UUS22" s="5"/>
      <c r="UUZ22" s="19"/>
      <c r="UVA22" s="5"/>
      <c r="UVH22" s="19"/>
      <c r="UVI22" s="5"/>
      <c r="UVP22" s="19"/>
      <c r="UVQ22" s="5"/>
      <c r="UVX22" s="19"/>
      <c r="UVY22" s="5"/>
      <c r="UWF22" s="19"/>
      <c r="UWG22" s="5"/>
      <c r="UWN22" s="19"/>
      <c r="UWO22" s="5"/>
      <c r="UWV22" s="19"/>
      <c r="UWW22" s="5"/>
      <c r="UXD22" s="19"/>
      <c r="UXE22" s="5"/>
      <c r="UXL22" s="19"/>
      <c r="UXM22" s="5"/>
      <c r="UXT22" s="19"/>
      <c r="UXU22" s="5"/>
      <c r="UYB22" s="19"/>
      <c r="UYC22" s="5"/>
      <c r="UYJ22" s="19"/>
      <c r="UYK22" s="5"/>
      <c r="UYR22" s="19"/>
      <c r="UYS22" s="5"/>
      <c r="UYZ22" s="19"/>
      <c r="UZA22" s="5"/>
      <c r="UZH22" s="19"/>
      <c r="UZI22" s="5"/>
      <c r="UZP22" s="19"/>
      <c r="UZQ22" s="5"/>
      <c r="UZX22" s="19"/>
      <c r="UZY22" s="5"/>
      <c r="VAF22" s="19"/>
      <c r="VAG22" s="5"/>
      <c r="VAN22" s="19"/>
      <c r="VAO22" s="5"/>
      <c r="VAV22" s="19"/>
      <c r="VAW22" s="5"/>
      <c r="VBD22" s="19"/>
      <c r="VBE22" s="5"/>
      <c r="VBL22" s="19"/>
      <c r="VBM22" s="5"/>
      <c r="VBT22" s="19"/>
      <c r="VBU22" s="5"/>
      <c r="VCB22" s="19"/>
      <c r="VCC22" s="5"/>
      <c r="VCJ22" s="19"/>
      <c r="VCK22" s="5"/>
      <c r="VCR22" s="19"/>
      <c r="VCS22" s="5"/>
      <c r="VCZ22" s="19"/>
      <c r="VDA22" s="5"/>
      <c r="VDH22" s="19"/>
      <c r="VDI22" s="5"/>
      <c r="VDP22" s="19"/>
      <c r="VDQ22" s="5"/>
      <c r="VDX22" s="19"/>
      <c r="VDY22" s="5"/>
      <c r="VEF22" s="19"/>
      <c r="VEG22" s="5"/>
      <c r="VEN22" s="19"/>
      <c r="VEO22" s="5"/>
      <c r="VEV22" s="19"/>
      <c r="VEW22" s="5"/>
      <c r="VFD22" s="19"/>
      <c r="VFE22" s="5"/>
      <c r="VFL22" s="19"/>
      <c r="VFM22" s="5"/>
      <c r="VFT22" s="19"/>
      <c r="VFU22" s="5"/>
      <c r="VGB22" s="19"/>
      <c r="VGC22" s="5"/>
      <c r="VGJ22" s="19"/>
      <c r="VGK22" s="5"/>
      <c r="VGR22" s="19"/>
      <c r="VGS22" s="5"/>
      <c r="VGZ22" s="19"/>
      <c r="VHA22" s="5"/>
      <c r="VHH22" s="19"/>
      <c r="VHI22" s="5"/>
      <c r="VHP22" s="19"/>
      <c r="VHQ22" s="5"/>
      <c r="VHX22" s="19"/>
      <c r="VHY22" s="5"/>
      <c r="VIF22" s="19"/>
      <c r="VIG22" s="5"/>
      <c r="VIN22" s="19"/>
      <c r="VIO22" s="5"/>
      <c r="VIV22" s="19"/>
      <c r="VIW22" s="5"/>
      <c r="VJD22" s="19"/>
      <c r="VJE22" s="5"/>
      <c r="VJL22" s="19"/>
      <c r="VJM22" s="5"/>
      <c r="VJT22" s="19"/>
      <c r="VJU22" s="5"/>
      <c r="VKB22" s="19"/>
      <c r="VKC22" s="5"/>
      <c r="VKJ22" s="19"/>
      <c r="VKK22" s="5"/>
      <c r="VKR22" s="19"/>
      <c r="VKS22" s="5"/>
      <c r="VKZ22" s="19"/>
      <c r="VLA22" s="5"/>
      <c r="VLH22" s="19"/>
      <c r="VLI22" s="5"/>
      <c r="VLP22" s="19"/>
      <c r="VLQ22" s="5"/>
      <c r="VLX22" s="19"/>
      <c r="VLY22" s="5"/>
      <c r="VMF22" s="19"/>
      <c r="VMG22" s="5"/>
      <c r="VMN22" s="19"/>
      <c r="VMO22" s="5"/>
      <c r="VMV22" s="19"/>
      <c r="VMW22" s="5"/>
      <c r="VND22" s="19"/>
      <c r="VNE22" s="5"/>
      <c r="VNL22" s="19"/>
      <c r="VNM22" s="5"/>
      <c r="VNT22" s="19"/>
      <c r="VNU22" s="5"/>
      <c r="VOB22" s="19"/>
      <c r="VOC22" s="5"/>
      <c r="VOJ22" s="19"/>
      <c r="VOK22" s="5"/>
      <c r="VOR22" s="19"/>
      <c r="VOS22" s="5"/>
      <c r="VOZ22" s="19"/>
      <c r="VPA22" s="5"/>
      <c r="VPH22" s="19"/>
      <c r="VPI22" s="5"/>
      <c r="VPP22" s="19"/>
      <c r="VPQ22" s="5"/>
      <c r="VPX22" s="19"/>
      <c r="VPY22" s="5"/>
      <c r="VQF22" s="19"/>
      <c r="VQG22" s="5"/>
      <c r="VQN22" s="19"/>
      <c r="VQO22" s="5"/>
      <c r="VQV22" s="19"/>
      <c r="VQW22" s="5"/>
      <c r="VRD22" s="19"/>
      <c r="VRE22" s="5"/>
      <c r="VRL22" s="19"/>
      <c r="VRM22" s="5"/>
      <c r="VRT22" s="19"/>
      <c r="VRU22" s="5"/>
      <c r="VSB22" s="19"/>
      <c r="VSC22" s="5"/>
      <c r="VSJ22" s="19"/>
      <c r="VSK22" s="5"/>
      <c r="VSR22" s="19"/>
      <c r="VSS22" s="5"/>
      <c r="VSZ22" s="19"/>
      <c r="VTA22" s="5"/>
      <c r="VTH22" s="19"/>
      <c r="VTI22" s="5"/>
      <c r="VTP22" s="19"/>
      <c r="VTQ22" s="5"/>
      <c r="VTX22" s="19"/>
      <c r="VTY22" s="5"/>
      <c r="VUF22" s="19"/>
      <c r="VUG22" s="5"/>
      <c r="VUN22" s="19"/>
      <c r="VUO22" s="5"/>
      <c r="VUV22" s="19"/>
      <c r="VUW22" s="5"/>
      <c r="VVD22" s="19"/>
      <c r="VVE22" s="5"/>
      <c r="VVL22" s="19"/>
      <c r="VVM22" s="5"/>
      <c r="VVT22" s="19"/>
      <c r="VVU22" s="5"/>
      <c r="VWB22" s="19"/>
      <c r="VWC22" s="5"/>
      <c r="VWJ22" s="19"/>
      <c r="VWK22" s="5"/>
      <c r="VWR22" s="19"/>
      <c r="VWS22" s="5"/>
      <c r="VWZ22" s="19"/>
      <c r="VXA22" s="5"/>
      <c r="VXH22" s="19"/>
      <c r="VXI22" s="5"/>
      <c r="VXP22" s="19"/>
      <c r="VXQ22" s="5"/>
      <c r="VXX22" s="19"/>
      <c r="VXY22" s="5"/>
      <c r="VYF22" s="19"/>
      <c r="VYG22" s="5"/>
      <c r="VYN22" s="19"/>
      <c r="VYO22" s="5"/>
      <c r="VYV22" s="19"/>
      <c r="VYW22" s="5"/>
      <c r="VZD22" s="19"/>
      <c r="VZE22" s="5"/>
      <c r="VZL22" s="19"/>
      <c r="VZM22" s="5"/>
      <c r="VZT22" s="19"/>
      <c r="VZU22" s="5"/>
      <c r="WAB22" s="19"/>
      <c r="WAC22" s="5"/>
      <c r="WAJ22" s="19"/>
      <c r="WAK22" s="5"/>
      <c r="WAR22" s="19"/>
      <c r="WAS22" s="5"/>
      <c r="WAZ22" s="19"/>
      <c r="WBA22" s="5"/>
      <c r="WBH22" s="19"/>
      <c r="WBI22" s="5"/>
      <c r="WBP22" s="19"/>
      <c r="WBQ22" s="5"/>
      <c r="WBX22" s="19"/>
      <c r="WBY22" s="5"/>
      <c r="WCF22" s="19"/>
      <c r="WCG22" s="5"/>
      <c r="WCN22" s="19"/>
      <c r="WCO22" s="5"/>
      <c r="WCV22" s="19"/>
      <c r="WCW22" s="5"/>
      <c r="WDD22" s="19"/>
      <c r="WDE22" s="5"/>
      <c r="WDL22" s="19"/>
      <c r="WDM22" s="5"/>
      <c r="WDT22" s="19"/>
      <c r="WDU22" s="5"/>
      <c r="WEB22" s="19"/>
      <c r="WEC22" s="5"/>
      <c r="WEJ22" s="19"/>
      <c r="WEK22" s="5"/>
      <c r="WER22" s="19"/>
      <c r="WES22" s="5"/>
      <c r="WEZ22" s="19"/>
      <c r="WFA22" s="5"/>
      <c r="WFH22" s="19"/>
      <c r="WFI22" s="5"/>
      <c r="WFP22" s="19"/>
      <c r="WFQ22" s="5"/>
      <c r="WFX22" s="19"/>
      <c r="WFY22" s="5"/>
      <c r="WGF22" s="19"/>
      <c r="WGG22" s="5"/>
      <c r="WGN22" s="19"/>
      <c r="WGO22" s="5"/>
      <c r="WGV22" s="19"/>
      <c r="WGW22" s="5"/>
      <c r="WHD22" s="19"/>
      <c r="WHE22" s="5"/>
      <c r="WHL22" s="19"/>
      <c r="WHM22" s="5"/>
      <c r="WHT22" s="19"/>
      <c r="WHU22" s="5"/>
      <c r="WIB22" s="19"/>
      <c r="WIC22" s="5"/>
      <c r="WIJ22" s="19"/>
      <c r="WIK22" s="5"/>
      <c r="WIR22" s="19"/>
      <c r="WIS22" s="5"/>
      <c r="WIZ22" s="19"/>
      <c r="WJA22" s="5"/>
      <c r="WJH22" s="19"/>
      <c r="WJI22" s="5"/>
      <c r="WJP22" s="19"/>
      <c r="WJQ22" s="5"/>
      <c r="WJX22" s="19"/>
      <c r="WJY22" s="5"/>
      <c r="WKF22" s="19"/>
      <c r="WKG22" s="5"/>
      <c r="WKN22" s="19"/>
      <c r="WKO22" s="5"/>
      <c r="WKV22" s="19"/>
      <c r="WKW22" s="5"/>
      <c r="WLD22" s="19"/>
      <c r="WLE22" s="5"/>
      <c r="WLL22" s="19"/>
      <c r="WLM22" s="5"/>
      <c r="WLT22" s="19"/>
      <c r="WLU22" s="5"/>
      <c r="WMB22" s="19"/>
      <c r="WMC22" s="5"/>
      <c r="WMJ22" s="19"/>
      <c r="WMK22" s="5"/>
      <c r="WMR22" s="19"/>
      <c r="WMS22" s="5"/>
      <c r="WMZ22" s="19"/>
      <c r="WNA22" s="5"/>
      <c r="WNH22" s="19"/>
      <c r="WNI22" s="5"/>
      <c r="WNP22" s="19"/>
      <c r="WNQ22" s="5"/>
      <c r="WNX22" s="19"/>
      <c r="WNY22" s="5"/>
      <c r="WOF22" s="19"/>
      <c r="WOG22" s="5"/>
      <c r="WON22" s="19"/>
      <c r="WOO22" s="5"/>
      <c r="WOV22" s="19"/>
      <c r="WOW22" s="5"/>
      <c r="WPD22" s="19"/>
      <c r="WPE22" s="5"/>
      <c r="WPL22" s="19"/>
      <c r="WPM22" s="5"/>
      <c r="WPT22" s="19"/>
      <c r="WPU22" s="5"/>
      <c r="WQB22" s="19"/>
      <c r="WQC22" s="5"/>
      <c r="WQJ22" s="19"/>
      <c r="WQK22" s="5"/>
      <c r="WQR22" s="19"/>
      <c r="WQS22" s="5"/>
      <c r="WQZ22" s="19"/>
      <c r="WRA22" s="5"/>
      <c r="WRH22" s="19"/>
      <c r="WRI22" s="5"/>
      <c r="WRP22" s="19"/>
      <c r="WRQ22" s="5"/>
      <c r="WRX22" s="19"/>
      <c r="WRY22" s="5"/>
      <c r="WSF22" s="19"/>
      <c r="WSG22" s="5"/>
      <c r="WSN22" s="19"/>
      <c r="WSO22" s="5"/>
      <c r="WSV22" s="19"/>
      <c r="WSW22" s="5"/>
      <c r="WTD22" s="19"/>
      <c r="WTE22" s="5"/>
      <c r="WTL22" s="19"/>
      <c r="WTM22" s="5"/>
      <c r="WTT22" s="19"/>
      <c r="WTU22" s="5"/>
      <c r="WUB22" s="19"/>
      <c r="WUC22" s="5"/>
      <c r="WUJ22" s="19"/>
      <c r="WUK22" s="5"/>
      <c r="WUR22" s="19"/>
      <c r="WUS22" s="5"/>
      <c r="WUZ22" s="19"/>
      <c r="WVA22" s="5"/>
      <c r="WVH22" s="19"/>
      <c r="WVI22" s="5"/>
      <c r="WVP22" s="19"/>
      <c r="WVQ22" s="5"/>
      <c r="WVX22" s="19"/>
      <c r="WVY22" s="5"/>
      <c r="WWF22" s="19"/>
      <c r="WWG22" s="5"/>
      <c r="WWN22" s="19"/>
      <c r="WWO22" s="5"/>
      <c r="WWV22" s="19"/>
      <c r="WWW22" s="5"/>
      <c r="WXD22" s="19"/>
      <c r="WXE22" s="5"/>
      <c r="WXL22" s="19"/>
      <c r="WXM22" s="5"/>
      <c r="WXT22" s="19"/>
      <c r="WXU22" s="5"/>
      <c r="WYB22" s="19"/>
      <c r="WYC22" s="5"/>
      <c r="WYJ22" s="19"/>
      <c r="WYK22" s="5"/>
      <c r="WYR22" s="19"/>
      <c r="WYS22" s="5"/>
      <c r="WYZ22" s="19"/>
      <c r="WZA22" s="5"/>
      <c r="WZH22" s="19"/>
      <c r="WZI22" s="5"/>
      <c r="WZP22" s="19"/>
      <c r="WZQ22" s="5"/>
      <c r="WZX22" s="19"/>
      <c r="WZY22" s="5"/>
      <c r="XAF22" s="19"/>
      <c r="XAG22" s="5"/>
      <c r="XAN22" s="19"/>
      <c r="XAO22" s="5"/>
      <c r="XAV22" s="19"/>
      <c r="XAW22" s="5"/>
      <c r="XBD22" s="19"/>
      <c r="XBE22" s="5"/>
      <c r="XBL22" s="19"/>
      <c r="XBM22" s="5"/>
      <c r="XBT22" s="19"/>
      <c r="XBU22" s="5"/>
      <c r="XCB22" s="19"/>
      <c r="XCC22" s="5"/>
      <c r="XCJ22" s="19"/>
      <c r="XCK22" s="5"/>
      <c r="XCR22" s="19"/>
      <c r="XCS22" s="5"/>
      <c r="XCZ22" s="19"/>
      <c r="XDA22" s="5"/>
      <c r="XDH22" s="19"/>
      <c r="XDI22" s="5"/>
      <c r="XDP22" s="19"/>
      <c r="XDQ22" s="5"/>
      <c r="XDX22" s="19"/>
      <c r="XDY22" s="5"/>
      <c r="XEF22" s="19"/>
      <c r="XEG22" s="5"/>
      <c r="XEN22" s="19"/>
      <c r="XEO22" s="5"/>
      <c r="XEV22" s="19"/>
      <c r="XEW22" s="5"/>
      <c r="XFD22" s="19"/>
    </row>
    <row r="23" spans="1:16384" customFormat="1" hidden="1" x14ac:dyDescent="0.25">
      <c r="A23" s="97"/>
      <c r="B23" s="97"/>
      <c r="C23" s="97"/>
      <c r="D23" s="97"/>
      <c r="E23" s="97"/>
      <c r="F23" s="97"/>
      <c r="G23" s="97"/>
      <c r="H23" s="94"/>
      <c r="Q23" s="5"/>
      <c r="X23" s="19"/>
      <c r="Y23" s="5"/>
      <c r="AF23" s="19"/>
      <c r="AG23" s="5"/>
      <c r="AN23" s="19"/>
      <c r="AO23" s="5"/>
      <c r="AV23" s="19"/>
      <c r="AW23" s="5"/>
      <c r="BD23" s="19"/>
      <c r="BE23" s="5"/>
      <c r="BL23" s="19"/>
      <c r="BM23" s="5"/>
      <c r="BT23" s="19"/>
      <c r="BU23" s="5"/>
      <c r="CB23" s="19"/>
      <c r="CC23" s="5"/>
      <c r="CJ23" s="19"/>
      <c r="CK23" s="5"/>
      <c r="CR23" s="19"/>
      <c r="CS23" s="5"/>
      <c r="CZ23" s="19"/>
      <c r="DA23" s="5"/>
      <c r="DH23" s="19"/>
      <c r="DI23" s="5"/>
      <c r="DP23" s="19"/>
      <c r="DQ23" s="5"/>
      <c r="DX23" s="19"/>
      <c r="DY23" s="5"/>
      <c r="EF23" s="19"/>
      <c r="EG23" s="5"/>
      <c r="EN23" s="19"/>
      <c r="EO23" s="5"/>
      <c r="EV23" s="19"/>
      <c r="EW23" s="5"/>
      <c r="FD23" s="19"/>
      <c r="FE23" s="5"/>
      <c r="FL23" s="19"/>
      <c r="FM23" s="5"/>
      <c r="FT23" s="19"/>
      <c r="FU23" s="5"/>
      <c r="GB23" s="19"/>
      <c r="GC23" s="5"/>
      <c r="GJ23" s="19"/>
      <c r="GK23" s="5"/>
      <c r="GR23" s="19"/>
      <c r="GS23" s="5"/>
      <c r="GZ23" s="19"/>
      <c r="HA23" s="5"/>
      <c r="HH23" s="19"/>
      <c r="HI23" s="5"/>
      <c r="HP23" s="19"/>
      <c r="HQ23" s="5"/>
      <c r="HX23" s="19"/>
      <c r="HY23" s="5"/>
      <c r="IF23" s="19"/>
      <c r="IG23" s="5"/>
      <c r="IN23" s="19"/>
      <c r="IO23" s="5"/>
      <c r="IV23" s="19"/>
      <c r="IW23" s="5"/>
      <c r="JD23" s="19"/>
      <c r="JE23" s="5"/>
      <c r="JL23" s="19"/>
      <c r="JM23" s="5"/>
      <c r="JT23" s="19"/>
      <c r="JU23" s="5"/>
      <c r="KB23" s="19"/>
      <c r="KC23" s="5"/>
      <c r="KJ23" s="19"/>
      <c r="KK23" s="5"/>
      <c r="KR23" s="19"/>
      <c r="KS23" s="5"/>
      <c r="KZ23" s="19"/>
      <c r="LA23" s="5"/>
      <c r="LH23" s="19"/>
      <c r="LI23" s="5"/>
      <c r="LP23" s="19"/>
      <c r="LQ23" s="5"/>
      <c r="LX23" s="19"/>
      <c r="LY23" s="5"/>
      <c r="MF23" s="19"/>
      <c r="MG23" s="5"/>
      <c r="MN23" s="19"/>
      <c r="MO23" s="5"/>
      <c r="MV23" s="19"/>
      <c r="MW23" s="5"/>
      <c r="ND23" s="19"/>
      <c r="NE23" s="5"/>
      <c r="NL23" s="19"/>
      <c r="NM23" s="5"/>
      <c r="NT23" s="19"/>
      <c r="NU23" s="5"/>
      <c r="OB23" s="19"/>
      <c r="OC23" s="5"/>
      <c r="OJ23" s="19"/>
      <c r="OK23" s="5"/>
      <c r="OR23" s="19"/>
      <c r="OS23" s="5"/>
      <c r="OZ23" s="19"/>
      <c r="PA23" s="5"/>
      <c r="PH23" s="19"/>
      <c r="PI23" s="5"/>
      <c r="PP23" s="19"/>
      <c r="PQ23" s="5"/>
      <c r="PX23" s="19"/>
      <c r="PY23" s="5"/>
      <c r="QF23" s="19"/>
      <c r="QG23" s="5"/>
      <c r="QN23" s="19"/>
      <c r="QO23" s="5"/>
      <c r="QV23" s="19"/>
      <c r="QW23" s="5"/>
      <c r="RD23" s="19"/>
      <c r="RE23" s="5"/>
      <c r="RL23" s="19"/>
      <c r="RM23" s="5"/>
      <c r="RT23" s="19"/>
      <c r="RU23" s="5"/>
      <c r="SB23" s="19"/>
      <c r="SC23" s="5"/>
      <c r="SJ23" s="19"/>
      <c r="SK23" s="5"/>
      <c r="SR23" s="19"/>
      <c r="SS23" s="5"/>
      <c r="SZ23" s="19"/>
      <c r="TA23" s="5"/>
      <c r="TH23" s="19"/>
      <c r="TI23" s="5"/>
      <c r="TP23" s="19"/>
      <c r="TQ23" s="5"/>
      <c r="TX23" s="19"/>
      <c r="TY23" s="5"/>
      <c r="UF23" s="19"/>
      <c r="UG23" s="5"/>
      <c r="UN23" s="19"/>
      <c r="UO23" s="5"/>
      <c r="UV23" s="19"/>
      <c r="UW23" s="5"/>
      <c r="VD23" s="19"/>
      <c r="VE23" s="5"/>
      <c r="VL23" s="19"/>
      <c r="VM23" s="5"/>
      <c r="VT23" s="19"/>
      <c r="VU23" s="5"/>
      <c r="WB23" s="19"/>
      <c r="WC23" s="5"/>
      <c r="WJ23" s="19"/>
      <c r="WK23" s="5"/>
      <c r="WR23" s="19"/>
      <c r="WS23" s="5"/>
      <c r="WZ23" s="19"/>
      <c r="XA23" s="5"/>
      <c r="XH23" s="19"/>
      <c r="XI23" s="5"/>
      <c r="XP23" s="19"/>
      <c r="XQ23" s="5"/>
      <c r="XX23" s="19"/>
      <c r="XY23" s="5"/>
      <c r="YF23" s="19"/>
      <c r="YG23" s="5"/>
      <c r="YN23" s="19"/>
      <c r="YO23" s="5"/>
      <c r="YV23" s="19"/>
      <c r="YW23" s="5"/>
      <c r="ZD23" s="19"/>
      <c r="ZE23" s="5"/>
      <c r="ZL23" s="19"/>
      <c r="ZM23" s="5"/>
      <c r="ZT23" s="19"/>
      <c r="ZU23" s="5"/>
      <c r="AAB23" s="19"/>
      <c r="AAC23" s="5"/>
      <c r="AAJ23" s="19"/>
      <c r="AAK23" s="5"/>
      <c r="AAR23" s="19"/>
      <c r="AAS23" s="5"/>
      <c r="AAZ23" s="19"/>
      <c r="ABA23" s="5"/>
      <c r="ABH23" s="19"/>
      <c r="ABI23" s="5"/>
      <c r="ABP23" s="19"/>
      <c r="ABQ23" s="5"/>
      <c r="ABX23" s="19"/>
      <c r="ABY23" s="5"/>
      <c r="ACF23" s="19"/>
      <c r="ACG23" s="5"/>
      <c r="ACN23" s="19"/>
      <c r="ACO23" s="5"/>
      <c r="ACV23" s="19"/>
      <c r="ACW23" s="5"/>
      <c r="ADD23" s="19"/>
      <c r="ADE23" s="5"/>
      <c r="ADL23" s="19"/>
      <c r="ADM23" s="5"/>
      <c r="ADT23" s="19"/>
      <c r="ADU23" s="5"/>
      <c r="AEB23" s="19"/>
      <c r="AEC23" s="5"/>
      <c r="AEJ23" s="19"/>
      <c r="AEK23" s="5"/>
      <c r="AER23" s="19"/>
      <c r="AES23" s="5"/>
      <c r="AEZ23" s="19"/>
      <c r="AFA23" s="5"/>
      <c r="AFH23" s="19"/>
      <c r="AFI23" s="5"/>
      <c r="AFP23" s="19"/>
      <c r="AFQ23" s="5"/>
      <c r="AFX23" s="19"/>
      <c r="AFY23" s="5"/>
      <c r="AGF23" s="19"/>
      <c r="AGG23" s="5"/>
      <c r="AGN23" s="19"/>
      <c r="AGO23" s="5"/>
      <c r="AGV23" s="19"/>
      <c r="AGW23" s="5"/>
      <c r="AHD23" s="19"/>
      <c r="AHE23" s="5"/>
      <c r="AHL23" s="19"/>
      <c r="AHM23" s="5"/>
      <c r="AHT23" s="19"/>
      <c r="AHU23" s="5"/>
      <c r="AIB23" s="19"/>
      <c r="AIC23" s="5"/>
      <c r="AIJ23" s="19"/>
      <c r="AIK23" s="5"/>
      <c r="AIR23" s="19"/>
      <c r="AIS23" s="5"/>
      <c r="AIZ23" s="19"/>
      <c r="AJA23" s="5"/>
      <c r="AJH23" s="19"/>
      <c r="AJI23" s="5"/>
      <c r="AJP23" s="19"/>
      <c r="AJQ23" s="5"/>
      <c r="AJX23" s="19"/>
      <c r="AJY23" s="5"/>
      <c r="AKF23" s="19"/>
      <c r="AKG23" s="5"/>
      <c r="AKN23" s="19"/>
      <c r="AKO23" s="5"/>
      <c r="AKV23" s="19"/>
      <c r="AKW23" s="5"/>
      <c r="ALD23" s="19"/>
      <c r="ALE23" s="5"/>
      <c r="ALL23" s="19"/>
      <c r="ALM23" s="5"/>
      <c r="ALT23" s="19"/>
      <c r="ALU23" s="5"/>
      <c r="AMB23" s="19"/>
      <c r="AMC23" s="5"/>
      <c r="AMJ23" s="19"/>
      <c r="AMK23" s="5"/>
      <c r="AMR23" s="19"/>
      <c r="AMS23" s="5"/>
      <c r="AMZ23" s="19"/>
      <c r="ANA23" s="5"/>
      <c r="ANH23" s="19"/>
      <c r="ANI23" s="5"/>
      <c r="ANP23" s="19"/>
      <c r="ANQ23" s="5"/>
      <c r="ANX23" s="19"/>
      <c r="ANY23" s="5"/>
      <c r="AOF23" s="19"/>
      <c r="AOG23" s="5"/>
      <c r="AON23" s="19"/>
      <c r="AOO23" s="5"/>
      <c r="AOV23" s="19"/>
      <c r="AOW23" s="5"/>
      <c r="APD23" s="19"/>
      <c r="APE23" s="5"/>
      <c r="APL23" s="19"/>
      <c r="APM23" s="5"/>
      <c r="APT23" s="19"/>
      <c r="APU23" s="5"/>
      <c r="AQB23" s="19"/>
      <c r="AQC23" s="5"/>
      <c r="AQJ23" s="19"/>
      <c r="AQK23" s="5"/>
      <c r="AQR23" s="19"/>
      <c r="AQS23" s="5"/>
      <c r="AQZ23" s="19"/>
      <c r="ARA23" s="5"/>
      <c r="ARH23" s="19"/>
      <c r="ARI23" s="5"/>
      <c r="ARP23" s="19"/>
      <c r="ARQ23" s="5"/>
      <c r="ARX23" s="19"/>
      <c r="ARY23" s="5"/>
      <c r="ASF23" s="19"/>
      <c r="ASG23" s="5"/>
      <c r="ASN23" s="19"/>
      <c r="ASO23" s="5"/>
      <c r="ASV23" s="19"/>
      <c r="ASW23" s="5"/>
      <c r="ATD23" s="19"/>
      <c r="ATE23" s="5"/>
      <c r="ATL23" s="19"/>
      <c r="ATM23" s="5"/>
      <c r="ATT23" s="19"/>
      <c r="ATU23" s="5"/>
      <c r="AUB23" s="19"/>
      <c r="AUC23" s="5"/>
      <c r="AUJ23" s="19"/>
      <c r="AUK23" s="5"/>
      <c r="AUR23" s="19"/>
      <c r="AUS23" s="5"/>
      <c r="AUZ23" s="19"/>
      <c r="AVA23" s="5"/>
      <c r="AVH23" s="19"/>
      <c r="AVI23" s="5"/>
      <c r="AVP23" s="19"/>
      <c r="AVQ23" s="5"/>
      <c r="AVX23" s="19"/>
      <c r="AVY23" s="5"/>
      <c r="AWF23" s="19"/>
      <c r="AWG23" s="5"/>
      <c r="AWN23" s="19"/>
      <c r="AWO23" s="5"/>
      <c r="AWV23" s="19"/>
      <c r="AWW23" s="5"/>
      <c r="AXD23" s="19"/>
      <c r="AXE23" s="5"/>
      <c r="AXL23" s="19"/>
      <c r="AXM23" s="5"/>
      <c r="AXT23" s="19"/>
      <c r="AXU23" s="5"/>
      <c r="AYB23" s="19"/>
      <c r="AYC23" s="5"/>
      <c r="AYJ23" s="19"/>
      <c r="AYK23" s="5"/>
      <c r="AYR23" s="19"/>
      <c r="AYS23" s="5"/>
      <c r="AYZ23" s="19"/>
      <c r="AZA23" s="5"/>
      <c r="AZH23" s="19"/>
      <c r="AZI23" s="5"/>
      <c r="AZP23" s="19"/>
      <c r="AZQ23" s="5"/>
      <c r="AZX23" s="19"/>
      <c r="AZY23" s="5"/>
      <c r="BAF23" s="19"/>
      <c r="BAG23" s="5"/>
      <c r="BAN23" s="19"/>
      <c r="BAO23" s="5"/>
      <c r="BAV23" s="19"/>
      <c r="BAW23" s="5"/>
      <c r="BBD23" s="19"/>
      <c r="BBE23" s="5"/>
      <c r="BBL23" s="19"/>
      <c r="BBM23" s="5"/>
      <c r="BBT23" s="19"/>
      <c r="BBU23" s="5"/>
      <c r="BCB23" s="19"/>
      <c r="BCC23" s="5"/>
      <c r="BCJ23" s="19"/>
      <c r="BCK23" s="5"/>
      <c r="BCR23" s="19"/>
      <c r="BCS23" s="5"/>
      <c r="BCZ23" s="19"/>
      <c r="BDA23" s="5"/>
      <c r="BDH23" s="19"/>
      <c r="BDI23" s="5"/>
      <c r="BDP23" s="19"/>
      <c r="BDQ23" s="5"/>
      <c r="BDX23" s="19"/>
      <c r="BDY23" s="5"/>
      <c r="BEF23" s="19"/>
      <c r="BEG23" s="5"/>
      <c r="BEN23" s="19"/>
      <c r="BEO23" s="5"/>
      <c r="BEV23" s="19"/>
      <c r="BEW23" s="5"/>
      <c r="BFD23" s="19"/>
      <c r="BFE23" s="5"/>
      <c r="BFL23" s="19"/>
      <c r="BFM23" s="5"/>
      <c r="BFT23" s="19"/>
      <c r="BFU23" s="5"/>
      <c r="BGB23" s="19"/>
      <c r="BGC23" s="5"/>
      <c r="BGJ23" s="19"/>
      <c r="BGK23" s="5"/>
      <c r="BGR23" s="19"/>
      <c r="BGS23" s="5"/>
      <c r="BGZ23" s="19"/>
      <c r="BHA23" s="5"/>
      <c r="BHH23" s="19"/>
      <c r="BHI23" s="5"/>
      <c r="BHP23" s="19"/>
      <c r="BHQ23" s="5"/>
      <c r="BHX23" s="19"/>
      <c r="BHY23" s="5"/>
      <c r="BIF23" s="19"/>
      <c r="BIG23" s="5"/>
      <c r="BIN23" s="19"/>
      <c r="BIO23" s="5"/>
      <c r="BIV23" s="19"/>
      <c r="BIW23" s="5"/>
      <c r="BJD23" s="19"/>
      <c r="BJE23" s="5"/>
      <c r="BJL23" s="19"/>
      <c r="BJM23" s="5"/>
      <c r="BJT23" s="19"/>
      <c r="BJU23" s="5"/>
      <c r="BKB23" s="19"/>
      <c r="BKC23" s="5"/>
      <c r="BKJ23" s="19"/>
      <c r="BKK23" s="5"/>
      <c r="BKR23" s="19"/>
      <c r="BKS23" s="5"/>
      <c r="BKZ23" s="19"/>
      <c r="BLA23" s="5"/>
      <c r="BLH23" s="19"/>
      <c r="BLI23" s="5"/>
      <c r="BLP23" s="19"/>
      <c r="BLQ23" s="5"/>
      <c r="BLX23" s="19"/>
      <c r="BLY23" s="5"/>
      <c r="BMF23" s="19"/>
      <c r="BMG23" s="5"/>
      <c r="BMN23" s="19"/>
      <c r="BMO23" s="5"/>
      <c r="BMV23" s="19"/>
      <c r="BMW23" s="5"/>
      <c r="BND23" s="19"/>
      <c r="BNE23" s="5"/>
      <c r="BNL23" s="19"/>
      <c r="BNM23" s="5"/>
      <c r="BNT23" s="19"/>
      <c r="BNU23" s="5"/>
      <c r="BOB23" s="19"/>
      <c r="BOC23" s="5"/>
      <c r="BOJ23" s="19"/>
      <c r="BOK23" s="5"/>
      <c r="BOR23" s="19"/>
      <c r="BOS23" s="5"/>
      <c r="BOZ23" s="19"/>
      <c r="BPA23" s="5"/>
      <c r="BPH23" s="19"/>
      <c r="BPI23" s="5"/>
      <c r="BPP23" s="19"/>
      <c r="BPQ23" s="5"/>
      <c r="BPX23" s="19"/>
      <c r="BPY23" s="5"/>
      <c r="BQF23" s="19"/>
      <c r="BQG23" s="5"/>
      <c r="BQN23" s="19"/>
      <c r="BQO23" s="5"/>
      <c r="BQV23" s="19"/>
      <c r="BQW23" s="5"/>
      <c r="BRD23" s="19"/>
      <c r="BRE23" s="5"/>
      <c r="BRL23" s="19"/>
      <c r="BRM23" s="5"/>
      <c r="BRT23" s="19"/>
      <c r="BRU23" s="5"/>
      <c r="BSB23" s="19"/>
      <c r="BSC23" s="5"/>
      <c r="BSJ23" s="19"/>
      <c r="BSK23" s="5"/>
      <c r="BSR23" s="19"/>
      <c r="BSS23" s="5"/>
      <c r="BSZ23" s="19"/>
      <c r="BTA23" s="5"/>
      <c r="BTH23" s="19"/>
      <c r="BTI23" s="5"/>
      <c r="BTP23" s="19"/>
      <c r="BTQ23" s="5"/>
      <c r="BTX23" s="19"/>
      <c r="BTY23" s="5"/>
      <c r="BUF23" s="19"/>
      <c r="BUG23" s="5"/>
      <c r="BUN23" s="19"/>
      <c r="BUO23" s="5"/>
      <c r="BUV23" s="19"/>
      <c r="BUW23" s="5"/>
      <c r="BVD23" s="19"/>
      <c r="BVE23" s="5"/>
      <c r="BVL23" s="19"/>
      <c r="BVM23" s="5"/>
      <c r="BVT23" s="19"/>
      <c r="BVU23" s="5"/>
      <c r="BWB23" s="19"/>
      <c r="BWC23" s="5"/>
      <c r="BWJ23" s="19"/>
      <c r="BWK23" s="5"/>
      <c r="BWR23" s="19"/>
      <c r="BWS23" s="5"/>
      <c r="BWZ23" s="19"/>
      <c r="BXA23" s="5"/>
      <c r="BXH23" s="19"/>
      <c r="BXI23" s="5"/>
      <c r="BXP23" s="19"/>
      <c r="BXQ23" s="5"/>
      <c r="BXX23" s="19"/>
      <c r="BXY23" s="5"/>
      <c r="BYF23" s="19"/>
      <c r="BYG23" s="5"/>
      <c r="BYN23" s="19"/>
      <c r="BYO23" s="5"/>
      <c r="BYV23" s="19"/>
      <c r="BYW23" s="5"/>
      <c r="BZD23" s="19"/>
      <c r="BZE23" s="5"/>
      <c r="BZL23" s="19"/>
      <c r="BZM23" s="5"/>
      <c r="BZT23" s="19"/>
      <c r="BZU23" s="5"/>
      <c r="CAB23" s="19"/>
      <c r="CAC23" s="5"/>
      <c r="CAJ23" s="19"/>
      <c r="CAK23" s="5"/>
      <c r="CAR23" s="19"/>
      <c r="CAS23" s="5"/>
      <c r="CAZ23" s="19"/>
      <c r="CBA23" s="5"/>
      <c r="CBH23" s="19"/>
      <c r="CBI23" s="5"/>
      <c r="CBP23" s="19"/>
      <c r="CBQ23" s="5"/>
      <c r="CBX23" s="19"/>
      <c r="CBY23" s="5"/>
      <c r="CCF23" s="19"/>
      <c r="CCG23" s="5"/>
      <c r="CCN23" s="19"/>
      <c r="CCO23" s="5"/>
      <c r="CCV23" s="19"/>
      <c r="CCW23" s="5"/>
      <c r="CDD23" s="19"/>
      <c r="CDE23" s="5"/>
      <c r="CDL23" s="19"/>
      <c r="CDM23" s="5"/>
      <c r="CDT23" s="19"/>
      <c r="CDU23" s="5"/>
      <c r="CEB23" s="19"/>
      <c r="CEC23" s="5"/>
      <c r="CEJ23" s="19"/>
      <c r="CEK23" s="5"/>
      <c r="CER23" s="19"/>
      <c r="CES23" s="5"/>
      <c r="CEZ23" s="19"/>
      <c r="CFA23" s="5"/>
      <c r="CFH23" s="19"/>
      <c r="CFI23" s="5"/>
      <c r="CFP23" s="19"/>
      <c r="CFQ23" s="5"/>
      <c r="CFX23" s="19"/>
      <c r="CFY23" s="5"/>
      <c r="CGF23" s="19"/>
      <c r="CGG23" s="5"/>
      <c r="CGN23" s="19"/>
      <c r="CGO23" s="5"/>
      <c r="CGV23" s="19"/>
      <c r="CGW23" s="5"/>
      <c r="CHD23" s="19"/>
      <c r="CHE23" s="5"/>
      <c r="CHL23" s="19"/>
      <c r="CHM23" s="5"/>
      <c r="CHT23" s="19"/>
      <c r="CHU23" s="5"/>
      <c r="CIB23" s="19"/>
      <c r="CIC23" s="5"/>
      <c r="CIJ23" s="19"/>
      <c r="CIK23" s="5"/>
      <c r="CIR23" s="19"/>
      <c r="CIS23" s="5"/>
      <c r="CIZ23" s="19"/>
      <c r="CJA23" s="5"/>
      <c r="CJH23" s="19"/>
      <c r="CJI23" s="5"/>
      <c r="CJP23" s="19"/>
      <c r="CJQ23" s="5"/>
      <c r="CJX23" s="19"/>
      <c r="CJY23" s="5"/>
      <c r="CKF23" s="19"/>
      <c r="CKG23" s="5"/>
      <c r="CKN23" s="19"/>
      <c r="CKO23" s="5"/>
      <c r="CKV23" s="19"/>
      <c r="CKW23" s="5"/>
      <c r="CLD23" s="19"/>
      <c r="CLE23" s="5"/>
      <c r="CLL23" s="19"/>
      <c r="CLM23" s="5"/>
      <c r="CLT23" s="19"/>
      <c r="CLU23" s="5"/>
      <c r="CMB23" s="19"/>
      <c r="CMC23" s="5"/>
      <c r="CMJ23" s="19"/>
      <c r="CMK23" s="5"/>
      <c r="CMR23" s="19"/>
      <c r="CMS23" s="5"/>
      <c r="CMZ23" s="19"/>
      <c r="CNA23" s="5"/>
      <c r="CNH23" s="19"/>
      <c r="CNI23" s="5"/>
      <c r="CNP23" s="19"/>
      <c r="CNQ23" s="5"/>
      <c r="CNX23" s="19"/>
      <c r="CNY23" s="5"/>
      <c r="COF23" s="19"/>
      <c r="COG23" s="5"/>
      <c r="CON23" s="19"/>
      <c r="COO23" s="5"/>
      <c r="COV23" s="19"/>
      <c r="COW23" s="5"/>
      <c r="CPD23" s="19"/>
      <c r="CPE23" s="5"/>
      <c r="CPL23" s="19"/>
      <c r="CPM23" s="5"/>
      <c r="CPT23" s="19"/>
      <c r="CPU23" s="5"/>
      <c r="CQB23" s="19"/>
      <c r="CQC23" s="5"/>
      <c r="CQJ23" s="19"/>
      <c r="CQK23" s="5"/>
      <c r="CQR23" s="19"/>
      <c r="CQS23" s="5"/>
      <c r="CQZ23" s="19"/>
      <c r="CRA23" s="5"/>
      <c r="CRH23" s="19"/>
      <c r="CRI23" s="5"/>
      <c r="CRP23" s="19"/>
      <c r="CRQ23" s="5"/>
      <c r="CRX23" s="19"/>
      <c r="CRY23" s="5"/>
      <c r="CSF23" s="19"/>
      <c r="CSG23" s="5"/>
      <c r="CSN23" s="19"/>
      <c r="CSO23" s="5"/>
      <c r="CSV23" s="19"/>
      <c r="CSW23" s="5"/>
      <c r="CTD23" s="19"/>
      <c r="CTE23" s="5"/>
      <c r="CTL23" s="19"/>
      <c r="CTM23" s="5"/>
      <c r="CTT23" s="19"/>
      <c r="CTU23" s="5"/>
      <c r="CUB23" s="19"/>
      <c r="CUC23" s="5"/>
      <c r="CUJ23" s="19"/>
      <c r="CUK23" s="5"/>
      <c r="CUR23" s="19"/>
      <c r="CUS23" s="5"/>
      <c r="CUZ23" s="19"/>
      <c r="CVA23" s="5"/>
      <c r="CVH23" s="19"/>
      <c r="CVI23" s="5"/>
      <c r="CVP23" s="19"/>
      <c r="CVQ23" s="5"/>
      <c r="CVX23" s="19"/>
      <c r="CVY23" s="5"/>
      <c r="CWF23" s="19"/>
      <c r="CWG23" s="5"/>
      <c r="CWN23" s="19"/>
      <c r="CWO23" s="5"/>
      <c r="CWV23" s="19"/>
      <c r="CWW23" s="5"/>
      <c r="CXD23" s="19"/>
      <c r="CXE23" s="5"/>
      <c r="CXL23" s="19"/>
      <c r="CXM23" s="5"/>
      <c r="CXT23" s="19"/>
      <c r="CXU23" s="5"/>
      <c r="CYB23" s="19"/>
      <c r="CYC23" s="5"/>
      <c r="CYJ23" s="19"/>
      <c r="CYK23" s="5"/>
      <c r="CYR23" s="19"/>
      <c r="CYS23" s="5"/>
      <c r="CYZ23" s="19"/>
      <c r="CZA23" s="5"/>
      <c r="CZH23" s="19"/>
      <c r="CZI23" s="5"/>
      <c r="CZP23" s="19"/>
      <c r="CZQ23" s="5"/>
      <c r="CZX23" s="19"/>
      <c r="CZY23" s="5"/>
      <c r="DAF23" s="19"/>
      <c r="DAG23" s="5"/>
      <c r="DAN23" s="19"/>
      <c r="DAO23" s="5"/>
      <c r="DAV23" s="19"/>
      <c r="DAW23" s="5"/>
      <c r="DBD23" s="19"/>
      <c r="DBE23" s="5"/>
      <c r="DBL23" s="19"/>
      <c r="DBM23" s="5"/>
      <c r="DBT23" s="19"/>
      <c r="DBU23" s="5"/>
      <c r="DCB23" s="19"/>
      <c r="DCC23" s="5"/>
      <c r="DCJ23" s="19"/>
      <c r="DCK23" s="5"/>
      <c r="DCR23" s="19"/>
      <c r="DCS23" s="5"/>
      <c r="DCZ23" s="19"/>
      <c r="DDA23" s="5"/>
      <c r="DDH23" s="19"/>
      <c r="DDI23" s="5"/>
      <c r="DDP23" s="19"/>
      <c r="DDQ23" s="5"/>
      <c r="DDX23" s="19"/>
      <c r="DDY23" s="5"/>
      <c r="DEF23" s="19"/>
      <c r="DEG23" s="5"/>
      <c r="DEN23" s="19"/>
      <c r="DEO23" s="5"/>
      <c r="DEV23" s="19"/>
      <c r="DEW23" s="5"/>
      <c r="DFD23" s="19"/>
      <c r="DFE23" s="5"/>
      <c r="DFL23" s="19"/>
      <c r="DFM23" s="5"/>
      <c r="DFT23" s="19"/>
      <c r="DFU23" s="5"/>
      <c r="DGB23" s="19"/>
      <c r="DGC23" s="5"/>
      <c r="DGJ23" s="19"/>
      <c r="DGK23" s="5"/>
      <c r="DGR23" s="19"/>
      <c r="DGS23" s="5"/>
      <c r="DGZ23" s="19"/>
      <c r="DHA23" s="5"/>
      <c r="DHH23" s="19"/>
      <c r="DHI23" s="5"/>
      <c r="DHP23" s="19"/>
      <c r="DHQ23" s="5"/>
      <c r="DHX23" s="19"/>
      <c r="DHY23" s="5"/>
      <c r="DIF23" s="19"/>
      <c r="DIG23" s="5"/>
      <c r="DIN23" s="19"/>
      <c r="DIO23" s="5"/>
      <c r="DIV23" s="19"/>
      <c r="DIW23" s="5"/>
      <c r="DJD23" s="19"/>
      <c r="DJE23" s="5"/>
      <c r="DJL23" s="19"/>
      <c r="DJM23" s="5"/>
      <c r="DJT23" s="19"/>
      <c r="DJU23" s="5"/>
      <c r="DKB23" s="19"/>
      <c r="DKC23" s="5"/>
      <c r="DKJ23" s="19"/>
      <c r="DKK23" s="5"/>
      <c r="DKR23" s="19"/>
      <c r="DKS23" s="5"/>
      <c r="DKZ23" s="19"/>
      <c r="DLA23" s="5"/>
      <c r="DLH23" s="19"/>
      <c r="DLI23" s="5"/>
      <c r="DLP23" s="19"/>
      <c r="DLQ23" s="5"/>
      <c r="DLX23" s="19"/>
      <c r="DLY23" s="5"/>
      <c r="DMF23" s="19"/>
      <c r="DMG23" s="5"/>
      <c r="DMN23" s="19"/>
      <c r="DMO23" s="5"/>
      <c r="DMV23" s="19"/>
      <c r="DMW23" s="5"/>
      <c r="DND23" s="19"/>
      <c r="DNE23" s="5"/>
      <c r="DNL23" s="19"/>
      <c r="DNM23" s="5"/>
      <c r="DNT23" s="19"/>
      <c r="DNU23" s="5"/>
      <c r="DOB23" s="19"/>
      <c r="DOC23" s="5"/>
      <c r="DOJ23" s="19"/>
      <c r="DOK23" s="5"/>
      <c r="DOR23" s="19"/>
      <c r="DOS23" s="5"/>
      <c r="DOZ23" s="19"/>
      <c r="DPA23" s="5"/>
      <c r="DPH23" s="19"/>
      <c r="DPI23" s="5"/>
      <c r="DPP23" s="19"/>
      <c r="DPQ23" s="5"/>
      <c r="DPX23" s="19"/>
      <c r="DPY23" s="5"/>
      <c r="DQF23" s="19"/>
      <c r="DQG23" s="5"/>
      <c r="DQN23" s="19"/>
      <c r="DQO23" s="5"/>
      <c r="DQV23" s="19"/>
      <c r="DQW23" s="5"/>
      <c r="DRD23" s="19"/>
      <c r="DRE23" s="5"/>
      <c r="DRL23" s="19"/>
      <c r="DRM23" s="5"/>
      <c r="DRT23" s="19"/>
      <c r="DRU23" s="5"/>
      <c r="DSB23" s="19"/>
      <c r="DSC23" s="5"/>
      <c r="DSJ23" s="19"/>
      <c r="DSK23" s="5"/>
      <c r="DSR23" s="19"/>
      <c r="DSS23" s="5"/>
      <c r="DSZ23" s="19"/>
      <c r="DTA23" s="5"/>
      <c r="DTH23" s="19"/>
      <c r="DTI23" s="5"/>
      <c r="DTP23" s="19"/>
      <c r="DTQ23" s="5"/>
      <c r="DTX23" s="19"/>
      <c r="DTY23" s="5"/>
      <c r="DUF23" s="19"/>
      <c r="DUG23" s="5"/>
      <c r="DUN23" s="19"/>
      <c r="DUO23" s="5"/>
      <c r="DUV23" s="19"/>
      <c r="DUW23" s="5"/>
      <c r="DVD23" s="19"/>
      <c r="DVE23" s="5"/>
      <c r="DVL23" s="19"/>
      <c r="DVM23" s="5"/>
      <c r="DVT23" s="19"/>
      <c r="DVU23" s="5"/>
      <c r="DWB23" s="19"/>
      <c r="DWC23" s="5"/>
      <c r="DWJ23" s="19"/>
      <c r="DWK23" s="5"/>
      <c r="DWR23" s="19"/>
      <c r="DWS23" s="5"/>
      <c r="DWZ23" s="19"/>
      <c r="DXA23" s="5"/>
      <c r="DXH23" s="19"/>
      <c r="DXI23" s="5"/>
      <c r="DXP23" s="19"/>
      <c r="DXQ23" s="5"/>
      <c r="DXX23" s="19"/>
      <c r="DXY23" s="5"/>
      <c r="DYF23" s="19"/>
      <c r="DYG23" s="5"/>
      <c r="DYN23" s="19"/>
      <c r="DYO23" s="5"/>
      <c r="DYV23" s="19"/>
      <c r="DYW23" s="5"/>
      <c r="DZD23" s="19"/>
      <c r="DZE23" s="5"/>
      <c r="DZL23" s="19"/>
      <c r="DZM23" s="5"/>
      <c r="DZT23" s="19"/>
      <c r="DZU23" s="5"/>
      <c r="EAB23" s="19"/>
      <c r="EAC23" s="5"/>
      <c r="EAJ23" s="19"/>
      <c r="EAK23" s="5"/>
      <c r="EAR23" s="19"/>
      <c r="EAS23" s="5"/>
      <c r="EAZ23" s="19"/>
      <c r="EBA23" s="5"/>
      <c r="EBH23" s="19"/>
      <c r="EBI23" s="5"/>
      <c r="EBP23" s="19"/>
      <c r="EBQ23" s="5"/>
      <c r="EBX23" s="19"/>
      <c r="EBY23" s="5"/>
      <c r="ECF23" s="19"/>
      <c r="ECG23" s="5"/>
      <c r="ECN23" s="19"/>
      <c r="ECO23" s="5"/>
      <c r="ECV23" s="19"/>
      <c r="ECW23" s="5"/>
      <c r="EDD23" s="19"/>
      <c r="EDE23" s="5"/>
      <c r="EDL23" s="19"/>
      <c r="EDM23" s="5"/>
      <c r="EDT23" s="19"/>
      <c r="EDU23" s="5"/>
      <c r="EEB23" s="19"/>
      <c r="EEC23" s="5"/>
      <c r="EEJ23" s="19"/>
      <c r="EEK23" s="5"/>
      <c r="EER23" s="19"/>
      <c r="EES23" s="5"/>
      <c r="EEZ23" s="19"/>
      <c r="EFA23" s="5"/>
      <c r="EFH23" s="19"/>
      <c r="EFI23" s="5"/>
      <c r="EFP23" s="19"/>
      <c r="EFQ23" s="5"/>
      <c r="EFX23" s="19"/>
      <c r="EFY23" s="5"/>
      <c r="EGF23" s="19"/>
      <c r="EGG23" s="5"/>
      <c r="EGN23" s="19"/>
      <c r="EGO23" s="5"/>
      <c r="EGV23" s="19"/>
      <c r="EGW23" s="5"/>
      <c r="EHD23" s="19"/>
      <c r="EHE23" s="5"/>
      <c r="EHL23" s="19"/>
      <c r="EHM23" s="5"/>
      <c r="EHT23" s="19"/>
      <c r="EHU23" s="5"/>
      <c r="EIB23" s="19"/>
      <c r="EIC23" s="5"/>
      <c r="EIJ23" s="19"/>
      <c r="EIK23" s="5"/>
      <c r="EIR23" s="19"/>
      <c r="EIS23" s="5"/>
      <c r="EIZ23" s="19"/>
      <c r="EJA23" s="5"/>
      <c r="EJH23" s="19"/>
      <c r="EJI23" s="5"/>
      <c r="EJP23" s="19"/>
      <c r="EJQ23" s="5"/>
      <c r="EJX23" s="19"/>
      <c r="EJY23" s="5"/>
      <c r="EKF23" s="19"/>
      <c r="EKG23" s="5"/>
      <c r="EKN23" s="19"/>
      <c r="EKO23" s="5"/>
      <c r="EKV23" s="19"/>
      <c r="EKW23" s="5"/>
      <c r="ELD23" s="19"/>
      <c r="ELE23" s="5"/>
      <c r="ELL23" s="19"/>
      <c r="ELM23" s="5"/>
      <c r="ELT23" s="19"/>
      <c r="ELU23" s="5"/>
      <c r="EMB23" s="19"/>
      <c r="EMC23" s="5"/>
      <c r="EMJ23" s="19"/>
      <c r="EMK23" s="5"/>
      <c r="EMR23" s="19"/>
      <c r="EMS23" s="5"/>
      <c r="EMZ23" s="19"/>
      <c r="ENA23" s="5"/>
      <c r="ENH23" s="19"/>
      <c r="ENI23" s="5"/>
      <c r="ENP23" s="19"/>
      <c r="ENQ23" s="5"/>
      <c r="ENX23" s="19"/>
      <c r="ENY23" s="5"/>
      <c r="EOF23" s="19"/>
      <c r="EOG23" s="5"/>
      <c r="EON23" s="19"/>
      <c r="EOO23" s="5"/>
      <c r="EOV23" s="19"/>
      <c r="EOW23" s="5"/>
      <c r="EPD23" s="19"/>
      <c r="EPE23" s="5"/>
      <c r="EPL23" s="19"/>
      <c r="EPM23" s="5"/>
      <c r="EPT23" s="19"/>
      <c r="EPU23" s="5"/>
      <c r="EQB23" s="19"/>
      <c r="EQC23" s="5"/>
      <c r="EQJ23" s="19"/>
      <c r="EQK23" s="5"/>
      <c r="EQR23" s="19"/>
      <c r="EQS23" s="5"/>
      <c r="EQZ23" s="19"/>
      <c r="ERA23" s="5"/>
      <c r="ERH23" s="19"/>
      <c r="ERI23" s="5"/>
      <c r="ERP23" s="19"/>
      <c r="ERQ23" s="5"/>
      <c r="ERX23" s="19"/>
      <c r="ERY23" s="5"/>
      <c r="ESF23" s="19"/>
      <c r="ESG23" s="5"/>
      <c r="ESN23" s="19"/>
      <c r="ESO23" s="5"/>
      <c r="ESV23" s="19"/>
      <c r="ESW23" s="5"/>
      <c r="ETD23" s="19"/>
      <c r="ETE23" s="5"/>
      <c r="ETL23" s="19"/>
      <c r="ETM23" s="5"/>
      <c r="ETT23" s="19"/>
      <c r="ETU23" s="5"/>
      <c r="EUB23" s="19"/>
      <c r="EUC23" s="5"/>
      <c r="EUJ23" s="19"/>
      <c r="EUK23" s="5"/>
      <c r="EUR23" s="19"/>
      <c r="EUS23" s="5"/>
      <c r="EUZ23" s="19"/>
      <c r="EVA23" s="5"/>
      <c r="EVH23" s="19"/>
      <c r="EVI23" s="5"/>
      <c r="EVP23" s="19"/>
      <c r="EVQ23" s="5"/>
      <c r="EVX23" s="19"/>
      <c r="EVY23" s="5"/>
      <c r="EWF23" s="19"/>
      <c r="EWG23" s="5"/>
      <c r="EWN23" s="19"/>
      <c r="EWO23" s="5"/>
      <c r="EWV23" s="19"/>
      <c r="EWW23" s="5"/>
      <c r="EXD23" s="19"/>
      <c r="EXE23" s="5"/>
      <c r="EXL23" s="19"/>
      <c r="EXM23" s="5"/>
      <c r="EXT23" s="19"/>
      <c r="EXU23" s="5"/>
      <c r="EYB23" s="19"/>
      <c r="EYC23" s="5"/>
      <c r="EYJ23" s="19"/>
      <c r="EYK23" s="5"/>
      <c r="EYR23" s="19"/>
      <c r="EYS23" s="5"/>
      <c r="EYZ23" s="19"/>
      <c r="EZA23" s="5"/>
      <c r="EZH23" s="19"/>
      <c r="EZI23" s="5"/>
      <c r="EZP23" s="19"/>
      <c r="EZQ23" s="5"/>
      <c r="EZX23" s="19"/>
      <c r="EZY23" s="5"/>
      <c r="FAF23" s="19"/>
      <c r="FAG23" s="5"/>
      <c r="FAN23" s="19"/>
      <c r="FAO23" s="5"/>
      <c r="FAV23" s="19"/>
      <c r="FAW23" s="5"/>
      <c r="FBD23" s="19"/>
      <c r="FBE23" s="5"/>
      <c r="FBL23" s="19"/>
      <c r="FBM23" s="5"/>
      <c r="FBT23" s="19"/>
      <c r="FBU23" s="5"/>
      <c r="FCB23" s="19"/>
      <c r="FCC23" s="5"/>
      <c r="FCJ23" s="19"/>
      <c r="FCK23" s="5"/>
      <c r="FCR23" s="19"/>
      <c r="FCS23" s="5"/>
      <c r="FCZ23" s="19"/>
      <c r="FDA23" s="5"/>
      <c r="FDH23" s="19"/>
      <c r="FDI23" s="5"/>
      <c r="FDP23" s="19"/>
      <c r="FDQ23" s="5"/>
      <c r="FDX23" s="19"/>
      <c r="FDY23" s="5"/>
      <c r="FEF23" s="19"/>
      <c r="FEG23" s="5"/>
      <c r="FEN23" s="19"/>
      <c r="FEO23" s="5"/>
      <c r="FEV23" s="19"/>
      <c r="FEW23" s="5"/>
      <c r="FFD23" s="19"/>
      <c r="FFE23" s="5"/>
      <c r="FFL23" s="19"/>
      <c r="FFM23" s="5"/>
      <c r="FFT23" s="19"/>
      <c r="FFU23" s="5"/>
      <c r="FGB23" s="19"/>
      <c r="FGC23" s="5"/>
      <c r="FGJ23" s="19"/>
      <c r="FGK23" s="5"/>
      <c r="FGR23" s="19"/>
      <c r="FGS23" s="5"/>
      <c r="FGZ23" s="19"/>
      <c r="FHA23" s="5"/>
      <c r="FHH23" s="19"/>
      <c r="FHI23" s="5"/>
      <c r="FHP23" s="19"/>
      <c r="FHQ23" s="5"/>
      <c r="FHX23" s="19"/>
      <c r="FHY23" s="5"/>
      <c r="FIF23" s="19"/>
      <c r="FIG23" s="5"/>
      <c r="FIN23" s="19"/>
      <c r="FIO23" s="5"/>
      <c r="FIV23" s="19"/>
      <c r="FIW23" s="5"/>
      <c r="FJD23" s="19"/>
      <c r="FJE23" s="5"/>
      <c r="FJL23" s="19"/>
      <c r="FJM23" s="5"/>
      <c r="FJT23" s="19"/>
      <c r="FJU23" s="5"/>
      <c r="FKB23" s="19"/>
      <c r="FKC23" s="5"/>
      <c r="FKJ23" s="19"/>
      <c r="FKK23" s="5"/>
      <c r="FKR23" s="19"/>
      <c r="FKS23" s="5"/>
      <c r="FKZ23" s="19"/>
      <c r="FLA23" s="5"/>
      <c r="FLH23" s="19"/>
      <c r="FLI23" s="5"/>
      <c r="FLP23" s="19"/>
      <c r="FLQ23" s="5"/>
      <c r="FLX23" s="19"/>
      <c r="FLY23" s="5"/>
      <c r="FMF23" s="19"/>
      <c r="FMG23" s="5"/>
      <c r="FMN23" s="19"/>
      <c r="FMO23" s="5"/>
      <c r="FMV23" s="19"/>
      <c r="FMW23" s="5"/>
      <c r="FND23" s="19"/>
      <c r="FNE23" s="5"/>
      <c r="FNL23" s="19"/>
      <c r="FNM23" s="5"/>
      <c r="FNT23" s="19"/>
      <c r="FNU23" s="5"/>
      <c r="FOB23" s="19"/>
      <c r="FOC23" s="5"/>
      <c r="FOJ23" s="19"/>
      <c r="FOK23" s="5"/>
      <c r="FOR23" s="19"/>
      <c r="FOS23" s="5"/>
      <c r="FOZ23" s="19"/>
      <c r="FPA23" s="5"/>
      <c r="FPH23" s="19"/>
      <c r="FPI23" s="5"/>
      <c r="FPP23" s="19"/>
      <c r="FPQ23" s="5"/>
      <c r="FPX23" s="19"/>
      <c r="FPY23" s="5"/>
      <c r="FQF23" s="19"/>
      <c r="FQG23" s="5"/>
      <c r="FQN23" s="19"/>
      <c r="FQO23" s="5"/>
      <c r="FQV23" s="19"/>
      <c r="FQW23" s="5"/>
      <c r="FRD23" s="19"/>
      <c r="FRE23" s="5"/>
      <c r="FRL23" s="19"/>
      <c r="FRM23" s="5"/>
      <c r="FRT23" s="19"/>
      <c r="FRU23" s="5"/>
      <c r="FSB23" s="19"/>
      <c r="FSC23" s="5"/>
      <c r="FSJ23" s="19"/>
      <c r="FSK23" s="5"/>
      <c r="FSR23" s="19"/>
      <c r="FSS23" s="5"/>
      <c r="FSZ23" s="19"/>
      <c r="FTA23" s="5"/>
      <c r="FTH23" s="19"/>
      <c r="FTI23" s="5"/>
      <c r="FTP23" s="19"/>
      <c r="FTQ23" s="5"/>
      <c r="FTX23" s="19"/>
      <c r="FTY23" s="5"/>
      <c r="FUF23" s="19"/>
      <c r="FUG23" s="5"/>
      <c r="FUN23" s="19"/>
      <c r="FUO23" s="5"/>
      <c r="FUV23" s="19"/>
      <c r="FUW23" s="5"/>
      <c r="FVD23" s="19"/>
      <c r="FVE23" s="5"/>
      <c r="FVL23" s="19"/>
      <c r="FVM23" s="5"/>
      <c r="FVT23" s="19"/>
      <c r="FVU23" s="5"/>
      <c r="FWB23" s="19"/>
      <c r="FWC23" s="5"/>
      <c r="FWJ23" s="19"/>
      <c r="FWK23" s="5"/>
      <c r="FWR23" s="19"/>
      <c r="FWS23" s="5"/>
      <c r="FWZ23" s="19"/>
      <c r="FXA23" s="5"/>
      <c r="FXH23" s="19"/>
      <c r="FXI23" s="5"/>
      <c r="FXP23" s="19"/>
      <c r="FXQ23" s="5"/>
      <c r="FXX23" s="19"/>
      <c r="FXY23" s="5"/>
      <c r="FYF23" s="19"/>
      <c r="FYG23" s="5"/>
      <c r="FYN23" s="19"/>
      <c r="FYO23" s="5"/>
      <c r="FYV23" s="19"/>
      <c r="FYW23" s="5"/>
      <c r="FZD23" s="19"/>
      <c r="FZE23" s="5"/>
      <c r="FZL23" s="19"/>
      <c r="FZM23" s="5"/>
      <c r="FZT23" s="19"/>
      <c r="FZU23" s="5"/>
      <c r="GAB23" s="19"/>
      <c r="GAC23" s="5"/>
      <c r="GAJ23" s="19"/>
      <c r="GAK23" s="5"/>
      <c r="GAR23" s="19"/>
      <c r="GAS23" s="5"/>
      <c r="GAZ23" s="19"/>
      <c r="GBA23" s="5"/>
      <c r="GBH23" s="19"/>
      <c r="GBI23" s="5"/>
      <c r="GBP23" s="19"/>
      <c r="GBQ23" s="5"/>
      <c r="GBX23" s="19"/>
      <c r="GBY23" s="5"/>
      <c r="GCF23" s="19"/>
      <c r="GCG23" s="5"/>
      <c r="GCN23" s="19"/>
      <c r="GCO23" s="5"/>
      <c r="GCV23" s="19"/>
      <c r="GCW23" s="5"/>
      <c r="GDD23" s="19"/>
      <c r="GDE23" s="5"/>
      <c r="GDL23" s="19"/>
      <c r="GDM23" s="5"/>
      <c r="GDT23" s="19"/>
      <c r="GDU23" s="5"/>
      <c r="GEB23" s="19"/>
      <c r="GEC23" s="5"/>
      <c r="GEJ23" s="19"/>
      <c r="GEK23" s="5"/>
      <c r="GER23" s="19"/>
      <c r="GES23" s="5"/>
      <c r="GEZ23" s="19"/>
      <c r="GFA23" s="5"/>
      <c r="GFH23" s="19"/>
      <c r="GFI23" s="5"/>
      <c r="GFP23" s="19"/>
      <c r="GFQ23" s="5"/>
      <c r="GFX23" s="19"/>
      <c r="GFY23" s="5"/>
      <c r="GGF23" s="19"/>
      <c r="GGG23" s="5"/>
      <c r="GGN23" s="19"/>
      <c r="GGO23" s="5"/>
      <c r="GGV23" s="19"/>
      <c r="GGW23" s="5"/>
      <c r="GHD23" s="19"/>
      <c r="GHE23" s="5"/>
      <c r="GHL23" s="19"/>
      <c r="GHM23" s="5"/>
      <c r="GHT23" s="19"/>
      <c r="GHU23" s="5"/>
      <c r="GIB23" s="19"/>
      <c r="GIC23" s="5"/>
      <c r="GIJ23" s="19"/>
      <c r="GIK23" s="5"/>
      <c r="GIR23" s="19"/>
      <c r="GIS23" s="5"/>
      <c r="GIZ23" s="19"/>
      <c r="GJA23" s="5"/>
      <c r="GJH23" s="19"/>
      <c r="GJI23" s="5"/>
      <c r="GJP23" s="19"/>
      <c r="GJQ23" s="5"/>
      <c r="GJX23" s="19"/>
      <c r="GJY23" s="5"/>
      <c r="GKF23" s="19"/>
      <c r="GKG23" s="5"/>
      <c r="GKN23" s="19"/>
      <c r="GKO23" s="5"/>
      <c r="GKV23" s="19"/>
      <c r="GKW23" s="5"/>
      <c r="GLD23" s="19"/>
      <c r="GLE23" s="5"/>
      <c r="GLL23" s="19"/>
      <c r="GLM23" s="5"/>
      <c r="GLT23" s="19"/>
      <c r="GLU23" s="5"/>
      <c r="GMB23" s="19"/>
      <c r="GMC23" s="5"/>
      <c r="GMJ23" s="19"/>
      <c r="GMK23" s="5"/>
      <c r="GMR23" s="19"/>
      <c r="GMS23" s="5"/>
      <c r="GMZ23" s="19"/>
      <c r="GNA23" s="5"/>
      <c r="GNH23" s="19"/>
      <c r="GNI23" s="5"/>
      <c r="GNP23" s="19"/>
      <c r="GNQ23" s="5"/>
      <c r="GNX23" s="19"/>
      <c r="GNY23" s="5"/>
      <c r="GOF23" s="19"/>
      <c r="GOG23" s="5"/>
      <c r="GON23" s="19"/>
      <c r="GOO23" s="5"/>
      <c r="GOV23" s="19"/>
      <c r="GOW23" s="5"/>
      <c r="GPD23" s="19"/>
      <c r="GPE23" s="5"/>
      <c r="GPL23" s="19"/>
      <c r="GPM23" s="5"/>
      <c r="GPT23" s="19"/>
      <c r="GPU23" s="5"/>
      <c r="GQB23" s="19"/>
      <c r="GQC23" s="5"/>
      <c r="GQJ23" s="19"/>
      <c r="GQK23" s="5"/>
      <c r="GQR23" s="19"/>
      <c r="GQS23" s="5"/>
      <c r="GQZ23" s="19"/>
      <c r="GRA23" s="5"/>
      <c r="GRH23" s="19"/>
      <c r="GRI23" s="5"/>
      <c r="GRP23" s="19"/>
      <c r="GRQ23" s="5"/>
      <c r="GRX23" s="19"/>
      <c r="GRY23" s="5"/>
      <c r="GSF23" s="19"/>
      <c r="GSG23" s="5"/>
      <c r="GSN23" s="19"/>
      <c r="GSO23" s="5"/>
      <c r="GSV23" s="19"/>
      <c r="GSW23" s="5"/>
      <c r="GTD23" s="19"/>
      <c r="GTE23" s="5"/>
      <c r="GTL23" s="19"/>
      <c r="GTM23" s="5"/>
      <c r="GTT23" s="19"/>
      <c r="GTU23" s="5"/>
      <c r="GUB23" s="19"/>
      <c r="GUC23" s="5"/>
      <c r="GUJ23" s="19"/>
      <c r="GUK23" s="5"/>
      <c r="GUR23" s="19"/>
      <c r="GUS23" s="5"/>
      <c r="GUZ23" s="19"/>
      <c r="GVA23" s="5"/>
      <c r="GVH23" s="19"/>
      <c r="GVI23" s="5"/>
      <c r="GVP23" s="19"/>
      <c r="GVQ23" s="5"/>
      <c r="GVX23" s="19"/>
      <c r="GVY23" s="5"/>
      <c r="GWF23" s="19"/>
      <c r="GWG23" s="5"/>
      <c r="GWN23" s="19"/>
      <c r="GWO23" s="5"/>
      <c r="GWV23" s="19"/>
      <c r="GWW23" s="5"/>
      <c r="GXD23" s="19"/>
      <c r="GXE23" s="5"/>
      <c r="GXL23" s="19"/>
      <c r="GXM23" s="5"/>
      <c r="GXT23" s="19"/>
      <c r="GXU23" s="5"/>
      <c r="GYB23" s="19"/>
      <c r="GYC23" s="5"/>
      <c r="GYJ23" s="19"/>
      <c r="GYK23" s="5"/>
      <c r="GYR23" s="19"/>
      <c r="GYS23" s="5"/>
      <c r="GYZ23" s="19"/>
      <c r="GZA23" s="5"/>
      <c r="GZH23" s="19"/>
      <c r="GZI23" s="5"/>
      <c r="GZP23" s="19"/>
      <c r="GZQ23" s="5"/>
      <c r="GZX23" s="19"/>
      <c r="GZY23" s="5"/>
      <c r="HAF23" s="19"/>
      <c r="HAG23" s="5"/>
      <c r="HAN23" s="19"/>
      <c r="HAO23" s="5"/>
      <c r="HAV23" s="19"/>
      <c r="HAW23" s="5"/>
      <c r="HBD23" s="19"/>
      <c r="HBE23" s="5"/>
      <c r="HBL23" s="19"/>
      <c r="HBM23" s="5"/>
      <c r="HBT23" s="19"/>
      <c r="HBU23" s="5"/>
      <c r="HCB23" s="19"/>
      <c r="HCC23" s="5"/>
      <c r="HCJ23" s="19"/>
      <c r="HCK23" s="5"/>
      <c r="HCR23" s="19"/>
      <c r="HCS23" s="5"/>
      <c r="HCZ23" s="19"/>
      <c r="HDA23" s="5"/>
      <c r="HDH23" s="19"/>
      <c r="HDI23" s="5"/>
      <c r="HDP23" s="19"/>
      <c r="HDQ23" s="5"/>
      <c r="HDX23" s="19"/>
      <c r="HDY23" s="5"/>
      <c r="HEF23" s="19"/>
      <c r="HEG23" s="5"/>
      <c r="HEN23" s="19"/>
      <c r="HEO23" s="5"/>
      <c r="HEV23" s="19"/>
      <c r="HEW23" s="5"/>
      <c r="HFD23" s="19"/>
      <c r="HFE23" s="5"/>
      <c r="HFL23" s="19"/>
      <c r="HFM23" s="5"/>
      <c r="HFT23" s="19"/>
      <c r="HFU23" s="5"/>
      <c r="HGB23" s="19"/>
      <c r="HGC23" s="5"/>
      <c r="HGJ23" s="19"/>
      <c r="HGK23" s="5"/>
      <c r="HGR23" s="19"/>
      <c r="HGS23" s="5"/>
      <c r="HGZ23" s="19"/>
      <c r="HHA23" s="5"/>
      <c r="HHH23" s="19"/>
      <c r="HHI23" s="5"/>
      <c r="HHP23" s="19"/>
      <c r="HHQ23" s="5"/>
      <c r="HHX23" s="19"/>
      <c r="HHY23" s="5"/>
      <c r="HIF23" s="19"/>
      <c r="HIG23" s="5"/>
      <c r="HIN23" s="19"/>
      <c r="HIO23" s="5"/>
      <c r="HIV23" s="19"/>
      <c r="HIW23" s="5"/>
      <c r="HJD23" s="19"/>
      <c r="HJE23" s="5"/>
      <c r="HJL23" s="19"/>
      <c r="HJM23" s="5"/>
      <c r="HJT23" s="19"/>
      <c r="HJU23" s="5"/>
      <c r="HKB23" s="19"/>
      <c r="HKC23" s="5"/>
      <c r="HKJ23" s="19"/>
      <c r="HKK23" s="5"/>
      <c r="HKR23" s="19"/>
      <c r="HKS23" s="5"/>
      <c r="HKZ23" s="19"/>
      <c r="HLA23" s="5"/>
      <c r="HLH23" s="19"/>
      <c r="HLI23" s="5"/>
      <c r="HLP23" s="19"/>
      <c r="HLQ23" s="5"/>
      <c r="HLX23" s="19"/>
      <c r="HLY23" s="5"/>
      <c r="HMF23" s="19"/>
      <c r="HMG23" s="5"/>
      <c r="HMN23" s="19"/>
      <c r="HMO23" s="5"/>
      <c r="HMV23" s="19"/>
      <c r="HMW23" s="5"/>
      <c r="HND23" s="19"/>
      <c r="HNE23" s="5"/>
      <c r="HNL23" s="19"/>
      <c r="HNM23" s="5"/>
      <c r="HNT23" s="19"/>
      <c r="HNU23" s="5"/>
      <c r="HOB23" s="19"/>
      <c r="HOC23" s="5"/>
      <c r="HOJ23" s="19"/>
      <c r="HOK23" s="5"/>
      <c r="HOR23" s="19"/>
      <c r="HOS23" s="5"/>
      <c r="HOZ23" s="19"/>
      <c r="HPA23" s="5"/>
      <c r="HPH23" s="19"/>
      <c r="HPI23" s="5"/>
      <c r="HPP23" s="19"/>
      <c r="HPQ23" s="5"/>
      <c r="HPX23" s="19"/>
      <c r="HPY23" s="5"/>
      <c r="HQF23" s="19"/>
      <c r="HQG23" s="5"/>
      <c r="HQN23" s="19"/>
      <c r="HQO23" s="5"/>
      <c r="HQV23" s="19"/>
      <c r="HQW23" s="5"/>
      <c r="HRD23" s="19"/>
      <c r="HRE23" s="5"/>
      <c r="HRL23" s="19"/>
      <c r="HRM23" s="5"/>
      <c r="HRT23" s="19"/>
      <c r="HRU23" s="5"/>
      <c r="HSB23" s="19"/>
      <c r="HSC23" s="5"/>
      <c r="HSJ23" s="19"/>
      <c r="HSK23" s="5"/>
      <c r="HSR23" s="19"/>
      <c r="HSS23" s="5"/>
      <c r="HSZ23" s="19"/>
      <c r="HTA23" s="5"/>
      <c r="HTH23" s="19"/>
      <c r="HTI23" s="5"/>
      <c r="HTP23" s="19"/>
      <c r="HTQ23" s="5"/>
      <c r="HTX23" s="19"/>
      <c r="HTY23" s="5"/>
      <c r="HUF23" s="19"/>
      <c r="HUG23" s="5"/>
      <c r="HUN23" s="19"/>
      <c r="HUO23" s="5"/>
      <c r="HUV23" s="19"/>
      <c r="HUW23" s="5"/>
      <c r="HVD23" s="19"/>
      <c r="HVE23" s="5"/>
      <c r="HVL23" s="19"/>
      <c r="HVM23" s="5"/>
      <c r="HVT23" s="19"/>
      <c r="HVU23" s="5"/>
      <c r="HWB23" s="19"/>
      <c r="HWC23" s="5"/>
      <c r="HWJ23" s="19"/>
      <c r="HWK23" s="5"/>
      <c r="HWR23" s="19"/>
      <c r="HWS23" s="5"/>
      <c r="HWZ23" s="19"/>
      <c r="HXA23" s="5"/>
      <c r="HXH23" s="19"/>
      <c r="HXI23" s="5"/>
      <c r="HXP23" s="19"/>
      <c r="HXQ23" s="5"/>
      <c r="HXX23" s="19"/>
      <c r="HXY23" s="5"/>
      <c r="HYF23" s="19"/>
      <c r="HYG23" s="5"/>
      <c r="HYN23" s="19"/>
      <c r="HYO23" s="5"/>
      <c r="HYV23" s="19"/>
      <c r="HYW23" s="5"/>
      <c r="HZD23" s="19"/>
      <c r="HZE23" s="5"/>
      <c r="HZL23" s="19"/>
      <c r="HZM23" s="5"/>
      <c r="HZT23" s="19"/>
      <c r="HZU23" s="5"/>
      <c r="IAB23" s="19"/>
      <c r="IAC23" s="5"/>
      <c r="IAJ23" s="19"/>
      <c r="IAK23" s="5"/>
      <c r="IAR23" s="19"/>
      <c r="IAS23" s="5"/>
      <c r="IAZ23" s="19"/>
      <c r="IBA23" s="5"/>
      <c r="IBH23" s="19"/>
      <c r="IBI23" s="5"/>
      <c r="IBP23" s="19"/>
      <c r="IBQ23" s="5"/>
      <c r="IBX23" s="19"/>
      <c r="IBY23" s="5"/>
      <c r="ICF23" s="19"/>
      <c r="ICG23" s="5"/>
      <c r="ICN23" s="19"/>
      <c r="ICO23" s="5"/>
      <c r="ICV23" s="19"/>
      <c r="ICW23" s="5"/>
      <c r="IDD23" s="19"/>
      <c r="IDE23" s="5"/>
      <c r="IDL23" s="19"/>
      <c r="IDM23" s="5"/>
      <c r="IDT23" s="19"/>
      <c r="IDU23" s="5"/>
      <c r="IEB23" s="19"/>
      <c r="IEC23" s="5"/>
      <c r="IEJ23" s="19"/>
      <c r="IEK23" s="5"/>
      <c r="IER23" s="19"/>
      <c r="IES23" s="5"/>
      <c r="IEZ23" s="19"/>
      <c r="IFA23" s="5"/>
      <c r="IFH23" s="19"/>
      <c r="IFI23" s="5"/>
      <c r="IFP23" s="19"/>
      <c r="IFQ23" s="5"/>
      <c r="IFX23" s="19"/>
      <c r="IFY23" s="5"/>
      <c r="IGF23" s="19"/>
      <c r="IGG23" s="5"/>
      <c r="IGN23" s="19"/>
      <c r="IGO23" s="5"/>
      <c r="IGV23" s="19"/>
      <c r="IGW23" s="5"/>
      <c r="IHD23" s="19"/>
      <c r="IHE23" s="5"/>
      <c r="IHL23" s="19"/>
      <c r="IHM23" s="5"/>
      <c r="IHT23" s="19"/>
      <c r="IHU23" s="5"/>
      <c r="IIB23" s="19"/>
      <c r="IIC23" s="5"/>
      <c r="IIJ23" s="19"/>
      <c r="IIK23" s="5"/>
      <c r="IIR23" s="19"/>
      <c r="IIS23" s="5"/>
      <c r="IIZ23" s="19"/>
      <c r="IJA23" s="5"/>
      <c r="IJH23" s="19"/>
      <c r="IJI23" s="5"/>
      <c r="IJP23" s="19"/>
      <c r="IJQ23" s="5"/>
      <c r="IJX23" s="19"/>
      <c r="IJY23" s="5"/>
      <c r="IKF23" s="19"/>
      <c r="IKG23" s="5"/>
      <c r="IKN23" s="19"/>
      <c r="IKO23" s="5"/>
      <c r="IKV23" s="19"/>
      <c r="IKW23" s="5"/>
      <c r="ILD23" s="19"/>
      <c r="ILE23" s="5"/>
      <c r="ILL23" s="19"/>
      <c r="ILM23" s="5"/>
      <c r="ILT23" s="19"/>
      <c r="ILU23" s="5"/>
      <c r="IMB23" s="19"/>
      <c r="IMC23" s="5"/>
      <c r="IMJ23" s="19"/>
      <c r="IMK23" s="5"/>
      <c r="IMR23" s="19"/>
      <c r="IMS23" s="5"/>
      <c r="IMZ23" s="19"/>
      <c r="INA23" s="5"/>
      <c r="INH23" s="19"/>
      <c r="INI23" s="5"/>
      <c r="INP23" s="19"/>
      <c r="INQ23" s="5"/>
      <c r="INX23" s="19"/>
      <c r="INY23" s="5"/>
      <c r="IOF23" s="19"/>
      <c r="IOG23" s="5"/>
      <c r="ION23" s="19"/>
      <c r="IOO23" s="5"/>
      <c r="IOV23" s="19"/>
      <c r="IOW23" s="5"/>
      <c r="IPD23" s="19"/>
      <c r="IPE23" s="5"/>
      <c r="IPL23" s="19"/>
      <c r="IPM23" s="5"/>
      <c r="IPT23" s="19"/>
      <c r="IPU23" s="5"/>
      <c r="IQB23" s="19"/>
      <c r="IQC23" s="5"/>
      <c r="IQJ23" s="19"/>
      <c r="IQK23" s="5"/>
      <c r="IQR23" s="19"/>
      <c r="IQS23" s="5"/>
      <c r="IQZ23" s="19"/>
      <c r="IRA23" s="5"/>
      <c r="IRH23" s="19"/>
      <c r="IRI23" s="5"/>
      <c r="IRP23" s="19"/>
      <c r="IRQ23" s="5"/>
      <c r="IRX23" s="19"/>
      <c r="IRY23" s="5"/>
      <c r="ISF23" s="19"/>
      <c r="ISG23" s="5"/>
      <c r="ISN23" s="19"/>
      <c r="ISO23" s="5"/>
      <c r="ISV23" s="19"/>
      <c r="ISW23" s="5"/>
      <c r="ITD23" s="19"/>
      <c r="ITE23" s="5"/>
      <c r="ITL23" s="19"/>
      <c r="ITM23" s="5"/>
      <c r="ITT23" s="19"/>
      <c r="ITU23" s="5"/>
      <c r="IUB23" s="19"/>
      <c r="IUC23" s="5"/>
      <c r="IUJ23" s="19"/>
      <c r="IUK23" s="5"/>
      <c r="IUR23" s="19"/>
      <c r="IUS23" s="5"/>
      <c r="IUZ23" s="19"/>
      <c r="IVA23" s="5"/>
      <c r="IVH23" s="19"/>
      <c r="IVI23" s="5"/>
      <c r="IVP23" s="19"/>
      <c r="IVQ23" s="5"/>
      <c r="IVX23" s="19"/>
      <c r="IVY23" s="5"/>
      <c r="IWF23" s="19"/>
      <c r="IWG23" s="5"/>
      <c r="IWN23" s="19"/>
      <c r="IWO23" s="5"/>
      <c r="IWV23" s="19"/>
      <c r="IWW23" s="5"/>
      <c r="IXD23" s="19"/>
      <c r="IXE23" s="5"/>
      <c r="IXL23" s="19"/>
      <c r="IXM23" s="5"/>
      <c r="IXT23" s="19"/>
      <c r="IXU23" s="5"/>
      <c r="IYB23" s="19"/>
      <c r="IYC23" s="5"/>
      <c r="IYJ23" s="19"/>
      <c r="IYK23" s="5"/>
      <c r="IYR23" s="19"/>
      <c r="IYS23" s="5"/>
      <c r="IYZ23" s="19"/>
      <c r="IZA23" s="5"/>
      <c r="IZH23" s="19"/>
      <c r="IZI23" s="5"/>
      <c r="IZP23" s="19"/>
      <c r="IZQ23" s="5"/>
      <c r="IZX23" s="19"/>
      <c r="IZY23" s="5"/>
      <c r="JAF23" s="19"/>
      <c r="JAG23" s="5"/>
      <c r="JAN23" s="19"/>
      <c r="JAO23" s="5"/>
      <c r="JAV23" s="19"/>
      <c r="JAW23" s="5"/>
      <c r="JBD23" s="19"/>
      <c r="JBE23" s="5"/>
      <c r="JBL23" s="19"/>
      <c r="JBM23" s="5"/>
      <c r="JBT23" s="19"/>
      <c r="JBU23" s="5"/>
      <c r="JCB23" s="19"/>
      <c r="JCC23" s="5"/>
      <c r="JCJ23" s="19"/>
      <c r="JCK23" s="5"/>
      <c r="JCR23" s="19"/>
      <c r="JCS23" s="5"/>
      <c r="JCZ23" s="19"/>
      <c r="JDA23" s="5"/>
      <c r="JDH23" s="19"/>
      <c r="JDI23" s="5"/>
      <c r="JDP23" s="19"/>
      <c r="JDQ23" s="5"/>
      <c r="JDX23" s="19"/>
      <c r="JDY23" s="5"/>
      <c r="JEF23" s="19"/>
      <c r="JEG23" s="5"/>
      <c r="JEN23" s="19"/>
      <c r="JEO23" s="5"/>
      <c r="JEV23" s="19"/>
      <c r="JEW23" s="5"/>
      <c r="JFD23" s="19"/>
      <c r="JFE23" s="5"/>
      <c r="JFL23" s="19"/>
      <c r="JFM23" s="5"/>
      <c r="JFT23" s="19"/>
      <c r="JFU23" s="5"/>
      <c r="JGB23" s="19"/>
      <c r="JGC23" s="5"/>
      <c r="JGJ23" s="19"/>
      <c r="JGK23" s="5"/>
      <c r="JGR23" s="19"/>
      <c r="JGS23" s="5"/>
      <c r="JGZ23" s="19"/>
      <c r="JHA23" s="5"/>
      <c r="JHH23" s="19"/>
      <c r="JHI23" s="5"/>
      <c r="JHP23" s="19"/>
      <c r="JHQ23" s="5"/>
      <c r="JHX23" s="19"/>
      <c r="JHY23" s="5"/>
      <c r="JIF23" s="19"/>
      <c r="JIG23" s="5"/>
      <c r="JIN23" s="19"/>
      <c r="JIO23" s="5"/>
      <c r="JIV23" s="19"/>
      <c r="JIW23" s="5"/>
      <c r="JJD23" s="19"/>
      <c r="JJE23" s="5"/>
      <c r="JJL23" s="19"/>
      <c r="JJM23" s="5"/>
      <c r="JJT23" s="19"/>
      <c r="JJU23" s="5"/>
      <c r="JKB23" s="19"/>
      <c r="JKC23" s="5"/>
      <c r="JKJ23" s="19"/>
      <c r="JKK23" s="5"/>
      <c r="JKR23" s="19"/>
      <c r="JKS23" s="5"/>
      <c r="JKZ23" s="19"/>
      <c r="JLA23" s="5"/>
      <c r="JLH23" s="19"/>
      <c r="JLI23" s="5"/>
      <c r="JLP23" s="19"/>
      <c r="JLQ23" s="5"/>
      <c r="JLX23" s="19"/>
      <c r="JLY23" s="5"/>
      <c r="JMF23" s="19"/>
      <c r="JMG23" s="5"/>
      <c r="JMN23" s="19"/>
      <c r="JMO23" s="5"/>
      <c r="JMV23" s="19"/>
      <c r="JMW23" s="5"/>
      <c r="JND23" s="19"/>
      <c r="JNE23" s="5"/>
      <c r="JNL23" s="19"/>
      <c r="JNM23" s="5"/>
      <c r="JNT23" s="19"/>
      <c r="JNU23" s="5"/>
      <c r="JOB23" s="19"/>
      <c r="JOC23" s="5"/>
      <c r="JOJ23" s="19"/>
      <c r="JOK23" s="5"/>
      <c r="JOR23" s="19"/>
      <c r="JOS23" s="5"/>
      <c r="JOZ23" s="19"/>
      <c r="JPA23" s="5"/>
      <c r="JPH23" s="19"/>
      <c r="JPI23" s="5"/>
      <c r="JPP23" s="19"/>
      <c r="JPQ23" s="5"/>
      <c r="JPX23" s="19"/>
      <c r="JPY23" s="5"/>
      <c r="JQF23" s="19"/>
      <c r="JQG23" s="5"/>
      <c r="JQN23" s="19"/>
      <c r="JQO23" s="5"/>
      <c r="JQV23" s="19"/>
      <c r="JQW23" s="5"/>
      <c r="JRD23" s="19"/>
      <c r="JRE23" s="5"/>
      <c r="JRL23" s="19"/>
      <c r="JRM23" s="5"/>
      <c r="JRT23" s="19"/>
      <c r="JRU23" s="5"/>
      <c r="JSB23" s="19"/>
      <c r="JSC23" s="5"/>
      <c r="JSJ23" s="19"/>
      <c r="JSK23" s="5"/>
      <c r="JSR23" s="19"/>
      <c r="JSS23" s="5"/>
      <c r="JSZ23" s="19"/>
      <c r="JTA23" s="5"/>
      <c r="JTH23" s="19"/>
      <c r="JTI23" s="5"/>
      <c r="JTP23" s="19"/>
      <c r="JTQ23" s="5"/>
      <c r="JTX23" s="19"/>
      <c r="JTY23" s="5"/>
      <c r="JUF23" s="19"/>
      <c r="JUG23" s="5"/>
      <c r="JUN23" s="19"/>
      <c r="JUO23" s="5"/>
      <c r="JUV23" s="19"/>
      <c r="JUW23" s="5"/>
      <c r="JVD23" s="19"/>
      <c r="JVE23" s="5"/>
      <c r="JVL23" s="19"/>
      <c r="JVM23" s="5"/>
      <c r="JVT23" s="19"/>
      <c r="JVU23" s="5"/>
      <c r="JWB23" s="19"/>
      <c r="JWC23" s="5"/>
      <c r="JWJ23" s="19"/>
      <c r="JWK23" s="5"/>
      <c r="JWR23" s="19"/>
      <c r="JWS23" s="5"/>
      <c r="JWZ23" s="19"/>
      <c r="JXA23" s="5"/>
      <c r="JXH23" s="19"/>
      <c r="JXI23" s="5"/>
      <c r="JXP23" s="19"/>
      <c r="JXQ23" s="5"/>
      <c r="JXX23" s="19"/>
      <c r="JXY23" s="5"/>
      <c r="JYF23" s="19"/>
      <c r="JYG23" s="5"/>
      <c r="JYN23" s="19"/>
      <c r="JYO23" s="5"/>
      <c r="JYV23" s="19"/>
      <c r="JYW23" s="5"/>
      <c r="JZD23" s="19"/>
      <c r="JZE23" s="5"/>
      <c r="JZL23" s="19"/>
      <c r="JZM23" s="5"/>
      <c r="JZT23" s="19"/>
      <c r="JZU23" s="5"/>
      <c r="KAB23" s="19"/>
      <c r="KAC23" s="5"/>
      <c r="KAJ23" s="19"/>
      <c r="KAK23" s="5"/>
      <c r="KAR23" s="19"/>
      <c r="KAS23" s="5"/>
      <c r="KAZ23" s="19"/>
      <c r="KBA23" s="5"/>
      <c r="KBH23" s="19"/>
      <c r="KBI23" s="5"/>
      <c r="KBP23" s="19"/>
      <c r="KBQ23" s="5"/>
      <c r="KBX23" s="19"/>
      <c r="KBY23" s="5"/>
      <c r="KCF23" s="19"/>
      <c r="KCG23" s="5"/>
      <c r="KCN23" s="19"/>
      <c r="KCO23" s="5"/>
      <c r="KCV23" s="19"/>
      <c r="KCW23" s="5"/>
      <c r="KDD23" s="19"/>
      <c r="KDE23" s="5"/>
      <c r="KDL23" s="19"/>
      <c r="KDM23" s="5"/>
      <c r="KDT23" s="19"/>
      <c r="KDU23" s="5"/>
      <c r="KEB23" s="19"/>
      <c r="KEC23" s="5"/>
      <c r="KEJ23" s="19"/>
      <c r="KEK23" s="5"/>
      <c r="KER23" s="19"/>
      <c r="KES23" s="5"/>
      <c r="KEZ23" s="19"/>
      <c r="KFA23" s="5"/>
      <c r="KFH23" s="19"/>
      <c r="KFI23" s="5"/>
      <c r="KFP23" s="19"/>
      <c r="KFQ23" s="5"/>
      <c r="KFX23" s="19"/>
      <c r="KFY23" s="5"/>
      <c r="KGF23" s="19"/>
      <c r="KGG23" s="5"/>
      <c r="KGN23" s="19"/>
      <c r="KGO23" s="5"/>
      <c r="KGV23" s="19"/>
      <c r="KGW23" s="5"/>
      <c r="KHD23" s="19"/>
      <c r="KHE23" s="5"/>
      <c r="KHL23" s="19"/>
      <c r="KHM23" s="5"/>
      <c r="KHT23" s="19"/>
      <c r="KHU23" s="5"/>
      <c r="KIB23" s="19"/>
      <c r="KIC23" s="5"/>
      <c r="KIJ23" s="19"/>
      <c r="KIK23" s="5"/>
      <c r="KIR23" s="19"/>
      <c r="KIS23" s="5"/>
      <c r="KIZ23" s="19"/>
      <c r="KJA23" s="5"/>
      <c r="KJH23" s="19"/>
      <c r="KJI23" s="5"/>
      <c r="KJP23" s="19"/>
      <c r="KJQ23" s="5"/>
      <c r="KJX23" s="19"/>
      <c r="KJY23" s="5"/>
      <c r="KKF23" s="19"/>
      <c r="KKG23" s="5"/>
      <c r="KKN23" s="19"/>
      <c r="KKO23" s="5"/>
      <c r="KKV23" s="19"/>
      <c r="KKW23" s="5"/>
      <c r="KLD23" s="19"/>
      <c r="KLE23" s="5"/>
      <c r="KLL23" s="19"/>
      <c r="KLM23" s="5"/>
      <c r="KLT23" s="19"/>
      <c r="KLU23" s="5"/>
      <c r="KMB23" s="19"/>
      <c r="KMC23" s="5"/>
      <c r="KMJ23" s="19"/>
      <c r="KMK23" s="5"/>
      <c r="KMR23" s="19"/>
      <c r="KMS23" s="5"/>
      <c r="KMZ23" s="19"/>
      <c r="KNA23" s="5"/>
      <c r="KNH23" s="19"/>
      <c r="KNI23" s="5"/>
      <c r="KNP23" s="19"/>
      <c r="KNQ23" s="5"/>
      <c r="KNX23" s="19"/>
      <c r="KNY23" s="5"/>
      <c r="KOF23" s="19"/>
      <c r="KOG23" s="5"/>
      <c r="KON23" s="19"/>
      <c r="KOO23" s="5"/>
      <c r="KOV23" s="19"/>
      <c r="KOW23" s="5"/>
      <c r="KPD23" s="19"/>
      <c r="KPE23" s="5"/>
      <c r="KPL23" s="19"/>
      <c r="KPM23" s="5"/>
      <c r="KPT23" s="19"/>
      <c r="KPU23" s="5"/>
      <c r="KQB23" s="19"/>
      <c r="KQC23" s="5"/>
      <c r="KQJ23" s="19"/>
      <c r="KQK23" s="5"/>
      <c r="KQR23" s="19"/>
      <c r="KQS23" s="5"/>
      <c r="KQZ23" s="19"/>
      <c r="KRA23" s="5"/>
      <c r="KRH23" s="19"/>
      <c r="KRI23" s="5"/>
      <c r="KRP23" s="19"/>
      <c r="KRQ23" s="5"/>
      <c r="KRX23" s="19"/>
      <c r="KRY23" s="5"/>
      <c r="KSF23" s="19"/>
      <c r="KSG23" s="5"/>
      <c r="KSN23" s="19"/>
      <c r="KSO23" s="5"/>
      <c r="KSV23" s="19"/>
      <c r="KSW23" s="5"/>
      <c r="KTD23" s="19"/>
      <c r="KTE23" s="5"/>
      <c r="KTL23" s="19"/>
      <c r="KTM23" s="5"/>
      <c r="KTT23" s="19"/>
      <c r="KTU23" s="5"/>
      <c r="KUB23" s="19"/>
      <c r="KUC23" s="5"/>
      <c r="KUJ23" s="19"/>
      <c r="KUK23" s="5"/>
      <c r="KUR23" s="19"/>
      <c r="KUS23" s="5"/>
      <c r="KUZ23" s="19"/>
      <c r="KVA23" s="5"/>
      <c r="KVH23" s="19"/>
      <c r="KVI23" s="5"/>
      <c r="KVP23" s="19"/>
      <c r="KVQ23" s="5"/>
      <c r="KVX23" s="19"/>
      <c r="KVY23" s="5"/>
      <c r="KWF23" s="19"/>
      <c r="KWG23" s="5"/>
      <c r="KWN23" s="19"/>
      <c r="KWO23" s="5"/>
      <c r="KWV23" s="19"/>
      <c r="KWW23" s="5"/>
      <c r="KXD23" s="19"/>
      <c r="KXE23" s="5"/>
      <c r="KXL23" s="19"/>
      <c r="KXM23" s="5"/>
      <c r="KXT23" s="19"/>
      <c r="KXU23" s="5"/>
      <c r="KYB23" s="19"/>
      <c r="KYC23" s="5"/>
      <c r="KYJ23" s="19"/>
      <c r="KYK23" s="5"/>
      <c r="KYR23" s="19"/>
      <c r="KYS23" s="5"/>
      <c r="KYZ23" s="19"/>
      <c r="KZA23" s="5"/>
      <c r="KZH23" s="19"/>
      <c r="KZI23" s="5"/>
      <c r="KZP23" s="19"/>
      <c r="KZQ23" s="5"/>
      <c r="KZX23" s="19"/>
      <c r="KZY23" s="5"/>
      <c r="LAF23" s="19"/>
      <c r="LAG23" s="5"/>
      <c r="LAN23" s="19"/>
      <c r="LAO23" s="5"/>
      <c r="LAV23" s="19"/>
      <c r="LAW23" s="5"/>
      <c r="LBD23" s="19"/>
      <c r="LBE23" s="5"/>
      <c r="LBL23" s="19"/>
      <c r="LBM23" s="5"/>
      <c r="LBT23" s="19"/>
      <c r="LBU23" s="5"/>
      <c r="LCB23" s="19"/>
      <c r="LCC23" s="5"/>
      <c r="LCJ23" s="19"/>
      <c r="LCK23" s="5"/>
      <c r="LCR23" s="19"/>
      <c r="LCS23" s="5"/>
      <c r="LCZ23" s="19"/>
      <c r="LDA23" s="5"/>
      <c r="LDH23" s="19"/>
      <c r="LDI23" s="5"/>
      <c r="LDP23" s="19"/>
      <c r="LDQ23" s="5"/>
      <c r="LDX23" s="19"/>
      <c r="LDY23" s="5"/>
      <c r="LEF23" s="19"/>
      <c r="LEG23" s="5"/>
      <c r="LEN23" s="19"/>
      <c r="LEO23" s="5"/>
      <c r="LEV23" s="19"/>
      <c r="LEW23" s="5"/>
      <c r="LFD23" s="19"/>
      <c r="LFE23" s="5"/>
      <c r="LFL23" s="19"/>
      <c r="LFM23" s="5"/>
      <c r="LFT23" s="19"/>
      <c r="LFU23" s="5"/>
      <c r="LGB23" s="19"/>
      <c r="LGC23" s="5"/>
      <c r="LGJ23" s="19"/>
      <c r="LGK23" s="5"/>
      <c r="LGR23" s="19"/>
      <c r="LGS23" s="5"/>
      <c r="LGZ23" s="19"/>
      <c r="LHA23" s="5"/>
      <c r="LHH23" s="19"/>
      <c r="LHI23" s="5"/>
      <c r="LHP23" s="19"/>
      <c r="LHQ23" s="5"/>
      <c r="LHX23" s="19"/>
      <c r="LHY23" s="5"/>
      <c r="LIF23" s="19"/>
      <c r="LIG23" s="5"/>
      <c r="LIN23" s="19"/>
      <c r="LIO23" s="5"/>
      <c r="LIV23" s="19"/>
      <c r="LIW23" s="5"/>
      <c r="LJD23" s="19"/>
      <c r="LJE23" s="5"/>
      <c r="LJL23" s="19"/>
      <c r="LJM23" s="5"/>
      <c r="LJT23" s="19"/>
      <c r="LJU23" s="5"/>
      <c r="LKB23" s="19"/>
      <c r="LKC23" s="5"/>
      <c r="LKJ23" s="19"/>
      <c r="LKK23" s="5"/>
      <c r="LKR23" s="19"/>
      <c r="LKS23" s="5"/>
      <c r="LKZ23" s="19"/>
      <c r="LLA23" s="5"/>
      <c r="LLH23" s="19"/>
      <c r="LLI23" s="5"/>
      <c r="LLP23" s="19"/>
      <c r="LLQ23" s="5"/>
      <c r="LLX23" s="19"/>
      <c r="LLY23" s="5"/>
      <c r="LMF23" s="19"/>
      <c r="LMG23" s="5"/>
      <c r="LMN23" s="19"/>
      <c r="LMO23" s="5"/>
      <c r="LMV23" s="19"/>
      <c r="LMW23" s="5"/>
      <c r="LND23" s="19"/>
      <c r="LNE23" s="5"/>
      <c r="LNL23" s="19"/>
      <c r="LNM23" s="5"/>
      <c r="LNT23" s="19"/>
      <c r="LNU23" s="5"/>
      <c r="LOB23" s="19"/>
      <c r="LOC23" s="5"/>
      <c r="LOJ23" s="19"/>
      <c r="LOK23" s="5"/>
      <c r="LOR23" s="19"/>
      <c r="LOS23" s="5"/>
      <c r="LOZ23" s="19"/>
      <c r="LPA23" s="5"/>
      <c r="LPH23" s="19"/>
      <c r="LPI23" s="5"/>
      <c r="LPP23" s="19"/>
      <c r="LPQ23" s="5"/>
      <c r="LPX23" s="19"/>
      <c r="LPY23" s="5"/>
      <c r="LQF23" s="19"/>
      <c r="LQG23" s="5"/>
      <c r="LQN23" s="19"/>
      <c r="LQO23" s="5"/>
      <c r="LQV23" s="19"/>
      <c r="LQW23" s="5"/>
      <c r="LRD23" s="19"/>
      <c r="LRE23" s="5"/>
      <c r="LRL23" s="19"/>
      <c r="LRM23" s="5"/>
      <c r="LRT23" s="19"/>
      <c r="LRU23" s="5"/>
      <c r="LSB23" s="19"/>
      <c r="LSC23" s="5"/>
      <c r="LSJ23" s="19"/>
      <c r="LSK23" s="5"/>
      <c r="LSR23" s="19"/>
      <c r="LSS23" s="5"/>
      <c r="LSZ23" s="19"/>
      <c r="LTA23" s="5"/>
      <c r="LTH23" s="19"/>
      <c r="LTI23" s="5"/>
      <c r="LTP23" s="19"/>
      <c r="LTQ23" s="5"/>
      <c r="LTX23" s="19"/>
      <c r="LTY23" s="5"/>
      <c r="LUF23" s="19"/>
      <c r="LUG23" s="5"/>
      <c r="LUN23" s="19"/>
      <c r="LUO23" s="5"/>
      <c r="LUV23" s="19"/>
      <c r="LUW23" s="5"/>
      <c r="LVD23" s="19"/>
      <c r="LVE23" s="5"/>
      <c r="LVL23" s="19"/>
      <c r="LVM23" s="5"/>
      <c r="LVT23" s="19"/>
      <c r="LVU23" s="5"/>
      <c r="LWB23" s="19"/>
      <c r="LWC23" s="5"/>
      <c r="LWJ23" s="19"/>
      <c r="LWK23" s="5"/>
      <c r="LWR23" s="19"/>
      <c r="LWS23" s="5"/>
      <c r="LWZ23" s="19"/>
      <c r="LXA23" s="5"/>
      <c r="LXH23" s="19"/>
      <c r="LXI23" s="5"/>
      <c r="LXP23" s="19"/>
      <c r="LXQ23" s="5"/>
      <c r="LXX23" s="19"/>
      <c r="LXY23" s="5"/>
      <c r="LYF23" s="19"/>
      <c r="LYG23" s="5"/>
      <c r="LYN23" s="19"/>
      <c r="LYO23" s="5"/>
      <c r="LYV23" s="19"/>
      <c r="LYW23" s="5"/>
      <c r="LZD23" s="19"/>
      <c r="LZE23" s="5"/>
      <c r="LZL23" s="19"/>
      <c r="LZM23" s="5"/>
      <c r="LZT23" s="19"/>
      <c r="LZU23" s="5"/>
      <c r="MAB23" s="19"/>
      <c r="MAC23" s="5"/>
      <c r="MAJ23" s="19"/>
      <c r="MAK23" s="5"/>
      <c r="MAR23" s="19"/>
      <c r="MAS23" s="5"/>
      <c r="MAZ23" s="19"/>
      <c r="MBA23" s="5"/>
      <c r="MBH23" s="19"/>
      <c r="MBI23" s="5"/>
      <c r="MBP23" s="19"/>
      <c r="MBQ23" s="5"/>
      <c r="MBX23" s="19"/>
      <c r="MBY23" s="5"/>
      <c r="MCF23" s="19"/>
      <c r="MCG23" s="5"/>
      <c r="MCN23" s="19"/>
      <c r="MCO23" s="5"/>
      <c r="MCV23" s="19"/>
      <c r="MCW23" s="5"/>
      <c r="MDD23" s="19"/>
      <c r="MDE23" s="5"/>
      <c r="MDL23" s="19"/>
      <c r="MDM23" s="5"/>
      <c r="MDT23" s="19"/>
      <c r="MDU23" s="5"/>
      <c r="MEB23" s="19"/>
      <c r="MEC23" s="5"/>
      <c r="MEJ23" s="19"/>
      <c r="MEK23" s="5"/>
      <c r="MER23" s="19"/>
      <c r="MES23" s="5"/>
      <c r="MEZ23" s="19"/>
      <c r="MFA23" s="5"/>
      <c r="MFH23" s="19"/>
      <c r="MFI23" s="5"/>
      <c r="MFP23" s="19"/>
      <c r="MFQ23" s="5"/>
      <c r="MFX23" s="19"/>
      <c r="MFY23" s="5"/>
      <c r="MGF23" s="19"/>
      <c r="MGG23" s="5"/>
      <c r="MGN23" s="19"/>
      <c r="MGO23" s="5"/>
      <c r="MGV23" s="19"/>
      <c r="MGW23" s="5"/>
      <c r="MHD23" s="19"/>
      <c r="MHE23" s="5"/>
      <c r="MHL23" s="19"/>
      <c r="MHM23" s="5"/>
      <c r="MHT23" s="19"/>
      <c r="MHU23" s="5"/>
      <c r="MIB23" s="19"/>
      <c r="MIC23" s="5"/>
      <c r="MIJ23" s="19"/>
      <c r="MIK23" s="5"/>
      <c r="MIR23" s="19"/>
      <c r="MIS23" s="5"/>
      <c r="MIZ23" s="19"/>
      <c r="MJA23" s="5"/>
      <c r="MJH23" s="19"/>
      <c r="MJI23" s="5"/>
      <c r="MJP23" s="19"/>
      <c r="MJQ23" s="5"/>
      <c r="MJX23" s="19"/>
      <c r="MJY23" s="5"/>
      <c r="MKF23" s="19"/>
      <c r="MKG23" s="5"/>
      <c r="MKN23" s="19"/>
      <c r="MKO23" s="5"/>
      <c r="MKV23" s="19"/>
      <c r="MKW23" s="5"/>
      <c r="MLD23" s="19"/>
      <c r="MLE23" s="5"/>
      <c r="MLL23" s="19"/>
      <c r="MLM23" s="5"/>
      <c r="MLT23" s="19"/>
      <c r="MLU23" s="5"/>
      <c r="MMB23" s="19"/>
      <c r="MMC23" s="5"/>
      <c r="MMJ23" s="19"/>
      <c r="MMK23" s="5"/>
      <c r="MMR23" s="19"/>
      <c r="MMS23" s="5"/>
      <c r="MMZ23" s="19"/>
      <c r="MNA23" s="5"/>
      <c r="MNH23" s="19"/>
      <c r="MNI23" s="5"/>
      <c r="MNP23" s="19"/>
      <c r="MNQ23" s="5"/>
      <c r="MNX23" s="19"/>
      <c r="MNY23" s="5"/>
      <c r="MOF23" s="19"/>
      <c r="MOG23" s="5"/>
      <c r="MON23" s="19"/>
      <c r="MOO23" s="5"/>
      <c r="MOV23" s="19"/>
      <c r="MOW23" s="5"/>
      <c r="MPD23" s="19"/>
      <c r="MPE23" s="5"/>
      <c r="MPL23" s="19"/>
      <c r="MPM23" s="5"/>
      <c r="MPT23" s="19"/>
      <c r="MPU23" s="5"/>
      <c r="MQB23" s="19"/>
      <c r="MQC23" s="5"/>
      <c r="MQJ23" s="19"/>
      <c r="MQK23" s="5"/>
      <c r="MQR23" s="19"/>
      <c r="MQS23" s="5"/>
      <c r="MQZ23" s="19"/>
      <c r="MRA23" s="5"/>
      <c r="MRH23" s="19"/>
      <c r="MRI23" s="5"/>
      <c r="MRP23" s="19"/>
      <c r="MRQ23" s="5"/>
      <c r="MRX23" s="19"/>
      <c r="MRY23" s="5"/>
      <c r="MSF23" s="19"/>
      <c r="MSG23" s="5"/>
      <c r="MSN23" s="19"/>
      <c r="MSO23" s="5"/>
      <c r="MSV23" s="19"/>
      <c r="MSW23" s="5"/>
      <c r="MTD23" s="19"/>
      <c r="MTE23" s="5"/>
      <c r="MTL23" s="19"/>
      <c r="MTM23" s="5"/>
      <c r="MTT23" s="19"/>
      <c r="MTU23" s="5"/>
      <c r="MUB23" s="19"/>
      <c r="MUC23" s="5"/>
      <c r="MUJ23" s="19"/>
      <c r="MUK23" s="5"/>
      <c r="MUR23" s="19"/>
      <c r="MUS23" s="5"/>
      <c r="MUZ23" s="19"/>
      <c r="MVA23" s="5"/>
      <c r="MVH23" s="19"/>
      <c r="MVI23" s="5"/>
      <c r="MVP23" s="19"/>
      <c r="MVQ23" s="5"/>
      <c r="MVX23" s="19"/>
      <c r="MVY23" s="5"/>
      <c r="MWF23" s="19"/>
      <c r="MWG23" s="5"/>
      <c r="MWN23" s="19"/>
      <c r="MWO23" s="5"/>
      <c r="MWV23" s="19"/>
      <c r="MWW23" s="5"/>
      <c r="MXD23" s="19"/>
      <c r="MXE23" s="5"/>
      <c r="MXL23" s="19"/>
      <c r="MXM23" s="5"/>
      <c r="MXT23" s="19"/>
      <c r="MXU23" s="5"/>
      <c r="MYB23" s="19"/>
      <c r="MYC23" s="5"/>
      <c r="MYJ23" s="19"/>
      <c r="MYK23" s="5"/>
      <c r="MYR23" s="19"/>
      <c r="MYS23" s="5"/>
      <c r="MYZ23" s="19"/>
      <c r="MZA23" s="5"/>
      <c r="MZH23" s="19"/>
      <c r="MZI23" s="5"/>
      <c r="MZP23" s="19"/>
      <c r="MZQ23" s="5"/>
      <c r="MZX23" s="19"/>
      <c r="MZY23" s="5"/>
      <c r="NAF23" s="19"/>
      <c r="NAG23" s="5"/>
      <c r="NAN23" s="19"/>
      <c r="NAO23" s="5"/>
      <c r="NAV23" s="19"/>
      <c r="NAW23" s="5"/>
      <c r="NBD23" s="19"/>
      <c r="NBE23" s="5"/>
      <c r="NBL23" s="19"/>
      <c r="NBM23" s="5"/>
      <c r="NBT23" s="19"/>
      <c r="NBU23" s="5"/>
      <c r="NCB23" s="19"/>
      <c r="NCC23" s="5"/>
      <c r="NCJ23" s="19"/>
      <c r="NCK23" s="5"/>
      <c r="NCR23" s="19"/>
      <c r="NCS23" s="5"/>
      <c r="NCZ23" s="19"/>
      <c r="NDA23" s="5"/>
      <c r="NDH23" s="19"/>
      <c r="NDI23" s="5"/>
      <c r="NDP23" s="19"/>
      <c r="NDQ23" s="5"/>
      <c r="NDX23" s="19"/>
      <c r="NDY23" s="5"/>
      <c r="NEF23" s="19"/>
      <c r="NEG23" s="5"/>
      <c r="NEN23" s="19"/>
      <c r="NEO23" s="5"/>
      <c r="NEV23" s="19"/>
      <c r="NEW23" s="5"/>
      <c r="NFD23" s="19"/>
      <c r="NFE23" s="5"/>
      <c r="NFL23" s="19"/>
      <c r="NFM23" s="5"/>
      <c r="NFT23" s="19"/>
      <c r="NFU23" s="5"/>
      <c r="NGB23" s="19"/>
      <c r="NGC23" s="5"/>
      <c r="NGJ23" s="19"/>
      <c r="NGK23" s="5"/>
      <c r="NGR23" s="19"/>
      <c r="NGS23" s="5"/>
      <c r="NGZ23" s="19"/>
      <c r="NHA23" s="5"/>
      <c r="NHH23" s="19"/>
      <c r="NHI23" s="5"/>
      <c r="NHP23" s="19"/>
      <c r="NHQ23" s="5"/>
      <c r="NHX23" s="19"/>
      <c r="NHY23" s="5"/>
      <c r="NIF23" s="19"/>
      <c r="NIG23" s="5"/>
      <c r="NIN23" s="19"/>
      <c r="NIO23" s="5"/>
      <c r="NIV23" s="19"/>
      <c r="NIW23" s="5"/>
      <c r="NJD23" s="19"/>
      <c r="NJE23" s="5"/>
      <c r="NJL23" s="19"/>
      <c r="NJM23" s="5"/>
      <c r="NJT23" s="19"/>
      <c r="NJU23" s="5"/>
      <c r="NKB23" s="19"/>
      <c r="NKC23" s="5"/>
      <c r="NKJ23" s="19"/>
      <c r="NKK23" s="5"/>
      <c r="NKR23" s="19"/>
      <c r="NKS23" s="5"/>
      <c r="NKZ23" s="19"/>
      <c r="NLA23" s="5"/>
      <c r="NLH23" s="19"/>
      <c r="NLI23" s="5"/>
      <c r="NLP23" s="19"/>
      <c r="NLQ23" s="5"/>
      <c r="NLX23" s="19"/>
      <c r="NLY23" s="5"/>
      <c r="NMF23" s="19"/>
      <c r="NMG23" s="5"/>
      <c r="NMN23" s="19"/>
      <c r="NMO23" s="5"/>
      <c r="NMV23" s="19"/>
      <c r="NMW23" s="5"/>
      <c r="NND23" s="19"/>
      <c r="NNE23" s="5"/>
      <c r="NNL23" s="19"/>
      <c r="NNM23" s="5"/>
      <c r="NNT23" s="19"/>
      <c r="NNU23" s="5"/>
      <c r="NOB23" s="19"/>
      <c r="NOC23" s="5"/>
      <c r="NOJ23" s="19"/>
      <c r="NOK23" s="5"/>
      <c r="NOR23" s="19"/>
      <c r="NOS23" s="5"/>
      <c r="NOZ23" s="19"/>
      <c r="NPA23" s="5"/>
      <c r="NPH23" s="19"/>
      <c r="NPI23" s="5"/>
      <c r="NPP23" s="19"/>
      <c r="NPQ23" s="5"/>
      <c r="NPX23" s="19"/>
      <c r="NPY23" s="5"/>
      <c r="NQF23" s="19"/>
      <c r="NQG23" s="5"/>
      <c r="NQN23" s="19"/>
      <c r="NQO23" s="5"/>
      <c r="NQV23" s="19"/>
      <c r="NQW23" s="5"/>
      <c r="NRD23" s="19"/>
      <c r="NRE23" s="5"/>
      <c r="NRL23" s="19"/>
      <c r="NRM23" s="5"/>
      <c r="NRT23" s="19"/>
      <c r="NRU23" s="5"/>
      <c r="NSB23" s="19"/>
      <c r="NSC23" s="5"/>
      <c r="NSJ23" s="19"/>
      <c r="NSK23" s="5"/>
      <c r="NSR23" s="19"/>
      <c r="NSS23" s="5"/>
      <c r="NSZ23" s="19"/>
      <c r="NTA23" s="5"/>
      <c r="NTH23" s="19"/>
      <c r="NTI23" s="5"/>
      <c r="NTP23" s="19"/>
      <c r="NTQ23" s="5"/>
      <c r="NTX23" s="19"/>
      <c r="NTY23" s="5"/>
      <c r="NUF23" s="19"/>
      <c r="NUG23" s="5"/>
      <c r="NUN23" s="19"/>
      <c r="NUO23" s="5"/>
      <c r="NUV23" s="19"/>
      <c r="NUW23" s="5"/>
      <c r="NVD23" s="19"/>
      <c r="NVE23" s="5"/>
      <c r="NVL23" s="19"/>
      <c r="NVM23" s="5"/>
      <c r="NVT23" s="19"/>
      <c r="NVU23" s="5"/>
      <c r="NWB23" s="19"/>
      <c r="NWC23" s="5"/>
      <c r="NWJ23" s="19"/>
      <c r="NWK23" s="5"/>
      <c r="NWR23" s="19"/>
      <c r="NWS23" s="5"/>
      <c r="NWZ23" s="19"/>
      <c r="NXA23" s="5"/>
      <c r="NXH23" s="19"/>
      <c r="NXI23" s="5"/>
      <c r="NXP23" s="19"/>
      <c r="NXQ23" s="5"/>
      <c r="NXX23" s="19"/>
      <c r="NXY23" s="5"/>
      <c r="NYF23" s="19"/>
      <c r="NYG23" s="5"/>
      <c r="NYN23" s="19"/>
      <c r="NYO23" s="5"/>
      <c r="NYV23" s="19"/>
      <c r="NYW23" s="5"/>
      <c r="NZD23" s="19"/>
      <c r="NZE23" s="5"/>
      <c r="NZL23" s="19"/>
      <c r="NZM23" s="5"/>
      <c r="NZT23" s="19"/>
      <c r="NZU23" s="5"/>
      <c r="OAB23" s="19"/>
      <c r="OAC23" s="5"/>
      <c r="OAJ23" s="19"/>
      <c r="OAK23" s="5"/>
      <c r="OAR23" s="19"/>
      <c r="OAS23" s="5"/>
      <c r="OAZ23" s="19"/>
      <c r="OBA23" s="5"/>
      <c r="OBH23" s="19"/>
      <c r="OBI23" s="5"/>
      <c r="OBP23" s="19"/>
      <c r="OBQ23" s="5"/>
      <c r="OBX23" s="19"/>
      <c r="OBY23" s="5"/>
      <c r="OCF23" s="19"/>
      <c r="OCG23" s="5"/>
      <c r="OCN23" s="19"/>
      <c r="OCO23" s="5"/>
      <c r="OCV23" s="19"/>
      <c r="OCW23" s="5"/>
      <c r="ODD23" s="19"/>
      <c r="ODE23" s="5"/>
      <c r="ODL23" s="19"/>
      <c r="ODM23" s="5"/>
      <c r="ODT23" s="19"/>
      <c r="ODU23" s="5"/>
      <c r="OEB23" s="19"/>
      <c r="OEC23" s="5"/>
      <c r="OEJ23" s="19"/>
      <c r="OEK23" s="5"/>
      <c r="OER23" s="19"/>
      <c r="OES23" s="5"/>
      <c r="OEZ23" s="19"/>
      <c r="OFA23" s="5"/>
      <c r="OFH23" s="19"/>
      <c r="OFI23" s="5"/>
      <c r="OFP23" s="19"/>
      <c r="OFQ23" s="5"/>
      <c r="OFX23" s="19"/>
      <c r="OFY23" s="5"/>
      <c r="OGF23" s="19"/>
      <c r="OGG23" s="5"/>
      <c r="OGN23" s="19"/>
      <c r="OGO23" s="5"/>
      <c r="OGV23" s="19"/>
      <c r="OGW23" s="5"/>
      <c r="OHD23" s="19"/>
      <c r="OHE23" s="5"/>
      <c r="OHL23" s="19"/>
      <c r="OHM23" s="5"/>
      <c r="OHT23" s="19"/>
      <c r="OHU23" s="5"/>
      <c r="OIB23" s="19"/>
      <c r="OIC23" s="5"/>
      <c r="OIJ23" s="19"/>
      <c r="OIK23" s="5"/>
      <c r="OIR23" s="19"/>
      <c r="OIS23" s="5"/>
      <c r="OIZ23" s="19"/>
      <c r="OJA23" s="5"/>
      <c r="OJH23" s="19"/>
      <c r="OJI23" s="5"/>
      <c r="OJP23" s="19"/>
      <c r="OJQ23" s="5"/>
      <c r="OJX23" s="19"/>
      <c r="OJY23" s="5"/>
      <c r="OKF23" s="19"/>
      <c r="OKG23" s="5"/>
      <c r="OKN23" s="19"/>
      <c r="OKO23" s="5"/>
      <c r="OKV23" s="19"/>
      <c r="OKW23" s="5"/>
      <c r="OLD23" s="19"/>
      <c r="OLE23" s="5"/>
      <c r="OLL23" s="19"/>
      <c r="OLM23" s="5"/>
      <c r="OLT23" s="19"/>
      <c r="OLU23" s="5"/>
      <c r="OMB23" s="19"/>
      <c r="OMC23" s="5"/>
      <c r="OMJ23" s="19"/>
      <c r="OMK23" s="5"/>
      <c r="OMR23" s="19"/>
      <c r="OMS23" s="5"/>
      <c r="OMZ23" s="19"/>
      <c r="ONA23" s="5"/>
      <c r="ONH23" s="19"/>
      <c r="ONI23" s="5"/>
      <c r="ONP23" s="19"/>
      <c r="ONQ23" s="5"/>
      <c r="ONX23" s="19"/>
      <c r="ONY23" s="5"/>
      <c r="OOF23" s="19"/>
      <c r="OOG23" s="5"/>
      <c r="OON23" s="19"/>
      <c r="OOO23" s="5"/>
      <c r="OOV23" s="19"/>
      <c r="OOW23" s="5"/>
      <c r="OPD23" s="19"/>
      <c r="OPE23" s="5"/>
      <c r="OPL23" s="19"/>
      <c r="OPM23" s="5"/>
      <c r="OPT23" s="19"/>
      <c r="OPU23" s="5"/>
      <c r="OQB23" s="19"/>
      <c r="OQC23" s="5"/>
      <c r="OQJ23" s="19"/>
      <c r="OQK23" s="5"/>
      <c r="OQR23" s="19"/>
      <c r="OQS23" s="5"/>
      <c r="OQZ23" s="19"/>
      <c r="ORA23" s="5"/>
      <c r="ORH23" s="19"/>
      <c r="ORI23" s="5"/>
      <c r="ORP23" s="19"/>
      <c r="ORQ23" s="5"/>
      <c r="ORX23" s="19"/>
      <c r="ORY23" s="5"/>
      <c r="OSF23" s="19"/>
      <c r="OSG23" s="5"/>
      <c r="OSN23" s="19"/>
      <c r="OSO23" s="5"/>
      <c r="OSV23" s="19"/>
      <c r="OSW23" s="5"/>
      <c r="OTD23" s="19"/>
      <c r="OTE23" s="5"/>
      <c r="OTL23" s="19"/>
      <c r="OTM23" s="5"/>
      <c r="OTT23" s="19"/>
      <c r="OTU23" s="5"/>
      <c r="OUB23" s="19"/>
      <c r="OUC23" s="5"/>
      <c r="OUJ23" s="19"/>
      <c r="OUK23" s="5"/>
      <c r="OUR23" s="19"/>
      <c r="OUS23" s="5"/>
      <c r="OUZ23" s="19"/>
      <c r="OVA23" s="5"/>
      <c r="OVH23" s="19"/>
      <c r="OVI23" s="5"/>
      <c r="OVP23" s="19"/>
      <c r="OVQ23" s="5"/>
      <c r="OVX23" s="19"/>
      <c r="OVY23" s="5"/>
      <c r="OWF23" s="19"/>
      <c r="OWG23" s="5"/>
      <c r="OWN23" s="19"/>
      <c r="OWO23" s="5"/>
      <c r="OWV23" s="19"/>
      <c r="OWW23" s="5"/>
      <c r="OXD23" s="19"/>
      <c r="OXE23" s="5"/>
      <c r="OXL23" s="19"/>
      <c r="OXM23" s="5"/>
      <c r="OXT23" s="19"/>
      <c r="OXU23" s="5"/>
      <c r="OYB23" s="19"/>
      <c r="OYC23" s="5"/>
      <c r="OYJ23" s="19"/>
      <c r="OYK23" s="5"/>
      <c r="OYR23" s="19"/>
      <c r="OYS23" s="5"/>
      <c r="OYZ23" s="19"/>
      <c r="OZA23" s="5"/>
      <c r="OZH23" s="19"/>
      <c r="OZI23" s="5"/>
      <c r="OZP23" s="19"/>
      <c r="OZQ23" s="5"/>
      <c r="OZX23" s="19"/>
      <c r="OZY23" s="5"/>
      <c r="PAF23" s="19"/>
      <c r="PAG23" s="5"/>
      <c r="PAN23" s="19"/>
      <c r="PAO23" s="5"/>
      <c r="PAV23" s="19"/>
      <c r="PAW23" s="5"/>
      <c r="PBD23" s="19"/>
      <c r="PBE23" s="5"/>
      <c r="PBL23" s="19"/>
      <c r="PBM23" s="5"/>
      <c r="PBT23" s="19"/>
      <c r="PBU23" s="5"/>
      <c r="PCB23" s="19"/>
      <c r="PCC23" s="5"/>
      <c r="PCJ23" s="19"/>
      <c r="PCK23" s="5"/>
      <c r="PCR23" s="19"/>
      <c r="PCS23" s="5"/>
      <c r="PCZ23" s="19"/>
      <c r="PDA23" s="5"/>
      <c r="PDH23" s="19"/>
      <c r="PDI23" s="5"/>
      <c r="PDP23" s="19"/>
      <c r="PDQ23" s="5"/>
      <c r="PDX23" s="19"/>
      <c r="PDY23" s="5"/>
      <c r="PEF23" s="19"/>
      <c r="PEG23" s="5"/>
      <c r="PEN23" s="19"/>
      <c r="PEO23" s="5"/>
      <c r="PEV23" s="19"/>
      <c r="PEW23" s="5"/>
      <c r="PFD23" s="19"/>
      <c r="PFE23" s="5"/>
      <c r="PFL23" s="19"/>
      <c r="PFM23" s="5"/>
      <c r="PFT23" s="19"/>
      <c r="PFU23" s="5"/>
      <c r="PGB23" s="19"/>
      <c r="PGC23" s="5"/>
      <c r="PGJ23" s="19"/>
      <c r="PGK23" s="5"/>
      <c r="PGR23" s="19"/>
      <c r="PGS23" s="5"/>
      <c r="PGZ23" s="19"/>
      <c r="PHA23" s="5"/>
      <c r="PHH23" s="19"/>
      <c r="PHI23" s="5"/>
      <c r="PHP23" s="19"/>
      <c r="PHQ23" s="5"/>
      <c r="PHX23" s="19"/>
      <c r="PHY23" s="5"/>
      <c r="PIF23" s="19"/>
      <c r="PIG23" s="5"/>
      <c r="PIN23" s="19"/>
      <c r="PIO23" s="5"/>
      <c r="PIV23" s="19"/>
      <c r="PIW23" s="5"/>
      <c r="PJD23" s="19"/>
      <c r="PJE23" s="5"/>
      <c r="PJL23" s="19"/>
      <c r="PJM23" s="5"/>
      <c r="PJT23" s="19"/>
      <c r="PJU23" s="5"/>
      <c r="PKB23" s="19"/>
      <c r="PKC23" s="5"/>
      <c r="PKJ23" s="19"/>
      <c r="PKK23" s="5"/>
      <c r="PKR23" s="19"/>
      <c r="PKS23" s="5"/>
      <c r="PKZ23" s="19"/>
      <c r="PLA23" s="5"/>
      <c r="PLH23" s="19"/>
      <c r="PLI23" s="5"/>
      <c r="PLP23" s="19"/>
      <c r="PLQ23" s="5"/>
      <c r="PLX23" s="19"/>
      <c r="PLY23" s="5"/>
      <c r="PMF23" s="19"/>
      <c r="PMG23" s="5"/>
      <c r="PMN23" s="19"/>
      <c r="PMO23" s="5"/>
      <c r="PMV23" s="19"/>
      <c r="PMW23" s="5"/>
      <c r="PND23" s="19"/>
      <c r="PNE23" s="5"/>
      <c r="PNL23" s="19"/>
      <c r="PNM23" s="5"/>
      <c r="PNT23" s="19"/>
      <c r="PNU23" s="5"/>
      <c r="POB23" s="19"/>
      <c r="POC23" s="5"/>
      <c r="POJ23" s="19"/>
      <c r="POK23" s="5"/>
      <c r="POR23" s="19"/>
      <c r="POS23" s="5"/>
      <c r="POZ23" s="19"/>
      <c r="PPA23" s="5"/>
      <c r="PPH23" s="19"/>
      <c r="PPI23" s="5"/>
      <c r="PPP23" s="19"/>
      <c r="PPQ23" s="5"/>
      <c r="PPX23" s="19"/>
      <c r="PPY23" s="5"/>
      <c r="PQF23" s="19"/>
      <c r="PQG23" s="5"/>
      <c r="PQN23" s="19"/>
      <c r="PQO23" s="5"/>
      <c r="PQV23" s="19"/>
      <c r="PQW23" s="5"/>
      <c r="PRD23" s="19"/>
      <c r="PRE23" s="5"/>
      <c r="PRL23" s="19"/>
      <c r="PRM23" s="5"/>
      <c r="PRT23" s="19"/>
      <c r="PRU23" s="5"/>
      <c r="PSB23" s="19"/>
      <c r="PSC23" s="5"/>
      <c r="PSJ23" s="19"/>
      <c r="PSK23" s="5"/>
      <c r="PSR23" s="19"/>
      <c r="PSS23" s="5"/>
      <c r="PSZ23" s="19"/>
      <c r="PTA23" s="5"/>
      <c r="PTH23" s="19"/>
      <c r="PTI23" s="5"/>
      <c r="PTP23" s="19"/>
      <c r="PTQ23" s="5"/>
      <c r="PTX23" s="19"/>
      <c r="PTY23" s="5"/>
      <c r="PUF23" s="19"/>
      <c r="PUG23" s="5"/>
      <c r="PUN23" s="19"/>
      <c r="PUO23" s="5"/>
      <c r="PUV23" s="19"/>
      <c r="PUW23" s="5"/>
      <c r="PVD23" s="19"/>
      <c r="PVE23" s="5"/>
      <c r="PVL23" s="19"/>
      <c r="PVM23" s="5"/>
      <c r="PVT23" s="19"/>
      <c r="PVU23" s="5"/>
      <c r="PWB23" s="19"/>
      <c r="PWC23" s="5"/>
      <c r="PWJ23" s="19"/>
      <c r="PWK23" s="5"/>
      <c r="PWR23" s="19"/>
      <c r="PWS23" s="5"/>
      <c r="PWZ23" s="19"/>
      <c r="PXA23" s="5"/>
      <c r="PXH23" s="19"/>
      <c r="PXI23" s="5"/>
      <c r="PXP23" s="19"/>
      <c r="PXQ23" s="5"/>
      <c r="PXX23" s="19"/>
      <c r="PXY23" s="5"/>
      <c r="PYF23" s="19"/>
      <c r="PYG23" s="5"/>
      <c r="PYN23" s="19"/>
      <c r="PYO23" s="5"/>
      <c r="PYV23" s="19"/>
      <c r="PYW23" s="5"/>
      <c r="PZD23" s="19"/>
      <c r="PZE23" s="5"/>
      <c r="PZL23" s="19"/>
      <c r="PZM23" s="5"/>
      <c r="PZT23" s="19"/>
      <c r="PZU23" s="5"/>
      <c r="QAB23" s="19"/>
      <c r="QAC23" s="5"/>
      <c r="QAJ23" s="19"/>
      <c r="QAK23" s="5"/>
      <c r="QAR23" s="19"/>
      <c r="QAS23" s="5"/>
      <c r="QAZ23" s="19"/>
      <c r="QBA23" s="5"/>
      <c r="QBH23" s="19"/>
      <c r="QBI23" s="5"/>
      <c r="QBP23" s="19"/>
      <c r="QBQ23" s="5"/>
      <c r="QBX23" s="19"/>
      <c r="QBY23" s="5"/>
      <c r="QCF23" s="19"/>
      <c r="QCG23" s="5"/>
      <c r="QCN23" s="19"/>
      <c r="QCO23" s="5"/>
      <c r="QCV23" s="19"/>
      <c r="QCW23" s="5"/>
      <c r="QDD23" s="19"/>
      <c r="QDE23" s="5"/>
      <c r="QDL23" s="19"/>
      <c r="QDM23" s="5"/>
      <c r="QDT23" s="19"/>
      <c r="QDU23" s="5"/>
      <c r="QEB23" s="19"/>
      <c r="QEC23" s="5"/>
      <c r="QEJ23" s="19"/>
      <c r="QEK23" s="5"/>
      <c r="QER23" s="19"/>
      <c r="QES23" s="5"/>
      <c r="QEZ23" s="19"/>
      <c r="QFA23" s="5"/>
      <c r="QFH23" s="19"/>
      <c r="QFI23" s="5"/>
      <c r="QFP23" s="19"/>
      <c r="QFQ23" s="5"/>
      <c r="QFX23" s="19"/>
      <c r="QFY23" s="5"/>
      <c r="QGF23" s="19"/>
      <c r="QGG23" s="5"/>
      <c r="QGN23" s="19"/>
      <c r="QGO23" s="5"/>
      <c r="QGV23" s="19"/>
      <c r="QGW23" s="5"/>
      <c r="QHD23" s="19"/>
      <c r="QHE23" s="5"/>
      <c r="QHL23" s="19"/>
      <c r="QHM23" s="5"/>
      <c r="QHT23" s="19"/>
      <c r="QHU23" s="5"/>
      <c r="QIB23" s="19"/>
      <c r="QIC23" s="5"/>
      <c r="QIJ23" s="19"/>
      <c r="QIK23" s="5"/>
      <c r="QIR23" s="19"/>
      <c r="QIS23" s="5"/>
      <c r="QIZ23" s="19"/>
      <c r="QJA23" s="5"/>
      <c r="QJH23" s="19"/>
      <c r="QJI23" s="5"/>
      <c r="QJP23" s="19"/>
      <c r="QJQ23" s="5"/>
      <c r="QJX23" s="19"/>
      <c r="QJY23" s="5"/>
      <c r="QKF23" s="19"/>
      <c r="QKG23" s="5"/>
      <c r="QKN23" s="19"/>
      <c r="QKO23" s="5"/>
      <c r="QKV23" s="19"/>
      <c r="QKW23" s="5"/>
      <c r="QLD23" s="19"/>
      <c r="QLE23" s="5"/>
      <c r="QLL23" s="19"/>
      <c r="QLM23" s="5"/>
      <c r="QLT23" s="19"/>
      <c r="QLU23" s="5"/>
      <c r="QMB23" s="19"/>
      <c r="QMC23" s="5"/>
      <c r="QMJ23" s="19"/>
      <c r="QMK23" s="5"/>
      <c r="QMR23" s="19"/>
      <c r="QMS23" s="5"/>
      <c r="QMZ23" s="19"/>
      <c r="QNA23" s="5"/>
      <c r="QNH23" s="19"/>
      <c r="QNI23" s="5"/>
      <c r="QNP23" s="19"/>
      <c r="QNQ23" s="5"/>
      <c r="QNX23" s="19"/>
      <c r="QNY23" s="5"/>
      <c r="QOF23" s="19"/>
      <c r="QOG23" s="5"/>
      <c r="QON23" s="19"/>
      <c r="QOO23" s="5"/>
      <c r="QOV23" s="19"/>
      <c r="QOW23" s="5"/>
      <c r="QPD23" s="19"/>
      <c r="QPE23" s="5"/>
      <c r="QPL23" s="19"/>
      <c r="QPM23" s="5"/>
      <c r="QPT23" s="19"/>
      <c r="QPU23" s="5"/>
      <c r="QQB23" s="19"/>
      <c r="QQC23" s="5"/>
      <c r="QQJ23" s="19"/>
      <c r="QQK23" s="5"/>
      <c r="QQR23" s="19"/>
      <c r="QQS23" s="5"/>
      <c r="QQZ23" s="19"/>
      <c r="QRA23" s="5"/>
      <c r="QRH23" s="19"/>
      <c r="QRI23" s="5"/>
      <c r="QRP23" s="19"/>
      <c r="QRQ23" s="5"/>
      <c r="QRX23" s="19"/>
      <c r="QRY23" s="5"/>
      <c r="QSF23" s="19"/>
      <c r="QSG23" s="5"/>
      <c r="QSN23" s="19"/>
      <c r="QSO23" s="5"/>
      <c r="QSV23" s="19"/>
      <c r="QSW23" s="5"/>
      <c r="QTD23" s="19"/>
      <c r="QTE23" s="5"/>
      <c r="QTL23" s="19"/>
      <c r="QTM23" s="5"/>
      <c r="QTT23" s="19"/>
      <c r="QTU23" s="5"/>
      <c r="QUB23" s="19"/>
      <c r="QUC23" s="5"/>
      <c r="QUJ23" s="19"/>
      <c r="QUK23" s="5"/>
      <c r="QUR23" s="19"/>
      <c r="QUS23" s="5"/>
      <c r="QUZ23" s="19"/>
      <c r="QVA23" s="5"/>
      <c r="QVH23" s="19"/>
      <c r="QVI23" s="5"/>
      <c r="QVP23" s="19"/>
      <c r="QVQ23" s="5"/>
      <c r="QVX23" s="19"/>
      <c r="QVY23" s="5"/>
      <c r="QWF23" s="19"/>
      <c r="QWG23" s="5"/>
      <c r="QWN23" s="19"/>
      <c r="QWO23" s="5"/>
      <c r="QWV23" s="19"/>
      <c r="QWW23" s="5"/>
      <c r="QXD23" s="19"/>
      <c r="QXE23" s="5"/>
      <c r="QXL23" s="19"/>
      <c r="QXM23" s="5"/>
      <c r="QXT23" s="19"/>
      <c r="QXU23" s="5"/>
      <c r="QYB23" s="19"/>
      <c r="QYC23" s="5"/>
      <c r="QYJ23" s="19"/>
      <c r="QYK23" s="5"/>
      <c r="QYR23" s="19"/>
      <c r="QYS23" s="5"/>
      <c r="QYZ23" s="19"/>
      <c r="QZA23" s="5"/>
      <c r="QZH23" s="19"/>
      <c r="QZI23" s="5"/>
      <c r="QZP23" s="19"/>
      <c r="QZQ23" s="5"/>
      <c r="QZX23" s="19"/>
      <c r="QZY23" s="5"/>
      <c r="RAF23" s="19"/>
      <c r="RAG23" s="5"/>
      <c r="RAN23" s="19"/>
      <c r="RAO23" s="5"/>
      <c r="RAV23" s="19"/>
      <c r="RAW23" s="5"/>
      <c r="RBD23" s="19"/>
      <c r="RBE23" s="5"/>
      <c r="RBL23" s="19"/>
      <c r="RBM23" s="5"/>
      <c r="RBT23" s="19"/>
      <c r="RBU23" s="5"/>
      <c r="RCB23" s="19"/>
      <c r="RCC23" s="5"/>
      <c r="RCJ23" s="19"/>
      <c r="RCK23" s="5"/>
      <c r="RCR23" s="19"/>
      <c r="RCS23" s="5"/>
      <c r="RCZ23" s="19"/>
      <c r="RDA23" s="5"/>
      <c r="RDH23" s="19"/>
      <c r="RDI23" s="5"/>
      <c r="RDP23" s="19"/>
      <c r="RDQ23" s="5"/>
      <c r="RDX23" s="19"/>
      <c r="RDY23" s="5"/>
      <c r="REF23" s="19"/>
      <c r="REG23" s="5"/>
      <c r="REN23" s="19"/>
      <c r="REO23" s="5"/>
      <c r="REV23" s="19"/>
      <c r="REW23" s="5"/>
      <c r="RFD23" s="19"/>
      <c r="RFE23" s="5"/>
      <c r="RFL23" s="19"/>
      <c r="RFM23" s="5"/>
      <c r="RFT23" s="19"/>
      <c r="RFU23" s="5"/>
      <c r="RGB23" s="19"/>
      <c r="RGC23" s="5"/>
      <c r="RGJ23" s="19"/>
      <c r="RGK23" s="5"/>
      <c r="RGR23" s="19"/>
      <c r="RGS23" s="5"/>
      <c r="RGZ23" s="19"/>
      <c r="RHA23" s="5"/>
      <c r="RHH23" s="19"/>
      <c r="RHI23" s="5"/>
      <c r="RHP23" s="19"/>
      <c r="RHQ23" s="5"/>
      <c r="RHX23" s="19"/>
      <c r="RHY23" s="5"/>
      <c r="RIF23" s="19"/>
      <c r="RIG23" s="5"/>
      <c r="RIN23" s="19"/>
      <c r="RIO23" s="5"/>
      <c r="RIV23" s="19"/>
      <c r="RIW23" s="5"/>
      <c r="RJD23" s="19"/>
      <c r="RJE23" s="5"/>
      <c r="RJL23" s="19"/>
      <c r="RJM23" s="5"/>
      <c r="RJT23" s="19"/>
      <c r="RJU23" s="5"/>
      <c r="RKB23" s="19"/>
      <c r="RKC23" s="5"/>
      <c r="RKJ23" s="19"/>
      <c r="RKK23" s="5"/>
      <c r="RKR23" s="19"/>
      <c r="RKS23" s="5"/>
      <c r="RKZ23" s="19"/>
      <c r="RLA23" s="5"/>
      <c r="RLH23" s="19"/>
      <c r="RLI23" s="5"/>
      <c r="RLP23" s="19"/>
      <c r="RLQ23" s="5"/>
      <c r="RLX23" s="19"/>
      <c r="RLY23" s="5"/>
      <c r="RMF23" s="19"/>
      <c r="RMG23" s="5"/>
      <c r="RMN23" s="19"/>
      <c r="RMO23" s="5"/>
      <c r="RMV23" s="19"/>
      <c r="RMW23" s="5"/>
      <c r="RND23" s="19"/>
      <c r="RNE23" s="5"/>
      <c r="RNL23" s="19"/>
      <c r="RNM23" s="5"/>
      <c r="RNT23" s="19"/>
      <c r="RNU23" s="5"/>
      <c r="ROB23" s="19"/>
      <c r="ROC23" s="5"/>
      <c r="ROJ23" s="19"/>
      <c r="ROK23" s="5"/>
      <c r="ROR23" s="19"/>
      <c r="ROS23" s="5"/>
      <c r="ROZ23" s="19"/>
      <c r="RPA23" s="5"/>
      <c r="RPH23" s="19"/>
      <c r="RPI23" s="5"/>
      <c r="RPP23" s="19"/>
      <c r="RPQ23" s="5"/>
      <c r="RPX23" s="19"/>
      <c r="RPY23" s="5"/>
      <c r="RQF23" s="19"/>
      <c r="RQG23" s="5"/>
      <c r="RQN23" s="19"/>
      <c r="RQO23" s="5"/>
      <c r="RQV23" s="19"/>
      <c r="RQW23" s="5"/>
      <c r="RRD23" s="19"/>
      <c r="RRE23" s="5"/>
      <c r="RRL23" s="19"/>
      <c r="RRM23" s="5"/>
      <c r="RRT23" s="19"/>
      <c r="RRU23" s="5"/>
      <c r="RSB23" s="19"/>
      <c r="RSC23" s="5"/>
      <c r="RSJ23" s="19"/>
      <c r="RSK23" s="5"/>
      <c r="RSR23" s="19"/>
      <c r="RSS23" s="5"/>
      <c r="RSZ23" s="19"/>
      <c r="RTA23" s="5"/>
      <c r="RTH23" s="19"/>
      <c r="RTI23" s="5"/>
      <c r="RTP23" s="19"/>
      <c r="RTQ23" s="5"/>
      <c r="RTX23" s="19"/>
      <c r="RTY23" s="5"/>
      <c r="RUF23" s="19"/>
      <c r="RUG23" s="5"/>
      <c r="RUN23" s="19"/>
      <c r="RUO23" s="5"/>
      <c r="RUV23" s="19"/>
      <c r="RUW23" s="5"/>
      <c r="RVD23" s="19"/>
      <c r="RVE23" s="5"/>
      <c r="RVL23" s="19"/>
      <c r="RVM23" s="5"/>
      <c r="RVT23" s="19"/>
      <c r="RVU23" s="5"/>
      <c r="RWB23" s="19"/>
      <c r="RWC23" s="5"/>
      <c r="RWJ23" s="19"/>
      <c r="RWK23" s="5"/>
      <c r="RWR23" s="19"/>
      <c r="RWS23" s="5"/>
      <c r="RWZ23" s="19"/>
      <c r="RXA23" s="5"/>
      <c r="RXH23" s="19"/>
      <c r="RXI23" s="5"/>
      <c r="RXP23" s="19"/>
      <c r="RXQ23" s="5"/>
      <c r="RXX23" s="19"/>
      <c r="RXY23" s="5"/>
      <c r="RYF23" s="19"/>
      <c r="RYG23" s="5"/>
      <c r="RYN23" s="19"/>
      <c r="RYO23" s="5"/>
      <c r="RYV23" s="19"/>
      <c r="RYW23" s="5"/>
      <c r="RZD23" s="19"/>
      <c r="RZE23" s="5"/>
      <c r="RZL23" s="19"/>
      <c r="RZM23" s="5"/>
      <c r="RZT23" s="19"/>
      <c r="RZU23" s="5"/>
      <c r="SAB23" s="19"/>
      <c r="SAC23" s="5"/>
      <c r="SAJ23" s="19"/>
      <c r="SAK23" s="5"/>
      <c r="SAR23" s="19"/>
      <c r="SAS23" s="5"/>
      <c r="SAZ23" s="19"/>
      <c r="SBA23" s="5"/>
      <c r="SBH23" s="19"/>
      <c r="SBI23" s="5"/>
      <c r="SBP23" s="19"/>
      <c r="SBQ23" s="5"/>
      <c r="SBX23" s="19"/>
      <c r="SBY23" s="5"/>
      <c r="SCF23" s="19"/>
      <c r="SCG23" s="5"/>
      <c r="SCN23" s="19"/>
      <c r="SCO23" s="5"/>
      <c r="SCV23" s="19"/>
      <c r="SCW23" s="5"/>
      <c r="SDD23" s="19"/>
      <c r="SDE23" s="5"/>
      <c r="SDL23" s="19"/>
      <c r="SDM23" s="5"/>
      <c r="SDT23" s="19"/>
      <c r="SDU23" s="5"/>
      <c r="SEB23" s="19"/>
      <c r="SEC23" s="5"/>
      <c r="SEJ23" s="19"/>
      <c r="SEK23" s="5"/>
      <c r="SER23" s="19"/>
      <c r="SES23" s="5"/>
      <c r="SEZ23" s="19"/>
      <c r="SFA23" s="5"/>
      <c r="SFH23" s="19"/>
      <c r="SFI23" s="5"/>
      <c r="SFP23" s="19"/>
      <c r="SFQ23" s="5"/>
      <c r="SFX23" s="19"/>
      <c r="SFY23" s="5"/>
      <c r="SGF23" s="19"/>
      <c r="SGG23" s="5"/>
      <c r="SGN23" s="19"/>
      <c r="SGO23" s="5"/>
      <c r="SGV23" s="19"/>
      <c r="SGW23" s="5"/>
      <c r="SHD23" s="19"/>
      <c r="SHE23" s="5"/>
      <c r="SHL23" s="19"/>
      <c r="SHM23" s="5"/>
      <c r="SHT23" s="19"/>
      <c r="SHU23" s="5"/>
      <c r="SIB23" s="19"/>
      <c r="SIC23" s="5"/>
      <c r="SIJ23" s="19"/>
      <c r="SIK23" s="5"/>
      <c r="SIR23" s="19"/>
      <c r="SIS23" s="5"/>
      <c r="SIZ23" s="19"/>
      <c r="SJA23" s="5"/>
      <c r="SJH23" s="19"/>
      <c r="SJI23" s="5"/>
      <c r="SJP23" s="19"/>
      <c r="SJQ23" s="5"/>
      <c r="SJX23" s="19"/>
      <c r="SJY23" s="5"/>
      <c r="SKF23" s="19"/>
      <c r="SKG23" s="5"/>
      <c r="SKN23" s="19"/>
      <c r="SKO23" s="5"/>
      <c r="SKV23" s="19"/>
      <c r="SKW23" s="5"/>
      <c r="SLD23" s="19"/>
      <c r="SLE23" s="5"/>
      <c r="SLL23" s="19"/>
      <c r="SLM23" s="5"/>
      <c r="SLT23" s="19"/>
      <c r="SLU23" s="5"/>
      <c r="SMB23" s="19"/>
      <c r="SMC23" s="5"/>
      <c r="SMJ23" s="19"/>
      <c r="SMK23" s="5"/>
      <c r="SMR23" s="19"/>
      <c r="SMS23" s="5"/>
      <c r="SMZ23" s="19"/>
      <c r="SNA23" s="5"/>
      <c r="SNH23" s="19"/>
      <c r="SNI23" s="5"/>
      <c r="SNP23" s="19"/>
      <c r="SNQ23" s="5"/>
      <c r="SNX23" s="19"/>
      <c r="SNY23" s="5"/>
      <c r="SOF23" s="19"/>
      <c r="SOG23" s="5"/>
      <c r="SON23" s="19"/>
      <c r="SOO23" s="5"/>
      <c r="SOV23" s="19"/>
      <c r="SOW23" s="5"/>
      <c r="SPD23" s="19"/>
      <c r="SPE23" s="5"/>
      <c r="SPL23" s="19"/>
      <c r="SPM23" s="5"/>
      <c r="SPT23" s="19"/>
      <c r="SPU23" s="5"/>
      <c r="SQB23" s="19"/>
      <c r="SQC23" s="5"/>
      <c r="SQJ23" s="19"/>
      <c r="SQK23" s="5"/>
      <c r="SQR23" s="19"/>
      <c r="SQS23" s="5"/>
      <c r="SQZ23" s="19"/>
      <c r="SRA23" s="5"/>
      <c r="SRH23" s="19"/>
      <c r="SRI23" s="5"/>
      <c r="SRP23" s="19"/>
      <c r="SRQ23" s="5"/>
      <c r="SRX23" s="19"/>
      <c r="SRY23" s="5"/>
      <c r="SSF23" s="19"/>
      <c r="SSG23" s="5"/>
      <c r="SSN23" s="19"/>
      <c r="SSO23" s="5"/>
      <c r="SSV23" s="19"/>
      <c r="SSW23" s="5"/>
      <c r="STD23" s="19"/>
      <c r="STE23" s="5"/>
      <c r="STL23" s="19"/>
      <c r="STM23" s="5"/>
      <c r="STT23" s="19"/>
      <c r="STU23" s="5"/>
      <c r="SUB23" s="19"/>
      <c r="SUC23" s="5"/>
      <c r="SUJ23" s="19"/>
      <c r="SUK23" s="5"/>
      <c r="SUR23" s="19"/>
      <c r="SUS23" s="5"/>
      <c r="SUZ23" s="19"/>
      <c r="SVA23" s="5"/>
      <c r="SVH23" s="19"/>
      <c r="SVI23" s="5"/>
      <c r="SVP23" s="19"/>
      <c r="SVQ23" s="5"/>
      <c r="SVX23" s="19"/>
      <c r="SVY23" s="5"/>
      <c r="SWF23" s="19"/>
      <c r="SWG23" s="5"/>
      <c r="SWN23" s="19"/>
      <c r="SWO23" s="5"/>
      <c r="SWV23" s="19"/>
      <c r="SWW23" s="5"/>
      <c r="SXD23" s="19"/>
      <c r="SXE23" s="5"/>
      <c r="SXL23" s="19"/>
      <c r="SXM23" s="5"/>
      <c r="SXT23" s="19"/>
      <c r="SXU23" s="5"/>
      <c r="SYB23" s="19"/>
      <c r="SYC23" s="5"/>
      <c r="SYJ23" s="19"/>
      <c r="SYK23" s="5"/>
      <c r="SYR23" s="19"/>
      <c r="SYS23" s="5"/>
      <c r="SYZ23" s="19"/>
      <c r="SZA23" s="5"/>
      <c r="SZH23" s="19"/>
      <c r="SZI23" s="5"/>
      <c r="SZP23" s="19"/>
      <c r="SZQ23" s="5"/>
      <c r="SZX23" s="19"/>
      <c r="SZY23" s="5"/>
      <c r="TAF23" s="19"/>
      <c r="TAG23" s="5"/>
      <c r="TAN23" s="19"/>
      <c r="TAO23" s="5"/>
      <c r="TAV23" s="19"/>
      <c r="TAW23" s="5"/>
      <c r="TBD23" s="19"/>
      <c r="TBE23" s="5"/>
      <c r="TBL23" s="19"/>
      <c r="TBM23" s="5"/>
      <c r="TBT23" s="19"/>
      <c r="TBU23" s="5"/>
      <c r="TCB23" s="19"/>
      <c r="TCC23" s="5"/>
      <c r="TCJ23" s="19"/>
      <c r="TCK23" s="5"/>
      <c r="TCR23" s="19"/>
      <c r="TCS23" s="5"/>
      <c r="TCZ23" s="19"/>
      <c r="TDA23" s="5"/>
      <c r="TDH23" s="19"/>
      <c r="TDI23" s="5"/>
      <c r="TDP23" s="19"/>
      <c r="TDQ23" s="5"/>
      <c r="TDX23" s="19"/>
      <c r="TDY23" s="5"/>
      <c r="TEF23" s="19"/>
      <c r="TEG23" s="5"/>
      <c r="TEN23" s="19"/>
      <c r="TEO23" s="5"/>
      <c r="TEV23" s="19"/>
      <c r="TEW23" s="5"/>
      <c r="TFD23" s="19"/>
      <c r="TFE23" s="5"/>
      <c r="TFL23" s="19"/>
      <c r="TFM23" s="5"/>
      <c r="TFT23" s="19"/>
      <c r="TFU23" s="5"/>
      <c r="TGB23" s="19"/>
      <c r="TGC23" s="5"/>
      <c r="TGJ23" s="19"/>
      <c r="TGK23" s="5"/>
      <c r="TGR23" s="19"/>
      <c r="TGS23" s="5"/>
      <c r="TGZ23" s="19"/>
      <c r="THA23" s="5"/>
      <c r="THH23" s="19"/>
      <c r="THI23" s="5"/>
      <c r="THP23" s="19"/>
      <c r="THQ23" s="5"/>
      <c r="THX23" s="19"/>
      <c r="THY23" s="5"/>
      <c r="TIF23" s="19"/>
      <c r="TIG23" s="5"/>
      <c r="TIN23" s="19"/>
      <c r="TIO23" s="5"/>
      <c r="TIV23" s="19"/>
      <c r="TIW23" s="5"/>
      <c r="TJD23" s="19"/>
      <c r="TJE23" s="5"/>
      <c r="TJL23" s="19"/>
      <c r="TJM23" s="5"/>
      <c r="TJT23" s="19"/>
      <c r="TJU23" s="5"/>
      <c r="TKB23" s="19"/>
      <c r="TKC23" s="5"/>
      <c r="TKJ23" s="19"/>
      <c r="TKK23" s="5"/>
      <c r="TKR23" s="19"/>
      <c r="TKS23" s="5"/>
      <c r="TKZ23" s="19"/>
      <c r="TLA23" s="5"/>
      <c r="TLH23" s="19"/>
      <c r="TLI23" s="5"/>
      <c r="TLP23" s="19"/>
      <c r="TLQ23" s="5"/>
      <c r="TLX23" s="19"/>
      <c r="TLY23" s="5"/>
      <c r="TMF23" s="19"/>
      <c r="TMG23" s="5"/>
      <c r="TMN23" s="19"/>
      <c r="TMO23" s="5"/>
      <c r="TMV23" s="19"/>
      <c r="TMW23" s="5"/>
      <c r="TND23" s="19"/>
      <c r="TNE23" s="5"/>
      <c r="TNL23" s="19"/>
      <c r="TNM23" s="5"/>
      <c r="TNT23" s="19"/>
      <c r="TNU23" s="5"/>
      <c r="TOB23" s="19"/>
      <c r="TOC23" s="5"/>
      <c r="TOJ23" s="19"/>
      <c r="TOK23" s="5"/>
      <c r="TOR23" s="19"/>
      <c r="TOS23" s="5"/>
      <c r="TOZ23" s="19"/>
      <c r="TPA23" s="5"/>
      <c r="TPH23" s="19"/>
      <c r="TPI23" s="5"/>
      <c r="TPP23" s="19"/>
      <c r="TPQ23" s="5"/>
      <c r="TPX23" s="19"/>
      <c r="TPY23" s="5"/>
      <c r="TQF23" s="19"/>
      <c r="TQG23" s="5"/>
      <c r="TQN23" s="19"/>
      <c r="TQO23" s="5"/>
      <c r="TQV23" s="19"/>
      <c r="TQW23" s="5"/>
      <c r="TRD23" s="19"/>
      <c r="TRE23" s="5"/>
      <c r="TRL23" s="19"/>
      <c r="TRM23" s="5"/>
      <c r="TRT23" s="19"/>
      <c r="TRU23" s="5"/>
      <c r="TSB23" s="19"/>
      <c r="TSC23" s="5"/>
      <c r="TSJ23" s="19"/>
      <c r="TSK23" s="5"/>
      <c r="TSR23" s="19"/>
      <c r="TSS23" s="5"/>
      <c r="TSZ23" s="19"/>
      <c r="TTA23" s="5"/>
      <c r="TTH23" s="19"/>
      <c r="TTI23" s="5"/>
      <c r="TTP23" s="19"/>
      <c r="TTQ23" s="5"/>
      <c r="TTX23" s="19"/>
      <c r="TTY23" s="5"/>
      <c r="TUF23" s="19"/>
      <c r="TUG23" s="5"/>
      <c r="TUN23" s="19"/>
      <c r="TUO23" s="5"/>
      <c r="TUV23" s="19"/>
      <c r="TUW23" s="5"/>
      <c r="TVD23" s="19"/>
      <c r="TVE23" s="5"/>
      <c r="TVL23" s="19"/>
      <c r="TVM23" s="5"/>
      <c r="TVT23" s="19"/>
      <c r="TVU23" s="5"/>
      <c r="TWB23" s="19"/>
      <c r="TWC23" s="5"/>
      <c r="TWJ23" s="19"/>
      <c r="TWK23" s="5"/>
      <c r="TWR23" s="19"/>
      <c r="TWS23" s="5"/>
      <c r="TWZ23" s="19"/>
      <c r="TXA23" s="5"/>
      <c r="TXH23" s="19"/>
      <c r="TXI23" s="5"/>
      <c r="TXP23" s="19"/>
      <c r="TXQ23" s="5"/>
      <c r="TXX23" s="19"/>
      <c r="TXY23" s="5"/>
      <c r="TYF23" s="19"/>
      <c r="TYG23" s="5"/>
      <c r="TYN23" s="19"/>
      <c r="TYO23" s="5"/>
      <c r="TYV23" s="19"/>
      <c r="TYW23" s="5"/>
      <c r="TZD23" s="19"/>
      <c r="TZE23" s="5"/>
      <c r="TZL23" s="19"/>
      <c r="TZM23" s="5"/>
      <c r="TZT23" s="19"/>
      <c r="TZU23" s="5"/>
      <c r="UAB23" s="19"/>
      <c r="UAC23" s="5"/>
      <c r="UAJ23" s="19"/>
      <c r="UAK23" s="5"/>
      <c r="UAR23" s="19"/>
      <c r="UAS23" s="5"/>
      <c r="UAZ23" s="19"/>
      <c r="UBA23" s="5"/>
      <c r="UBH23" s="19"/>
      <c r="UBI23" s="5"/>
      <c r="UBP23" s="19"/>
      <c r="UBQ23" s="5"/>
      <c r="UBX23" s="19"/>
      <c r="UBY23" s="5"/>
      <c r="UCF23" s="19"/>
      <c r="UCG23" s="5"/>
      <c r="UCN23" s="19"/>
      <c r="UCO23" s="5"/>
      <c r="UCV23" s="19"/>
      <c r="UCW23" s="5"/>
      <c r="UDD23" s="19"/>
      <c r="UDE23" s="5"/>
      <c r="UDL23" s="19"/>
      <c r="UDM23" s="5"/>
      <c r="UDT23" s="19"/>
      <c r="UDU23" s="5"/>
      <c r="UEB23" s="19"/>
      <c r="UEC23" s="5"/>
      <c r="UEJ23" s="19"/>
      <c r="UEK23" s="5"/>
      <c r="UER23" s="19"/>
      <c r="UES23" s="5"/>
      <c r="UEZ23" s="19"/>
      <c r="UFA23" s="5"/>
      <c r="UFH23" s="19"/>
      <c r="UFI23" s="5"/>
      <c r="UFP23" s="19"/>
      <c r="UFQ23" s="5"/>
      <c r="UFX23" s="19"/>
      <c r="UFY23" s="5"/>
      <c r="UGF23" s="19"/>
      <c r="UGG23" s="5"/>
      <c r="UGN23" s="19"/>
      <c r="UGO23" s="5"/>
      <c r="UGV23" s="19"/>
      <c r="UGW23" s="5"/>
      <c r="UHD23" s="19"/>
      <c r="UHE23" s="5"/>
      <c r="UHL23" s="19"/>
      <c r="UHM23" s="5"/>
      <c r="UHT23" s="19"/>
      <c r="UHU23" s="5"/>
      <c r="UIB23" s="19"/>
      <c r="UIC23" s="5"/>
      <c r="UIJ23" s="19"/>
      <c r="UIK23" s="5"/>
      <c r="UIR23" s="19"/>
      <c r="UIS23" s="5"/>
      <c r="UIZ23" s="19"/>
      <c r="UJA23" s="5"/>
      <c r="UJH23" s="19"/>
      <c r="UJI23" s="5"/>
      <c r="UJP23" s="19"/>
      <c r="UJQ23" s="5"/>
      <c r="UJX23" s="19"/>
      <c r="UJY23" s="5"/>
      <c r="UKF23" s="19"/>
      <c r="UKG23" s="5"/>
      <c r="UKN23" s="19"/>
      <c r="UKO23" s="5"/>
      <c r="UKV23" s="19"/>
      <c r="UKW23" s="5"/>
      <c r="ULD23" s="19"/>
      <c r="ULE23" s="5"/>
      <c r="ULL23" s="19"/>
      <c r="ULM23" s="5"/>
      <c r="ULT23" s="19"/>
      <c r="ULU23" s="5"/>
      <c r="UMB23" s="19"/>
      <c r="UMC23" s="5"/>
      <c r="UMJ23" s="19"/>
      <c r="UMK23" s="5"/>
      <c r="UMR23" s="19"/>
      <c r="UMS23" s="5"/>
      <c r="UMZ23" s="19"/>
      <c r="UNA23" s="5"/>
      <c r="UNH23" s="19"/>
      <c r="UNI23" s="5"/>
      <c r="UNP23" s="19"/>
      <c r="UNQ23" s="5"/>
      <c r="UNX23" s="19"/>
      <c r="UNY23" s="5"/>
      <c r="UOF23" s="19"/>
      <c r="UOG23" s="5"/>
      <c r="UON23" s="19"/>
      <c r="UOO23" s="5"/>
      <c r="UOV23" s="19"/>
      <c r="UOW23" s="5"/>
      <c r="UPD23" s="19"/>
      <c r="UPE23" s="5"/>
      <c r="UPL23" s="19"/>
      <c r="UPM23" s="5"/>
      <c r="UPT23" s="19"/>
      <c r="UPU23" s="5"/>
      <c r="UQB23" s="19"/>
      <c r="UQC23" s="5"/>
      <c r="UQJ23" s="19"/>
      <c r="UQK23" s="5"/>
      <c r="UQR23" s="19"/>
      <c r="UQS23" s="5"/>
      <c r="UQZ23" s="19"/>
      <c r="URA23" s="5"/>
      <c r="URH23" s="19"/>
      <c r="URI23" s="5"/>
      <c r="URP23" s="19"/>
      <c r="URQ23" s="5"/>
      <c r="URX23" s="19"/>
      <c r="URY23" s="5"/>
      <c r="USF23" s="19"/>
      <c r="USG23" s="5"/>
      <c r="USN23" s="19"/>
      <c r="USO23" s="5"/>
      <c r="USV23" s="19"/>
      <c r="USW23" s="5"/>
      <c r="UTD23" s="19"/>
      <c r="UTE23" s="5"/>
      <c r="UTL23" s="19"/>
      <c r="UTM23" s="5"/>
      <c r="UTT23" s="19"/>
      <c r="UTU23" s="5"/>
      <c r="UUB23" s="19"/>
      <c r="UUC23" s="5"/>
      <c r="UUJ23" s="19"/>
      <c r="UUK23" s="5"/>
      <c r="UUR23" s="19"/>
      <c r="UUS23" s="5"/>
      <c r="UUZ23" s="19"/>
      <c r="UVA23" s="5"/>
      <c r="UVH23" s="19"/>
      <c r="UVI23" s="5"/>
      <c r="UVP23" s="19"/>
      <c r="UVQ23" s="5"/>
      <c r="UVX23" s="19"/>
      <c r="UVY23" s="5"/>
      <c r="UWF23" s="19"/>
      <c r="UWG23" s="5"/>
      <c r="UWN23" s="19"/>
      <c r="UWO23" s="5"/>
      <c r="UWV23" s="19"/>
      <c r="UWW23" s="5"/>
      <c r="UXD23" s="19"/>
      <c r="UXE23" s="5"/>
      <c r="UXL23" s="19"/>
      <c r="UXM23" s="5"/>
      <c r="UXT23" s="19"/>
      <c r="UXU23" s="5"/>
      <c r="UYB23" s="19"/>
      <c r="UYC23" s="5"/>
      <c r="UYJ23" s="19"/>
      <c r="UYK23" s="5"/>
      <c r="UYR23" s="19"/>
      <c r="UYS23" s="5"/>
      <c r="UYZ23" s="19"/>
      <c r="UZA23" s="5"/>
      <c r="UZH23" s="19"/>
      <c r="UZI23" s="5"/>
      <c r="UZP23" s="19"/>
      <c r="UZQ23" s="5"/>
      <c r="UZX23" s="19"/>
      <c r="UZY23" s="5"/>
      <c r="VAF23" s="19"/>
      <c r="VAG23" s="5"/>
      <c r="VAN23" s="19"/>
      <c r="VAO23" s="5"/>
      <c r="VAV23" s="19"/>
      <c r="VAW23" s="5"/>
      <c r="VBD23" s="19"/>
      <c r="VBE23" s="5"/>
      <c r="VBL23" s="19"/>
      <c r="VBM23" s="5"/>
      <c r="VBT23" s="19"/>
      <c r="VBU23" s="5"/>
      <c r="VCB23" s="19"/>
      <c r="VCC23" s="5"/>
      <c r="VCJ23" s="19"/>
      <c r="VCK23" s="5"/>
      <c r="VCR23" s="19"/>
      <c r="VCS23" s="5"/>
      <c r="VCZ23" s="19"/>
      <c r="VDA23" s="5"/>
      <c r="VDH23" s="19"/>
      <c r="VDI23" s="5"/>
      <c r="VDP23" s="19"/>
      <c r="VDQ23" s="5"/>
      <c r="VDX23" s="19"/>
      <c r="VDY23" s="5"/>
      <c r="VEF23" s="19"/>
      <c r="VEG23" s="5"/>
      <c r="VEN23" s="19"/>
      <c r="VEO23" s="5"/>
      <c r="VEV23" s="19"/>
      <c r="VEW23" s="5"/>
      <c r="VFD23" s="19"/>
      <c r="VFE23" s="5"/>
      <c r="VFL23" s="19"/>
      <c r="VFM23" s="5"/>
      <c r="VFT23" s="19"/>
      <c r="VFU23" s="5"/>
      <c r="VGB23" s="19"/>
      <c r="VGC23" s="5"/>
      <c r="VGJ23" s="19"/>
      <c r="VGK23" s="5"/>
      <c r="VGR23" s="19"/>
      <c r="VGS23" s="5"/>
      <c r="VGZ23" s="19"/>
      <c r="VHA23" s="5"/>
      <c r="VHH23" s="19"/>
      <c r="VHI23" s="5"/>
      <c r="VHP23" s="19"/>
      <c r="VHQ23" s="5"/>
      <c r="VHX23" s="19"/>
      <c r="VHY23" s="5"/>
      <c r="VIF23" s="19"/>
      <c r="VIG23" s="5"/>
      <c r="VIN23" s="19"/>
      <c r="VIO23" s="5"/>
      <c r="VIV23" s="19"/>
      <c r="VIW23" s="5"/>
      <c r="VJD23" s="19"/>
      <c r="VJE23" s="5"/>
      <c r="VJL23" s="19"/>
      <c r="VJM23" s="5"/>
      <c r="VJT23" s="19"/>
      <c r="VJU23" s="5"/>
      <c r="VKB23" s="19"/>
      <c r="VKC23" s="5"/>
      <c r="VKJ23" s="19"/>
      <c r="VKK23" s="5"/>
      <c r="VKR23" s="19"/>
      <c r="VKS23" s="5"/>
      <c r="VKZ23" s="19"/>
      <c r="VLA23" s="5"/>
      <c r="VLH23" s="19"/>
      <c r="VLI23" s="5"/>
      <c r="VLP23" s="19"/>
      <c r="VLQ23" s="5"/>
      <c r="VLX23" s="19"/>
      <c r="VLY23" s="5"/>
      <c r="VMF23" s="19"/>
      <c r="VMG23" s="5"/>
      <c r="VMN23" s="19"/>
      <c r="VMO23" s="5"/>
      <c r="VMV23" s="19"/>
      <c r="VMW23" s="5"/>
      <c r="VND23" s="19"/>
      <c r="VNE23" s="5"/>
      <c r="VNL23" s="19"/>
      <c r="VNM23" s="5"/>
      <c r="VNT23" s="19"/>
      <c r="VNU23" s="5"/>
      <c r="VOB23" s="19"/>
      <c r="VOC23" s="5"/>
      <c r="VOJ23" s="19"/>
      <c r="VOK23" s="5"/>
      <c r="VOR23" s="19"/>
      <c r="VOS23" s="5"/>
      <c r="VOZ23" s="19"/>
      <c r="VPA23" s="5"/>
      <c r="VPH23" s="19"/>
      <c r="VPI23" s="5"/>
      <c r="VPP23" s="19"/>
      <c r="VPQ23" s="5"/>
      <c r="VPX23" s="19"/>
      <c r="VPY23" s="5"/>
      <c r="VQF23" s="19"/>
      <c r="VQG23" s="5"/>
      <c r="VQN23" s="19"/>
      <c r="VQO23" s="5"/>
      <c r="VQV23" s="19"/>
      <c r="VQW23" s="5"/>
      <c r="VRD23" s="19"/>
      <c r="VRE23" s="5"/>
      <c r="VRL23" s="19"/>
      <c r="VRM23" s="5"/>
      <c r="VRT23" s="19"/>
      <c r="VRU23" s="5"/>
      <c r="VSB23" s="19"/>
      <c r="VSC23" s="5"/>
      <c r="VSJ23" s="19"/>
      <c r="VSK23" s="5"/>
      <c r="VSR23" s="19"/>
      <c r="VSS23" s="5"/>
      <c r="VSZ23" s="19"/>
      <c r="VTA23" s="5"/>
      <c r="VTH23" s="19"/>
      <c r="VTI23" s="5"/>
      <c r="VTP23" s="19"/>
      <c r="VTQ23" s="5"/>
      <c r="VTX23" s="19"/>
      <c r="VTY23" s="5"/>
      <c r="VUF23" s="19"/>
      <c r="VUG23" s="5"/>
      <c r="VUN23" s="19"/>
      <c r="VUO23" s="5"/>
      <c r="VUV23" s="19"/>
      <c r="VUW23" s="5"/>
      <c r="VVD23" s="19"/>
      <c r="VVE23" s="5"/>
      <c r="VVL23" s="19"/>
      <c r="VVM23" s="5"/>
      <c r="VVT23" s="19"/>
      <c r="VVU23" s="5"/>
      <c r="VWB23" s="19"/>
      <c r="VWC23" s="5"/>
      <c r="VWJ23" s="19"/>
      <c r="VWK23" s="5"/>
      <c r="VWR23" s="19"/>
      <c r="VWS23" s="5"/>
      <c r="VWZ23" s="19"/>
      <c r="VXA23" s="5"/>
      <c r="VXH23" s="19"/>
      <c r="VXI23" s="5"/>
      <c r="VXP23" s="19"/>
      <c r="VXQ23" s="5"/>
      <c r="VXX23" s="19"/>
      <c r="VXY23" s="5"/>
      <c r="VYF23" s="19"/>
      <c r="VYG23" s="5"/>
      <c r="VYN23" s="19"/>
      <c r="VYO23" s="5"/>
      <c r="VYV23" s="19"/>
      <c r="VYW23" s="5"/>
      <c r="VZD23" s="19"/>
      <c r="VZE23" s="5"/>
      <c r="VZL23" s="19"/>
      <c r="VZM23" s="5"/>
      <c r="VZT23" s="19"/>
      <c r="VZU23" s="5"/>
      <c r="WAB23" s="19"/>
      <c r="WAC23" s="5"/>
      <c r="WAJ23" s="19"/>
      <c r="WAK23" s="5"/>
      <c r="WAR23" s="19"/>
      <c r="WAS23" s="5"/>
      <c r="WAZ23" s="19"/>
      <c r="WBA23" s="5"/>
      <c r="WBH23" s="19"/>
      <c r="WBI23" s="5"/>
      <c r="WBP23" s="19"/>
      <c r="WBQ23" s="5"/>
      <c r="WBX23" s="19"/>
      <c r="WBY23" s="5"/>
      <c r="WCF23" s="19"/>
      <c r="WCG23" s="5"/>
      <c r="WCN23" s="19"/>
      <c r="WCO23" s="5"/>
      <c r="WCV23" s="19"/>
      <c r="WCW23" s="5"/>
      <c r="WDD23" s="19"/>
      <c r="WDE23" s="5"/>
      <c r="WDL23" s="19"/>
      <c r="WDM23" s="5"/>
      <c r="WDT23" s="19"/>
      <c r="WDU23" s="5"/>
      <c r="WEB23" s="19"/>
      <c r="WEC23" s="5"/>
      <c r="WEJ23" s="19"/>
      <c r="WEK23" s="5"/>
      <c r="WER23" s="19"/>
      <c r="WES23" s="5"/>
      <c r="WEZ23" s="19"/>
      <c r="WFA23" s="5"/>
      <c r="WFH23" s="19"/>
      <c r="WFI23" s="5"/>
      <c r="WFP23" s="19"/>
      <c r="WFQ23" s="5"/>
      <c r="WFX23" s="19"/>
      <c r="WFY23" s="5"/>
      <c r="WGF23" s="19"/>
      <c r="WGG23" s="5"/>
      <c r="WGN23" s="19"/>
      <c r="WGO23" s="5"/>
      <c r="WGV23" s="19"/>
      <c r="WGW23" s="5"/>
      <c r="WHD23" s="19"/>
      <c r="WHE23" s="5"/>
      <c r="WHL23" s="19"/>
      <c r="WHM23" s="5"/>
      <c r="WHT23" s="19"/>
      <c r="WHU23" s="5"/>
      <c r="WIB23" s="19"/>
      <c r="WIC23" s="5"/>
      <c r="WIJ23" s="19"/>
      <c r="WIK23" s="5"/>
      <c r="WIR23" s="19"/>
      <c r="WIS23" s="5"/>
      <c r="WIZ23" s="19"/>
      <c r="WJA23" s="5"/>
      <c r="WJH23" s="19"/>
      <c r="WJI23" s="5"/>
      <c r="WJP23" s="19"/>
      <c r="WJQ23" s="5"/>
      <c r="WJX23" s="19"/>
      <c r="WJY23" s="5"/>
      <c r="WKF23" s="19"/>
      <c r="WKG23" s="5"/>
      <c r="WKN23" s="19"/>
      <c r="WKO23" s="5"/>
      <c r="WKV23" s="19"/>
      <c r="WKW23" s="5"/>
      <c r="WLD23" s="19"/>
      <c r="WLE23" s="5"/>
      <c r="WLL23" s="19"/>
      <c r="WLM23" s="5"/>
      <c r="WLT23" s="19"/>
      <c r="WLU23" s="5"/>
      <c r="WMB23" s="19"/>
      <c r="WMC23" s="5"/>
      <c r="WMJ23" s="19"/>
      <c r="WMK23" s="5"/>
      <c r="WMR23" s="19"/>
      <c r="WMS23" s="5"/>
      <c r="WMZ23" s="19"/>
      <c r="WNA23" s="5"/>
      <c r="WNH23" s="19"/>
      <c r="WNI23" s="5"/>
      <c r="WNP23" s="19"/>
      <c r="WNQ23" s="5"/>
      <c r="WNX23" s="19"/>
      <c r="WNY23" s="5"/>
      <c r="WOF23" s="19"/>
      <c r="WOG23" s="5"/>
      <c r="WON23" s="19"/>
      <c r="WOO23" s="5"/>
      <c r="WOV23" s="19"/>
      <c r="WOW23" s="5"/>
      <c r="WPD23" s="19"/>
      <c r="WPE23" s="5"/>
      <c r="WPL23" s="19"/>
      <c r="WPM23" s="5"/>
      <c r="WPT23" s="19"/>
      <c r="WPU23" s="5"/>
      <c r="WQB23" s="19"/>
      <c r="WQC23" s="5"/>
      <c r="WQJ23" s="19"/>
      <c r="WQK23" s="5"/>
      <c r="WQR23" s="19"/>
      <c r="WQS23" s="5"/>
      <c r="WQZ23" s="19"/>
      <c r="WRA23" s="5"/>
      <c r="WRH23" s="19"/>
      <c r="WRI23" s="5"/>
      <c r="WRP23" s="19"/>
      <c r="WRQ23" s="5"/>
      <c r="WRX23" s="19"/>
      <c r="WRY23" s="5"/>
      <c r="WSF23" s="19"/>
      <c r="WSG23" s="5"/>
      <c r="WSN23" s="19"/>
      <c r="WSO23" s="5"/>
      <c r="WSV23" s="19"/>
      <c r="WSW23" s="5"/>
      <c r="WTD23" s="19"/>
      <c r="WTE23" s="5"/>
      <c r="WTL23" s="19"/>
      <c r="WTM23" s="5"/>
      <c r="WTT23" s="19"/>
      <c r="WTU23" s="5"/>
      <c r="WUB23" s="19"/>
      <c r="WUC23" s="5"/>
      <c r="WUJ23" s="19"/>
      <c r="WUK23" s="5"/>
      <c r="WUR23" s="19"/>
      <c r="WUS23" s="5"/>
      <c r="WUZ23" s="19"/>
      <c r="WVA23" s="5"/>
      <c r="WVH23" s="19"/>
      <c r="WVI23" s="5"/>
      <c r="WVP23" s="19"/>
      <c r="WVQ23" s="5"/>
      <c r="WVX23" s="19"/>
      <c r="WVY23" s="5"/>
      <c r="WWF23" s="19"/>
      <c r="WWG23" s="5"/>
      <c r="WWN23" s="19"/>
      <c r="WWO23" s="5"/>
      <c r="WWV23" s="19"/>
      <c r="WWW23" s="5"/>
      <c r="WXD23" s="19"/>
      <c r="WXE23" s="5"/>
      <c r="WXL23" s="19"/>
      <c r="WXM23" s="5"/>
      <c r="WXT23" s="19"/>
      <c r="WXU23" s="5"/>
      <c r="WYB23" s="19"/>
      <c r="WYC23" s="5"/>
      <c r="WYJ23" s="19"/>
      <c r="WYK23" s="5"/>
      <c r="WYR23" s="19"/>
      <c r="WYS23" s="5"/>
      <c r="WYZ23" s="19"/>
      <c r="WZA23" s="5"/>
      <c r="WZH23" s="19"/>
      <c r="WZI23" s="5"/>
      <c r="WZP23" s="19"/>
      <c r="WZQ23" s="5"/>
      <c r="WZX23" s="19"/>
      <c r="WZY23" s="5"/>
      <c r="XAF23" s="19"/>
      <c r="XAG23" s="5"/>
      <c r="XAN23" s="19"/>
      <c r="XAO23" s="5"/>
      <c r="XAV23" s="19"/>
      <c r="XAW23" s="5"/>
      <c r="XBD23" s="19"/>
      <c r="XBE23" s="5"/>
      <c r="XBL23" s="19"/>
      <c r="XBM23" s="5"/>
      <c r="XBT23" s="19"/>
      <c r="XBU23" s="5"/>
      <c r="XCB23" s="19"/>
      <c r="XCC23" s="5"/>
      <c r="XCJ23" s="19"/>
      <c r="XCK23" s="5"/>
      <c r="XCR23" s="19"/>
      <c r="XCS23" s="5"/>
      <c r="XCZ23" s="19"/>
      <c r="XDA23" s="5"/>
      <c r="XDH23" s="19"/>
      <c r="XDI23" s="5"/>
      <c r="XDP23" s="19"/>
      <c r="XDQ23" s="5"/>
      <c r="XDX23" s="19"/>
      <c r="XDY23" s="5"/>
      <c r="XEF23" s="19"/>
      <c r="XEG23" s="5"/>
      <c r="XEN23" s="19"/>
      <c r="XEO23" s="5"/>
      <c r="XEV23" s="19"/>
      <c r="XEW23" s="5"/>
      <c r="XFD23" s="19"/>
    </row>
    <row r="24" spans="1:16384" customFormat="1" hidden="1" x14ac:dyDescent="0.25">
      <c r="A24" s="97" t="s">
        <v>108</v>
      </c>
      <c r="B24" s="97"/>
      <c r="C24" s="97"/>
      <c r="D24" s="97"/>
      <c r="E24" s="97"/>
      <c r="F24" s="97"/>
      <c r="G24" s="97"/>
      <c r="H24" s="96">
        <f>SUM(H20:H23)</f>
        <v>0</v>
      </c>
      <c r="Q24" s="5"/>
      <c r="X24" s="24"/>
      <c r="Y24" s="5"/>
      <c r="AF24" s="24"/>
      <c r="AG24" s="5"/>
      <c r="AN24" s="24"/>
      <c r="AO24" s="5"/>
      <c r="AV24" s="24"/>
      <c r="AW24" s="5"/>
      <c r="BD24" s="24"/>
      <c r="BE24" s="5"/>
      <c r="BL24" s="24"/>
      <c r="BM24" s="5"/>
      <c r="BT24" s="24"/>
      <c r="BU24" s="5"/>
      <c r="CB24" s="24"/>
      <c r="CC24" s="5"/>
      <c r="CJ24" s="24"/>
      <c r="CK24" s="5"/>
      <c r="CR24" s="24"/>
      <c r="CS24" s="5"/>
      <c r="CZ24" s="24"/>
      <c r="DA24" s="5"/>
      <c r="DH24" s="24"/>
      <c r="DI24" s="5"/>
      <c r="DP24" s="24"/>
      <c r="DQ24" s="5"/>
      <c r="DX24" s="24"/>
      <c r="DY24" s="5"/>
      <c r="EF24" s="24"/>
      <c r="EG24" s="5"/>
      <c r="EN24" s="24"/>
      <c r="EO24" s="5"/>
      <c r="EV24" s="24"/>
      <c r="EW24" s="5"/>
      <c r="FD24" s="24"/>
      <c r="FE24" s="5"/>
      <c r="FL24" s="24"/>
      <c r="FM24" s="5"/>
      <c r="FT24" s="24"/>
      <c r="FU24" s="5"/>
      <c r="GB24" s="24"/>
      <c r="GC24" s="5"/>
      <c r="GJ24" s="24"/>
      <c r="GK24" s="5"/>
      <c r="GR24" s="24"/>
      <c r="GS24" s="5"/>
      <c r="GZ24" s="24"/>
      <c r="HA24" s="5"/>
      <c r="HH24" s="24"/>
      <c r="HI24" s="5"/>
      <c r="HP24" s="24"/>
      <c r="HQ24" s="5"/>
      <c r="HX24" s="24"/>
      <c r="HY24" s="5"/>
      <c r="IF24" s="24"/>
      <c r="IG24" s="5"/>
      <c r="IN24" s="24"/>
      <c r="IO24" s="5"/>
      <c r="IV24" s="24"/>
      <c r="IW24" s="5"/>
      <c r="JD24" s="24"/>
      <c r="JE24" s="5"/>
      <c r="JL24" s="24"/>
      <c r="JM24" s="5"/>
      <c r="JT24" s="24"/>
      <c r="JU24" s="5"/>
      <c r="KB24" s="24"/>
      <c r="KC24" s="5"/>
      <c r="KJ24" s="24"/>
      <c r="KK24" s="5"/>
      <c r="KR24" s="24"/>
      <c r="KS24" s="5"/>
      <c r="KZ24" s="24"/>
      <c r="LA24" s="5"/>
      <c r="LH24" s="24"/>
      <c r="LI24" s="5"/>
      <c r="LP24" s="24"/>
      <c r="LQ24" s="5"/>
      <c r="LX24" s="24"/>
      <c r="LY24" s="5"/>
      <c r="MF24" s="24"/>
      <c r="MG24" s="5"/>
      <c r="MN24" s="24"/>
      <c r="MO24" s="5"/>
      <c r="MV24" s="24"/>
      <c r="MW24" s="5"/>
      <c r="ND24" s="24"/>
      <c r="NE24" s="5"/>
      <c r="NL24" s="24"/>
      <c r="NM24" s="5"/>
      <c r="NT24" s="24"/>
      <c r="NU24" s="5"/>
      <c r="OB24" s="24"/>
      <c r="OC24" s="5"/>
      <c r="OJ24" s="24"/>
      <c r="OK24" s="5"/>
      <c r="OR24" s="24"/>
      <c r="OS24" s="5"/>
      <c r="OZ24" s="24"/>
      <c r="PA24" s="5"/>
      <c r="PH24" s="24"/>
      <c r="PI24" s="5"/>
      <c r="PP24" s="24"/>
      <c r="PQ24" s="5"/>
      <c r="PX24" s="24"/>
      <c r="PY24" s="5"/>
      <c r="QF24" s="24"/>
      <c r="QG24" s="5"/>
      <c r="QN24" s="24"/>
      <c r="QO24" s="5"/>
      <c r="QV24" s="24"/>
      <c r="QW24" s="5"/>
      <c r="RD24" s="24"/>
      <c r="RE24" s="5"/>
      <c r="RL24" s="24"/>
      <c r="RM24" s="5"/>
      <c r="RT24" s="24"/>
      <c r="RU24" s="5"/>
      <c r="SB24" s="24"/>
      <c r="SC24" s="5"/>
      <c r="SJ24" s="24"/>
      <c r="SK24" s="5"/>
      <c r="SR24" s="24"/>
      <c r="SS24" s="5"/>
      <c r="SZ24" s="24"/>
      <c r="TA24" s="5"/>
      <c r="TH24" s="24"/>
      <c r="TI24" s="5"/>
      <c r="TP24" s="24"/>
      <c r="TQ24" s="5"/>
      <c r="TX24" s="24"/>
      <c r="TY24" s="5"/>
      <c r="UF24" s="24"/>
      <c r="UG24" s="5"/>
      <c r="UN24" s="24"/>
      <c r="UO24" s="5"/>
      <c r="UV24" s="24"/>
      <c r="UW24" s="5"/>
      <c r="VD24" s="24"/>
      <c r="VE24" s="5"/>
      <c r="VL24" s="24"/>
      <c r="VM24" s="5"/>
      <c r="VT24" s="24"/>
      <c r="VU24" s="5"/>
      <c r="WB24" s="24"/>
      <c r="WC24" s="5"/>
      <c r="WJ24" s="24"/>
      <c r="WK24" s="5"/>
      <c r="WR24" s="24"/>
      <c r="WS24" s="5"/>
      <c r="WZ24" s="24"/>
      <c r="XA24" s="5"/>
      <c r="XH24" s="24"/>
      <c r="XI24" s="5"/>
      <c r="XP24" s="24"/>
      <c r="XQ24" s="5"/>
      <c r="XX24" s="24"/>
      <c r="XY24" s="5"/>
      <c r="YF24" s="24"/>
      <c r="YG24" s="5"/>
      <c r="YN24" s="24"/>
      <c r="YO24" s="5"/>
      <c r="YV24" s="24"/>
      <c r="YW24" s="5"/>
      <c r="ZD24" s="24"/>
      <c r="ZE24" s="5"/>
      <c r="ZL24" s="24"/>
      <c r="ZM24" s="5"/>
      <c r="ZT24" s="24"/>
      <c r="ZU24" s="5"/>
      <c r="AAB24" s="24"/>
      <c r="AAC24" s="5"/>
      <c r="AAJ24" s="24"/>
      <c r="AAK24" s="5"/>
      <c r="AAR24" s="24"/>
      <c r="AAS24" s="5"/>
      <c r="AAZ24" s="24"/>
      <c r="ABA24" s="5"/>
      <c r="ABH24" s="24"/>
      <c r="ABI24" s="5"/>
      <c r="ABP24" s="24"/>
      <c r="ABQ24" s="5"/>
      <c r="ABX24" s="24"/>
      <c r="ABY24" s="5"/>
      <c r="ACF24" s="24"/>
      <c r="ACG24" s="5"/>
      <c r="ACN24" s="24"/>
      <c r="ACO24" s="5"/>
      <c r="ACV24" s="24"/>
      <c r="ACW24" s="5"/>
      <c r="ADD24" s="24"/>
      <c r="ADE24" s="5"/>
      <c r="ADL24" s="24"/>
      <c r="ADM24" s="5"/>
      <c r="ADT24" s="24"/>
      <c r="ADU24" s="5"/>
      <c r="AEB24" s="24"/>
      <c r="AEC24" s="5"/>
      <c r="AEJ24" s="24"/>
      <c r="AEK24" s="5"/>
      <c r="AER24" s="24"/>
      <c r="AES24" s="5"/>
      <c r="AEZ24" s="24"/>
      <c r="AFA24" s="5"/>
      <c r="AFH24" s="24"/>
      <c r="AFI24" s="5"/>
      <c r="AFP24" s="24"/>
      <c r="AFQ24" s="5"/>
      <c r="AFX24" s="24"/>
      <c r="AFY24" s="5"/>
      <c r="AGF24" s="24"/>
      <c r="AGG24" s="5"/>
      <c r="AGN24" s="24"/>
      <c r="AGO24" s="5"/>
      <c r="AGV24" s="24"/>
      <c r="AGW24" s="5"/>
      <c r="AHD24" s="24"/>
      <c r="AHE24" s="5"/>
      <c r="AHL24" s="24"/>
      <c r="AHM24" s="5"/>
      <c r="AHT24" s="24"/>
      <c r="AHU24" s="5"/>
      <c r="AIB24" s="24"/>
      <c r="AIC24" s="5"/>
      <c r="AIJ24" s="24"/>
      <c r="AIK24" s="5"/>
      <c r="AIR24" s="24"/>
      <c r="AIS24" s="5"/>
      <c r="AIZ24" s="24"/>
      <c r="AJA24" s="5"/>
      <c r="AJH24" s="24"/>
      <c r="AJI24" s="5"/>
      <c r="AJP24" s="24"/>
      <c r="AJQ24" s="5"/>
      <c r="AJX24" s="24"/>
      <c r="AJY24" s="5"/>
      <c r="AKF24" s="24"/>
      <c r="AKG24" s="5"/>
      <c r="AKN24" s="24"/>
      <c r="AKO24" s="5"/>
      <c r="AKV24" s="24"/>
      <c r="AKW24" s="5"/>
      <c r="ALD24" s="24"/>
      <c r="ALE24" s="5"/>
      <c r="ALL24" s="24"/>
      <c r="ALM24" s="5"/>
      <c r="ALT24" s="24"/>
      <c r="ALU24" s="5"/>
      <c r="AMB24" s="24"/>
      <c r="AMC24" s="5"/>
      <c r="AMJ24" s="24"/>
      <c r="AMK24" s="5"/>
      <c r="AMR24" s="24"/>
      <c r="AMS24" s="5"/>
      <c r="AMZ24" s="24"/>
      <c r="ANA24" s="5"/>
      <c r="ANH24" s="24"/>
      <c r="ANI24" s="5"/>
      <c r="ANP24" s="24"/>
      <c r="ANQ24" s="5"/>
      <c r="ANX24" s="24"/>
      <c r="ANY24" s="5"/>
      <c r="AOF24" s="24"/>
      <c r="AOG24" s="5"/>
      <c r="AON24" s="24"/>
      <c r="AOO24" s="5"/>
      <c r="AOV24" s="24"/>
      <c r="AOW24" s="5"/>
      <c r="APD24" s="24"/>
      <c r="APE24" s="5"/>
      <c r="APL24" s="24"/>
      <c r="APM24" s="5"/>
      <c r="APT24" s="24"/>
      <c r="APU24" s="5"/>
      <c r="AQB24" s="24"/>
      <c r="AQC24" s="5"/>
      <c r="AQJ24" s="24"/>
      <c r="AQK24" s="5"/>
      <c r="AQR24" s="24"/>
      <c r="AQS24" s="5"/>
      <c r="AQZ24" s="24"/>
      <c r="ARA24" s="5"/>
      <c r="ARH24" s="24"/>
      <c r="ARI24" s="5"/>
      <c r="ARP24" s="24"/>
      <c r="ARQ24" s="5"/>
      <c r="ARX24" s="24"/>
      <c r="ARY24" s="5"/>
      <c r="ASF24" s="24"/>
      <c r="ASG24" s="5"/>
      <c r="ASN24" s="24"/>
      <c r="ASO24" s="5"/>
      <c r="ASV24" s="24"/>
      <c r="ASW24" s="5"/>
      <c r="ATD24" s="24"/>
      <c r="ATE24" s="5"/>
      <c r="ATL24" s="24"/>
      <c r="ATM24" s="5"/>
      <c r="ATT24" s="24"/>
      <c r="ATU24" s="5"/>
      <c r="AUB24" s="24"/>
      <c r="AUC24" s="5"/>
      <c r="AUJ24" s="24"/>
      <c r="AUK24" s="5"/>
      <c r="AUR24" s="24"/>
      <c r="AUS24" s="5"/>
      <c r="AUZ24" s="24"/>
      <c r="AVA24" s="5"/>
      <c r="AVH24" s="24"/>
      <c r="AVI24" s="5"/>
      <c r="AVP24" s="24"/>
      <c r="AVQ24" s="5"/>
      <c r="AVX24" s="24"/>
      <c r="AVY24" s="5"/>
      <c r="AWF24" s="24"/>
      <c r="AWG24" s="5"/>
      <c r="AWN24" s="24"/>
      <c r="AWO24" s="5"/>
      <c r="AWV24" s="24"/>
      <c r="AWW24" s="5"/>
      <c r="AXD24" s="24"/>
      <c r="AXE24" s="5"/>
      <c r="AXL24" s="24"/>
      <c r="AXM24" s="5"/>
      <c r="AXT24" s="24"/>
      <c r="AXU24" s="5"/>
      <c r="AYB24" s="24"/>
      <c r="AYC24" s="5"/>
      <c r="AYJ24" s="24"/>
      <c r="AYK24" s="5"/>
      <c r="AYR24" s="24"/>
      <c r="AYS24" s="5"/>
      <c r="AYZ24" s="24"/>
      <c r="AZA24" s="5"/>
      <c r="AZH24" s="24"/>
      <c r="AZI24" s="5"/>
      <c r="AZP24" s="24"/>
      <c r="AZQ24" s="5"/>
      <c r="AZX24" s="24"/>
      <c r="AZY24" s="5"/>
      <c r="BAF24" s="24"/>
      <c r="BAG24" s="5"/>
      <c r="BAN24" s="24"/>
      <c r="BAO24" s="5"/>
      <c r="BAV24" s="24"/>
      <c r="BAW24" s="5"/>
      <c r="BBD24" s="24"/>
      <c r="BBE24" s="5"/>
      <c r="BBL24" s="24"/>
      <c r="BBM24" s="5"/>
      <c r="BBT24" s="24"/>
      <c r="BBU24" s="5"/>
      <c r="BCB24" s="24"/>
      <c r="BCC24" s="5"/>
      <c r="BCJ24" s="24"/>
      <c r="BCK24" s="5"/>
      <c r="BCR24" s="24"/>
      <c r="BCS24" s="5"/>
      <c r="BCZ24" s="24"/>
      <c r="BDA24" s="5"/>
      <c r="BDH24" s="24"/>
      <c r="BDI24" s="5"/>
      <c r="BDP24" s="24"/>
      <c r="BDQ24" s="5"/>
      <c r="BDX24" s="24"/>
      <c r="BDY24" s="5"/>
      <c r="BEF24" s="24"/>
      <c r="BEG24" s="5"/>
      <c r="BEN24" s="24"/>
      <c r="BEO24" s="5"/>
      <c r="BEV24" s="24"/>
      <c r="BEW24" s="5"/>
      <c r="BFD24" s="24"/>
      <c r="BFE24" s="5"/>
      <c r="BFL24" s="24"/>
      <c r="BFM24" s="5"/>
      <c r="BFT24" s="24"/>
      <c r="BFU24" s="5"/>
      <c r="BGB24" s="24"/>
      <c r="BGC24" s="5"/>
      <c r="BGJ24" s="24"/>
      <c r="BGK24" s="5"/>
      <c r="BGR24" s="24"/>
      <c r="BGS24" s="5"/>
      <c r="BGZ24" s="24"/>
      <c r="BHA24" s="5"/>
      <c r="BHH24" s="24"/>
      <c r="BHI24" s="5"/>
      <c r="BHP24" s="24"/>
      <c r="BHQ24" s="5"/>
      <c r="BHX24" s="24"/>
      <c r="BHY24" s="5"/>
      <c r="BIF24" s="24"/>
      <c r="BIG24" s="5"/>
      <c r="BIN24" s="24"/>
      <c r="BIO24" s="5"/>
      <c r="BIV24" s="24"/>
      <c r="BIW24" s="5"/>
      <c r="BJD24" s="24"/>
      <c r="BJE24" s="5"/>
      <c r="BJL24" s="24"/>
      <c r="BJM24" s="5"/>
      <c r="BJT24" s="24"/>
      <c r="BJU24" s="5"/>
      <c r="BKB24" s="24"/>
      <c r="BKC24" s="5"/>
      <c r="BKJ24" s="24"/>
      <c r="BKK24" s="5"/>
      <c r="BKR24" s="24"/>
      <c r="BKS24" s="5"/>
      <c r="BKZ24" s="24"/>
      <c r="BLA24" s="5"/>
      <c r="BLH24" s="24"/>
      <c r="BLI24" s="5"/>
      <c r="BLP24" s="24"/>
      <c r="BLQ24" s="5"/>
      <c r="BLX24" s="24"/>
      <c r="BLY24" s="5"/>
      <c r="BMF24" s="24"/>
      <c r="BMG24" s="5"/>
      <c r="BMN24" s="24"/>
      <c r="BMO24" s="5"/>
      <c r="BMV24" s="24"/>
      <c r="BMW24" s="5"/>
      <c r="BND24" s="24"/>
      <c r="BNE24" s="5"/>
      <c r="BNL24" s="24"/>
      <c r="BNM24" s="5"/>
      <c r="BNT24" s="24"/>
      <c r="BNU24" s="5"/>
      <c r="BOB24" s="24"/>
      <c r="BOC24" s="5"/>
      <c r="BOJ24" s="24"/>
      <c r="BOK24" s="5"/>
      <c r="BOR24" s="24"/>
      <c r="BOS24" s="5"/>
      <c r="BOZ24" s="24"/>
      <c r="BPA24" s="5"/>
      <c r="BPH24" s="24"/>
      <c r="BPI24" s="5"/>
      <c r="BPP24" s="24"/>
      <c r="BPQ24" s="5"/>
      <c r="BPX24" s="24"/>
      <c r="BPY24" s="5"/>
      <c r="BQF24" s="24"/>
      <c r="BQG24" s="5"/>
      <c r="BQN24" s="24"/>
      <c r="BQO24" s="5"/>
      <c r="BQV24" s="24"/>
      <c r="BQW24" s="5"/>
      <c r="BRD24" s="24"/>
      <c r="BRE24" s="5"/>
      <c r="BRL24" s="24"/>
      <c r="BRM24" s="5"/>
      <c r="BRT24" s="24"/>
      <c r="BRU24" s="5"/>
      <c r="BSB24" s="24"/>
      <c r="BSC24" s="5"/>
      <c r="BSJ24" s="24"/>
      <c r="BSK24" s="5"/>
      <c r="BSR24" s="24"/>
      <c r="BSS24" s="5"/>
      <c r="BSZ24" s="24"/>
      <c r="BTA24" s="5"/>
      <c r="BTH24" s="24"/>
      <c r="BTI24" s="5"/>
      <c r="BTP24" s="24"/>
      <c r="BTQ24" s="5"/>
      <c r="BTX24" s="24"/>
      <c r="BTY24" s="5"/>
      <c r="BUF24" s="24"/>
      <c r="BUG24" s="5"/>
      <c r="BUN24" s="24"/>
      <c r="BUO24" s="5"/>
      <c r="BUV24" s="24"/>
      <c r="BUW24" s="5"/>
      <c r="BVD24" s="24"/>
      <c r="BVE24" s="5"/>
      <c r="BVL24" s="24"/>
      <c r="BVM24" s="5"/>
      <c r="BVT24" s="24"/>
      <c r="BVU24" s="5"/>
      <c r="BWB24" s="24"/>
      <c r="BWC24" s="5"/>
      <c r="BWJ24" s="24"/>
      <c r="BWK24" s="5"/>
      <c r="BWR24" s="24"/>
      <c r="BWS24" s="5"/>
      <c r="BWZ24" s="24"/>
      <c r="BXA24" s="5"/>
      <c r="BXH24" s="24"/>
      <c r="BXI24" s="5"/>
      <c r="BXP24" s="24"/>
      <c r="BXQ24" s="5"/>
      <c r="BXX24" s="24"/>
      <c r="BXY24" s="5"/>
      <c r="BYF24" s="24"/>
      <c r="BYG24" s="5"/>
      <c r="BYN24" s="24"/>
      <c r="BYO24" s="5"/>
      <c r="BYV24" s="24"/>
      <c r="BYW24" s="5"/>
      <c r="BZD24" s="24"/>
      <c r="BZE24" s="5"/>
      <c r="BZL24" s="24"/>
      <c r="BZM24" s="5"/>
      <c r="BZT24" s="24"/>
      <c r="BZU24" s="5"/>
      <c r="CAB24" s="24"/>
      <c r="CAC24" s="5"/>
      <c r="CAJ24" s="24"/>
      <c r="CAK24" s="5"/>
      <c r="CAR24" s="24"/>
      <c r="CAS24" s="5"/>
      <c r="CAZ24" s="24"/>
      <c r="CBA24" s="5"/>
      <c r="CBH24" s="24"/>
      <c r="CBI24" s="5"/>
      <c r="CBP24" s="24"/>
      <c r="CBQ24" s="5"/>
      <c r="CBX24" s="24"/>
      <c r="CBY24" s="5"/>
      <c r="CCF24" s="24"/>
      <c r="CCG24" s="5"/>
      <c r="CCN24" s="24"/>
      <c r="CCO24" s="5"/>
      <c r="CCV24" s="24"/>
      <c r="CCW24" s="5"/>
      <c r="CDD24" s="24"/>
      <c r="CDE24" s="5"/>
      <c r="CDL24" s="24"/>
      <c r="CDM24" s="5"/>
      <c r="CDT24" s="24"/>
      <c r="CDU24" s="5"/>
      <c r="CEB24" s="24"/>
      <c r="CEC24" s="5"/>
      <c r="CEJ24" s="24"/>
      <c r="CEK24" s="5"/>
      <c r="CER24" s="24"/>
      <c r="CES24" s="5"/>
      <c r="CEZ24" s="24"/>
      <c r="CFA24" s="5"/>
      <c r="CFH24" s="24"/>
      <c r="CFI24" s="5"/>
      <c r="CFP24" s="24"/>
      <c r="CFQ24" s="5"/>
      <c r="CFX24" s="24"/>
      <c r="CFY24" s="5"/>
      <c r="CGF24" s="24"/>
      <c r="CGG24" s="5"/>
      <c r="CGN24" s="24"/>
      <c r="CGO24" s="5"/>
      <c r="CGV24" s="24"/>
      <c r="CGW24" s="5"/>
      <c r="CHD24" s="24"/>
      <c r="CHE24" s="5"/>
      <c r="CHL24" s="24"/>
      <c r="CHM24" s="5"/>
      <c r="CHT24" s="24"/>
      <c r="CHU24" s="5"/>
      <c r="CIB24" s="24"/>
      <c r="CIC24" s="5"/>
      <c r="CIJ24" s="24"/>
      <c r="CIK24" s="5"/>
      <c r="CIR24" s="24"/>
      <c r="CIS24" s="5"/>
      <c r="CIZ24" s="24"/>
      <c r="CJA24" s="5"/>
      <c r="CJH24" s="24"/>
      <c r="CJI24" s="5"/>
      <c r="CJP24" s="24"/>
      <c r="CJQ24" s="5"/>
      <c r="CJX24" s="24"/>
      <c r="CJY24" s="5"/>
      <c r="CKF24" s="24"/>
      <c r="CKG24" s="5"/>
      <c r="CKN24" s="24"/>
      <c r="CKO24" s="5"/>
      <c r="CKV24" s="24"/>
      <c r="CKW24" s="5"/>
      <c r="CLD24" s="24"/>
      <c r="CLE24" s="5"/>
      <c r="CLL24" s="24"/>
      <c r="CLM24" s="5"/>
      <c r="CLT24" s="24"/>
      <c r="CLU24" s="5"/>
      <c r="CMB24" s="24"/>
      <c r="CMC24" s="5"/>
      <c r="CMJ24" s="24"/>
      <c r="CMK24" s="5"/>
      <c r="CMR24" s="24"/>
      <c r="CMS24" s="5"/>
      <c r="CMZ24" s="24"/>
      <c r="CNA24" s="5"/>
      <c r="CNH24" s="24"/>
      <c r="CNI24" s="5"/>
      <c r="CNP24" s="24"/>
      <c r="CNQ24" s="5"/>
      <c r="CNX24" s="24"/>
      <c r="CNY24" s="5"/>
      <c r="COF24" s="24"/>
      <c r="COG24" s="5"/>
      <c r="CON24" s="24"/>
      <c r="COO24" s="5"/>
      <c r="COV24" s="24"/>
      <c r="COW24" s="5"/>
      <c r="CPD24" s="24"/>
      <c r="CPE24" s="5"/>
      <c r="CPL24" s="24"/>
      <c r="CPM24" s="5"/>
      <c r="CPT24" s="24"/>
      <c r="CPU24" s="5"/>
      <c r="CQB24" s="24"/>
      <c r="CQC24" s="5"/>
      <c r="CQJ24" s="24"/>
      <c r="CQK24" s="5"/>
      <c r="CQR24" s="24"/>
      <c r="CQS24" s="5"/>
      <c r="CQZ24" s="24"/>
      <c r="CRA24" s="5"/>
      <c r="CRH24" s="24"/>
      <c r="CRI24" s="5"/>
      <c r="CRP24" s="24"/>
      <c r="CRQ24" s="5"/>
      <c r="CRX24" s="24"/>
      <c r="CRY24" s="5"/>
      <c r="CSF24" s="24"/>
      <c r="CSG24" s="5"/>
      <c r="CSN24" s="24"/>
      <c r="CSO24" s="5"/>
      <c r="CSV24" s="24"/>
      <c r="CSW24" s="5"/>
      <c r="CTD24" s="24"/>
      <c r="CTE24" s="5"/>
      <c r="CTL24" s="24"/>
      <c r="CTM24" s="5"/>
      <c r="CTT24" s="24"/>
      <c r="CTU24" s="5"/>
      <c r="CUB24" s="24"/>
      <c r="CUC24" s="5"/>
      <c r="CUJ24" s="24"/>
      <c r="CUK24" s="5"/>
      <c r="CUR24" s="24"/>
      <c r="CUS24" s="5"/>
      <c r="CUZ24" s="24"/>
      <c r="CVA24" s="5"/>
      <c r="CVH24" s="24"/>
      <c r="CVI24" s="5"/>
      <c r="CVP24" s="24"/>
      <c r="CVQ24" s="5"/>
      <c r="CVX24" s="24"/>
      <c r="CVY24" s="5"/>
      <c r="CWF24" s="24"/>
      <c r="CWG24" s="5"/>
      <c r="CWN24" s="24"/>
      <c r="CWO24" s="5"/>
      <c r="CWV24" s="24"/>
      <c r="CWW24" s="5"/>
      <c r="CXD24" s="24"/>
      <c r="CXE24" s="5"/>
      <c r="CXL24" s="24"/>
      <c r="CXM24" s="5"/>
      <c r="CXT24" s="24"/>
      <c r="CXU24" s="5"/>
      <c r="CYB24" s="24"/>
      <c r="CYC24" s="5"/>
      <c r="CYJ24" s="24"/>
      <c r="CYK24" s="5"/>
      <c r="CYR24" s="24"/>
      <c r="CYS24" s="5"/>
      <c r="CYZ24" s="24"/>
      <c r="CZA24" s="5"/>
      <c r="CZH24" s="24"/>
      <c r="CZI24" s="5"/>
      <c r="CZP24" s="24"/>
      <c r="CZQ24" s="5"/>
      <c r="CZX24" s="24"/>
      <c r="CZY24" s="5"/>
      <c r="DAF24" s="24"/>
      <c r="DAG24" s="5"/>
      <c r="DAN24" s="24"/>
      <c r="DAO24" s="5"/>
      <c r="DAV24" s="24"/>
      <c r="DAW24" s="5"/>
      <c r="DBD24" s="24"/>
      <c r="DBE24" s="5"/>
      <c r="DBL24" s="24"/>
      <c r="DBM24" s="5"/>
      <c r="DBT24" s="24"/>
      <c r="DBU24" s="5"/>
      <c r="DCB24" s="24"/>
      <c r="DCC24" s="5"/>
      <c r="DCJ24" s="24"/>
      <c r="DCK24" s="5"/>
      <c r="DCR24" s="24"/>
      <c r="DCS24" s="5"/>
      <c r="DCZ24" s="24"/>
      <c r="DDA24" s="5"/>
      <c r="DDH24" s="24"/>
      <c r="DDI24" s="5"/>
      <c r="DDP24" s="24"/>
      <c r="DDQ24" s="5"/>
      <c r="DDX24" s="24"/>
      <c r="DDY24" s="5"/>
      <c r="DEF24" s="24"/>
      <c r="DEG24" s="5"/>
      <c r="DEN24" s="24"/>
      <c r="DEO24" s="5"/>
      <c r="DEV24" s="24"/>
      <c r="DEW24" s="5"/>
      <c r="DFD24" s="24"/>
      <c r="DFE24" s="5"/>
      <c r="DFL24" s="24"/>
      <c r="DFM24" s="5"/>
      <c r="DFT24" s="24"/>
      <c r="DFU24" s="5"/>
      <c r="DGB24" s="24"/>
      <c r="DGC24" s="5"/>
      <c r="DGJ24" s="24"/>
      <c r="DGK24" s="5"/>
      <c r="DGR24" s="24"/>
      <c r="DGS24" s="5"/>
      <c r="DGZ24" s="24"/>
      <c r="DHA24" s="5"/>
      <c r="DHH24" s="24"/>
      <c r="DHI24" s="5"/>
      <c r="DHP24" s="24"/>
      <c r="DHQ24" s="5"/>
      <c r="DHX24" s="24"/>
      <c r="DHY24" s="5"/>
      <c r="DIF24" s="24"/>
      <c r="DIG24" s="5"/>
      <c r="DIN24" s="24"/>
      <c r="DIO24" s="5"/>
      <c r="DIV24" s="24"/>
      <c r="DIW24" s="5"/>
      <c r="DJD24" s="24"/>
      <c r="DJE24" s="5"/>
      <c r="DJL24" s="24"/>
      <c r="DJM24" s="5"/>
      <c r="DJT24" s="24"/>
      <c r="DJU24" s="5"/>
      <c r="DKB24" s="24"/>
      <c r="DKC24" s="5"/>
      <c r="DKJ24" s="24"/>
      <c r="DKK24" s="5"/>
      <c r="DKR24" s="24"/>
      <c r="DKS24" s="5"/>
      <c r="DKZ24" s="24"/>
      <c r="DLA24" s="5"/>
      <c r="DLH24" s="24"/>
      <c r="DLI24" s="5"/>
      <c r="DLP24" s="24"/>
      <c r="DLQ24" s="5"/>
      <c r="DLX24" s="24"/>
      <c r="DLY24" s="5"/>
      <c r="DMF24" s="24"/>
      <c r="DMG24" s="5"/>
      <c r="DMN24" s="24"/>
      <c r="DMO24" s="5"/>
      <c r="DMV24" s="24"/>
      <c r="DMW24" s="5"/>
      <c r="DND24" s="24"/>
      <c r="DNE24" s="5"/>
      <c r="DNL24" s="24"/>
      <c r="DNM24" s="5"/>
      <c r="DNT24" s="24"/>
      <c r="DNU24" s="5"/>
      <c r="DOB24" s="24"/>
      <c r="DOC24" s="5"/>
      <c r="DOJ24" s="24"/>
      <c r="DOK24" s="5"/>
      <c r="DOR24" s="24"/>
      <c r="DOS24" s="5"/>
      <c r="DOZ24" s="24"/>
      <c r="DPA24" s="5"/>
      <c r="DPH24" s="24"/>
      <c r="DPI24" s="5"/>
      <c r="DPP24" s="24"/>
      <c r="DPQ24" s="5"/>
      <c r="DPX24" s="24"/>
      <c r="DPY24" s="5"/>
      <c r="DQF24" s="24"/>
      <c r="DQG24" s="5"/>
      <c r="DQN24" s="24"/>
      <c r="DQO24" s="5"/>
      <c r="DQV24" s="24"/>
      <c r="DQW24" s="5"/>
      <c r="DRD24" s="24"/>
      <c r="DRE24" s="5"/>
      <c r="DRL24" s="24"/>
      <c r="DRM24" s="5"/>
      <c r="DRT24" s="24"/>
      <c r="DRU24" s="5"/>
      <c r="DSB24" s="24"/>
      <c r="DSC24" s="5"/>
      <c r="DSJ24" s="24"/>
      <c r="DSK24" s="5"/>
      <c r="DSR24" s="24"/>
      <c r="DSS24" s="5"/>
      <c r="DSZ24" s="24"/>
      <c r="DTA24" s="5"/>
      <c r="DTH24" s="24"/>
      <c r="DTI24" s="5"/>
      <c r="DTP24" s="24"/>
      <c r="DTQ24" s="5"/>
      <c r="DTX24" s="24"/>
      <c r="DTY24" s="5"/>
      <c r="DUF24" s="24"/>
      <c r="DUG24" s="5"/>
      <c r="DUN24" s="24"/>
      <c r="DUO24" s="5"/>
      <c r="DUV24" s="24"/>
      <c r="DUW24" s="5"/>
      <c r="DVD24" s="24"/>
      <c r="DVE24" s="5"/>
      <c r="DVL24" s="24"/>
      <c r="DVM24" s="5"/>
      <c r="DVT24" s="24"/>
      <c r="DVU24" s="5"/>
      <c r="DWB24" s="24"/>
      <c r="DWC24" s="5"/>
      <c r="DWJ24" s="24"/>
      <c r="DWK24" s="5"/>
      <c r="DWR24" s="24"/>
      <c r="DWS24" s="5"/>
      <c r="DWZ24" s="24"/>
      <c r="DXA24" s="5"/>
      <c r="DXH24" s="24"/>
      <c r="DXI24" s="5"/>
      <c r="DXP24" s="24"/>
      <c r="DXQ24" s="5"/>
      <c r="DXX24" s="24"/>
      <c r="DXY24" s="5"/>
      <c r="DYF24" s="24"/>
      <c r="DYG24" s="5"/>
      <c r="DYN24" s="24"/>
      <c r="DYO24" s="5"/>
      <c r="DYV24" s="24"/>
      <c r="DYW24" s="5"/>
      <c r="DZD24" s="24"/>
      <c r="DZE24" s="5"/>
      <c r="DZL24" s="24"/>
      <c r="DZM24" s="5"/>
      <c r="DZT24" s="24"/>
      <c r="DZU24" s="5"/>
      <c r="EAB24" s="24"/>
      <c r="EAC24" s="5"/>
      <c r="EAJ24" s="24"/>
      <c r="EAK24" s="5"/>
      <c r="EAR24" s="24"/>
      <c r="EAS24" s="5"/>
      <c r="EAZ24" s="24"/>
      <c r="EBA24" s="5"/>
      <c r="EBH24" s="24"/>
      <c r="EBI24" s="5"/>
      <c r="EBP24" s="24"/>
      <c r="EBQ24" s="5"/>
      <c r="EBX24" s="24"/>
      <c r="EBY24" s="5"/>
      <c r="ECF24" s="24"/>
      <c r="ECG24" s="5"/>
      <c r="ECN24" s="24"/>
      <c r="ECO24" s="5"/>
      <c r="ECV24" s="24"/>
      <c r="ECW24" s="5"/>
      <c r="EDD24" s="24"/>
      <c r="EDE24" s="5"/>
      <c r="EDL24" s="24"/>
      <c r="EDM24" s="5"/>
      <c r="EDT24" s="24"/>
      <c r="EDU24" s="5"/>
      <c r="EEB24" s="24"/>
      <c r="EEC24" s="5"/>
      <c r="EEJ24" s="24"/>
      <c r="EEK24" s="5"/>
      <c r="EER24" s="24"/>
      <c r="EES24" s="5"/>
      <c r="EEZ24" s="24"/>
      <c r="EFA24" s="5"/>
      <c r="EFH24" s="24"/>
      <c r="EFI24" s="5"/>
      <c r="EFP24" s="24"/>
      <c r="EFQ24" s="5"/>
      <c r="EFX24" s="24"/>
      <c r="EFY24" s="5"/>
      <c r="EGF24" s="24"/>
      <c r="EGG24" s="5"/>
      <c r="EGN24" s="24"/>
      <c r="EGO24" s="5"/>
      <c r="EGV24" s="24"/>
      <c r="EGW24" s="5"/>
      <c r="EHD24" s="24"/>
      <c r="EHE24" s="5"/>
      <c r="EHL24" s="24"/>
      <c r="EHM24" s="5"/>
      <c r="EHT24" s="24"/>
      <c r="EHU24" s="5"/>
      <c r="EIB24" s="24"/>
      <c r="EIC24" s="5"/>
      <c r="EIJ24" s="24"/>
      <c r="EIK24" s="5"/>
      <c r="EIR24" s="24"/>
      <c r="EIS24" s="5"/>
      <c r="EIZ24" s="24"/>
      <c r="EJA24" s="5"/>
      <c r="EJH24" s="24"/>
      <c r="EJI24" s="5"/>
      <c r="EJP24" s="24"/>
      <c r="EJQ24" s="5"/>
      <c r="EJX24" s="24"/>
      <c r="EJY24" s="5"/>
      <c r="EKF24" s="24"/>
      <c r="EKG24" s="5"/>
      <c r="EKN24" s="24"/>
      <c r="EKO24" s="5"/>
      <c r="EKV24" s="24"/>
      <c r="EKW24" s="5"/>
      <c r="ELD24" s="24"/>
      <c r="ELE24" s="5"/>
      <c r="ELL24" s="24"/>
      <c r="ELM24" s="5"/>
      <c r="ELT24" s="24"/>
      <c r="ELU24" s="5"/>
      <c r="EMB24" s="24"/>
      <c r="EMC24" s="5"/>
      <c r="EMJ24" s="24"/>
      <c r="EMK24" s="5"/>
      <c r="EMR24" s="24"/>
      <c r="EMS24" s="5"/>
      <c r="EMZ24" s="24"/>
      <c r="ENA24" s="5"/>
      <c r="ENH24" s="24"/>
      <c r="ENI24" s="5"/>
      <c r="ENP24" s="24"/>
      <c r="ENQ24" s="5"/>
      <c r="ENX24" s="24"/>
      <c r="ENY24" s="5"/>
      <c r="EOF24" s="24"/>
      <c r="EOG24" s="5"/>
      <c r="EON24" s="24"/>
      <c r="EOO24" s="5"/>
      <c r="EOV24" s="24"/>
      <c r="EOW24" s="5"/>
      <c r="EPD24" s="24"/>
      <c r="EPE24" s="5"/>
      <c r="EPL24" s="24"/>
      <c r="EPM24" s="5"/>
      <c r="EPT24" s="24"/>
      <c r="EPU24" s="5"/>
      <c r="EQB24" s="24"/>
      <c r="EQC24" s="5"/>
      <c r="EQJ24" s="24"/>
      <c r="EQK24" s="5"/>
      <c r="EQR24" s="24"/>
      <c r="EQS24" s="5"/>
      <c r="EQZ24" s="24"/>
      <c r="ERA24" s="5"/>
      <c r="ERH24" s="24"/>
      <c r="ERI24" s="5"/>
      <c r="ERP24" s="24"/>
      <c r="ERQ24" s="5"/>
      <c r="ERX24" s="24"/>
      <c r="ERY24" s="5"/>
      <c r="ESF24" s="24"/>
      <c r="ESG24" s="5"/>
      <c r="ESN24" s="24"/>
      <c r="ESO24" s="5"/>
      <c r="ESV24" s="24"/>
      <c r="ESW24" s="5"/>
      <c r="ETD24" s="24"/>
      <c r="ETE24" s="5"/>
      <c r="ETL24" s="24"/>
      <c r="ETM24" s="5"/>
      <c r="ETT24" s="24"/>
      <c r="ETU24" s="5"/>
      <c r="EUB24" s="24"/>
      <c r="EUC24" s="5"/>
      <c r="EUJ24" s="24"/>
      <c r="EUK24" s="5"/>
      <c r="EUR24" s="24"/>
      <c r="EUS24" s="5"/>
      <c r="EUZ24" s="24"/>
      <c r="EVA24" s="5"/>
      <c r="EVH24" s="24"/>
      <c r="EVI24" s="5"/>
      <c r="EVP24" s="24"/>
      <c r="EVQ24" s="5"/>
      <c r="EVX24" s="24"/>
      <c r="EVY24" s="5"/>
      <c r="EWF24" s="24"/>
      <c r="EWG24" s="5"/>
      <c r="EWN24" s="24"/>
      <c r="EWO24" s="5"/>
      <c r="EWV24" s="24"/>
      <c r="EWW24" s="5"/>
      <c r="EXD24" s="24"/>
      <c r="EXE24" s="5"/>
      <c r="EXL24" s="24"/>
      <c r="EXM24" s="5"/>
      <c r="EXT24" s="24"/>
      <c r="EXU24" s="5"/>
      <c r="EYB24" s="24"/>
      <c r="EYC24" s="5"/>
      <c r="EYJ24" s="24"/>
      <c r="EYK24" s="5"/>
      <c r="EYR24" s="24"/>
      <c r="EYS24" s="5"/>
      <c r="EYZ24" s="24"/>
      <c r="EZA24" s="5"/>
      <c r="EZH24" s="24"/>
      <c r="EZI24" s="5"/>
      <c r="EZP24" s="24"/>
      <c r="EZQ24" s="5"/>
      <c r="EZX24" s="24"/>
      <c r="EZY24" s="5"/>
      <c r="FAF24" s="24"/>
      <c r="FAG24" s="5"/>
      <c r="FAN24" s="24"/>
      <c r="FAO24" s="5"/>
      <c r="FAV24" s="24"/>
      <c r="FAW24" s="5"/>
      <c r="FBD24" s="24"/>
      <c r="FBE24" s="5"/>
      <c r="FBL24" s="24"/>
      <c r="FBM24" s="5"/>
      <c r="FBT24" s="24"/>
      <c r="FBU24" s="5"/>
      <c r="FCB24" s="24"/>
      <c r="FCC24" s="5"/>
      <c r="FCJ24" s="24"/>
      <c r="FCK24" s="5"/>
      <c r="FCR24" s="24"/>
      <c r="FCS24" s="5"/>
      <c r="FCZ24" s="24"/>
      <c r="FDA24" s="5"/>
      <c r="FDH24" s="24"/>
      <c r="FDI24" s="5"/>
      <c r="FDP24" s="24"/>
      <c r="FDQ24" s="5"/>
      <c r="FDX24" s="24"/>
      <c r="FDY24" s="5"/>
      <c r="FEF24" s="24"/>
      <c r="FEG24" s="5"/>
      <c r="FEN24" s="24"/>
      <c r="FEO24" s="5"/>
      <c r="FEV24" s="24"/>
      <c r="FEW24" s="5"/>
      <c r="FFD24" s="24"/>
      <c r="FFE24" s="5"/>
      <c r="FFL24" s="24"/>
      <c r="FFM24" s="5"/>
      <c r="FFT24" s="24"/>
      <c r="FFU24" s="5"/>
      <c r="FGB24" s="24"/>
      <c r="FGC24" s="5"/>
      <c r="FGJ24" s="24"/>
      <c r="FGK24" s="5"/>
      <c r="FGR24" s="24"/>
      <c r="FGS24" s="5"/>
      <c r="FGZ24" s="24"/>
      <c r="FHA24" s="5"/>
      <c r="FHH24" s="24"/>
      <c r="FHI24" s="5"/>
      <c r="FHP24" s="24"/>
      <c r="FHQ24" s="5"/>
      <c r="FHX24" s="24"/>
      <c r="FHY24" s="5"/>
      <c r="FIF24" s="24"/>
      <c r="FIG24" s="5"/>
      <c r="FIN24" s="24"/>
      <c r="FIO24" s="5"/>
      <c r="FIV24" s="24"/>
      <c r="FIW24" s="5"/>
      <c r="FJD24" s="24"/>
      <c r="FJE24" s="5"/>
      <c r="FJL24" s="24"/>
      <c r="FJM24" s="5"/>
      <c r="FJT24" s="24"/>
      <c r="FJU24" s="5"/>
      <c r="FKB24" s="24"/>
      <c r="FKC24" s="5"/>
      <c r="FKJ24" s="24"/>
      <c r="FKK24" s="5"/>
      <c r="FKR24" s="24"/>
      <c r="FKS24" s="5"/>
      <c r="FKZ24" s="24"/>
      <c r="FLA24" s="5"/>
      <c r="FLH24" s="24"/>
      <c r="FLI24" s="5"/>
      <c r="FLP24" s="24"/>
      <c r="FLQ24" s="5"/>
      <c r="FLX24" s="24"/>
      <c r="FLY24" s="5"/>
      <c r="FMF24" s="24"/>
      <c r="FMG24" s="5"/>
      <c r="FMN24" s="24"/>
      <c r="FMO24" s="5"/>
      <c r="FMV24" s="24"/>
      <c r="FMW24" s="5"/>
      <c r="FND24" s="24"/>
      <c r="FNE24" s="5"/>
      <c r="FNL24" s="24"/>
      <c r="FNM24" s="5"/>
      <c r="FNT24" s="24"/>
      <c r="FNU24" s="5"/>
      <c r="FOB24" s="24"/>
      <c r="FOC24" s="5"/>
      <c r="FOJ24" s="24"/>
      <c r="FOK24" s="5"/>
      <c r="FOR24" s="24"/>
      <c r="FOS24" s="5"/>
      <c r="FOZ24" s="24"/>
      <c r="FPA24" s="5"/>
      <c r="FPH24" s="24"/>
      <c r="FPI24" s="5"/>
      <c r="FPP24" s="24"/>
      <c r="FPQ24" s="5"/>
      <c r="FPX24" s="24"/>
      <c r="FPY24" s="5"/>
      <c r="FQF24" s="24"/>
      <c r="FQG24" s="5"/>
      <c r="FQN24" s="24"/>
      <c r="FQO24" s="5"/>
      <c r="FQV24" s="24"/>
      <c r="FQW24" s="5"/>
      <c r="FRD24" s="24"/>
      <c r="FRE24" s="5"/>
      <c r="FRL24" s="24"/>
      <c r="FRM24" s="5"/>
      <c r="FRT24" s="24"/>
      <c r="FRU24" s="5"/>
      <c r="FSB24" s="24"/>
      <c r="FSC24" s="5"/>
      <c r="FSJ24" s="24"/>
      <c r="FSK24" s="5"/>
      <c r="FSR24" s="24"/>
      <c r="FSS24" s="5"/>
      <c r="FSZ24" s="24"/>
      <c r="FTA24" s="5"/>
      <c r="FTH24" s="24"/>
      <c r="FTI24" s="5"/>
      <c r="FTP24" s="24"/>
      <c r="FTQ24" s="5"/>
      <c r="FTX24" s="24"/>
      <c r="FTY24" s="5"/>
      <c r="FUF24" s="24"/>
      <c r="FUG24" s="5"/>
      <c r="FUN24" s="24"/>
      <c r="FUO24" s="5"/>
      <c r="FUV24" s="24"/>
      <c r="FUW24" s="5"/>
      <c r="FVD24" s="24"/>
      <c r="FVE24" s="5"/>
      <c r="FVL24" s="24"/>
      <c r="FVM24" s="5"/>
      <c r="FVT24" s="24"/>
      <c r="FVU24" s="5"/>
      <c r="FWB24" s="24"/>
      <c r="FWC24" s="5"/>
      <c r="FWJ24" s="24"/>
      <c r="FWK24" s="5"/>
      <c r="FWR24" s="24"/>
      <c r="FWS24" s="5"/>
      <c r="FWZ24" s="24"/>
      <c r="FXA24" s="5"/>
      <c r="FXH24" s="24"/>
      <c r="FXI24" s="5"/>
      <c r="FXP24" s="24"/>
      <c r="FXQ24" s="5"/>
      <c r="FXX24" s="24"/>
      <c r="FXY24" s="5"/>
      <c r="FYF24" s="24"/>
      <c r="FYG24" s="5"/>
      <c r="FYN24" s="24"/>
      <c r="FYO24" s="5"/>
      <c r="FYV24" s="24"/>
      <c r="FYW24" s="5"/>
      <c r="FZD24" s="24"/>
      <c r="FZE24" s="5"/>
      <c r="FZL24" s="24"/>
      <c r="FZM24" s="5"/>
      <c r="FZT24" s="24"/>
      <c r="FZU24" s="5"/>
      <c r="GAB24" s="24"/>
      <c r="GAC24" s="5"/>
      <c r="GAJ24" s="24"/>
      <c r="GAK24" s="5"/>
      <c r="GAR24" s="24"/>
      <c r="GAS24" s="5"/>
      <c r="GAZ24" s="24"/>
      <c r="GBA24" s="5"/>
      <c r="GBH24" s="24"/>
      <c r="GBI24" s="5"/>
      <c r="GBP24" s="24"/>
      <c r="GBQ24" s="5"/>
      <c r="GBX24" s="24"/>
      <c r="GBY24" s="5"/>
      <c r="GCF24" s="24"/>
      <c r="GCG24" s="5"/>
      <c r="GCN24" s="24"/>
      <c r="GCO24" s="5"/>
      <c r="GCV24" s="24"/>
      <c r="GCW24" s="5"/>
      <c r="GDD24" s="24"/>
      <c r="GDE24" s="5"/>
      <c r="GDL24" s="24"/>
      <c r="GDM24" s="5"/>
      <c r="GDT24" s="24"/>
      <c r="GDU24" s="5"/>
      <c r="GEB24" s="24"/>
      <c r="GEC24" s="5"/>
      <c r="GEJ24" s="24"/>
      <c r="GEK24" s="5"/>
      <c r="GER24" s="24"/>
      <c r="GES24" s="5"/>
      <c r="GEZ24" s="24"/>
      <c r="GFA24" s="5"/>
      <c r="GFH24" s="24"/>
      <c r="GFI24" s="5"/>
      <c r="GFP24" s="24"/>
      <c r="GFQ24" s="5"/>
      <c r="GFX24" s="24"/>
      <c r="GFY24" s="5"/>
      <c r="GGF24" s="24"/>
      <c r="GGG24" s="5"/>
      <c r="GGN24" s="24"/>
      <c r="GGO24" s="5"/>
      <c r="GGV24" s="24"/>
      <c r="GGW24" s="5"/>
      <c r="GHD24" s="24"/>
      <c r="GHE24" s="5"/>
      <c r="GHL24" s="24"/>
      <c r="GHM24" s="5"/>
      <c r="GHT24" s="24"/>
      <c r="GHU24" s="5"/>
      <c r="GIB24" s="24"/>
      <c r="GIC24" s="5"/>
      <c r="GIJ24" s="24"/>
      <c r="GIK24" s="5"/>
      <c r="GIR24" s="24"/>
      <c r="GIS24" s="5"/>
      <c r="GIZ24" s="24"/>
      <c r="GJA24" s="5"/>
      <c r="GJH24" s="24"/>
      <c r="GJI24" s="5"/>
      <c r="GJP24" s="24"/>
      <c r="GJQ24" s="5"/>
      <c r="GJX24" s="24"/>
      <c r="GJY24" s="5"/>
      <c r="GKF24" s="24"/>
      <c r="GKG24" s="5"/>
      <c r="GKN24" s="24"/>
      <c r="GKO24" s="5"/>
      <c r="GKV24" s="24"/>
      <c r="GKW24" s="5"/>
      <c r="GLD24" s="24"/>
      <c r="GLE24" s="5"/>
      <c r="GLL24" s="24"/>
      <c r="GLM24" s="5"/>
      <c r="GLT24" s="24"/>
      <c r="GLU24" s="5"/>
      <c r="GMB24" s="24"/>
      <c r="GMC24" s="5"/>
      <c r="GMJ24" s="24"/>
      <c r="GMK24" s="5"/>
      <c r="GMR24" s="24"/>
      <c r="GMS24" s="5"/>
      <c r="GMZ24" s="24"/>
      <c r="GNA24" s="5"/>
      <c r="GNH24" s="24"/>
      <c r="GNI24" s="5"/>
      <c r="GNP24" s="24"/>
      <c r="GNQ24" s="5"/>
      <c r="GNX24" s="24"/>
      <c r="GNY24" s="5"/>
      <c r="GOF24" s="24"/>
      <c r="GOG24" s="5"/>
      <c r="GON24" s="24"/>
      <c r="GOO24" s="5"/>
      <c r="GOV24" s="24"/>
      <c r="GOW24" s="5"/>
      <c r="GPD24" s="24"/>
      <c r="GPE24" s="5"/>
      <c r="GPL24" s="24"/>
      <c r="GPM24" s="5"/>
      <c r="GPT24" s="24"/>
      <c r="GPU24" s="5"/>
      <c r="GQB24" s="24"/>
      <c r="GQC24" s="5"/>
      <c r="GQJ24" s="24"/>
      <c r="GQK24" s="5"/>
      <c r="GQR24" s="24"/>
      <c r="GQS24" s="5"/>
      <c r="GQZ24" s="24"/>
      <c r="GRA24" s="5"/>
      <c r="GRH24" s="24"/>
      <c r="GRI24" s="5"/>
      <c r="GRP24" s="24"/>
      <c r="GRQ24" s="5"/>
      <c r="GRX24" s="24"/>
      <c r="GRY24" s="5"/>
      <c r="GSF24" s="24"/>
      <c r="GSG24" s="5"/>
      <c r="GSN24" s="24"/>
      <c r="GSO24" s="5"/>
      <c r="GSV24" s="24"/>
      <c r="GSW24" s="5"/>
      <c r="GTD24" s="24"/>
      <c r="GTE24" s="5"/>
      <c r="GTL24" s="24"/>
      <c r="GTM24" s="5"/>
      <c r="GTT24" s="24"/>
      <c r="GTU24" s="5"/>
      <c r="GUB24" s="24"/>
      <c r="GUC24" s="5"/>
      <c r="GUJ24" s="24"/>
      <c r="GUK24" s="5"/>
      <c r="GUR24" s="24"/>
      <c r="GUS24" s="5"/>
      <c r="GUZ24" s="24"/>
      <c r="GVA24" s="5"/>
      <c r="GVH24" s="24"/>
      <c r="GVI24" s="5"/>
      <c r="GVP24" s="24"/>
      <c r="GVQ24" s="5"/>
      <c r="GVX24" s="24"/>
      <c r="GVY24" s="5"/>
      <c r="GWF24" s="24"/>
      <c r="GWG24" s="5"/>
      <c r="GWN24" s="24"/>
      <c r="GWO24" s="5"/>
      <c r="GWV24" s="24"/>
      <c r="GWW24" s="5"/>
      <c r="GXD24" s="24"/>
      <c r="GXE24" s="5"/>
      <c r="GXL24" s="24"/>
      <c r="GXM24" s="5"/>
      <c r="GXT24" s="24"/>
      <c r="GXU24" s="5"/>
      <c r="GYB24" s="24"/>
      <c r="GYC24" s="5"/>
      <c r="GYJ24" s="24"/>
      <c r="GYK24" s="5"/>
      <c r="GYR24" s="24"/>
      <c r="GYS24" s="5"/>
      <c r="GYZ24" s="24"/>
      <c r="GZA24" s="5"/>
      <c r="GZH24" s="24"/>
      <c r="GZI24" s="5"/>
      <c r="GZP24" s="24"/>
      <c r="GZQ24" s="5"/>
      <c r="GZX24" s="24"/>
      <c r="GZY24" s="5"/>
      <c r="HAF24" s="24"/>
      <c r="HAG24" s="5"/>
      <c r="HAN24" s="24"/>
      <c r="HAO24" s="5"/>
      <c r="HAV24" s="24"/>
      <c r="HAW24" s="5"/>
      <c r="HBD24" s="24"/>
      <c r="HBE24" s="5"/>
      <c r="HBL24" s="24"/>
      <c r="HBM24" s="5"/>
      <c r="HBT24" s="24"/>
      <c r="HBU24" s="5"/>
      <c r="HCB24" s="24"/>
      <c r="HCC24" s="5"/>
      <c r="HCJ24" s="24"/>
      <c r="HCK24" s="5"/>
      <c r="HCR24" s="24"/>
      <c r="HCS24" s="5"/>
      <c r="HCZ24" s="24"/>
      <c r="HDA24" s="5"/>
      <c r="HDH24" s="24"/>
      <c r="HDI24" s="5"/>
      <c r="HDP24" s="24"/>
      <c r="HDQ24" s="5"/>
      <c r="HDX24" s="24"/>
      <c r="HDY24" s="5"/>
      <c r="HEF24" s="24"/>
      <c r="HEG24" s="5"/>
      <c r="HEN24" s="24"/>
      <c r="HEO24" s="5"/>
      <c r="HEV24" s="24"/>
      <c r="HEW24" s="5"/>
      <c r="HFD24" s="24"/>
      <c r="HFE24" s="5"/>
      <c r="HFL24" s="24"/>
      <c r="HFM24" s="5"/>
      <c r="HFT24" s="24"/>
      <c r="HFU24" s="5"/>
      <c r="HGB24" s="24"/>
      <c r="HGC24" s="5"/>
      <c r="HGJ24" s="24"/>
      <c r="HGK24" s="5"/>
      <c r="HGR24" s="24"/>
      <c r="HGS24" s="5"/>
      <c r="HGZ24" s="24"/>
      <c r="HHA24" s="5"/>
      <c r="HHH24" s="24"/>
      <c r="HHI24" s="5"/>
      <c r="HHP24" s="24"/>
      <c r="HHQ24" s="5"/>
      <c r="HHX24" s="24"/>
      <c r="HHY24" s="5"/>
      <c r="HIF24" s="24"/>
      <c r="HIG24" s="5"/>
      <c r="HIN24" s="24"/>
      <c r="HIO24" s="5"/>
      <c r="HIV24" s="24"/>
      <c r="HIW24" s="5"/>
      <c r="HJD24" s="24"/>
      <c r="HJE24" s="5"/>
      <c r="HJL24" s="24"/>
      <c r="HJM24" s="5"/>
      <c r="HJT24" s="24"/>
      <c r="HJU24" s="5"/>
      <c r="HKB24" s="24"/>
      <c r="HKC24" s="5"/>
      <c r="HKJ24" s="24"/>
      <c r="HKK24" s="5"/>
      <c r="HKR24" s="24"/>
      <c r="HKS24" s="5"/>
      <c r="HKZ24" s="24"/>
      <c r="HLA24" s="5"/>
      <c r="HLH24" s="24"/>
      <c r="HLI24" s="5"/>
      <c r="HLP24" s="24"/>
      <c r="HLQ24" s="5"/>
      <c r="HLX24" s="24"/>
      <c r="HLY24" s="5"/>
      <c r="HMF24" s="24"/>
      <c r="HMG24" s="5"/>
      <c r="HMN24" s="24"/>
      <c r="HMO24" s="5"/>
      <c r="HMV24" s="24"/>
      <c r="HMW24" s="5"/>
      <c r="HND24" s="24"/>
      <c r="HNE24" s="5"/>
      <c r="HNL24" s="24"/>
      <c r="HNM24" s="5"/>
      <c r="HNT24" s="24"/>
      <c r="HNU24" s="5"/>
      <c r="HOB24" s="24"/>
      <c r="HOC24" s="5"/>
      <c r="HOJ24" s="24"/>
      <c r="HOK24" s="5"/>
      <c r="HOR24" s="24"/>
      <c r="HOS24" s="5"/>
      <c r="HOZ24" s="24"/>
      <c r="HPA24" s="5"/>
      <c r="HPH24" s="24"/>
      <c r="HPI24" s="5"/>
      <c r="HPP24" s="24"/>
      <c r="HPQ24" s="5"/>
      <c r="HPX24" s="24"/>
      <c r="HPY24" s="5"/>
      <c r="HQF24" s="24"/>
      <c r="HQG24" s="5"/>
      <c r="HQN24" s="24"/>
      <c r="HQO24" s="5"/>
      <c r="HQV24" s="24"/>
      <c r="HQW24" s="5"/>
      <c r="HRD24" s="24"/>
      <c r="HRE24" s="5"/>
      <c r="HRL24" s="24"/>
      <c r="HRM24" s="5"/>
      <c r="HRT24" s="24"/>
      <c r="HRU24" s="5"/>
      <c r="HSB24" s="24"/>
      <c r="HSC24" s="5"/>
      <c r="HSJ24" s="24"/>
      <c r="HSK24" s="5"/>
      <c r="HSR24" s="24"/>
      <c r="HSS24" s="5"/>
      <c r="HSZ24" s="24"/>
      <c r="HTA24" s="5"/>
      <c r="HTH24" s="24"/>
      <c r="HTI24" s="5"/>
      <c r="HTP24" s="24"/>
      <c r="HTQ24" s="5"/>
      <c r="HTX24" s="24"/>
      <c r="HTY24" s="5"/>
      <c r="HUF24" s="24"/>
      <c r="HUG24" s="5"/>
      <c r="HUN24" s="24"/>
      <c r="HUO24" s="5"/>
      <c r="HUV24" s="24"/>
      <c r="HUW24" s="5"/>
      <c r="HVD24" s="24"/>
      <c r="HVE24" s="5"/>
      <c r="HVL24" s="24"/>
      <c r="HVM24" s="5"/>
      <c r="HVT24" s="24"/>
      <c r="HVU24" s="5"/>
      <c r="HWB24" s="24"/>
      <c r="HWC24" s="5"/>
      <c r="HWJ24" s="24"/>
      <c r="HWK24" s="5"/>
      <c r="HWR24" s="24"/>
      <c r="HWS24" s="5"/>
      <c r="HWZ24" s="24"/>
      <c r="HXA24" s="5"/>
      <c r="HXH24" s="24"/>
      <c r="HXI24" s="5"/>
      <c r="HXP24" s="24"/>
      <c r="HXQ24" s="5"/>
      <c r="HXX24" s="24"/>
      <c r="HXY24" s="5"/>
      <c r="HYF24" s="24"/>
      <c r="HYG24" s="5"/>
      <c r="HYN24" s="24"/>
      <c r="HYO24" s="5"/>
      <c r="HYV24" s="24"/>
      <c r="HYW24" s="5"/>
      <c r="HZD24" s="24"/>
      <c r="HZE24" s="5"/>
      <c r="HZL24" s="24"/>
      <c r="HZM24" s="5"/>
      <c r="HZT24" s="24"/>
      <c r="HZU24" s="5"/>
      <c r="IAB24" s="24"/>
      <c r="IAC24" s="5"/>
      <c r="IAJ24" s="24"/>
      <c r="IAK24" s="5"/>
      <c r="IAR24" s="24"/>
      <c r="IAS24" s="5"/>
      <c r="IAZ24" s="24"/>
      <c r="IBA24" s="5"/>
      <c r="IBH24" s="24"/>
      <c r="IBI24" s="5"/>
      <c r="IBP24" s="24"/>
      <c r="IBQ24" s="5"/>
      <c r="IBX24" s="24"/>
      <c r="IBY24" s="5"/>
      <c r="ICF24" s="24"/>
      <c r="ICG24" s="5"/>
      <c r="ICN24" s="24"/>
      <c r="ICO24" s="5"/>
      <c r="ICV24" s="24"/>
      <c r="ICW24" s="5"/>
      <c r="IDD24" s="24"/>
      <c r="IDE24" s="5"/>
      <c r="IDL24" s="24"/>
      <c r="IDM24" s="5"/>
      <c r="IDT24" s="24"/>
      <c r="IDU24" s="5"/>
      <c r="IEB24" s="24"/>
      <c r="IEC24" s="5"/>
      <c r="IEJ24" s="24"/>
      <c r="IEK24" s="5"/>
      <c r="IER24" s="24"/>
      <c r="IES24" s="5"/>
      <c r="IEZ24" s="24"/>
      <c r="IFA24" s="5"/>
      <c r="IFH24" s="24"/>
      <c r="IFI24" s="5"/>
      <c r="IFP24" s="24"/>
      <c r="IFQ24" s="5"/>
      <c r="IFX24" s="24"/>
      <c r="IFY24" s="5"/>
      <c r="IGF24" s="24"/>
      <c r="IGG24" s="5"/>
      <c r="IGN24" s="24"/>
      <c r="IGO24" s="5"/>
      <c r="IGV24" s="24"/>
      <c r="IGW24" s="5"/>
      <c r="IHD24" s="24"/>
      <c r="IHE24" s="5"/>
      <c r="IHL24" s="24"/>
      <c r="IHM24" s="5"/>
      <c r="IHT24" s="24"/>
      <c r="IHU24" s="5"/>
      <c r="IIB24" s="24"/>
      <c r="IIC24" s="5"/>
      <c r="IIJ24" s="24"/>
      <c r="IIK24" s="5"/>
      <c r="IIR24" s="24"/>
      <c r="IIS24" s="5"/>
      <c r="IIZ24" s="24"/>
      <c r="IJA24" s="5"/>
      <c r="IJH24" s="24"/>
      <c r="IJI24" s="5"/>
      <c r="IJP24" s="24"/>
      <c r="IJQ24" s="5"/>
      <c r="IJX24" s="24"/>
      <c r="IJY24" s="5"/>
      <c r="IKF24" s="24"/>
      <c r="IKG24" s="5"/>
      <c r="IKN24" s="24"/>
      <c r="IKO24" s="5"/>
      <c r="IKV24" s="24"/>
      <c r="IKW24" s="5"/>
      <c r="ILD24" s="24"/>
      <c r="ILE24" s="5"/>
      <c r="ILL24" s="24"/>
      <c r="ILM24" s="5"/>
      <c r="ILT24" s="24"/>
      <c r="ILU24" s="5"/>
      <c r="IMB24" s="24"/>
      <c r="IMC24" s="5"/>
      <c r="IMJ24" s="24"/>
      <c r="IMK24" s="5"/>
      <c r="IMR24" s="24"/>
      <c r="IMS24" s="5"/>
      <c r="IMZ24" s="24"/>
      <c r="INA24" s="5"/>
      <c r="INH24" s="24"/>
      <c r="INI24" s="5"/>
      <c r="INP24" s="24"/>
      <c r="INQ24" s="5"/>
      <c r="INX24" s="24"/>
      <c r="INY24" s="5"/>
      <c r="IOF24" s="24"/>
      <c r="IOG24" s="5"/>
      <c r="ION24" s="24"/>
      <c r="IOO24" s="5"/>
      <c r="IOV24" s="24"/>
      <c r="IOW24" s="5"/>
      <c r="IPD24" s="24"/>
      <c r="IPE24" s="5"/>
      <c r="IPL24" s="24"/>
      <c r="IPM24" s="5"/>
      <c r="IPT24" s="24"/>
      <c r="IPU24" s="5"/>
      <c r="IQB24" s="24"/>
      <c r="IQC24" s="5"/>
      <c r="IQJ24" s="24"/>
      <c r="IQK24" s="5"/>
      <c r="IQR24" s="24"/>
      <c r="IQS24" s="5"/>
      <c r="IQZ24" s="24"/>
      <c r="IRA24" s="5"/>
      <c r="IRH24" s="24"/>
      <c r="IRI24" s="5"/>
      <c r="IRP24" s="24"/>
      <c r="IRQ24" s="5"/>
      <c r="IRX24" s="24"/>
      <c r="IRY24" s="5"/>
      <c r="ISF24" s="24"/>
      <c r="ISG24" s="5"/>
      <c r="ISN24" s="24"/>
      <c r="ISO24" s="5"/>
      <c r="ISV24" s="24"/>
      <c r="ISW24" s="5"/>
      <c r="ITD24" s="24"/>
      <c r="ITE24" s="5"/>
      <c r="ITL24" s="24"/>
      <c r="ITM24" s="5"/>
      <c r="ITT24" s="24"/>
      <c r="ITU24" s="5"/>
      <c r="IUB24" s="24"/>
      <c r="IUC24" s="5"/>
      <c r="IUJ24" s="24"/>
      <c r="IUK24" s="5"/>
      <c r="IUR24" s="24"/>
      <c r="IUS24" s="5"/>
      <c r="IUZ24" s="24"/>
      <c r="IVA24" s="5"/>
      <c r="IVH24" s="24"/>
      <c r="IVI24" s="5"/>
      <c r="IVP24" s="24"/>
      <c r="IVQ24" s="5"/>
      <c r="IVX24" s="24"/>
      <c r="IVY24" s="5"/>
      <c r="IWF24" s="24"/>
      <c r="IWG24" s="5"/>
      <c r="IWN24" s="24"/>
      <c r="IWO24" s="5"/>
      <c r="IWV24" s="24"/>
      <c r="IWW24" s="5"/>
      <c r="IXD24" s="24"/>
      <c r="IXE24" s="5"/>
      <c r="IXL24" s="24"/>
      <c r="IXM24" s="5"/>
      <c r="IXT24" s="24"/>
      <c r="IXU24" s="5"/>
      <c r="IYB24" s="24"/>
      <c r="IYC24" s="5"/>
      <c r="IYJ24" s="24"/>
      <c r="IYK24" s="5"/>
      <c r="IYR24" s="24"/>
      <c r="IYS24" s="5"/>
      <c r="IYZ24" s="24"/>
      <c r="IZA24" s="5"/>
      <c r="IZH24" s="24"/>
      <c r="IZI24" s="5"/>
      <c r="IZP24" s="24"/>
      <c r="IZQ24" s="5"/>
      <c r="IZX24" s="24"/>
      <c r="IZY24" s="5"/>
      <c r="JAF24" s="24"/>
      <c r="JAG24" s="5"/>
      <c r="JAN24" s="24"/>
      <c r="JAO24" s="5"/>
      <c r="JAV24" s="24"/>
      <c r="JAW24" s="5"/>
      <c r="JBD24" s="24"/>
      <c r="JBE24" s="5"/>
      <c r="JBL24" s="24"/>
      <c r="JBM24" s="5"/>
      <c r="JBT24" s="24"/>
      <c r="JBU24" s="5"/>
      <c r="JCB24" s="24"/>
      <c r="JCC24" s="5"/>
      <c r="JCJ24" s="24"/>
      <c r="JCK24" s="5"/>
      <c r="JCR24" s="24"/>
      <c r="JCS24" s="5"/>
      <c r="JCZ24" s="24"/>
      <c r="JDA24" s="5"/>
      <c r="JDH24" s="24"/>
      <c r="JDI24" s="5"/>
      <c r="JDP24" s="24"/>
      <c r="JDQ24" s="5"/>
      <c r="JDX24" s="24"/>
      <c r="JDY24" s="5"/>
      <c r="JEF24" s="24"/>
      <c r="JEG24" s="5"/>
      <c r="JEN24" s="24"/>
      <c r="JEO24" s="5"/>
      <c r="JEV24" s="24"/>
      <c r="JEW24" s="5"/>
      <c r="JFD24" s="24"/>
      <c r="JFE24" s="5"/>
      <c r="JFL24" s="24"/>
      <c r="JFM24" s="5"/>
      <c r="JFT24" s="24"/>
      <c r="JFU24" s="5"/>
      <c r="JGB24" s="24"/>
      <c r="JGC24" s="5"/>
      <c r="JGJ24" s="24"/>
      <c r="JGK24" s="5"/>
      <c r="JGR24" s="24"/>
      <c r="JGS24" s="5"/>
      <c r="JGZ24" s="24"/>
      <c r="JHA24" s="5"/>
      <c r="JHH24" s="24"/>
      <c r="JHI24" s="5"/>
      <c r="JHP24" s="24"/>
      <c r="JHQ24" s="5"/>
      <c r="JHX24" s="24"/>
      <c r="JHY24" s="5"/>
      <c r="JIF24" s="24"/>
      <c r="JIG24" s="5"/>
      <c r="JIN24" s="24"/>
      <c r="JIO24" s="5"/>
      <c r="JIV24" s="24"/>
      <c r="JIW24" s="5"/>
      <c r="JJD24" s="24"/>
      <c r="JJE24" s="5"/>
      <c r="JJL24" s="24"/>
      <c r="JJM24" s="5"/>
      <c r="JJT24" s="24"/>
      <c r="JJU24" s="5"/>
      <c r="JKB24" s="24"/>
      <c r="JKC24" s="5"/>
      <c r="JKJ24" s="24"/>
      <c r="JKK24" s="5"/>
      <c r="JKR24" s="24"/>
      <c r="JKS24" s="5"/>
      <c r="JKZ24" s="24"/>
      <c r="JLA24" s="5"/>
      <c r="JLH24" s="24"/>
      <c r="JLI24" s="5"/>
      <c r="JLP24" s="24"/>
      <c r="JLQ24" s="5"/>
      <c r="JLX24" s="24"/>
      <c r="JLY24" s="5"/>
      <c r="JMF24" s="24"/>
      <c r="JMG24" s="5"/>
      <c r="JMN24" s="24"/>
      <c r="JMO24" s="5"/>
      <c r="JMV24" s="24"/>
      <c r="JMW24" s="5"/>
      <c r="JND24" s="24"/>
      <c r="JNE24" s="5"/>
      <c r="JNL24" s="24"/>
      <c r="JNM24" s="5"/>
      <c r="JNT24" s="24"/>
      <c r="JNU24" s="5"/>
      <c r="JOB24" s="24"/>
      <c r="JOC24" s="5"/>
      <c r="JOJ24" s="24"/>
      <c r="JOK24" s="5"/>
      <c r="JOR24" s="24"/>
      <c r="JOS24" s="5"/>
      <c r="JOZ24" s="24"/>
      <c r="JPA24" s="5"/>
      <c r="JPH24" s="24"/>
      <c r="JPI24" s="5"/>
      <c r="JPP24" s="24"/>
      <c r="JPQ24" s="5"/>
      <c r="JPX24" s="24"/>
      <c r="JPY24" s="5"/>
      <c r="JQF24" s="24"/>
      <c r="JQG24" s="5"/>
      <c r="JQN24" s="24"/>
      <c r="JQO24" s="5"/>
      <c r="JQV24" s="24"/>
      <c r="JQW24" s="5"/>
      <c r="JRD24" s="24"/>
      <c r="JRE24" s="5"/>
      <c r="JRL24" s="24"/>
      <c r="JRM24" s="5"/>
      <c r="JRT24" s="24"/>
      <c r="JRU24" s="5"/>
      <c r="JSB24" s="24"/>
      <c r="JSC24" s="5"/>
      <c r="JSJ24" s="24"/>
      <c r="JSK24" s="5"/>
      <c r="JSR24" s="24"/>
      <c r="JSS24" s="5"/>
      <c r="JSZ24" s="24"/>
      <c r="JTA24" s="5"/>
      <c r="JTH24" s="24"/>
      <c r="JTI24" s="5"/>
      <c r="JTP24" s="24"/>
      <c r="JTQ24" s="5"/>
      <c r="JTX24" s="24"/>
      <c r="JTY24" s="5"/>
      <c r="JUF24" s="24"/>
      <c r="JUG24" s="5"/>
      <c r="JUN24" s="24"/>
      <c r="JUO24" s="5"/>
      <c r="JUV24" s="24"/>
      <c r="JUW24" s="5"/>
      <c r="JVD24" s="24"/>
      <c r="JVE24" s="5"/>
      <c r="JVL24" s="24"/>
      <c r="JVM24" s="5"/>
      <c r="JVT24" s="24"/>
      <c r="JVU24" s="5"/>
      <c r="JWB24" s="24"/>
      <c r="JWC24" s="5"/>
      <c r="JWJ24" s="24"/>
      <c r="JWK24" s="5"/>
      <c r="JWR24" s="24"/>
      <c r="JWS24" s="5"/>
      <c r="JWZ24" s="24"/>
      <c r="JXA24" s="5"/>
      <c r="JXH24" s="24"/>
      <c r="JXI24" s="5"/>
      <c r="JXP24" s="24"/>
      <c r="JXQ24" s="5"/>
      <c r="JXX24" s="24"/>
      <c r="JXY24" s="5"/>
      <c r="JYF24" s="24"/>
      <c r="JYG24" s="5"/>
      <c r="JYN24" s="24"/>
      <c r="JYO24" s="5"/>
      <c r="JYV24" s="24"/>
      <c r="JYW24" s="5"/>
      <c r="JZD24" s="24"/>
      <c r="JZE24" s="5"/>
      <c r="JZL24" s="24"/>
      <c r="JZM24" s="5"/>
      <c r="JZT24" s="24"/>
      <c r="JZU24" s="5"/>
      <c r="KAB24" s="24"/>
      <c r="KAC24" s="5"/>
      <c r="KAJ24" s="24"/>
      <c r="KAK24" s="5"/>
      <c r="KAR24" s="24"/>
      <c r="KAS24" s="5"/>
      <c r="KAZ24" s="24"/>
      <c r="KBA24" s="5"/>
      <c r="KBH24" s="24"/>
      <c r="KBI24" s="5"/>
      <c r="KBP24" s="24"/>
      <c r="KBQ24" s="5"/>
      <c r="KBX24" s="24"/>
      <c r="KBY24" s="5"/>
      <c r="KCF24" s="24"/>
      <c r="KCG24" s="5"/>
      <c r="KCN24" s="24"/>
      <c r="KCO24" s="5"/>
      <c r="KCV24" s="24"/>
      <c r="KCW24" s="5"/>
      <c r="KDD24" s="24"/>
      <c r="KDE24" s="5"/>
      <c r="KDL24" s="24"/>
      <c r="KDM24" s="5"/>
      <c r="KDT24" s="24"/>
      <c r="KDU24" s="5"/>
      <c r="KEB24" s="24"/>
      <c r="KEC24" s="5"/>
      <c r="KEJ24" s="24"/>
      <c r="KEK24" s="5"/>
      <c r="KER24" s="24"/>
      <c r="KES24" s="5"/>
      <c r="KEZ24" s="24"/>
      <c r="KFA24" s="5"/>
      <c r="KFH24" s="24"/>
      <c r="KFI24" s="5"/>
      <c r="KFP24" s="24"/>
      <c r="KFQ24" s="5"/>
      <c r="KFX24" s="24"/>
      <c r="KFY24" s="5"/>
      <c r="KGF24" s="24"/>
      <c r="KGG24" s="5"/>
      <c r="KGN24" s="24"/>
      <c r="KGO24" s="5"/>
      <c r="KGV24" s="24"/>
      <c r="KGW24" s="5"/>
      <c r="KHD24" s="24"/>
      <c r="KHE24" s="5"/>
      <c r="KHL24" s="24"/>
      <c r="KHM24" s="5"/>
      <c r="KHT24" s="24"/>
      <c r="KHU24" s="5"/>
      <c r="KIB24" s="24"/>
      <c r="KIC24" s="5"/>
      <c r="KIJ24" s="24"/>
      <c r="KIK24" s="5"/>
      <c r="KIR24" s="24"/>
      <c r="KIS24" s="5"/>
      <c r="KIZ24" s="24"/>
      <c r="KJA24" s="5"/>
      <c r="KJH24" s="24"/>
      <c r="KJI24" s="5"/>
      <c r="KJP24" s="24"/>
      <c r="KJQ24" s="5"/>
      <c r="KJX24" s="24"/>
      <c r="KJY24" s="5"/>
      <c r="KKF24" s="24"/>
      <c r="KKG24" s="5"/>
      <c r="KKN24" s="24"/>
      <c r="KKO24" s="5"/>
      <c r="KKV24" s="24"/>
      <c r="KKW24" s="5"/>
      <c r="KLD24" s="24"/>
      <c r="KLE24" s="5"/>
      <c r="KLL24" s="24"/>
      <c r="KLM24" s="5"/>
      <c r="KLT24" s="24"/>
      <c r="KLU24" s="5"/>
      <c r="KMB24" s="24"/>
      <c r="KMC24" s="5"/>
      <c r="KMJ24" s="24"/>
      <c r="KMK24" s="5"/>
      <c r="KMR24" s="24"/>
      <c r="KMS24" s="5"/>
      <c r="KMZ24" s="24"/>
      <c r="KNA24" s="5"/>
      <c r="KNH24" s="24"/>
      <c r="KNI24" s="5"/>
      <c r="KNP24" s="24"/>
      <c r="KNQ24" s="5"/>
      <c r="KNX24" s="24"/>
      <c r="KNY24" s="5"/>
      <c r="KOF24" s="24"/>
      <c r="KOG24" s="5"/>
      <c r="KON24" s="24"/>
      <c r="KOO24" s="5"/>
      <c r="KOV24" s="24"/>
      <c r="KOW24" s="5"/>
      <c r="KPD24" s="24"/>
      <c r="KPE24" s="5"/>
      <c r="KPL24" s="24"/>
      <c r="KPM24" s="5"/>
      <c r="KPT24" s="24"/>
      <c r="KPU24" s="5"/>
      <c r="KQB24" s="24"/>
      <c r="KQC24" s="5"/>
      <c r="KQJ24" s="24"/>
      <c r="KQK24" s="5"/>
      <c r="KQR24" s="24"/>
      <c r="KQS24" s="5"/>
      <c r="KQZ24" s="24"/>
      <c r="KRA24" s="5"/>
      <c r="KRH24" s="24"/>
      <c r="KRI24" s="5"/>
      <c r="KRP24" s="24"/>
      <c r="KRQ24" s="5"/>
      <c r="KRX24" s="24"/>
      <c r="KRY24" s="5"/>
      <c r="KSF24" s="24"/>
      <c r="KSG24" s="5"/>
      <c r="KSN24" s="24"/>
      <c r="KSO24" s="5"/>
      <c r="KSV24" s="24"/>
      <c r="KSW24" s="5"/>
      <c r="KTD24" s="24"/>
      <c r="KTE24" s="5"/>
      <c r="KTL24" s="24"/>
      <c r="KTM24" s="5"/>
      <c r="KTT24" s="24"/>
      <c r="KTU24" s="5"/>
      <c r="KUB24" s="24"/>
      <c r="KUC24" s="5"/>
      <c r="KUJ24" s="24"/>
      <c r="KUK24" s="5"/>
      <c r="KUR24" s="24"/>
      <c r="KUS24" s="5"/>
      <c r="KUZ24" s="24"/>
      <c r="KVA24" s="5"/>
      <c r="KVH24" s="24"/>
      <c r="KVI24" s="5"/>
      <c r="KVP24" s="24"/>
      <c r="KVQ24" s="5"/>
      <c r="KVX24" s="24"/>
      <c r="KVY24" s="5"/>
      <c r="KWF24" s="24"/>
      <c r="KWG24" s="5"/>
      <c r="KWN24" s="24"/>
      <c r="KWO24" s="5"/>
      <c r="KWV24" s="24"/>
      <c r="KWW24" s="5"/>
      <c r="KXD24" s="24"/>
      <c r="KXE24" s="5"/>
      <c r="KXL24" s="24"/>
      <c r="KXM24" s="5"/>
      <c r="KXT24" s="24"/>
      <c r="KXU24" s="5"/>
      <c r="KYB24" s="24"/>
      <c r="KYC24" s="5"/>
      <c r="KYJ24" s="24"/>
      <c r="KYK24" s="5"/>
      <c r="KYR24" s="24"/>
      <c r="KYS24" s="5"/>
      <c r="KYZ24" s="24"/>
      <c r="KZA24" s="5"/>
      <c r="KZH24" s="24"/>
      <c r="KZI24" s="5"/>
      <c r="KZP24" s="24"/>
      <c r="KZQ24" s="5"/>
      <c r="KZX24" s="24"/>
      <c r="KZY24" s="5"/>
      <c r="LAF24" s="24"/>
      <c r="LAG24" s="5"/>
      <c r="LAN24" s="24"/>
      <c r="LAO24" s="5"/>
      <c r="LAV24" s="24"/>
      <c r="LAW24" s="5"/>
      <c r="LBD24" s="24"/>
      <c r="LBE24" s="5"/>
      <c r="LBL24" s="24"/>
      <c r="LBM24" s="5"/>
      <c r="LBT24" s="24"/>
      <c r="LBU24" s="5"/>
      <c r="LCB24" s="24"/>
      <c r="LCC24" s="5"/>
      <c r="LCJ24" s="24"/>
      <c r="LCK24" s="5"/>
      <c r="LCR24" s="24"/>
      <c r="LCS24" s="5"/>
      <c r="LCZ24" s="24"/>
      <c r="LDA24" s="5"/>
      <c r="LDH24" s="24"/>
      <c r="LDI24" s="5"/>
      <c r="LDP24" s="24"/>
      <c r="LDQ24" s="5"/>
      <c r="LDX24" s="24"/>
      <c r="LDY24" s="5"/>
      <c r="LEF24" s="24"/>
      <c r="LEG24" s="5"/>
      <c r="LEN24" s="24"/>
      <c r="LEO24" s="5"/>
      <c r="LEV24" s="24"/>
      <c r="LEW24" s="5"/>
      <c r="LFD24" s="24"/>
      <c r="LFE24" s="5"/>
      <c r="LFL24" s="24"/>
      <c r="LFM24" s="5"/>
      <c r="LFT24" s="24"/>
      <c r="LFU24" s="5"/>
      <c r="LGB24" s="24"/>
      <c r="LGC24" s="5"/>
      <c r="LGJ24" s="24"/>
      <c r="LGK24" s="5"/>
      <c r="LGR24" s="24"/>
      <c r="LGS24" s="5"/>
      <c r="LGZ24" s="24"/>
      <c r="LHA24" s="5"/>
      <c r="LHH24" s="24"/>
      <c r="LHI24" s="5"/>
      <c r="LHP24" s="24"/>
      <c r="LHQ24" s="5"/>
      <c r="LHX24" s="24"/>
      <c r="LHY24" s="5"/>
      <c r="LIF24" s="24"/>
      <c r="LIG24" s="5"/>
      <c r="LIN24" s="24"/>
      <c r="LIO24" s="5"/>
      <c r="LIV24" s="24"/>
      <c r="LIW24" s="5"/>
      <c r="LJD24" s="24"/>
      <c r="LJE24" s="5"/>
      <c r="LJL24" s="24"/>
      <c r="LJM24" s="5"/>
      <c r="LJT24" s="24"/>
      <c r="LJU24" s="5"/>
      <c r="LKB24" s="24"/>
      <c r="LKC24" s="5"/>
      <c r="LKJ24" s="24"/>
      <c r="LKK24" s="5"/>
      <c r="LKR24" s="24"/>
      <c r="LKS24" s="5"/>
      <c r="LKZ24" s="24"/>
      <c r="LLA24" s="5"/>
      <c r="LLH24" s="24"/>
      <c r="LLI24" s="5"/>
      <c r="LLP24" s="24"/>
      <c r="LLQ24" s="5"/>
      <c r="LLX24" s="24"/>
      <c r="LLY24" s="5"/>
      <c r="LMF24" s="24"/>
      <c r="LMG24" s="5"/>
      <c r="LMN24" s="24"/>
      <c r="LMO24" s="5"/>
      <c r="LMV24" s="24"/>
      <c r="LMW24" s="5"/>
      <c r="LND24" s="24"/>
      <c r="LNE24" s="5"/>
      <c r="LNL24" s="24"/>
      <c r="LNM24" s="5"/>
      <c r="LNT24" s="24"/>
      <c r="LNU24" s="5"/>
      <c r="LOB24" s="24"/>
      <c r="LOC24" s="5"/>
      <c r="LOJ24" s="24"/>
      <c r="LOK24" s="5"/>
      <c r="LOR24" s="24"/>
      <c r="LOS24" s="5"/>
      <c r="LOZ24" s="24"/>
      <c r="LPA24" s="5"/>
      <c r="LPH24" s="24"/>
      <c r="LPI24" s="5"/>
      <c r="LPP24" s="24"/>
      <c r="LPQ24" s="5"/>
      <c r="LPX24" s="24"/>
      <c r="LPY24" s="5"/>
      <c r="LQF24" s="24"/>
      <c r="LQG24" s="5"/>
      <c r="LQN24" s="24"/>
      <c r="LQO24" s="5"/>
      <c r="LQV24" s="24"/>
      <c r="LQW24" s="5"/>
      <c r="LRD24" s="24"/>
      <c r="LRE24" s="5"/>
      <c r="LRL24" s="24"/>
      <c r="LRM24" s="5"/>
      <c r="LRT24" s="24"/>
      <c r="LRU24" s="5"/>
      <c r="LSB24" s="24"/>
      <c r="LSC24" s="5"/>
      <c r="LSJ24" s="24"/>
      <c r="LSK24" s="5"/>
      <c r="LSR24" s="24"/>
      <c r="LSS24" s="5"/>
      <c r="LSZ24" s="24"/>
      <c r="LTA24" s="5"/>
      <c r="LTH24" s="24"/>
      <c r="LTI24" s="5"/>
      <c r="LTP24" s="24"/>
      <c r="LTQ24" s="5"/>
      <c r="LTX24" s="24"/>
      <c r="LTY24" s="5"/>
      <c r="LUF24" s="24"/>
      <c r="LUG24" s="5"/>
      <c r="LUN24" s="24"/>
      <c r="LUO24" s="5"/>
      <c r="LUV24" s="24"/>
      <c r="LUW24" s="5"/>
      <c r="LVD24" s="24"/>
      <c r="LVE24" s="5"/>
      <c r="LVL24" s="24"/>
      <c r="LVM24" s="5"/>
      <c r="LVT24" s="24"/>
      <c r="LVU24" s="5"/>
      <c r="LWB24" s="24"/>
      <c r="LWC24" s="5"/>
      <c r="LWJ24" s="24"/>
      <c r="LWK24" s="5"/>
      <c r="LWR24" s="24"/>
      <c r="LWS24" s="5"/>
      <c r="LWZ24" s="24"/>
      <c r="LXA24" s="5"/>
      <c r="LXH24" s="24"/>
      <c r="LXI24" s="5"/>
      <c r="LXP24" s="24"/>
      <c r="LXQ24" s="5"/>
      <c r="LXX24" s="24"/>
      <c r="LXY24" s="5"/>
      <c r="LYF24" s="24"/>
      <c r="LYG24" s="5"/>
      <c r="LYN24" s="24"/>
      <c r="LYO24" s="5"/>
      <c r="LYV24" s="24"/>
      <c r="LYW24" s="5"/>
      <c r="LZD24" s="24"/>
      <c r="LZE24" s="5"/>
      <c r="LZL24" s="24"/>
      <c r="LZM24" s="5"/>
      <c r="LZT24" s="24"/>
      <c r="LZU24" s="5"/>
      <c r="MAB24" s="24"/>
      <c r="MAC24" s="5"/>
      <c r="MAJ24" s="24"/>
      <c r="MAK24" s="5"/>
      <c r="MAR24" s="24"/>
      <c r="MAS24" s="5"/>
      <c r="MAZ24" s="24"/>
      <c r="MBA24" s="5"/>
      <c r="MBH24" s="24"/>
      <c r="MBI24" s="5"/>
      <c r="MBP24" s="24"/>
      <c r="MBQ24" s="5"/>
      <c r="MBX24" s="24"/>
      <c r="MBY24" s="5"/>
      <c r="MCF24" s="24"/>
      <c r="MCG24" s="5"/>
      <c r="MCN24" s="24"/>
      <c r="MCO24" s="5"/>
      <c r="MCV24" s="24"/>
      <c r="MCW24" s="5"/>
      <c r="MDD24" s="24"/>
      <c r="MDE24" s="5"/>
      <c r="MDL24" s="24"/>
      <c r="MDM24" s="5"/>
      <c r="MDT24" s="24"/>
      <c r="MDU24" s="5"/>
      <c r="MEB24" s="24"/>
      <c r="MEC24" s="5"/>
      <c r="MEJ24" s="24"/>
      <c r="MEK24" s="5"/>
      <c r="MER24" s="24"/>
      <c r="MES24" s="5"/>
      <c r="MEZ24" s="24"/>
      <c r="MFA24" s="5"/>
      <c r="MFH24" s="24"/>
      <c r="MFI24" s="5"/>
      <c r="MFP24" s="24"/>
      <c r="MFQ24" s="5"/>
      <c r="MFX24" s="24"/>
      <c r="MFY24" s="5"/>
      <c r="MGF24" s="24"/>
      <c r="MGG24" s="5"/>
      <c r="MGN24" s="24"/>
      <c r="MGO24" s="5"/>
      <c r="MGV24" s="24"/>
      <c r="MGW24" s="5"/>
      <c r="MHD24" s="24"/>
      <c r="MHE24" s="5"/>
      <c r="MHL24" s="24"/>
      <c r="MHM24" s="5"/>
      <c r="MHT24" s="24"/>
      <c r="MHU24" s="5"/>
      <c r="MIB24" s="24"/>
      <c r="MIC24" s="5"/>
      <c r="MIJ24" s="24"/>
      <c r="MIK24" s="5"/>
      <c r="MIR24" s="24"/>
      <c r="MIS24" s="5"/>
      <c r="MIZ24" s="24"/>
      <c r="MJA24" s="5"/>
      <c r="MJH24" s="24"/>
      <c r="MJI24" s="5"/>
      <c r="MJP24" s="24"/>
      <c r="MJQ24" s="5"/>
      <c r="MJX24" s="24"/>
      <c r="MJY24" s="5"/>
      <c r="MKF24" s="24"/>
      <c r="MKG24" s="5"/>
      <c r="MKN24" s="24"/>
      <c r="MKO24" s="5"/>
      <c r="MKV24" s="24"/>
      <c r="MKW24" s="5"/>
      <c r="MLD24" s="24"/>
      <c r="MLE24" s="5"/>
      <c r="MLL24" s="24"/>
      <c r="MLM24" s="5"/>
      <c r="MLT24" s="24"/>
      <c r="MLU24" s="5"/>
      <c r="MMB24" s="24"/>
      <c r="MMC24" s="5"/>
      <c r="MMJ24" s="24"/>
      <c r="MMK24" s="5"/>
      <c r="MMR24" s="24"/>
      <c r="MMS24" s="5"/>
      <c r="MMZ24" s="24"/>
      <c r="MNA24" s="5"/>
      <c r="MNH24" s="24"/>
      <c r="MNI24" s="5"/>
      <c r="MNP24" s="24"/>
      <c r="MNQ24" s="5"/>
      <c r="MNX24" s="24"/>
      <c r="MNY24" s="5"/>
      <c r="MOF24" s="24"/>
      <c r="MOG24" s="5"/>
      <c r="MON24" s="24"/>
      <c r="MOO24" s="5"/>
      <c r="MOV24" s="24"/>
      <c r="MOW24" s="5"/>
      <c r="MPD24" s="24"/>
      <c r="MPE24" s="5"/>
      <c r="MPL24" s="24"/>
      <c r="MPM24" s="5"/>
      <c r="MPT24" s="24"/>
      <c r="MPU24" s="5"/>
      <c r="MQB24" s="24"/>
      <c r="MQC24" s="5"/>
      <c r="MQJ24" s="24"/>
      <c r="MQK24" s="5"/>
      <c r="MQR24" s="24"/>
      <c r="MQS24" s="5"/>
      <c r="MQZ24" s="24"/>
      <c r="MRA24" s="5"/>
      <c r="MRH24" s="24"/>
      <c r="MRI24" s="5"/>
      <c r="MRP24" s="24"/>
      <c r="MRQ24" s="5"/>
      <c r="MRX24" s="24"/>
      <c r="MRY24" s="5"/>
      <c r="MSF24" s="24"/>
      <c r="MSG24" s="5"/>
      <c r="MSN24" s="24"/>
      <c r="MSO24" s="5"/>
      <c r="MSV24" s="24"/>
      <c r="MSW24" s="5"/>
      <c r="MTD24" s="24"/>
      <c r="MTE24" s="5"/>
      <c r="MTL24" s="24"/>
      <c r="MTM24" s="5"/>
      <c r="MTT24" s="24"/>
      <c r="MTU24" s="5"/>
      <c r="MUB24" s="24"/>
      <c r="MUC24" s="5"/>
      <c r="MUJ24" s="24"/>
      <c r="MUK24" s="5"/>
      <c r="MUR24" s="24"/>
      <c r="MUS24" s="5"/>
      <c r="MUZ24" s="24"/>
      <c r="MVA24" s="5"/>
      <c r="MVH24" s="24"/>
      <c r="MVI24" s="5"/>
      <c r="MVP24" s="24"/>
      <c r="MVQ24" s="5"/>
      <c r="MVX24" s="24"/>
      <c r="MVY24" s="5"/>
      <c r="MWF24" s="24"/>
      <c r="MWG24" s="5"/>
      <c r="MWN24" s="24"/>
      <c r="MWO24" s="5"/>
      <c r="MWV24" s="24"/>
      <c r="MWW24" s="5"/>
      <c r="MXD24" s="24"/>
      <c r="MXE24" s="5"/>
      <c r="MXL24" s="24"/>
      <c r="MXM24" s="5"/>
      <c r="MXT24" s="24"/>
      <c r="MXU24" s="5"/>
      <c r="MYB24" s="24"/>
      <c r="MYC24" s="5"/>
      <c r="MYJ24" s="24"/>
      <c r="MYK24" s="5"/>
      <c r="MYR24" s="24"/>
      <c r="MYS24" s="5"/>
      <c r="MYZ24" s="24"/>
      <c r="MZA24" s="5"/>
      <c r="MZH24" s="24"/>
      <c r="MZI24" s="5"/>
      <c r="MZP24" s="24"/>
      <c r="MZQ24" s="5"/>
      <c r="MZX24" s="24"/>
      <c r="MZY24" s="5"/>
      <c r="NAF24" s="24"/>
      <c r="NAG24" s="5"/>
      <c r="NAN24" s="24"/>
      <c r="NAO24" s="5"/>
      <c r="NAV24" s="24"/>
      <c r="NAW24" s="5"/>
      <c r="NBD24" s="24"/>
      <c r="NBE24" s="5"/>
      <c r="NBL24" s="24"/>
      <c r="NBM24" s="5"/>
      <c r="NBT24" s="24"/>
      <c r="NBU24" s="5"/>
      <c r="NCB24" s="24"/>
      <c r="NCC24" s="5"/>
      <c r="NCJ24" s="24"/>
      <c r="NCK24" s="5"/>
      <c r="NCR24" s="24"/>
      <c r="NCS24" s="5"/>
      <c r="NCZ24" s="24"/>
      <c r="NDA24" s="5"/>
      <c r="NDH24" s="24"/>
      <c r="NDI24" s="5"/>
      <c r="NDP24" s="24"/>
      <c r="NDQ24" s="5"/>
      <c r="NDX24" s="24"/>
      <c r="NDY24" s="5"/>
      <c r="NEF24" s="24"/>
      <c r="NEG24" s="5"/>
      <c r="NEN24" s="24"/>
      <c r="NEO24" s="5"/>
      <c r="NEV24" s="24"/>
      <c r="NEW24" s="5"/>
      <c r="NFD24" s="24"/>
      <c r="NFE24" s="5"/>
      <c r="NFL24" s="24"/>
      <c r="NFM24" s="5"/>
      <c r="NFT24" s="24"/>
      <c r="NFU24" s="5"/>
      <c r="NGB24" s="24"/>
      <c r="NGC24" s="5"/>
      <c r="NGJ24" s="24"/>
      <c r="NGK24" s="5"/>
      <c r="NGR24" s="24"/>
      <c r="NGS24" s="5"/>
      <c r="NGZ24" s="24"/>
      <c r="NHA24" s="5"/>
      <c r="NHH24" s="24"/>
      <c r="NHI24" s="5"/>
      <c r="NHP24" s="24"/>
      <c r="NHQ24" s="5"/>
      <c r="NHX24" s="24"/>
      <c r="NHY24" s="5"/>
      <c r="NIF24" s="24"/>
      <c r="NIG24" s="5"/>
      <c r="NIN24" s="24"/>
      <c r="NIO24" s="5"/>
      <c r="NIV24" s="24"/>
      <c r="NIW24" s="5"/>
      <c r="NJD24" s="24"/>
      <c r="NJE24" s="5"/>
      <c r="NJL24" s="24"/>
      <c r="NJM24" s="5"/>
      <c r="NJT24" s="24"/>
      <c r="NJU24" s="5"/>
      <c r="NKB24" s="24"/>
      <c r="NKC24" s="5"/>
      <c r="NKJ24" s="24"/>
      <c r="NKK24" s="5"/>
      <c r="NKR24" s="24"/>
      <c r="NKS24" s="5"/>
      <c r="NKZ24" s="24"/>
      <c r="NLA24" s="5"/>
      <c r="NLH24" s="24"/>
      <c r="NLI24" s="5"/>
      <c r="NLP24" s="24"/>
      <c r="NLQ24" s="5"/>
      <c r="NLX24" s="24"/>
      <c r="NLY24" s="5"/>
      <c r="NMF24" s="24"/>
      <c r="NMG24" s="5"/>
      <c r="NMN24" s="24"/>
      <c r="NMO24" s="5"/>
      <c r="NMV24" s="24"/>
      <c r="NMW24" s="5"/>
      <c r="NND24" s="24"/>
      <c r="NNE24" s="5"/>
      <c r="NNL24" s="24"/>
      <c r="NNM24" s="5"/>
      <c r="NNT24" s="24"/>
      <c r="NNU24" s="5"/>
      <c r="NOB24" s="24"/>
      <c r="NOC24" s="5"/>
      <c r="NOJ24" s="24"/>
      <c r="NOK24" s="5"/>
      <c r="NOR24" s="24"/>
      <c r="NOS24" s="5"/>
      <c r="NOZ24" s="24"/>
      <c r="NPA24" s="5"/>
      <c r="NPH24" s="24"/>
      <c r="NPI24" s="5"/>
      <c r="NPP24" s="24"/>
      <c r="NPQ24" s="5"/>
      <c r="NPX24" s="24"/>
      <c r="NPY24" s="5"/>
      <c r="NQF24" s="24"/>
      <c r="NQG24" s="5"/>
      <c r="NQN24" s="24"/>
      <c r="NQO24" s="5"/>
      <c r="NQV24" s="24"/>
      <c r="NQW24" s="5"/>
      <c r="NRD24" s="24"/>
      <c r="NRE24" s="5"/>
      <c r="NRL24" s="24"/>
      <c r="NRM24" s="5"/>
      <c r="NRT24" s="24"/>
      <c r="NRU24" s="5"/>
      <c r="NSB24" s="24"/>
      <c r="NSC24" s="5"/>
      <c r="NSJ24" s="24"/>
      <c r="NSK24" s="5"/>
      <c r="NSR24" s="24"/>
      <c r="NSS24" s="5"/>
      <c r="NSZ24" s="24"/>
      <c r="NTA24" s="5"/>
      <c r="NTH24" s="24"/>
      <c r="NTI24" s="5"/>
      <c r="NTP24" s="24"/>
      <c r="NTQ24" s="5"/>
      <c r="NTX24" s="24"/>
      <c r="NTY24" s="5"/>
      <c r="NUF24" s="24"/>
      <c r="NUG24" s="5"/>
      <c r="NUN24" s="24"/>
      <c r="NUO24" s="5"/>
      <c r="NUV24" s="24"/>
      <c r="NUW24" s="5"/>
      <c r="NVD24" s="24"/>
      <c r="NVE24" s="5"/>
      <c r="NVL24" s="24"/>
      <c r="NVM24" s="5"/>
      <c r="NVT24" s="24"/>
      <c r="NVU24" s="5"/>
      <c r="NWB24" s="24"/>
      <c r="NWC24" s="5"/>
      <c r="NWJ24" s="24"/>
      <c r="NWK24" s="5"/>
      <c r="NWR24" s="24"/>
      <c r="NWS24" s="5"/>
      <c r="NWZ24" s="24"/>
      <c r="NXA24" s="5"/>
      <c r="NXH24" s="24"/>
      <c r="NXI24" s="5"/>
      <c r="NXP24" s="24"/>
      <c r="NXQ24" s="5"/>
      <c r="NXX24" s="24"/>
      <c r="NXY24" s="5"/>
      <c r="NYF24" s="24"/>
      <c r="NYG24" s="5"/>
      <c r="NYN24" s="24"/>
      <c r="NYO24" s="5"/>
      <c r="NYV24" s="24"/>
      <c r="NYW24" s="5"/>
      <c r="NZD24" s="24"/>
      <c r="NZE24" s="5"/>
      <c r="NZL24" s="24"/>
      <c r="NZM24" s="5"/>
      <c r="NZT24" s="24"/>
      <c r="NZU24" s="5"/>
      <c r="OAB24" s="24"/>
      <c r="OAC24" s="5"/>
      <c r="OAJ24" s="24"/>
      <c r="OAK24" s="5"/>
      <c r="OAR24" s="24"/>
      <c r="OAS24" s="5"/>
      <c r="OAZ24" s="24"/>
      <c r="OBA24" s="5"/>
      <c r="OBH24" s="24"/>
      <c r="OBI24" s="5"/>
      <c r="OBP24" s="24"/>
      <c r="OBQ24" s="5"/>
      <c r="OBX24" s="24"/>
      <c r="OBY24" s="5"/>
      <c r="OCF24" s="24"/>
      <c r="OCG24" s="5"/>
      <c r="OCN24" s="24"/>
      <c r="OCO24" s="5"/>
      <c r="OCV24" s="24"/>
      <c r="OCW24" s="5"/>
      <c r="ODD24" s="24"/>
      <c r="ODE24" s="5"/>
      <c r="ODL24" s="24"/>
      <c r="ODM24" s="5"/>
      <c r="ODT24" s="24"/>
      <c r="ODU24" s="5"/>
      <c r="OEB24" s="24"/>
      <c r="OEC24" s="5"/>
      <c r="OEJ24" s="24"/>
      <c r="OEK24" s="5"/>
      <c r="OER24" s="24"/>
      <c r="OES24" s="5"/>
      <c r="OEZ24" s="24"/>
      <c r="OFA24" s="5"/>
      <c r="OFH24" s="24"/>
      <c r="OFI24" s="5"/>
      <c r="OFP24" s="24"/>
      <c r="OFQ24" s="5"/>
      <c r="OFX24" s="24"/>
      <c r="OFY24" s="5"/>
      <c r="OGF24" s="24"/>
      <c r="OGG24" s="5"/>
      <c r="OGN24" s="24"/>
      <c r="OGO24" s="5"/>
      <c r="OGV24" s="24"/>
      <c r="OGW24" s="5"/>
      <c r="OHD24" s="24"/>
      <c r="OHE24" s="5"/>
      <c r="OHL24" s="24"/>
      <c r="OHM24" s="5"/>
      <c r="OHT24" s="24"/>
      <c r="OHU24" s="5"/>
      <c r="OIB24" s="24"/>
      <c r="OIC24" s="5"/>
      <c r="OIJ24" s="24"/>
      <c r="OIK24" s="5"/>
      <c r="OIR24" s="24"/>
      <c r="OIS24" s="5"/>
      <c r="OIZ24" s="24"/>
      <c r="OJA24" s="5"/>
      <c r="OJH24" s="24"/>
      <c r="OJI24" s="5"/>
      <c r="OJP24" s="24"/>
      <c r="OJQ24" s="5"/>
      <c r="OJX24" s="24"/>
      <c r="OJY24" s="5"/>
      <c r="OKF24" s="24"/>
      <c r="OKG24" s="5"/>
      <c r="OKN24" s="24"/>
      <c r="OKO24" s="5"/>
      <c r="OKV24" s="24"/>
      <c r="OKW24" s="5"/>
      <c r="OLD24" s="24"/>
      <c r="OLE24" s="5"/>
      <c r="OLL24" s="24"/>
      <c r="OLM24" s="5"/>
      <c r="OLT24" s="24"/>
      <c r="OLU24" s="5"/>
      <c r="OMB24" s="24"/>
      <c r="OMC24" s="5"/>
      <c r="OMJ24" s="24"/>
      <c r="OMK24" s="5"/>
      <c r="OMR24" s="24"/>
      <c r="OMS24" s="5"/>
      <c r="OMZ24" s="24"/>
      <c r="ONA24" s="5"/>
      <c r="ONH24" s="24"/>
      <c r="ONI24" s="5"/>
      <c r="ONP24" s="24"/>
      <c r="ONQ24" s="5"/>
      <c r="ONX24" s="24"/>
      <c r="ONY24" s="5"/>
      <c r="OOF24" s="24"/>
      <c r="OOG24" s="5"/>
      <c r="OON24" s="24"/>
      <c r="OOO24" s="5"/>
      <c r="OOV24" s="24"/>
      <c r="OOW24" s="5"/>
      <c r="OPD24" s="24"/>
      <c r="OPE24" s="5"/>
      <c r="OPL24" s="24"/>
      <c r="OPM24" s="5"/>
      <c r="OPT24" s="24"/>
      <c r="OPU24" s="5"/>
      <c r="OQB24" s="24"/>
      <c r="OQC24" s="5"/>
      <c r="OQJ24" s="24"/>
      <c r="OQK24" s="5"/>
      <c r="OQR24" s="24"/>
      <c r="OQS24" s="5"/>
      <c r="OQZ24" s="24"/>
      <c r="ORA24" s="5"/>
      <c r="ORH24" s="24"/>
      <c r="ORI24" s="5"/>
      <c r="ORP24" s="24"/>
      <c r="ORQ24" s="5"/>
      <c r="ORX24" s="24"/>
      <c r="ORY24" s="5"/>
      <c r="OSF24" s="24"/>
      <c r="OSG24" s="5"/>
      <c r="OSN24" s="24"/>
      <c r="OSO24" s="5"/>
      <c r="OSV24" s="24"/>
      <c r="OSW24" s="5"/>
      <c r="OTD24" s="24"/>
      <c r="OTE24" s="5"/>
      <c r="OTL24" s="24"/>
      <c r="OTM24" s="5"/>
      <c r="OTT24" s="24"/>
      <c r="OTU24" s="5"/>
      <c r="OUB24" s="24"/>
      <c r="OUC24" s="5"/>
      <c r="OUJ24" s="24"/>
      <c r="OUK24" s="5"/>
      <c r="OUR24" s="24"/>
      <c r="OUS24" s="5"/>
      <c r="OUZ24" s="24"/>
      <c r="OVA24" s="5"/>
      <c r="OVH24" s="24"/>
      <c r="OVI24" s="5"/>
      <c r="OVP24" s="24"/>
      <c r="OVQ24" s="5"/>
      <c r="OVX24" s="24"/>
      <c r="OVY24" s="5"/>
      <c r="OWF24" s="24"/>
      <c r="OWG24" s="5"/>
      <c r="OWN24" s="24"/>
      <c r="OWO24" s="5"/>
      <c r="OWV24" s="24"/>
      <c r="OWW24" s="5"/>
      <c r="OXD24" s="24"/>
      <c r="OXE24" s="5"/>
      <c r="OXL24" s="24"/>
      <c r="OXM24" s="5"/>
      <c r="OXT24" s="24"/>
      <c r="OXU24" s="5"/>
      <c r="OYB24" s="24"/>
      <c r="OYC24" s="5"/>
      <c r="OYJ24" s="24"/>
      <c r="OYK24" s="5"/>
      <c r="OYR24" s="24"/>
      <c r="OYS24" s="5"/>
      <c r="OYZ24" s="24"/>
      <c r="OZA24" s="5"/>
      <c r="OZH24" s="24"/>
      <c r="OZI24" s="5"/>
      <c r="OZP24" s="24"/>
      <c r="OZQ24" s="5"/>
      <c r="OZX24" s="24"/>
      <c r="OZY24" s="5"/>
      <c r="PAF24" s="24"/>
      <c r="PAG24" s="5"/>
      <c r="PAN24" s="24"/>
      <c r="PAO24" s="5"/>
      <c r="PAV24" s="24"/>
      <c r="PAW24" s="5"/>
      <c r="PBD24" s="24"/>
      <c r="PBE24" s="5"/>
      <c r="PBL24" s="24"/>
      <c r="PBM24" s="5"/>
      <c r="PBT24" s="24"/>
      <c r="PBU24" s="5"/>
      <c r="PCB24" s="24"/>
      <c r="PCC24" s="5"/>
      <c r="PCJ24" s="24"/>
      <c r="PCK24" s="5"/>
      <c r="PCR24" s="24"/>
      <c r="PCS24" s="5"/>
      <c r="PCZ24" s="24"/>
      <c r="PDA24" s="5"/>
      <c r="PDH24" s="24"/>
      <c r="PDI24" s="5"/>
      <c r="PDP24" s="24"/>
      <c r="PDQ24" s="5"/>
      <c r="PDX24" s="24"/>
      <c r="PDY24" s="5"/>
      <c r="PEF24" s="24"/>
      <c r="PEG24" s="5"/>
      <c r="PEN24" s="24"/>
      <c r="PEO24" s="5"/>
      <c r="PEV24" s="24"/>
      <c r="PEW24" s="5"/>
      <c r="PFD24" s="24"/>
      <c r="PFE24" s="5"/>
      <c r="PFL24" s="24"/>
      <c r="PFM24" s="5"/>
      <c r="PFT24" s="24"/>
      <c r="PFU24" s="5"/>
      <c r="PGB24" s="24"/>
      <c r="PGC24" s="5"/>
      <c r="PGJ24" s="24"/>
      <c r="PGK24" s="5"/>
      <c r="PGR24" s="24"/>
      <c r="PGS24" s="5"/>
      <c r="PGZ24" s="24"/>
      <c r="PHA24" s="5"/>
      <c r="PHH24" s="24"/>
      <c r="PHI24" s="5"/>
      <c r="PHP24" s="24"/>
      <c r="PHQ24" s="5"/>
      <c r="PHX24" s="24"/>
      <c r="PHY24" s="5"/>
      <c r="PIF24" s="24"/>
      <c r="PIG24" s="5"/>
      <c r="PIN24" s="24"/>
      <c r="PIO24" s="5"/>
      <c r="PIV24" s="24"/>
      <c r="PIW24" s="5"/>
      <c r="PJD24" s="24"/>
      <c r="PJE24" s="5"/>
      <c r="PJL24" s="24"/>
      <c r="PJM24" s="5"/>
      <c r="PJT24" s="24"/>
      <c r="PJU24" s="5"/>
      <c r="PKB24" s="24"/>
      <c r="PKC24" s="5"/>
      <c r="PKJ24" s="24"/>
      <c r="PKK24" s="5"/>
      <c r="PKR24" s="24"/>
      <c r="PKS24" s="5"/>
      <c r="PKZ24" s="24"/>
      <c r="PLA24" s="5"/>
      <c r="PLH24" s="24"/>
      <c r="PLI24" s="5"/>
      <c r="PLP24" s="24"/>
      <c r="PLQ24" s="5"/>
      <c r="PLX24" s="24"/>
      <c r="PLY24" s="5"/>
      <c r="PMF24" s="24"/>
      <c r="PMG24" s="5"/>
      <c r="PMN24" s="24"/>
      <c r="PMO24" s="5"/>
      <c r="PMV24" s="24"/>
      <c r="PMW24" s="5"/>
      <c r="PND24" s="24"/>
      <c r="PNE24" s="5"/>
      <c r="PNL24" s="24"/>
      <c r="PNM24" s="5"/>
      <c r="PNT24" s="24"/>
      <c r="PNU24" s="5"/>
      <c r="POB24" s="24"/>
      <c r="POC24" s="5"/>
      <c r="POJ24" s="24"/>
      <c r="POK24" s="5"/>
      <c r="POR24" s="24"/>
      <c r="POS24" s="5"/>
      <c r="POZ24" s="24"/>
      <c r="PPA24" s="5"/>
      <c r="PPH24" s="24"/>
      <c r="PPI24" s="5"/>
      <c r="PPP24" s="24"/>
      <c r="PPQ24" s="5"/>
      <c r="PPX24" s="24"/>
      <c r="PPY24" s="5"/>
      <c r="PQF24" s="24"/>
      <c r="PQG24" s="5"/>
      <c r="PQN24" s="24"/>
      <c r="PQO24" s="5"/>
      <c r="PQV24" s="24"/>
      <c r="PQW24" s="5"/>
      <c r="PRD24" s="24"/>
      <c r="PRE24" s="5"/>
      <c r="PRL24" s="24"/>
      <c r="PRM24" s="5"/>
      <c r="PRT24" s="24"/>
      <c r="PRU24" s="5"/>
      <c r="PSB24" s="24"/>
      <c r="PSC24" s="5"/>
      <c r="PSJ24" s="24"/>
      <c r="PSK24" s="5"/>
      <c r="PSR24" s="24"/>
      <c r="PSS24" s="5"/>
      <c r="PSZ24" s="24"/>
      <c r="PTA24" s="5"/>
      <c r="PTH24" s="24"/>
      <c r="PTI24" s="5"/>
      <c r="PTP24" s="24"/>
      <c r="PTQ24" s="5"/>
      <c r="PTX24" s="24"/>
      <c r="PTY24" s="5"/>
      <c r="PUF24" s="24"/>
      <c r="PUG24" s="5"/>
      <c r="PUN24" s="24"/>
      <c r="PUO24" s="5"/>
      <c r="PUV24" s="24"/>
      <c r="PUW24" s="5"/>
      <c r="PVD24" s="24"/>
      <c r="PVE24" s="5"/>
      <c r="PVL24" s="24"/>
      <c r="PVM24" s="5"/>
      <c r="PVT24" s="24"/>
      <c r="PVU24" s="5"/>
      <c r="PWB24" s="24"/>
      <c r="PWC24" s="5"/>
      <c r="PWJ24" s="24"/>
      <c r="PWK24" s="5"/>
      <c r="PWR24" s="24"/>
      <c r="PWS24" s="5"/>
      <c r="PWZ24" s="24"/>
      <c r="PXA24" s="5"/>
      <c r="PXH24" s="24"/>
      <c r="PXI24" s="5"/>
      <c r="PXP24" s="24"/>
      <c r="PXQ24" s="5"/>
      <c r="PXX24" s="24"/>
      <c r="PXY24" s="5"/>
      <c r="PYF24" s="24"/>
      <c r="PYG24" s="5"/>
      <c r="PYN24" s="24"/>
      <c r="PYO24" s="5"/>
      <c r="PYV24" s="24"/>
      <c r="PYW24" s="5"/>
      <c r="PZD24" s="24"/>
      <c r="PZE24" s="5"/>
      <c r="PZL24" s="24"/>
      <c r="PZM24" s="5"/>
      <c r="PZT24" s="24"/>
      <c r="PZU24" s="5"/>
      <c r="QAB24" s="24"/>
      <c r="QAC24" s="5"/>
      <c r="QAJ24" s="24"/>
      <c r="QAK24" s="5"/>
      <c r="QAR24" s="24"/>
      <c r="QAS24" s="5"/>
      <c r="QAZ24" s="24"/>
      <c r="QBA24" s="5"/>
      <c r="QBH24" s="24"/>
      <c r="QBI24" s="5"/>
      <c r="QBP24" s="24"/>
      <c r="QBQ24" s="5"/>
      <c r="QBX24" s="24"/>
      <c r="QBY24" s="5"/>
      <c r="QCF24" s="24"/>
      <c r="QCG24" s="5"/>
      <c r="QCN24" s="24"/>
      <c r="QCO24" s="5"/>
      <c r="QCV24" s="24"/>
      <c r="QCW24" s="5"/>
      <c r="QDD24" s="24"/>
      <c r="QDE24" s="5"/>
      <c r="QDL24" s="24"/>
      <c r="QDM24" s="5"/>
      <c r="QDT24" s="24"/>
      <c r="QDU24" s="5"/>
      <c r="QEB24" s="24"/>
      <c r="QEC24" s="5"/>
      <c r="QEJ24" s="24"/>
      <c r="QEK24" s="5"/>
      <c r="QER24" s="24"/>
      <c r="QES24" s="5"/>
      <c r="QEZ24" s="24"/>
      <c r="QFA24" s="5"/>
      <c r="QFH24" s="24"/>
      <c r="QFI24" s="5"/>
      <c r="QFP24" s="24"/>
      <c r="QFQ24" s="5"/>
      <c r="QFX24" s="24"/>
      <c r="QFY24" s="5"/>
      <c r="QGF24" s="24"/>
      <c r="QGG24" s="5"/>
      <c r="QGN24" s="24"/>
      <c r="QGO24" s="5"/>
      <c r="QGV24" s="24"/>
      <c r="QGW24" s="5"/>
      <c r="QHD24" s="24"/>
      <c r="QHE24" s="5"/>
      <c r="QHL24" s="24"/>
      <c r="QHM24" s="5"/>
      <c r="QHT24" s="24"/>
      <c r="QHU24" s="5"/>
      <c r="QIB24" s="24"/>
      <c r="QIC24" s="5"/>
      <c r="QIJ24" s="24"/>
      <c r="QIK24" s="5"/>
      <c r="QIR24" s="24"/>
      <c r="QIS24" s="5"/>
      <c r="QIZ24" s="24"/>
      <c r="QJA24" s="5"/>
      <c r="QJH24" s="24"/>
      <c r="QJI24" s="5"/>
      <c r="QJP24" s="24"/>
      <c r="QJQ24" s="5"/>
      <c r="QJX24" s="24"/>
      <c r="QJY24" s="5"/>
      <c r="QKF24" s="24"/>
      <c r="QKG24" s="5"/>
      <c r="QKN24" s="24"/>
      <c r="QKO24" s="5"/>
      <c r="QKV24" s="24"/>
      <c r="QKW24" s="5"/>
      <c r="QLD24" s="24"/>
      <c r="QLE24" s="5"/>
      <c r="QLL24" s="24"/>
      <c r="QLM24" s="5"/>
      <c r="QLT24" s="24"/>
      <c r="QLU24" s="5"/>
      <c r="QMB24" s="24"/>
      <c r="QMC24" s="5"/>
      <c r="QMJ24" s="24"/>
      <c r="QMK24" s="5"/>
      <c r="QMR24" s="24"/>
      <c r="QMS24" s="5"/>
      <c r="QMZ24" s="24"/>
      <c r="QNA24" s="5"/>
      <c r="QNH24" s="24"/>
      <c r="QNI24" s="5"/>
      <c r="QNP24" s="24"/>
      <c r="QNQ24" s="5"/>
      <c r="QNX24" s="24"/>
      <c r="QNY24" s="5"/>
      <c r="QOF24" s="24"/>
      <c r="QOG24" s="5"/>
      <c r="QON24" s="24"/>
      <c r="QOO24" s="5"/>
      <c r="QOV24" s="24"/>
      <c r="QOW24" s="5"/>
      <c r="QPD24" s="24"/>
      <c r="QPE24" s="5"/>
      <c r="QPL24" s="24"/>
      <c r="QPM24" s="5"/>
      <c r="QPT24" s="24"/>
      <c r="QPU24" s="5"/>
      <c r="QQB24" s="24"/>
      <c r="QQC24" s="5"/>
      <c r="QQJ24" s="24"/>
      <c r="QQK24" s="5"/>
      <c r="QQR24" s="24"/>
      <c r="QQS24" s="5"/>
      <c r="QQZ24" s="24"/>
      <c r="QRA24" s="5"/>
      <c r="QRH24" s="24"/>
      <c r="QRI24" s="5"/>
      <c r="QRP24" s="24"/>
      <c r="QRQ24" s="5"/>
      <c r="QRX24" s="24"/>
      <c r="QRY24" s="5"/>
      <c r="QSF24" s="24"/>
      <c r="QSG24" s="5"/>
      <c r="QSN24" s="24"/>
      <c r="QSO24" s="5"/>
      <c r="QSV24" s="24"/>
      <c r="QSW24" s="5"/>
      <c r="QTD24" s="24"/>
      <c r="QTE24" s="5"/>
      <c r="QTL24" s="24"/>
      <c r="QTM24" s="5"/>
      <c r="QTT24" s="24"/>
      <c r="QTU24" s="5"/>
      <c r="QUB24" s="24"/>
      <c r="QUC24" s="5"/>
      <c r="QUJ24" s="24"/>
      <c r="QUK24" s="5"/>
      <c r="QUR24" s="24"/>
      <c r="QUS24" s="5"/>
      <c r="QUZ24" s="24"/>
      <c r="QVA24" s="5"/>
      <c r="QVH24" s="24"/>
      <c r="QVI24" s="5"/>
      <c r="QVP24" s="24"/>
      <c r="QVQ24" s="5"/>
      <c r="QVX24" s="24"/>
      <c r="QVY24" s="5"/>
      <c r="QWF24" s="24"/>
      <c r="QWG24" s="5"/>
      <c r="QWN24" s="24"/>
      <c r="QWO24" s="5"/>
      <c r="QWV24" s="24"/>
      <c r="QWW24" s="5"/>
      <c r="QXD24" s="24"/>
      <c r="QXE24" s="5"/>
      <c r="QXL24" s="24"/>
      <c r="QXM24" s="5"/>
      <c r="QXT24" s="24"/>
      <c r="QXU24" s="5"/>
      <c r="QYB24" s="24"/>
      <c r="QYC24" s="5"/>
      <c r="QYJ24" s="24"/>
      <c r="QYK24" s="5"/>
      <c r="QYR24" s="24"/>
      <c r="QYS24" s="5"/>
      <c r="QYZ24" s="24"/>
      <c r="QZA24" s="5"/>
      <c r="QZH24" s="24"/>
      <c r="QZI24" s="5"/>
      <c r="QZP24" s="24"/>
      <c r="QZQ24" s="5"/>
      <c r="QZX24" s="24"/>
      <c r="QZY24" s="5"/>
      <c r="RAF24" s="24"/>
      <c r="RAG24" s="5"/>
      <c r="RAN24" s="24"/>
      <c r="RAO24" s="5"/>
      <c r="RAV24" s="24"/>
      <c r="RAW24" s="5"/>
      <c r="RBD24" s="24"/>
      <c r="RBE24" s="5"/>
      <c r="RBL24" s="24"/>
      <c r="RBM24" s="5"/>
      <c r="RBT24" s="24"/>
      <c r="RBU24" s="5"/>
      <c r="RCB24" s="24"/>
      <c r="RCC24" s="5"/>
      <c r="RCJ24" s="24"/>
      <c r="RCK24" s="5"/>
      <c r="RCR24" s="24"/>
      <c r="RCS24" s="5"/>
      <c r="RCZ24" s="24"/>
      <c r="RDA24" s="5"/>
      <c r="RDH24" s="24"/>
      <c r="RDI24" s="5"/>
      <c r="RDP24" s="24"/>
      <c r="RDQ24" s="5"/>
      <c r="RDX24" s="24"/>
      <c r="RDY24" s="5"/>
      <c r="REF24" s="24"/>
      <c r="REG24" s="5"/>
      <c r="REN24" s="24"/>
      <c r="REO24" s="5"/>
      <c r="REV24" s="24"/>
      <c r="REW24" s="5"/>
      <c r="RFD24" s="24"/>
      <c r="RFE24" s="5"/>
      <c r="RFL24" s="24"/>
      <c r="RFM24" s="5"/>
      <c r="RFT24" s="24"/>
      <c r="RFU24" s="5"/>
      <c r="RGB24" s="24"/>
      <c r="RGC24" s="5"/>
      <c r="RGJ24" s="24"/>
      <c r="RGK24" s="5"/>
      <c r="RGR24" s="24"/>
      <c r="RGS24" s="5"/>
      <c r="RGZ24" s="24"/>
      <c r="RHA24" s="5"/>
      <c r="RHH24" s="24"/>
      <c r="RHI24" s="5"/>
      <c r="RHP24" s="24"/>
      <c r="RHQ24" s="5"/>
      <c r="RHX24" s="24"/>
      <c r="RHY24" s="5"/>
      <c r="RIF24" s="24"/>
      <c r="RIG24" s="5"/>
      <c r="RIN24" s="24"/>
      <c r="RIO24" s="5"/>
      <c r="RIV24" s="24"/>
      <c r="RIW24" s="5"/>
      <c r="RJD24" s="24"/>
      <c r="RJE24" s="5"/>
      <c r="RJL24" s="24"/>
      <c r="RJM24" s="5"/>
      <c r="RJT24" s="24"/>
      <c r="RJU24" s="5"/>
      <c r="RKB24" s="24"/>
      <c r="RKC24" s="5"/>
      <c r="RKJ24" s="24"/>
      <c r="RKK24" s="5"/>
      <c r="RKR24" s="24"/>
      <c r="RKS24" s="5"/>
      <c r="RKZ24" s="24"/>
      <c r="RLA24" s="5"/>
      <c r="RLH24" s="24"/>
      <c r="RLI24" s="5"/>
      <c r="RLP24" s="24"/>
      <c r="RLQ24" s="5"/>
      <c r="RLX24" s="24"/>
      <c r="RLY24" s="5"/>
      <c r="RMF24" s="24"/>
      <c r="RMG24" s="5"/>
      <c r="RMN24" s="24"/>
      <c r="RMO24" s="5"/>
      <c r="RMV24" s="24"/>
      <c r="RMW24" s="5"/>
      <c r="RND24" s="24"/>
      <c r="RNE24" s="5"/>
      <c r="RNL24" s="24"/>
      <c r="RNM24" s="5"/>
      <c r="RNT24" s="24"/>
      <c r="RNU24" s="5"/>
      <c r="ROB24" s="24"/>
      <c r="ROC24" s="5"/>
      <c r="ROJ24" s="24"/>
      <c r="ROK24" s="5"/>
      <c r="ROR24" s="24"/>
      <c r="ROS24" s="5"/>
      <c r="ROZ24" s="24"/>
      <c r="RPA24" s="5"/>
      <c r="RPH24" s="24"/>
      <c r="RPI24" s="5"/>
      <c r="RPP24" s="24"/>
      <c r="RPQ24" s="5"/>
      <c r="RPX24" s="24"/>
      <c r="RPY24" s="5"/>
      <c r="RQF24" s="24"/>
      <c r="RQG24" s="5"/>
      <c r="RQN24" s="24"/>
      <c r="RQO24" s="5"/>
      <c r="RQV24" s="24"/>
      <c r="RQW24" s="5"/>
      <c r="RRD24" s="24"/>
      <c r="RRE24" s="5"/>
      <c r="RRL24" s="24"/>
      <c r="RRM24" s="5"/>
      <c r="RRT24" s="24"/>
      <c r="RRU24" s="5"/>
      <c r="RSB24" s="24"/>
      <c r="RSC24" s="5"/>
      <c r="RSJ24" s="24"/>
      <c r="RSK24" s="5"/>
      <c r="RSR24" s="24"/>
      <c r="RSS24" s="5"/>
      <c r="RSZ24" s="24"/>
      <c r="RTA24" s="5"/>
      <c r="RTH24" s="24"/>
      <c r="RTI24" s="5"/>
      <c r="RTP24" s="24"/>
      <c r="RTQ24" s="5"/>
      <c r="RTX24" s="24"/>
      <c r="RTY24" s="5"/>
      <c r="RUF24" s="24"/>
      <c r="RUG24" s="5"/>
      <c r="RUN24" s="24"/>
      <c r="RUO24" s="5"/>
      <c r="RUV24" s="24"/>
      <c r="RUW24" s="5"/>
      <c r="RVD24" s="24"/>
      <c r="RVE24" s="5"/>
      <c r="RVL24" s="24"/>
      <c r="RVM24" s="5"/>
      <c r="RVT24" s="24"/>
      <c r="RVU24" s="5"/>
      <c r="RWB24" s="24"/>
      <c r="RWC24" s="5"/>
      <c r="RWJ24" s="24"/>
      <c r="RWK24" s="5"/>
      <c r="RWR24" s="24"/>
      <c r="RWS24" s="5"/>
      <c r="RWZ24" s="24"/>
      <c r="RXA24" s="5"/>
      <c r="RXH24" s="24"/>
      <c r="RXI24" s="5"/>
      <c r="RXP24" s="24"/>
      <c r="RXQ24" s="5"/>
      <c r="RXX24" s="24"/>
      <c r="RXY24" s="5"/>
      <c r="RYF24" s="24"/>
      <c r="RYG24" s="5"/>
      <c r="RYN24" s="24"/>
      <c r="RYO24" s="5"/>
      <c r="RYV24" s="24"/>
      <c r="RYW24" s="5"/>
      <c r="RZD24" s="24"/>
      <c r="RZE24" s="5"/>
      <c r="RZL24" s="24"/>
      <c r="RZM24" s="5"/>
      <c r="RZT24" s="24"/>
      <c r="RZU24" s="5"/>
      <c r="SAB24" s="24"/>
      <c r="SAC24" s="5"/>
      <c r="SAJ24" s="24"/>
      <c r="SAK24" s="5"/>
      <c r="SAR24" s="24"/>
      <c r="SAS24" s="5"/>
      <c r="SAZ24" s="24"/>
      <c r="SBA24" s="5"/>
      <c r="SBH24" s="24"/>
      <c r="SBI24" s="5"/>
      <c r="SBP24" s="24"/>
      <c r="SBQ24" s="5"/>
      <c r="SBX24" s="24"/>
      <c r="SBY24" s="5"/>
      <c r="SCF24" s="24"/>
      <c r="SCG24" s="5"/>
      <c r="SCN24" s="24"/>
      <c r="SCO24" s="5"/>
      <c r="SCV24" s="24"/>
      <c r="SCW24" s="5"/>
      <c r="SDD24" s="24"/>
      <c r="SDE24" s="5"/>
      <c r="SDL24" s="24"/>
      <c r="SDM24" s="5"/>
      <c r="SDT24" s="24"/>
      <c r="SDU24" s="5"/>
      <c r="SEB24" s="24"/>
      <c r="SEC24" s="5"/>
      <c r="SEJ24" s="24"/>
      <c r="SEK24" s="5"/>
      <c r="SER24" s="24"/>
      <c r="SES24" s="5"/>
      <c r="SEZ24" s="24"/>
      <c r="SFA24" s="5"/>
      <c r="SFH24" s="24"/>
      <c r="SFI24" s="5"/>
      <c r="SFP24" s="24"/>
      <c r="SFQ24" s="5"/>
      <c r="SFX24" s="24"/>
      <c r="SFY24" s="5"/>
      <c r="SGF24" s="24"/>
      <c r="SGG24" s="5"/>
      <c r="SGN24" s="24"/>
      <c r="SGO24" s="5"/>
      <c r="SGV24" s="24"/>
      <c r="SGW24" s="5"/>
      <c r="SHD24" s="24"/>
      <c r="SHE24" s="5"/>
      <c r="SHL24" s="24"/>
      <c r="SHM24" s="5"/>
      <c r="SHT24" s="24"/>
      <c r="SHU24" s="5"/>
      <c r="SIB24" s="24"/>
      <c r="SIC24" s="5"/>
      <c r="SIJ24" s="24"/>
      <c r="SIK24" s="5"/>
      <c r="SIR24" s="24"/>
      <c r="SIS24" s="5"/>
      <c r="SIZ24" s="24"/>
      <c r="SJA24" s="5"/>
      <c r="SJH24" s="24"/>
      <c r="SJI24" s="5"/>
      <c r="SJP24" s="24"/>
      <c r="SJQ24" s="5"/>
      <c r="SJX24" s="24"/>
      <c r="SJY24" s="5"/>
      <c r="SKF24" s="24"/>
      <c r="SKG24" s="5"/>
      <c r="SKN24" s="24"/>
      <c r="SKO24" s="5"/>
      <c r="SKV24" s="24"/>
      <c r="SKW24" s="5"/>
      <c r="SLD24" s="24"/>
      <c r="SLE24" s="5"/>
      <c r="SLL24" s="24"/>
      <c r="SLM24" s="5"/>
      <c r="SLT24" s="24"/>
      <c r="SLU24" s="5"/>
      <c r="SMB24" s="24"/>
      <c r="SMC24" s="5"/>
      <c r="SMJ24" s="24"/>
      <c r="SMK24" s="5"/>
      <c r="SMR24" s="24"/>
      <c r="SMS24" s="5"/>
      <c r="SMZ24" s="24"/>
      <c r="SNA24" s="5"/>
      <c r="SNH24" s="24"/>
      <c r="SNI24" s="5"/>
      <c r="SNP24" s="24"/>
      <c r="SNQ24" s="5"/>
      <c r="SNX24" s="24"/>
      <c r="SNY24" s="5"/>
      <c r="SOF24" s="24"/>
      <c r="SOG24" s="5"/>
      <c r="SON24" s="24"/>
      <c r="SOO24" s="5"/>
      <c r="SOV24" s="24"/>
      <c r="SOW24" s="5"/>
      <c r="SPD24" s="24"/>
      <c r="SPE24" s="5"/>
      <c r="SPL24" s="24"/>
      <c r="SPM24" s="5"/>
      <c r="SPT24" s="24"/>
      <c r="SPU24" s="5"/>
      <c r="SQB24" s="24"/>
      <c r="SQC24" s="5"/>
      <c r="SQJ24" s="24"/>
      <c r="SQK24" s="5"/>
      <c r="SQR24" s="24"/>
      <c r="SQS24" s="5"/>
      <c r="SQZ24" s="24"/>
      <c r="SRA24" s="5"/>
      <c r="SRH24" s="24"/>
      <c r="SRI24" s="5"/>
      <c r="SRP24" s="24"/>
      <c r="SRQ24" s="5"/>
      <c r="SRX24" s="24"/>
      <c r="SRY24" s="5"/>
      <c r="SSF24" s="24"/>
      <c r="SSG24" s="5"/>
      <c r="SSN24" s="24"/>
      <c r="SSO24" s="5"/>
      <c r="SSV24" s="24"/>
      <c r="SSW24" s="5"/>
      <c r="STD24" s="24"/>
      <c r="STE24" s="5"/>
      <c r="STL24" s="24"/>
      <c r="STM24" s="5"/>
      <c r="STT24" s="24"/>
      <c r="STU24" s="5"/>
      <c r="SUB24" s="24"/>
      <c r="SUC24" s="5"/>
      <c r="SUJ24" s="24"/>
      <c r="SUK24" s="5"/>
      <c r="SUR24" s="24"/>
      <c r="SUS24" s="5"/>
      <c r="SUZ24" s="24"/>
      <c r="SVA24" s="5"/>
      <c r="SVH24" s="24"/>
      <c r="SVI24" s="5"/>
      <c r="SVP24" s="24"/>
      <c r="SVQ24" s="5"/>
      <c r="SVX24" s="24"/>
      <c r="SVY24" s="5"/>
      <c r="SWF24" s="24"/>
      <c r="SWG24" s="5"/>
      <c r="SWN24" s="24"/>
      <c r="SWO24" s="5"/>
      <c r="SWV24" s="24"/>
      <c r="SWW24" s="5"/>
      <c r="SXD24" s="24"/>
      <c r="SXE24" s="5"/>
      <c r="SXL24" s="24"/>
      <c r="SXM24" s="5"/>
      <c r="SXT24" s="24"/>
      <c r="SXU24" s="5"/>
      <c r="SYB24" s="24"/>
      <c r="SYC24" s="5"/>
      <c r="SYJ24" s="24"/>
      <c r="SYK24" s="5"/>
      <c r="SYR24" s="24"/>
      <c r="SYS24" s="5"/>
      <c r="SYZ24" s="24"/>
      <c r="SZA24" s="5"/>
      <c r="SZH24" s="24"/>
      <c r="SZI24" s="5"/>
      <c r="SZP24" s="24"/>
      <c r="SZQ24" s="5"/>
      <c r="SZX24" s="24"/>
      <c r="SZY24" s="5"/>
      <c r="TAF24" s="24"/>
      <c r="TAG24" s="5"/>
      <c r="TAN24" s="24"/>
      <c r="TAO24" s="5"/>
      <c r="TAV24" s="24"/>
      <c r="TAW24" s="5"/>
      <c r="TBD24" s="24"/>
      <c r="TBE24" s="5"/>
      <c r="TBL24" s="24"/>
      <c r="TBM24" s="5"/>
      <c r="TBT24" s="24"/>
      <c r="TBU24" s="5"/>
      <c r="TCB24" s="24"/>
      <c r="TCC24" s="5"/>
      <c r="TCJ24" s="24"/>
      <c r="TCK24" s="5"/>
      <c r="TCR24" s="24"/>
      <c r="TCS24" s="5"/>
      <c r="TCZ24" s="24"/>
      <c r="TDA24" s="5"/>
      <c r="TDH24" s="24"/>
      <c r="TDI24" s="5"/>
      <c r="TDP24" s="24"/>
      <c r="TDQ24" s="5"/>
      <c r="TDX24" s="24"/>
      <c r="TDY24" s="5"/>
      <c r="TEF24" s="24"/>
      <c r="TEG24" s="5"/>
      <c r="TEN24" s="24"/>
      <c r="TEO24" s="5"/>
      <c r="TEV24" s="24"/>
      <c r="TEW24" s="5"/>
      <c r="TFD24" s="24"/>
      <c r="TFE24" s="5"/>
      <c r="TFL24" s="24"/>
      <c r="TFM24" s="5"/>
      <c r="TFT24" s="24"/>
      <c r="TFU24" s="5"/>
      <c r="TGB24" s="24"/>
      <c r="TGC24" s="5"/>
      <c r="TGJ24" s="24"/>
      <c r="TGK24" s="5"/>
      <c r="TGR24" s="24"/>
      <c r="TGS24" s="5"/>
      <c r="TGZ24" s="24"/>
      <c r="THA24" s="5"/>
      <c r="THH24" s="24"/>
      <c r="THI24" s="5"/>
      <c r="THP24" s="24"/>
      <c r="THQ24" s="5"/>
      <c r="THX24" s="24"/>
      <c r="THY24" s="5"/>
      <c r="TIF24" s="24"/>
      <c r="TIG24" s="5"/>
      <c r="TIN24" s="24"/>
      <c r="TIO24" s="5"/>
      <c r="TIV24" s="24"/>
      <c r="TIW24" s="5"/>
      <c r="TJD24" s="24"/>
      <c r="TJE24" s="5"/>
      <c r="TJL24" s="24"/>
      <c r="TJM24" s="5"/>
      <c r="TJT24" s="24"/>
      <c r="TJU24" s="5"/>
      <c r="TKB24" s="24"/>
      <c r="TKC24" s="5"/>
      <c r="TKJ24" s="24"/>
      <c r="TKK24" s="5"/>
      <c r="TKR24" s="24"/>
      <c r="TKS24" s="5"/>
      <c r="TKZ24" s="24"/>
      <c r="TLA24" s="5"/>
      <c r="TLH24" s="24"/>
      <c r="TLI24" s="5"/>
      <c r="TLP24" s="24"/>
      <c r="TLQ24" s="5"/>
      <c r="TLX24" s="24"/>
      <c r="TLY24" s="5"/>
      <c r="TMF24" s="24"/>
      <c r="TMG24" s="5"/>
      <c r="TMN24" s="24"/>
      <c r="TMO24" s="5"/>
      <c r="TMV24" s="24"/>
      <c r="TMW24" s="5"/>
      <c r="TND24" s="24"/>
      <c r="TNE24" s="5"/>
      <c r="TNL24" s="24"/>
      <c r="TNM24" s="5"/>
      <c r="TNT24" s="24"/>
      <c r="TNU24" s="5"/>
      <c r="TOB24" s="24"/>
      <c r="TOC24" s="5"/>
      <c r="TOJ24" s="24"/>
      <c r="TOK24" s="5"/>
      <c r="TOR24" s="24"/>
      <c r="TOS24" s="5"/>
      <c r="TOZ24" s="24"/>
      <c r="TPA24" s="5"/>
      <c r="TPH24" s="24"/>
      <c r="TPI24" s="5"/>
      <c r="TPP24" s="24"/>
      <c r="TPQ24" s="5"/>
      <c r="TPX24" s="24"/>
      <c r="TPY24" s="5"/>
      <c r="TQF24" s="24"/>
      <c r="TQG24" s="5"/>
      <c r="TQN24" s="24"/>
      <c r="TQO24" s="5"/>
      <c r="TQV24" s="24"/>
      <c r="TQW24" s="5"/>
      <c r="TRD24" s="24"/>
      <c r="TRE24" s="5"/>
      <c r="TRL24" s="24"/>
      <c r="TRM24" s="5"/>
      <c r="TRT24" s="24"/>
      <c r="TRU24" s="5"/>
      <c r="TSB24" s="24"/>
      <c r="TSC24" s="5"/>
      <c r="TSJ24" s="24"/>
      <c r="TSK24" s="5"/>
      <c r="TSR24" s="24"/>
      <c r="TSS24" s="5"/>
      <c r="TSZ24" s="24"/>
      <c r="TTA24" s="5"/>
      <c r="TTH24" s="24"/>
      <c r="TTI24" s="5"/>
      <c r="TTP24" s="24"/>
      <c r="TTQ24" s="5"/>
      <c r="TTX24" s="24"/>
      <c r="TTY24" s="5"/>
      <c r="TUF24" s="24"/>
      <c r="TUG24" s="5"/>
      <c r="TUN24" s="24"/>
      <c r="TUO24" s="5"/>
      <c r="TUV24" s="24"/>
      <c r="TUW24" s="5"/>
      <c r="TVD24" s="24"/>
      <c r="TVE24" s="5"/>
      <c r="TVL24" s="24"/>
      <c r="TVM24" s="5"/>
      <c r="TVT24" s="24"/>
      <c r="TVU24" s="5"/>
      <c r="TWB24" s="24"/>
      <c r="TWC24" s="5"/>
      <c r="TWJ24" s="24"/>
      <c r="TWK24" s="5"/>
      <c r="TWR24" s="24"/>
      <c r="TWS24" s="5"/>
      <c r="TWZ24" s="24"/>
      <c r="TXA24" s="5"/>
      <c r="TXH24" s="24"/>
      <c r="TXI24" s="5"/>
      <c r="TXP24" s="24"/>
      <c r="TXQ24" s="5"/>
      <c r="TXX24" s="24"/>
      <c r="TXY24" s="5"/>
      <c r="TYF24" s="24"/>
      <c r="TYG24" s="5"/>
      <c r="TYN24" s="24"/>
      <c r="TYO24" s="5"/>
      <c r="TYV24" s="24"/>
      <c r="TYW24" s="5"/>
      <c r="TZD24" s="24"/>
      <c r="TZE24" s="5"/>
      <c r="TZL24" s="24"/>
      <c r="TZM24" s="5"/>
      <c r="TZT24" s="24"/>
      <c r="TZU24" s="5"/>
      <c r="UAB24" s="24"/>
      <c r="UAC24" s="5"/>
      <c r="UAJ24" s="24"/>
      <c r="UAK24" s="5"/>
      <c r="UAR24" s="24"/>
      <c r="UAS24" s="5"/>
      <c r="UAZ24" s="24"/>
      <c r="UBA24" s="5"/>
      <c r="UBH24" s="24"/>
      <c r="UBI24" s="5"/>
      <c r="UBP24" s="24"/>
      <c r="UBQ24" s="5"/>
      <c r="UBX24" s="24"/>
      <c r="UBY24" s="5"/>
      <c r="UCF24" s="24"/>
      <c r="UCG24" s="5"/>
      <c r="UCN24" s="24"/>
      <c r="UCO24" s="5"/>
      <c r="UCV24" s="24"/>
      <c r="UCW24" s="5"/>
      <c r="UDD24" s="24"/>
      <c r="UDE24" s="5"/>
      <c r="UDL24" s="24"/>
      <c r="UDM24" s="5"/>
      <c r="UDT24" s="24"/>
      <c r="UDU24" s="5"/>
      <c r="UEB24" s="24"/>
      <c r="UEC24" s="5"/>
      <c r="UEJ24" s="24"/>
      <c r="UEK24" s="5"/>
      <c r="UER24" s="24"/>
      <c r="UES24" s="5"/>
      <c r="UEZ24" s="24"/>
      <c r="UFA24" s="5"/>
      <c r="UFH24" s="24"/>
      <c r="UFI24" s="5"/>
      <c r="UFP24" s="24"/>
      <c r="UFQ24" s="5"/>
      <c r="UFX24" s="24"/>
      <c r="UFY24" s="5"/>
      <c r="UGF24" s="24"/>
      <c r="UGG24" s="5"/>
      <c r="UGN24" s="24"/>
      <c r="UGO24" s="5"/>
      <c r="UGV24" s="24"/>
      <c r="UGW24" s="5"/>
      <c r="UHD24" s="24"/>
      <c r="UHE24" s="5"/>
      <c r="UHL24" s="24"/>
      <c r="UHM24" s="5"/>
      <c r="UHT24" s="24"/>
      <c r="UHU24" s="5"/>
      <c r="UIB24" s="24"/>
      <c r="UIC24" s="5"/>
      <c r="UIJ24" s="24"/>
      <c r="UIK24" s="5"/>
      <c r="UIR24" s="24"/>
      <c r="UIS24" s="5"/>
      <c r="UIZ24" s="24"/>
      <c r="UJA24" s="5"/>
      <c r="UJH24" s="24"/>
      <c r="UJI24" s="5"/>
      <c r="UJP24" s="24"/>
      <c r="UJQ24" s="5"/>
      <c r="UJX24" s="24"/>
      <c r="UJY24" s="5"/>
      <c r="UKF24" s="24"/>
      <c r="UKG24" s="5"/>
      <c r="UKN24" s="24"/>
      <c r="UKO24" s="5"/>
      <c r="UKV24" s="24"/>
      <c r="UKW24" s="5"/>
      <c r="ULD24" s="24"/>
      <c r="ULE24" s="5"/>
      <c r="ULL24" s="24"/>
      <c r="ULM24" s="5"/>
      <c r="ULT24" s="24"/>
      <c r="ULU24" s="5"/>
      <c r="UMB24" s="24"/>
      <c r="UMC24" s="5"/>
      <c r="UMJ24" s="24"/>
      <c r="UMK24" s="5"/>
      <c r="UMR24" s="24"/>
      <c r="UMS24" s="5"/>
      <c r="UMZ24" s="24"/>
      <c r="UNA24" s="5"/>
      <c r="UNH24" s="24"/>
      <c r="UNI24" s="5"/>
      <c r="UNP24" s="24"/>
      <c r="UNQ24" s="5"/>
      <c r="UNX24" s="24"/>
      <c r="UNY24" s="5"/>
      <c r="UOF24" s="24"/>
      <c r="UOG24" s="5"/>
      <c r="UON24" s="24"/>
      <c r="UOO24" s="5"/>
      <c r="UOV24" s="24"/>
      <c r="UOW24" s="5"/>
      <c r="UPD24" s="24"/>
      <c r="UPE24" s="5"/>
      <c r="UPL24" s="24"/>
      <c r="UPM24" s="5"/>
      <c r="UPT24" s="24"/>
      <c r="UPU24" s="5"/>
      <c r="UQB24" s="24"/>
      <c r="UQC24" s="5"/>
      <c r="UQJ24" s="24"/>
      <c r="UQK24" s="5"/>
      <c r="UQR24" s="24"/>
      <c r="UQS24" s="5"/>
      <c r="UQZ24" s="24"/>
      <c r="URA24" s="5"/>
      <c r="URH24" s="24"/>
      <c r="URI24" s="5"/>
      <c r="URP24" s="24"/>
      <c r="URQ24" s="5"/>
      <c r="URX24" s="24"/>
      <c r="URY24" s="5"/>
      <c r="USF24" s="24"/>
      <c r="USG24" s="5"/>
      <c r="USN24" s="24"/>
      <c r="USO24" s="5"/>
      <c r="USV24" s="24"/>
      <c r="USW24" s="5"/>
      <c r="UTD24" s="24"/>
      <c r="UTE24" s="5"/>
      <c r="UTL24" s="24"/>
      <c r="UTM24" s="5"/>
      <c r="UTT24" s="24"/>
      <c r="UTU24" s="5"/>
      <c r="UUB24" s="24"/>
      <c r="UUC24" s="5"/>
      <c r="UUJ24" s="24"/>
      <c r="UUK24" s="5"/>
      <c r="UUR24" s="24"/>
      <c r="UUS24" s="5"/>
      <c r="UUZ24" s="24"/>
      <c r="UVA24" s="5"/>
      <c r="UVH24" s="24"/>
      <c r="UVI24" s="5"/>
      <c r="UVP24" s="24"/>
      <c r="UVQ24" s="5"/>
      <c r="UVX24" s="24"/>
      <c r="UVY24" s="5"/>
      <c r="UWF24" s="24"/>
      <c r="UWG24" s="5"/>
      <c r="UWN24" s="24"/>
      <c r="UWO24" s="5"/>
      <c r="UWV24" s="24"/>
      <c r="UWW24" s="5"/>
      <c r="UXD24" s="24"/>
      <c r="UXE24" s="5"/>
      <c r="UXL24" s="24"/>
      <c r="UXM24" s="5"/>
      <c r="UXT24" s="24"/>
      <c r="UXU24" s="5"/>
      <c r="UYB24" s="24"/>
      <c r="UYC24" s="5"/>
      <c r="UYJ24" s="24"/>
      <c r="UYK24" s="5"/>
      <c r="UYR24" s="24"/>
      <c r="UYS24" s="5"/>
      <c r="UYZ24" s="24"/>
      <c r="UZA24" s="5"/>
      <c r="UZH24" s="24"/>
      <c r="UZI24" s="5"/>
      <c r="UZP24" s="24"/>
      <c r="UZQ24" s="5"/>
      <c r="UZX24" s="24"/>
      <c r="UZY24" s="5"/>
      <c r="VAF24" s="24"/>
      <c r="VAG24" s="5"/>
      <c r="VAN24" s="24"/>
      <c r="VAO24" s="5"/>
      <c r="VAV24" s="24"/>
      <c r="VAW24" s="5"/>
      <c r="VBD24" s="24"/>
      <c r="VBE24" s="5"/>
      <c r="VBL24" s="24"/>
      <c r="VBM24" s="5"/>
      <c r="VBT24" s="24"/>
      <c r="VBU24" s="5"/>
      <c r="VCB24" s="24"/>
      <c r="VCC24" s="5"/>
      <c r="VCJ24" s="24"/>
      <c r="VCK24" s="5"/>
      <c r="VCR24" s="24"/>
      <c r="VCS24" s="5"/>
      <c r="VCZ24" s="24"/>
      <c r="VDA24" s="5"/>
      <c r="VDH24" s="24"/>
      <c r="VDI24" s="5"/>
      <c r="VDP24" s="24"/>
      <c r="VDQ24" s="5"/>
      <c r="VDX24" s="24"/>
      <c r="VDY24" s="5"/>
      <c r="VEF24" s="24"/>
      <c r="VEG24" s="5"/>
      <c r="VEN24" s="24"/>
      <c r="VEO24" s="5"/>
      <c r="VEV24" s="24"/>
      <c r="VEW24" s="5"/>
      <c r="VFD24" s="24"/>
      <c r="VFE24" s="5"/>
      <c r="VFL24" s="24"/>
      <c r="VFM24" s="5"/>
      <c r="VFT24" s="24"/>
      <c r="VFU24" s="5"/>
      <c r="VGB24" s="24"/>
      <c r="VGC24" s="5"/>
      <c r="VGJ24" s="24"/>
      <c r="VGK24" s="5"/>
      <c r="VGR24" s="24"/>
      <c r="VGS24" s="5"/>
      <c r="VGZ24" s="24"/>
      <c r="VHA24" s="5"/>
      <c r="VHH24" s="24"/>
      <c r="VHI24" s="5"/>
      <c r="VHP24" s="24"/>
      <c r="VHQ24" s="5"/>
      <c r="VHX24" s="24"/>
      <c r="VHY24" s="5"/>
      <c r="VIF24" s="24"/>
      <c r="VIG24" s="5"/>
      <c r="VIN24" s="24"/>
      <c r="VIO24" s="5"/>
      <c r="VIV24" s="24"/>
      <c r="VIW24" s="5"/>
      <c r="VJD24" s="24"/>
      <c r="VJE24" s="5"/>
      <c r="VJL24" s="24"/>
      <c r="VJM24" s="5"/>
      <c r="VJT24" s="24"/>
      <c r="VJU24" s="5"/>
      <c r="VKB24" s="24"/>
      <c r="VKC24" s="5"/>
      <c r="VKJ24" s="24"/>
      <c r="VKK24" s="5"/>
      <c r="VKR24" s="24"/>
      <c r="VKS24" s="5"/>
      <c r="VKZ24" s="24"/>
      <c r="VLA24" s="5"/>
      <c r="VLH24" s="24"/>
      <c r="VLI24" s="5"/>
      <c r="VLP24" s="24"/>
      <c r="VLQ24" s="5"/>
      <c r="VLX24" s="24"/>
      <c r="VLY24" s="5"/>
      <c r="VMF24" s="24"/>
      <c r="VMG24" s="5"/>
      <c r="VMN24" s="24"/>
      <c r="VMO24" s="5"/>
      <c r="VMV24" s="24"/>
      <c r="VMW24" s="5"/>
      <c r="VND24" s="24"/>
      <c r="VNE24" s="5"/>
      <c r="VNL24" s="24"/>
      <c r="VNM24" s="5"/>
      <c r="VNT24" s="24"/>
      <c r="VNU24" s="5"/>
      <c r="VOB24" s="24"/>
      <c r="VOC24" s="5"/>
      <c r="VOJ24" s="24"/>
      <c r="VOK24" s="5"/>
      <c r="VOR24" s="24"/>
      <c r="VOS24" s="5"/>
      <c r="VOZ24" s="24"/>
      <c r="VPA24" s="5"/>
      <c r="VPH24" s="24"/>
      <c r="VPI24" s="5"/>
      <c r="VPP24" s="24"/>
      <c r="VPQ24" s="5"/>
      <c r="VPX24" s="24"/>
      <c r="VPY24" s="5"/>
      <c r="VQF24" s="24"/>
      <c r="VQG24" s="5"/>
      <c r="VQN24" s="24"/>
      <c r="VQO24" s="5"/>
      <c r="VQV24" s="24"/>
      <c r="VQW24" s="5"/>
      <c r="VRD24" s="24"/>
      <c r="VRE24" s="5"/>
      <c r="VRL24" s="24"/>
      <c r="VRM24" s="5"/>
      <c r="VRT24" s="24"/>
      <c r="VRU24" s="5"/>
      <c r="VSB24" s="24"/>
      <c r="VSC24" s="5"/>
      <c r="VSJ24" s="24"/>
      <c r="VSK24" s="5"/>
      <c r="VSR24" s="24"/>
      <c r="VSS24" s="5"/>
      <c r="VSZ24" s="24"/>
      <c r="VTA24" s="5"/>
      <c r="VTH24" s="24"/>
      <c r="VTI24" s="5"/>
      <c r="VTP24" s="24"/>
      <c r="VTQ24" s="5"/>
      <c r="VTX24" s="24"/>
      <c r="VTY24" s="5"/>
      <c r="VUF24" s="24"/>
      <c r="VUG24" s="5"/>
      <c r="VUN24" s="24"/>
      <c r="VUO24" s="5"/>
      <c r="VUV24" s="24"/>
      <c r="VUW24" s="5"/>
      <c r="VVD24" s="24"/>
      <c r="VVE24" s="5"/>
      <c r="VVL24" s="24"/>
      <c r="VVM24" s="5"/>
      <c r="VVT24" s="24"/>
      <c r="VVU24" s="5"/>
      <c r="VWB24" s="24"/>
      <c r="VWC24" s="5"/>
      <c r="VWJ24" s="24"/>
      <c r="VWK24" s="5"/>
      <c r="VWR24" s="24"/>
      <c r="VWS24" s="5"/>
      <c r="VWZ24" s="24"/>
      <c r="VXA24" s="5"/>
      <c r="VXH24" s="24"/>
      <c r="VXI24" s="5"/>
      <c r="VXP24" s="24"/>
      <c r="VXQ24" s="5"/>
      <c r="VXX24" s="24"/>
      <c r="VXY24" s="5"/>
      <c r="VYF24" s="24"/>
      <c r="VYG24" s="5"/>
      <c r="VYN24" s="24"/>
      <c r="VYO24" s="5"/>
      <c r="VYV24" s="24"/>
      <c r="VYW24" s="5"/>
      <c r="VZD24" s="24"/>
      <c r="VZE24" s="5"/>
      <c r="VZL24" s="24"/>
      <c r="VZM24" s="5"/>
      <c r="VZT24" s="24"/>
      <c r="VZU24" s="5"/>
      <c r="WAB24" s="24"/>
      <c r="WAC24" s="5"/>
      <c r="WAJ24" s="24"/>
      <c r="WAK24" s="5"/>
      <c r="WAR24" s="24"/>
      <c r="WAS24" s="5"/>
      <c r="WAZ24" s="24"/>
      <c r="WBA24" s="5"/>
      <c r="WBH24" s="24"/>
      <c r="WBI24" s="5"/>
      <c r="WBP24" s="24"/>
      <c r="WBQ24" s="5"/>
      <c r="WBX24" s="24"/>
      <c r="WBY24" s="5"/>
      <c r="WCF24" s="24"/>
      <c r="WCG24" s="5"/>
      <c r="WCN24" s="24"/>
      <c r="WCO24" s="5"/>
      <c r="WCV24" s="24"/>
      <c r="WCW24" s="5"/>
      <c r="WDD24" s="24"/>
      <c r="WDE24" s="5"/>
      <c r="WDL24" s="24"/>
      <c r="WDM24" s="5"/>
      <c r="WDT24" s="24"/>
      <c r="WDU24" s="5"/>
      <c r="WEB24" s="24"/>
      <c r="WEC24" s="5"/>
      <c r="WEJ24" s="24"/>
      <c r="WEK24" s="5"/>
      <c r="WER24" s="24"/>
      <c r="WES24" s="5"/>
      <c r="WEZ24" s="24"/>
      <c r="WFA24" s="5"/>
      <c r="WFH24" s="24"/>
      <c r="WFI24" s="5"/>
      <c r="WFP24" s="24"/>
      <c r="WFQ24" s="5"/>
      <c r="WFX24" s="24"/>
      <c r="WFY24" s="5"/>
      <c r="WGF24" s="24"/>
      <c r="WGG24" s="5"/>
      <c r="WGN24" s="24"/>
      <c r="WGO24" s="5"/>
      <c r="WGV24" s="24"/>
      <c r="WGW24" s="5"/>
      <c r="WHD24" s="24"/>
      <c r="WHE24" s="5"/>
      <c r="WHL24" s="24"/>
      <c r="WHM24" s="5"/>
      <c r="WHT24" s="24"/>
      <c r="WHU24" s="5"/>
      <c r="WIB24" s="24"/>
      <c r="WIC24" s="5"/>
      <c r="WIJ24" s="24"/>
      <c r="WIK24" s="5"/>
      <c r="WIR24" s="24"/>
      <c r="WIS24" s="5"/>
      <c r="WIZ24" s="24"/>
      <c r="WJA24" s="5"/>
      <c r="WJH24" s="24"/>
      <c r="WJI24" s="5"/>
      <c r="WJP24" s="24"/>
      <c r="WJQ24" s="5"/>
      <c r="WJX24" s="24"/>
      <c r="WJY24" s="5"/>
      <c r="WKF24" s="24"/>
      <c r="WKG24" s="5"/>
      <c r="WKN24" s="24"/>
      <c r="WKO24" s="5"/>
      <c r="WKV24" s="24"/>
      <c r="WKW24" s="5"/>
      <c r="WLD24" s="24"/>
      <c r="WLE24" s="5"/>
      <c r="WLL24" s="24"/>
      <c r="WLM24" s="5"/>
      <c r="WLT24" s="24"/>
      <c r="WLU24" s="5"/>
      <c r="WMB24" s="24"/>
      <c r="WMC24" s="5"/>
      <c r="WMJ24" s="24"/>
      <c r="WMK24" s="5"/>
      <c r="WMR24" s="24"/>
      <c r="WMS24" s="5"/>
      <c r="WMZ24" s="24"/>
      <c r="WNA24" s="5"/>
      <c r="WNH24" s="24"/>
      <c r="WNI24" s="5"/>
      <c r="WNP24" s="24"/>
      <c r="WNQ24" s="5"/>
      <c r="WNX24" s="24"/>
      <c r="WNY24" s="5"/>
      <c r="WOF24" s="24"/>
      <c r="WOG24" s="5"/>
      <c r="WON24" s="24"/>
      <c r="WOO24" s="5"/>
      <c r="WOV24" s="24"/>
      <c r="WOW24" s="5"/>
      <c r="WPD24" s="24"/>
      <c r="WPE24" s="5"/>
      <c r="WPL24" s="24"/>
      <c r="WPM24" s="5"/>
      <c r="WPT24" s="24"/>
      <c r="WPU24" s="5"/>
      <c r="WQB24" s="24"/>
      <c r="WQC24" s="5"/>
      <c r="WQJ24" s="24"/>
      <c r="WQK24" s="5"/>
      <c r="WQR24" s="24"/>
      <c r="WQS24" s="5"/>
      <c r="WQZ24" s="24"/>
      <c r="WRA24" s="5"/>
      <c r="WRH24" s="24"/>
      <c r="WRI24" s="5"/>
      <c r="WRP24" s="24"/>
      <c r="WRQ24" s="5"/>
      <c r="WRX24" s="24"/>
      <c r="WRY24" s="5"/>
      <c r="WSF24" s="24"/>
      <c r="WSG24" s="5"/>
      <c r="WSN24" s="24"/>
      <c r="WSO24" s="5"/>
      <c r="WSV24" s="24"/>
      <c r="WSW24" s="5"/>
      <c r="WTD24" s="24"/>
      <c r="WTE24" s="5"/>
      <c r="WTL24" s="24"/>
      <c r="WTM24" s="5"/>
      <c r="WTT24" s="24"/>
      <c r="WTU24" s="5"/>
      <c r="WUB24" s="24"/>
      <c r="WUC24" s="5"/>
      <c r="WUJ24" s="24"/>
      <c r="WUK24" s="5"/>
      <c r="WUR24" s="24"/>
      <c r="WUS24" s="5"/>
      <c r="WUZ24" s="24"/>
      <c r="WVA24" s="5"/>
      <c r="WVH24" s="24"/>
      <c r="WVI24" s="5"/>
      <c r="WVP24" s="24"/>
      <c r="WVQ24" s="5"/>
      <c r="WVX24" s="24"/>
      <c r="WVY24" s="5"/>
      <c r="WWF24" s="24"/>
      <c r="WWG24" s="5"/>
      <c r="WWN24" s="24"/>
      <c r="WWO24" s="5"/>
      <c r="WWV24" s="24"/>
      <c r="WWW24" s="5"/>
      <c r="WXD24" s="24"/>
      <c r="WXE24" s="5"/>
      <c r="WXL24" s="24"/>
      <c r="WXM24" s="5"/>
      <c r="WXT24" s="24"/>
      <c r="WXU24" s="5"/>
      <c r="WYB24" s="24"/>
      <c r="WYC24" s="5"/>
      <c r="WYJ24" s="24"/>
      <c r="WYK24" s="5"/>
      <c r="WYR24" s="24"/>
      <c r="WYS24" s="5"/>
      <c r="WYZ24" s="24"/>
      <c r="WZA24" s="5"/>
      <c r="WZH24" s="24"/>
      <c r="WZI24" s="5"/>
      <c r="WZP24" s="24"/>
      <c r="WZQ24" s="5"/>
      <c r="WZX24" s="24"/>
      <c r="WZY24" s="5"/>
      <c r="XAF24" s="24"/>
      <c r="XAG24" s="5"/>
      <c r="XAN24" s="24"/>
      <c r="XAO24" s="5"/>
      <c r="XAV24" s="24"/>
      <c r="XAW24" s="5"/>
      <c r="XBD24" s="24"/>
      <c r="XBE24" s="5"/>
      <c r="XBL24" s="24"/>
      <c r="XBM24" s="5"/>
      <c r="XBT24" s="24"/>
      <c r="XBU24" s="5"/>
      <c r="XCB24" s="24"/>
      <c r="XCC24" s="5"/>
      <c r="XCJ24" s="24"/>
      <c r="XCK24" s="5"/>
      <c r="XCR24" s="24"/>
      <c r="XCS24" s="5"/>
      <c r="XCZ24" s="24"/>
      <c r="XDA24" s="5"/>
      <c r="XDH24" s="24"/>
      <c r="XDI24" s="5"/>
      <c r="XDP24" s="24"/>
      <c r="XDQ24" s="5"/>
      <c r="XDX24" s="24"/>
      <c r="XDY24" s="5"/>
      <c r="XEF24" s="24"/>
      <c r="XEG24" s="5"/>
      <c r="XEN24" s="24"/>
      <c r="XEO24" s="5"/>
      <c r="XEV24" s="24"/>
      <c r="XEW24" s="5"/>
      <c r="XFD24" s="24"/>
    </row>
    <row r="25" spans="1:16384" x14ac:dyDescent="0.25">
      <c r="A25" s="193" t="s">
        <v>110</v>
      </c>
      <c r="B25" s="193"/>
      <c r="C25" s="193"/>
      <c r="D25" s="193"/>
      <c r="E25" s="193"/>
      <c r="F25" s="193"/>
      <c r="G25" s="193"/>
      <c r="H25" s="193"/>
    </row>
    <row r="26" spans="1:16384" x14ac:dyDescent="0.25">
      <c r="A26" s="97" t="s">
        <v>111</v>
      </c>
      <c r="B26" s="97" t="s">
        <v>230</v>
      </c>
      <c r="C26" s="98"/>
      <c r="D26" s="97"/>
      <c r="E26" s="97"/>
      <c r="F26" s="97"/>
      <c r="G26" s="97"/>
      <c r="H26" s="94">
        <v>55534.8</v>
      </c>
    </row>
    <row r="27" spans="1:16384" x14ac:dyDescent="0.25">
      <c r="A27" s="97" t="s">
        <v>112</v>
      </c>
      <c r="B27" s="97" t="str">
        <f>B26</f>
        <v>DEBITO AUTOMATICO 12/02</v>
      </c>
      <c r="C27" s="97"/>
      <c r="D27" s="97"/>
      <c r="E27" s="97"/>
      <c r="F27" s="97"/>
      <c r="G27" s="173"/>
      <c r="H27" s="94">
        <v>88864.93</v>
      </c>
    </row>
    <row r="28" spans="1:16384" x14ac:dyDescent="0.25">
      <c r="A28" s="97" t="s">
        <v>113</v>
      </c>
      <c r="B28" s="97" t="str">
        <f>B26</f>
        <v>DEBITO AUTOMATICO 12/02</v>
      </c>
      <c r="C28" s="97"/>
      <c r="D28" s="97"/>
      <c r="E28" s="97"/>
      <c r="F28" s="97"/>
      <c r="G28" s="97"/>
      <c r="H28" s="94">
        <v>6170.53</v>
      </c>
    </row>
    <row r="29" spans="1:16384" customFormat="1" x14ac:dyDescent="0.25">
      <c r="A29" s="97" t="s">
        <v>222</v>
      </c>
      <c r="B29" s="97"/>
      <c r="C29" s="122"/>
      <c r="D29" s="97"/>
      <c r="E29" s="97"/>
      <c r="F29" s="97"/>
      <c r="G29" s="97"/>
      <c r="H29" s="94">
        <v>570912.72</v>
      </c>
    </row>
    <row r="30" spans="1:16384" x14ac:dyDescent="0.25">
      <c r="A30" s="97" t="s">
        <v>108</v>
      </c>
      <c r="B30" s="97"/>
      <c r="C30" s="97"/>
      <c r="D30" s="97"/>
      <c r="E30" s="97"/>
      <c r="F30" s="97"/>
      <c r="G30" s="97"/>
      <c r="H30" s="96">
        <f>SUM(H26:H29)</f>
        <v>721482.98</v>
      </c>
    </row>
    <row r="31" spans="1:16384" x14ac:dyDescent="0.25">
      <c r="A31" s="193" t="s">
        <v>115</v>
      </c>
      <c r="B31" s="193"/>
      <c r="C31" s="193"/>
      <c r="D31" s="193"/>
      <c r="E31" s="193"/>
      <c r="F31" s="193"/>
      <c r="G31" s="193"/>
      <c r="H31" s="193"/>
    </row>
    <row r="32" spans="1:16384" x14ac:dyDescent="0.25">
      <c r="A32" s="97" t="s">
        <v>116</v>
      </c>
      <c r="B32" s="122" t="s">
        <v>231</v>
      </c>
      <c r="C32" s="97"/>
      <c r="D32" s="97"/>
      <c r="E32" s="97"/>
      <c r="F32" s="97"/>
      <c r="G32" s="97"/>
      <c r="H32" s="94">
        <v>237492.97</v>
      </c>
    </row>
    <row r="33" spans="1:11" hidden="1" x14ac:dyDescent="0.25">
      <c r="A33" s="97"/>
      <c r="B33" s="122"/>
      <c r="C33" s="97"/>
      <c r="D33" s="97"/>
      <c r="E33" s="122"/>
      <c r="F33" s="97"/>
      <c r="G33" s="97"/>
      <c r="H33" s="94"/>
    </row>
    <row r="34" spans="1:11" x14ac:dyDescent="0.25">
      <c r="A34" s="97" t="s">
        <v>118</v>
      </c>
      <c r="B34" s="122" t="s">
        <v>229</v>
      </c>
      <c r="C34" s="97"/>
      <c r="D34" s="97"/>
      <c r="E34" s="97"/>
      <c r="F34" s="97"/>
      <c r="G34" s="97"/>
      <c r="H34" s="94">
        <v>657111.52</v>
      </c>
    </row>
    <row r="35" spans="1:11" x14ac:dyDescent="0.25">
      <c r="A35" s="97" t="s">
        <v>108</v>
      </c>
      <c r="B35" s="97"/>
      <c r="C35" s="97"/>
      <c r="D35" s="97"/>
      <c r="E35" s="97"/>
      <c r="F35" s="97"/>
      <c r="G35" s="97"/>
      <c r="H35" s="96">
        <f>SUM(H32:H34)</f>
        <v>894604.49</v>
      </c>
    </row>
    <row r="36" spans="1:11" x14ac:dyDescent="0.25">
      <c r="A36" s="193" t="s">
        <v>127</v>
      </c>
      <c r="B36" s="193"/>
      <c r="C36" s="193"/>
      <c r="D36" s="193"/>
      <c r="E36" s="193"/>
      <c r="F36" s="193"/>
      <c r="G36" s="193"/>
      <c r="H36" s="193"/>
    </row>
    <row r="37" spans="1:11" x14ac:dyDescent="0.25">
      <c r="A37" s="98"/>
      <c r="B37" s="123" t="s">
        <v>227</v>
      </c>
      <c r="C37" s="98"/>
      <c r="D37" s="124" t="s">
        <v>157</v>
      </c>
      <c r="E37" s="98"/>
      <c r="F37" s="98"/>
      <c r="G37" s="98"/>
      <c r="H37" s="94">
        <v>52033</v>
      </c>
    </row>
    <row r="38" spans="1:11" x14ac:dyDescent="0.25">
      <c r="A38" s="98" t="s">
        <v>114</v>
      </c>
      <c r="B38" s="123" t="s">
        <v>227</v>
      </c>
      <c r="C38" s="98"/>
      <c r="D38" s="98" t="s">
        <v>125</v>
      </c>
      <c r="E38" s="98"/>
      <c r="F38" s="98"/>
      <c r="G38" s="98"/>
      <c r="H38" s="94">
        <v>10989</v>
      </c>
    </row>
    <row r="39" spans="1:11" x14ac:dyDescent="0.25">
      <c r="A39" s="98" t="s">
        <v>108</v>
      </c>
      <c r="B39" s="98"/>
      <c r="C39" s="98"/>
      <c r="D39" s="98"/>
      <c r="E39" s="98"/>
      <c r="F39" s="98"/>
      <c r="G39" s="98"/>
      <c r="H39" s="96">
        <f>SUM(H37:H38)</f>
        <v>63022</v>
      </c>
    </row>
    <row r="40" spans="1:11" x14ac:dyDescent="0.25">
      <c r="A40" s="193" t="s">
        <v>128</v>
      </c>
      <c r="B40" s="193"/>
      <c r="C40" s="193"/>
      <c r="D40" s="193"/>
      <c r="E40" s="193"/>
      <c r="F40" s="193"/>
      <c r="G40" s="193"/>
      <c r="H40" s="193"/>
    </row>
    <row r="41" spans="1:11" ht="17.25" customHeight="1" x14ac:dyDescent="0.25">
      <c r="A41" s="212" t="s">
        <v>191</v>
      </c>
      <c r="B41" s="213"/>
      <c r="C41" s="213"/>
      <c r="D41" s="213"/>
      <c r="E41" s="213"/>
      <c r="F41" s="213"/>
      <c r="G41" s="214"/>
      <c r="H41" s="94">
        <v>25000</v>
      </c>
    </row>
    <row r="42" spans="1:11" x14ac:dyDescent="0.25">
      <c r="A42" s="98" t="s">
        <v>126</v>
      </c>
      <c r="B42" s="98"/>
      <c r="C42" s="98"/>
      <c r="D42" s="98"/>
      <c r="E42" s="98"/>
      <c r="F42" s="98"/>
      <c r="G42" s="98"/>
      <c r="H42" s="94">
        <v>186046.79</v>
      </c>
      <c r="K42" t="s">
        <v>224</v>
      </c>
    </row>
    <row r="43" spans="1:11" x14ac:dyDescent="0.25">
      <c r="A43" s="98"/>
      <c r="B43" s="98"/>
      <c r="C43" s="98"/>
      <c r="D43" s="98"/>
      <c r="E43" s="98"/>
      <c r="F43" s="98"/>
      <c r="G43" s="98"/>
      <c r="H43" s="95"/>
    </row>
    <row r="44" spans="1:11" x14ac:dyDescent="0.25">
      <c r="A44" s="98" t="s">
        <v>108</v>
      </c>
      <c r="B44" s="98"/>
      <c r="C44" s="98"/>
      <c r="D44" s="98"/>
      <c r="E44" s="98"/>
      <c r="F44" s="98"/>
      <c r="G44" s="98"/>
      <c r="H44" s="96">
        <f>SUM(H41:H43)</f>
        <v>211046.79</v>
      </c>
    </row>
    <row r="45" spans="1:11" ht="12.75" customHeight="1" x14ac:dyDescent="0.25">
      <c r="A45" s="193" t="s">
        <v>129</v>
      </c>
      <c r="B45" s="193"/>
      <c r="C45" s="193"/>
      <c r="D45" s="193"/>
      <c r="E45" s="193"/>
      <c r="F45" s="193"/>
      <c r="G45" s="193"/>
      <c r="H45" s="193"/>
    </row>
    <row r="46" spans="1:11" ht="18" customHeight="1" x14ac:dyDescent="0.25">
      <c r="A46" s="215" t="s">
        <v>226</v>
      </c>
      <c r="B46" s="216"/>
      <c r="C46" s="216"/>
      <c r="D46" s="216"/>
      <c r="E46" s="216"/>
      <c r="F46" s="216"/>
      <c r="G46" s="217"/>
      <c r="H46" s="94">
        <v>69822.42</v>
      </c>
    </row>
    <row r="47" spans="1:11" x14ac:dyDescent="0.25">
      <c r="A47" s="98" t="s">
        <v>210</v>
      </c>
      <c r="B47" s="98"/>
      <c r="C47" s="98"/>
      <c r="D47" s="98"/>
      <c r="E47" s="123"/>
      <c r="F47" s="98"/>
      <c r="G47" s="98"/>
      <c r="H47" s="94">
        <v>90000</v>
      </c>
    </row>
    <row r="48" spans="1:11" x14ac:dyDescent="0.25">
      <c r="A48" s="98" t="s">
        <v>234</v>
      </c>
      <c r="B48" s="98"/>
      <c r="C48" s="98"/>
      <c r="D48" s="98"/>
      <c r="E48" s="123"/>
      <c r="F48" s="98"/>
      <c r="G48" s="98"/>
      <c r="H48" s="94">
        <v>81000</v>
      </c>
    </row>
    <row r="49" spans="1:9" x14ac:dyDescent="0.25">
      <c r="A49" s="98" t="s">
        <v>235</v>
      </c>
      <c r="B49" s="98"/>
      <c r="C49" s="98"/>
      <c r="D49" s="98"/>
      <c r="E49" s="123"/>
      <c r="F49" s="98"/>
      <c r="G49" s="123"/>
      <c r="H49" s="94">
        <v>150000</v>
      </c>
      <c r="I49" s="150"/>
    </row>
    <row r="50" spans="1:9" x14ac:dyDescent="0.25">
      <c r="A50" s="98" t="s">
        <v>208</v>
      </c>
      <c r="B50" s="98"/>
      <c r="C50" s="98"/>
      <c r="D50" s="98" t="s">
        <v>218</v>
      </c>
      <c r="E50" s="123"/>
      <c r="F50" s="98"/>
      <c r="G50" s="98"/>
      <c r="H50" s="94">
        <v>123300</v>
      </c>
      <c r="I50" s="150"/>
    </row>
    <row r="51" spans="1:9" ht="16.5" customHeight="1" x14ac:dyDescent="0.25">
      <c r="A51" s="98" t="s">
        <v>223</v>
      </c>
      <c r="B51" s="98"/>
      <c r="C51" s="98"/>
      <c r="D51" s="98"/>
      <c r="E51" s="123"/>
      <c r="F51" s="98"/>
      <c r="G51" s="98"/>
      <c r="H51" s="94">
        <v>80000</v>
      </c>
    </row>
    <row r="52" spans="1:9" ht="18.75" customHeight="1" x14ac:dyDescent="0.25">
      <c r="A52" s="98"/>
      <c r="B52" s="98"/>
      <c r="C52" s="98"/>
      <c r="D52" s="98"/>
      <c r="E52" s="123"/>
      <c r="F52" s="98"/>
      <c r="G52" s="98"/>
      <c r="H52" s="94"/>
    </row>
    <row r="53" spans="1:9" ht="15.75" customHeight="1" x14ac:dyDescent="0.25">
      <c r="A53" s="192" t="s">
        <v>108</v>
      </c>
      <c r="B53" s="192"/>
      <c r="C53" s="192"/>
      <c r="D53" s="192"/>
      <c r="E53" s="192"/>
      <c r="F53" s="192"/>
      <c r="G53" s="192"/>
      <c r="H53" s="99">
        <f>SUM(H46:H52)</f>
        <v>594122.41999999993</v>
      </c>
    </row>
    <row r="54" spans="1:9" ht="15.75" customHeight="1" x14ac:dyDescent="0.25">
      <c r="A54" s="193" t="s">
        <v>143</v>
      </c>
      <c r="B54" s="193"/>
      <c r="C54" s="193"/>
      <c r="D54" s="193"/>
      <c r="E54" s="193"/>
      <c r="F54" s="193"/>
      <c r="G54" s="193"/>
      <c r="H54" s="193"/>
    </row>
    <row r="55" spans="1:9" ht="15.75" customHeight="1" x14ac:dyDescent="0.25">
      <c r="A55" s="97"/>
      <c r="B55" s="97"/>
      <c r="C55" s="97"/>
      <c r="D55" s="98"/>
      <c r="E55" s="97"/>
      <c r="F55" s="97"/>
      <c r="G55" s="97"/>
      <c r="H55" s="94"/>
    </row>
    <row r="56" spans="1:9" ht="15.75" customHeight="1" x14ac:dyDescent="0.25">
      <c r="A56" s="98"/>
      <c r="B56" s="98"/>
      <c r="C56" s="98"/>
      <c r="D56" s="98"/>
      <c r="E56" s="98"/>
      <c r="F56" s="98"/>
      <c r="G56" s="98"/>
      <c r="H56" s="94"/>
    </row>
    <row r="57" spans="1:9" ht="15.75" customHeight="1" x14ac:dyDescent="0.25">
      <c r="A57" s="98"/>
      <c r="B57" s="98"/>
      <c r="C57" s="98"/>
      <c r="D57" s="98"/>
      <c r="E57" s="98"/>
      <c r="F57" s="98"/>
      <c r="G57" s="98"/>
      <c r="H57" s="95">
        <v>0</v>
      </c>
    </row>
    <row r="58" spans="1:9" ht="15.75" customHeight="1" x14ac:dyDescent="0.25">
      <c r="A58" s="192" t="s">
        <v>108</v>
      </c>
      <c r="B58" s="192"/>
      <c r="C58" s="192"/>
      <c r="D58" s="192"/>
      <c r="E58" s="192"/>
      <c r="F58" s="192"/>
      <c r="G58" s="192"/>
      <c r="H58" s="99">
        <f>SUM(H55:H57)</f>
        <v>0</v>
      </c>
    </row>
    <row r="59" spans="1:9" x14ac:dyDescent="0.25">
      <c r="A59" s="193" t="s">
        <v>132</v>
      </c>
      <c r="B59" s="193"/>
      <c r="C59" s="193"/>
      <c r="D59" s="193"/>
      <c r="E59" s="193"/>
      <c r="F59" s="193"/>
      <c r="G59" s="193"/>
      <c r="H59" s="193"/>
    </row>
    <row r="60" spans="1:9" ht="20.25" customHeight="1" x14ac:dyDescent="0.25">
      <c r="A60" s="100" t="s">
        <v>134</v>
      </c>
      <c r="B60" s="97"/>
      <c r="C60" s="208"/>
      <c r="D60" s="208"/>
      <c r="E60" s="208"/>
      <c r="F60" s="208"/>
      <c r="G60" s="208"/>
      <c r="H60" s="94">
        <f>5615.76+10155.18+10191.98+5408.2+15227.3+3138.72+6215.51</f>
        <v>55952.65</v>
      </c>
    </row>
    <row r="61" spans="1:9" ht="15.75" customHeight="1" x14ac:dyDescent="0.25">
      <c r="A61" s="98" t="s">
        <v>202</v>
      </c>
      <c r="B61" s="98"/>
      <c r="C61" s="98"/>
      <c r="D61" s="98"/>
      <c r="E61" s="98"/>
      <c r="F61" s="98"/>
      <c r="G61" s="98"/>
      <c r="H61" s="94">
        <v>48358</v>
      </c>
    </row>
    <row r="62" spans="1:9" ht="15.75" customHeight="1" x14ac:dyDescent="0.25">
      <c r="A62" s="98"/>
      <c r="B62" s="98"/>
      <c r="C62" s="98"/>
      <c r="D62" s="98"/>
      <c r="E62" s="98"/>
      <c r="F62" s="98"/>
      <c r="G62" s="98"/>
      <c r="H62" s="95">
        <v>0</v>
      </c>
    </row>
    <row r="63" spans="1:9" ht="15.75" customHeight="1" x14ac:dyDescent="0.25">
      <c r="A63" s="192" t="s">
        <v>108</v>
      </c>
      <c r="B63" s="192"/>
      <c r="C63" s="192"/>
      <c r="D63" s="192"/>
      <c r="E63" s="192"/>
      <c r="F63" s="192"/>
      <c r="G63" s="192"/>
      <c r="H63" s="99">
        <f>SUM(H60:H62)</f>
        <v>104310.65</v>
      </c>
    </row>
    <row r="64" spans="1:9" x14ac:dyDescent="0.25">
      <c r="A64" s="98"/>
      <c r="B64" s="98"/>
      <c r="C64" s="98"/>
      <c r="D64" s="98"/>
      <c r="E64" s="98"/>
      <c r="F64" s="98"/>
      <c r="G64" s="98"/>
      <c r="H64" s="95"/>
    </row>
    <row r="65" spans="1:10" x14ac:dyDescent="0.25">
      <c r="A65" s="98"/>
      <c r="B65" s="98"/>
      <c r="C65" s="98"/>
      <c r="D65" s="98"/>
      <c r="E65" s="98"/>
      <c r="F65" s="98"/>
      <c r="G65" s="98"/>
      <c r="H65" s="95"/>
    </row>
    <row r="66" spans="1:10" ht="18.75" x14ac:dyDescent="0.3">
      <c r="A66" s="191" t="s">
        <v>133</v>
      </c>
      <c r="B66" s="191"/>
      <c r="C66" s="191"/>
      <c r="D66" s="191"/>
      <c r="E66" s="191"/>
      <c r="F66" s="191"/>
      <c r="G66" s="191"/>
      <c r="H66" s="134">
        <f>H39+H35+H30+H24 + H44 + H18 + H53 + H63</f>
        <v>3463742.3299999996</v>
      </c>
    </row>
    <row r="67" spans="1:10" ht="18.75" x14ac:dyDescent="0.3">
      <c r="A67" s="202" t="s">
        <v>200</v>
      </c>
      <c r="B67" s="203"/>
      <c r="C67" s="203"/>
      <c r="D67" s="203"/>
      <c r="E67" s="203"/>
      <c r="F67" s="203"/>
      <c r="G67" s="204"/>
      <c r="H67" s="134"/>
      <c r="J67" s="139"/>
    </row>
    <row r="68" spans="1:10" ht="18.75" x14ac:dyDescent="0.3">
      <c r="A68" s="202" t="s">
        <v>192</v>
      </c>
      <c r="B68" s="203"/>
      <c r="C68" s="203"/>
      <c r="D68" s="203"/>
      <c r="E68" s="203"/>
      <c r="F68" s="203"/>
      <c r="G68" s="204"/>
      <c r="H68" s="134"/>
      <c r="I68" s="139"/>
      <c r="J68" s="139"/>
    </row>
    <row r="69" spans="1:10" ht="18.75" x14ac:dyDescent="0.3">
      <c r="A69" s="202" t="s">
        <v>155</v>
      </c>
      <c r="B69" s="203"/>
      <c r="C69" s="203"/>
      <c r="D69" s="203"/>
      <c r="E69" s="203"/>
      <c r="F69" s="203"/>
      <c r="G69" s="204"/>
      <c r="H69" s="134">
        <f>(H66+H67)</f>
        <v>3463742.3299999996</v>
      </c>
    </row>
    <row r="70" spans="1:10" ht="18.75" x14ac:dyDescent="0.3">
      <c r="A70" s="202" t="s">
        <v>156</v>
      </c>
      <c r="B70" s="203"/>
      <c r="C70" s="203"/>
      <c r="D70" s="203"/>
      <c r="E70" s="203"/>
      <c r="F70" s="203"/>
      <c r="G70" s="204"/>
      <c r="H70" s="134">
        <f>H66</f>
        <v>3463742.3299999996</v>
      </c>
      <c r="J70" s="139"/>
    </row>
    <row r="71" spans="1:10" ht="18.75" x14ac:dyDescent="0.3">
      <c r="A71" s="194"/>
      <c r="B71" s="194"/>
      <c r="C71" s="194"/>
      <c r="D71" s="194"/>
      <c r="E71" s="194"/>
      <c r="F71" s="194"/>
      <c r="G71" s="194"/>
      <c r="H71" s="135"/>
    </row>
    <row r="72" spans="1:10" ht="18.75" x14ac:dyDescent="0.3">
      <c r="A72" s="191" t="s">
        <v>124</v>
      </c>
      <c r="B72" s="191"/>
      <c r="C72" s="191"/>
      <c r="D72" s="191"/>
      <c r="E72" s="191"/>
      <c r="F72" s="191"/>
      <c r="G72" s="191"/>
      <c r="H72" s="134"/>
      <c r="I72" s="139"/>
    </row>
    <row r="73" spans="1:10" ht="18.75" x14ac:dyDescent="0.3">
      <c r="A73" s="157" t="s">
        <v>225</v>
      </c>
      <c r="B73" s="80"/>
      <c r="C73" s="136"/>
      <c r="D73" s="136"/>
      <c r="E73" s="136"/>
      <c r="F73" s="136"/>
      <c r="G73" s="137"/>
      <c r="H73" s="170">
        <v>59000</v>
      </c>
    </row>
    <row r="74" spans="1:10" ht="18.75" x14ac:dyDescent="0.3">
      <c r="A74" s="157" t="s">
        <v>233</v>
      </c>
      <c r="B74" s="169"/>
      <c r="C74" s="136"/>
      <c r="D74" s="136"/>
      <c r="E74" s="136"/>
      <c r="F74" s="136"/>
      <c r="G74" s="137"/>
      <c r="H74" s="170">
        <v>96365</v>
      </c>
    </row>
    <row r="75" spans="1:10" ht="27.75" customHeight="1" x14ac:dyDescent="0.25">
      <c r="A75" s="174" t="s">
        <v>232</v>
      </c>
      <c r="B75" s="175"/>
      <c r="C75" s="175"/>
      <c r="D75" s="175"/>
      <c r="E75" s="175"/>
      <c r="F75" s="175"/>
      <c r="G75" s="176"/>
      <c r="H75" s="14">
        <f>390000+260000</f>
        <v>650000</v>
      </c>
    </row>
    <row r="76" spans="1:10" x14ac:dyDescent="0.25">
      <c r="A76" s="38" t="s">
        <v>228</v>
      </c>
      <c r="B76" s="38"/>
      <c r="C76" s="38"/>
      <c r="D76" s="38"/>
      <c r="E76" s="38"/>
      <c r="F76" s="38"/>
      <c r="G76" s="38"/>
      <c r="H76" s="14">
        <v>22270.75</v>
      </c>
    </row>
    <row r="77" spans="1:10" ht="18.75" x14ac:dyDescent="0.3">
      <c r="A77" s="80"/>
      <c r="B77" s="80"/>
      <c r="C77" s="136"/>
      <c r="D77" s="136"/>
      <c r="E77" s="136"/>
      <c r="F77" s="136"/>
      <c r="G77" s="137"/>
      <c r="H77" s="127"/>
    </row>
    <row r="78" spans="1:10" ht="18.75" x14ac:dyDescent="0.3">
      <c r="A78" s="195" t="s">
        <v>8</v>
      </c>
      <c r="B78" s="195"/>
      <c r="C78" s="195"/>
      <c r="D78" s="195"/>
      <c r="E78" s="195"/>
      <c r="F78" s="195"/>
      <c r="G78" s="195"/>
      <c r="H78" s="118">
        <f>SUM(H73:H77)</f>
        <v>827635.75</v>
      </c>
    </row>
    <row r="79" spans="1:10" ht="18.75" x14ac:dyDescent="0.3">
      <c r="A79" s="16"/>
      <c r="B79" s="80"/>
      <c r="C79" s="16"/>
      <c r="D79" s="16"/>
      <c r="E79" s="16"/>
      <c r="F79" s="16"/>
      <c r="G79" s="16"/>
      <c r="H79" s="127"/>
    </row>
    <row r="80" spans="1:10" ht="18.75" x14ac:dyDescent="0.3">
      <c r="A80" s="205" t="s">
        <v>160</v>
      </c>
      <c r="B80" s="206"/>
      <c r="C80" s="206"/>
      <c r="D80" s="206"/>
      <c r="E80" s="206"/>
      <c r="F80" s="206"/>
      <c r="G80" s="207"/>
      <c r="H80" s="118"/>
    </row>
    <row r="81" spans="1:14" ht="18.75" x14ac:dyDescent="0.3">
      <c r="A81" s="16"/>
      <c r="B81" s="16"/>
      <c r="C81" s="16"/>
      <c r="D81" s="16"/>
      <c r="E81" s="16"/>
      <c r="F81" s="16"/>
      <c r="G81" s="16"/>
      <c r="H81" s="127"/>
    </row>
    <row r="82" spans="1:14" ht="1.5" hidden="1" customHeight="1" x14ac:dyDescent="0.3">
      <c r="A82" s="16"/>
      <c r="B82" s="16"/>
      <c r="C82" s="16"/>
      <c r="D82" s="16"/>
      <c r="E82" s="16"/>
      <c r="F82" s="16"/>
      <c r="G82" s="16"/>
      <c r="H82" s="127"/>
    </row>
    <row r="83" spans="1:14" ht="18.75" hidden="1" x14ac:dyDescent="0.3">
      <c r="A83" s="16"/>
      <c r="B83" s="16"/>
      <c r="C83" s="16"/>
      <c r="D83" s="16"/>
      <c r="E83" s="16"/>
      <c r="F83" s="16"/>
      <c r="G83" s="16"/>
      <c r="H83" s="127"/>
    </row>
    <row r="84" spans="1:14" ht="18.75" x14ac:dyDescent="0.3">
      <c r="A84" s="16"/>
      <c r="B84" s="16"/>
      <c r="C84" s="16"/>
      <c r="D84" s="16"/>
      <c r="E84" s="16"/>
      <c r="F84" s="16"/>
      <c r="G84" s="16"/>
      <c r="H84" s="127"/>
    </row>
    <row r="85" spans="1:14" ht="18.75" customHeight="1" x14ac:dyDescent="0.3">
      <c r="A85" s="188" t="s">
        <v>9</v>
      </c>
      <c r="B85" s="188"/>
      <c r="C85" s="188"/>
      <c r="D85" s="188"/>
      <c r="E85" s="188"/>
      <c r="F85" s="188"/>
      <c r="G85" s="188"/>
      <c r="H85" s="188"/>
      <c r="I85" s="139"/>
    </row>
    <row r="86" spans="1:14" ht="18.75" x14ac:dyDescent="0.3">
      <c r="A86" s="80" t="s">
        <v>10</v>
      </c>
      <c r="B86" s="16"/>
      <c r="C86" s="16"/>
      <c r="D86" s="16"/>
      <c r="E86" s="16"/>
      <c r="F86" s="16"/>
      <c r="G86" s="16"/>
      <c r="H86" s="149">
        <v>1770104</v>
      </c>
    </row>
    <row r="87" spans="1:14" x14ac:dyDescent="0.25">
      <c r="A87" s="38" t="s">
        <v>220</v>
      </c>
      <c r="B87" s="38"/>
      <c r="C87" s="38"/>
      <c r="D87" s="38"/>
      <c r="E87" s="38"/>
      <c r="F87" s="38"/>
      <c r="G87" s="38"/>
      <c r="H87" s="14">
        <f>prorrateo!G70</f>
        <v>3928261.3594531748</v>
      </c>
    </row>
    <row r="88" spans="1:14" x14ac:dyDescent="0.25">
      <c r="A88" s="38" t="s">
        <v>203</v>
      </c>
      <c r="B88" s="38"/>
      <c r="C88" s="38"/>
      <c r="D88" s="38"/>
      <c r="E88" s="38"/>
      <c r="F88" s="38"/>
      <c r="G88" s="38"/>
      <c r="H88" s="14">
        <f>-H99</f>
        <v>-20000</v>
      </c>
    </row>
    <row r="89" spans="1:14" ht="15.75" customHeight="1" x14ac:dyDescent="0.25">
      <c r="A89" s="38" t="s">
        <v>219</v>
      </c>
      <c r="B89" s="38"/>
      <c r="C89" s="38"/>
      <c r="D89" s="38"/>
      <c r="E89" s="38"/>
      <c r="F89" s="38"/>
      <c r="G89" s="38"/>
      <c r="H89" s="14">
        <f>- (H78 + H70)</f>
        <v>-4291378.08</v>
      </c>
      <c r="I89" s="183"/>
      <c r="J89" s="184"/>
      <c r="K89" s="184"/>
      <c r="L89" s="184"/>
      <c r="M89" s="184"/>
      <c r="N89" s="184"/>
    </row>
    <row r="90" spans="1:14" ht="16.5" customHeight="1" x14ac:dyDescent="0.25">
      <c r="A90" s="196" t="s">
        <v>194</v>
      </c>
      <c r="B90" s="197"/>
      <c r="C90" s="197"/>
      <c r="D90" s="197"/>
      <c r="E90" s="197"/>
      <c r="F90" s="197"/>
      <c r="G90" s="198"/>
      <c r="H90" s="159"/>
      <c r="I90" s="183"/>
      <c r="J90" s="184"/>
      <c r="K90" s="184"/>
      <c r="L90" s="184"/>
      <c r="M90" s="184"/>
      <c r="N90" s="184"/>
    </row>
    <row r="91" spans="1:14" x14ac:dyDescent="0.25">
      <c r="A91" s="37" t="s">
        <v>237</v>
      </c>
      <c r="B91" s="152"/>
      <c r="C91" s="153"/>
      <c r="D91" s="152"/>
      <c r="E91" s="153"/>
      <c r="F91" s="152"/>
      <c r="G91" s="152"/>
      <c r="H91" s="14">
        <v>-106179</v>
      </c>
      <c r="I91" s="151"/>
      <c r="J91" s="151"/>
      <c r="K91" s="151"/>
      <c r="L91" s="151"/>
      <c r="M91" s="151"/>
      <c r="N91" s="151"/>
    </row>
    <row r="92" spans="1:14" ht="18.75" x14ac:dyDescent="0.3">
      <c r="A92" s="81" t="s">
        <v>11</v>
      </c>
      <c r="B92" s="82"/>
      <c r="C92" s="82"/>
      <c r="D92" s="82"/>
      <c r="E92" s="82"/>
      <c r="F92" s="82"/>
      <c r="G92" s="82"/>
      <c r="H92" s="149">
        <f>SUM(H86:H91)</f>
        <v>1280808.2794531751</v>
      </c>
    </row>
    <row r="93" spans="1:14" x14ac:dyDescent="0.25">
      <c r="A93" s="38"/>
      <c r="B93" s="38"/>
      <c r="C93" s="38"/>
      <c r="D93" s="38"/>
      <c r="E93" s="38"/>
      <c r="F93" s="38"/>
      <c r="G93" s="38"/>
      <c r="H93" s="38"/>
    </row>
    <row r="94" spans="1:14" ht="66" customHeight="1" thickBot="1" x14ac:dyDescent="0.3">
      <c r="A94" s="185"/>
      <c r="B94" s="186"/>
      <c r="C94" s="186"/>
      <c r="D94" s="186"/>
      <c r="E94" s="186"/>
      <c r="F94" s="186"/>
      <c r="G94" s="186"/>
      <c r="H94" s="187"/>
    </row>
    <row r="96" spans="1:14" ht="15.75" thickBot="1" x14ac:dyDescent="0.3"/>
    <row r="97" spans="1:8" ht="16.5" thickBot="1" x14ac:dyDescent="0.3">
      <c r="A97" s="180" t="s">
        <v>197</v>
      </c>
      <c r="B97" s="181"/>
      <c r="C97" s="181"/>
      <c r="D97" s="181"/>
      <c r="E97" s="181"/>
      <c r="F97" s="181"/>
      <c r="G97" s="181"/>
      <c r="H97" s="182"/>
    </row>
    <row r="98" spans="1:8" x14ac:dyDescent="0.25">
      <c r="A98" s="141" t="s">
        <v>195</v>
      </c>
      <c r="B98" s="142"/>
      <c r="C98" s="142"/>
      <c r="D98" s="142"/>
      <c r="E98" s="142"/>
      <c r="F98" s="142"/>
      <c r="G98" s="142"/>
      <c r="H98" s="145">
        <v>74000</v>
      </c>
    </row>
    <row r="99" spans="1:8" x14ac:dyDescent="0.25">
      <c r="A99" s="38" t="s">
        <v>221</v>
      </c>
      <c r="B99" s="38"/>
      <c r="C99" s="38"/>
      <c r="D99" s="38"/>
      <c r="E99" s="38"/>
      <c r="F99" s="38"/>
      <c r="G99" s="38"/>
      <c r="H99" s="160">
        <v>20000</v>
      </c>
    </row>
    <row r="100" spans="1:8" x14ac:dyDescent="0.25">
      <c r="A100" s="38"/>
      <c r="B100" s="38"/>
      <c r="C100" s="38"/>
      <c r="D100" s="38"/>
      <c r="E100" s="38"/>
      <c r="F100" s="38"/>
      <c r="G100" s="38"/>
      <c r="H100" s="38"/>
    </row>
    <row r="101" spans="1:8" ht="15.75" thickBot="1" x14ac:dyDescent="0.3">
      <c r="A101" s="38"/>
      <c r="B101" s="38"/>
      <c r="C101" s="38"/>
      <c r="D101" s="38"/>
      <c r="E101" s="38"/>
      <c r="F101" s="38"/>
      <c r="G101" s="38"/>
      <c r="H101" s="146"/>
    </row>
    <row r="102" spans="1:8" ht="15.75" thickBot="1" x14ac:dyDescent="0.3">
      <c r="A102" s="143" t="s">
        <v>196</v>
      </c>
      <c r="B102" s="144"/>
      <c r="C102" s="144"/>
      <c r="D102" s="144"/>
      <c r="E102" s="144"/>
      <c r="F102" s="144"/>
      <c r="G102" s="144"/>
      <c r="H102" s="147">
        <f>SUM(H98:H101)</f>
        <v>94000</v>
      </c>
    </row>
    <row r="104" spans="1:8" ht="15.75" thickBot="1" x14ac:dyDescent="0.3"/>
    <row r="105" spans="1:8" ht="15.75" thickBot="1" x14ac:dyDescent="0.3">
      <c r="A105" s="177" t="s">
        <v>204</v>
      </c>
      <c r="B105" s="178"/>
      <c r="C105" s="178"/>
      <c r="D105" s="178"/>
      <c r="E105" s="178"/>
      <c r="F105" s="178"/>
      <c r="G105" s="178"/>
      <c r="H105" s="179"/>
    </row>
    <row r="106" spans="1:8" x14ac:dyDescent="0.25">
      <c r="A106" s="27"/>
      <c r="E106" s="156"/>
      <c r="H106" s="155"/>
    </row>
    <row r="107" spans="1:8" x14ac:dyDescent="0.25">
      <c r="A107" s="27"/>
      <c r="E107" s="156"/>
      <c r="H107" s="155"/>
    </row>
    <row r="108" spans="1:8" x14ac:dyDescent="0.25">
      <c r="A108" s="27"/>
      <c r="E108" s="156"/>
      <c r="H108" s="155"/>
    </row>
    <row r="109" spans="1:8" ht="15.75" thickBot="1" x14ac:dyDescent="0.3">
      <c r="A109" s="143"/>
      <c r="B109" s="144"/>
      <c r="C109" s="144"/>
      <c r="D109" s="144"/>
      <c r="E109" s="144"/>
      <c r="F109" s="144"/>
      <c r="G109" s="144"/>
      <c r="H109" s="154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</sheetData>
  <mergeCells count="2079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60:G60"/>
    <mergeCell ref="A72:G72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8:G58"/>
    <mergeCell ref="A41:G41"/>
    <mergeCell ref="A68:G68"/>
    <mergeCell ref="A46:G46"/>
    <mergeCell ref="A75:G75"/>
    <mergeCell ref="A105:H105"/>
    <mergeCell ref="A97:H97"/>
    <mergeCell ref="I89:N90"/>
    <mergeCell ref="A94:H94"/>
    <mergeCell ref="A85:H85"/>
    <mergeCell ref="E3:H3"/>
    <mergeCell ref="A66:G66"/>
    <mergeCell ref="A63:G63"/>
    <mergeCell ref="A25:H25"/>
    <mergeCell ref="A31:H31"/>
    <mergeCell ref="A36:H36"/>
    <mergeCell ref="A40:H40"/>
    <mergeCell ref="A45:H45"/>
    <mergeCell ref="A71:G71"/>
    <mergeCell ref="A53:G53"/>
    <mergeCell ref="A19:H19"/>
    <mergeCell ref="A78:G78"/>
    <mergeCell ref="A90:G90"/>
    <mergeCell ref="A59:H59"/>
    <mergeCell ref="A14:H14"/>
    <mergeCell ref="A54:H54"/>
    <mergeCell ref="A67:G67"/>
    <mergeCell ref="A69:G69"/>
    <mergeCell ref="A70:G70"/>
    <mergeCell ref="A80:G80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44" workbookViewId="0">
      <selection activeCell="Q62" sqref="Q62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30"/>
      <c r="B1" s="31"/>
      <c r="C1" s="31" t="s">
        <v>64</v>
      </c>
      <c r="D1" s="32" t="str">
        <f>expensas!F8</f>
        <v>FEBRERO</v>
      </c>
      <c r="E1" s="32"/>
      <c r="F1" s="29"/>
      <c r="G1" s="33"/>
      <c r="H1" s="31"/>
      <c r="I1" s="32" t="str">
        <f>expensas!G8</f>
        <v>VTO: 13/03</v>
      </c>
      <c r="J1" s="31"/>
      <c r="K1" s="31"/>
      <c r="L1" s="31"/>
      <c r="M1" s="31"/>
      <c r="N1" s="31"/>
      <c r="O1" s="132"/>
    </row>
    <row r="2" spans="1:28" x14ac:dyDescent="0.25">
      <c r="A2" s="27"/>
      <c r="F2" s="21"/>
      <c r="G2" s="21"/>
      <c r="H2" s="21"/>
      <c r="I2" s="21"/>
      <c r="J2" s="21"/>
      <c r="O2" s="6"/>
    </row>
    <row r="3" spans="1:28" x14ac:dyDescent="0.25">
      <c r="A3" s="34"/>
      <c r="B3" s="36"/>
      <c r="F3" s="22"/>
      <c r="G3" s="22"/>
      <c r="H3" s="22"/>
      <c r="I3" s="22"/>
      <c r="J3" s="22"/>
      <c r="K3" t="s">
        <v>21</v>
      </c>
      <c r="O3" s="6"/>
    </row>
    <row r="4" spans="1:28" x14ac:dyDescent="0.25">
      <c r="A4" s="35"/>
      <c r="B4" s="40" t="s">
        <v>130</v>
      </c>
      <c r="C4" s="23">
        <v>3463742.3299999996</v>
      </c>
      <c r="D4" s="9"/>
      <c r="E4" s="9"/>
      <c r="F4" s="43"/>
      <c r="G4" s="22"/>
      <c r="H4" s="22"/>
      <c r="I4" s="22"/>
      <c r="J4" s="22"/>
      <c r="K4" t="s">
        <v>13</v>
      </c>
      <c r="O4" s="6"/>
    </row>
    <row r="5" spans="1:28" x14ac:dyDescent="0.25">
      <c r="A5" s="39"/>
      <c r="B5" s="28"/>
      <c r="C5" s="23"/>
      <c r="D5" s="42">
        <v>19018</v>
      </c>
      <c r="E5" s="42"/>
      <c r="F5" s="21"/>
      <c r="G5" s="21"/>
      <c r="H5" s="21"/>
      <c r="I5" s="21"/>
      <c r="J5" s="21"/>
      <c r="O5" s="6"/>
    </row>
    <row r="6" spans="1:28" x14ac:dyDescent="0.25">
      <c r="A6" s="39"/>
      <c r="B6" s="41" t="s">
        <v>14</v>
      </c>
      <c r="C6" s="23"/>
      <c r="D6" s="219">
        <f>C7</f>
        <v>500000</v>
      </c>
      <c r="E6" s="219"/>
      <c r="F6" s="21"/>
      <c r="G6" s="21"/>
      <c r="H6" s="21"/>
      <c r="I6" s="21"/>
      <c r="J6" s="21"/>
      <c r="O6" s="6"/>
    </row>
    <row r="7" spans="1:28" ht="15.75" thickBot="1" x14ac:dyDescent="0.3">
      <c r="A7" s="39"/>
      <c r="B7" s="28"/>
      <c r="C7" s="172">
        <v>500000</v>
      </c>
      <c r="F7" s="21"/>
      <c r="G7" s="21"/>
      <c r="H7" s="21"/>
      <c r="I7" s="21"/>
      <c r="J7" s="21"/>
      <c r="O7" s="133"/>
    </row>
    <row r="8" spans="1:28" ht="46.5" customHeight="1" thickBot="1" x14ac:dyDescent="0.3">
      <c r="A8" s="56" t="s">
        <v>15</v>
      </c>
      <c r="B8" s="44" t="s">
        <v>22</v>
      </c>
      <c r="C8" s="25" t="s">
        <v>16</v>
      </c>
      <c r="D8" s="57" t="s">
        <v>131</v>
      </c>
      <c r="E8" s="44" t="s">
        <v>96</v>
      </c>
      <c r="F8" s="26" t="s">
        <v>17</v>
      </c>
      <c r="G8" s="148" t="s">
        <v>18</v>
      </c>
      <c r="H8" s="26" t="s">
        <v>19</v>
      </c>
      <c r="I8" s="74" t="s">
        <v>206</v>
      </c>
      <c r="J8" s="73" t="s">
        <v>20</v>
      </c>
      <c r="K8" s="58" t="s">
        <v>162</v>
      </c>
      <c r="L8" s="58" t="s">
        <v>158</v>
      </c>
      <c r="M8" s="58" t="s">
        <v>201</v>
      </c>
      <c r="N8" s="83" t="s">
        <v>153</v>
      </c>
      <c r="O8" s="103" t="s">
        <v>154</v>
      </c>
    </row>
    <row r="9" spans="1:28" x14ac:dyDescent="0.25">
      <c r="A9" s="84">
        <v>21</v>
      </c>
      <c r="B9" s="45" t="s">
        <v>25</v>
      </c>
      <c r="C9" s="66" t="s">
        <v>24</v>
      </c>
      <c r="D9" s="75">
        <v>2.1600000000000001E-2</v>
      </c>
      <c r="E9" s="59" t="s">
        <v>117</v>
      </c>
      <c r="F9" s="101">
        <v>88931.272169608012</v>
      </c>
      <c r="G9" s="93">
        <v>89000</v>
      </c>
      <c r="H9" s="101">
        <f t="shared" ref="H9:H67" si="0">IF(F9&gt;G9,F9-G9,0)</f>
        <v>0</v>
      </c>
      <c r="I9" s="101">
        <f>H9*3%</f>
        <v>0</v>
      </c>
      <c r="J9" s="101">
        <f t="shared" ref="J9:J67" si="1">IF(G9&gt;F9,G9-F9,0)</f>
        <v>68.727830391988391</v>
      </c>
      <c r="K9" s="101">
        <f t="shared" ref="K9:K69" si="2">C$4*D9</f>
        <v>74816.834327999997</v>
      </c>
      <c r="L9" s="101">
        <f t="shared" ref="L9:L69" si="3">D$6*D9</f>
        <v>10800</v>
      </c>
      <c r="M9" s="163">
        <v>0</v>
      </c>
      <c r="N9" s="119">
        <f t="shared" ref="N9:N48" si="4">H9+I9+K9-J9+M9+L9</f>
        <v>85548.106497608009</v>
      </c>
      <c r="O9" s="101">
        <f t="shared" ref="O9:O69" si="5">N9*8.9% + N9</f>
        <v>93161.887975895123</v>
      </c>
    </row>
    <row r="10" spans="1:28" x14ac:dyDescent="0.25">
      <c r="A10" s="84">
        <v>22</v>
      </c>
      <c r="B10" s="45" t="s">
        <v>26</v>
      </c>
      <c r="C10" s="66" t="s">
        <v>67</v>
      </c>
      <c r="D10" s="75">
        <v>2.0899999999999998E-2</v>
      </c>
      <c r="E10" s="59" t="s">
        <v>193</v>
      </c>
      <c r="F10" s="101">
        <v>271921.221788125</v>
      </c>
      <c r="G10" s="93">
        <v>88252</v>
      </c>
      <c r="H10" s="101">
        <f t="shared" si="0"/>
        <v>183669.221788125</v>
      </c>
      <c r="I10" s="101">
        <f t="shared" ref="I10:I69" si="6">H10*3%</f>
        <v>5510.0766536437495</v>
      </c>
      <c r="J10" s="101">
        <f t="shared" si="1"/>
        <v>0</v>
      </c>
      <c r="K10" s="101">
        <f t="shared" si="2"/>
        <v>72392.214696999989</v>
      </c>
      <c r="L10" s="101">
        <f t="shared" si="3"/>
        <v>10450</v>
      </c>
      <c r="M10" s="163">
        <v>0</v>
      </c>
      <c r="N10" s="119">
        <f t="shared" si="4"/>
        <v>272021.51313876873</v>
      </c>
      <c r="O10" s="101">
        <f t="shared" si="5"/>
        <v>296231.42780811916</v>
      </c>
    </row>
    <row r="11" spans="1:28" x14ac:dyDescent="0.25">
      <c r="A11" s="84">
        <v>23</v>
      </c>
      <c r="B11" s="46" t="s">
        <v>27</v>
      </c>
      <c r="C11" s="66" t="s">
        <v>68</v>
      </c>
      <c r="D11" s="75">
        <v>2.1299999999999999E-2</v>
      </c>
      <c r="E11" s="59" t="s">
        <v>152</v>
      </c>
      <c r="F11" s="101">
        <v>89940.655587000001</v>
      </c>
      <c r="G11" s="93">
        <f t="shared" ref="G11:G17" si="7">F11</f>
        <v>89940.655587000001</v>
      </c>
      <c r="H11" s="101">
        <f t="shared" si="0"/>
        <v>0</v>
      </c>
      <c r="I11" s="101">
        <f t="shared" si="6"/>
        <v>0</v>
      </c>
      <c r="J11" s="101">
        <f t="shared" si="1"/>
        <v>0</v>
      </c>
      <c r="K11" s="101">
        <f t="shared" si="2"/>
        <v>73777.711628999983</v>
      </c>
      <c r="L11" s="101">
        <f t="shared" si="3"/>
        <v>10650</v>
      </c>
      <c r="M11" s="163">
        <v>0</v>
      </c>
      <c r="N11" s="119">
        <f t="shared" si="4"/>
        <v>84427.711628999983</v>
      </c>
      <c r="O11" s="101">
        <f t="shared" si="5"/>
        <v>91941.777963980989</v>
      </c>
    </row>
    <row r="12" spans="1:28" x14ac:dyDescent="0.25">
      <c r="A12" s="84">
        <v>24</v>
      </c>
      <c r="B12" s="45" t="s">
        <v>28</v>
      </c>
      <c r="C12" s="67" t="s">
        <v>164</v>
      </c>
      <c r="D12" s="75">
        <v>2.1600000000000001E-2</v>
      </c>
      <c r="E12" s="59" t="s">
        <v>122</v>
      </c>
      <c r="F12" s="168">
        <v>99324.886243176021</v>
      </c>
      <c r="G12" s="102">
        <f t="shared" si="7"/>
        <v>99324.886243176021</v>
      </c>
      <c r="H12" s="101">
        <f t="shared" si="0"/>
        <v>0</v>
      </c>
      <c r="I12" s="101">
        <f t="shared" si="6"/>
        <v>0</v>
      </c>
      <c r="J12" s="101">
        <f t="shared" si="1"/>
        <v>0</v>
      </c>
      <c r="K12" s="101">
        <f t="shared" si="2"/>
        <v>74816.834327999997</v>
      </c>
      <c r="L12" s="101">
        <f t="shared" si="3"/>
        <v>10800</v>
      </c>
      <c r="M12" s="163">
        <v>0</v>
      </c>
      <c r="N12" s="119">
        <f t="shared" si="4"/>
        <v>85616.834327999997</v>
      </c>
      <c r="O12" s="101">
        <f t="shared" si="5"/>
        <v>93236.732583192002</v>
      </c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</row>
    <row r="13" spans="1:28" x14ac:dyDescent="0.25">
      <c r="A13" s="84">
        <v>25</v>
      </c>
      <c r="B13" s="47" t="s">
        <v>29</v>
      </c>
      <c r="C13" s="67" t="s">
        <v>69</v>
      </c>
      <c r="D13" s="75">
        <v>2.0899999999999998E-2</v>
      </c>
      <c r="E13" s="59" t="s">
        <v>121</v>
      </c>
      <c r="F13" s="101">
        <v>197278.23500208999</v>
      </c>
      <c r="G13" s="93"/>
      <c r="H13" s="101">
        <f t="shared" si="0"/>
        <v>197278.23500208999</v>
      </c>
      <c r="I13" s="101">
        <f t="shared" si="6"/>
        <v>5918.3470500626991</v>
      </c>
      <c r="J13" s="101">
        <f t="shared" si="1"/>
        <v>0</v>
      </c>
      <c r="K13" s="101">
        <f t="shared" si="2"/>
        <v>72392.214696999989</v>
      </c>
      <c r="L13" s="101">
        <f t="shared" si="3"/>
        <v>10450</v>
      </c>
      <c r="M13" s="163"/>
      <c r="N13" s="119">
        <f t="shared" si="4"/>
        <v>286038.79674915271</v>
      </c>
      <c r="O13" s="101">
        <f t="shared" si="5"/>
        <v>311496.24965982733</v>
      </c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</row>
    <row r="14" spans="1:28" x14ac:dyDescent="0.25">
      <c r="A14" s="84">
        <v>26</v>
      </c>
      <c r="B14" s="47" t="s">
        <v>30</v>
      </c>
      <c r="C14" s="67" t="s">
        <v>70</v>
      </c>
      <c r="D14" s="75">
        <v>2.1299999999999999E-2</v>
      </c>
      <c r="E14" s="59" t="s">
        <v>149</v>
      </c>
      <c r="F14" s="101">
        <v>89940.655587000001</v>
      </c>
      <c r="G14" s="102">
        <f t="shared" si="7"/>
        <v>89940.655587000001</v>
      </c>
      <c r="H14" s="101">
        <f t="shared" si="0"/>
        <v>0</v>
      </c>
      <c r="I14" s="101">
        <f t="shared" si="6"/>
        <v>0</v>
      </c>
      <c r="J14" s="101">
        <f t="shared" si="1"/>
        <v>0</v>
      </c>
      <c r="K14" s="101">
        <f t="shared" si="2"/>
        <v>73777.711628999983</v>
      </c>
      <c r="L14" s="101">
        <f t="shared" si="3"/>
        <v>10650</v>
      </c>
      <c r="M14" s="163">
        <v>0</v>
      </c>
      <c r="N14" s="119">
        <f t="shared" si="4"/>
        <v>84427.711628999983</v>
      </c>
      <c r="O14" s="101">
        <f t="shared" si="5"/>
        <v>91941.777963980989</v>
      </c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</row>
    <row r="15" spans="1:28" x14ac:dyDescent="0.25">
      <c r="A15" s="84">
        <v>27</v>
      </c>
      <c r="B15" s="47" t="s">
        <v>31</v>
      </c>
      <c r="C15" s="67" t="s">
        <v>71</v>
      </c>
      <c r="D15" s="75">
        <v>2.1600000000000001E-2</v>
      </c>
      <c r="E15" s="59"/>
      <c r="F15" s="101">
        <v>91207.425384000016</v>
      </c>
      <c r="G15" s="102">
        <f t="shared" si="7"/>
        <v>91207.425384000016</v>
      </c>
      <c r="H15" s="101">
        <f t="shared" si="0"/>
        <v>0</v>
      </c>
      <c r="I15" s="101">
        <f t="shared" si="6"/>
        <v>0</v>
      </c>
      <c r="J15" s="101">
        <f t="shared" si="1"/>
        <v>0</v>
      </c>
      <c r="K15" s="101">
        <f t="shared" si="2"/>
        <v>74816.834327999997</v>
      </c>
      <c r="L15" s="101">
        <f t="shared" si="3"/>
        <v>10800</v>
      </c>
      <c r="M15" s="163"/>
      <c r="N15" s="119">
        <f t="shared" si="4"/>
        <v>85616.834327999997</v>
      </c>
      <c r="O15" s="101">
        <f t="shared" si="5"/>
        <v>93236.732583192002</v>
      </c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</row>
    <row r="16" spans="1:28" x14ac:dyDescent="0.25">
      <c r="A16" s="84">
        <v>28</v>
      </c>
      <c r="B16" s="47" t="s">
        <v>32</v>
      </c>
      <c r="C16" s="67" t="s">
        <v>72</v>
      </c>
      <c r="D16" s="75">
        <v>2.0899999999999998E-2</v>
      </c>
      <c r="E16" s="59"/>
      <c r="F16" s="101">
        <v>88251.629191</v>
      </c>
      <c r="G16" s="102">
        <f t="shared" si="7"/>
        <v>88251.629191</v>
      </c>
      <c r="H16" s="101">
        <f t="shared" si="0"/>
        <v>0</v>
      </c>
      <c r="I16" s="101">
        <f t="shared" si="6"/>
        <v>0</v>
      </c>
      <c r="J16" s="101">
        <f t="shared" si="1"/>
        <v>0</v>
      </c>
      <c r="K16" s="101">
        <f t="shared" si="2"/>
        <v>72392.214696999989</v>
      </c>
      <c r="L16" s="101">
        <f t="shared" si="3"/>
        <v>10450</v>
      </c>
      <c r="M16" s="163">
        <v>0</v>
      </c>
      <c r="N16" s="119">
        <f t="shared" si="4"/>
        <v>82842.214696999989</v>
      </c>
      <c r="O16" s="101">
        <f t="shared" si="5"/>
        <v>90215.171805032995</v>
      </c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</row>
    <row r="17" spans="1:28" x14ac:dyDescent="0.25">
      <c r="A17" s="84">
        <v>29</v>
      </c>
      <c r="B17" s="47" t="s">
        <v>33</v>
      </c>
      <c r="C17" s="67" t="s">
        <v>73</v>
      </c>
      <c r="D17" s="75">
        <v>2.1299999999999999E-2</v>
      </c>
      <c r="E17" s="59" t="s">
        <v>97</v>
      </c>
      <c r="F17" s="101">
        <v>89940.655587000001</v>
      </c>
      <c r="G17" s="102">
        <f t="shared" si="7"/>
        <v>89940.655587000001</v>
      </c>
      <c r="H17" s="101">
        <f t="shared" si="0"/>
        <v>0</v>
      </c>
      <c r="I17" s="101">
        <f t="shared" si="6"/>
        <v>0</v>
      </c>
      <c r="J17" s="101">
        <f t="shared" si="1"/>
        <v>0</v>
      </c>
      <c r="K17" s="101">
        <f t="shared" si="2"/>
        <v>73777.711628999983</v>
      </c>
      <c r="L17" s="101">
        <f t="shared" si="3"/>
        <v>10650</v>
      </c>
      <c r="M17" s="163">
        <v>0</v>
      </c>
      <c r="N17" s="119">
        <f t="shared" si="4"/>
        <v>84427.711628999983</v>
      </c>
      <c r="O17" s="101">
        <f t="shared" si="5"/>
        <v>91941.777963980989</v>
      </c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</row>
    <row r="18" spans="1:28" x14ac:dyDescent="0.25">
      <c r="A18" s="165">
        <v>30</v>
      </c>
      <c r="B18" s="49" t="s">
        <v>34</v>
      </c>
      <c r="C18" s="69" t="s">
        <v>74</v>
      </c>
      <c r="D18" s="161">
        <v>2.1600000000000001E-2</v>
      </c>
      <c r="E18" s="162" t="s">
        <v>236</v>
      </c>
      <c r="F18" s="163">
        <v>91207.425384000016</v>
      </c>
      <c r="G18" s="102">
        <f>F18</f>
        <v>91207.425384000016</v>
      </c>
      <c r="H18" s="163">
        <f t="shared" si="0"/>
        <v>0</v>
      </c>
      <c r="I18" s="163">
        <f t="shared" si="6"/>
        <v>0</v>
      </c>
      <c r="J18" s="163">
        <f t="shared" si="1"/>
        <v>0</v>
      </c>
      <c r="K18" s="163">
        <f t="shared" si="2"/>
        <v>74816.834327999997</v>
      </c>
      <c r="L18" s="163">
        <f t="shared" si="3"/>
        <v>10800</v>
      </c>
      <c r="M18" s="163"/>
      <c r="N18" s="164">
        <f t="shared" si="4"/>
        <v>85616.834327999997</v>
      </c>
      <c r="O18" s="163">
        <f t="shared" si="5"/>
        <v>93236.732583192002</v>
      </c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</row>
    <row r="19" spans="1:28" x14ac:dyDescent="0.25">
      <c r="A19" s="84">
        <v>31</v>
      </c>
      <c r="B19" s="48" t="s">
        <v>35</v>
      </c>
      <c r="C19" s="68" t="s">
        <v>75</v>
      </c>
      <c r="D19" s="76">
        <v>2.0899999999999998E-2</v>
      </c>
      <c r="E19" s="60" t="s">
        <v>120</v>
      </c>
      <c r="F19" s="101">
        <v>88251.629191</v>
      </c>
      <c r="G19" s="93">
        <f t="shared" ref="G19:G23" si="8">F19</f>
        <v>88251.629191</v>
      </c>
      <c r="H19" s="101">
        <f t="shared" si="0"/>
        <v>0</v>
      </c>
      <c r="I19" s="101">
        <f t="shared" si="6"/>
        <v>0</v>
      </c>
      <c r="J19" s="101">
        <f t="shared" si="1"/>
        <v>0</v>
      </c>
      <c r="K19" s="101">
        <f t="shared" si="2"/>
        <v>72392.214696999989</v>
      </c>
      <c r="L19" s="101">
        <f t="shared" si="3"/>
        <v>10450</v>
      </c>
      <c r="M19" s="163">
        <v>0</v>
      </c>
      <c r="N19" s="119">
        <f t="shared" si="4"/>
        <v>82842.214696999989</v>
      </c>
      <c r="O19" s="101">
        <f t="shared" si="5"/>
        <v>90215.171805032995</v>
      </c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</row>
    <row r="20" spans="1:28" x14ac:dyDescent="0.25">
      <c r="A20" s="84">
        <v>32</v>
      </c>
      <c r="B20" s="47" t="s">
        <v>36</v>
      </c>
      <c r="C20" s="67" t="s">
        <v>76</v>
      </c>
      <c r="D20" s="77">
        <v>2.1299999999999999E-2</v>
      </c>
      <c r="E20" s="61" t="s">
        <v>119</v>
      </c>
      <c r="F20" s="101">
        <v>89765.239583420174</v>
      </c>
      <c r="G20" s="102">
        <f>90000</f>
        <v>90000</v>
      </c>
      <c r="H20" s="101">
        <f t="shared" si="0"/>
        <v>0</v>
      </c>
      <c r="I20" s="101">
        <f t="shared" si="6"/>
        <v>0</v>
      </c>
      <c r="J20" s="101">
        <f t="shared" si="1"/>
        <v>234.76041657982569</v>
      </c>
      <c r="K20" s="101">
        <f t="shared" si="2"/>
        <v>73777.711628999983</v>
      </c>
      <c r="L20" s="101">
        <f t="shared" si="3"/>
        <v>10650</v>
      </c>
      <c r="M20" s="163">
        <v>0</v>
      </c>
      <c r="N20" s="119">
        <f t="shared" si="4"/>
        <v>84192.951212420157</v>
      </c>
      <c r="O20" s="101">
        <f t="shared" si="5"/>
        <v>91686.123870325551</v>
      </c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</row>
    <row r="21" spans="1:28" x14ac:dyDescent="0.25">
      <c r="A21" s="84">
        <v>33</v>
      </c>
      <c r="B21" s="47" t="s">
        <v>37</v>
      </c>
      <c r="C21" s="67" t="s">
        <v>77</v>
      </c>
      <c r="D21" s="77">
        <v>2.1600000000000001E-2</v>
      </c>
      <c r="E21" s="61"/>
      <c r="F21" s="101">
        <v>91207.425384000016</v>
      </c>
      <c r="G21" s="93">
        <f>F21</f>
        <v>91207.425384000016</v>
      </c>
      <c r="H21" s="101">
        <f t="shared" si="0"/>
        <v>0</v>
      </c>
      <c r="I21" s="101">
        <f t="shared" si="6"/>
        <v>0</v>
      </c>
      <c r="J21" s="101">
        <f t="shared" si="1"/>
        <v>0</v>
      </c>
      <c r="K21" s="101">
        <f t="shared" si="2"/>
        <v>74816.834327999997</v>
      </c>
      <c r="L21" s="101">
        <f t="shared" si="3"/>
        <v>10800</v>
      </c>
      <c r="M21" s="163">
        <v>0</v>
      </c>
      <c r="N21" s="119">
        <f t="shared" si="4"/>
        <v>85616.834327999997</v>
      </c>
      <c r="O21" s="101">
        <f t="shared" si="5"/>
        <v>93236.732583192002</v>
      </c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</row>
    <row r="22" spans="1:28" x14ac:dyDescent="0.25">
      <c r="A22" s="84">
        <v>34</v>
      </c>
      <c r="B22" s="49" t="s">
        <v>38</v>
      </c>
      <c r="C22" s="69" t="s">
        <v>78</v>
      </c>
      <c r="D22" s="78">
        <v>2.0899999999999998E-2</v>
      </c>
      <c r="E22" s="62"/>
      <c r="F22" s="101">
        <v>89085.822034299039</v>
      </c>
      <c r="G22" s="93">
        <f>90000</f>
        <v>90000</v>
      </c>
      <c r="H22" s="101">
        <f t="shared" si="0"/>
        <v>0</v>
      </c>
      <c r="I22" s="101">
        <f t="shared" si="6"/>
        <v>0</v>
      </c>
      <c r="J22" s="101">
        <f t="shared" si="1"/>
        <v>914.17796570096107</v>
      </c>
      <c r="K22" s="101">
        <f t="shared" si="2"/>
        <v>72392.214696999989</v>
      </c>
      <c r="L22" s="101">
        <f t="shared" si="3"/>
        <v>10450</v>
      </c>
      <c r="M22" s="163">
        <v>0</v>
      </c>
      <c r="N22" s="119">
        <f t="shared" si="4"/>
        <v>81928.036731299027</v>
      </c>
      <c r="O22" s="101">
        <f t="shared" si="5"/>
        <v>89219.632000384649</v>
      </c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</row>
    <row r="23" spans="1:28" x14ac:dyDescent="0.25">
      <c r="A23" s="84">
        <v>35</v>
      </c>
      <c r="B23" s="50" t="s">
        <v>39</v>
      </c>
      <c r="C23" s="70" t="s">
        <v>79</v>
      </c>
      <c r="D23" s="79">
        <v>2.1299999999999999E-2</v>
      </c>
      <c r="E23" s="63" t="s">
        <v>98</v>
      </c>
      <c r="F23" s="101">
        <v>89940.655587000001</v>
      </c>
      <c r="G23" s="93">
        <f t="shared" si="8"/>
        <v>89940.655587000001</v>
      </c>
      <c r="H23" s="101">
        <f t="shared" si="0"/>
        <v>0</v>
      </c>
      <c r="I23" s="101">
        <f t="shared" si="6"/>
        <v>0</v>
      </c>
      <c r="J23" s="101">
        <f t="shared" si="1"/>
        <v>0</v>
      </c>
      <c r="K23" s="101">
        <f t="shared" si="2"/>
        <v>73777.711628999983</v>
      </c>
      <c r="L23" s="101">
        <f t="shared" si="3"/>
        <v>10650</v>
      </c>
      <c r="M23" s="163">
        <v>0</v>
      </c>
      <c r="N23" s="119">
        <f t="shared" si="4"/>
        <v>84427.711628999983</v>
      </c>
      <c r="O23" s="101">
        <f t="shared" si="5"/>
        <v>91941.777963980989</v>
      </c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</row>
    <row r="24" spans="1:28" x14ac:dyDescent="0.25">
      <c r="A24" s="84">
        <v>36</v>
      </c>
      <c r="B24" s="51" t="s">
        <v>40</v>
      </c>
      <c r="C24" s="70" t="s">
        <v>80</v>
      </c>
      <c r="D24" s="79">
        <v>2.1600000000000001E-2</v>
      </c>
      <c r="E24" s="63" t="s">
        <v>161</v>
      </c>
      <c r="F24" s="101">
        <v>183781.12207162974</v>
      </c>
      <c r="G24" s="93">
        <v>91207</v>
      </c>
      <c r="H24" s="101">
        <f t="shared" si="0"/>
        <v>92574.122071629739</v>
      </c>
      <c r="I24" s="101">
        <f t="shared" si="6"/>
        <v>2777.2236621488919</v>
      </c>
      <c r="J24" s="101">
        <f t="shared" si="1"/>
        <v>0</v>
      </c>
      <c r="K24" s="101">
        <f t="shared" si="2"/>
        <v>74816.834327999997</v>
      </c>
      <c r="L24" s="101">
        <f t="shared" si="3"/>
        <v>10800</v>
      </c>
      <c r="M24" s="163">
        <v>0</v>
      </c>
      <c r="N24" s="119">
        <f t="shared" si="4"/>
        <v>180968.18006177864</v>
      </c>
      <c r="O24" s="101">
        <f t="shared" si="5"/>
        <v>197074.34808727694</v>
      </c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</row>
    <row r="25" spans="1:28" x14ac:dyDescent="0.25">
      <c r="A25" s="84">
        <v>37</v>
      </c>
      <c r="B25" s="52" t="s">
        <v>41</v>
      </c>
      <c r="C25" s="70" t="s">
        <v>81</v>
      </c>
      <c r="D25" s="79">
        <v>2.0899999999999998E-2</v>
      </c>
      <c r="E25" s="63" t="s">
        <v>238</v>
      </c>
      <c r="F25" s="101">
        <v>96106.024188998999</v>
      </c>
      <c r="G25" s="93">
        <f>F25</f>
        <v>96106.024188998999</v>
      </c>
      <c r="H25" s="101">
        <f t="shared" si="0"/>
        <v>0</v>
      </c>
      <c r="I25" s="101">
        <f t="shared" si="6"/>
        <v>0</v>
      </c>
      <c r="J25" s="101">
        <f t="shared" si="1"/>
        <v>0</v>
      </c>
      <c r="K25" s="101">
        <f t="shared" si="2"/>
        <v>72392.214696999989</v>
      </c>
      <c r="L25" s="101">
        <f t="shared" si="3"/>
        <v>10450</v>
      </c>
      <c r="M25" s="163">
        <v>0</v>
      </c>
      <c r="N25" s="119">
        <f t="shared" si="4"/>
        <v>82842.214696999989</v>
      </c>
      <c r="O25" s="101">
        <f t="shared" si="5"/>
        <v>90215.171805032995</v>
      </c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</row>
    <row r="26" spans="1:28" x14ac:dyDescent="0.25">
      <c r="A26" s="84">
        <v>38</v>
      </c>
      <c r="B26" s="50" t="s">
        <v>42</v>
      </c>
      <c r="C26" s="70" t="s">
        <v>23</v>
      </c>
      <c r="D26" s="79">
        <v>2.1299999999999999E-2</v>
      </c>
      <c r="E26" s="63"/>
      <c r="F26" s="101">
        <v>89940.655587000001</v>
      </c>
      <c r="G26" s="93">
        <f>F26</f>
        <v>89940.655587000001</v>
      </c>
      <c r="H26" s="101">
        <f t="shared" si="0"/>
        <v>0</v>
      </c>
      <c r="I26" s="101">
        <f t="shared" si="6"/>
        <v>0</v>
      </c>
      <c r="J26" s="101">
        <f t="shared" si="1"/>
        <v>0</v>
      </c>
      <c r="K26" s="101">
        <f t="shared" si="2"/>
        <v>73777.711628999983</v>
      </c>
      <c r="L26" s="101">
        <f t="shared" si="3"/>
        <v>10650</v>
      </c>
      <c r="M26" s="163">
        <v>0</v>
      </c>
      <c r="N26" s="119">
        <f t="shared" si="4"/>
        <v>84427.711628999983</v>
      </c>
      <c r="O26" s="101">
        <f t="shared" si="5"/>
        <v>91941.777963980989</v>
      </c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</row>
    <row r="27" spans="1:28" x14ac:dyDescent="0.25">
      <c r="A27" s="84">
        <v>39</v>
      </c>
      <c r="B27" s="52" t="s">
        <v>43</v>
      </c>
      <c r="C27" s="70" t="s">
        <v>82</v>
      </c>
      <c r="D27" s="79">
        <v>2.1600000000000001E-2</v>
      </c>
      <c r="E27" s="63" t="s">
        <v>211</v>
      </c>
      <c r="F27" s="101">
        <v>91207.499563424615</v>
      </c>
      <c r="G27" s="93">
        <f>91207+3800-G60</f>
        <v>91206.690608999997</v>
      </c>
      <c r="H27" s="101">
        <f t="shared" si="0"/>
        <v>0.80895442461769562</v>
      </c>
      <c r="I27" s="101">
        <f t="shared" si="6"/>
        <v>2.4268632738530867E-2</v>
      </c>
      <c r="J27" s="101">
        <f t="shared" si="1"/>
        <v>0</v>
      </c>
      <c r="K27" s="101">
        <f t="shared" si="2"/>
        <v>74816.834327999997</v>
      </c>
      <c r="L27" s="101">
        <f t="shared" si="3"/>
        <v>10800</v>
      </c>
      <c r="M27" s="163">
        <v>0</v>
      </c>
      <c r="N27" s="119">
        <f t="shared" si="4"/>
        <v>85617.667551057355</v>
      </c>
      <c r="O27" s="101">
        <f t="shared" si="5"/>
        <v>93237.639963101465</v>
      </c>
      <c r="P27" s="158"/>
      <c r="Q27" s="158" t="s">
        <v>213</v>
      </c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</row>
    <row r="28" spans="1:28" x14ac:dyDescent="0.25">
      <c r="A28" s="84">
        <v>40</v>
      </c>
      <c r="B28" s="50" t="s">
        <v>44</v>
      </c>
      <c r="C28" s="70" t="s">
        <v>83</v>
      </c>
      <c r="D28" s="79">
        <v>2.0899999999999998E-2</v>
      </c>
      <c r="E28" s="63"/>
      <c r="F28" s="101">
        <v>88251.389626316362</v>
      </c>
      <c r="G28" s="102"/>
      <c r="H28" s="101">
        <f t="shared" si="0"/>
        <v>88251.389626316362</v>
      </c>
      <c r="I28" s="101">
        <f t="shared" si="6"/>
        <v>2647.5416887894908</v>
      </c>
      <c r="J28" s="101">
        <f t="shared" si="1"/>
        <v>0</v>
      </c>
      <c r="K28" s="101">
        <f t="shared" si="2"/>
        <v>72392.214696999989</v>
      </c>
      <c r="L28" s="101">
        <f t="shared" si="3"/>
        <v>10450</v>
      </c>
      <c r="M28" s="163">
        <v>0</v>
      </c>
      <c r="N28" s="119">
        <f t="shared" si="4"/>
        <v>173741.14601210586</v>
      </c>
      <c r="O28" s="101">
        <f t="shared" si="5"/>
        <v>189204.1080071833</v>
      </c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</row>
    <row r="29" spans="1:28" x14ac:dyDescent="0.25">
      <c r="A29" s="84">
        <v>41</v>
      </c>
      <c r="B29" s="50" t="s">
        <v>45</v>
      </c>
      <c r="C29" s="70" t="s">
        <v>84</v>
      </c>
      <c r="D29" s="79">
        <v>2.1299999999999999E-2</v>
      </c>
      <c r="E29" s="63" t="s">
        <v>99</v>
      </c>
      <c r="F29" s="101">
        <v>89912.963745080022</v>
      </c>
      <c r="G29" s="93">
        <v>90000</v>
      </c>
      <c r="H29" s="101">
        <f t="shared" si="0"/>
        <v>0</v>
      </c>
      <c r="I29" s="101">
        <f t="shared" si="6"/>
        <v>0</v>
      </c>
      <c r="J29" s="101">
        <f t="shared" si="1"/>
        <v>87.036254919978091</v>
      </c>
      <c r="K29" s="101">
        <f t="shared" si="2"/>
        <v>73777.711628999983</v>
      </c>
      <c r="L29" s="101">
        <f t="shared" si="3"/>
        <v>10650</v>
      </c>
      <c r="M29" s="163">
        <v>0</v>
      </c>
      <c r="N29" s="119">
        <f t="shared" si="4"/>
        <v>84340.675374080005</v>
      </c>
      <c r="O29" s="101">
        <f t="shared" si="5"/>
        <v>91846.995482373124</v>
      </c>
      <c r="P29" s="158"/>
      <c r="Q29" s="158" t="s">
        <v>215</v>
      </c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</row>
    <row r="30" spans="1:28" ht="15.75" thickBot="1" x14ac:dyDescent="0.3">
      <c r="A30" s="111">
        <v>42</v>
      </c>
      <c r="B30" s="104" t="s">
        <v>46</v>
      </c>
      <c r="C30" s="112" t="s">
        <v>144</v>
      </c>
      <c r="D30" s="106">
        <v>2.1600000000000001E-2</v>
      </c>
      <c r="E30" s="108" t="s">
        <v>188</v>
      </c>
      <c r="F30" s="126">
        <v>222031.46196235224</v>
      </c>
      <c r="G30" s="171">
        <f>222031</f>
        <v>222031</v>
      </c>
      <c r="H30" s="113">
        <f t="shared" si="0"/>
        <v>0.46196235224488191</v>
      </c>
      <c r="I30" s="101">
        <f t="shared" si="6"/>
        <v>1.3858870567346457E-2</v>
      </c>
      <c r="J30" s="126">
        <f t="shared" si="1"/>
        <v>0</v>
      </c>
      <c r="K30" s="113">
        <f t="shared" si="2"/>
        <v>74816.834327999997</v>
      </c>
      <c r="L30" s="101">
        <f t="shared" si="3"/>
        <v>10800</v>
      </c>
      <c r="M30" s="163">
        <v>0</v>
      </c>
      <c r="N30" s="119">
        <f t="shared" si="4"/>
        <v>85617.310149222816</v>
      </c>
      <c r="O30" s="113">
        <f t="shared" si="5"/>
        <v>93237.250752503649</v>
      </c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</row>
    <row r="31" spans="1:28" ht="15.75" thickTop="1" x14ac:dyDescent="0.25">
      <c r="A31" s="110">
        <v>43</v>
      </c>
      <c r="B31" s="105" t="s">
        <v>47</v>
      </c>
      <c r="C31" s="117" t="s">
        <v>85</v>
      </c>
      <c r="D31" s="107">
        <v>2.0899999999999998E-2</v>
      </c>
      <c r="E31" s="109" t="s">
        <v>100</v>
      </c>
      <c r="F31" s="125">
        <v>88251.629191</v>
      </c>
      <c r="G31" s="125">
        <f>F31</f>
        <v>88251.629191</v>
      </c>
      <c r="H31" s="120">
        <f t="shared" si="0"/>
        <v>0</v>
      </c>
      <c r="I31" s="101">
        <f t="shared" si="6"/>
        <v>0</v>
      </c>
      <c r="J31" s="120">
        <f t="shared" si="1"/>
        <v>0</v>
      </c>
      <c r="K31" s="125">
        <f t="shared" si="2"/>
        <v>72392.214696999989</v>
      </c>
      <c r="L31" s="101">
        <f t="shared" si="3"/>
        <v>10450</v>
      </c>
      <c r="M31" s="163">
        <v>0</v>
      </c>
      <c r="N31" s="119">
        <f t="shared" si="4"/>
        <v>82842.214696999989</v>
      </c>
      <c r="O31" s="120">
        <f t="shared" si="5"/>
        <v>90215.171805032995</v>
      </c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</row>
    <row r="32" spans="1:28" x14ac:dyDescent="0.25">
      <c r="A32" s="85">
        <v>44</v>
      </c>
      <c r="B32" s="50" t="s">
        <v>48</v>
      </c>
      <c r="C32" s="115" t="s">
        <v>84</v>
      </c>
      <c r="D32" s="64">
        <v>2.1299999999999999E-2</v>
      </c>
      <c r="E32" s="116" t="s">
        <v>101</v>
      </c>
      <c r="F32" s="93">
        <v>196120.22453501768</v>
      </c>
      <c r="G32" s="93">
        <f>105142+106179-G69</f>
        <v>196119.76243599999</v>
      </c>
      <c r="H32" s="101">
        <f t="shared" si="0"/>
        <v>0.46209901769179851</v>
      </c>
      <c r="I32" s="101">
        <f t="shared" si="6"/>
        <v>1.3862970530753955E-2</v>
      </c>
      <c r="J32" s="101">
        <f t="shared" si="1"/>
        <v>0</v>
      </c>
      <c r="K32" s="93">
        <f t="shared" si="2"/>
        <v>73777.711628999983</v>
      </c>
      <c r="L32" s="101">
        <f t="shared" si="3"/>
        <v>10650</v>
      </c>
      <c r="M32" s="163">
        <v>0</v>
      </c>
      <c r="N32" s="119">
        <f t="shared" si="4"/>
        <v>84428.187590988207</v>
      </c>
      <c r="O32" s="101">
        <f t="shared" si="5"/>
        <v>91942.296286586163</v>
      </c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</row>
    <row r="33" spans="1:17" x14ac:dyDescent="0.25">
      <c r="A33" s="86">
        <v>45</v>
      </c>
      <c r="B33" s="50" t="s">
        <v>49</v>
      </c>
      <c r="C33" s="71" t="s">
        <v>86</v>
      </c>
      <c r="D33" s="114">
        <v>2.1600000000000001E-2</v>
      </c>
      <c r="E33" s="64" t="s">
        <v>151</v>
      </c>
      <c r="F33" s="93">
        <v>91207.461673777012</v>
      </c>
      <c r="G33" s="102">
        <f>95007-G64</f>
        <v>91206.690608999997</v>
      </c>
      <c r="H33" s="101">
        <f t="shared" si="0"/>
        <v>0.77106477701454423</v>
      </c>
      <c r="I33" s="101">
        <f t="shared" si="6"/>
        <v>2.3131943310436325E-2</v>
      </c>
      <c r="J33" s="101">
        <f t="shared" si="1"/>
        <v>0</v>
      </c>
      <c r="K33" s="93">
        <f t="shared" si="2"/>
        <v>74816.834327999997</v>
      </c>
      <c r="L33" s="101">
        <f t="shared" si="3"/>
        <v>10800</v>
      </c>
      <c r="M33" s="163">
        <v>0</v>
      </c>
      <c r="N33" s="119">
        <f t="shared" si="4"/>
        <v>85617.62852472032</v>
      </c>
      <c r="O33" s="101">
        <f t="shared" si="5"/>
        <v>93237.597463420432</v>
      </c>
      <c r="Q33" t="s">
        <v>212</v>
      </c>
    </row>
    <row r="34" spans="1:17" x14ac:dyDescent="0.25">
      <c r="A34" s="85">
        <v>46</v>
      </c>
      <c r="B34" s="50" t="s">
        <v>50</v>
      </c>
      <c r="C34" s="72" t="s">
        <v>189</v>
      </c>
      <c r="D34" s="64">
        <v>2.0899999999999998E-2</v>
      </c>
      <c r="E34" s="64"/>
      <c r="F34" s="93">
        <v>96106.024188998999</v>
      </c>
      <c r="G34" s="93">
        <v>88252</v>
      </c>
      <c r="H34" s="101">
        <f t="shared" si="0"/>
        <v>7854.0241889989993</v>
      </c>
      <c r="I34" s="101">
        <f t="shared" si="6"/>
        <v>235.62072566996997</v>
      </c>
      <c r="J34" s="101">
        <f t="shared" si="1"/>
        <v>0</v>
      </c>
      <c r="K34" s="93">
        <f t="shared" si="2"/>
        <v>72392.214696999989</v>
      </c>
      <c r="L34" s="101">
        <f t="shared" si="3"/>
        <v>10450</v>
      </c>
      <c r="M34" s="163"/>
      <c r="N34" s="119">
        <f t="shared" si="4"/>
        <v>90931.859611668959</v>
      </c>
      <c r="O34" s="101">
        <f t="shared" si="5"/>
        <v>99024.795117107496</v>
      </c>
    </row>
    <row r="35" spans="1:17" x14ac:dyDescent="0.25">
      <c r="A35" s="85">
        <v>47</v>
      </c>
      <c r="B35" s="50" t="s">
        <v>51</v>
      </c>
      <c r="C35" s="71" t="s">
        <v>147</v>
      </c>
      <c r="D35" s="64">
        <v>2.1299999999999999E-2</v>
      </c>
      <c r="E35" s="64"/>
      <c r="F35" s="93">
        <v>89941.127027922164</v>
      </c>
      <c r="G35" s="93">
        <f>93741-G52</f>
        <v>89940.690608999997</v>
      </c>
      <c r="H35" s="101">
        <f t="shared" si="0"/>
        <v>0.43641892216692213</v>
      </c>
      <c r="I35" s="101">
        <f t="shared" si="6"/>
        <v>1.3092567665007663E-2</v>
      </c>
      <c r="J35" s="101">
        <f t="shared" si="1"/>
        <v>0</v>
      </c>
      <c r="K35" s="93">
        <f t="shared" si="2"/>
        <v>73777.711628999983</v>
      </c>
      <c r="L35" s="101">
        <f t="shared" si="3"/>
        <v>10650</v>
      </c>
      <c r="M35" s="163">
        <v>0</v>
      </c>
      <c r="N35" s="119">
        <f t="shared" si="4"/>
        <v>84428.161140489814</v>
      </c>
      <c r="O35" s="101">
        <f t="shared" si="5"/>
        <v>91942.267481993404</v>
      </c>
      <c r="Q35" t="s">
        <v>214</v>
      </c>
    </row>
    <row r="36" spans="1:17" x14ac:dyDescent="0.25">
      <c r="A36" s="86">
        <v>48</v>
      </c>
      <c r="B36" s="50" t="s">
        <v>52</v>
      </c>
      <c r="C36" s="71" t="s">
        <v>90</v>
      </c>
      <c r="D36" s="64">
        <v>2.1600000000000001E-2</v>
      </c>
      <c r="E36" s="64" t="s">
        <v>102</v>
      </c>
      <c r="F36" s="93">
        <v>205833.28812935116</v>
      </c>
      <c r="G36" s="102"/>
      <c r="H36" s="101">
        <f t="shared" si="0"/>
        <v>205833.28812935116</v>
      </c>
      <c r="I36" s="101">
        <f t="shared" si="6"/>
        <v>6174.9986438805345</v>
      </c>
      <c r="J36" s="101">
        <f t="shared" si="1"/>
        <v>0</v>
      </c>
      <c r="K36" s="93">
        <f t="shared" si="2"/>
        <v>74816.834327999997</v>
      </c>
      <c r="L36" s="101">
        <f t="shared" si="3"/>
        <v>10800</v>
      </c>
      <c r="M36" s="163"/>
      <c r="N36" s="119">
        <f t="shared" si="4"/>
        <v>297625.12110123166</v>
      </c>
      <c r="O36" s="101">
        <f t="shared" si="5"/>
        <v>324113.75687924126</v>
      </c>
    </row>
    <row r="37" spans="1:17" x14ac:dyDescent="0.25">
      <c r="A37" s="87">
        <v>49</v>
      </c>
      <c r="B37" s="166" t="s">
        <v>53</v>
      </c>
      <c r="C37" s="72" t="s">
        <v>87</v>
      </c>
      <c r="D37" s="65">
        <v>2.0899999999999998E-2</v>
      </c>
      <c r="E37" s="65" t="s">
        <v>103</v>
      </c>
      <c r="F37" s="102">
        <v>492417.24328830547</v>
      </c>
      <c r="G37" s="102"/>
      <c r="H37" s="163">
        <f t="shared" si="0"/>
        <v>492417.24328830547</v>
      </c>
      <c r="I37" s="163">
        <f t="shared" si="6"/>
        <v>14772.517298649163</v>
      </c>
      <c r="J37" s="167">
        <f t="shared" si="1"/>
        <v>0</v>
      </c>
      <c r="K37" s="102">
        <f t="shared" si="2"/>
        <v>72392.214696999989</v>
      </c>
      <c r="L37" s="163">
        <f t="shared" si="3"/>
        <v>10450</v>
      </c>
      <c r="M37" s="163"/>
      <c r="N37" s="164">
        <f>H37+I37+K37-J37+M37+L37</f>
        <v>590031.97528395464</v>
      </c>
      <c r="O37" s="163">
        <f t="shared" si="5"/>
        <v>642544.8210842266</v>
      </c>
    </row>
    <row r="38" spans="1:17" x14ac:dyDescent="0.25">
      <c r="A38" s="87">
        <v>50</v>
      </c>
      <c r="B38" s="50" t="s">
        <v>54</v>
      </c>
      <c r="C38" s="220" t="s">
        <v>239</v>
      </c>
      <c r="D38" s="64">
        <v>2.1299999999999999E-2</v>
      </c>
      <c r="E38" s="64" t="s">
        <v>123</v>
      </c>
      <c r="F38" s="93">
        <v>89940.692312778119</v>
      </c>
      <c r="G38" s="93">
        <f>93741-F62</f>
        <v>89940.690608999997</v>
      </c>
      <c r="H38" s="101">
        <f t="shared" si="0"/>
        <v>1.703778121736832E-3</v>
      </c>
      <c r="I38" s="101">
        <f t="shared" si="6"/>
        <v>5.1113343652104959E-5</v>
      </c>
      <c r="J38" s="101">
        <f t="shared" si="1"/>
        <v>0</v>
      </c>
      <c r="K38" s="93">
        <f t="shared" si="2"/>
        <v>73777.711628999983</v>
      </c>
      <c r="L38" s="101">
        <f t="shared" si="3"/>
        <v>10650</v>
      </c>
      <c r="M38" s="163">
        <v>0</v>
      </c>
      <c r="N38" s="119">
        <f t="shared" si="4"/>
        <v>84427.713383891445</v>
      </c>
      <c r="O38" s="101">
        <f t="shared" si="5"/>
        <v>91941.779875057779</v>
      </c>
    </row>
    <row r="39" spans="1:17" x14ac:dyDescent="0.25">
      <c r="A39" s="85">
        <v>51</v>
      </c>
      <c r="B39" s="50" t="s">
        <v>55</v>
      </c>
      <c r="C39" s="71" t="s">
        <v>88</v>
      </c>
      <c r="D39" s="64">
        <v>2.1600000000000001E-2</v>
      </c>
      <c r="E39" s="64" t="s">
        <v>150</v>
      </c>
      <c r="F39" s="93">
        <v>-11597.814541593121</v>
      </c>
      <c r="G39" s="93">
        <f>62601-G68</f>
        <v>0.20606709703133674</v>
      </c>
      <c r="H39" s="101">
        <f t="shared" si="0"/>
        <v>0</v>
      </c>
      <c r="I39" s="101">
        <f t="shared" si="6"/>
        <v>0</v>
      </c>
      <c r="J39" s="101">
        <f t="shared" si="1"/>
        <v>11598.020608690153</v>
      </c>
      <c r="K39" s="93">
        <f t="shared" si="2"/>
        <v>74816.834327999997</v>
      </c>
      <c r="L39" s="101">
        <f t="shared" si="3"/>
        <v>10800</v>
      </c>
      <c r="M39" s="163">
        <v>0</v>
      </c>
      <c r="N39" s="119">
        <f t="shared" si="4"/>
        <v>74018.813719309837</v>
      </c>
      <c r="O39" s="101">
        <f t="shared" si="5"/>
        <v>80606.488140328409</v>
      </c>
    </row>
    <row r="40" spans="1:17" x14ac:dyDescent="0.25">
      <c r="A40" s="86">
        <v>52</v>
      </c>
      <c r="B40" s="50" t="s">
        <v>56</v>
      </c>
      <c r="C40" s="71" t="s">
        <v>89</v>
      </c>
      <c r="D40" s="64">
        <v>2.0899999999999998E-2</v>
      </c>
      <c r="E40" s="64" t="s">
        <v>104</v>
      </c>
      <c r="F40" s="93">
        <v>92334.434272661296</v>
      </c>
      <c r="G40" s="102">
        <f>95000-G51</f>
        <v>91199.690608999997</v>
      </c>
      <c r="H40" s="101">
        <f t="shared" si="0"/>
        <v>1134.7436636612983</v>
      </c>
      <c r="I40" s="101">
        <f t="shared" si="6"/>
        <v>34.042309909838949</v>
      </c>
      <c r="J40" s="101">
        <f t="shared" si="1"/>
        <v>0</v>
      </c>
      <c r="K40" s="93">
        <f t="shared" si="2"/>
        <v>72392.214696999989</v>
      </c>
      <c r="L40" s="101">
        <f t="shared" si="3"/>
        <v>10450</v>
      </c>
      <c r="M40" s="163">
        <v>0</v>
      </c>
      <c r="N40" s="119">
        <f t="shared" si="4"/>
        <v>84011.000670571128</v>
      </c>
      <c r="O40" s="101">
        <f t="shared" si="5"/>
        <v>91487.979730251958</v>
      </c>
    </row>
    <row r="41" spans="1:17" x14ac:dyDescent="0.25">
      <c r="A41" s="85">
        <v>53</v>
      </c>
      <c r="B41" s="50" t="s">
        <v>57</v>
      </c>
      <c r="C41" s="71" t="s">
        <v>146</v>
      </c>
      <c r="D41" s="64">
        <v>2.1299999999999999E-2</v>
      </c>
      <c r="E41" s="64" t="s">
        <v>145</v>
      </c>
      <c r="F41" s="93">
        <v>89369.601326000004</v>
      </c>
      <c r="G41" s="93">
        <v>90000</v>
      </c>
      <c r="H41" s="101">
        <f t="shared" si="0"/>
        <v>0</v>
      </c>
      <c r="I41" s="101">
        <f t="shared" si="6"/>
        <v>0</v>
      </c>
      <c r="J41" s="101">
        <f t="shared" si="1"/>
        <v>630.39867399999639</v>
      </c>
      <c r="K41" s="93">
        <f t="shared" si="2"/>
        <v>73777.711628999983</v>
      </c>
      <c r="L41" s="101">
        <f t="shared" si="3"/>
        <v>10650</v>
      </c>
      <c r="M41" s="163">
        <v>0</v>
      </c>
      <c r="N41" s="119">
        <f t="shared" si="4"/>
        <v>83797.312954999987</v>
      </c>
      <c r="O41" s="101">
        <f t="shared" si="5"/>
        <v>91255.273807994992</v>
      </c>
    </row>
    <row r="42" spans="1:17" x14ac:dyDescent="0.25">
      <c r="A42" s="86">
        <v>54</v>
      </c>
      <c r="B42" s="50" t="s">
        <v>58</v>
      </c>
      <c r="C42" s="71" t="s">
        <v>90</v>
      </c>
      <c r="D42" s="64">
        <v>3.4099999999999998E-2</v>
      </c>
      <c r="E42" s="64" t="s">
        <v>105</v>
      </c>
      <c r="F42" s="93">
        <v>143989.99628833093</v>
      </c>
      <c r="G42" s="102">
        <f>147790-G57</f>
        <v>143989.69060900001</v>
      </c>
      <c r="H42" s="101">
        <f t="shared" si="0"/>
        <v>0.30567933092243038</v>
      </c>
      <c r="I42" s="101">
        <f t="shared" si="6"/>
        <v>9.1703799276729118E-3</v>
      </c>
      <c r="J42" s="101">
        <f t="shared" si="1"/>
        <v>0</v>
      </c>
      <c r="K42" s="93">
        <f t="shared" si="2"/>
        <v>118113.61345299998</v>
      </c>
      <c r="L42" s="101">
        <f t="shared" si="3"/>
        <v>17050</v>
      </c>
      <c r="M42" s="163">
        <v>0</v>
      </c>
      <c r="N42" s="119">
        <f t="shared" si="4"/>
        <v>135163.92830271082</v>
      </c>
      <c r="O42" s="101">
        <f t="shared" si="5"/>
        <v>147193.51792165209</v>
      </c>
    </row>
    <row r="43" spans="1:17" x14ac:dyDescent="0.25">
      <c r="A43" s="85">
        <v>55</v>
      </c>
      <c r="B43" s="50" t="s">
        <v>59</v>
      </c>
      <c r="C43" s="71" t="s">
        <v>91</v>
      </c>
      <c r="D43" s="64">
        <v>3.3500000000000002E-2</v>
      </c>
      <c r="E43" s="64" t="s">
        <v>148</v>
      </c>
      <c r="F43" s="93">
        <v>141455.89937534736</v>
      </c>
      <c r="G43" s="93">
        <f>145256-G59</f>
        <v>141455.69060900001</v>
      </c>
      <c r="H43" s="101">
        <f t="shared" si="0"/>
        <v>0.20876634735031985</v>
      </c>
      <c r="I43" s="101">
        <f t="shared" si="6"/>
        <v>6.2629904205095954E-3</v>
      </c>
      <c r="J43" s="101">
        <f t="shared" si="1"/>
        <v>0</v>
      </c>
      <c r="K43" s="93">
        <f t="shared" si="2"/>
        <v>116035.368055</v>
      </c>
      <c r="L43" s="101">
        <f t="shared" si="3"/>
        <v>16750</v>
      </c>
      <c r="M43" s="163">
        <v>0</v>
      </c>
      <c r="N43" s="119">
        <f t="shared" si="4"/>
        <v>132785.58308433776</v>
      </c>
      <c r="O43" s="101">
        <f t="shared" si="5"/>
        <v>144603.49997884381</v>
      </c>
      <c r="Q43" t="s">
        <v>205</v>
      </c>
    </row>
    <row r="44" spans="1:17" x14ac:dyDescent="0.25">
      <c r="A44" s="85">
        <v>56</v>
      </c>
      <c r="B44" s="50" t="s">
        <v>60</v>
      </c>
      <c r="C44" s="71" t="s">
        <v>80</v>
      </c>
      <c r="D44" s="64">
        <v>3.4099999999999998E-2</v>
      </c>
      <c r="E44" s="64" t="s">
        <v>163</v>
      </c>
      <c r="F44" s="93">
        <v>143989.39977826623</v>
      </c>
      <c r="G44" s="102">
        <f>147789-G55</f>
        <v>143988.69060900001</v>
      </c>
      <c r="H44" s="101">
        <f t="shared" si="0"/>
        <v>0.70916926622157916</v>
      </c>
      <c r="I44" s="101">
        <f t="shared" si="6"/>
        <v>2.1275077986647375E-2</v>
      </c>
      <c r="J44" s="101">
        <f t="shared" si="1"/>
        <v>0</v>
      </c>
      <c r="K44" s="93">
        <f t="shared" si="2"/>
        <v>118113.61345299998</v>
      </c>
      <c r="L44" s="101">
        <f t="shared" si="3"/>
        <v>17050</v>
      </c>
      <c r="M44" s="163">
        <v>0</v>
      </c>
      <c r="N44" s="119">
        <f t="shared" si="4"/>
        <v>135164.3438973442</v>
      </c>
      <c r="O44" s="101">
        <f t="shared" si="5"/>
        <v>147193.97050420783</v>
      </c>
    </row>
    <row r="45" spans="1:17" x14ac:dyDescent="0.25">
      <c r="A45" s="85">
        <v>57</v>
      </c>
      <c r="B45" s="50" t="s">
        <v>61</v>
      </c>
      <c r="C45" s="71" t="s">
        <v>92</v>
      </c>
      <c r="D45" s="64">
        <v>3.3500000000000002E-2</v>
      </c>
      <c r="E45" s="64"/>
      <c r="F45" s="93">
        <v>132411.65046599263</v>
      </c>
      <c r="G45" s="102"/>
      <c r="H45" s="101">
        <f t="shared" si="0"/>
        <v>132411.65046599263</v>
      </c>
      <c r="I45" s="101">
        <f t="shared" si="6"/>
        <v>3972.3495139797787</v>
      </c>
      <c r="J45" s="101">
        <f t="shared" si="1"/>
        <v>0</v>
      </c>
      <c r="K45" s="93">
        <f t="shared" si="2"/>
        <v>116035.368055</v>
      </c>
      <c r="L45" s="101">
        <f t="shared" si="3"/>
        <v>16750</v>
      </c>
      <c r="M45" s="163">
        <v>0</v>
      </c>
      <c r="N45" s="119">
        <f t="shared" si="4"/>
        <v>269169.3680349724</v>
      </c>
      <c r="O45" s="101">
        <f t="shared" si="5"/>
        <v>293125.44179008494</v>
      </c>
    </row>
    <row r="46" spans="1:17" x14ac:dyDescent="0.25">
      <c r="A46" s="85">
        <v>58</v>
      </c>
      <c r="B46" s="50" t="s">
        <v>62</v>
      </c>
      <c r="C46" s="71" t="s">
        <v>93</v>
      </c>
      <c r="D46" s="64">
        <v>3.4099999999999998E-2</v>
      </c>
      <c r="E46" s="64"/>
      <c r="F46" s="93">
        <v>143990.00738583729</v>
      </c>
      <c r="G46" s="93">
        <f>147790-G58</f>
        <v>143989.69060900001</v>
      </c>
      <c r="H46" s="101">
        <f t="shared" si="0"/>
        <v>0.31677683728048578</v>
      </c>
      <c r="I46" s="101">
        <f t="shared" si="6"/>
        <v>9.5033051184145734E-3</v>
      </c>
      <c r="J46" s="101">
        <f t="shared" si="1"/>
        <v>0</v>
      </c>
      <c r="K46" s="93">
        <f t="shared" si="2"/>
        <v>118113.61345299998</v>
      </c>
      <c r="L46" s="101">
        <f t="shared" si="3"/>
        <v>17050</v>
      </c>
      <c r="M46" s="163">
        <v>0</v>
      </c>
      <c r="N46" s="119">
        <f t="shared" si="4"/>
        <v>135163.93973314238</v>
      </c>
      <c r="O46" s="101">
        <f t="shared" si="5"/>
        <v>147193.53036939204</v>
      </c>
    </row>
    <row r="47" spans="1:17" x14ac:dyDescent="0.25">
      <c r="A47" s="85">
        <v>59</v>
      </c>
      <c r="B47" s="50" t="s">
        <v>63</v>
      </c>
      <c r="C47" s="71" t="s">
        <v>69</v>
      </c>
      <c r="D47" s="64">
        <v>3.3500000000000002E-2</v>
      </c>
      <c r="E47" s="64" t="s">
        <v>183</v>
      </c>
      <c r="F47" s="93">
        <v>141435.89937534736</v>
      </c>
      <c r="G47" s="93">
        <f>145236-G53</f>
        <v>141435.69060900001</v>
      </c>
      <c r="H47" s="101">
        <f t="shared" si="0"/>
        <v>0.20876634735031985</v>
      </c>
      <c r="I47" s="101">
        <f t="shared" si="6"/>
        <v>6.2629904205095954E-3</v>
      </c>
      <c r="J47" s="101">
        <f t="shared" si="1"/>
        <v>0</v>
      </c>
      <c r="K47" s="93">
        <f t="shared" si="2"/>
        <v>116035.368055</v>
      </c>
      <c r="L47" s="101">
        <f t="shared" si="3"/>
        <v>16750</v>
      </c>
      <c r="M47" s="163">
        <v>0</v>
      </c>
      <c r="N47" s="119">
        <f t="shared" si="4"/>
        <v>132785.58308433776</v>
      </c>
      <c r="O47" s="101">
        <f t="shared" si="5"/>
        <v>144603.49997884381</v>
      </c>
    </row>
    <row r="48" spans="1:17" x14ac:dyDescent="0.25">
      <c r="A48" s="87">
        <v>60</v>
      </c>
      <c r="B48" s="53" t="s">
        <v>65</v>
      </c>
      <c r="C48" s="72" t="s">
        <v>94</v>
      </c>
      <c r="D48" s="65">
        <v>3.4099999999999998E-2</v>
      </c>
      <c r="E48" s="64" t="s">
        <v>186</v>
      </c>
      <c r="F48" s="102">
        <v>153989.98933863454</v>
      </c>
      <c r="G48" s="102">
        <f>157790-G50</f>
        <v>153989.69060900001</v>
      </c>
      <c r="H48" s="101">
        <f t="shared" si="0"/>
        <v>0.29872963452362455</v>
      </c>
      <c r="I48" s="101">
        <f t="shared" si="6"/>
        <v>8.961889035708737E-3</v>
      </c>
      <c r="J48" s="101">
        <f t="shared" si="1"/>
        <v>0</v>
      </c>
      <c r="K48" s="93">
        <f t="shared" si="2"/>
        <v>118113.61345299998</v>
      </c>
      <c r="L48" s="101">
        <f t="shared" si="3"/>
        <v>17050</v>
      </c>
      <c r="M48" s="163"/>
      <c r="N48" s="119">
        <f t="shared" si="4"/>
        <v>135163.92114452354</v>
      </c>
      <c r="O48" s="101">
        <f t="shared" si="5"/>
        <v>147193.51012638613</v>
      </c>
    </row>
    <row r="49" spans="1:17" x14ac:dyDescent="0.25">
      <c r="A49" s="85">
        <v>61</v>
      </c>
      <c r="B49" s="54" t="s">
        <v>66</v>
      </c>
      <c r="C49" s="71" t="s">
        <v>95</v>
      </c>
      <c r="D49" s="64">
        <v>3.3500000000000002E-2</v>
      </c>
      <c r="E49" s="64" t="s">
        <v>106</v>
      </c>
      <c r="F49" s="93">
        <v>126002.13693100016</v>
      </c>
      <c r="G49" s="93">
        <f>151471-G66</f>
        <v>138381.04543100001</v>
      </c>
      <c r="H49" s="101">
        <f t="shared" si="0"/>
        <v>0</v>
      </c>
      <c r="I49" s="101">
        <f t="shared" si="6"/>
        <v>0</v>
      </c>
      <c r="J49" s="101">
        <f t="shared" si="1"/>
        <v>12378.908499999845</v>
      </c>
      <c r="K49" s="93">
        <f t="shared" si="2"/>
        <v>116035.368055</v>
      </c>
      <c r="L49" s="101">
        <f t="shared" si="3"/>
        <v>16750</v>
      </c>
      <c r="M49" s="163">
        <v>0</v>
      </c>
      <c r="N49" s="119">
        <f>H49+I49+K49-J49+M49+L49</f>
        <v>120406.45955500015</v>
      </c>
      <c r="O49" s="101">
        <f t="shared" si="5"/>
        <v>131122.63445539516</v>
      </c>
    </row>
    <row r="50" spans="1:17" x14ac:dyDescent="0.25">
      <c r="A50" s="129"/>
      <c r="B50" s="130" t="s">
        <v>184</v>
      </c>
      <c r="C50" s="71" t="s">
        <v>94</v>
      </c>
      <c r="D50" s="64">
        <v>8.9999999999999998E-4</v>
      </c>
      <c r="E50" s="64" t="s">
        <v>186</v>
      </c>
      <c r="F50" s="93">
        <v>3800.3093910000002</v>
      </c>
      <c r="G50" s="93">
        <f t="shared" ref="G50:G59" si="9">F50</f>
        <v>3800.3093910000002</v>
      </c>
      <c r="H50" s="101">
        <f t="shared" si="0"/>
        <v>0</v>
      </c>
      <c r="I50" s="101">
        <f t="shared" si="6"/>
        <v>0</v>
      </c>
      <c r="J50" s="101">
        <f t="shared" si="1"/>
        <v>0</v>
      </c>
      <c r="K50" s="93">
        <f t="shared" si="2"/>
        <v>3117.3680969999996</v>
      </c>
      <c r="L50" s="101">
        <f t="shared" si="3"/>
        <v>450</v>
      </c>
      <c r="M50" s="163">
        <v>0</v>
      </c>
      <c r="N50" s="119">
        <f t="shared" ref="N50:N69" si="10">H50+I50+K50-J50+M50+L50</f>
        <v>3567.3680969999996</v>
      </c>
      <c r="O50" s="101">
        <f t="shared" si="5"/>
        <v>3884.8638576329995</v>
      </c>
    </row>
    <row r="51" spans="1:17" x14ac:dyDescent="0.25">
      <c r="A51" s="129"/>
      <c r="B51" s="130" t="s">
        <v>185</v>
      </c>
      <c r="C51" s="71" t="s">
        <v>89</v>
      </c>
      <c r="D51" s="64">
        <f>D50</f>
        <v>8.9999999999999998E-4</v>
      </c>
      <c r="E51" s="64" t="s">
        <v>104</v>
      </c>
      <c r="F51" s="93">
        <v>3800.3093910000002</v>
      </c>
      <c r="G51" s="93">
        <f t="shared" si="9"/>
        <v>3800.3093910000002</v>
      </c>
      <c r="H51" s="101">
        <f t="shared" si="0"/>
        <v>0</v>
      </c>
      <c r="I51" s="101">
        <f t="shared" si="6"/>
        <v>0</v>
      </c>
      <c r="J51" s="101">
        <f t="shared" si="1"/>
        <v>0</v>
      </c>
      <c r="K51" s="93">
        <f t="shared" si="2"/>
        <v>3117.3680969999996</v>
      </c>
      <c r="L51" s="101">
        <f t="shared" si="3"/>
        <v>450</v>
      </c>
      <c r="M51" s="163">
        <v>0</v>
      </c>
      <c r="N51" s="119">
        <f t="shared" si="10"/>
        <v>3567.3680969999996</v>
      </c>
      <c r="O51" s="101">
        <f t="shared" si="5"/>
        <v>3884.8638576329995</v>
      </c>
    </row>
    <row r="52" spans="1:17" x14ac:dyDescent="0.25">
      <c r="A52" s="38"/>
      <c r="B52" s="55" t="s">
        <v>165</v>
      </c>
      <c r="C52" s="71" t="s">
        <v>147</v>
      </c>
      <c r="D52" s="64">
        <v>8.9999999999999998E-4</v>
      </c>
      <c r="E52" s="64"/>
      <c r="F52" s="93">
        <v>3800.3093910000002</v>
      </c>
      <c r="G52" s="93">
        <f t="shared" si="9"/>
        <v>3800.3093910000002</v>
      </c>
      <c r="H52" s="101">
        <f t="shared" si="0"/>
        <v>0</v>
      </c>
      <c r="I52" s="101">
        <f t="shared" si="6"/>
        <v>0</v>
      </c>
      <c r="J52" s="101">
        <f t="shared" si="1"/>
        <v>0</v>
      </c>
      <c r="K52" s="93">
        <f t="shared" si="2"/>
        <v>3117.3680969999996</v>
      </c>
      <c r="L52" s="101">
        <f t="shared" si="3"/>
        <v>450</v>
      </c>
      <c r="M52" s="163">
        <v>0</v>
      </c>
      <c r="N52" s="119">
        <f t="shared" si="10"/>
        <v>3567.3680969999996</v>
      </c>
      <c r="O52" s="101">
        <f t="shared" si="5"/>
        <v>3884.8638576329995</v>
      </c>
    </row>
    <row r="53" spans="1:17" x14ac:dyDescent="0.25">
      <c r="A53" s="38"/>
      <c r="B53" s="55" t="s">
        <v>166</v>
      </c>
      <c r="C53" s="71" t="s">
        <v>69</v>
      </c>
      <c r="D53" s="64">
        <v>8.9999999999999998E-4</v>
      </c>
      <c r="E53" s="64" t="str">
        <f>E47</f>
        <v>Barbara Martinez</v>
      </c>
      <c r="F53" s="93">
        <v>3800.3093910000002</v>
      </c>
      <c r="G53" s="93">
        <f t="shared" si="9"/>
        <v>3800.3093910000002</v>
      </c>
      <c r="H53" s="101">
        <f t="shared" si="0"/>
        <v>0</v>
      </c>
      <c r="I53" s="101">
        <f t="shared" si="6"/>
        <v>0</v>
      </c>
      <c r="J53" s="101">
        <f t="shared" si="1"/>
        <v>0</v>
      </c>
      <c r="K53" s="93">
        <f t="shared" si="2"/>
        <v>3117.3680969999996</v>
      </c>
      <c r="L53" s="101">
        <f t="shared" si="3"/>
        <v>450</v>
      </c>
      <c r="M53" s="163">
        <v>0</v>
      </c>
      <c r="N53" s="119">
        <f t="shared" si="10"/>
        <v>3567.3680969999996</v>
      </c>
      <c r="O53" s="101">
        <f t="shared" si="5"/>
        <v>3884.8638576329995</v>
      </c>
    </row>
    <row r="54" spans="1:17" x14ac:dyDescent="0.25">
      <c r="A54" s="38"/>
      <c r="B54" s="55" t="s">
        <v>167</v>
      </c>
      <c r="C54" s="71" t="s">
        <v>84</v>
      </c>
      <c r="D54" s="64">
        <v>8.9999999999999998E-4</v>
      </c>
      <c r="E54" s="65" t="s">
        <v>98</v>
      </c>
      <c r="F54" s="102">
        <v>3800.3093910000002</v>
      </c>
      <c r="G54" s="93">
        <f t="shared" si="9"/>
        <v>3800.3093910000002</v>
      </c>
      <c r="H54" s="101">
        <f t="shared" si="0"/>
        <v>0</v>
      </c>
      <c r="I54" s="101">
        <f t="shared" si="6"/>
        <v>0</v>
      </c>
      <c r="J54" s="101">
        <f t="shared" si="1"/>
        <v>0</v>
      </c>
      <c r="K54" s="93">
        <f t="shared" si="2"/>
        <v>3117.3680969999996</v>
      </c>
      <c r="L54" s="101">
        <f t="shared" si="3"/>
        <v>450</v>
      </c>
      <c r="M54" s="163">
        <v>0</v>
      </c>
      <c r="N54" s="119">
        <f t="shared" si="10"/>
        <v>3567.3680969999996</v>
      </c>
      <c r="O54" s="101">
        <f t="shared" si="5"/>
        <v>3884.8638576329995</v>
      </c>
    </row>
    <row r="55" spans="1:17" x14ac:dyDescent="0.25">
      <c r="A55" s="38"/>
      <c r="B55" s="55" t="s">
        <v>168</v>
      </c>
      <c r="C55" s="71" t="s">
        <v>80</v>
      </c>
      <c r="D55" s="64">
        <v>8.9999999999999998E-4</v>
      </c>
      <c r="E55" s="64" t="s">
        <v>187</v>
      </c>
      <c r="F55" s="93">
        <v>3800.3093910000002</v>
      </c>
      <c r="G55" s="93">
        <f>F55</f>
        <v>3800.3093910000002</v>
      </c>
      <c r="H55" s="101">
        <f t="shared" si="0"/>
        <v>0</v>
      </c>
      <c r="I55" s="101">
        <f t="shared" si="6"/>
        <v>0</v>
      </c>
      <c r="J55" s="101">
        <f t="shared" si="1"/>
        <v>0</v>
      </c>
      <c r="K55" s="93">
        <f t="shared" si="2"/>
        <v>3117.3680969999996</v>
      </c>
      <c r="L55" s="101">
        <f t="shared" si="3"/>
        <v>450</v>
      </c>
      <c r="M55" s="163">
        <v>0</v>
      </c>
      <c r="N55" s="119">
        <f t="shared" si="10"/>
        <v>3567.3680969999996</v>
      </c>
      <c r="O55" s="101">
        <f t="shared" si="5"/>
        <v>3884.8638576329995</v>
      </c>
    </row>
    <row r="56" spans="1:17" x14ac:dyDescent="0.25">
      <c r="A56" s="38"/>
      <c r="B56" s="55" t="s">
        <v>169</v>
      </c>
      <c r="C56" s="71" t="s">
        <v>90</v>
      </c>
      <c r="D56" s="64">
        <v>8.9999999999999998E-4</v>
      </c>
      <c r="E56" s="64" t="s">
        <v>102</v>
      </c>
      <c r="F56" s="93">
        <v>8495.2350000900005</v>
      </c>
      <c r="G56" s="93"/>
      <c r="H56" s="101">
        <f t="shared" si="0"/>
        <v>8495.2350000900005</v>
      </c>
      <c r="I56" s="101">
        <f t="shared" si="6"/>
        <v>254.85705000270002</v>
      </c>
      <c r="J56" s="101">
        <f t="shared" si="1"/>
        <v>0</v>
      </c>
      <c r="K56" s="93">
        <f t="shared" si="2"/>
        <v>3117.3680969999996</v>
      </c>
      <c r="L56" s="101">
        <f t="shared" si="3"/>
        <v>450</v>
      </c>
      <c r="M56" s="163">
        <v>0</v>
      </c>
      <c r="N56" s="119">
        <f t="shared" si="10"/>
        <v>12317.460147092701</v>
      </c>
      <c r="O56" s="101">
        <f t="shared" si="5"/>
        <v>13413.714100183952</v>
      </c>
    </row>
    <row r="57" spans="1:17" x14ac:dyDescent="0.25">
      <c r="A57" s="38"/>
      <c r="B57" s="55" t="s">
        <v>170</v>
      </c>
      <c r="C57" s="71" t="s">
        <v>90</v>
      </c>
      <c r="D57" s="64">
        <v>8.9999999999999998E-4</v>
      </c>
      <c r="E57" s="64"/>
      <c r="F57" s="93">
        <v>3800.3093910000002</v>
      </c>
      <c r="G57" s="93">
        <f>F57</f>
        <v>3800.3093910000002</v>
      </c>
      <c r="H57" s="101">
        <f t="shared" si="0"/>
        <v>0</v>
      </c>
      <c r="I57" s="101">
        <f t="shared" si="6"/>
        <v>0</v>
      </c>
      <c r="J57" s="101">
        <f t="shared" si="1"/>
        <v>0</v>
      </c>
      <c r="K57" s="93">
        <f t="shared" si="2"/>
        <v>3117.3680969999996</v>
      </c>
      <c r="L57" s="101">
        <f t="shared" si="3"/>
        <v>450</v>
      </c>
      <c r="M57" s="163">
        <v>0</v>
      </c>
      <c r="N57" s="119">
        <f t="shared" si="10"/>
        <v>3567.3680969999996</v>
      </c>
      <c r="O57" s="101">
        <f t="shared" si="5"/>
        <v>3884.8638576329995</v>
      </c>
    </row>
    <row r="58" spans="1:17" x14ac:dyDescent="0.25">
      <c r="A58" s="38"/>
      <c r="B58" s="55" t="s">
        <v>171</v>
      </c>
      <c r="C58" s="71" t="s">
        <v>93</v>
      </c>
      <c r="D58" s="64">
        <v>8.9999999999999998E-4</v>
      </c>
      <c r="E58" s="64"/>
      <c r="F58" s="93">
        <v>3800.3093910000002</v>
      </c>
      <c r="G58" s="93">
        <f t="shared" si="9"/>
        <v>3800.3093910000002</v>
      </c>
      <c r="H58" s="101">
        <f t="shared" si="0"/>
        <v>0</v>
      </c>
      <c r="I58" s="101">
        <f t="shared" si="6"/>
        <v>0</v>
      </c>
      <c r="J58" s="101">
        <f t="shared" si="1"/>
        <v>0</v>
      </c>
      <c r="K58" s="93">
        <f t="shared" si="2"/>
        <v>3117.3680969999996</v>
      </c>
      <c r="L58" s="101">
        <f t="shared" si="3"/>
        <v>450</v>
      </c>
      <c r="M58" s="163">
        <v>0</v>
      </c>
      <c r="N58" s="119">
        <f t="shared" si="10"/>
        <v>3567.3680969999996</v>
      </c>
      <c r="O58" s="101">
        <f t="shared" si="5"/>
        <v>3884.8638576329995</v>
      </c>
    </row>
    <row r="59" spans="1:17" x14ac:dyDescent="0.25">
      <c r="A59" s="38"/>
      <c r="B59" s="55" t="s">
        <v>172</v>
      </c>
      <c r="C59" s="71" t="s">
        <v>91</v>
      </c>
      <c r="D59" s="64">
        <v>8.9999999999999998E-4</v>
      </c>
      <c r="E59" s="64" t="s">
        <v>148</v>
      </c>
      <c r="F59" s="93">
        <v>3800.3093910000002</v>
      </c>
      <c r="G59" s="93">
        <f t="shared" si="9"/>
        <v>3800.3093910000002</v>
      </c>
      <c r="H59" s="101">
        <f t="shared" si="0"/>
        <v>0</v>
      </c>
      <c r="I59" s="101">
        <f t="shared" si="6"/>
        <v>0</v>
      </c>
      <c r="J59" s="101">
        <f t="shared" si="1"/>
        <v>0</v>
      </c>
      <c r="K59" s="93">
        <f t="shared" si="2"/>
        <v>3117.3680969999996</v>
      </c>
      <c r="L59" s="101">
        <f t="shared" si="3"/>
        <v>450</v>
      </c>
      <c r="M59" s="163">
        <v>0</v>
      </c>
      <c r="N59" s="119">
        <f t="shared" si="10"/>
        <v>3567.3680969999996</v>
      </c>
      <c r="O59" s="101">
        <f t="shared" si="5"/>
        <v>3884.8638576329995</v>
      </c>
    </row>
    <row r="60" spans="1:17" x14ac:dyDescent="0.25">
      <c r="A60" s="38"/>
      <c r="B60" s="55" t="s">
        <v>173</v>
      </c>
      <c r="C60" s="71" t="s">
        <v>82</v>
      </c>
      <c r="D60" s="64">
        <v>8.9999999999999998E-4</v>
      </c>
      <c r="E60" s="64" t="s">
        <v>159</v>
      </c>
      <c r="F60" s="93">
        <v>3800.3093910000002</v>
      </c>
      <c r="G60" s="93">
        <f t="shared" ref="G60:G64" si="11">F60</f>
        <v>3800.3093910000002</v>
      </c>
      <c r="H60" s="101">
        <f t="shared" si="0"/>
        <v>0</v>
      </c>
      <c r="I60" s="101">
        <f t="shared" si="6"/>
        <v>0</v>
      </c>
      <c r="J60" s="101">
        <f t="shared" si="1"/>
        <v>0</v>
      </c>
      <c r="K60" s="93">
        <f t="shared" si="2"/>
        <v>3117.3680969999996</v>
      </c>
      <c r="L60" s="101">
        <f t="shared" si="3"/>
        <v>450</v>
      </c>
      <c r="M60" s="163">
        <v>0</v>
      </c>
      <c r="N60" s="119">
        <f t="shared" si="10"/>
        <v>3567.3680969999996</v>
      </c>
      <c r="O60" s="101">
        <f t="shared" si="5"/>
        <v>3884.8638576329995</v>
      </c>
    </row>
    <row r="61" spans="1:17" x14ac:dyDescent="0.25">
      <c r="A61" s="38"/>
      <c r="B61" s="55" t="s">
        <v>174</v>
      </c>
      <c r="C61" s="71" t="s">
        <v>87</v>
      </c>
      <c r="D61" s="64">
        <v>8.9999999999999998E-4</v>
      </c>
      <c r="E61" s="64" t="s">
        <v>103</v>
      </c>
      <c r="F61" s="93">
        <v>3800.3093910000002</v>
      </c>
      <c r="G61" s="93"/>
      <c r="H61" s="101">
        <f t="shared" si="0"/>
        <v>3800.3093910000002</v>
      </c>
      <c r="I61" s="101">
        <f t="shared" si="6"/>
        <v>114.00928173</v>
      </c>
      <c r="J61" s="101">
        <f t="shared" si="1"/>
        <v>0</v>
      </c>
      <c r="K61" s="93">
        <f t="shared" si="2"/>
        <v>3117.3680969999996</v>
      </c>
      <c r="L61" s="101">
        <f t="shared" si="3"/>
        <v>450</v>
      </c>
      <c r="M61" s="163">
        <v>0</v>
      </c>
      <c r="N61" s="119">
        <f t="shared" si="10"/>
        <v>7481.6867697300004</v>
      </c>
      <c r="O61" s="101">
        <f t="shared" si="5"/>
        <v>8147.5568922359707</v>
      </c>
    </row>
    <row r="62" spans="1:17" x14ac:dyDescent="0.25">
      <c r="A62" s="38"/>
      <c r="B62" s="55" t="s">
        <v>175</v>
      </c>
      <c r="C62" s="220" t="s">
        <v>239</v>
      </c>
      <c r="D62" s="64">
        <v>8.9999999999999998E-4</v>
      </c>
      <c r="E62" s="64" t="s">
        <v>123</v>
      </c>
      <c r="F62" s="93">
        <v>3800.3093910000002</v>
      </c>
      <c r="G62" s="93">
        <f>F62</f>
        <v>3800.3093910000002</v>
      </c>
      <c r="H62" s="101">
        <f t="shared" si="0"/>
        <v>0</v>
      </c>
      <c r="I62" s="101">
        <f t="shared" si="6"/>
        <v>0</v>
      </c>
      <c r="J62" s="101">
        <f t="shared" si="1"/>
        <v>0</v>
      </c>
      <c r="K62" s="93">
        <f t="shared" si="2"/>
        <v>3117.3680969999996</v>
      </c>
      <c r="L62" s="101">
        <f t="shared" si="3"/>
        <v>450</v>
      </c>
      <c r="M62" s="163">
        <v>0</v>
      </c>
      <c r="N62" s="119">
        <f t="shared" si="10"/>
        <v>3567.3680969999996</v>
      </c>
      <c r="O62" s="101">
        <f t="shared" si="5"/>
        <v>3884.8638576329995</v>
      </c>
      <c r="Q62" s="221" t="s">
        <v>240</v>
      </c>
    </row>
    <row r="63" spans="1:17" x14ac:dyDescent="0.25">
      <c r="A63" s="38"/>
      <c r="B63" s="55" t="s">
        <v>176</v>
      </c>
      <c r="C63" s="71" t="s">
        <v>92</v>
      </c>
      <c r="D63" s="64">
        <v>8.9999999999999998E-4</v>
      </c>
      <c r="E63" s="64" t="s">
        <v>71</v>
      </c>
      <c r="F63" s="93">
        <v>3800.3093910000002</v>
      </c>
      <c r="G63" s="102"/>
      <c r="H63" s="101">
        <f t="shared" si="0"/>
        <v>3800.3093910000002</v>
      </c>
      <c r="I63" s="101">
        <f t="shared" si="6"/>
        <v>114.00928173</v>
      </c>
      <c r="J63" s="101">
        <f t="shared" si="1"/>
        <v>0</v>
      </c>
      <c r="K63" s="93">
        <f t="shared" si="2"/>
        <v>3117.3680969999996</v>
      </c>
      <c r="L63" s="101">
        <f t="shared" si="3"/>
        <v>450</v>
      </c>
      <c r="M63" s="163">
        <v>0</v>
      </c>
      <c r="N63" s="119">
        <f t="shared" si="10"/>
        <v>7481.6867697300004</v>
      </c>
      <c r="O63" s="101">
        <f t="shared" si="5"/>
        <v>8147.5568922359707</v>
      </c>
    </row>
    <row r="64" spans="1:17" x14ac:dyDescent="0.25">
      <c r="A64" s="38"/>
      <c r="B64" s="55" t="s">
        <v>177</v>
      </c>
      <c r="C64" s="71" t="s">
        <v>86</v>
      </c>
      <c r="D64" s="64">
        <v>8.9999999999999998E-4</v>
      </c>
      <c r="E64" s="64" t="s">
        <v>151</v>
      </c>
      <c r="F64" s="93">
        <v>3800.3093910000002</v>
      </c>
      <c r="G64" s="93">
        <f t="shared" si="11"/>
        <v>3800.3093910000002</v>
      </c>
      <c r="H64" s="101">
        <f t="shared" si="0"/>
        <v>0</v>
      </c>
      <c r="I64" s="101">
        <f t="shared" si="6"/>
        <v>0</v>
      </c>
      <c r="J64" s="101">
        <f t="shared" si="1"/>
        <v>0</v>
      </c>
      <c r="K64" s="93">
        <f t="shared" si="2"/>
        <v>3117.3680969999996</v>
      </c>
      <c r="L64" s="101">
        <f t="shared" si="3"/>
        <v>450</v>
      </c>
      <c r="M64" s="163">
        <v>0</v>
      </c>
      <c r="N64" s="119">
        <f t="shared" si="10"/>
        <v>3567.3680969999996</v>
      </c>
      <c r="O64" s="101">
        <f t="shared" si="5"/>
        <v>3884.8638576329995</v>
      </c>
    </row>
    <row r="65" spans="1:15" x14ac:dyDescent="0.25">
      <c r="A65" s="38"/>
      <c r="B65" s="55" t="s">
        <v>178</v>
      </c>
      <c r="C65" s="71" t="s">
        <v>83</v>
      </c>
      <c r="D65" s="64">
        <v>1.1000000000000001E-3</v>
      </c>
      <c r="E65" s="64"/>
      <c r="F65" s="93">
        <v>4644.8225890000003</v>
      </c>
      <c r="G65" s="93"/>
      <c r="H65" s="101">
        <f t="shared" si="0"/>
        <v>4644.8225890000003</v>
      </c>
      <c r="I65" s="101">
        <f t="shared" si="6"/>
        <v>139.34467767000001</v>
      </c>
      <c r="J65" s="101">
        <f t="shared" si="1"/>
        <v>0</v>
      </c>
      <c r="K65" s="93">
        <f t="shared" si="2"/>
        <v>3810.1165629999996</v>
      </c>
      <c r="L65" s="101">
        <f t="shared" si="3"/>
        <v>550</v>
      </c>
      <c r="M65" s="163">
        <v>0</v>
      </c>
      <c r="N65" s="119">
        <f t="shared" si="10"/>
        <v>9144.2838296699992</v>
      </c>
      <c r="O65" s="101">
        <f t="shared" si="5"/>
        <v>9958.1250905106299</v>
      </c>
    </row>
    <row r="66" spans="1:15" x14ac:dyDescent="0.25">
      <c r="A66" s="38"/>
      <c r="B66" s="55" t="s">
        <v>179</v>
      </c>
      <c r="C66" s="71" t="s">
        <v>95</v>
      </c>
      <c r="D66" s="64">
        <v>3.0999999999999999E-3</v>
      </c>
      <c r="E66" s="64" t="s">
        <v>106</v>
      </c>
      <c r="F66" s="93">
        <v>13089.954569</v>
      </c>
      <c r="G66" s="93">
        <f t="shared" ref="G66" si="12">F66</f>
        <v>13089.954569</v>
      </c>
      <c r="H66" s="101">
        <f t="shared" si="0"/>
        <v>0</v>
      </c>
      <c r="I66" s="101">
        <f t="shared" si="6"/>
        <v>0</v>
      </c>
      <c r="J66" s="101">
        <f t="shared" si="1"/>
        <v>0</v>
      </c>
      <c r="K66" s="93">
        <f t="shared" si="2"/>
        <v>10737.601222999998</v>
      </c>
      <c r="L66" s="101">
        <f t="shared" si="3"/>
        <v>1550</v>
      </c>
      <c r="M66" s="163">
        <v>0</v>
      </c>
      <c r="N66" s="119">
        <f t="shared" si="10"/>
        <v>12287.601222999998</v>
      </c>
      <c r="O66" s="101">
        <f t="shared" si="5"/>
        <v>13381.197731846998</v>
      </c>
    </row>
    <row r="67" spans="1:15" x14ac:dyDescent="0.25">
      <c r="A67" s="38"/>
      <c r="B67" s="55" t="s">
        <v>180</v>
      </c>
      <c r="C67" s="71" t="s">
        <v>76</v>
      </c>
      <c r="D67" s="64">
        <v>3.0000000000000001E-3</v>
      </c>
      <c r="E67" s="65" t="s">
        <v>78</v>
      </c>
      <c r="F67" s="93">
        <v>12667.697970000001</v>
      </c>
      <c r="G67" s="102">
        <f>F67</f>
        <v>12667.697970000001</v>
      </c>
      <c r="H67" s="101">
        <f t="shared" si="0"/>
        <v>0</v>
      </c>
      <c r="I67" s="101">
        <f t="shared" si="6"/>
        <v>0</v>
      </c>
      <c r="J67" s="101">
        <f t="shared" si="1"/>
        <v>0</v>
      </c>
      <c r="K67" s="93">
        <f t="shared" si="2"/>
        <v>10391.226989999999</v>
      </c>
      <c r="L67" s="101">
        <f t="shared" si="3"/>
        <v>1500</v>
      </c>
      <c r="M67" s="163">
        <v>0</v>
      </c>
      <c r="N67" s="119">
        <f t="shared" si="10"/>
        <v>11891.226989999999</v>
      </c>
      <c r="O67" s="101">
        <f t="shared" si="5"/>
        <v>12949.54619211</v>
      </c>
    </row>
    <row r="68" spans="1:15" x14ac:dyDescent="0.25">
      <c r="A68" s="38"/>
      <c r="B68" s="55" t="s">
        <v>181</v>
      </c>
      <c r="C68" s="71" t="s">
        <v>88</v>
      </c>
      <c r="D68" s="64">
        <v>3.5000000000000001E-3</v>
      </c>
      <c r="E68" s="64" t="s">
        <v>150</v>
      </c>
      <c r="F68" s="93">
        <v>62600.793932902969</v>
      </c>
      <c r="G68" s="93">
        <f>F68</f>
        <v>62600.793932902969</v>
      </c>
      <c r="H68" s="101">
        <f>IF(F68&gt;G68,F68-G68,0)</f>
        <v>0</v>
      </c>
      <c r="I68" s="101">
        <f t="shared" si="6"/>
        <v>0</v>
      </c>
      <c r="J68" s="101">
        <f>IF(G68&gt;F68,G68-F68,0)</f>
        <v>0</v>
      </c>
      <c r="K68" s="93">
        <f t="shared" si="2"/>
        <v>12123.098155</v>
      </c>
      <c r="L68" s="101">
        <f t="shared" si="3"/>
        <v>1750</v>
      </c>
      <c r="M68" s="163">
        <v>0</v>
      </c>
      <c r="N68" s="119">
        <f t="shared" si="10"/>
        <v>13873.098155</v>
      </c>
      <c r="O68" s="101">
        <f t="shared" si="5"/>
        <v>15107.803890794999</v>
      </c>
    </row>
    <row r="69" spans="1:15" x14ac:dyDescent="0.25">
      <c r="A69" s="38"/>
      <c r="B69" s="55" t="s">
        <v>182</v>
      </c>
      <c r="C69" s="71" t="s">
        <v>84</v>
      </c>
      <c r="D69" s="64">
        <v>3.5999999999999999E-3</v>
      </c>
      <c r="E69" s="64" t="s">
        <v>101</v>
      </c>
      <c r="F69" s="93">
        <v>15201.237564000001</v>
      </c>
      <c r="G69" s="93">
        <f>F69</f>
        <v>15201.237564000001</v>
      </c>
      <c r="H69" s="101">
        <f>IF(F69&gt;G69,F69-G69,0)</f>
        <v>0</v>
      </c>
      <c r="I69" s="101">
        <f t="shared" si="6"/>
        <v>0</v>
      </c>
      <c r="J69" s="101">
        <f>IF(G69&gt;F69,G69-F69,0)</f>
        <v>0</v>
      </c>
      <c r="K69" s="93">
        <f t="shared" si="2"/>
        <v>12469.472387999998</v>
      </c>
      <c r="L69" s="101">
        <f t="shared" si="3"/>
        <v>1800</v>
      </c>
      <c r="M69" s="163">
        <v>0</v>
      </c>
      <c r="N69" s="119">
        <f t="shared" si="10"/>
        <v>14269.472387999998</v>
      </c>
      <c r="O69" s="101">
        <f t="shared" si="5"/>
        <v>15539.455430531998</v>
      </c>
    </row>
    <row r="70" spans="1:15" ht="12.75" customHeight="1" thickBot="1" x14ac:dyDescent="0.3">
      <c r="A70" s="88"/>
      <c r="B70" s="89"/>
      <c r="C70" s="89"/>
      <c r="D70" s="131">
        <f>SUM(D9:D69)</f>
        <v>1</v>
      </c>
      <c r="E70" s="90"/>
      <c r="F70" s="91">
        <f t="shared" ref="F70:K70" si="13">SUM(F9:F69)</f>
        <v>5324518.9138894919</v>
      </c>
      <c r="G70" s="92">
        <f>SUM(G9:G69)</f>
        <v>3928261.3594531748</v>
      </c>
      <c r="H70" s="138">
        <f t="shared" si="13"/>
        <v>1422169.5846865962</v>
      </c>
      <c r="I70" s="92">
        <f t="shared" si="13"/>
        <v>42665.087540597895</v>
      </c>
      <c r="J70" s="92">
        <f t="shared" si="13"/>
        <v>25912.030250282747</v>
      </c>
      <c r="K70" s="92">
        <f t="shared" si="13"/>
        <v>3463742.3299999963</v>
      </c>
      <c r="L70" s="92">
        <f>SUM(L9:L69)</f>
        <v>500000</v>
      </c>
      <c r="M70" s="92">
        <f>SUM(M9:M69)</f>
        <v>0</v>
      </c>
      <c r="N70" s="92">
        <f>SUM(N9:N69)</f>
        <v>5402664.9719769116</v>
      </c>
      <c r="O70" s="128">
        <f>SUM(O9:O69)</f>
        <v>5883502.1544828601</v>
      </c>
    </row>
    <row r="72" spans="1:15" x14ac:dyDescent="0.25"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</row>
    <row r="73" spans="1:15" x14ac:dyDescent="0.25"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</row>
    <row r="74" spans="1:15" x14ac:dyDescent="0.25"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2025-01-31T17:10:47Z</cp:lastPrinted>
  <dcterms:created xsi:type="dcterms:W3CDTF">2023-06-11T13:11:57Z</dcterms:created>
  <dcterms:modified xsi:type="dcterms:W3CDTF">2025-03-10T13:03:29Z</dcterms:modified>
</cp:coreProperties>
</file>