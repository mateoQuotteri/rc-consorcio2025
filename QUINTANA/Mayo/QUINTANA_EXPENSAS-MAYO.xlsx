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QUINTANA\Abril\"/>
    </mc:Choice>
  </mc:AlternateContent>
  <xr:revisionPtr revIDLastSave="0" documentId="13_ncr:1_{5C7C9CDD-E2DB-4D4D-866D-E38271B8BD6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de gtos" sheetId="1" r:id="rId1"/>
    <sheet name="prorrateo" sheetId="2" r:id="rId2"/>
    <sheet name="EXTRAORDINARIA" sheetId="3" r:id="rId3"/>
  </sheets>
  <definedNames>
    <definedName name="_xlnm.Print_Area" localSheetId="0">'detalle de gtos'!$A$1:$D$112</definedName>
    <definedName name="_xlnm.Print_Area" localSheetId="1">prorrateo!$A$1:$Q$48</definedName>
  </definedNames>
  <calcPr calcId="181029"/>
  <extLst>
    <ext uri="GoogleSheetsCustomDataVersion1">
      <go:sheetsCustomData xmlns:go="http://customooxmlschemas.google.com/" r:id="" roundtripDataSignature="AMtx7mh/NLQbUh/UVPPKS2KMjIYt95MdrA=="/>
    </ext>
  </extLst>
</workbook>
</file>

<file path=xl/calcChain.xml><?xml version="1.0" encoding="utf-8"?>
<calcChain xmlns="http://schemas.openxmlformats.org/spreadsheetml/2006/main">
  <c r="B108" i="1" l="1"/>
  <c r="F40" i="2"/>
  <c r="F24" i="2"/>
  <c r="F16" i="2"/>
  <c r="F17" i="2"/>
  <c r="B97" i="1"/>
  <c r="C31" i="1" l="1"/>
  <c r="N3" i="2"/>
  <c r="F8" i="2"/>
  <c r="C49" i="1"/>
  <c r="F28" i="2" l="1"/>
  <c r="F30" i="2"/>
  <c r="C29" i="1" l="1"/>
  <c r="C22" i="1" l="1"/>
  <c r="F37" i="2" l="1"/>
  <c r="C35" i="1"/>
  <c r="I40" i="2" l="1"/>
  <c r="C54" i="1"/>
  <c r="C34" i="1"/>
  <c r="C38" i="1"/>
  <c r="C66" i="1" l="1"/>
  <c r="C74" i="1"/>
  <c r="B57" i="1" l="1"/>
  <c r="A2" i="2" l="1"/>
  <c r="R8" i="3" l="1"/>
  <c r="F34" i="2" l="1"/>
  <c r="F18" i="2"/>
  <c r="Q1" i="2" l="1"/>
  <c r="F31" i="2" l="1"/>
  <c r="F25" i="2"/>
  <c r="F20" i="2" l="1"/>
  <c r="R43" i="3" l="1"/>
  <c r="F15" i="2" l="1"/>
  <c r="F26" i="2"/>
  <c r="H9" i="2" l="1"/>
  <c r="H10" i="2"/>
  <c r="H11" i="2"/>
  <c r="H18" i="2"/>
  <c r="H21" i="2"/>
  <c r="H23" i="2"/>
  <c r="H32" i="2"/>
  <c r="H33" i="2"/>
  <c r="H36" i="2"/>
  <c r="H40" i="2"/>
  <c r="H41" i="2"/>
  <c r="I20" i="2"/>
  <c r="I9" i="2"/>
  <c r="I10" i="2"/>
  <c r="I11" i="2"/>
  <c r="I18" i="2"/>
  <c r="I21" i="2"/>
  <c r="I23" i="2"/>
  <c r="I32" i="2"/>
  <c r="I33" i="2"/>
  <c r="I36" i="2"/>
  <c r="J40" i="2"/>
  <c r="I41" i="2"/>
  <c r="I28" i="2"/>
  <c r="J33" i="2" l="1"/>
  <c r="J18" i="2"/>
  <c r="J41" i="2"/>
  <c r="J32" i="2"/>
  <c r="J11" i="2"/>
  <c r="J23" i="2"/>
  <c r="J10" i="2"/>
  <c r="J28" i="2"/>
  <c r="J20" i="2"/>
  <c r="J36" i="2"/>
  <c r="J21" i="2"/>
  <c r="J9" i="2"/>
  <c r="H28" i="2"/>
  <c r="H20" i="2"/>
  <c r="H34" i="2" l="1"/>
  <c r="I34" i="2"/>
  <c r="H8" i="2"/>
  <c r="I8" i="2"/>
  <c r="J43" i="3"/>
  <c r="H43" i="3"/>
  <c r="F43" i="3"/>
  <c r="E43" i="3"/>
  <c r="D43" i="3"/>
  <c r="L42" i="3"/>
  <c r="M42" i="3" s="1"/>
  <c r="K42" i="3"/>
  <c r="I42" i="3"/>
  <c r="L41" i="3"/>
  <c r="M41" i="3" s="1"/>
  <c r="K41" i="3"/>
  <c r="I41" i="3"/>
  <c r="L40" i="3"/>
  <c r="M40" i="3" s="1"/>
  <c r="K40" i="3"/>
  <c r="I40" i="3"/>
  <c r="L39" i="3"/>
  <c r="M39" i="3" s="1"/>
  <c r="K39" i="3"/>
  <c r="I39" i="3"/>
  <c r="L38" i="3"/>
  <c r="M38" i="3" s="1"/>
  <c r="K38" i="3"/>
  <c r="I38" i="3"/>
  <c r="L37" i="3"/>
  <c r="M37" i="3" s="1"/>
  <c r="K37" i="3"/>
  <c r="I37" i="3"/>
  <c r="L36" i="3"/>
  <c r="M36" i="3" s="1"/>
  <c r="N36" i="3" s="1"/>
  <c r="O36" i="3" s="1"/>
  <c r="Q36" i="3" s="1"/>
  <c r="K36" i="3"/>
  <c r="I36" i="3"/>
  <c r="L35" i="3"/>
  <c r="M35" i="3" s="1"/>
  <c r="K35" i="3"/>
  <c r="I35" i="3"/>
  <c r="L34" i="3"/>
  <c r="M34" i="3" s="1"/>
  <c r="K34" i="3"/>
  <c r="I34" i="3"/>
  <c r="L33" i="3"/>
  <c r="M33" i="3" s="1"/>
  <c r="K33" i="3"/>
  <c r="I33" i="3"/>
  <c r="M32" i="3"/>
  <c r="L32" i="3"/>
  <c r="K32" i="3"/>
  <c r="I32" i="3"/>
  <c r="M31" i="3"/>
  <c r="L31" i="3"/>
  <c r="K31" i="3"/>
  <c r="I31" i="3"/>
  <c r="L30" i="3"/>
  <c r="M30" i="3" s="1"/>
  <c r="K30" i="3"/>
  <c r="I30" i="3"/>
  <c r="L29" i="3"/>
  <c r="M29" i="3" s="1"/>
  <c r="K29" i="3"/>
  <c r="I29" i="3"/>
  <c r="L28" i="3"/>
  <c r="M28" i="3" s="1"/>
  <c r="K28" i="3"/>
  <c r="I28" i="3"/>
  <c r="L27" i="3"/>
  <c r="M27" i="3" s="1"/>
  <c r="K27" i="3"/>
  <c r="I27" i="3"/>
  <c r="L26" i="3"/>
  <c r="M26" i="3" s="1"/>
  <c r="K26" i="3"/>
  <c r="I26" i="3"/>
  <c r="L25" i="3"/>
  <c r="M25" i="3" s="1"/>
  <c r="K25" i="3"/>
  <c r="I25" i="3"/>
  <c r="L24" i="3"/>
  <c r="M24" i="3" s="1"/>
  <c r="K24" i="3"/>
  <c r="I24" i="3"/>
  <c r="L23" i="3"/>
  <c r="M23" i="3" s="1"/>
  <c r="K23" i="3"/>
  <c r="I23" i="3"/>
  <c r="L22" i="3"/>
  <c r="M22" i="3" s="1"/>
  <c r="K22" i="3"/>
  <c r="I22" i="3"/>
  <c r="L21" i="3"/>
  <c r="M21" i="3" s="1"/>
  <c r="K21" i="3"/>
  <c r="I21" i="3"/>
  <c r="L20" i="3"/>
  <c r="K20" i="3"/>
  <c r="I20" i="3"/>
  <c r="L19" i="3"/>
  <c r="Q19" i="3" s="1"/>
  <c r="K19" i="3"/>
  <c r="I19" i="3"/>
  <c r="L18" i="3"/>
  <c r="M18" i="3" s="1"/>
  <c r="K18" i="3"/>
  <c r="I18" i="3"/>
  <c r="L17" i="3"/>
  <c r="M17" i="3" s="1"/>
  <c r="K17" i="3"/>
  <c r="G17" i="3"/>
  <c r="I17" i="3" s="1"/>
  <c r="L16" i="3"/>
  <c r="M16" i="3" s="1"/>
  <c r="K16" i="3"/>
  <c r="I16" i="3"/>
  <c r="L15" i="3"/>
  <c r="M15" i="3" s="1"/>
  <c r="K15" i="3"/>
  <c r="I15" i="3"/>
  <c r="L14" i="3"/>
  <c r="M14" i="3" s="1"/>
  <c r="K14" i="3"/>
  <c r="I14" i="3"/>
  <c r="L13" i="3"/>
  <c r="M13" i="3" s="1"/>
  <c r="K13" i="3"/>
  <c r="I13" i="3"/>
  <c r="L12" i="3"/>
  <c r="M12" i="3" s="1"/>
  <c r="K12" i="3"/>
  <c r="I12" i="3"/>
  <c r="L11" i="3"/>
  <c r="M11" i="3" s="1"/>
  <c r="K11" i="3"/>
  <c r="I11" i="3"/>
  <c r="L10" i="3"/>
  <c r="M10" i="3" s="1"/>
  <c r="K10" i="3"/>
  <c r="I10" i="3"/>
  <c r="L9" i="3"/>
  <c r="M9" i="3" s="1"/>
  <c r="K9" i="3"/>
  <c r="I9" i="3"/>
  <c r="L8" i="3"/>
  <c r="M8" i="3" s="1"/>
  <c r="K8" i="3"/>
  <c r="I8" i="3"/>
  <c r="L7" i="3"/>
  <c r="K7" i="3"/>
  <c r="I7" i="3"/>
  <c r="K44" i="2"/>
  <c r="E44" i="2"/>
  <c r="M43" i="2"/>
  <c r="M42" i="2"/>
  <c r="M41" i="2"/>
  <c r="M40" i="2"/>
  <c r="M39" i="2"/>
  <c r="M38" i="2"/>
  <c r="H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H22" i="2"/>
  <c r="M8" i="2"/>
  <c r="C81" i="1"/>
  <c r="C58" i="1"/>
  <c r="J8" i="2" l="1"/>
  <c r="J34" i="2"/>
  <c r="N14" i="3"/>
  <c r="O14" i="3" s="1"/>
  <c r="N40" i="3"/>
  <c r="O40" i="3" s="1"/>
  <c r="N9" i="3"/>
  <c r="O9" i="3" s="1"/>
  <c r="Q9" i="3" s="1"/>
  <c r="N10" i="3"/>
  <c r="O10" i="3" s="1"/>
  <c r="N28" i="3"/>
  <c r="O28" i="3" s="1"/>
  <c r="Q28" i="3" s="1"/>
  <c r="N23" i="3"/>
  <c r="O23" i="3" s="1"/>
  <c r="Q23" i="3" s="1"/>
  <c r="N32" i="3"/>
  <c r="O32" i="3" s="1"/>
  <c r="Q32" i="3" s="1"/>
  <c r="G43" i="3"/>
  <c r="L43" i="3"/>
  <c r="K43" i="3"/>
  <c r="M19" i="3"/>
  <c r="N19" i="3" s="1"/>
  <c r="O19" i="3" s="1"/>
  <c r="M20" i="3"/>
  <c r="Q20" i="3"/>
  <c r="C69" i="1"/>
  <c r="H15" i="2"/>
  <c r="I15" i="2"/>
  <c r="I24" i="2"/>
  <c r="H24" i="2"/>
  <c r="H31" i="2"/>
  <c r="I31" i="2"/>
  <c r="I42" i="2"/>
  <c r="H42" i="2"/>
  <c r="H14" i="2"/>
  <c r="I14" i="2"/>
  <c r="I39" i="2"/>
  <c r="H39" i="2"/>
  <c r="M44" i="2"/>
  <c r="I13" i="2"/>
  <c r="H13" i="2"/>
  <c r="I17" i="2"/>
  <c r="H17" i="2"/>
  <c r="H26" i="2"/>
  <c r="I26" i="2"/>
  <c r="I29" i="2"/>
  <c r="H29" i="2"/>
  <c r="H35" i="2"/>
  <c r="I35" i="2"/>
  <c r="I19" i="2"/>
  <c r="H19" i="2"/>
  <c r="H27" i="2"/>
  <c r="I27" i="2"/>
  <c r="H30" i="2"/>
  <c r="I30" i="2"/>
  <c r="H12" i="2"/>
  <c r="I12" i="2"/>
  <c r="H16" i="2"/>
  <c r="I16" i="2"/>
  <c r="I25" i="2"/>
  <c r="H25" i="2"/>
  <c r="I43" i="2"/>
  <c r="H43" i="2"/>
  <c r="I38" i="2"/>
  <c r="I22" i="2"/>
  <c r="F46" i="2"/>
  <c r="B95" i="1" s="1"/>
  <c r="N12" i="3"/>
  <c r="O12" i="3" s="1"/>
  <c r="Q12" i="3" s="1"/>
  <c r="N15" i="3"/>
  <c r="O15" i="3" s="1"/>
  <c r="Q15" i="3" s="1"/>
  <c r="P15" i="3"/>
  <c r="N11" i="3"/>
  <c r="O11" i="3" s="1"/>
  <c r="Q11" i="3" s="1"/>
  <c r="N21" i="3"/>
  <c r="O21" i="3" s="1"/>
  <c r="Q21" i="3" s="1"/>
  <c r="N24" i="3"/>
  <c r="O24" i="3" s="1"/>
  <c r="Q24" i="3" s="1"/>
  <c r="N38" i="3"/>
  <c r="O38" i="3" s="1"/>
  <c r="P38" i="3"/>
  <c r="P39" i="3"/>
  <c r="N41" i="3"/>
  <c r="O41" i="3" s="1"/>
  <c r="Q41" i="3" s="1"/>
  <c r="N16" i="3"/>
  <c r="O16" i="3" s="1"/>
  <c r="P16" i="3"/>
  <c r="N30" i="3"/>
  <c r="O30" i="3" s="1"/>
  <c r="Q30" i="3" s="1"/>
  <c r="N33" i="3"/>
  <c r="O33" i="3" s="1"/>
  <c r="Q33" i="3" s="1"/>
  <c r="N25" i="3"/>
  <c r="O25" i="3" s="1"/>
  <c r="Q25" i="3" s="1"/>
  <c r="P25" i="3"/>
  <c r="N29" i="3"/>
  <c r="O29" i="3" s="1"/>
  <c r="Q29" i="3" s="1"/>
  <c r="N42" i="3"/>
  <c r="O42" i="3" s="1"/>
  <c r="Q42" i="3" s="1"/>
  <c r="P42" i="3"/>
  <c r="I43" i="3"/>
  <c r="N17" i="3"/>
  <c r="O17" i="3" s="1"/>
  <c r="P17" i="3"/>
  <c r="P19" i="3"/>
  <c r="N20" i="3"/>
  <c r="O20" i="3" s="1"/>
  <c r="N34" i="3"/>
  <c r="O34" i="3" s="1"/>
  <c r="Q34" i="3" s="1"/>
  <c r="P34" i="3"/>
  <c r="P36" i="3"/>
  <c r="N37" i="3"/>
  <c r="O37" i="3" s="1"/>
  <c r="P37" i="3"/>
  <c r="M7" i="3"/>
  <c r="N8" i="3"/>
  <c r="O8" i="3" s="1"/>
  <c r="N13" i="3"/>
  <c r="O13" i="3" s="1"/>
  <c r="Q13" i="3" s="1"/>
  <c r="N18" i="3"/>
  <c r="O18" i="3" s="1"/>
  <c r="Q18" i="3" s="1"/>
  <c r="N22" i="3"/>
  <c r="O22" i="3" s="1"/>
  <c r="N26" i="3"/>
  <c r="O26" i="3" s="1"/>
  <c r="N27" i="3"/>
  <c r="O27" i="3" s="1"/>
  <c r="N31" i="3"/>
  <c r="O31" i="3" s="1"/>
  <c r="N35" i="3"/>
  <c r="O35" i="3" s="1"/>
  <c r="N39" i="3"/>
  <c r="O39" i="3" s="1"/>
  <c r="J38" i="2" l="1"/>
  <c r="J14" i="2"/>
  <c r="J31" i="2"/>
  <c r="J15" i="2"/>
  <c r="J16" i="2"/>
  <c r="J30" i="2"/>
  <c r="J43" i="2"/>
  <c r="J19" i="2"/>
  <c r="J29" i="2"/>
  <c r="J17" i="2"/>
  <c r="J25" i="2"/>
  <c r="J13" i="2"/>
  <c r="J22" i="2"/>
  <c r="J12" i="2"/>
  <c r="J27" i="2"/>
  <c r="J35" i="2"/>
  <c r="J26" i="2"/>
  <c r="J39" i="2"/>
  <c r="J42" i="2"/>
  <c r="J24" i="2"/>
  <c r="C70" i="1"/>
  <c r="B107" i="1" s="1"/>
  <c r="P20" i="3"/>
  <c r="P33" i="3"/>
  <c r="P11" i="3"/>
  <c r="P23" i="3"/>
  <c r="P10" i="3"/>
  <c r="P40" i="3"/>
  <c r="Q26" i="3"/>
  <c r="P26" i="3"/>
  <c r="P24" i="3"/>
  <c r="P8" i="3"/>
  <c r="P32" i="3"/>
  <c r="P28" i="3"/>
  <c r="P9" i="3"/>
  <c r="P14" i="3"/>
  <c r="B100" i="1"/>
  <c r="C83" i="1"/>
  <c r="L41" i="2"/>
  <c r="N41" i="2" s="1"/>
  <c r="P41" i="2" s="1"/>
  <c r="Q41" i="2" s="1"/>
  <c r="N7" i="3"/>
  <c r="O7" i="3" s="1"/>
  <c r="Q7" i="3" s="1"/>
  <c r="Q43" i="3" s="1"/>
  <c r="P7" i="3"/>
  <c r="P35" i="3"/>
  <c r="P31" i="3"/>
  <c r="P22" i="3"/>
  <c r="P13" i="3"/>
  <c r="P18" i="3"/>
  <c r="P29" i="3"/>
  <c r="P30" i="3"/>
  <c r="P41" i="3"/>
  <c r="P21" i="3"/>
  <c r="P27" i="3"/>
  <c r="P12" i="3"/>
  <c r="L39" i="2" l="1"/>
  <c r="N39" i="2" s="1"/>
  <c r="P39" i="2" s="1"/>
  <c r="Q39" i="2" s="1"/>
  <c r="L15" i="2"/>
  <c r="N15" i="2" s="1"/>
  <c r="P15" i="2" s="1"/>
  <c r="Q15" i="2" s="1"/>
  <c r="L38" i="2"/>
  <c r="N38" i="2" s="1"/>
  <c r="P38" i="2" s="1"/>
  <c r="Q38" i="2" s="1"/>
  <c r="L25" i="2"/>
  <c r="N25" i="2" s="1"/>
  <c r="P25" i="2" s="1"/>
  <c r="Q25" i="2" s="1"/>
  <c r="L18" i="2"/>
  <c r="N18" i="2" s="1"/>
  <c r="P18" i="2" s="1"/>
  <c r="Q18" i="2" s="1"/>
  <c r="L16" i="2"/>
  <c r="N16" i="2" s="1"/>
  <c r="P16" i="2" s="1"/>
  <c r="Q16" i="2" s="1"/>
  <c r="L24" i="2"/>
  <c r="N24" i="2" s="1"/>
  <c r="P24" i="2" s="1"/>
  <c r="Q24" i="2" s="1"/>
  <c r="L32" i="2"/>
  <c r="N32" i="2" s="1"/>
  <c r="P32" i="2" s="1"/>
  <c r="Q32" i="2" s="1"/>
  <c r="L11" i="2"/>
  <c r="N11" i="2" s="1"/>
  <c r="P11" i="2" s="1"/>
  <c r="Q11" i="2" s="1"/>
  <c r="L19" i="2"/>
  <c r="N19" i="2" s="1"/>
  <c r="P19" i="2" s="1"/>
  <c r="Q19" i="2" s="1"/>
  <c r="L42" i="2"/>
  <c r="N42" i="2" s="1"/>
  <c r="P42" i="2" s="1"/>
  <c r="Q42" i="2" s="1"/>
  <c r="L29" i="2"/>
  <c r="N29" i="2" s="1"/>
  <c r="P29" i="2" s="1"/>
  <c r="Q29" i="2" s="1"/>
  <c r="L37" i="2"/>
  <c r="N37" i="2" s="1"/>
  <c r="L43" i="2"/>
  <c r="N43" i="2" s="1"/>
  <c r="P43" i="2" s="1"/>
  <c r="Q43" i="2" s="1"/>
  <c r="L36" i="2"/>
  <c r="N36" i="2" s="1"/>
  <c r="P36" i="2" s="1"/>
  <c r="Q36" i="2" s="1"/>
  <c r="L8" i="2"/>
  <c r="L20" i="2"/>
  <c r="N20" i="2" s="1"/>
  <c r="P20" i="2" s="1"/>
  <c r="Q20" i="2" s="1"/>
  <c r="L26" i="2"/>
  <c r="N26" i="2" s="1"/>
  <c r="P26" i="2" s="1"/>
  <c r="Q26" i="2" s="1"/>
  <c r="L34" i="2"/>
  <c r="N34" i="2" s="1"/>
  <c r="P34" i="2" s="1"/>
  <c r="Q34" i="2" s="1"/>
  <c r="L13" i="2"/>
  <c r="N13" i="2" s="1"/>
  <c r="P13" i="2" s="1"/>
  <c r="Q13" i="2" s="1"/>
  <c r="L21" i="2"/>
  <c r="N21" i="2" s="1"/>
  <c r="P21" i="2" s="1"/>
  <c r="Q21" i="2" s="1"/>
  <c r="L23" i="2"/>
  <c r="N23" i="2" s="1"/>
  <c r="P23" i="2" s="1"/>
  <c r="Q23" i="2" s="1"/>
  <c r="L31" i="2"/>
  <c r="N31" i="2" s="1"/>
  <c r="P31" i="2" s="1"/>
  <c r="Q31" i="2" s="1"/>
  <c r="L12" i="2"/>
  <c r="N12" i="2" s="1"/>
  <c r="P12" i="2" s="1"/>
  <c r="Q12" i="2" s="1"/>
  <c r="L10" i="2"/>
  <c r="N10" i="2" s="1"/>
  <c r="P10" i="2" s="1"/>
  <c r="Q10" i="2" s="1"/>
  <c r="L28" i="2"/>
  <c r="N28" i="2" s="1"/>
  <c r="P28" i="2" s="1"/>
  <c r="Q28" i="2" s="1"/>
  <c r="L33" i="2"/>
  <c r="N33" i="2" s="1"/>
  <c r="P33" i="2" s="1"/>
  <c r="Q33" i="2" s="1"/>
  <c r="L14" i="2"/>
  <c r="N14" i="2" s="1"/>
  <c r="P14" i="2" s="1"/>
  <c r="Q14" i="2" s="1"/>
  <c r="L22" i="2"/>
  <c r="N22" i="2" s="1"/>
  <c r="P22" i="2" s="1"/>
  <c r="Q22" i="2" s="1"/>
  <c r="L30" i="2"/>
  <c r="N30" i="2" s="1"/>
  <c r="P30" i="2" s="1"/>
  <c r="Q30" i="2" s="1"/>
  <c r="L9" i="2"/>
  <c r="L17" i="2"/>
  <c r="N17" i="2" s="1"/>
  <c r="P17" i="2" s="1"/>
  <c r="Q17" i="2" s="1"/>
  <c r="L40" i="2"/>
  <c r="N40" i="2" s="1"/>
  <c r="P40" i="2" s="1"/>
  <c r="Q40" i="2" s="1"/>
  <c r="L27" i="2"/>
  <c r="N27" i="2" s="1"/>
  <c r="P27" i="2" s="1"/>
  <c r="Q27" i="2" s="1"/>
  <c r="L35" i="2"/>
  <c r="N35" i="2" s="1"/>
  <c r="P35" i="2" s="1"/>
  <c r="Q35" i="2" s="1"/>
  <c r="N8" i="2"/>
  <c r="P8" i="2" s="1"/>
  <c r="Q8" i="2" s="1"/>
  <c r="P43" i="3"/>
  <c r="N9" i="2" l="1"/>
  <c r="P9" i="2" s="1"/>
  <c r="Q9" i="2" s="1"/>
  <c r="L44" i="2"/>
  <c r="N44" i="2" s="1"/>
  <c r="F44" i="2"/>
  <c r="H37" i="2"/>
  <c r="F45" i="2"/>
  <c r="F47" i="2" s="1"/>
  <c r="I37" i="2"/>
  <c r="O44" i="2" l="1"/>
  <c r="P44" i="2" s="1"/>
  <c r="J37" i="2"/>
  <c r="J44" i="2" s="1"/>
  <c r="P37" i="2"/>
  <c r="Q37" i="2" s="1"/>
  <c r="Q44" i="2" s="1"/>
  <c r="I44" i="2"/>
  <c r="B104" i="1"/>
  <c r="B109" i="1" l="1"/>
</calcChain>
</file>

<file path=xl/sharedStrings.xml><?xml version="1.0" encoding="utf-8"?>
<sst xmlns="http://schemas.openxmlformats.org/spreadsheetml/2006/main" count="361" uniqueCount="216">
  <si>
    <t>Tel. 11 5320-2676</t>
  </si>
  <si>
    <t>consorcioquintana115@gmail.com</t>
  </si>
  <si>
    <t>LIQUIDACION DE EXPENSAS</t>
  </si>
  <si>
    <t xml:space="preserve">CONSORCIO </t>
  </si>
  <si>
    <t>PAGO: DEPOSITO O TRANSFERENCIA</t>
  </si>
  <si>
    <t>Domicilio: QUINTANA 115</t>
  </si>
  <si>
    <t>Banco Santander Río</t>
  </si>
  <si>
    <t>CUIT: 30-68290744-0</t>
  </si>
  <si>
    <t>Cuenta Corriente N°: 740-015720/1</t>
  </si>
  <si>
    <t>Cons prop Edif Del Valle Iberlucea</t>
  </si>
  <si>
    <t>CBU 0720740420000001572018</t>
  </si>
  <si>
    <t>GASTOS ORDINARIOS</t>
  </si>
  <si>
    <t>GOROSITO, MONICA ALICIA</t>
  </si>
  <si>
    <t>Categoria encargado:04 - Encargado No permanente sin vivienda</t>
  </si>
  <si>
    <t>CUIL 23-18216193-4</t>
  </si>
  <si>
    <t>Convenio: SUTERH-641594</t>
  </si>
  <si>
    <t>Plus por antigüedad Resoluc.106/09</t>
  </si>
  <si>
    <t>8 años</t>
  </si>
  <si>
    <t>Descuentos</t>
  </si>
  <si>
    <t>TOTAL SUELDO</t>
  </si>
  <si>
    <t>APORTES Y CONTRIBUCIONES</t>
  </si>
  <si>
    <t>SUTERH - FATERYH - SARACAH</t>
  </si>
  <si>
    <t>TOTAL Aportes y Contribuciones - Sindicato</t>
  </si>
  <si>
    <t>SEGURO DE VIDA OBLIGATORIO - Sra. Encargada</t>
  </si>
  <si>
    <t>TOTAL SEGURO DE VIDA</t>
  </si>
  <si>
    <t>ABONOS Y SERVICIOS</t>
  </si>
  <si>
    <t>ADS Ascensores del Sur S.A.</t>
  </si>
  <si>
    <t>EDESUR</t>
  </si>
  <si>
    <t>TOTAL ABONOS Y SERVICIOS</t>
  </si>
  <si>
    <t>GASTOS GENERALES Y MANTENIMIENTO</t>
  </si>
  <si>
    <t>Productos de Limpieza</t>
  </si>
  <si>
    <t>TOTAL GASTOS GENERALES / MANTENIIENTO</t>
  </si>
  <si>
    <t>GASTOS BANCARIOS</t>
  </si>
  <si>
    <t>Mantenimiento de cuenta</t>
  </si>
  <si>
    <t>Gastos Ley 25.413</t>
  </si>
  <si>
    <t>TOTAL GASTOS BANCARIOS</t>
  </si>
  <si>
    <t xml:space="preserve">GASTOS DE ADMINISTRACION </t>
  </si>
  <si>
    <t>RC Adm Cons. CANCIANI, Carolina</t>
  </si>
  <si>
    <t>TOTAL GASTOS DE ADMINISTRACION</t>
  </si>
  <si>
    <t>TOTAL GASTOS ORDINARIOS (A)</t>
  </si>
  <si>
    <t>GASTOS EXTRAORDINARIOS</t>
  </si>
  <si>
    <t>GASTOS EXTRAORDINARIOS (B)</t>
  </si>
  <si>
    <t>TOTAL GENERAL DE GASTOS (A) + (B)</t>
  </si>
  <si>
    <t>RESUMEN DE MOVIMIENTO DE FONDOS</t>
  </si>
  <si>
    <t>CAJA EN DOLARES U$S</t>
  </si>
  <si>
    <t>Saldo anterior</t>
  </si>
  <si>
    <t>Ingresos</t>
  </si>
  <si>
    <t>Saldo al cierre</t>
  </si>
  <si>
    <t>CAJA EFECTIVO $ (pesos)</t>
  </si>
  <si>
    <t>Ingresos Ordinarios</t>
  </si>
  <si>
    <t>Ingresos Extraordinarias</t>
  </si>
  <si>
    <t>Egresos Ordinarios</t>
  </si>
  <si>
    <t>Egresos Extraordinarios</t>
  </si>
  <si>
    <t>BANCO CTA. 740-015720/1  SANTANDER</t>
  </si>
  <si>
    <t>NOTA:</t>
  </si>
  <si>
    <t>ESTADO DE CUENTA Y PRORRATEO</t>
  </si>
  <si>
    <t>QUINTANA Nº 115</t>
  </si>
  <si>
    <t>Gastos Ordinarios:</t>
  </si>
  <si>
    <t>Gastos Extr.:</t>
  </si>
  <si>
    <t>UF</t>
  </si>
  <si>
    <t>Dpto.</t>
  </si>
  <si>
    <t>Propietario</t>
  </si>
  <si>
    <t xml:space="preserve">Saldo </t>
  </si>
  <si>
    <t xml:space="preserve">Ingreso </t>
  </si>
  <si>
    <t>Ingreso</t>
  </si>
  <si>
    <t>Intereses</t>
  </si>
  <si>
    <t>porcentaje</t>
  </si>
  <si>
    <t>Expensas</t>
  </si>
  <si>
    <t>TOTAL</t>
  </si>
  <si>
    <t>Anterior</t>
  </si>
  <si>
    <t>Exp. Ord.</t>
  </si>
  <si>
    <t>Exp. Extraord.</t>
  </si>
  <si>
    <t>%</t>
  </si>
  <si>
    <t>Ord.</t>
  </si>
  <si>
    <t>Extr.</t>
  </si>
  <si>
    <t>EXPENSAS</t>
  </si>
  <si>
    <t>PBD-1</t>
  </si>
  <si>
    <t>COBAS, MABEL</t>
  </si>
  <si>
    <t>PB-1</t>
  </si>
  <si>
    <t>IGLESIAS, JULIO</t>
  </si>
  <si>
    <t>LOC-</t>
  </si>
  <si>
    <t>JONES CARLOS ALBERTO</t>
  </si>
  <si>
    <t xml:space="preserve">JACOUBIAN, NESTOR </t>
  </si>
  <si>
    <t>1-A</t>
  </si>
  <si>
    <t>BUSCICCHIO, MARTA</t>
  </si>
  <si>
    <t>1-B</t>
  </si>
  <si>
    <t>ROVNER, PABLO</t>
  </si>
  <si>
    <t>1-C</t>
  </si>
  <si>
    <t>GONZALEZ, LIDIA</t>
  </si>
  <si>
    <t>1-D</t>
  </si>
  <si>
    <t>COBAS, CAROLINA</t>
  </si>
  <si>
    <t>2-A</t>
  </si>
  <si>
    <t>2-B</t>
  </si>
  <si>
    <t>PINTOS, GERARDO</t>
  </si>
  <si>
    <t>2-C</t>
  </si>
  <si>
    <t>ROJAS, MERCEDES</t>
  </si>
  <si>
    <t>2-D</t>
  </si>
  <si>
    <t>LUBIATO, MARIA LUISA</t>
  </si>
  <si>
    <t>3-A</t>
  </si>
  <si>
    <t>LUENGO, PAOLA</t>
  </si>
  <si>
    <t>3-B</t>
  </si>
  <si>
    <t>GORGI, NORBERTO</t>
  </si>
  <si>
    <t>3-C</t>
  </si>
  <si>
    <t>3-D</t>
  </si>
  <si>
    <t>ZARATE, ANDREA (hija) / PERAL</t>
  </si>
  <si>
    <t>4-A</t>
  </si>
  <si>
    <t>VAYA, REMEDIOS</t>
  </si>
  <si>
    <t>4-B</t>
  </si>
  <si>
    <t>4-C</t>
  </si>
  <si>
    <t>COBAS, LORENA</t>
  </si>
  <si>
    <t>4-D</t>
  </si>
  <si>
    <t>5-A</t>
  </si>
  <si>
    <t>RICCIARDELLI, SUSANA</t>
  </si>
  <si>
    <t>5-B</t>
  </si>
  <si>
    <t>COBAS, CECILIA</t>
  </si>
  <si>
    <t>5-C</t>
  </si>
  <si>
    <t>5-D</t>
  </si>
  <si>
    <t>6-A</t>
  </si>
  <si>
    <t>6-B</t>
  </si>
  <si>
    <t>6-C</t>
  </si>
  <si>
    <t>LOPEZ, GUSTAVO</t>
  </si>
  <si>
    <t>6-D</t>
  </si>
  <si>
    <t>7-A</t>
  </si>
  <si>
    <t>RODRIGUEZ, MARTIN</t>
  </si>
  <si>
    <t>7-B</t>
  </si>
  <si>
    <t>7-C</t>
  </si>
  <si>
    <t>ANGELINI, MARIA SOL</t>
  </si>
  <si>
    <t>7-D</t>
  </si>
  <si>
    <t>COBAS, JORGE</t>
  </si>
  <si>
    <t>8-A</t>
  </si>
  <si>
    <t>RIELO, LEONARDO</t>
  </si>
  <si>
    <t>8-B</t>
  </si>
  <si>
    <t>GALVAN, JULIETA</t>
  </si>
  <si>
    <t>8-C</t>
  </si>
  <si>
    <t>TALABERA, JORGE</t>
  </si>
  <si>
    <t>8-D</t>
  </si>
  <si>
    <t>EXPENSAS EXTRAORDINARIAS: $ 300.000</t>
  </si>
  <si>
    <t>DEUDAS</t>
  </si>
  <si>
    <t>Deuda exp</t>
  </si>
  <si>
    <t>CUOTA</t>
  </si>
  <si>
    <t>PAGO</t>
  </si>
  <si>
    <t>Extraord</t>
  </si>
  <si>
    <t xml:space="preserve"> Sueldo Basico</t>
  </si>
  <si>
    <t>POR</t>
  </si>
  <si>
    <t>PAGARON</t>
  </si>
  <si>
    <t>B</t>
  </si>
  <si>
    <t>E</t>
  </si>
  <si>
    <t>BANCO:</t>
  </si>
  <si>
    <t>EFV:</t>
  </si>
  <si>
    <t>b</t>
  </si>
  <si>
    <t>Egreso por gastos</t>
  </si>
  <si>
    <t>SALDO</t>
  </si>
  <si>
    <t>A FAVOR</t>
  </si>
  <si>
    <t>Inquilinos</t>
  </si>
  <si>
    <t>Nahuel Heredia</t>
  </si>
  <si>
    <t>Alejandro Romera</t>
  </si>
  <si>
    <t>Lorena Orrego</t>
  </si>
  <si>
    <t>Julieta Causarano</t>
  </si>
  <si>
    <t>Maria C. Piccolo</t>
  </si>
  <si>
    <t>Noemi Galvan</t>
  </si>
  <si>
    <t>Daiana Zacarias</t>
  </si>
  <si>
    <t>Martin Libertun</t>
  </si>
  <si>
    <t>Vanesa Ferraro</t>
  </si>
  <si>
    <t xml:space="preserve">Ruben </t>
  </si>
  <si>
    <t>Alicia Lettini</t>
  </si>
  <si>
    <t>Raul Calvo</t>
  </si>
  <si>
    <t>Matias Fiorelli</t>
  </si>
  <si>
    <t>Iris Castiglioni</t>
  </si>
  <si>
    <t>Norma Rodriguez</t>
  </si>
  <si>
    <t>Carla Garcia</t>
  </si>
  <si>
    <t>Diego Righentini</t>
  </si>
  <si>
    <t>DEUDORES</t>
  </si>
  <si>
    <t>DEUDAS ORD y EXT</t>
  </si>
  <si>
    <t>Beatriz Juncal</t>
  </si>
  <si>
    <t>GASTOS ORDINARIOS SIN PREVISIONES</t>
  </si>
  <si>
    <t>Adriana Ferraro</t>
  </si>
  <si>
    <t>Gustavo Padron - Contador</t>
  </si>
  <si>
    <t xml:space="preserve">Reemplazo Encargada por ART </t>
  </si>
  <si>
    <t>Maria Sol</t>
  </si>
  <si>
    <t>Redondeo</t>
  </si>
  <si>
    <t>GASTO PARTICULAR</t>
  </si>
  <si>
    <t>Domicilio: Dr Melo 2958 Piso 8</t>
  </si>
  <si>
    <t>Gastos</t>
  </si>
  <si>
    <t>Part.</t>
  </si>
  <si>
    <t>Deposito Bancario</t>
  </si>
  <si>
    <t>Deposito bancario</t>
  </si>
  <si>
    <t xml:space="preserve">  </t>
  </si>
  <si>
    <t>Cary Godoy</t>
  </si>
  <si>
    <t xml:space="preserve">Prevision </t>
  </si>
  <si>
    <t>Marcia</t>
  </si>
  <si>
    <t>Marcos</t>
  </si>
  <si>
    <t>Depositos ya identificados</t>
  </si>
  <si>
    <t>A PAGAR  1 VTO</t>
  </si>
  <si>
    <t>A PAGAR  2 VTO</t>
  </si>
  <si>
    <t>Asignacion remunerativa</t>
  </si>
  <si>
    <t>VTO. 14/05</t>
  </si>
  <si>
    <t>PERÍODO: ABRIL 2025</t>
  </si>
  <si>
    <t>Período ABRIL 2024</t>
  </si>
  <si>
    <t>FC.1193 ABONO ABRIL</t>
  </si>
  <si>
    <t>Período ABRIL</t>
  </si>
  <si>
    <t>Período ABRIL 2024- Ef - MP 1148</t>
  </si>
  <si>
    <t>F931 DDJJ  - Pago mis cuentas</t>
  </si>
  <si>
    <t>JPL - Transferencia bancaria 08/04</t>
  </si>
  <si>
    <t>LOS HONORARIOS LOS SUBIMOS EN MARZ DEL 2025</t>
  </si>
  <si>
    <t>Horas extras</t>
  </si>
  <si>
    <t>Salvatierra Matias 15/3 - Abono cuota 2/4 destapacion general</t>
  </si>
  <si>
    <t>Servicio de fumigacion espacios comunes</t>
  </si>
  <si>
    <t>Diferencia mes anterior</t>
  </si>
  <si>
    <t>Zaffalon Veronica Vaciamiento sala de bombas - sala inundada - dia 22/04 - transferencia 23/04</t>
  </si>
  <si>
    <t>Zaffalon Veronica Vaciamiento sala de bombas - sala inundada - dia 28/04 - efectivo 29/04</t>
  </si>
  <si>
    <t>Debito 14/04</t>
  </si>
  <si>
    <t>ARCA</t>
  </si>
  <si>
    <t>Seguro Mercantil andina - Poliza Nro. 001174724 - Debito 22/04</t>
  </si>
  <si>
    <t xml:space="preserve">Doartero - Acondicionamiento y cambio de vidrios en sala de maquina de ascensores </t>
  </si>
  <si>
    <t>RC Adm Cons. CANCIANI, Carolina - entrega de documentacion y traspaso de administracion</t>
  </si>
  <si>
    <t>Punitorios mal cobrados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</si>
</sst>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_ ;\-#,##0.00\ "/>
    <numFmt numFmtId="167" formatCode="_-&quot;$&quot;\ * #,##0.00_-;\-&quot;$&quot;\ * #,##0.00_-;_-&quot;$&quot;\ * &quot;-&quot;??_-;_-@"/>
    <numFmt numFmtId="168" formatCode="#,##0.0000"/>
    <numFmt numFmtId="169" formatCode="_ &quot;$&quot;\ * #,##0_ ;_ &quot;$&quot;\ * \-#,##0_ ;_ &quot;$&quot;\ * &quot;-&quot;??_ ;_ @_ "/>
    <numFmt numFmtId="170" formatCode="_-&quot;$&quot;\ * #,##0.0_-;\-&quot;$&quot;\ * #,##0.0_-;_-&quot;$&quot;\ * &quot;-&quot;??_-;_-@_-"/>
    <numFmt numFmtId="171" formatCode="_ &quot;$&quot;\ * #,##0.0_ ;_ &quot;$&quot;\ * \-#,##0.0_ ;_ &quot;$&quot;\ * &quot;-&quot;??_ ;_ @_ "/>
    <numFmt numFmtId="172" formatCode="_-&quot;$&quot;\ * #,##0.0_-;\-&quot;$&quot;\ * #,##0.0_-;_-&quot;$&quot;\ * &quot;-&quot;?_-;_-@_-"/>
    <numFmt numFmtId="173" formatCode="_-&quot;$&quot;\ * #,##0_-;\-&quot;$&quot;\ * #,##0_-;_-&quot;$&quot;\ * &quot;-&quot;??_-;_-@_-"/>
    <numFmt numFmtId="174" formatCode="_-* #,##0.0_-;\-* #,##0.0_-;_-* &quot;-&quot;?_-;_-@_-"/>
  </numFmts>
  <fonts count="3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</font>
    <font>
      <b/>
      <sz val="10"/>
      <color theme="1"/>
      <name val="Calibri"/>
      <family val="2"/>
    </font>
    <font>
      <sz val="12"/>
      <color theme="0"/>
      <name val="Calibri"/>
      <family val="2"/>
    </font>
    <font>
      <b/>
      <sz val="10"/>
      <color theme="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u/>
      <sz val="12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</font>
    <font>
      <b/>
      <sz val="9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sz val="11"/>
      <color theme="8" tint="0.59999389629810485"/>
      <name val="Calibri"/>
      <family val="2"/>
    </font>
    <font>
      <b/>
      <sz val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D8D8D8"/>
      </patternFill>
    </fill>
    <fill>
      <patternFill patternType="solid">
        <fgColor theme="2" tint="-0.249977111117893"/>
        <bgColor rgb="FFD8D8D8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rgb="FFD8D8D8"/>
      </patternFill>
    </fill>
  </fills>
  <borders count="8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54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10" fillId="0" borderId="0" xfId="0" applyFont="1"/>
    <xf numFmtId="0" fontId="9" fillId="0" borderId="0" xfId="0" applyFont="1"/>
    <xf numFmtId="0" fontId="10" fillId="0" borderId="1" xfId="0" applyFont="1" applyBorder="1"/>
    <xf numFmtId="0" fontId="11" fillId="2" borderId="2" xfId="0" applyFont="1" applyFill="1" applyBorder="1"/>
    <xf numFmtId="0" fontId="12" fillId="0" borderId="0" xfId="0" applyFont="1"/>
    <xf numFmtId="4" fontId="7" fillId="0" borderId="0" xfId="0" applyNumberFormat="1" applyFont="1"/>
    <xf numFmtId="165" fontId="7" fillId="0" borderId="0" xfId="0" applyNumberFormat="1" applyFont="1"/>
    <xf numFmtId="0" fontId="12" fillId="3" borderId="6" xfId="0" applyFont="1" applyFill="1" applyBorder="1"/>
    <xf numFmtId="165" fontId="9" fillId="0" borderId="0" xfId="0" applyNumberFormat="1" applyFont="1"/>
    <xf numFmtId="0" fontId="10" fillId="4" borderId="2" xfId="0" applyFont="1" applyFill="1" applyBorder="1"/>
    <xf numFmtId="0" fontId="10" fillId="3" borderId="7" xfId="0" applyFont="1" applyFill="1" applyBorder="1"/>
    <xf numFmtId="0" fontId="12" fillId="4" borderId="2" xfId="0" applyFont="1" applyFill="1" applyBorder="1"/>
    <xf numFmtId="0" fontId="10" fillId="0" borderId="12" xfId="0" applyFont="1" applyBorder="1"/>
    <xf numFmtId="166" fontId="9" fillId="0" borderId="0" xfId="0" applyNumberFormat="1" applyFont="1"/>
    <xf numFmtId="0" fontId="10" fillId="0" borderId="13" xfId="0" applyFont="1" applyBorder="1"/>
    <xf numFmtId="0" fontId="12" fillId="5" borderId="6" xfId="0" applyFont="1" applyFill="1" applyBorder="1"/>
    <xf numFmtId="0" fontId="10" fillId="5" borderId="7" xfId="0" applyFont="1" applyFill="1" applyBorder="1"/>
    <xf numFmtId="0" fontId="12" fillId="5" borderId="7" xfId="0" applyFont="1" applyFill="1" applyBorder="1"/>
    <xf numFmtId="4" fontId="9" fillId="0" borderId="0" xfId="0" applyNumberFormat="1" applyFont="1"/>
    <xf numFmtId="0" fontId="7" fillId="0" borderId="1" xfId="0" applyFont="1" applyBorder="1"/>
    <xf numFmtId="0" fontId="11" fillId="2" borderId="17" xfId="0" applyFont="1" applyFill="1" applyBorder="1"/>
    <xf numFmtId="0" fontId="13" fillId="2" borderId="18" xfId="0" applyFont="1" applyFill="1" applyBorder="1"/>
    <xf numFmtId="0" fontId="7" fillId="0" borderId="20" xfId="0" applyFont="1" applyBorder="1"/>
    <xf numFmtId="0" fontId="10" fillId="0" borderId="21" xfId="0" applyFont="1" applyBorder="1"/>
    <xf numFmtId="0" fontId="10" fillId="0" borderId="14" xfId="0" applyFont="1" applyBorder="1"/>
    <xf numFmtId="0" fontId="12" fillId="4" borderId="17" xfId="0" applyFont="1" applyFill="1" applyBorder="1"/>
    <xf numFmtId="0" fontId="12" fillId="4" borderId="23" xfId="0" applyFont="1" applyFill="1" applyBorder="1"/>
    <xf numFmtId="167" fontId="7" fillId="0" borderId="0" xfId="0" applyNumberFormat="1" applyFont="1"/>
    <xf numFmtId="165" fontId="10" fillId="0" borderId="0" xfId="0" applyNumberFormat="1" applyFont="1"/>
    <xf numFmtId="0" fontId="11" fillId="2" borderId="18" xfId="0" applyFont="1" applyFill="1" applyBorder="1"/>
    <xf numFmtId="0" fontId="12" fillId="0" borderId="24" xfId="0" applyFont="1" applyBorder="1"/>
    <xf numFmtId="0" fontId="14" fillId="2" borderId="2" xfId="0" applyFont="1" applyFill="1" applyBorder="1"/>
    <xf numFmtId="165" fontId="12" fillId="0" borderId="25" xfId="0" applyNumberFormat="1" applyFont="1" applyBorder="1" applyAlignment="1">
      <alignment horizontal="right"/>
    </xf>
    <xf numFmtId="4" fontId="10" fillId="0" borderId="4" xfId="0" applyNumberFormat="1" applyFont="1" applyBorder="1" applyAlignment="1">
      <alignment horizontal="right"/>
    </xf>
    <xf numFmtId="4" fontId="12" fillId="0" borderId="0" xfId="0" applyNumberFormat="1" applyFont="1"/>
    <xf numFmtId="0" fontId="9" fillId="0" borderId="27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9" fillId="6" borderId="2" xfId="0" applyFont="1" applyFill="1" applyBorder="1"/>
    <xf numFmtId="0" fontId="9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9" fillId="7" borderId="11" xfId="0" applyFont="1" applyFill="1" applyBorder="1" applyAlignment="1">
      <alignment horizontal="center"/>
    </xf>
    <xf numFmtId="0" fontId="9" fillId="7" borderId="29" xfId="0" applyFont="1" applyFill="1" applyBorder="1" applyAlignment="1">
      <alignment horizontal="center"/>
    </xf>
    <xf numFmtId="0" fontId="9" fillId="7" borderId="30" xfId="0" applyFont="1" applyFill="1" applyBorder="1" applyAlignment="1">
      <alignment horizontal="center"/>
    </xf>
    <xf numFmtId="0" fontId="9" fillId="7" borderId="31" xfId="0" applyFont="1" applyFill="1" applyBorder="1" applyAlignment="1">
      <alignment horizontal="center"/>
    </xf>
    <xf numFmtId="0" fontId="9" fillId="7" borderId="32" xfId="0" applyFont="1" applyFill="1" applyBorder="1" applyAlignment="1">
      <alignment horizontal="center"/>
    </xf>
    <xf numFmtId="0" fontId="9" fillId="7" borderId="33" xfId="0" applyFont="1" applyFill="1" applyBorder="1" applyAlignment="1">
      <alignment horizontal="center"/>
    </xf>
    <xf numFmtId="0" fontId="9" fillId="7" borderId="34" xfId="0" applyFont="1" applyFill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9" fontId="9" fillId="7" borderId="2" xfId="0" applyNumberFormat="1" applyFont="1" applyFill="1" applyBorder="1" applyAlignment="1">
      <alignment horizontal="center"/>
    </xf>
    <xf numFmtId="0" fontId="9" fillId="7" borderId="35" xfId="0" applyFont="1" applyFill="1" applyBorder="1" applyAlignment="1">
      <alignment horizontal="center"/>
    </xf>
    <xf numFmtId="0" fontId="9" fillId="7" borderId="16" xfId="0" applyFont="1" applyFill="1" applyBorder="1" applyAlignment="1">
      <alignment horizontal="center"/>
    </xf>
    <xf numFmtId="0" fontId="9" fillId="7" borderId="36" xfId="0" applyFont="1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16" fillId="0" borderId="25" xfId="0" applyFont="1" applyBorder="1" applyAlignment="1">
      <alignment horizontal="center" wrapText="1"/>
    </xf>
    <xf numFmtId="0" fontId="16" fillId="0" borderId="25" xfId="0" applyFont="1" applyBorder="1" applyAlignment="1">
      <alignment wrapText="1"/>
    </xf>
    <xf numFmtId="3" fontId="7" fillId="0" borderId="25" xfId="0" applyNumberFormat="1" applyFont="1" applyBorder="1"/>
    <xf numFmtId="3" fontId="7" fillId="0" borderId="24" xfId="0" applyNumberFormat="1" applyFont="1" applyBorder="1"/>
    <xf numFmtId="3" fontId="7" fillId="0" borderId="37" xfId="0" applyNumberFormat="1" applyFont="1" applyBorder="1"/>
    <xf numFmtId="3" fontId="7" fillId="0" borderId="26" xfId="0" applyNumberFormat="1" applyFont="1" applyBorder="1"/>
    <xf numFmtId="168" fontId="7" fillId="0" borderId="24" xfId="0" applyNumberFormat="1" applyFont="1" applyBorder="1"/>
    <xf numFmtId="3" fontId="7" fillId="0" borderId="38" xfId="0" applyNumberFormat="1" applyFont="1" applyBorder="1"/>
    <xf numFmtId="3" fontId="7" fillId="0" borderId="39" xfId="0" applyNumberFormat="1" applyFont="1" applyBorder="1"/>
    <xf numFmtId="4" fontId="7" fillId="0" borderId="38" xfId="0" applyNumberFormat="1" applyFont="1" applyBorder="1"/>
    <xf numFmtId="0" fontId="7" fillId="0" borderId="25" xfId="0" applyFont="1" applyBorder="1"/>
    <xf numFmtId="0" fontId="17" fillId="0" borderId="25" xfId="0" applyFont="1" applyBorder="1" applyAlignment="1">
      <alignment horizontal="center" wrapText="1"/>
    </xf>
    <xf numFmtId="0" fontId="17" fillId="0" borderId="25" xfId="0" applyFont="1" applyBorder="1" applyAlignment="1">
      <alignment wrapText="1"/>
    </xf>
    <xf numFmtId="0" fontId="18" fillId="0" borderId="25" xfId="0" applyFont="1" applyBorder="1" applyAlignment="1">
      <alignment horizontal="center" wrapText="1"/>
    </xf>
    <xf numFmtId="0" fontId="9" fillId="5" borderId="40" xfId="0" applyFont="1" applyFill="1" applyBorder="1" applyAlignment="1">
      <alignment horizontal="left"/>
    </xf>
    <xf numFmtId="0" fontId="7" fillId="5" borderId="41" xfId="0" applyFont="1" applyFill="1" applyBorder="1" applyAlignment="1">
      <alignment horizontal="center"/>
    </xf>
    <xf numFmtId="0" fontId="7" fillId="5" borderId="41" xfId="0" applyFont="1" applyFill="1" applyBorder="1"/>
    <xf numFmtId="3" fontId="9" fillId="5" borderId="10" xfId="0" applyNumberFormat="1" applyFont="1" applyFill="1" applyBorder="1"/>
    <xf numFmtId="169" fontId="9" fillId="5" borderId="10" xfId="0" applyNumberFormat="1" applyFont="1" applyFill="1" applyBorder="1"/>
    <xf numFmtId="169" fontId="9" fillId="5" borderId="40" xfId="0" applyNumberFormat="1" applyFont="1" applyFill="1" applyBorder="1"/>
    <xf numFmtId="165" fontId="9" fillId="5" borderId="42" xfId="0" applyNumberFormat="1" applyFont="1" applyFill="1" applyBorder="1"/>
    <xf numFmtId="3" fontId="9" fillId="5" borderId="8" xfId="0" applyNumberFormat="1" applyFont="1" applyFill="1" applyBorder="1"/>
    <xf numFmtId="4" fontId="9" fillId="5" borderId="41" xfId="0" applyNumberFormat="1" applyFont="1" applyFill="1" applyBorder="1"/>
    <xf numFmtId="3" fontId="9" fillId="5" borderId="43" xfId="0" applyNumberFormat="1" applyFont="1" applyFill="1" applyBorder="1"/>
    <xf numFmtId="3" fontId="9" fillId="5" borderId="44" xfId="0" applyNumberFormat="1" applyFont="1" applyFill="1" applyBorder="1"/>
    <xf numFmtId="3" fontId="9" fillId="5" borderId="45" xfId="0" applyNumberFormat="1" applyFont="1" applyFill="1" applyBorder="1"/>
    <xf numFmtId="0" fontId="7" fillId="0" borderId="0" xfId="0" applyFont="1" applyAlignment="1">
      <alignment horizontal="center"/>
    </xf>
    <xf numFmtId="169" fontId="7" fillId="0" borderId="0" xfId="0" applyNumberFormat="1" applyFont="1"/>
    <xf numFmtId="0" fontId="9" fillId="7" borderId="49" xfId="0" applyFont="1" applyFill="1" applyBorder="1" applyAlignment="1">
      <alignment horizontal="center"/>
    </xf>
    <xf numFmtId="0" fontId="9" fillId="7" borderId="50" xfId="0" applyFont="1" applyFill="1" applyBorder="1" applyAlignment="1">
      <alignment horizontal="center"/>
    </xf>
    <xf numFmtId="0" fontId="9" fillId="7" borderId="53" xfId="0" applyFont="1" applyFill="1" applyBorder="1" applyAlignment="1">
      <alignment horizontal="center"/>
    </xf>
    <xf numFmtId="0" fontId="9" fillId="7" borderId="54" xfId="0" applyFont="1" applyFill="1" applyBorder="1" applyAlignment="1">
      <alignment horizontal="center"/>
    </xf>
    <xf numFmtId="0" fontId="9" fillId="7" borderId="5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wrapText="1"/>
    </xf>
    <xf numFmtId="0" fontId="16" fillId="0" borderId="5" xfId="0" applyFont="1" applyBorder="1" applyAlignment="1">
      <alignment wrapText="1"/>
    </xf>
    <xf numFmtId="168" fontId="7" fillId="0" borderId="56" xfId="0" applyNumberFormat="1" applyFont="1" applyBorder="1"/>
    <xf numFmtId="3" fontId="7" fillId="0" borderId="1" xfId="0" applyNumberFormat="1" applyFont="1" applyBorder="1"/>
    <xf numFmtId="3" fontId="7" fillId="0" borderId="5" xfId="0" applyNumberFormat="1" applyFont="1" applyBorder="1"/>
    <xf numFmtId="169" fontId="7" fillId="0" borderId="57" xfId="0" applyNumberFormat="1" applyFont="1" applyBorder="1"/>
    <xf numFmtId="168" fontId="7" fillId="0" borderId="25" xfId="0" applyNumberFormat="1" applyFont="1" applyBorder="1"/>
    <xf numFmtId="169" fontId="7" fillId="0" borderId="58" xfId="0" applyNumberFormat="1" applyFont="1" applyBorder="1"/>
    <xf numFmtId="165" fontId="7" fillId="0" borderId="58" xfId="0" applyNumberFormat="1" applyFont="1" applyBorder="1"/>
    <xf numFmtId="3" fontId="7" fillId="0" borderId="0" xfId="0" applyNumberFormat="1" applyFont="1"/>
    <xf numFmtId="3" fontId="7" fillId="0" borderId="59" xfId="0" applyNumberFormat="1" applyFont="1" applyBorder="1"/>
    <xf numFmtId="169" fontId="7" fillId="0" borderId="60" xfId="0" applyNumberFormat="1" applyFont="1" applyBorder="1"/>
    <xf numFmtId="3" fontId="9" fillId="5" borderId="61" xfId="0" applyNumberFormat="1" applyFont="1" applyFill="1" applyBorder="1"/>
    <xf numFmtId="3" fontId="9" fillId="5" borderId="55" xfId="0" applyNumberFormat="1" applyFont="1" applyFill="1" applyBorder="1"/>
    <xf numFmtId="3" fontId="9" fillId="5" borderId="62" xfId="0" applyNumberFormat="1" applyFont="1" applyFill="1" applyBorder="1"/>
    <xf numFmtId="3" fontId="9" fillId="5" borderId="17" xfId="0" applyNumberFormat="1" applyFont="1" applyFill="1" applyBorder="1"/>
    <xf numFmtId="169" fontId="9" fillId="5" borderId="62" xfId="0" applyNumberFormat="1" applyFont="1" applyFill="1" applyBorder="1"/>
    <xf numFmtId="169" fontId="19" fillId="0" borderId="58" xfId="0" applyNumberFormat="1" applyFont="1" applyBorder="1"/>
    <xf numFmtId="0" fontId="10" fillId="5" borderId="63" xfId="0" applyFont="1" applyFill="1" applyBorder="1"/>
    <xf numFmtId="0" fontId="16" fillId="8" borderId="25" xfId="0" applyFont="1" applyFill="1" applyBorder="1" applyAlignment="1">
      <alignment wrapText="1"/>
    </xf>
    <xf numFmtId="0" fontId="16" fillId="0" borderId="10" xfId="0" applyFont="1" applyBorder="1" applyAlignment="1">
      <alignment wrapText="1"/>
    </xf>
    <xf numFmtId="3" fontId="0" fillId="0" borderId="0" xfId="0" applyNumberFormat="1"/>
    <xf numFmtId="0" fontId="16" fillId="8" borderId="16" xfId="0" applyFont="1" applyFill="1" applyBorder="1" applyAlignment="1">
      <alignment wrapText="1"/>
    </xf>
    <xf numFmtId="169" fontId="20" fillId="0" borderId="58" xfId="0" applyNumberFormat="1" applyFont="1" applyBorder="1"/>
    <xf numFmtId="3" fontId="7" fillId="8" borderId="24" xfId="0" applyNumberFormat="1" applyFont="1" applyFill="1" applyBorder="1"/>
    <xf numFmtId="0" fontId="16" fillId="9" borderId="25" xfId="0" applyFont="1" applyFill="1" applyBorder="1" applyAlignment="1">
      <alignment wrapText="1"/>
    </xf>
    <xf numFmtId="0" fontId="16" fillId="9" borderId="64" xfId="0" applyFont="1" applyFill="1" applyBorder="1" applyAlignment="1">
      <alignment wrapText="1"/>
    </xf>
    <xf numFmtId="0" fontId="16" fillId="9" borderId="16" xfId="0" applyFont="1" applyFill="1" applyBorder="1" applyAlignment="1">
      <alignment wrapText="1"/>
    </xf>
    <xf numFmtId="169" fontId="0" fillId="0" borderId="0" xfId="0" applyNumberFormat="1"/>
    <xf numFmtId="0" fontId="21" fillId="10" borderId="0" xfId="0" applyFont="1" applyFill="1"/>
    <xf numFmtId="0" fontId="22" fillId="10" borderId="0" xfId="0" applyFont="1" applyFill="1"/>
    <xf numFmtId="0" fontId="22" fillId="8" borderId="0" xfId="0" applyFont="1" applyFill="1"/>
    <xf numFmtId="0" fontId="21" fillId="8" borderId="0" xfId="0" applyFont="1" applyFill="1"/>
    <xf numFmtId="164" fontId="21" fillId="8" borderId="0" xfId="1" applyFont="1" applyFill="1"/>
    <xf numFmtId="169" fontId="9" fillId="5" borderId="2" xfId="0" applyNumberFormat="1" applyFont="1" applyFill="1" applyBorder="1"/>
    <xf numFmtId="0" fontId="10" fillId="0" borderId="40" xfId="0" applyFont="1" applyBorder="1"/>
    <xf numFmtId="0" fontId="10" fillId="9" borderId="41" xfId="0" applyFont="1" applyFill="1" applyBorder="1"/>
    <xf numFmtId="0" fontId="10" fillId="0" borderId="65" xfId="0" applyFont="1" applyBorder="1"/>
    <xf numFmtId="0" fontId="10" fillId="0" borderId="66" xfId="0" applyFont="1" applyBorder="1"/>
    <xf numFmtId="0" fontId="10" fillId="4" borderId="69" xfId="0" applyFont="1" applyFill="1" applyBorder="1"/>
    <xf numFmtId="0" fontId="12" fillId="4" borderId="70" xfId="0" applyFont="1" applyFill="1" applyBorder="1"/>
    <xf numFmtId="165" fontId="12" fillId="3" borderId="45" xfId="0" applyNumberFormat="1" applyFont="1" applyFill="1" applyBorder="1"/>
    <xf numFmtId="0" fontId="23" fillId="7" borderId="30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16" fillId="9" borderId="2" xfId="0" applyFont="1" applyFill="1" applyBorder="1" applyAlignment="1">
      <alignment wrapText="1"/>
    </xf>
    <xf numFmtId="0" fontId="16" fillId="8" borderId="2" xfId="0" applyFont="1" applyFill="1" applyBorder="1" applyAlignment="1">
      <alignment wrapText="1"/>
    </xf>
    <xf numFmtId="0" fontId="7" fillId="5" borderId="67" xfId="0" applyFont="1" applyFill="1" applyBorder="1"/>
    <xf numFmtId="0" fontId="7" fillId="11" borderId="2" xfId="0" applyFont="1" applyFill="1" applyBorder="1"/>
    <xf numFmtId="0" fontId="12" fillId="12" borderId="30" xfId="0" applyFont="1" applyFill="1" applyBorder="1"/>
    <xf numFmtId="0" fontId="12" fillId="13" borderId="30" xfId="0" applyFont="1" applyFill="1" applyBorder="1"/>
    <xf numFmtId="0" fontId="24" fillId="12" borderId="30" xfId="0" applyFont="1" applyFill="1" applyBorder="1"/>
    <xf numFmtId="0" fontId="27" fillId="9" borderId="25" xfId="0" applyFont="1" applyFill="1" applyBorder="1" applyAlignment="1">
      <alignment wrapText="1"/>
    </xf>
    <xf numFmtId="0" fontId="10" fillId="9" borderId="1" xfId="0" applyFont="1" applyFill="1" applyBorder="1"/>
    <xf numFmtId="0" fontId="10" fillId="12" borderId="30" xfId="0" applyFont="1" applyFill="1" applyBorder="1"/>
    <xf numFmtId="164" fontId="0" fillId="0" borderId="0" xfId="0" applyNumberFormat="1"/>
    <xf numFmtId="170" fontId="21" fillId="10" borderId="0" xfId="1" applyNumberFormat="1" applyFont="1" applyFill="1"/>
    <xf numFmtId="171" fontId="10" fillId="0" borderId="0" xfId="0" applyNumberFormat="1" applyFont="1"/>
    <xf numFmtId="171" fontId="10" fillId="0" borderId="21" xfId="0" applyNumberFormat="1" applyFont="1" applyBorder="1"/>
    <xf numFmtId="171" fontId="10" fillId="0" borderId="22" xfId="0" applyNumberFormat="1" applyFont="1" applyBorder="1"/>
    <xf numFmtId="171" fontId="12" fillId="4" borderId="19" xfId="0" applyNumberFormat="1" applyFont="1" applyFill="1" applyBorder="1" applyAlignment="1">
      <alignment horizontal="center"/>
    </xf>
    <xf numFmtId="0" fontId="10" fillId="8" borderId="0" xfId="0" applyFont="1" applyFill="1"/>
    <xf numFmtId="169" fontId="11" fillId="2" borderId="19" xfId="0" applyNumberFormat="1" applyFont="1" applyFill="1" applyBorder="1"/>
    <xf numFmtId="172" fontId="0" fillId="0" borderId="0" xfId="0" applyNumberFormat="1"/>
    <xf numFmtId="0" fontId="14" fillId="10" borderId="0" xfId="0" applyFont="1" applyFill="1"/>
    <xf numFmtId="169" fontId="9" fillId="5" borderId="42" xfId="0" applyNumberFormat="1" applyFont="1" applyFill="1" applyBorder="1"/>
    <xf numFmtId="3" fontId="29" fillId="5" borderId="42" xfId="0" applyNumberFormat="1" applyFont="1" applyFill="1" applyBorder="1"/>
    <xf numFmtId="0" fontId="15" fillId="8" borderId="68" xfId="0" applyFont="1" applyFill="1" applyBorder="1"/>
    <xf numFmtId="0" fontId="12" fillId="0" borderId="28" xfId="0" applyFont="1" applyBorder="1" applyAlignment="1">
      <alignment horizontal="left" vertical="center" wrapText="1"/>
    </xf>
    <xf numFmtId="4" fontId="30" fillId="0" borderId="0" xfId="0" applyNumberFormat="1" applyFont="1"/>
    <xf numFmtId="0" fontId="12" fillId="16" borderId="7" xfId="0" applyFont="1" applyFill="1" applyBorder="1"/>
    <xf numFmtId="0" fontId="12" fillId="16" borderId="6" xfId="0" applyFont="1" applyFill="1" applyBorder="1"/>
    <xf numFmtId="169" fontId="12" fillId="0" borderId="25" xfId="0" applyNumberFormat="1" applyFont="1" applyBorder="1" applyAlignment="1">
      <alignment horizontal="right"/>
    </xf>
    <xf numFmtId="169" fontId="12" fillId="5" borderId="10" xfId="0" applyNumberFormat="1" applyFont="1" applyFill="1" applyBorder="1"/>
    <xf numFmtId="0" fontId="10" fillId="0" borderId="79" xfId="0" applyFont="1" applyBorder="1"/>
    <xf numFmtId="0" fontId="10" fillId="0" borderId="2" xfId="0" applyFont="1" applyBorder="1"/>
    <xf numFmtId="0" fontId="10" fillId="0" borderId="81" xfId="0" applyFont="1" applyBorder="1"/>
    <xf numFmtId="0" fontId="10" fillId="0" borderId="83" xfId="0" applyFont="1" applyBorder="1"/>
    <xf numFmtId="171" fontId="10" fillId="0" borderId="78" xfId="0" applyNumberFormat="1" applyFont="1" applyBorder="1"/>
    <xf numFmtId="0" fontId="9" fillId="0" borderId="82" xfId="0" applyFont="1" applyBorder="1"/>
    <xf numFmtId="0" fontId="9" fillId="0" borderId="80" xfId="0" applyFont="1" applyBorder="1"/>
    <xf numFmtId="0" fontId="4" fillId="0" borderId="0" xfId="0" applyFont="1"/>
    <xf numFmtId="0" fontId="3" fillId="0" borderId="0" xfId="0" applyFont="1"/>
    <xf numFmtId="171" fontId="33" fillId="2" borderId="19" xfId="0" applyNumberFormat="1" applyFont="1" applyFill="1" applyBorder="1"/>
    <xf numFmtId="171" fontId="33" fillId="10" borderId="0" xfId="0" applyNumberFormat="1" applyFont="1" applyFill="1"/>
    <xf numFmtId="4" fontId="5" fillId="8" borderId="76" xfId="0" applyNumberFormat="1" applyFont="1" applyFill="1" applyBorder="1"/>
    <xf numFmtId="0" fontId="12" fillId="0" borderId="40" xfId="0" applyFont="1" applyBorder="1"/>
    <xf numFmtId="165" fontId="12" fillId="0" borderId="10" xfId="0" applyNumberFormat="1" applyFont="1" applyBorder="1"/>
    <xf numFmtId="0" fontId="12" fillId="0" borderId="76" xfId="0" applyFont="1" applyBorder="1"/>
    <xf numFmtId="165" fontId="12" fillId="8" borderId="76" xfId="0" applyNumberFormat="1" applyFont="1" applyFill="1" applyBorder="1"/>
    <xf numFmtId="0" fontId="10" fillId="0" borderId="76" xfId="0" applyFont="1" applyBorder="1"/>
    <xf numFmtId="4" fontId="10" fillId="8" borderId="76" xfId="0" applyNumberFormat="1" applyFont="1" applyFill="1" applyBorder="1"/>
    <xf numFmtId="4" fontId="10" fillId="0" borderId="76" xfId="0" applyNumberFormat="1" applyFont="1" applyBorder="1"/>
    <xf numFmtId="4" fontId="31" fillId="8" borderId="76" xfId="0" applyNumberFormat="1" applyFont="1" applyFill="1" applyBorder="1"/>
    <xf numFmtId="0" fontId="10" fillId="8" borderId="76" xfId="0" applyFont="1" applyFill="1" applyBorder="1"/>
    <xf numFmtId="0" fontId="14" fillId="2" borderId="76" xfId="0" applyFont="1" applyFill="1" applyBorder="1"/>
    <xf numFmtId="4" fontId="7" fillId="8" borderId="76" xfId="0" applyNumberFormat="1" applyFont="1" applyFill="1" applyBorder="1"/>
    <xf numFmtId="4" fontId="32" fillId="8" borderId="76" xfId="0" applyNumberFormat="1" applyFont="1" applyFill="1" applyBorder="1"/>
    <xf numFmtId="0" fontId="7" fillId="8" borderId="25" xfId="0" applyFont="1" applyFill="1" applyBorder="1" applyAlignment="1">
      <alignment horizontal="center"/>
    </xf>
    <xf numFmtId="0" fontId="16" fillId="8" borderId="25" xfId="0" applyFont="1" applyFill="1" applyBorder="1" applyAlignment="1">
      <alignment horizontal="center" wrapText="1"/>
    </xf>
    <xf numFmtId="3" fontId="7" fillId="8" borderId="25" xfId="0" applyNumberFormat="1" applyFont="1" applyFill="1" applyBorder="1"/>
    <xf numFmtId="3" fontId="7" fillId="8" borderId="26" xfId="0" applyNumberFormat="1" applyFont="1" applyFill="1" applyBorder="1"/>
    <xf numFmtId="3" fontId="7" fillId="8" borderId="37" xfId="0" applyNumberFormat="1" applyFont="1" applyFill="1" applyBorder="1"/>
    <xf numFmtId="168" fontId="7" fillId="8" borderId="24" xfId="0" applyNumberFormat="1" applyFont="1" applyFill="1" applyBorder="1"/>
    <xf numFmtId="3" fontId="7" fillId="8" borderId="38" xfId="0" applyNumberFormat="1" applyFont="1" applyFill="1" applyBorder="1"/>
    <xf numFmtId="3" fontId="7" fillId="8" borderId="39" xfId="0" applyNumberFormat="1" applyFont="1" applyFill="1" applyBorder="1"/>
    <xf numFmtId="4" fontId="7" fillId="8" borderId="38" xfId="0" applyNumberFormat="1" applyFont="1" applyFill="1" applyBorder="1"/>
    <xf numFmtId="0" fontId="2" fillId="0" borderId="0" xfId="0" applyFont="1"/>
    <xf numFmtId="0" fontId="16" fillId="9" borderId="25" xfId="0" applyFont="1" applyFill="1" applyBorder="1"/>
    <xf numFmtId="4" fontId="0" fillId="0" borderId="0" xfId="0" applyNumberFormat="1"/>
    <xf numFmtId="174" fontId="0" fillId="0" borderId="0" xfId="0" applyNumberFormat="1"/>
    <xf numFmtId="174" fontId="7" fillId="0" borderId="0" xfId="0" applyNumberFormat="1" applyFont="1"/>
    <xf numFmtId="0" fontId="1" fillId="0" borderId="0" xfId="0" applyFont="1"/>
    <xf numFmtId="0" fontId="10" fillId="8" borderId="15" xfId="0" applyFont="1" applyFill="1" applyBorder="1"/>
    <xf numFmtId="0" fontId="10" fillId="8" borderId="12" xfId="0" applyFont="1" applyFill="1" applyBorder="1"/>
    <xf numFmtId="3" fontId="15" fillId="8" borderId="25" xfId="0" applyNumberFormat="1" applyFont="1" applyFill="1" applyBorder="1"/>
    <xf numFmtId="3" fontId="15" fillId="9" borderId="25" xfId="0" applyNumberFormat="1" applyFont="1" applyFill="1" applyBorder="1"/>
    <xf numFmtId="3" fontId="15" fillId="0" borderId="25" xfId="0" applyNumberFormat="1" applyFont="1" applyBorder="1"/>
    <xf numFmtId="0" fontId="34" fillId="6" borderId="2" xfId="0" applyFont="1" applyFill="1" applyBorder="1"/>
    <xf numFmtId="164" fontId="28" fillId="8" borderId="76" xfId="1" applyFont="1" applyFill="1" applyBorder="1"/>
    <xf numFmtId="165" fontId="35" fillId="16" borderId="45" xfId="0" applyNumberFormat="1" applyFont="1" applyFill="1" applyBorder="1"/>
    <xf numFmtId="165" fontId="35" fillId="12" borderId="34" xfId="0" applyNumberFormat="1" applyFont="1" applyFill="1" applyBorder="1"/>
    <xf numFmtId="4" fontId="28" fillId="8" borderId="45" xfId="0" applyNumberFormat="1" applyFont="1" applyFill="1" applyBorder="1"/>
    <xf numFmtId="165" fontId="28" fillId="12" borderId="34" xfId="0" applyNumberFormat="1" applyFont="1" applyFill="1" applyBorder="1"/>
    <xf numFmtId="165" fontId="35" fillId="16" borderId="34" xfId="0" applyNumberFormat="1" applyFont="1" applyFill="1" applyBorder="1"/>
    <xf numFmtId="165" fontId="35" fillId="4" borderId="64" xfId="0" applyNumberFormat="1" applyFont="1" applyFill="1" applyBorder="1"/>
    <xf numFmtId="166" fontId="28" fillId="8" borderId="67" xfId="0" applyNumberFormat="1" applyFont="1" applyFill="1" applyBorder="1"/>
    <xf numFmtId="165" fontId="35" fillId="15" borderId="8" xfId="0" applyNumberFormat="1" applyFont="1" applyFill="1" applyBorder="1"/>
    <xf numFmtId="166" fontId="28" fillId="8" borderId="71" xfId="0" applyNumberFormat="1" applyFont="1" applyFill="1" applyBorder="1"/>
    <xf numFmtId="166" fontId="28" fillId="8" borderId="77" xfId="0" applyNumberFormat="1" applyFont="1" applyFill="1" applyBorder="1"/>
    <xf numFmtId="166" fontId="35" fillId="15" borderId="74" xfId="0" applyNumberFormat="1" applyFont="1" applyFill="1" applyBorder="1"/>
    <xf numFmtId="4" fontId="28" fillId="8" borderId="71" xfId="0" applyNumberFormat="1" applyFont="1" applyFill="1" applyBorder="1"/>
    <xf numFmtId="4" fontId="28" fillId="8" borderId="75" xfId="0" applyNumberFormat="1" applyFont="1" applyFill="1" applyBorder="1"/>
    <xf numFmtId="4" fontId="28" fillId="8" borderId="74" xfId="0" applyNumberFormat="1" applyFont="1" applyFill="1" applyBorder="1"/>
    <xf numFmtId="165" fontId="35" fillId="15" borderId="67" xfId="0" applyNumberFormat="1" applyFont="1" applyFill="1" applyBorder="1"/>
    <xf numFmtId="165" fontId="35" fillId="4" borderId="73" xfId="0" applyNumberFormat="1" applyFont="1" applyFill="1" applyBorder="1"/>
    <xf numFmtId="0" fontId="28" fillId="8" borderId="73" xfId="0" applyFont="1" applyFill="1" applyBorder="1"/>
    <xf numFmtId="4" fontId="28" fillId="8" borderId="68" xfId="0" applyNumberFormat="1" applyFont="1" applyFill="1" applyBorder="1"/>
    <xf numFmtId="165" fontId="35" fillId="14" borderId="67" xfId="0" applyNumberFormat="1" applyFont="1" applyFill="1" applyBorder="1"/>
    <xf numFmtId="4" fontId="28" fillId="8" borderId="72" xfId="0" applyNumberFormat="1" applyFont="1" applyFill="1" applyBorder="1"/>
    <xf numFmtId="0" fontId="28" fillId="0" borderId="2" xfId="0" applyFont="1" applyBorder="1" applyAlignment="1">
      <alignment horizontal="center"/>
    </xf>
    <xf numFmtId="166" fontId="28" fillId="8" borderId="68" xfId="0" applyNumberFormat="1" applyFont="1" applyFill="1" applyBorder="1"/>
    <xf numFmtId="166" fontId="28" fillId="8" borderId="5" xfId="0" applyNumberFormat="1" applyFont="1" applyFill="1" applyBorder="1"/>
    <xf numFmtId="165" fontId="35" fillId="15" borderId="74" xfId="0" applyNumberFormat="1" applyFont="1" applyFill="1" applyBorder="1"/>
    <xf numFmtId="173" fontId="7" fillId="6" borderId="2" xfId="1" applyNumberFormat="1" applyFont="1" applyFill="1" applyBorder="1" applyAlignment="1">
      <alignment horizontal="center"/>
    </xf>
    <xf numFmtId="164" fontId="9" fillId="6" borderId="2" xfId="1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5" fillId="7" borderId="11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/>
    </xf>
    <xf numFmtId="0" fontId="9" fillId="7" borderId="11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46" xfId="0" applyFont="1" applyFill="1" applyBorder="1" applyAlignment="1">
      <alignment horizontal="center" vertical="center" wrapText="1"/>
    </xf>
    <xf numFmtId="0" fontId="15" fillId="0" borderId="51" xfId="0" applyFont="1" applyBorder="1"/>
    <xf numFmtId="0" fontId="9" fillId="7" borderId="47" xfId="0" applyFont="1" applyFill="1" applyBorder="1" applyAlignment="1">
      <alignment horizontal="center" vertical="center" wrapText="1"/>
    </xf>
    <xf numFmtId="0" fontId="15" fillId="0" borderId="22" xfId="0" applyFont="1" applyBorder="1"/>
    <xf numFmtId="0" fontId="9" fillId="7" borderId="48" xfId="0" applyFont="1" applyFill="1" applyBorder="1" applyAlignment="1">
      <alignment horizontal="center" vertical="center" wrapText="1"/>
    </xf>
    <xf numFmtId="0" fontId="15" fillId="0" borderId="52" xfId="0" applyFont="1" applyBorder="1"/>
    <xf numFmtId="4" fontId="28" fillId="8" borderId="76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85975" cy="733425"/>
    <xdr:pic>
      <xdr:nvPicPr>
        <xdr:cNvPr id="2" name="image1.jpg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quintana11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3"/>
  <sheetViews>
    <sheetView topLeftCell="A57" zoomScaleNormal="100" workbookViewId="0">
      <selection activeCell="B100" sqref="B100"/>
    </sheetView>
  </sheetViews>
  <sheetFormatPr baseColWidth="10" defaultColWidth="14.42578125" defaultRowHeight="15" customHeight="1" x14ac:dyDescent="0.25"/>
  <cols>
    <col min="1" max="1" width="37.5703125" customWidth="1"/>
    <col min="2" max="2" width="48.140625" customWidth="1"/>
    <col min="3" max="3" width="14.140625" customWidth="1"/>
    <col min="4" max="4" width="14.5703125" customWidth="1"/>
    <col min="5" max="5" width="3.5703125" customWidth="1"/>
    <col min="6" max="6" width="13.7109375" customWidth="1"/>
    <col min="7" max="8" width="12.42578125" customWidth="1"/>
    <col min="9" max="9" width="13.28515625" customWidth="1"/>
    <col min="10" max="10" width="12.140625" customWidth="1"/>
    <col min="11" max="26" width="10.7109375" customWidth="1"/>
  </cols>
  <sheetData>
    <row r="1" spans="1:9" x14ac:dyDescent="0.25">
      <c r="B1" t="s">
        <v>181</v>
      </c>
      <c r="G1" s="2"/>
      <c r="H1" s="2"/>
      <c r="I1" s="2"/>
    </row>
    <row r="2" spans="1:9" x14ac:dyDescent="0.25">
      <c r="B2" s="1" t="s">
        <v>0</v>
      </c>
      <c r="G2" s="2"/>
      <c r="H2" s="2"/>
      <c r="I2" s="2"/>
    </row>
    <row r="3" spans="1:9" x14ac:dyDescent="0.25">
      <c r="B3" s="3" t="s">
        <v>1</v>
      </c>
      <c r="G3" s="2"/>
      <c r="H3" s="2"/>
      <c r="I3" s="2"/>
    </row>
    <row r="4" spans="1:9" x14ac:dyDescent="0.25">
      <c r="G4" s="2"/>
      <c r="H4" s="2"/>
      <c r="I4" s="2"/>
    </row>
    <row r="5" spans="1:9" x14ac:dyDescent="0.25">
      <c r="A5" s="4" t="s">
        <v>2</v>
      </c>
      <c r="B5" s="4" t="s">
        <v>196</v>
      </c>
      <c r="C5" s="4" t="s">
        <v>195</v>
      </c>
      <c r="G5" s="2"/>
      <c r="H5" s="2"/>
      <c r="I5" s="2"/>
    </row>
    <row r="6" spans="1:9" x14ac:dyDescent="0.25">
      <c r="A6" s="5"/>
      <c r="B6" s="5"/>
      <c r="C6" s="5"/>
      <c r="G6" s="2"/>
      <c r="H6" s="2"/>
      <c r="I6" s="2"/>
    </row>
    <row r="7" spans="1:9" x14ac:dyDescent="0.25">
      <c r="A7" s="6" t="s">
        <v>3</v>
      </c>
      <c r="B7" s="6" t="s">
        <v>4</v>
      </c>
      <c r="G7" s="2"/>
      <c r="H7" s="2"/>
      <c r="I7" s="2"/>
    </row>
    <row r="8" spans="1:9" x14ac:dyDescent="0.25">
      <c r="A8" s="1" t="s">
        <v>5</v>
      </c>
      <c r="B8" s="1" t="s">
        <v>6</v>
      </c>
      <c r="G8" s="2"/>
      <c r="H8" s="2"/>
      <c r="I8" s="2"/>
    </row>
    <row r="9" spans="1:9" x14ac:dyDescent="0.25">
      <c r="A9" s="200" t="s">
        <v>7</v>
      </c>
      <c r="B9" s="1" t="s">
        <v>8</v>
      </c>
      <c r="G9" s="2"/>
      <c r="H9" s="2"/>
      <c r="I9" s="2"/>
    </row>
    <row r="10" spans="1:9" x14ac:dyDescent="0.25">
      <c r="A10" s="1" t="s">
        <v>9</v>
      </c>
      <c r="B10" s="1" t="s">
        <v>10</v>
      </c>
      <c r="G10" s="2"/>
      <c r="H10" s="2"/>
      <c r="I10" s="2"/>
    </row>
    <row r="11" spans="1:9" x14ac:dyDescent="0.25">
      <c r="A11" s="7"/>
      <c r="B11" s="7"/>
      <c r="C11" s="7"/>
      <c r="G11" s="2"/>
      <c r="H11" s="2"/>
      <c r="I11" s="2"/>
    </row>
    <row r="12" spans="1:9" x14ac:dyDescent="0.25">
      <c r="A12" s="5"/>
      <c r="B12" s="5"/>
      <c r="C12" s="5"/>
      <c r="G12" s="2"/>
      <c r="H12" s="2"/>
      <c r="I12" s="2"/>
    </row>
    <row r="13" spans="1:9" ht="15.75" x14ac:dyDescent="0.25">
      <c r="A13" s="8" t="s">
        <v>11</v>
      </c>
      <c r="B13" s="5"/>
      <c r="C13" s="5"/>
      <c r="G13" s="2"/>
      <c r="H13" s="2"/>
      <c r="I13" s="2"/>
    </row>
    <row r="14" spans="1:9" x14ac:dyDescent="0.25">
      <c r="A14" s="6" t="s">
        <v>12</v>
      </c>
      <c r="B14" s="6" t="s">
        <v>13</v>
      </c>
      <c r="C14" s="205"/>
      <c r="D14" s="2"/>
      <c r="G14" s="2"/>
      <c r="H14" s="2"/>
      <c r="I14" s="2"/>
    </row>
    <row r="15" spans="1:9" x14ac:dyDescent="0.25">
      <c r="A15" s="4" t="s">
        <v>14</v>
      </c>
      <c r="B15" s="4" t="s">
        <v>15</v>
      </c>
      <c r="C15" s="233"/>
      <c r="G15" s="2"/>
      <c r="H15" s="2"/>
      <c r="I15" s="2"/>
    </row>
    <row r="16" spans="1:9" x14ac:dyDescent="0.25">
      <c r="A16" s="9" t="s">
        <v>142</v>
      </c>
      <c r="B16" s="5" t="s">
        <v>197</v>
      </c>
      <c r="C16" s="212">
        <v>417832</v>
      </c>
      <c r="F16" s="10"/>
      <c r="G16" s="2"/>
      <c r="H16" s="2"/>
      <c r="I16" s="2"/>
    </row>
    <row r="17" spans="1:9" x14ac:dyDescent="0.25">
      <c r="A17" s="5" t="s">
        <v>16</v>
      </c>
      <c r="B17" s="5" t="s">
        <v>17</v>
      </c>
      <c r="C17" s="212">
        <v>79371</v>
      </c>
      <c r="G17" s="2"/>
      <c r="H17" s="2"/>
      <c r="I17" s="2"/>
    </row>
    <row r="18" spans="1:9" x14ac:dyDescent="0.25">
      <c r="A18" s="5" t="s">
        <v>194</v>
      </c>
      <c r="B18" s="5"/>
      <c r="C18" s="212">
        <v>25000</v>
      </c>
      <c r="G18" s="2"/>
      <c r="H18" s="2"/>
      <c r="I18" s="2"/>
    </row>
    <row r="19" spans="1:9" x14ac:dyDescent="0.25">
      <c r="A19" s="5" t="s">
        <v>204</v>
      </c>
      <c r="B19" s="5"/>
      <c r="C19" s="212">
        <v>37290.22</v>
      </c>
      <c r="G19" s="2"/>
      <c r="H19" s="2"/>
      <c r="I19" s="2"/>
    </row>
    <row r="20" spans="1:9" x14ac:dyDescent="0.25">
      <c r="A20" s="5" t="s">
        <v>18</v>
      </c>
      <c r="B20" s="5"/>
      <c r="C20" s="212">
        <v>-138474.57</v>
      </c>
      <c r="D20" s="162"/>
      <c r="E20" s="11"/>
      <c r="G20" s="2"/>
      <c r="H20" s="2"/>
      <c r="I20" s="2"/>
    </row>
    <row r="21" spans="1:9" ht="17.25" customHeight="1" x14ac:dyDescent="0.25">
      <c r="A21" s="5" t="s">
        <v>179</v>
      </c>
      <c r="B21" s="5"/>
      <c r="C21" s="212">
        <v>0.35</v>
      </c>
      <c r="E21" s="11"/>
      <c r="G21" s="2"/>
      <c r="H21" s="2"/>
      <c r="I21" s="2"/>
    </row>
    <row r="22" spans="1:9" ht="12.75" customHeight="1" x14ac:dyDescent="0.25">
      <c r="A22" s="164" t="s">
        <v>19</v>
      </c>
      <c r="B22" s="163"/>
      <c r="C22" s="213">
        <f>SUM(C16:C21)</f>
        <v>421018.99999999994</v>
      </c>
      <c r="D22" s="148"/>
      <c r="E22" s="2"/>
      <c r="G22" s="11"/>
      <c r="H22" s="13"/>
      <c r="I22" s="2"/>
    </row>
    <row r="23" spans="1:9" ht="0.75" hidden="1" customHeight="1" x14ac:dyDescent="0.25">
      <c r="A23" s="142"/>
      <c r="B23" s="142"/>
      <c r="C23" s="214"/>
      <c r="E23" s="2"/>
      <c r="G23" s="11"/>
      <c r="H23" s="13"/>
      <c r="I23" s="2"/>
    </row>
    <row r="24" spans="1:9" hidden="1" x14ac:dyDescent="0.25">
      <c r="A24" s="5" t="s">
        <v>177</v>
      </c>
      <c r="B24" s="142"/>
      <c r="C24" s="215"/>
      <c r="E24" s="2"/>
      <c r="G24" s="11"/>
      <c r="H24" s="13"/>
      <c r="I24" s="2"/>
    </row>
    <row r="25" spans="1:9" hidden="1" x14ac:dyDescent="0.25">
      <c r="A25" s="147"/>
      <c r="B25" s="142"/>
      <c r="C25" s="216"/>
      <c r="E25" s="2"/>
      <c r="G25" s="11"/>
      <c r="H25" s="13"/>
      <c r="I25" s="2"/>
    </row>
    <row r="26" spans="1:9" hidden="1" x14ac:dyDescent="0.25">
      <c r="A26" s="147"/>
      <c r="B26" s="142"/>
      <c r="C26" s="216"/>
      <c r="E26" s="2"/>
      <c r="G26" s="11"/>
      <c r="H26" s="13"/>
      <c r="I26" s="2"/>
    </row>
    <row r="27" spans="1:9" hidden="1" x14ac:dyDescent="0.25">
      <c r="A27" s="147"/>
      <c r="B27" s="144"/>
      <c r="C27" s="214"/>
      <c r="E27" s="2"/>
      <c r="G27" s="11"/>
      <c r="H27" s="13"/>
      <c r="I27" s="2"/>
    </row>
    <row r="28" spans="1:9" hidden="1" x14ac:dyDescent="0.25">
      <c r="A28" s="147"/>
      <c r="B28" s="144"/>
      <c r="C28" s="216"/>
      <c r="E28" s="2"/>
      <c r="G28" s="11"/>
      <c r="H28" s="13"/>
      <c r="I28" s="2"/>
    </row>
    <row r="29" spans="1:9" hidden="1" x14ac:dyDescent="0.25">
      <c r="A29" s="143" t="s">
        <v>68</v>
      </c>
      <c r="B29" s="143"/>
      <c r="C29" s="217">
        <f>SUM(C23:C28)</f>
        <v>0</v>
      </c>
      <c r="E29" s="2"/>
      <c r="G29" s="11"/>
      <c r="H29" s="13"/>
      <c r="I29" s="2"/>
    </row>
    <row r="30" spans="1:9" ht="15.75" customHeight="1" x14ac:dyDescent="0.25">
      <c r="A30" s="134" t="s">
        <v>20</v>
      </c>
      <c r="B30" s="133"/>
      <c r="C30" s="218"/>
      <c r="G30" s="2"/>
      <c r="H30" s="2"/>
      <c r="I30" s="2"/>
    </row>
    <row r="31" spans="1:9" ht="15.75" customHeight="1" x14ac:dyDescent="0.25">
      <c r="A31" s="132" t="s">
        <v>21</v>
      </c>
      <c r="B31" s="131" t="s">
        <v>210</v>
      </c>
      <c r="C31" s="234">
        <f>45943.19+2611.02+23499.14</f>
        <v>72053.350000000006</v>
      </c>
      <c r="F31" s="6"/>
      <c r="G31" s="11"/>
      <c r="H31" s="18"/>
      <c r="I31" s="2"/>
    </row>
    <row r="32" spans="1:9" ht="15.75" customHeight="1" x14ac:dyDescent="0.25">
      <c r="A32" s="19" t="s">
        <v>211</v>
      </c>
      <c r="B32" s="146" t="s">
        <v>201</v>
      </c>
      <c r="C32" s="235">
        <v>300197.03999999998</v>
      </c>
      <c r="D32" s="13"/>
      <c r="F32" s="6"/>
      <c r="G32" s="11"/>
      <c r="H32" s="18"/>
      <c r="I32" s="2"/>
    </row>
    <row r="33" spans="1:9" ht="15.75" customHeight="1" x14ac:dyDescent="0.25">
      <c r="A33" s="129"/>
      <c r="B33" s="130"/>
      <c r="C33" s="219"/>
      <c r="D33" s="13"/>
      <c r="F33" s="6"/>
      <c r="G33" s="11"/>
      <c r="H33" s="18"/>
      <c r="I33" s="2"/>
    </row>
    <row r="34" spans="1:9" ht="15.75" customHeight="1" x14ac:dyDescent="0.25">
      <c r="A34" s="20" t="s">
        <v>22</v>
      </c>
      <c r="B34" s="21"/>
      <c r="C34" s="220">
        <f>SUM(C31:C33)</f>
        <v>372250.39</v>
      </c>
      <c r="D34" s="13"/>
      <c r="G34" s="11"/>
      <c r="H34" s="11"/>
      <c r="I34" s="2"/>
    </row>
    <row r="35" spans="1:9" ht="15.75" customHeight="1" x14ac:dyDescent="0.25">
      <c r="A35" s="17" t="s">
        <v>23</v>
      </c>
      <c r="B35" s="5"/>
      <c r="C35" s="221">
        <f>5684</f>
        <v>5684</v>
      </c>
      <c r="D35" s="13"/>
      <c r="F35" s="6"/>
      <c r="G35" s="11"/>
      <c r="H35" s="18"/>
      <c r="I35" s="2"/>
    </row>
    <row r="36" spans="1:9" ht="15.75" customHeight="1" x14ac:dyDescent="0.25">
      <c r="A36" s="154" t="s">
        <v>212</v>
      </c>
      <c r="B36" s="5"/>
      <c r="C36" s="221">
        <v>62012.56</v>
      </c>
      <c r="D36" s="13"/>
      <c r="F36" s="6"/>
      <c r="G36" s="11"/>
      <c r="H36" s="18"/>
      <c r="I36" s="2"/>
    </row>
    <row r="37" spans="1:9" ht="15.75" customHeight="1" x14ac:dyDescent="0.25">
      <c r="A37" s="154"/>
      <c r="B37" s="5"/>
      <c r="C37" s="222"/>
      <c r="D37" s="13"/>
      <c r="F37" s="6"/>
      <c r="G37" s="11"/>
      <c r="H37" s="18"/>
      <c r="I37" s="2"/>
    </row>
    <row r="38" spans="1:9" ht="15.75" customHeight="1" x14ac:dyDescent="0.25">
      <c r="A38" s="20" t="s">
        <v>24</v>
      </c>
      <c r="B38" s="22"/>
      <c r="C38" s="223">
        <f>SUM(C35:C37)</f>
        <v>67696.56</v>
      </c>
      <c r="D38" s="13"/>
      <c r="F38" s="6"/>
      <c r="G38" s="11"/>
      <c r="H38" s="18"/>
      <c r="I38" s="2"/>
    </row>
    <row r="39" spans="1:9" ht="15.75" customHeight="1" x14ac:dyDescent="0.25">
      <c r="A39" s="20"/>
      <c r="B39" s="22"/>
      <c r="C39" s="223"/>
      <c r="F39" s="6"/>
      <c r="G39" s="10"/>
      <c r="H39" s="23"/>
      <c r="I39" s="2"/>
    </row>
    <row r="40" spans="1:9" x14ac:dyDescent="0.25">
      <c r="A40" s="16" t="s">
        <v>25</v>
      </c>
      <c r="B40" s="14"/>
      <c r="C40" s="218"/>
      <c r="F40" s="6"/>
      <c r="G40" s="10"/>
      <c r="H40" s="23"/>
      <c r="I40" s="2"/>
    </row>
    <row r="41" spans="1:9" ht="14.25" customHeight="1" x14ac:dyDescent="0.25">
      <c r="A41" s="5" t="s">
        <v>26</v>
      </c>
      <c r="B41" s="5" t="s">
        <v>198</v>
      </c>
      <c r="C41" s="224">
        <v>193600</v>
      </c>
      <c r="F41" s="6"/>
      <c r="G41" s="10"/>
      <c r="H41" s="2"/>
      <c r="I41" s="2"/>
    </row>
    <row r="42" spans="1:9" x14ac:dyDescent="0.25">
      <c r="A42" s="5" t="s">
        <v>213</v>
      </c>
      <c r="B42" s="5"/>
      <c r="C42" s="224">
        <v>165000</v>
      </c>
      <c r="F42" s="6"/>
      <c r="G42" s="10"/>
      <c r="H42" s="2"/>
      <c r="I42" s="2"/>
    </row>
    <row r="43" spans="1:9" x14ac:dyDescent="0.25">
      <c r="A43" s="5" t="s">
        <v>206</v>
      </c>
      <c r="B43" s="5"/>
      <c r="C43" s="224">
        <v>40000</v>
      </c>
      <c r="F43" s="6"/>
      <c r="G43" s="10"/>
      <c r="H43" s="2"/>
      <c r="I43" s="2"/>
    </row>
    <row r="44" spans="1:9" x14ac:dyDescent="0.25">
      <c r="A44" s="5" t="s">
        <v>208</v>
      </c>
      <c r="B44" s="5"/>
      <c r="C44" s="224">
        <v>350000</v>
      </c>
      <c r="F44" s="6"/>
      <c r="G44" s="10"/>
      <c r="H44" s="2"/>
      <c r="I44" s="2"/>
    </row>
    <row r="45" spans="1:9" x14ac:dyDescent="0.25">
      <c r="A45" s="5" t="s">
        <v>209</v>
      </c>
      <c r="B45" s="5"/>
      <c r="C45" s="224">
        <v>350000</v>
      </c>
      <c r="F45" s="6"/>
      <c r="G45" s="10"/>
      <c r="H45" s="2"/>
      <c r="I45" s="2"/>
    </row>
    <row r="46" spans="1:9" ht="18" customHeight="1" x14ac:dyDescent="0.25">
      <c r="A46" s="17" t="s">
        <v>27</v>
      </c>
      <c r="B46" s="5"/>
      <c r="C46" s="224">
        <v>93723.61</v>
      </c>
      <c r="F46" s="6"/>
      <c r="G46" s="10"/>
      <c r="H46" s="10"/>
      <c r="I46" s="2"/>
    </row>
    <row r="47" spans="1:9" x14ac:dyDescent="0.25">
      <c r="A47" s="206" t="s">
        <v>205</v>
      </c>
      <c r="B47" s="5"/>
      <c r="C47" s="225">
        <v>290950</v>
      </c>
      <c r="F47" s="6"/>
      <c r="G47" s="10"/>
      <c r="H47" s="10"/>
      <c r="I47" s="2"/>
    </row>
    <row r="48" spans="1:9" ht="15.75" customHeight="1" x14ac:dyDescent="0.25">
      <c r="A48" s="207"/>
      <c r="B48" s="5"/>
      <c r="C48" s="226"/>
      <c r="F48" s="6"/>
      <c r="G48" s="23"/>
      <c r="H48" s="10"/>
      <c r="I48" s="2"/>
    </row>
    <row r="49" spans="1:10" ht="15.75" customHeight="1" x14ac:dyDescent="0.25">
      <c r="A49" s="20" t="s">
        <v>28</v>
      </c>
      <c r="B49" s="21"/>
      <c r="C49" s="227">
        <f>SUM(C41:C48)</f>
        <v>1483273.61</v>
      </c>
      <c r="F49" s="6"/>
      <c r="G49" s="23"/>
      <c r="H49" s="10"/>
      <c r="I49" s="2"/>
    </row>
    <row r="50" spans="1:10" ht="15.75" customHeight="1" x14ac:dyDescent="0.25">
      <c r="A50" s="16" t="s">
        <v>29</v>
      </c>
      <c r="B50" s="14"/>
      <c r="C50" s="228"/>
      <c r="F50" s="6"/>
      <c r="G50" s="23"/>
      <c r="H50" s="10"/>
      <c r="I50" s="2"/>
    </row>
    <row r="51" spans="1:10" x14ac:dyDescent="0.25">
      <c r="A51" s="5" t="s">
        <v>30</v>
      </c>
      <c r="B51" s="5" t="s">
        <v>202</v>
      </c>
      <c r="C51" s="224">
        <v>138100</v>
      </c>
      <c r="F51" s="6"/>
      <c r="G51" s="23"/>
      <c r="H51" s="10"/>
      <c r="I51" s="2"/>
    </row>
    <row r="52" spans="1:10" x14ac:dyDescent="0.25">
      <c r="A52" s="5"/>
      <c r="B52" s="5"/>
      <c r="C52" s="224"/>
      <c r="F52" s="6"/>
      <c r="G52" s="23"/>
      <c r="H52" s="10"/>
      <c r="I52" s="2"/>
    </row>
    <row r="53" spans="1:10" x14ac:dyDescent="0.25">
      <c r="A53" s="5"/>
      <c r="B53" s="5"/>
      <c r="C53" s="224"/>
      <c r="F53" s="6"/>
      <c r="G53" s="23"/>
      <c r="H53" s="10"/>
      <c r="I53" s="2"/>
    </row>
    <row r="54" spans="1:10" ht="15.75" customHeight="1" x14ac:dyDescent="0.25">
      <c r="A54" s="20" t="s">
        <v>31</v>
      </c>
      <c r="B54" s="112"/>
      <c r="C54" s="236">
        <f>SUM(C51:C53)</f>
        <v>138100</v>
      </c>
      <c r="D54" s="10"/>
      <c r="F54" s="6"/>
      <c r="G54" s="2"/>
      <c r="H54" s="23"/>
      <c r="I54" s="2"/>
    </row>
    <row r="55" spans="1:10" ht="15.75" customHeight="1" x14ac:dyDescent="0.25">
      <c r="A55" s="9" t="s">
        <v>32</v>
      </c>
      <c r="B55" s="5"/>
      <c r="C55" s="229"/>
      <c r="G55" s="11"/>
      <c r="H55" s="11"/>
      <c r="I55" s="2"/>
    </row>
    <row r="56" spans="1:10" ht="15.75" customHeight="1" x14ac:dyDescent="0.25">
      <c r="A56" s="5" t="s">
        <v>33</v>
      </c>
      <c r="B56" s="5" t="s">
        <v>199</v>
      </c>
      <c r="C56" s="230">
        <v>44400</v>
      </c>
      <c r="G56" s="2"/>
      <c r="H56" s="2"/>
      <c r="I56" s="2"/>
    </row>
    <row r="57" spans="1:10" ht="15.75" customHeight="1" x14ac:dyDescent="0.25">
      <c r="A57" s="19" t="s">
        <v>34</v>
      </c>
      <c r="B57" s="5" t="str">
        <f>B56</f>
        <v>Período ABRIL</v>
      </c>
      <c r="C57" s="226">
        <v>42949.51</v>
      </c>
      <c r="G57" s="23"/>
      <c r="H57" s="10"/>
      <c r="I57" s="2"/>
    </row>
    <row r="58" spans="1:10" ht="15.75" customHeight="1" x14ac:dyDescent="0.25">
      <c r="A58" s="12" t="s">
        <v>35</v>
      </c>
      <c r="B58" s="15"/>
      <c r="C58" s="231">
        <f>+C57+C56</f>
        <v>87349.510000000009</v>
      </c>
      <c r="F58" s="6"/>
      <c r="G58" s="10"/>
      <c r="H58" s="23"/>
      <c r="I58" s="2"/>
    </row>
    <row r="59" spans="1:10" ht="15.75" customHeight="1" x14ac:dyDescent="0.25">
      <c r="A59" s="9" t="s">
        <v>36</v>
      </c>
      <c r="B59" s="5"/>
      <c r="C59" s="229"/>
      <c r="F59" s="6"/>
      <c r="G59" s="10"/>
      <c r="H59" s="23"/>
      <c r="I59" s="2"/>
    </row>
    <row r="60" spans="1:10" ht="15.75" customHeight="1" x14ac:dyDescent="0.25">
      <c r="A60" s="17" t="s">
        <v>37</v>
      </c>
      <c r="B60" s="5" t="s">
        <v>200</v>
      </c>
      <c r="C60" s="224">
        <v>146771.70000000001</v>
      </c>
      <c r="F60" s="6" t="s">
        <v>203</v>
      </c>
      <c r="G60" s="10"/>
      <c r="H60" s="23"/>
      <c r="I60" s="2"/>
    </row>
    <row r="61" spans="1:10" ht="15.75" customHeight="1" x14ac:dyDescent="0.25">
      <c r="A61" s="17" t="s">
        <v>214</v>
      </c>
      <c r="B61" s="5"/>
      <c r="C61" s="224">
        <v>177300</v>
      </c>
      <c r="F61" s="6"/>
      <c r="G61" s="10"/>
      <c r="H61" s="23"/>
      <c r="I61" s="2"/>
    </row>
    <row r="62" spans="1:10" ht="15.75" customHeight="1" x14ac:dyDescent="0.25">
      <c r="A62" s="17" t="s">
        <v>176</v>
      </c>
      <c r="B62" s="5"/>
      <c r="C62" s="232">
        <v>28000</v>
      </c>
    </row>
    <row r="63" spans="1:10" ht="15.75" customHeight="1" x14ac:dyDescent="0.25">
      <c r="A63" s="17" t="s">
        <v>176</v>
      </c>
      <c r="B63" s="5" t="s">
        <v>207</v>
      </c>
      <c r="C63" s="230">
        <v>3000</v>
      </c>
      <c r="G63" s="2"/>
      <c r="H63" s="2"/>
      <c r="I63" s="2"/>
    </row>
    <row r="64" spans="1:10" ht="15.75" customHeight="1" x14ac:dyDescent="0.25">
      <c r="A64" s="5"/>
      <c r="B64" s="5"/>
      <c r="C64" s="230"/>
      <c r="F64" s="2"/>
      <c r="G64" s="11"/>
      <c r="H64" s="11"/>
      <c r="I64" s="11"/>
      <c r="J64" s="11"/>
    </row>
    <row r="65" spans="1:10" ht="15.75" customHeight="1" x14ac:dyDescent="0.25">
      <c r="B65" s="24"/>
      <c r="C65" s="160"/>
      <c r="F65" s="2"/>
      <c r="G65" s="11"/>
      <c r="H65" s="11"/>
      <c r="I65" s="11"/>
      <c r="J65" s="11"/>
    </row>
    <row r="66" spans="1:10" ht="15.75" customHeight="1" x14ac:dyDescent="0.25">
      <c r="A66" s="12" t="s">
        <v>38</v>
      </c>
      <c r="B66" s="15"/>
      <c r="C66" s="135">
        <f>SUM(C60:C65)</f>
        <v>355071.7</v>
      </c>
      <c r="F66" s="11"/>
      <c r="G66" s="11"/>
    </row>
    <row r="67" spans="1:10" ht="15.75" customHeight="1" x14ac:dyDescent="0.25">
      <c r="A67" s="124" t="s">
        <v>188</v>
      </c>
      <c r="B67" s="123"/>
      <c r="C67" s="149"/>
      <c r="G67" s="2"/>
      <c r="H67" s="2"/>
      <c r="I67" s="2"/>
    </row>
    <row r="68" spans="1:10" ht="15.75" customHeight="1" thickBot="1" x14ac:dyDescent="0.3">
      <c r="A68" s="125"/>
      <c r="B68" s="126"/>
      <c r="C68" s="127"/>
      <c r="G68" s="2"/>
      <c r="H68" s="2"/>
      <c r="I68" s="2"/>
    </row>
    <row r="69" spans="1:10" ht="15.75" customHeight="1" thickBot="1" x14ac:dyDescent="0.3">
      <c r="A69" s="25" t="s">
        <v>39</v>
      </c>
      <c r="B69" s="26"/>
      <c r="C69" s="176">
        <f>C22+C34+C38+C49++C54+C58+C66+C67+C39+C29</f>
        <v>2924760.7700000005</v>
      </c>
      <c r="D69" s="156"/>
      <c r="F69" s="203"/>
      <c r="G69" s="204"/>
      <c r="H69" s="2"/>
      <c r="I69" s="2"/>
    </row>
    <row r="70" spans="1:10" ht="15.75" customHeight="1" x14ac:dyDescent="0.25">
      <c r="A70" s="157" t="s">
        <v>174</v>
      </c>
      <c r="B70" s="157"/>
      <c r="C70" s="177">
        <f>C69-C67</f>
        <v>2924760.7700000005</v>
      </c>
      <c r="D70" s="156"/>
      <c r="F70" s="6"/>
      <c r="G70" s="10"/>
      <c r="H70" s="23"/>
      <c r="I70" s="2"/>
    </row>
    <row r="71" spans="1:10" ht="15.75" customHeight="1" thickBot="1" x14ac:dyDescent="0.3">
      <c r="A71" s="5"/>
      <c r="B71" s="5"/>
      <c r="C71" s="150"/>
      <c r="F71" s="6"/>
      <c r="G71" s="10"/>
      <c r="H71" s="23"/>
      <c r="I71" s="2"/>
    </row>
    <row r="72" spans="1:10" ht="15.75" customHeight="1" thickBot="1" x14ac:dyDescent="0.3">
      <c r="A72" s="172" t="s">
        <v>180</v>
      </c>
      <c r="B72" s="170"/>
      <c r="C72" s="171"/>
      <c r="F72" s="6"/>
      <c r="G72" s="10"/>
      <c r="H72" s="23"/>
      <c r="I72" s="2"/>
    </row>
    <row r="73" spans="1:10" ht="15.75" customHeight="1" thickBot="1" x14ac:dyDescent="0.3">
      <c r="A73" s="167"/>
      <c r="B73" s="168"/>
      <c r="C73" s="171"/>
      <c r="F73" s="6"/>
      <c r="G73" s="10"/>
      <c r="H73" s="23"/>
      <c r="I73" s="2"/>
    </row>
    <row r="74" spans="1:10" ht="13.5" customHeight="1" thickBot="1" x14ac:dyDescent="0.3">
      <c r="A74" s="173" t="s">
        <v>68</v>
      </c>
      <c r="B74" s="169"/>
      <c r="C74" s="171">
        <f>SUM(C73:C73)</f>
        <v>0</v>
      </c>
      <c r="F74" s="6"/>
      <c r="G74" s="10"/>
      <c r="H74" s="23"/>
      <c r="I74" s="2"/>
    </row>
    <row r="75" spans="1:10" ht="15.75" customHeight="1" x14ac:dyDescent="0.25">
      <c r="A75" s="5"/>
      <c r="B75" s="5"/>
      <c r="C75" s="150"/>
      <c r="F75" s="6"/>
      <c r="G75" s="10"/>
      <c r="H75" s="23"/>
      <c r="I75" s="2"/>
    </row>
    <row r="76" spans="1:10" ht="15.75" customHeight="1" x14ac:dyDescent="0.25">
      <c r="A76" s="5"/>
      <c r="B76" s="5"/>
      <c r="C76" s="150"/>
      <c r="F76" s="6"/>
      <c r="G76" s="10"/>
      <c r="H76" s="23"/>
      <c r="I76" s="2"/>
    </row>
    <row r="77" spans="1:10" ht="15.75" customHeight="1" x14ac:dyDescent="0.25">
      <c r="A77" s="5"/>
      <c r="B77" s="5"/>
      <c r="C77" s="150"/>
      <c r="F77" s="6"/>
      <c r="G77" s="10"/>
      <c r="H77" s="23"/>
      <c r="I77" s="2"/>
    </row>
    <row r="78" spans="1:10" ht="15.75" customHeight="1" x14ac:dyDescent="0.25">
      <c r="A78" s="8" t="s">
        <v>40</v>
      </c>
      <c r="B78" s="5"/>
      <c r="C78" s="150"/>
      <c r="F78" s="32"/>
      <c r="G78" s="11"/>
      <c r="I78" s="11"/>
    </row>
    <row r="79" spans="1:10" ht="15.75" customHeight="1" x14ac:dyDescent="0.25">
      <c r="A79" s="27"/>
      <c r="B79" s="28"/>
      <c r="C79" s="151"/>
      <c r="G79" s="11"/>
    </row>
    <row r="80" spans="1:10" ht="15.75" customHeight="1" x14ac:dyDescent="0.25">
      <c r="A80" s="2"/>
      <c r="B80" s="29"/>
      <c r="C80" s="152"/>
      <c r="F80" s="11"/>
      <c r="G80" s="11"/>
      <c r="H80" s="11"/>
      <c r="I80" s="11"/>
      <c r="J80" s="11"/>
    </row>
    <row r="81" spans="1:8" ht="15.75" customHeight="1" x14ac:dyDescent="0.25">
      <c r="A81" s="30" t="s">
        <v>41</v>
      </c>
      <c r="B81" s="31"/>
      <c r="C81" s="153">
        <f>+C79+C80</f>
        <v>0</v>
      </c>
    </row>
    <row r="82" spans="1:8" ht="15.75" customHeight="1" x14ac:dyDescent="0.25">
      <c r="A82" s="5"/>
      <c r="B82" s="5"/>
      <c r="C82" s="150"/>
    </row>
    <row r="83" spans="1:8" ht="15.75" customHeight="1" thickBot="1" x14ac:dyDescent="0.3">
      <c r="A83" s="25" t="s">
        <v>42</v>
      </c>
      <c r="B83" s="34"/>
      <c r="C83" s="155">
        <f>+C81+C69</f>
        <v>2924760.7700000005</v>
      </c>
      <c r="F83" s="11"/>
    </row>
    <row r="84" spans="1:8" x14ac:dyDescent="0.25"/>
    <row r="85" spans="1:8" ht="15.75" customHeight="1" x14ac:dyDescent="0.25"/>
    <row r="86" spans="1:8" ht="15.75" customHeight="1" x14ac:dyDescent="0.25">
      <c r="A86" s="9" t="s">
        <v>43</v>
      </c>
      <c r="B86" s="5"/>
      <c r="C86" s="5"/>
    </row>
    <row r="87" spans="1:8" ht="15.75" customHeight="1" x14ac:dyDescent="0.25">
      <c r="A87" s="36" t="s">
        <v>44</v>
      </c>
      <c r="B87" s="5"/>
      <c r="C87" s="5"/>
    </row>
    <row r="88" spans="1:8" ht="15.75" customHeight="1" x14ac:dyDescent="0.25">
      <c r="A88" s="35" t="s">
        <v>45</v>
      </c>
      <c r="B88" s="165">
        <v>0</v>
      </c>
      <c r="C88" s="5"/>
    </row>
    <row r="89" spans="1:8" ht="15.75" customHeight="1" x14ac:dyDescent="0.25">
      <c r="A89" s="5" t="s">
        <v>46</v>
      </c>
      <c r="B89" s="38"/>
      <c r="C89" s="5"/>
    </row>
    <row r="90" spans="1:8" ht="15.75" customHeight="1" x14ac:dyDescent="0.25">
      <c r="A90" s="9"/>
      <c r="B90" s="38"/>
      <c r="C90" s="5"/>
    </row>
    <row r="91" spans="1:8" ht="15.75" customHeight="1" x14ac:dyDescent="0.25">
      <c r="A91" s="35" t="s">
        <v>47</v>
      </c>
      <c r="B91" s="37">
        <v>0</v>
      </c>
      <c r="C91" s="5"/>
    </row>
    <row r="92" spans="1:8" ht="15.75" customHeight="1" x14ac:dyDescent="0.25">
      <c r="A92" s="5"/>
      <c r="B92" s="5"/>
      <c r="C92" s="5"/>
      <c r="D92" s="10"/>
      <c r="F92" s="11"/>
      <c r="G92" s="11"/>
      <c r="H92" s="11"/>
    </row>
    <row r="93" spans="1:8" ht="15.75" customHeight="1" x14ac:dyDescent="0.25">
      <c r="A93" s="36" t="s">
        <v>48</v>
      </c>
      <c r="B93" s="5"/>
      <c r="C93" s="5"/>
      <c r="D93" s="10"/>
      <c r="F93" s="11"/>
      <c r="G93" s="11"/>
      <c r="H93" s="11"/>
    </row>
    <row r="94" spans="1:8" ht="15.75" customHeight="1" x14ac:dyDescent="0.25">
      <c r="A94" s="181" t="s">
        <v>45</v>
      </c>
      <c r="B94" s="182">
        <v>805954.14836115553</v>
      </c>
      <c r="C94" s="33"/>
      <c r="D94" s="10"/>
      <c r="F94" s="11"/>
      <c r="G94" s="11"/>
      <c r="H94" s="11"/>
    </row>
    <row r="95" spans="1:8" ht="15.75" customHeight="1" x14ac:dyDescent="0.25">
      <c r="A95" s="183" t="s">
        <v>49</v>
      </c>
      <c r="B95" s="184">
        <f>prorrateo!F46</f>
        <v>275247.07540200005</v>
      </c>
      <c r="C95" s="10"/>
      <c r="D95" s="10"/>
      <c r="F95" s="10"/>
    </row>
    <row r="96" spans="1:8" ht="17.25" customHeight="1" x14ac:dyDescent="0.25">
      <c r="A96" s="183" t="s">
        <v>50</v>
      </c>
      <c r="B96" s="185">
        <v>0</v>
      </c>
      <c r="C96" s="10"/>
      <c r="D96" s="11"/>
      <c r="E96" s="11"/>
      <c r="F96" s="11"/>
      <c r="G96" s="11"/>
      <c r="H96" s="11"/>
    </row>
    <row r="97" spans="1:9" ht="15.75" customHeight="1" x14ac:dyDescent="0.25">
      <c r="A97" s="183" t="s">
        <v>51</v>
      </c>
      <c r="B97" s="186">
        <f>-(C60+C45+C61)</f>
        <v>-674071.7</v>
      </c>
      <c r="C97" s="10"/>
      <c r="D97" s="10"/>
      <c r="F97" s="11"/>
      <c r="G97" s="11"/>
    </row>
    <row r="98" spans="1:9" ht="19.5" customHeight="1" x14ac:dyDescent="0.25">
      <c r="A98" s="183" t="s">
        <v>52</v>
      </c>
      <c r="B98" s="184"/>
      <c r="C98" s="10"/>
      <c r="D98" s="10"/>
      <c r="F98" s="11"/>
      <c r="G98" s="11"/>
    </row>
    <row r="99" spans="1:9" ht="19.5" customHeight="1" x14ac:dyDescent="0.25">
      <c r="A99" s="183" t="s">
        <v>184</v>
      </c>
      <c r="B99" s="186">
        <v>-207980.11505259399</v>
      </c>
      <c r="C99" s="10"/>
      <c r="D99" s="162"/>
      <c r="F99" s="11"/>
      <c r="G99" s="11"/>
    </row>
    <row r="100" spans="1:9" ht="15.75" customHeight="1" x14ac:dyDescent="0.25">
      <c r="A100" s="181" t="s">
        <v>47</v>
      </c>
      <c r="B100" s="182">
        <f>SUM(B94:B99)</f>
        <v>199149.40871056158</v>
      </c>
      <c r="C100" s="5"/>
      <c r="D100" s="11"/>
      <c r="E100" s="11"/>
      <c r="F100" s="11"/>
      <c r="G100" s="11"/>
      <c r="H100" s="11"/>
    </row>
    <row r="101" spans="1:9" ht="14.25" customHeight="1" x14ac:dyDescent="0.25">
      <c r="A101" s="183"/>
      <c r="B101" s="187"/>
      <c r="C101" s="5"/>
      <c r="D101" s="10"/>
      <c r="F101" s="10"/>
      <c r="H101" s="10"/>
      <c r="I101" s="10"/>
    </row>
    <row r="102" spans="1:9" ht="15.75" customHeight="1" x14ac:dyDescent="0.25">
      <c r="A102" s="188" t="s">
        <v>53</v>
      </c>
      <c r="B102" s="187"/>
      <c r="C102" s="33"/>
      <c r="D102" s="10"/>
      <c r="F102" s="10"/>
      <c r="G102" s="202"/>
      <c r="H102" s="10"/>
      <c r="I102" s="10"/>
    </row>
    <row r="103" spans="1:9" ht="14.25" customHeight="1" x14ac:dyDescent="0.25">
      <c r="A103" s="181" t="s">
        <v>45</v>
      </c>
      <c r="B103" s="178">
        <v>173526.4261274063</v>
      </c>
      <c r="C103" s="33"/>
      <c r="D103" s="11"/>
      <c r="E103" s="10"/>
      <c r="F103" s="11"/>
    </row>
    <row r="104" spans="1:9" ht="15.75" customHeight="1" x14ac:dyDescent="0.25">
      <c r="A104" s="183" t="s">
        <v>49</v>
      </c>
      <c r="B104" s="189">
        <f>prorrateo!F45</f>
        <v>1995286.5288200001</v>
      </c>
      <c r="C104" s="39"/>
      <c r="D104" s="11"/>
      <c r="E104" s="10"/>
      <c r="F104" s="11"/>
    </row>
    <row r="105" spans="1:9" ht="15.75" customHeight="1" x14ac:dyDescent="0.25">
      <c r="A105" s="183" t="s">
        <v>191</v>
      </c>
      <c r="B105" s="190"/>
      <c r="C105" s="39"/>
      <c r="D105" s="11"/>
      <c r="E105" s="10"/>
      <c r="F105" s="11"/>
    </row>
    <row r="106" spans="1:9" ht="15.75" customHeight="1" x14ac:dyDescent="0.25">
      <c r="A106" s="183" t="s">
        <v>215</v>
      </c>
      <c r="B106" s="190">
        <v>-10109</v>
      </c>
      <c r="C106" s="39"/>
      <c r="D106" s="11"/>
      <c r="E106" s="10"/>
      <c r="F106" s="11"/>
    </row>
    <row r="107" spans="1:9" ht="15.75" customHeight="1" x14ac:dyDescent="0.25">
      <c r="A107" s="183" t="s">
        <v>150</v>
      </c>
      <c r="B107" s="186">
        <f>-(C70+B97)</f>
        <v>-2250689.0700000003</v>
      </c>
      <c r="C107" s="39"/>
      <c r="D107" s="11"/>
      <c r="E107" s="11"/>
      <c r="F107" s="11"/>
      <c r="G107" s="10"/>
      <c r="H107" s="10"/>
      <c r="I107" s="10"/>
    </row>
    <row r="108" spans="1:9" ht="15.75" customHeight="1" x14ac:dyDescent="0.25">
      <c r="A108" s="183" t="s">
        <v>185</v>
      </c>
      <c r="B108" s="253">
        <f>-B99</f>
        <v>207980.11505259399</v>
      </c>
      <c r="C108" s="39"/>
      <c r="D108" s="11" t="s">
        <v>186</v>
      </c>
      <c r="E108" s="11"/>
      <c r="F108" s="11"/>
      <c r="G108" s="10"/>
      <c r="H108" s="10"/>
      <c r="I108" s="10"/>
    </row>
    <row r="109" spans="1:9" ht="15.75" customHeight="1" x14ac:dyDescent="0.25">
      <c r="A109" s="179" t="s">
        <v>47</v>
      </c>
      <c r="B109" s="180">
        <f>SUM(B103:B108)</f>
        <v>115995.00000000012</v>
      </c>
      <c r="C109" s="11"/>
      <c r="G109" s="10"/>
    </row>
    <row r="110" spans="1:9" ht="15.75" customHeight="1" x14ac:dyDescent="0.25">
      <c r="A110" s="5"/>
      <c r="B110" s="5"/>
      <c r="C110" s="33"/>
      <c r="G110" s="10"/>
    </row>
    <row r="111" spans="1:9" ht="94.5" customHeight="1" x14ac:dyDescent="0.25">
      <c r="A111" s="40" t="s">
        <v>54</v>
      </c>
      <c r="B111" s="161"/>
      <c r="G111" s="10"/>
    </row>
    <row r="112" spans="1:9" ht="15.75" customHeight="1" x14ac:dyDescent="0.25">
      <c r="A112" s="5"/>
      <c r="B112" s="5"/>
      <c r="C112" s="5"/>
      <c r="G112" s="10"/>
    </row>
    <row r="113" spans="1:7" ht="15.75" customHeight="1" x14ac:dyDescent="0.25">
      <c r="A113" s="5"/>
      <c r="B113" s="5"/>
      <c r="C113" s="5"/>
      <c r="G113" s="10"/>
    </row>
    <row r="114" spans="1:7" ht="15.75" customHeight="1" x14ac:dyDescent="0.25">
      <c r="A114" s="5"/>
      <c r="B114" s="5"/>
      <c r="C114" s="5"/>
      <c r="G114" s="10"/>
    </row>
    <row r="115" spans="1:7" ht="15.75" customHeight="1" x14ac:dyDescent="0.25">
      <c r="A115" s="5"/>
      <c r="B115" s="5"/>
      <c r="C115" s="5"/>
    </row>
    <row r="116" spans="1:7" ht="15.75" customHeight="1" x14ac:dyDescent="0.25">
      <c r="A116" s="5"/>
      <c r="B116" s="5"/>
      <c r="C116" s="5"/>
    </row>
    <row r="117" spans="1:7" ht="15.75" customHeight="1" x14ac:dyDescent="0.25">
      <c r="A117" s="5"/>
      <c r="B117" s="5"/>
      <c r="C117" s="5"/>
    </row>
    <row r="118" spans="1:7" ht="15.75" customHeight="1" x14ac:dyDescent="0.25">
      <c r="A118" s="5"/>
      <c r="B118" s="5"/>
      <c r="C118" s="5"/>
    </row>
    <row r="119" spans="1:7" ht="15.75" customHeight="1" x14ac:dyDescent="0.25">
      <c r="A119" s="5"/>
      <c r="B119" s="5"/>
      <c r="C119" s="5"/>
    </row>
    <row r="120" spans="1:7" ht="15.75" customHeight="1" x14ac:dyDescent="0.25"/>
    <row r="121" spans="1:7" ht="15.75" customHeight="1" x14ac:dyDescent="0.25"/>
    <row r="122" spans="1:7" ht="15.75" customHeight="1" x14ac:dyDescent="0.25"/>
    <row r="123" spans="1:7" ht="15.75" customHeight="1" x14ac:dyDescent="0.25"/>
    <row r="124" spans="1:7" ht="15.75" customHeight="1" x14ac:dyDescent="0.25"/>
    <row r="125" spans="1:7" ht="15.75" customHeight="1" x14ac:dyDescent="0.25"/>
    <row r="126" spans="1:7" ht="15.75" customHeight="1" x14ac:dyDescent="0.25"/>
    <row r="127" spans="1:7" ht="15.75" customHeight="1" x14ac:dyDescent="0.25"/>
    <row r="128" spans="1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</sheetData>
  <hyperlinks>
    <hyperlink ref="B3" r:id="rId1" xr:uid="{00000000-0004-0000-0000-000000000000}"/>
  </hyperlinks>
  <printOptions horizontalCentered="1"/>
  <pageMargins left="0.25" right="0.25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001"/>
  <sheetViews>
    <sheetView tabSelected="1" zoomScale="90" zoomScaleNormal="90" workbookViewId="0">
      <selection activeCell="E17" sqref="E17:P17"/>
    </sheetView>
  </sheetViews>
  <sheetFormatPr baseColWidth="10" defaultColWidth="14.42578125" defaultRowHeight="15" customHeight="1" x14ac:dyDescent="0.25"/>
  <cols>
    <col min="1" max="1" width="5.28515625" customWidth="1"/>
    <col min="2" max="2" width="8" customWidth="1"/>
    <col min="3" max="3" width="31.140625" customWidth="1"/>
    <col min="4" max="4" width="15.5703125" customWidth="1"/>
    <col min="5" max="5" width="13" customWidth="1"/>
    <col min="6" max="6" width="11.7109375" customWidth="1"/>
    <col min="7" max="7" width="0.140625" customWidth="1"/>
    <col min="8" max="8" width="9.140625" customWidth="1"/>
    <col min="9" max="9" width="13.28515625" customWidth="1"/>
    <col min="10" max="10" width="11.42578125" customWidth="1"/>
    <col min="11" max="11" width="10.5703125" customWidth="1"/>
    <col min="12" max="12" width="9.140625" customWidth="1"/>
    <col min="13" max="13" width="9.140625" hidden="1" customWidth="1"/>
    <col min="14" max="14" width="10.85546875" customWidth="1"/>
    <col min="15" max="15" width="0.140625" customWidth="1"/>
    <col min="16" max="16" width="11" customWidth="1"/>
    <col min="17" max="17" width="12.42578125" customWidth="1"/>
    <col min="18" max="29" width="10.7109375" customWidth="1"/>
  </cols>
  <sheetData>
    <row r="1" spans="1:18" x14ac:dyDescent="0.25">
      <c r="A1" s="41"/>
      <c r="B1" s="41"/>
      <c r="C1" s="42"/>
      <c r="D1" s="42"/>
      <c r="E1" s="43" t="s">
        <v>55</v>
      </c>
      <c r="F1" s="43"/>
      <c r="G1" s="43"/>
      <c r="H1" s="43"/>
      <c r="I1" s="42"/>
      <c r="J1" s="42"/>
      <c r="K1" s="42"/>
      <c r="L1" s="42"/>
      <c r="M1" s="42"/>
      <c r="N1" s="43"/>
      <c r="O1" s="42"/>
      <c r="P1" s="42"/>
      <c r="Q1" s="43" t="str">
        <f>'detalle de gtos'!C5</f>
        <v>VTO. 14/05</v>
      </c>
    </row>
    <row r="2" spans="1:18" x14ac:dyDescent="0.25">
      <c r="A2" s="44" t="str">
        <f>'detalle de gtos'!B5</f>
        <v>PERÍODO: ABRIL 2025</v>
      </c>
      <c r="B2" s="42"/>
      <c r="C2" s="45"/>
      <c r="D2" s="45"/>
      <c r="E2" s="43" t="s">
        <v>56</v>
      </c>
      <c r="F2" s="42"/>
      <c r="G2" s="42"/>
      <c r="H2" s="42"/>
      <c r="I2" s="42"/>
      <c r="J2" s="42"/>
      <c r="K2" s="42"/>
      <c r="L2" s="42"/>
      <c r="M2" s="42"/>
      <c r="N2" s="211">
        <v>2924760.7700000005</v>
      </c>
      <c r="O2" s="42"/>
      <c r="P2" s="42"/>
      <c r="Q2" s="42"/>
    </row>
    <row r="3" spans="1:18" ht="13.5" customHeight="1" x14ac:dyDescent="0.25">
      <c r="A3" s="44"/>
      <c r="B3" s="42"/>
      <c r="C3" s="45"/>
      <c r="D3" s="45"/>
      <c r="E3" s="43"/>
      <c r="F3" s="42"/>
      <c r="G3" s="42"/>
      <c r="H3" s="42"/>
      <c r="I3" s="42"/>
      <c r="J3" s="43" t="s">
        <v>57</v>
      </c>
      <c r="K3" s="42"/>
      <c r="L3" s="43"/>
      <c r="M3" s="43"/>
      <c r="N3" s="237">
        <f>N2</f>
        <v>2924760.7700000005</v>
      </c>
      <c r="O3" s="237"/>
      <c r="P3" s="237"/>
      <c r="Q3" s="42"/>
    </row>
    <row r="4" spans="1:18" x14ac:dyDescent="0.25">
      <c r="A4" s="44"/>
      <c r="B4" s="42"/>
      <c r="C4" s="45"/>
      <c r="D4" s="45"/>
      <c r="E4" s="43"/>
      <c r="F4" s="42"/>
      <c r="G4" s="42"/>
      <c r="H4" s="42"/>
      <c r="I4" s="42"/>
      <c r="J4" s="43" t="s">
        <v>58</v>
      </c>
      <c r="K4" s="42"/>
      <c r="L4" s="43"/>
      <c r="M4" s="43"/>
      <c r="N4" s="238">
        <v>0</v>
      </c>
      <c r="O4" s="238"/>
      <c r="P4" s="238"/>
      <c r="Q4" s="42"/>
    </row>
    <row r="5" spans="1:18" x14ac:dyDescent="0.25">
      <c r="A5" s="44"/>
      <c r="B5" s="42"/>
      <c r="C5" s="45"/>
      <c r="D5" s="45"/>
      <c r="E5" s="43"/>
      <c r="F5" s="42"/>
      <c r="G5" s="42"/>
      <c r="H5" s="42"/>
      <c r="I5" s="42"/>
      <c r="J5" s="42"/>
      <c r="K5" s="42"/>
      <c r="L5" s="43"/>
      <c r="M5" s="43"/>
      <c r="N5" s="43"/>
      <c r="O5" s="42"/>
      <c r="P5" s="42"/>
      <c r="Q5" s="42"/>
    </row>
    <row r="6" spans="1:18" ht="15" customHeight="1" x14ac:dyDescent="0.25">
      <c r="A6" s="239" t="s">
        <v>59</v>
      </c>
      <c r="B6" s="239" t="s">
        <v>60</v>
      </c>
      <c r="C6" s="239" t="s">
        <v>61</v>
      </c>
      <c r="D6" s="245" t="s">
        <v>153</v>
      </c>
      <c r="E6" s="46" t="s">
        <v>62</v>
      </c>
      <c r="F6" s="243" t="s">
        <v>63</v>
      </c>
      <c r="G6" s="47" t="s">
        <v>144</v>
      </c>
      <c r="H6" s="136" t="s">
        <v>151</v>
      </c>
      <c r="I6" s="241" t="s">
        <v>172</v>
      </c>
      <c r="J6" s="48" t="s">
        <v>65</v>
      </c>
      <c r="K6" s="47" t="s">
        <v>66</v>
      </c>
      <c r="L6" s="49" t="s">
        <v>67</v>
      </c>
      <c r="M6" s="50" t="s">
        <v>182</v>
      </c>
      <c r="N6" s="51" t="s">
        <v>68</v>
      </c>
      <c r="O6" s="52"/>
      <c r="P6" s="239" t="s">
        <v>192</v>
      </c>
      <c r="Q6" s="239" t="s">
        <v>193</v>
      </c>
    </row>
    <row r="7" spans="1:18" x14ac:dyDescent="0.25">
      <c r="A7" s="240"/>
      <c r="B7" s="240"/>
      <c r="C7" s="240"/>
      <c r="D7" s="246"/>
      <c r="E7" s="53" t="s">
        <v>69</v>
      </c>
      <c r="F7" s="244"/>
      <c r="G7" s="54" t="s">
        <v>143</v>
      </c>
      <c r="H7" s="137" t="s">
        <v>152</v>
      </c>
      <c r="I7" s="242"/>
      <c r="J7" s="55">
        <v>0.12</v>
      </c>
      <c r="K7" s="54" t="s">
        <v>72</v>
      </c>
      <c r="L7" s="56" t="s">
        <v>73</v>
      </c>
      <c r="M7" s="57" t="s">
        <v>183</v>
      </c>
      <c r="N7" s="58" t="s">
        <v>75</v>
      </c>
      <c r="O7" s="57"/>
      <c r="P7" s="240"/>
      <c r="Q7" s="240"/>
    </row>
    <row r="8" spans="1:18" x14ac:dyDescent="0.25">
      <c r="A8" s="59">
        <v>1</v>
      </c>
      <c r="B8" s="60" t="s">
        <v>76</v>
      </c>
      <c r="C8" s="119" t="s">
        <v>77</v>
      </c>
      <c r="D8" s="119" t="s">
        <v>190</v>
      </c>
      <c r="E8" s="62">
        <v>114751.62972600001</v>
      </c>
      <c r="F8" s="208">
        <f>E8</f>
        <v>114751.62972600001</v>
      </c>
      <c r="G8" s="63" t="s">
        <v>146</v>
      </c>
      <c r="H8" s="65">
        <f t="shared" ref="H8:H43" si="0">IF(F8&gt;E8,F8-E8,0)</f>
        <v>0</v>
      </c>
      <c r="I8" s="64">
        <f t="shared" ref="I8:I43" si="1">IF(F8&gt;E8,0,E8-F8)</f>
        <v>0</v>
      </c>
      <c r="J8" s="65">
        <f>I8*12%</f>
        <v>0</v>
      </c>
      <c r="K8" s="66">
        <v>4.3900000000000002E-2</v>
      </c>
      <c r="L8" s="64">
        <f>N3*K8</f>
        <v>128396.99780300002</v>
      </c>
      <c r="M8" s="67">
        <f>N4*K8</f>
        <v>0</v>
      </c>
      <c r="N8" s="68">
        <f>+L8+M8</f>
        <v>128396.99780300002</v>
      </c>
      <c r="O8" s="69"/>
      <c r="P8" s="67">
        <f>+I8+J8+N8-H8</f>
        <v>128396.99780300002</v>
      </c>
      <c r="Q8" s="62">
        <f>+P8+P8*4%</f>
        <v>133532.87771512003</v>
      </c>
    </row>
    <row r="9" spans="1:18" x14ac:dyDescent="0.25">
      <c r="A9" s="59">
        <v>2</v>
      </c>
      <c r="B9" s="60" t="s">
        <v>78</v>
      </c>
      <c r="C9" s="119" t="s">
        <v>79</v>
      </c>
      <c r="D9" s="119"/>
      <c r="E9" s="62">
        <v>4414876.9011843642</v>
      </c>
      <c r="F9" s="208"/>
      <c r="G9" s="63" t="s">
        <v>145</v>
      </c>
      <c r="H9" s="65">
        <f t="shared" si="0"/>
        <v>0</v>
      </c>
      <c r="I9" s="64">
        <f t="shared" si="1"/>
        <v>4414876.9011843642</v>
      </c>
      <c r="J9" s="65">
        <f t="shared" ref="J9:J43" si="2">I9*12%</f>
        <v>529785.22814212367</v>
      </c>
      <c r="K9" s="66">
        <v>2.64E-2</v>
      </c>
      <c r="L9" s="64">
        <f>N3*K9</f>
        <v>77213.684328000018</v>
      </c>
      <c r="M9" s="67"/>
      <c r="N9" s="68">
        <f>+L9+M9</f>
        <v>77213.684328000018</v>
      </c>
      <c r="O9" s="69"/>
      <c r="P9" s="67">
        <f t="shared" ref="P9:P43" si="3">+I9+J9+N9-H9</f>
        <v>5021875.813654488</v>
      </c>
      <c r="Q9" s="62">
        <f t="shared" ref="Q9:Q43" si="4">+P9+P9*4%</f>
        <v>5222750.8462006673</v>
      </c>
      <c r="R9" s="175"/>
    </row>
    <row r="10" spans="1:18" x14ac:dyDescent="0.25">
      <c r="A10" s="59">
        <v>3</v>
      </c>
      <c r="B10" s="60" t="s">
        <v>80</v>
      </c>
      <c r="C10" s="119" t="s">
        <v>81</v>
      </c>
      <c r="D10" s="119" t="s">
        <v>170</v>
      </c>
      <c r="E10" s="62">
        <v>266625.12101050623</v>
      </c>
      <c r="F10" s="208"/>
      <c r="G10" s="63" t="s">
        <v>149</v>
      </c>
      <c r="H10" s="65">
        <f t="shared" si="0"/>
        <v>0</v>
      </c>
      <c r="I10" s="64">
        <f t="shared" si="1"/>
        <v>266625.12101050623</v>
      </c>
      <c r="J10" s="65">
        <f t="shared" si="2"/>
        <v>31995.014521260746</v>
      </c>
      <c r="K10" s="66">
        <v>1.37E-2</v>
      </c>
      <c r="L10" s="64">
        <f>N3*K10</f>
        <v>40069.222549000006</v>
      </c>
      <c r="M10" s="67"/>
      <c r="N10" s="68">
        <f>+L10+M10</f>
        <v>40069.222549000006</v>
      </c>
      <c r="O10" s="69"/>
      <c r="P10" s="67">
        <f t="shared" si="3"/>
        <v>338689.35808076698</v>
      </c>
      <c r="Q10" s="62">
        <f t="shared" si="4"/>
        <v>352236.93240399763</v>
      </c>
      <c r="R10" s="174"/>
    </row>
    <row r="11" spans="1:18" x14ac:dyDescent="0.25">
      <c r="A11" s="59">
        <v>4</v>
      </c>
      <c r="B11" s="60" t="s">
        <v>80</v>
      </c>
      <c r="C11" s="119" t="s">
        <v>82</v>
      </c>
      <c r="D11" s="113"/>
      <c r="E11" s="62">
        <v>38424.805398000004</v>
      </c>
      <c r="F11" s="209"/>
      <c r="G11" s="63" t="s">
        <v>145</v>
      </c>
      <c r="H11" s="65">
        <f t="shared" si="0"/>
        <v>0</v>
      </c>
      <c r="I11" s="64">
        <f t="shared" si="1"/>
        <v>38424.805398000004</v>
      </c>
      <c r="J11" s="65">
        <f t="shared" si="2"/>
        <v>4610.9766477600006</v>
      </c>
      <c r="K11" s="66">
        <v>1.47E-2</v>
      </c>
      <c r="L11" s="64">
        <f>N3*K11</f>
        <v>42993.983319000006</v>
      </c>
      <c r="M11" s="67"/>
      <c r="N11" s="68">
        <f t="shared" ref="N11:N44" si="5">+L11+M11</f>
        <v>42993.983319000006</v>
      </c>
      <c r="O11" s="69"/>
      <c r="P11" s="67">
        <f t="shared" si="3"/>
        <v>86029.765364760009</v>
      </c>
      <c r="Q11" s="62">
        <f t="shared" si="4"/>
        <v>89470.955979350416</v>
      </c>
    </row>
    <row r="12" spans="1:18" x14ac:dyDescent="0.25">
      <c r="A12" s="59">
        <v>8</v>
      </c>
      <c r="B12" s="60" t="s">
        <v>83</v>
      </c>
      <c r="C12" s="119" t="s">
        <v>84</v>
      </c>
      <c r="D12" s="119"/>
      <c r="E12" s="62">
        <v>95427.71372400003</v>
      </c>
      <c r="F12" s="208">
        <v>99275</v>
      </c>
      <c r="G12" s="63" t="s">
        <v>145</v>
      </c>
      <c r="H12" s="65">
        <f t="shared" si="0"/>
        <v>3847.2862759999698</v>
      </c>
      <c r="I12" s="64">
        <f t="shared" si="1"/>
        <v>0</v>
      </c>
      <c r="J12" s="65">
        <f t="shared" si="2"/>
        <v>0</v>
      </c>
      <c r="K12" s="66">
        <v>3.78E-2</v>
      </c>
      <c r="L12" s="64">
        <f>N3*K12</f>
        <v>110555.95710600002</v>
      </c>
      <c r="M12" s="67"/>
      <c r="N12" s="68">
        <f t="shared" si="5"/>
        <v>110555.95710600002</v>
      </c>
      <c r="O12" s="69"/>
      <c r="P12" s="67">
        <f t="shared" si="3"/>
        <v>106708.67083000005</v>
      </c>
      <c r="Q12" s="62">
        <f t="shared" si="4"/>
        <v>110977.01766320005</v>
      </c>
    </row>
    <row r="13" spans="1:18" x14ac:dyDescent="0.25">
      <c r="A13" s="59">
        <v>7</v>
      </c>
      <c r="B13" s="60" t="s">
        <v>85</v>
      </c>
      <c r="C13" s="119" t="s">
        <v>86</v>
      </c>
      <c r="D13" s="119"/>
      <c r="E13" s="62">
        <v>59831.828446000007</v>
      </c>
      <c r="F13" s="208">
        <v>62225</v>
      </c>
      <c r="G13" s="63" t="s">
        <v>145</v>
      </c>
      <c r="H13" s="65">
        <f t="shared" si="0"/>
        <v>2393.1715539999932</v>
      </c>
      <c r="I13" s="64">
        <f t="shared" si="1"/>
        <v>0</v>
      </c>
      <c r="J13" s="65">
        <f t="shared" si="2"/>
        <v>0</v>
      </c>
      <c r="K13" s="66">
        <v>2.3699999999999999E-2</v>
      </c>
      <c r="L13" s="64">
        <f>N3*K13</f>
        <v>69316.830249000006</v>
      </c>
      <c r="M13" s="67"/>
      <c r="N13" s="68">
        <f t="shared" si="5"/>
        <v>69316.830249000006</v>
      </c>
      <c r="O13" s="69"/>
      <c r="P13" s="67">
        <f t="shared" si="3"/>
        <v>66923.65869500002</v>
      </c>
      <c r="Q13" s="62">
        <f t="shared" si="4"/>
        <v>69600.605042800016</v>
      </c>
    </row>
    <row r="14" spans="1:18" x14ac:dyDescent="0.25">
      <c r="A14" s="59">
        <v>6</v>
      </c>
      <c r="B14" s="60" t="s">
        <v>87</v>
      </c>
      <c r="C14" s="119" t="s">
        <v>88</v>
      </c>
      <c r="D14" s="119" t="s">
        <v>154</v>
      </c>
      <c r="E14" s="62">
        <v>61950.196458000006</v>
      </c>
      <c r="F14" s="208"/>
      <c r="G14" s="63" t="s">
        <v>145</v>
      </c>
      <c r="H14" s="65">
        <f t="shared" si="0"/>
        <v>0</v>
      </c>
      <c r="I14" s="64">
        <f t="shared" si="1"/>
        <v>61950.196458000006</v>
      </c>
      <c r="J14" s="65">
        <f t="shared" si="2"/>
        <v>7434.0235749600006</v>
      </c>
      <c r="K14" s="66">
        <v>2.3699999999999999E-2</v>
      </c>
      <c r="L14" s="64">
        <f>N3*K14</f>
        <v>69316.830249000006</v>
      </c>
      <c r="M14" s="67"/>
      <c r="N14" s="68">
        <f t="shared" si="5"/>
        <v>69316.830249000006</v>
      </c>
      <c r="O14" s="69"/>
      <c r="P14" s="67">
        <f t="shared" si="3"/>
        <v>138701.05028195999</v>
      </c>
      <c r="Q14" s="62">
        <f t="shared" si="4"/>
        <v>144249.09229323838</v>
      </c>
    </row>
    <row r="15" spans="1:18" ht="14.25" customHeight="1" x14ac:dyDescent="0.25">
      <c r="A15" s="59">
        <v>5</v>
      </c>
      <c r="B15" s="60" t="s">
        <v>89</v>
      </c>
      <c r="C15" s="119" t="s">
        <v>90</v>
      </c>
      <c r="D15" s="119" t="s">
        <v>155</v>
      </c>
      <c r="E15" s="62">
        <v>72928.712286000009</v>
      </c>
      <c r="F15" s="210">
        <f t="shared" ref="F15:F26" si="6">E15</f>
        <v>72928.712286000009</v>
      </c>
      <c r="G15" s="63" t="s">
        <v>145</v>
      </c>
      <c r="H15" s="65">
        <f t="shared" si="0"/>
        <v>0</v>
      </c>
      <c r="I15" s="64">
        <f t="shared" si="1"/>
        <v>0</v>
      </c>
      <c r="J15" s="65">
        <f t="shared" si="2"/>
        <v>0</v>
      </c>
      <c r="K15" s="66">
        <v>2.7900000000000001E-2</v>
      </c>
      <c r="L15" s="64">
        <f>N3*K15</f>
        <v>81600.825483000022</v>
      </c>
      <c r="M15" s="67"/>
      <c r="N15" s="68">
        <f t="shared" si="5"/>
        <v>81600.825483000022</v>
      </c>
      <c r="O15" s="69"/>
      <c r="P15" s="67">
        <f t="shared" si="3"/>
        <v>81600.825483000022</v>
      </c>
      <c r="Q15" s="62">
        <f t="shared" si="4"/>
        <v>84864.858502320028</v>
      </c>
    </row>
    <row r="16" spans="1:18" x14ac:dyDescent="0.25">
      <c r="A16" s="59">
        <v>12</v>
      </c>
      <c r="B16" s="60" t="s">
        <v>91</v>
      </c>
      <c r="C16" s="119" t="s">
        <v>77</v>
      </c>
      <c r="D16" s="201" t="s">
        <v>157</v>
      </c>
      <c r="E16" s="62">
        <v>192895.18857833481</v>
      </c>
      <c r="F16" s="208">
        <f>84941+10109+98545-700</f>
        <v>192895</v>
      </c>
      <c r="G16" s="63" t="s">
        <v>145</v>
      </c>
      <c r="H16" s="65">
        <f t="shared" si="0"/>
        <v>0</v>
      </c>
      <c r="I16" s="64">
        <f t="shared" si="1"/>
        <v>0.18857833481160924</v>
      </c>
      <c r="J16" s="65">
        <f t="shared" si="2"/>
        <v>2.2629400177393108E-2</v>
      </c>
      <c r="K16" s="66">
        <v>3.7699999999999997E-2</v>
      </c>
      <c r="L16" s="64">
        <f>N3*K16</f>
        <v>110263.48102900002</v>
      </c>
      <c r="M16" s="67"/>
      <c r="N16" s="68">
        <f t="shared" si="5"/>
        <v>110263.48102900002</v>
      </c>
      <c r="O16" s="69"/>
      <c r="P16" s="67">
        <f t="shared" si="3"/>
        <v>110263.69223673501</v>
      </c>
      <c r="Q16" s="62">
        <f t="shared" si="4"/>
        <v>114674.23992620441</v>
      </c>
    </row>
    <row r="17" spans="1:17" ht="15.75" customHeight="1" x14ac:dyDescent="0.25">
      <c r="A17" s="59">
        <v>11</v>
      </c>
      <c r="B17" s="60" t="s">
        <v>92</v>
      </c>
      <c r="C17" s="119" t="s">
        <v>93</v>
      </c>
      <c r="D17" s="119"/>
      <c r="E17" s="62">
        <v>61950.196458000006</v>
      </c>
      <c r="F17" s="208">
        <f>E17</f>
        <v>61950.196458000006</v>
      </c>
      <c r="G17" s="63" t="s">
        <v>145</v>
      </c>
      <c r="H17" s="65">
        <f t="shared" si="0"/>
        <v>0</v>
      </c>
      <c r="I17" s="64">
        <f t="shared" si="1"/>
        <v>0</v>
      </c>
      <c r="J17" s="65">
        <f t="shared" si="2"/>
        <v>0</v>
      </c>
      <c r="K17" s="66">
        <v>2.3699999999999999E-2</v>
      </c>
      <c r="L17" s="64">
        <f>N3*K17</f>
        <v>69316.830249000006</v>
      </c>
      <c r="M17" s="67"/>
      <c r="N17" s="68">
        <f t="shared" si="5"/>
        <v>69316.830249000006</v>
      </c>
      <c r="O17" s="69"/>
      <c r="P17" s="67">
        <f t="shared" si="3"/>
        <v>69316.830249000006</v>
      </c>
      <c r="Q17" s="62">
        <f t="shared" si="4"/>
        <v>72089.503458960011</v>
      </c>
    </row>
    <row r="18" spans="1:17" x14ac:dyDescent="0.25">
      <c r="A18" s="59">
        <v>10</v>
      </c>
      <c r="B18" s="60" t="s">
        <v>94</v>
      </c>
      <c r="C18" s="119" t="s">
        <v>95</v>
      </c>
      <c r="D18" s="119"/>
      <c r="E18" s="62">
        <v>61950.196458000006</v>
      </c>
      <c r="F18" s="208">
        <f t="shared" ref="F18:F20" si="7">E18</f>
        <v>61950.196458000006</v>
      </c>
      <c r="G18" s="63" t="s">
        <v>145</v>
      </c>
      <c r="H18" s="65">
        <f t="shared" si="0"/>
        <v>0</v>
      </c>
      <c r="I18" s="64">
        <f t="shared" si="1"/>
        <v>0</v>
      </c>
      <c r="J18" s="65">
        <f t="shared" si="2"/>
        <v>0</v>
      </c>
      <c r="K18" s="66">
        <v>2.3699999999999999E-2</v>
      </c>
      <c r="L18" s="64">
        <f>N3*K18</f>
        <v>69316.830249000006</v>
      </c>
      <c r="M18" s="67"/>
      <c r="N18" s="68">
        <f t="shared" si="5"/>
        <v>69316.830249000006</v>
      </c>
      <c r="O18" s="69"/>
      <c r="P18" s="67">
        <f t="shared" si="3"/>
        <v>69316.830249000006</v>
      </c>
      <c r="Q18" s="62">
        <f t="shared" si="4"/>
        <v>72089.503458960011</v>
      </c>
    </row>
    <row r="19" spans="1:17" x14ac:dyDescent="0.25">
      <c r="A19" s="59">
        <v>9</v>
      </c>
      <c r="B19" s="60" t="s">
        <v>96</v>
      </c>
      <c r="C19" s="119" t="s">
        <v>97</v>
      </c>
      <c r="D19" s="119" t="s">
        <v>158</v>
      </c>
      <c r="E19" s="62">
        <v>71831.868450000009</v>
      </c>
      <c r="F19" s="210">
        <v>72000</v>
      </c>
      <c r="G19" s="63" t="s">
        <v>145</v>
      </c>
      <c r="H19" s="65">
        <f t="shared" si="0"/>
        <v>168.13154999999097</v>
      </c>
      <c r="I19" s="64">
        <f t="shared" si="1"/>
        <v>0</v>
      </c>
      <c r="J19" s="65">
        <f t="shared" si="2"/>
        <v>0</v>
      </c>
      <c r="K19" s="66">
        <v>2.75E-2</v>
      </c>
      <c r="L19" s="64">
        <f>N3*K19</f>
        <v>80430.92117500001</v>
      </c>
      <c r="M19" s="67"/>
      <c r="N19" s="68">
        <f t="shared" si="5"/>
        <v>80430.92117500001</v>
      </c>
      <c r="O19" s="69"/>
      <c r="P19" s="67">
        <f t="shared" si="3"/>
        <v>80262.789625000019</v>
      </c>
      <c r="Q19" s="62">
        <f t="shared" si="4"/>
        <v>83473.30121000002</v>
      </c>
    </row>
    <row r="20" spans="1:17" x14ac:dyDescent="0.25">
      <c r="A20" s="59">
        <v>16</v>
      </c>
      <c r="B20" s="60" t="s">
        <v>98</v>
      </c>
      <c r="C20" s="119" t="s">
        <v>99</v>
      </c>
      <c r="D20" s="119"/>
      <c r="E20" s="62">
        <v>98545.249218000012</v>
      </c>
      <c r="F20" s="208">
        <f t="shared" si="7"/>
        <v>98545.249218000012</v>
      </c>
      <c r="G20" s="118" t="s">
        <v>149</v>
      </c>
      <c r="H20" s="65">
        <f t="shared" si="0"/>
        <v>0</v>
      </c>
      <c r="I20" s="64">
        <f t="shared" si="1"/>
        <v>0</v>
      </c>
      <c r="J20" s="65">
        <f t="shared" si="2"/>
        <v>0</v>
      </c>
      <c r="K20" s="66">
        <v>3.7699999999999997E-2</v>
      </c>
      <c r="L20" s="64">
        <f>N3*K20</f>
        <v>110263.48102900002</v>
      </c>
      <c r="M20" s="67"/>
      <c r="N20" s="68">
        <f t="shared" si="5"/>
        <v>110263.48102900002</v>
      </c>
      <c r="O20" s="69"/>
      <c r="P20" s="67">
        <f t="shared" si="3"/>
        <v>110263.48102900002</v>
      </c>
      <c r="Q20" s="62">
        <f t="shared" si="4"/>
        <v>114674.02027016002</v>
      </c>
    </row>
    <row r="21" spans="1:17" x14ac:dyDescent="0.25">
      <c r="A21" s="59">
        <v>15</v>
      </c>
      <c r="B21" s="60" t="s">
        <v>100</v>
      </c>
      <c r="C21" s="119" t="s">
        <v>101</v>
      </c>
      <c r="D21" s="119"/>
      <c r="E21" s="62">
        <v>49854.499935099033</v>
      </c>
      <c r="F21" s="208">
        <v>50000</v>
      </c>
      <c r="G21" s="63" t="s">
        <v>145</v>
      </c>
      <c r="H21" s="65">
        <f t="shared" si="0"/>
        <v>145.50006490096712</v>
      </c>
      <c r="I21" s="64">
        <f t="shared" si="1"/>
        <v>0</v>
      </c>
      <c r="J21" s="65">
        <f t="shared" si="2"/>
        <v>0</v>
      </c>
      <c r="K21" s="66">
        <v>2.3699999999999999E-2</v>
      </c>
      <c r="L21" s="64">
        <f>N3*K21</f>
        <v>69316.830249000006</v>
      </c>
      <c r="M21" s="67"/>
      <c r="N21" s="68">
        <f t="shared" si="5"/>
        <v>69316.830249000006</v>
      </c>
      <c r="O21" s="69"/>
      <c r="P21" s="67">
        <f t="shared" si="3"/>
        <v>69171.330184099032</v>
      </c>
      <c r="Q21" s="62">
        <f t="shared" si="4"/>
        <v>71938.183391462997</v>
      </c>
    </row>
    <row r="22" spans="1:17" ht="15.75" customHeight="1" x14ac:dyDescent="0.25">
      <c r="A22" s="191">
        <v>14</v>
      </c>
      <c r="B22" s="192" t="s">
        <v>102</v>
      </c>
      <c r="C22" s="113" t="s">
        <v>77</v>
      </c>
      <c r="D22" s="113" t="s">
        <v>175</v>
      </c>
      <c r="E22" s="193">
        <v>61972.410378870423</v>
      </c>
      <c r="F22" s="208">
        <v>61970</v>
      </c>
      <c r="G22" s="118" t="s">
        <v>145</v>
      </c>
      <c r="H22" s="194">
        <f t="shared" si="0"/>
        <v>0</v>
      </c>
      <c r="I22" s="195">
        <f t="shared" si="1"/>
        <v>2.4103788704233011</v>
      </c>
      <c r="J22" s="194">
        <f t="shared" si="2"/>
        <v>0.28924546445079613</v>
      </c>
      <c r="K22" s="196">
        <v>2.3699999999999999E-2</v>
      </c>
      <c r="L22" s="195">
        <f>N3*K22</f>
        <v>69316.830249000006</v>
      </c>
      <c r="M22" s="197"/>
      <c r="N22" s="198">
        <f t="shared" si="5"/>
        <v>69316.830249000006</v>
      </c>
      <c r="O22" s="199"/>
      <c r="P22" s="67">
        <f t="shared" si="3"/>
        <v>69319.529873334875</v>
      </c>
      <c r="Q22" s="62">
        <f t="shared" si="4"/>
        <v>72092.311068268275</v>
      </c>
    </row>
    <row r="23" spans="1:17" ht="15.75" customHeight="1" x14ac:dyDescent="0.25">
      <c r="A23" s="191">
        <v>13</v>
      </c>
      <c r="B23" s="192" t="s">
        <v>103</v>
      </c>
      <c r="C23" s="113" t="s">
        <v>104</v>
      </c>
      <c r="D23" s="113"/>
      <c r="E23" s="193">
        <v>3740172.3436037991</v>
      </c>
      <c r="F23" s="208"/>
      <c r="G23" s="118" t="s">
        <v>145</v>
      </c>
      <c r="H23" s="194">
        <f t="shared" si="0"/>
        <v>0</v>
      </c>
      <c r="I23" s="195">
        <f t="shared" si="1"/>
        <v>3740172.3436037991</v>
      </c>
      <c r="J23" s="194">
        <f t="shared" si="2"/>
        <v>448820.68123245589</v>
      </c>
      <c r="K23" s="196">
        <v>2.75E-2</v>
      </c>
      <c r="L23" s="195">
        <f>N3*K23</f>
        <v>80430.92117500001</v>
      </c>
      <c r="M23" s="197"/>
      <c r="N23" s="198">
        <f t="shared" si="5"/>
        <v>80430.92117500001</v>
      </c>
      <c r="O23" s="199"/>
      <c r="P23" s="67">
        <f t="shared" si="3"/>
        <v>4269423.9460112555</v>
      </c>
      <c r="Q23" s="62">
        <f t="shared" si="4"/>
        <v>4440200.9038517056</v>
      </c>
    </row>
    <row r="24" spans="1:17" ht="15.75" customHeight="1" x14ac:dyDescent="0.25">
      <c r="A24" s="191">
        <v>20</v>
      </c>
      <c r="B24" s="192" t="s">
        <v>105</v>
      </c>
      <c r="C24" s="113" t="s">
        <v>106</v>
      </c>
      <c r="D24" s="113"/>
      <c r="E24" s="193">
        <v>98545.249218000012</v>
      </c>
      <c r="F24" s="208">
        <f>E24</f>
        <v>98545.249218000012</v>
      </c>
      <c r="G24" s="118" t="s">
        <v>146</v>
      </c>
      <c r="H24" s="194">
        <f t="shared" si="0"/>
        <v>0</v>
      </c>
      <c r="I24" s="195">
        <f t="shared" si="1"/>
        <v>0</v>
      </c>
      <c r="J24" s="194">
        <f t="shared" si="2"/>
        <v>0</v>
      </c>
      <c r="K24" s="196">
        <v>3.7699999999999997E-2</v>
      </c>
      <c r="L24" s="195">
        <f>N3*K24</f>
        <v>110263.48102900002</v>
      </c>
      <c r="M24" s="197">
        <f>N4*K24</f>
        <v>0</v>
      </c>
      <c r="N24" s="198">
        <f t="shared" si="5"/>
        <v>110263.48102900002</v>
      </c>
      <c r="O24" s="199"/>
      <c r="P24" s="67">
        <f t="shared" si="3"/>
        <v>110263.48102900002</v>
      </c>
      <c r="Q24" s="62">
        <f t="shared" si="4"/>
        <v>114674.02027016002</v>
      </c>
    </row>
    <row r="25" spans="1:17" ht="15.75" customHeight="1" x14ac:dyDescent="0.25">
      <c r="A25" s="191">
        <v>19</v>
      </c>
      <c r="B25" s="192" t="s">
        <v>107</v>
      </c>
      <c r="C25" s="113" t="s">
        <v>77</v>
      </c>
      <c r="D25" s="113" t="s">
        <v>159</v>
      </c>
      <c r="E25" s="193">
        <v>61950.196458000006</v>
      </c>
      <c r="F25" s="208">
        <f>E25</f>
        <v>61950.196458000006</v>
      </c>
      <c r="G25" s="118" t="s">
        <v>145</v>
      </c>
      <c r="H25" s="194">
        <f t="shared" si="0"/>
        <v>0</v>
      </c>
      <c r="I25" s="195">
        <f t="shared" si="1"/>
        <v>0</v>
      </c>
      <c r="J25" s="194">
        <f t="shared" si="2"/>
        <v>0</v>
      </c>
      <c r="K25" s="196">
        <v>2.3699999999999999E-2</v>
      </c>
      <c r="L25" s="195">
        <f>N3*K25</f>
        <v>69316.830249000006</v>
      </c>
      <c r="M25" s="197">
        <f>N4*K25</f>
        <v>0</v>
      </c>
      <c r="N25" s="198">
        <f t="shared" si="5"/>
        <v>69316.830249000006</v>
      </c>
      <c r="O25" s="199"/>
      <c r="P25" s="67">
        <f t="shared" si="3"/>
        <v>69316.830249000006</v>
      </c>
      <c r="Q25" s="62">
        <f t="shared" si="4"/>
        <v>72089.503458960011</v>
      </c>
    </row>
    <row r="26" spans="1:17" ht="15.75" customHeight="1" x14ac:dyDescent="0.25">
      <c r="A26" s="191">
        <v>18</v>
      </c>
      <c r="B26" s="192" t="s">
        <v>108</v>
      </c>
      <c r="C26" s="113" t="s">
        <v>109</v>
      </c>
      <c r="D26" s="113" t="s">
        <v>160</v>
      </c>
      <c r="E26" s="193">
        <v>61950.196458000006</v>
      </c>
      <c r="F26" s="208">
        <f t="shared" si="6"/>
        <v>61950.196458000006</v>
      </c>
      <c r="G26" s="118" t="s">
        <v>145</v>
      </c>
      <c r="H26" s="194">
        <f t="shared" si="0"/>
        <v>0</v>
      </c>
      <c r="I26" s="195">
        <f t="shared" si="1"/>
        <v>0</v>
      </c>
      <c r="J26" s="194">
        <f t="shared" si="2"/>
        <v>0</v>
      </c>
      <c r="K26" s="196">
        <v>2.3699999999999999E-2</v>
      </c>
      <c r="L26" s="195">
        <f>N3*K26</f>
        <v>69316.830249000006</v>
      </c>
      <c r="M26" s="197">
        <f>N4*K26</f>
        <v>0</v>
      </c>
      <c r="N26" s="198">
        <f t="shared" si="5"/>
        <v>69316.830249000006</v>
      </c>
      <c r="O26" s="199"/>
      <c r="P26" s="67">
        <f t="shared" si="3"/>
        <v>69316.830249000006</v>
      </c>
      <c r="Q26" s="62">
        <f t="shared" si="4"/>
        <v>72089.503458960011</v>
      </c>
    </row>
    <row r="27" spans="1:17" ht="15.75" customHeight="1" x14ac:dyDescent="0.25">
      <c r="A27" s="191">
        <v>17</v>
      </c>
      <c r="B27" s="192" t="s">
        <v>110</v>
      </c>
      <c r="C27" s="113" t="s">
        <v>93</v>
      </c>
      <c r="D27" s="113" t="s">
        <v>161</v>
      </c>
      <c r="E27" s="193">
        <v>71883.139350000012</v>
      </c>
      <c r="F27" s="208">
        <v>74758</v>
      </c>
      <c r="G27" s="118" t="s">
        <v>145</v>
      </c>
      <c r="H27" s="194">
        <f t="shared" si="0"/>
        <v>2874.8606499999878</v>
      </c>
      <c r="I27" s="195">
        <f t="shared" si="1"/>
        <v>0</v>
      </c>
      <c r="J27" s="194">
        <f t="shared" si="2"/>
        <v>0</v>
      </c>
      <c r="K27" s="196">
        <v>2.75E-2</v>
      </c>
      <c r="L27" s="195">
        <f>N3*K27</f>
        <v>80430.92117500001</v>
      </c>
      <c r="M27" s="197">
        <f>N4*K27</f>
        <v>0</v>
      </c>
      <c r="N27" s="198">
        <f t="shared" si="5"/>
        <v>80430.92117500001</v>
      </c>
      <c r="O27" s="199"/>
      <c r="P27" s="67">
        <f t="shared" si="3"/>
        <v>77556.060525000023</v>
      </c>
      <c r="Q27" s="62">
        <f t="shared" si="4"/>
        <v>80658.302946000025</v>
      </c>
    </row>
    <row r="28" spans="1:17" ht="15.75" customHeight="1" x14ac:dyDescent="0.25">
      <c r="A28" s="191">
        <v>24</v>
      </c>
      <c r="B28" s="192" t="s">
        <v>111</v>
      </c>
      <c r="C28" s="113" t="s">
        <v>112</v>
      </c>
      <c r="D28" s="113" t="s">
        <v>156</v>
      </c>
      <c r="E28" s="193">
        <v>98545.249218000012</v>
      </c>
      <c r="F28" s="208">
        <f>E28</f>
        <v>98545.249218000012</v>
      </c>
      <c r="G28" s="118" t="s">
        <v>145</v>
      </c>
      <c r="H28" s="194">
        <f t="shared" si="0"/>
        <v>0</v>
      </c>
      <c r="I28" s="195">
        <f t="shared" si="1"/>
        <v>0</v>
      </c>
      <c r="J28" s="194">
        <f t="shared" si="2"/>
        <v>0</v>
      </c>
      <c r="K28" s="196">
        <v>3.7699999999999997E-2</v>
      </c>
      <c r="L28" s="195">
        <f>N3*K28</f>
        <v>110263.48102900002</v>
      </c>
      <c r="M28" s="197">
        <f>N4*K28</f>
        <v>0</v>
      </c>
      <c r="N28" s="198">
        <f t="shared" si="5"/>
        <v>110263.48102900002</v>
      </c>
      <c r="O28" s="199"/>
      <c r="P28" s="67">
        <f t="shared" si="3"/>
        <v>110263.48102900002</v>
      </c>
      <c r="Q28" s="62">
        <f t="shared" si="4"/>
        <v>114674.02027016002</v>
      </c>
    </row>
    <row r="29" spans="1:17" ht="15.75" customHeight="1" x14ac:dyDescent="0.25">
      <c r="A29" s="191">
        <v>23</v>
      </c>
      <c r="B29" s="192" t="s">
        <v>113</v>
      </c>
      <c r="C29" s="113" t="s">
        <v>114</v>
      </c>
      <c r="D29" s="113" t="s">
        <v>162</v>
      </c>
      <c r="E29" s="193">
        <v>61950.196458000006</v>
      </c>
      <c r="F29" s="208">
        <v>62000</v>
      </c>
      <c r="G29" s="118" t="s">
        <v>145</v>
      </c>
      <c r="H29" s="194">
        <f t="shared" si="0"/>
        <v>49.803541999994195</v>
      </c>
      <c r="I29" s="195">
        <f t="shared" si="1"/>
        <v>0</v>
      </c>
      <c r="J29" s="194">
        <f t="shared" si="2"/>
        <v>0</v>
      </c>
      <c r="K29" s="196">
        <v>2.3699999999999999E-2</v>
      </c>
      <c r="L29" s="195">
        <f>N3*K29</f>
        <v>69316.830249000006</v>
      </c>
      <c r="M29" s="197">
        <f>N4*K29</f>
        <v>0</v>
      </c>
      <c r="N29" s="198">
        <f t="shared" si="5"/>
        <v>69316.830249000006</v>
      </c>
      <c r="O29" s="199"/>
      <c r="P29" s="67">
        <f t="shared" si="3"/>
        <v>69267.026707000012</v>
      </c>
      <c r="Q29" s="62">
        <f t="shared" si="4"/>
        <v>72037.707775280011</v>
      </c>
    </row>
    <row r="30" spans="1:17" ht="15.75" customHeight="1" x14ac:dyDescent="0.25">
      <c r="A30" s="59">
        <v>22</v>
      </c>
      <c r="B30" s="60" t="s">
        <v>115</v>
      </c>
      <c r="C30" s="119" t="s">
        <v>77</v>
      </c>
      <c r="D30" s="119" t="s">
        <v>163</v>
      </c>
      <c r="E30" s="62">
        <v>61950.196458000006</v>
      </c>
      <c r="F30" s="208">
        <f>E30</f>
        <v>61950.196458000006</v>
      </c>
      <c r="G30" s="63" t="s">
        <v>146</v>
      </c>
      <c r="H30" s="65">
        <f t="shared" si="0"/>
        <v>0</v>
      </c>
      <c r="I30" s="64">
        <f t="shared" si="1"/>
        <v>0</v>
      </c>
      <c r="J30" s="65">
        <f t="shared" si="2"/>
        <v>0</v>
      </c>
      <c r="K30" s="66">
        <v>2.3699999999999999E-2</v>
      </c>
      <c r="L30" s="64">
        <f>N3*K30</f>
        <v>69316.830249000006</v>
      </c>
      <c r="M30" s="67">
        <f>N4*K30</f>
        <v>0</v>
      </c>
      <c r="N30" s="68">
        <f t="shared" si="5"/>
        <v>69316.830249000006</v>
      </c>
      <c r="O30" s="69"/>
      <c r="P30" s="67">
        <f t="shared" si="3"/>
        <v>69316.830249000006</v>
      </c>
      <c r="Q30" s="62">
        <f t="shared" si="4"/>
        <v>72089.503458960011</v>
      </c>
    </row>
    <row r="31" spans="1:17" ht="15.75" customHeight="1" x14ac:dyDescent="0.25">
      <c r="A31" s="59">
        <v>21</v>
      </c>
      <c r="B31" s="60" t="s">
        <v>116</v>
      </c>
      <c r="C31" s="119" t="s">
        <v>77</v>
      </c>
      <c r="D31" s="119" t="s">
        <v>164</v>
      </c>
      <c r="E31" s="62">
        <v>71883.139350000012</v>
      </c>
      <c r="F31" s="208">
        <f>E31</f>
        <v>71883.139350000012</v>
      </c>
      <c r="G31" s="63" t="s">
        <v>145</v>
      </c>
      <c r="H31" s="65">
        <f t="shared" si="0"/>
        <v>0</v>
      </c>
      <c r="I31" s="64">
        <f t="shared" si="1"/>
        <v>0</v>
      </c>
      <c r="J31" s="65">
        <f t="shared" si="2"/>
        <v>0</v>
      </c>
      <c r="K31" s="66">
        <v>2.75E-2</v>
      </c>
      <c r="L31" s="64">
        <f>N3*K31</f>
        <v>80430.92117500001</v>
      </c>
      <c r="M31" s="67">
        <f>N4*K31</f>
        <v>0</v>
      </c>
      <c r="N31" s="68">
        <f t="shared" si="5"/>
        <v>80430.92117500001</v>
      </c>
      <c r="O31" s="69"/>
      <c r="P31" s="67">
        <f t="shared" si="3"/>
        <v>80430.92117500001</v>
      </c>
      <c r="Q31" s="62">
        <f t="shared" si="4"/>
        <v>83648.158022000018</v>
      </c>
    </row>
    <row r="32" spans="1:17" ht="15.75" customHeight="1" x14ac:dyDescent="0.25">
      <c r="A32" s="59">
        <v>28</v>
      </c>
      <c r="B32" s="71" t="s">
        <v>117</v>
      </c>
      <c r="C32" s="72" t="s">
        <v>90</v>
      </c>
      <c r="D32" s="72" t="s">
        <v>189</v>
      </c>
      <c r="E32" s="62">
        <v>310785.53809179051</v>
      </c>
      <c r="F32" s="208">
        <v>93982</v>
      </c>
      <c r="G32" s="63" t="s">
        <v>145</v>
      </c>
      <c r="H32" s="65">
        <f t="shared" si="0"/>
        <v>0</v>
      </c>
      <c r="I32" s="64">
        <f t="shared" si="1"/>
        <v>216803.53809179051</v>
      </c>
      <c r="J32" s="65">
        <f t="shared" si="2"/>
        <v>26016.424571014861</v>
      </c>
      <c r="K32" s="66">
        <v>3.7699999999999997E-2</v>
      </c>
      <c r="L32" s="64">
        <f>N3*K32</f>
        <v>110263.48102900002</v>
      </c>
      <c r="M32" s="67">
        <f>N4*K32</f>
        <v>0</v>
      </c>
      <c r="N32" s="68">
        <f t="shared" si="5"/>
        <v>110263.48102900002</v>
      </c>
      <c r="O32" s="69"/>
      <c r="P32" s="67">
        <f t="shared" si="3"/>
        <v>353083.44369180535</v>
      </c>
      <c r="Q32" s="62">
        <f t="shared" si="4"/>
        <v>367206.78143947758</v>
      </c>
    </row>
    <row r="33" spans="1:17" ht="15.75" customHeight="1" x14ac:dyDescent="0.25">
      <c r="A33" s="59">
        <v>27</v>
      </c>
      <c r="B33" s="60" t="s">
        <v>118</v>
      </c>
      <c r="C33" s="61" t="s">
        <v>90</v>
      </c>
      <c r="D33" s="61" t="s">
        <v>165</v>
      </c>
      <c r="E33" s="62">
        <v>151083.28734556743</v>
      </c>
      <c r="F33" s="208"/>
      <c r="G33" s="63" t="s">
        <v>145</v>
      </c>
      <c r="H33" s="65">
        <f t="shared" si="0"/>
        <v>0</v>
      </c>
      <c r="I33" s="64">
        <f t="shared" si="1"/>
        <v>151083.28734556743</v>
      </c>
      <c r="J33" s="65">
        <f t="shared" si="2"/>
        <v>18129.994481468089</v>
      </c>
      <c r="K33" s="66">
        <v>2.3699999999999999E-2</v>
      </c>
      <c r="L33" s="64">
        <f>N3*K33</f>
        <v>69316.830249000006</v>
      </c>
      <c r="M33" s="67">
        <f>N4*K33</f>
        <v>0</v>
      </c>
      <c r="N33" s="68">
        <f t="shared" si="5"/>
        <v>69316.830249000006</v>
      </c>
      <c r="O33" s="69"/>
      <c r="P33" s="67">
        <f t="shared" si="3"/>
        <v>238530.11207603553</v>
      </c>
      <c r="Q33" s="62">
        <f t="shared" si="4"/>
        <v>248071.31655907695</v>
      </c>
    </row>
    <row r="34" spans="1:17" ht="15.75" customHeight="1" x14ac:dyDescent="0.25">
      <c r="A34" s="59">
        <v>26</v>
      </c>
      <c r="B34" s="73" t="s">
        <v>119</v>
      </c>
      <c r="C34" s="119" t="s">
        <v>120</v>
      </c>
      <c r="D34" s="119" t="s">
        <v>166</v>
      </c>
      <c r="E34" s="62">
        <v>61950.196458000006</v>
      </c>
      <c r="F34" s="208">
        <f>E34</f>
        <v>61950.196458000006</v>
      </c>
      <c r="G34" s="63" t="s">
        <v>145</v>
      </c>
      <c r="H34" s="65">
        <f t="shared" si="0"/>
        <v>0</v>
      </c>
      <c r="I34" s="64">
        <f t="shared" si="1"/>
        <v>0</v>
      </c>
      <c r="J34" s="65">
        <f t="shared" si="2"/>
        <v>0</v>
      </c>
      <c r="K34" s="66">
        <v>2.3699999999999999E-2</v>
      </c>
      <c r="L34" s="64">
        <f>N3*K34</f>
        <v>69316.830249000006</v>
      </c>
      <c r="M34" s="67">
        <f>N4*K34</f>
        <v>0</v>
      </c>
      <c r="N34" s="68">
        <f t="shared" si="5"/>
        <v>69316.830249000006</v>
      </c>
      <c r="O34" s="69"/>
      <c r="P34" s="67">
        <f t="shared" si="3"/>
        <v>69316.830249000006</v>
      </c>
      <c r="Q34" s="62">
        <f t="shared" si="4"/>
        <v>72089.503458960011</v>
      </c>
    </row>
    <row r="35" spans="1:17" ht="15.75" customHeight="1" x14ac:dyDescent="0.25">
      <c r="A35" s="59">
        <v>25</v>
      </c>
      <c r="B35" s="60" t="s">
        <v>121</v>
      </c>
      <c r="C35" s="120" t="s">
        <v>77</v>
      </c>
      <c r="D35" s="120" t="s">
        <v>167</v>
      </c>
      <c r="E35" s="62">
        <v>71883.139350000012</v>
      </c>
      <c r="F35" s="208">
        <v>74758</v>
      </c>
      <c r="G35" s="63" t="s">
        <v>145</v>
      </c>
      <c r="H35" s="65">
        <f t="shared" si="0"/>
        <v>2874.8606499999878</v>
      </c>
      <c r="I35" s="64">
        <f t="shared" si="1"/>
        <v>0</v>
      </c>
      <c r="J35" s="65">
        <f t="shared" si="2"/>
        <v>0</v>
      </c>
      <c r="K35" s="66">
        <v>2.75E-2</v>
      </c>
      <c r="L35" s="64">
        <f>N3*K35</f>
        <v>80430.92117500001</v>
      </c>
      <c r="M35" s="67">
        <f>N4*K35</f>
        <v>0</v>
      </c>
      <c r="N35" s="68">
        <f t="shared" si="5"/>
        <v>80430.92117500001</v>
      </c>
      <c r="O35" s="69"/>
      <c r="P35" s="67">
        <f t="shared" si="3"/>
        <v>77556.060525000023</v>
      </c>
      <c r="Q35" s="62">
        <f t="shared" si="4"/>
        <v>80658.302946000025</v>
      </c>
    </row>
    <row r="36" spans="1:17" ht="15.75" customHeight="1" x14ac:dyDescent="0.25">
      <c r="A36" s="59">
        <v>32</v>
      </c>
      <c r="B36" s="60" t="s">
        <v>122</v>
      </c>
      <c r="C36" s="114" t="s">
        <v>123</v>
      </c>
      <c r="D36" s="114"/>
      <c r="E36" s="62">
        <v>1196480.5914433426</v>
      </c>
      <c r="F36" s="208"/>
      <c r="G36" s="63" t="s">
        <v>145</v>
      </c>
      <c r="H36" s="65">
        <f t="shared" si="0"/>
        <v>0</v>
      </c>
      <c r="I36" s="64">
        <f t="shared" si="1"/>
        <v>1196480.5914433426</v>
      </c>
      <c r="J36" s="65">
        <f t="shared" si="2"/>
        <v>143577.67097320111</v>
      </c>
      <c r="K36" s="66">
        <v>3.7699999999999997E-2</v>
      </c>
      <c r="L36" s="64">
        <f>N3*K36</f>
        <v>110263.48102900002</v>
      </c>
      <c r="M36" s="67">
        <f>N4*K36</f>
        <v>0</v>
      </c>
      <c r="N36" s="68">
        <f t="shared" si="5"/>
        <v>110263.48102900002</v>
      </c>
      <c r="O36" s="69"/>
      <c r="P36" s="67">
        <f t="shared" si="3"/>
        <v>1450321.7434455436</v>
      </c>
      <c r="Q36" s="62">
        <f t="shared" si="4"/>
        <v>1508334.6131833652</v>
      </c>
    </row>
    <row r="37" spans="1:17" ht="15.75" customHeight="1" x14ac:dyDescent="0.25">
      <c r="A37" s="59">
        <v>31</v>
      </c>
      <c r="B37" s="60" t="s">
        <v>124</v>
      </c>
      <c r="C37" s="113" t="s">
        <v>77</v>
      </c>
      <c r="D37" s="113" t="s">
        <v>187</v>
      </c>
      <c r="E37" s="62">
        <v>61950.196458000006</v>
      </c>
      <c r="F37" s="210">
        <f>E37</f>
        <v>61950.196458000006</v>
      </c>
      <c r="G37" s="63" t="s">
        <v>145</v>
      </c>
      <c r="H37" s="65">
        <f t="shared" si="0"/>
        <v>0</v>
      </c>
      <c r="I37" s="64">
        <f t="shared" si="1"/>
        <v>0</v>
      </c>
      <c r="J37" s="65">
        <f t="shared" si="2"/>
        <v>0</v>
      </c>
      <c r="K37" s="66">
        <v>2.3699999999999999E-2</v>
      </c>
      <c r="L37" s="64">
        <f>N3*K37</f>
        <v>69316.830249000006</v>
      </c>
      <c r="M37" s="67">
        <f>N4*K37</f>
        <v>0</v>
      </c>
      <c r="N37" s="68">
        <f t="shared" si="5"/>
        <v>69316.830249000006</v>
      </c>
      <c r="O37" s="69"/>
      <c r="P37" s="67">
        <f t="shared" si="3"/>
        <v>69316.830249000006</v>
      </c>
      <c r="Q37" s="62">
        <f t="shared" si="4"/>
        <v>72089.503458960011</v>
      </c>
    </row>
    <row r="38" spans="1:17" ht="15.75" customHeight="1" x14ac:dyDescent="0.25">
      <c r="A38" s="59">
        <v>30</v>
      </c>
      <c r="B38" s="60" t="s">
        <v>125</v>
      </c>
      <c r="C38" s="119" t="s">
        <v>126</v>
      </c>
      <c r="D38" s="145" t="s">
        <v>173</v>
      </c>
      <c r="E38" s="62">
        <v>61950.196458000006</v>
      </c>
      <c r="F38" s="210">
        <v>64428</v>
      </c>
      <c r="G38" s="63" t="s">
        <v>145</v>
      </c>
      <c r="H38" s="65">
        <f t="shared" si="0"/>
        <v>2477.8035419999942</v>
      </c>
      <c r="I38" s="64">
        <f t="shared" si="1"/>
        <v>0</v>
      </c>
      <c r="J38" s="65">
        <f t="shared" si="2"/>
        <v>0</v>
      </c>
      <c r="K38" s="66">
        <v>2.3699999999999999E-2</v>
      </c>
      <c r="L38" s="64">
        <f>N3*K38</f>
        <v>69316.830249000006</v>
      </c>
      <c r="M38" s="67">
        <f>N4*K38</f>
        <v>0</v>
      </c>
      <c r="N38" s="68">
        <f t="shared" si="5"/>
        <v>69316.830249000006</v>
      </c>
      <c r="O38" s="69"/>
      <c r="P38" s="67">
        <f t="shared" si="3"/>
        <v>66839.026707000012</v>
      </c>
      <c r="Q38" s="62">
        <f t="shared" si="4"/>
        <v>69512.587775280015</v>
      </c>
    </row>
    <row r="39" spans="1:17" ht="15.75" customHeight="1" x14ac:dyDescent="0.25">
      <c r="A39" s="59">
        <v>29</v>
      </c>
      <c r="B39" s="60" t="s">
        <v>127</v>
      </c>
      <c r="C39" s="119" t="s">
        <v>128</v>
      </c>
      <c r="D39" s="201" t="s">
        <v>168</v>
      </c>
      <c r="E39" s="62">
        <v>71883.139350000012</v>
      </c>
      <c r="F39" s="208">
        <v>74758</v>
      </c>
      <c r="G39" s="63" t="s">
        <v>145</v>
      </c>
      <c r="H39" s="65">
        <f t="shared" si="0"/>
        <v>2874.8606499999878</v>
      </c>
      <c r="I39" s="64">
        <f t="shared" si="1"/>
        <v>0</v>
      </c>
      <c r="J39" s="65">
        <f t="shared" si="2"/>
        <v>0</v>
      </c>
      <c r="K39" s="66">
        <v>2.75E-2</v>
      </c>
      <c r="L39" s="64">
        <f>N3*K39</f>
        <v>80430.92117500001</v>
      </c>
      <c r="M39" s="67">
        <f>N4*K39</f>
        <v>0</v>
      </c>
      <c r="N39" s="68">
        <f t="shared" si="5"/>
        <v>80430.92117500001</v>
      </c>
      <c r="O39" s="69"/>
      <c r="P39" s="67">
        <f t="shared" si="3"/>
        <v>77556.060525000023</v>
      </c>
      <c r="Q39" s="62">
        <f t="shared" si="4"/>
        <v>80658.302946000025</v>
      </c>
    </row>
    <row r="40" spans="1:17" ht="15.75" customHeight="1" x14ac:dyDescent="0.25">
      <c r="A40" s="59">
        <v>36</v>
      </c>
      <c r="B40" s="60" t="s">
        <v>129</v>
      </c>
      <c r="C40" s="119" t="s">
        <v>130</v>
      </c>
      <c r="D40" s="119"/>
      <c r="E40" s="62">
        <v>95018.846829000002</v>
      </c>
      <c r="F40" s="208">
        <f>1020+94000</f>
        <v>95020</v>
      </c>
      <c r="G40" s="63" t="s">
        <v>149</v>
      </c>
      <c r="H40" s="65">
        <f t="shared" si="0"/>
        <v>1.1531709999981103</v>
      </c>
      <c r="I40" s="64">
        <f>IF(F40&gt;E40,0,E40-F40)</f>
        <v>0</v>
      </c>
      <c r="J40" s="65">
        <f t="shared" si="2"/>
        <v>0</v>
      </c>
      <c r="K40" s="66">
        <v>3.7699999999999997E-2</v>
      </c>
      <c r="L40" s="64">
        <f>N3*K40</f>
        <v>110263.48102900002</v>
      </c>
      <c r="M40" s="67">
        <f>N4*K40</f>
        <v>0</v>
      </c>
      <c r="N40" s="68">
        <f t="shared" si="5"/>
        <v>110263.48102900002</v>
      </c>
      <c r="O40" s="69"/>
      <c r="P40" s="67">
        <f t="shared" si="3"/>
        <v>110262.32785800002</v>
      </c>
      <c r="Q40" s="62">
        <f t="shared" si="4"/>
        <v>114672.82097232001</v>
      </c>
    </row>
    <row r="41" spans="1:17" ht="15.75" customHeight="1" x14ac:dyDescent="0.25">
      <c r="A41" s="59">
        <v>35</v>
      </c>
      <c r="B41" s="60" t="s">
        <v>131</v>
      </c>
      <c r="C41" s="119" t="s">
        <v>132</v>
      </c>
      <c r="D41" s="119"/>
      <c r="E41" s="62">
        <v>61950.196458000006</v>
      </c>
      <c r="F41" s="210">
        <v>64428</v>
      </c>
      <c r="G41" s="63" t="s">
        <v>145</v>
      </c>
      <c r="H41" s="65">
        <f t="shared" si="0"/>
        <v>2477.8035419999942</v>
      </c>
      <c r="I41" s="64">
        <f t="shared" si="1"/>
        <v>0</v>
      </c>
      <c r="J41" s="65">
        <f t="shared" si="2"/>
        <v>0</v>
      </c>
      <c r="K41" s="66">
        <v>2.3699999999999999E-2</v>
      </c>
      <c r="L41" s="64">
        <f>N3*K41</f>
        <v>69316.830249000006</v>
      </c>
      <c r="M41" s="67">
        <f>N4*K41</f>
        <v>0</v>
      </c>
      <c r="N41" s="68">
        <f>+L41+M41</f>
        <v>69316.830249000006</v>
      </c>
      <c r="O41" s="69"/>
      <c r="P41" s="67">
        <f t="shared" si="3"/>
        <v>66839.026707000012</v>
      </c>
      <c r="Q41" s="62">
        <f t="shared" si="4"/>
        <v>69512.587775280015</v>
      </c>
    </row>
    <row r="42" spans="1:17" ht="15.75" customHeight="1" x14ac:dyDescent="0.25">
      <c r="A42" s="59">
        <v>34</v>
      </c>
      <c r="B42" s="60" t="s">
        <v>133</v>
      </c>
      <c r="C42" s="119" t="s">
        <v>134</v>
      </c>
      <c r="D42" s="119" t="s">
        <v>169</v>
      </c>
      <c r="E42" s="62">
        <v>61950.196458000006</v>
      </c>
      <c r="F42" s="208">
        <v>64428</v>
      </c>
      <c r="G42" s="63" t="s">
        <v>145</v>
      </c>
      <c r="H42" s="65">
        <f t="shared" si="0"/>
        <v>2477.8035419999942</v>
      </c>
      <c r="I42" s="64">
        <f t="shared" si="1"/>
        <v>0</v>
      </c>
      <c r="J42" s="65">
        <f t="shared" si="2"/>
        <v>0</v>
      </c>
      <c r="K42" s="66">
        <v>2.3699999999999999E-2</v>
      </c>
      <c r="L42" s="64">
        <f>N3*K42</f>
        <v>69316.830249000006</v>
      </c>
      <c r="M42" s="67">
        <f>N4*K42</f>
        <v>0</v>
      </c>
      <c r="N42" s="68">
        <f t="shared" si="5"/>
        <v>69316.830249000006</v>
      </c>
      <c r="O42" s="69"/>
      <c r="P42" s="67">
        <f t="shared" si="3"/>
        <v>66839.026707000012</v>
      </c>
      <c r="Q42" s="62">
        <f t="shared" si="4"/>
        <v>69512.587775280015</v>
      </c>
    </row>
    <row r="43" spans="1:17" ht="15.75" customHeight="1" x14ac:dyDescent="0.25">
      <c r="A43" s="59">
        <v>33</v>
      </c>
      <c r="B43" s="60" t="s">
        <v>135</v>
      </c>
      <c r="C43" s="119" t="s">
        <v>77</v>
      </c>
      <c r="D43" s="119" t="s">
        <v>178</v>
      </c>
      <c r="E43" s="62">
        <v>71883.139350000012</v>
      </c>
      <c r="F43" s="208">
        <v>74758</v>
      </c>
      <c r="G43" s="63" t="s">
        <v>145</v>
      </c>
      <c r="H43" s="65">
        <f t="shared" si="0"/>
        <v>2874.8606499999878</v>
      </c>
      <c r="I43" s="64">
        <f t="shared" si="1"/>
        <v>0</v>
      </c>
      <c r="J43" s="65">
        <f t="shared" si="2"/>
        <v>0</v>
      </c>
      <c r="K43" s="66">
        <v>2.75E-2</v>
      </c>
      <c r="L43" s="64">
        <f>N3*K43</f>
        <v>80430.92117500001</v>
      </c>
      <c r="M43" s="67">
        <f>N4*K43</f>
        <v>0</v>
      </c>
      <c r="N43" s="68">
        <f t="shared" si="5"/>
        <v>80430.92117500001</v>
      </c>
      <c r="O43" s="69"/>
      <c r="P43" s="67">
        <f t="shared" si="3"/>
        <v>77556.060525000023</v>
      </c>
      <c r="Q43" s="62">
        <f t="shared" si="4"/>
        <v>80658.302946000025</v>
      </c>
    </row>
    <row r="44" spans="1:17" ht="15.75" thickBot="1" x14ac:dyDescent="0.3">
      <c r="A44" s="74"/>
      <c r="B44" s="75"/>
      <c r="C44" s="76"/>
      <c r="D44" s="140"/>
      <c r="E44" s="77">
        <f t="shared" ref="E44:M44" si="8">SUM(E8:E43)</f>
        <v>12331415.088330686</v>
      </c>
      <c r="F44" s="166">
        <f>SUM(F8:F43)</f>
        <v>2270533.6042220001</v>
      </c>
      <c r="G44" s="79"/>
      <c r="H44" s="128"/>
      <c r="I44" s="158">
        <f t="shared" si="8"/>
        <v>10086419.383492576</v>
      </c>
      <c r="J44" s="81">
        <f t="shared" si="8"/>
        <v>1210370.326019109</v>
      </c>
      <c r="K44" s="82">
        <f t="shared" si="8"/>
        <v>1.0000000000000002</v>
      </c>
      <c r="L44" s="159">
        <f t="shared" si="8"/>
        <v>2924760.7699999996</v>
      </c>
      <c r="M44" s="83">
        <f t="shared" si="8"/>
        <v>0</v>
      </c>
      <c r="N44" s="84">
        <f t="shared" si="5"/>
        <v>2924760.7699999996</v>
      </c>
      <c r="O44" s="84">
        <f t="shared" ref="O44" si="9">+M44+N44</f>
        <v>2924760.7699999996</v>
      </c>
      <c r="P44" s="84">
        <f t="shared" ref="P44" si="10">+N44+O44</f>
        <v>5849521.5399999991</v>
      </c>
      <c r="Q44" s="85">
        <f>SUM(Q8:Q43)</f>
        <v>14763853.083332893</v>
      </c>
    </row>
    <row r="45" spans="1:17" hidden="1" x14ac:dyDescent="0.25">
      <c r="A45" s="86"/>
      <c r="B45" s="86"/>
      <c r="C45" s="121"/>
      <c r="D45" s="138"/>
      <c r="E45" s="115" t="s">
        <v>147</v>
      </c>
      <c r="F45" s="115">
        <f>SUMIF(G8:G43,"B",F8:F43)</f>
        <v>1995286.5288200001</v>
      </c>
      <c r="G45" s="115"/>
    </row>
    <row r="46" spans="1:17" hidden="1" x14ac:dyDescent="0.25">
      <c r="A46" s="86"/>
      <c r="B46" s="86"/>
      <c r="C46" s="116"/>
      <c r="D46" s="139"/>
      <c r="E46" s="115" t="s">
        <v>148</v>
      </c>
      <c r="F46" s="115">
        <f>SUMIF(G8:G43,"E",F8:F43)</f>
        <v>275247.07540200005</v>
      </c>
      <c r="G46" s="115"/>
    </row>
    <row r="47" spans="1:17" hidden="1" x14ac:dyDescent="0.25">
      <c r="A47" s="86"/>
      <c r="B47" s="86"/>
      <c r="E47" s="115"/>
      <c r="F47" s="87">
        <f>SUM(F45:F46)</f>
        <v>2270533.6042220001</v>
      </c>
      <c r="G47" s="87"/>
      <c r="H47" s="87"/>
      <c r="I47" s="87"/>
    </row>
    <row r="48" spans="1:17" ht="32.25" customHeight="1" x14ac:dyDescent="0.25">
      <c r="A48" s="86"/>
      <c r="B48" s="86"/>
      <c r="H48" s="122"/>
    </row>
    <row r="49" spans="1:2" ht="15.75" customHeight="1" x14ac:dyDescent="0.25">
      <c r="A49" s="86"/>
      <c r="B49" s="86"/>
    </row>
    <row r="50" spans="1:2" ht="15.75" customHeight="1" x14ac:dyDescent="0.25">
      <c r="A50" s="86"/>
      <c r="B50" s="86"/>
    </row>
    <row r="51" spans="1:2" ht="15.75" customHeight="1" x14ac:dyDescent="0.25">
      <c r="A51" s="86"/>
      <c r="B51" s="86"/>
    </row>
    <row r="52" spans="1:2" ht="15.75" customHeight="1" x14ac:dyDescent="0.25">
      <c r="A52" s="86"/>
      <c r="B52" s="86"/>
    </row>
    <row r="53" spans="1:2" ht="15.75" customHeight="1" x14ac:dyDescent="0.25">
      <c r="A53" s="86"/>
      <c r="B53" s="86"/>
    </row>
    <row r="54" spans="1:2" ht="15.75" customHeight="1" x14ac:dyDescent="0.25">
      <c r="A54" s="86"/>
      <c r="B54" s="86"/>
    </row>
    <row r="55" spans="1:2" ht="15.75" customHeight="1" x14ac:dyDescent="0.25">
      <c r="A55" s="86"/>
      <c r="B55" s="86"/>
    </row>
    <row r="56" spans="1:2" ht="15.75" customHeight="1" x14ac:dyDescent="0.25">
      <c r="A56" s="86"/>
      <c r="B56" s="86"/>
    </row>
    <row r="57" spans="1:2" ht="15.75" customHeight="1" x14ac:dyDescent="0.25">
      <c r="A57" s="86"/>
      <c r="B57" s="86"/>
    </row>
    <row r="58" spans="1:2" ht="15.75" customHeight="1" x14ac:dyDescent="0.25">
      <c r="A58" s="86"/>
      <c r="B58" s="86"/>
    </row>
    <row r="59" spans="1:2" ht="15.75" customHeight="1" x14ac:dyDescent="0.25">
      <c r="A59" s="86"/>
      <c r="B59" s="86"/>
    </row>
    <row r="60" spans="1:2" ht="15.75" customHeight="1" x14ac:dyDescent="0.25">
      <c r="A60" s="86"/>
      <c r="B60" s="86"/>
    </row>
    <row r="61" spans="1:2" ht="15.75" customHeight="1" x14ac:dyDescent="0.25">
      <c r="A61" s="86"/>
      <c r="B61" s="86"/>
    </row>
    <row r="62" spans="1:2" ht="15.75" customHeight="1" x14ac:dyDescent="0.25">
      <c r="A62" s="86"/>
      <c r="B62" s="86"/>
    </row>
    <row r="63" spans="1:2" ht="15.75" customHeight="1" x14ac:dyDescent="0.25">
      <c r="A63" s="86"/>
      <c r="B63" s="86"/>
    </row>
    <row r="64" spans="1:2" ht="15.75" customHeight="1" x14ac:dyDescent="0.25">
      <c r="A64" s="86"/>
      <c r="B64" s="86"/>
    </row>
    <row r="65" spans="1:2" ht="15.75" customHeight="1" x14ac:dyDescent="0.25">
      <c r="A65" s="86"/>
      <c r="B65" s="86"/>
    </row>
    <row r="66" spans="1:2" ht="15.75" customHeight="1" x14ac:dyDescent="0.25">
      <c r="A66" s="86"/>
      <c r="B66" s="86"/>
    </row>
    <row r="67" spans="1:2" ht="15.75" customHeight="1" x14ac:dyDescent="0.25">
      <c r="A67" s="86"/>
      <c r="B67" s="86"/>
    </row>
    <row r="68" spans="1:2" ht="15.75" customHeight="1" x14ac:dyDescent="0.25">
      <c r="A68" s="86"/>
      <c r="B68" s="86"/>
    </row>
    <row r="69" spans="1:2" ht="15.75" customHeight="1" x14ac:dyDescent="0.25">
      <c r="A69" s="86"/>
      <c r="B69" s="86"/>
    </row>
    <row r="70" spans="1:2" ht="15.75" customHeight="1" x14ac:dyDescent="0.25">
      <c r="A70" s="86"/>
      <c r="B70" s="86"/>
    </row>
    <row r="71" spans="1:2" ht="15.75" customHeight="1" x14ac:dyDescent="0.25">
      <c r="A71" s="86"/>
      <c r="B71" s="86"/>
    </row>
    <row r="72" spans="1:2" ht="15.75" customHeight="1" x14ac:dyDescent="0.25">
      <c r="A72" s="86"/>
      <c r="B72" s="86"/>
    </row>
    <row r="73" spans="1:2" ht="15.75" customHeight="1" x14ac:dyDescent="0.25">
      <c r="A73" s="86"/>
      <c r="B73" s="86"/>
    </row>
    <row r="74" spans="1:2" ht="15.75" customHeight="1" x14ac:dyDescent="0.25">
      <c r="A74" s="86"/>
      <c r="B74" s="86"/>
    </row>
    <row r="75" spans="1:2" ht="15.75" customHeight="1" x14ac:dyDescent="0.25">
      <c r="A75" s="86"/>
      <c r="B75" s="86"/>
    </row>
    <row r="76" spans="1:2" ht="15.75" customHeight="1" x14ac:dyDescent="0.25">
      <c r="A76" s="86"/>
      <c r="B76" s="86"/>
    </row>
    <row r="77" spans="1:2" ht="15.75" customHeight="1" x14ac:dyDescent="0.25">
      <c r="A77" s="86"/>
      <c r="B77" s="86"/>
    </row>
    <row r="78" spans="1:2" ht="15.75" customHeight="1" x14ac:dyDescent="0.25">
      <c r="A78" s="86"/>
      <c r="B78" s="86"/>
    </row>
    <row r="79" spans="1:2" ht="15.75" customHeight="1" x14ac:dyDescent="0.25">
      <c r="A79" s="86"/>
      <c r="B79" s="86"/>
    </row>
    <row r="80" spans="1:2" ht="15.75" customHeight="1" x14ac:dyDescent="0.25">
      <c r="A80" s="86"/>
      <c r="B80" s="86"/>
    </row>
    <row r="81" spans="1:2" ht="15.75" customHeight="1" x14ac:dyDescent="0.25">
      <c r="A81" s="86"/>
      <c r="B81" s="86"/>
    </row>
    <row r="82" spans="1:2" ht="15.75" customHeight="1" x14ac:dyDescent="0.25">
      <c r="A82" s="86"/>
      <c r="B82" s="86"/>
    </row>
    <row r="83" spans="1:2" ht="15.75" customHeight="1" x14ac:dyDescent="0.25">
      <c r="A83" s="86"/>
      <c r="B83" s="86"/>
    </row>
    <row r="84" spans="1:2" ht="15.75" customHeight="1" x14ac:dyDescent="0.25">
      <c r="A84" s="86"/>
      <c r="B84" s="86"/>
    </row>
    <row r="85" spans="1:2" ht="15.75" customHeight="1" x14ac:dyDescent="0.25">
      <c r="A85" s="86"/>
      <c r="B85" s="86"/>
    </row>
    <row r="86" spans="1:2" ht="15.75" customHeight="1" x14ac:dyDescent="0.25">
      <c r="A86" s="86"/>
      <c r="B86" s="86"/>
    </row>
    <row r="87" spans="1:2" ht="15.75" customHeight="1" x14ac:dyDescent="0.25">
      <c r="A87" s="86"/>
      <c r="B87" s="86"/>
    </row>
    <row r="88" spans="1:2" ht="15.75" customHeight="1" x14ac:dyDescent="0.25">
      <c r="A88" s="86"/>
      <c r="B88" s="86"/>
    </row>
    <row r="89" spans="1:2" ht="15.75" customHeight="1" x14ac:dyDescent="0.25">
      <c r="A89" s="86"/>
      <c r="B89" s="86"/>
    </row>
    <row r="90" spans="1:2" ht="15.75" customHeight="1" x14ac:dyDescent="0.25">
      <c r="A90" s="86"/>
      <c r="B90" s="86"/>
    </row>
    <row r="91" spans="1:2" ht="15.75" customHeight="1" x14ac:dyDescent="0.25">
      <c r="A91" s="86"/>
      <c r="B91" s="86"/>
    </row>
    <row r="92" spans="1:2" ht="15.75" customHeight="1" x14ac:dyDescent="0.25">
      <c r="A92" s="86"/>
      <c r="B92" s="86"/>
    </row>
    <row r="93" spans="1:2" ht="15.75" customHeight="1" x14ac:dyDescent="0.25">
      <c r="A93" s="86"/>
      <c r="B93" s="86"/>
    </row>
    <row r="94" spans="1:2" ht="15.75" customHeight="1" x14ac:dyDescent="0.25">
      <c r="A94" s="86"/>
      <c r="B94" s="86"/>
    </row>
    <row r="95" spans="1:2" ht="15.75" customHeight="1" x14ac:dyDescent="0.25">
      <c r="A95" s="86"/>
      <c r="B95" s="86"/>
    </row>
    <row r="96" spans="1:2" ht="15.75" customHeight="1" x14ac:dyDescent="0.25">
      <c r="A96" s="86"/>
      <c r="B96" s="86"/>
    </row>
    <row r="97" spans="1:2" ht="15.75" customHeight="1" x14ac:dyDescent="0.25">
      <c r="A97" s="86"/>
      <c r="B97" s="86"/>
    </row>
    <row r="98" spans="1:2" ht="15.75" customHeight="1" x14ac:dyDescent="0.25">
      <c r="A98" s="86"/>
      <c r="B98" s="86"/>
    </row>
    <row r="99" spans="1:2" ht="15.75" customHeight="1" x14ac:dyDescent="0.25">
      <c r="A99" s="86"/>
      <c r="B99" s="86"/>
    </row>
    <row r="100" spans="1:2" ht="15.75" customHeight="1" x14ac:dyDescent="0.25">
      <c r="A100" s="86"/>
      <c r="B100" s="86"/>
    </row>
    <row r="101" spans="1:2" ht="15.75" customHeight="1" x14ac:dyDescent="0.25">
      <c r="A101" s="86"/>
      <c r="B101" s="86"/>
    </row>
    <row r="102" spans="1:2" ht="15.75" customHeight="1" x14ac:dyDescent="0.25">
      <c r="A102" s="86"/>
      <c r="B102" s="86"/>
    </row>
    <row r="103" spans="1:2" ht="15.75" customHeight="1" x14ac:dyDescent="0.25">
      <c r="A103" s="86"/>
      <c r="B103" s="86"/>
    </row>
    <row r="104" spans="1:2" ht="15.75" customHeight="1" x14ac:dyDescent="0.25">
      <c r="A104" s="86"/>
      <c r="B104" s="86"/>
    </row>
    <row r="105" spans="1:2" ht="15.75" customHeight="1" x14ac:dyDescent="0.25">
      <c r="A105" s="86"/>
      <c r="B105" s="86"/>
    </row>
    <row r="106" spans="1:2" ht="15.75" customHeight="1" x14ac:dyDescent="0.25">
      <c r="A106" s="86"/>
      <c r="B106" s="86"/>
    </row>
    <row r="107" spans="1:2" ht="15.75" customHeight="1" x14ac:dyDescent="0.25">
      <c r="A107" s="86"/>
      <c r="B107" s="86"/>
    </row>
    <row r="108" spans="1:2" ht="15.75" customHeight="1" x14ac:dyDescent="0.25">
      <c r="A108" s="86"/>
      <c r="B108" s="86"/>
    </row>
    <row r="109" spans="1:2" ht="15.75" customHeight="1" x14ac:dyDescent="0.25">
      <c r="A109" s="86"/>
      <c r="B109" s="86"/>
    </row>
    <row r="110" spans="1:2" ht="15.75" customHeight="1" x14ac:dyDescent="0.25">
      <c r="A110" s="86"/>
      <c r="B110" s="86"/>
    </row>
    <row r="111" spans="1:2" ht="15.75" customHeight="1" x14ac:dyDescent="0.25">
      <c r="A111" s="86"/>
      <c r="B111" s="86"/>
    </row>
    <row r="112" spans="1:2" ht="15.75" customHeight="1" x14ac:dyDescent="0.25">
      <c r="A112" s="86"/>
      <c r="B112" s="86"/>
    </row>
    <row r="113" spans="1:2" ht="15.75" customHeight="1" x14ac:dyDescent="0.25">
      <c r="A113" s="86"/>
      <c r="B113" s="86"/>
    </row>
    <row r="114" spans="1:2" ht="15.75" customHeight="1" x14ac:dyDescent="0.25">
      <c r="A114" s="86"/>
      <c r="B114" s="86"/>
    </row>
    <row r="115" spans="1:2" ht="15.75" customHeight="1" x14ac:dyDescent="0.25">
      <c r="A115" s="86"/>
      <c r="B115" s="86"/>
    </row>
    <row r="116" spans="1:2" ht="15.75" customHeight="1" x14ac:dyDescent="0.25">
      <c r="A116" s="86"/>
      <c r="B116" s="86"/>
    </row>
    <row r="117" spans="1:2" ht="15.75" customHeight="1" x14ac:dyDescent="0.25">
      <c r="A117" s="86"/>
      <c r="B117" s="86"/>
    </row>
    <row r="118" spans="1:2" ht="15.75" customHeight="1" x14ac:dyDescent="0.25">
      <c r="A118" s="86"/>
      <c r="B118" s="86"/>
    </row>
    <row r="119" spans="1:2" ht="15.75" customHeight="1" x14ac:dyDescent="0.25">
      <c r="A119" s="86"/>
      <c r="B119" s="86"/>
    </row>
    <row r="120" spans="1:2" ht="15.75" customHeight="1" x14ac:dyDescent="0.25">
      <c r="A120" s="86"/>
      <c r="B120" s="86"/>
    </row>
    <row r="121" spans="1:2" ht="15.75" customHeight="1" x14ac:dyDescent="0.25">
      <c r="A121" s="86"/>
      <c r="B121" s="86"/>
    </row>
    <row r="122" spans="1:2" ht="15.75" customHeight="1" x14ac:dyDescent="0.25">
      <c r="A122" s="86"/>
      <c r="B122" s="86"/>
    </row>
    <row r="123" spans="1:2" ht="15.75" customHeight="1" x14ac:dyDescent="0.25">
      <c r="A123" s="86"/>
      <c r="B123" s="86"/>
    </row>
    <row r="124" spans="1:2" ht="15.75" customHeight="1" x14ac:dyDescent="0.25">
      <c r="A124" s="86"/>
      <c r="B124" s="86"/>
    </row>
    <row r="125" spans="1:2" ht="15.75" customHeight="1" x14ac:dyDescent="0.25">
      <c r="A125" s="86"/>
      <c r="B125" s="86"/>
    </row>
    <row r="126" spans="1:2" ht="15.75" customHeight="1" x14ac:dyDescent="0.25">
      <c r="A126" s="86"/>
      <c r="B126" s="86"/>
    </row>
    <row r="127" spans="1:2" ht="15.75" customHeight="1" x14ac:dyDescent="0.25">
      <c r="A127" s="86"/>
      <c r="B127" s="86"/>
    </row>
    <row r="128" spans="1:2" ht="15.75" customHeight="1" x14ac:dyDescent="0.25">
      <c r="A128" s="86"/>
      <c r="B128" s="86"/>
    </row>
    <row r="129" spans="1:2" ht="15.75" customHeight="1" x14ac:dyDescent="0.25">
      <c r="A129" s="86"/>
      <c r="B129" s="86"/>
    </row>
    <row r="130" spans="1:2" ht="15.75" customHeight="1" x14ac:dyDescent="0.25">
      <c r="A130" s="86"/>
      <c r="B130" s="86"/>
    </row>
    <row r="131" spans="1:2" ht="15.75" customHeight="1" x14ac:dyDescent="0.25">
      <c r="A131" s="86"/>
      <c r="B131" s="86"/>
    </row>
    <row r="132" spans="1:2" ht="15.75" customHeight="1" x14ac:dyDescent="0.25">
      <c r="A132" s="86"/>
      <c r="B132" s="86"/>
    </row>
    <row r="133" spans="1:2" ht="15.75" customHeight="1" x14ac:dyDescent="0.25">
      <c r="A133" s="86"/>
      <c r="B133" s="86"/>
    </row>
    <row r="134" spans="1:2" ht="15.75" customHeight="1" x14ac:dyDescent="0.25">
      <c r="A134" s="86"/>
      <c r="B134" s="86"/>
    </row>
    <row r="135" spans="1:2" ht="15.75" customHeight="1" x14ac:dyDescent="0.25">
      <c r="A135" s="86"/>
      <c r="B135" s="86"/>
    </row>
    <row r="136" spans="1:2" ht="15.75" customHeight="1" x14ac:dyDescent="0.25">
      <c r="A136" s="86"/>
      <c r="B136" s="86"/>
    </row>
    <row r="137" spans="1:2" ht="15.75" customHeight="1" x14ac:dyDescent="0.25">
      <c r="A137" s="86"/>
      <c r="B137" s="86"/>
    </row>
    <row r="138" spans="1:2" ht="15.75" customHeight="1" x14ac:dyDescent="0.25">
      <c r="A138" s="86"/>
      <c r="B138" s="86"/>
    </row>
    <row r="139" spans="1:2" ht="15.75" customHeight="1" x14ac:dyDescent="0.25">
      <c r="A139" s="86"/>
      <c r="B139" s="86"/>
    </row>
    <row r="140" spans="1:2" ht="15.75" customHeight="1" x14ac:dyDescent="0.25">
      <c r="A140" s="86"/>
      <c r="B140" s="86"/>
    </row>
    <row r="141" spans="1:2" ht="15.75" customHeight="1" x14ac:dyDescent="0.25">
      <c r="A141" s="86"/>
      <c r="B141" s="86"/>
    </row>
    <row r="142" spans="1:2" ht="15.75" customHeight="1" x14ac:dyDescent="0.25">
      <c r="A142" s="86"/>
      <c r="B142" s="86"/>
    </row>
    <row r="143" spans="1:2" ht="15.75" customHeight="1" x14ac:dyDescent="0.25">
      <c r="A143" s="86"/>
      <c r="B143" s="86"/>
    </row>
    <row r="144" spans="1:2" ht="15.75" customHeight="1" x14ac:dyDescent="0.25">
      <c r="A144" s="86"/>
      <c r="B144" s="86"/>
    </row>
    <row r="145" spans="1:2" ht="15.75" customHeight="1" x14ac:dyDescent="0.25">
      <c r="A145" s="86"/>
      <c r="B145" s="86"/>
    </row>
    <row r="146" spans="1:2" ht="15.75" customHeight="1" x14ac:dyDescent="0.25">
      <c r="A146" s="86"/>
      <c r="B146" s="86"/>
    </row>
    <row r="147" spans="1:2" ht="15.75" customHeight="1" x14ac:dyDescent="0.25">
      <c r="A147" s="86"/>
      <c r="B147" s="86"/>
    </row>
    <row r="148" spans="1:2" ht="15.75" customHeight="1" x14ac:dyDescent="0.25">
      <c r="A148" s="86"/>
      <c r="B148" s="86"/>
    </row>
    <row r="149" spans="1:2" ht="15.75" customHeight="1" x14ac:dyDescent="0.25">
      <c r="A149" s="86"/>
      <c r="B149" s="86"/>
    </row>
    <row r="150" spans="1:2" ht="15.75" customHeight="1" x14ac:dyDescent="0.25">
      <c r="A150" s="86"/>
      <c r="B150" s="86"/>
    </row>
    <row r="151" spans="1:2" ht="15.75" customHeight="1" x14ac:dyDescent="0.25">
      <c r="A151" s="86"/>
      <c r="B151" s="86"/>
    </row>
    <row r="152" spans="1:2" ht="15.75" customHeight="1" x14ac:dyDescent="0.25">
      <c r="A152" s="86"/>
      <c r="B152" s="86"/>
    </row>
    <row r="153" spans="1:2" ht="15.75" customHeight="1" x14ac:dyDescent="0.25">
      <c r="A153" s="86"/>
      <c r="B153" s="86"/>
    </row>
    <row r="154" spans="1:2" ht="15.75" customHeight="1" x14ac:dyDescent="0.25">
      <c r="A154" s="86"/>
      <c r="B154" s="86"/>
    </row>
    <row r="155" spans="1:2" ht="15.75" customHeight="1" x14ac:dyDescent="0.25">
      <c r="A155" s="86"/>
      <c r="B155" s="86"/>
    </row>
    <row r="156" spans="1:2" ht="15.75" customHeight="1" x14ac:dyDescent="0.25">
      <c r="A156" s="86"/>
      <c r="B156" s="86"/>
    </row>
    <row r="157" spans="1:2" ht="15.75" customHeight="1" x14ac:dyDescent="0.25">
      <c r="A157" s="86"/>
      <c r="B157" s="86"/>
    </row>
    <row r="158" spans="1:2" ht="15.75" customHeight="1" x14ac:dyDescent="0.25">
      <c r="A158" s="86"/>
      <c r="B158" s="86"/>
    </row>
    <row r="159" spans="1:2" ht="15.75" customHeight="1" x14ac:dyDescent="0.25">
      <c r="A159" s="86"/>
      <c r="B159" s="86"/>
    </row>
    <row r="160" spans="1:2" ht="15.75" customHeight="1" x14ac:dyDescent="0.25">
      <c r="A160" s="86"/>
      <c r="B160" s="86"/>
    </row>
    <row r="161" spans="1:2" ht="15.75" customHeight="1" x14ac:dyDescent="0.25">
      <c r="A161" s="86"/>
      <c r="B161" s="86"/>
    </row>
    <row r="162" spans="1:2" ht="15.75" customHeight="1" x14ac:dyDescent="0.25">
      <c r="A162" s="86"/>
      <c r="B162" s="86"/>
    </row>
    <row r="163" spans="1:2" ht="15.75" customHeight="1" x14ac:dyDescent="0.25">
      <c r="A163" s="86"/>
      <c r="B163" s="86"/>
    </row>
    <row r="164" spans="1:2" ht="15.75" customHeight="1" x14ac:dyDescent="0.25">
      <c r="A164" s="86"/>
      <c r="B164" s="86"/>
    </row>
    <row r="165" spans="1:2" ht="15.75" customHeight="1" x14ac:dyDescent="0.25">
      <c r="A165" s="86"/>
      <c r="B165" s="86"/>
    </row>
    <row r="166" spans="1:2" ht="15.75" customHeight="1" x14ac:dyDescent="0.25">
      <c r="A166" s="86"/>
      <c r="B166" s="86"/>
    </row>
    <row r="167" spans="1:2" ht="15.75" customHeight="1" x14ac:dyDescent="0.25">
      <c r="A167" s="86"/>
      <c r="B167" s="86"/>
    </row>
    <row r="168" spans="1:2" ht="15.75" customHeight="1" x14ac:dyDescent="0.25">
      <c r="A168" s="86"/>
      <c r="B168" s="86"/>
    </row>
    <row r="169" spans="1:2" ht="15.75" customHeight="1" x14ac:dyDescent="0.25">
      <c r="A169" s="86"/>
      <c r="B169" s="86"/>
    </row>
    <row r="170" spans="1:2" ht="15.75" customHeight="1" x14ac:dyDescent="0.25">
      <c r="A170" s="86"/>
      <c r="B170" s="86"/>
    </row>
    <row r="171" spans="1:2" ht="15.75" customHeight="1" x14ac:dyDescent="0.25">
      <c r="A171" s="86"/>
      <c r="B171" s="86"/>
    </row>
    <row r="172" spans="1:2" ht="15.75" customHeight="1" x14ac:dyDescent="0.25">
      <c r="A172" s="86"/>
      <c r="B172" s="86"/>
    </row>
    <row r="173" spans="1:2" ht="15.75" customHeight="1" x14ac:dyDescent="0.25">
      <c r="A173" s="86"/>
      <c r="B173" s="86"/>
    </row>
    <row r="174" spans="1:2" ht="15.75" customHeight="1" x14ac:dyDescent="0.25">
      <c r="A174" s="86"/>
      <c r="B174" s="86"/>
    </row>
    <row r="175" spans="1:2" ht="15.75" customHeight="1" x14ac:dyDescent="0.25">
      <c r="A175" s="86"/>
      <c r="B175" s="86"/>
    </row>
    <row r="176" spans="1:2" ht="15.75" customHeight="1" x14ac:dyDescent="0.25">
      <c r="A176" s="86"/>
      <c r="B176" s="86"/>
    </row>
    <row r="177" spans="1:2" ht="15.75" customHeight="1" x14ac:dyDescent="0.25">
      <c r="A177" s="86"/>
      <c r="B177" s="86"/>
    </row>
    <row r="178" spans="1:2" ht="15.75" customHeight="1" x14ac:dyDescent="0.25">
      <c r="A178" s="86"/>
      <c r="B178" s="86"/>
    </row>
    <row r="179" spans="1:2" ht="15.75" customHeight="1" x14ac:dyDescent="0.25">
      <c r="A179" s="86"/>
      <c r="B179" s="86"/>
    </row>
    <row r="180" spans="1:2" ht="15.75" customHeight="1" x14ac:dyDescent="0.25">
      <c r="A180" s="86"/>
      <c r="B180" s="86"/>
    </row>
    <row r="181" spans="1:2" ht="15.75" customHeight="1" x14ac:dyDescent="0.25">
      <c r="A181" s="86"/>
      <c r="B181" s="86"/>
    </row>
    <row r="182" spans="1:2" ht="15.75" customHeight="1" x14ac:dyDescent="0.25">
      <c r="A182" s="86"/>
      <c r="B182" s="86"/>
    </row>
    <row r="183" spans="1:2" ht="15.75" customHeight="1" x14ac:dyDescent="0.25">
      <c r="A183" s="86"/>
      <c r="B183" s="86"/>
    </row>
    <row r="184" spans="1:2" ht="15.75" customHeight="1" x14ac:dyDescent="0.25">
      <c r="A184" s="86"/>
      <c r="B184" s="86"/>
    </row>
    <row r="185" spans="1:2" ht="15.75" customHeight="1" x14ac:dyDescent="0.25">
      <c r="A185" s="86"/>
      <c r="B185" s="86"/>
    </row>
    <row r="186" spans="1:2" ht="15.75" customHeight="1" x14ac:dyDescent="0.25">
      <c r="A186" s="86"/>
      <c r="B186" s="86"/>
    </row>
    <row r="187" spans="1:2" ht="15.75" customHeight="1" x14ac:dyDescent="0.25">
      <c r="A187" s="86"/>
      <c r="B187" s="86"/>
    </row>
    <row r="188" spans="1:2" ht="15.75" customHeight="1" x14ac:dyDescent="0.25">
      <c r="A188" s="86"/>
      <c r="B188" s="86"/>
    </row>
    <row r="189" spans="1:2" ht="15.75" customHeight="1" x14ac:dyDescent="0.25">
      <c r="A189" s="86"/>
      <c r="B189" s="86"/>
    </row>
    <row r="190" spans="1:2" ht="15.75" customHeight="1" x14ac:dyDescent="0.25">
      <c r="A190" s="86"/>
      <c r="B190" s="86"/>
    </row>
    <row r="191" spans="1:2" ht="15.75" customHeight="1" x14ac:dyDescent="0.25">
      <c r="A191" s="86"/>
      <c r="B191" s="86"/>
    </row>
    <row r="192" spans="1:2" ht="15.75" customHeight="1" x14ac:dyDescent="0.25">
      <c r="A192" s="86"/>
      <c r="B192" s="86"/>
    </row>
    <row r="193" spans="1:2" ht="15.75" customHeight="1" x14ac:dyDescent="0.25">
      <c r="A193" s="86"/>
      <c r="B193" s="86"/>
    </row>
    <row r="194" spans="1:2" ht="15.75" customHeight="1" x14ac:dyDescent="0.25">
      <c r="A194" s="86"/>
      <c r="B194" s="86"/>
    </row>
    <row r="195" spans="1:2" ht="15.75" customHeight="1" x14ac:dyDescent="0.25">
      <c r="A195" s="86"/>
      <c r="B195" s="86"/>
    </row>
    <row r="196" spans="1:2" ht="15.75" customHeight="1" x14ac:dyDescent="0.25">
      <c r="A196" s="86"/>
      <c r="B196" s="86"/>
    </row>
    <row r="197" spans="1:2" ht="15.75" customHeight="1" x14ac:dyDescent="0.25">
      <c r="A197" s="86"/>
      <c r="B197" s="86"/>
    </row>
    <row r="198" spans="1:2" ht="15.75" customHeight="1" x14ac:dyDescent="0.25">
      <c r="A198" s="86"/>
      <c r="B198" s="86"/>
    </row>
    <row r="199" spans="1:2" ht="15.75" customHeight="1" x14ac:dyDescent="0.25">
      <c r="A199" s="86"/>
      <c r="B199" s="86"/>
    </row>
    <row r="200" spans="1:2" ht="15.75" customHeight="1" x14ac:dyDescent="0.25">
      <c r="A200" s="86"/>
      <c r="B200" s="86"/>
    </row>
    <row r="201" spans="1:2" ht="15.75" customHeight="1" x14ac:dyDescent="0.25">
      <c r="A201" s="86"/>
      <c r="B201" s="86"/>
    </row>
    <row r="202" spans="1:2" ht="15.75" customHeight="1" x14ac:dyDescent="0.25">
      <c r="A202" s="86"/>
      <c r="B202" s="86"/>
    </row>
    <row r="203" spans="1:2" ht="15.75" customHeight="1" x14ac:dyDescent="0.25">
      <c r="A203" s="86"/>
      <c r="B203" s="86"/>
    </row>
    <row r="204" spans="1:2" ht="15.75" customHeight="1" x14ac:dyDescent="0.25">
      <c r="A204" s="86"/>
      <c r="B204" s="86"/>
    </row>
    <row r="205" spans="1:2" ht="15.75" customHeight="1" x14ac:dyDescent="0.25">
      <c r="A205" s="86"/>
      <c r="B205" s="86"/>
    </row>
    <row r="206" spans="1:2" ht="15.75" customHeight="1" x14ac:dyDescent="0.25">
      <c r="A206" s="86"/>
      <c r="B206" s="86"/>
    </row>
    <row r="207" spans="1:2" ht="15.75" customHeight="1" x14ac:dyDescent="0.25">
      <c r="A207" s="86"/>
      <c r="B207" s="86"/>
    </row>
    <row r="208" spans="1:2" ht="15.75" customHeight="1" x14ac:dyDescent="0.25">
      <c r="A208" s="86"/>
      <c r="B208" s="86"/>
    </row>
    <row r="209" spans="1:2" ht="15.75" customHeight="1" x14ac:dyDescent="0.25">
      <c r="A209" s="86"/>
      <c r="B209" s="86"/>
    </row>
    <row r="210" spans="1:2" ht="15.75" customHeight="1" x14ac:dyDescent="0.25">
      <c r="A210" s="86"/>
      <c r="B210" s="86"/>
    </row>
    <row r="211" spans="1:2" ht="15.75" customHeight="1" x14ac:dyDescent="0.25">
      <c r="A211" s="86"/>
      <c r="B211" s="86"/>
    </row>
    <row r="212" spans="1:2" ht="15.75" customHeight="1" x14ac:dyDescent="0.25">
      <c r="A212" s="86"/>
      <c r="B212" s="86"/>
    </row>
    <row r="213" spans="1:2" ht="15.75" customHeight="1" x14ac:dyDescent="0.25">
      <c r="A213" s="86"/>
      <c r="B213" s="86"/>
    </row>
    <row r="214" spans="1:2" ht="15.75" customHeight="1" x14ac:dyDescent="0.25">
      <c r="A214" s="86"/>
      <c r="B214" s="86"/>
    </row>
    <row r="215" spans="1:2" ht="15.75" customHeight="1" x14ac:dyDescent="0.25">
      <c r="A215" s="86"/>
      <c r="B215" s="86"/>
    </row>
    <row r="216" spans="1:2" ht="15.75" customHeight="1" x14ac:dyDescent="0.25">
      <c r="A216" s="86"/>
      <c r="B216" s="86"/>
    </row>
    <row r="217" spans="1:2" ht="15.75" customHeight="1" x14ac:dyDescent="0.25">
      <c r="A217" s="86"/>
      <c r="B217" s="86"/>
    </row>
    <row r="218" spans="1:2" ht="15.75" customHeight="1" x14ac:dyDescent="0.25">
      <c r="A218" s="86"/>
      <c r="B218" s="86"/>
    </row>
    <row r="219" spans="1:2" ht="15.75" customHeight="1" x14ac:dyDescent="0.25">
      <c r="A219" s="86"/>
      <c r="B219" s="86"/>
    </row>
    <row r="220" spans="1:2" ht="15.75" customHeight="1" x14ac:dyDescent="0.25">
      <c r="A220" s="86"/>
      <c r="B220" s="86"/>
    </row>
    <row r="221" spans="1:2" ht="15.75" customHeight="1" x14ac:dyDescent="0.25">
      <c r="A221" s="86"/>
      <c r="B221" s="86"/>
    </row>
    <row r="222" spans="1:2" ht="15.75" customHeight="1" x14ac:dyDescent="0.25">
      <c r="A222" s="86"/>
      <c r="B222" s="86"/>
    </row>
    <row r="223" spans="1:2" ht="15.75" customHeight="1" x14ac:dyDescent="0.25">
      <c r="A223" s="86"/>
      <c r="B223" s="86"/>
    </row>
    <row r="224" spans="1:2" ht="15.75" customHeight="1" x14ac:dyDescent="0.25">
      <c r="A224" s="86"/>
      <c r="B224" s="86"/>
    </row>
    <row r="225" spans="1:2" ht="15.75" customHeight="1" x14ac:dyDescent="0.25">
      <c r="A225" s="86"/>
      <c r="B225" s="86"/>
    </row>
    <row r="226" spans="1:2" ht="15.75" customHeight="1" x14ac:dyDescent="0.25">
      <c r="A226" s="86"/>
      <c r="B226" s="86"/>
    </row>
    <row r="227" spans="1:2" ht="15.75" customHeight="1" x14ac:dyDescent="0.25">
      <c r="A227" s="86"/>
      <c r="B227" s="86"/>
    </row>
    <row r="228" spans="1:2" ht="15.75" customHeight="1" x14ac:dyDescent="0.25">
      <c r="A228" s="86"/>
      <c r="B228" s="86"/>
    </row>
    <row r="229" spans="1:2" ht="15.75" customHeight="1" x14ac:dyDescent="0.25">
      <c r="A229" s="86"/>
      <c r="B229" s="86"/>
    </row>
    <row r="230" spans="1:2" ht="15.75" customHeight="1" x14ac:dyDescent="0.25">
      <c r="A230" s="86"/>
      <c r="B230" s="86"/>
    </row>
    <row r="231" spans="1:2" ht="15.75" customHeight="1" x14ac:dyDescent="0.25">
      <c r="A231" s="86"/>
      <c r="B231" s="86"/>
    </row>
    <row r="232" spans="1:2" ht="15.75" customHeight="1" x14ac:dyDescent="0.25">
      <c r="A232" s="86"/>
      <c r="B232" s="86"/>
    </row>
    <row r="233" spans="1:2" ht="15.75" customHeight="1" x14ac:dyDescent="0.25">
      <c r="A233" s="86"/>
      <c r="B233" s="86"/>
    </row>
    <row r="234" spans="1:2" ht="15.75" customHeight="1" x14ac:dyDescent="0.25">
      <c r="A234" s="86"/>
      <c r="B234" s="86"/>
    </row>
    <row r="235" spans="1:2" ht="15.75" customHeight="1" x14ac:dyDescent="0.25">
      <c r="A235" s="86"/>
      <c r="B235" s="86"/>
    </row>
    <row r="236" spans="1:2" ht="15.75" customHeight="1" x14ac:dyDescent="0.25">
      <c r="A236" s="86"/>
      <c r="B236" s="86"/>
    </row>
    <row r="237" spans="1:2" ht="15.75" customHeight="1" x14ac:dyDescent="0.25">
      <c r="A237" s="86"/>
      <c r="B237" s="86"/>
    </row>
    <row r="238" spans="1:2" ht="15.75" customHeight="1" x14ac:dyDescent="0.25">
      <c r="A238" s="86"/>
      <c r="B238" s="86"/>
    </row>
    <row r="239" spans="1:2" ht="15.75" customHeight="1" x14ac:dyDescent="0.25">
      <c r="A239" s="86"/>
      <c r="B239" s="86"/>
    </row>
    <row r="240" spans="1:2" ht="15.75" customHeight="1" x14ac:dyDescent="0.25">
      <c r="A240" s="86"/>
      <c r="B240" s="86"/>
    </row>
    <row r="241" spans="1:2" ht="15.75" customHeight="1" x14ac:dyDescent="0.25">
      <c r="A241" s="86"/>
      <c r="B241" s="86"/>
    </row>
    <row r="242" spans="1:2" ht="15.75" customHeight="1" x14ac:dyDescent="0.25">
      <c r="A242" s="86"/>
      <c r="B242" s="86"/>
    </row>
    <row r="243" spans="1:2" ht="15.75" customHeight="1" x14ac:dyDescent="0.25">
      <c r="A243" s="86"/>
      <c r="B243" s="86"/>
    </row>
    <row r="244" spans="1:2" ht="15.75" customHeight="1" x14ac:dyDescent="0.25">
      <c r="A244" s="86"/>
      <c r="B244" s="86"/>
    </row>
    <row r="245" spans="1:2" ht="15.75" customHeight="1" x14ac:dyDescent="0.25">
      <c r="A245" s="86"/>
      <c r="B245" s="86"/>
    </row>
    <row r="246" spans="1:2" ht="15.75" customHeight="1" x14ac:dyDescent="0.25">
      <c r="A246" s="86"/>
      <c r="B246" s="86"/>
    </row>
    <row r="247" spans="1:2" ht="15.75" customHeight="1" x14ac:dyDescent="0.25">
      <c r="A247" s="86"/>
      <c r="B247" s="86"/>
    </row>
    <row r="248" spans="1:2" ht="15.75" customHeight="1" x14ac:dyDescent="0.25">
      <c r="A248" s="86"/>
      <c r="B248" s="86"/>
    </row>
    <row r="249" spans="1:2" ht="15.75" customHeight="1" x14ac:dyDescent="0.25">
      <c r="A249" s="86"/>
      <c r="B249" s="86"/>
    </row>
    <row r="250" spans="1:2" ht="15.75" customHeight="1" x14ac:dyDescent="0.25">
      <c r="A250" s="86"/>
      <c r="B250" s="86"/>
    </row>
    <row r="251" spans="1:2" ht="15.75" customHeight="1" x14ac:dyDescent="0.25">
      <c r="A251" s="86"/>
      <c r="B251" s="86"/>
    </row>
    <row r="252" spans="1:2" ht="15.75" customHeight="1" x14ac:dyDescent="0.25">
      <c r="A252" s="86"/>
      <c r="B252" s="86"/>
    </row>
    <row r="253" spans="1:2" ht="15.75" customHeight="1" x14ac:dyDescent="0.25">
      <c r="A253" s="86"/>
      <c r="B253" s="86"/>
    </row>
    <row r="254" spans="1:2" ht="15.75" customHeight="1" x14ac:dyDescent="0.25">
      <c r="A254" s="86"/>
      <c r="B254" s="86"/>
    </row>
    <row r="255" spans="1:2" ht="15.75" customHeight="1" x14ac:dyDescent="0.25">
      <c r="A255" s="86"/>
      <c r="B255" s="86"/>
    </row>
    <row r="256" spans="1:2" ht="15.75" customHeight="1" x14ac:dyDescent="0.25">
      <c r="A256" s="86"/>
      <c r="B256" s="86"/>
    </row>
    <row r="257" spans="1:2" ht="15.75" customHeight="1" x14ac:dyDescent="0.25">
      <c r="A257" s="86"/>
      <c r="B257" s="86"/>
    </row>
    <row r="258" spans="1:2" ht="15.75" customHeight="1" x14ac:dyDescent="0.25">
      <c r="A258" s="86"/>
      <c r="B258" s="86"/>
    </row>
    <row r="259" spans="1:2" ht="15.75" customHeight="1" x14ac:dyDescent="0.25">
      <c r="A259" s="86"/>
      <c r="B259" s="86"/>
    </row>
    <row r="260" spans="1:2" ht="15.75" customHeight="1" x14ac:dyDescent="0.25">
      <c r="A260" s="86"/>
      <c r="B260" s="86"/>
    </row>
    <row r="261" spans="1:2" ht="15.75" customHeight="1" x14ac:dyDescent="0.25">
      <c r="A261" s="86"/>
      <c r="B261" s="86"/>
    </row>
    <row r="262" spans="1:2" ht="15.75" customHeight="1" x14ac:dyDescent="0.25">
      <c r="A262" s="86"/>
      <c r="B262" s="86"/>
    </row>
    <row r="263" spans="1:2" ht="15.75" customHeight="1" x14ac:dyDescent="0.25">
      <c r="A263" s="86"/>
      <c r="B263" s="86"/>
    </row>
    <row r="264" spans="1:2" ht="15.75" customHeight="1" x14ac:dyDescent="0.25">
      <c r="A264" s="86"/>
      <c r="B264" s="86"/>
    </row>
    <row r="265" spans="1:2" ht="15.75" customHeight="1" x14ac:dyDescent="0.25">
      <c r="A265" s="86"/>
      <c r="B265" s="86"/>
    </row>
    <row r="266" spans="1:2" ht="15.75" customHeight="1" x14ac:dyDescent="0.25">
      <c r="A266" s="86"/>
      <c r="B266" s="86"/>
    </row>
    <row r="267" spans="1:2" ht="15.75" customHeight="1" x14ac:dyDescent="0.25">
      <c r="A267" s="86"/>
      <c r="B267" s="86"/>
    </row>
    <row r="268" spans="1:2" ht="15.75" customHeight="1" x14ac:dyDescent="0.25">
      <c r="A268" s="86"/>
      <c r="B268" s="86"/>
    </row>
    <row r="269" spans="1:2" ht="15.75" customHeight="1" x14ac:dyDescent="0.25">
      <c r="A269" s="86"/>
      <c r="B269" s="86"/>
    </row>
    <row r="270" spans="1:2" ht="15.75" customHeight="1" x14ac:dyDescent="0.25">
      <c r="A270" s="86"/>
      <c r="B270" s="86"/>
    </row>
    <row r="271" spans="1:2" ht="15.75" customHeight="1" x14ac:dyDescent="0.25">
      <c r="A271" s="86"/>
      <c r="B271" s="86"/>
    </row>
    <row r="272" spans="1:2" ht="15.75" customHeight="1" x14ac:dyDescent="0.25">
      <c r="A272" s="86"/>
      <c r="B272" s="86"/>
    </row>
    <row r="273" spans="1:2" ht="15.75" customHeight="1" x14ac:dyDescent="0.25">
      <c r="A273" s="86"/>
      <c r="B273" s="86"/>
    </row>
    <row r="274" spans="1:2" ht="15.75" customHeight="1" x14ac:dyDescent="0.25">
      <c r="A274" s="86"/>
      <c r="B274" s="86"/>
    </row>
    <row r="275" spans="1:2" ht="15.75" customHeight="1" x14ac:dyDescent="0.25">
      <c r="A275" s="86"/>
      <c r="B275" s="86"/>
    </row>
    <row r="276" spans="1:2" ht="15.75" customHeight="1" x14ac:dyDescent="0.25">
      <c r="A276" s="86"/>
      <c r="B276" s="86"/>
    </row>
    <row r="277" spans="1:2" ht="15.75" customHeight="1" x14ac:dyDescent="0.25">
      <c r="A277" s="86"/>
      <c r="B277" s="86"/>
    </row>
    <row r="278" spans="1:2" ht="15.75" customHeight="1" x14ac:dyDescent="0.25">
      <c r="A278" s="86"/>
      <c r="B278" s="86"/>
    </row>
    <row r="279" spans="1:2" ht="15.75" customHeight="1" x14ac:dyDescent="0.25">
      <c r="A279" s="86"/>
      <c r="B279" s="86"/>
    </row>
    <row r="280" spans="1:2" ht="15.75" customHeight="1" x14ac:dyDescent="0.25">
      <c r="A280" s="86"/>
      <c r="B280" s="86"/>
    </row>
    <row r="281" spans="1:2" ht="15.75" customHeight="1" x14ac:dyDescent="0.25">
      <c r="A281" s="86"/>
      <c r="B281" s="86"/>
    </row>
    <row r="282" spans="1:2" ht="15.75" customHeight="1" x14ac:dyDescent="0.25">
      <c r="A282" s="86"/>
      <c r="B282" s="86"/>
    </row>
    <row r="283" spans="1:2" ht="15.75" customHeight="1" x14ac:dyDescent="0.25">
      <c r="A283" s="86"/>
      <c r="B283" s="86"/>
    </row>
    <row r="284" spans="1:2" ht="15.75" customHeight="1" x14ac:dyDescent="0.25">
      <c r="A284" s="86"/>
      <c r="B284" s="86"/>
    </row>
    <row r="285" spans="1:2" ht="15.75" customHeight="1" x14ac:dyDescent="0.25">
      <c r="A285" s="86"/>
      <c r="B285" s="86"/>
    </row>
    <row r="286" spans="1:2" ht="15.75" customHeight="1" x14ac:dyDescent="0.25">
      <c r="A286" s="86"/>
      <c r="B286" s="86"/>
    </row>
    <row r="287" spans="1:2" ht="15.75" customHeight="1" x14ac:dyDescent="0.25">
      <c r="A287" s="86"/>
      <c r="B287" s="86"/>
    </row>
    <row r="288" spans="1:2" ht="15.75" customHeight="1" x14ac:dyDescent="0.25">
      <c r="A288" s="86"/>
      <c r="B288" s="86"/>
    </row>
    <row r="289" spans="1:2" ht="15.75" customHeight="1" x14ac:dyDescent="0.25">
      <c r="A289" s="86"/>
      <c r="B289" s="86"/>
    </row>
    <row r="290" spans="1:2" ht="15.75" customHeight="1" x14ac:dyDescent="0.25">
      <c r="A290" s="86"/>
      <c r="B290" s="86"/>
    </row>
    <row r="291" spans="1:2" ht="15.75" customHeight="1" x14ac:dyDescent="0.25">
      <c r="A291" s="86"/>
      <c r="B291" s="86"/>
    </row>
    <row r="292" spans="1:2" ht="15.75" customHeight="1" x14ac:dyDescent="0.25">
      <c r="A292" s="86"/>
      <c r="B292" s="86"/>
    </row>
    <row r="293" spans="1:2" ht="15.75" customHeight="1" x14ac:dyDescent="0.25">
      <c r="A293" s="86"/>
      <c r="B293" s="86"/>
    </row>
    <row r="294" spans="1:2" ht="15.75" customHeight="1" x14ac:dyDescent="0.25">
      <c r="A294" s="86"/>
      <c r="B294" s="86"/>
    </row>
    <row r="295" spans="1:2" ht="15.75" customHeight="1" x14ac:dyDescent="0.25">
      <c r="A295" s="86"/>
      <c r="B295" s="86"/>
    </row>
    <row r="296" spans="1:2" ht="15.75" customHeight="1" x14ac:dyDescent="0.25">
      <c r="A296" s="86"/>
      <c r="B296" s="86"/>
    </row>
    <row r="297" spans="1:2" ht="15.75" customHeight="1" x14ac:dyDescent="0.25">
      <c r="A297" s="86"/>
      <c r="B297" s="86"/>
    </row>
    <row r="298" spans="1:2" ht="15.75" customHeight="1" x14ac:dyDescent="0.25">
      <c r="A298" s="86"/>
      <c r="B298" s="86"/>
    </row>
    <row r="299" spans="1:2" ht="15.75" customHeight="1" x14ac:dyDescent="0.25">
      <c r="A299" s="86"/>
      <c r="B299" s="86"/>
    </row>
    <row r="300" spans="1:2" ht="15.75" customHeight="1" x14ac:dyDescent="0.25">
      <c r="A300" s="86"/>
      <c r="B300" s="86"/>
    </row>
    <row r="301" spans="1:2" ht="15.75" customHeight="1" x14ac:dyDescent="0.25">
      <c r="A301" s="86"/>
      <c r="B301" s="86"/>
    </row>
    <row r="302" spans="1:2" ht="15.75" customHeight="1" x14ac:dyDescent="0.25">
      <c r="A302" s="86"/>
      <c r="B302" s="86"/>
    </row>
    <row r="303" spans="1:2" ht="15.75" customHeight="1" x14ac:dyDescent="0.25">
      <c r="A303" s="86"/>
      <c r="B303" s="86"/>
    </row>
    <row r="304" spans="1:2" ht="15.75" customHeight="1" x14ac:dyDescent="0.25">
      <c r="A304" s="86"/>
      <c r="B304" s="86"/>
    </row>
    <row r="305" spans="1:2" ht="15.75" customHeight="1" x14ac:dyDescent="0.25">
      <c r="A305" s="86"/>
      <c r="B305" s="86"/>
    </row>
    <row r="306" spans="1:2" ht="15.75" customHeight="1" x14ac:dyDescent="0.25">
      <c r="A306" s="86"/>
      <c r="B306" s="86"/>
    </row>
    <row r="307" spans="1:2" ht="15.75" customHeight="1" x14ac:dyDescent="0.25">
      <c r="A307" s="86"/>
      <c r="B307" s="86"/>
    </row>
    <row r="308" spans="1:2" ht="15.75" customHeight="1" x14ac:dyDescent="0.25">
      <c r="A308" s="86"/>
      <c r="B308" s="86"/>
    </row>
    <row r="309" spans="1:2" ht="15.75" customHeight="1" x14ac:dyDescent="0.25">
      <c r="A309" s="86"/>
      <c r="B309" s="86"/>
    </row>
    <row r="310" spans="1:2" ht="15.75" customHeight="1" x14ac:dyDescent="0.25">
      <c r="A310" s="86"/>
      <c r="B310" s="86"/>
    </row>
    <row r="311" spans="1:2" ht="15.75" customHeight="1" x14ac:dyDescent="0.25">
      <c r="A311" s="86"/>
      <c r="B311" s="86"/>
    </row>
    <row r="312" spans="1:2" ht="15.75" customHeight="1" x14ac:dyDescent="0.25">
      <c r="A312" s="86"/>
      <c r="B312" s="86"/>
    </row>
    <row r="313" spans="1:2" ht="15.75" customHeight="1" x14ac:dyDescent="0.25">
      <c r="A313" s="86"/>
      <c r="B313" s="86"/>
    </row>
    <row r="314" spans="1:2" ht="15.75" customHeight="1" x14ac:dyDescent="0.25">
      <c r="A314" s="86"/>
      <c r="B314" s="86"/>
    </row>
    <row r="315" spans="1:2" ht="15.75" customHeight="1" x14ac:dyDescent="0.25">
      <c r="A315" s="86"/>
      <c r="B315" s="86"/>
    </row>
    <row r="316" spans="1:2" ht="15.75" customHeight="1" x14ac:dyDescent="0.25">
      <c r="A316" s="86"/>
      <c r="B316" s="86"/>
    </row>
    <row r="317" spans="1:2" ht="15.75" customHeight="1" x14ac:dyDescent="0.25">
      <c r="A317" s="86"/>
      <c r="B317" s="86"/>
    </row>
    <row r="318" spans="1:2" ht="15.75" customHeight="1" x14ac:dyDescent="0.25">
      <c r="A318" s="86"/>
      <c r="B318" s="86"/>
    </row>
    <row r="319" spans="1:2" ht="15.75" customHeight="1" x14ac:dyDescent="0.25">
      <c r="A319" s="86"/>
      <c r="B319" s="86"/>
    </row>
    <row r="320" spans="1:2" ht="15.75" customHeight="1" x14ac:dyDescent="0.25">
      <c r="A320" s="86"/>
      <c r="B320" s="86"/>
    </row>
    <row r="321" spans="1:2" ht="15.75" customHeight="1" x14ac:dyDescent="0.25">
      <c r="A321" s="86"/>
      <c r="B321" s="86"/>
    </row>
    <row r="322" spans="1:2" ht="15.75" customHeight="1" x14ac:dyDescent="0.25">
      <c r="A322" s="86"/>
      <c r="B322" s="86"/>
    </row>
    <row r="323" spans="1:2" ht="15.75" customHeight="1" x14ac:dyDescent="0.25">
      <c r="A323" s="86"/>
      <c r="B323" s="86"/>
    </row>
    <row r="324" spans="1:2" ht="15.75" customHeight="1" x14ac:dyDescent="0.25">
      <c r="A324" s="86"/>
      <c r="B324" s="86"/>
    </row>
    <row r="325" spans="1:2" ht="15.75" customHeight="1" x14ac:dyDescent="0.25">
      <c r="A325" s="86"/>
      <c r="B325" s="86"/>
    </row>
    <row r="326" spans="1:2" ht="15.75" customHeight="1" x14ac:dyDescent="0.25">
      <c r="A326" s="86"/>
      <c r="B326" s="86"/>
    </row>
    <row r="327" spans="1:2" ht="15.75" customHeight="1" x14ac:dyDescent="0.25">
      <c r="A327" s="86"/>
      <c r="B327" s="86"/>
    </row>
    <row r="328" spans="1:2" ht="15.75" customHeight="1" x14ac:dyDescent="0.25">
      <c r="A328" s="86"/>
      <c r="B328" s="86"/>
    </row>
    <row r="329" spans="1:2" ht="15.75" customHeight="1" x14ac:dyDescent="0.25">
      <c r="A329" s="86"/>
      <c r="B329" s="86"/>
    </row>
    <row r="330" spans="1:2" ht="15.75" customHeight="1" x14ac:dyDescent="0.25">
      <c r="A330" s="86"/>
      <c r="B330" s="86"/>
    </row>
    <row r="331" spans="1:2" ht="15.75" customHeight="1" x14ac:dyDescent="0.25">
      <c r="A331" s="86"/>
      <c r="B331" s="86"/>
    </row>
    <row r="332" spans="1:2" ht="15.75" customHeight="1" x14ac:dyDescent="0.25">
      <c r="A332" s="86"/>
      <c r="B332" s="86"/>
    </row>
    <row r="333" spans="1:2" ht="15.75" customHeight="1" x14ac:dyDescent="0.25">
      <c r="A333" s="86"/>
      <c r="B333" s="86"/>
    </row>
    <row r="334" spans="1:2" ht="15.75" customHeight="1" x14ac:dyDescent="0.25">
      <c r="A334" s="86"/>
      <c r="B334" s="86"/>
    </row>
    <row r="335" spans="1:2" ht="15.75" customHeight="1" x14ac:dyDescent="0.25">
      <c r="A335" s="86"/>
      <c r="B335" s="86"/>
    </row>
    <row r="336" spans="1:2" ht="15.75" customHeight="1" x14ac:dyDescent="0.25">
      <c r="A336" s="86"/>
      <c r="B336" s="86"/>
    </row>
    <row r="337" spans="1:2" ht="15.75" customHeight="1" x14ac:dyDescent="0.25">
      <c r="A337" s="86"/>
      <c r="B337" s="86"/>
    </row>
    <row r="338" spans="1:2" ht="15.75" customHeight="1" x14ac:dyDescent="0.25">
      <c r="A338" s="86"/>
      <c r="B338" s="86"/>
    </row>
    <row r="339" spans="1:2" ht="15.75" customHeight="1" x14ac:dyDescent="0.25">
      <c r="A339" s="86"/>
      <c r="B339" s="86"/>
    </row>
    <row r="340" spans="1:2" ht="15.75" customHeight="1" x14ac:dyDescent="0.25">
      <c r="A340" s="86"/>
      <c r="B340" s="86"/>
    </row>
    <row r="341" spans="1:2" ht="15.75" customHeight="1" x14ac:dyDescent="0.25">
      <c r="A341" s="86"/>
      <c r="B341" s="86"/>
    </row>
    <row r="342" spans="1:2" ht="15.75" customHeight="1" x14ac:dyDescent="0.25">
      <c r="A342" s="86"/>
      <c r="B342" s="86"/>
    </row>
    <row r="343" spans="1:2" ht="15.75" customHeight="1" x14ac:dyDescent="0.25">
      <c r="A343" s="86"/>
      <c r="B343" s="86"/>
    </row>
    <row r="344" spans="1:2" ht="15.75" customHeight="1" x14ac:dyDescent="0.25">
      <c r="A344" s="86"/>
      <c r="B344" s="86"/>
    </row>
    <row r="345" spans="1:2" ht="15.75" customHeight="1" x14ac:dyDescent="0.25">
      <c r="A345" s="86"/>
      <c r="B345" s="86"/>
    </row>
    <row r="346" spans="1:2" ht="15.75" customHeight="1" x14ac:dyDescent="0.25">
      <c r="A346" s="86"/>
      <c r="B346" s="86"/>
    </row>
    <row r="347" spans="1:2" ht="15.75" customHeight="1" x14ac:dyDescent="0.25">
      <c r="A347" s="86"/>
      <c r="B347" s="86"/>
    </row>
    <row r="348" spans="1:2" ht="15.75" customHeight="1" x14ac:dyDescent="0.25">
      <c r="A348" s="86"/>
      <c r="B348" s="86"/>
    </row>
    <row r="349" spans="1:2" ht="15.75" customHeight="1" x14ac:dyDescent="0.25">
      <c r="A349" s="86"/>
      <c r="B349" s="86"/>
    </row>
    <row r="350" spans="1:2" ht="15.75" customHeight="1" x14ac:dyDescent="0.25">
      <c r="A350" s="86"/>
      <c r="B350" s="86"/>
    </row>
    <row r="351" spans="1:2" ht="15.75" customHeight="1" x14ac:dyDescent="0.25">
      <c r="A351" s="86"/>
      <c r="B351" s="86"/>
    </row>
    <row r="352" spans="1:2" ht="15.75" customHeight="1" x14ac:dyDescent="0.25">
      <c r="A352" s="86"/>
      <c r="B352" s="86"/>
    </row>
    <row r="353" spans="1:2" ht="15.75" customHeight="1" x14ac:dyDescent="0.25">
      <c r="A353" s="86"/>
      <c r="B353" s="86"/>
    </row>
    <row r="354" spans="1:2" ht="15.75" customHeight="1" x14ac:dyDescent="0.25">
      <c r="A354" s="86"/>
      <c r="B354" s="86"/>
    </row>
    <row r="355" spans="1:2" ht="15.75" customHeight="1" x14ac:dyDescent="0.25">
      <c r="A355" s="86"/>
      <c r="B355" s="86"/>
    </row>
    <row r="356" spans="1:2" ht="15.75" customHeight="1" x14ac:dyDescent="0.25">
      <c r="A356" s="86"/>
      <c r="B356" s="86"/>
    </row>
    <row r="357" spans="1:2" ht="15.75" customHeight="1" x14ac:dyDescent="0.25">
      <c r="A357" s="86"/>
      <c r="B357" s="86"/>
    </row>
    <row r="358" spans="1:2" ht="15.75" customHeight="1" x14ac:dyDescent="0.25">
      <c r="A358" s="86"/>
      <c r="B358" s="86"/>
    </row>
    <row r="359" spans="1:2" ht="15.75" customHeight="1" x14ac:dyDescent="0.25">
      <c r="A359" s="86"/>
      <c r="B359" s="86"/>
    </row>
    <row r="360" spans="1:2" ht="15.75" customHeight="1" x14ac:dyDescent="0.25">
      <c r="A360" s="86"/>
      <c r="B360" s="86"/>
    </row>
    <row r="361" spans="1:2" ht="15.75" customHeight="1" x14ac:dyDescent="0.25">
      <c r="A361" s="86"/>
      <c r="B361" s="86"/>
    </row>
    <row r="362" spans="1:2" ht="15.75" customHeight="1" x14ac:dyDescent="0.25">
      <c r="A362" s="86"/>
      <c r="B362" s="86"/>
    </row>
    <row r="363" spans="1:2" ht="15.75" customHeight="1" x14ac:dyDescent="0.25">
      <c r="A363" s="86"/>
      <c r="B363" s="86"/>
    </row>
    <row r="364" spans="1:2" ht="15.75" customHeight="1" x14ac:dyDescent="0.25">
      <c r="A364" s="86"/>
      <c r="B364" s="86"/>
    </row>
    <row r="365" spans="1:2" ht="15.75" customHeight="1" x14ac:dyDescent="0.25">
      <c r="A365" s="86"/>
      <c r="B365" s="86"/>
    </row>
    <row r="366" spans="1:2" ht="15.75" customHeight="1" x14ac:dyDescent="0.25">
      <c r="A366" s="86"/>
      <c r="B366" s="86"/>
    </row>
    <row r="367" spans="1:2" ht="15.75" customHeight="1" x14ac:dyDescent="0.25">
      <c r="A367" s="86"/>
      <c r="B367" s="86"/>
    </row>
    <row r="368" spans="1:2" ht="15.75" customHeight="1" x14ac:dyDescent="0.25">
      <c r="A368" s="86"/>
      <c r="B368" s="86"/>
    </row>
    <row r="369" spans="1:2" ht="15.75" customHeight="1" x14ac:dyDescent="0.25">
      <c r="A369" s="86"/>
      <c r="B369" s="86"/>
    </row>
    <row r="370" spans="1:2" ht="15.75" customHeight="1" x14ac:dyDescent="0.25">
      <c r="A370" s="86"/>
      <c r="B370" s="86"/>
    </row>
    <row r="371" spans="1:2" ht="15.75" customHeight="1" x14ac:dyDescent="0.25">
      <c r="A371" s="86"/>
      <c r="B371" s="86"/>
    </row>
    <row r="372" spans="1:2" ht="15.75" customHeight="1" x14ac:dyDescent="0.25">
      <c r="A372" s="86"/>
      <c r="B372" s="86"/>
    </row>
    <row r="373" spans="1:2" ht="15.75" customHeight="1" x14ac:dyDescent="0.25">
      <c r="A373" s="86"/>
      <c r="B373" s="86"/>
    </row>
    <row r="374" spans="1:2" ht="15.75" customHeight="1" x14ac:dyDescent="0.25">
      <c r="A374" s="86"/>
      <c r="B374" s="86"/>
    </row>
    <row r="375" spans="1:2" ht="15.75" customHeight="1" x14ac:dyDescent="0.25">
      <c r="A375" s="86"/>
      <c r="B375" s="86"/>
    </row>
    <row r="376" spans="1:2" ht="15.75" customHeight="1" x14ac:dyDescent="0.25">
      <c r="A376" s="86"/>
      <c r="B376" s="86"/>
    </row>
    <row r="377" spans="1:2" ht="15.75" customHeight="1" x14ac:dyDescent="0.25">
      <c r="A377" s="86"/>
      <c r="B377" s="86"/>
    </row>
    <row r="378" spans="1:2" ht="15.75" customHeight="1" x14ac:dyDescent="0.25">
      <c r="A378" s="86"/>
      <c r="B378" s="86"/>
    </row>
    <row r="379" spans="1:2" ht="15.75" customHeight="1" x14ac:dyDescent="0.25">
      <c r="A379" s="86"/>
      <c r="B379" s="86"/>
    </row>
    <row r="380" spans="1:2" ht="15.75" customHeight="1" x14ac:dyDescent="0.25">
      <c r="A380" s="86"/>
      <c r="B380" s="86"/>
    </row>
    <row r="381" spans="1:2" ht="15.75" customHeight="1" x14ac:dyDescent="0.25">
      <c r="A381" s="86"/>
      <c r="B381" s="86"/>
    </row>
    <row r="382" spans="1:2" ht="15.75" customHeight="1" x14ac:dyDescent="0.25">
      <c r="A382" s="86"/>
      <c r="B382" s="86"/>
    </row>
    <row r="383" spans="1:2" ht="15.75" customHeight="1" x14ac:dyDescent="0.25">
      <c r="A383" s="86"/>
      <c r="B383" s="86"/>
    </row>
    <row r="384" spans="1:2" ht="15.75" customHeight="1" x14ac:dyDescent="0.25">
      <c r="A384" s="86"/>
      <c r="B384" s="86"/>
    </row>
    <row r="385" spans="1:2" ht="15.75" customHeight="1" x14ac:dyDescent="0.25">
      <c r="A385" s="86"/>
      <c r="B385" s="86"/>
    </row>
    <row r="386" spans="1:2" ht="15.75" customHeight="1" x14ac:dyDescent="0.25">
      <c r="A386" s="86"/>
      <c r="B386" s="86"/>
    </row>
    <row r="387" spans="1:2" ht="15.75" customHeight="1" x14ac:dyDescent="0.25">
      <c r="A387" s="86"/>
      <c r="B387" s="86"/>
    </row>
    <row r="388" spans="1:2" ht="15.75" customHeight="1" x14ac:dyDescent="0.25">
      <c r="A388" s="86"/>
      <c r="B388" s="86"/>
    </row>
    <row r="389" spans="1:2" ht="15.75" customHeight="1" x14ac:dyDescent="0.25">
      <c r="A389" s="86"/>
      <c r="B389" s="86"/>
    </row>
    <row r="390" spans="1:2" ht="15.75" customHeight="1" x14ac:dyDescent="0.25">
      <c r="A390" s="86"/>
      <c r="B390" s="86"/>
    </row>
    <row r="391" spans="1:2" ht="15.75" customHeight="1" x14ac:dyDescent="0.25">
      <c r="A391" s="86"/>
      <c r="B391" s="86"/>
    </row>
    <row r="392" spans="1:2" ht="15.75" customHeight="1" x14ac:dyDescent="0.25">
      <c r="A392" s="86"/>
      <c r="B392" s="86"/>
    </row>
    <row r="393" spans="1:2" ht="15.75" customHeight="1" x14ac:dyDescent="0.25">
      <c r="A393" s="86"/>
      <c r="B393" s="86"/>
    </row>
    <row r="394" spans="1:2" ht="15.75" customHeight="1" x14ac:dyDescent="0.25">
      <c r="A394" s="86"/>
      <c r="B394" s="86"/>
    </row>
    <row r="395" spans="1:2" ht="15.75" customHeight="1" x14ac:dyDescent="0.25">
      <c r="A395" s="86"/>
      <c r="B395" s="86"/>
    </row>
    <row r="396" spans="1:2" ht="15.75" customHeight="1" x14ac:dyDescent="0.25">
      <c r="A396" s="86"/>
      <c r="B396" s="86"/>
    </row>
    <row r="397" spans="1:2" ht="15.75" customHeight="1" x14ac:dyDescent="0.25">
      <c r="A397" s="86"/>
      <c r="B397" s="86"/>
    </row>
    <row r="398" spans="1:2" ht="15.75" customHeight="1" x14ac:dyDescent="0.25">
      <c r="A398" s="86"/>
      <c r="B398" s="86"/>
    </row>
    <row r="399" spans="1:2" ht="15.75" customHeight="1" x14ac:dyDescent="0.25">
      <c r="A399" s="86"/>
      <c r="B399" s="86"/>
    </row>
    <row r="400" spans="1:2" ht="15.75" customHeight="1" x14ac:dyDescent="0.25">
      <c r="A400" s="86"/>
      <c r="B400" s="86"/>
    </row>
    <row r="401" spans="1:2" ht="15.75" customHeight="1" x14ac:dyDescent="0.25">
      <c r="A401" s="86"/>
      <c r="B401" s="86"/>
    </row>
    <row r="402" spans="1:2" ht="15.75" customHeight="1" x14ac:dyDescent="0.25">
      <c r="A402" s="86"/>
      <c r="B402" s="86"/>
    </row>
    <row r="403" spans="1:2" ht="15.75" customHeight="1" x14ac:dyDescent="0.25">
      <c r="A403" s="86"/>
      <c r="B403" s="86"/>
    </row>
    <row r="404" spans="1:2" ht="15.75" customHeight="1" x14ac:dyDescent="0.25">
      <c r="A404" s="86"/>
      <c r="B404" s="86"/>
    </row>
    <row r="405" spans="1:2" ht="15.75" customHeight="1" x14ac:dyDescent="0.25">
      <c r="A405" s="86"/>
      <c r="B405" s="86"/>
    </row>
    <row r="406" spans="1:2" ht="15.75" customHeight="1" x14ac:dyDescent="0.25">
      <c r="A406" s="86"/>
      <c r="B406" s="86"/>
    </row>
    <row r="407" spans="1:2" ht="15.75" customHeight="1" x14ac:dyDescent="0.25">
      <c r="A407" s="86"/>
      <c r="B407" s="86"/>
    </row>
    <row r="408" spans="1:2" ht="15.75" customHeight="1" x14ac:dyDescent="0.25">
      <c r="A408" s="86"/>
      <c r="B408" s="86"/>
    </row>
    <row r="409" spans="1:2" ht="15.75" customHeight="1" x14ac:dyDescent="0.25">
      <c r="A409" s="86"/>
      <c r="B409" s="86"/>
    </row>
    <row r="410" spans="1:2" ht="15.75" customHeight="1" x14ac:dyDescent="0.25">
      <c r="A410" s="86"/>
      <c r="B410" s="86"/>
    </row>
    <row r="411" spans="1:2" ht="15.75" customHeight="1" x14ac:dyDescent="0.25">
      <c r="A411" s="86"/>
      <c r="B411" s="86"/>
    </row>
    <row r="412" spans="1:2" ht="15.75" customHeight="1" x14ac:dyDescent="0.25">
      <c r="A412" s="86"/>
      <c r="B412" s="86"/>
    </row>
    <row r="413" spans="1:2" ht="15.75" customHeight="1" x14ac:dyDescent="0.25">
      <c r="A413" s="86"/>
      <c r="B413" s="86"/>
    </row>
    <row r="414" spans="1:2" ht="15.75" customHeight="1" x14ac:dyDescent="0.25">
      <c r="A414" s="86"/>
      <c r="B414" s="86"/>
    </row>
    <row r="415" spans="1:2" ht="15.75" customHeight="1" x14ac:dyDescent="0.25">
      <c r="A415" s="86"/>
      <c r="B415" s="86"/>
    </row>
    <row r="416" spans="1:2" ht="15.75" customHeight="1" x14ac:dyDescent="0.25">
      <c r="A416" s="86"/>
      <c r="B416" s="86"/>
    </row>
    <row r="417" spans="1:2" ht="15.75" customHeight="1" x14ac:dyDescent="0.25">
      <c r="A417" s="86"/>
      <c r="B417" s="86"/>
    </row>
    <row r="418" spans="1:2" ht="15.75" customHeight="1" x14ac:dyDescent="0.25">
      <c r="A418" s="86"/>
      <c r="B418" s="86"/>
    </row>
    <row r="419" spans="1:2" ht="15.75" customHeight="1" x14ac:dyDescent="0.25">
      <c r="A419" s="86"/>
      <c r="B419" s="86"/>
    </row>
    <row r="420" spans="1:2" ht="15.75" customHeight="1" x14ac:dyDescent="0.25">
      <c r="A420" s="86"/>
      <c r="B420" s="86"/>
    </row>
    <row r="421" spans="1:2" ht="15.75" customHeight="1" x14ac:dyDescent="0.25">
      <c r="A421" s="86"/>
      <c r="B421" s="86"/>
    </row>
    <row r="422" spans="1:2" ht="15.75" customHeight="1" x14ac:dyDescent="0.25">
      <c r="A422" s="86"/>
      <c r="B422" s="86"/>
    </row>
    <row r="423" spans="1:2" ht="15.75" customHeight="1" x14ac:dyDescent="0.25">
      <c r="A423" s="86"/>
      <c r="B423" s="86"/>
    </row>
    <row r="424" spans="1:2" ht="15.75" customHeight="1" x14ac:dyDescent="0.25">
      <c r="A424" s="86"/>
      <c r="B424" s="86"/>
    </row>
    <row r="425" spans="1:2" ht="15.75" customHeight="1" x14ac:dyDescent="0.25">
      <c r="A425" s="86"/>
      <c r="B425" s="86"/>
    </row>
    <row r="426" spans="1:2" ht="15.75" customHeight="1" x14ac:dyDescent="0.25">
      <c r="A426" s="86"/>
      <c r="B426" s="86"/>
    </row>
    <row r="427" spans="1:2" ht="15.75" customHeight="1" x14ac:dyDescent="0.25">
      <c r="A427" s="86"/>
      <c r="B427" s="86"/>
    </row>
    <row r="428" spans="1:2" ht="15.75" customHeight="1" x14ac:dyDescent="0.25">
      <c r="A428" s="86"/>
      <c r="B428" s="86"/>
    </row>
    <row r="429" spans="1:2" ht="15.75" customHeight="1" x14ac:dyDescent="0.25">
      <c r="A429" s="86"/>
      <c r="B429" s="86"/>
    </row>
    <row r="430" spans="1:2" ht="15.75" customHeight="1" x14ac:dyDescent="0.25">
      <c r="A430" s="86"/>
      <c r="B430" s="86"/>
    </row>
    <row r="431" spans="1:2" ht="15.75" customHeight="1" x14ac:dyDescent="0.25">
      <c r="A431" s="86"/>
      <c r="B431" s="86"/>
    </row>
    <row r="432" spans="1:2" ht="15.75" customHeight="1" x14ac:dyDescent="0.25">
      <c r="A432" s="86"/>
      <c r="B432" s="86"/>
    </row>
    <row r="433" spans="1:2" ht="15.75" customHeight="1" x14ac:dyDescent="0.25">
      <c r="A433" s="86"/>
      <c r="B433" s="86"/>
    </row>
    <row r="434" spans="1:2" ht="15.75" customHeight="1" x14ac:dyDescent="0.25">
      <c r="A434" s="86"/>
      <c r="B434" s="86"/>
    </row>
    <row r="435" spans="1:2" ht="15.75" customHeight="1" x14ac:dyDescent="0.25">
      <c r="A435" s="86"/>
      <c r="B435" s="86"/>
    </row>
    <row r="436" spans="1:2" ht="15.75" customHeight="1" x14ac:dyDescent="0.25">
      <c r="A436" s="86"/>
      <c r="B436" s="86"/>
    </row>
    <row r="437" spans="1:2" ht="15.75" customHeight="1" x14ac:dyDescent="0.25">
      <c r="A437" s="86"/>
      <c r="B437" s="86"/>
    </row>
    <row r="438" spans="1:2" ht="15.75" customHeight="1" x14ac:dyDescent="0.25">
      <c r="A438" s="86"/>
      <c r="B438" s="86"/>
    </row>
    <row r="439" spans="1:2" ht="15.75" customHeight="1" x14ac:dyDescent="0.25">
      <c r="A439" s="86"/>
      <c r="B439" s="86"/>
    </row>
    <row r="440" spans="1:2" ht="15.75" customHeight="1" x14ac:dyDescent="0.25">
      <c r="A440" s="86"/>
      <c r="B440" s="86"/>
    </row>
    <row r="441" spans="1:2" ht="15.75" customHeight="1" x14ac:dyDescent="0.25">
      <c r="A441" s="86"/>
      <c r="B441" s="86"/>
    </row>
    <row r="442" spans="1:2" ht="15.75" customHeight="1" x14ac:dyDescent="0.25">
      <c r="A442" s="86"/>
      <c r="B442" s="86"/>
    </row>
    <row r="443" spans="1:2" ht="15.75" customHeight="1" x14ac:dyDescent="0.25">
      <c r="A443" s="86"/>
      <c r="B443" s="86"/>
    </row>
    <row r="444" spans="1:2" ht="15.75" customHeight="1" x14ac:dyDescent="0.25">
      <c r="A444" s="86"/>
      <c r="B444" s="86"/>
    </row>
    <row r="445" spans="1:2" ht="15.75" customHeight="1" x14ac:dyDescent="0.25">
      <c r="A445" s="86"/>
      <c r="B445" s="86"/>
    </row>
    <row r="446" spans="1:2" ht="15.75" customHeight="1" x14ac:dyDescent="0.25">
      <c r="A446" s="86"/>
      <c r="B446" s="86"/>
    </row>
    <row r="447" spans="1:2" ht="15.75" customHeight="1" x14ac:dyDescent="0.25">
      <c r="A447" s="86"/>
      <c r="B447" s="86"/>
    </row>
    <row r="448" spans="1:2" ht="15.75" customHeight="1" x14ac:dyDescent="0.25">
      <c r="A448" s="86"/>
      <c r="B448" s="86"/>
    </row>
    <row r="449" spans="1:2" ht="15.75" customHeight="1" x14ac:dyDescent="0.25">
      <c r="A449" s="86"/>
      <c r="B449" s="86"/>
    </row>
    <row r="450" spans="1:2" ht="15.75" customHeight="1" x14ac:dyDescent="0.25">
      <c r="A450" s="86"/>
      <c r="B450" s="86"/>
    </row>
    <row r="451" spans="1:2" ht="15.75" customHeight="1" x14ac:dyDescent="0.25">
      <c r="A451" s="86"/>
      <c r="B451" s="86"/>
    </row>
    <row r="452" spans="1:2" ht="15.75" customHeight="1" x14ac:dyDescent="0.25">
      <c r="A452" s="86"/>
      <c r="B452" s="86"/>
    </row>
    <row r="453" spans="1:2" ht="15.75" customHeight="1" x14ac:dyDescent="0.25">
      <c r="A453" s="86"/>
      <c r="B453" s="86"/>
    </row>
    <row r="454" spans="1:2" ht="15.75" customHeight="1" x14ac:dyDescent="0.25">
      <c r="A454" s="86"/>
      <c r="B454" s="86"/>
    </row>
    <row r="455" spans="1:2" ht="15.75" customHeight="1" x14ac:dyDescent="0.25">
      <c r="A455" s="86"/>
      <c r="B455" s="86"/>
    </row>
    <row r="456" spans="1:2" ht="15.75" customHeight="1" x14ac:dyDescent="0.25">
      <c r="A456" s="86"/>
      <c r="B456" s="86"/>
    </row>
    <row r="457" spans="1:2" ht="15.75" customHeight="1" x14ac:dyDescent="0.25">
      <c r="A457" s="86"/>
      <c r="B457" s="86"/>
    </row>
    <row r="458" spans="1:2" ht="15.75" customHeight="1" x14ac:dyDescent="0.25">
      <c r="A458" s="86"/>
      <c r="B458" s="86"/>
    </row>
    <row r="459" spans="1:2" ht="15.75" customHeight="1" x14ac:dyDescent="0.25">
      <c r="A459" s="86"/>
      <c r="B459" s="86"/>
    </row>
    <row r="460" spans="1:2" ht="15.75" customHeight="1" x14ac:dyDescent="0.25">
      <c r="A460" s="86"/>
      <c r="B460" s="86"/>
    </row>
    <row r="461" spans="1:2" ht="15.75" customHeight="1" x14ac:dyDescent="0.25">
      <c r="A461" s="86"/>
      <c r="B461" s="86"/>
    </row>
    <row r="462" spans="1:2" ht="15.75" customHeight="1" x14ac:dyDescent="0.25">
      <c r="A462" s="86"/>
      <c r="B462" s="86"/>
    </row>
    <row r="463" spans="1:2" ht="15.75" customHeight="1" x14ac:dyDescent="0.25">
      <c r="A463" s="86"/>
      <c r="B463" s="86"/>
    </row>
    <row r="464" spans="1:2" ht="15.75" customHeight="1" x14ac:dyDescent="0.25">
      <c r="A464" s="86"/>
      <c r="B464" s="86"/>
    </row>
    <row r="465" spans="1:2" ht="15.75" customHeight="1" x14ac:dyDescent="0.25">
      <c r="A465" s="86"/>
      <c r="B465" s="86"/>
    </row>
    <row r="466" spans="1:2" ht="15.75" customHeight="1" x14ac:dyDescent="0.25">
      <c r="A466" s="86"/>
      <c r="B466" s="86"/>
    </row>
    <row r="467" spans="1:2" ht="15.75" customHeight="1" x14ac:dyDescent="0.25">
      <c r="A467" s="86"/>
      <c r="B467" s="86"/>
    </row>
    <row r="468" spans="1:2" ht="15.75" customHeight="1" x14ac:dyDescent="0.25">
      <c r="A468" s="86"/>
      <c r="B468" s="86"/>
    </row>
    <row r="469" spans="1:2" ht="15.75" customHeight="1" x14ac:dyDescent="0.25">
      <c r="A469" s="86"/>
      <c r="B469" s="86"/>
    </row>
    <row r="470" spans="1:2" ht="15.75" customHeight="1" x14ac:dyDescent="0.25">
      <c r="A470" s="86"/>
      <c r="B470" s="86"/>
    </row>
    <row r="471" spans="1:2" ht="15.75" customHeight="1" x14ac:dyDescent="0.25">
      <c r="A471" s="86"/>
      <c r="B471" s="86"/>
    </row>
    <row r="472" spans="1:2" ht="15.75" customHeight="1" x14ac:dyDescent="0.25">
      <c r="A472" s="86"/>
      <c r="B472" s="86"/>
    </row>
    <row r="473" spans="1:2" ht="15.75" customHeight="1" x14ac:dyDescent="0.25">
      <c r="A473" s="86"/>
      <c r="B473" s="86"/>
    </row>
    <row r="474" spans="1:2" ht="15.75" customHeight="1" x14ac:dyDescent="0.25">
      <c r="A474" s="86"/>
      <c r="B474" s="86"/>
    </row>
    <row r="475" spans="1:2" ht="15.75" customHeight="1" x14ac:dyDescent="0.25">
      <c r="A475" s="86"/>
      <c r="B475" s="86"/>
    </row>
    <row r="476" spans="1:2" ht="15.75" customHeight="1" x14ac:dyDescent="0.25">
      <c r="A476" s="86"/>
      <c r="B476" s="86"/>
    </row>
    <row r="477" spans="1:2" ht="15.75" customHeight="1" x14ac:dyDescent="0.25">
      <c r="A477" s="86"/>
      <c r="B477" s="86"/>
    </row>
    <row r="478" spans="1:2" ht="15.75" customHeight="1" x14ac:dyDescent="0.25">
      <c r="A478" s="86"/>
      <c r="B478" s="86"/>
    </row>
    <row r="479" spans="1:2" ht="15.75" customHeight="1" x14ac:dyDescent="0.25">
      <c r="A479" s="86"/>
      <c r="B479" s="86"/>
    </row>
    <row r="480" spans="1:2" ht="15.75" customHeight="1" x14ac:dyDescent="0.25">
      <c r="A480" s="86"/>
      <c r="B480" s="86"/>
    </row>
    <row r="481" spans="1:2" ht="15.75" customHeight="1" x14ac:dyDescent="0.25">
      <c r="A481" s="86"/>
      <c r="B481" s="86"/>
    </row>
    <row r="482" spans="1:2" ht="15.75" customHeight="1" x14ac:dyDescent="0.25">
      <c r="A482" s="86"/>
      <c r="B482" s="86"/>
    </row>
    <row r="483" spans="1:2" ht="15.75" customHeight="1" x14ac:dyDescent="0.25">
      <c r="A483" s="86"/>
      <c r="B483" s="86"/>
    </row>
    <row r="484" spans="1:2" ht="15.75" customHeight="1" x14ac:dyDescent="0.25">
      <c r="A484" s="86"/>
      <c r="B484" s="86"/>
    </row>
    <row r="485" spans="1:2" ht="15.75" customHeight="1" x14ac:dyDescent="0.25">
      <c r="A485" s="86"/>
      <c r="B485" s="86"/>
    </row>
    <row r="486" spans="1:2" ht="15.75" customHeight="1" x14ac:dyDescent="0.25">
      <c r="A486" s="86"/>
      <c r="B486" s="86"/>
    </row>
    <row r="487" spans="1:2" ht="15.75" customHeight="1" x14ac:dyDescent="0.25">
      <c r="A487" s="86"/>
      <c r="B487" s="86"/>
    </row>
    <row r="488" spans="1:2" ht="15.75" customHeight="1" x14ac:dyDescent="0.25">
      <c r="A488" s="86"/>
      <c r="B488" s="86"/>
    </row>
    <row r="489" spans="1:2" ht="15.75" customHeight="1" x14ac:dyDescent="0.25">
      <c r="A489" s="86"/>
      <c r="B489" s="86"/>
    </row>
    <row r="490" spans="1:2" ht="15.75" customHeight="1" x14ac:dyDescent="0.25">
      <c r="A490" s="86"/>
      <c r="B490" s="86"/>
    </row>
    <row r="491" spans="1:2" ht="15.75" customHeight="1" x14ac:dyDescent="0.25">
      <c r="A491" s="86"/>
      <c r="B491" s="86"/>
    </row>
    <row r="492" spans="1:2" ht="15.75" customHeight="1" x14ac:dyDescent="0.25">
      <c r="A492" s="86"/>
      <c r="B492" s="86"/>
    </row>
    <row r="493" spans="1:2" ht="15.75" customHeight="1" x14ac:dyDescent="0.25">
      <c r="A493" s="86"/>
      <c r="B493" s="86"/>
    </row>
    <row r="494" spans="1:2" ht="15.75" customHeight="1" x14ac:dyDescent="0.25">
      <c r="A494" s="86"/>
      <c r="B494" s="86"/>
    </row>
    <row r="495" spans="1:2" ht="15.75" customHeight="1" x14ac:dyDescent="0.25">
      <c r="A495" s="86"/>
      <c r="B495" s="86"/>
    </row>
    <row r="496" spans="1:2" ht="15.75" customHeight="1" x14ac:dyDescent="0.25">
      <c r="A496" s="86"/>
      <c r="B496" s="86"/>
    </row>
    <row r="497" spans="1:2" ht="15.75" customHeight="1" x14ac:dyDescent="0.25">
      <c r="A497" s="86"/>
      <c r="B497" s="86"/>
    </row>
    <row r="498" spans="1:2" ht="15.75" customHeight="1" x14ac:dyDescent="0.25">
      <c r="A498" s="86"/>
      <c r="B498" s="86"/>
    </row>
    <row r="499" spans="1:2" ht="15.75" customHeight="1" x14ac:dyDescent="0.25">
      <c r="A499" s="86"/>
      <c r="B499" s="86"/>
    </row>
    <row r="500" spans="1:2" ht="15.75" customHeight="1" x14ac:dyDescent="0.25">
      <c r="A500" s="86"/>
      <c r="B500" s="86"/>
    </row>
    <row r="501" spans="1:2" ht="15.75" customHeight="1" x14ac:dyDescent="0.25">
      <c r="A501" s="86"/>
      <c r="B501" s="86"/>
    </row>
    <row r="502" spans="1:2" ht="15.75" customHeight="1" x14ac:dyDescent="0.25">
      <c r="A502" s="86"/>
      <c r="B502" s="86"/>
    </row>
    <row r="503" spans="1:2" ht="15.75" customHeight="1" x14ac:dyDescent="0.25">
      <c r="A503" s="86"/>
      <c r="B503" s="86"/>
    </row>
    <row r="504" spans="1:2" ht="15.75" customHeight="1" x14ac:dyDescent="0.25">
      <c r="A504" s="86"/>
      <c r="B504" s="86"/>
    </row>
    <row r="505" spans="1:2" ht="15.75" customHeight="1" x14ac:dyDescent="0.25">
      <c r="A505" s="86"/>
      <c r="B505" s="86"/>
    </row>
    <row r="506" spans="1:2" ht="15.75" customHeight="1" x14ac:dyDescent="0.25">
      <c r="A506" s="86"/>
      <c r="B506" s="86"/>
    </row>
    <row r="507" spans="1:2" ht="15.75" customHeight="1" x14ac:dyDescent="0.25">
      <c r="A507" s="86"/>
      <c r="B507" s="86"/>
    </row>
    <row r="508" spans="1:2" ht="15.75" customHeight="1" x14ac:dyDescent="0.25">
      <c r="A508" s="86"/>
      <c r="B508" s="86"/>
    </row>
    <row r="509" spans="1:2" ht="15.75" customHeight="1" x14ac:dyDescent="0.25">
      <c r="A509" s="86"/>
      <c r="B509" s="86"/>
    </row>
    <row r="510" spans="1:2" ht="15.75" customHeight="1" x14ac:dyDescent="0.25">
      <c r="A510" s="86"/>
      <c r="B510" s="86"/>
    </row>
    <row r="511" spans="1:2" ht="15.75" customHeight="1" x14ac:dyDescent="0.25">
      <c r="A511" s="86"/>
      <c r="B511" s="86"/>
    </row>
    <row r="512" spans="1:2" ht="15.75" customHeight="1" x14ac:dyDescent="0.25">
      <c r="A512" s="86"/>
      <c r="B512" s="86"/>
    </row>
    <row r="513" spans="1:2" ht="15.75" customHeight="1" x14ac:dyDescent="0.25">
      <c r="A513" s="86"/>
      <c r="B513" s="86"/>
    </row>
    <row r="514" spans="1:2" ht="15.75" customHeight="1" x14ac:dyDescent="0.25">
      <c r="A514" s="86"/>
      <c r="B514" s="86"/>
    </row>
    <row r="515" spans="1:2" ht="15.75" customHeight="1" x14ac:dyDescent="0.25">
      <c r="A515" s="86"/>
      <c r="B515" s="86"/>
    </row>
    <row r="516" spans="1:2" ht="15.75" customHeight="1" x14ac:dyDescent="0.25">
      <c r="A516" s="86"/>
      <c r="B516" s="86"/>
    </row>
    <row r="517" spans="1:2" ht="15.75" customHeight="1" x14ac:dyDescent="0.25">
      <c r="A517" s="86"/>
      <c r="B517" s="86"/>
    </row>
    <row r="518" spans="1:2" ht="15.75" customHeight="1" x14ac:dyDescent="0.25">
      <c r="A518" s="86"/>
      <c r="B518" s="86"/>
    </row>
    <row r="519" spans="1:2" ht="15.75" customHeight="1" x14ac:dyDescent="0.25">
      <c r="A519" s="86"/>
      <c r="B519" s="86"/>
    </row>
    <row r="520" spans="1:2" ht="15.75" customHeight="1" x14ac:dyDescent="0.25">
      <c r="A520" s="86"/>
      <c r="B520" s="86"/>
    </row>
    <row r="521" spans="1:2" ht="15.75" customHeight="1" x14ac:dyDescent="0.25">
      <c r="A521" s="86"/>
      <c r="B521" s="86"/>
    </row>
    <row r="522" spans="1:2" ht="15.75" customHeight="1" x14ac:dyDescent="0.25">
      <c r="A522" s="86"/>
      <c r="B522" s="86"/>
    </row>
    <row r="523" spans="1:2" ht="15.75" customHeight="1" x14ac:dyDescent="0.25">
      <c r="A523" s="86"/>
      <c r="B523" s="86"/>
    </row>
    <row r="524" spans="1:2" ht="15.75" customHeight="1" x14ac:dyDescent="0.25">
      <c r="A524" s="86"/>
      <c r="B524" s="86"/>
    </row>
    <row r="525" spans="1:2" ht="15.75" customHeight="1" x14ac:dyDescent="0.25">
      <c r="A525" s="86"/>
      <c r="B525" s="86"/>
    </row>
    <row r="526" spans="1:2" ht="15.75" customHeight="1" x14ac:dyDescent="0.25">
      <c r="A526" s="86"/>
      <c r="B526" s="86"/>
    </row>
    <row r="527" spans="1:2" ht="15.75" customHeight="1" x14ac:dyDescent="0.25">
      <c r="A527" s="86"/>
      <c r="B527" s="86"/>
    </row>
    <row r="528" spans="1:2" ht="15.75" customHeight="1" x14ac:dyDescent="0.25">
      <c r="A528" s="86"/>
      <c r="B528" s="86"/>
    </row>
    <row r="529" spans="1:2" ht="15.75" customHeight="1" x14ac:dyDescent="0.25">
      <c r="A529" s="86"/>
      <c r="B529" s="86"/>
    </row>
    <row r="530" spans="1:2" ht="15.75" customHeight="1" x14ac:dyDescent="0.25">
      <c r="A530" s="86"/>
      <c r="B530" s="86"/>
    </row>
    <row r="531" spans="1:2" ht="15.75" customHeight="1" x14ac:dyDescent="0.25">
      <c r="A531" s="86"/>
      <c r="B531" s="86"/>
    </row>
    <row r="532" spans="1:2" ht="15.75" customHeight="1" x14ac:dyDescent="0.25">
      <c r="A532" s="86"/>
      <c r="B532" s="86"/>
    </row>
    <row r="533" spans="1:2" ht="15.75" customHeight="1" x14ac:dyDescent="0.25">
      <c r="A533" s="86"/>
      <c r="B533" s="86"/>
    </row>
    <row r="534" spans="1:2" ht="15.75" customHeight="1" x14ac:dyDescent="0.25">
      <c r="A534" s="86"/>
      <c r="B534" s="86"/>
    </row>
    <row r="535" spans="1:2" ht="15.75" customHeight="1" x14ac:dyDescent="0.25">
      <c r="A535" s="86"/>
      <c r="B535" s="86"/>
    </row>
    <row r="536" spans="1:2" ht="15.75" customHeight="1" x14ac:dyDescent="0.25">
      <c r="A536" s="86"/>
      <c r="B536" s="86"/>
    </row>
    <row r="537" spans="1:2" ht="15.75" customHeight="1" x14ac:dyDescent="0.25">
      <c r="A537" s="86"/>
      <c r="B537" s="86"/>
    </row>
    <row r="538" spans="1:2" ht="15.75" customHeight="1" x14ac:dyDescent="0.25">
      <c r="A538" s="86"/>
      <c r="B538" s="86"/>
    </row>
    <row r="539" spans="1:2" ht="15.75" customHeight="1" x14ac:dyDescent="0.25">
      <c r="A539" s="86"/>
      <c r="B539" s="86"/>
    </row>
    <row r="540" spans="1:2" ht="15.75" customHeight="1" x14ac:dyDescent="0.25">
      <c r="A540" s="86"/>
      <c r="B540" s="86"/>
    </row>
    <row r="541" spans="1:2" ht="15.75" customHeight="1" x14ac:dyDescent="0.25">
      <c r="A541" s="86"/>
      <c r="B541" s="86"/>
    </row>
    <row r="542" spans="1:2" ht="15.75" customHeight="1" x14ac:dyDescent="0.25">
      <c r="A542" s="86"/>
      <c r="B542" s="86"/>
    </row>
    <row r="543" spans="1:2" ht="15.75" customHeight="1" x14ac:dyDescent="0.25">
      <c r="A543" s="86"/>
      <c r="B543" s="86"/>
    </row>
    <row r="544" spans="1:2" ht="15.75" customHeight="1" x14ac:dyDescent="0.25">
      <c r="A544" s="86"/>
      <c r="B544" s="86"/>
    </row>
    <row r="545" spans="1:2" ht="15.75" customHeight="1" x14ac:dyDescent="0.25">
      <c r="A545" s="86"/>
      <c r="B545" s="86"/>
    </row>
    <row r="546" spans="1:2" ht="15.75" customHeight="1" x14ac:dyDescent="0.25">
      <c r="A546" s="86"/>
      <c r="B546" s="86"/>
    </row>
    <row r="547" spans="1:2" ht="15.75" customHeight="1" x14ac:dyDescent="0.25">
      <c r="A547" s="86"/>
      <c r="B547" s="86"/>
    </row>
    <row r="548" spans="1:2" ht="15.75" customHeight="1" x14ac:dyDescent="0.25">
      <c r="A548" s="86"/>
      <c r="B548" s="86"/>
    </row>
    <row r="549" spans="1:2" ht="15.75" customHeight="1" x14ac:dyDescent="0.25">
      <c r="A549" s="86"/>
      <c r="B549" s="86"/>
    </row>
    <row r="550" spans="1:2" ht="15.75" customHeight="1" x14ac:dyDescent="0.25">
      <c r="A550" s="86"/>
      <c r="B550" s="86"/>
    </row>
    <row r="551" spans="1:2" ht="15.75" customHeight="1" x14ac:dyDescent="0.25">
      <c r="A551" s="86"/>
      <c r="B551" s="86"/>
    </row>
    <row r="552" spans="1:2" ht="15.75" customHeight="1" x14ac:dyDescent="0.25">
      <c r="A552" s="86"/>
      <c r="B552" s="86"/>
    </row>
    <row r="553" spans="1:2" ht="15.75" customHeight="1" x14ac:dyDescent="0.25">
      <c r="A553" s="86"/>
      <c r="B553" s="86"/>
    </row>
    <row r="554" spans="1:2" ht="15.75" customHeight="1" x14ac:dyDescent="0.25">
      <c r="A554" s="86"/>
      <c r="B554" s="86"/>
    </row>
    <row r="555" spans="1:2" ht="15.75" customHeight="1" x14ac:dyDescent="0.25">
      <c r="A555" s="86"/>
      <c r="B555" s="86"/>
    </row>
    <row r="556" spans="1:2" ht="15.75" customHeight="1" x14ac:dyDescent="0.25">
      <c r="A556" s="86"/>
      <c r="B556" s="86"/>
    </row>
    <row r="557" spans="1:2" ht="15.75" customHeight="1" x14ac:dyDescent="0.25">
      <c r="A557" s="86"/>
      <c r="B557" s="86"/>
    </row>
    <row r="558" spans="1:2" ht="15.75" customHeight="1" x14ac:dyDescent="0.25">
      <c r="A558" s="86"/>
      <c r="B558" s="86"/>
    </row>
    <row r="559" spans="1:2" ht="15.75" customHeight="1" x14ac:dyDescent="0.25">
      <c r="A559" s="86"/>
      <c r="B559" s="86"/>
    </row>
    <row r="560" spans="1:2" ht="15.75" customHeight="1" x14ac:dyDescent="0.25">
      <c r="A560" s="86"/>
      <c r="B560" s="86"/>
    </row>
    <row r="561" spans="1:2" ht="15.75" customHeight="1" x14ac:dyDescent="0.25">
      <c r="A561" s="86"/>
      <c r="B561" s="86"/>
    </row>
    <row r="562" spans="1:2" ht="15.75" customHeight="1" x14ac:dyDescent="0.25">
      <c r="A562" s="86"/>
      <c r="B562" s="86"/>
    </row>
    <row r="563" spans="1:2" ht="15.75" customHeight="1" x14ac:dyDescent="0.25">
      <c r="A563" s="86"/>
      <c r="B563" s="86"/>
    </row>
    <row r="564" spans="1:2" ht="15.75" customHeight="1" x14ac:dyDescent="0.25">
      <c r="A564" s="86"/>
      <c r="B564" s="86"/>
    </row>
    <row r="565" spans="1:2" ht="15.75" customHeight="1" x14ac:dyDescent="0.25">
      <c r="A565" s="86"/>
      <c r="B565" s="86"/>
    </row>
    <row r="566" spans="1:2" ht="15.75" customHeight="1" x14ac:dyDescent="0.25">
      <c r="A566" s="86"/>
      <c r="B566" s="86"/>
    </row>
    <row r="567" spans="1:2" ht="15.75" customHeight="1" x14ac:dyDescent="0.25">
      <c r="A567" s="86"/>
      <c r="B567" s="86"/>
    </row>
    <row r="568" spans="1:2" ht="15.75" customHeight="1" x14ac:dyDescent="0.25">
      <c r="A568" s="86"/>
      <c r="B568" s="86"/>
    </row>
    <row r="569" spans="1:2" ht="15.75" customHeight="1" x14ac:dyDescent="0.25">
      <c r="A569" s="86"/>
      <c r="B569" s="86"/>
    </row>
    <row r="570" spans="1:2" ht="15.75" customHeight="1" x14ac:dyDescent="0.25">
      <c r="A570" s="86"/>
      <c r="B570" s="86"/>
    </row>
    <row r="571" spans="1:2" ht="15.75" customHeight="1" x14ac:dyDescent="0.25">
      <c r="A571" s="86"/>
      <c r="B571" s="86"/>
    </row>
    <row r="572" spans="1:2" ht="15.75" customHeight="1" x14ac:dyDescent="0.25">
      <c r="A572" s="86"/>
      <c r="B572" s="86"/>
    </row>
    <row r="573" spans="1:2" ht="15.75" customHeight="1" x14ac:dyDescent="0.25">
      <c r="A573" s="86"/>
      <c r="B573" s="86"/>
    </row>
    <row r="574" spans="1:2" ht="15.75" customHeight="1" x14ac:dyDescent="0.25">
      <c r="A574" s="86"/>
      <c r="B574" s="86"/>
    </row>
    <row r="575" spans="1:2" ht="15.75" customHeight="1" x14ac:dyDescent="0.25">
      <c r="A575" s="86"/>
      <c r="B575" s="86"/>
    </row>
    <row r="576" spans="1:2" ht="15.75" customHeight="1" x14ac:dyDescent="0.25">
      <c r="A576" s="86"/>
      <c r="B576" s="86"/>
    </row>
    <row r="577" spans="1:2" ht="15.75" customHeight="1" x14ac:dyDescent="0.25">
      <c r="A577" s="86"/>
      <c r="B577" s="86"/>
    </row>
    <row r="578" spans="1:2" ht="15.75" customHeight="1" x14ac:dyDescent="0.25">
      <c r="A578" s="86"/>
      <c r="B578" s="86"/>
    </row>
    <row r="579" spans="1:2" ht="15.75" customHeight="1" x14ac:dyDescent="0.25">
      <c r="A579" s="86"/>
      <c r="B579" s="86"/>
    </row>
    <row r="580" spans="1:2" ht="15.75" customHeight="1" x14ac:dyDescent="0.25">
      <c r="A580" s="86"/>
      <c r="B580" s="86"/>
    </row>
    <row r="581" spans="1:2" ht="15.75" customHeight="1" x14ac:dyDescent="0.25">
      <c r="A581" s="86"/>
      <c r="B581" s="86"/>
    </row>
    <row r="582" spans="1:2" ht="15.75" customHeight="1" x14ac:dyDescent="0.25">
      <c r="A582" s="86"/>
      <c r="B582" s="86"/>
    </row>
    <row r="583" spans="1:2" ht="15.75" customHeight="1" x14ac:dyDescent="0.25">
      <c r="A583" s="86"/>
      <c r="B583" s="86"/>
    </row>
    <row r="584" spans="1:2" ht="15.75" customHeight="1" x14ac:dyDescent="0.25">
      <c r="A584" s="86"/>
      <c r="B584" s="86"/>
    </row>
    <row r="585" spans="1:2" ht="15.75" customHeight="1" x14ac:dyDescent="0.25">
      <c r="A585" s="86"/>
      <c r="B585" s="86"/>
    </row>
    <row r="586" spans="1:2" ht="15.75" customHeight="1" x14ac:dyDescent="0.25">
      <c r="A586" s="86"/>
      <c r="B586" s="86"/>
    </row>
    <row r="587" spans="1:2" ht="15.75" customHeight="1" x14ac:dyDescent="0.25">
      <c r="A587" s="86"/>
      <c r="B587" s="86"/>
    </row>
    <row r="588" spans="1:2" ht="15.75" customHeight="1" x14ac:dyDescent="0.25">
      <c r="A588" s="86"/>
      <c r="B588" s="86"/>
    </row>
    <row r="589" spans="1:2" ht="15.75" customHeight="1" x14ac:dyDescent="0.25">
      <c r="A589" s="86"/>
      <c r="B589" s="86"/>
    </row>
    <row r="590" spans="1:2" ht="15.75" customHeight="1" x14ac:dyDescent="0.25">
      <c r="A590" s="86"/>
      <c r="B590" s="86"/>
    </row>
    <row r="591" spans="1:2" ht="15.75" customHeight="1" x14ac:dyDescent="0.25">
      <c r="A591" s="86"/>
      <c r="B591" s="86"/>
    </row>
    <row r="592" spans="1:2" ht="15.75" customHeight="1" x14ac:dyDescent="0.25">
      <c r="A592" s="86"/>
      <c r="B592" s="86"/>
    </row>
    <row r="593" spans="1:2" ht="15.75" customHeight="1" x14ac:dyDescent="0.25">
      <c r="A593" s="86"/>
      <c r="B593" s="86"/>
    </row>
    <row r="594" spans="1:2" ht="15.75" customHeight="1" x14ac:dyDescent="0.25">
      <c r="A594" s="86"/>
      <c r="B594" s="86"/>
    </row>
    <row r="595" spans="1:2" ht="15.75" customHeight="1" x14ac:dyDescent="0.25">
      <c r="A595" s="86"/>
      <c r="B595" s="86"/>
    </row>
    <row r="596" spans="1:2" ht="15.75" customHeight="1" x14ac:dyDescent="0.25">
      <c r="A596" s="86"/>
      <c r="B596" s="86"/>
    </row>
    <row r="597" spans="1:2" ht="15.75" customHeight="1" x14ac:dyDescent="0.25">
      <c r="A597" s="86"/>
      <c r="B597" s="86"/>
    </row>
    <row r="598" spans="1:2" ht="15.75" customHeight="1" x14ac:dyDescent="0.25">
      <c r="A598" s="86"/>
      <c r="B598" s="86"/>
    </row>
    <row r="599" spans="1:2" ht="15.75" customHeight="1" x14ac:dyDescent="0.25">
      <c r="A599" s="86"/>
      <c r="B599" s="86"/>
    </row>
    <row r="600" spans="1:2" ht="15.75" customHeight="1" x14ac:dyDescent="0.25">
      <c r="A600" s="86"/>
      <c r="B600" s="86"/>
    </row>
    <row r="601" spans="1:2" ht="15.75" customHeight="1" x14ac:dyDescent="0.25">
      <c r="A601" s="86"/>
      <c r="B601" s="86"/>
    </row>
    <row r="602" spans="1:2" ht="15.75" customHeight="1" x14ac:dyDescent="0.25">
      <c r="A602" s="86"/>
      <c r="B602" s="86"/>
    </row>
    <row r="603" spans="1:2" ht="15.75" customHeight="1" x14ac:dyDescent="0.25">
      <c r="A603" s="86"/>
      <c r="B603" s="86"/>
    </row>
    <row r="604" spans="1:2" ht="15.75" customHeight="1" x14ac:dyDescent="0.25">
      <c r="A604" s="86"/>
      <c r="B604" s="86"/>
    </row>
    <row r="605" spans="1:2" ht="15.75" customHeight="1" x14ac:dyDescent="0.25">
      <c r="A605" s="86"/>
      <c r="B605" s="86"/>
    </row>
    <row r="606" spans="1:2" ht="15.75" customHeight="1" x14ac:dyDescent="0.25">
      <c r="A606" s="86"/>
      <c r="B606" s="86"/>
    </row>
    <row r="607" spans="1:2" ht="15.75" customHeight="1" x14ac:dyDescent="0.25">
      <c r="A607" s="86"/>
      <c r="B607" s="86"/>
    </row>
    <row r="608" spans="1:2" ht="15.75" customHeight="1" x14ac:dyDescent="0.25">
      <c r="A608" s="86"/>
      <c r="B608" s="86"/>
    </row>
    <row r="609" spans="1:2" ht="15.75" customHeight="1" x14ac:dyDescent="0.25">
      <c r="A609" s="86"/>
      <c r="B609" s="86"/>
    </row>
    <row r="610" spans="1:2" ht="15.75" customHeight="1" x14ac:dyDescent="0.25">
      <c r="A610" s="86"/>
      <c r="B610" s="86"/>
    </row>
    <row r="611" spans="1:2" ht="15.75" customHeight="1" x14ac:dyDescent="0.25">
      <c r="A611" s="86"/>
      <c r="B611" s="86"/>
    </row>
    <row r="612" spans="1:2" ht="15.75" customHeight="1" x14ac:dyDescent="0.25">
      <c r="A612" s="86"/>
      <c r="B612" s="86"/>
    </row>
    <row r="613" spans="1:2" ht="15.75" customHeight="1" x14ac:dyDescent="0.25">
      <c r="A613" s="86"/>
      <c r="B613" s="86"/>
    </row>
    <row r="614" spans="1:2" ht="15.75" customHeight="1" x14ac:dyDescent="0.25">
      <c r="A614" s="86"/>
      <c r="B614" s="86"/>
    </row>
    <row r="615" spans="1:2" ht="15.75" customHeight="1" x14ac:dyDescent="0.25">
      <c r="A615" s="86"/>
      <c r="B615" s="86"/>
    </row>
    <row r="616" spans="1:2" ht="15.75" customHeight="1" x14ac:dyDescent="0.25">
      <c r="A616" s="86"/>
      <c r="B616" s="86"/>
    </row>
    <row r="617" spans="1:2" ht="15.75" customHeight="1" x14ac:dyDescent="0.25">
      <c r="A617" s="86"/>
      <c r="B617" s="86"/>
    </row>
    <row r="618" spans="1:2" ht="15.75" customHeight="1" x14ac:dyDescent="0.25">
      <c r="A618" s="86"/>
      <c r="B618" s="86"/>
    </row>
    <row r="619" spans="1:2" ht="15.75" customHeight="1" x14ac:dyDescent="0.25">
      <c r="A619" s="86"/>
      <c r="B619" s="86"/>
    </row>
    <row r="620" spans="1:2" ht="15.75" customHeight="1" x14ac:dyDescent="0.25">
      <c r="A620" s="86"/>
      <c r="B620" s="86"/>
    </row>
    <row r="621" spans="1:2" ht="15.75" customHeight="1" x14ac:dyDescent="0.25">
      <c r="A621" s="86"/>
      <c r="B621" s="86"/>
    </row>
    <row r="622" spans="1:2" ht="15.75" customHeight="1" x14ac:dyDescent="0.25">
      <c r="A622" s="86"/>
      <c r="B622" s="86"/>
    </row>
    <row r="623" spans="1:2" ht="15.75" customHeight="1" x14ac:dyDescent="0.25">
      <c r="A623" s="86"/>
      <c r="B623" s="86"/>
    </row>
    <row r="624" spans="1:2" ht="15.75" customHeight="1" x14ac:dyDescent="0.25">
      <c r="A624" s="86"/>
      <c r="B624" s="86"/>
    </row>
    <row r="625" spans="1:2" ht="15.75" customHeight="1" x14ac:dyDescent="0.25">
      <c r="A625" s="86"/>
      <c r="B625" s="86"/>
    </row>
    <row r="626" spans="1:2" ht="15.75" customHeight="1" x14ac:dyDescent="0.25">
      <c r="A626" s="86"/>
      <c r="B626" s="86"/>
    </row>
    <row r="627" spans="1:2" ht="15.75" customHeight="1" x14ac:dyDescent="0.25">
      <c r="A627" s="86"/>
      <c r="B627" s="86"/>
    </row>
    <row r="628" spans="1:2" ht="15.75" customHeight="1" x14ac:dyDescent="0.25">
      <c r="A628" s="86"/>
      <c r="B628" s="86"/>
    </row>
    <row r="629" spans="1:2" ht="15.75" customHeight="1" x14ac:dyDescent="0.25">
      <c r="A629" s="86"/>
      <c r="B629" s="86"/>
    </row>
    <row r="630" spans="1:2" ht="15.75" customHeight="1" x14ac:dyDescent="0.25">
      <c r="A630" s="86"/>
      <c r="B630" s="86"/>
    </row>
    <row r="631" spans="1:2" ht="15.75" customHeight="1" x14ac:dyDescent="0.25">
      <c r="A631" s="86"/>
      <c r="B631" s="86"/>
    </row>
    <row r="632" spans="1:2" ht="15.75" customHeight="1" x14ac:dyDescent="0.25">
      <c r="A632" s="86"/>
      <c r="B632" s="86"/>
    </row>
    <row r="633" spans="1:2" ht="15.75" customHeight="1" x14ac:dyDescent="0.25">
      <c r="A633" s="86"/>
      <c r="B633" s="86"/>
    </row>
    <row r="634" spans="1:2" ht="15.75" customHeight="1" x14ac:dyDescent="0.25">
      <c r="A634" s="86"/>
      <c r="B634" s="86"/>
    </row>
    <row r="635" spans="1:2" ht="15.75" customHeight="1" x14ac:dyDescent="0.25">
      <c r="A635" s="86"/>
      <c r="B635" s="86"/>
    </row>
    <row r="636" spans="1:2" ht="15.75" customHeight="1" x14ac:dyDescent="0.25">
      <c r="A636" s="86"/>
      <c r="B636" s="86"/>
    </row>
    <row r="637" spans="1:2" ht="15.75" customHeight="1" x14ac:dyDescent="0.25">
      <c r="A637" s="86"/>
      <c r="B637" s="86"/>
    </row>
    <row r="638" spans="1:2" ht="15.75" customHeight="1" x14ac:dyDescent="0.25">
      <c r="A638" s="86"/>
      <c r="B638" s="86"/>
    </row>
    <row r="639" spans="1:2" ht="15.75" customHeight="1" x14ac:dyDescent="0.25">
      <c r="A639" s="86"/>
      <c r="B639" s="86"/>
    </row>
    <row r="640" spans="1:2" ht="15.75" customHeight="1" x14ac:dyDescent="0.25">
      <c r="A640" s="86"/>
      <c r="B640" s="86"/>
    </row>
    <row r="641" spans="1:2" ht="15.75" customHeight="1" x14ac:dyDescent="0.25">
      <c r="A641" s="86"/>
      <c r="B641" s="86"/>
    </row>
    <row r="642" spans="1:2" ht="15.75" customHeight="1" x14ac:dyDescent="0.25">
      <c r="A642" s="86"/>
      <c r="B642" s="86"/>
    </row>
    <row r="643" spans="1:2" ht="15.75" customHeight="1" x14ac:dyDescent="0.25">
      <c r="A643" s="86"/>
      <c r="B643" s="86"/>
    </row>
    <row r="644" spans="1:2" ht="15.75" customHeight="1" x14ac:dyDescent="0.25">
      <c r="A644" s="86"/>
      <c r="B644" s="86"/>
    </row>
    <row r="645" spans="1:2" ht="15.75" customHeight="1" x14ac:dyDescent="0.25">
      <c r="A645" s="86"/>
      <c r="B645" s="86"/>
    </row>
    <row r="646" spans="1:2" ht="15.75" customHeight="1" x14ac:dyDescent="0.25">
      <c r="A646" s="86"/>
      <c r="B646" s="86"/>
    </row>
    <row r="647" spans="1:2" ht="15.75" customHeight="1" x14ac:dyDescent="0.25">
      <c r="A647" s="86"/>
      <c r="B647" s="86"/>
    </row>
    <row r="648" spans="1:2" ht="15.75" customHeight="1" x14ac:dyDescent="0.25">
      <c r="A648" s="86"/>
      <c r="B648" s="86"/>
    </row>
    <row r="649" spans="1:2" ht="15.75" customHeight="1" x14ac:dyDescent="0.25">
      <c r="A649" s="86"/>
      <c r="B649" s="86"/>
    </row>
    <row r="650" spans="1:2" ht="15.75" customHeight="1" x14ac:dyDescent="0.25">
      <c r="A650" s="86"/>
      <c r="B650" s="86"/>
    </row>
    <row r="651" spans="1:2" ht="15.75" customHeight="1" x14ac:dyDescent="0.25">
      <c r="A651" s="86"/>
      <c r="B651" s="86"/>
    </row>
    <row r="652" spans="1:2" ht="15.75" customHeight="1" x14ac:dyDescent="0.25">
      <c r="A652" s="86"/>
      <c r="B652" s="86"/>
    </row>
    <row r="653" spans="1:2" ht="15.75" customHeight="1" x14ac:dyDescent="0.25">
      <c r="A653" s="86"/>
      <c r="B653" s="86"/>
    </row>
    <row r="654" spans="1:2" ht="15.75" customHeight="1" x14ac:dyDescent="0.25">
      <c r="A654" s="86"/>
      <c r="B654" s="86"/>
    </row>
    <row r="655" spans="1:2" ht="15.75" customHeight="1" x14ac:dyDescent="0.25">
      <c r="A655" s="86"/>
      <c r="B655" s="86"/>
    </row>
    <row r="656" spans="1:2" ht="15.75" customHeight="1" x14ac:dyDescent="0.25">
      <c r="A656" s="86"/>
      <c r="B656" s="86"/>
    </row>
    <row r="657" spans="1:2" ht="15.75" customHeight="1" x14ac:dyDescent="0.25">
      <c r="A657" s="86"/>
      <c r="B657" s="86"/>
    </row>
    <row r="658" spans="1:2" ht="15.75" customHeight="1" x14ac:dyDescent="0.25">
      <c r="A658" s="86"/>
      <c r="B658" s="86"/>
    </row>
    <row r="659" spans="1:2" ht="15.75" customHeight="1" x14ac:dyDescent="0.25">
      <c r="A659" s="86"/>
      <c r="B659" s="86"/>
    </row>
    <row r="660" spans="1:2" ht="15.75" customHeight="1" x14ac:dyDescent="0.25">
      <c r="A660" s="86"/>
      <c r="B660" s="86"/>
    </row>
    <row r="661" spans="1:2" ht="15.75" customHeight="1" x14ac:dyDescent="0.25">
      <c r="A661" s="86"/>
      <c r="B661" s="86"/>
    </row>
    <row r="662" spans="1:2" ht="15.75" customHeight="1" x14ac:dyDescent="0.25">
      <c r="A662" s="86"/>
      <c r="B662" s="86"/>
    </row>
    <row r="663" spans="1:2" ht="15.75" customHeight="1" x14ac:dyDescent="0.25">
      <c r="A663" s="86"/>
      <c r="B663" s="86"/>
    </row>
    <row r="664" spans="1:2" ht="15.75" customHeight="1" x14ac:dyDescent="0.25">
      <c r="A664" s="86"/>
      <c r="B664" s="86"/>
    </row>
    <row r="665" spans="1:2" ht="15.75" customHeight="1" x14ac:dyDescent="0.25">
      <c r="A665" s="86"/>
      <c r="B665" s="86"/>
    </row>
    <row r="666" spans="1:2" ht="15.75" customHeight="1" x14ac:dyDescent="0.25">
      <c r="A666" s="86"/>
      <c r="B666" s="86"/>
    </row>
    <row r="667" spans="1:2" ht="15.75" customHeight="1" x14ac:dyDescent="0.25">
      <c r="A667" s="86"/>
      <c r="B667" s="86"/>
    </row>
    <row r="668" spans="1:2" ht="15.75" customHeight="1" x14ac:dyDescent="0.25">
      <c r="A668" s="86"/>
      <c r="B668" s="86"/>
    </row>
    <row r="669" spans="1:2" ht="15.75" customHeight="1" x14ac:dyDescent="0.25">
      <c r="A669" s="86"/>
      <c r="B669" s="86"/>
    </row>
    <row r="670" spans="1:2" ht="15.75" customHeight="1" x14ac:dyDescent="0.25">
      <c r="A670" s="86"/>
      <c r="B670" s="86"/>
    </row>
    <row r="671" spans="1:2" ht="15.75" customHeight="1" x14ac:dyDescent="0.25">
      <c r="A671" s="86"/>
      <c r="B671" s="86"/>
    </row>
    <row r="672" spans="1:2" ht="15.75" customHeight="1" x14ac:dyDescent="0.25">
      <c r="A672" s="86"/>
      <c r="B672" s="86"/>
    </row>
    <row r="673" spans="1:2" ht="15.75" customHeight="1" x14ac:dyDescent="0.25">
      <c r="A673" s="86"/>
      <c r="B673" s="86"/>
    </row>
    <row r="674" spans="1:2" ht="15.75" customHeight="1" x14ac:dyDescent="0.25">
      <c r="A674" s="86"/>
      <c r="B674" s="86"/>
    </row>
    <row r="675" spans="1:2" ht="15.75" customHeight="1" x14ac:dyDescent="0.25">
      <c r="A675" s="86"/>
      <c r="B675" s="86"/>
    </row>
    <row r="676" spans="1:2" ht="15.75" customHeight="1" x14ac:dyDescent="0.25">
      <c r="A676" s="86"/>
      <c r="B676" s="86"/>
    </row>
    <row r="677" spans="1:2" ht="15.75" customHeight="1" x14ac:dyDescent="0.25">
      <c r="A677" s="86"/>
      <c r="B677" s="86"/>
    </row>
    <row r="678" spans="1:2" ht="15.75" customHeight="1" x14ac:dyDescent="0.25">
      <c r="A678" s="86"/>
      <c r="B678" s="86"/>
    </row>
    <row r="679" spans="1:2" ht="15.75" customHeight="1" x14ac:dyDescent="0.25">
      <c r="A679" s="86"/>
      <c r="B679" s="86"/>
    </row>
    <row r="680" spans="1:2" ht="15.75" customHeight="1" x14ac:dyDescent="0.25">
      <c r="A680" s="86"/>
      <c r="B680" s="86"/>
    </row>
    <row r="681" spans="1:2" ht="15.75" customHeight="1" x14ac:dyDescent="0.25">
      <c r="A681" s="86"/>
      <c r="B681" s="86"/>
    </row>
    <row r="682" spans="1:2" ht="15.75" customHeight="1" x14ac:dyDescent="0.25">
      <c r="A682" s="86"/>
      <c r="B682" s="86"/>
    </row>
    <row r="683" spans="1:2" ht="15.75" customHeight="1" x14ac:dyDescent="0.25">
      <c r="A683" s="86"/>
      <c r="B683" s="86"/>
    </row>
    <row r="684" spans="1:2" ht="15.75" customHeight="1" x14ac:dyDescent="0.25">
      <c r="A684" s="86"/>
      <c r="B684" s="86"/>
    </row>
    <row r="685" spans="1:2" ht="15.75" customHeight="1" x14ac:dyDescent="0.25">
      <c r="A685" s="86"/>
      <c r="B685" s="86"/>
    </row>
    <row r="686" spans="1:2" ht="15.75" customHeight="1" x14ac:dyDescent="0.25">
      <c r="A686" s="86"/>
      <c r="B686" s="86"/>
    </row>
    <row r="687" spans="1:2" ht="15.75" customHeight="1" x14ac:dyDescent="0.25">
      <c r="A687" s="86"/>
      <c r="B687" s="86"/>
    </row>
    <row r="688" spans="1:2" ht="15.75" customHeight="1" x14ac:dyDescent="0.25">
      <c r="A688" s="86"/>
      <c r="B688" s="86"/>
    </row>
    <row r="689" spans="1:2" ht="15.75" customHeight="1" x14ac:dyDescent="0.25">
      <c r="A689" s="86"/>
      <c r="B689" s="86"/>
    </row>
    <row r="690" spans="1:2" ht="15.75" customHeight="1" x14ac:dyDescent="0.25">
      <c r="A690" s="86"/>
      <c r="B690" s="86"/>
    </row>
    <row r="691" spans="1:2" ht="15.75" customHeight="1" x14ac:dyDescent="0.25">
      <c r="A691" s="86"/>
      <c r="B691" s="86"/>
    </row>
    <row r="692" spans="1:2" ht="15.75" customHeight="1" x14ac:dyDescent="0.25">
      <c r="A692" s="86"/>
      <c r="B692" s="86"/>
    </row>
    <row r="693" spans="1:2" ht="15.75" customHeight="1" x14ac:dyDescent="0.25">
      <c r="A693" s="86"/>
      <c r="B693" s="86"/>
    </row>
    <row r="694" spans="1:2" ht="15.75" customHeight="1" x14ac:dyDescent="0.25">
      <c r="A694" s="86"/>
      <c r="B694" s="86"/>
    </row>
    <row r="695" spans="1:2" ht="15.75" customHeight="1" x14ac:dyDescent="0.25">
      <c r="A695" s="86"/>
      <c r="B695" s="86"/>
    </row>
    <row r="696" spans="1:2" ht="15.75" customHeight="1" x14ac:dyDescent="0.25">
      <c r="A696" s="86"/>
      <c r="B696" s="86"/>
    </row>
    <row r="697" spans="1:2" ht="15.75" customHeight="1" x14ac:dyDescent="0.25">
      <c r="A697" s="86"/>
      <c r="B697" s="86"/>
    </row>
    <row r="698" spans="1:2" ht="15.75" customHeight="1" x14ac:dyDescent="0.25">
      <c r="A698" s="86"/>
      <c r="B698" s="86"/>
    </row>
    <row r="699" spans="1:2" ht="15.75" customHeight="1" x14ac:dyDescent="0.25">
      <c r="A699" s="86"/>
      <c r="B699" s="86"/>
    </row>
    <row r="700" spans="1:2" ht="15.75" customHeight="1" x14ac:dyDescent="0.25">
      <c r="A700" s="86"/>
      <c r="B700" s="86"/>
    </row>
    <row r="701" spans="1:2" ht="15.75" customHeight="1" x14ac:dyDescent="0.25">
      <c r="A701" s="86"/>
      <c r="B701" s="86"/>
    </row>
    <row r="702" spans="1:2" ht="15.75" customHeight="1" x14ac:dyDescent="0.25">
      <c r="A702" s="86"/>
      <c r="B702" s="86"/>
    </row>
    <row r="703" spans="1:2" ht="15.75" customHeight="1" x14ac:dyDescent="0.25">
      <c r="A703" s="86"/>
      <c r="B703" s="86"/>
    </row>
    <row r="704" spans="1:2" ht="15.75" customHeight="1" x14ac:dyDescent="0.25">
      <c r="A704" s="86"/>
      <c r="B704" s="86"/>
    </row>
    <row r="705" spans="1:2" ht="15.75" customHeight="1" x14ac:dyDescent="0.25">
      <c r="A705" s="86"/>
      <c r="B705" s="86"/>
    </row>
    <row r="706" spans="1:2" ht="15.75" customHeight="1" x14ac:dyDescent="0.25">
      <c r="A706" s="86"/>
      <c r="B706" s="86"/>
    </row>
    <row r="707" spans="1:2" ht="15.75" customHeight="1" x14ac:dyDescent="0.25">
      <c r="A707" s="86"/>
      <c r="B707" s="86"/>
    </row>
    <row r="708" spans="1:2" ht="15.75" customHeight="1" x14ac:dyDescent="0.25">
      <c r="A708" s="86"/>
      <c r="B708" s="86"/>
    </row>
    <row r="709" spans="1:2" ht="15.75" customHeight="1" x14ac:dyDescent="0.25">
      <c r="A709" s="86"/>
      <c r="B709" s="86"/>
    </row>
    <row r="710" spans="1:2" ht="15.75" customHeight="1" x14ac:dyDescent="0.25">
      <c r="A710" s="86"/>
      <c r="B710" s="86"/>
    </row>
    <row r="711" spans="1:2" ht="15.75" customHeight="1" x14ac:dyDescent="0.25">
      <c r="A711" s="86"/>
      <c r="B711" s="86"/>
    </row>
    <row r="712" spans="1:2" ht="15.75" customHeight="1" x14ac:dyDescent="0.25">
      <c r="A712" s="86"/>
      <c r="B712" s="86"/>
    </row>
    <row r="713" spans="1:2" ht="15.75" customHeight="1" x14ac:dyDescent="0.25">
      <c r="A713" s="86"/>
      <c r="B713" s="86"/>
    </row>
    <row r="714" spans="1:2" ht="15.75" customHeight="1" x14ac:dyDescent="0.25">
      <c r="A714" s="86"/>
      <c r="B714" s="86"/>
    </row>
    <row r="715" spans="1:2" ht="15.75" customHeight="1" x14ac:dyDescent="0.25">
      <c r="A715" s="86"/>
      <c r="B715" s="86"/>
    </row>
    <row r="716" spans="1:2" ht="15.75" customHeight="1" x14ac:dyDescent="0.25">
      <c r="A716" s="86"/>
      <c r="B716" s="86"/>
    </row>
    <row r="717" spans="1:2" ht="15.75" customHeight="1" x14ac:dyDescent="0.25">
      <c r="A717" s="86"/>
      <c r="B717" s="86"/>
    </row>
    <row r="718" spans="1:2" ht="15.75" customHeight="1" x14ac:dyDescent="0.25">
      <c r="A718" s="86"/>
      <c r="B718" s="86"/>
    </row>
    <row r="719" spans="1:2" ht="15.75" customHeight="1" x14ac:dyDescent="0.25">
      <c r="A719" s="86"/>
      <c r="B719" s="86"/>
    </row>
    <row r="720" spans="1:2" ht="15.75" customHeight="1" x14ac:dyDescent="0.25">
      <c r="A720" s="86"/>
      <c r="B720" s="86"/>
    </row>
    <row r="721" spans="1:2" ht="15.75" customHeight="1" x14ac:dyDescent="0.25">
      <c r="A721" s="86"/>
      <c r="B721" s="86"/>
    </row>
    <row r="722" spans="1:2" ht="15.75" customHeight="1" x14ac:dyDescent="0.25">
      <c r="A722" s="86"/>
      <c r="B722" s="86"/>
    </row>
    <row r="723" spans="1:2" ht="15.75" customHeight="1" x14ac:dyDescent="0.25">
      <c r="A723" s="86"/>
      <c r="B723" s="86"/>
    </row>
    <row r="724" spans="1:2" ht="15.75" customHeight="1" x14ac:dyDescent="0.25">
      <c r="A724" s="86"/>
      <c r="B724" s="86"/>
    </row>
    <row r="725" spans="1:2" ht="15.75" customHeight="1" x14ac:dyDescent="0.25">
      <c r="A725" s="86"/>
      <c r="B725" s="86"/>
    </row>
    <row r="726" spans="1:2" ht="15.75" customHeight="1" x14ac:dyDescent="0.25">
      <c r="A726" s="86"/>
      <c r="B726" s="86"/>
    </row>
    <row r="727" spans="1:2" ht="15.75" customHeight="1" x14ac:dyDescent="0.25">
      <c r="A727" s="86"/>
      <c r="B727" s="86"/>
    </row>
    <row r="728" spans="1:2" ht="15.75" customHeight="1" x14ac:dyDescent="0.25">
      <c r="A728" s="86"/>
      <c r="B728" s="86"/>
    </row>
    <row r="729" spans="1:2" ht="15.75" customHeight="1" x14ac:dyDescent="0.25">
      <c r="A729" s="86"/>
      <c r="B729" s="86"/>
    </row>
    <row r="730" spans="1:2" ht="15.75" customHeight="1" x14ac:dyDescent="0.25">
      <c r="A730" s="86"/>
      <c r="B730" s="86"/>
    </row>
    <row r="731" spans="1:2" ht="15.75" customHeight="1" x14ac:dyDescent="0.25">
      <c r="A731" s="86"/>
      <c r="B731" s="86"/>
    </row>
    <row r="732" spans="1:2" ht="15.75" customHeight="1" x14ac:dyDescent="0.25">
      <c r="A732" s="86"/>
      <c r="B732" s="86"/>
    </row>
    <row r="733" spans="1:2" ht="15.75" customHeight="1" x14ac:dyDescent="0.25">
      <c r="A733" s="86"/>
      <c r="B733" s="86"/>
    </row>
    <row r="734" spans="1:2" ht="15.75" customHeight="1" x14ac:dyDescent="0.25">
      <c r="A734" s="86"/>
      <c r="B734" s="86"/>
    </row>
    <row r="735" spans="1:2" ht="15.75" customHeight="1" x14ac:dyDescent="0.25">
      <c r="A735" s="86"/>
      <c r="B735" s="86"/>
    </row>
    <row r="736" spans="1:2" ht="15.75" customHeight="1" x14ac:dyDescent="0.25">
      <c r="A736" s="86"/>
      <c r="B736" s="86"/>
    </row>
    <row r="737" spans="1:2" ht="15.75" customHeight="1" x14ac:dyDescent="0.25">
      <c r="A737" s="86"/>
      <c r="B737" s="86"/>
    </row>
    <row r="738" spans="1:2" ht="15.75" customHeight="1" x14ac:dyDescent="0.25">
      <c r="A738" s="86"/>
      <c r="B738" s="86"/>
    </row>
    <row r="739" spans="1:2" ht="15.75" customHeight="1" x14ac:dyDescent="0.25">
      <c r="A739" s="86"/>
      <c r="B739" s="86"/>
    </row>
    <row r="740" spans="1:2" ht="15.75" customHeight="1" x14ac:dyDescent="0.25">
      <c r="A740" s="86"/>
      <c r="B740" s="86"/>
    </row>
    <row r="741" spans="1:2" ht="15.75" customHeight="1" x14ac:dyDescent="0.25">
      <c r="A741" s="86"/>
      <c r="B741" s="86"/>
    </row>
    <row r="742" spans="1:2" ht="15.75" customHeight="1" x14ac:dyDescent="0.25">
      <c r="A742" s="86"/>
      <c r="B742" s="86"/>
    </row>
    <row r="743" spans="1:2" ht="15.75" customHeight="1" x14ac:dyDescent="0.25">
      <c r="A743" s="86"/>
      <c r="B743" s="86"/>
    </row>
    <row r="744" spans="1:2" ht="15.75" customHeight="1" x14ac:dyDescent="0.25">
      <c r="A744" s="86"/>
      <c r="B744" s="86"/>
    </row>
    <row r="745" spans="1:2" ht="15.75" customHeight="1" x14ac:dyDescent="0.25">
      <c r="A745" s="86"/>
      <c r="B745" s="86"/>
    </row>
    <row r="746" spans="1:2" ht="15.75" customHeight="1" x14ac:dyDescent="0.25">
      <c r="A746" s="86"/>
      <c r="B746" s="86"/>
    </row>
    <row r="747" spans="1:2" ht="15.75" customHeight="1" x14ac:dyDescent="0.25">
      <c r="A747" s="86"/>
      <c r="B747" s="86"/>
    </row>
    <row r="748" spans="1:2" ht="15.75" customHeight="1" x14ac:dyDescent="0.25">
      <c r="A748" s="86"/>
      <c r="B748" s="86"/>
    </row>
    <row r="749" spans="1:2" ht="15.75" customHeight="1" x14ac:dyDescent="0.25">
      <c r="A749" s="86"/>
      <c r="B749" s="86"/>
    </row>
    <row r="750" spans="1:2" ht="15.75" customHeight="1" x14ac:dyDescent="0.25">
      <c r="A750" s="86"/>
      <c r="B750" s="86"/>
    </row>
    <row r="751" spans="1:2" ht="15.75" customHeight="1" x14ac:dyDescent="0.25">
      <c r="A751" s="86"/>
      <c r="B751" s="86"/>
    </row>
    <row r="752" spans="1:2" ht="15.75" customHeight="1" x14ac:dyDescent="0.25">
      <c r="A752" s="86"/>
      <c r="B752" s="86"/>
    </row>
    <row r="753" spans="1:2" ht="15.75" customHeight="1" x14ac:dyDescent="0.25">
      <c r="A753" s="86"/>
      <c r="B753" s="86"/>
    </row>
    <row r="754" spans="1:2" ht="15.75" customHeight="1" x14ac:dyDescent="0.25">
      <c r="A754" s="86"/>
      <c r="B754" s="86"/>
    </row>
    <row r="755" spans="1:2" ht="15.75" customHeight="1" x14ac:dyDescent="0.25">
      <c r="A755" s="86"/>
      <c r="B755" s="86"/>
    </row>
    <row r="756" spans="1:2" ht="15.75" customHeight="1" x14ac:dyDescent="0.25">
      <c r="A756" s="86"/>
      <c r="B756" s="86"/>
    </row>
    <row r="757" spans="1:2" ht="15.75" customHeight="1" x14ac:dyDescent="0.25">
      <c r="A757" s="86"/>
      <c r="B757" s="86"/>
    </row>
    <row r="758" spans="1:2" ht="15.75" customHeight="1" x14ac:dyDescent="0.25">
      <c r="A758" s="86"/>
      <c r="B758" s="86"/>
    </row>
    <row r="759" spans="1:2" ht="15.75" customHeight="1" x14ac:dyDescent="0.25">
      <c r="A759" s="86"/>
      <c r="B759" s="86"/>
    </row>
    <row r="760" spans="1:2" ht="15.75" customHeight="1" x14ac:dyDescent="0.25">
      <c r="A760" s="86"/>
      <c r="B760" s="86"/>
    </row>
    <row r="761" spans="1:2" ht="15.75" customHeight="1" x14ac:dyDescent="0.25">
      <c r="A761" s="86"/>
      <c r="B761" s="86"/>
    </row>
    <row r="762" spans="1:2" ht="15.75" customHeight="1" x14ac:dyDescent="0.25">
      <c r="A762" s="86"/>
      <c r="B762" s="86"/>
    </row>
    <row r="763" spans="1:2" ht="15.75" customHeight="1" x14ac:dyDescent="0.25">
      <c r="A763" s="86"/>
      <c r="B763" s="86"/>
    </row>
    <row r="764" spans="1:2" ht="15.75" customHeight="1" x14ac:dyDescent="0.25">
      <c r="A764" s="86"/>
      <c r="B764" s="86"/>
    </row>
    <row r="765" spans="1:2" ht="15.75" customHeight="1" x14ac:dyDescent="0.25">
      <c r="A765" s="86"/>
      <c r="B765" s="86"/>
    </row>
    <row r="766" spans="1:2" ht="15.75" customHeight="1" x14ac:dyDescent="0.25">
      <c r="A766" s="86"/>
      <c r="B766" s="86"/>
    </row>
    <row r="767" spans="1:2" ht="15.75" customHeight="1" x14ac:dyDescent="0.25">
      <c r="A767" s="86"/>
      <c r="B767" s="86"/>
    </row>
    <row r="768" spans="1:2" ht="15.75" customHeight="1" x14ac:dyDescent="0.25">
      <c r="A768" s="86"/>
      <c r="B768" s="86"/>
    </row>
    <row r="769" spans="1:2" ht="15.75" customHeight="1" x14ac:dyDescent="0.25">
      <c r="A769" s="86"/>
      <c r="B769" s="86"/>
    </row>
    <row r="770" spans="1:2" ht="15.75" customHeight="1" x14ac:dyDescent="0.25">
      <c r="A770" s="86"/>
      <c r="B770" s="86"/>
    </row>
    <row r="771" spans="1:2" ht="15.75" customHeight="1" x14ac:dyDescent="0.25">
      <c r="A771" s="86"/>
      <c r="B771" s="86"/>
    </row>
    <row r="772" spans="1:2" ht="15.75" customHeight="1" x14ac:dyDescent="0.25">
      <c r="A772" s="86"/>
      <c r="B772" s="86"/>
    </row>
    <row r="773" spans="1:2" ht="15.75" customHeight="1" x14ac:dyDescent="0.25">
      <c r="A773" s="86"/>
      <c r="B773" s="86"/>
    </row>
    <row r="774" spans="1:2" ht="15.75" customHeight="1" x14ac:dyDescent="0.25">
      <c r="A774" s="86"/>
      <c r="B774" s="86"/>
    </row>
    <row r="775" spans="1:2" ht="15.75" customHeight="1" x14ac:dyDescent="0.25">
      <c r="A775" s="86"/>
      <c r="B775" s="86"/>
    </row>
    <row r="776" spans="1:2" ht="15.75" customHeight="1" x14ac:dyDescent="0.25">
      <c r="A776" s="86"/>
      <c r="B776" s="86"/>
    </row>
    <row r="777" spans="1:2" ht="15.75" customHeight="1" x14ac:dyDescent="0.25">
      <c r="A777" s="86"/>
      <c r="B777" s="86"/>
    </row>
    <row r="778" spans="1:2" ht="15.75" customHeight="1" x14ac:dyDescent="0.25">
      <c r="A778" s="86"/>
      <c r="B778" s="86"/>
    </row>
    <row r="779" spans="1:2" ht="15.75" customHeight="1" x14ac:dyDescent="0.25">
      <c r="A779" s="86"/>
      <c r="B779" s="86"/>
    </row>
    <row r="780" spans="1:2" ht="15.75" customHeight="1" x14ac:dyDescent="0.25">
      <c r="A780" s="86"/>
      <c r="B780" s="86"/>
    </row>
    <row r="781" spans="1:2" ht="15.75" customHeight="1" x14ac:dyDescent="0.25">
      <c r="A781" s="86"/>
      <c r="B781" s="86"/>
    </row>
    <row r="782" spans="1:2" ht="15.75" customHeight="1" x14ac:dyDescent="0.25">
      <c r="A782" s="86"/>
      <c r="B782" s="86"/>
    </row>
    <row r="783" spans="1:2" ht="15.75" customHeight="1" x14ac:dyDescent="0.25">
      <c r="A783" s="86"/>
      <c r="B783" s="86"/>
    </row>
    <row r="784" spans="1:2" ht="15.75" customHeight="1" x14ac:dyDescent="0.25">
      <c r="A784" s="86"/>
      <c r="B784" s="86"/>
    </row>
    <row r="785" spans="1:2" ht="15.75" customHeight="1" x14ac:dyDescent="0.25">
      <c r="A785" s="86"/>
      <c r="B785" s="86"/>
    </row>
    <row r="786" spans="1:2" ht="15.75" customHeight="1" x14ac:dyDescent="0.25">
      <c r="A786" s="86"/>
      <c r="B786" s="86"/>
    </row>
    <row r="787" spans="1:2" ht="15.75" customHeight="1" x14ac:dyDescent="0.25">
      <c r="A787" s="86"/>
      <c r="B787" s="86"/>
    </row>
    <row r="788" spans="1:2" ht="15.75" customHeight="1" x14ac:dyDescent="0.25">
      <c r="A788" s="86"/>
      <c r="B788" s="86"/>
    </row>
    <row r="789" spans="1:2" ht="15.75" customHeight="1" x14ac:dyDescent="0.25">
      <c r="A789" s="86"/>
      <c r="B789" s="86"/>
    </row>
    <row r="790" spans="1:2" ht="15.75" customHeight="1" x14ac:dyDescent="0.25">
      <c r="A790" s="86"/>
      <c r="B790" s="86"/>
    </row>
    <row r="791" spans="1:2" ht="15.75" customHeight="1" x14ac:dyDescent="0.25">
      <c r="A791" s="86"/>
      <c r="B791" s="86"/>
    </row>
    <row r="792" spans="1:2" ht="15.75" customHeight="1" x14ac:dyDescent="0.25">
      <c r="A792" s="86"/>
      <c r="B792" s="86"/>
    </row>
    <row r="793" spans="1:2" ht="15.75" customHeight="1" x14ac:dyDescent="0.25">
      <c r="A793" s="86"/>
      <c r="B793" s="86"/>
    </row>
    <row r="794" spans="1:2" ht="15.75" customHeight="1" x14ac:dyDescent="0.25">
      <c r="A794" s="86"/>
      <c r="B794" s="86"/>
    </row>
    <row r="795" spans="1:2" ht="15.75" customHeight="1" x14ac:dyDescent="0.25">
      <c r="A795" s="86"/>
      <c r="B795" s="86"/>
    </row>
    <row r="796" spans="1:2" ht="15.75" customHeight="1" x14ac:dyDescent="0.25">
      <c r="A796" s="86"/>
      <c r="B796" s="86"/>
    </row>
    <row r="797" spans="1:2" ht="15.75" customHeight="1" x14ac:dyDescent="0.25">
      <c r="A797" s="86"/>
      <c r="B797" s="86"/>
    </row>
    <row r="798" spans="1:2" ht="15.75" customHeight="1" x14ac:dyDescent="0.25">
      <c r="A798" s="86"/>
      <c r="B798" s="86"/>
    </row>
    <row r="799" spans="1:2" ht="15.75" customHeight="1" x14ac:dyDescent="0.25">
      <c r="A799" s="86"/>
      <c r="B799" s="86"/>
    </row>
    <row r="800" spans="1:2" ht="15.75" customHeight="1" x14ac:dyDescent="0.25">
      <c r="A800" s="86"/>
      <c r="B800" s="86"/>
    </row>
    <row r="801" spans="1:2" ht="15.75" customHeight="1" x14ac:dyDescent="0.25">
      <c r="A801" s="86"/>
      <c r="B801" s="86"/>
    </row>
    <row r="802" spans="1:2" ht="15.75" customHeight="1" x14ac:dyDescent="0.25">
      <c r="A802" s="86"/>
      <c r="B802" s="86"/>
    </row>
    <row r="803" spans="1:2" ht="15.75" customHeight="1" x14ac:dyDescent="0.25">
      <c r="A803" s="86"/>
      <c r="B803" s="86"/>
    </row>
    <row r="804" spans="1:2" ht="15.75" customHeight="1" x14ac:dyDescent="0.25">
      <c r="A804" s="86"/>
      <c r="B804" s="86"/>
    </row>
    <row r="805" spans="1:2" ht="15.75" customHeight="1" x14ac:dyDescent="0.25">
      <c r="A805" s="86"/>
      <c r="B805" s="86"/>
    </row>
    <row r="806" spans="1:2" ht="15.75" customHeight="1" x14ac:dyDescent="0.25">
      <c r="A806" s="86"/>
      <c r="B806" s="86"/>
    </row>
    <row r="807" spans="1:2" ht="15.75" customHeight="1" x14ac:dyDescent="0.25">
      <c r="A807" s="86"/>
      <c r="B807" s="86"/>
    </row>
    <row r="808" spans="1:2" ht="15.75" customHeight="1" x14ac:dyDescent="0.25">
      <c r="A808" s="86"/>
      <c r="B808" s="86"/>
    </row>
    <row r="809" spans="1:2" ht="15.75" customHeight="1" x14ac:dyDescent="0.25">
      <c r="A809" s="86"/>
      <c r="B809" s="86"/>
    </row>
    <row r="810" spans="1:2" ht="15.75" customHeight="1" x14ac:dyDescent="0.25">
      <c r="A810" s="86"/>
      <c r="B810" s="86"/>
    </row>
    <row r="811" spans="1:2" ht="15.75" customHeight="1" x14ac:dyDescent="0.25">
      <c r="A811" s="86"/>
      <c r="B811" s="86"/>
    </row>
    <row r="812" spans="1:2" ht="15.75" customHeight="1" x14ac:dyDescent="0.25">
      <c r="A812" s="86"/>
      <c r="B812" s="86"/>
    </row>
    <row r="813" spans="1:2" ht="15.75" customHeight="1" x14ac:dyDescent="0.25">
      <c r="A813" s="86"/>
      <c r="B813" s="86"/>
    </row>
    <row r="814" spans="1:2" ht="15.75" customHeight="1" x14ac:dyDescent="0.25">
      <c r="A814" s="86"/>
      <c r="B814" s="86"/>
    </row>
    <row r="815" spans="1:2" ht="15.75" customHeight="1" x14ac:dyDescent="0.25">
      <c r="A815" s="86"/>
      <c r="B815" s="86"/>
    </row>
    <row r="816" spans="1:2" ht="15.75" customHeight="1" x14ac:dyDescent="0.25">
      <c r="A816" s="86"/>
      <c r="B816" s="86"/>
    </row>
    <row r="817" spans="1:2" ht="15.75" customHeight="1" x14ac:dyDescent="0.25">
      <c r="A817" s="86"/>
      <c r="B817" s="86"/>
    </row>
    <row r="818" spans="1:2" ht="15.75" customHeight="1" x14ac:dyDescent="0.25">
      <c r="A818" s="86"/>
      <c r="B818" s="86"/>
    </row>
    <row r="819" spans="1:2" ht="15.75" customHeight="1" x14ac:dyDescent="0.25">
      <c r="A819" s="86"/>
      <c r="B819" s="86"/>
    </row>
    <row r="820" spans="1:2" ht="15.75" customHeight="1" x14ac:dyDescent="0.25">
      <c r="A820" s="86"/>
      <c r="B820" s="86"/>
    </row>
    <row r="821" spans="1:2" ht="15.75" customHeight="1" x14ac:dyDescent="0.25">
      <c r="A821" s="86"/>
      <c r="B821" s="86"/>
    </row>
    <row r="822" spans="1:2" ht="15.75" customHeight="1" x14ac:dyDescent="0.25">
      <c r="A822" s="86"/>
      <c r="B822" s="86"/>
    </row>
    <row r="823" spans="1:2" ht="15.75" customHeight="1" x14ac:dyDescent="0.25">
      <c r="A823" s="86"/>
      <c r="B823" s="86"/>
    </row>
    <row r="824" spans="1:2" ht="15.75" customHeight="1" x14ac:dyDescent="0.25">
      <c r="A824" s="86"/>
      <c r="B824" s="86"/>
    </row>
    <row r="825" spans="1:2" ht="15.75" customHeight="1" x14ac:dyDescent="0.25">
      <c r="A825" s="86"/>
      <c r="B825" s="86"/>
    </row>
    <row r="826" spans="1:2" ht="15.75" customHeight="1" x14ac:dyDescent="0.25">
      <c r="A826" s="86"/>
      <c r="B826" s="86"/>
    </row>
    <row r="827" spans="1:2" ht="15.75" customHeight="1" x14ac:dyDescent="0.25">
      <c r="A827" s="86"/>
      <c r="B827" s="86"/>
    </row>
    <row r="828" spans="1:2" ht="15.75" customHeight="1" x14ac:dyDescent="0.25">
      <c r="A828" s="86"/>
      <c r="B828" s="86"/>
    </row>
    <row r="829" spans="1:2" ht="15.75" customHeight="1" x14ac:dyDescent="0.25">
      <c r="A829" s="86"/>
      <c r="B829" s="86"/>
    </row>
    <row r="830" spans="1:2" ht="15.75" customHeight="1" x14ac:dyDescent="0.25">
      <c r="A830" s="86"/>
      <c r="B830" s="86"/>
    </row>
    <row r="831" spans="1:2" ht="15.75" customHeight="1" x14ac:dyDescent="0.25">
      <c r="A831" s="86"/>
      <c r="B831" s="86"/>
    </row>
    <row r="832" spans="1:2" ht="15.75" customHeight="1" x14ac:dyDescent="0.25">
      <c r="A832" s="86"/>
      <c r="B832" s="86"/>
    </row>
    <row r="833" spans="1:2" ht="15.75" customHeight="1" x14ac:dyDescent="0.25">
      <c r="A833" s="86"/>
      <c r="B833" s="86"/>
    </row>
    <row r="834" spans="1:2" ht="15.75" customHeight="1" x14ac:dyDescent="0.25">
      <c r="A834" s="86"/>
      <c r="B834" s="86"/>
    </row>
    <row r="835" spans="1:2" ht="15.75" customHeight="1" x14ac:dyDescent="0.25">
      <c r="A835" s="86"/>
      <c r="B835" s="86"/>
    </row>
    <row r="836" spans="1:2" ht="15.75" customHeight="1" x14ac:dyDescent="0.25">
      <c r="A836" s="86"/>
      <c r="B836" s="86"/>
    </row>
    <row r="837" spans="1:2" ht="15.75" customHeight="1" x14ac:dyDescent="0.25">
      <c r="A837" s="86"/>
      <c r="B837" s="86"/>
    </row>
    <row r="838" spans="1:2" ht="15.75" customHeight="1" x14ac:dyDescent="0.25">
      <c r="A838" s="86"/>
      <c r="B838" s="86"/>
    </row>
    <row r="839" spans="1:2" ht="15.75" customHeight="1" x14ac:dyDescent="0.25">
      <c r="A839" s="86"/>
      <c r="B839" s="86"/>
    </row>
    <row r="840" spans="1:2" ht="15.75" customHeight="1" x14ac:dyDescent="0.25">
      <c r="A840" s="86"/>
      <c r="B840" s="86"/>
    </row>
    <row r="841" spans="1:2" ht="15.75" customHeight="1" x14ac:dyDescent="0.25">
      <c r="A841" s="86"/>
      <c r="B841" s="86"/>
    </row>
    <row r="842" spans="1:2" ht="15.75" customHeight="1" x14ac:dyDescent="0.25">
      <c r="A842" s="86"/>
      <c r="B842" s="86"/>
    </row>
    <row r="843" spans="1:2" ht="15.75" customHeight="1" x14ac:dyDescent="0.25">
      <c r="A843" s="86"/>
      <c r="B843" s="86"/>
    </row>
    <row r="844" spans="1:2" ht="15.75" customHeight="1" x14ac:dyDescent="0.25">
      <c r="A844" s="86"/>
      <c r="B844" s="86"/>
    </row>
    <row r="845" spans="1:2" ht="15.75" customHeight="1" x14ac:dyDescent="0.25">
      <c r="A845" s="86"/>
      <c r="B845" s="86"/>
    </row>
    <row r="846" spans="1:2" ht="15.75" customHeight="1" x14ac:dyDescent="0.25">
      <c r="A846" s="86"/>
      <c r="B846" s="86"/>
    </row>
    <row r="847" spans="1:2" ht="15.75" customHeight="1" x14ac:dyDescent="0.25">
      <c r="A847" s="86"/>
      <c r="B847" s="86"/>
    </row>
    <row r="848" spans="1:2" ht="15.75" customHeight="1" x14ac:dyDescent="0.25">
      <c r="A848" s="86"/>
      <c r="B848" s="86"/>
    </row>
    <row r="849" spans="1:2" ht="15.75" customHeight="1" x14ac:dyDescent="0.25">
      <c r="A849" s="86"/>
      <c r="B849" s="86"/>
    </row>
    <row r="850" spans="1:2" ht="15.75" customHeight="1" x14ac:dyDescent="0.25">
      <c r="A850" s="86"/>
      <c r="B850" s="86"/>
    </row>
    <row r="851" spans="1:2" ht="15.75" customHeight="1" x14ac:dyDescent="0.25">
      <c r="A851" s="86"/>
      <c r="B851" s="86"/>
    </row>
    <row r="852" spans="1:2" ht="15.75" customHeight="1" x14ac:dyDescent="0.25">
      <c r="A852" s="86"/>
      <c r="B852" s="86"/>
    </row>
    <row r="853" spans="1:2" ht="15.75" customHeight="1" x14ac:dyDescent="0.25">
      <c r="A853" s="86"/>
      <c r="B853" s="86"/>
    </row>
    <row r="854" spans="1:2" ht="15.75" customHeight="1" x14ac:dyDescent="0.25">
      <c r="A854" s="86"/>
      <c r="B854" s="86"/>
    </row>
    <row r="855" spans="1:2" ht="15.75" customHeight="1" x14ac:dyDescent="0.25">
      <c r="A855" s="86"/>
      <c r="B855" s="86"/>
    </row>
    <row r="856" spans="1:2" ht="15.75" customHeight="1" x14ac:dyDescent="0.25">
      <c r="A856" s="86"/>
      <c r="B856" s="86"/>
    </row>
    <row r="857" spans="1:2" ht="15.75" customHeight="1" x14ac:dyDescent="0.25">
      <c r="A857" s="86"/>
      <c r="B857" s="86"/>
    </row>
    <row r="858" spans="1:2" ht="15.75" customHeight="1" x14ac:dyDescent="0.25">
      <c r="A858" s="86"/>
      <c r="B858" s="86"/>
    </row>
    <row r="859" spans="1:2" ht="15.75" customHeight="1" x14ac:dyDescent="0.25">
      <c r="A859" s="86"/>
      <c r="B859" s="86"/>
    </row>
    <row r="860" spans="1:2" ht="15.75" customHeight="1" x14ac:dyDescent="0.25">
      <c r="A860" s="86"/>
      <c r="B860" s="86"/>
    </row>
    <row r="861" spans="1:2" ht="15.75" customHeight="1" x14ac:dyDescent="0.25">
      <c r="A861" s="86"/>
      <c r="B861" s="86"/>
    </row>
    <row r="862" spans="1:2" ht="15.75" customHeight="1" x14ac:dyDescent="0.25">
      <c r="A862" s="86"/>
      <c r="B862" s="86"/>
    </row>
    <row r="863" spans="1:2" ht="15.75" customHeight="1" x14ac:dyDescent="0.25">
      <c r="A863" s="86"/>
      <c r="B863" s="86"/>
    </row>
    <row r="864" spans="1:2" ht="15.75" customHeight="1" x14ac:dyDescent="0.25">
      <c r="A864" s="86"/>
      <c r="B864" s="86"/>
    </row>
    <row r="865" spans="1:2" ht="15.75" customHeight="1" x14ac:dyDescent="0.25">
      <c r="A865" s="86"/>
      <c r="B865" s="86"/>
    </row>
    <row r="866" spans="1:2" ht="15.75" customHeight="1" x14ac:dyDescent="0.25">
      <c r="A866" s="86"/>
      <c r="B866" s="86"/>
    </row>
    <row r="867" spans="1:2" ht="15.75" customHeight="1" x14ac:dyDescent="0.25">
      <c r="A867" s="86"/>
      <c r="B867" s="86"/>
    </row>
    <row r="868" spans="1:2" ht="15.75" customHeight="1" x14ac:dyDescent="0.25">
      <c r="A868" s="86"/>
      <c r="B868" s="86"/>
    </row>
    <row r="869" spans="1:2" ht="15.75" customHeight="1" x14ac:dyDescent="0.25">
      <c r="A869" s="86"/>
      <c r="B869" s="86"/>
    </row>
    <row r="870" spans="1:2" ht="15.75" customHeight="1" x14ac:dyDescent="0.25">
      <c r="A870" s="86"/>
      <c r="B870" s="86"/>
    </row>
    <row r="871" spans="1:2" ht="15.75" customHeight="1" x14ac:dyDescent="0.25">
      <c r="A871" s="86"/>
      <c r="B871" s="86"/>
    </row>
    <row r="872" spans="1:2" ht="15.75" customHeight="1" x14ac:dyDescent="0.25">
      <c r="A872" s="86"/>
      <c r="B872" s="86"/>
    </row>
    <row r="873" spans="1:2" ht="15.75" customHeight="1" x14ac:dyDescent="0.25">
      <c r="A873" s="86"/>
      <c r="B873" s="86"/>
    </row>
    <row r="874" spans="1:2" ht="15.75" customHeight="1" x14ac:dyDescent="0.25">
      <c r="A874" s="86"/>
      <c r="B874" s="86"/>
    </row>
    <row r="875" spans="1:2" ht="15.75" customHeight="1" x14ac:dyDescent="0.25">
      <c r="A875" s="86"/>
      <c r="B875" s="86"/>
    </row>
    <row r="876" spans="1:2" ht="15.75" customHeight="1" x14ac:dyDescent="0.25">
      <c r="A876" s="86"/>
      <c r="B876" s="86"/>
    </row>
    <row r="877" spans="1:2" ht="15.75" customHeight="1" x14ac:dyDescent="0.25">
      <c r="A877" s="86"/>
      <c r="B877" s="86"/>
    </row>
    <row r="878" spans="1:2" ht="15.75" customHeight="1" x14ac:dyDescent="0.25">
      <c r="A878" s="86"/>
      <c r="B878" s="86"/>
    </row>
    <row r="879" spans="1:2" ht="15.75" customHeight="1" x14ac:dyDescent="0.25">
      <c r="A879" s="86"/>
      <c r="B879" s="86"/>
    </row>
    <row r="880" spans="1:2" ht="15.75" customHeight="1" x14ac:dyDescent="0.25">
      <c r="A880" s="86"/>
      <c r="B880" s="86"/>
    </row>
    <row r="881" spans="1:2" ht="15.75" customHeight="1" x14ac:dyDescent="0.25">
      <c r="A881" s="86"/>
      <c r="B881" s="86"/>
    </row>
    <row r="882" spans="1:2" ht="15.75" customHeight="1" x14ac:dyDescent="0.25">
      <c r="A882" s="86"/>
      <c r="B882" s="86"/>
    </row>
    <row r="883" spans="1:2" ht="15.75" customHeight="1" x14ac:dyDescent="0.25">
      <c r="A883" s="86"/>
      <c r="B883" s="86"/>
    </row>
    <row r="884" spans="1:2" ht="15.75" customHeight="1" x14ac:dyDescent="0.25">
      <c r="A884" s="86"/>
      <c r="B884" s="86"/>
    </row>
    <row r="885" spans="1:2" ht="15.75" customHeight="1" x14ac:dyDescent="0.25">
      <c r="A885" s="86"/>
      <c r="B885" s="86"/>
    </row>
    <row r="886" spans="1:2" ht="15.75" customHeight="1" x14ac:dyDescent="0.25">
      <c r="A886" s="86"/>
      <c r="B886" s="86"/>
    </row>
    <row r="887" spans="1:2" ht="15.75" customHeight="1" x14ac:dyDescent="0.25">
      <c r="A887" s="86"/>
      <c r="B887" s="86"/>
    </row>
    <row r="888" spans="1:2" ht="15.75" customHeight="1" x14ac:dyDescent="0.25">
      <c r="A888" s="86"/>
      <c r="B888" s="86"/>
    </row>
    <row r="889" spans="1:2" ht="15.75" customHeight="1" x14ac:dyDescent="0.25">
      <c r="A889" s="86"/>
      <c r="B889" s="86"/>
    </row>
    <row r="890" spans="1:2" ht="15.75" customHeight="1" x14ac:dyDescent="0.25">
      <c r="A890" s="86"/>
      <c r="B890" s="86"/>
    </row>
    <row r="891" spans="1:2" ht="15.75" customHeight="1" x14ac:dyDescent="0.25">
      <c r="A891" s="86"/>
      <c r="B891" s="86"/>
    </row>
    <row r="892" spans="1:2" ht="15.75" customHeight="1" x14ac:dyDescent="0.25">
      <c r="A892" s="86"/>
      <c r="B892" s="86"/>
    </row>
    <row r="893" spans="1:2" ht="15.75" customHeight="1" x14ac:dyDescent="0.25">
      <c r="A893" s="86"/>
      <c r="B893" s="86"/>
    </row>
    <row r="894" spans="1:2" ht="15.75" customHeight="1" x14ac:dyDescent="0.25">
      <c r="A894" s="86"/>
      <c r="B894" s="86"/>
    </row>
    <row r="895" spans="1:2" ht="15.75" customHeight="1" x14ac:dyDescent="0.25">
      <c r="A895" s="86"/>
      <c r="B895" s="86"/>
    </row>
    <row r="896" spans="1:2" ht="15.75" customHeight="1" x14ac:dyDescent="0.25">
      <c r="A896" s="86"/>
      <c r="B896" s="86"/>
    </row>
    <row r="897" spans="1:2" ht="15.75" customHeight="1" x14ac:dyDescent="0.25">
      <c r="A897" s="86"/>
      <c r="B897" s="86"/>
    </row>
    <row r="898" spans="1:2" ht="15.75" customHeight="1" x14ac:dyDescent="0.25">
      <c r="A898" s="86"/>
      <c r="B898" s="86"/>
    </row>
    <row r="899" spans="1:2" ht="15.75" customHeight="1" x14ac:dyDescent="0.25">
      <c r="A899" s="86"/>
      <c r="B899" s="86"/>
    </row>
    <row r="900" spans="1:2" ht="15.75" customHeight="1" x14ac:dyDescent="0.25">
      <c r="A900" s="86"/>
      <c r="B900" s="86"/>
    </row>
    <row r="901" spans="1:2" ht="15.75" customHeight="1" x14ac:dyDescent="0.25">
      <c r="A901" s="86"/>
      <c r="B901" s="86"/>
    </row>
    <row r="902" spans="1:2" ht="15.75" customHeight="1" x14ac:dyDescent="0.25">
      <c r="A902" s="86"/>
      <c r="B902" s="86"/>
    </row>
    <row r="903" spans="1:2" ht="15.75" customHeight="1" x14ac:dyDescent="0.25">
      <c r="A903" s="86"/>
      <c r="B903" s="86"/>
    </row>
    <row r="904" spans="1:2" ht="15.75" customHeight="1" x14ac:dyDescent="0.25">
      <c r="A904" s="86"/>
      <c r="B904" s="86"/>
    </row>
    <row r="905" spans="1:2" ht="15.75" customHeight="1" x14ac:dyDescent="0.25">
      <c r="A905" s="86"/>
      <c r="B905" s="86"/>
    </row>
    <row r="906" spans="1:2" ht="15.75" customHeight="1" x14ac:dyDescent="0.25">
      <c r="A906" s="86"/>
      <c r="B906" s="86"/>
    </row>
    <row r="907" spans="1:2" ht="15.75" customHeight="1" x14ac:dyDescent="0.25">
      <c r="A907" s="86"/>
      <c r="B907" s="86"/>
    </row>
    <row r="908" spans="1:2" ht="15.75" customHeight="1" x14ac:dyDescent="0.25">
      <c r="A908" s="86"/>
      <c r="B908" s="86"/>
    </row>
    <row r="909" spans="1:2" ht="15.75" customHeight="1" x14ac:dyDescent="0.25">
      <c r="A909" s="86"/>
      <c r="B909" s="86"/>
    </row>
    <row r="910" spans="1:2" ht="15.75" customHeight="1" x14ac:dyDescent="0.25">
      <c r="A910" s="86"/>
      <c r="B910" s="86"/>
    </row>
    <row r="911" spans="1:2" ht="15.75" customHeight="1" x14ac:dyDescent="0.25">
      <c r="A911" s="86"/>
      <c r="B911" s="86"/>
    </row>
    <row r="912" spans="1:2" ht="15.75" customHeight="1" x14ac:dyDescent="0.25">
      <c r="A912" s="86"/>
      <c r="B912" s="86"/>
    </row>
    <row r="913" spans="1:2" ht="15.75" customHeight="1" x14ac:dyDescent="0.25">
      <c r="A913" s="86"/>
      <c r="B913" s="86"/>
    </row>
    <row r="914" spans="1:2" ht="15.75" customHeight="1" x14ac:dyDescent="0.25">
      <c r="A914" s="86"/>
      <c r="B914" s="86"/>
    </row>
    <row r="915" spans="1:2" ht="15.75" customHeight="1" x14ac:dyDescent="0.25">
      <c r="A915" s="86"/>
      <c r="B915" s="86"/>
    </row>
    <row r="916" spans="1:2" ht="15.75" customHeight="1" x14ac:dyDescent="0.25">
      <c r="A916" s="86"/>
      <c r="B916" s="86"/>
    </row>
    <row r="917" spans="1:2" ht="15.75" customHeight="1" x14ac:dyDescent="0.25">
      <c r="A917" s="86"/>
      <c r="B917" s="86"/>
    </row>
    <row r="918" spans="1:2" ht="15.75" customHeight="1" x14ac:dyDescent="0.25">
      <c r="A918" s="86"/>
      <c r="B918" s="86"/>
    </row>
    <row r="919" spans="1:2" ht="15.75" customHeight="1" x14ac:dyDescent="0.25">
      <c r="A919" s="86"/>
      <c r="B919" s="86"/>
    </row>
    <row r="920" spans="1:2" ht="15.75" customHeight="1" x14ac:dyDescent="0.25">
      <c r="A920" s="86"/>
      <c r="B920" s="86"/>
    </row>
    <row r="921" spans="1:2" ht="15.75" customHeight="1" x14ac:dyDescent="0.25">
      <c r="A921" s="86"/>
      <c r="B921" s="86"/>
    </row>
    <row r="922" spans="1:2" ht="15.75" customHeight="1" x14ac:dyDescent="0.25">
      <c r="A922" s="86"/>
      <c r="B922" s="86"/>
    </row>
    <row r="923" spans="1:2" ht="15.75" customHeight="1" x14ac:dyDescent="0.25">
      <c r="A923" s="86"/>
      <c r="B923" s="86"/>
    </row>
    <row r="924" spans="1:2" ht="15.75" customHeight="1" x14ac:dyDescent="0.25">
      <c r="A924" s="86"/>
      <c r="B924" s="86"/>
    </row>
    <row r="925" spans="1:2" ht="15.75" customHeight="1" x14ac:dyDescent="0.25">
      <c r="A925" s="86"/>
      <c r="B925" s="86"/>
    </row>
    <row r="926" spans="1:2" ht="15.75" customHeight="1" x14ac:dyDescent="0.25">
      <c r="A926" s="86"/>
      <c r="B926" s="86"/>
    </row>
    <row r="927" spans="1:2" ht="15.75" customHeight="1" x14ac:dyDescent="0.25">
      <c r="A927" s="86"/>
      <c r="B927" s="86"/>
    </row>
    <row r="928" spans="1:2" ht="15.75" customHeight="1" x14ac:dyDescent="0.25">
      <c r="A928" s="86"/>
      <c r="B928" s="86"/>
    </row>
    <row r="929" spans="1:2" ht="15.75" customHeight="1" x14ac:dyDescent="0.25">
      <c r="A929" s="86"/>
      <c r="B929" s="86"/>
    </row>
    <row r="930" spans="1:2" ht="15.75" customHeight="1" x14ac:dyDescent="0.25">
      <c r="A930" s="86"/>
      <c r="B930" s="86"/>
    </row>
    <row r="931" spans="1:2" ht="15.75" customHeight="1" x14ac:dyDescent="0.25">
      <c r="A931" s="86"/>
      <c r="B931" s="86"/>
    </row>
    <row r="932" spans="1:2" ht="15.75" customHeight="1" x14ac:dyDescent="0.25">
      <c r="A932" s="86"/>
      <c r="B932" s="86"/>
    </row>
    <row r="933" spans="1:2" ht="15.75" customHeight="1" x14ac:dyDescent="0.25">
      <c r="A933" s="86"/>
      <c r="B933" s="86"/>
    </row>
    <row r="934" spans="1:2" ht="15.75" customHeight="1" x14ac:dyDescent="0.25">
      <c r="A934" s="86"/>
      <c r="B934" s="86"/>
    </row>
    <row r="935" spans="1:2" ht="15.75" customHeight="1" x14ac:dyDescent="0.25">
      <c r="A935" s="86"/>
      <c r="B935" s="86"/>
    </row>
    <row r="936" spans="1:2" ht="15.75" customHeight="1" x14ac:dyDescent="0.25">
      <c r="A936" s="86"/>
      <c r="B936" s="86"/>
    </row>
    <row r="937" spans="1:2" ht="15.75" customHeight="1" x14ac:dyDescent="0.25">
      <c r="A937" s="86"/>
      <c r="B937" s="86"/>
    </row>
    <row r="938" spans="1:2" ht="15.75" customHeight="1" x14ac:dyDescent="0.25">
      <c r="A938" s="86"/>
      <c r="B938" s="86"/>
    </row>
    <row r="939" spans="1:2" ht="15.75" customHeight="1" x14ac:dyDescent="0.25">
      <c r="A939" s="86"/>
      <c r="B939" s="86"/>
    </row>
    <row r="940" spans="1:2" ht="15.75" customHeight="1" x14ac:dyDescent="0.25">
      <c r="A940" s="86"/>
      <c r="B940" s="86"/>
    </row>
    <row r="941" spans="1:2" ht="15.75" customHeight="1" x14ac:dyDescent="0.25">
      <c r="A941" s="86"/>
      <c r="B941" s="86"/>
    </row>
    <row r="942" spans="1:2" ht="15.75" customHeight="1" x14ac:dyDescent="0.25">
      <c r="A942" s="86"/>
      <c r="B942" s="86"/>
    </row>
    <row r="943" spans="1:2" ht="15.75" customHeight="1" x14ac:dyDescent="0.25">
      <c r="A943" s="86"/>
      <c r="B943" s="86"/>
    </row>
    <row r="944" spans="1:2" ht="15.75" customHeight="1" x14ac:dyDescent="0.25">
      <c r="A944" s="86"/>
      <c r="B944" s="86"/>
    </row>
    <row r="945" spans="1:2" ht="15.75" customHeight="1" x14ac:dyDescent="0.25">
      <c r="A945" s="86"/>
      <c r="B945" s="86"/>
    </row>
    <row r="946" spans="1:2" ht="15.75" customHeight="1" x14ac:dyDescent="0.25">
      <c r="A946" s="86"/>
      <c r="B946" s="86"/>
    </row>
    <row r="947" spans="1:2" ht="15.75" customHeight="1" x14ac:dyDescent="0.25">
      <c r="A947" s="86"/>
      <c r="B947" s="86"/>
    </row>
    <row r="948" spans="1:2" ht="15.75" customHeight="1" x14ac:dyDescent="0.25">
      <c r="A948" s="86"/>
      <c r="B948" s="86"/>
    </row>
    <row r="949" spans="1:2" ht="15.75" customHeight="1" x14ac:dyDescent="0.25">
      <c r="A949" s="86"/>
      <c r="B949" s="86"/>
    </row>
    <row r="950" spans="1:2" ht="15.75" customHeight="1" x14ac:dyDescent="0.25">
      <c r="A950" s="86"/>
      <c r="B950" s="86"/>
    </row>
    <row r="951" spans="1:2" ht="15.75" customHeight="1" x14ac:dyDescent="0.25">
      <c r="A951" s="86"/>
      <c r="B951" s="86"/>
    </row>
    <row r="952" spans="1:2" ht="15.75" customHeight="1" x14ac:dyDescent="0.25">
      <c r="A952" s="86"/>
      <c r="B952" s="86"/>
    </row>
    <row r="953" spans="1:2" ht="15.75" customHeight="1" x14ac:dyDescent="0.25">
      <c r="A953" s="86"/>
      <c r="B953" s="86"/>
    </row>
    <row r="954" spans="1:2" ht="15.75" customHeight="1" x14ac:dyDescent="0.25">
      <c r="A954" s="86"/>
      <c r="B954" s="86"/>
    </row>
    <row r="955" spans="1:2" ht="15.75" customHeight="1" x14ac:dyDescent="0.25">
      <c r="A955" s="86"/>
      <c r="B955" s="86"/>
    </row>
    <row r="956" spans="1:2" ht="15.75" customHeight="1" x14ac:dyDescent="0.25">
      <c r="A956" s="86"/>
      <c r="B956" s="86"/>
    </row>
    <row r="957" spans="1:2" ht="15.75" customHeight="1" x14ac:dyDescent="0.25">
      <c r="A957" s="86"/>
      <c r="B957" s="86"/>
    </row>
    <row r="958" spans="1:2" ht="15.75" customHeight="1" x14ac:dyDescent="0.25">
      <c r="A958" s="86"/>
      <c r="B958" s="86"/>
    </row>
    <row r="959" spans="1:2" ht="15.75" customHeight="1" x14ac:dyDescent="0.25">
      <c r="A959" s="86"/>
      <c r="B959" s="86"/>
    </row>
    <row r="960" spans="1:2" ht="15.75" customHeight="1" x14ac:dyDescent="0.25">
      <c r="A960" s="86"/>
      <c r="B960" s="86"/>
    </row>
    <row r="961" spans="1:2" ht="15.75" customHeight="1" x14ac:dyDescent="0.25">
      <c r="A961" s="86"/>
      <c r="B961" s="86"/>
    </row>
    <row r="962" spans="1:2" ht="15.75" customHeight="1" x14ac:dyDescent="0.25">
      <c r="A962" s="86"/>
      <c r="B962" s="86"/>
    </row>
    <row r="963" spans="1:2" ht="15.75" customHeight="1" x14ac:dyDescent="0.25">
      <c r="A963" s="86"/>
      <c r="B963" s="86"/>
    </row>
    <row r="964" spans="1:2" ht="15.75" customHeight="1" x14ac:dyDescent="0.25">
      <c r="A964" s="86"/>
      <c r="B964" s="86"/>
    </row>
    <row r="965" spans="1:2" ht="15.75" customHeight="1" x14ac:dyDescent="0.25">
      <c r="A965" s="86"/>
      <c r="B965" s="86"/>
    </row>
    <row r="966" spans="1:2" ht="15.75" customHeight="1" x14ac:dyDescent="0.25">
      <c r="A966" s="86"/>
      <c r="B966" s="86"/>
    </row>
    <row r="967" spans="1:2" ht="15.75" customHeight="1" x14ac:dyDescent="0.25">
      <c r="A967" s="86"/>
      <c r="B967" s="86"/>
    </row>
    <row r="968" spans="1:2" ht="15.75" customHeight="1" x14ac:dyDescent="0.25">
      <c r="A968" s="86"/>
      <c r="B968" s="86"/>
    </row>
    <row r="969" spans="1:2" ht="15.75" customHeight="1" x14ac:dyDescent="0.25">
      <c r="A969" s="86"/>
      <c r="B969" s="86"/>
    </row>
    <row r="970" spans="1:2" ht="15.75" customHeight="1" x14ac:dyDescent="0.25">
      <c r="A970" s="86"/>
      <c r="B970" s="86"/>
    </row>
    <row r="971" spans="1:2" ht="15.75" customHeight="1" x14ac:dyDescent="0.25">
      <c r="A971" s="86"/>
      <c r="B971" s="86"/>
    </row>
    <row r="972" spans="1:2" ht="15.75" customHeight="1" x14ac:dyDescent="0.25">
      <c r="A972" s="86"/>
      <c r="B972" s="86"/>
    </row>
    <row r="973" spans="1:2" ht="15.75" customHeight="1" x14ac:dyDescent="0.25">
      <c r="A973" s="86"/>
      <c r="B973" s="86"/>
    </row>
    <row r="974" spans="1:2" ht="15.75" customHeight="1" x14ac:dyDescent="0.25">
      <c r="A974" s="86"/>
      <c r="B974" s="86"/>
    </row>
    <row r="975" spans="1:2" ht="15.75" customHeight="1" x14ac:dyDescent="0.25">
      <c r="A975" s="86"/>
      <c r="B975" s="86"/>
    </row>
    <row r="976" spans="1:2" ht="15.75" customHeight="1" x14ac:dyDescent="0.25">
      <c r="A976" s="86"/>
      <c r="B976" s="86"/>
    </row>
    <row r="977" spans="1:2" ht="15.75" customHeight="1" x14ac:dyDescent="0.25">
      <c r="A977" s="86"/>
      <c r="B977" s="86"/>
    </row>
    <row r="978" spans="1:2" ht="15.75" customHeight="1" x14ac:dyDescent="0.25">
      <c r="A978" s="86"/>
      <c r="B978" s="86"/>
    </row>
    <row r="979" spans="1:2" ht="15.75" customHeight="1" x14ac:dyDescent="0.25">
      <c r="A979" s="86"/>
      <c r="B979" s="86"/>
    </row>
    <row r="980" spans="1:2" ht="15.75" customHeight="1" x14ac:dyDescent="0.25">
      <c r="A980" s="86"/>
      <c r="B980" s="86"/>
    </row>
    <row r="981" spans="1:2" ht="15.75" customHeight="1" x14ac:dyDescent="0.25">
      <c r="A981" s="86"/>
      <c r="B981" s="86"/>
    </row>
    <row r="982" spans="1:2" ht="15.75" customHeight="1" x14ac:dyDescent="0.25">
      <c r="A982" s="86"/>
      <c r="B982" s="86"/>
    </row>
    <row r="983" spans="1:2" ht="15.75" customHeight="1" x14ac:dyDescent="0.25">
      <c r="A983" s="86"/>
      <c r="B983" s="86"/>
    </row>
    <row r="984" spans="1:2" ht="15.75" customHeight="1" x14ac:dyDescent="0.25">
      <c r="A984" s="86"/>
      <c r="B984" s="86"/>
    </row>
    <row r="985" spans="1:2" ht="15.75" customHeight="1" x14ac:dyDescent="0.25">
      <c r="A985" s="86"/>
      <c r="B985" s="86"/>
    </row>
    <row r="986" spans="1:2" ht="15.75" customHeight="1" x14ac:dyDescent="0.25">
      <c r="A986" s="86"/>
      <c r="B986" s="86"/>
    </row>
    <row r="987" spans="1:2" ht="15.75" customHeight="1" x14ac:dyDescent="0.25">
      <c r="A987" s="86"/>
      <c r="B987" s="86"/>
    </row>
    <row r="988" spans="1:2" ht="15.75" customHeight="1" x14ac:dyDescent="0.25">
      <c r="A988" s="86"/>
      <c r="B988" s="86"/>
    </row>
    <row r="989" spans="1:2" ht="15.75" customHeight="1" x14ac:dyDescent="0.25">
      <c r="A989" s="86"/>
      <c r="B989" s="86"/>
    </row>
    <row r="990" spans="1:2" ht="15.75" customHeight="1" x14ac:dyDescent="0.25">
      <c r="A990" s="86"/>
      <c r="B990" s="86"/>
    </row>
    <row r="991" spans="1:2" ht="15.75" customHeight="1" x14ac:dyDescent="0.25">
      <c r="A991" s="86"/>
      <c r="B991" s="86"/>
    </row>
    <row r="992" spans="1:2" ht="15.75" customHeight="1" x14ac:dyDescent="0.25">
      <c r="A992" s="86"/>
      <c r="B992" s="86"/>
    </row>
    <row r="993" spans="1:2" ht="15.75" customHeight="1" x14ac:dyDescent="0.25">
      <c r="A993" s="86"/>
      <c r="B993" s="86"/>
    </row>
    <row r="994" spans="1:2" ht="15.75" customHeight="1" x14ac:dyDescent="0.25">
      <c r="A994" s="86"/>
      <c r="B994" s="86"/>
    </row>
    <row r="995" spans="1:2" ht="15.75" customHeight="1" x14ac:dyDescent="0.25">
      <c r="A995" s="86"/>
      <c r="B995" s="86"/>
    </row>
    <row r="996" spans="1:2" ht="15.75" customHeight="1" x14ac:dyDescent="0.25">
      <c r="A996" s="86"/>
      <c r="B996" s="86"/>
    </row>
    <row r="997" spans="1:2" ht="15.75" customHeight="1" x14ac:dyDescent="0.25">
      <c r="A997" s="86"/>
      <c r="B997" s="86"/>
    </row>
    <row r="998" spans="1:2" ht="15.75" customHeight="1" x14ac:dyDescent="0.25">
      <c r="A998" s="86"/>
      <c r="B998" s="86"/>
    </row>
    <row r="999" spans="1:2" ht="15.75" customHeight="1" x14ac:dyDescent="0.25">
      <c r="A999" s="86"/>
      <c r="B999" s="86"/>
    </row>
    <row r="1000" spans="1:2" ht="15.75" customHeight="1" x14ac:dyDescent="0.25">
      <c r="A1000" s="86"/>
      <c r="B1000" s="86"/>
    </row>
    <row r="1001" spans="1:2" ht="15.75" customHeight="1" x14ac:dyDescent="0.25">
      <c r="A1001" s="86"/>
      <c r="B1001" s="86"/>
    </row>
  </sheetData>
  <mergeCells count="10">
    <mergeCell ref="Q6:Q7"/>
    <mergeCell ref="F6:F7"/>
    <mergeCell ref="D6:D7"/>
    <mergeCell ref="P6:P7"/>
    <mergeCell ref="N3:P3"/>
    <mergeCell ref="N4:P4"/>
    <mergeCell ref="A6:A7"/>
    <mergeCell ref="B6:B7"/>
    <mergeCell ref="C6:C7"/>
    <mergeCell ref="I6:I7"/>
  </mergeCells>
  <printOptions horizontalCentered="1" verticalCentered="1"/>
  <pageMargins left="0.25" right="0.25" top="0.75" bottom="0.75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0"/>
  <sheetViews>
    <sheetView topLeftCell="A2" workbookViewId="0">
      <selection activeCell="Q8" sqref="Q8"/>
    </sheetView>
  </sheetViews>
  <sheetFormatPr baseColWidth="10" defaultColWidth="14.42578125" defaultRowHeight="15" customHeight="1" x14ac:dyDescent="0.25"/>
  <cols>
    <col min="1" max="1" width="5.28515625" customWidth="1"/>
    <col min="2" max="2" width="8" customWidth="1"/>
    <col min="3" max="3" width="31.5703125" customWidth="1"/>
    <col min="4" max="4" width="13.7109375" hidden="1" customWidth="1"/>
    <col min="5" max="5" width="12.7109375" hidden="1" customWidth="1"/>
    <col min="6" max="7" width="12.42578125" hidden="1" customWidth="1"/>
    <col min="8" max="8" width="11.42578125" hidden="1" customWidth="1"/>
    <col min="9" max="9" width="9.42578125" hidden="1" customWidth="1"/>
    <col min="10" max="10" width="10.5703125" hidden="1" customWidth="1"/>
    <col min="11" max="11" width="9.140625" hidden="1" customWidth="1"/>
    <col min="12" max="15" width="9.140625" customWidth="1"/>
    <col min="16" max="16" width="12.42578125" hidden="1" customWidth="1"/>
    <col min="17" max="17" width="11.140625" customWidth="1"/>
    <col min="18" max="26" width="10.7109375" customWidth="1"/>
  </cols>
  <sheetData>
    <row r="1" spans="1:22" x14ac:dyDescent="0.25">
      <c r="A1" s="41"/>
      <c r="B1" s="41"/>
      <c r="C1" s="42"/>
      <c r="D1" s="43" t="s">
        <v>55</v>
      </c>
      <c r="E1" s="43"/>
      <c r="F1" s="43"/>
      <c r="G1" s="42"/>
      <c r="H1" s="42"/>
      <c r="I1" s="42"/>
      <c r="J1" s="42"/>
      <c r="K1" s="42"/>
      <c r="L1" s="42"/>
      <c r="M1" s="42"/>
      <c r="N1" s="42"/>
      <c r="O1" s="42"/>
      <c r="P1" s="43"/>
      <c r="Q1" s="42"/>
      <c r="R1" s="42"/>
    </row>
    <row r="2" spans="1:22" x14ac:dyDescent="0.25">
      <c r="A2" s="44" t="s">
        <v>136</v>
      </c>
      <c r="B2" s="42"/>
      <c r="C2" s="45"/>
      <c r="D2" s="43" t="s">
        <v>56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</row>
    <row r="3" spans="1:22" ht="15.75" thickBot="1" x14ac:dyDescent="0.3">
      <c r="A3" s="44"/>
      <c r="B3" s="42"/>
      <c r="C3" s="45"/>
      <c r="D3" s="43"/>
      <c r="E3" s="42"/>
      <c r="F3" s="42"/>
      <c r="G3" s="42"/>
      <c r="H3" s="42"/>
      <c r="I3" s="42"/>
      <c r="J3" s="42"/>
      <c r="K3" s="43" t="s">
        <v>57</v>
      </c>
      <c r="L3" s="43"/>
      <c r="M3" s="43"/>
      <c r="N3" s="43"/>
      <c r="O3" s="43"/>
      <c r="P3" s="43"/>
      <c r="Q3" s="42"/>
      <c r="R3" s="42"/>
    </row>
    <row r="4" spans="1:22" hidden="1" x14ac:dyDescent="0.25">
      <c r="A4" s="44"/>
      <c r="B4" s="42"/>
      <c r="C4" s="45"/>
      <c r="D4" s="43"/>
      <c r="E4" s="42"/>
      <c r="F4" s="42"/>
      <c r="G4" s="42"/>
      <c r="H4" s="42"/>
      <c r="I4" s="42"/>
      <c r="J4" s="42"/>
      <c r="K4" s="43" t="s">
        <v>58</v>
      </c>
      <c r="L4" s="43"/>
      <c r="M4" s="43"/>
      <c r="N4" s="43"/>
      <c r="O4" s="43"/>
      <c r="P4" s="43"/>
    </row>
    <row r="5" spans="1:22" x14ac:dyDescent="0.25">
      <c r="A5" s="247" t="s">
        <v>59</v>
      </c>
      <c r="B5" s="249" t="s">
        <v>60</v>
      </c>
      <c r="C5" s="251" t="s">
        <v>61</v>
      </c>
      <c r="D5" s="52" t="s">
        <v>62</v>
      </c>
      <c r="E5" s="46" t="s">
        <v>63</v>
      </c>
      <c r="F5" s="47" t="s">
        <v>64</v>
      </c>
      <c r="G5" s="239" t="s">
        <v>137</v>
      </c>
      <c r="H5" s="51" t="s">
        <v>138</v>
      </c>
      <c r="I5" s="48" t="s">
        <v>65</v>
      </c>
      <c r="J5" s="88" t="s">
        <v>66</v>
      </c>
      <c r="K5" s="89" t="s">
        <v>67</v>
      </c>
      <c r="L5" s="88" t="s">
        <v>67</v>
      </c>
      <c r="M5" s="88" t="s">
        <v>139</v>
      </c>
      <c r="N5" s="88" t="s">
        <v>139</v>
      </c>
      <c r="O5" s="89" t="s">
        <v>139</v>
      </c>
      <c r="P5" s="88" t="s">
        <v>68</v>
      </c>
      <c r="Q5" s="88" t="s">
        <v>140</v>
      </c>
      <c r="R5" s="88" t="s">
        <v>171</v>
      </c>
    </row>
    <row r="6" spans="1:22" ht="15.75" thickBot="1" x14ac:dyDescent="0.3">
      <c r="A6" s="248"/>
      <c r="B6" s="250"/>
      <c r="C6" s="252"/>
      <c r="D6" s="57" t="s">
        <v>69</v>
      </c>
      <c r="E6" s="53" t="s">
        <v>70</v>
      </c>
      <c r="F6" s="54" t="s">
        <v>71</v>
      </c>
      <c r="G6" s="240"/>
      <c r="H6" s="58" t="s">
        <v>141</v>
      </c>
      <c r="I6" s="55">
        <v>0.02</v>
      </c>
      <c r="J6" s="90" t="s">
        <v>72</v>
      </c>
      <c r="K6" s="91" t="s">
        <v>73</v>
      </c>
      <c r="L6" s="90" t="s">
        <v>74</v>
      </c>
      <c r="M6" s="90">
        <v>1</v>
      </c>
      <c r="N6" s="90">
        <v>2</v>
      </c>
      <c r="O6" s="92">
        <v>3</v>
      </c>
      <c r="P6" s="90"/>
      <c r="Q6" s="90"/>
      <c r="R6" s="90" t="s">
        <v>140</v>
      </c>
    </row>
    <row r="7" spans="1:22" x14ac:dyDescent="0.25">
      <c r="A7" s="93">
        <v>1</v>
      </c>
      <c r="B7" s="94" t="s">
        <v>76</v>
      </c>
      <c r="C7" s="95" t="s">
        <v>77</v>
      </c>
      <c r="D7" s="62">
        <v>7287</v>
      </c>
      <c r="E7" s="62">
        <v>7287</v>
      </c>
      <c r="F7" s="63">
        <v>0</v>
      </c>
      <c r="G7" s="64">
        <v>0</v>
      </c>
      <c r="H7" s="68">
        <v>0</v>
      </c>
      <c r="I7" s="65">
        <f t="shared" ref="I7:I42" si="0">(G7+H7)*2%</f>
        <v>0</v>
      </c>
      <c r="J7" s="96">
        <v>4.3900000000000002E-2</v>
      </c>
      <c r="K7" s="67">
        <f>P3*J7</f>
        <v>0</v>
      </c>
      <c r="L7" s="97">
        <f t="shared" ref="L7:L42" si="1">300000*J7</f>
        <v>13170</v>
      </c>
      <c r="M7" s="98">
        <f t="shared" ref="M7:M42" si="2">L7/3</f>
        <v>4390</v>
      </c>
      <c r="N7" s="98">
        <f t="shared" ref="N7:O7" si="3">M7</f>
        <v>4390</v>
      </c>
      <c r="O7" s="98">
        <f t="shared" si="3"/>
        <v>4390</v>
      </c>
      <c r="P7" s="97">
        <f t="shared" ref="P7:P42" si="4">+M7+N7+O7</f>
        <v>13170</v>
      </c>
      <c r="Q7" s="99">
        <f>O7*3</f>
        <v>13170</v>
      </c>
      <c r="R7" s="99"/>
    </row>
    <row r="8" spans="1:22" x14ac:dyDescent="0.25">
      <c r="A8" s="59">
        <v>2</v>
      </c>
      <c r="B8" s="60" t="s">
        <v>78</v>
      </c>
      <c r="C8" s="61" t="s">
        <v>79</v>
      </c>
      <c r="D8" s="62">
        <v>34081</v>
      </c>
      <c r="E8" s="62">
        <v>0</v>
      </c>
      <c r="F8" s="63">
        <v>0</v>
      </c>
      <c r="G8" s="64">
        <v>29032.34</v>
      </c>
      <c r="H8" s="68">
        <v>5049</v>
      </c>
      <c r="I8" s="65">
        <f t="shared" si="0"/>
        <v>681.62679999999989</v>
      </c>
      <c r="J8" s="100">
        <v>2.64E-2</v>
      </c>
      <c r="K8" s="67">
        <f>P3*J8</f>
        <v>0</v>
      </c>
      <c r="L8" s="97">
        <f t="shared" si="1"/>
        <v>7920</v>
      </c>
      <c r="M8" s="62">
        <f t="shared" si="2"/>
        <v>2640</v>
      </c>
      <c r="N8" s="62">
        <f t="shared" ref="N8:O8" si="5">M8</f>
        <v>2640</v>
      </c>
      <c r="O8" s="62">
        <f t="shared" si="5"/>
        <v>2640</v>
      </c>
      <c r="P8" s="65">
        <f t="shared" si="4"/>
        <v>7920</v>
      </c>
      <c r="Q8" s="101">
        <v>24153</v>
      </c>
      <c r="R8" s="101">
        <f>27548.87-Q8</f>
        <v>3395.869999999999</v>
      </c>
    </row>
    <row r="9" spans="1:22" x14ac:dyDescent="0.25">
      <c r="A9" s="59">
        <v>3</v>
      </c>
      <c r="B9" s="60" t="s">
        <v>80</v>
      </c>
      <c r="C9" s="61" t="s">
        <v>81</v>
      </c>
      <c r="D9" s="62">
        <v>2274</v>
      </c>
      <c r="E9" s="62">
        <v>0</v>
      </c>
      <c r="F9" s="63">
        <v>0</v>
      </c>
      <c r="G9" s="64">
        <v>2274</v>
      </c>
      <c r="H9" s="68">
        <v>0</v>
      </c>
      <c r="I9" s="65">
        <f t="shared" si="0"/>
        <v>45.480000000000004</v>
      </c>
      <c r="J9" s="100">
        <v>1.37E-2</v>
      </c>
      <c r="K9" s="67">
        <f>P3*J9</f>
        <v>0</v>
      </c>
      <c r="L9" s="97">
        <f t="shared" si="1"/>
        <v>4110</v>
      </c>
      <c r="M9" s="62">
        <f t="shared" si="2"/>
        <v>1370</v>
      </c>
      <c r="N9" s="62">
        <f t="shared" ref="N9:O9" si="6">M9</f>
        <v>1370</v>
      </c>
      <c r="O9" s="62">
        <f t="shared" si="6"/>
        <v>1370</v>
      </c>
      <c r="P9" s="65">
        <f t="shared" si="4"/>
        <v>4110</v>
      </c>
      <c r="Q9" s="101">
        <f>O9*3</f>
        <v>4110</v>
      </c>
      <c r="R9" s="101"/>
    </row>
    <row r="10" spans="1:22" x14ac:dyDescent="0.25">
      <c r="A10" s="59">
        <v>4</v>
      </c>
      <c r="B10" s="60" t="s">
        <v>80</v>
      </c>
      <c r="C10" s="61" t="s">
        <v>82</v>
      </c>
      <c r="D10" s="62">
        <v>6999</v>
      </c>
      <c r="E10" s="62">
        <v>6999</v>
      </c>
      <c r="F10" s="63">
        <v>0</v>
      </c>
      <c r="G10" s="64">
        <v>0</v>
      </c>
      <c r="H10" s="68">
        <v>0</v>
      </c>
      <c r="I10" s="65">
        <f t="shared" si="0"/>
        <v>0</v>
      </c>
      <c r="J10" s="100">
        <v>1.47E-2</v>
      </c>
      <c r="K10" s="67">
        <f>P3*J10</f>
        <v>0</v>
      </c>
      <c r="L10" s="97">
        <f t="shared" si="1"/>
        <v>4410</v>
      </c>
      <c r="M10" s="62">
        <f t="shared" si="2"/>
        <v>1470</v>
      </c>
      <c r="N10" s="62">
        <f t="shared" ref="N10:O10" si="7">M10</f>
        <v>1470</v>
      </c>
      <c r="O10" s="62">
        <f t="shared" si="7"/>
        <v>1470</v>
      </c>
      <c r="P10" s="65">
        <f t="shared" si="4"/>
        <v>4410</v>
      </c>
      <c r="Q10" s="101">
        <v>4410</v>
      </c>
      <c r="R10" s="101"/>
    </row>
    <row r="11" spans="1:22" x14ac:dyDescent="0.25">
      <c r="A11" s="59">
        <v>8</v>
      </c>
      <c r="B11" s="60" t="s">
        <v>83</v>
      </c>
      <c r="C11" s="61" t="s">
        <v>84</v>
      </c>
      <c r="D11" s="62">
        <v>6275</v>
      </c>
      <c r="E11" s="62">
        <v>6275</v>
      </c>
      <c r="F11" s="63">
        <v>0</v>
      </c>
      <c r="G11" s="64">
        <v>0</v>
      </c>
      <c r="H11" s="68">
        <v>0</v>
      </c>
      <c r="I11" s="65">
        <f t="shared" si="0"/>
        <v>0</v>
      </c>
      <c r="J11" s="100">
        <v>3.78E-2</v>
      </c>
      <c r="K11" s="67">
        <f>P3*J11</f>
        <v>0</v>
      </c>
      <c r="L11" s="97">
        <f t="shared" si="1"/>
        <v>11340</v>
      </c>
      <c r="M11" s="62">
        <f t="shared" si="2"/>
        <v>3780</v>
      </c>
      <c r="N11" s="62">
        <f t="shared" ref="N11:O11" si="8">M11</f>
        <v>3780</v>
      </c>
      <c r="O11" s="62">
        <f t="shared" si="8"/>
        <v>3780</v>
      </c>
      <c r="P11" s="65">
        <f t="shared" si="4"/>
        <v>11340</v>
      </c>
      <c r="Q11" s="101">
        <f>O11*3</f>
        <v>11340</v>
      </c>
      <c r="R11" s="101"/>
    </row>
    <row r="12" spans="1:22" x14ac:dyDescent="0.25">
      <c r="A12" s="59">
        <v>7</v>
      </c>
      <c r="B12" s="60" t="s">
        <v>85</v>
      </c>
      <c r="C12" s="61" t="s">
        <v>86</v>
      </c>
      <c r="D12" s="62">
        <v>3934</v>
      </c>
      <c r="E12" s="62">
        <v>3934</v>
      </c>
      <c r="F12" s="63">
        <v>0</v>
      </c>
      <c r="G12" s="64">
        <v>0</v>
      </c>
      <c r="H12" s="68">
        <v>0</v>
      </c>
      <c r="I12" s="65">
        <f t="shared" si="0"/>
        <v>0</v>
      </c>
      <c r="J12" s="100">
        <v>2.3699999999999999E-2</v>
      </c>
      <c r="K12" s="67">
        <f>P3*J12</f>
        <v>0</v>
      </c>
      <c r="L12" s="97">
        <f t="shared" si="1"/>
        <v>7110</v>
      </c>
      <c r="M12" s="62">
        <f t="shared" si="2"/>
        <v>2370</v>
      </c>
      <c r="N12" s="62">
        <f t="shared" ref="N12:O12" si="9">M12</f>
        <v>2370</v>
      </c>
      <c r="O12" s="62">
        <f t="shared" si="9"/>
        <v>2370</v>
      </c>
      <c r="P12" s="65">
        <f t="shared" si="4"/>
        <v>7110</v>
      </c>
      <c r="Q12" s="101">
        <f>O12*3</f>
        <v>7110</v>
      </c>
      <c r="R12" s="101"/>
      <c r="V12" s="141"/>
    </row>
    <row r="13" spans="1:22" x14ac:dyDescent="0.25">
      <c r="A13" s="59">
        <v>6</v>
      </c>
      <c r="B13" s="60" t="s">
        <v>87</v>
      </c>
      <c r="C13" s="61" t="s">
        <v>88</v>
      </c>
      <c r="D13" s="62">
        <v>3934</v>
      </c>
      <c r="E13" s="62">
        <v>3934</v>
      </c>
      <c r="F13" s="63">
        <v>0</v>
      </c>
      <c r="G13" s="64">
        <v>0</v>
      </c>
      <c r="H13" s="68">
        <v>0</v>
      </c>
      <c r="I13" s="65">
        <f t="shared" si="0"/>
        <v>0</v>
      </c>
      <c r="J13" s="100">
        <v>2.3699999999999999E-2</v>
      </c>
      <c r="K13" s="67">
        <f>P3*J13</f>
        <v>0</v>
      </c>
      <c r="L13" s="97">
        <f t="shared" si="1"/>
        <v>7110</v>
      </c>
      <c r="M13" s="62">
        <f t="shared" si="2"/>
        <v>2370</v>
      </c>
      <c r="N13" s="62">
        <f t="shared" ref="N13:O13" si="10">M13</f>
        <v>2370</v>
      </c>
      <c r="O13" s="62">
        <f t="shared" si="10"/>
        <v>2370</v>
      </c>
      <c r="P13" s="65">
        <f t="shared" si="4"/>
        <v>7110</v>
      </c>
      <c r="Q13" s="101">
        <f>O13*3</f>
        <v>7110</v>
      </c>
      <c r="R13" s="101"/>
      <c r="V13" s="141"/>
    </row>
    <row r="14" spans="1:22" x14ac:dyDescent="0.25">
      <c r="A14" s="59">
        <v>5</v>
      </c>
      <c r="B14" s="60" t="s">
        <v>89</v>
      </c>
      <c r="C14" s="61" t="s">
        <v>90</v>
      </c>
      <c r="D14" s="62">
        <v>13282</v>
      </c>
      <c r="E14" s="62">
        <v>13282</v>
      </c>
      <c r="F14" s="63">
        <v>0</v>
      </c>
      <c r="G14" s="64">
        <v>0</v>
      </c>
      <c r="H14" s="68">
        <v>0</v>
      </c>
      <c r="I14" s="65">
        <f t="shared" si="0"/>
        <v>0</v>
      </c>
      <c r="J14" s="100">
        <v>2.7900000000000001E-2</v>
      </c>
      <c r="K14" s="67">
        <f>P3*J14</f>
        <v>0</v>
      </c>
      <c r="L14" s="97">
        <f t="shared" si="1"/>
        <v>8370</v>
      </c>
      <c r="M14" s="62">
        <f t="shared" si="2"/>
        <v>2790</v>
      </c>
      <c r="N14" s="62">
        <f t="shared" ref="N14:O14" si="11">M14</f>
        <v>2790</v>
      </c>
      <c r="O14" s="62">
        <f t="shared" si="11"/>
        <v>2790</v>
      </c>
      <c r="P14" s="65">
        <f t="shared" si="4"/>
        <v>8370</v>
      </c>
      <c r="Q14" s="102">
        <v>8370</v>
      </c>
      <c r="R14" s="102"/>
      <c r="V14" s="141"/>
    </row>
    <row r="15" spans="1:22" x14ac:dyDescent="0.25">
      <c r="A15" s="59">
        <v>12</v>
      </c>
      <c r="B15" s="60" t="s">
        <v>91</v>
      </c>
      <c r="C15" s="61" t="s">
        <v>77</v>
      </c>
      <c r="D15" s="62">
        <v>6258</v>
      </c>
      <c r="E15" s="62">
        <v>6258</v>
      </c>
      <c r="F15" s="63">
        <v>0</v>
      </c>
      <c r="G15" s="64">
        <v>0</v>
      </c>
      <c r="H15" s="68">
        <v>0</v>
      </c>
      <c r="I15" s="65">
        <f t="shared" si="0"/>
        <v>0</v>
      </c>
      <c r="J15" s="100">
        <v>3.7699999999999997E-2</v>
      </c>
      <c r="K15" s="67">
        <f>P3*J15</f>
        <v>0</v>
      </c>
      <c r="L15" s="97">
        <f t="shared" si="1"/>
        <v>11310</v>
      </c>
      <c r="M15" s="62">
        <f t="shared" si="2"/>
        <v>3770</v>
      </c>
      <c r="N15" s="62">
        <f t="shared" ref="N15:O15" si="12">M15</f>
        <v>3770</v>
      </c>
      <c r="O15" s="62">
        <f t="shared" si="12"/>
        <v>3770</v>
      </c>
      <c r="P15" s="65">
        <f t="shared" si="4"/>
        <v>11310</v>
      </c>
      <c r="Q15" s="101">
        <f>O15*3</f>
        <v>11310</v>
      </c>
      <c r="R15" s="101"/>
    </row>
    <row r="16" spans="1:22" x14ac:dyDescent="0.25">
      <c r="A16" s="59">
        <v>11</v>
      </c>
      <c r="B16" s="60" t="s">
        <v>92</v>
      </c>
      <c r="C16" s="61" t="s">
        <v>93</v>
      </c>
      <c r="D16" s="62">
        <v>11283</v>
      </c>
      <c r="E16" s="62">
        <v>11283</v>
      </c>
      <c r="F16" s="63">
        <v>0</v>
      </c>
      <c r="G16" s="64">
        <v>0</v>
      </c>
      <c r="H16" s="68">
        <v>0</v>
      </c>
      <c r="I16" s="65">
        <f t="shared" si="0"/>
        <v>0</v>
      </c>
      <c r="J16" s="100">
        <v>2.3699999999999999E-2</v>
      </c>
      <c r="K16" s="67">
        <f>P3*J16</f>
        <v>0</v>
      </c>
      <c r="L16" s="97">
        <f t="shared" si="1"/>
        <v>7110</v>
      </c>
      <c r="M16" s="62">
        <f t="shared" si="2"/>
        <v>2370</v>
      </c>
      <c r="N16" s="62">
        <f t="shared" ref="N16:O16" si="13">M16</f>
        <v>2370</v>
      </c>
      <c r="O16" s="62">
        <f t="shared" si="13"/>
        <v>2370</v>
      </c>
      <c r="P16" s="65">
        <f t="shared" si="4"/>
        <v>7110</v>
      </c>
      <c r="Q16" s="101">
        <v>7110</v>
      </c>
      <c r="R16" s="101"/>
    </row>
    <row r="17" spans="1:18" x14ac:dyDescent="0.25">
      <c r="A17" s="59">
        <v>10</v>
      </c>
      <c r="B17" s="60" t="s">
        <v>94</v>
      </c>
      <c r="C17" s="61" t="s">
        <v>95</v>
      </c>
      <c r="D17" s="62">
        <v>3934</v>
      </c>
      <c r="E17" s="62">
        <v>3934</v>
      </c>
      <c r="F17" s="63">
        <v>0</v>
      </c>
      <c r="G17" s="64">
        <f>+D17-E17-F17</f>
        <v>0</v>
      </c>
      <c r="H17" s="68">
        <v>0</v>
      </c>
      <c r="I17" s="65">
        <f t="shared" si="0"/>
        <v>0</v>
      </c>
      <c r="J17" s="100">
        <v>2.3699999999999999E-2</v>
      </c>
      <c r="K17" s="67">
        <f>P3*J17</f>
        <v>0</v>
      </c>
      <c r="L17" s="97">
        <f t="shared" si="1"/>
        <v>7110</v>
      </c>
      <c r="M17" s="62">
        <f t="shared" si="2"/>
        <v>2370</v>
      </c>
      <c r="N17" s="62">
        <f t="shared" ref="N17:O17" si="14">M17</f>
        <v>2370</v>
      </c>
      <c r="O17" s="62">
        <f t="shared" si="14"/>
        <v>2370</v>
      </c>
      <c r="P17" s="65">
        <f t="shared" si="4"/>
        <v>7110</v>
      </c>
      <c r="Q17" s="101">
        <v>7110</v>
      </c>
      <c r="R17" s="101"/>
    </row>
    <row r="18" spans="1:18" x14ac:dyDescent="0.25">
      <c r="A18" s="59">
        <v>9</v>
      </c>
      <c r="B18" s="60" t="s">
        <v>96</v>
      </c>
      <c r="C18" s="61" t="s">
        <v>97</v>
      </c>
      <c r="D18" s="62">
        <v>4565</v>
      </c>
      <c r="E18" s="62">
        <v>4565</v>
      </c>
      <c r="F18" s="63">
        <v>0</v>
      </c>
      <c r="G18" s="64">
        <v>0</v>
      </c>
      <c r="H18" s="68">
        <v>0</v>
      </c>
      <c r="I18" s="65">
        <f t="shared" si="0"/>
        <v>0</v>
      </c>
      <c r="J18" s="100">
        <v>2.75E-2</v>
      </c>
      <c r="K18" s="67">
        <f>P3*J18</f>
        <v>0</v>
      </c>
      <c r="L18" s="97">
        <f t="shared" si="1"/>
        <v>8250</v>
      </c>
      <c r="M18" s="62">
        <f t="shared" si="2"/>
        <v>2750</v>
      </c>
      <c r="N18" s="62">
        <f t="shared" ref="N18:O18" si="15">M18</f>
        <v>2750</v>
      </c>
      <c r="O18" s="62">
        <f t="shared" si="15"/>
        <v>2750</v>
      </c>
      <c r="P18" s="65">
        <f t="shared" si="4"/>
        <v>8250</v>
      </c>
      <c r="Q18" s="101">
        <f>O18*3</f>
        <v>8250</v>
      </c>
      <c r="R18" s="101"/>
    </row>
    <row r="19" spans="1:18" x14ac:dyDescent="0.25">
      <c r="A19" s="59">
        <v>16</v>
      </c>
      <c r="B19" s="60" t="s">
        <v>98</v>
      </c>
      <c r="C19" s="61" t="s">
        <v>99</v>
      </c>
      <c r="D19" s="62">
        <v>6258</v>
      </c>
      <c r="E19" s="62">
        <v>6258</v>
      </c>
      <c r="F19" s="63">
        <v>0</v>
      </c>
      <c r="G19" s="64">
        <v>0</v>
      </c>
      <c r="H19" s="67">
        <v>0</v>
      </c>
      <c r="I19" s="65">
        <f t="shared" si="0"/>
        <v>0</v>
      </c>
      <c r="J19" s="100">
        <v>3.7699999999999997E-2</v>
      </c>
      <c r="K19" s="67">
        <f>P3*J19</f>
        <v>0</v>
      </c>
      <c r="L19" s="97">
        <f t="shared" si="1"/>
        <v>11310</v>
      </c>
      <c r="M19" s="62">
        <f t="shared" si="2"/>
        <v>3770</v>
      </c>
      <c r="N19" s="62">
        <f t="shared" ref="N19:O19" si="16">M19</f>
        <v>3770</v>
      </c>
      <c r="O19" s="62">
        <f t="shared" si="16"/>
        <v>3770</v>
      </c>
      <c r="P19" s="65">
        <f t="shared" si="4"/>
        <v>11310</v>
      </c>
      <c r="Q19" s="101">
        <f>L19</f>
        <v>11310</v>
      </c>
      <c r="R19" s="101"/>
    </row>
    <row r="20" spans="1:18" x14ac:dyDescent="0.25">
      <c r="A20" s="59">
        <v>15</v>
      </c>
      <c r="B20" s="60" t="s">
        <v>100</v>
      </c>
      <c r="C20" s="61" t="s">
        <v>101</v>
      </c>
      <c r="D20" s="62">
        <v>3934</v>
      </c>
      <c r="E20" s="62">
        <v>3934</v>
      </c>
      <c r="F20" s="63">
        <v>0</v>
      </c>
      <c r="G20" s="64">
        <v>0</v>
      </c>
      <c r="H20" s="68">
        <v>0</v>
      </c>
      <c r="I20" s="65">
        <f t="shared" si="0"/>
        <v>0</v>
      </c>
      <c r="J20" s="100">
        <v>2.3699999999999999E-2</v>
      </c>
      <c r="K20" s="67">
        <f>P3*J20</f>
        <v>0</v>
      </c>
      <c r="L20" s="97">
        <f t="shared" si="1"/>
        <v>7110</v>
      </c>
      <c r="M20" s="62">
        <f t="shared" si="2"/>
        <v>2370</v>
      </c>
      <c r="N20" s="62">
        <f t="shared" ref="N20:O20" si="17">M20</f>
        <v>2370</v>
      </c>
      <c r="O20" s="62">
        <f t="shared" si="17"/>
        <v>2370</v>
      </c>
      <c r="P20" s="65">
        <f t="shared" si="4"/>
        <v>7110</v>
      </c>
      <c r="Q20" s="117">
        <f>L20</f>
        <v>7110</v>
      </c>
      <c r="R20" s="117"/>
    </row>
    <row r="21" spans="1:18" ht="15.75" customHeight="1" x14ac:dyDescent="0.25">
      <c r="A21" s="59">
        <v>14</v>
      </c>
      <c r="B21" s="60" t="s">
        <v>102</v>
      </c>
      <c r="C21" s="61" t="s">
        <v>77</v>
      </c>
      <c r="D21" s="62">
        <v>3934</v>
      </c>
      <c r="E21" s="62">
        <v>3934</v>
      </c>
      <c r="F21" s="63">
        <v>0</v>
      </c>
      <c r="G21" s="64">
        <v>0</v>
      </c>
      <c r="H21" s="68">
        <v>0</v>
      </c>
      <c r="I21" s="65">
        <f t="shared" si="0"/>
        <v>0</v>
      </c>
      <c r="J21" s="100">
        <v>2.3699999999999999E-2</v>
      </c>
      <c r="K21" s="67">
        <f>P3*J21</f>
        <v>0</v>
      </c>
      <c r="L21" s="97">
        <f t="shared" si="1"/>
        <v>7110</v>
      </c>
      <c r="M21" s="62">
        <f t="shared" si="2"/>
        <v>2370</v>
      </c>
      <c r="N21" s="62">
        <f t="shared" ref="N21:O21" si="18">M21</f>
        <v>2370</v>
      </c>
      <c r="O21" s="62">
        <f t="shared" si="18"/>
        <v>2370</v>
      </c>
      <c r="P21" s="65">
        <f t="shared" si="4"/>
        <v>7110</v>
      </c>
      <c r="Q21" s="101">
        <f>O21*3</f>
        <v>7110</v>
      </c>
      <c r="R21" s="101"/>
    </row>
    <row r="22" spans="1:18" ht="15.75" customHeight="1" x14ac:dyDescent="0.25">
      <c r="A22" s="59">
        <v>13</v>
      </c>
      <c r="B22" s="60" t="s">
        <v>103</v>
      </c>
      <c r="C22" s="61" t="s">
        <v>104</v>
      </c>
      <c r="D22" s="62">
        <v>54383</v>
      </c>
      <c r="E22" s="70">
        <v>0</v>
      </c>
      <c r="F22" s="70">
        <v>0</v>
      </c>
      <c r="G22" s="62">
        <v>49053.32</v>
      </c>
      <c r="H22" s="62">
        <v>5329.5</v>
      </c>
      <c r="I22" s="62">
        <f t="shared" si="0"/>
        <v>1087.6564000000001</v>
      </c>
      <c r="J22" s="100">
        <v>2.75E-2</v>
      </c>
      <c r="K22" s="67">
        <f>P3*J22</f>
        <v>0</v>
      </c>
      <c r="L22" s="97">
        <f t="shared" si="1"/>
        <v>8250</v>
      </c>
      <c r="M22" s="62">
        <f t="shared" si="2"/>
        <v>2750</v>
      </c>
      <c r="N22" s="62">
        <f t="shared" ref="N22:O22" si="19">M22</f>
        <v>2750</v>
      </c>
      <c r="O22" s="62">
        <f t="shared" si="19"/>
        <v>2750</v>
      </c>
      <c r="P22" s="65">
        <f t="shared" si="4"/>
        <v>8250</v>
      </c>
      <c r="Q22" s="101">
        <v>9240</v>
      </c>
      <c r="R22" s="101"/>
    </row>
    <row r="23" spans="1:18" ht="15.75" customHeight="1" x14ac:dyDescent="0.25">
      <c r="A23" s="59">
        <v>20</v>
      </c>
      <c r="B23" s="60" t="s">
        <v>105</v>
      </c>
      <c r="C23" s="61" t="s">
        <v>106</v>
      </c>
      <c r="D23" s="62">
        <v>6258</v>
      </c>
      <c r="E23" s="62">
        <v>6258</v>
      </c>
      <c r="F23" s="63">
        <v>0</v>
      </c>
      <c r="G23" s="64">
        <v>0</v>
      </c>
      <c r="H23" s="68">
        <v>0</v>
      </c>
      <c r="I23" s="65">
        <f t="shared" si="0"/>
        <v>0</v>
      </c>
      <c r="J23" s="100">
        <v>3.7699999999999997E-2</v>
      </c>
      <c r="K23" s="67">
        <f>P3*J23</f>
        <v>0</v>
      </c>
      <c r="L23" s="97">
        <f t="shared" si="1"/>
        <v>11310</v>
      </c>
      <c r="M23" s="62">
        <f t="shared" si="2"/>
        <v>3770</v>
      </c>
      <c r="N23" s="62">
        <f t="shared" ref="N23:O23" si="20">M23</f>
        <v>3770</v>
      </c>
      <c r="O23" s="62">
        <f t="shared" si="20"/>
        <v>3770</v>
      </c>
      <c r="P23" s="65">
        <f t="shared" si="4"/>
        <v>11310</v>
      </c>
      <c r="Q23" s="101">
        <f>O23*3</f>
        <v>11310</v>
      </c>
      <c r="R23" s="101"/>
    </row>
    <row r="24" spans="1:18" ht="15.75" customHeight="1" x14ac:dyDescent="0.25">
      <c r="A24" s="59">
        <v>19</v>
      </c>
      <c r="B24" s="60" t="s">
        <v>107</v>
      </c>
      <c r="C24" s="61" t="s">
        <v>77</v>
      </c>
      <c r="D24" s="62">
        <v>3934</v>
      </c>
      <c r="E24" s="62">
        <v>3934</v>
      </c>
      <c r="F24" s="63">
        <v>0</v>
      </c>
      <c r="G24" s="64">
        <v>0</v>
      </c>
      <c r="H24" s="68">
        <v>0</v>
      </c>
      <c r="I24" s="65">
        <f t="shared" si="0"/>
        <v>0</v>
      </c>
      <c r="J24" s="100">
        <v>2.3699999999999999E-2</v>
      </c>
      <c r="K24" s="67">
        <f>P3*J24</f>
        <v>0</v>
      </c>
      <c r="L24" s="97">
        <f t="shared" si="1"/>
        <v>7110</v>
      </c>
      <c r="M24" s="62">
        <f t="shared" si="2"/>
        <v>2370</v>
      </c>
      <c r="N24" s="62">
        <f t="shared" ref="N24:O24" si="21">M24</f>
        <v>2370</v>
      </c>
      <c r="O24" s="62">
        <f t="shared" si="21"/>
        <v>2370</v>
      </c>
      <c r="P24" s="65">
        <f t="shared" si="4"/>
        <v>7110</v>
      </c>
      <c r="Q24" s="101">
        <f>O24*3</f>
        <v>7110</v>
      </c>
      <c r="R24" s="101"/>
    </row>
    <row r="25" spans="1:18" ht="15.75" customHeight="1" x14ac:dyDescent="0.25">
      <c r="A25" s="59">
        <v>18</v>
      </c>
      <c r="B25" s="60" t="s">
        <v>108</v>
      </c>
      <c r="C25" s="61" t="s">
        <v>109</v>
      </c>
      <c r="D25" s="62">
        <v>3934</v>
      </c>
      <c r="E25" s="62">
        <v>3934</v>
      </c>
      <c r="F25" s="63">
        <v>0</v>
      </c>
      <c r="G25" s="64">
        <v>0</v>
      </c>
      <c r="H25" s="68">
        <v>0</v>
      </c>
      <c r="I25" s="65">
        <f t="shared" si="0"/>
        <v>0</v>
      </c>
      <c r="J25" s="100">
        <v>2.3699999999999999E-2</v>
      </c>
      <c r="K25" s="67">
        <f>P3*J25</f>
        <v>0</v>
      </c>
      <c r="L25" s="97">
        <f t="shared" si="1"/>
        <v>7110</v>
      </c>
      <c r="M25" s="62">
        <f t="shared" si="2"/>
        <v>2370</v>
      </c>
      <c r="N25" s="62">
        <f t="shared" ref="N25:O25" si="22">M25</f>
        <v>2370</v>
      </c>
      <c r="O25" s="62">
        <f t="shared" si="22"/>
        <v>2370</v>
      </c>
      <c r="P25" s="65">
        <f t="shared" si="4"/>
        <v>7110</v>
      </c>
      <c r="Q25" s="111">
        <f>O25 * 2</f>
        <v>4740</v>
      </c>
      <c r="R25" s="111"/>
    </row>
    <row r="26" spans="1:18" ht="15.75" customHeight="1" x14ac:dyDescent="0.25">
      <c r="A26" s="59">
        <v>17</v>
      </c>
      <c r="B26" s="60" t="s">
        <v>110</v>
      </c>
      <c r="C26" s="61" t="s">
        <v>93</v>
      </c>
      <c r="D26" s="62">
        <v>4565</v>
      </c>
      <c r="E26" s="62">
        <v>4565</v>
      </c>
      <c r="F26" s="63">
        <v>0</v>
      </c>
      <c r="G26" s="64">
        <v>0</v>
      </c>
      <c r="H26" s="68">
        <v>0</v>
      </c>
      <c r="I26" s="65">
        <f t="shared" si="0"/>
        <v>0</v>
      </c>
      <c r="J26" s="100">
        <v>2.75E-2</v>
      </c>
      <c r="K26" s="67">
        <f>P3*J26</f>
        <v>0</v>
      </c>
      <c r="L26" s="97">
        <f t="shared" si="1"/>
        <v>8250</v>
      </c>
      <c r="M26" s="62">
        <f t="shared" si="2"/>
        <v>2750</v>
      </c>
      <c r="N26" s="62">
        <f t="shared" ref="N26:O26" si="23">M26</f>
        <v>2750</v>
      </c>
      <c r="O26" s="62">
        <f t="shared" si="23"/>
        <v>2750</v>
      </c>
      <c r="P26" s="65">
        <f t="shared" si="4"/>
        <v>8250</v>
      </c>
      <c r="Q26" s="101">
        <f>O26*3</f>
        <v>8250</v>
      </c>
      <c r="R26" s="101"/>
    </row>
    <row r="27" spans="1:18" ht="15.75" customHeight="1" x14ac:dyDescent="0.25">
      <c r="A27" s="59">
        <v>24</v>
      </c>
      <c r="B27" s="60" t="s">
        <v>111</v>
      </c>
      <c r="C27" s="61" t="s">
        <v>112</v>
      </c>
      <c r="D27" s="62">
        <v>6258</v>
      </c>
      <c r="E27" s="62">
        <v>6258</v>
      </c>
      <c r="F27" s="63">
        <v>0</v>
      </c>
      <c r="G27" s="64">
        <v>0</v>
      </c>
      <c r="H27" s="68">
        <v>0</v>
      </c>
      <c r="I27" s="65">
        <f t="shared" si="0"/>
        <v>0</v>
      </c>
      <c r="J27" s="100">
        <v>3.7699999999999997E-2</v>
      </c>
      <c r="K27" s="67">
        <f>P3*J27</f>
        <v>0</v>
      </c>
      <c r="L27" s="97">
        <f t="shared" si="1"/>
        <v>11310</v>
      </c>
      <c r="M27" s="62">
        <f t="shared" si="2"/>
        <v>3770</v>
      </c>
      <c r="N27" s="62">
        <f t="shared" ref="N27:O27" si="24">M27</f>
        <v>3770</v>
      </c>
      <c r="O27" s="62">
        <f t="shared" si="24"/>
        <v>3770</v>
      </c>
      <c r="P27" s="65">
        <f t="shared" si="4"/>
        <v>11310</v>
      </c>
      <c r="Q27" s="117">
        <v>11310</v>
      </c>
      <c r="R27" s="117"/>
    </row>
    <row r="28" spans="1:18" ht="15.75" customHeight="1" x14ac:dyDescent="0.25">
      <c r="A28" s="59">
        <v>23</v>
      </c>
      <c r="B28" s="60" t="s">
        <v>113</v>
      </c>
      <c r="C28" s="61" t="s">
        <v>114</v>
      </c>
      <c r="D28" s="62">
        <v>3934</v>
      </c>
      <c r="E28" s="62">
        <v>3934</v>
      </c>
      <c r="F28" s="63">
        <v>0</v>
      </c>
      <c r="G28" s="64">
        <v>0</v>
      </c>
      <c r="H28" s="68">
        <v>0</v>
      </c>
      <c r="I28" s="65">
        <f t="shared" si="0"/>
        <v>0</v>
      </c>
      <c r="J28" s="100">
        <v>2.3699999999999999E-2</v>
      </c>
      <c r="K28" s="67">
        <f>P3*J28</f>
        <v>0</v>
      </c>
      <c r="L28" s="97">
        <f t="shared" si="1"/>
        <v>7110</v>
      </c>
      <c r="M28" s="62">
        <f t="shared" si="2"/>
        <v>2370</v>
      </c>
      <c r="N28" s="62">
        <f t="shared" ref="N28:O28" si="25">M28</f>
        <v>2370</v>
      </c>
      <c r="O28" s="62">
        <f t="shared" si="25"/>
        <v>2370</v>
      </c>
      <c r="P28" s="65">
        <f t="shared" si="4"/>
        <v>7110</v>
      </c>
      <c r="Q28" s="101">
        <f>O28*3</f>
        <v>7110</v>
      </c>
      <c r="R28" s="101"/>
    </row>
    <row r="29" spans="1:18" ht="15.75" customHeight="1" x14ac:dyDescent="0.25">
      <c r="A29" s="59">
        <v>22</v>
      </c>
      <c r="B29" s="60" t="s">
        <v>115</v>
      </c>
      <c r="C29" s="61" t="s">
        <v>77</v>
      </c>
      <c r="D29" s="62">
        <v>3934</v>
      </c>
      <c r="E29" s="62">
        <v>3934</v>
      </c>
      <c r="F29" s="63">
        <v>0</v>
      </c>
      <c r="G29" s="64">
        <v>0</v>
      </c>
      <c r="H29" s="68">
        <v>0</v>
      </c>
      <c r="I29" s="65">
        <f t="shared" si="0"/>
        <v>0</v>
      </c>
      <c r="J29" s="100">
        <v>2.3699999999999999E-2</v>
      </c>
      <c r="K29" s="67">
        <f>P3*J29</f>
        <v>0</v>
      </c>
      <c r="L29" s="97">
        <f t="shared" si="1"/>
        <v>7110</v>
      </c>
      <c r="M29" s="62">
        <f t="shared" si="2"/>
        <v>2370</v>
      </c>
      <c r="N29" s="62">
        <f t="shared" ref="N29:O29" si="26">M29</f>
        <v>2370</v>
      </c>
      <c r="O29" s="62">
        <f t="shared" si="26"/>
        <v>2370</v>
      </c>
      <c r="P29" s="65">
        <f t="shared" si="4"/>
        <v>7110</v>
      </c>
      <c r="Q29" s="101">
        <f>O29*3</f>
        <v>7110</v>
      </c>
      <c r="R29" s="101"/>
    </row>
    <row r="30" spans="1:18" ht="15.75" customHeight="1" x14ac:dyDescent="0.25">
      <c r="A30" s="59">
        <v>21</v>
      </c>
      <c r="B30" s="60" t="s">
        <v>116</v>
      </c>
      <c r="C30" s="61" t="s">
        <v>77</v>
      </c>
      <c r="D30" s="62">
        <v>4565</v>
      </c>
      <c r="E30" s="62">
        <v>4565</v>
      </c>
      <c r="F30" s="63">
        <v>0</v>
      </c>
      <c r="G30" s="64">
        <v>0</v>
      </c>
      <c r="H30" s="68">
        <v>0</v>
      </c>
      <c r="I30" s="65">
        <f t="shared" si="0"/>
        <v>0</v>
      </c>
      <c r="J30" s="100">
        <v>2.75E-2</v>
      </c>
      <c r="K30" s="67">
        <f>P3*J30</f>
        <v>0</v>
      </c>
      <c r="L30" s="97">
        <f t="shared" si="1"/>
        <v>8250</v>
      </c>
      <c r="M30" s="62">
        <f t="shared" si="2"/>
        <v>2750</v>
      </c>
      <c r="N30" s="62">
        <f t="shared" ref="N30:O30" si="27">M30</f>
        <v>2750</v>
      </c>
      <c r="O30" s="62">
        <f t="shared" si="27"/>
        <v>2750</v>
      </c>
      <c r="P30" s="65">
        <f t="shared" si="4"/>
        <v>8250</v>
      </c>
      <c r="Q30" s="101">
        <f>O30*3</f>
        <v>8250</v>
      </c>
      <c r="R30" s="101"/>
    </row>
    <row r="31" spans="1:18" ht="15.75" customHeight="1" x14ac:dyDescent="0.25">
      <c r="A31" s="59">
        <v>28</v>
      </c>
      <c r="B31" s="71" t="s">
        <v>117</v>
      </c>
      <c r="C31" s="72" t="s">
        <v>90</v>
      </c>
      <c r="D31" s="62">
        <v>6258</v>
      </c>
      <c r="E31" s="62">
        <v>6258</v>
      </c>
      <c r="F31" s="63">
        <v>0</v>
      </c>
      <c r="G31" s="64">
        <v>0</v>
      </c>
      <c r="H31" s="68">
        <v>0</v>
      </c>
      <c r="I31" s="65">
        <f t="shared" si="0"/>
        <v>0</v>
      </c>
      <c r="J31" s="100">
        <v>3.7699999999999997E-2</v>
      </c>
      <c r="K31" s="67">
        <f>P3*J31</f>
        <v>0</v>
      </c>
      <c r="L31" s="97">
        <f t="shared" si="1"/>
        <v>11310</v>
      </c>
      <c r="M31" s="62">
        <f t="shared" si="2"/>
        <v>3770</v>
      </c>
      <c r="N31" s="62">
        <f t="shared" ref="N31:O31" si="28">M31</f>
        <v>3770</v>
      </c>
      <c r="O31" s="62">
        <f t="shared" si="28"/>
        <v>3770</v>
      </c>
      <c r="P31" s="65">
        <f t="shared" si="4"/>
        <v>11310</v>
      </c>
      <c r="Q31" s="101">
        <v>7440</v>
      </c>
      <c r="R31" s="101"/>
    </row>
    <row r="32" spans="1:18" ht="15.75" customHeight="1" x14ac:dyDescent="0.25">
      <c r="A32" s="59">
        <v>27</v>
      </c>
      <c r="B32" s="60" t="s">
        <v>118</v>
      </c>
      <c r="C32" s="61" t="s">
        <v>90</v>
      </c>
      <c r="D32" s="62">
        <v>3934</v>
      </c>
      <c r="E32" s="62"/>
      <c r="F32" s="63">
        <v>0</v>
      </c>
      <c r="G32" s="64">
        <v>3934</v>
      </c>
      <c r="H32" s="68">
        <v>0</v>
      </c>
      <c r="I32" s="65">
        <f t="shared" si="0"/>
        <v>78.680000000000007</v>
      </c>
      <c r="J32" s="100">
        <v>2.3699999999999999E-2</v>
      </c>
      <c r="K32" s="67">
        <f>P3*J32</f>
        <v>0</v>
      </c>
      <c r="L32" s="97">
        <f t="shared" si="1"/>
        <v>7110</v>
      </c>
      <c r="M32" s="62">
        <f t="shared" si="2"/>
        <v>2370</v>
      </c>
      <c r="N32" s="62">
        <f t="shared" ref="N32:O32" si="29">M32</f>
        <v>2370</v>
      </c>
      <c r="O32" s="62">
        <f t="shared" si="29"/>
        <v>2370</v>
      </c>
      <c r="P32" s="65">
        <f t="shared" si="4"/>
        <v>7110</v>
      </c>
      <c r="Q32" s="101">
        <f>O32*3</f>
        <v>7110</v>
      </c>
      <c r="R32" s="101"/>
    </row>
    <row r="33" spans="1:18" ht="15.75" customHeight="1" x14ac:dyDescent="0.25">
      <c r="A33" s="59">
        <v>26</v>
      </c>
      <c r="B33" s="73" t="s">
        <v>119</v>
      </c>
      <c r="C33" s="61" t="s">
        <v>120</v>
      </c>
      <c r="D33" s="62">
        <v>3934</v>
      </c>
      <c r="E33" s="62">
        <v>3934</v>
      </c>
      <c r="F33" s="63">
        <v>0</v>
      </c>
      <c r="G33" s="64">
        <v>0</v>
      </c>
      <c r="H33" s="68">
        <v>0</v>
      </c>
      <c r="I33" s="65">
        <f t="shared" si="0"/>
        <v>0</v>
      </c>
      <c r="J33" s="100">
        <v>2.3699999999999999E-2</v>
      </c>
      <c r="K33" s="67">
        <f>P3*J33</f>
        <v>0</v>
      </c>
      <c r="L33" s="97">
        <f t="shared" si="1"/>
        <v>7110</v>
      </c>
      <c r="M33" s="62">
        <f t="shared" si="2"/>
        <v>2370</v>
      </c>
      <c r="N33" s="62">
        <f t="shared" ref="N33:O33" si="30">M33</f>
        <v>2370</v>
      </c>
      <c r="O33" s="62">
        <f t="shared" si="30"/>
        <v>2370</v>
      </c>
      <c r="P33" s="65">
        <f t="shared" si="4"/>
        <v>7110</v>
      </c>
      <c r="Q33" s="101">
        <f>O33*3</f>
        <v>7110</v>
      </c>
      <c r="R33" s="101"/>
    </row>
    <row r="34" spans="1:18" ht="15.75" customHeight="1" x14ac:dyDescent="0.25">
      <c r="A34" s="59">
        <v>25</v>
      </c>
      <c r="B34" s="60" t="s">
        <v>121</v>
      </c>
      <c r="C34" s="61" t="s">
        <v>77</v>
      </c>
      <c r="D34" s="62">
        <v>4565</v>
      </c>
      <c r="E34" s="62">
        <v>4565</v>
      </c>
      <c r="F34" s="63">
        <v>0</v>
      </c>
      <c r="G34" s="62">
        <v>0</v>
      </c>
      <c r="H34" s="68">
        <v>0</v>
      </c>
      <c r="I34" s="65">
        <f t="shared" si="0"/>
        <v>0</v>
      </c>
      <c r="J34" s="100">
        <v>2.75E-2</v>
      </c>
      <c r="K34" s="67">
        <f>P3*J34</f>
        <v>0</v>
      </c>
      <c r="L34" s="97">
        <f t="shared" si="1"/>
        <v>8250</v>
      </c>
      <c r="M34" s="62">
        <f t="shared" si="2"/>
        <v>2750</v>
      </c>
      <c r="N34" s="62">
        <f t="shared" ref="N34:O34" si="31">M34</f>
        <v>2750</v>
      </c>
      <c r="O34" s="62">
        <f t="shared" si="31"/>
        <v>2750</v>
      </c>
      <c r="P34" s="65">
        <f t="shared" si="4"/>
        <v>8250</v>
      </c>
      <c r="Q34" s="101">
        <f>O34*3</f>
        <v>8250</v>
      </c>
      <c r="R34" s="101"/>
    </row>
    <row r="35" spans="1:18" ht="15.75" customHeight="1" x14ac:dyDescent="0.25">
      <c r="A35" s="59">
        <v>32</v>
      </c>
      <c r="B35" s="60" t="s">
        <v>122</v>
      </c>
      <c r="C35" s="61" t="s">
        <v>123</v>
      </c>
      <c r="D35" s="62">
        <v>29255</v>
      </c>
      <c r="E35" s="62">
        <v>29255</v>
      </c>
      <c r="F35" s="63">
        <v>0</v>
      </c>
      <c r="G35" s="64">
        <v>0</v>
      </c>
      <c r="H35" s="68">
        <v>0</v>
      </c>
      <c r="I35" s="65">
        <f t="shared" si="0"/>
        <v>0</v>
      </c>
      <c r="J35" s="100">
        <v>3.7699999999999997E-2</v>
      </c>
      <c r="K35" s="67">
        <f>P3*J35</f>
        <v>0</v>
      </c>
      <c r="L35" s="97">
        <f t="shared" si="1"/>
        <v>11310</v>
      </c>
      <c r="M35" s="62">
        <f t="shared" si="2"/>
        <v>3770</v>
      </c>
      <c r="N35" s="62">
        <f t="shared" ref="N35:O35" si="32">M35</f>
        <v>3770</v>
      </c>
      <c r="O35" s="62">
        <f t="shared" si="32"/>
        <v>3770</v>
      </c>
      <c r="P35" s="65">
        <f t="shared" si="4"/>
        <v>11310</v>
      </c>
      <c r="Q35" s="101">
        <v>12667</v>
      </c>
      <c r="R35" s="101"/>
    </row>
    <row r="36" spans="1:18" ht="15.75" customHeight="1" x14ac:dyDescent="0.25">
      <c r="A36" s="59">
        <v>31</v>
      </c>
      <c r="B36" s="60" t="s">
        <v>124</v>
      </c>
      <c r="C36" s="61" t="s">
        <v>77</v>
      </c>
      <c r="D36" s="62">
        <v>3934</v>
      </c>
      <c r="E36" s="62">
        <v>3934</v>
      </c>
      <c r="F36" s="63">
        <v>0</v>
      </c>
      <c r="G36" s="64">
        <v>0</v>
      </c>
      <c r="H36" s="68">
        <v>0</v>
      </c>
      <c r="I36" s="65">
        <f t="shared" si="0"/>
        <v>0</v>
      </c>
      <c r="J36" s="100">
        <v>2.3699999999999999E-2</v>
      </c>
      <c r="K36" s="67">
        <f>P3*J36</f>
        <v>0</v>
      </c>
      <c r="L36" s="97">
        <f t="shared" si="1"/>
        <v>7110</v>
      </c>
      <c r="M36" s="62">
        <f t="shared" si="2"/>
        <v>2370</v>
      </c>
      <c r="N36" s="62">
        <f t="shared" ref="N36:O36" si="33">M36</f>
        <v>2370</v>
      </c>
      <c r="O36" s="62">
        <f t="shared" si="33"/>
        <v>2370</v>
      </c>
      <c r="P36" s="65">
        <f t="shared" si="4"/>
        <v>7110</v>
      </c>
      <c r="Q36" s="101">
        <f>O36*3</f>
        <v>7110</v>
      </c>
      <c r="R36" s="101"/>
    </row>
    <row r="37" spans="1:18" ht="15.75" customHeight="1" x14ac:dyDescent="0.25">
      <c r="A37" s="59">
        <v>30</v>
      </c>
      <c r="B37" s="60" t="s">
        <v>125</v>
      </c>
      <c r="C37" s="61" t="s">
        <v>126</v>
      </c>
      <c r="D37" s="62">
        <v>3934</v>
      </c>
      <c r="E37" s="62">
        <v>3934</v>
      </c>
      <c r="F37" s="63">
        <v>0</v>
      </c>
      <c r="G37" s="64">
        <v>0</v>
      </c>
      <c r="H37" s="68">
        <v>0</v>
      </c>
      <c r="I37" s="65">
        <f t="shared" si="0"/>
        <v>0</v>
      </c>
      <c r="J37" s="100">
        <v>2.3699999999999999E-2</v>
      </c>
      <c r="K37" s="67">
        <f>P3*J37</f>
        <v>0</v>
      </c>
      <c r="L37" s="97">
        <f t="shared" si="1"/>
        <v>7110</v>
      </c>
      <c r="M37" s="62">
        <f t="shared" si="2"/>
        <v>2370</v>
      </c>
      <c r="N37" s="62">
        <f t="shared" ref="N37:O37" si="34">M37</f>
        <v>2370</v>
      </c>
      <c r="O37" s="62">
        <f t="shared" si="34"/>
        <v>2370</v>
      </c>
      <c r="P37" s="65">
        <f t="shared" si="4"/>
        <v>7110</v>
      </c>
      <c r="Q37" s="101">
        <v>7110</v>
      </c>
      <c r="R37" s="101"/>
    </row>
    <row r="38" spans="1:18" ht="15.75" customHeight="1" x14ac:dyDescent="0.25">
      <c r="A38" s="59">
        <v>29</v>
      </c>
      <c r="B38" s="60" t="s">
        <v>127</v>
      </c>
      <c r="C38" s="61" t="s">
        <v>128</v>
      </c>
      <c r="D38" s="62">
        <v>4565</v>
      </c>
      <c r="E38" s="62">
        <v>4565</v>
      </c>
      <c r="F38" s="63">
        <v>0</v>
      </c>
      <c r="G38" s="64">
        <v>0</v>
      </c>
      <c r="H38" s="68">
        <v>0</v>
      </c>
      <c r="I38" s="65">
        <f t="shared" si="0"/>
        <v>0</v>
      </c>
      <c r="J38" s="100">
        <v>2.75E-2</v>
      </c>
      <c r="K38" s="67">
        <f>P3*J38</f>
        <v>0</v>
      </c>
      <c r="L38" s="97">
        <f t="shared" si="1"/>
        <v>8250</v>
      </c>
      <c r="M38" s="62">
        <f t="shared" si="2"/>
        <v>2750</v>
      </c>
      <c r="N38" s="62">
        <f t="shared" ref="N38:O38" si="35">M38</f>
        <v>2750</v>
      </c>
      <c r="O38" s="62">
        <f t="shared" si="35"/>
        <v>2750</v>
      </c>
      <c r="P38" s="65">
        <f t="shared" si="4"/>
        <v>8250</v>
      </c>
      <c r="Q38" s="101">
        <v>8250</v>
      </c>
      <c r="R38" s="101"/>
    </row>
    <row r="39" spans="1:18" ht="15.75" customHeight="1" x14ac:dyDescent="0.25">
      <c r="A39" s="59">
        <v>36</v>
      </c>
      <c r="B39" s="60" t="s">
        <v>129</v>
      </c>
      <c r="C39" s="61" t="s">
        <v>130</v>
      </c>
      <c r="D39" s="62">
        <v>6115</v>
      </c>
      <c r="E39" s="62">
        <v>6115</v>
      </c>
      <c r="F39" s="63">
        <v>0</v>
      </c>
      <c r="G39" s="64">
        <v>-385</v>
      </c>
      <c r="H39" s="68">
        <v>0</v>
      </c>
      <c r="I39" s="65">
        <f t="shared" si="0"/>
        <v>-7.7</v>
      </c>
      <c r="J39" s="100">
        <v>3.7699999999999997E-2</v>
      </c>
      <c r="K39" s="67">
        <f>P3*J39</f>
        <v>0</v>
      </c>
      <c r="L39" s="97">
        <f t="shared" si="1"/>
        <v>11310</v>
      </c>
      <c r="M39" s="62">
        <f t="shared" si="2"/>
        <v>3770</v>
      </c>
      <c r="N39" s="62">
        <f t="shared" ref="N39:O39" si="36">M39</f>
        <v>3770</v>
      </c>
      <c r="O39" s="62">
        <f t="shared" si="36"/>
        <v>3770</v>
      </c>
      <c r="P39" s="65">
        <f t="shared" si="4"/>
        <v>11310</v>
      </c>
      <c r="Q39" s="101">
        <v>11310</v>
      </c>
      <c r="R39" s="101"/>
    </row>
    <row r="40" spans="1:18" ht="15.75" customHeight="1" x14ac:dyDescent="0.25">
      <c r="A40" s="59">
        <v>35</v>
      </c>
      <c r="B40" s="60" t="s">
        <v>131</v>
      </c>
      <c r="C40" s="61" t="s">
        <v>132</v>
      </c>
      <c r="D40" s="62">
        <v>3934</v>
      </c>
      <c r="E40" s="62">
        <v>3934</v>
      </c>
      <c r="F40" s="63">
        <v>0</v>
      </c>
      <c r="G40" s="64">
        <v>0</v>
      </c>
      <c r="H40" s="68">
        <v>0</v>
      </c>
      <c r="I40" s="65">
        <f t="shared" si="0"/>
        <v>0</v>
      </c>
      <c r="J40" s="100">
        <v>2.3699999999999999E-2</v>
      </c>
      <c r="K40" s="67">
        <f>P3*J40</f>
        <v>0</v>
      </c>
      <c r="L40" s="97">
        <f t="shared" si="1"/>
        <v>7110</v>
      </c>
      <c r="M40" s="62">
        <f t="shared" si="2"/>
        <v>2370</v>
      </c>
      <c r="N40" s="62">
        <f t="shared" ref="N40:O40" si="37">M40</f>
        <v>2370</v>
      </c>
      <c r="O40" s="62">
        <f t="shared" si="37"/>
        <v>2370</v>
      </c>
      <c r="P40" s="65">
        <f t="shared" si="4"/>
        <v>7110</v>
      </c>
      <c r="Q40" s="101">
        <v>7110</v>
      </c>
      <c r="R40" s="101"/>
    </row>
    <row r="41" spans="1:18" ht="15.75" customHeight="1" x14ac:dyDescent="0.25">
      <c r="A41" s="59">
        <v>34</v>
      </c>
      <c r="B41" s="60" t="s">
        <v>133</v>
      </c>
      <c r="C41" s="61" t="s">
        <v>134</v>
      </c>
      <c r="D41" s="62">
        <v>3934</v>
      </c>
      <c r="E41" s="62">
        <v>3934</v>
      </c>
      <c r="F41" s="63">
        <v>0</v>
      </c>
      <c r="G41" s="64">
        <v>0</v>
      </c>
      <c r="H41" s="68">
        <v>0</v>
      </c>
      <c r="I41" s="65">
        <f t="shared" si="0"/>
        <v>0</v>
      </c>
      <c r="J41" s="100">
        <v>2.3699999999999999E-2</v>
      </c>
      <c r="K41" s="67">
        <f>P3*J41</f>
        <v>0</v>
      </c>
      <c r="L41" s="97">
        <f t="shared" si="1"/>
        <v>7110</v>
      </c>
      <c r="M41" s="62">
        <f t="shared" si="2"/>
        <v>2370</v>
      </c>
      <c r="N41" s="62">
        <f t="shared" ref="N41:O41" si="38">M41</f>
        <v>2370</v>
      </c>
      <c r="O41" s="62">
        <f t="shared" si="38"/>
        <v>2370</v>
      </c>
      <c r="P41" s="65">
        <f t="shared" si="4"/>
        <v>7110</v>
      </c>
      <c r="Q41" s="101">
        <f>O41*3</f>
        <v>7110</v>
      </c>
      <c r="R41" s="101"/>
    </row>
    <row r="42" spans="1:18" ht="15.75" customHeight="1" thickBot="1" x14ac:dyDescent="0.3">
      <c r="A42" s="59">
        <v>33</v>
      </c>
      <c r="B42" s="60" t="s">
        <v>135</v>
      </c>
      <c r="C42" s="61" t="s">
        <v>77</v>
      </c>
      <c r="D42" s="62">
        <v>4565</v>
      </c>
      <c r="E42" s="62">
        <v>4565</v>
      </c>
      <c r="F42" s="63">
        <v>0</v>
      </c>
      <c r="G42" s="64">
        <v>0</v>
      </c>
      <c r="H42" s="68">
        <v>0</v>
      </c>
      <c r="I42" s="65">
        <f t="shared" si="0"/>
        <v>0</v>
      </c>
      <c r="J42" s="100">
        <v>2.75E-2</v>
      </c>
      <c r="K42" s="67">
        <f>P3*J42</f>
        <v>0</v>
      </c>
      <c r="L42" s="103">
        <f t="shared" si="1"/>
        <v>8250</v>
      </c>
      <c r="M42" s="62">
        <f t="shared" si="2"/>
        <v>2750</v>
      </c>
      <c r="N42" s="62">
        <f t="shared" ref="N42:O42" si="39">M42</f>
        <v>2750</v>
      </c>
      <c r="O42" s="62">
        <f t="shared" si="39"/>
        <v>2750</v>
      </c>
      <c r="P42" s="104">
        <f t="shared" si="4"/>
        <v>8250</v>
      </c>
      <c r="Q42" s="105">
        <f>O42*3</f>
        <v>8250</v>
      </c>
      <c r="R42" s="105"/>
    </row>
    <row r="43" spans="1:18" ht="15.75" customHeight="1" thickBot="1" x14ac:dyDescent="0.3">
      <c r="A43" s="74"/>
      <c r="B43" s="75"/>
      <c r="C43" s="76"/>
      <c r="D43" s="77">
        <f t="shared" ref="D43:L43" si="40">SUM(D7:D42)</f>
        <v>288924</v>
      </c>
      <c r="E43" s="78">
        <f t="shared" si="40"/>
        <v>194252</v>
      </c>
      <c r="F43" s="79">
        <f t="shared" si="40"/>
        <v>0</v>
      </c>
      <c r="G43" s="80">
        <f t="shared" si="40"/>
        <v>83908.66</v>
      </c>
      <c r="H43" s="106">
        <f t="shared" si="40"/>
        <v>10378.5</v>
      </c>
      <c r="I43" s="81">
        <f t="shared" si="40"/>
        <v>1885.7431999999999</v>
      </c>
      <c r="J43" s="82">
        <f t="shared" si="40"/>
        <v>1.0000000000000002</v>
      </c>
      <c r="K43" s="107">
        <f t="shared" si="40"/>
        <v>0</v>
      </c>
      <c r="L43" s="108">
        <f t="shared" si="40"/>
        <v>300000</v>
      </c>
      <c r="M43" s="83"/>
      <c r="N43" s="83"/>
      <c r="O43" s="83"/>
      <c r="P43" s="109">
        <f t="shared" ref="P43:Q43" si="41">SUM(P7:P42)</f>
        <v>300000</v>
      </c>
      <c r="Q43" s="110">
        <f t="shared" si="41"/>
        <v>312340</v>
      </c>
      <c r="R43" s="110">
        <f t="shared" ref="R43" si="42">SUM(R7:R42)</f>
        <v>3395.869999999999</v>
      </c>
    </row>
    <row r="44" spans="1:18" ht="15.75" customHeight="1" x14ac:dyDescent="0.25">
      <c r="A44" s="86"/>
      <c r="B44" s="86"/>
    </row>
    <row r="45" spans="1:18" ht="15.75" customHeight="1" x14ac:dyDescent="0.25">
      <c r="A45" s="86"/>
      <c r="B45" s="86"/>
    </row>
    <row r="46" spans="1:18" ht="15.75" customHeight="1" x14ac:dyDescent="0.25">
      <c r="A46" s="86"/>
      <c r="B46" s="86"/>
      <c r="E46" s="87"/>
      <c r="F46" s="87"/>
      <c r="G46" s="87"/>
    </row>
    <row r="47" spans="1:18" ht="15.75" customHeight="1" x14ac:dyDescent="0.25">
      <c r="A47" s="86"/>
      <c r="B47" s="86"/>
    </row>
    <row r="48" spans="1:18" ht="15.75" customHeight="1" x14ac:dyDescent="0.25">
      <c r="A48" s="86"/>
      <c r="B48" s="86"/>
    </row>
    <row r="49" spans="1:2" ht="15.75" customHeight="1" x14ac:dyDescent="0.25">
      <c r="A49" s="86"/>
      <c r="B49" s="86"/>
    </row>
    <row r="50" spans="1:2" ht="15.75" customHeight="1" x14ac:dyDescent="0.25">
      <c r="A50" s="86"/>
      <c r="B50" s="86"/>
    </row>
    <row r="51" spans="1:2" ht="15.75" customHeight="1" x14ac:dyDescent="0.25">
      <c r="A51" s="86"/>
      <c r="B51" s="86"/>
    </row>
    <row r="52" spans="1:2" ht="15.75" customHeight="1" x14ac:dyDescent="0.25">
      <c r="A52" s="86"/>
      <c r="B52" s="86"/>
    </row>
    <row r="53" spans="1:2" ht="15.75" customHeight="1" x14ac:dyDescent="0.25">
      <c r="A53" s="86"/>
      <c r="B53" s="86"/>
    </row>
    <row r="54" spans="1:2" ht="15.75" customHeight="1" x14ac:dyDescent="0.25">
      <c r="A54" s="86"/>
      <c r="B54" s="86"/>
    </row>
    <row r="55" spans="1:2" ht="15.75" customHeight="1" x14ac:dyDescent="0.25">
      <c r="A55" s="86"/>
      <c r="B55" s="86"/>
    </row>
    <row r="56" spans="1:2" ht="15.75" customHeight="1" x14ac:dyDescent="0.25">
      <c r="A56" s="86"/>
      <c r="B56" s="86"/>
    </row>
    <row r="57" spans="1:2" ht="15.75" customHeight="1" x14ac:dyDescent="0.25">
      <c r="A57" s="86"/>
      <c r="B57" s="86"/>
    </row>
    <row r="58" spans="1:2" ht="15.75" customHeight="1" x14ac:dyDescent="0.25">
      <c r="A58" s="86"/>
      <c r="B58" s="86"/>
    </row>
    <row r="59" spans="1:2" ht="15.75" customHeight="1" x14ac:dyDescent="0.25">
      <c r="A59" s="86"/>
      <c r="B59" s="86"/>
    </row>
    <row r="60" spans="1:2" ht="15.75" customHeight="1" x14ac:dyDescent="0.25">
      <c r="A60" s="86"/>
      <c r="B60" s="86"/>
    </row>
    <row r="61" spans="1:2" ht="15.75" customHeight="1" x14ac:dyDescent="0.25">
      <c r="A61" s="86"/>
      <c r="B61" s="86"/>
    </row>
    <row r="62" spans="1:2" ht="15.75" customHeight="1" x14ac:dyDescent="0.25">
      <c r="A62" s="86"/>
      <c r="B62" s="86"/>
    </row>
    <row r="63" spans="1:2" ht="15.75" customHeight="1" x14ac:dyDescent="0.25">
      <c r="A63" s="86"/>
      <c r="B63" s="86"/>
    </row>
    <row r="64" spans="1:2" ht="15.75" customHeight="1" x14ac:dyDescent="0.25">
      <c r="A64" s="86"/>
      <c r="B64" s="86"/>
    </row>
    <row r="65" spans="1:2" ht="15.75" customHeight="1" x14ac:dyDescent="0.25">
      <c r="A65" s="86"/>
      <c r="B65" s="86"/>
    </row>
    <row r="66" spans="1:2" ht="15.75" customHeight="1" x14ac:dyDescent="0.25">
      <c r="A66" s="86"/>
      <c r="B66" s="86"/>
    </row>
    <row r="67" spans="1:2" ht="15.75" customHeight="1" x14ac:dyDescent="0.25">
      <c r="A67" s="86"/>
      <c r="B67" s="86"/>
    </row>
    <row r="68" spans="1:2" ht="15.75" customHeight="1" x14ac:dyDescent="0.25">
      <c r="A68" s="86"/>
      <c r="B68" s="86"/>
    </row>
    <row r="69" spans="1:2" ht="15.75" customHeight="1" x14ac:dyDescent="0.25">
      <c r="A69" s="86"/>
      <c r="B69" s="86"/>
    </row>
    <row r="70" spans="1:2" ht="15.75" customHeight="1" x14ac:dyDescent="0.25">
      <c r="A70" s="86"/>
      <c r="B70" s="86"/>
    </row>
    <row r="71" spans="1:2" ht="15.75" customHeight="1" x14ac:dyDescent="0.25">
      <c r="A71" s="86"/>
      <c r="B71" s="86"/>
    </row>
    <row r="72" spans="1:2" ht="15.75" customHeight="1" x14ac:dyDescent="0.25">
      <c r="A72" s="86"/>
      <c r="B72" s="86"/>
    </row>
    <row r="73" spans="1:2" ht="15.75" customHeight="1" x14ac:dyDescent="0.25">
      <c r="A73" s="86"/>
      <c r="B73" s="86"/>
    </row>
    <row r="74" spans="1:2" ht="15.75" customHeight="1" x14ac:dyDescent="0.25">
      <c r="A74" s="86"/>
      <c r="B74" s="86"/>
    </row>
    <row r="75" spans="1:2" ht="15.75" customHeight="1" x14ac:dyDescent="0.25">
      <c r="A75" s="86"/>
      <c r="B75" s="86"/>
    </row>
    <row r="76" spans="1:2" ht="15.75" customHeight="1" x14ac:dyDescent="0.25">
      <c r="A76" s="86"/>
      <c r="B76" s="86"/>
    </row>
    <row r="77" spans="1:2" ht="15.75" customHeight="1" x14ac:dyDescent="0.25">
      <c r="A77" s="86"/>
      <c r="B77" s="86"/>
    </row>
    <row r="78" spans="1:2" ht="15.75" customHeight="1" x14ac:dyDescent="0.25">
      <c r="A78" s="86"/>
      <c r="B78" s="86"/>
    </row>
    <row r="79" spans="1:2" ht="15.75" customHeight="1" x14ac:dyDescent="0.25">
      <c r="A79" s="86"/>
      <c r="B79" s="86"/>
    </row>
    <row r="80" spans="1:2" ht="15.75" customHeight="1" x14ac:dyDescent="0.25">
      <c r="A80" s="86"/>
      <c r="B80" s="86"/>
    </row>
    <row r="81" spans="1:2" ht="15.75" customHeight="1" x14ac:dyDescent="0.25">
      <c r="A81" s="86"/>
      <c r="B81" s="86"/>
    </row>
    <row r="82" spans="1:2" ht="15.75" customHeight="1" x14ac:dyDescent="0.25">
      <c r="A82" s="86"/>
      <c r="B82" s="86"/>
    </row>
    <row r="83" spans="1:2" ht="15.75" customHeight="1" x14ac:dyDescent="0.25">
      <c r="A83" s="86"/>
      <c r="B83" s="86"/>
    </row>
    <row r="84" spans="1:2" ht="15.75" customHeight="1" x14ac:dyDescent="0.25">
      <c r="A84" s="86"/>
      <c r="B84" s="86"/>
    </row>
    <row r="85" spans="1:2" ht="15.75" customHeight="1" x14ac:dyDescent="0.25">
      <c r="A85" s="86"/>
      <c r="B85" s="86"/>
    </row>
    <row r="86" spans="1:2" ht="15.75" customHeight="1" x14ac:dyDescent="0.25">
      <c r="A86" s="86"/>
      <c r="B86" s="86"/>
    </row>
    <row r="87" spans="1:2" ht="15.75" customHeight="1" x14ac:dyDescent="0.25">
      <c r="A87" s="86"/>
      <c r="B87" s="86"/>
    </row>
    <row r="88" spans="1:2" ht="15.75" customHeight="1" x14ac:dyDescent="0.25">
      <c r="A88" s="86"/>
      <c r="B88" s="86"/>
    </row>
    <row r="89" spans="1:2" ht="15.75" customHeight="1" x14ac:dyDescent="0.25">
      <c r="A89" s="86"/>
      <c r="B89" s="86"/>
    </row>
    <row r="90" spans="1:2" ht="15.75" customHeight="1" x14ac:dyDescent="0.25">
      <c r="A90" s="86"/>
      <c r="B90" s="86"/>
    </row>
    <row r="91" spans="1:2" ht="15.75" customHeight="1" x14ac:dyDescent="0.25">
      <c r="A91" s="86"/>
      <c r="B91" s="86"/>
    </row>
    <row r="92" spans="1:2" ht="15.75" customHeight="1" x14ac:dyDescent="0.25">
      <c r="A92" s="86"/>
      <c r="B92" s="86"/>
    </row>
    <row r="93" spans="1:2" ht="15.75" customHeight="1" x14ac:dyDescent="0.25">
      <c r="A93" s="86"/>
      <c r="B93" s="86"/>
    </row>
    <row r="94" spans="1:2" ht="15.75" customHeight="1" x14ac:dyDescent="0.25">
      <c r="A94" s="86"/>
      <c r="B94" s="86"/>
    </row>
    <row r="95" spans="1:2" ht="15.75" customHeight="1" x14ac:dyDescent="0.25">
      <c r="A95" s="86"/>
      <c r="B95" s="86"/>
    </row>
    <row r="96" spans="1:2" ht="15.75" customHeight="1" x14ac:dyDescent="0.25">
      <c r="A96" s="86"/>
      <c r="B96" s="86"/>
    </row>
    <row r="97" spans="1:2" ht="15.75" customHeight="1" x14ac:dyDescent="0.25">
      <c r="A97" s="86"/>
      <c r="B97" s="86"/>
    </row>
    <row r="98" spans="1:2" ht="15.75" customHeight="1" x14ac:dyDescent="0.25">
      <c r="A98" s="86"/>
      <c r="B98" s="86"/>
    </row>
    <row r="99" spans="1:2" ht="15.75" customHeight="1" x14ac:dyDescent="0.25">
      <c r="A99" s="86"/>
      <c r="B99" s="86"/>
    </row>
    <row r="100" spans="1:2" ht="15.75" customHeight="1" x14ac:dyDescent="0.25">
      <c r="A100" s="86"/>
      <c r="B100" s="86"/>
    </row>
    <row r="101" spans="1:2" ht="15.75" customHeight="1" x14ac:dyDescent="0.25">
      <c r="A101" s="86"/>
      <c r="B101" s="86"/>
    </row>
    <row r="102" spans="1:2" ht="15.75" customHeight="1" x14ac:dyDescent="0.25">
      <c r="A102" s="86"/>
      <c r="B102" s="86"/>
    </row>
    <row r="103" spans="1:2" ht="15.75" customHeight="1" x14ac:dyDescent="0.25">
      <c r="A103" s="86"/>
      <c r="B103" s="86"/>
    </row>
    <row r="104" spans="1:2" ht="15.75" customHeight="1" x14ac:dyDescent="0.25">
      <c r="A104" s="86"/>
      <c r="B104" s="86"/>
    </row>
    <row r="105" spans="1:2" ht="15.75" customHeight="1" x14ac:dyDescent="0.25">
      <c r="A105" s="86"/>
      <c r="B105" s="86"/>
    </row>
    <row r="106" spans="1:2" ht="15.75" customHeight="1" x14ac:dyDescent="0.25">
      <c r="A106" s="86"/>
      <c r="B106" s="86"/>
    </row>
    <row r="107" spans="1:2" ht="15.75" customHeight="1" x14ac:dyDescent="0.25">
      <c r="A107" s="86"/>
      <c r="B107" s="86"/>
    </row>
    <row r="108" spans="1:2" ht="15.75" customHeight="1" x14ac:dyDescent="0.25">
      <c r="A108" s="86"/>
      <c r="B108" s="86"/>
    </row>
    <row r="109" spans="1:2" ht="15.75" customHeight="1" x14ac:dyDescent="0.25">
      <c r="A109" s="86"/>
      <c r="B109" s="86"/>
    </row>
    <row r="110" spans="1:2" ht="15.75" customHeight="1" x14ac:dyDescent="0.25">
      <c r="A110" s="86"/>
      <c r="B110" s="86"/>
    </row>
    <row r="111" spans="1:2" ht="15.75" customHeight="1" x14ac:dyDescent="0.25">
      <c r="A111" s="86"/>
      <c r="B111" s="86"/>
    </row>
    <row r="112" spans="1:2" ht="15.75" customHeight="1" x14ac:dyDescent="0.25">
      <c r="A112" s="86"/>
      <c r="B112" s="86"/>
    </row>
    <row r="113" spans="1:2" ht="15.75" customHeight="1" x14ac:dyDescent="0.25">
      <c r="A113" s="86"/>
      <c r="B113" s="86"/>
    </row>
    <row r="114" spans="1:2" ht="15.75" customHeight="1" x14ac:dyDescent="0.25">
      <c r="A114" s="86"/>
      <c r="B114" s="86"/>
    </row>
    <row r="115" spans="1:2" ht="15.75" customHeight="1" x14ac:dyDescent="0.25">
      <c r="A115" s="86"/>
      <c r="B115" s="86"/>
    </row>
    <row r="116" spans="1:2" ht="15.75" customHeight="1" x14ac:dyDescent="0.25">
      <c r="A116" s="86"/>
      <c r="B116" s="86"/>
    </row>
    <row r="117" spans="1:2" ht="15.75" customHeight="1" x14ac:dyDescent="0.25">
      <c r="A117" s="86"/>
      <c r="B117" s="86"/>
    </row>
    <row r="118" spans="1:2" ht="15.75" customHeight="1" x14ac:dyDescent="0.25">
      <c r="A118" s="86"/>
      <c r="B118" s="86"/>
    </row>
    <row r="119" spans="1:2" ht="15.75" customHeight="1" x14ac:dyDescent="0.25">
      <c r="A119" s="86"/>
      <c r="B119" s="86"/>
    </row>
    <row r="120" spans="1:2" ht="15.75" customHeight="1" x14ac:dyDescent="0.25">
      <c r="A120" s="86"/>
      <c r="B120" s="86"/>
    </row>
    <row r="121" spans="1:2" ht="15.75" customHeight="1" x14ac:dyDescent="0.25">
      <c r="A121" s="86"/>
      <c r="B121" s="86"/>
    </row>
    <row r="122" spans="1:2" ht="15.75" customHeight="1" x14ac:dyDescent="0.25">
      <c r="A122" s="86"/>
      <c r="B122" s="86"/>
    </row>
    <row r="123" spans="1:2" ht="15.75" customHeight="1" x14ac:dyDescent="0.25">
      <c r="A123" s="86"/>
      <c r="B123" s="86"/>
    </row>
    <row r="124" spans="1:2" ht="15.75" customHeight="1" x14ac:dyDescent="0.25">
      <c r="A124" s="86"/>
      <c r="B124" s="86"/>
    </row>
    <row r="125" spans="1:2" ht="15.75" customHeight="1" x14ac:dyDescent="0.25">
      <c r="A125" s="86"/>
      <c r="B125" s="86"/>
    </row>
    <row r="126" spans="1:2" ht="15.75" customHeight="1" x14ac:dyDescent="0.25">
      <c r="A126" s="86"/>
      <c r="B126" s="86"/>
    </row>
    <row r="127" spans="1:2" ht="15.75" customHeight="1" x14ac:dyDescent="0.25">
      <c r="A127" s="86"/>
      <c r="B127" s="86"/>
    </row>
    <row r="128" spans="1:2" ht="15.75" customHeight="1" x14ac:dyDescent="0.25">
      <c r="A128" s="86"/>
      <c r="B128" s="86"/>
    </row>
    <row r="129" spans="1:2" ht="15.75" customHeight="1" x14ac:dyDescent="0.25">
      <c r="A129" s="86"/>
      <c r="B129" s="86"/>
    </row>
    <row r="130" spans="1:2" ht="15.75" customHeight="1" x14ac:dyDescent="0.25">
      <c r="A130" s="86"/>
      <c r="B130" s="86"/>
    </row>
    <row r="131" spans="1:2" ht="15.75" customHeight="1" x14ac:dyDescent="0.25">
      <c r="A131" s="86"/>
      <c r="B131" s="86"/>
    </row>
    <row r="132" spans="1:2" ht="15.75" customHeight="1" x14ac:dyDescent="0.25">
      <c r="A132" s="86"/>
      <c r="B132" s="86"/>
    </row>
    <row r="133" spans="1:2" ht="15.75" customHeight="1" x14ac:dyDescent="0.25">
      <c r="A133" s="86"/>
      <c r="B133" s="86"/>
    </row>
    <row r="134" spans="1:2" ht="15.75" customHeight="1" x14ac:dyDescent="0.25">
      <c r="A134" s="86"/>
      <c r="B134" s="86"/>
    </row>
    <row r="135" spans="1:2" ht="15.75" customHeight="1" x14ac:dyDescent="0.25">
      <c r="A135" s="86"/>
      <c r="B135" s="86"/>
    </row>
    <row r="136" spans="1:2" ht="15.75" customHeight="1" x14ac:dyDescent="0.25">
      <c r="A136" s="86"/>
      <c r="B136" s="86"/>
    </row>
    <row r="137" spans="1:2" ht="15.75" customHeight="1" x14ac:dyDescent="0.25">
      <c r="A137" s="86"/>
      <c r="B137" s="86"/>
    </row>
    <row r="138" spans="1:2" ht="15.75" customHeight="1" x14ac:dyDescent="0.25">
      <c r="A138" s="86"/>
      <c r="B138" s="86"/>
    </row>
    <row r="139" spans="1:2" ht="15.75" customHeight="1" x14ac:dyDescent="0.25">
      <c r="A139" s="86"/>
      <c r="B139" s="86"/>
    </row>
    <row r="140" spans="1:2" ht="15.75" customHeight="1" x14ac:dyDescent="0.25">
      <c r="A140" s="86"/>
      <c r="B140" s="86"/>
    </row>
    <row r="141" spans="1:2" ht="15.75" customHeight="1" x14ac:dyDescent="0.25">
      <c r="A141" s="86"/>
      <c r="B141" s="86"/>
    </row>
    <row r="142" spans="1:2" ht="15.75" customHeight="1" x14ac:dyDescent="0.25">
      <c r="A142" s="86"/>
      <c r="B142" s="86"/>
    </row>
    <row r="143" spans="1:2" ht="15.75" customHeight="1" x14ac:dyDescent="0.25">
      <c r="A143" s="86"/>
      <c r="B143" s="86"/>
    </row>
    <row r="144" spans="1:2" ht="15.75" customHeight="1" x14ac:dyDescent="0.25">
      <c r="A144" s="86"/>
      <c r="B144" s="86"/>
    </row>
    <row r="145" spans="1:2" ht="15.75" customHeight="1" x14ac:dyDescent="0.25">
      <c r="A145" s="86"/>
      <c r="B145" s="86"/>
    </row>
    <row r="146" spans="1:2" ht="15.75" customHeight="1" x14ac:dyDescent="0.25">
      <c r="A146" s="86"/>
      <c r="B146" s="86"/>
    </row>
    <row r="147" spans="1:2" ht="15.75" customHeight="1" x14ac:dyDescent="0.25">
      <c r="A147" s="86"/>
      <c r="B147" s="86"/>
    </row>
    <row r="148" spans="1:2" ht="15.75" customHeight="1" x14ac:dyDescent="0.25">
      <c r="A148" s="86"/>
      <c r="B148" s="86"/>
    </row>
    <row r="149" spans="1:2" ht="15.75" customHeight="1" x14ac:dyDescent="0.25">
      <c r="A149" s="86"/>
      <c r="B149" s="86"/>
    </row>
    <row r="150" spans="1:2" ht="15.75" customHeight="1" x14ac:dyDescent="0.25">
      <c r="A150" s="86"/>
      <c r="B150" s="86"/>
    </row>
    <row r="151" spans="1:2" ht="15.75" customHeight="1" x14ac:dyDescent="0.25">
      <c r="A151" s="86"/>
      <c r="B151" s="86"/>
    </row>
    <row r="152" spans="1:2" ht="15.75" customHeight="1" x14ac:dyDescent="0.25">
      <c r="A152" s="86"/>
      <c r="B152" s="86"/>
    </row>
    <row r="153" spans="1:2" ht="15.75" customHeight="1" x14ac:dyDescent="0.25">
      <c r="A153" s="86"/>
      <c r="B153" s="86"/>
    </row>
    <row r="154" spans="1:2" ht="15.75" customHeight="1" x14ac:dyDescent="0.25">
      <c r="A154" s="86"/>
      <c r="B154" s="86"/>
    </row>
    <row r="155" spans="1:2" ht="15.75" customHeight="1" x14ac:dyDescent="0.25">
      <c r="A155" s="86"/>
      <c r="B155" s="86"/>
    </row>
    <row r="156" spans="1:2" ht="15.75" customHeight="1" x14ac:dyDescent="0.25">
      <c r="A156" s="86"/>
      <c r="B156" s="86"/>
    </row>
    <row r="157" spans="1:2" ht="15.75" customHeight="1" x14ac:dyDescent="0.25">
      <c r="A157" s="86"/>
      <c r="B157" s="86"/>
    </row>
    <row r="158" spans="1:2" ht="15.75" customHeight="1" x14ac:dyDescent="0.25">
      <c r="A158" s="86"/>
      <c r="B158" s="86"/>
    </row>
    <row r="159" spans="1:2" ht="15.75" customHeight="1" x14ac:dyDescent="0.25">
      <c r="A159" s="86"/>
      <c r="B159" s="86"/>
    </row>
    <row r="160" spans="1:2" ht="15.75" customHeight="1" x14ac:dyDescent="0.25">
      <c r="A160" s="86"/>
      <c r="B160" s="86"/>
    </row>
    <row r="161" spans="1:2" ht="15.75" customHeight="1" x14ac:dyDescent="0.25">
      <c r="A161" s="86"/>
      <c r="B161" s="86"/>
    </row>
    <row r="162" spans="1:2" ht="15.75" customHeight="1" x14ac:dyDescent="0.25">
      <c r="A162" s="86"/>
      <c r="B162" s="86"/>
    </row>
    <row r="163" spans="1:2" ht="15.75" customHeight="1" x14ac:dyDescent="0.25">
      <c r="A163" s="86"/>
      <c r="B163" s="86"/>
    </row>
    <row r="164" spans="1:2" ht="15.75" customHeight="1" x14ac:dyDescent="0.25">
      <c r="A164" s="86"/>
      <c r="B164" s="86"/>
    </row>
    <row r="165" spans="1:2" ht="15.75" customHeight="1" x14ac:dyDescent="0.25">
      <c r="A165" s="86"/>
      <c r="B165" s="86"/>
    </row>
    <row r="166" spans="1:2" ht="15.75" customHeight="1" x14ac:dyDescent="0.25">
      <c r="A166" s="86"/>
      <c r="B166" s="86"/>
    </row>
    <row r="167" spans="1:2" ht="15.75" customHeight="1" x14ac:dyDescent="0.25">
      <c r="A167" s="86"/>
      <c r="B167" s="86"/>
    </row>
    <row r="168" spans="1:2" ht="15.75" customHeight="1" x14ac:dyDescent="0.25">
      <c r="A168" s="86"/>
      <c r="B168" s="86"/>
    </row>
    <row r="169" spans="1:2" ht="15.75" customHeight="1" x14ac:dyDescent="0.25">
      <c r="A169" s="86"/>
      <c r="B169" s="86"/>
    </row>
    <row r="170" spans="1:2" ht="15.75" customHeight="1" x14ac:dyDescent="0.25">
      <c r="A170" s="86"/>
      <c r="B170" s="86"/>
    </row>
    <row r="171" spans="1:2" ht="15.75" customHeight="1" x14ac:dyDescent="0.25">
      <c r="A171" s="86"/>
      <c r="B171" s="86"/>
    </row>
    <row r="172" spans="1:2" ht="15.75" customHeight="1" x14ac:dyDescent="0.25">
      <c r="A172" s="86"/>
      <c r="B172" s="86"/>
    </row>
    <row r="173" spans="1:2" ht="15.75" customHeight="1" x14ac:dyDescent="0.25">
      <c r="A173" s="86"/>
      <c r="B173" s="86"/>
    </row>
    <row r="174" spans="1:2" ht="15.75" customHeight="1" x14ac:dyDescent="0.25">
      <c r="A174" s="86"/>
      <c r="B174" s="86"/>
    </row>
    <row r="175" spans="1:2" ht="15.75" customHeight="1" x14ac:dyDescent="0.25">
      <c r="A175" s="86"/>
      <c r="B175" s="86"/>
    </row>
    <row r="176" spans="1:2" ht="15.75" customHeight="1" x14ac:dyDescent="0.25">
      <c r="A176" s="86"/>
      <c r="B176" s="86"/>
    </row>
    <row r="177" spans="1:2" ht="15.75" customHeight="1" x14ac:dyDescent="0.25">
      <c r="A177" s="86"/>
      <c r="B177" s="86"/>
    </row>
    <row r="178" spans="1:2" ht="15.75" customHeight="1" x14ac:dyDescent="0.25">
      <c r="A178" s="86"/>
      <c r="B178" s="86"/>
    </row>
    <row r="179" spans="1:2" ht="15.75" customHeight="1" x14ac:dyDescent="0.25">
      <c r="A179" s="86"/>
      <c r="B179" s="86"/>
    </row>
    <row r="180" spans="1:2" ht="15.75" customHeight="1" x14ac:dyDescent="0.25">
      <c r="A180" s="86"/>
      <c r="B180" s="86"/>
    </row>
    <row r="181" spans="1:2" ht="15.75" customHeight="1" x14ac:dyDescent="0.25">
      <c r="A181" s="86"/>
      <c r="B181" s="86"/>
    </row>
    <row r="182" spans="1:2" ht="15.75" customHeight="1" x14ac:dyDescent="0.25">
      <c r="A182" s="86"/>
      <c r="B182" s="86"/>
    </row>
    <row r="183" spans="1:2" ht="15.75" customHeight="1" x14ac:dyDescent="0.25">
      <c r="A183" s="86"/>
      <c r="B183" s="86"/>
    </row>
    <row r="184" spans="1:2" ht="15.75" customHeight="1" x14ac:dyDescent="0.25">
      <c r="A184" s="86"/>
      <c r="B184" s="86"/>
    </row>
    <row r="185" spans="1:2" ht="15.75" customHeight="1" x14ac:dyDescent="0.25">
      <c r="A185" s="86"/>
      <c r="B185" s="86"/>
    </row>
    <row r="186" spans="1:2" ht="15.75" customHeight="1" x14ac:dyDescent="0.25">
      <c r="A186" s="86"/>
      <c r="B186" s="86"/>
    </row>
    <row r="187" spans="1:2" ht="15.75" customHeight="1" x14ac:dyDescent="0.25">
      <c r="A187" s="86"/>
      <c r="B187" s="86"/>
    </row>
    <row r="188" spans="1:2" ht="15.75" customHeight="1" x14ac:dyDescent="0.25">
      <c r="A188" s="86"/>
      <c r="B188" s="86"/>
    </row>
    <row r="189" spans="1:2" ht="15.75" customHeight="1" x14ac:dyDescent="0.25">
      <c r="A189" s="86"/>
      <c r="B189" s="86"/>
    </row>
    <row r="190" spans="1:2" ht="15.75" customHeight="1" x14ac:dyDescent="0.25">
      <c r="A190" s="86"/>
      <c r="B190" s="86"/>
    </row>
    <row r="191" spans="1:2" ht="15.75" customHeight="1" x14ac:dyDescent="0.25">
      <c r="A191" s="86"/>
      <c r="B191" s="86"/>
    </row>
    <row r="192" spans="1:2" ht="15.75" customHeight="1" x14ac:dyDescent="0.25">
      <c r="A192" s="86"/>
      <c r="B192" s="86"/>
    </row>
    <row r="193" spans="1:2" ht="15.75" customHeight="1" x14ac:dyDescent="0.25">
      <c r="A193" s="86"/>
      <c r="B193" s="86"/>
    </row>
    <row r="194" spans="1:2" ht="15.75" customHeight="1" x14ac:dyDescent="0.25">
      <c r="A194" s="86"/>
      <c r="B194" s="86"/>
    </row>
    <row r="195" spans="1:2" ht="15.75" customHeight="1" x14ac:dyDescent="0.25">
      <c r="A195" s="86"/>
      <c r="B195" s="86"/>
    </row>
    <row r="196" spans="1:2" ht="15.75" customHeight="1" x14ac:dyDescent="0.25">
      <c r="A196" s="86"/>
      <c r="B196" s="86"/>
    </row>
    <row r="197" spans="1:2" ht="15.75" customHeight="1" x14ac:dyDescent="0.25">
      <c r="A197" s="86"/>
      <c r="B197" s="86"/>
    </row>
    <row r="198" spans="1:2" ht="15.75" customHeight="1" x14ac:dyDescent="0.25">
      <c r="A198" s="86"/>
      <c r="B198" s="86"/>
    </row>
    <row r="199" spans="1:2" ht="15.75" customHeight="1" x14ac:dyDescent="0.25">
      <c r="A199" s="86"/>
      <c r="B199" s="86"/>
    </row>
    <row r="200" spans="1:2" ht="15.75" customHeight="1" x14ac:dyDescent="0.25">
      <c r="A200" s="86"/>
      <c r="B200" s="86"/>
    </row>
    <row r="201" spans="1:2" ht="15.75" customHeight="1" x14ac:dyDescent="0.25">
      <c r="A201" s="86"/>
      <c r="B201" s="86"/>
    </row>
    <row r="202" spans="1:2" ht="15.75" customHeight="1" x14ac:dyDescent="0.25">
      <c r="A202" s="86"/>
      <c r="B202" s="86"/>
    </row>
    <row r="203" spans="1:2" ht="15.75" customHeight="1" x14ac:dyDescent="0.25">
      <c r="A203" s="86"/>
      <c r="B203" s="86"/>
    </row>
    <row r="204" spans="1:2" ht="15.75" customHeight="1" x14ac:dyDescent="0.25">
      <c r="A204" s="86"/>
      <c r="B204" s="86"/>
    </row>
    <row r="205" spans="1:2" ht="15.75" customHeight="1" x14ac:dyDescent="0.25">
      <c r="A205" s="86"/>
      <c r="B205" s="86"/>
    </row>
    <row r="206" spans="1:2" ht="15.75" customHeight="1" x14ac:dyDescent="0.25">
      <c r="A206" s="86"/>
      <c r="B206" s="86"/>
    </row>
    <row r="207" spans="1:2" ht="15.75" customHeight="1" x14ac:dyDescent="0.25">
      <c r="A207" s="86"/>
      <c r="B207" s="86"/>
    </row>
    <row r="208" spans="1:2" ht="15.75" customHeight="1" x14ac:dyDescent="0.25">
      <c r="A208" s="86"/>
      <c r="B208" s="86"/>
    </row>
    <row r="209" spans="1:2" ht="15.75" customHeight="1" x14ac:dyDescent="0.25">
      <c r="A209" s="86"/>
      <c r="B209" s="86"/>
    </row>
    <row r="210" spans="1:2" ht="15.75" customHeight="1" x14ac:dyDescent="0.25">
      <c r="A210" s="86"/>
      <c r="B210" s="86"/>
    </row>
    <row r="211" spans="1:2" ht="15.75" customHeight="1" x14ac:dyDescent="0.25">
      <c r="A211" s="86"/>
      <c r="B211" s="86"/>
    </row>
    <row r="212" spans="1:2" ht="15.75" customHeight="1" x14ac:dyDescent="0.25">
      <c r="A212" s="86"/>
      <c r="B212" s="86"/>
    </row>
    <row r="213" spans="1:2" ht="15.75" customHeight="1" x14ac:dyDescent="0.25">
      <c r="A213" s="86"/>
      <c r="B213" s="86"/>
    </row>
    <row r="214" spans="1:2" ht="15.75" customHeight="1" x14ac:dyDescent="0.25">
      <c r="A214" s="86"/>
      <c r="B214" s="86"/>
    </row>
    <row r="215" spans="1:2" ht="15.75" customHeight="1" x14ac:dyDescent="0.25">
      <c r="A215" s="86"/>
      <c r="B215" s="86"/>
    </row>
    <row r="216" spans="1:2" ht="15.75" customHeight="1" x14ac:dyDescent="0.25">
      <c r="A216" s="86"/>
      <c r="B216" s="86"/>
    </row>
    <row r="217" spans="1:2" ht="15.75" customHeight="1" x14ac:dyDescent="0.25">
      <c r="A217" s="86"/>
      <c r="B217" s="86"/>
    </row>
    <row r="218" spans="1:2" ht="15.75" customHeight="1" x14ac:dyDescent="0.25">
      <c r="A218" s="86"/>
      <c r="B218" s="86"/>
    </row>
    <row r="219" spans="1:2" ht="15.75" customHeight="1" x14ac:dyDescent="0.25">
      <c r="A219" s="86"/>
      <c r="B219" s="86"/>
    </row>
    <row r="220" spans="1:2" ht="15.75" customHeight="1" x14ac:dyDescent="0.25">
      <c r="A220" s="86"/>
      <c r="B220" s="86"/>
    </row>
    <row r="221" spans="1:2" ht="15.75" customHeight="1" x14ac:dyDescent="0.25">
      <c r="A221" s="86"/>
      <c r="B221" s="86"/>
    </row>
    <row r="222" spans="1:2" ht="15.75" customHeight="1" x14ac:dyDescent="0.25">
      <c r="A222" s="86"/>
      <c r="B222" s="86"/>
    </row>
    <row r="223" spans="1:2" ht="15.75" customHeight="1" x14ac:dyDescent="0.25">
      <c r="A223" s="86"/>
      <c r="B223" s="86"/>
    </row>
    <row r="224" spans="1:2" ht="15.75" customHeight="1" x14ac:dyDescent="0.25">
      <c r="A224" s="86"/>
      <c r="B224" s="86"/>
    </row>
    <row r="225" spans="1:2" ht="15.75" customHeight="1" x14ac:dyDescent="0.25">
      <c r="A225" s="86"/>
      <c r="B225" s="86"/>
    </row>
    <row r="226" spans="1:2" ht="15.75" customHeight="1" x14ac:dyDescent="0.25">
      <c r="A226" s="86"/>
      <c r="B226" s="86"/>
    </row>
    <row r="227" spans="1:2" ht="15.75" customHeight="1" x14ac:dyDescent="0.25">
      <c r="A227" s="86"/>
      <c r="B227" s="86"/>
    </row>
    <row r="228" spans="1:2" ht="15.75" customHeight="1" x14ac:dyDescent="0.25">
      <c r="A228" s="86"/>
      <c r="B228" s="86"/>
    </row>
    <row r="229" spans="1:2" ht="15.75" customHeight="1" x14ac:dyDescent="0.25">
      <c r="A229" s="86"/>
      <c r="B229" s="86"/>
    </row>
    <row r="230" spans="1:2" ht="15.75" customHeight="1" x14ac:dyDescent="0.25">
      <c r="A230" s="86"/>
      <c r="B230" s="86"/>
    </row>
    <row r="231" spans="1:2" ht="15.75" customHeight="1" x14ac:dyDescent="0.25">
      <c r="A231" s="86"/>
      <c r="B231" s="86"/>
    </row>
    <row r="232" spans="1:2" ht="15.75" customHeight="1" x14ac:dyDescent="0.25">
      <c r="A232" s="86"/>
      <c r="B232" s="86"/>
    </row>
    <row r="233" spans="1:2" ht="15.75" customHeight="1" x14ac:dyDescent="0.25">
      <c r="A233" s="86"/>
      <c r="B233" s="86"/>
    </row>
    <row r="234" spans="1:2" ht="15.75" customHeight="1" x14ac:dyDescent="0.25">
      <c r="A234" s="86"/>
      <c r="B234" s="86"/>
    </row>
    <row r="235" spans="1:2" ht="15.75" customHeight="1" x14ac:dyDescent="0.25">
      <c r="A235" s="86"/>
      <c r="B235" s="86"/>
    </row>
    <row r="236" spans="1:2" ht="15.75" customHeight="1" x14ac:dyDescent="0.25">
      <c r="A236" s="86"/>
      <c r="B236" s="86"/>
    </row>
    <row r="237" spans="1:2" ht="15.75" customHeight="1" x14ac:dyDescent="0.25">
      <c r="A237" s="86"/>
      <c r="B237" s="86"/>
    </row>
    <row r="238" spans="1:2" ht="15.75" customHeight="1" x14ac:dyDescent="0.25">
      <c r="A238" s="86"/>
      <c r="B238" s="86"/>
    </row>
    <row r="239" spans="1:2" ht="15.75" customHeight="1" x14ac:dyDescent="0.25">
      <c r="A239" s="86"/>
      <c r="B239" s="86"/>
    </row>
    <row r="240" spans="1:2" ht="15.75" customHeight="1" x14ac:dyDescent="0.25">
      <c r="A240" s="86"/>
      <c r="B240" s="86"/>
    </row>
    <row r="241" spans="1:2" ht="15.75" customHeight="1" x14ac:dyDescent="0.25">
      <c r="A241" s="86"/>
      <c r="B241" s="86"/>
    </row>
    <row r="242" spans="1:2" ht="15.75" customHeight="1" x14ac:dyDescent="0.25">
      <c r="A242" s="86"/>
      <c r="B242" s="86"/>
    </row>
    <row r="243" spans="1:2" ht="15.75" customHeight="1" x14ac:dyDescent="0.25">
      <c r="A243" s="86"/>
      <c r="B243" s="86"/>
    </row>
    <row r="244" spans="1:2" ht="15.75" customHeight="1" x14ac:dyDescent="0.25">
      <c r="A244" s="86"/>
      <c r="B244" s="86"/>
    </row>
    <row r="245" spans="1:2" ht="15.75" customHeight="1" x14ac:dyDescent="0.25">
      <c r="A245" s="86"/>
      <c r="B245" s="86"/>
    </row>
    <row r="246" spans="1:2" ht="15.75" customHeight="1" x14ac:dyDescent="0.25">
      <c r="A246" s="86"/>
      <c r="B246" s="86"/>
    </row>
    <row r="247" spans="1:2" ht="15.75" customHeight="1" x14ac:dyDescent="0.25">
      <c r="A247" s="86"/>
      <c r="B247" s="86"/>
    </row>
    <row r="248" spans="1:2" ht="15.75" customHeight="1" x14ac:dyDescent="0.25">
      <c r="A248" s="86"/>
      <c r="B248" s="86"/>
    </row>
    <row r="249" spans="1:2" ht="15.75" customHeight="1" x14ac:dyDescent="0.25">
      <c r="A249" s="86"/>
      <c r="B249" s="86"/>
    </row>
    <row r="250" spans="1:2" ht="15.75" customHeight="1" x14ac:dyDescent="0.25">
      <c r="A250" s="86"/>
      <c r="B250" s="86"/>
    </row>
    <row r="251" spans="1:2" ht="15.75" customHeight="1" x14ac:dyDescent="0.25">
      <c r="A251" s="86"/>
      <c r="B251" s="86"/>
    </row>
    <row r="252" spans="1:2" ht="15.75" customHeight="1" x14ac:dyDescent="0.25">
      <c r="A252" s="86"/>
      <c r="B252" s="86"/>
    </row>
    <row r="253" spans="1:2" ht="15.75" customHeight="1" x14ac:dyDescent="0.25">
      <c r="A253" s="86"/>
      <c r="B253" s="86"/>
    </row>
    <row r="254" spans="1:2" ht="15.75" customHeight="1" x14ac:dyDescent="0.25">
      <c r="A254" s="86"/>
      <c r="B254" s="86"/>
    </row>
    <row r="255" spans="1:2" ht="15.75" customHeight="1" x14ac:dyDescent="0.25">
      <c r="A255" s="86"/>
      <c r="B255" s="86"/>
    </row>
    <row r="256" spans="1:2" ht="15.75" customHeight="1" x14ac:dyDescent="0.25">
      <c r="A256" s="86"/>
      <c r="B256" s="86"/>
    </row>
    <row r="257" spans="1:2" ht="15.75" customHeight="1" x14ac:dyDescent="0.25">
      <c r="A257" s="86"/>
      <c r="B257" s="86"/>
    </row>
    <row r="258" spans="1:2" ht="15.75" customHeight="1" x14ac:dyDescent="0.25">
      <c r="A258" s="86"/>
      <c r="B258" s="86"/>
    </row>
    <row r="259" spans="1:2" ht="15.75" customHeight="1" x14ac:dyDescent="0.25">
      <c r="A259" s="86"/>
      <c r="B259" s="86"/>
    </row>
    <row r="260" spans="1:2" ht="15.75" customHeight="1" x14ac:dyDescent="0.25">
      <c r="A260" s="86"/>
      <c r="B260" s="86"/>
    </row>
    <row r="261" spans="1:2" ht="15.75" customHeight="1" x14ac:dyDescent="0.25">
      <c r="A261" s="86"/>
      <c r="B261" s="86"/>
    </row>
    <row r="262" spans="1:2" ht="15.75" customHeight="1" x14ac:dyDescent="0.25">
      <c r="A262" s="86"/>
      <c r="B262" s="86"/>
    </row>
    <row r="263" spans="1:2" ht="15.75" customHeight="1" x14ac:dyDescent="0.25">
      <c r="A263" s="86"/>
      <c r="B263" s="86"/>
    </row>
    <row r="264" spans="1:2" ht="15.75" customHeight="1" x14ac:dyDescent="0.25">
      <c r="A264" s="86"/>
      <c r="B264" s="86"/>
    </row>
    <row r="265" spans="1:2" ht="15.75" customHeight="1" x14ac:dyDescent="0.25">
      <c r="A265" s="86"/>
      <c r="B265" s="86"/>
    </row>
    <row r="266" spans="1:2" ht="15.75" customHeight="1" x14ac:dyDescent="0.25">
      <c r="A266" s="86"/>
      <c r="B266" s="86"/>
    </row>
    <row r="267" spans="1:2" ht="15.75" customHeight="1" x14ac:dyDescent="0.25">
      <c r="A267" s="86"/>
      <c r="B267" s="86"/>
    </row>
    <row r="268" spans="1:2" ht="15.75" customHeight="1" x14ac:dyDescent="0.25">
      <c r="A268" s="86"/>
      <c r="B268" s="86"/>
    </row>
    <row r="269" spans="1:2" ht="15.75" customHeight="1" x14ac:dyDescent="0.25">
      <c r="A269" s="86"/>
      <c r="B269" s="86"/>
    </row>
    <row r="270" spans="1:2" ht="15.75" customHeight="1" x14ac:dyDescent="0.25">
      <c r="A270" s="86"/>
      <c r="B270" s="86"/>
    </row>
    <row r="271" spans="1:2" ht="15.75" customHeight="1" x14ac:dyDescent="0.25">
      <c r="A271" s="86"/>
      <c r="B271" s="86"/>
    </row>
    <row r="272" spans="1:2" ht="15.75" customHeight="1" x14ac:dyDescent="0.25">
      <c r="A272" s="86"/>
      <c r="B272" s="86"/>
    </row>
    <row r="273" spans="1:2" ht="15.75" customHeight="1" x14ac:dyDescent="0.25">
      <c r="A273" s="86"/>
      <c r="B273" s="86"/>
    </row>
    <row r="274" spans="1:2" ht="15.75" customHeight="1" x14ac:dyDescent="0.25">
      <c r="A274" s="86"/>
      <c r="B274" s="86"/>
    </row>
    <row r="275" spans="1:2" ht="15.75" customHeight="1" x14ac:dyDescent="0.25">
      <c r="A275" s="86"/>
      <c r="B275" s="86"/>
    </row>
    <row r="276" spans="1:2" ht="15.75" customHeight="1" x14ac:dyDescent="0.25">
      <c r="A276" s="86"/>
      <c r="B276" s="86"/>
    </row>
    <row r="277" spans="1:2" ht="15.75" customHeight="1" x14ac:dyDescent="0.25">
      <c r="A277" s="86"/>
      <c r="B277" s="86"/>
    </row>
    <row r="278" spans="1:2" ht="15.75" customHeight="1" x14ac:dyDescent="0.25">
      <c r="A278" s="86"/>
      <c r="B278" s="86"/>
    </row>
    <row r="279" spans="1:2" ht="15.75" customHeight="1" x14ac:dyDescent="0.25">
      <c r="A279" s="86"/>
      <c r="B279" s="86"/>
    </row>
    <row r="280" spans="1:2" ht="15.75" customHeight="1" x14ac:dyDescent="0.25">
      <c r="A280" s="86"/>
      <c r="B280" s="86"/>
    </row>
    <row r="281" spans="1:2" ht="15.75" customHeight="1" x14ac:dyDescent="0.25">
      <c r="A281" s="86"/>
      <c r="B281" s="86"/>
    </row>
    <row r="282" spans="1:2" ht="15.75" customHeight="1" x14ac:dyDescent="0.25">
      <c r="A282" s="86"/>
      <c r="B282" s="86"/>
    </row>
    <row r="283" spans="1:2" ht="15.75" customHeight="1" x14ac:dyDescent="0.25">
      <c r="A283" s="86"/>
      <c r="B283" s="86"/>
    </row>
    <row r="284" spans="1:2" ht="15.75" customHeight="1" x14ac:dyDescent="0.25">
      <c r="A284" s="86"/>
      <c r="B284" s="86"/>
    </row>
    <row r="285" spans="1:2" ht="15.75" customHeight="1" x14ac:dyDescent="0.25">
      <c r="A285" s="86"/>
      <c r="B285" s="86"/>
    </row>
    <row r="286" spans="1:2" ht="15.75" customHeight="1" x14ac:dyDescent="0.25">
      <c r="A286" s="86"/>
      <c r="B286" s="86"/>
    </row>
    <row r="287" spans="1:2" ht="15.75" customHeight="1" x14ac:dyDescent="0.25">
      <c r="A287" s="86"/>
      <c r="B287" s="86"/>
    </row>
    <row r="288" spans="1:2" ht="15.75" customHeight="1" x14ac:dyDescent="0.25">
      <c r="A288" s="86"/>
      <c r="B288" s="86"/>
    </row>
    <row r="289" spans="1:2" ht="15.75" customHeight="1" x14ac:dyDescent="0.25">
      <c r="A289" s="86"/>
      <c r="B289" s="86"/>
    </row>
    <row r="290" spans="1:2" ht="15.75" customHeight="1" x14ac:dyDescent="0.25">
      <c r="A290" s="86"/>
      <c r="B290" s="86"/>
    </row>
    <row r="291" spans="1:2" ht="15.75" customHeight="1" x14ac:dyDescent="0.25">
      <c r="A291" s="86"/>
      <c r="B291" s="86"/>
    </row>
    <row r="292" spans="1:2" ht="15.75" customHeight="1" x14ac:dyDescent="0.25">
      <c r="A292" s="86"/>
      <c r="B292" s="86"/>
    </row>
    <row r="293" spans="1:2" ht="15.75" customHeight="1" x14ac:dyDescent="0.25">
      <c r="A293" s="86"/>
      <c r="B293" s="86"/>
    </row>
    <row r="294" spans="1:2" ht="15.75" customHeight="1" x14ac:dyDescent="0.25">
      <c r="A294" s="86"/>
      <c r="B294" s="86"/>
    </row>
    <row r="295" spans="1:2" ht="15.75" customHeight="1" x14ac:dyDescent="0.25">
      <c r="A295" s="86"/>
      <c r="B295" s="86"/>
    </row>
    <row r="296" spans="1:2" ht="15.75" customHeight="1" x14ac:dyDescent="0.25">
      <c r="A296" s="86"/>
      <c r="B296" s="86"/>
    </row>
    <row r="297" spans="1:2" ht="15.75" customHeight="1" x14ac:dyDescent="0.25">
      <c r="A297" s="86"/>
      <c r="B297" s="86"/>
    </row>
    <row r="298" spans="1:2" ht="15.75" customHeight="1" x14ac:dyDescent="0.25">
      <c r="A298" s="86"/>
      <c r="B298" s="86"/>
    </row>
    <row r="299" spans="1:2" ht="15.75" customHeight="1" x14ac:dyDescent="0.25">
      <c r="A299" s="86"/>
      <c r="B299" s="86"/>
    </row>
    <row r="300" spans="1:2" ht="15.75" customHeight="1" x14ac:dyDescent="0.25">
      <c r="A300" s="86"/>
      <c r="B300" s="86"/>
    </row>
    <row r="301" spans="1:2" ht="15.75" customHeight="1" x14ac:dyDescent="0.25">
      <c r="A301" s="86"/>
      <c r="B301" s="86"/>
    </row>
    <row r="302" spans="1:2" ht="15.75" customHeight="1" x14ac:dyDescent="0.25">
      <c r="A302" s="86"/>
      <c r="B302" s="86"/>
    </row>
    <row r="303" spans="1:2" ht="15.75" customHeight="1" x14ac:dyDescent="0.25">
      <c r="A303" s="86"/>
      <c r="B303" s="86"/>
    </row>
    <row r="304" spans="1:2" ht="15.75" customHeight="1" x14ac:dyDescent="0.25">
      <c r="A304" s="86"/>
      <c r="B304" s="86"/>
    </row>
    <row r="305" spans="1:2" ht="15.75" customHeight="1" x14ac:dyDescent="0.25">
      <c r="A305" s="86"/>
      <c r="B305" s="86"/>
    </row>
    <row r="306" spans="1:2" ht="15.75" customHeight="1" x14ac:dyDescent="0.25">
      <c r="A306" s="86"/>
      <c r="B306" s="86"/>
    </row>
    <row r="307" spans="1:2" ht="15.75" customHeight="1" x14ac:dyDescent="0.25">
      <c r="A307" s="86"/>
      <c r="B307" s="86"/>
    </row>
    <row r="308" spans="1:2" ht="15.75" customHeight="1" x14ac:dyDescent="0.25">
      <c r="A308" s="86"/>
      <c r="B308" s="86"/>
    </row>
    <row r="309" spans="1:2" ht="15.75" customHeight="1" x14ac:dyDescent="0.25">
      <c r="A309" s="86"/>
      <c r="B309" s="86"/>
    </row>
    <row r="310" spans="1:2" ht="15.75" customHeight="1" x14ac:dyDescent="0.25">
      <c r="A310" s="86"/>
      <c r="B310" s="86"/>
    </row>
    <row r="311" spans="1:2" ht="15.75" customHeight="1" x14ac:dyDescent="0.25">
      <c r="A311" s="86"/>
      <c r="B311" s="86"/>
    </row>
    <row r="312" spans="1:2" ht="15.75" customHeight="1" x14ac:dyDescent="0.25">
      <c r="A312" s="86"/>
      <c r="B312" s="86"/>
    </row>
    <row r="313" spans="1:2" ht="15.75" customHeight="1" x14ac:dyDescent="0.25">
      <c r="A313" s="86"/>
      <c r="B313" s="86"/>
    </row>
    <row r="314" spans="1:2" ht="15.75" customHeight="1" x14ac:dyDescent="0.25">
      <c r="A314" s="86"/>
      <c r="B314" s="86"/>
    </row>
    <row r="315" spans="1:2" ht="15.75" customHeight="1" x14ac:dyDescent="0.25">
      <c r="A315" s="86"/>
      <c r="B315" s="86"/>
    </row>
    <row r="316" spans="1:2" ht="15.75" customHeight="1" x14ac:dyDescent="0.25">
      <c r="A316" s="86"/>
      <c r="B316" s="86"/>
    </row>
    <row r="317" spans="1:2" ht="15.75" customHeight="1" x14ac:dyDescent="0.25">
      <c r="A317" s="86"/>
      <c r="B317" s="86"/>
    </row>
    <row r="318" spans="1:2" ht="15.75" customHeight="1" x14ac:dyDescent="0.25">
      <c r="A318" s="86"/>
      <c r="B318" s="86"/>
    </row>
    <row r="319" spans="1:2" ht="15.75" customHeight="1" x14ac:dyDescent="0.25">
      <c r="A319" s="86"/>
      <c r="B319" s="86"/>
    </row>
    <row r="320" spans="1:2" ht="15.75" customHeight="1" x14ac:dyDescent="0.25">
      <c r="A320" s="86"/>
      <c r="B320" s="86"/>
    </row>
    <row r="321" spans="1:2" ht="15.75" customHeight="1" x14ac:dyDescent="0.25">
      <c r="A321" s="86"/>
      <c r="B321" s="86"/>
    </row>
    <row r="322" spans="1:2" ht="15.75" customHeight="1" x14ac:dyDescent="0.25">
      <c r="A322" s="86"/>
      <c r="B322" s="86"/>
    </row>
    <row r="323" spans="1:2" ht="15.75" customHeight="1" x14ac:dyDescent="0.25">
      <c r="A323" s="86"/>
      <c r="B323" s="86"/>
    </row>
    <row r="324" spans="1:2" ht="15.75" customHeight="1" x14ac:dyDescent="0.25">
      <c r="A324" s="86"/>
      <c r="B324" s="86"/>
    </row>
    <row r="325" spans="1:2" ht="15.75" customHeight="1" x14ac:dyDescent="0.25">
      <c r="A325" s="86"/>
      <c r="B325" s="86"/>
    </row>
    <row r="326" spans="1:2" ht="15.75" customHeight="1" x14ac:dyDescent="0.25">
      <c r="A326" s="86"/>
      <c r="B326" s="86"/>
    </row>
    <row r="327" spans="1:2" ht="15.75" customHeight="1" x14ac:dyDescent="0.25">
      <c r="A327" s="86"/>
      <c r="B327" s="86"/>
    </row>
    <row r="328" spans="1:2" ht="15.75" customHeight="1" x14ac:dyDescent="0.25">
      <c r="A328" s="86"/>
      <c r="B328" s="86"/>
    </row>
    <row r="329" spans="1:2" ht="15.75" customHeight="1" x14ac:dyDescent="0.25">
      <c r="A329" s="86"/>
      <c r="B329" s="86"/>
    </row>
    <row r="330" spans="1:2" ht="15.75" customHeight="1" x14ac:dyDescent="0.25">
      <c r="A330" s="86"/>
      <c r="B330" s="86"/>
    </row>
    <row r="331" spans="1:2" ht="15.75" customHeight="1" x14ac:dyDescent="0.25">
      <c r="A331" s="86"/>
      <c r="B331" s="86"/>
    </row>
    <row r="332" spans="1:2" ht="15.75" customHeight="1" x14ac:dyDescent="0.25">
      <c r="A332" s="86"/>
      <c r="B332" s="86"/>
    </row>
    <row r="333" spans="1:2" ht="15.75" customHeight="1" x14ac:dyDescent="0.25">
      <c r="A333" s="86"/>
      <c r="B333" s="86"/>
    </row>
    <row r="334" spans="1:2" ht="15.75" customHeight="1" x14ac:dyDescent="0.25">
      <c r="A334" s="86"/>
      <c r="B334" s="86"/>
    </row>
    <row r="335" spans="1:2" ht="15.75" customHeight="1" x14ac:dyDescent="0.25">
      <c r="A335" s="86"/>
      <c r="B335" s="86"/>
    </row>
    <row r="336" spans="1:2" ht="15.75" customHeight="1" x14ac:dyDescent="0.25">
      <c r="A336" s="86"/>
      <c r="B336" s="86"/>
    </row>
    <row r="337" spans="1:2" ht="15.75" customHeight="1" x14ac:dyDescent="0.25">
      <c r="A337" s="86"/>
      <c r="B337" s="86"/>
    </row>
    <row r="338" spans="1:2" ht="15.75" customHeight="1" x14ac:dyDescent="0.25">
      <c r="A338" s="86"/>
      <c r="B338" s="86"/>
    </row>
    <row r="339" spans="1:2" ht="15.75" customHeight="1" x14ac:dyDescent="0.25">
      <c r="A339" s="86"/>
      <c r="B339" s="86"/>
    </row>
    <row r="340" spans="1:2" ht="15.75" customHeight="1" x14ac:dyDescent="0.25">
      <c r="A340" s="86"/>
      <c r="B340" s="86"/>
    </row>
    <row r="341" spans="1:2" ht="15.75" customHeight="1" x14ac:dyDescent="0.25">
      <c r="A341" s="86"/>
      <c r="B341" s="86"/>
    </row>
    <row r="342" spans="1:2" ht="15.75" customHeight="1" x14ac:dyDescent="0.25">
      <c r="A342" s="86"/>
      <c r="B342" s="86"/>
    </row>
    <row r="343" spans="1:2" ht="15.75" customHeight="1" x14ac:dyDescent="0.25">
      <c r="A343" s="86"/>
      <c r="B343" s="86"/>
    </row>
    <row r="344" spans="1:2" ht="15.75" customHeight="1" x14ac:dyDescent="0.25">
      <c r="A344" s="86"/>
      <c r="B344" s="86"/>
    </row>
    <row r="345" spans="1:2" ht="15.75" customHeight="1" x14ac:dyDescent="0.25">
      <c r="A345" s="86"/>
      <c r="B345" s="86"/>
    </row>
    <row r="346" spans="1:2" ht="15.75" customHeight="1" x14ac:dyDescent="0.25">
      <c r="A346" s="86"/>
      <c r="B346" s="86"/>
    </row>
    <row r="347" spans="1:2" ht="15.75" customHeight="1" x14ac:dyDescent="0.25">
      <c r="A347" s="86"/>
      <c r="B347" s="86"/>
    </row>
    <row r="348" spans="1:2" ht="15.75" customHeight="1" x14ac:dyDescent="0.25">
      <c r="A348" s="86"/>
      <c r="B348" s="86"/>
    </row>
    <row r="349" spans="1:2" ht="15.75" customHeight="1" x14ac:dyDescent="0.25">
      <c r="A349" s="86"/>
      <c r="B349" s="86"/>
    </row>
    <row r="350" spans="1:2" ht="15.75" customHeight="1" x14ac:dyDescent="0.25">
      <c r="A350" s="86"/>
      <c r="B350" s="86"/>
    </row>
    <row r="351" spans="1:2" ht="15.75" customHeight="1" x14ac:dyDescent="0.25">
      <c r="A351" s="86"/>
      <c r="B351" s="86"/>
    </row>
    <row r="352" spans="1:2" ht="15.75" customHeight="1" x14ac:dyDescent="0.25">
      <c r="A352" s="86"/>
      <c r="B352" s="86"/>
    </row>
    <row r="353" spans="1:2" ht="15.75" customHeight="1" x14ac:dyDescent="0.25">
      <c r="A353" s="86"/>
      <c r="B353" s="86"/>
    </row>
    <row r="354" spans="1:2" ht="15.75" customHeight="1" x14ac:dyDescent="0.25">
      <c r="A354" s="86"/>
      <c r="B354" s="86"/>
    </row>
    <row r="355" spans="1:2" ht="15.75" customHeight="1" x14ac:dyDescent="0.25">
      <c r="A355" s="86"/>
      <c r="B355" s="86"/>
    </row>
    <row r="356" spans="1:2" ht="15.75" customHeight="1" x14ac:dyDescent="0.25">
      <c r="A356" s="86"/>
      <c r="B356" s="86"/>
    </row>
    <row r="357" spans="1:2" ht="15.75" customHeight="1" x14ac:dyDescent="0.25">
      <c r="A357" s="86"/>
      <c r="B357" s="86"/>
    </row>
    <row r="358" spans="1:2" ht="15.75" customHeight="1" x14ac:dyDescent="0.25">
      <c r="A358" s="86"/>
      <c r="B358" s="86"/>
    </row>
    <row r="359" spans="1:2" ht="15.75" customHeight="1" x14ac:dyDescent="0.25">
      <c r="A359" s="86"/>
      <c r="B359" s="86"/>
    </row>
    <row r="360" spans="1:2" ht="15.75" customHeight="1" x14ac:dyDescent="0.25">
      <c r="A360" s="86"/>
      <c r="B360" s="86"/>
    </row>
    <row r="361" spans="1:2" ht="15.75" customHeight="1" x14ac:dyDescent="0.25">
      <c r="A361" s="86"/>
      <c r="B361" s="86"/>
    </row>
    <row r="362" spans="1:2" ht="15.75" customHeight="1" x14ac:dyDescent="0.25">
      <c r="A362" s="86"/>
      <c r="B362" s="86"/>
    </row>
    <row r="363" spans="1:2" ht="15.75" customHeight="1" x14ac:dyDescent="0.25">
      <c r="A363" s="86"/>
      <c r="B363" s="86"/>
    </row>
    <row r="364" spans="1:2" ht="15.75" customHeight="1" x14ac:dyDescent="0.25">
      <c r="A364" s="86"/>
      <c r="B364" s="86"/>
    </row>
    <row r="365" spans="1:2" ht="15.75" customHeight="1" x14ac:dyDescent="0.25">
      <c r="A365" s="86"/>
      <c r="B365" s="86"/>
    </row>
    <row r="366" spans="1:2" ht="15.75" customHeight="1" x14ac:dyDescent="0.25">
      <c r="A366" s="86"/>
      <c r="B366" s="86"/>
    </row>
    <row r="367" spans="1:2" ht="15.75" customHeight="1" x14ac:dyDescent="0.25">
      <c r="A367" s="86"/>
      <c r="B367" s="86"/>
    </row>
    <row r="368" spans="1:2" ht="15.75" customHeight="1" x14ac:dyDescent="0.25">
      <c r="A368" s="86"/>
      <c r="B368" s="86"/>
    </row>
    <row r="369" spans="1:2" ht="15.75" customHeight="1" x14ac:dyDescent="0.25">
      <c r="A369" s="86"/>
      <c r="B369" s="86"/>
    </row>
    <row r="370" spans="1:2" ht="15.75" customHeight="1" x14ac:dyDescent="0.25">
      <c r="A370" s="86"/>
      <c r="B370" s="86"/>
    </row>
    <row r="371" spans="1:2" ht="15.75" customHeight="1" x14ac:dyDescent="0.25">
      <c r="A371" s="86"/>
      <c r="B371" s="86"/>
    </row>
    <row r="372" spans="1:2" ht="15.75" customHeight="1" x14ac:dyDescent="0.25">
      <c r="A372" s="86"/>
      <c r="B372" s="86"/>
    </row>
    <row r="373" spans="1:2" ht="15.75" customHeight="1" x14ac:dyDescent="0.25">
      <c r="A373" s="86"/>
      <c r="B373" s="86"/>
    </row>
    <row r="374" spans="1:2" ht="15.75" customHeight="1" x14ac:dyDescent="0.25">
      <c r="A374" s="86"/>
      <c r="B374" s="86"/>
    </row>
    <row r="375" spans="1:2" ht="15.75" customHeight="1" x14ac:dyDescent="0.25">
      <c r="A375" s="86"/>
      <c r="B375" s="86"/>
    </row>
    <row r="376" spans="1:2" ht="15.75" customHeight="1" x14ac:dyDescent="0.25">
      <c r="A376" s="86"/>
      <c r="B376" s="86"/>
    </row>
    <row r="377" spans="1:2" ht="15.75" customHeight="1" x14ac:dyDescent="0.25">
      <c r="A377" s="86"/>
      <c r="B377" s="86"/>
    </row>
    <row r="378" spans="1:2" ht="15.75" customHeight="1" x14ac:dyDescent="0.25">
      <c r="A378" s="86"/>
      <c r="B378" s="86"/>
    </row>
    <row r="379" spans="1:2" ht="15.75" customHeight="1" x14ac:dyDescent="0.25">
      <c r="A379" s="86"/>
      <c r="B379" s="86"/>
    </row>
    <row r="380" spans="1:2" ht="15.75" customHeight="1" x14ac:dyDescent="0.25">
      <c r="A380" s="86"/>
      <c r="B380" s="86"/>
    </row>
    <row r="381" spans="1:2" ht="15.75" customHeight="1" x14ac:dyDescent="0.25">
      <c r="A381" s="86"/>
      <c r="B381" s="86"/>
    </row>
    <row r="382" spans="1:2" ht="15.75" customHeight="1" x14ac:dyDescent="0.25">
      <c r="A382" s="86"/>
      <c r="B382" s="86"/>
    </row>
    <row r="383" spans="1:2" ht="15.75" customHeight="1" x14ac:dyDescent="0.25">
      <c r="A383" s="86"/>
      <c r="B383" s="86"/>
    </row>
    <row r="384" spans="1:2" ht="15.75" customHeight="1" x14ac:dyDescent="0.25">
      <c r="A384" s="86"/>
      <c r="B384" s="86"/>
    </row>
    <row r="385" spans="1:2" ht="15.75" customHeight="1" x14ac:dyDescent="0.25">
      <c r="A385" s="86"/>
      <c r="B385" s="86"/>
    </row>
    <row r="386" spans="1:2" ht="15.75" customHeight="1" x14ac:dyDescent="0.25">
      <c r="A386" s="86"/>
      <c r="B386" s="86"/>
    </row>
    <row r="387" spans="1:2" ht="15.75" customHeight="1" x14ac:dyDescent="0.25">
      <c r="A387" s="86"/>
      <c r="B387" s="86"/>
    </row>
    <row r="388" spans="1:2" ht="15.75" customHeight="1" x14ac:dyDescent="0.25">
      <c r="A388" s="86"/>
      <c r="B388" s="86"/>
    </row>
    <row r="389" spans="1:2" ht="15.75" customHeight="1" x14ac:dyDescent="0.25">
      <c r="A389" s="86"/>
      <c r="B389" s="86"/>
    </row>
    <row r="390" spans="1:2" ht="15.75" customHeight="1" x14ac:dyDescent="0.25">
      <c r="A390" s="86"/>
      <c r="B390" s="86"/>
    </row>
    <row r="391" spans="1:2" ht="15.75" customHeight="1" x14ac:dyDescent="0.25">
      <c r="A391" s="86"/>
      <c r="B391" s="86"/>
    </row>
    <row r="392" spans="1:2" ht="15.75" customHeight="1" x14ac:dyDescent="0.25">
      <c r="A392" s="86"/>
      <c r="B392" s="86"/>
    </row>
    <row r="393" spans="1:2" ht="15.75" customHeight="1" x14ac:dyDescent="0.25">
      <c r="A393" s="86"/>
      <c r="B393" s="86"/>
    </row>
    <row r="394" spans="1:2" ht="15.75" customHeight="1" x14ac:dyDescent="0.25">
      <c r="A394" s="86"/>
      <c r="B394" s="86"/>
    </row>
    <row r="395" spans="1:2" ht="15.75" customHeight="1" x14ac:dyDescent="0.25">
      <c r="A395" s="86"/>
      <c r="B395" s="86"/>
    </row>
    <row r="396" spans="1:2" ht="15.75" customHeight="1" x14ac:dyDescent="0.25">
      <c r="A396" s="86"/>
      <c r="B396" s="86"/>
    </row>
    <row r="397" spans="1:2" ht="15.75" customHeight="1" x14ac:dyDescent="0.25">
      <c r="A397" s="86"/>
      <c r="B397" s="86"/>
    </row>
    <row r="398" spans="1:2" ht="15.75" customHeight="1" x14ac:dyDescent="0.25">
      <c r="A398" s="86"/>
      <c r="B398" s="86"/>
    </row>
    <row r="399" spans="1:2" ht="15.75" customHeight="1" x14ac:dyDescent="0.25">
      <c r="A399" s="86"/>
      <c r="B399" s="86"/>
    </row>
    <row r="400" spans="1:2" ht="15.75" customHeight="1" x14ac:dyDescent="0.25">
      <c r="A400" s="86"/>
      <c r="B400" s="86"/>
    </row>
    <row r="401" spans="1:2" ht="15.75" customHeight="1" x14ac:dyDescent="0.25">
      <c r="A401" s="86"/>
      <c r="B401" s="86"/>
    </row>
    <row r="402" spans="1:2" ht="15.75" customHeight="1" x14ac:dyDescent="0.25">
      <c r="A402" s="86"/>
      <c r="B402" s="86"/>
    </row>
    <row r="403" spans="1:2" ht="15.75" customHeight="1" x14ac:dyDescent="0.25">
      <c r="A403" s="86"/>
      <c r="B403" s="86"/>
    </row>
    <row r="404" spans="1:2" ht="15.75" customHeight="1" x14ac:dyDescent="0.25">
      <c r="A404" s="86"/>
      <c r="B404" s="86"/>
    </row>
    <row r="405" spans="1:2" ht="15.75" customHeight="1" x14ac:dyDescent="0.25">
      <c r="A405" s="86"/>
      <c r="B405" s="86"/>
    </row>
    <row r="406" spans="1:2" ht="15.75" customHeight="1" x14ac:dyDescent="0.25">
      <c r="A406" s="86"/>
      <c r="B406" s="86"/>
    </row>
    <row r="407" spans="1:2" ht="15.75" customHeight="1" x14ac:dyDescent="0.25">
      <c r="A407" s="86"/>
      <c r="B407" s="86"/>
    </row>
    <row r="408" spans="1:2" ht="15.75" customHeight="1" x14ac:dyDescent="0.25">
      <c r="A408" s="86"/>
      <c r="B408" s="86"/>
    </row>
    <row r="409" spans="1:2" ht="15.75" customHeight="1" x14ac:dyDescent="0.25">
      <c r="A409" s="86"/>
      <c r="B409" s="86"/>
    </row>
    <row r="410" spans="1:2" ht="15.75" customHeight="1" x14ac:dyDescent="0.25">
      <c r="A410" s="86"/>
      <c r="B410" s="86"/>
    </row>
    <row r="411" spans="1:2" ht="15.75" customHeight="1" x14ac:dyDescent="0.25">
      <c r="A411" s="86"/>
      <c r="B411" s="86"/>
    </row>
    <row r="412" spans="1:2" ht="15.75" customHeight="1" x14ac:dyDescent="0.25">
      <c r="A412" s="86"/>
      <c r="B412" s="86"/>
    </row>
    <row r="413" spans="1:2" ht="15.75" customHeight="1" x14ac:dyDescent="0.25">
      <c r="A413" s="86"/>
      <c r="B413" s="86"/>
    </row>
    <row r="414" spans="1:2" ht="15.75" customHeight="1" x14ac:dyDescent="0.25">
      <c r="A414" s="86"/>
      <c r="B414" s="86"/>
    </row>
    <row r="415" spans="1:2" ht="15.75" customHeight="1" x14ac:dyDescent="0.25">
      <c r="A415" s="86"/>
      <c r="B415" s="86"/>
    </row>
    <row r="416" spans="1:2" ht="15.75" customHeight="1" x14ac:dyDescent="0.25">
      <c r="A416" s="86"/>
      <c r="B416" s="86"/>
    </row>
    <row r="417" spans="1:2" ht="15.75" customHeight="1" x14ac:dyDescent="0.25">
      <c r="A417" s="86"/>
      <c r="B417" s="86"/>
    </row>
    <row r="418" spans="1:2" ht="15.75" customHeight="1" x14ac:dyDescent="0.25">
      <c r="A418" s="86"/>
      <c r="B418" s="86"/>
    </row>
    <row r="419" spans="1:2" ht="15.75" customHeight="1" x14ac:dyDescent="0.25">
      <c r="A419" s="86"/>
      <c r="B419" s="86"/>
    </row>
    <row r="420" spans="1:2" ht="15.75" customHeight="1" x14ac:dyDescent="0.25">
      <c r="A420" s="86"/>
      <c r="B420" s="86"/>
    </row>
    <row r="421" spans="1:2" ht="15.75" customHeight="1" x14ac:dyDescent="0.25">
      <c r="A421" s="86"/>
      <c r="B421" s="86"/>
    </row>
    <row r="422" spans="1:2" ht="15.75" customHeight="1" x14ac:dyDescent="0.25">
      <c r="A422" s="86"/>
      <c r="B422" s="86"/>
    </row>
    <row r="423" spans="1:2" ht="15.75" customHeight="1" x14ac:dyDescent="0.25">
      <c r="A423" s="86"/>
      <c r="B423" s="86"/>
    </row>
    <row r="424" spans="1:2" ht="15.75" customHeight="1" x14ac:dyDescent="0.25">
      <c r="A424" s="86"/>
      <c r="B424" s="86"/>
    </row>
    <row r="425" spans="1:2" ht="15.75" customHeight="1" x14ac:dyDescent="0.25">
      <c r="A425" s="86"/>
      <c r="B425" s="86"/>
    </row>
    <row r="426" spans="1:2" ht="15.75" customHeight="1" x14ac:dyDescent="0.25">
      <c r="A426" s="86"/>
      <c r="B426" s="86"/>
    </row>
    <row r="427" spans="1:2" ht="15.75" customHeight="1" x14ac:dyDescent="0.25">
      <c r="A427" s="86"/>
      <c r="B427" s="86"/>
    </row>
    <row r="428" spans="1:2" ht="15.75" customHeight="1" x14ac:dyDescent="0.25">
      <c r="A428" s="86"/>
      <c r="B428" s="86"/>
    </row>
    <row r="429" spans="1:2" ht="15.75" customHeight="1" x14ac:dyDescent="0.25">
      <c r="A429" s="86"/>
      <c r="B429" s="86"/>
    </row>
    <row r="430" spans="1:2" ht="15.75" customHeight="1" x14ac:dyDescent="0.25">
      <c r="A430" s="86"/>
      <c r="B430" s="86"/>
    </row>
    <row r="431" spans="1:2" ht="15.75" customHeight="1" x14ac:dyDescent="0.25">
      <c r="A431" s="86"/>
      <c r="B431" s="86"/>
    </row>
    <row r="432" spans="1:2" ht="15.75" customHeight="1" x14ac:dyDescent="0.25">
      <c r="A432" s="86"/>
      <c r="B432" s="86"/>
    </row>
    <row r="433" spans="1:2" ht="15.75" customHeight="1" x14ac:dyDescent="0.25">
      <c r="A433" s="86"/>
      <c r="B433" s="86"/>
    </row>
    <row r="434" spans="1:2" ht="15.75" customHeight="1" x14ac:dyDescent="0.25">
      <c r="A434" s="86"/>
      <c r="B434" s="86"/>
    </row>
    <row r="435" spans="1:2" ht="15.75" customHeight="1" x14ac:dyDescent="0.25">
      <c r="A435" s="86"/>
      <c r="B435" s="86"/>
    </row>
    <row r="436" spans="1:2" ht="15.75" customHeight="1" x14ac:dyDescent="0.25">
      <c r="A436" s="86"/>
      <c r="B436" s="86"/>
    </row>
    <row r="437" spans="1:2" ht="15.75" customHeight="1" x14ac:dyDescent="0.25">
      <c r="A437" s="86"/>
      <c r="B437" s="86"/>
    </row>
    <row r="438" spans="1:2" ht="15.75" customHeight="1" x14ac:dyDescent="0.25">
      <c r="A438" s="86"/>
      <c r="B438" s="86"/>
    </row>
    <row r="439" spans="1:2" ht="15.75" customHeight="1" x14ac:dyDescent="0.25">
      <c r="A439" s="86"/>
      <c r="B439" s="86"/>
    </row>
    <row r="440" spans="1:2" ht="15.75" customHeight="1" x14ac:dyDescent="0.25">
      <c r="A440" s="86"/>
      <c r="B440" s="86"/>
    </row>
    <row r="441" spans="1:2" ht="15.75" customHeight="1" x14ac:dyDescent="0.25">
      <c r="A441" s="86"/>
      <c r="B441" s="86"/>
    </row>
    <row r="442" spans="1:2" ht="15.75" customHeight="1" x14ac:dyDescent="0.25">
      <c r="A442" s="86"/>
      <c r="B442" s="86"/>
    </row>
    <row r="443" spans="1:2" ht="15.75" customHeight="1" x14ac:dyDescent="0.25">
      <c r="A443" s="86"/>
      <c r="B443" s="86"/>
    </row>
    <row r="444" spans="1:2" ht="15.75" customHeight="1" x14ac:dyDescent="0.25">
      <c r="A444" s="86"/>
      <c r="B444" s="86"/>
    </row>
    <row r="445" spans="1:2" ht="15.75" customHeight="1" x14ac:dyDescent="0.25">
      <c r="A445" s="86"/>
      <c r="B445" s="86"/>
    </row>
    <row r="446" spans="1:2" ht="15.75" customHeight="1" x14ac:dyDescent="0.25">
      <c r="A446" s="86"/>
      <c r="B446" s="86"/>
    </row>
    <row r="447" spans="1:2" ht="15.75" customHeight="1" x14ac:dyDescent="0.25">
      <c r="A447" s="86"/>
      <c r="B447" s="86"/>
    </row>
    <row r="448" spans="1:2" ht="15.75" customHeight="1" x14ac:dyDescent="0.25">
      <c r="A448" s="86"/>
      <c r="B448" s="86"/>
    </row>
    <row r="449" spans="1:2" ht="15.75" customHeight="1" x14ac:dyDescent="0.25">
      <c r="A449" s="86"/>
      <c r="B449" s="86"/>
    </row>
    <row r="450" spans="1:2" ht="15.75" customHeight="1" x14ac:dyDescent="0.25">
      <c r="A450" s="86"/>
      <c r="B450" s="86"/>
    </row>
    <row r="451" spans="1:2" ht="15.75" customHeight="1" x14ac:dyDescent="0.25">
      <c r="A451" s="86"/>
      <c r="B451" s="86"/>
    </row>
    <row r="452" spans="1:2" ht="15.75" customHeight="1" x14ac:dyDescent="0.25">
      <c r="A452" s="86"/>
      <c r="B452" s="86"/>
    </row>
    <row r="453" spans="1:2" ht="15.75" customHeight="1" x14ac:dyDescent="0.25">
      <c r="A453" s="86"/>
      <c r="B453" s="86"/>
    </row>
    <row r="454" spans="1:2" ht="15.75" customHeight="1" x14ac:dyDescent="0.25">
      <c r="A454" s="86"/>
      <c r="B454" s="86"/>
    </row>
    <row r="455" spans="1:2" ht="15.75" customHeight="1" x14ac:dyDescent="0.25">
      <c r="A455" s="86"/>
      <c r="B455" s="86"/>
    </row>
    <row r="456" spans="1:2" ht="15.75" customHeight="1" x14ac:dyDescent="0.25">
      <c r="A456" s="86"/>
      <c r="B456" s="86"/>
    </row>
    <row r="457" spans="1:2" ht="15.75" customHeight="1" x14ac:dyDescent="0.25">
      <c r="A457" s="86"/>
      <c r="B457" s="86"/>
    </row>
    <row r="458" spans="1:2" ht="15.75" customHeight="1" x14ac:dyDescent="0.25">
      <c r="A458" s="86"/>
      <c r="B458" s="86"/>
    </row>
    <row r="459" spans="1:2" ht="15.75" customHeight="1" x14ac:dyDescent="0.25">
      <c r="A459" s="86"/>
      <c r="B459" s="86"/>
    </row>
    <row r="460" spans="1:2" ht="15.75" customHeight="1" x14ac:dyDescent="0.25">
      <c r="A460" s="86"/>
      <c r="B460" s="86"/>
    </row>
    <row r="461" spans="1:2" ht="15.75" customHeight="1" x14ac:dyDescent="0.25">
      <c r="A461" s="86"/>
      <c r="B461" s="86"/>
    </row>
    <row r="462" spans="1:2" ht="15.75" customHeight="1" x14ac:dyDescent="0.25">
      <c r="A462" s="86"/>
      <c r="B462" s="86"/>
    </row>
    <row r="463" spans="1:2" ht="15.75" customHeight="1" x14ac:dyDescent="0.25">
      <c r="A463" s="86"/>
      <c r="B463" s="86"/>
    </row>
    <row r="464" spans="1:2" ht="15.75" customHeight="1" x14ac:dyDescent="0.25">
      <c r="A464" s="86"/>
      <c r="B464" s="86"/>
    </row>
    <row r="465" spans="1:2" ht="15.75" customHeight="1" x14ac:dyDescent="0.25">
      <c r="A465" s="86"/>
      <c r="B465" s="86"/>
    </row>
    <row r="466" spans="1:2" ht="15.75" customHeight="1" x14ac:dyDescent="0.25">
      <c r="A466" s="86"/>
      <c r="B466" s="86"/>
    </row>
    <row r="467" spans="1:2" ht="15.75" customHeight="1" x14ac:dyDescent="0.25">
      <c r="A467" s="86"/>
      <c r="B467" s="86"/>
    </row>
    <row r="468" spans="1:2" ht="15.75" customHeight="1" x14ac:dyDescent="0.25">
      <c r="A468" s="86"/>
      <c r="B468" s="86"/>
    </row>
    <row r="469" spans="1:2" ht="15.75" customHeight="1" x14ac:dyDescent="0.25">
      <c r="A469" s="86"/>
      <c r="B469" s="86"/>
    </row>
    <row r="470" spans="1:2" ht="15.75" customHeight="1" x14ac:dyDescent="0.25">
      <c r="A470" s="86"/>
      <c r="B470" s="86"/>
    </row>
    <row r="471" spans="1:2" ht="15.75" customHeight="1" x14ac:dyDescent="0.25">
      <c r="A471" s="86"/>
      <c r="B471" s="86"/>
    </row>
    <row r="472" spans="1:2" ht="15.75" customHeight="1" x14ac:dyDescent="0.25">
      <c r="A472" s="86"/>
      <c r="B472" s="86"/>
    </row>
    <row r="473" spans="1:2" ht="15.75" customHeight="1" x14ac:dyDescent="0.25">
      <c r="A473" s="86"/>
      <c r="B473" s="86"/>
    </row>
    <row r="474" spans="1:2" ht="15.75" customHeight="1" x14ac:dyDescent="0.25">
      <c r="A474" s="86"/>
      <c r="B474" s="86"/>
    </row>
    <row r="475" spans="1:2" ht="15.75" customHeight="1" x14ac:dyDescent="0.25">
      <c r="A475" s="86"/>
      <c r="B475" s="86"/>
    </row>
    <row r="476" spans="1:2" ht="15.75" customHeight="1" x14ac:dyDescent="0.25">
      <c r="A476" s="86"/>
      <c r="B476" s="86"/>
    </row>
    <row r="477" spans="1:2" ht="15.75" customHeight="1" x14ac:dyDescent="0.25">
      <c r="A477" s="86"/>
      <c r="B477" s="86"/>
    </row>
    <row r="478" spans="1:2" ht="15.75" customHeight="1" x14ac:dyDescent="0.25">
      <c r="A478" s="86"/>
      <c r="B478" s="86"/>
    </row>
    <row r="479" spans="1:2" ht="15.75" customHeight="1" x14ac:dyDescent="0.25">
      <c r="A479" s="86"/>
      <c r="B479" s="86"/>
    </row>
    <row r="480" spans="1:2" ht="15.75" customHeight="1" x14ac:dyDescent="0.25">
      <c r="A480" s="86"/>
      <c r="B480" s="86"/>
    </row>
    <row r="481" spans="1:2" ht="15.75" customHeight="1" x14ac:dyDescent="0.25">
      <c r="A481" s="86"/>
      <c r="B481" s="86"/>
    </row>
    <row r="482" spans="1:2" ht="15.75" customHeight="1" x14ac:dyDescent="0.25">
      <c r="A482" s="86"/>
      <c r="B482" s="86"/>
    </row>
    <row r="483" spans="1:2" ht="15.75" customHeight="1" x14ac:dyDescent="0.25">
      <c r="A483" s="86"/>
      <c r="B483" s="86"/>
    </row>
    <row r="484" spans="1:2" ht="15.75" customHeight="1" x14ac:dyDescent="0.25">
      <c r="A484" s="86"/>
      <c r="B484" s="86"/>
    </row>
    <row r="485" spans="1:2" ht="15.75" customHeight="1" x14ac:dyDescent="0.25">
      <c r="A485" s="86"/>
      <c r="B485" s="86"/>
    </row>
    <row r="486" spans="1:2" ht="15.75" customHeight="1" x14ac:dyDescent="0.25">
      <c r="A486" s="86"/>
      <c r="B486" s="86"/>
    </row>
    <row r="487" spans="1:2" ht="15.75" customHeight="1" x14ac:dyDescent="0.25">
      <c r="A487" s="86"/>
      <c r="B487" s="86"/>
    </row>
    <row r="488" spans="1:2" ht="15.75" customHeight="1" x14ac:dyDescent="0.25">
      <c r="A488" s="86"/>
      <c r="B488" s="86"/>
    </row>
    <row r="489" spans="1:2" ht="15.75" customHeight="1" x14ac:dyDescent="0.25">
      <c r="A489" s="86"/>
      <c r="B489" s="86"/>
    </row>
    <row r="490" spans="1:2" ht="15.75" customHeight="1" x14ac:dyDescent="0.25">
      <c r="A490" s="86"/>
      <c r="B490" s="86"/>
    </row>
    <row r="491" spans="1:2" ht="15.75" customHeight="1" x14ac:dyDescent="0.25">
      <c r="A491" s="86"/>
      <c r="B491" s="86"/>
    </row>
    <row r="492" spans="1:2" ht="15.75" customHeight="1" x14ac:dyDescent="0.25">
      <c r="A492" s="86"/>
      <c r="B492" s="86"/>
    </row>
    <row r="493" spans="1:2" ht="15.75" customHeight="1" x14ac:dyDescent="0.25">
      <c r="A493" s="86"/>
      <c r="B493" s="86"/>
    </row>
    <row r="494" spans="1:2" ht="15.75" customHeight="1" x14ac:dyDescent="0.25">
      <c r="A494" s="86"/>
      <c r="B494" s="86"/>
    </row>
    <row r="495" spans="1:2" ht="15.75" customHeight="1" x14ac:dyDescent="0.25">
      <c r="A495" s="86"/>
      <c r="B495" s="86"/>
    </row>
    <row r="496" spans="1:2" ht="15.75" customHeight="1" x14ac:dyDescent="0.25">
      <c r="A496" s="86"/>
      <c r="B496" s="86"/>
    </row>
    <row r="497" spans="1:2" ht="15.75" customHeight="1" x14ac:dyDescent="0.25">
      <c r="A497" s="86"/>
      <c r="B497" s="86"/>
    </row>
    <row r="498" spans="1:2" ht="15.75" customHeight="1" x14ac:dyDescent="0.25">
      <c r="A498" s="86"/>
      <c r="B498" s="86"/>
    </row>
    <row r="499" spans="1:2" ht="15.75" customHeight="1" x14ac:dyDescent="0.25">
      <c r="A499" s="86"/>
      <c r="B499" s="86"/>
    </row>
    <row r="500" spans="1:2" ht="15.75" customHeight="1" x14ac:dyDescent="0.25">
      <c r="A500" s="86"/>
      <c r="B500" s="86"/>
    </row>
    <row r="501" spans="1:2" ht="15.75" customHeight="1" x14ac:dyDescent="0.25">
      <c r="A501" s="86"/>
      <c r="B501" s="86"/>
    </row>
    <row r="502" spans="1:2" ht="15.75" customHeight="1" x14ac:dyDescent="0.25">
      <c r="A502" s="86"/>
      <c r="B502" s="86"/>
    </row>
    <row r="503" spans="1:2" ht="15.75" customHeight="1" x14ac:dyDescent="0.25">
      <c r="A503" s="86"/>
      <c r="B503" s="86"/>
    </row>
    <row r="504" spans="1:2" ht="15.75" customHeight="1" x14ac:dyDescent="0.25">
      <c r="A504" s="86"/>
      <c r="B504" s="86"/>
    </row>
    <row r="505" spans="1:2" ht="15.75" customHeight="1" x14ac:dyDescent="0.25">
      <c r="A505" s="86"/>
      <c r="B505" s="86"/>
    </row>
    <row r="506" spans="1:2" ht="15.75" customHeight="1" x14ac:dyDescent="0.25">
      <c r="A506" s="86"/>
      <c r="B506" s="86"/>
    </row>
    <row r="507" spans="1:2" ht="15.75" customHeight="1" x14ac:dyDescent="0.25">
      <c r="A507" s="86"/>
      <c r="B507" s="86"/>
    </row>
    <row r="508" spans="1:2" ht="15.75" customHeight="1" x14ac:dyDescent="0.25">
      <c r="A508" s="86"/>
      <c r="B508" s="86"/>
    </row>
    <row r="509" spans="1:2" ht="15.75" customHeight="1" x14ac:dyDescent="0.25">
      <c r="A509" s="86"/>
      <c r="B509" s="86"/>
    </row>
    <row r="510" spans="1:2" ht="15.75" customHeight="1" x14ac:dyDescent="0.25">
      <c r="A510" s="86"/>
      <c r="B510" s="86"/>
    </row>
    <row r="511" spans="1:2" ht="15.75" customHeight="1" x14ac:dyDescent="0.25">
      <c r="A511" s="86"/>
      <c r="B511" s="86"/>
    </row>
    <row r="512" spans="1:2" ht="15.75" customHeight="1" x14ac:dyDescent="0.25">
      <c r="A512" s="86"/>
      <c r="B512" s="86"/>
    </row>
    <row r="513" spans="1:2" ht="15.75" customHeight="1" x14ac:dyDescent="0.25">
      <c r="A513" s="86"/>
      <c r="B513" s="86"/>
    </row>
    <row r="514" spans="1:2" ht="15.75" customHeight="1" x14ac:dyDescent="0.25">
      <c r="A514" s="86"/>
      <c r="B514" s="86"/>
    </row>
    <row r="515" spans="1:2" ht="15.75" customHeight="1" x14ac:dyDescent="0.25">
      <c r="A515" s="86"/>
      <c r="B515" s="86"/>
    </row>
    <row r="516" spans="1:2" ht="15.75" customHeight="1" x14ac:dyDescent="0.25">
      <c r="A516" s="86"/>
      <c r="B516" s="86"/>
    </row>
    <row r="517" spans="1:2" ht="15.75" customHeight="1" x14ac:dyDescent="0.25">
      <c r="A517" s="86"/>
      <c r="B517" s="86"/>
    </row>
    <row r="518" spans="1:2" ht="15.75" customHeight="1" x14ac:dyDescent="0.25">
      <c r="A518" s="86"/>
      <c r="B518" s="86"/>
    </row>
    <row r="519" spans="1:2" ht="15.75" customHeight="1" x14ac:dyDescent="0.25">
      <c r="A519" s="86"/>
      <c r="B519" s="86"/>
    </row>
    <row r="520" spans="1:2" ht="15.75" customHeight="1" x14ac:dyDescent="0.25">
      <c r="A520" s="86"/>
      <c r="B520" s="86"/>
    </row>
    <row r="521" spans="1:2" ht="15.75" customHeight="1" x14ac:dyDescent="0.25">
      <c r="A521" s="86"/>
      <c r="B521" s="86"/>
    </row>
    <row r="522" spans="1:2" ht="15.75" customHeight="1" x14ac:dyDescent="0.25">
      <c r="A522" s="86"/>
      <c r="B522" s="86"/>
    </row>
    <row r="523" spans="1:2" ht="15.75" customHeight="1" x14ac:dyDescent="0.25">
      <c r="A523" s="86"/>
      <c r="B523" s="86"/>
    </row>
    <row r="524" spans="1:2" ht="15.75" customHeight="1" x14ac:dyDescent="0.25">
      <c r="A524" s="86"/>
      <c r="B524" s="86"/>
    </row>
    <row r="525" spans="1:2" ht="15.75" customHeight="1" x14ac:dyDescent="0.25">
      <c r="A525" s="86"/>
      <c r="B525" s="86"/>
    </row>
    <row r="526" spans="1:2" ht="15.75" customHeight="1" x14ac:dyDescent="0.25">
      <c r="A526" s="86"/>
      <c r="B526" s="86"/>
    </row>
    <row r="527" spans="1:2" ht="15.75" customHeight="1" x14ac:dyDescent="0.25">
      <c r="A527" s="86"/>
      <c r="B527" s="86"/>
    </row>
    <row r="528" spans="1:2" ht="15.75" customHeight="1" x14ac:dyDescent="0.25">
      <c r="A528" s="86"/>
      <c r="B528" s="86"/>
    </row>
    <row r="529" spans="1:2" ht="15.75" customHeight="1" x14ac:dyDescent="0.25">
      <c r="A529" s="86"/>
      <c r="B529" s="86"/>
    </row>
    <row r="530" spans="1:2" ht="15.75" customHeight="1" x14ac:dyDescent="0.25">
      <c r="A530" s="86"/>
      <c r="B530" s="86"/>
    </row>
    <row r="531" spans="1:2" ht="15.75" customHeight="1" x14ac:dyDescent="0.25">
      <c r="A531" s="86"/>
      <c r="B531" s="86"/>
    </row>
    <row r="532" spans="1:2" ht="15.75" customHeight="1" x14ac:dyDescent="0.25">
      <c r="A532" s="86"/>
      <c r="B532" s="86"/>
    </row>
    <row r="533" spans="1:2" ht="15.75" customHeight="1" x14ac:dyDescent="0.25">
      <c r="A533" s="86"/>
      <c r="B533" s="86"/>
    </row>
    <row r="534" spans="1:2" ht="15.75" customHeight="1" x14ac:dyDescent="0.25">
      <c r="A534" s="86"/>
      <c r="B534" s="86"/>
    </row>
    <row r="535" spans="1:2" ht="15.75" customHeight="1" x14ac:dyDescent="0.25">
      <c r="A535" s="86"/>
      <c r="B535" s="86"/>
    </row>
    <row r="536" spans="1:2" ht="15.75" customHeight="1" x14ac:dyDescent="0.25">
      <c r="A536" s="86"/>
      <c r="B536" s="86"/>
    </row>
    <row r="537" spans="1:2" ht="15.75" customHeight="1" x14ac:dyDescent="0.25">
      <c r="A537" s="86"/>
      <c r="B537" s="86"/>
    </row>
    <row r="538" spans="1:2" ht="15.75" customHeight="1" x14ac:dyDescent="0.25">
      <c r="A538" s="86"/>
      <c r="B538" s="86"/>
    </row>
    <row r="539" spans="1:2" ht="15.75" customHeight="1" x14ac:dyDescent="0.25">
      <c r="A539" s="86"/>
      <c r="B539" s="86"/>
    </row>
    <row r="540" spans="1:2" ht="15.75" customHeight="1" x14ac:dyDescent="0.25">
      <c r="A540" s="86"/>
      <c r="B540" s="86"/>
    </row>
    <row r="541" spans="1:2" ht="15.75" customHeight="1" x14ac:dyDescent="0.25">
      <c r="A541" s="86"/>
      <c r="B541" s="86"/>
    </row>
    <row r="542" spans="1:2" ht="15.75" customHeight="1" x14ac:dyDescent="0.25">
      <c r="A542" s="86"/>
      <c r="B542" s="86"/>
    </row>
    <row r="543" spans="1:2" ht="15.75" customHeight="1" x14ac:dyDescent="0.25">
      <c r="A543" s="86"/>
      <c r="B543" s="86"/>
    </row>
    <row r="544" spans="1:2" ht="15.75" customHeight="1" x14ac:dyDescent="0.25">
      <c r="A544" s="86"/>
      <c r="B544" s="86"/>
    </row>
    <row r="545" spans="1:2" ht="15.75" customHeight="1" x14ac:dyDescent="0.25">
      <c r="A545" s="86"/>
      <c r="B545" s="86"/>
    </row>
    <row r="546" spans="1:2" ht="15.75" customHeight="1" x14ac:dyDescent="0.25">
      <c r="A546" s="86"/>
      <c r="B546" s="86"/>
    </row>
    <row r="547" spans="1:2" ht="15.75" customHeight="1" x14ac:dyDescent="0.25">
      <c r="A547" s="86"/>
      <c r="B547" s="86"/>
    </row>
    <row r="548" spans="1:2" ht="15.75" customHeight="1" x14ac:dyDescent="0.25">
      <c r="A548" s="86"/>
      <c r="B548" s="86"/>
    </row>
    <row r="549" spans="1:2" ht="15.75" customHeight="1" x14ac:dyDescent="0.25">
      <c r="A549" s="86"/>
      <c r="B549" s="86"/>
    </row>
    <row r="550" spans="1:2" ht="15.75" customHeight="1" x14ac:dyDescent="0.25">
      <c r="A550" s="86"/>
      <c r="B550" s="86"/>
    </row>
    <row r="551" spans="1:2" ht="15.75" customHeight="1" x14ac:dyDescent="0.25">
      <c r="A551" s="86"/>
      <c r="B551" s="86"/>
    </row>
    <row r="552" spans="1:2" ht="15.75" customHeight="1" x14ac:dyDescent="0.25">
      <c r="A552" s="86"/>
      <c r="B552" s="86"/>
    </row>
    <row r="553" spans="1:2" ht="15.75" customHeight="1" x14ac:dyDescent="0.25">
      <c r="A553" s="86"/>
      <c r="B553" s="86"/>
    </row>
    <row r="554" spans="1:2" ht="15.75" customHeight="1" x14ac:dyDescent="0.25">
      <c r="A554" s="86"/>
      <c r="B554" s="86"/>
    </row>
    <row r="555" spans="1:2" ht="15.75" customHeight="1" x14ac:dyDescent="0.25">
      <c r="A555" s="86"/>
      <c r="B555" s="86"/>
    </row>
    <row r="556" spans="1:2" ht="15.75" customHeight="1" x14ac:dyDescent="0.25">
      <c r="A556" s="86"/>
      <c r="B556" s="86"/>
    </row>
    <row r="557" spans="1:2" ht="15.75" customHeight="1" x14ac:dyDescent="0.25">
      <c r="A557" s="86"/>
      <c r="B557" s="86"/>
    </row>
    <row r="558" spans="1:2" ht="15.75" customHeight="1" x14ac:dyDescent="0.25">
      <c r="A558" s="86"/>
      <c r="B558" s="86"/>
    </row>
    <row r="559" spans="1:2" ht="15.75" customHeight="1" x14ac:dyDescent="0.25">
      <c r="A559" s="86"/>
      <c r="B559" s="86"/>
    </row>
    <row r="560" spans="1:2" ht="15.75" customHeight="1" x14ac:dyDescent="0.25">
      <c r="A560" s="86"/>
      <c r="B560" s="86"/>
    </row>
    <row r="561" spans="1:2" ht="15.75" customHeight="1" x14ac:dyDescent="0.25">
      <c r="A561" s="86"/>
      <c r="B561" s="86"/>
    </row>
    <row r="562" spans="1:2" ht="15.75" customHeight="1" x14ac:dyDescent="0.25">
      <c r="A562" s="86"/>
      <c r="B562" s="86"/>
    </row>
    <row r="563" spans="1:2" ht="15.75" customHeight="1" x14ac:dyDescent="0.25">
      <c r="A563" s="86"/>
      <c r="B563" s="86"/>
    </row>
    <row r="564" spans="1:2" ht="15.75" customHeight="1" x14ac:dyDescent="0.25">
      <c r="A564" s="86"/>
      <c r="B564" s="86"/>
    </row>
    <row r="565" spans="1:2" ht="15.75" customHeight="1" x14ac:dyDescent="0.25">
      <c r="A565" s="86"/>
      <c r="B565" s="86"/>
    </row>
    <row r="566" spans="1:2" ht="15.75" customHeight="1" x14ac:dyDescent="0.25">
      <c r="A566" s="86"/>
      <c r="B566" s="86"/>
    </row>
    <row r="567" spans="1:2" ht="15.75" customHeight="1" x14ac:dyDescent="0.25">
      <c r="A567" s="86"/>
      <c r="B567" s="86"/>
    </row>
    <row r="568" spans="1:2" ht="15.75" customHeight="1" x14ac:dyDescent="0.25">
      <c r="A568" s="86"/>
      <c r="B568" s="86"/>
    </row>
    <row r="569" spans="1:2" ht="15.75" customHeight="1" x14ac:dyDescent="0.25">
      <c r="A569" s="86"/>
      <c r="B569" s="86"/>
    </row>
    <row r="570" spans="1:2" ht="15.75" customHeight="1" x14ac:dyDescent="0.25">
      <c r="A570" s="86"/>
      <c r="B570" s="86"/>
    </row>
    <row r="571" spans="1:2" ht="15.75" customHeight="1" x14ac:dyDescent="0.25">
      <c r="A571" s="86"/>
      <c r="B571" s="86"/>
    </row>
    <row r="572" spans="1:2" ht="15.75" customHeight="1" x14ac:dyDescent="0.25">
      <c r="A572" s="86"/>
      <c r="B572" s="86"/>
    </row>
    <row r="573" spans="1:2" ht="15.75" customHeight="1" x14ac:dyDescent="0.25">
      <c r="A573" s="86"/>
      <c r="B573" s="86"/>
    </row>
    <row r="574" spans="1:2" ht="15.75" customHeight="1" x14ac:dyDescent="0.25">
      <c r="A574" s="86"/>
      <c r="B574" s="86"/>
    </row>
    <row r="575" spans="1:2" ht="15.75" customHeight="1" x14ac:dyDescent="0.25">
      <c r="A575" s="86"/>
      <c r="B575" s="86"/>
    </row>
    <row r="576" spans="1:2" ht="15.75" customHeight="1" x14ac:dyDescent="0.25">
      <c r="A576" s="86"/>
      <c r="B576" s="86"/>
    </row>
    <row r="577" spans="1:2" ht="15.75" customHeight="1" x14ac:dyDescent="0.25">
      <c r="A577" s="86"/>
      <c r="B577" s="86"/>
    </row>
    <row r="578" spans="1:2" ht="15.75" customHeight="1" x14ac:dyDescent="0.25">
      <c r="A578" s="86"/>
      <c r="B578" s="86"/>
    </row>
    <row r="579" spans="1:2" ht="15.75" customHeight="1" x14ac:dyDescent="0.25">
      <c r="A579" s="86"/>
      <c r="B579" s="86"/>
    </row>
    <row r="580" spans="1:2" ht="15.75" customHeight="1" x14ac:dyDescent="0.25">
      <c r="A580" s="86"/>
      <c r="B580" s="86"/>
    </row>
    <row r="581" spans="1:2" ht="15.75" customHeight="1" x14ac:dyDescent="0.25">
      <c r="A581" s="86"/>
      <c r="B581" s="86"/>
    </row>
    <row r="582" spans="1:2" ht="15.75" customHeight="1" x14ac:dyDescent="0.25">
      <c r="A582" s="86"/>
      <c r="B582" s="86"/>
    </row>
    <row r="583" spans="1:2" ht="15.75" customHeight="1" x14ac:dyDescent="0.25">
      <c r="A583" s="86"/>
      <c r="B583" s="86"/>
    </row>
    <row r="584" spans="1:2" ht="15.75" customHeight="1" x14ac:dyDescent="0.25">
      <c r="A584" s="86"/>
      <c r="B584" s="86"/>
    </row>
    <row r="585" spans="1:2" ht="15.75" customHeight="1" x14ac:dyDescent="0.25">
      <c r="A585" s="86"/>
      <c r="B585" s="86"/>
    </row>
    <row r="586" spans="1:2" ht="15.75" customHeight="1" x14ac:dyDescent="0.25">
      <c r="A586" s="86"/>
      <c r="B586" s="86"/>
    </row>
    <row r="587" spans="1:2" ht="15.75" customHeight="1" x14ac:dyDescent="0.25">
      <c r="A587" s="86"/>
      <c r="B587" s="86"/>
    </row>
    <row r="588" spans="1:2" ht="15.75" customHeight="1" x14ac:dyDescent="0.25">
      <c r="A588" s="86"/>
      <c r="B588" s="86"/>
    </row>
    <row r="589" spans="1:2" ht="15.75" customHeight="1" x14ac:dyDescent="0.25">
      <c r="A589" s="86"/>
      <c r="B589" s="86"/>
    </row>
    <row r="590" spans="1:2" ht="15.75" customHeight="1" x14ac:dyDescent="0.25">
      <c r="A590" s="86"/>
      <c r="B590" s="86"/>
    </row>
    <row r="591" spans="1:2" ht="15.75" customHeight="1" x14ac:dyDescent="0.25">
      <c r="A591" s="86"/>
      <c r="B591" s="86"/>
    </row>
    <row r="592" spans="1:2" ht="15.75" customHeight="1" x14ac:dyDescent="0.25">
      <c r="A592" s="86"/>
      <c r="B592" s="86"/>
    </row>
    <row r="593" spans="1:2" ht="15.75" customHeight="1" x14ac:dyDescent="0.25">
      <c r="A593" s="86"/>
      <c r="B593" s="86"/>
    </row>
    <row r="594" spans="1:2" ht="15.75" customHeight="1" x14ac:dyDescent="0.25">
      <c r="A594" s="86"/>
      <c r="B594" s="86"/>
    </row>
    <row r="595" spans="1:2" ht="15.75" customHeight="1" x14ac:dyDescent="0.25">
      <c r="A595" s="86"/>
      <c r="B595" s="86"/>
    </row>
    <row r="596" spans="1:2" ht="15.75" customHeight="1" x14ac:dyDescent="0.25">
      <c r="A596" s="86"/>
      <c r="B596" s="86"/>
    </row>
    <row r="597" spans="1:2" ht="15.75" customHeight="1" x14ac:dyDescent="0.25">
      <c r="A597" s="86"/>
      <c r="B597" s="86"/>
    </row>
    <row r="598" spans="1:2" ht="15.75" customHeight="1" x14ac:dyDescent="0.25">
      <c r="A598" s="86"/>
      <c r="B598" s="86"/>
    </row>
    <row r="599" spans="1:2" ht="15.75" customHeight="1" x14ac:dyDescent="0.25">
      <c r="A599" s="86"/>
      <c r="B599" s="86"/>
    </row>
    <row r="600" spans="1:2" ht="15.75" customHeight="1" x14ac:dyDescent="0.25">
      <c r="A600" s="86"/>
      <c r="B600" s="86"/>
    </row>
    <row r="601" spans="1:2" ht="15.75" customHeight="1" x14ac:dyDescent="0.25">
      <c r="A601" s="86"/>
      <c r="B601" s="86"/>
    </row>
    <row r="602" spans="1:2" ht="15.75" customHeight="1" x14ac:dyDescent="0.25">
      <c r="A602" s="86"/>
      <c r="B602" s="86"/>
    </row>
    <row r="603" spans="1:2" ht="15.75" customHeight="1" x14ac:dyDescent="0.25">
      <c r="A603" s="86"/>
      <c r="B603" s="86"/>
    </row>
    <row r="604" spans="1:2" ht="15.75" customHeight="1" x14ac:dyDescent="0.25">
      <c r="A604" s="86"/>
      <c r="B604" s="86"/>
    </row>
    <row r="605" spans="1:2" ht="15.75" customHeight="1" x14ac:dyDescent="0.25">
      <c r="A605" s="86"/>
      <c r="B605" s="86"/>
    </row>
    <row r="606" spans="1:2" ht="15.75" customHeight="1" x14ac:dyDescent="0.25">
      <c r="A606" s="86"/>
      <c r="B606" s="86"/>
    </row>
    <row r="607" spans="1:2" ht="15.75" customHeight="1" x14ac:dyDescent="0.25">
      <c r="A607" s="86"/>
      <c r="B607" s="86"/>
    </row>
    <row r="608" spans="1:2" ht="15.75" customHeight="1" x14ac:dyDescent="0.25">
      <c r="A608" s="86"/>
      <c r="B608" s="86"/>
    </row>
    <row r="609" spans="1:2" ht="15.75" customHeight="1" x14ac:dyDescent="0.25">
      <c r="A609" s="86"/>
      <c r="B609" s="86"/>
    </row>
    <row r="610" spans="1:2" ht="15.75" customHeight="1" x14ac:dyDescent="0.25">
      <c r="A610" s="86"/>
      <c r="B610" s="86"/>
    </row>
    <row r="611" spans="1:2" ht="15.75" customHeight="1" x14ac:dyDescent="0.25">
      <c r="A611" s="86"/>
      <c r="B611" s="86"/>
    </row>
    <row r="612" spans="1:2" ht="15.75" customHeight="1" x14ac:dyDescent="0.25">
      <c r="A612" s="86"/>
      <c r="B612" s="86"/>
    </row>
    <row r="613" spans="1:2" ht="15.75" customHeight="1" x14ac:dyDescent="0.25">
      <c r="A613" s="86"/>
      <c r="B613" s="86"/>
    </row>
    <row r="614" spans="1:2" ht="15.75" customHeight="1" x14ac:dyDescent="0.25">
      <c r="A614" s="86"/>
      <c r="B614" s="86"/>
    </row>
    <row r="615" spans="1:2" ht="15.75" customHeight="1" x14ac:dyDescent="0.25">
      <c r="A615" s="86"/>
      <c r="B615" s="86"/>
    </row>
    <row r="616" spans="1:2" ht="15.75" customHeight="1" x14ac:dyDescent="0.25">
      <c r="A616" s="86"/>
      <c r="B616" s="86"/>
    </row>
    <row r="617" spans="1:2" ht="15.75" customHeight="1" x14ac:dyDescent="0.25">
      <c r="A617" s="86"/>
      <c r="B617" s="86"/>
    </row>
    <row r="618" spans="1:2" ht="15.75" customHeight="1" x14ac:dyDescent="0.25">
      <c r="A618" s="86"/>
      <c r="B618" s="86"/>
    </row>
    <row r="619" spans="1:2" ht="15.75" customHeight="1" x14ac:dyDescent="0.25">
      <c r="A619" s="86"/>
      <c r="B619" s="86"/>
    </row>
    <row r="620" spans="1:2" ht="15.75" customHeight="1" x14ac:dyDescent="0.25">
      <c r="A620" s="86"/>
      <c r="B620" s="86"/>
    </row>
    <row r="621" spans="1:2" ht="15.75" customHeight="1" x14ac:dyDescent="0.25">
      <c r="A621" s="86"/>
      <c r="B621" s="86"/>
    </row>
    <row r="622" spans="1:2" ht="15.75" customHeight="1" x14ac:dyDescent="0.25">
      <c r="A622" s="86"/>
      <c r="B622" s="86"/>
    </row>
    <row r="623" spans="1:2" ht="15.75" customHeight="1" x14ac:dyDescent="0.25">
      <c r="A623" s="86"/>
      <c r="B623" s="86"/>
    </row>
    <row r="624" spans="1:2" ht="15.75" customHeight="1" x14ac:dyDescent="0.25">
      <c r="A624" s="86"/>
      <c r="B624" s="86"/>
    </row>
    <row r="625" spans="1:2" ht="15.75" customHeight="1" x14ac:dyDescent="0.25">
      <c r="A625" s="86"/>
      <c r="B625" s="86"/>
    </row>
    <row r="626" spans="1:2" ht="15.75" customHeight="1" x14ac:dyDescent="0.25">
      <c r="A626" s="86"/>
      <c r="B626" s="86"/>
    </row>
    <row r="627" spans="1:2" ht="15.75" customHeight="1" x14ac:dyDescent="0.25">
      <c r="A627" s="86"/>
      <c r="B627" s="86"/>
    </row>
    <row r="628" spans="1:2" ht="15.75" customHeight="1" x14ac:dyDescent="0.25">
      <c r="A628" s="86"/>
      <c r="B628" s="86"/>
    </row>
    <row r="629" spans="1:2" ht="15.75" customHeight="1" x14ac:dyDescent="0.25">
      <c r="A629" s="86"/>
      <c r="B629" s="86"/>
    </row>
    <row r="630" spans="1:2" ht="15.75" customHeight="1" x14ac:dyDescent="0.25">
      <c r="A630" s="86"/>
      <c r="B630" s="86"/>
    </row>
    <row r="631" spans="1:2" ht="15.75" customHeight="1" x14ac:dyDescent="0.25">
      <c r="A631" s="86"/>
      <c r="B631" s="86"/>
    </row>
    <row r="632" spans="1:2" ht="15.75" customHeight="1" x14ac:dyDescent="0.25">
      <c r="A632" s="86"/>
      <c r="B632" s="86"/>
    </row>
    <row r="633" spans="1:2" ht="15.75" customHeight="1" x14ac:dyDescent="0.25">
      <c r="A633" s="86"/>
      <c r="B633" s="86"/>
    </row>
    <row r="634" spans="1:2" ht="15.75" customHeight="1" x14ac:dyDescent="0.25">
      <c r="A634" s="86"/>
      <c r="B634" s="86"/>
    </row>
    <row r="635" spans="1:2" ht="15.75" customHeight="1" x14ac:dyDescent="0.25">
      <c r="A635" s="86"/>
      <c r="B635" s="86"/>
    </row>
    <row r="636" spans="1:2" ht="15.75" customHeight="1" x14ac:dyDescent="0.25">
      <c r="A636" s="86"/>
      <c r="B636" s="86"/>
    </row>
    <row r="637" spans="1:2" ht="15.75" customHeight="1" x14ac:dyDescent="0.25">
      <c r="A637" s="86"/>
      <c r="B637" s="86"/>
    </row>
    <row r="638" spans="1:2" ht="15.75" customHeight="1" x14ac:dyDescent="0.25">
      <c r="A638" s="86"/>
      <c r="B638" s="86"/>
    </row>
    <row r="639" spans="1:2" ht="15.75" customHeight="1" x14ac:dyDescent="0.25">
      <c r="A639" s="86"/>
      <c r="B639" s="86"/>
    </row>
    <row r="640" spans="1:2" ht="15.75" customHeight="1" x14ac:dyDescent="0.25">
      <c r="A640" s="86"/>
      <c r="B640" s="86"/>
    </row>
    <row r="641" spans="1:2" ht="15.75" customHeight="1" x14ac:dyDescent="0.25">
      <c r="A641" s="86"/>
      <c r="B641" s="86"/>
    </row>
    <row r="642" spans="1:2" ht="15.75" customHeight="1" x14ac:dyDescent="0.25">
      <c r="A642" s="86"/>
      <c r="B642" s="86"/>
    </row>
    <row r="643" spans="1:2" ht="15.75" customHeight="1" x14ac:dyDescent="0.25">
      <c r="A643" s="86"/>
      <c r="B643" s="86"/>
    </row>
    <row r="644" spans="1:2" ht="15.75" customHeight="1" x14ac:dyDescent="0.25">
      <c r="A644" s="86"/>
      <c r="B644" s="86"/>
    </row>
    <row r="645" spans="1:2" ht="15.75" customHeight="1" x14ac:dyDescent="0.25">
      <c r="A645" s="86"/>
      <c r="B645" s="86"/>
    </row>
    <row r="646" spans="1:2" ht="15.75" customHeight="1" x14ac:dyDescent="0.25">
      <c r="A646" s="86"/>
      <c r="B646" s="86"/>
    </row>
    <row r="647" spans="1:2" ht="15.75" customHeight="1" x14ac:dyDescent="0.25">
      <c r="A647" s="86"/>
      <c r="B647" s="86"/>
    </row>
    <row r="648" spans="1:2" ht="15.75" customHeight="1" x14ac:dyDescent="0.25">
      <c r="A648" s="86"/>
      <c r="B648" s="86"/>
    </row>
    <row r="649" spans="1:2" ht="15.75" customHeight="1" x14ac:dyDescent="0.25">
      <c r="A649" s="86"/>
      <c r="B649" s="86"/>
    </row>
    <row r="650" spans="1:2" ht="15.75" customHeight="1" x14ac:dyDescent="0.25">
      <c r="A650" s="86"/>
      <c r="B650" s="86"/>
    </row>
    <row r="651" spans="1:2" ht="15.75" customHeight="1" x14ac:dyDescent="0.25">
      <c r="A651" s="86"/>
      <c r="B651" s="86"/>
    </row>
    <row r="652" spans="1:2" ht="15.75" customHeight="1" x14ac:dyDescent="0.25">
      <c r="A652" s="86"/>
      <c r="B652" s="86"/>
    </row>
    <row r="653" spans="1:2" ht="15.75" customHeight="1" x14ac:dyDescent="0.25">
      <c r="A653" s="86"/>
      <c r="B653" s="86"/>
    </row>
    <row r="654" spans="1:2" ht="15.75" customHeight="1" x14ac:dyDescent="0.25">
      <c r="A654" s="86"/>
      <c r="B654" s="86"/>
    </row>
    <row r="655" spans="1:2" ht="15.75" customHeight="1" x14ac:dyDescent="0.25">
      <c r="A655" s="86"/>
      <c r="B655" s="86"/>
    </row>
    <row r="656" spans="1:2" ht="15.75" customHeight="1" x14ac:dyDescent="0.25">
      <c r="A656" s="86"/>
      <c r="B656" s="86"/>
    </row>
    <row r="657" spans="1:2" ht="15.75" customHeight="1" x14ac:dyDescent="0.25">
      <c r="A657" s="86"/>
      <c r="B657" s="86"/>
    </row>
    <row r="658" spans="1:2" ht="15.75" customHeight="1" x14ac:dyDescent="0.25">
      <c r="A658" s="86"/>
      <c r="B658" s="86"/>
    </row>
    <row r="659" spans="1:2" ht="15.75" customHeight="1" x14ac:dyDescent="0.25">
      <c r="A659" s="86"/>
      <c r="B659" s="86"/>
    </row>
    <row r="660" spans="1:2" ht="15.75" customHeight="1" x14ac:dyDescent="0.25">
      <c r="A660" s="86"/>
      <c r="B660" s="86"/>
    </row>
    <row r="661" spans="1:2" ht="15.75" customHeight="1" x14ac:dyDescent="0.25">
      <c r="A661" s="86"/>
      <c r="B661" s="86"/>
    </row>
    <row r="662" spans="1:2" ht="15.75" customHeight="1" x14ac:dyDescent="0.25">
      <c r="A662" s="86"/>
      <c r="B662" s="86"/>
    </row>
    <row r="663" spans="1:2" ht="15.75" customHeight="1" x14ac:dyDescent="0.25">
      <c r="A663" s="86"/>
      <c r="B663" s="86"/>
    </row>
    <row r="664" spans="1:2" ht="15.75" customHeight="1" x14ac:dyDescent="0.25">
      <c r="A664" s="86"/>
      <c r="B664" s="86"/>
    </row>
    <row r="665" spans="1:2" ht="15.75" customHeight="1" x14ac:dyDescent="0.25">
      <c r="A665" s="86"/>
      <c r="B665" s="86"/>
    </row>
    <row r="666" spans="1:2" ht="15.75" customHeight="1" x14ac:dyDescent="0.25">
      <c r="A666" s="86"/>
      <c r="B666" s="86"/>
    </row>
    <row r="667" spans="1:2" ht="15.75" customHeight="1" x14ac:dyDescent="0.25">
      <c r="A667" s="86"/>
      <c r="B667" s="86"/>
    </row>
    <row r="668" spans="1:2" ht="15.75" customHeight="1" x14ac:dyDescent="0.25">
      <c r="A668" s="86"/>
      <c r="B668" s="86"/>
    </row>
    <row r="669" spans="1:2" ht="15.75" customHeight="1" x14ac:dyDescent="0.25">
      <c r="A669" s="86"/>
      <c r="B669" s="86"/>
    </row>
    <row r="670" spans="1:2" ht="15.75" customHeight="1" x14ac:dyDescent="0.25">
      <c r="A670" s="86"/>
      <c r="B670" s="86"/>
    </row>
    <row r="671" spans="1:2" ht="15.75" customHeight="1" x14ac:dyDescent="0.25">
      <c r="A671" s="86"/>
      <c r="B671" s="86"/>
    </row>
    <row r="672" spans="1:2" ht="15.75" customHeight="1" x14ac:dyDescent="0.25">
      <c r="A672" s="86"/>
      <c r="B672" s="86"/>
    </row>
    <row r="673" spans="1:2" ht="15.75" customHeight="1" x14ac:dyDescent="0.25">
      <c r="A673" s="86"/>
      <c r="B673" s="86"/>
    </row>
    <row r="674" spans="1:2" ht="15.75" customHeight="1" x14ac:dyDescent="0.25">
      <c r="A674" s="86"/>
      <c r="B674" s="86"/>
    </row>
    <row r="675" spans="1:2" ht="15.75" customHeight="1" x14ac:dyDescent="0.25">
      <c r="A675" s="86"/>
      <c r="B675" s="86"/>
    </row>
    <row r="676" spans="1:2" ht="15.75" customHeight="1" x14ac:dyDescent="0.25">
      <c r="A676" s="86"/>
      <c r="B676" s="86"/>
    </row>
    <row r="677" spans="1:2" ht="15.75" customHeight="1" x14ac:dyDescent="0.25">
      <c r="A677" s="86"/>
      <c r="B677" s="86"/>
    </row>
    <row r="678" spans="1:2" ht="15.75" customHeight="1" x14ac:dyDescent="0.25">
      <c r="A678" s="86"/>
      <c r="B678" s="86"/>
    </row>
    <row r="679" spans="1:2" ht="15.75" customHeight="1" x14ac:dyDescent="0.25">
      <c r="A679" s="86"/>
      <c r="B679" s="86"/>
    </row>
    <row r="680" spans="1:2" ht="15.75" customHeight="1" x14ac:dyDescent="0.25">
      <c r="A680" s="86"/>
      <c r="B680" s="86"/>
    </row>
    <row r="681" spans="1:2" ht="15.75" customHeight="1" x14ac:dyDescent="0.25">
      <c r="A681" s="86"/>
      <c r="B681" s="86"/>
    </row>
    <row r="682" spans="1:2" ht="15.75" customHeight="1" x14ac:dyDescent="0.25">
      <c r="A682" s="86"/>
      <c r="B682" s="86"/>
    </row>
    <row r="683" spans="1:2" ht="15.75" customHeight="1" x14ac:dyDescent="0.25">
      <c r="A683" s="86"/>
      <c r="B683" s="86"/>
    </row>
    <row r="684" spans="1:2" ht="15.75" customHeight="1" x14ac:dyDescent="0.25">
      <c r="A684" s="86"/>
      <c r="B684" s="86"/>
    </row>
    <row r="685" spans="1:2" ht="15.75" customHeight="1" x14ac:dyDescent="0.25">
      <c r="A685" s="86"/>
      <c r="B685" s="86"/>
    </row>
    <row r="686" spans="1:2" ht="15.75" customHeight="1" x14ac:dyDescent="0.25">
      <c r="A686" s="86"/>
      <c r="B686" s="86"/>
    </row>
    <row r="687" spans="1:2" ht="15.75" customHeight="1" x14ac:dyDescent="0.25">
      <c r="A687" s="86"/>
      <c r="B687" s="86"/>
    </row>
    <row r="688" spans="1:2" ht="15.75" customHeight="1" x14ac:dyDescent="0.25">
      <c r="A688" s="86"/>
      <c r="B688" s="86"/>
    </row>
    <row r="689" spans="1:2" ht="15.75" customHeight="1" x14ac:dyDescent="0.25">
      <c r="A689" s="86"/>
      <c r="B689" s="86"/>
    </row>
    <row r="690" spans="1:2" ht="15.75" customHeight="1" x14ac:dyDescent="0.25">
      <c r="A690" s="86"/>
      <c r="B690" s="86"/>
    </row>
    <row r="691" spans="1:2" ht="15.75" customHeight="1" x14ac:dyDescent="0.25">
      <c r="A691" s="86"/>
      <c r="B691" s="86"/>
    </row>
    <row r="692" spans="1:2" ht="15.75" customHeight="1" x14ac:dyDescent="0.25">
      <c r="A692" s="86"/>
      <c r="B692" s="86"/>
    </row>
    <row r="693" spans="1:2" ht="15.75" customHeight="1" x14ac:dyDescent="0.25">
      <c r="A693" s="86"/>
      <c r="B693" s="86"/>
    </row>
    <row r="694" spans="1:2" ht="15.75" customHeight="1" x14ac:dyDescent="0.25">
      <c r="A694" s="86"/>
      <c r="B694" s="86"/>
    </row>
    <row r="695" spans="1:2" ht="15.75" customHeight="1" x14ac:dyDescent="0.25">
      <c r="A695" s="86"/>
      <c r="B695" s="86"/>
    </row>
    <row r="696" spans="1:2" ht="15.75" customHeight="1" x14ac:dyDescent="0.25">
      <c r="A696" s="86"/>
      <c r="B696" s="86"/>
    </row>
    <row r="697" spans="1:2" ht="15.75" customHeight="1" x14ac:dyDescent="0.25">
      <c r="A697" s="86"/>
      <c r="B697" s="86"/>
    </row>
    <row r="698" spans="1:2" ht="15.75" customHeight="1" x14ac:dyDescent="0.25">
      <c r="A698" s="86"/>
      <c r="B698" s="86"/>
    </row>
    <row r="699" spans="1:2" ht="15.75" customHeight="1" x14ac:dyDescent="0.25">
      <c r="A699" s="86"/>
      <c r="B699" s="86"/>
    </row>
    <row r="700" spans="1:2" ht="15.75" customHeight="1" x14ac:dyDescent="0.25">
      <c r="A700" s="86"/>
      <c r="B700" s="86"/>
    </row>
    <row r="701" spans="1:2" ht="15.75" customHeight="1" x14ac:dyDescent="0.25">
      <c r="A701" s="86"/>
      <c r="B701" s="86"/>
    </row>
    <row r="702" spans="1:2" ht="15.75" customHeight="1" x14ac:dyDescent="0.25">
      <c r="A702" s="86"/>
      <c r="B702" s="86"/>
    </row>
    <row r="703" spans="1:2" ht="15.75" customHeight="1" x14ac:dyDescent="0.25">
      <c r="A703" s="86"/>
      <c r="B703" s="86"/>
    </row>
    <row r="704" spans="1:2" ht="15.75" customHeight="1" x14ac:dyDescent="0.25">
      <c r="A704" s="86"/>
      <c r="B704" s="86"/>
    </row>
    <row r="705" spans="1:2" ht="15.75" customHeight="1" x14ac:dyDescent="0.25">
      <c r="A705" s="86"/>
      <c r="B705" s="86"/>
    </row>
    <row r="706" spans="1:2" ht="15.75" customHeight="1" x14ac:dyDescent="0.25">
      <c r="A706" s="86"/>
      <c r="B706" s="86"/>
    </row>
    <row r="707" spans="1:2" ht="15.75" customHeight="1" x14ac:dyDescent="0.25">
      <c r="A707" s="86"/>
      <c r="B707" s="86"/>
    </row>
    <row r="708" spans="1:2" ht="15.75" customHeight="1" x14ac:dyDescent="0.25">
      <c r="A708" s="86"/>
      <c r="B708" s="86"/>
    </row>
    <row r="709" spans="1:2" ht="15.75" customHeight="1" x14ac:dyDescent="0.25">
      <c r="A709" s="86"/>
      <c r="B709" s="86"/>
    </row>
    <row r="710" spans="1:2" ht="15.75" customHeight="1" x14ac:dyDescent="0.25">
      <c r="A710" s="86"/>
      <c r="B710" s="86"/>
    </row>
    <row r="711" spans="1:2" ht="15.75" customHeight="1" x14ac:dyDescent="0.25">
      <c r="A711" s="86"/>
      <c r="B711" s="86"/>
    </row>
    <row r="712" spans="1:2" ht="15.75" customHeight="1" x14ac:dyDescent="0.25">
      <c r="A712" s="86"/>
      <c r="B712" s="86"/>
    </row>
    <row r="713" spans="1:2" ht="15.75" customHeight="1" x14ac:dyDescent="0.25">
      <c r="A713" s="86"/>
      <c r="B713" s="86"/>
    </row>
    <row r="714" spans="1:2" ht="15.75" customHeight="1" x14ac:dyDescent="0.25">
      <c r="A714" s="86"/>
      <c r="B714" s="86"/>
    </row>
    <row r="715" spans="1:2" ht="15.75" customHeight="1" x14ac:dyDescent="0.25">
      <c r="A715" s="86"/>
      <c r="B715" s="86"/>
    </row>
    <row r="716" spans="1:2" ht="15.75" customHeight="1" x14ac:dyDescent="0.25">
      <c r="A716" s="86"/>
      <c r="B716" s="86"/>
    </row>
    <row r="717" spans="1:2" ht="15.75" customHeight="1" x14ac:dyDescent="0.25">
      <c r="A717" s="86"/>
      <c r="B717" s="86"/>
    </row>
    <row r="718" spans="1:2" ht="15.75" customHeight="1" x14ac:dyDescent="0.25">
      <c r="A718" s="86"/>
      <c r="B718" s="86"/>
    </row>
    <row r="719" spans="1:2" ht="15.75" customHeight="1" x14ac:dyDescent="0.25">
      <c r="A719" s="86"/>
      <c r="B719" s="86"/>
    </row>
    <row r="720" spans="1:2" ht="15.75" customHeight="1" x14ac:dyDescent="0.25">
      <c r="A720" s="86"/>
      <c r="B720" s="86"/>
    </row>
    <row r="721" spans="1:2" ht="15.75" customHeight="1" x14ac:dyDescent="0.25">
      <c r="A721" s="86"/>
      <c r="B721" s="86"/>
    </row>
    <row r="722" spans="1:2" ht="15.75" customHeight="1" x14ac:dyDescent="0.25">
      <c r="A722" s="86"/>
      <c r="B722" s="86"/>
    </row>
    <row r="723" spans="1:2" ht="15.75" customHeight="1" x14ac:dyDescent="0.25">
      <c r="A723" s="86"/>
      <c r="B723" s="86"/>
    </row>
    <row r="724" spans="1:2" ht="15.75" customHeight="1" x14ac:dyDescent="0.25">
      <c r="A724" s="86"/>
      <c r="B724" s="86"/>
    </row>
    <row r="725" spans="1:2" ht="15.75" customHeight="1" x14ac:dyDescent="0.25">
      <c r="A725" s="86"/>
      <c r="B725" s="86"/>
    </row>
    <row r="726" spans="1:2" ht="15.75" customHeight="1" x14ac:dyDescent="0.25">
      <c r="A726" s="86"/>
      <c r="B726" s="86"/>
    </row>
    <row r="727" spans="1:2" ht="15.75" customHeight="1" x14ac:dyDescent="0.25">
      <c r="A727" s="86"/>
      <c r="B727" s="86"/>
    </row>
    <row r="728" spans="1:2" ht="15.75" customHeight="1" x14ac:dyDescent="0.25">
      <c r="A728" s="86"/>
      <c r="B728" s="86"/>
    </row>
    <row r="729" spans="1:2" ht="15.75" customHeight="1" x14ac:dyDescent="0.25">
      <c r="A729" s="86"/>
      <c r="B729" s="86"/>
    </row>
    <row r="730" spans="1:2" ht="15.75" customHeight="1" x14ac:dyDescent="0.25">
      <c r="A730" s="86"/>
      <c r="B730" s="86"/>
    </row>
    <row r="731" spans="1:2" ht="15.75" customHeight="1" x14ac:dyDescent="0.25">
      <c r="A731" s="86"/>
      <c r="B731" s="86"/>
    </row>
    <row r="732" spans="1:2" ht="15.75" customHeight="1" x14ac:dyDescent="0.25">
      <c r="A732" s="86"/>
      <c r="B732" s="86"/>
    </row>
    <row r="733" spans="1:2" ht="15.75" customHeight="1" x14ac:dyDescent="0.25">
      <c r="A733" s="86"/>
      <c r="B733" s="86"/>
    </row>
    <row r="734" spans="1:2" ht="15.75" customHeight="1" x14ac:dyDescent="0.25">
      <c r="A734" s="86"/>
      <c r="B734" s="86"/>
    </row>
    <row r="735" spans="1:2" ht="15.75" customHeight="1" x14ac:dyDescent="0.25">
      <c r="A735" s="86"/>
      <c r="B735" s="86"/>
    </row>
    <row r="736" spans="1:2" ht="15.75" customHeight="1" x14ac:dyDescent="0.25">
      <c r="A736" s="86"/>
      <c r="B736" s="86"/>
    </row>
    <row r="737" spans="1:2" ht="15.75" customHeight="1" x14ac:dyDescent="0.25">
      <c r="A737" s="86"/>
      <c r="B737" s="86"/>
    </row>
    <row r="738" spans="1:2" ht="15.75" customHeight="1" x14ac:dyDescent="0.25">
      <c r="A738" s="86"/>
      <c r="B738" s="86"/>
    </row>
    <row r="739" spans="1:2" ht="15.75" customHeight="1" x14ac:dyDescent="0.25">
      <c r="A739" s="86"/>
      <c r="B739" s="86"/>
    </row>
    <row r="740" spans="1:2" ht="15.75" customHeight="1" x14ac:dyDescent="0.25">
      <c r="A740" s="86"/>
      <c r="B740" s="86"/>
    </row>
    <row r="741" spans="1:2" ht="15.75" customHeight="1" x14ac:dyDescent="0.25">
      <c r="A741" s="86"/>
      <c r="B741" s="86"/>
    </row>
    <row r="742" spans="1:2" ht="15.75" customHeight="1" x14ac:dyDescent="0.25">
      <c r="A742" s="86"/>
      <c r="B742" s="86"/>
    </row>
    <row r="743" spans="1:2" ht="15.75" customHeight="1" x14ac:dyDescent="0.25">
      <c r="A743" s="86"/>
      <c r="B743" s="86"/>
    </row>
    <row r="744" spans="1:2" ht="15.75" customHeight="1" x14ac:dyDescent="0.25">
      <c r="A744" s="86"/>
      <c r="B744" s="86"/>
    </row>
    <row r="745" spans="1:2" ht="15.75" customHeight="1" x14ac:dyDescent="0.25">
      <c r="A745" s="86"/>
      <c r="B745" s="86"/>
    </row>
    <row r="746" spans="1:2" ht="15.75" customHeight="1" x14ac:dyDescent="0.25">
      <c r="A746" s="86"/>
      <c r="B746" s="86"/>
    </row>
    <row r="747" spans="1:2" ht="15.75" customHeight="1" x14ac:dyDescent="0.25">
      <c r="A747" s="86"/>
      <c r="B747" s="86"/>
    </row>
    <row r="748" spans="1:2" ht="15.75" customHeight="1" x14ac:dyDescent="0.25">
      <c r="A748" s="86"/>
      <c r="B748" s="86"/>
    </row>
    <row r="749" spans="1:2" ht="15.75" customHeight="1" x14ac:dyDescent="0.25">
      <c r="A749" s="86"/>
      <c r="B749" s="86"/>
    </row>
    <row r="750" spans="1:2" ht="15.75" customHeight="1" x14ac:dyDescent="0.25">
      <c r="A750" s="86"/>
      <c r="B750" s="86"/>
    </row>
    <row r="751" spans="1:2" ht="15.75" customHeight="1" x14ac:dyDescent="0.25">
      <c r="A751" s="86"/>
      <c r="B751" s="86"/>
    </row>
    <row r="752" spans="1:2" ht="15.75" customHeight="1" x14ac:dyDescent="0.25">
      <c r="A752" s="86"/>
      <c r="B752" s="86"/>
    </row>
    <row r="753" spans="1:2" ht="15.75" customHeight="1" x14ac:dyDescent="0.25">
      <c r="A753" s="86"/>
      <c r="B753" s="86"/>
    </row>
    <row r="754" spans="1:2" ht="15.75" customHeight="1" x14ac:dyDescent="0.25">
      <c r="A754" s="86"/>
      <c r="B754" s="86"/>
    </row>
    <row r="755" spans="1:2" ht="15.75" customHeight="1" x14ac:dyDescent="0.25">
      <c r="A755" s="86"/>
      <c r="B755" s="86"/>
    </row>
    <row r="756" spans="1:2" ht="15.75" customHeight="1" x14ac:dyDescent="0.25">
      <c r="A756" s="86"/>
      <c r="B756" s="86"/>
    </row>
    <row r="757" spans="1:2" ht="15.75" customHeight="1" x14ac:dyDescent="0.25">
      <c r="A757" s="86"/>
      <c r="B757" s="86"/>
    </row>
    <row r="758" spans="1:2" ht="15.75" customHeight="1" x14ac:dyDescent="0.25">
      <c r="A758" s="86"/>
      <c r="B758" s="86"/>
    </row>
    <row r="759" spans="1:2" ht="15.75" customHeight="1" x14ac:dyDescent="0.25">
      <c r="A759" s="86"/>
      <c r="B759" s="86"/>
    </row>
    <row r="760" spans="1:2" ht="15.75" customHeight="1" x14ac:dyDescent="0.25">
      <c r="A760" s="86"/>
      <c r="B760" s="86"/>
    </row>
    <row r="761" spans="1:2" ht="15.75" customHeight="1" x14ac:dyDescent="0.25">
      <c r="A761" s="86"/>
      <c r="B761" s="86"/>
    </row>
    <row r="762" spans="1:2" ht="15.75" customHeight="1" x14ac:dyDescent="0.25">
      <c r="A762" s="86"/>
      <c r="B762" s="86"/>
    </row>
    <row r="763" spans="1:2" ht="15.75" customHeight="1" x14ac:dyDescent="0.25">
      <c r="A763" s="86"/>
      <c r="B763" s="86"/>
    </row>
    <row r="764" spans="1:2" ht="15.75" customHeight="1" x14ac:dyDescent="0.25">
      <c r="A764" s="86"/>
      <c r="B764" s="86"/>
    </row>
    <row r="765" spans="1:2" ht="15.75" customHeight="1" x14ac:dyDescent="0.25">
      <c r="A765" s="86"/>
      <c r="B765" s="86"/>
    </row>
    <row r="766" spans="1:2" ht="15.75" customHeight="1" x14ac:dyDescent="0.25">
      <c r="A766" s="86"/>
      <c r="B766" s="86"/>
    </row>
    <row r="767" spans="1:2" ht="15.75" customHeight="1" x14ac:dyDescent="0.25">
      <c r="A767" s="86"/>
      <c r="B767" s="86"/>
    </row>
    <row r="768" spans="1:2" ht="15.75" customHeight="1" x14ac:dyDescent="0.25">
      <c r="A768" s="86"/>
      <c r="B768" s="86"/>
    </row>
    <row r="769" spans="1:2" ht="15.75" customHeight="1" x14ac:dyDescent="0.25">
      <c r="A769" s="86"/>
      <c r="B769" s="86"/>
    </row>
    <row r="770" spans="1:2" ht="15.75" customHeight="1" x14ac:dyDescent="0.25">
      <c r="A770" s="86"/>
      <c r="B770" s="86"/>
    </row>
    <row r="771" spans="1:2" ht="15.75" customHeight="1" x14ac:dyDescent="0.25">
      <c r="A771" s="86"/>
      <c r="B771" s="86"/>
    </row>
    <row r="772" spans="1:2" ht="15.75" customHeight="1" x14ac:dyDescent="0.25">
      <c r="A772" s="86"/>
      <c r="B772" s="86"/>
    </row>
    <row r="773" spans="1:2" ht="15.75" customHeight="1" x14ac:dyDescent="0.25">
      <c r="A773" s="86"/>
      <c r="B773" s="86"/>
    </row>
    <row r="774" spans="1:2" ht="15.75" customHeight="1" x14ac:dyDescent="0.25">
      <c r="A774" s="86"/>
      <c r="B774" s="86"/>
    </row>
    <row r="775" spans="1:2" ht="15.75" customHeight="1" x14ac:dyDescent="0.25">
      <c r="A775" s="86"/>
      <c r="B775" s="86"/>
    </row>
    <row r="776" spans="1:2" ht="15.75" customHeight="1" x14ac:dyDescent="0.25">
      <c r="A776" s="86"/>
      <c r="B776" s="86"/>
    </row>
    <row r="777" spans="1:2" ht="15.75" customHeight="1" x14ac:dyDescent="0.25">
      <c r="A777" s="86"/>
      <c r="B777" s="86"/>
    </row>
    <row r="778" spans="1:2" ht="15.75" customHeight="1" x14ac:dyDescent="0.25">
      <c r="A778" s="86"/>
      <c r="B778" s="86"/>
    </row>
    <row r="779" spans="1:2" ht="15.75" customHeight="1" x14ac:dyDescent="0.25">
      <c r="A779" s="86"/>
      <c r="B779" s="86"/>
    </row>
    <row r="780" spans="1:2" ht="15.75" customHeight="1" x14ac:dyDescent="0.25">
      <c r="A780" s="86"/>
      <c r="B780" s="86"/>
    </row>
    <row r="781" spans="1:2" ht="15.75" customHeight="1" x14ac:dyDescent="0.25">
      <c r="A781" s="86"/>
      <c r="B781" s="86"/>
    </row>
    <row r="782" spans="1:2" ht="15.75" customHeight="1" x14ac:dyDescent="0.25">
      <c r="A782" s="86"/>
      <c r="B782" s="86"/>
    </row>
    <row r="783" spans="1:2" ht="15.75" customHeight="1" x14ac:dyDescent="0.25">
      <c r="A783" s="86"/>
      <c r="B783" s="86"/>
    </row>
    <row r="784" spans="1:2" ht="15.75" customHeight="1" x14ac:dyDescent="0.25">
      <c r="A784" s="86"/>
      <c r="B784" s="86"/>
    </row>
    <row r="785" spans="1:2" ht="15.75" customHeight="1" x14ac:dyDescent="0.25">
      <c r="A785" s="86"/>
      <c r="B785" s="86"/>
    </row>
    <row r="786" spans="1:2" ht="15.75" customHeight="1" x14ac:dyDescent="0.25">
      <c r="A786" s="86"/>
      <c r="B786" s="86"/>
    </row>
    <row r="787" spans="1:2" ht="15.75" customHeight="1" x14ac:dyDescent="0.25">
      <c r="A787" s="86"/>
      <c r="B787" s="86"/>
    </row>
    <row r="788" spans="1:2" ht="15.75" customHeight="1" x14ac:dyDescent="0.25">
      <c r="A788" s="86"/>
      <c r="B788" s="86"/>
    </row>
    <row r="789" spans="1:2" ht="15.75" customHeight="1" x14ac:dyDescent="0.25">
      <c r="A789" s="86"/>
      <c r="B789" s="86"/>
    </row>
    <row r="790" spans="1:2" ht="15.75" customHeight="1" x14ac:dyDescent="0.25">
      <c r="A790" s="86"/>
      <c r="B790" s="86"/>
    </row>
    <row r="791" spans="1:2" ht="15.75" customHeight="1" x14ac:dyDescent="0.25">
      <c r="A791" s="86"/>
      <c r="B791" s="86"/>
    </row>
    <row r="792" spans="1:2" ht="15.75" customHeight="1" x14ac:dyDescent="0.25">
      <c r="A792" s="86"/>
      <c r="B792" s="86"/>
    </row>
    <row r="793" spans="1:2" ht="15.75" customHeight="1" x14ac:dyDescent="0.25">
      <c r="A793" s="86"/>
      <c r="B793" s="86"/>
    </row>
    <row r="794" spans="1:2" ht="15.75" customHeight="1" x14ac:dyDescent="0.25">
      <c r="A794" s="86"/>
      <c r="B794" s="86"/>
    </row>
    <row r="795" spans="1:2" ht="15.75" customHeight="1" x14ac:dyDescent="0.25">
      <c r="A795" s="86"/>
      <c r="B795" s="86"/>
    </row>
    <row r="796" spans="1:2" ht="15.75" customHeight="1" x14ac:dyDescent="0.25">
      <c r="A796" s="86"/>
      <c r="B796" s="86"/>
    </row>
    <row r="797" spans="1:2" ht="15.75" customHeight="1" x14ac:dyDescent="0.25">
      <c r="A797" s="86"/>
      <c r="B797" s="86"/>
    </row>
    <row r="798" spans="1:2" ht="15.75" customHeight="1" x14ac:dyDescent="0.25">
      <c r="A798" s="86"/>
      <c r="B798" s="86"/>
    </row>
    <row r="799" spans="1:2" ht="15.75" customHeight="1" x14ac:dyDescent="0.25">
      <c r="A799" s="86"/>
      <c r="B799" s="86"/>
    </row>
    <row r="800" spans="1:2" ht="15.75" customHeight="1" x14ac:dyDescent="0.25">
      <c r="A800" s="86"/>
      <c r="B800" s="86"/>
    </row>
    <row r="801" spans="1:2" ht="15.75" customHeight="1" x14ac:dyDescent="0.25">
      <c r="A801" s="86"/>
      <c r="B801" s="86"/>
    </row>
    <row r="802" spans="1:2" ht="15.75" customHeight="1" x14ac:dyDescent="0.25">
      <c r="A802" s="86"/>
      <c r="B802" s="86"/>
    </row>
    <row r="803" spans="1:2" ht="15.75" customHeight="1" x14ac:dyDescent="0.25">
      <c r="A803" s="86"/>
      <c r="B803" s="86"/>
    </row>
    <row r="804" spans="1:2" ht="15.75" customHeight="1" x14ac:dyDescent="0.25">
      <c r="A804" s="86"/>
      <c r="B804" s="86"/>
    </row>
    <row r="805" spans="1:2" ht="15.75" customHeight="1" x14ac:dyDescent="0.25">
      <c r="A805" s="86"/>
      <c r="B805" s="86"/>
    </row>
    <row r="806" spans="1:2" ht="15.75" customHeight="1" x14ac:dyDescent="0.25">
      <c r="A806" s="86"/>
      <c r="B806" s="86"/>
    </row>
    <row r="807" spans="1:2" ht="15.75" customHeight="1" x14ac:dyDescent="0.25">
      <c r="A807" s="86"/>
      <c r="B807" s="86"/>
    </row>
    <row r="808" spans="1:2" ht="15.75" customHeight="1" x14ac:dyDescent="0.25">
      <c r="A808" s="86"/>
      <c r="B808" s="86"/>
    </row>
    <row r="809" spans="1:2" ht="15.75" customHeight="1" x14ac:dyDescent="0.25">
      <c r="A809" s="86"/>
      <c r="B809" s="86"/>
    </row>
    <row r="810" spans="1:2" ht="15.75" customHeight="1" x14ac:dyDescent="0.25">
      <c r="A810" s="86"/>
      <c r="B810" s="86"/>
    </row>
    <row r="811" spans="1:2" ht="15.75" customHeight="1" x14ac:dyDescent="0.25">
      <c r="A811" s="86"/>
      <c r="B811" s="86"/>
    </row>
    <row r="812" spans="1:2" ht="15.75" customHeight="1" x14ac:dyDescent="0.25">
      <c r="A812" s="86"/>
      <c r="B812" s="86"/>
    </row>
    <row r="813" spans="1:2" ht="15.75" customHeight="1" x14ac:dyDescent="0.25">
      <c r="A813" s="86"/>
      <c r="B813" s="86"/>
    </row>
    <row r="814" spans="1:2" ht="15.75" customHeight="1" x14ac:dyDescent="0.25">
      <c r="A814" s="86"/>
      <c r="B814" s="86"/>
    </row>
    <row r="815" spans="1:2" ht="15.75" customHeight="1" x14ac:dyDescent="0.25">
      <c r="A815" s="86"/>
      <c r="B815" s="86"/>
    </row>
    <row r="816" spans="1:2" ht="15.75" customHeight="1" x14ac:dyDescent="0.25">
      <c r="A816" s="86"/>
      <c r="B816" s="86"/>
    </row>
    <row r="817" spans="1:2" ht="15.75" customHeight="1" x14ac:dyDescent="0.25">
      <c r="A817" s="86"/>
      <c r="B817" s="86"/>
    </row>
    <row r="818" spans="1:2" ht="15.75" customHeight="1" x14ac:dyDescent="0.25">
      <c r="A818" s="86"/>
      <c r="B818" s="86"/>
    </row>
    <row r="819" spans="1:2" ht="15.75" customHeight="1" x14ac:dyDescent="0.25">
      <c r="A819" s="86"/>
      <c r="B819" s="86"/>
    </row>
    <row r="820" spans="1:2" ht="15.75" customHeight="1" x14ac:dyDescent="0.25">
      <c r="A820" s="86"/>
      <c r="B820" s="86"/>
    </row>
    <row r="821" spans="1:2" ht="15.75" customHeight="1" x14ac:dyDescent="0.25">
      <c r="A821" s="86"/>
      <c r="B821" s="86"/>
    </row>
    <row r="822" spans="1:2" ht="15.75" customHeight="1" x14ac:dyDescent="0.25">
      <c r="A822" s="86"/>
      <c r="B822" s="86"/>
    </row>
    <row r="823" spans="1:2" ht="15.75" customHeight="1" x14ac:dyDescent="0.25">
      <c r="A823" s="86"/>
      <c r="B823" s="86"/>
    </row>
    <row r="824" spans="1:2" ht="15.75" customHeight="1" x14ac:dyDescent="0.25">
      <c r="A824" s="86"/>
      <c r="B824" s="86"/>
    </row>
    <row r="825" spans="1:2" ht="15.75" customHeight="1" x14ac:dyDescent="0.25">
      <c r="A825" s="86"/>
      <c r="B825" s="86"/>
    </row>
    <row r="826" spans="1:2" ht="15.75" customHeight="1" x14ac:dyDescent="0.25">
      <c r="A826" s="86"/>
      <c r="B826" s="86"/>
    </row>
    <row r="827" spans="1:2" ht="15.75" customHeight="1" x14ac:dyDescent="0.25">
      <c r="A827" s="86"/>
      <c r="B827" s="86"/>
    </row>
    <row r="828" spans="1:2" ht="15.75" customHeight="1" x14ac:dyDescent="0.25">
      <c r="A828" s="86"/>
      <c r="B828" s="86"/>
    </row>
    <row r="829" spans="1:2" ht="15.75" customHeight="1" x14ac:dyDescent="0.25">
      <c r="A829" s="86"/>
      <c r="B829" s="86"/>
    </row>
    <row r="830" spans="1:2" ht="15.75" customHeight="1" x14ac:dyDescent="0.25">
      <c r="A830" s="86"/>
      <c r="B830" s="86"/>
    </row>
    <row r="831" spans="1:2" ht="15.75" customHeight="1" x14ac:dyDescent="0.25">
      <c r="A831" s="86"/>
      <c r="B831" s="86"/>
    </row>
    <row r="832" spans="1:2" ht="15.75" customHeight="1" x14ac:dyDescent="0.25">
      <c r="A832" s="86"/>
      <c r="B832" s="86"/>
    </row>
    <row r="833" spans="1:2" ht="15.75" customHeight="1" x14ac:dyDescent="0.25">
      <c r="A833" s="86"/>
      <c r="B833" s="86"/>
    </row>
    <row r="834" spans="1:2" ht="15.75" customHeight="1" x14ac:dyDescent="0.25">
      <c r="A834" s="86"/>
      <c r="B834" s="86"/>
    </row>
    <row r="835" spans="1:2" ht="15.75" customHeight="1" x14ac:dyDescent="0.25">
      <c r="A835" s="86"/>
      <c r="B835" s="86"/>
    </row>
    <row r="836" spans="1:2" ht="15.75" customHeight="1" x14ac:dyDescent="0.25">
      <c r="A836" s="86"/>
      <c r="B836" s="86"/>
    </row>
    <row r="837" spans="1:2" ht="15.75" customHeight="1" x14ac:dyDescent="0.25">
      <c r="A837" s="86"/>
      <c r="B837" s="86"/>
    </row>
    <row r="838" spans="1:2" ht="15.75" customHeight="1" x14ac:dyDescent="0.25">
      <c r="A838" s="86"/>
      <c r="B838" s="86"/>
    </row>
    <row r="839" spans="1:2" ht="15.75" customHeight="1" x14ac:dyDescent="0.25">
      <c r="A839" s="86"/>
      <c r="B839" s="86"/>
    </row>
    <row r="840" spans="1:2" ht="15.75" customHeight="1" x14ac:dyDescent="0.25">
      <c r="A840" s="86"/>
      <c r="B840" s="86"/>
    </row>
    <row r="841" spans="1:2" ht="15.75" customHeight="1" x14ac:dyDescent="0.25">
      <c r="A841" s="86"/>
      <c r="B841" s="86"/>
    </row>
    <row r="842" spans="1:2" ht="15.75" customHeight="1" x14ac:dyDescent="0.25">
      <c r="A842" s="86"/>
      <c r="B842" s="86"/>
    </row>
    <row r="843" spans="1:2" ht="15.75" customHeight="1" x14ac:dyDescent="0.25">
      <c r="A843" s="86"/>
      <c r="B843" s="86"/>
    </row>
    <row r="844" spans="1:2" ht="15.75" customHeight="1" x14ac:dyDescent="0.25">
      <c r="A844" s="86"/>
      <c r="B844" s="86"/>
    </row>
    <row r="845" spans="1:2" ht="15.75" customHeight="1" x14ac:dyDescent="0.25">
      <c r="A845" s="86"/>
      <c r="B845" s="86"/>
    </row>
    <row r="846" spans="1:2" ht="15.75" customHeight="1" x14ac:dyDescent="0.25">
      <c r="A846" s="86"/>
      <c r="B846" s="86"/>
    </row>
    <row r="847" spans="1:2" ht="15.75" customHeight="1" x14ac:dyDescent="0.25">
      <c r="A847" s="86"/>
      <c r="B847" s="86"/>
    </row>
    <row r="848" spans="1:2" ht="15.75" customHeight="1" x14ac:dyDescent="0.25">
      <c r="A848" s="86"/>
      <c r="B848" s="86"/>
    </row>
    <row r="849" spans="1:2" ht="15.75" customHeight="1" x14ac:dyDescent="0.25">
      <c r="A849" s="86"/>
      <c r="B849" s="86"/>
    </row>
    <row r="850" spans="1:2" ht="15.75" customHeight="1" x14ac:dyDescent="0.25">
      <c r="A850" s="86"/>
      <c r="B850" s="86"/>
    </row>
    <row r="851" spans="1:2" ht="15.75" customHeight="1" x14ac:dyDescent="0.25">
      <c r="A851" s="86"/>
      <c r="B851" s="86"/>
    </row>
    <row r="852" spans="1:2" ht="15.75" customHeight="1" x14ac:dyDescent="0.25">
      <c r="A852" s="86"/>
      <c r="B852" s="86"/>
    </row>
    <row r="853" spans="1:2" ht="15.75" customHeight="1" x14ac:dyDescent="0.25">
      <c r="A853" s="86"/>
      <c r="B853" s="86"/>
    </row>
    <row r="854" spans="1:2" ht="15.75" customHeight="1" x14ac:dyDescent="0.25">
      <c r="A854" s="86"/>
      <c r="B854" s="86"/>
    </row>
    <row r="855" spans="1:2" ht="15.75" customHeight="1" x14ac:dyDescent="0.25">
      <c r="A855" s="86"/>
      <c r="B855" s="86"/>
    </row>
    <row r="856" spans="1:2" ht="15.75" customHeight="1" x14ac:dyDescent="0.25">
      <c r="A856" s="86"/>
      <c r="B856" s="86"/>
    </row>
    <row r="857" spans="1:2" ht="15.75" customHeight="1" x14ac:dyDescent="0.25">
      <c r="A857" s="86"/>
      <c r="B857" s="86"/>
    </row>
    <row r="858" spans="1:2" ht="15.75" customHeight="1" x14ac:dyDescent="0.25">
      <c r="A858" s="86"/>
      <c r="B858" s="86"/>
    </row>
    <row r="859" spans="1:2" ht="15.75" customHeight="1" x14ac:dyDescent="0.25">
      <c r="A859" s="86"/>
      <c r="B859" s="86"/>
    </row>
    <row r="860" spans="1:2" ht="15.75" customHeight="1" x14ac:dyDescent="0.25">
      <c r="A860" s="86"/>
      <c r="B860" s="86"/>
    </row>
    <row r="861" spans="1:2" ht="15.75" customHeight="1" x14ac:dyDescent="0.25">
      <c r="A861" s="86"/>
      <c r="B861" s="86"/>
    </row>
    <row r="862" spans="1:2" ht="15.75" customHeight="1" x14ac:dyDescent="0.25">
      <c r="A862" s="86"/>
      <c r="B862" s="86"/>
    </row>
    <row r="863" spans="1:2" ht="15.75" customHeight="1" x14ac:dyDescent="0.25">
      <c r="A863" s="86"/>
      <c r="B863" s="86"/>
    </row>
    <row r="864" spans="1:2" ht="15.75" customHeight="1" x14ac:dyDescent="0.25">
      <c r="A864" s="86"/>
      <c r="B864" s="86"/>
    </row>
    <row r="865" spans="1:2" ht="15.75" customHeight="1" x14ac:dyDescent="0.25">
      <c r="A865" s="86"/>
      <c r="B865" s="86"/>
    </row>
    <row r="866" spans="1:2" ht="15.75" customHeight="1" x14ac:dyDescent="0.25">
      <c r="A866" s="86"/>
      <c r="B866" s="86"/>
    </row>
    <row r="867" spans="1:2" ht="15.75" customHeight="1" x14ac:dyDescent="0.25">
      <c r="A867" s="86"/>
      <c r="B867" s="86"/>
    </row>
    <row r="868" spans="1:2" ht="15.75" customHeight="1" x14ac:dyDescent="0.25">
      <c r="A868" s="86"/>
      <c r="B868" s="86"/>
    </row>
    <row r="869" spans="1:2" ht="15.75" customHeight="1" x14ac:dyDescent="0.25">
      <c r="A869" s="86"/>
      <c r="B869" s="86"/>
    </row>
    <row r="870" spans="1:2" ht="15.75" customHeight="1" x14ac:dyDescent="0.25">
      <c r="A870" s="86"/>
      <c r="B870" s="86"/>
    </row>
    <row r="871" spans="1:2" ht="15.75" customHeight="1" x14ac:dyDescent="0.25">
      <c r="A871" s="86"/>
      <c r="B871" s="86"/>
    </row>
    <row r="872" spans="1:2" ht="15.75" customHeight="1" x14ac:dyDescent="0.25">
      <c r="A872" s="86"/>
      <c r="B872" s="86"/>
    </row>
    <row r="873" spans="1:2" ht="15.75" customHeight="1" x14ac:dyDescent="0.25">
      <c r="A873" s="86"/>
      <c r="B873" s="86"/>
    </row>
    <row r="874" spans="1:2" ht="15.75" customHeight="1" x14ac:dyDescent="0.25">
      <c r="A874" s="86"/>
      <c r="B874" s="86"/>
    </row>
    <row r="875" spans="1:2" ht="15.75" customHeight="1" x14ac:dyDescent="0.25">
      <c r="A875" s="86"/>
      <c r="B875" s="86"/>
    </row>
    <row r="876" spans="1:2" ht="15.75" customHeight="1" x14ac:dyDescent="0.25">
      <c r="A876" s="86"/>
      <c r="B876" s="86"/>
    </row>
    <row r="877" spans="1:2" ht="15.75" customHeight="1" x14ac:dyDescent="0.25">
      <c r="A877" s="86"/>
      <c r="B877" s="86"/>
    </row>
    <row r="878" spans="1:2" ht="15.75" customHeight="1" x14ac:dyDescent="0.25">
      <c r="A878" s="86"/>
      <c r="B878" s="86"/>
    </row>
    <row r="879" spans="1:2" ht="15.75" customHeight="1" x14ac:dyDescent="0.25">
      <c r="A879" s="86"/>
      <c r="B879" s="86"/>
    </row>
    <row r="880" spans="1:2" ht="15.75" customHeight="1" x14ac:dyDescent="0.25">
      <c r="A880" s="86"/>
      <c r="B880" s="86"/>
    </row>
    <row r="881" spans="1:2" ht="15.75" customHeight="1" x14ac:dyDescent="0.25">
      <c r="A881" s="86"/>
      <c r="B881" s="86"/>
    </row>
    <row r="882" spans="1:2" ht="15.75" customHeight="1" x14ac:dyDescent="0.25">
      <c r="A882" s="86"/>
      <c r="B882" s="86"/>
    </row>
    <row r="883" spans="1:2" ht="15.75" customHeight="1" x14ac:dyDescent="0.25">
      <c r="A883" s="86"/>
      <c r="B883" s="86"/>
    </row>
    <row r="884" spans="1:2" ht="15.75" customHeight="1" x14ac:dyDescent="0.25">
      <c r="A884" s="86"/>
      <c r="B884" s="86"/>
    </row>
    <row r="885" spans="1:2" ht="15.75" customHeight="1" x14ac:dyDescent="0.25">
      <c r="A885" s="86"/>
      <c r="B885" s="86"/>
    </row>
    <row r="886" spans="1:2" ht="15.75" customHeight="1" x14ac:dyDescent="0.25">
      <c r="A886" s="86"/>
      <c r="B886" s="86"/>
    </row>
    <row r="887" spans="1:2" ht="15.75" customHeight="1" x14ac:dyDescent="0.25">
      <c r="A887" s="86"/>
      <c r="B887" s="86"/>
    </row>
    <row r="888" spans="1:2" ht="15.75" customHeight="1" x14ac:dyDescent="0.25">
      <c r="A888" s="86"/>
      <c r="B888" s="86"/>
    </row>
    <row r="889" spans="1:2" ht="15.75" customHeight="1" x14ac:dyDescent="0.25">
      <c r="A889" s="86"/>
      <c r="B889" s="86"/>
    </row>
    <row r="890" spans="1:2" ht="15.75" customHeight="1" x14ac:dyDescent="0.25">
      <c r="A890" s="86"/>
      <c r="B890" s="86"/>
    </row>
    <row r="891" spans="1:2" ht="15.75" customHeight="1" x14ac:dyDescent="0.25">
      <c r="A891" s="86"/>
      <c r="B891" s="86"/>
    </row>
    <row r="892" spans="1:2" ht="15.75" customHeight="1" x14ac:dyDescent="0.25">
      <c r="A892" s="86"/>
      <c r="B892" s="86"/>
    </row>
    <row r="893" spans="1:2" ht="15.75" customHeight="1" x14ac:dyDescent="0.25">
      <c r="A893" s="86"/>
      <c r="B893" s="86"/>
    </row>
    <row r="894" spans="1:2" ht="15.75" customHeight="1" x14ac:dyDescent="0.25">
      <c r="A894" s="86"/>
      <c r="B894" s="86"/>
    </row>
    <row r="895" spans="1:2" ht="15.75" customHeight="1" x14ac:dyDescent="0.25">
      <c r="A895" s="86"/>
      <c r="B895" s="86"/>
    </row>
    <row r="896" spans="1:2" ht="15.75" customHeight="1" x14ac:dyDescent="0.25">
      <c r="A896" s="86"/>
      <c r="B896" s="86"/>
    </row>
    <row r="897" spans="1:2" ht="15.75" customHeight="1" x14ac:dyDescent="0.25">
      <c r="A897" s="86"/>
      <c r="B897" s="86"/>
    </row>
    <row r="898" spans="1:2" ht="15.75" customHeight="1" x14ac:dyDescent="0.25">
      <c r="A898" s="86"/>
      <c r="B898" s="86"/>
    </row>
    <row r="899" spans="1:2" ht="15.75" customHeight="1" x14ac:dyDescent="0.25">
      <c r="A899" s="86"/>
      <c r="B899" s="86"/>
    </row>
    <row r="900" spans="1:2" ht="15.75" customHeight="1" x14ac:dyDescent="0.25">
      <c r="A900" s="86"/>
      <c r="B900" s="86"/>
    </row>
    <row r="901" spans="1:2" ht="15.75" customHeight="1" x14ac:dyDescent="0.25">
      <c r="A901" s="86"/>
      <c r="B901" s="86"/>
    </row>
    <row r="902" spans="1:2" ht="15.75" customHeight="1" x14ac:dyDescent="0.25">
      <c r="A902" s="86"/>
      <c r="B902" s="86"/>
    </row>
    <row r="903" spans="1:2" ht="15.75" customHeight="1" x14ac:dyDescent="0.25">
      <c r="A903" s="86"/>
      <c r="B903" s="86"/>
    </row>
    <row r="904" spans="1:2" ht="15.75" customHeight="1" x14ac:dyDescent="0.25">
      <c r="A904" s="86"/>
      <c r="B904" s="86"/>
    </row>
    <row r="905" spans="1:2" ht="15.75" customHeight="1" x14ac:dyDescent="0.25">
      <c r="A905" s="86"/>
      <c r="B905" s="86"/>
    </row>
    <row r="906" spans="1:2" ht="15.75" customHeight="1" x14ac:dyDescent="0.25">
      <c r="A906" s="86"/>
      <c r="B906" s="86"/>
    </row>
    <row r="907" spans="1:2" ht="15.75" customHeight="1" x14ac:dyDescent="0.25">
      <c r="A907" s="86"/>
      <c r="B907" s="86"/>
    </row>
    <row r="908" spans="1:2" ht="15.75" customHeight="1" x14ac:dyDescent="0.25">
      <c r="A908" s="86"/>
      <c r="B908" s="86"/>
    </row>
    <row r="909" spans="1:2" ht="15.75" customHeight="1" x14ac:dyDescent="0.25">
      <c r="A909" s="86"/>
      <c r="B909" s="86"/>
    </row>
    <row r="910" spans="1:2" ht="15.75" customHeight="1" x14ac:dyDescent="0.25">
      <c r="A910" s="86"/>
      <c r="B910" s="86"/>
    </row>
    <row r="911" spans="1:2" ht="15.75" customHeight="1" x14ac:dyDescent="0.25">
      <c r="A911" s="86"/>
      <c r="B911" s="86"/>
    </row>
    <row r="912" spans="1:2" ht="15.75" customHeight="1" x14ac:dyDescent="0.25">
      <c r="A912" s="86"/>
      <c r="B912" s="86"/>
    </row>
    <row r="913" spans="1:2" ht="15.75" customHeight="1" x14ac:dyDescent="0.25">
      <c r="A913" s="86"/>
      <c r="B913" s="86"/>
    </row>
    <row r="914" spans="1:2" ht="15.75" customHeight="1" x14ac:dyDescent="0.25">
      <c r="A914" s="86"/>
      <c r="B914" s="86"/>
    </row>
    <row r="915" spans="1:2" ht="15.75" customHeight="1" x14ac:dyDescent="0.25">
      <c r="A915" s="86"/>
      <c r="B915" s="86"/>
    </row>
    <row r="916" spans="1:2" ht="15.75" customHeight="1" x14ac:dyDescent="0.25">
      <c r="A916" s="86"/>
      <c r="B916" s="86"/>
    </row>
    <row r="917" spans="1:2" ht="15.75" customHeight="1" x14ac:dyDescent="0.25">
      <c r="A917" s="86"/>
      <c r="B917" s="86"/>
    </row>
    <row r="918" spans="1:2" ht="15.75" customHeight="1" x14ac:dyDescent="0.25">
      <c r="A918" s="86"/>
      <c r="B918" s="86"/>
    </row>
    <row r="919" spans="1:2" ht="15.75" customHeight="1" x14ac:dyDescent="0.25">
      <c r="A919" s="86"/>
      <c r="B919" s="86"/>
    </row>
    <row r="920" spans="1:2" ht="15.75" customHeight="1" x14ac:dyDescent="0.25">
      <c r="A920" s="86"/>
      <c r="B920" s="86"/>
    </row>
    <row r="921" spans="1:2" ht="15.75" customHeight="1" x14ac:dyDescent="0.25">
      <c r="A921" s="86"/>
      <c r="B921" s="86"/>
    </row>
    <row r="922" spans="1:2" ht="15.75" customHeight="1" x14ac:dyDescent="0.25">
      <c r="A922" s="86"/>
      <c r="B922" s="86"/>
    </row>
    <row r="923" spans="1:2" ht="15.75" customHeight="1" x14ac:dyDescent="0.25">
      <c r="A923" s="86"/>
      <c r="B923" s="86"/>
    </row>
    <row r="924" spans="1:2" ht="15.75" customHeight="1" x14ac:dyDescent="0.25">
      <c r="A924" s="86"/>
      <c r="B924" s="86"/>
    </row>
    <row r="925" spans="1:2" ht="15.75" customHeight="1" x14ac:dyDescent="0.25">
      <c r="A925" s="86"/>
      <c r="B925" s="86"/>
    </row>
    <row r="926" spans="1:2" ht="15.75" customHeight="1" x14ac:dyDescent="0.25">
      <c r="A926" s="86"/>
      <c r="B926" s="86"/>
    </row>
    <row r="927" spans="1:2" ht="15.75" customHeight="1" x14ac:dyDescent="0.25">
      <c r="A927" s="86"/>
      <c r="B927" s="86"/>
    </row>
    <row r="928" spans="1:2" ht="15.75" customHeight="1" x14ac:dyDescent="0.25">
      <c r="A928" s="86"/>
      <c r="B928" s="86"/>
    </row>
    <row r="929" spans="1:2" ht="15.75" customHeight="1" x14ac:dyDescent="0.25">
      <c r="A929" s="86"/>
      <c r="B929" s="86"/>
    </row>
    <row r="930" spans="1:2" ht="15.75" customHeight="1" x14ac:dyDescent="0.25">
      <c r="A930" s="86"/>
      <c r="B930" s="86"/>
    </row>
    <row r="931" spans="1:2" ht="15.75" customHeight="1" x14ac:dyDescent="0.25">
      <c r="A931" s="86"/>
      <c r="B931" s="86"/>
    </row>
    <row r="932" spans="1:2" ht="15.75" customHeight="1" x14ac:dyDescent="0.25">
      <c r="A932" s="86"/>
      <c r="B932" s="86"/>
    </row>
    <row r="933" spans="1:2" ht="15.75" customHeight="1" x14ac:dyDescent="0.25">
      <c r="A933" s="86"/>
      <c r="B933" s="86"/>
    </row>
    <row r="934" spans="1:2" ht="15.75" customHeight="1" x14ac:dyDescent="0.25">
      <c r="A934" s="86"/>
      <c r="B934" s="86"/>
    </row>
    <row r="935" spans="1:2" ht="15.75" customHeight="1" x14ac:dyDescent="0.25">
      <c r="A935" s="86"/>
      <c r="B935" s="86"/>
    </row>
    <row r="936" spans="1:2" ht="15.75" customHeight="1" x14ac:dyDescent="0.25">
      <c r="A936" s="86"/>
      <c r="B936" s="86"/>
    </row>
    <row r="937" spans="1:2" ht="15.75" customHeight="1" x14ac:dyDescent="0.25">
      <c r="A937" s="86"/>
      <c r="B937" s="86"/>
    </row>
    <row r="938" spans="1:2" ht="15.75" customHeight="1" x14ac:dyDescent="0.25">
      <c r="A938" s="86"/>
      <c r="B938" s="86"/>
    </row>
    <row r="939" spans="1:2" ht="15.75" customHeight="1" x14ac:dyDescent="0.25">
      <c r="A939" s="86"/>
      <c r="B939" s="86"/>
    </row>
    <row r="940" spans="1:2" ht="15.75" customHeight="1" x14ac:dyDescent="0.25">
      <c r="A940" s="86"/>
      <c r="B940" s="86"/>
    </row>
    <row r="941" spans="1:2" ht="15.75" customHeight="1" x14ac:dyDescent="0.25">
      <c r="A941" s="86"/>
      <c r="B941" s="86"/>
    </row>
    <row r="942" spans="1:2" ht="15.75" customHeight="1" x14ac:dyDescent="0.25">
      <c r="A942" s="86"/>
      <c r="B942" s="86"/>
    </row>
    <row r="943" spans="1:2" ht="15.75" customHeight="1" x14ac:dyDescent="0.25">
      <c r="A943" s="86"/>
      <c r="B943" s="86"/>
    </row>
    <row r="944" spans="1:2" ht="15.75" customHeight="1" x14ac:dyDescent="0.25">
      <c r="A944" s="86"/>
      <c r="B944" s="86"/>
    </row>
    <row r="945" spans="1:2" ht="15.75" customHeight="1" x14ac:dyDescent="0.25">
      <c r="A945" s="86"/>
      <c r="B945" s="86"/>
    </row>
    <row r="946" spans="1:2" ht="15.75" customHeight="1" x14ac:dyDescent="0.25">
      <c r="A946" s="86"/>
      <c r="B946" s="86"/>
    </row>
    <row r="947" spans="1:2" ht="15.75" customHeight="1" x14ac:dyDescent="0.25">
      <c r="A947" s="86"/>
      <c r="B947" s="86"/>
    </row>
    <row r="948" spans="1:2" ht="15.75" customHeight="1" x14ac:dyDescent="0.25">
      <c r="A948" s="86"/>
      <c r="B948" s="86"/>
    </row>
    <row r="949" spans="1:2" ht="15.75" customHeight="1" x14ac:dyDescent="0.25">
      <c r="A949" s="86"/>
      <c r="B949" s="86"/>
    </row>
    <row r="950" spans="1:2" ht="15.75" customHeight="1" x14ac:dyDescent="0.25">
      <c r="A950" s="86"/>
      <c r="B950" s="86"/>
    </row>
    <row r="951" spans="1:2" ht="15.75" customHeight="1" x14ac:dyDescent="0.25">
      <c r="A951" s="86"/>
      <c r="B951" s="86"/>
    </row>
    <row r="952" spans="1:2" ht="15.75" customHeight="1" x14ac:dyDescent="0.25">
      <c r="A952" s="86"/>
      <c r="B952" s="86"/>
    </row>
    <row r="953" spans="1:2" ht="15.75" customHeight="1" x14ac:dyDescent="0.25">
      <c r="A953" s="86"/>
      <c r="B953" s="86"/>
    </row>
    <row r="954" spans="1:2" ht="15.75" customHeight="1" x14ac:dyDescent="0.25">
      <c r="A954" s="86"/>
      <c r="B954" s="86"/>
    </row>
    <row r="955" spans="1:2" ht="15.75" customHeight="1" x14ac:dyDescent="0.25">
      <c r="A955" s="86"/>
      <c r="B955" s="86"/>
    </row>
    <row r="956" spans="1:2" ht="15.75" customHeight="1" x14ac:dyDescent="0.25">
      <c r="A956" s="86"/>
      <c r="B956" s="86"/>
    </row>
    <row r="957" spans="1:2" ht="15.75" customHeight="1" x14ac:dyDescent="0.25">
      <c r="A957" s="86"/>
      <c r="B957" s="86"/>
    </row>
    <row r="958" spans="1:2" ht="15.75" customHeight="1" x14ac:dyDescent="0.25">
      <c r="A958" s="86"/>
      <c r="B958" s="86"/>
    </row>
    <row r="959" spans="1:2" ht="15.75" customHeight="1" x14ac:dyDescent="0.25">
      <c r="A959" s="86"/>
      <c r="B959" s="86"/>
    </row>
    <row r="960" spans="1:2" ht="15.75" customHeight="1" x14ac:dyDescent="0.25">
      <c r="A960" s="86"/>
      <c r="B960" s="86"/>
    </row>
    <row r="961" spans="1:2" ht="15.75" customHeight="1" x14ac:dyDescent="0.25">
      <c r="A961" s="86"/>
      <c r="B961" s="86"/>
    </row>
    <row r="962" spans="1:2" ht="15.75" customHeight="1" x14ac:dyDescent="0.25">
      <c r="A962" s="86"/>
      <c r="B962" s="86"/>
    </row>
    <row r="963" spans="1:2" ht="15.75" customHeight="1" x14ac:dyDescent="0.25">
      <c r="A963" s="86"/>
      <c r="B963" s="86"/>
    </row>
    <row r="964" spans="1:2" ht="15.75" customHeight="1" x14ac:dyDescent="0.25">
      <c r="A964" s="86"/>
      <c r="B964" s="86"/>
    </row>
    <row r="965" spans="1:2" ht="15.75" customHeight="1" x14ac:dyDescent="0.25">
      <c r="A965" s="86"/>
      <c r="B965" s="86"/>
    </row>
    <row r="966" spans="1:2" ht="15.75" customHeight="1" x14ac:dyDescent="0.25">
      <c r="A966" s="86"/>
      <c r="B966" s="86"/>
    </row>
    <row r="967" spans="1:2" ht="15.75" customHeight="1" x14ac:dyDescent="0.25">
      <c r="A967" s="86"/>
      <c r="B967" s="86"/>
    </row>
    <row r="968" spans="1:2" ht="15.75" customHeight="1" x14ac:dyDescent="0.25">
      <c r="A968" s="86"/>
      <c r="B968" s="86"/>
    </row>
    <row r="969" spans="1:2" ht="15.75" customHeight="1" x14ac:dyDescent="0.25">
      <c r="A969" s="86"/>
      <c r="B969" s="86"/>
    </row>
    <row r="970" spans="1:2" ht="15.75" customHeight="1" x14ac:dyDescent="0.25">
      <c r="A970" s="86"/>
      <c r="B970" s="86"/>
    </row>
    <row r="971" spans="1:2" ht="15.75" customHeight="1" x14ac:dyDescent="0.25">
      <c r="A971" s="86"/>
      <c r="B971" s="86"/>
    </row>
    <row r="972" spans="1:2" ht="15.75" customHeight="1" x14ac:dyDescent="0.25">
      <c r="A972" s="86"/>
      <c r="B972" s="86"/>
    </row>
    <row r="973" spans="1:2" ht="15.75" customHeight="1" x14ac:dyDescent="0.25">
      <c r="A973" s="86"/>
      <c r="B973" s="86"/>
    </row>
    <row r="974" spans="1:2" ht="15.75" customHeight="1" x14ac:dyDescent="0.25">
      <c r="A974" s="86"/>
      <c r="B974" s="86"/>
    </row>
    <row r="975" spans="1:2" ht="15.75" customHeight="1" x14ac:dyDescent="0.25">
      <c r="A975" s="86"/>
      <c r="B975" s="86"/>
    </row>
    <row r="976" spans="1:2" ht="15.75" customHeight="1" x14ac:dyDescent="0.25">
      <c r="A976" s="86"/>
      <c r="B976" s="86"/>
    </row>
    <row r="977" spans="1:2" ht="15.75" customHeight="1" x14ac:dyDescent="0.25">
      <c r="A977" s="86"/>
      <c r="B977" s="86"/>
    </row>
    <row r="978" spans="1:2" ht="15.75" customHeight="1" x14ac:dyDescent="0.25">
      <c r="A978" s="86"/>
      <c r="B978" s="86"/>
    </row>
    <row r="979" spans="1:2" ht="15.75" customHeight="1" x14ac:dyDescent="0.25">
      <c r="A979" s="86"/>
      <c r="B979" s="86"/>
    </row>
    <row r="980" spans="1:2" ht="15.75" customHeight="1" x14ac:dyDescent="0.25">
      <c r="A980" s="86"/>
      <c r="B980" s="86"/>
    </row>
    <row r="981" spans="1:2" ht="15.75" customHeight="1" x14ac:dyDescent="0.25">
      <c r="A981" s="86"/>
      <c r="B981" s="86"/>
    </row>
    <row r="982" spans="1:2" ht="15.75" customHeight="1" x14ac:dyDescent="0.25">
      <c r="A982" s="86"/>
      <c r="B982" s="86"/>
    </row>
    <row r="983" spans="1:2" ht="15.75" customHeight="1" x14ac:dyDescent="0.25">
      <c r="A983" s="86"/>
      <c r="B983" s="86"/>
    </row>
    <row r="984" spans="1:2" ht="15.75" customHeight="1" x14ac:dyDescent="0.25">
      <c r="A984" s="86"/>
      <c r="B984" s="86"/>
    </row>
    <row r="985" spans="1:2" ht="15.75" customHeight="1" x14ac:dyDescent="0.25">
      <c r="A985" s="86"/>
      <c r="B985" s="86"/>
    </row>
    <row r="986" spans="1:2" ht="15.75" customHeight="1" x14ac:dyDescent="0.25">
      <c r="A986" s="86"/>
      <c r="B986" s="86"/>
    </row>
    <row r="987" spans="1:2" ht="15.75" customHeight="1" x14ac:dyDescent="0.25">
      <c r="A987" s="86"/>
      <c r="B987" s="86"/>
    </row>
    <row r="988" spans="1:2" ht="15.75" customHeight="1" x14ac:dyDescent="0.25">
      <c r="A988" s="86"/>
      <c r="B988" s="86"/>
    </row>
    <row r="989" spans="1:2" ht="15.75" customHeight="1" x14ac:dyDescent="0.25">
      <c r="A989" s="86"/>
      <c r="B989" s="86"/>
    </row>
    <row r="990" spans="1:2" ht="15.75" customHeight="1" x14ac:dyDescent="0.25">
      <c r="A990" s="86"/>
      <c r="B990" s="86"/>
    </row>
    <row r="991" spans="1:2" ht="15.75" customHeight="1" x14ac:dyDescent="0.25">
      <c r="A991" s="86"/>
      <c r="B991" s="86"/>
    </row>
    <row r="992" spans="1:2" ht="15.75" customHeight="1" x14ac:dyDescent="0.25">
      <c r="A992" s="86"/>
      <c r="B992" s="86"/>
    </row>
    <row r="993" spans="1:2" ht="15.75" customHeight="1" x14ac:dyDescent="0.25">
      <c r="A993" s="86"/>
      <c r="B993" s="86"/>
    </row>
    <row r="994" spans="1:2" ht="15.75" customHeight="1" x14ac:dyDescent="0.25">
      <c r="A994" s="86"/>
      <c r="B994" s="86"/>
    </row>
    <row r="995" spans="1:2" ht="15.75" customHeight="1" x14ac:dyDescent="0.25">
      <c r="A995" s="86"/>
      <c r="B995" s="86"/>
    </row>
    <row r="996" spans="1:2" ht="15.75" customHeight="1" x14ac:dyDescent="0.25">
      <c r="A996" s="86"/>
      <c r="B996" s="86"/>
    </row>
    <row r="997" spans="1:2" ht="15.75" customHeight="1" x14ac:dyDescent="0.25">
      <c r="A997" s="86"/>
      <c r="B997" s="86"/>
    </row>
    <row r="998" spans="1:2" ht="15.75" customHeight="1" x14ac:dyDescent="0.25">
      <c r="A998" s="86"/>
      <c r="B998" s="86"/>
    </row>
    <row r="999" spans="1:2" ht="15.75" customHeight="1" x14ac:dyDescent="0.25">
      <c r="A999" s="86"/>
      <c r="B999" s="86"/>
    </row>
    <row r="1000" spans="1:2" ht="15.75" customHeight="1" x14ac:dyDescent="0.25">
      <c r="A1000" s="86"/>
      <c r="B1000" s="86"/>
    </row>
  </sheetData>
  <mergeCells count="4">
    <mergeCell ref="A5:A6"/>
    <mergeCell ref="B5:B6"/>
    <mergeCell ref="C5:C6"/>
    <mergeCell ref="G5:G6"/>
  </mergeCells>
  <printOptions horizontalCentered="1" verticalCentered="1"/>
  <pageMargins left="0.19685039370078741" right="0.19685039370078741" top="0.19685039370078741" bottom="0.19685039370078741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de gtos</vt:lpstr>
      <vt:lpstr>prorrateo</vt:lpstr>
      <vt:lpstr>EXTRAORDINARIA</vt:lpstr>
      <vt:lpstr>'detalle de gtos'!Área_de_impresión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2025-03-31T13:44:43Z</cp:lastPrinted>
  <dcterms:created xsi:type="dcterms:W3CDTF">2020-12-10T00:27:53Z</dcterms:created>
  <dcterms:modified xsi:type="dcterms:W3CDTF">2025-05-07T14:30:07Z</dcterms:modified>
</cp:coreProperties>
</file>