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MINISTRO BRIN 3039\febrero\"/>
    </mc:Choice>
  </mc:AlternateContent>
  <xr:revisionPtr revIDLastSave="0" documentId="13_ncr:1_{EC77A497-729F-4DBC-82B0-031C645D691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de gtos" sheetId="1" r:id="rId1"/>
    <sheet name="prorrateo" sheetId="2" r:id="rId2"/>
  </sheets>
  <definedNames>
    <definedName name="_xlnm.Print_Area" localSheetId="0">'detalle de gtos'!$A$1:$F$47</definedName>
    <definedName name="_xlnm.Print_Area" localSheetId="1">prorrateo!$A$1:$M$33</definedName>
  </definedNames>
  <calcPr calcId="181029"/>
  <extLst>
    <ext uri="GoogleSheetsCustomDataVersion1">
      <go:sheetsCustomData xmlns:go="http://customooxmlschemas.google.com/" r:id="" roundtripDataSignature="AMtx7mjMEfGdwOGseDV60+bLGD3Bm64AZw=="/>
    </ext>
  </extLst>
</workbook>
</file>

<file path=xl/calcChain.xml><?xml version="1.0" encoding="utf-8"?>
<calcChain xmlns="http://schemas.openxmlformats.org/spreadsheetml/2006/main">
  <c r="F3" i="2" l="1"/>
  <c r="I2" i="2"/>
  <c r="C26" i="1" l="1"/>
  <c r="C30" i="1" l="1"/>
  <c r="C35" i="1" l="1"/>
  <c r="C20" i="1" l="1"/>
  <c r="C37" i="1" l="1"/>
  <c r="J33" i="2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6" i="2" l="1"/>
  <c r="E33" i="2" l="1"/>
  <c r="C42" i="1" s="1"/>
  <c r="D33" i="2" l="1"/>
  <c r="H33" i="2"/>
  <c r="I32" i="2"/>
  <c r="K32" i="2" s="1"/>
  <c r="G32" i="2"/>
  <c r="I31" i="2"/>
  <c r="K31" i="2" s="1"/>
  <c r="G31" i="2"/>
  <c r="I30" i="2"/>
  <c r="K30" i="2" s="1"/>
  <c r="G30" i="2"/>
  <c r="I29" i="2"/>
  <c r="K29" i="2" s="1"/>
  <c r="G29" i="2"/>
  <c r="I28" i="2"/>
  <c r="K28" i="2" s="1"/>
  <c r="G28" i="2"/>
  <c r="I27" i="2"/>
  <c r="K27" i="2" s="1"/>
  <c r="G27" i="2"/>
  <c r="I26" i="2"/>
  <c r="K26" i="2" s="1"/>
  <c r="G26" i="2"/>
  <c r="I25" i="2"/>
  <c r="K25" i="2" s="1"/>
  <c r="G25" i="2"/>
  <c r="I24" i="2"/>
  <c r="K24" i="2" s="1"/>
  <c r="G24" i="2"/>
  <c r="I23" i="2"/>
  <c r="K23" i="2" s="1"/>
  <c r="G23" i="2"/>
  <c r="I22" i="2"/>
  <c r="K22" i="2" s="1"/>
  <c r="G22" i="2"/>
  <c r="I21" i="2"/>
  <c r="K21" i="2" s="1"/>
  <c r="G21" i="2"/>
  <c r="I20" i="2"/>
  <c r="K20" i="2" s="1"/>
  <c r="G20" i="2"/>
  <c r="I19" i="2"/>
  <c r="K19" i="2" s="1"/>
  <c r="G19" i="2"/>
  <c r="I18" i="2"/>
  <c r="K18" i="2" s="1"/>
  <c r="G18" i="2"/>
  <c r="I17" i="2"/>
  <c r="K17" i="2" s="1"/>
  <c r="G17" i="2"/>
  <c r="I16" i="2"/>
  <c r="K16" i="2" s="1"/>
  <c r="G16" i="2"/>
  <c r="I15" i="2"/>
  <c r="K15" i="2" s="1"/>
  <c r="G15" i="2"/>
  <c r="I14" i="2"/>
  <c r="K14" i="2" s="1"/>
  <c r="G14" i="2"/>
  <c r="I13" i="2"/>
  <c r="K13" i="2" s="1"/>
  <c r="G13" i="2"/>
  <c r="I12" i="2"/>
  <c r="K12" i="2" s="1"/>
  <c r="G12" i="2"/>
  <c r="I11" i="2"/>
  <c r="K11" i="2" s="1"/>
  <c r="G11" i="2"/>
  <c r="I10" i="2"/>
  <c r="K10" i="2" s="1"/>
  <c r="G10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I9" i="2"/>
  <c r="K9" i="2" s="1"/>
  <c r="I8" i="2"/>
  <c r="K8" i="2" s="1"/>
  <c r="I7" i="2"/>
  <c r="K7" i="2" s="1"/>
  <c r="G7" i="2"/>
  <c r="I6" i="2"/>
  <c r="G6" i="2"/>
  <c r="D41" i="1"/>
  <c r="C28" i="1"/>
  <c r="K6" i="2" l="1"/>
  <c r="L6" i="2" s="1"/>
  <c r="L13" i="2"/>
  <c r="M13" i="2" s="1"/>
  <c r="L17" i="2"/>
  <c r="M17" i="2" s="1"/>
  <c r="L21" i="2"/>
  <c r="M21" i="2" s="1"/>
  <c r="L25" i="2"/>
  <c r="M25" i="2" s="1"/>
  <c r="L9" i="2"/>
  <c r="M9" i="2" s="1"/>
  <c r="L11" i="2"/>
  <c r="M11" i="2" s="1"/>
  <c r="L15" i="2"/>
  <c r="M15" i="2" s="1"/>
  <c r="L19" i="2"/>
  <c r="M19" i="2" s="1"/>
  <c r="L23" i="2"/>
  <c r="M23" i="2" s="1"/>
  <c r="L27" i="2"/>
  <c r="M27" i="2" s="1"/>
  <c r="L29" i="2"/>
  <c r="M29" i="2" s="1"/>
  <c r="L31" i="2"/>
  <c r="M31" i="2" s="1"/>
  <c r="L7" i="2"/>
  <c r="L8" i="2"/>
  <c r="M8" i="2" s="1"/>
  <c r="L10" i="2"/>
  <c r="M10" i="2" s="1"/>
  <c r="L12" i="2"/>
  <c r="M12" i="2" s="1"/>
  <c r="L14" i="2"/>
  <c r="M14" i="2" s="1"/>
  <c r="L16" i="2"/>
  <c r="M16" i="2" s="1"/>
  <c r="L18" i="2"/>
  <c r="M18" i="2" s="1"/>
  <c r="L20" i="2"/>
  <c r="M20" i="2" s="1"/>
  <c r="L22" i="2"/>
  <c r="M22" i="2" s="1"/>
  <c r="L24" i="2"/>
  <c r="M24" i="2" s="1"/>
  <c r="L26" i="2"/>
  <c r="M26" i="2" s="1"/>
  <c r="L28" i="2"/>
  <c r="M28" i="2" s="1"/>
  <c r="L30" i="2"/>
  <c r="M30" i="2" s="1"/>
  <c r="L32" i="2"/>
  <c r="M32" i="2" s="1"/>
  <c r="G33" i="2"/>
  <c r="I33" i="2"/>
  <c r="L33" i="2" l="1"/>
  <c r="M7" i="2"/>
  <c r="M6" i="2"/>
  <c r="K33" i="2"/>
  <c r="M33" i="2" l="1"/>
  <c r="C38" i="1"/>
  <c r="C43" i="1" l="1"/>
  <c r="D43" i="1" s="1"/>
  <c r="C45" i="1" l="1"/>
</calcChain>
</file>

<file path=xl/sharedStrings.xml><?xml version="1.0" encoding="utf-8"?>
<sst xmlns="http://schemas.openxmlformats.org/spreadsheetml/2006/main" count="131" uniqueCount="102">
  <si>
    <t>Tel. 11 5320-2676</t>
  </si>
  <si>
    <t>consorciosrc13@gmail.com</t>
  </si>
  <si>
    <t>LIQUIDACION DE EXPENSAS</t>
  </si>
  <si>
    <t>Nombre:</t>
  </si>
  <si>
    <t>CONSORCIO DE PROPIETARIOS DEL EDIFICIO CALLE MINISTRO BRIN Nº 3039,3041 Y 3043</t>
  </si>
  <si>
    <t xml:space="preserve">Domicilio: </t>
  </si>
  <si>
    <t>Mtro. BRIN 3039</t>
  </si>
  <si>
    <t xml:space="preserve">C.U.I.T.: </t>
  </si>
  <si>
    <t>33-71768749-9</t>
  </si>
  <si>
    <t>Aysa cuenta servicio 2454578</t>
  </si>
  <si>
    <t>GASTOS ORDINARIOS</t>
  </si>
  <si>
    <t>Seguro Integral - LA MERIDIONAL</t>
  </si>
  <si>
    <t>AYSA</t>
  </si>
  <si>
    <t>Abono ascensores</t>
  </si>
  <si>
    <t>TOTAL ABONOS Y SERVICIOS    (1)</t>
  </si>
  <si>
    <t>Servicio de limpieza</t>
  </si>
  <si>
    <t>Seguro Monica</t>
  </si>
  <si>
    <t>TOTAL SERVICIO DE LIMPIEZA (2)</t>
  </si>
  <si>
    <t xml:space="preserve">GASTOS GENERALES / MANTENIMIENTO </t>
  </si>
  <si>
    <t>TOTAL GASTOS MANTENIMIENTO (3)</t>
  </si>
  <si>
    <t>RC Adm Cons. CANCIANI, Carolina</t>
  </si>
  <si>
    <t>GASTOS DE ADMINISTRACION (4)</t>
  </si>
  <si>
    <t>TOTAL GASTOS ORDINARIOS (1,2,3,4)</t>
  </si>
  <si>
    <t>RESUMEN DE INGRESOS Y EGRESOS</t>
  </si>
  <si>
    <t>Saldo anterior</t>
  </si>
  <si>
    <t>OK</t>
  </si>
  <si>
    <t>Ingreso por pago de expensas en término</t>
  </si>
  <si>
    <t>Egresos por gastos ordinarios del mes</t>
  </si>
  <si>
    <t>EDESUR</t>
  </si>
  <si>
    <t>Saldo al cierre $ (pesos)</t>
  </si>
  <si>
    <t>ESTADO DE CUENTA Y PRORRATEO</t>
  </si>
  <si>
    <t>Gastos Ordinarios:</t>
  </si>
  <si>
    <t>Ministro BRIN Nº 3039</t>
  </si>
  <si>
    <t>UF</t>
  </si>
  <si>
    <t>Dpto.</t>
  </si>
  <si>
    <t>Propietario</t>
  </si>
  <si>
    <t xml:space="preserve">Saldo </t>
  </si>
  <si>
    <t xml:space="preserve">Ingreso </t>
  </si>
  <si>
    <t>DEUDAS</t>
  </si>
  <si>
    <t>Intereses</t>
  </si>
  <si>
    <t>coeficiente</t>
  </si>
  <si>
    <t>Expensas</t>
  </si>
  <si>
    <t>EXPENSAS</t>
  </si>
  <si>
    <t>A PAGAR</t>
  </si>
  <si>
    <t>Anterior</t>
  </si>
  <si>
    <t>%</t>
  </si>
  <si>
    <t>Ordinarias</t>
  </si>
  <si>
    <t xml:space="preserve">1er Vto. </t>
  </si>
  <si>
    <t>2do Vto.</t>
  </si>
  <si>
    <t>Local</t>
  </si>
  <si>
    <t>IERACE, Viviana</t>
  </si>
  <si>
    <t>PB D</t>
  </si>
  <si>
    <t>1 - G</t>
  </si>
  <si>
    <t>ROVERES, Daniel</t>
  </si>
  <si>
    <t>1 - A</t>
  </si>
  <si>
    <t>1 - D</t>
  </si>
  <si>
    <t>1 - C</t>
  </si>
  <si>
    <t>1 - E</t>
  </si>
  <si>
    <t>1 - F</t>
  </si>
  <si>
    <t>2 - A</t>
  </si>
  <si>
    <t>VILLA, Marta</t>
  </si>
  <si>
    <t>2 - D</t>
  </si>
  <si>
    <t>2 - C</t>
  </si>
  <si>
    <t>2 - E</t>
  </si>
  <si>
    <t>2 - F</t>
  </si>
  <si>
    <t>3 - A</t>
  </si>
  <si>
    <t>3 - B</t>
  </si>
  <si>
    <t>3 - D</t>
  </si>
  <si>
    <t>3 - C</t>
  </si>
  <si>
    <t>3 - E</t>
  </si>
  <si>
    <t>3 - F</t>
  </si>
  <si>
    <t>A</t>
  </si>
  <si>
    <t>Coch 1</t>
  </si>
  <si>
    <t>B</t>
  </si>
  <si>
    <t>Coch 2</t>
  </si>
  <si>
    <t>C</t>
  </si>
  <si>
    <t>Coch 3</t>
  </si>
  <si>
    <t>D</t>
  </si>
  <si>
    <t>Coch 4</t>
  </si>
  <si>
    <t>E</t>
  </si>
  <si>
    <t>Coch 5</t>
  </si>
  <si>
    <t>F</t>
  </si>
  <si>
    <t>Coch 6</t>
  </si>
  <si>
    <t>G</t>
  </si>
  <si>
    <t>Coch 7</t>
  </si>
  <si>
    <t>H</t>
  </si>
  <si>
    <t>Baulera 3</t>
  </si>
  <si>
    <t>TOTALES</t>
  </si>
  <si>
    <t>GASTOS - PREVISION</t>
  </si>
  <si>
    <t>CANCIANI, Carolina     MP 1148</t>
  </si>
  <si>
    <t>Poliza nro. 317348</t>
  </si>
  <si>
    <t>Domicilio :  Doctor Melo 2958 - 8vo piso con cita previa</t>
  </si>
  <si>
    <t xml:space="preserve">JPL articulos de limpieza </t>
  </si>
  <si>
    <t xml:space="preserve">MONICA </t>
  </si>
  <si>
    <t xml:space="preserve">FONDO DE RESERVA GASTOS ORDINARIOS </t>
  </si>
  <si>
    <t>VTO. 14/03</t>
  </si>
  <si>
    <t>PERÍODO: FEBRERO 2025</t>
  </si>
  <si>
    <t xml:space="preserve">Período FEBRERO - Deposito Bancario </t>
  </si>
  <si>
    <t>Período FEBRERO 2025</t>
  </si>
  <si>
    <t xml:space="preserve">Metrogas </t>
  </si>
  <si>
    <t>Los honorarios fueron subidos en ENE</t>
  </si>
  <si>
    <t>TSG mes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</si>
</sst>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_-&quot;$&quot;\ * #,##0_-;\-&quot;$&quot;\ * #,##0_-;_-&quot;$&quot;\ * &quot;-&quot;??_-;_-@_-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sz val="10"/>
      <color rgb="FF000000"/>
      <name val="Arial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2" xfId="0" applyFont="1" applyBorder="1"/>
    <xf numFmtId="0" fontId="9" fillId="2" borderId="3" xfId="0" applyFont="1" applyFill="1" applyBorder="1"/>
    <xf numFmtId="0" fontId="7" fillId="0" borderId="4" xfId="0" applyFont="1" applyBorder="1"/>
    <xf numFmtId="4" fontId="6" fillId="0" borderId="0" xfId="0" applyNumberFormat="1" applyFont="1"/>
    <xf numFmtId="0" fontId="7" fillId="0" borderId="7" xfId="0" applyFont="1" applyBorder="1"/>
    <xf numFmtId="0" fontId="10" fillId="3" borderId="9" xfId="0" applyFont="1" applyFill="1" applyBorder="1"/>
    <xf numFmtId="0" fontId="7" fillId="3" borderId="10" xfId="0" applyFont="1" applyFill="1" applyBorder="1"/>
    <xf numFmtId="165" fontId="10" fillId="3" borderId="11" xfId="0" applyNumberFormat="1" applyFont="1" applyFill="1" applyBorder="1"/>
    <xf numFmtId="165" fontId="6" fillId="0" borderId="0" xfId="0" applyNumberFormat="1" applyFont="1"/>
    <xf numFmtId="0" fontId="7" fillId="4" borderId="3" xfId="0" applyFont="1" applyFill="1" applyBorder="1"/>
    <xf numFmtId="0" fontId="7" fillId="3" borderId="13" xfId="0" applyFont="1" applyFill="1" applyBorder="1"/>
    <xf numFmtId="0" fontId="7" fillId="3" borderId="14" xfId="0" applyFont="1" applyFill="1" applyBorder="1"/>
    <xf numFmtId="0" fontId="10" fillId="3" borderId="17" xfId="0" applyFont="1" applyFill="1" applyBorder="1"/>
    <xf numFmtId="0" fontId="7" fillId="0" borderId="19" xfId="0" applyFont="1" applyBorder="1"/>
    <xf numFmtId="0" fontId="10" fillId="4" borderId="20" xfId="0" applyFont="1" applyFill="1" applyBorder="1"/>
    <xf numFmtId="0" fontId="7" fillId="4" borderId="21" xfId="0" applyFont="1" applyFill="1" applyBorder="1"/>
    <xf numFmtId="165" fontId="10" fillId="4" borderId="22" xfId="0" applyNumberFormat="1" applyFont="1" applyFill="1" applyBorder="1"/>
    <xf numFmtId="0" fontId="10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14" fontId="7" fillId="0" borderId="27" xfId="0" applyNumberFormat="1" applyFont="1" applyBorder="1"/>
    <xf numFmtId="165" fontId="10" fillId="0" borderId="12" xfId="0" applyNumberFormat="1" applyFont="1" applyBorder="1"/>
    <xf numFmtId="0" fontId="6" fillId="3" borderId="29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30" xfId="0" applyFont="1" applyFill="1" applyBorder="1"/>
    <xf numFmtId="0" fontId="8" fillId="3" borderId="30" xfId="0" applyFont="1" applyFill="1" applyBorder="1"/>
    <xf numFmtId="0" fontId="6" fillId="3" borderId="32" xfId="0" applyFont="1" applyFill="1" applyBorder="1"/>
    <xf numFmtId="0" fontId="6" fillId="3" borderId="3" xfId="0" applyFont="1" applyFill="1" applyBorder="1"/>
    <xf numFmtId="0" fontId="6" fillId="3" borderId="3" xfId="0" applyFont="1" applyFill="1" applyBorder="1" applyAlignment="1">
      <alignment horizontal="left"/>
    </xf>
    <xf numFmtId="0" fontId="8" fillId="3" borderId="3" xfId="0" applyFont="1" applyFill="1" applyBorder="1"/>
    <xf numFmtId="0" fontId="6" fillId="3" borderId="35" xfId="0" applyFont="1" applyFill="1" applyBorder="1"/>
    <xf numFmtId="0" fontId="8" fillId="3" borderId="36" xfId="0" applyFont="1" applyFill="1" applyBorder="1" applyAlignment="1">
      <alignment horizontal="left"/>
    </xf>
    <xf numFmtId="0" fontId="6" fillId="3" borderId="37" xfId="0" applyFont="1" applyFill="1" applyBorder="1"/>
    <xf numFmtId="0" fontId="6" fillId="3" borderId="37" xfId="0" applyFont="1" applyFill="1" applyBorder="1" applyAlignment="1">
      <alignment horizontal="left"/>
    </xf>
    <xf numFmtId="0" fontId="8" fillId="3" borderId="37" xfId="0" applyFont="1" applyFill="1" applyBorder="1"/>
    <xf numFmtId="0" fontId="6" fillId="3" borderId="37" xfId="0" applyFont="1" applyFill="1" applyBorder="1" applyAlignment="1">
      <alignment horizontal="center"/>
    </xf>
    <xf numFmtId="14" fontId="6" fillId="3" borderId="37" xfId="0" applyNumberFormat="1" applyFont="1" applyFill="1" applyBorder="1" applyAlignment="1">
      <alignment horizontal="left"/>
    </xf>
    <xf numFmtId="0" fontId="6" fillId="3" borderId="38" xfId="0" applyFont="1" applyFill="1" applyBorder="1"/>
    <xf numFmtId="0" fontId="8" fillId="5" borderId="39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12" fillId="5" borderId="39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0" xfId="0" applyFont="1" applyFill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12" fillId="5" borderId="42" xfId="0" applyFont="1" applyFill="1" applyBorder="1" applyAlignment="1">
      <alignment horizontal="center"/>
    </xf>
    <xf numFmtId="9" fontId="12" fillId="5" borderId="3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 wrapText="1"/>
    </xf>
    <xf numFmtId="0" fontId="13" fillId="0" borderId="12" xfId="0" applyFont="1" applyBorder="1" applyAlignment="1">
      <alignment wrapText="1"/>
    </xf>
    <xf numFmtId="3" fontId="6" fillId="0" borderId="12" xfId="0" applyNumberFormat="1" applyFont="1" applyBorder="1"/>
    <xf numFmtId="166" fontId="6" fillId="0" borderId="23" xfId="0" applyNumberFormat="1" applyFont="1" applyBorder="1"/>
    <xf numFmtId="0" fontId="8" fillId="5" borderId="17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167" fontId="8" fillId="5" borderId="18" xfId="0" applyNumberFormat="1" applyFont="1" applyFill="1" applyBorder="1"/>
    <xf numFmtId="167" fontId="8" fillId="5" borderId="17" xfId="0" applyNumberFormat="1" applyFont="1" applyFill="1" applyBorder="1"/>
    <xf numFmtId="165" fontId="8" fillId="5" borderId="18" xfId="0" applyNumberFormat="1" applyFont="1" applyFill="1" applyBorder="1"/>
    <xf numFmtId="165" fontId="8" fillId="5" borderId="11" xfId="0" applyNumberFormat="1" applyFont="1" applyFill="1" applyBorder="1"/>
    <xf numFmtId="4" fontId="8" fillId="5" borderId="1" xfId="0" applyNumberFormat="1" applyFont="1" applyFill="1" applyBorder="1"/>
    <xf numFmtId="167" fontId="8" fillId="5" borderId="45" xfId="0" applyNumberFormat="1" applyFont="1" applyFill="1" applyBorder="1"/>
    <xf numFmtId="167" fontId="8" fillId="5" borderId="46" xfId="0" applyNumberFormat="1" applyFont="1" applyFill="1" applyBorder="1"/>
    <xf numFmtId="167" fontId="8" fillId="5" borderId="47" xfId="0" applyNumberFormat="1" applyFont="1" applyFill="1" applyBorder="1"/>
    <xf numFmtId="167" fontId="8" fillId="5" borderId="1" xfId="0" applyNumberFormat="1" applyFont="1" applyFill="1" applyBorder="1"/>
    <xf numFmtId="0" fontId="6" fillId="0" borderId="0" xfId="0" applyFont="1" applyAlignment="1">
      <alignment horizontal="center"/>
    </xf>
    <xf numFmtId="166" fontId="6" fillId="0" borderId="0" xfId="0" applyNumberFormat="1" applyFont="1"/>
    <xf numFmtId="0" fontId="7" fillId="0" borderId="3" xfId="0" applyFont="1" applyBorder="1"/>
    <xf numFmtId="0" fontId="7" fillId="4" borderId="48" xfId="0" applyFont="1" applyFill="1" applyBorder="1"/>
    <xf numFmtId="0" fontId="14" fillId="6" borderId="3" xfId="0" applyFont="1" applyFill="1" applyBorder="1"/>
    <xf numFmtId="0" fontId="14" fillId="7" borderId="2" xfId="0" applyFont="1" applyFill="1" applyBorder="1"/>
    <xf numFmtId="0" fontId="7" fillId="0" borderId="50" xfId="0" applyFont="1" applyBorder="1"/>
    <xf numFmtId="0" fontId="7" fillId="0" borderId="51" xfId="0" applyFont="1" applyBorder="1"/>
    <xf numFmtId="0" fontId="7" fillId="3" borderId="52" xfId="0" applyFont="1" applyFill="1" applyBorder="1"/>
    <xf numFmtId="164" fontId="6" fillId="0" borderId="12" xfId="1" applyFont="1" applyBorder="1"/>
    <xf numFmtId="164" fontId="6" fillId="0" borderId="44" xfId="1" applyFont="1" applyBorder="1"/>
    <xf numFmtId="164" fontId="6" fillId="0" borderId="24" xfId="1" applyFont="1" applyBorder="1"/>
    <xf numFmtId="164" fontId="17" fillId="0" borderId="12" xfId="1" applyFont="1" applyBorder="1"/>
    <xf numFmtId="0" fontId="16" fillId="4" borderId="20" xfId="0" applyFont="1" applyFill="1" applyBorder="1"/>
    <xf numFmtId="164" fontId="18" fillId="0" borderId="16" xfId="1" applyFont="1" applyFill="1" applyBorder="1" applyAlignment="1"/>
    <xf numFmtId="164" fontId="0" fillId="0" borderId="0" xfId="0" applyNumberFormat="1"/>
    <xf numFmtId="165" fontId="20" fillId="3" borderId="11" xfId="0" applyNumberFormat="1" applyFont="1" applyFill="1" applyBorder="1"/>
    <xf numFmtId="167" fontId="8" fillId="5" borderId="37" xfId="0" applyNumberFormat="1" applyFont="1" applyFill="1" applyBorder="1"/>
    <xf numFmtId="0" fontId="22" fillId="3" borderId="33" xfId="0" applyFont="1" applyFill="1" applyBorder="1" applyAlignment="1">
      <alignment horizontal="left"/>
    </xf>
    <xf numFmtId="165" fontId="20" fillId="4" borderId="49" xfId="0" applyNumberFormat="1" applyFont="1" applyFill="1" applyBorder="1"/>
    <xf numFmtId="165" fontId="20" fillId="4" borderId="28" xfId="0" applyNumberFormat="1" applyFont="1" applyFill="1" applyBorder="1"/>
    <xf numFmtId="0" fontId="15" fillId="0" borderId="0" xfId="0" applyFont="1"/>
    <xf numFmtId="3" fontId="6" fillId="0" borderId="24" xfId="0" applyNumberFormat="1" applyFont="1" applyBorder="1"/>
    <xf numFmtId="0" fontId="15" fillId="0" borderId="39" xfId="0" applyFont="1" applyBorder="1"/>
    <xf numFmtId="4" fontId="19" fillId="0" borderId="47" xfId="0" applyNumberFormat="1" applyFont="1" applyBorder="1"/>
    <xf numFmtId="0" fontId="7" fillId="0" borderId="39" xfId="0" applyFont="1" applyBorder="1"/>
    <xf numFmtId="0" fontId="7" fillId="0" borderId="5" xfId="0" applyFont="1" applyBorder="1"/>
    <xf numFmtId="165" fontId="7" fillId="8" borderId="16" xfId="0" applyNumberFormat="1" applyFont="1" applyFill="1" applyBorder="1"/>
    <xf numFmtId="0" fontId="2" fillId="0" borderId="0" xfId="0" applyFont="1"/>
    <xf numFmtId="165" fontId="21" fillId="8" borderId="28" xfId="0" applyNumberFormat="1" applyFont="1" applyFill="1" applyBorder="1"/>
    <xf numFmtId="164" fontId="6" fillId="8" borderId="12" xfId="1" applyFont="1" applyFill="1" applyBorder="1"/>
    <xf numFmtId="168" fontId="0" fillId="0" borderId="0" xfId="0" applyNumberFormat="1"/>
    <xf numFmtId="0" fontId="7" fillId="3" borderId="37" xfId="0" applyFont="1" applyFill="1" applyBorder="1"/>
    <xf numFmtId="164" fontId="21" fillId="8" borderId="8" xfId="1" applyFont="1" applyFill="1" applyBorder="1" applyAlignment="1"/>
    <xf numFmtId="0" fontId="7" fillId="0" borderId="14" xfId="0" applyFont="1" applyBorder="1"/>
    <xf numFmtId="0" fontId="10" fillId="3" borderId="19" xfId="0" applyFont="1" applyFill="1" applyBorder="1"/>
    <xf numFmtId="0" fontId="7" fillId="3" borderId="34" xfId="0" applyFont="1" applyFill="1" applyBorder="1"/>
    <xf numFmtId="165" fontId="20" fillId="3" borderId="47" xfId="0" applyNumberFormat="1" applyFont="1" applyFill="1" applyBorder="1"/>
    <xf numFmtId="0" fontId="7" fillId="0" borderId="54" xfId="0" applyFont="1" applyBorder="1"/>
    <xf numFmtId="17" fontId="15" fillId="0" borderId="54" xfId="0" applyNumberFormat="1" applyFont="1" applyBorder="1"/>
    <xf numFmtId="0" fontId="7" fillId="4" borderId="54" xfId="0" applyFont="1" applyFill="1" applyBorder="1"/>
    <xf numFmtId="0" fontId="15" fillId="4" borderId="55" xfId="0" applyFont="1" applyFill="1" applyBorder="1" applyAlignment="1">
      <alignment horizontal="left" vertical="top" wrapText="1"/>
    </xf>
    <xf numFmtId="165" fontId="19" fillId="4" borderId="54" xfId="0" applyNumberFormat="1" applyFont="1" applyFill="1" applyBorder="1"/>
    <xf numFmtId="165" fontId="20" fillId="3" borderId="54" xfId="0" applyNumberFormat="1" applyFont="1" applyFill="1" applyBorder="1"/>
    <xf numFmtId="164" fontId="7" fillId="0" borderId="43" xfId="1" applyFont="1" applyBorder="1"/>
    <xf numFmtId="165" fontId="20" fillId="4" borderId="15" xfId="0" applyNumberFormat="1" applyFont="1" applyFill="1" applyBorder="1"/>
    <xf numFmtId="4" fontId="19" fillId="8" borderId="54" xfId="0" applyNumberFormat="1" applyFont="1" applyFill="1" applyBorder="1"/>
    <xf numFmtId="4" fontId="19" fillId="0" borderId="54" xfId="0" applyNumberFormat="1" applyFont="1" applyBorder="1"/>
    <xf numFmtId="165" fontId="14" fillId="6" borderId="16" xfId="0" applyNumberFormat="1" applyFont="1" applyFill="1" applyBorder="1"/>
    <xf numFmtId="165" fontId="23" fillId="0" borderId="0" xfId="0" applyNumberFormat="1" applyFont="1"/>
    <xf numFmtId="0" fontId="1" fillId="0" borderId="0" xfId="0" applyFont="1"/>
    <xf numFmtId="0" fontId="8" fillId="3" borderId="31" xfId="0" applyFont="1" applyFill="1" applyBorder="1" applyAlignment="1">
      <alignment horizontal="left" wrapText="1"/>
    </xf>
    <xf numFmtId="0" fontId="11" fillId="0" borderId="34" xfId="0" applyFont="1" applyBorder="1" applyAlignment="1">
      <alignment horizontal="left"/>
    </xf>
    <xf numFmtId="165" fontId="8" fillId="3" borderId="3" xfId="0" applyNumberFormat="1" applyFont="1" applyFill="1" applyBorder="1" applyAlignment="1">
      <alignment horizontal="center"/>
    </xf>
    <xf numFmtId="4" fontId="19" fillId="8" borderId="6" xfId="0" applyNumberFormat="1" applyFont="1" applyFill="1" applyBorder="1"/>
    <xf numFmtId="4" fontId="19" fillId="8" borderId="16" xfId="0" applyNumberFormat="1" applyFont="1" applyFill="1" applyBorder="1"/>
    <xf numFmtId="4" fontId="19" fillId="8" borderId="8" xfId="0" applyNumberFormat="1" applyFont="1" applyFill="1" applyBorder="1"/>
    <xf numFmtId="4" fontId="19" fillId="0" borderId="53" xfId="0" applyNumberFormat="1" applyFont="1" applyBorder="1"/>
    <xf numFmtId="4" fontId="19" fillId="8" borderId="12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85975" cy="733425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0"/>
  <sheetViews>
    <sheetView topLeftCell="A25" workbookViewId="0">
      <selection activeCell="C38" sqref="C38"/>
    </sheetView>
  </sheetViews>
  <sheetFormatPr baseColWidth="10" defaultColWidth="14.42578125" defaultRowHeight="15" customHeight="1" x14ac:dyDescent="0.25"/>
  <cols>
    <col min="1" max="1" width="38.28515625" customWidth="1"/>
    <col min="2" max="2" width="50.85546875" customWidth="1"/>
    <col min="3" max="3" width="14.85546875" customWidth="1"/>
    <col min="4" max="4" width="12.42578125" hidden="1" customWidth="1"/>
    <col min="5" max="5" width="10.7109375" hidden="1" customWidth="1"/>
    <col min="6" max="6" width="12.28515625" customWidth="1"/>
    <col min="7" max="26" width="10.7109375" customWidth="1"/>
  </cols>
  <sheetData>
    <row r="1" spans="1:11" x14ac:dyDescent="0.25">
      <c r="B1" t="s">
        <v>89</v>
      </c>
    </row>
    <row r="2" spans="1:11" x14ac:dyDescent="0.25">
      <c r="B2" s="1" t="s">
        <v>0</v>
      </c>
    </row>
    <row r="3" spans="1:11" x14ac:dyDescent="0.25">
      <c r="B3" s="2" t="s">
        <v>1</v>
      </c>
    </row>
    <row r="4" spans="1:11" ht="15" customHeight="1" x14ac:dyDescent="0.25">
      <c r="B4" s="101" t="s">
        <v>91</v>
      </c>
    </row>
    <row r="5" spans="1:11" x14ac:dyDescent="0.25">
      <c r="A5" s="3" t="s">
        <v>2</v>
      </c>
      <c r="B5" s="3" t="s">
        <v>96</v>
      </c>
      <c r="C5" s="3" t="s">
        <v>95</v>
      </c>
      <c r="F5" s="4"/>
    </row>
    <row r="6" spans="1:11" x14ac:dyDescent="0.25">
      <c r="A6" s="5"/>
      <c r="B6" s="5"/>
      <c r="C6" s="5"/>
      <c r="F6" s="4"/>
    </row>
    <row r="7" spans="1:11" ht="30" x14ac:dyDescent="0.25">
      <c r="A7" s="6" t="s">
        <v>3</v>
      </c>
      <c r="B7" s="7" t="s">
        <v>4</v>
      </c>
      <c r="F7" s="4"/>
    </row>
    <row r="8" spans="1:11" x14ac:dyDescent="0.25">
      <c r="A8" s="6" t="s">
        <v>5</v>
      </c>
      <c r="B8" s="1" t="s">
        <v>6</v>
      </c>
      <c r="F8" s="4"/>
    </row>
    <row r="9" spans="1:11" x14ac:dyDescent="0.25">
      <c r="A9" s="6" t="s">
        <v>7</v>
      </c>
      <c r="B9" s="1" t="s">
        <v>8</v>
      </c>
      <c r="F9" s="4"/>
    </row>
    <row r="10" spans="1:11" x14ac:dyDescent="0.25">
      <c r="A10" s="1" t="s">
        <v>9</v>
      </c>
      <c r="F10" s="4"/>
    </row>
    <row r="11" spans="1:11" x14ac:dyDescent="0.25">
      <c r="A11" s="8"/>
      <c r="B11" s="8"/>
      <c r="C11" s="8"/>
      <c r="F11" s="4"/>
    </row>
    <row r="12" spans="1:11" x14ac:dyDescent="0.25">
      <c r="A12" s="5"/>
      <c r="B12" s="5"/>
      <c r="C12" s="5"/>
    </row>
    <row r="13" spans="1:11" x14ac:dyDescent="0.25">
      <c r="A13" s="9" t="s">
        <v>10</v>
      </c>
      <c r="B13" s="5"/>
      <c r="C13" s="5"/>
    </row>
    <row r="14" spans="1:11" x14ac:dyDescent="0.25">
      <c r="A14" s="10" t="s">
        <v>11</v>
      </c>
      <c r="B14" s="99" t="s">
        <v>90</v>
      </c>
      <c r="C14" s="127">
        <v>67951.16</v>
      </c>
      <c r="F14" s="6"/>
      <c r="G14" s="11"/>
      <c r="H14" s="11"/>
      <c r="I14" s="11"/>
      <c r="J14" s="11"/>
      <c r="K14" s="11"/>
    </row>
    <row r="15" spans="1:11" x14ac:dyDescent="0.25">
      <c r="A15" s="98" t="s">
        <v>99</v>
      </c>
      <c r="B15" s="75"/>
      <c r="C15" s="128">
        <v>11945</v>
      </c>
      <c r="F15" s="6"/>
      <c r="G15" s="11"/>
      <c r="H15" s="11"/>
      <c r="I15" s="11"/>
      <c r="J15" s="11"/>
      <c r="K15" s="11"/>
    </row>
    <row r="16" spans="1:11" x14ac:dyDescent="0.25">
      <c r="A16" s="12" t="s">
        <v>12</v>
      </c>
      <c r="B16" s="5"/>
      <c r="C16" s="129">
        <v>408779.05</v>
      </c>
      <c r="F16" s="6"/>
      <c r="I16" s="11"/>
    </row>
    <row r="17" spans="1:10" x14ac:dyDescent="0.25">
      <c r="A17" s="12" t="s">
        <v>13</v>
      </c>
      <c r="B17" s="94" t="s">
        <v>97</v>
      </c>
      <c r="C17" s="129">
        <v>50000</v>
      </c>
      <c r="F17" s="6"/>
      <c r="I17" s="11"/>
    </row>
    <row r="18" spans="1:10" x14ac:dyDescent="0.25">
      <c r="A18" s="98" t="s">
        <v>101</v>
      </c>
      <c r="B18" s="5"/>
      <c r="C18" s="130">
        <v>228787</v>
      </c>
      <c r="F18" s="6"/>
      <c r="I18" s="11"/>
    </row>
    <row r="19" spans="1:10" x14ac:dyDescent="0.25">
      <c r="A19" s="96"/>
      <c r="B19" s="5"/>
      <c r="C19" s="97"/>
      <c r="F19" s="6"/>
      <c r="I19" s="11"/>
    </row>
    <row r="20" spans="1:10" x14ac:dyDescent="0.25">
      <c r="A20" s="13" t="s">
        <v>14</v>
      </c>
      <c r="B20" s="81"/>
      <c r="C20" s="89">
        <f>SUM(C14:C19)</f>
        <v>767462.21</v>
      </c>
      <c r="G20" s="16"/>
      <c r="I20" s="11"/>
    </row>
    <row r="21" spans="1:10" ht="0.75" customHeight="1" x14ac:dyDescent="0.25">
      <c r="A21" s="107"/>
      <c r="B21" s="75"/>
      <c r="C21" s="119"/>
      <c r="J21" s="11"/>
    </row>
    <row r="22" spans="1:10" x14ac:dyDescent="0.25">
      <c r="A22" s="111" t="s">
        <v>15</v>
      </c>
      <c r="B22" s="111" t="s">
        <v>93</v>
      </c>
      <c r="C22" s="119">
        <v>142540</v>
      </c>
      <c r="F22" s="6"/>
      <c r="I22" s="11"/>
    </row>
    <row r="23" spans="1:10" x14ac:dyDescent="0.25">
      <c r="A23" s="111" t="s">
        <v>16</v>
      </c>
      <c r="B23" s="111"/>
      <c r="C23" s="120"/>
      <c r="F23" s="6"/>
      <c r="I23" s="11"/>
    </row>
    <row r="24" spans="1:10" ht="15.75" customHeight="1" x14ac:dyDescent="0.25">
      <c r="A24" s="111" t="s">
        <v>92</v>
      </c>
      <c r="B24" s="112"/>
      <c r="C24" s="119">
        <v>29700</v>
      </c>
      <c r="F24" s="6"/>
      <c r="I24" s="11"/>
    </row>
    <row r="25" spans="1:10" ht="15.75" customHeight="1" x14ac:dyDescent="0.25">
      <c r="A25" s="111"/>
      <c r="B25" s="112"/>
      <c r="C25" s="119"/>
      <c r="F25" s="6"/>
      <c r="I25" s="11"/>
    </row>
    <row r="26" spans="1:10" ht="15.75" customHeight="1" x14ac:dyDescent="0.25">
      <c r="A26" s="108" t="s">
        <v>17</v>
      </c>
      <c r="B26" s="109"/>
      <c r="C26" s="110">
        <f>SUM(C21:C25)</f>
        <v>172240</v>
      </c>
    </row>
    <row r="27" spans="1:10" ht="15.75" customHeight="1" x14ac:dyDescent="0.25">
      <c r="A27" s="17"/>
      <c r="B27" s="17"/>
      <c r="C27" s="118">
        <v>0</v>
      </c>
    </row>
    <row r="28" spans="1:10" ht="15.75" customHeight="1" x14ac:dyDescent="0.25">
      <c r="A28" s="18" t="s">
        <v>18</v>
      </c>
      <c r="B28" s="19"/>
      <c r="C28" s="116">
        <f>SUM(C27)</f>
        <v>0</v>
      </c>
    </row>
    <row r="29" spans="1:10" ht="15" customHeight="1" x14ac:dyDescent="0.25">
      <c r="A29" s="113"/>
      <c r="B29" s="114"/>
      <c r="C29" s="115"/>
    </row>
    <row r="30" spans="1:10" ht="15.75" customHeight="1" x14ac:dyDescent="0.25">
      <c r="A30" s="20" t="s">
        <v>19</v>
      </c>
      <c r="B30" s="109"/>
      <c r="C30" s="116">
        <f>SUM(C29:C29)</f>
        <v>0</v>
      </c>
    </row>
    <row r="31" spans="1:10" ht="15.75" customHeight="1" x14ac:dyDescent="0.25">
      <c r="A31" s="77" t="s">
        <v>94</v>
      </c>
      <c r="B31" s="78"/>
      <c r="C31" s="121"/>
    </row>
    <row r="32" spans="1:10" ht="15.75" customHeight="1" x14ac:dyDescent="0.25">
      <c r="A32" s="76"/>
      <c r="B32" s="75"/>
      <c r="C32" s="92"/>
    </row>
    <row r="33" spans="1:10" ht="0.75" customHeight="1" x14ac:dyDescent="0.25">
      <c r="A33" s="17"/>
      <c r="B33" s="79"/>
      <c r="C33" s="93"/>
    </row>
    <row r="34" spans="1:10" ht="15.75" customHeight="1" x14ac:dyDescent="0.25">
      <c r="A34" s="80" t="s">
        <v>20</v>
      </c>
      <c r="B34" s="99" t="s">
        <v>98</v>
      </c>
      <c r="C34" s="131">
        <v>89423</v>
      </c>
      <c r="G34" s="104"/>
      <c r="H34" s="123" t="s">
        <v>100</v>
      </c>
    </row>
    <row r="35" spans="1:10" ht="15.75" customHeight="1" x14ac:dyDescent="0.25">
      <c r="A35" s="13" t="s">
        <v>21</v>
      </c>
      <c r="B35" s="14"/>
      <c r="C35" s="15">
        <f>SUM(C34)</f>
        <v>89423</v>
      </c>
    </row>
    <row r="36" spans="1:10" ht="15.75" customHeight="1" x14ac:dyDescent="0.25">
      <c r="A36" s="5"/>
      <c r="B36" s="5"/>
      <c r="C36" s="5"/>
      <c r="F36" s="4"/>
    </row>
    <row r="37" spans="1:10" ht="15.75" customHeight="1" thickBot="1" x14ac:dyDescent="0.3">
      <c r="A37" s="22" t="s">
        <v>22</v>
      </c>
      <c r="B37" s="23"/>
      <c r="C37" s="24">
        <f>+C35+C26+C20+C30+C31</f>
        <v>1029125.21</v>
      </c>
      <c r="F37" s="16"/>
      <c r="G37" s="11"/>
    </row>
    <row r="38" spans="1:10" ht="15.75" customHeight="1" thickBot="1" x14ac:dyDescent="0.3">
      <c r="A38" s="86" t="s">
        <v>88</v>
      </c>
      <c r="B38" s="23"/>
      <c r="C38" s="24">
        <f>C37-C31</f>
        <v>1029125.21</v>
      </c>
      <c r="F38" s="122"/>
    </row>
    <row r="39" spans="1:10" ht="15.75" customHeight="1" x14ac:dyDescent="0.25">
      <c r="H39" s="11"/>
    </row>
    <row r="40" spans="1:10" ht="15.75" customHeight="1" x14ac:dyDescent="0.25">
      <c r="A40" s="9" t="s">
        <v>23</v>
      </c>
      <c r="B40" s="5"/>
      <c r="C40" s="5"/>
      <c r="F40" s="16"/>
      <c r="H40" s="16"/>
    </row>
    <row r="41" spans="1:10" ht="15.75" customHeight="1" x14ac:dyDescent="0.25">
      <c r="A41" s="25" t="s">
        <v>24</v>
      </c>
      <c r="B41" s="26"/>
      <c r="C41" s="30">
        <v>380327.59188067971</v>
      </c>
      <c r="D41" s="11" t="e">
        <f>+C42+#REF!</f>
        <v>#REF!</v>
      </c>
      <c r="E41" s="1" t="s">
        <v>25</v>
      </c>
      <c r="F41" s="11"/>
    </row>
    <row r="42" spans="1:10" ht="15.75" customHeight="1" x14ac:dyDescent="0.25">
      <c r="A42" s="10" t="s">
        <v>26</v>
      </c>
      <c r="B42" s="27"/>
      <c r="C42" s="100">
        <f>prorrateo!E33</f>
        <v>1444916.0381429498</v>
      </c>
      <c r="D42" s="11"/>
      <c r="F42" s="11"/>
      <c r="G42" s="11"/>
    </row>
    <row r="43" spans="1:10" ht="15.75" customHeight="1" x14ac:dyDescent="0.25">
      <c r="A43" s="12" t="s">
        <v>27</v>
      </c>
      <c r="B43" s="28"/>
      <c r="C43" s="106">
        <f>-C38</f>
        <v>-1029125.21</v>
      </c>
      <c r="D43" s="11">
        <f>+C44+C43</f>
        <v>-1662010.29</v>
      </c>
      <c r="E43" s="1" t="s">
        <v>25</v>
      </c>
      <c r="F43" s="11"/>
    </row>
    <row r="44" spans="1:10" ht="15.75" customHeight="1" x14ac:dyDescent="0.25">
      <c r="A44" s="21" t="s">
        <v>28</v>
      </c>
      <c r="B44" s="29"/>
      <c r="C44" s="102">
        <v>-632885.07999999996</v>
      </c>
      <c r="F44" s="16"/>
    </row>
    <row r="45" spans="1:10" ht="15.75" customHeight="1" x14ac:dyDescent="0.25">
      <c r="A45" s="25" t="s">
        <v>29</v>
      </c>
      <c r="B45" s="26"/>
      <c r="C45" s="30">
        <f>SUM(C41:C44)</f>
        <v>163233.34002362948</v>
      </c>
      <c r="G45" s="16"/>
      <c r="H45" s="16"/>
      <c r="J45" s="16"/>
    </row>
    <row r="46" spans="1:10" ht="15.75" customHeight="1" x14ac:dyDescent="0.25">
      <c r="A46" s="5"/>
      <c r="B46" s="5"/>
      <c r="C46" s="5"/>
    </row>
    <row r="47" spans="1:10" ht="15.75" customHeight="1" x14ac:dyDescent="0.25">
      <c r="A47" s="5"/>
      <c r="B47" s="5"/>
      <c r="C47" s="5"/>
    </row>
    <row r="48" spans="1:10" ht="15.75" customHeight="1" x14ac:dyDescent="0.25">
      <c r="A48" s="5"/>
      <c r="B48" s="5"/>
      <c r="C48" s="5"/>
    </row>
    <row r="49" spans="1:3" ht="15.75" customHeight="1" x14ac:dyDescent="0.25">
      <c r="A49" s="5"/>
      <c r="B49" s="5"/>
      <c r="C49" s="5"/>
    </row>
    <row r="50" spans="1:3" ht="15.75" customHeight="1" x14ac:dyDescent="0.25">
      <c r="A50" s="5"/>
      <c r="B50" s="5"/>
      <c r="C50" s="5"/>
    </row>
    <row r="51" spans="1:3" ht="15.75" customHeight="1" x14ac:dyDescent="0.25"/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3" r:id="rId1" xr:uid="{00000000-0004-0000-0000-000000000000}"/>
  </hyperlinks>
  <printOptions horizontalCentered="1"/>
  <pageMargins left="0.23622047244094491" right="0.23622047244094491" top="0.74803149606299213" bottom="0.74803149606299213" header="0" footer="0"/>
  <pageSetup paperSize="9"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00"/>
  <sheetViews>
    <sheetView tabSelected="1" workbookViewId="0">
      <selection activeCell="D10" sqref="D10:E10"/>
    </sheetView>
  </sheetViews>
  <sheetFormatPr baseColWidth="10" defaultColWidth="14.42578125" defaultRowHeight="15" customHeight="1" x14ac:dyDescent="0.25"/>
  <cols>
    <col min="1" max="1" width="4.28515625" customWidth="1"/>
    <col min="2" max="2" width="6.85546875" customWidth="1"/>
    <col min="3" max="3" width="21" customWidth="1"/>
    <col min="4" max="4" width="13.7109375" customWidth="1"/>
    <col min="5" max="5" width="12.7109375" customWidth="1"/>
    <col min="6" max="6" width="7.28515625" customWidth="1"/>
    <col min="7" max="7" width="10" customWidth="1"/>
    <col min="8" max="8" width="11" customWidth="1"/>
    <col min="9" max="9" width="12.42578125" bestFit="1" customWidth="1"/>
    <col min="10" max="10" width="13" bestFit="1" customWidth="1"/>
    <col min="11" max="11" width="13.42578125" customWidth="1"/>
    <col min="12" max="12" width="14.28515625" hidden="1" customWidth="1"/>
    <col min="13" max="13" width="13" customWidth="1"/>
    <col min="14" max="26" width="10.7109375" customWidth="1"/>
  </cols>
  <sheetData>
    <row r="1" spans="1:16" ht="24" customHeight="1" x14ac:dyDescent="0.25">
      <c r="A1" s="31"/>
      <c r="B1" s="32"/>
      <c r="C1" s="33"/>
      <c r="D1" s="34" t="s">
        <v>30</v>
      </c>
      <c r="E1" s="34"/>
      <c r="F1" s="33"/>
      <c r="G1" s="33"/>
      <c r="H1" s="124" t="s">
        <v>31</v>
      </c>
      <c r="I1" s="34"/>
      <c r="J1" s="33"/>
      <c r="K1" s="33"/>
      <c r="L1" s="33"/>
      <c r="M1" s="35"/>
    </row>
    <row r="2" spans="1:16" x14ac:dyDescent="0.25">
      <c r="A2" s="91"/>
      <c r="B2" s="36"/>
      <c r="C2" s="37"/>
      <c r="D2" s="38" t="s">
        <v>32</v>
      </c>
      <c r="E2" s="36"/>
      <c r="F2" s="36"/>
      <c r="G2" s="36"/>
      <c r="H2" s="125"/>
      <c r="I2" s="126">
        <f>P5</f>
        <v>1029125.21</v>
      </c>
      <c r="J2" s="126"/>
      <c r="K2" s="36"/>
      <c r="L2" s="36"/>
      <c r="M2" s="39"/>
    </row>
    <row r="3" spans="1:16" ht="15.75" thickBot="1" x14ac:dyDescent="0.3">
      <c r="A3" s="40"/>
      <c r="B3" s="41"/>
      <c r="C3" s="42"/>
      <c r="D3" s="43"/>
      <c r="E3" s="44"/>
      <c r="F3" s="45" t="str">
        <f>'detalle de gtos'!C5</f>
        <v>VTO. 14/03</v>
      </c>
      <c r="G3" s="44"/>
      <c r="H3" s="105"/>
      <c r="I3" s="45"/>
      <c r="J3" s="41"/>
      <c r="K3" s="41"/>
      <c r="L3" s="41"/>
      <c r="M3" s="46"/>
      <c r="N3" s="1"/>
    </row>
    <row r="4" spans="1:16" x14ac:dyDescent="0.25">
      <c r="A4" s="47" t="s">
        <v>33</v>
      </c>
      <c r="B4" s="48" t="s">
        <v>34</v>
      </c>
      <c r="C4" s="49" t="s">
        <v>35</v>
      </c>
      <c r="D4" s="49" t="s">
        <v>36</v>
      </c>
      <c r="E4" s="50" t="s">
        <v>37</v>
      </c>
      <c r="F4" s="49" t="s">
        <v>38</v>
      </c>
      <c r="G4" s="51" t="s">
        <v>39</v>
      </c>
      <c r="H4" s="50" t="s">
        <v>40</v>
      </c>
      <c r="I4" s="52" t="s">
        <v>41</v>
      </c>
      <c r="J4" s="49" t="s">
        <v>28</v>
      </c>
      <c r="K4" s="53" t="s">
        <v>42</v>
      </c>
      <c r="L4" s="54" t="s">
        <v>43</v>
      </c>
      <c r="M4" s="54" t="s">
        <v>43</v>
      </c>
    </row>
    <row r="5" spans="1:16" x14ac:dyDescent="0.25">
      <c r="A5" s="47"/>
      <c r="B5" s="48"/>
      <c r="C5" s="48"/>
      <c r="D5" s="49" t="s">
        <v>44</v>
      </c>
      <c r="E5" s="50" t="s">
        <v>41</v>
      </c>
      <c r="F5" s="49"/>
      <c r="G5" s="55">
        <v>0.02</v>
      </c>
      <c r="H5" s="50" t="s">
        <v>45</v>
      </c>
      <c r="I5" s="52" t="s">
        <v>46</v>
      </c>
      <c r="J5" s="49"/>
      <c r="K5" s="53" t="s">
        <v>47</v>
      </c>
      <c r="L5" s="54" t="s">
        <v>48</v>
      </c>
      <c r="M5" s="54" t="s">
        <v>48</v>
      </c>
      <c r="P5">
        <v>1029125.21</v>
      </c>
    </row>
    <row r="6" spans="1:16" x14ac:dyDescent="0.25">
      <c r="A6" s="56">
        <v>1</v>
      </c>
      <c r="B6" s="57" t="s">
        <v>49</v>
      </c>
      <c r="C6" s="58" t="s">
        <v>50</v>
      </c>
      <c r="D6" s="82">
        <v>148523.01294499999</v>
      </c>
      <c r="E6" s="85">
        <f>D6</f>
        <v>148523.01294499999</v>
      </c>
      <c r="F6" s="59">
        <v>0</v>
      </c>
      <c r="G6" s="95">
        <f t="shared" ref="G6:G7" si="0">F6*2%</f>
        <v>0</v>
      </c>
      <c r="H6" s="60">
        <v>3.2899999999999999E-2</v>
      </c>
      <c r="I6" s="117">
        <f>I2*H6</f>
        <v>33858.219408999998</v>
      </c>
      <c r="J6" s="103">
        <v>155308</v>
      </c>
      <c r="K6" s="83">
        <f>+I6+J6</f>
        <v>189166.21940900001</v>
      </c>
      <c r="L6" s="83">
        <f t="shared" ref="L6:L13" si="1">K6</f>
        <v>189166.21940900001</v>
      </c>
      <c r="M6" s="84">
        <f t="shared" ref="M6:M32" si="2">(L6*7%)+L6</f>
        <v>202407.85476763002</v>
      </c>
    </row>
    <row r="7" spans="1:16" x14ac:dyDescent="0.25">
      <c r="A7" s="56">
        <v>2</v>
      </c>
      <c r="B7" s="57" t="s">
        <v>51</v>
      </c>
      <c r="C7" s="58" t="s">
        <v>50</v>
      </c>
      <c r="D7" s="82">
        <v>62275.855510000001</v>
      </c>
      <c r="E7" s="85">
        <f t="shared" ref="E7:E32" si="3">D7</f>
        <v>62275.855510000001</v>
      </c>
      <c r="F7" s="59">
        <v>0</v>
      </c>
      <c r="G7" s="95">
        <f t="shared" si="0"/>
        <v>0</v>
      </c>
      <c r="H7" s="60">
        <v>4.2200000000000001E-2</v>
      </c>
      <c r="I7" s="117">
        <f>I2*H7</f>
        <v>43429.083861999999</v>
      </c>
      <c r="J7" s="103">
        <v>28424</v>
      </c>
      <c r="K7" s="83">
        <f>+I7+J7</f>
        <v>71853.083861999999</v>
      </c>
      <c r="L7" s="83">
        <f t="shared" si="1"/>
        <v>71853.083861999999</v>
      </c>
      <c r="M7" s="84">
        <f t="shared" si="2"/>
        <v>76882.799732340005</v>
      </c>
    </row>
    <row r="8" spans="1:16" x14ac:dyDescent="0.25">
      <c r="A8" s="56">
        <v>3</v>
      </c>
      <c r="B8" s="57" t="s">
        <v>52</v>
      </c>
      <c r="C8" s="58" t="s">
        <v>53</v>
      </c>
      <c r="D8" s="82">
        <v>80599.049370000008</v>
      </c>
      <c r="E8" s="85">
        <f t="shared" si="3"/>
        <v>80599.049370000008</v>
      </c>
      <c r="F8" s="59">
        <v>0</v>
      </c>
      <c r="G8" s="95">
        <v>0</v>
      </c>
      <c r="H8" s="60">
        <v>7.1400000000000005E-2</v>
      </c>
      <c r="I8" s="117">
        <f>I2*H8</f>
        <v>73479.539994000006</v>
      </c>
      <c r="J8" s="103">
        <v>17341</v>
      </c>
      <c r="K8" s="83">
        <f t="shared" ref="K8:K32" si="4">+I8+J8</f>
        <v>90820.539994000006</v>
      </c>
      <c r="L8" s="83">
        <f t="shared" si="1"/>
        <v>90820.539994000006</v>
      </c>
      <c r="M8" s="84">
        <f t="shared" si="2"/>
        <v>97177.977793580008</v>
      </c>
    </row>
    <row r="9" spans="1:16" x14ac:dyDescent="0.25">
      <c r="A9" s="56">
        <v>4</v>
      </c>
      <c r="B9" s="57" t="s">
        <v>54</v>
      </c>
      <c r="C9" s="58" t="s">
        <v>53</v>
      </c>
      <c r="D9" s="82">
        <v>133922.818485</v>
      </c>
      <c r="E9" s="85">
        <f t="shared" si="3"/>
        <v>133922.818485</v>
      </c>
      <c r="F9" s="59">
        <v>0</v>
      </c>
      <c r="G9" s="95">
        <v>0</v>
      </c>
      <c r="H9" s="60">
        <v>7.17E-2</v>
      </c>
      <c r="I9" s="117">
        <f>I2*H9</f>
        <v>73788.277556999994</v>
      </c>
      <c r="J9" s="103">
        <v>87487</v>
      </c>
      <c r="K9" s="83">
        <f t="shared" si="4"/>
        <v>161275.27755699999</v>
      </c>
      <c r="L9" s="83">
        <f t="shared" si="1"/>
        <v>161275.27755699999</v>
      </c>
      <c r="M9" s="84">
        <f t="shared" si="2"/>
        <v>172564.54698598999</v>
      </c>
    </row>
    <row r="10" spans="1:16" x14ac:dyDescent="0.25">
      <c r="A10" s="56">
        <f t="shared" ref="A10:A24" si="5">+A9+1</f>
        <v>5</v>
      </c>
      <c r="B10" s="57" t="s">
        <v>55</v>
      </c>
      <c r="C10" s="58" t="s">
        <v>50</v>
      </c>
      <c r="D10" s="82">
        <v>51949.265805000003</v>
      </c>
      <c r="E10" s="85">
        <f t="shared" si="3"/>
        <v>51949.265805000003</v>
      </c>
      <c r="F10" s="59">
        <v>0</v>
      </c>
      <c r="G10" s="95">
        <f t="shared" ref="G10:G32" si="6">F10*2%</f>
        <v>0</v>
      </c>
      <c r="H10" s="60">
        <v>4.2099999999999999E-2</v>
      </c>
      <c r="I10" s="117">
        <f>I2*H10</f>
        <v>43326.171340999994</v>
      </c>
      <c r="J10" s="103">
        <v>14469</v>
      </c>
      <c r="K10" s="83">
        <f>+I10+J10</f>
        <v>57795.171340999994</v>
      </c>
      <c r="L10" s="83">
        <f t="shared" si="1"/>
        <v>57795.171340999994</v>
      </c>
      <c r="M10" s="84">
        <f t="shared" si="2"/>
        <v>61840.833334869996</v>
      </c>
    </row>
    <row r="11" spans="1:16" x14ac:dyDescent="0.25">
      <c r="A11" s="56">
        <f t="shared" si="5"/>
        <v>6</v>
      </c>
      <c r="B11" s="57" t="s">
        <v>56</v>
      </c>
      <c r="C11" s="58" t="s">
        <v>53</v>
      </c>
      <c r="D11" s="82">
        <v>73156.240820000006</v>
      </c>
      <c r="E11" s="85">
        <f t="shared" si="3"/>
        <v>73156.240820000006</v>
      </c>
      <c r="F11" s="59">
        <v>0</v>
      </c>
      <c r="G11" s="95">
        <f t="shared" si="6"/>
        <v>0</v>
      </c>
      <c r="H11" s="60">
        <v>4.0399999999999998E-2</v>
      </c>
      <c r="I11" s="117">
        <f>I2*H11</f>
        <v>41576.658484</v>
      </c>
      <c r="J11" s="103">
        <v>45480</v>
      </c>
      <c r="K11" s="83">
        <f t="shared" si="4"/>
        <v>87056.658484</v>
      </c>
      <c r="L11" s="83">
        <f t="shared" si="1"/>
        <v>87056.658484</v>
      </c>
      <c r="M11" s="84">
        <f t="shared" si="2"/>
        <v>93150.624577879993</v>
      </c>
    </row>
    <row r="12" spans="1:16" x14ac:dyDescent="0.25">
      <c r="A12" s="56">
        <f t="shared" si="5"/>
        <v>7</v>
      </c>
      <c r="B12" s="57" t="s">
        <v>57</v>
      </c>
      <c r="C12" s="58" t="s">
        <v>53</v>
      </c>
      <c r="D12" s="82">
        <v>64532.086394999998</v>
      </c>
      <c r="E12" s="85">
        <f t="shared" si="3"/>
        <v>64532.086394999998</v>
      </c>
      <c r="F12" s="59">
        <v>0</v>
      </c>
      <c r="G12" s="95">
        <f t="shared" si="6"/>
        <v>0</v>
      </c>
      <c r="H12" s="60">
        <v>4.19E-2</v>
      </c>
      <c r="I12" s="117">
        <f>I2*H12</f>
        <v>43120.346298999997</v>
      </c>
      <c r="J12" s="103">
        <v>31870</v>
      </c>
      <c r="K12" s="83">
        <f t="shared" si="4"/>
        <v>74990.346298999997</v>
      </c>
      <c r="L12" s="83">
        <f t="shared" si="1"/>
        <v>74990.346298999997</v>
      </c>
      <c r="M12" s="84">
        <f t="shared" si="2"/>
        <v>80239.670539929997</v>
      </c>
    </row>
    <row r="13" spans="1:16" x14ac:dyDescent="0.25">
      <c r="A13" s="56">
        <f t="shared" si="5"/>
        <v>8</v>
      </c>
      <c r="B13" s="57" t="s">
        <v>58</v>
      </c>
      <c r="C13" s="58" t="s">
        <v>50</v>
      </c>
      <c r="D13" s="82">
        <v>59466.240819999999</v>
      </c>
      <c r="E13" s="85">
        <f t="shared" si="3"/>
        <v>59466.240819999999</v>
      </c>
      <c r="F13" s="59">
        <v>0</v>
      </c>
      <c r="G13" s="95">
        <f t="shared" si="6"/>
        <v>0</v>
      </c>
      <c r="H13" s="60">
        <v>4.0399999999999998E-2</v>
      </c>
      <c r="I13" s="117">
        <f>I2*H13</f>
        <v>41576.658484</v>
      </c>
      <c r="J13" s="103">
        <v>26816</v>
      </c>
      <c r="K13" s="83">
        <f t="shared" si="4"/>
        <v>68392.658484</v>
      </c>
      <c r="L13" s="83">
        <f t="shared" si="1"/>
        <v>68392.658484</v>
      </c>
      <c r="M13" s="84">
        <f t="shared" si="2"/>
        <v>73180.144577879997</v>
      </c>
    </row>
    <row r="14" spans="1:16" x14ac:dyDescent="0.25">
      <c r="A14" s="56">
        <f t="shared" si="5"/>
        <v>9</v>
      </c>
      <c r="B14" s="57" t="s">
        <v>59</v>
      </c>
      <c r="C14" s="58" t="s">
        <v>60</v>
      </c>
      <c r="D14" s="82">
        <v>129470.52920595001</v>
      </c>
      <c r="E14" s="85">
        <f t="shared" si="3"/>
        <v>129470.52920595001</v>
      </c>
      <c r="F14" s="59">
        <v>0</v>
      </c>
      <c r="G14" s="95">
        <f t="shared" si="6"/>
        <v>0</v>
      </c>
      <c r="H14" s="60">
        <v>0.1137</v>
      </c>
      <c r="I14" s="117">
        <f>I2*H14</f>
        <v>117011.536377</v>
      </c>
      <c r="J14" s="103">
        <v>18000</v>
      </c>
      <c r="K14" s="83">
        <f t="shared" si="4"/>
        <v>135011.53637699998</v>
      </c>
      <c r="L14" s="83">
        <f>K14+G14+F14</f>
        <v>135011.53637699998</v>
      </c>
      <c r="M14" s="84">
        <f t="shared" si="2"/>
        <v>144462.34392338997</v>
      </c>
    </row>
    <row r="15" spans="1:16" x14ac:dyDescent="0.25">
      <c r="A15" s="56">
        <f t="shared" si="5"/>
        <v>10</v>
      </c>
      <c r="B15" s="57" t="s">
        <v>61</v>
      </c>
      <c r="C15" s="58" t="s">
        <v>50</v>
      </c>
      <c r="D15" s="82">
        <v>57973.265805000003</v>
      </c>
      <c r="E15" s="85">
        <f t="shared" si="3"/>
        <v>57973.265805000003</v>
      </c>
      <c r="F15" s="59">
        <v>0</v>
      </c>
      <c r="G15" s="95">
        <f t="shared" si="6"/>
        <v>0</v>
      </c>
      <c r="H15" s="60">
        <v>4.2099999999999999E-2</v>
      </c>
      <c r="I15" s="117">
        <f>I2*H15</f>
        <v>43326.171340999994</v>
      </c>
      <c r="J15" s="103">
        <v>22681</v>
      </c>
      <c r="K15" s="83">
        <f t="shared" si="4"/>
        <v>66007.171340999994</v>
      </c>
      <c r="L15" s="83">
        <f t="shared" ref="L15:L32" si="7">K15</f>
        <v>66007.171340999994</v>
      </c>
      <c r="M15" s="84">
        <f t="shared" si="2"/>
        <v>70627.673334869993</v>
      </c>
    </row>
    <row r="16" spans="1:16" x14ac:dyDescent="0.25">
      <c r="A16" s="56">
        <f t="shared" si="5"/>
        <v>11</v>
      </c>
      <c r="B16" s="57" t="s">
        <v>62</v>
      </c>
      <c r="C16" s="58" t="s">
        <v>53</v>
      </c>
      <c r="D16" s="82">
        <v>49904.240819999999</v>
      </c>
      <c r="E16" s="85">
        <f t="shared" si="3"/>
        <v>49904.240819999999</v>
      </c>
      <c r="F16" s="59">
        <v>0</v>
      </c>
      <c r="G16" s="95">
        <f t="shared" si="6"/>
        <v>0</v>
      </c>
      <c r="H16" s="60">
        <v>4.0399999999999998E-2</v>
      </c>
      <c r="I16" s="117">
        <f>I2*H16</f>
        <v>41576.658484</v>
      </c>
      <c r="J16" s="103">
        <v>13781</v>
      </c>
      <c r="K16" s="83">
        <f t="shared" si="4"/>
        <v>55357.658484</v>
      </c>
      <c r="L16" s="83">
        <f t="shared" si="7"/>
        <v>55357.658484</v>
      </c>
      <c r="M16" s="84">
        <f t="shared" si="2"/>
        <v>59232.69457788</v>
      </c>
    </row>
    <row r="17" spans="1:13" x14ac:dyDescent="0.25">
      <c r="A17" s="56">
        <f t="shared" si="5"/>
        <v>12</v>
      </c>
      <c r="B17" s="57" t="s">
        <v>63</v>
      </c>
      <c r="C17" s="58" t="s">
        <v>53</v>
      </c>
      <c r="D17" s="82">
        <v>55054.086394999998</v>
      </c>
      <c r="E17" s="85">
        <f t="shared" si="3"/>
        <v>55054.086394999998</v>
      </c>
      <c r="F17" s="59">
        <v>0</v>
      </c>
      <c r="G17" s="95">
        <f t="shared" si="6"/>
        <v>0</v>
      </c>
      <c r="H17" s="60">
        <v>4.19E-2</v>
      </c>
      <c r="I17" s="117">
        <f>I2*H17</f>
        <v>43120.346298999997</v>
      </c>
      <c r="J17" s="103">
        <v>18949</v>
      </c>
      <c r="K17" s="83">
        <f t="shared" si="4"/>
        <v>62069.346298999997</v>
      </c>
      <c r="L17" s="83">
        <f t="shared" si="7"/>
        <v>62069.346298999997</v>
      </c>
      <c r="M17" s="84">
        <f t="shared" si="2"/>
        <v>66414.200539929996</v>
      </c>
    </row>
    <row r="18" spans="1:13" x14ac:dyDescent="0.25">
      <c r="A18" s="56">
        <f t="shared" si="5"/>
        <v>13</v>
      </c>
      <c r="B18" s="57" t="s">
        <v>64</v>
      </c>
      <c r="C18" s="58" t="s">
        <v>50</v>
      </c>
      <c r="D18" s="82">
        <v>59845.240819999999</v>
      </c>
      <c r="E18" s="85">
        <f t="shared" si="3"/>
        <v>59845.240819999999</v>
      </c>
      <c r="F18" s="59">
        <v>0</v>
      </c>
      <c r="G18" s="95">
        <f t="shared" si="6"/>
        <v>0</v>
      </c>
      <c r="H18" s="60">
        <v>4.0399999999999998E-2</v>
      </c>
      <c r="I18" s="117">
        <f>I2*H18</f>
        <v>41576.658484</v>
      </c>
      <c r="J18" s="103">
        <v>27333</v>
      </c>
      <c r="K18" s="83">
        <f t="shared" si="4"/>
        <v>68909.658484</v>
      </c>
      <c r="L18" s="83">
        <f t="shared" si="7"/>
        <v>68909.658484</v>
      </c>
      <c r="M18" s="84">
        <f t="shared" si="2"/>
        <v>73733.334577879999</v>
      </c>
    </row>
    <row r="19" spans="1:13" x14ac:dyDescent="0.25">
      <c r="A19" s="56">
        <f t="shared" si="5"/>
        <v>14</v>
      </c>
      <c r="B19" s="57" t="s">
        <v>65</v>
      </c>
      <c r="C19" s="58" t="s">
        <v>50</v>
      </c>
      <c r="D19" s="82">
        <v>75218.003915000008</v>
      </c>
      <c r="E19" s="85">
        <f t="shared" si="3"/>
        <v>75218.003915000008</v>
      </c>
      <c r="F19" s="59">
        <v>0</v>
      </c>
      <c r="G19" s="95">
        <f t="shared" si="6"/>
        <v>0</v>
      </c>
      <c r="H19" s="60">
        <v>5.6300000000000003E-2</v>
      </c>
      <c r="I19" s="117">
        <f>I2*H19</f>
        <v>57939.749323000004</v>
      </c>
      <c r="J19" s="103">
        <v>28654</v>
      </c>
      <c r="K19" s="83">
        <f t="shared" si="4"/>
        <v>86593.749322999996</v>
      </c>
      <c r="L19" s="83">
        <f t="shared" si="7"/>
        <v>86593.749322999996</v>
      </c>
      <c r="M19" s="84">
        <f t="shared" si="2"/>
        <v>92655.311775609996</v>
      </c>
    </row>
    <row r="20" spans="1:13" x14ac:dyDescent="0.25">
      <c r="A20" s="56">
        <f t="shared" si="5"/>
        <v>15</v>
      </c>
      <c r="B20" s="57" t="s">
        <v>66</v>
      </c>
      <c r="C20" s="58" t="s">
        <v>53</v>
      </c>
      <c r="D20" s="82">
        <v>56543.981940000005</v>
      </c>
      <c r="E20" s="85">
        <f t="shared" si="3"/>
        <v>56543.981940000005</v>
      </c>
      <c r="F20" s="59">
        <v>0</v>
      </c>
      <c r="G20" s="95">
        <f t="shared" si="6"/>
        <v>0</v>
      </c>
      <c r="H20" s="60">
        <v>4.6800000000000001E-2</v>
      </c>
      <c r="I20" s="117">
        <f>I2*H20</f>
        <v>48163.059827999998</v>
      </c>
      <c r="J20" s="103">
        <v>14929</v>
      </c>
      <c r="K20" s="83">
        <f t="shared" si="4"/>
        <v>63092.059827999998</v>
      </c>
      <c r="L20" s="83">
        <f t="shared" si="7"/>
        <v>63092.059827999998</v>
      </c>
      <c r="M20" s="84">
        <f t="shared" si="2"/>
        <v>67508.504015960003</v>
      </c>
    </row>
    <row r="21" spans="1:13" ht="15.75" customHeight="1" x14ac:dyDescent="0.25">
      <c r="A21" s="56">
        <f t="shared" si="5"/>
        <v>16</v>
      </c>
      <c r="B21" s="57" t="s">
        <v>67</v>
      </c>
      <c r="C21" s="58" t="s">
        <v>50</v>
      </c>
      <c r="D21" s="82">
        <v>64881.265805000003</v>
      </c>
      <c r="E21" s="85">
        <f t="shared" si="3"/>
        <v>64881.265805000003</v>
      </c>
      <c r="F21" s="59">
        <v>0</v>
      </c>
      <c r="G21" s="95">
        <f t="shared" si="6"/>
        <v>0</v>
      </c>
      <c r="H21" s="60">
        <v>4.2099999999999999E-2</v>
      </c>
      <c r="I21" s="117">
        <f>I2*H21</f>
        <v>43326.171340999994</v>
      </c>
      <c r="J21" s="103">
        <v>32099</v>
      </c>
      <c r="K21" s="83">
        <f t="shared" si="4"/>
        <v>75425.171340999994</v>
      </c>
      <c r="L21" s="83">
        <f t="shared" si="7"/>
        <v>75425.171340999994</v>
      </c>
      <c r="M21" s="84">
        <f t="shared" si="2"/>
        <v>80704.933334869987</v>
      </c>
    </row>
    <row r="22" spans="1:13" ht="15.75" customHeight="1" x14ac:dyDescent="0.25">
      <c r="A22" s="56">
        <f t="shared" si="5"/>
        <v>17</v>
      </c>
      <c r="B22" s="57" t="s">
        <v>68</v>
      </c>
      <c r="C22" s="58" t="s">
        <v>53</v>
      </c>
      <c r="D22" s="82">
        <v>54116.240819999999</v>
      </c>
      <c r="E22" s="85">
        <f t="shared" si="3"/>
        <v>54116.240819999999</v>
      </c>
      <c r="F22" s="59">
        <v>0</v>
      </c>
      <c r="G22" s="95">
        <f t="shared" si="6"/>
        <v>0</v>
      </c>
      <c r="H22" s="60">
        <v>4.0399999999999998E-2</v>
      </c>
      <c r="I22" s="117">
        <f>I2*H22</f>
        <v>41576.658484</v>
      </c>
      <c r="J22" s="103">
        <v>19523</v>
      </c>
      <c r="K22" s="83">
        <f t="shared" si="4"/>
        <v>61099.658484</v>
      </c>
      <c r="L22" s="83">
        <f t="shared" si="7"/>
        <v>61099.658484</v>
      </c>
      <c r="M22" s="84">
        <f t="shared" si="2"/>
        <v>65376.634577880002</v>
      </c>
    </row>
    <row r="23" spans="1:13" ht="15.75" customHeight="1" x14ac:dyDescent="0.25">
      <c r="A23" s="56">
        <f t="shared" si="5"/>
        <v>18</v>
      </c>
      <c r="B23" s="57" t="s">
        <v>69</v>
      </c>
      <c r="C23" s="58" t="s">
        <v>53</v>
      </c>
      <c r="D23" s="82">
        <v>54169.086394999998</v>
      </c>
      <c r="E23" s="85">
        <f t="shared" si="3"/>
        <v>54169.086394999998</v>
      </c>
      <c r="F23" s="59">
        <v>0</v>
      </c>
      <c r="G23" s="95">
        <f t="shared" si="6"/>
        <v>0</v>
      </c>
      <c r="H23" s="60">
        <v>4.19E-2</v>
      </c>
      <c r="I23" s="117">
        <f>I2*H23</f>
        <v>43120.346298999997</v>
      </c>
      <c r="J23" s="103">
        <v>17743</v>
      </c>
      <c r="K23" s="83">
        <f t="shared" si="4"/>
        <v>60863.346298999997</v>
      </c>
      <c r="L23" s="83">
        <f t="shared" si="7"/>
        <v>60863.346298999997</v>
      </c>
      <c r="M23" s="84">
        <f t="shared" si="2"/>
        <v>65123.780539929998</v>
      </c>
    </row>
    <row r="24" spans="1:13" ht="15.75" customHeight="1" x14ac:dyDescent="0.25">
      <c r="A24" s="56">
        <f t="shared" si="5"/>
        <v>19</v>
      </c>
      <c r="B24" s="57" t="s">
        <v>70</v>
      </c>
      <c r="C24" s="58" t="s">
        <v>50</v>
      </c>
      <c r="D24" s="82">
        <v>48598.240819999999</v>
      </c>
      <c r="E24" s="85">
        <f t="shared" si="3"/>
        <v>48598.240819999999</v>
      </c>
      <c r="F24" s="59">
        <v>0</v>
      </c>
      <c r="G24" s="95">
        <f t="shared" si="6"/>
        <v>0</v>
      </c>
      <c r="H24" s="60">
        <v>4.0399999999999998E-2</v>
      </c>
      <c r="I24" s="117">
        <f>I2*H24</f>
        <v>41576.658484</v>
      </c>
      <c r="J24" s="103">
        <v>12000</v>
      </c>
      <c r="K24" s="83">
        <f t="shared" si="4"/>
        <v>53576.658484</v>
      </c>
      <c r="L24" s="83">
        <f t="shared" si="7"/>
        <v>53576.658484</v>
      </c>
      <c r="M24" s="84">
        <f t="shared" si="2"/>
        <v>57327.024577880002</v>
      </c>
    </row>
    <row r="25" spans="1:13" ht="15.75" customHeight="1" x14ac:dyDescent="0.25">
      <c r="A25" s="56" t="s">
        <v>71</v>
      </c>
      <c r="B25" s="57" t="s">
        <v>72</v>
      </c>
      <c r="C25" s="58" t="s">
        <v>50</v>
      </c>
      <c r="D25" s="82">
        <v>5163.6131850000002</v>
      </c>
      <c r="E25" s="85">
        <f t="shared" si="3"/>
        <v>5163.6131850000002</v>
      </c>
      <c r="F25" s="59">
        <v>0</v>
      </c>
      <c r="G25" s="95">
        <f t="shared" si="6"/>
        <v>0</v>
      </c>
      <c r="H25" s="60">
        <v>5.7000000000000002E-3</v>
      </c>
      <c r="I25" s="117">
        <f>I2*H25</f>
        <v>5866.0136970000003</v>
      </c>
      <c r="J25" s="103">
        <v>0</v>
      </c>
      <c r="K25" s="83">
        <f t="shared" si="4"/>
        <v>5866.0136970000003</v>
      </c>
      <c r="L25" s="83">
        <f t="shared" si="7"/>
        <v>5866.0136970000003</v>
      </c>
      <c r="M25" s="84">
        <f t="shared" si="2"/>
        <v>6276.6346557900006</v>
      </c>
    </row>
    <row r="26" spans="1:13" ht="15.75" customHeight="1" x14ac:dyDescent="0.25">
      <c r="A26" s="56" t="s">
        <v>73</v>
      </c>
      <c r="B26" s="57" t="s">
        <v>74</v>
      </c>
      <c r="C26" s="58" t="s">
        <v>53</v>
      </c>
      <c r="D26" s="82">
        <v>3261.2293800000002</v>
      </c>
      <c r="E26" s="85">
        <f t="shared" si="3"/>
        <v>3261.2293800000002</v>
      </c>
      <c r="F26" s="59">
        <v>0</v>
      </c>
      <c r="G26" s="95">
        <f t="shared" si="6"/>
        <v>0</v>
      </c>
      <c r="H26" s="60">
        <v>3.5999999999999999E-3</v>
      </c>
      <c r="I26" s="117">
        <f>I2*H26</f>
        <v>3704.8507559999998</v>
      </c>
      <c r="J26" s="103">
        <v>0</v>
      </c>
      <c r="K26" s="83">
        <f t="shared" si="4"/>
        <v>3704.8507559999998</v>
      </c>
      <c r="L26" s="83">
        <f t="shared" si="7"/>
        <v>3704.8507559999998</v>
      </c>
      <c r="M26" s="84">
        <f t="shared" si="2"/>
        <v>3964.19030892</v>
      </c>
    </row>
    <row r="27" spans="1:13" ht="15.75" customHeight="1" x14ac:dyDescent="0.25">
      <c r="A27" s="56" t="s">
        <v>75</v>
      </c>
      <c r="B27" s="57" t="s">
        <v>76</v>
      </c>
      <c r="C27" s="58" t="s">
        <v>50</v>
      </c>
      <c r="D27" s="82">
        <v>8606.0219749999997</v>
      </c>
      <c r="E27" s="85">
        <f t="shared" si="3"/>
        <v>8606.0219749999997</v>
      </c>
      <c r="F27" s="59">
        <v>0</v>
      </c>
      <c r="G27" s="95">
        <f t="shared" si="6"/>
        <v>0</v>
      </c>
      <c r="H27" s="60">
        <v>9.4999999999999998E-3</v>
      </c>
      <c r="I27" s="117">
        <f>I2*H27</f>
        <v>9776.6894949999987</v>
      </c>
      <c r="J27" s="103">
        <v>0</v>
      </c>
      <c r="K27" s="83">
        <f t="shared" si="4"/>
        <v>9776.6894949999987</v>
      </c>
      <c r="L27" s="83">
        <f t="shared" si="7"/>
        <v>9776.6894949999987</v>
      </c>
      <c r="M27" s="84">
        <f t="shared" si="2"/>
        <v>10461.057759649999</v>
      </c>
    </row>
    <row r="28" spans="1:13" ht="15.75" customHeight="1" x14ac:dyDescent="0.25">
      <c r="A28" s="56" t="s">
        <v>77</v>
      </c>
      <c r="B28" s="57" t="s">
        <v>78</v>
      </c>
      <c r="C28" s="58" t="s">
        <v>50</v>
      </c>
      <c r="D28" s="82">
        <v>8606.0219749999997</v>
      </c>
      <c r="E28" s="85">
        <f t="shared" si="3"/>
        <v>8606.0219749999997</v>
      </c>
      <c r="F28" s="59">
        <v>0</v>
      </c>
      <c r="G28" s="95">
        <f t="shared" si="6"/>
        <v>0</v>
      </c>
      <c r="H28" s="60">
        <v>9.4999999999999998E-3</v>
      </c>
      <c r="I28" s="117">
        <f>I2*H28</f>
        <v>9776.6894949999987</v>
      </c>
      <c r="J28" s="103">
        <v>0</v>
      </c>
      <c r="K28" s="83">
        <f t="shared" si="4"/>
        <v>9776.6894949999987</v>
      </c>
      <c r="L28" s="83">
        <f t="shared" si="7"/>
        <v>9776.6894949999987</v>
      </c>
      <c r="M28" s="84">
        <f t="shared" si="2"/>
        <v>10461.057759649999</v>
      </c>
    </row>
    <row r="29" spans="1:13" ht="15.75" customHeight="1" x14ac:dyDescent="0.25">
      <c r="A29" s="56" t="s">
        <v>79</v>
      </c>
      <c r="B29" s="57" t="s">
        <v>80</v>
      </c>
      <c r="C29" s="58" t="s">
        <v>53</v>
      </c>
      <c r="D29" s="82">
        <v>9058.9705000000013</v>
      </c>
      <c r="E29" s="85">
        <f t="shared" si="3"/>
        <v>9058.9705000000013</v>
      </c>
      <c r="F29" s="59">
        <v>0</v>
      </c>
      <c r="G29" s="95">
        <f t="shared" si="6"/>
        <v>0</v>
      </c>
      <c r="H29" s="60">
        <v>0.01</v>
      </c>
      <c r="I29" s="117">
        <f>I2*H29</f>
        <v>10291.2521</v>
      </c>
      <c r="J29" s="103">
        <v>0</v>
      </c>
      <c r="K29" s="83">
        <f t="shared" si="4"/>
        <v>10291.2521</v>
      </c>
      <c r="L29" s="83">
        <f t="shared" si="7"/>
        <v>10291.2521</v>
      </c>
      <c r="M29" s="84">
        <f t="shared" si="2"/>
        <v>11011.639746999999</v>
      </c>
    </row>
    <row r="30" spans="1:13" ht="15.75" customHeight="1" x14ac:dyDescent="0.25">
      <c r="A30" s="56" t="s">
        <v>81</v>
      </c>
      <c r="B30" s="57" t="s">
        <v>82</v>
      </c>
      <c r="C30" s="58" t="s">
        <v>53</v>
      </c>
      <c r="D30" s="82">
        <v>9330.7396150000004</v>
      </c>
      <c r="E30" s="85">
        <f t="shared" si="3"/>
        <v>9330.7396150000004</v>
      </c>
      <c r="F30" s="59">
        <v>0</v>
      </c>
      <c r="G30" s="95">
        <f t="shared" si="6"/>
        <v>0</v>
      </c>
      <c r="H30" s="60">
        <v>1.03E-2</v>
      </c>
      <c r="I30" s="117">
        <f>I2*H30</f>
        <v>10599.989663</v>
      </c>
      <c r="J30" s="103">
        <v>0</v>
      </c>
      <c r="K30" s="83">
        <f t="shared" si="4"/>
        <v>10599.989663</v>
      </c>
      <c r="L30" s="83">
        <f t="shared" si="7"/>
        <v>10599.989663</v>
      </c>
      <c r="M30" s="84">
        <f t="shared" si="2"/>
        <v>11341.988939410001</v>
      </c>
    </row>
    <row r="31" spans="1:13" ht="15.75" customHeight="1" x14ac:dyDescent="0.25">
      <c r="A31" s="56" t="s">
        <v>83</v>
      </c>
      <c r="B31" s="57" t="s">
        <v>84</v>
      </c>
      <c r="C31" s="58" t="s">
        <v>53</v>
      </c>
      <c r="D31" s="82">
        <v>9058.9705000000013</v>
      </c>
      <c r="E31" s="85">
        <f t="shared" si="3"/>
        <v>9058.9705000000013</v>
      </c>
      <c r="F31" s="59">
        <v>0</v>
      </c>
      <c r="G31" s="95">
        <f t="shared" si="6"/>
        <v>0</v>
      </c>
      <c r="H31" s="60">
        <v>0.01</v>
      </c>
      <c r="I31" s="117">
        <f>I2*H31</f>
        <v>10291.2521</v>
      </c>
      <c r="J31" s="103">
        <v>0</v>
      </c>
      <c r="K31" s="83">
        <f t="shared" si="4"/>
        <v>10291.2521</v>
      </c>
      <c r="L31" s="83">
        <f t="shared" si="7"/>
        <v>10291.2521</v>
      </c>
      <c r="M31" s="84">
        <f t="shared" si="2"/>
        <v>11011.639746999999</v>
      </c>
    </row>
    <row r="32" spans="1:13" ht="15.75" customHeight="1" x14ac:dyDescent="0.25">
      <c r="A32" s="56" t="s">
        <v>85</v>
      </c>
      <c r="B32" s="57" t="s">
        <v>86</v>
      </c>
      <c r="C32" s="58" t="s">
        <v>60</v>
      </c>
      <c r="D32" s="82">
        <v>11631.718122</v>
      </c>
      <c r="E32" s="85">
        <f t="shared" si="3"/>
        <v>11631.718122</v>
      </c>
      <c r="F32" s="59">
        <v>0</v>
      </c>
      <c r="G32" s="95">
        <f t="shared" si="6"/>
        <v>0</v>
      </c>
      <c r="H32" s="60">
        <v>1.2E-2</v>
      </c>
      <c r="I32" s="117">
        <f>I2*H32</f>
        <v>12349.50252</v>
      </c>
      <c r="J32" s="103">
        <v>0</v>
      </c>
      <c r="K32" s="83">
        <f t="shared" si="4"/>
        <v>12349.50252</v>
      </c>
      <c r="L32" s="83">
        <f t="shared" si="7"/>
        <v>12349.50252</v>
      </c>
      <c r="M32" s="84">
        <f t="shared" si="2"/>
        <v>13213.967696400001</v>
      </c>
    </row>
    <row r="33" spans="1:13" ht="15.75" customHeight="1" thickBot="1" x14ac:dyDescent="0.3">
      <c r="A33" s="61" t="s">
        <v>87</v>
      </c>
      <c r="B33" s="62"/>
      <c r="C33" s="63"/>
      <c r="D33" s="64">
        <f>SUM(D6:D32)</f>
        <v>1444916.0381429498</v>
      </c>
      <c r="E33" s="65">
        <f>SUM(E6:E32)</f>
        <v>1444916.0381429498</v>
      </c>
      <c r="F33" s="66"/>
      <c r="G33" s="67">
        <f t="shared" ref="G33:M33" si="8">SUM(G6:G32)</f>
        <v>0</v>
      </c>
      <c r="H33" s="68">
        <f t="shared" si="8"/>
        <v>1</v>
      </c>
      <c r="I33" s="69">
        <f t="shared" si="8"/>
        <v>1029125.2100000001</v>
      </c>
      <c r="J33" s="90">
        <f>SUM(J6:J32)</f>
        <v>632887</v>
      </c>
      <c r="K33" s="70">
        <f t="shared" si="8"/>
        <v>1662012.21</v>
      </c>
      <c r="L33" s="71">
        <f t="shared" si="8"/>
        <v>1662012.21</v>
      </c>
      <c r="M33" s="72">
        <f t="shared" si="8"/>
        <v>1778353.0647000007</v>
      </c>
    </row>
    <row r="34" spans="1:13" ht="15.75" customHeight="1" x14ac:dyDescent="0.25">
      <c r="A34" s="73"/>
      <c r="B34" s="73"/>
      <c r="J34" s="87"/>
    </row>
    <row r="35" spans="1:13" ht="15.75" customHeight="1" x14ac:dyDescent="0.25">
      <c r="A35" s="73"/>
      <c r="B35" s="73"/>
      <c r="D35" s="16"/>
      <c r="E35" s="16"/>
      <c r="F35" s="16"/>
      <c r="J35" s="88"/>
    </row>
    <row r="36" spans="1:13" ht="15.75" customHeight="1" x14ac:dyDescent="0.25">
      <c r="A36" s="73"/>
      <c r="B36" s="73"/>
    </row>
    <row r="37" spans="1:13" ht="15.75" customHeight="1" x14ac:dyDescent="0.25">
      <c r="A37" s="73"/>
      <c r="B37" s="73"/>
    </row>
    <row r="38" spans="1:13" ht="15.75" customHeight="1" x14ac:dyDescent="0.25">
      <c r="A38" s="73"/>
      <c r="B38" s="73"/>
      <c r="E38" s="16"/>
      <c r="G38" s="74"/>
      <c r="I38" s="74"/>
      <c r="J38" s="74"/>
      <c r="K38" s="74"/>
    </row>
    <row r="39" spans="1:13" ht="15.75" customHeight="1" x14ac:dyDescent="0.25">
      <c r="A39" s="73"/>
      <c r="B39" s="73"/>
    </row>
    <row r="40" spans="1:13" ht="15.75" customHeight="1" x14ac:dyDescent="0.25">
      <c r="A40" s="73"/>
      <c r="B40" s="73"/>
    </row>
    <row r="41" spans="1:13" ht="15.75" customHeight="1" x14ac:dyDescent="0.25">
      <c r="A41" s="73"/>
      <c r="B41" s="73"/>
    </row>
    <row r="42" spans="1:13" ht="15.75" customHeight="1" x14ac:dyDescent="0.25">
      <c r="A42" s="73"/>
      <c r="B42" s="73"/>
    </row>
    <row r="43" spans="1:13" ht="15.75" customHeight="1" x14ac:dyDescent="0.25">
      <c r="A43" s="73"/>
      <c r="B43" s="73"/>
    </row>
    <row r="44" spans="1:13" ht="15.75" customHeight="1" x14ac:dyDescent="0.25">
      <c r="A44" s="73"/>
      <c r="B44" s="73"/>
    </row>
    <row r="45" spans="1:13" ht="15.75" customHeight="1" x14ac:dyDescent="0.25">
      <c r="A45" s="73"/>
      <c r="B45" s="73"/>
    </row>
    <row r="46" spans="1:13" ht="15.75" customHeight="1" x14ac:dyDescent="0.25">
      <c r="A46" s="73"/>
      <c r="B46" s="73"/>
    </row>
    <row r="47" spans="1:13" ht="15.75" customHeight="1" x14ac:dyDescent="0.25">
      <c r="A47" s="73"/>
      <c r="B47" s="73"/>
    </row>
    <row r="48" spans="1:13" ht="15.75" customHeight="1" x14ac:dyDescent="0.25">
      <c r="A48" s="73"/>
      <c r="B48" s="73"/>
    </row>
    <row r="49" spans="1:2" ht="15.75" customHeight="1" x14ac:dyDescent="0.25">
      <c r="A49" s="73"/>
      <c r="B49" s="73"/>
    </row>
    <row r="50" spans="1:2" ht="15.75" customHeight="1" x14ac:dyDescent="0.25">
      <c r="A50" s="73"/>
      <c r="B50" s="73"/>
    </row>
    <row r="51" spans="1:2" ht="15.75" customHeight="1" x14ac:dyDescent="0.25">
      <c r="A51" s="73"/>
      <c r="B51" s="73"/>
    </row>
    <row r="52" spans="1:2" ht="15.75" customHeight="1" x14ac:dyDescent="0.25">
      <c r="A52" s="73"/>
      <c r="B52" s="73"/>
    </row>
    <row r="53" spans="1:2" ht="15.75" customHeight="1" x14ac:dyDescent="0.25">
      <c r="A53" s="73"/>
      <c r="B53" s="73"/>
    </row>
    <row r="54" spans="1:2" ht="15.75" customHeight="1" x14ac:dyDescent="0.25">
      <c r="A54" s="73"/>
      <c r="B54" s="73"/>
    </row>
    <row r="55" spans="1:2" ht="15.75" customHeight="1" x14ac:dyDescent="0.25">
      <c r="A55" s="73"/>
      <c r="B55" s="73"/>
    </row>
    <row r="56" spans="1:2" ht="15.75" customHeight="1" x14ac:dyDescent="0.25">
      <c r="A56" s="73"/>
      <c r="B56" s="73"/>
    </row>
    <row r="57" spans="1:2" ht="15.75" customHeight="1" x14ac:dyDescent="0.25">
      <c r="A57" s="73"/>
      <c r="B57" s="73"/>
    </row>
    <row r="58" spans="1:2" ht="15.75" customHeight="1" x14ac:dyDescent="0.25">
      <c r="A58" s="73"/>
      <c r="B58" s="73"/>
    </row>
    <row r="59" spans="1:2" ht="15.75" customHeight="1" x14ac:dyDescent="0.25">
      <c r="A59" s="73"/>
      <c r="B59" s="73"/>
    </row>
    <row r="60" spans="1:2" ht="15.75" customHeight="1" x14ac:dyDescent="0.25">
      <c r="A60" s="73"/>
      <c r="B60" s="73"/>
    </row>
    <row r="61" spans="1:2" ht="15.75" customHeight="1" x14ac:dyDescent="0.25">
      <c r="A61" s="73"/>
      <c r="B61" s="73"/>
    </row>
    <row r="62" spans="1:2" ht="15.75" customHeight="1" x14ac:dyDescent="0.25">
      <c r="A62" s="73"/>
      <c r="B62" s="73"/>
    </row>
    <row r="63" spans="1:2" ht="15.75" customHeight="1" x14ac:dyDescent="0.25">
      <c r="A63" s="73"/>
      <c r="B63" s="73"/>
    </row>
    <row r="64" spans="1:2" ht="15.75" customHeight="1" x14ac:dyDescent="0.25">
      <c r="A64" s="73"/>
      <c r="B64" s="73"/>
    </row>
    <row r="65" spans="1:2" ht="15.75" customHeight="1" x14ac:dyDescent="0.25">
      <c r="A65" s="73"/>
      <c r="B65" s="73"/>
    </row>
    <row r="66" spans="1:2" ht="15.75" customHeight="1" x14ac:dyDescent="0.25">
      <c r="A66" s="73"/>
      <c r="B66" s="73"/>
    </row>
    <row r="67" spans="1:2" ht="15.75" customHeight="1" x14ac:dyDescent="0.25">
      <c r="A67" s="73"/>
      <c r="B67" s="73"/>
    </row>
    <row r="68" spans="1:2" ht="15.75" customHeight="1" x14ac:dyDescent="0.25">
      <c r="A68" s="73"/>
      <c r="B68" s="73"/>
    </row>
    <row r="69" spans="1:2" ht="15.75" customHeight="1" x14ac:dyDescent="0.25">
      <c r="A69" s="73"/>
      <c r="B69" s="73"/>
    </row>
    <row r="70" spans="1:2" ht="15.75" customHeight="1" x14ac:dyDescent="0.25">
      <c r="A70" s="73"/>
      <c r="B70" s="73"/>
    </row>
    <row r="71" spans="1:2" ht="15.75" customHeight="1" x14ac:dyDescent="0.25">
      <c r="A71" s="73"/>
      <c r="B71" s="73"/>
    </row>
    <row r="72" spans="1:2" ht="15.75" customHeight="1" x14ac:dyDescent="0.25">
      <c r="A72" s="73"/>
      <c r="B72" s="73"/>
    </row>
    <row r="73" spans="1:2" ht="15.75" customHeight="1" x14ac:dyDescent="0.25">
      <c r="A73" s="73"/>
      <c r="B73" s="73"/>
    </row>
    <row r="74" spans="1:2" ht="15.75" customHeight="1" x14ac:dyDescent="0.25">
      <c r="A74" s="73"/>
      <c r="B74" s="73"/>
    </row>
    <row r="75" spans="1:2" ht="15.75" customHeight="1" x14ac:dyDescent="0.25">
      <c r="A75" s="73"/>
      <c r="B75" s="73"/>
    </row>
    <row r="76" spans="1:2" ht="15.75" customHeight="1" x14ac:dyDescent="0.25">
      <c r="A76" s="73"/>
      <c r="B76" s="73"/>
    </row>
    <row r="77" spans="1:2" ht="15.75" customHeight="1" x14ac:dyDescent="0.25">
      <c r="A77" s="73"/>
      <c r="B77" s="73"/>
    </row>
    <row r="78" spans="1:2" ht="15.75" customHeight="1" x14ac:dyDescent="0.25">
      <c r="A78" s="73"/>
      <c r="B78" s="73"/>
    </row>
    <row r="79" spans="1:2" ht="15.75" customHeight="1" x14ac:dyDescent="0.25">
      <c r="A79" s="73"/>
      <c r="B79" s="73"/>
    </row>
    <row r="80" spans="1:2" ht="15.75" customHeight="1" x14ac:dyDescent="0.25">
      <c r="A80" s="73"/>
      <c r="B80" s="73"/>
    </row>
    <row r="81" spans="1:2" ht="15.75" customHeight="1" x14ac:dyDescent="0.25">
      <c r="A81" s="73"/>
      <c r="B81" s="73"/>
    </row>
    <row r="82" spans="1:2" ht="15.75" customHeight="1" x14ac:dyDescent="0.25">
      <c r="A82" s="73"/>
      <c r="B82" s="73"/>
    </row>
    <row r="83" spans="1:2" ht="15.75" customHeight="1" x14ac:dyDescent="0.25">
      <c r="A83" s="73"/>
      <c r="B83" s="73"/>
    </row>
    <row r="84" spans="1:2" ht="15.75" customHeight="1" x14ac:dyDescent="0.25">
      <c r="A84" s="73"/>
      <c r="B84" s="73"/>
    </row>
    <row r="85" spans="1:2" ht="15.75" customHeight="1" x14ac:dyDescent="0.25">
      <c r="A85" s="73"/>
      <c r="B85" s="73"/>
    </row>
    <row r="86" spans="1:2" ht="15.75" customHeight="1" x14ac:dyDescent="0.25">
      <c r="A86" s="73"/>
      <c r="B86" s="73"/>
    </row>
    <row r="87" spans="1:2" ht="15.75" customHeight="1" x14ac:dyDescent="0.25">
      <c r="A87" s="73"/>
      <c r="B87" s="73"/>
    </row>
    <row r="88" spans="1:2" ht="15.75" customHeight="1" x14ac:dyDescent="0.25">
      <c r="A88" s="73"/>
      <c r="B88" s="73"/>
    </row>
    <row r="89" spans="1:2" ht="15.75" customHeight="1" x14ac:dyDescent="0.25">
      <c r="A89" s="73"/>
      <c r="B89" s="73"/>
    </row>
    <row r="90" spans="1:2" ht="15.75" customHeight="1" x14ac:dyDescent="0.25">
      <c r="A90" s="73"/>
      <c r="B90" s="73"/>
    </row>
    <row r="91" spans="1:2" ht="15.75" customHeight="1" x14ac:dyDescent="0.25">
      <c r="A91" s="73"/>
      <c r="B91" s="73"/>
    </row>
    <row r="92" spans="1:2" ht="15.75" customHeight="1" x14ac:dyDescent="0.25">
      <c r="A92" s="73"/>
      <c r="B92" s="73"/>
    </row>
    <row r="93" spans="1:2" ht="15.75" customHeight="1" x14ac:dyDescent="0.25">
      <c r="A93" s="73"/>
      <c r="B93" s="73"/>
    </row>
    <row r="94" spans="1:2" ht="15.75" customHeight="1" x14ac:dyDescent="0.25">
      <c r="A94" s="73"/>
      <c r="B94" s="73"/>
    </row>
    <row r="95" spans="1:2" ht="15.75" customHeight="1" x14ac:dyDescent="0.25">
      <c r="A95" s="73"/>
      <c r="B95" s="73"/>
    </row>
    <row r="96" spans="1:2" ht="15.75" customHeight="1" x14ac:dyDescent="0.25">
      <c r="A96" s="73"/>
      <c r="B96" s="73"/>
    </row>
    <row r="97" spans="1:2" ht="15.75" customHeight="1" x14ac:dyDescent="0.25">
      <c r="A97" s="73"/>
      <c r="B97" s="73"/>
    </row>
    <row r="98" spans="1:2" ht="15.75" customHeight="1" x14ac:dyDescent="0.25">
      <c r="A98" s="73"/>
      <c r="B98" s="73"/>
    </row>
    <row r="99" spans="1:2" ht="15.75" customHeight="1" x14ac:dyDescent="0.25">
      <c r="A99" s="73"/>
      <c r="B99" s="73"/>
    </row>
    <row r="100" spans="1:2" ht="15.75" customHeight="1" x14ac:dyDescent="0.25">
      <c r="A100" s="73"/>
      <c r="B100" s="73"/>
    </row>
    <row r="101" spans="1:2" ht="15.75" customHeight="1" x14ac:dyDescent="0.25">
      <c r="A101" s="73"/>
      <c r="B101" s="73"/>
    </row>
    <row r="102" spans="1:2" ht="15.75" customHeight="1" x14ac:dyDescent="0.25">
      <c r="A102" s="73"/>
      <c r="B102" s="73"/>
    </row>
    <row r="103" spans="1:2" ht="15.75" customHeight="1" x14ac:dyDescent="0.25">
      <c r="A103" s="73"/>
      <c r="B103" s="73"/>
    </row>
    <row r="104" spans="1:2" ht="15.75" customHeight="1" x14ac:dyDescent="0.25">
      <c r="A104" s="73"/>
      <c r="B104" s="73"/>
    </row>
    <row r="105" spans="1:2" ht="15.75" customHeight="1" x14ac:dyDescent="0.25">
      <c r="A105" s="73"/>
      <c r="B105" s="73"/>
    </row>
    <row r="106" spans="1:2" ht="15.75" customHeight="1" x14ac:dyDescent="0.25">
      <c r="A106" s="73"/>
      <c r="B106" s="73"/>
    </row>
    <row r="107" spans="1:2" ht="15.75" customHeight="1" x14ac:dyDescent="0.25">
      <c r="A107" s="73"/>
      <c r="B107" s="73"/>
    </row>
    <row r="108" spans="1:2" ht="15.75" customHeight="1" x14ac:dyDescent="0.25">
      <c r="A108" s="73"/>
      <c r="B108" s="73"/>
    </row>
    <row r="109" spans="1:2" ht="15.75" customHeight="1" x14ac:dyDescent="0.25">
      <c r="A109" s="73"/>
      <c r="B109" s="73"/>
    </row>
    <row r="110" spans="1:2" ht="15.75" customHeight="1" x14ac:dyDescent="0.25">
      <c r="A110" s="73"/>
      <c r="B110" s="73"/>
    </row>
    <row r="111" spans="1:2" ht="15.75" customHeight="1" x14ac:dyDescent="0.25">
      <c r="A111" s="73"/>
      <c r="B111" s="73"/>
    </row>
    <row r="112" spans="1:2" ht="15.75" customHeight="1" x14ac:dyDescent="0.25">
      <c r="A112" s="73"/>
      <c r="B112" s="73"/>
    </row>
    <row r="113" spans="1:2" ht="15.75" customHeight="1" x14ac:dyDescent="0.25">
      <c r="A113" s="73"/>
      <c r="B113" s="73"/>
    </row>
    <row r="114" spans="1:2" ht="15.75" customHeight="1" x14ac:dyDescent="0.25">
      <c r="A114" s="73"/>
      <c r="B114" s="73"/>
    </row>
    <row r="115" spans="1:2" ht="15.75" customHeight="1" x14ac:dyDescent="0.25">
      <c r="A115" s="73"/>
      <c r="B115" s="73"/>
    </row>
    <row r="116" spans="1:2" ht="15.75" customHeight="1" x14ac:dyDescent="0.25">
      <c r="A116" s="73"/>
      <c r="B116" s="73"/>
    </row>
    <row r="117" spans="1:2" ht="15.75" customHeight="1" x14ac:dyDescent="0.25">
      <c r="A117" s="73"/>
      <c r="B117" s="73"/>
    </row>
    <row r="118" spans="1:2" ht="15.75" customHeight="1" x14ac:dyDescent="0.25">
      <c r="A118" s="73"/>
      <c r="B118" s="73"/>
    </row>
    <row r="119" spans="1:2" ht="15.75" customHeight="1" x14ac:dyDescent="0.25">
      <c r="A119" s="73"/>
      <c r="B119" s="73"/>
    </row>
    <row r="120" spans="1:2" ht="15.75" customHeight="1" x14ac:dyDescent="0.25">
      <c r="A120" s="73"/>
      <c r="B120" s="73"/>
    </row>
    <row r="121" spans="1:2" ht="15.75" customHeight="1" x14ac:dyDescent="0.25">
      <c r="A121" s="73"/>
      <c r="B121" s="73"/>
    </row>
    <row r="122" spans="1:2" ht="15.75" customHeight="1" x14ac:dyDescent="0.25">
      <c r="A122" s="73"/>
      <c r="B122" s="73"/>
    </row>
    <row r="123" spans="1:2" ht="15.75" customHeight="1" x14ac:dyDescent="0.25">
      <c r="A123" s="73"/>
      <c r="B123" s="73"/>
    </row>
    <row r="124" spans="1:2" ht="15.75" customHeight="1" x14ac:dyDescent="0.25">
      <c r="A124" s="73"/>
      <c r="B124" s="73"/>
    </row>
    <row r="125" spans="1:2" ht="15.75" customHeight="1" x14ac:dyDescent="0.25">
      <c r="A125" s="73"/>
      <c r="B125" s="73"/>
    </row>
    <row r="126" spans="1:2" ht="15.75" customHeight="1" x14ac:dyDescent="0.25">
      <c r="A126" s="73"/>
      <c r="B126" s="73"/>
    </row>
    <row r="127" spans="1:2" ht="15.75" customHeight="1" x14ac:dyDescent="0.25">
      <c r="A127" s="73"/>
      <c r="B127" s="73"/>
    </row>
    <row r="128" spans="1:2" ht="15.75" customHeight="1" x14ac:dyDescent="0.25">
      <c r="A128" s="73"/>
      <c r="B128" s="73"/>
    </row>
    <row r="129" spans="1:2" ht="15.75" customHeight="1" x14ac:dyDescent="0.25">
      <c r="A129" s="73"/>
      <c r="B129" s="73"/>
    </row>
    <row r="130" spans="1:2" ht="15.75" customHeight="1" x14ac:dyDescent="0.25">
      <c r="A130" s="73"/>
      <c r="B130" s="73"/>
    </row>
    <row r="131" spans="1:2" ht="15.75" customHeight="1" x14ac:dyDescent="0.25">
      <c r="A131" s="73"/>
      <c r="B131" s="73"/>
    </row>
    <row r="132" spans="1:2" ht="15.75" customHeight="1" x14ac:dyDescent="0.25">
      <c r="A132" s="73"/>
      <c r="B132" s="73"/>
    </row>
    <row r="133" spans="1:2" ht="15.75" customHeight="1" x14ac:dyDescent="0.25">
      <c r="A133" s="73"/>
      <c r="B133" s="73"/>
    </row>
    <row r="134" spans="1:2" ht="15.75" customHeight="1" x14ac:dyDescent="0.25">
      <c r="A134" s="73"/>
      <c r="B134" s="73"/>
    </row>
    <row r="135" spans="1:2" ht="15.75" customHeight="1" x14ac:dyDescent="0.25">
      <c r="A135" s="73"/>
      <c r="B135" s="73"/>
    </row>
    <row r="136" spans="1:2" ht="15.75" customHeight="1" x14ac:dyDescent="0.25">
      <c r="A136" s="73"/>
      <c r="B136" s="73"/>
    </row>
    <row r="137" spans="1:2" ht="15.75" customHeight="1" x14ac:dyDescent="0.25">
      <c r="A137" s="73"/>
      <c r="B137" s="73"/>
    </row>
    <row r="138" spans="1:2" ht="15.75" customHeight="1" x14ac:dyDescent="0.25">
      <c r="A138" s="73"/>
      <c r="B138" s="73"/>
    </row>
    <row r="139" spans="1:2" ht="15.75" customHeight="1" x14ac:dyDescent="0.25">
      <c r="A139" s="73"/>
      <c r="B139" s="73"/>
    </row>
    <row r="140" spans="1:2" ht="15.75" customHeight="1" x14ac:dyDescent="0.25">
      <c r="A140" s="73"/>
      <c r="B140" s="73"/>
    </row>
    <row r="141" spans="1:2" ht="15.75" customHeight="1" x14ac:dyDescent="0.25">
      <c r="A141" s="73"/>
      <c r="B141" s="73"/>
    </row>
    <row r="142" spans="1:2" ht="15.75" customHeight="1" x14ac:dyDescent="0.25">
      <c r="A142" s="73"/>
      <c r="B142" s="73"/>
    </row>
    <row r="143" spans="1:2" ht="15.75" customHeight="1" x14ac:dyDescent="0.25">
      <c r="A143" s="73"/>
      <c r="B143" s="73"/>
    </row>
    <row r="144" spans="1:2" ht="15.75" customHeight="1" x14ac:dyDescent="0.25">
      <c r="A144" s="73"/>
      <c r="B144" s="73"/>
    </row>
    <row r="145" spans="1:2" ht="15.75" customHeight="1" x14ac:dyDescent="0.25">
      <c r="A145" s="73"/>
      <c r="B145" s="73"/>
    </row>
    <row r="146" spans="1:2" ht="15.75" customHeight="1" x14ac:dyDescent="0.25">
      <c r="A146" s="73"/>
      <c r="B146" s="73"/>
    </row>
    <row r="147" spans="1:2" ht="15.75" customHeight="1" x14ac:dyDescent="0.25">
      <c r="A147" s="73"/>
      <c r="B147" s="73"/>
    </row>
    <row r="148" spans="1:2" ht="15.75" customHeight="1" x14ac:dyDescent="0.25">
      <c r="A148" s="73"/>
      <c r="B148" s="73"/>
    </row>
    <row r="149" spans="1:2" ht="15.75" customHeight="1" x14ac:dyDescent="0.25">
      <c r="A149" s="73"/>
      <c r="B149" s="73"/>
    </row>
    <row r="150" spans="1:2" ht="15.75" customHeight="1" x14ac:dyDescent="0.25">
      <c r="A150" s="73"/>
      <c r="B150" s="73"/>
    </row>
    <row r="151" spans="1:2" ht="15.75" customHeight="1" x14ac:dyDescent="0.25">
      <c r="A151" s="73"/>
      <c r="B151" s="73"/>
    </row>
    <row r="152" spans="1:2" ht="15.75" customHeight="1" x14ac:dyDescent="0.25">
      <c r="A152" s="73"/>
      <c r="B152" s="73"/>
    </row>
    <row r="153" spans="1:2" ht="15.75" customHeight="1" x14ac:dyDescent="0.25">
      <c r="A153" s="73"/>
      <c r="B153" s="73"/>
    </row>
    <row r="154" spans="1:2" ht="15.75" customHeight="1" x14ac:dyDescent="0.25">
      <c r="A154" s="73"/>
      <c r="B154" s="73"/>
    </row>
    <row r="155" spans="1:2" ht="15.75" customHeight="1" x14ac:dyDescent="0.25">
      <c r="A155" s="73"/>
      <c r="B155" s="73"/>
    </row>
    <row r="156" spans="1:2" ht="15.75" customHeight="1" x14ac:dyDescent="0.25">
      <c r="A156" s="73"/>
      <c r="B156" s="73"/>
    </row>
    <row r="157" spans="1:2" ht="15.75" customHeight="1" x14ac:dyDescent="0.25">
      <c r="A157" s="73"/>
      <c r="B157" s="73"/>
    </row>
    <row r="158" spans="1:2" ht="15.75" customHeight="1" x14ac:dyDescent="0.25">
      <c r="A158" s="73"/>
      <c r="B158" s="73"/>
    </row>
    <row r="159" spans="1:2" ht="15.75" customHeight="1" x14ac:dyDescent="0.25">
      <c r="A159" s="73"/>
      <c r="B159" s="73"/>
    </row>
    <row r="160" spans="1:2" ht="15.75" customHeight="1" x14ac:dyDescent="0.25">
      <c r="A160" s="73"/>
      <c r="B160" s="73"/>
    </row>
    <row r="161" spans="1:2" ht="15.75" customHeight="1" x14ac:dyDescent="0.25">
      <c r="A161" s="73"/>
      <c r="B161" s="73"/>
    </row>
    <row r="162" spans="1:2" ht="15.75" customHeight="1" x14ac:dyDescent="0.25">
      <c r="A162" s="73"/>
      <c r="B162" s="73"/>
    </row>
    <row r="163" spans="1:2" ht="15.75" customHeight="1" x14ac:dyDescent="0.25">
      <c r="A163" s="73"/>
      <c r="B163" s="73"/>
    </row>
    <row r="164" spans="1:2" ht="15.75" customHeight="1" x14ac:dyDescent="0.25">
      <c r="A164" s="73"/>
      <c r="B164" s="73"/>
    </row>
    <row r="165" spans="1:2" ht="15.75" customHeight="1" x14ac:dyDescent="0.25">
      <c r="A165" s="73"/>
      <c r="B165" s="73"/>
    </row>
    <row r="166" spans="1:2" ht="15.75" customHeight="1" x14ac:dyDescent="0.25">
      <c r="A166" s="73"/>
      <c r="B166" s="73"/>
    </row>
    <row r="167" spans="1:2" ht="15.75" customHeight="1" x14ac:dyDescent="0.25">
      <c r="A167" s="73"/>
      <c r="B167" s="73"/>
    </row>
    <row r="168" spans="1:2" ht="15.75" customHeight="1" x14ac:dyDescent="0.25">
      <c r="A168" s="73"/>
      <c r="B168" s="73"/>
    </row>
    <row r="169" spans="1:2" ht="15.75" customHeight="1" x14ac:dyDescent="0.25">
      <c r="A169" s="73"/>
      <c r="B169" s="73"/>
    </row>
    <row r="170" spans="1:2" ht="15.75" customHeight="1" x14ac:dyDescent="0.25">
      <c r="A170" s="73"/>
      <c r="B170" s="73"/>
    </row>
    <row r="171" spans="1:2" ht="15.75" customHeight="1" x14ac:dyDescent="0.25">
      <c r="A171" s="73"/>
      <c r="B171" s="73"/>
    </row>
    <row r="172" spans="1:2" ht="15.75" customHeight="1" x14ac:dyDescent="0.25">
      <c r="A172" s="73"/>
      <c r="B172" s="73"/>
    </row>
    <row r="173" spans="1:2" ht="15.75" customHeight="1" x14ac:dyDescent="0.25">
      <c r="A173" s="73"/>
      <c r="B173" s="73"/>
    </row>
    <row r="174" spans="1:2" ht="15.75" customHeight="1" x14ac:dyDescent="0.25">
      <c r="A174" s="73"/>
      <c r="B174" s="73"/>
    </row>
    <row r="175" spans="1:2" ht="15.75" customHeight="1" x14ac:dyDescent="0.25">
      <c r="A175" s="73"/>
      <c r="B175" s="73"/>
    </row>
    <row r="176" spans="1:2" ht="15.75" customHeight="1" x14ac:dyDescent="0.25">
      <c r="A176" s="73"/>
      <c r="B176" s="73"/>
    </row>
    <row r="177" spans="1:2" ht="15.75" customHeight="1" x14ac:dyDescent="0.25">
      <c r="A177" s="73"/>
      <c r="B177" s="73"/>
    </row>
    <row r="178" spans="1:2" ht="15.75" customHeight="1" x14ac:dyDescent="0.25">
      <c r="A178" s="73"/>
      <c r="B178" s="73"/>
    </row>
    <row r="179" spans="1:2" ht="15.75" customHeight="1" x14ac:dyDescent="0.25">
      <c r="A179" s="73"/>
      <c r="B179" s="73"/>
    </row>
    <row r="180" spans="1:2" ht="15.75" customHeight="1" x14ac:dyDescent="0.25">
      <c r="A180" s="73"/>
      <c r="B180" s="73"/>
    </row>
    <row r="181" spans="1:2" ht="15.75" customHeight="1" x14ac:dyDescent="0.25">
      <c r="A181" s="73"/>
      <c r="B181" s="73"/>
    </row>
    <row r="182" spans="1:2" ht="15.75" customHeight="1" x14ac:dyDescent="0.25">
      <c r="A182" s="73"/>
      <c r="B182" s="73"/>
    </row>
    <row r="183" spans="1:2" ht="15.75" customHeight="1" x14ac:dyDescent="0.25">
      <c r="A183" s="73"/>
      <c r="B183" s="73"/>
    </row>
    <row r="184" spans="1:2" ht="15.75" customHeight="1" x14ac:dyDescent="0.25">
      <c r="A184" s="73"/>
      <c r="B184" s="73"/>
    </row>
    <row r="185" spans="1:2" ht="15.75" customHeight="1" x14ac:dyDescent="0.25">
      <c r="A185" s="73"/>
      <c r="B185" s="73"/>
    </row>
    <row r="186" spans="1:2" ht="15.75" customHeight="1" x14ac:dyDescent="0.25">
      <c r="A186" s="73"/>
      <c r="B186" s="73"/>
    </row>
    <row r="187" spans="1:2" ht="15.75" customHeight="1" x14ac:dyDescent="0.25">
      <c r="A187" s="73"/>
      <c r="B187" s="73"/>
    </row>
    <row r="188" spans="1:2" ht="15.75" customHeight="1" x14ac:dyDescent="0.25">
      <c r="A188" s="73"/>
      <c r="B188" s="73"/>
    </row>
    <row r="189" spans="1:2" ht="15.75" customHeight="1" x14ac:dyDescent="0.25">
      <c r="A189" s="73"/>
      <c r="B189" s="73"/>
    </row>
    <row r="190" spans="1:2" ht="15.75" customHeight="1" x14ac:dyDescent="0.25">
      <c r="A190" s="73"/>
      <c r="B190" s="73"/>
    </row>
    <row r="191" spans="1:2" ht="15.75" customHeight="1" x14ac:dyDescent="0.25">
      <c r="A191" s="73"/>
      <c r="B191" s="73"/>
    </row>
    <row r="192" spans="1:2" ht="15.75" customHeight="1" x14ac:dyDescent="0.25">
      <c r="A192" s="73"/>
      <c r="B192" s="73"/>
    </row>
    <row r="193" spans="1:2" ht="15.75" customHeight="1" x14ac:dyDescent="0.25">
      <c r="A193" s="73"/>
      <c r="B193" s="73"/>
    </row>
    <row r="194" spans="1:2" ht="15.75" customHeight="1" x14ac:dyDescent="0.25">
      <c r="A194" s="73"/>
      <c r="B194" s="73"/>
    </row>
    <row r="195" spans="1:2" ht="15.75" customHeight="1" x14ac:dyDescent="0.25">
      <c r="A195" s="73"/>
      <c r="B195" s="73"/>
    </row>
    <row r="196" spans="1:2" ht="15.75" customHeight="1" x14ac:dyDescent="0.25">
      <c r="A196" s="73"/>
      <c r="B196" s="73"/>
    </row>
    <row r="197" spans="1:2" ht="15.75" customHeight="1" x14ac:dyDescent="0.25">
      <c r="A197" s="73"/>
      <c r="B197" s="73"/>
    </row>
    <row r="198" spans="1:2" ht="15.75" customHeight="1" x14ac:dyDescent="0.25">
      <c r="A198" s="73"/>
      <c r="B198" s="73"/>
    </row>
    <row r="199" spans="1:2" ht="15.75" customHeight="1" x14ac:dyDescent="0.25">
      <c r="A199" s="73"/>
      <c r="B199" s="73"/>
    </row>
    <row r="200" spans="1:2" ht="15.75" customHeight="1" x14ac:dyDescent="0.25">
      <c r="A200" s="73"/>
      <c r="B200" s="73"/>
    </row>
    <row r="201" spans="1:2" ht="15.75" customHeight="1" x14ac:dyDescent="0.25">
      <c r="A201" s="73"/>
      <c r="B201" s="73"/>
    </row>
    <row r="202" spans="1:2" ht="15.75" customHeight="1" x14ac:dyDescent="0.25">
      <c r="A202" s="73"/>
      <c r="B202" s="73"/>
    </row>
    <row r="203" spans="1:2" ht="15.75" customHeight="1" x14ac:dyDescent="0.25">
      <c r="A203" s="73"/>
      <c r="B203" s="73"/>
    </row>
    <row r="204" spans="1:2" ht="15.75" customHeight="1" x14ac:dyDescent="0.25">
      <c r="A204" s="73"/>
      <c r="B204" s="73"/>
    </row>
    <row r="205" spans="1:2" ht="15.75" customHeight="1" x14ac:dyDescent="0.25">
      <c r="A205" s="73"/>
      <c r="B205" s="73"/>
    </row>
    <row r="206" spans="1:2" ht="15.75" customHeight="1" x14ac:dyDescent="0.25">
      <c r="A206" s="73"/>
      <c r="B206" s="73"/>
    </row>
    <row r="207" spans="1:2" ht="15.75" customHeight="1" x14ac:dyDescent="0.25">
      <c r="A207" s="73"/>
      <c r="B207" s="73"/>
    </row>
    <row r="208" spans="1:2" ht="15.75" customHeight="1" x14ac:dyDescent="0.25">
      <c r="A208" s="73"/>
      <c r="B208" s="73"/>
    </row>
    <row r="209" spans="1:2" ht="15.75" customHeight="1" x14ac:dyDescent="0.25">
      <c r="A209" s="73"/>
      <c r="B209" s="73"/>
    </row>
    <row r="210" spans="1:2" ht="15.75" customHeight="1" x14ac:dyDescent="0.25">
      <c r="A210" s="73"/>
      <c r="B210" s="73"/>
    </row>
    <row r="211" spans="1:2" ht="15.75" customHeight="1" x14ac:dyDescent="0.25">
      <c r="A211" s="73"/>
      <c r="B211" s="73"/>
    </row>
    <row r="212" spans="1:2" ht="15.75" customHeight="1" x14ac:dyDescent="0.25">
      <c r="A212" s="73"/>
      <c r="B212" s="73"/>
    </row>
    <row r="213" spans="1:2" ht="15.75" customHeight="1" x14ac:dyDescent="0.25">
      <c r="A213" s="73"/>
      <c r="B213" s="73"/>
    </row>
    <row r="214" spans="1:2" ht="15.75" customHeight="1" x14ac:dyDescent="0.25">
      <c r="A214" s="73"/>
      <c r="B214" s="73"/>
    </row>
    <row r="215" spans="1:2" ht="15.75" customHeight="1" x14ac:dyDescent="0.25">
      <c r="A215" s="73"/>
      <c r="B215" s="73"/>
    </row>
    <row r="216" spans="1:2" ht="15.75" customHeight="1" x14ac:dyDescent="0.25">
      <c r="A216" s="73"/>
      <c r="B216" s="73"/>
    </row>
    <row r="217" spans="1:2" ht="15.75" customHeight="1" x14ac:dyDescent="0.25">
      <c r="A217" s="73"/>
      <c r="B217" s="73"/>
    </row>
    <row r="218" spans="1:2" ht="15.75" customHeight="1" x14ac:dyDescent="0.25">
      <c r="A218" s="73"/>
      <c r="B218" s="73"/>
    </row>
    <row r="219" spans="1:2" ht="15.75" customHeight="1" x14ac:dyDescent="0.25">
      <c r="A219" s="73"/>
      <c r="B219" s="73"/>
    </row>
    <row r="220" spans="1:2" ht="15.75" customHeight="1" x14ac:dyDescent="0.25">
      <c r="A220" s="73"/>
      <c r="B220" s="73"/>
    </row>
    <row r="221" spans="1:2" ht="15.75" customHeight="1" x14ac:dyDescent="0.25">
      <c r="A221" s="73"/>
      <c r="B221" s="73"/>
    </row>
    <row r="222" spans="1:2" ht="15.75" customHeight="1" x14ac:dyDescent="0.25">
      <c r="A222" s="73"/>
      <c r="B222" s="73"/>
    </row>
    <row r="223" spans="1:2" ht="15.75" customHeight="1" x14ac:dyDescent="0.25">
      <c r="A223" s="73"/>
      <c r="B223" s="73"/>
    </row>
    <row r="224" spans="1:2" ht="15.75" customHeight="1" x14ac:dyDescent="0.25">
      <c r="A224" s="73"/>
      <c r="B224" s="73"/>
    </row>
    <row r="225" spans="1:2" ht="15.75" customHeight="1" x14ac:dyDescent="0.25">
      <c r="A225" s="73"/>
      <c r="B225" s="73"/>
    </row>
    <row r="226" spans="1:2" ht="15.75" customHeight="1" x14ac:dyDescent="0.25">
      <c r="A226" s="73"/>
      <c r="B226" s="73"/>
    </row>
    <row r="227" spans="1:2" ht="15.75" customHeight="1" x14ac:dyDescent="0.25">
      <c r="A227" s="73"/>
      <c r="B227" s="73"/>
    </row>
    <row r="228" spans="1:2" ht="15.75" customHeight="1" x14ac:dyDescent="0.25">
      <c r="A228" s="73"/>
      <c r="B228" s="73"/>
    </row>
    <row r="229" spans="1:2" ht="15.75" customHeight="1" x14ac:dyDescent="0.25">
      <c r="A229" s="73"/>
      <c r="B229" s="73"/>
    </row>
    <row r="230" spans="1:2" ht="15.75" customHeight="1" x14ac:dyDescent="0.25">
      <c r="A230" s="73"/>
      <c r="B230" s="73"/>
    </row>
    <row r="231" spans="1:2" ht="15.75" customHeight="1" x14ac:dyDescent="0.25">
      <c r="A231" s="73"/>
      <c r="B231" s="73"/>
    </row>
    <row r="232" spans="1:2" ht="15.75" customHeight="1" x14ac:dyDescent="0.25">
      <c r="A232" s="73"/>
      <c r="B232" s="73"/>
    </row>
    <row r="233" spans="1:2" ht="15.75" customHeight="1" x14ac:dyDescent="0.25">
      <c r="A233" s="73"/>
      <c r="B233" s="73"/>
    </row>
    <row r="234" spans="1:2" ht="15.75" customHeight="1" x14ac:dyDescent="0.25">
      <c r="A234" s="73"/>
      <c r="B234" s="73"/>
    </row>
    <row r="235" spans="1:2" ht="15.75" customHeight="1" x14ac:dyDescent="0.25">
      <c r="A235" s="73"/>
      <c r="B235" s="73"/>
    </row>
    <row r="236" spans="1:2" ht="15.75" customHeight="1" x14ac:dyDescent="0.25">
      <c r="A236" s="73"/>
      <c r="B236" s="73"/>
    </row>
    <row r="237" spans="1:2" ht="15.75" customHeight="1" x14ac:dyDescent="0.25">
      <c r="A237" s="73"/>
      <c r="B237" s="73"/>
    </row>
    <row r="238" spans="1:2" ht="15.75" customHeight="1" x14ac:dyDescent="0.25">
      <c r="A238" s="73"/>
      <c r="B238" s="73"/>
    </row>
    <row r="239" spans="1:2" ht="15.75" customHeight="1" x14ac:dyDescent="0.25">
      <c r="A239" s="73"/>
      <c r="B239" s="73"/>
    </row>
    <row r="240" spans="1:2" ht="15.75" customHeight="1" x14ac:dyDescent="0.25">
      <c r="A240" s="73"/>
      <c r="B240" s="73"/>
    </row>
    <row r="241" spans="1:2" ht="15.75" customHeight="1" x14ac:dyDescent="0.25">
      <c r="A241" s="73"/>
      <c r="B241" s="73"/>
    </row>
    <row r="242" spans="1:2" ht="15.75" customHeight="1" x14ac:dyDescent="0.25">
      <c r="A242" s="73"/>
      <c r="B242" s="73"/>
    </row>
    <row r="243" spans="1:2" ht="15.75" customHeight="1" x14ac:dyDescent="0.25">
      <c r="A243" s="73"/>
      <c r="B243" s="73"/>
    </row>
    <row r="244" spans="1:2" ht="15.75" customHeight="1" x14ac:dyDescent="0.25">
      <c r="A244" s="73"/>
      <c r="B244" s="73"/>
    </row>
    <row r="245" spans="1:2" ht="15.75" customHeight="1" x14ac:dyDescent="0.25">
      <c r="A245" s="73"/>
      <c r="B245" s="73"/>
    </row>
    <row r="246" spans="1:2" ht="15.75" customHeight="1" x14ac:dyDescent="0.25">
      <c r="A246" s="73"/>
      <c r="B246" s="73"/>
    </row>
    <row r="247" spans="1:2" ht="15.75" customHeight="1" x14ac:dyDescent="0.25">
      <c r="A247" s="73"/>
      <c r="B247" s="73"/>
    </row>
    <row r="248" spans="1:2" ht="15.75" customHeight="1" x14ac:dyDescent="0.25">
      <c r="A248" s="73"/>
      <c r="B248" s="73"/>
    </row>
    <row r="249" spans="1:2" ht="15.75" customHeight="1" x14ac:dyDescent="0.25">
      <c r="A249" s="73"/>
      <c r="B249" s="73"/>
    </row>
    <row r="250" spans="1:2" ht="15.75" customHeight="1" x14ac:dyDescent="0.25">
      <c r="A250" s="73"/>
      <c r="B250" s="73"/>
    </row>
    <row r="251" spans="1:2" ht="15.75" customHeight="1" x14ac:dyDescent="0.25">
      <c r="A251" s="73"/>
      <c r="B251" s="73"/>
    </row>
    <row r="252" spans="1:2" ht="15.75" customHeight="1" x14ac:dyDescent="0.25">
      <c r="A252" s="73"/>
      <c r="B252" s="73"/>
    </row>
    <row r="253" spans="1:2" ht="15.75" customHeight="1" x14ac:dyDescent="0.25">
      <c r="A253" s="73"/>
      <c r="B253" s="73"/>
    </row>
    <row r="254" spans="1:2" ht="15.75" customHeight="1" x14ac:dyDescent="0.25">
      <c r="A254" s="73"/>
      <c r="B254" s="73"/>
    </row>
    <row r="255" spans="1:2" ht="15.75" customHeight="1" x14ac:dyDescent="0.25">
      <c r="A255" s="73"/>
      <c r="B255" s="73"/>
    </row>
    <row r="256" spans="1:2" ht="15.75" customHeight="1" x14ac:dyDescent="0.25">
      <c r="A256" s="73"/>
      <c r="B256" s="73"/>
    </row>
    <row r="257" spans="1:2" ht="15.75" customHeight="1" x14ac:dyDescent="0.25">
      <c r="A257" s="73"/>
      <c r="B257" s="73"/>
    </row>
    <row r="258" spans="1:2" ht="15.75" customHeight="1" x14ac:dyDescent="0.25">
      <c r="A258" s="73"/>
      <c r="B258" s="73"/>
    </row>
    <row r="259" spans="1:2" ht="15.75" customHeight="1" x14ac:dyDescent="0.25">
      <c r="A259" s="73"/>
      <c r="B259" s="73"/>
    </row>
    <row r="260" spans="1:2" ht="15.75" customHeight="1" x14ac:dyDescent="0.25">
      <c r="A260" s="73"/>
      <c r="B260" s="73"/>
    </row>
    <row r="261" spans="1:2" ht="15.75" customHeight="1" x14ac:dyDescent="0.25">
      <c r="A261" s="73"/>
      <c r="B261" s="73"/>
    </row>
    <row r="262" spans="1:2" ht="15.75" customHeight="1" x14ac:dyDescent="0.25">
      <c r="A262" s="73"/>
      <c r="B262" s="73"/>
    </row>
    <row r="263" spans="1:2" ht="15.75" customHeight="1" x14ac:dyDescent="0.25">
      <c r="A263" s="73"/>
      <c r="B263" s="73"/>
    </row>
    <row r="264" spans="1:2" ht="15.75" customHeight="1" x14ac:dyDescent="0.25">
      <c r="A264" s="73"/>
      <c r="B264" s="73"/>
    </row>
    <row r="265" spans="1:2" ht="15.75" customHeight="1" x14ac:dyDescent="0.25">
      <c r="A265" s="73"/>
      <c r="B265" s="73"/>
    </row>
    <row r="266" spans="1:2" ht="15.75" customHeight="1" x14ac:dyDescent="0.25">
      <c r="A266" s="73"/>
      <c r="B266" s="73"/>
    </row>
    <row r="267" spans="1:2" ht="15.75" customHeight="1" x14ac:dyDescent="0.25">
      <c r="A267" s="73"/>
      <c r="B267" s="73"/>
    </row>
    <row r="268" spans="1:2" ht="15.75" customHeight="1" x14ac:dyDescent="0.25">
      <c r="A268" s="73"/>
      <c r="B268" s="73"/>
    </row>
    <row r="269" spans="1:2" ht="15.75" customHeight="1" x14ac:dyDescent="0.25">
      <c r="A269" s="73"/>
      <c r="B269" s="73"/>
    </row>
    <row r="270" spans="1:2" ht="15.75" customHeight="1" x14ac:dyDescent="0.25">
      <c r="A270" s="73"/>
      <c r="B270" s="73"/>
    </row>
    <row r="271" spans="1:2" ht="15.75" customHeight="1" x14ac:dyDescent="0.25">
      <c r="A271" s="73"/>
      <c r="B271" s="73"/>
    </row>
    <row r="272" spans="1:2" ht="15.75" customHeight="1" x14ac:dyDescent="0.25">
      <c r="A272" s="73"/>
      <c r="B272" s="73"/>
    </row>
    <row r="273" spans="1:2" ht="15.75" customHeight="1" x14ac:dyDescent="0.25">
      <c r="A273" s="73"/>
      <c r="B273" s="73"/>
    </row>
    <row r="274" spans="1:2" ht="15.75" customHeight="1" x14ac:dyDescent="0.25">
      <c r="A274" s="73"/>
      <c r="B274" s="73"/>
    </row>
    <row r="275" spans="1:2" ht="15.75" customHeight="1" x14ac:dyDescent="0.25">
      <c r="A275" s="73"/>
      <c r="B275" s="73"/>
    </row>
    <row r="276" spans="1:2" ht="15.75" customHeight="1" x14ac:dyDescent="0.25">
      <c r="A276" s="73"/>
      <c r="B276" s="73"/>
    </row>
    <row r="277" spans="1:2" ht="15.75" customHeight="1" x14ac:dyDescent="0.25">
      <c r="A277" s="73"/>
      <c r="B277" s="73"/>
    </row>
    <row r="278" spans="1:2" ht="15.75" customHeight="1" x14ac:dyDescent="0.25">
      <c r="A278" s="73"/>
      <c r="B278" s="73"/>
    </row>
    <row r="279" spans="1:2" ht="15.75" customHeight="1" x14ac:dyDescent="0.25">
      <c r="A279" s="73"/>
      <c r="B279" s="73"/>
    </row>
    <row r="280" spans="1:2" ht="15.75" customHeight="1" x14ac:dyDescent="0.25">
      <c r="A280" s="73"/>
      <c r="B280" s="73"/>
    </row>
    <row r="281" spans="1:2" ht="15.75" customHeight="1" x14ac:dyDescent="0.25">
      <c r="A281" s="73"/>
      <c r="B281" s="73"/>
    </row>
    <row r="282" spans="1:2" ht="15.75" customHeight="1" x14ac:dyDescent="0.25">
      <c r="A282" s="73"/>
      <c r="B282" s="73"/>
    </row>
    <row r="283" spans="1:2" ht="15.75" customHeight="1" x14ac:dyDescent="0.25">
      <c r="A283" s="73"/>
      <c r="B283" s="73"/>
    </row>
    <row r="284" spans="1:2" ht="15.75" customHeight="1" x14ac:dyDescent="0.25">
      <c r="A284" s="73"/>
      <c r="B284" s="73"/>
    </row>
    <row r="285" spans="1:2" ht="15.75" customHeight="1" x14ac:dyDescent="0.25">
      <c r="A285" s="73"/>
      <c r="B285" s="73"/>
    </row>
    <row r="286" spans="1:2" ht="15.75" customHeight="1" x14ac:dyDescent="0.25">
      <c r="A286" s="73"/>
      <c r="B286" s="73"/>
    </row>
    <row r="287" spans="1:2" ht="15.75" customHeight="1" x14ac:dyDescent="0.25">
      <c r="A287" s="73"/>
      <c r="B287" s="73"/>
    </row>
    <row r="288" spans="1:2" ht="15.75" customHeight="1" x14ac:dyDescent="0.25">
      <c r="A288" s="73"/>
      <c r="B288" s="73"/>
    </row>
    <row r="289" spans="1:2" ht="15.75" customHeight="1" x14ac:dyDescent="0.25">
      <c r="A289" s="73"/>
      <c r="B289" s="73"/>
    </row>
    <row r="290" spans="1:2" ht="15.75" customHeight="1" x14ac:dyDescent="0.25">
      <c r="A290" s="73"/>
      <c r="B290" s="73"/>
    </row>
    <row r="291" spans="1:2" ht="15.75" customHeight="1" x14ac:dyDescent="0.25">
      <c r="A291" s="73"/>
      <c r="B291" s="73"/>
    </row>
    <row r="292" spans="1:2" ht="15.75" customHeight="1" x14ac:dyDescent="0.25">
      <c r="A292" s="73"/>
      <c r="B292" s="73"/>
    </row>
    <row r="293" spans="1:2" ht="15.75" customHeight="1" x14ac:dyDescent="0.25">
      <c r="A293" s="73"/>
      <c r="B293" s="73"/>
    </row>
    <row r="294" spans="1:2" ht="15.75" customHeight="1" x14ac:dyDescent="0.25">
      <c r="A294" s="73"/>
      <c r="B294" s="73"/>
    </row>
    <row r="295" spans="1:2" ht="15.75" customHeight="1" x14ac:dyDescent="0.25">
      <c r="A295" s="73"/>
      <c r="B295" s="73"/>
    </row>
    <row r="296" spans="1:2" ht="15.75" customHeight="1" x14ac:dyDescent="0.25">
      <c r="A296" s="73"/>
      <c r="B296" s="73"/>
    </row>
    <row r="297" spans="1:2" ht="15.75" customHeight="1" x14ac:dyDescent="0.25">
      <c r="A297" s="73"/>
      <c r="B297" s="73"/>
    </row>
    <row r="298" spans="1:2" ht="15.75" customHeight="1" x14ac:dyDescent="0.25">
      <c r="A298" s="73"/>
      <c r="B298" s="73"/>
    </row>
    <row r="299" spans="1:2" ht="15.75" customHeight="1" x14ac:dyDescent="0.25">
      <c r="A299" s="73"/>
      <c r="B299" s="73"/>
    </row>
    <row r="300" spans="1:2" ht="15.75" customHeight="1" x14ac:dyDescent="0.25">
      <c r="A300" s="73"/>
      <c r="B300" s="73"/>
    </row>
    <row r="301" spans="1:2" ht="15.75" customHeight="1" x14ac:dyDescent="0.25">
      <c r="A301" s="73"/>
      <c r="B301" s="73"/>
    </row>
    <row r="302" spans="1:2" ht="15.75" customHeight="1" x14ac:dyDescent="0.25">
      <c r="A302" s="73"/>
      <c r="B302" s="73"/>
    </row>
    <row r="303" spans="1:2" ht="15.75" customHeight="1" x14ac:dyDescent="0.25">
      <c r="A303" s="73"/>
      <c r="B303" s="73"/>
    </row>
    <row r="304" spans="1:2" ht="15.75" customHeight="1" x14ac:dyDescent="0.25">
      <c r="A304" s="73"/>
      <c r="B304" s="73"/>
    </row>
    <row r="305" spans="1:2" ht="15.75" customHeight="1" x14ac:dyDescent="0.25">
      <c r="A305" s="73"/>
      <c r="B305" s="73"/>
    </row>
    <row r="306" spans="1:2" ht="15.75" customHeight="1" x14ac:dyDescent="0.25">
      <c r="A306" s="73"/>
      <c r="B306" s="73"/>
    </row>
    <row r="307" spans="1:2" ht="15.75" customHeight="1" x14ac:dyDescent="0.25">
      <c r="A307" s="73"/>
      <c r="B307" s="73"/>
    </row>
    <row r="308" spans="1:2" ht="15.75" customHeight="1" x14ac:dyDescent="0.25">
      <c r="A308" s="73"/>
      <c r="B308" s="73"/>
    </row>
    <row r="309" spans="1:2" ht="15.75" customHeight="1" x14ac:dyDescent="0.25">
      <c r="A309" s="73"/>
      <c r="B309" s="73"/>
    </row>
    <row r="310" spans="1:2" ht="15.75" customHeight="1" x14ac:dyDescent="0.25">
      <c r="A310" s="73"/>
      <c r="B310" s="73"/>
    </row>
    <row r="311" spans="1:2" ht="15.75" customHeight="1" x14ac:dyDescent="0.25">
      <c r="A311" s="73"/>
      <c r="B311" s="73"/>
    </row>
    <row r="312" spans="1:2" ht="15.75" customHeight="1" x14ac:dyDescent="0.25">
      <c r="A312" s="73"/>
      <c r="B312" s="73"/>
    </row>
    <row r="313" spans="1:2" ht="15.75" customHeight="1" x14ac:dyDescent="0.25">
      <c r="A313" s="73"/>
      <c r="B313" s="73"/>
    </row>
    <row r="314" spans="1:2" ht="15.75" customHeight="1" x14ac:dyDescent="0.25">
      <c r="A314" s="73"/>
      <c r="B314" s="73"/>
    </row>
    <row r="315" spans="1:2" ht="15.75" customHeight="1" x14ac:dyDescent="0.25">
      <c r="A315" s="73"/>
      <c r="B315" s="73"/>
    </row>
    <row r="316" spans="1:2" ht="15.75" customHeight="1" x14ac:dyDescent="0.25">
      <c r="A316" s="73"/>
      <c r="B316" s="73"/>
    </row>
    <row r="317" spans="1:2" ht="15.75" customHeight="1" x14ac:dyDescent="0.25">
      <c r="A317" s="73"/>
      <c r="B317" s="73"/>
    </row>
    <row r="318" spans="1:2" ht="15.75" customHeight="1" x14ac:dyDescent="0.25">
      <c r="A318" s="73"/>
      <c r="B318" s="73"/>
    </row>
    <row r="319" spans="1:2" ht="15.75" customHeight="1" x14ac:dyDescent="0.25">
      <c r="A319" s="73"/>
      <c r="B319" s="73"/>
    </row>
    <row r="320" spans="1:2" ht="15.75" customHeight="1" x14ac:dyDescent="0.25">
      <c r="A320" s="73"/>
      <c r="B320" s="73"/>
    </row>
    <row r="321" spans="1:2" ht="15.75" customHeight="1" x14ac:dyDescent="0.25">
      <c r="A321" s="73"/>
      <c r="B321" s="73"/>
    </row>
    <row r="322" spans="1:2" ht="15.75" customHeight="1" x14ac:dyDescent="0.25">
      <c r="A322" s="73"/>
      <c r="B322" s="73"/>
    </row>
    <row r="323" spans="1:2" ht="15.75" customHeight="1" x14ac:dyDescent="0.25">
      <c r="A323" s="73"/>
      <c r="B323" s="73"/>
    </row>
    <row r="324" spans="1:2" ht="15.75" customHeight="1" x14ac:dyDescent="0.25">
      <c r="A324" s="73"/>
      <c r="B324" s="73"/>
    </row>
    <row r="325" spans="1:2" ht="15.75" customHeight="1" x14ac:dyDescent="0.25">
      <c r="A325" s="73"/>
      <c r="B325" s="73"/>
    </row>
    <row r="326" spans="1:2" ht="15.75" customHeight="1" x14ac:dyDescent="0.25">
      <c r="A326" s="73"/>
      <c r="B326" s="73"/>
    </row>
    <row r="327" spans="1:2" ht="15.75" customHeight="1" x14ac:dyDescent="0.25">
      <c r="A327" s="73"/>
      <c r="B327" s="73"/>
    </row>
    <row r="328" spans="1:2" ht="15.75" customHeight="1" x14ac:dyDescent="0.25">
      <c r="A328" s="73"/>
      <c r="B328" s="73"/>
    </row>
    <row r="329" spans="1:2" ht="15.75" customHeight="1" x14ac:dyDescent="0.25">
      <c r="A329" s="73"/>
      <c r="B329" s="73"/>
    </row>
    <row r="330" spans="1:2" ht="15.75" customHeight="1" x14ac:dyDescent="0.25">
      <c r="A330" s="73"/>
      <c r="B330" s="73"/>
    </row>
    <row r="331" spans="1:2" ht="15.75" customHeight="1" x14ac:dyDescent="0.25">
      <c r="A331" s="73"/>
      <c r="B331" s="73"/>
    </row>
    <row r="332" spans="1:2" ht="15.75" customHeight="1" x14ac:dyDescent="0.25">
      <c r="A332" s="73"/>
      <c r="B332" s="73"/>
    </row>
    <row r="333" spans="1:2" ht="15.75" customHeight="1" x14ac:dyDescent="0.25">
      <c r="A333" s="73"/>
      <c r="B333" s="73"/>
    </row>
    <row r="334" spans="1:2" ht="15.75" customHeight="1" x14ac:dyDescent="0.25">
      <c r="A334" s="73"/>
      <c r="B334" s="73"/>
    </row>
    <row r="335" spans="1:2" ht="15.75" customHeight="1" x14ac:dyDescent="0.25">
      <c r="A335" s="73"/>
      <c r="B335" s="73"/>
    </row>
    <row r="336" spans="1:2" ht="15.75" customHeight="1" x14ac:dyDescent="0.25">
      <c r="A336" s="73"/>
      <c r="B336" s="73"/>
    </row>
    <row r="337" spans="1:2" ht="15.75" customHeight="1" x14ac:dyDescent="0.25">
      <c r="A337" s="73"/>
      <c r="B337" s="73"/>
    </row>
    <row r="338" spans="1:2" ht="15.75" customHeight="1" x14ac:dyDescent="0.25">
      <c r="A338" s="73"/>
      <c r="B338" s="73"/>
    </row>
    <row r="339" spans="1:2" ht="15.75" customHeight="1" x14ac:dyDescent="0.25">
      <c r="A339" s="73"/>
      <c r="B339" s="73"/>
    </row>
    <row r="340" spans="1:2" ht="15.75" customHeight="1" x14ac:dyDescent="0.25">
      <c r="A340" s="73"/>
      <c r="B340" s="73"/>
    </row>
    <row r="341" spans="1:2" ht="15.75" customHeight="1" x14ac:dyDescent="0.25">
      <c r="A341" s="73"/>
      <c r="B341" s="73"/>
    </row>
    <row r="342" spans="1:2" ht="15.75" customHeight="1" x14ac:dyDescent="0.25">
      <c r="A342" s="73"/>
      <c r="B342" s="73"/>
    </row>
    <row r="343" spans="1:2" ht="15.75" customHeight="1" x14ac:dyDescent="0.25">
      <c r="A343" s="73"/>
      <c r="B343" s="73"/>
    </row>
    <row r="344" spans="1:2" ht="15.75" customHeight="1" x14ac:dyDescent="0.25">
      <c r="A344" s="73"/>
      <c r="B344" s="73"/>
    </row>
    <row r="345" spans="1:2" ht="15.75" customHeight="1" x14ac:dyDescent="0.25">
      <c r="A345" s="73"/>
      <c r="B345" s="73"/>
    </row>
    <row r="346" spans="1:2" ht="15.75" customHeight="1" x14ac:dyDescent="0.25">
      <c r="A346" s="73"/>
      <c r="B346" s="73"/>
    </row>
    <row r="347" spans="1:2" ht="15.75" customHeight="1" x14ac:dyDescent="0.25">
      <c r="A347" s="73"/>
      <c r="B347" s="73"/>
    </row>
    <row r="348" spans="1:2" ht="15.75" customHeight="1" x14ac:dyDescent="0.25">
      <c r="A348" s="73"/>
      <c r="B348" s="73"/>
    </row>
    <row r="349" spans="1:2" ht="15.75" customHeight="1" x14ac:dyDescent="0.25">
      <c r="A349" s="73"/>
      <c r="B349" s="73"/>
    </row>
    <row r="350" spans="1:2" ht="15.75" customHeight="1" x14ac:dyDescent="0.25">
      <c r="A350" s="73"/>
      <c r="B350" s="73"/>
    </row>
    <row r="351" spans="1:2" ht="15.75" customHeight="1" x14ac:dyDescent="0.25">
      <c r="A351" s="73"/>
      <c r="B351" s="73"/>
    </row>
    <row r="352" spans="1:2" ht="15.75" customHeight="1" x14ac:dyDescent="0.25">
      <c r="A352" s="73"/>
      <c r="B352" s="73"/>
    </row>
    <row r="353" spans="1:2" ht="15.75" customHeight="1" x14ac:dyDescent="0.25">
      <c r="A353" s="73"/>
      <c r="B353" s="73"/>
    </row>
    <row r="354" spans="1:2" ht="15.75" customHeight="1" x14ac:dyDescent="0.25">
      <c r="A354" s="73"/>
      <c r="B354" s="73"/>
    </row>
    <row r="355" spans="1:2" ht="15.75" customHeight="1" x14ac:dyDescent="0.25">
      <c r="A355" s="73"/>
      <c r="B355" s="73"/>
    </row>
    <row r="356" spans="1:2" ht="15.75" customHeight="1" x14ac:dyDescent="0.25">
      <c r="A356" s="73"/>
      <c r="B356" s="73"/>
    </row>
    <row r="357" spans="1:2" ht="15.75" customHeight="1" x14ac:dyDescent="0.25">
      <c r="A357" s="73"/>
      <c r="B357" s="73"/>
    </row>
    <row r="358" spans="1:2" ht="15.75" customHeight="1" x14ac:dyDescent="0.25">
      <c r="A358" s="73"/>
      <c r="B358" s="73"/>
    </row>
    <row r="359" spans="1:2" ht="15.75" customHeight="1" x14ac:dyDescent="0.25">
      <c r="A359" s="73"/>
      <c r="B359" s="73"/>
    </row>
    <row r="360" spans="1:2" ht="15.75" customHeight="1" x14ac:dyDescent="0.25">
      <c r="A360" s="73"/>
      <c r="B360" s="73"/>
    </row>
    <row r="361" spans="1:2" ht="15.75" customHeight="1" x14ac:dyDescent="0.25">
      <c r="A361" s="73"/>
      <c r="B361" s="73"/>
    </row>
    <row r="362" spans="1:2" ht="15.75" customHeight="1" x14ac:dyDescent="0.25">
      <c r="A362" s="73"/>
      <c r="B362" s="73"/>
    </row>
    <row r="363" spans="1:2" ht="15.75" customHeight="1" x14ac:dyDescent="0.25">
      <c r="A363" s="73"/>
      <c r="B363" s="73"/>
    </row>
    <row r="364" spans="1:2" ht="15.75" customHeight="1" x14ac:dyDescent="0.25">
      <c r="A364" s="73"/>
      <c r="B364" s="73"/>
    </row>
    <row r="365" spans="1:2" ht="15.75" customHeight="1" x14ac:dyDescent="0.25">
      <c r="A365" s="73"/>
      <c r="B365" s="73"/>
    </row>
    <row r="366" spans="1:2" ht="15.75" customHeight="1" x14ac:dyDescent="0.25">
      <c r="A366" s="73"/>
      <c r="B366" s="73"/>
    </row>
    <row r="367" spans="1:2" ht="15.75" customHeight="1" x14ac:dyDescent="0.25">
      <c r="A367" s="73"/>
      <c r="B367" s="73"/>
    </row>
    <row r="368" spans="1:2" ht="15.75" customHeight="1" x14ac:dyDescent="0.25">
      <c r="A368" s="73"/>
      <c r="B368" s="73"/>
    </row>
    <row r="369" spans="1:2" ht="15.75" customHeight="1" x14ac:dyDescent="0.25">
      <c r="A369" s="73"/>
      <c r="B369" s="73"/>
    </row>
    <row r="370" spans="1:2" ht="15.75" customHeight="1" x14ac:dyDescent="0.25">
      <c r="A370" s="73"/>
      <c r="B370" s="73"/>
    </row>
    <row r="371" spans="1:2" ht="15.75" customHeight="1" x14ac:dyDescent="0.25">
      <c r="A371" s="73"/>
      <c r="B371" s="73"/>
    </row>
    <row r="372" spans="1:2" ht="15.75" customHeight="1" x14ac:dyDescent="0.25">
      <c r="A372" s="73"/>
      <c r="B372" s="73"/>
    </row>
    <row r="373" spans="1:2" ht="15.75" customHeight="1" x14ac:dyDescent="0.25">
      <c r="A373" s="73"/>
      <c r="B373" s="73"/>
    </row>
    <row r="374" spans="1:2" ht="15.75" customHeight="1" x14ac:dyDescent="0.25">
      <c r="A374" s="73"/>
      <c r="B374" s="73"/>
    </row>
    <row r="375" spans="1:2" ht="15.75" customHeight="1" x14ac:dyDescent="0.25">
      <c r="A375" s="73"/>
      <c r="B375" s="73"/>
    </row>
    <row r="376" spans="1:2" ht="15.75" customHeight="1" x14ac:dyDescent="0.25">
      <c r="A376" s="73"/>
      <c r="B376" s="73"/>
    </row>
    <row r="377" spans="1:2" ht="15.75" customHeight="1" x14ac:dyDescent="0.25">
      <c r="A377" s="73"/>
      <c r="B377" s="73"/>
    </row>
    <row r="378" spans="1:2" ht="15.75" customHeight="1" x14ac:dyDescent="0.25">
      <c r="A378" s="73"/>
      <c r="B378" s="73"/>
    </row>
    <row r="379" spans="1:2" ht="15.75" customHeight="1" x14ac:dyDescent="0.25">
      <c r="A379" s="73"/>
      <c r="B379" s="73"/>
    </row>
    <row r="380" spans="1:2" ht="15.75" customHeight="1" x14ac:dyDescent="0.25">
      <c r="A380" s="73"/>
      <c r="B380" s="73"/>
    </row>
    <row r="381" spans="1:2" ht="15.75" customHeight="1" x14ac:dyDescent="0.25">
      <c r="A381" s="73"/>
      <c r="B381" s="73"/>
    </row>
    <row r="382" spans="1:2" ht="15.75" customHeight="1" x14ac:dyDescent="0.25">
      <c r="A382" s="73"/>
      <c r="B382" s="73"/>
    </row>
    <row r="383" spans="1:2" ht="15.75" customHeight="1" x14ac:dyDescent="0.25">
      <c r="A383" s="73"/>
      <c r="B383" s="73"/>
    </row>
    <row r="384" spans="1:2" ht="15.75" customHeight="1" x14ac:dyDescent="0.25">
      <c r="A384" s="73"/>
      <c r="B384" s="73"/>
    </row>
    <row r="385" spans="1:2" ht="15.75" customHeight="1" x14ac:dyDescent="0.25">
      <c r="A385" s="73"/>
      <c r="B385" s="73"/>
    </row>
    <row r="386" spans="1:2" ht="15.75" customHeight="1" x14ac:dyDescent="0.25">
      <c r="A386" s="73"/>
      <c r="B386" s="73"/>
    </row>
    <row r="387" spans="1:2" ht="15.75" customHeight="1" x14ac:dyDescent="0.25">
      <c r="A387" s="73"/>
      <c r="B387" s="73"/>
    </row>
    <row r="388" spans="1:2" ht="15.75" customHeight="1" x14ac:dyDescent="0.25">
      <c r="A388" s="73"/>
      <c r="B388" s="73"/>
    </row>
    <row r="389" spans="1:2" ht="15.75" customHeight="1" x14ac:dyDescent="0.25">
      <c r="A389" s="73"/>
      <c r="B389" s="73"/>
    </row>
    <row r="390" spans="1:2" ht="15.75" customHeight="1" x14ac:dyDescent="0.25">
      <c r="A390" s="73"/>
      <c r="B390" s="73"/>
    </row>
    <row r="391" spans="1:2" ht="15.75" customHeight="1" x14ac:dyDescent="0.25">
      <c r="A391" s="73"/>
      <c r="B391" s="73"/>
    </row>
    <row r="392" spans="1:2" ht="15.75" customHeight="1" x14ac:dyDescent="0.25">
      <c r="A392" s="73"/>
      <c r="B392" s="73"/>
    </row>
    <row r="393" spans="1:2" ht="15.75" customHeight="1" x14ac:dyDescent="0.25">
      <c r="A393" s="73"/>
      <c r="B393" s="73"/>
    </row>
    <row r="394" spans="1:2" ht="15.75" customHeight="1" x14ac:dyDescent="0.25">
      <c r="A394" s="73"/>
      <c r="B394" s="73"/>
    </row>
    <row r="395" spans="1:2" ht="15.75" customHeight="1" x14ac:dyDescent="0.25">
      <c r="A395" s="73"/>
      <c r="B395" s="73"/>
    </row>
    <row r="396" spans="1:2" ht="15.75" customHeight="1" x14ac:dyDescent="0.25">
      <c r="A396" s="73"/>
      <c r="B396" s="73"/>
    </row>
    <row r="397" spans="1:2" ht="15.75" customHeight="1" x14ac:dyDescent="0.25">
      <c r="A397" s="73"/>
      <c r="B397" s="73"/>
    </row>
    <row r="398" spans="1:2" ht="15.75" customHeight="1" x14ac:dyDescent="0.25">
      <c r="A398" s="73"/>
      <c r="B398" s="73"/>
    </row>
    <row r="399" spans="1:2" ht="15.75" customHeight="1" x14ac:dyDescent="0.25">
      <c r="A399" s="73"/>
      <c r="B399" s="73"/>
    </row>
    <row r="400" spans="1:2" ht="15.75" customHeight="1" x14ac:dyDescent="0.25">
      <c r="A400" s="73"/>
      <c r="B400" s="73"/>
    </row>
    <row r="401" spans="1:2" ht="15.75" customHeight="1" x14ac:dyDescent="0.25">
      <c r="A401" s="73"/>
      <c r="B401" s="73"/>
    </row>
    <row r="402" spans="1:2" ht="15.75" customHeight="1" x14ac:dyDescent="0.25">
      <c r="A402" s="73"/>
      <c r="B402" s="73"/>
    </row>
    <row r="403" spans="1:2" ht="15.75" customHeight="1" x14ac:dyDescent="0.25">
      <c r="A403" s="73"/>
      <c r="B403" s="73"/>
    </row>
    <row r="404" spans="1:2" ht="15.75" customHeight="1" x14ac:dyDescent="0.25">
      <c r="A404" s="73"/>
      <c r="B404" s="73"/>
    </row>
    <row r="405" spans="1:2" ht="15.75" customHeight="1" x14ac:dyDescent="0.25">
      <c r="A405" s="73"/>
      <c r="B405" s="73"/>
    </row>
    <row r="406" spans="1:2" ht="15.75" customHeight="1" x14ac:dyDescent="0.25">
      <c r="A406" s="73"/>
      <c r="B406" s="73"/>
    </row>
    <row r="407" spans="1:2" ht="15.75" customHeight="1" x14ac:dyDescent="0.25">
      <c r="A407" s="73"/>
      <c r="B407" s="73"/>
    </row>
    <row r="408" spans="1:2" ht="15.75" customHeight="1" x14ac:dyDescent="0.25">
      <c r="A408" s="73"/>
      <c r="B408" s="73"/>
    </row>
    <row r="409" spans="1:2" ht="15.75" customHeight="1" x14ac:dyDescent="0.25">
      <c r="A409" s="73"/>
      <c r="B409" s="73"/>
    </row>
    <row r="410" spans="1:2" ht="15.75" customHeight="1" x14ac:dyDescent="0.25">
      <c r="A410" s="73"/>
      <c r="B410" s="73"/>
    </row>
    <row r="411" spans="1:2" ht="15.75" customHeight="1" x14ac:dyDescent="0.25">
      <c r="A411" s="73"/>
      <c r="B411" s="73"/>
    </row>
    <row r="412" spans="1:2" ht="15.75" customHeight="1" x14ac:dyDescent="0.25">
      <c r="A412" s="73"/>
      <c r="B412" s="73"/>
    </row>
    <row r="413" spans="1:2" ht="15.75" customHeight="1" x14ac:dyDescent="0.25">
      <c r="A413" s="73"/>
      <c r="B413" s="73"/>
    </row>
    <row r="414" spans="1:2" ht="15.75" customHeight="1" x14ac:dyDescent="0.25">
      <c r="A414" s="73"/>
      <c r="B414" s="73"/>
    </row>
    <row r="415" spans="1:2" ht="15.75" customHeight="1" x14ac:dyDescent="0.25">
      <c r="A415" s="73"/>
      <c r="B415" s="73"/>
    </row>
    <row r="416" spans="1:2" ht="15.75" customHeight="1" x14ac:dyDescent="0.25">
      <c r="A416" s="73"/>
      <c r="B416" s="73"/>
    </row>
    <row r="417" spans="1:2" ht="15.75" customHeight="1" x14ac:dyDescent="0.25">
      <c r="A417" s="73"/>
      <c r="B417" s="73"/>
    </row>
    <row r="418" spans="1:2" ht="15.75" customHeight="1" x14ac:dyDescent="0.25">
      <c r="A418" s="73"/>
      <c r="B418" s="73"/>
    </row>
    <row r="419" spans="1:2" ht="15.75" customHeight="1" x14ac:dyDescent="0.25">
      <c r="A419" s="73"/>
      <c r="B419" s="73"/>
    </row>
    <row r="420" spans="1:2" ht="15.75" customHeight="1" x14ac:dyDescent="0.25">
      <c r="A420" s="73"/>
      <c r="B420" s="73"/>
    </row>
    <row r="421" spans="1:2" ht="15.75" customHeight="1" x14ac:dyDescent="0.25">
      <c r="A421" s="73"/>
      <c r="B421" s="73"/>
    </row>
    <row r="422" spans="1:2" ht="15.75" customHeight="1" x14ac:dyDescent="0.25">
      <c r="A422" s="73"/>
      <c r="B422" s="73"/>
    </row>
    <row r="423" spans="1:2" ht="15.75" customHeight="1" x14ac:dyDescent="0.25">
      <c r="A423" s="73"/>
      <c r="B423" s="73"/>
    </row>
    <row r="424" spans="1:2" ht="15.75" customHeight="1" x14ac:dyDescent="0.25">
      <c r="A424" s="73"/>
      <c r="B424" s="73"/>
    </row>
    <row r="425" spans="1:2" ht="15.75" customHeight="1" x14ac:dyDescent="0.25">
      <c r="A425" s="73"/>
      <c r="B425" s="73"/>
    </row>
    <row r="426" spans="1:2" ht="15.75" customHeight="1" x14ac:dyDescent="0.25">
      <c r="A426" s="73"/>
      <c r="B426" s="73"/>
    </row>
    <row r="427" spans="1:2" ht="15.75" customHeight="1" x14ac:dyDescent="0.25">
      <c r="A427" s="73"/>
      <c r="B427" s="73"/>
    </row>
    <row r="428" spans="1:2" ht="15.75" customHeight="1" x14ac:dyDescent="0.25">
      <c r="A428" s="73"/>
      <c r="B428" s="73"/>
    </row>
    <row r="429" spans="1:2" ht="15.75" customHeight="1" x14ac:dyDescent="0.25">
      <c r="A429" s="73"/>
      <c r="B429" s="73"/>
    </row>
    <row r="430" spans="1:2" ht="15.75" customHeight="1" x14ac:dyDescent="0.25">
      <c r="A430" s="73"/>
      <c r="B430" s="73"/>
    </row>
    <row r="431" spans="1:2" ht="15.75" customHeight="1" x14ac:dyDescent="0.25">
      <c r="A431" s="73"/>
      <c r="B431" s="73"/>
    </row>
    <row r="432" spans="1:2" ht="15.75" customHeight="1" x14ac:dyDescent="0.25">
      <c r="A432" s="73"/>
      <c r="B432" s="73"/>
    </row>
    <row r="433" spans="1:2" ht="15.75" customHeight="1" x14ac:dyDescent="0.25">
      <c r="A433" s="73"/>
      <c r="B433" s="73"/>
    </row>
    <row r="434" spans="1:2" ht="15.75" customHeight="1" x14ac:dyDescent="0.25">
      <c r="A434" s="73"/>
      <c r="B434" s="73"/>
    </row>
    <row r="435" spans="1:2" ht="15.75" customHeight="1" x14ac:dyDescent="0.25">
      <c r="A435" s="73"/>
      <c r="B435" s="73"/>
    </row>
    <row r="436" spans="1:2" ht="15.75" customHeight="1" x14ac:dyDescent="0.25">
      <c r="A436" s="73"/>
      <c r="B436" s="73"/>
    </row>
    <row r="437" spans="1:2" ht="15.75" customHeight="1" x14ac:dyDescent="0.25">
      <c r="A437" s="73"/>
      <c r="B437" s="73"/>
    </row>
    <row r="438" spans="1:2" ht="15.75" customHeight="1" x14ac:dyDescent="0.25">
      <c r="A438" s="73"/>
      <c r="B438" s="73"/>
    </row>
    <row r="439" spans="1:2" ht="15.75" customHeight="1" x14ac:dyDescent="0.25">
      <c r="A439" s="73"/>
      <c r="B439" s="73"/>
    </row>
    <row r="440" spans="1:2" ht="15.75" customHeight="1" x14ac:dyDescent="0.25">
      <c r="A440" s="73"/>
      <c r="B440" s="73"/>
    </row>
    <row r="441" spans="1:2" ht="15.75" customHeight="1" x14ac:dyDescent="0.25">
      <c r="A441" s="73"/>
      <c r="B441" s="73"/>
    </row>
    <row r="442" spans="1:2" ht="15.75" customHeight="1" x14ac:dyDescent="0.25">
      <c r="A442" s="73"/>
      <c r="B442" s="73"/>
    </row>
    <row r="443" spans="1:2" ht="15.75" customHeight="1" x14ac:dyDescent="0.25">
      <c r="A443" s="73"/>
      <c r="B443" s="73"/>
    </row>
    <row r="444" spans="1:2" ht="15.75" customHeight="1" x14ac:dyDescent="0.25">
      <c r="A444" s="73"/>
      <c r="B444" s="73"/>
    </row>
    <row r="445" spans="1:2" ht="15.75" customHeight="1" x14ac:dyDescent="0.25">
      <c r="A445" s="73"/>
      <c r="B445" s="73"/>
    </row>
    <row r="446" spans="1:2" ht="15.75" customHeight="1" x14ac:dyDescent="0.25">
      <c r="A446" s="73"/>
      <c r="B446" s="73"/>
    </row>
    <row r="447" spans="1:2" ht="15.75" customHeight="1" x14ac:dyDescent="0.25">
      <c r="A447" s="73"/>
      <c r="B447" s="73"/>
    </row>
    <row r="448" spans="1:2" ht="15.75" customHeight="1" x14ac:dyDescent="0.25">
      <c r="A448" s="73"/>
      <c r="B448" s="73"/>
    </row>
    <row r="449" spans="1:2" ht="15.75" customHeight="1" x14ac:dyDescent="0.25">
      <c r="A449" s="73"/>
      <c r="B449" s="73"/>
    </row>
    <row r="450" spans="1:2" ht="15.75" customHeight="1" x14ac:dyDescent="0.25">
      <c r="A450" s="73"/>
      <c r="B450" s="73"/>
    </row>
    <row r="451" spans="1:2" ht="15.75" customHeight="1" x14ac:dyDescent="0.25">
      <c r="A451" s="73"/>
      <c r="B451" s="73"/>
    </row>
    <row r="452" spans="1:2" ht="15.75" customHeight="1" x14ac:dyDescent="0.25">
      <c r="A452" s="73"/>
      <c r="B452" s="73"/>
    </row>
    <row r="453" spans="1:2" ht="15.75" customHeight="1" x14ac:dyDescent="0.25">
      <c r="A453" s="73"/>
      <c r="B453" s="73"/>
    </row>
    <row r="454" spans="1:2" ht="15.75" customHeight="1" x14ac:dyDescent="0.25">
      <c r="A454" s="73"/>
      <c r="B454" s="73"/>
    </row>
    <row r="455" spans="1:2" ht="15.75" customHeight="1" x14ac:dyDescent="0.25">
      <c r="A455" s="73"/>
      <c r="B455" s="73"/>
    </row>
    <row r="456" spans="1:2" ht="15.75" customHeight="1" x14ac:dyDescent="0.25">
      <c r="A456" s="73"/>
      <c r="B456" s="73"/>
    </row>
    <row r="457" spans="1:2" ht="15.75" customHeight="1" x14ac:dyDescent="0.25">
      <c r="A457" s="73"/>
      <c r="B457" s="73"/>
    </row>
    <row r="458" spans="1:2" ht="15.75" customHeight="1" x14ac:dyDescent="0.25">
      <c r="A458" s="73"/>
      <c r="B458" s="73"/>
    </row>
    <row r="459" spans="1:2" ht="15.75" customHeight="1" x14ac:dyDescent="0.25">
      <c r="A459" s="73"/>
      <c r="B459" s="73"/>
    </row>
    <row r="460" spans="1:2" ht="15.75" customHeight="1" x14ac:dyDescent="0.25">
      <c r="A460" s="73"/>
      <c r="B460" s="73"/>
    </row>
    <row r="461" spans="1:2" ht="15.75" customHeight="1" x14ac:dyDescent="0.25">
      <c r="A461" s="73"/>
      <c r="B461" s="73"/>
    </row>
    <row r="462" spans="1:2" ht="15.75" customHeight="1" x14ac:dyDescent="0.25">
      <c r="A462" s="73"/>
      <c r="B462" s="73"/>
    </row>
    <row r="463" spans="1:2" ht="15.75" customHeight="1" x14ac:dyDescent="0.25">
      <c r="A463" s="73"/>
      <c r="B463" s="73"/>
    </row>
    <row r="464" spans="1:2" ht="15.75" customHeight="1" x14ac:dyDescent="0.25">
      <c r="A464" s="73"/>
      <c r="B464" s="73"/>
    </row>
    <row r="465" spans="1:2" ht="15.75" customHeight="1" x14ac:dyDescent="0.25">
      <c r="A465" s="73"/>
      <c r="B465" s="73"/>
    </row>
    <row r="466" spans="1:2" ht="15.75" customHeight="1" x14ac:dyDescent="0.25">
      <c r="A466" s="73"/>
      <c r="B466" s="73"/>
    </row>
    <row r="467" spans="1:2" ht="15.75" customHeight="1" x14ac:dyDescent="0.25">
      <c r="A467" s="73"/>
      <c r="B467" s="73"/>
    </row>
    <row r="468" spans="1:2" ht="15.75" customHeight="1" x14ac:dyDescent="0.25">
      <c r="A468" s="73"/>
      <c r="B468" s="73"/>
    </row>
    <row r="469" spans="1:2" ht="15.75" customHeight="1" x14ac:dyDescent="0.25">
      <c r="A469" s="73"/>
      <c r="B469" s="73"/>
    </row>
    <row r="470" spans="1:2" ht="15.75" customHeight="1" x14ac:dyDescent="0.25">
      <c r="A470" s="73"/>
      <c r="B470" s="73"/>
    </row>
    <row r="471" spans="1:2" ht="15.75" customHeight="1" x14ac:dyDescent="0.25">
      <c r="A471" s="73"/>
      <c r="B471" s="73"/>
    </row>
    <row r="472" spans="1:2" ht="15.75" customHeight="1" x14ac:dyDescent="0.25">
      <c r="A472" s="73"/>
      <c r="B472" s="73"/>
    </row>
    <row r="473" spans="1:2" ht="15.75" customHeight="1" x14ac:dyDescent="0.25">
      <c r="A473" s="73"/>
      <c r="B473" s="73"/>
    </row>
    <row r="474" spans="1:2" ht="15.75" customHeight="1" x14ac:dyDescent="0.25">
      <c r="A474" s="73"/>
      <c r="B474" s="73"/>
    </row>
    <row r="475" spans="1:2" ht="15.75" customHeight="1" x14ac:dyDescent="0.25">
      <c r="A475" s="73"/>
      <c r="B475" s="73"/>
    </row>
    <row r="476" spans="1:2" ht="15.75" customHeight="1" x14ac:dyDescent="0.25">
      <c r="A476" s="73"/>
      <c r="B476" s="73"/>
    </row>
    <row r="477" spans="1:2" ht="15.75" customHeight="1" x14ac:dyDescent="0.25">
      <c r="A477" s="73"/>
      <c r="B477" s="73"/>
    </row>
    <row r="478" spans="1:2" ht="15.75" customHeight="1" x14ac:dyDescent="0.25">
      <c r="A478" s="73"/>
      <c r="B478" s="73"/>
    </row>
    <row r="479" spans="1:2" ht="15.75" customHeight="1" x14ac:dyDescent="0.25">
      <c r="A479" s="73"/>
      <c r="B479" s="73"/>
    </row>
    <row r="480" spans="1:2" ht="15.75" customHeight="1" x14ac:dyDescent="0.25">
      <c r="A480" s="73"/>
      <c r="B480" s="73"/>
    </row>
    <row r="481" spans="1:2" ht="15.75" customHeight="1" x14ac:dyDescent="0.25">
      <c r="A481" s="73"/>
      <c r="B481" s="73"/>
    </row>
    <row r="482" spans="1:2" ht="15.75" customHeight="1" x14ac:dyDescent="0.25">
      <c r="A482" s="73"/>
      <c r="B482" s="73"/>
    </row>
    <row r="483" spans="1:2" ht="15.75" customHeight="1" x14ac:dyDescent="0.25">
      <c r="A483" s="73"/>
      <c r="B483" s="73"/>
    </row>
    <row r="484" spans="1:2" ht="15.75" customHeight="1" x14ac:dyDescent="0.25">
      <c r="A484" s="73"/>
      <c r="B484" s="73"/>
    </row>
    <row r="485" spans="1:2" ht="15.75" customHeight="1" x14ac:dyDescent="0.25">
      <c r="A485" s="73"/>
      <c r="B485" s="73"/>
    </row>
    <row r="486" spans="1:2" ht="15.75" customHeight="1" x14ac:dyDescent="0.25">
      <c r="A486" s="73"/>
      <c r="B486" s="73"/>
    </row>
    <row r="487" spans="1:2" ht="15.75" customHeight="1" x14ac:dyDescent="0.25">
      <c r="A487" s="73"/>
      <c r="B487" s="73"/>
    </row>
    <row r="488" spans="1:2" ht="15.75" customHeight="1" x14ac:dyDescent="0.25">
      <c r="A488" s="73"/>
      <c r="B488" s="73"/>
    </row>
    <row r="489" spans="1:2" ht="15.75" customHeight="1" x14ac:dyDescent="0.25">
      <c r="A489" s="73"/>
      <c r="B489" s="73"/>
    </row>
    <row r="490" spans="1:2" ht="15.75" customHeight="1" x14ac:dyDescent="0.25">
      <c r="A490" s="73"/>
      <c r="B490" s="73"/>
    </row>
    <row r="491" spans="1:2" ht="15.75" customHeight="1" x14ac:dyDescent="0.25">
      <c r="A491" s="73"/>
      <c r="B491" s="73"/>
    </row>
    <row r="492" spans="1:2" ht="15.75" customHeight="1" x14ac:dyDescent="0.25">
      <c r="A492" s="73"/>
      <c r="B492" s="73"/>
    </row>
    <row r="493" spans="1:2" ht="15.75" customHeight="1" x14ac:dyDescent="0.25">
      <c r="A493" s="73"/>
      <c r="B493" s="73"/>
    </row>
    <row r="494" spans="1:2" ht="15.75" customHeight="1" x14ac:dyDescent="0.25">
      <c r="A494" s="73"/>
      <c r="B494" s="73"/>
    </row>
    <row r="495" spans="1:2" ht="15.75" customHeight="1" x14ac:dyDescent="0.25">
      <c r="A495" s="73"/>
      <c r="B495" s="73"/>
    </row>
    <row r="496" spans="1:2" ht="15.75" customHeight="1" x14ac:dyDescent="0.25">
      <c r="A496" s="73"/>
      <c r="B496" s="73"/>
    </row>
    <row r="497" spans="1:2" ht="15.75" customHeight="1" x14ac:dyDescent="0.25">
      <c r="A497" s="73"/>
      <c r="B497" s="73"/>
    </row>
    <row r="498" spans="1:2" ht="15.75" customHeight="1" x14ac:dyDescent="0.25">
      <c r="A498" s="73"/>
      <c r="B498" s="73"/>
    </row>
    <row r="499" spans="1:2" ht="15.75" customHeight="1" x14ac:dyDescent="0.25">
      <c r="A499" s="73"/>
      <c r="B499" s="73"/>
    </row>
    <row r="500" spans="1:2" ht="15.75" customHeight="1" x14ac:dyDescent="0.25">
      <c r="A500" s="73"/>
      <c r="B500" s="73"/>
    </row>
    <row r="501" spans="1:2" ht="15.75" customHeight="1" x14ac:dyDescent="0.25">
      <c r="A501" s="73"/>
      <c r="B501" s="73"/>
    </row>
    <row r="502" spans="1:2" ht="15.75" customHeight="1" x14ac:dyDescent="0.25">
      <c r="A502" s="73"/>
      <c r="B502" s="73"/>
    </row>
    <row r="503" spans="1:2" ht="15.75" customHeight="1" x14ac:dyDescent="0.25">
      <c r="A503" s="73"/>
      <c r="B503" s="73"/>
    </row>
    <row r="504" spans="1:2" ht="15.75" customHeight="1" x14ac:dyDescent="0.25">
      <c r="A504" s="73"/>
      <c r="B504" s="73"/>
    </row>
    <row r="505" spans="1:2" ht="15.75" customHeight="1" x14ac:dyDescent="0.25">
      <c r="A505" s="73"/>
      <c r="B505" s="73"/>
    </row>
    <row r="506" spans="1:2" ht="15.75" customHeight="1" x14ac:dyDescent="0.25">
      <c r="A506" s="73"/>
      <c r="B506" s="73"/>
    </row>
    <row r="507" spans="1:2" ht="15.75" customHeight="1" x14ac:dyDescent="0.25">
      <c r="A507" s="73"/>
      <c r="B507" s="73"/>
    </row>
    <row r="508" spans="1:2" ht="15.75" customHeight="1" x14ac:dyDescent="0.25">
      <c r="A508" s="73"/>
      <c r="B508" s="73"/>
    </row>
    <row r="509" spans="1:2" ht="15.75" customHeight="1" x14ac:dyDescent="0.25">
      <c r="A509" s="73"/>
      <c r="B509" s="73"/>
    </row>
    <row r="510" spans="1:2" ht="15.75" customHeight="1" x14ac:dyDescent="0.25">
      <c r="A510" s="73"/>
      <c r="B510" s="73"/>
    </row>
    <row r="511" spans="1:2" ht="15.75" customHeight="1" x14ac:dyDescent="0.25">
      <c r="A511" s="73"/>
      <c r="B511" s="73"/>
    </row>
    <row r="512" spans="1:2" ht="15.75" customHeight="1" x14ac:dyDescent="0.25">
      <c r="A512" s="73"/>
      <c r="B512" s="73"/>
    </row>
    <row r="513" spans="1:2" ht="15.75" customHeight="1" x14ac:dyDescent="0.25">
      <c r="A513" s="73"/>
      <c r="B513" s="73"/>
    </row>
    <row r="514" spans="1:2" ht="15.75" customHeight="1" x14ac:dyDescent="0.25">
      <c r="A514" s="73"/>
      <c r="B514" s="73"/>
    </row>
    <row r="515" spans="1:2" ht="15.75" customHeight="1" x14ac:dyDescent="0.25">
      <c r="A515" s="73"/>
      <c r="B515" s="73"/>
    </row>
    <row r="516" spans="1:2" ht="15.75" customHeight="1" x14ac:dyDescent="0.25">
      <c r="A516" s="73"/>
      <c r="B516" s="73"/>
    </row>
    <row r="517" spans="1:2" ht="15.75" customHeight="1" x14ac:dyDescent="0.25">
      <c r="A517" s="73"/>
      <c r="B517" s="73"/>
    </row>
    <row r="518" spans="1:2" ht="15.75" customHeight="1" x14ac:dyDescent="0.25">
      <c r="A518" s="73"/>
      <c r="B518" s="73"/>
    </row>
    <row r="519" spans="1:2" ht="15.75" customHeight="1" x14ac:dyDescent="0.25">
      <c r="A519" s="73"/>
      <c r="B519" s="73"/>
    </row>
    <row r="520" spans="1:2" ht="15.75" customHeight="1" x14ac:dyDescent="0.25">
      <c r="A520" s="73"/>
      <c r="B520" s="73"/>
    </row>
    <row r="521" spans="1:2" ht="15.75" customHeight="1" x14ac:dyDescent="0.25">
      <c r="A521" s="73"/>
      <c r="B521" s="73"/>
    </row>
    <row r="522" spans="1:2" ht="15.75" customHeight="1" x14ac:dyDescent="0.25">
      <c r="A522" s="73"/>
      <c r="B522" s="73"/>
    </row>
    <row r="523" spans="1:2" ht="15.75" customHeight="1" x14ac:dyDescent="0.25">
      <c r="A523" s="73"/>
      <c r="B523" s="73"/>
    </row>
    <row r="524" spans="1:2" ht="15.75" customHeight="1" x14ac:dyDescent="0.25">
      <c r="A524" s="73"/>
      <c r="B524" s="73"/>
    </row>
    <row r="525" spans="1:2" ht="15.75" customHeight="1" x14ac:dyDescent="0.25">
      <c r="A525" s="73"/>
      <c r="B525" s="73"/>
    </row>
    <row r="526" spans="1:2" ht="15.75" customHeight="1" x14ac:dyDescent="0.25">
      <c r="A526" s="73"/>
      <c r="B526" s="73"/>
    </row>
    <row r="527" spans="1:2" ht="15.75" customHeight="1" x14ac:dyDescent="0.25">
      <c r="A527" s="73"/>
      <c r="B527" s="73"/>
    </row>
    <row r="528" spans="1:2" ht="15.75" customHeight="1" x14ac:dyDescent="0.25">
      <c r="A528" s="73"/>
      <c r="B528" s="73"/>
    </row>
    <row r="529" spans="1:2" ht="15.75" customHeight="1" x14ac:dyDescent="0.25">
      <c r="A529" s="73"/>
      <c r="B529" s="73"/>
    </row>
    <row r="530" spans="1:2" ht="15.75" customHeight="1" x14ac:dyDescent="0.25">
      <c r="A530" s="73"/>
      <c r="B530" s="73"/>
    </row>
    <row r="531" spans="1:2" ht="15.75" customHeight="1" x14ac:dyDescent="0.25">
      <c r="A531" s="73"/>
      <c r="B531" s="73"/>
    </row>
    <row r="532" spans="1:2" ht="15.75" customHeight="1" x14ac:dyDescent="0.25">
      <c r="A532" s="73"/>
      <c r="B532" s="73"/>
    </row>
    <row r="533" spans="1:2" ht="15.75" customHeight="1" x14ac:dyDescent="0.25">
      <c r="A533" s="73"/>
      <c r="B533" s="73"/>
    </row>
    <row r="534" spans="1:2" ht="15.75" customHeight="1" x14ac:dyDescent="0.25">
      <c r="A534" s="73"/>
      <c r="B534" s="73"/>
    </row>
    <row r="535" spans="1:2" ht="15.75" customHeight="1" x14ac:dyDescent="0.25">
      <c r="A535" s="73"/>
      <c r="B535" s="73"/>
    </row>
    <row r="536" spans="1:2" ht="15.75" customHeight="1" x14ac:dyDescent="0.25">
      <c r="A536" s="73"/>
      <c r="B536" s="73"/>
    </row>
    <row r="537" spans="1:2" ht="15.75" customHeight="1" x14ac:dyDescent="0.25">
      <c r="A537" s="73"/>
      <c r="B537" s="73"/>
    </row>
    <row r="538" spans="1:2" ht="15.75" customHeight="1" x14ac:dyDescent="0.25">
      <c r="A538" s="73"/>
      <c r="B538" s="73"/>
    </row>
    <row r="539" spans="1:2" ht="15.75" customHeight="1" x14ac:dyDescent="0.25">
      <c r="A539" s="73"/>
      <c r="B539" s="73"/>
    </row>
    <row r="540" spans="1:2" ht="15.75" customHeight="1" x14ac:dyDescent="0.25">
      <c r="A540" s="73"/>
      <c r="B540" s="73"/>
    </row>
    <row r="541" spans="1:2" ht="15.75" customHeight="1" x14ac:dyDescent="0.25">
      <c r="A541" s="73"/>
      <c r="B541" s="73"/>
    </row>
    <row r="542" spans="1:2" ht="15.75" customHeight="1" x14ac:dyDescent="0.25">
      <c r="A542" s="73"/>
      <c r="B542" s="73"/>
    </row>
    <row r="543" spans="1:2" ht="15.75" customHeight="1" x14ac:dyDescent="0.25">
      <c r="A543" s="73"/>
      <c r="B543" s="73"/>
    </row>
    <row r="544" spans="1:2" ht="15.75" customHeight="1" x14ac:dyDescent="0.25">
      <c r="A544" s="73"/>
      <c r="B544" s="73"/>
    </row>
    <row r="545" spans="1:2" ht="15.75" customHeight="1" x14ac:dyDescent="0.25">
      <c r="A545" s="73"/>
      <c r="B545" s="73"/>
    </row>
    <row r="546" spans="1:2" ht="15.75" customHeight="1" x14ac:dyDescent="0.25">
      <c r="A546" s="73"/>
      <c r="B546" s="73"/>
    </row>
    <row r="547" spans="1:2" ht="15.75" customHeight="1" x14ac:dyDescent="0.25">
      <c r="A547" s="73"/>
      <c r="B547" s="73"/>
    </row>
    <row r="548" spans="1:2" ht="15.75" customHeight="1" x14ac:dyDescent="0.25">
      <c r="A548" s="73"/>
      <c r="B548" s="73"/>
    </row>
    <row r="549" spans="1:2" ht="15.75" customHeight="1" x14ac:dyDescent="0.25">
      <c r="A549" s="73"/>
      <c r="B549" s="73"/>
    </row>
    <row r="550" spans="1:2" ht="15.75" customHeight="1" x14ac:dyDescent="0.25">
      <c r="A550" s="73"/>
      <c r="B550" s="73"/>
    </row>
    <row r="551" spans="1:2" ht="15.75" customHeight="1" x14ac:dyDescent="0.25">
      <c r="A551" s="73"/>
      <c r="B551" s="73"/>
    </row>
    <row r="552" spans="1:2" ht="15.75" customHeight="1" x14ac:dyDescent="0.25">
      <c r="A552" s="73"/>
      <c r="B552" s="73"/>
    </row>
    <row r="553" spans="1:2" ht="15.75" customHeight="1" x14ac:dyDescent="0.25">
      <c r="A553" s="73"/>
      <c r="B553" s="73"/>
    </row>
    <row r="554" spans="1:2" ht="15.75" customHeight="1" x14ac:dyDescent="0.25">
      <c r="A554" s="73"/>
      <c r="B554" s="73"/>
    </row>
    <row r="555" spans="1:2" ht="15.75" customHeight="1" x14ac:dyDescent="0.25">
      <c r="A555" s="73"/>
      <c r="B555" s="73"/>
    </row>
    <row r="556" spans="1:2" ht="15.75" customHeight="1" x14ac:dyDescent="0.25">
      <c r="A556" s="73"/>
      <c r="B556" s="73"/>
    </row>
    <row r="557" spans="1:2" ht="15.75" customHeight="1" x14ac:dyDescent="0.25">
      <c r="A557" s="73"/>
      <c r="B557" s="73"/>
    </row>
    <row r="558" spans="1:2" ht="15.75" customHeight="1" x14ac:dyDescent="0.25">
      <c r="A558" s="73"/>
      <c r="B558" s="73"/>
    </row>
    <row r="559" spans="1:2" ht="15.75" customHeight="1" x14ac:dyDescent="0.25">
      <c r="A559" s="73"/>
      <c r="B559" s="73"/>
    </row>
    <row r="560" spans="1:2" ht="15.75" customHeight="1" x14ac:dyDescent="0.25">
      <c r="A560" s="73"/>
      <c r="B560" s="73"/>
    </row>
    <row r="561" spans="1:2" ht="15.75" customHeight="1" x14ac:dyDescent="0.25">
      <c r="A561" s="73"/>
      <c r="B561" s="73"/>
    </row>
    <row r="562" spans="1:2" ht="15.75" customHeight="1" x14ac:dyDescent="0.25">
      <c r="A562" s="73"/>
      <c r="B562" s="73"/>
    </row>
    <row r="563" spans="1:2" ht="15.75" customHeight="1" x14ac:dyDescent="0.25">
      <c r="A563" s="73"/>
      <c r="B563" s="73"/>
    </row>
    <row r="564" spans="1:2" ht="15.75" customHeight="1" x14ac:dyDescent="0.25">
      <c r="A564" s="73"/>
      <c r="B564" s="73"/>
    </row>
    <row r="565" spans="1:2" ht="15.75" customHeight="1" x14ac:dyDescent="0.25">
      <c r="A565" s="73"/>
      <c r="B565" s="73"/>
    </row>
    <row r="566" spans="1:2" ht="15.75" customHeight="1" x14ac:dyDescent="0.25">
      <c r="A566" s="73"/>
      <c r="B566" s="73"/>
    </row>
    <row r="567" spans="1:2" ht="15.75" customHeight="1" x14ac:dyDescent="0.25">
      <c r="A567" s="73"/>
      <c r="B567" s="73"/>
    </row>
    <row r="568" spans="1:2" ht="15.75" customHeight="1" x14ac:dyDescent="0.25">
      <c r="A568" s="73"/>
      <c r="B568" s="73"/>
    </row>
    <row r="569" spans="1:2" ht="15.75" customHeight="1" x14ac:dyDescent="0.25">
      <c r="A569" s="73"/>
      <c r="B569" s="73"/>
    </row>
    <row r="570" spans="1:2" ht="15.75" customHeight="1" x14ac:dyDescent="0.25">
      <c r="A570" s="73"/>
      <c r="B570" s="73"/>
    </row>
    <row r="571" spans="1:2" ht="15.75" customHeight="1" x14ac:dyDescent="0.25">
      <c r="A571" s="73"/>
      <c r="B571" s="73"/>
    </row>
    <row r="572" spans="1:2" ht="15.75" customHeight="1" x14ac:dyDescent="0.25">
      <c r="A572" s="73"/>
      <c r="B572" s="73"/>
    </row>
    <row r="573" spans="1:2" ht="15.75" customHeight="1" x14ac:dyDescent="0.25">
      <c r="A573" s="73"/>
      <c r="B573" s="73"/>
    </row>
    <row r="574" spans="1:2" ht="15.75" customHeight="1" x14ac:dyDescent="0.25">
      <c r="A574" s="73"/>
      <c r="B574" s="73"/>
    </row>
    <row r="575" spans="1:2" ht="15.75" customHeight="1" x14ac:dyDescent="0.25">
      <c r="A575" s="73"/>
      <c r="B575" s="73"/>
    </row>
    <row r="576" spans="1:2" ht="15.75" customHeight="1" x14ac:dyDescent="0.25">
      <c r="A576" s="73"/>
      <c r="B576" s="73"/>
    </row>
    <row r="577" spans="1:2" ht="15.75" customHeight="1" x14ac:dyDescent="0.25">
      <c r="A577" s="73"/>
      <c r="B577" s="73"/>
    </row>
    <row r="578" spans="1:2" ht="15.75" customHeight="1" x14ac:dyDescent="0.25">
      <c r="A578" s="73"/>
      <c r="B578" s="73"/>
    </row>
    <row r="579" spans="1:2" ht="15.75" customHeight="1" x14ac:dyDescent="0.25">
      <c r="A579" s="73"/>
      <c r="B579" s="73"/>
    </row>
    <row r="580" spans="1:2" ht="15.75" customHeight="1" x14ac:dyDescent="0.25">
      <c r="A580" s="73"/>
      <c r="B580" s="73"/>
    </row>
    <row r="581" spans="1:2" ht="15.75" customHeight="1" x14ac:dyDescent="0.25">
      <c r="A581" s="73"/>
      <c r="B581" s="73"/>
    </row>
    <row r="582" spans="1:2" ht="15.75" customHeight="1" x14ac:dyDescent="0.25">
      <c r="A582" s="73"/>
      <c r="B582" s="73"/>
    </row>
    <row r="583" spans="1:2" ht="15.75" customHeight="1" x14ac:dyDescent="0.25">
      <c r="A583" s="73"/>
      <c r="B583" s="73"/>
    </row>
    <row r="584" spans="1:2" ht="15.75" customHeight="1" x14ac:dyDescent="0.25">
      <c r="A584" s="73"/>
      <c r="B584" s="73"/>
    </row>
    <row r="585" spans="1:2" ht="15.75" customHeight="1" x14ac:dyDescent="0.25">
      <c r="A585" s="73"/>
      <c r="B585" s="73"/>
    </row>
    <row r="586" spans="1:2" ht="15.75" customHeight="1" x14ac:dyDescent="0.25">
      <c r="A586" s="73"/>
      <c r="B586" s="73"/>
    </row>
    <row r="587" spans="1:2" ht="15.75" customHeight="1" x14ac:dyDescent="0.25">
      <c r="A587" s="73"/>
      <c r="B587" s="73"/>
    </row>
    <row r="588" spans="1:2" ht="15.75" customHeight="1" x14ac:dyDescent="0.25">
      <c r="A588" s="73"/>
      <c r="B588" s="73"/>
    </row>
    <row r="589" spans="1:2" ht="15.75" customHeight="1" x14ac:dyDescent="0.25">
      <c r="A589" s="73"/>
      <c r="B589" s="73"/>
    </row>
    <row r="590" spans="1:2" ht="15.75" customHeight="1" x14ac:dyDescent="0.25">
      <c r="A590" s="73"/>
      <c r="B590" s="73"/>
    </row>
    <row r="591" spans="1:2" ht="15.75" customHeight="1" x14ac:dyDescent="0.25">
      <c r="A591" s="73"/>
      <c r="B591" s="73"/>
    </row>
    <row r="592" spans="1:2" ht="15.75" customHeight="1" x14ac:dyDescent="0.25">
      <c r="A592" s="73"/>
      <c r="B592" s="73"/>
    </row>
    <row r="593" spans="1:2" ht="15.75" customHeight="1" x14ac:dyDescent="0.25">
      <c r="A593" s="73"/>
      <c r="B593" s="73"/>
    </row>
    <row r="594" spans="1:2" ht="15.75" customHeight="1" x14ac:dyDescent="0.25">
      <c r="A594" s="73"/>
      <c r="B594" s="73"/>
    </row>
    <row r="595" spans="1:2" ht="15.75" customHeight="1" x14ac:dyDescent="0.25">
      <c r="A595" s="73"/>
      <c r="B595" s="73"/>
    </row>
    <row r="596" spans="1:2" ht="15.75" customHeight="1" x14ac:dyDescent="0.25">
      <c r="A596" s="73"/>
      <c r="B596" s="73"/>
    </row>
    <row r="597" spans="1:2" ht="15.75" customHeight="1" x14ac:dyDescent="0.25">
      <c r="A597" s="73"/>
      <c r="B597" s="73"/>
    </row>
    <row r="598" spans="1:2" ht="15.75" customHeight="1" x14ac:dyDescent="0.25">
      <c r="A598" s="73"/>
      <c r="B598" s="73"/>
    </row>
    <row r="599" spans="1:2" ht="15.75" customHeight="1" x14ac:dyDescent="0.25">
      <c r="A599" s="73"/>
      <c r="B599" s="73"/>
    </row>
    <row r="600" spans="1:2" ht="15.75" customHeight="1" x14ac:dyDescent="0.25">
      <c r="A600" s="73"/>
      <c r="B600" s="73"/>
    </row>
    <row r="601" spans="1:2" ht="15.75" customHeight="1" x14ac:dyDescent="0.25">
      <c r="A601" s="73"/>
      <c r="B601" s="73"/>
    </row>
    <row r="602" spans="1:2" ht="15.75" customHeight="1" x14ac:dyDescent="0.25">
      <c r="A602" s="73"/>
      <c r="B602" s="73"/>
    </row>
    <row r="603" spans="1:2" ht="15.75" customHeight="1" x14ac:dyDescent="0.25">
      <c r="A603" s="73"/>
      <c r="B603" s="73"/>
    </row>
    <row r="604" spans="1:2" ht="15.75" customHeight="1" x14ac:dyDescent="0.25">
      <c r="A604" s="73"/>
      <c r="B604" s="73"/>
    </row>
    <row r="605" spans="1:2" ht="15.75" customHeight="1" x14ac:dyDescent="0.25">
      <c r="A605" s="73"/>
      <c r="B605" s="73"/>
    </row>
    <row r="606" spans="1:2" ht="15.75" customHeight="1" x14ac:dyDescent="0.25">
      <c r="A606" s="73"/>
      <c r="B606" s="73"/>
    </row>
    <row r="607" spans="1:2" ht="15.75" customHeight="1" x14ac:dyDescent="0.25">
      <c r="A607" s="73"/>
      <c r="B607" s="73"/>
    </row>
    <row r="608" spans="1:2" ht="15.75" customHeight="1" x14ac:dyDescent="0.25">
      <c r="A608" s="73"/>
      <c r="B608" s="73"/>
    </row>
    <row r="609" spans="1:2" ht="15.75" customHeight="1" x14ac:dyDescent="0.25">
      <c r="A609" s="73"/>
      <c r="B609" s="73"/>
    </row>
    <row r="610" spans="1:2" ht="15.75" customHeight="1" x14ac:dyDescent="0.25">
      <c r="A610" s="73"/>
      <c r="B610" s="73"/>
    </row>
    <row r="611" spans="1:2" ht="15.75" customHeight="1" x14ac:dyDescent="0.25">
      <c r="A611" s="73"/>
      <c r="B611" s="73"/>
    </row>
    <row r="612" spans="1:2" ht="15.75" customHeight="1" x14ac:dyDescent="0.25">
      <c r="A612" s="73"/>
      <c r="B612" s="73"/>
    </row>
    <row r="613" spans="1:2" ht="15.75" customHeight="1" x14ac:dyDescent="0.25">
      <c r="A613" s="73"/>
      <c r="B613" s="73"/>
    </row>
    <row r="614" spans="1:2" ht="15.75" customHeight="1" x14ac:dyDescent="0.25">
      <c r="A614" s="73"/>
      <c r="B614" s="73"/>
    </row>
    <row r="615" spans="1:2" ht="15.75" customHeight="1" x14ac:dyDescent="0.25">
      <c r="A615" s="73"/>
      <c r="B615" s="73"/>
    </row>
    <row r="616" spans="1:2" ht="15.75" customHeight="1" x14ac:dyDescent="0.25">
      <c r="A616" s="73"/>
      <c r="B616" s="73"/>
    </row>
    <row r="617" spans="1:2" ht="15.75" customHeight="1" x14ac:dyDescent="0.25">
      <c r="A617" s="73"/>
      <c r="B617" s="73"/>
    </row>
    <row r="618" spans="1:2" ht="15.75" customHeight="1" x14ac:dyDescent="0.25">
      <c r="A618" s="73"/>
      <c r="B618" s="73"/>
    </row>
    <row r="619" spans="1:2" ht="15.75" customHeight="1" x14ac:dyDescent="0.25">
      <c r="A619" s="73"/>
      <c r="B619" s="73"/>
    </row>
    <row r="620" spans="1:2" ht="15.75" customHeight="1" x14ac:dyDescent="0.25">
      <c r="A620" s="73"/>
      <c r="B620" s="73"/>
    </row>
    <row r="621" spans="1:2" ht="15.75" customHeight="1" x14ac:dyDescent="0.25">
      <c r="A621" s="73"/>
      <c r="B621" s="73"/>
    </row>
    <row r="622" spans="1:2" ht="15.75" customHeight="1" x14ac:dyDescent="0.25">
      <c r="A622" s="73"/>
      <c r="B622" s="73"/>
    </row>
    <row r="623" spans="1:2" ht="15.75" customHeight="1" x14ac:dyDescent="0.25">
      <c r="A623" s="73"/>
      <c r="B623" s="73"/>
    </row>
    <row r="624" spans="1:2" ht="15.75" customHeight="1" x14ac:dyDescent="0.25">
      <c r="A624" s="73"/>
      <c r="B624" s="73"/>
    </row>
    <row r="625" spans="1:2" ht="15.75" customHeight="1" x14ac:dyDescent="0.25">
      <c r="A625" s="73"/>
      <c r="B625" s="73"/>
    </row>
    <row r="626" spans="1:2" ht="15.75" customHeight="1" x14ac:dyDescent="0.25">
      <c r="A626" s="73"/>
      <c r="B626" s="73"/>
    </row>
    <row r="627" spans="1:2" ht="15.75" customHeight="1" x14ac:dyDescent="0.25">
      <c r="A627" s="73"/>
      <c r="B627" s="73"/>
    </row>
    <row r="628" spans="1:2" ht="15.75" customHeight="1" x14ac:dyDescent="0.25">
      <c r="A628" s="73"/>
      <c r="B628" s="73"/>
    </row>
    <row r="629" spans="1:2" ht="15.75" customHeight="1" x14ac:dyDescent="0.25">
      <c r="A629" s="73"/>
      <c r="B629" s="73"/>
    </row>
    <row r="630" spans="1:2" ht="15.75" customHeight="1" x14ac:dyDescent="0.25">
      <c r="A630" s="73"/>
      <c r="B630" s="73"/>
    </row>
    <row r="631" spans="1:2" ht="15.75" customHeight="1" x14ac:dyDescent="0.25">
      <c r="A631" s="73"/>
      <c r="B631" s="73"/>
    </row>
    <row r="632" spans="1:2" ht="15.75" customHeight="1" x14ac:dyDescent="0.25">
      <c r="A632" s="73"/>
      <c r="B632" s="73"/>
    </row>
    <row r="633" spans="1:2" ht="15.75" customHeight="1" x14ac:dyDescent="0.25">
      <c r="A633" s="73"/>
      <c r="B633" s="73"/>
    </row>
    <row r="634" spans="1:2" ht="15.75" customHeight="1" x14ac:dyDescent="0.25">
      <c r="A634" s="73"/>
      <c r="B634" s="73"/>
    </row>
    <row r="635" spans="1:2" ht="15.75" customHeight="1" x14ac:dyDescent="0.25">
      <c r="A635" s="73"/>
      <c r="B635" s="73"/>
    </row>
    <row r="636" spans="1:2" ht="15.75" customHeight="1" x14ac:dyDescent="0.25">
      <c r="A636" s="73"/>
      <c r="B636" s="73"/>
    </row>
    <row r="637" spans="1:2" ht="15.75" customHeight="1" x14ac:dyDescent="0.25">
      <c r="A637" s="73"/>
      <c r="B637" s="73"/>
    </row>
    <row r="638" spans="1:2" ht="15.75" customHeight="1" x14ac:dyDescent="0.25">
      <c r="A638" s="73"/>
      <c r="B638" s="73"/>
    </row>
    <row r="639" spans="1:2" ht="15.75" customHeight="1" x14ac:dyDescent="0.25">
      <c r="A639" s="73"/>
      <c r="B639" s="73"/>
    </row>
    <row r="640" spans="1:2" ht="15.75" customHeight="1" x14ac:dyDescent="0.25">
      <c r="A640" s="73"/>
      <c r="B640" s="73"/>
    </row>
    <row r="641" spans="1:2" ht="15.75" customHeight="1" x14ac:dyDescent="0.25">
      <c r="A641" s="73"/>
      <c r="B641" s="73"/>
    </row>
    <row r="642" spans="1:2" ht="15.75" customHeight="1" x14ac:dyDescent="0.25">
      <c r="A642" s="73"/>
      <c r="B642" s="73"/>
    </row>
    <row r="643" spans="1:2" ht="15.75" customHeight="1" x14ac:dyDescent="0.25">
      <c r="A643" s="73"/>
      <c r="B643" s="73"/>
    </row>
    <row r="644" spans="1:2" ht="15.75" customHeight="1" x14ac:dyDescent="0.25">
      <c r="A644" s="73"/>
      <c r="B644" s="73"/>
    </row>
    <row r="645" spans="1:2" ht="15.75" customHeight="1" x14ac:dyDescent="0.25">
      <c r="A645" s="73"/>
      <c r="B645" s="73"/>
    </row>
    <row r="646" spans="1:2" ht="15.75" customHeight="1" x14ac:dyDescent="0.25">
      <c r="A646" s="73"/>
      <c r="B646" s="73"/>
    </row>
    <row r="647" spans="1:2" ht="15.75" customHeight="1" x14ac:dyDescent="0.25">
      <c r="A647" s="73"/>
      <c r="B647" s="73"/>
    </row>
    <row r="648" spans="1:2" ht="15.75" customHeight="1" x14ac:dyDescent="0.25">
      <c r="A648" s="73"/>
      <c r="B648" s="73"/>
    </row>
    <row r="649" spans="1:2" ht="15.75" customHeight="1" x14ac:dyDescent="0.25">
      <c r="A649" s="73"/>
      <c r="B649" s="73"/>
    </row>
    <row r="650" spans="1:2" ht="15.75" customHeight="1" x14ac:dyDescent="0.25">
      <c r="A650" s="73"/>
      <c r="B650" s="73"/>
    </row>
    <row r="651" spans="1:2" ht="15.75" customHeight="1" x14ac:dyDescent="0.25">
      <c r="A651" s="73"/>
      <c r="B651" s="73"/>
    </row>
    <row r="652" spans="1:2" ht="15.75" customHeight="1" x14ac:dyDescent="0.25">
      <c r="A652" s="73"/>
      <c r="B652" s="73"/>
    </row>
    <row r="653" spans="1:2" ht="15.75" customHeight="1" x14ac:dyDescent="0.25">
      <c r="A653" s="73"/>
      <c r="B653" s="73"/>
    </row>
    <row r="654" spans="1:2" ht="15.75" customHeight="1" x14ac:dyDescent="0.25">
      <c r="A654" s="73"/>
      <c r="B654" s="73"/>
    </row>
    <row r="655" spans="1:2" ht="15.75" customHeight="1" x14ac:dyDescent="0.25">
      <c r="A655" s="73"/>
      <c r="B655" s="73"/>
    </row>
    <row r="656" spans="1:2" ht="15.75" customHeight="1" x14ac:dyDescent="0.25">
      <c r="A656" s="73"/>
      <c r="B656" s="73"/>
    </row>
    <row r="657" spans="1:2" ht="15.75" customHeight="1" x14ac:dyDescent="0.25">
      <c r="A657" s="73"/>
      <c r="B657" s="73"/>
    </row>
    <row r="658" spans="1:2" ht="15.75" customHeight="1" x14ac:dyDescent="0.25">
      <c r="A658" s="73"/>
      <c r="B658" s="73"/>
    </row>
    <row r="659" spans="1:2" ht="15.75" customHeight="1" x14ac:dyDescent="0.25">
      <c r="A659" s="73"/>
      <c r="B659" s="73"/>
    </row>
    <row r="660" spans="1:2" ht="15.75" customHeight="1" x14ac:dyDescent="0.25">
      <c r="A660" s="73"/>
      <c r="B660" s="73"/>
    </row>
    <row r="661" spans="1:2" ht="15.75" customHeight="1" x14ac:dyDescent="0.25">
      <c r="A661" s="73"/>
      <c r="B661" s="73"/>
    </row>
    <row r="662" spans="1:2" ht="15.75" customHeight="1" x14ac:dyDescent="0.25">
      <c r="A662" s="73"/>
      <c r="B662" s="73"/>
    </row>
    <row r="663" spans="1:2" ht="15.75" customHeight="1" x14ac:dyDescent="0.25">
      <c r="A663" s="73"/>
      <c r="B663" s="73"/>
    </row>
    <row r="664" spans="1:2" ht="15.75" customHeight="1" x14ac:dyDescent="0.25">
      <c r="A664" s="73"/>
      <c r="B664" s="73"/>
    </row>
    <row r="665" spans="1:2" ht="15.75" customHeight="1" x14ac:dyDescent="0.25">
      <c r="A665" s="73"/>
      <c r="B665" s="73"/>
    </row>
    <row r="666" spans="1:2" ht="15.75" customHeight="1" x14ac:dyDescent="0.25">
      <c r="A666" s="73"/>
      <c r="B666" s="73"/>
    </row>
    <row r="667" spans="1:2" ht="15.75" customHeight="1" x14ac:dyDescent="0.25">
      <c r="A667" s="73"/>
      <c r="B667" s="73"/>
    </row>
    <row r="668" spans="1:2" ht="15.75" customHeight="1" x14ac:dyDescent="0.25">
      <c r="A668" s="73"/>
      <c r="B668" s="73"/>
    </row>
    <row r="669" spans="1:2" ht="15.75" customHeight="1" x14ac:dyDescent="0.25">
      <c r="A669" s="73"/>
      <c r="B669" s="73"/>
    </row>
    <row r="670" spans="1:2" ht="15.75" customHeight="1" x14ac:dyDescent="0.25">
      <c r="A670" s="73"/>
      <c r="B670" s="73"/>
    </row>
    <row r="671" spans="1:2" ht="15.75" customHeight="1" x14ac:dyDescent="0.25">
      <c r="A671" s="73"/>
      <c r="B671" s="73"/>
    </row>
    <row r="672" spans="1:2" ht="15.75" customHeight="1" x14ac:dyDescent="0.25">
      <c r="A672" s="73"/>
      <c r="B672" s="73"/>
    </row>
    <row r="673" spans="1:2" ht="15.75" customHeight="1" x14ac:dyDescent="0.25">
      <c r="A673" s="73"/>
      <c r="B673" s="73"/>
    </row>
    <row r="674" spans="1:2" ht="15.75" customHeight="1" x14ac:dyDescent="0.25">
      <c r="A674" s="73"/>
      <c r="B674" s="73"/>
    </row>
    <row r="675" spans="1:2" ht="15.75" customHeight="1" x14ac:dyDescent="0.25">
      <c r="A675" s="73"/>
      <c r="B675" s="73"/>
    </row>
    <row r="676" spans="1:2" ht="15.75" customHeight="1" x14ac:dyDescent="0.25">
      <c r="A676" s="73"/>
      <c r="B676" s="73"/>
    </row>
    <row r="677" spans="1:2" ht="15.75" customHeight="1" x14ac:dyDescent="0.25">
      <c r="A677" s="73"/>
      <c r="B677" s="73"/>
    </row>
    <row r="678" spans="1:2" ht="15.75" customHeight="1" x14ac:dyDescent="0.25">
      <c r="A678" s="73"/>
      <c r="B678" s="73"/>
    </row>
    <row r="679" spans="1:2" ht="15.75" customHeight="1" x14ac:dyDescent="0.25">
      <c r="A679" s="73"/>
      <c r="B679" s="73"/>
    </row>
    <row r="680" spans="1:2" ht="15.75" customHeight="1" x14ac:dyDescent="0.25">
      <c r="A680" s="73"/>
      <c r="B680" s="73"/>
    </row>
    <row r="681" spans="1:2" ht="15.75" customHeight="1" x14ac:dyDescent="0.25">
      <c r="A681" s="73"/>
      <c r="B681" s="73"/>
    </row>
    <row r="682" spans="1:2" ht="15.75" customHeight="1" x14ac:dyDescent="0.25">
      <c r="A682" s="73"/>
      <c r="B682" s="73"/>
    </row>
    <row r="683" spans="1:2" ht="15.75" customHeight="1" x14ac:dyDescent="0.25">
      <c r="A683" s="73"/>
      <c r="B683" s="73"/>
    </row>
    <row r="684" spans="1:2" ht="15.75" customHeight="1" x14ac:dyDescent="0.25">
      <c r="A684" s="73"/>
      <c r="B684" s="73"/>
    </row>
    <row r="685" spans="1:2" ht="15.75" customHeight="1" x14ac:dyDescent="0.25">
      <c r="A685" s="73"/>
      <c r="B685" s="73"/>
    </row>
    <row r="686" spans="1:2" ht="15.75" customHeight="1" x14ac:dyDescent="0.25">
      <c r="A686" s="73"/>
      <c r="B686" s="73"/>
    </row>
    <row r="687" spans="1:2" ht="15.75" customHeight="1" x14ac:dyDescent="0.25">
      <c r="A687" s="73"/>
      <c r="B687" s="73"/>
    </row>
    <row r="688" spans="1:2" ht="15.75" customHeight="1" x14ac:dyDescent="0.25">
      <c r="A688" s="73"/>
      <c r="B688" s="73"/>
    </row>
    <row r="689" spans="1:2" ht="15.75" customHeight="1" x14ac:dyDescent="0.25">
      <c r="A689" s="73"/>
      <c r="B689" s="73"/>
    </row>
    <row r="690" spans="1:2" ht="15.75" customHeight="1" x14ac:dyDescent="0.25">
      <c r="A690" s="73"/>
      <c r="B690" s="73"/>
    </row>
    <row r="691" spans="1:2" ht="15.75" customHeight="1" x14ac:dyDescent="0.25">
      <c r="A691" s="73"/>
      <c r="B691" s="73"/>
    </row>
    <row r="692" spans="1:2" ht="15.75" customHeight="1" x14ac:dyDescent="0.25">
      <c r="A692" s="73"/>
      <c r="B692" s="73"/>
    </row>
    <row r="693" spans="1:2" ht="15.75" customHeight="1" x14ac:dyDescent="0.25">
      <c r="A693" s="73"/>
      <c r="B693" s="73"/>
    </row>
    <row r="694" spans="1:2" ht="15.75" customHeight="1" x14ac:dyDescent="0.25">
      <c r="A694" s="73"/>
      <c r="B694" s="73"/>
    </row>
    <row r="695" spans="1:2" ht="15.75" customHeight="1" x14ac:dyDescent="0.25">
      <c r="A695" s="73"/>
      <c r="B695" s="73"/>
    </row>
    <row r="696" spans="1:2" ht="15.75" customHeight="1" x14ac:dyDescent="0.25">
      <c r="A696" s="73"/>
      <c r="B696" s="73"/>
    </row>
    <row r="697" spans="1:2" ht="15.75" customHeight="1" x14ac:dyDescent="0.25">
      <c r="A697" s="73"/>
      <c r="B697" s="73"/>
    </row>
    <row r="698" spans="1:2" ht="15.75" customHeight="1" x14ac:dyDescent="0.25">
      <c r="A698" s="73"/>
      <c r="B698" s="73"/>
    </row>
    <row r="699" spans="1:2" ht="15.75" customHeight="1" x14ac:dyDescent="0.25">
      <c r="A699" s="73"/>
      <c r="B699" s="73"/>
    </row>
    <row r="700" spans="1:2" ht="15.75" customHeight="1" x14ac:dyDescent="0.25">
      <c r="A700" s="73"/>
      <c r="B700" s="73"/>
    </row>
    <row r="701" spans="1:2" ht="15.75" customHeight="1" x14ac:dyDescent="0.25">
      <c r="A701" s="73"/>
      <c r="B701" s="73"/>
    </row>
    <row r="702" spans="1:2" ht="15.75" customHeight="1" x14ac:dyDescent="0.25">
      <c r="A702" s="73"/>
      <c r="B702" s="73"/>
    </row>
    <row r="703" spans="1:2" ht="15.75" customHeight="1" x14ac:dyDescent="0.25">
      <c r="A703" s="73"/>
      <c r="B703" s="73"/>
    </row>
    <row r="704" spans="1:2" ht="15.75" customHeight="1" x14ac:dyDescent="0.25">
      <c r="A704" s="73"/>
      <c r="B704" s="73"/>
    </row>
    <row r="705" spans="1:2" ht="15.75" customHeight="1" x14ac:dyDescent="0.25">
      <c r="A705" s="73"/>
      <c r="B705" s="73"/>
    </row>
    <row r="706" spans="1:2" ht="15.75" customHeight="1" x14ac:dyDescent="0.25">
      <c r="A706" s="73"/>
      <c r="B706" s="73"/>
    </row>
    <row r="707" spans="1:2" ht="15.75" customHeight="1" x14ac:dyDescent="0.25">
      <c r="A707" s="73"/>
      <c r="B707" s="73"/>
    </row>
    <row r="708" spans="1:2" ht="15.75" customHeight="1" x14ac:dyDescent="0.25">
      <c r="A708" s="73"/>
      <c r="B708" s="73"/>
    </row>
    <row r="709" spans="1:2" ht="15.75" customHeight="1" x14ac:dyDescent="0.25">
      <c r="A709" s="73"/>
      <c r="B709" s="73"/>
    </row>
    <row r="710" spans="1:2" ht="15.75" customHeight="1" x14ac:dyDescent="0.25">
      <c r="A710" s="73"/>
      <c r="B710" s="73"/>
    </row>
    <row r="711" spans="1:2" ht="15.75" customHeight="1" x14ac:dyDescent="0.25">
      <c r="A711" s="73"/>
      <c r="B711" s="73"/>
    </row>
    <row r="712" spans="1:2" ht="15.75" customHeight="1" x14ac:dyDescent="0.25">
      <c r="A712" s="73"/>
      <c r="B712" s="73"/>
    </row>
    <row r="713" spans="1:2" ht="15.75" customHeight="1" x14ac:dyDescent="0.25">
      <c r="A713" s="73"/>
      <c r="B713" s="73"/>
    </row>
    <row r="714" spans="1:2" ht="15.75" customHeight="1" x14ac:dyDescent="0.25">
      <c r="A714" s="73"/>
      <c r="B714" s="73"/>
    </row>
    <row r="715" spans="1:2" ht="15.75" customHeight="1" x14ac:dyDescent="0.25">
      <c r="A715" s="73"/>
      <c r="B715" s="73"/>
    </row>
    <row r="716" spans="1:2" ht="15.75" customHeight="1" x14ac:dyDescent="0.25">
      <c r="A716" s="73"/>
      <c r="B716" s="73"/>
    </row>
    <row r="717" spans="1:2" ht="15.75" customHeight="1" x14ac:dyDescent="0.25">
      <c r="A717" s="73"/>
      <c r="B717" s="73"/>
    </row>
    <row r="718" spans="1:2" ht="15.75" customHeight="1" x14ac:dyDescent="0.25">
      <c r="A718" s="73"/>
      <c r="B718" s="73"/>
    </row>
    <row r="719" spans="1:2" ht="15.75" customHeight="1" x14ac:dyDescent="0.25">
      <c r="A719" s="73"/>
      <c r="B719" s="73"/>
    </row>
    <row r="720" spans="1:2" ht="15.75" customHeight="1" x14ac:dyDescent="0.25">
      <c r="A720" s="73"/>
      <c r="B720" s="73"/>
    </row>
    <row r="721" spans="1:2" ht="15.75" customHeight="1" x14ac:dyDescent="0.25">
      <c r="A721" s="73"/>
      <c r="B721" s="73"/>
    </row>
    <row r="722" spans="1:2" ht="15.75" customHeight="1" x14ac:dyDescent="0.25">
      <c r="A722" s="73"/>
      <c r="B722" s="73"/>
    </row>
    <row r="723" spans="1:2" ht="15.75" customHeight="1" x14ac:dyDescent="0.25">
      <c r="A723" s="73"/>
      <c r="B723" s="73"/>
    </row>
    <row r="724" spans="1:2" ht="15.75" customHeight="1" x14ac:dyDescent="0.25">
      <c r="A724" s="73"/>
      <c r="B724" s="73"/>
    </row>
    <row r="725" spans="1:2" ht="15.75" customHeight="1" x14ac:dyDescent="0.25">
      <c r="A725" s="73"/>
      <c r="B725" s="73"/>
    </row>
    <row r="726" spans="1:2" ht="15.75" customHeight="1" x14ac:dyDescent="0.25">
      <c r="A726" s="73"/>
      <c r="B726" s="73"/>
    </row>
    <row r="727" spans="1:2" ht="15.75" customHeight="1" x14ac:dyDescent="0.25">
      <c r="A727" s="73"/>
      <c r="B727" s="73"/>
    </row>
    <row r="728" spans="1:2" ht="15.75" customHeight="1" x14ac:dyDescent="0.25">
      <c r="A728" s="73"/>
      <c r="B728" s="73"/>
    </row>
    <row r="729" spans="1:2" ht="15.75" customHeight="1" x14ac:dyDescent="0.25">
      <c r="A729" s="73"/>
      <c r="B729" s="73"/>
    </row>
    <row r="730" spans="1:2" ht="15.75" customHeight="1" x14ac:dyDescent="0.25">
      <c r="A730" s="73"/>
      <c r="B730" s="73"/>
    </row>
    <row r="731" spans="1:2" ht="15.75" customHeight="1" x14ac:dyDescent="0.25">
      <c r="A731" s="73"/>
      <c r="B731" s="73"/>
    </row>
    <row r="732" spans="1:2" ht="15.75" customHeight="1" x14ac:dyDescent="0.25">
      <c r="A732" s="73"/>
      <c r="B732" s="73"/>
    </row>
    <row r="733" spans="1:2" ht="15.75" customHeight="1" x14ac:dyDescent="0.25">
      <c r="A733" s="73"/>
      <c r="B733" s="73"/>
    </row>
    <row r="734" spans="1:2" ht="15.75" customHeight="1" x14ac:dyDescent="0.25">
      <c r="A734" s="73"/>
      <c r="B734" s="73"/>
    </row>
    <row r="735" spans="1:2" ht="15.75" customHeight="1" x14ac:dyDescent="0.25">
      <c r="A735" s="73"/>
      <c r="B735" s="73"/>
    </row>
    <row r="736" spans="1:2" ht="15.75" customHeight="1" x14ac:dyDescent="0.25">
      <c r="A736" s="73"/>
      <c r="B736" s="73"/>
    </row>
    <row r="737" spans="1:2" ht="15.75" customHeight="1" x14ac:dyDescent="0.25">
      <c r="A737" s="73"/>
      <c r="B737" s="73"/>
    </row>
    <row r="738" spans="1:2" ht="15.75" customHeight="1" x14ac:dyDescent="0.25">
      <c r="A738" s="73"/>
      <c r="B738" s="73"/>
    </row>
    <row r="739" spans="1:2" ht="15.75" customHeight="1" x14ac:dyDescent="0.25">
      <c r="A739" s="73"/>
      <c r="B739" s="73"/>
    </row>
    <row r="740" spans="1:2" ht="15.75" customHeight="1" x14ac:dyDescent="0.25">
      <c r="A740" s="73"/>
      <c r="B740" s="73"/>
    </row>
    <row r="741" spans="1:2" ht="15.75" customHeight="1" x14ac:dyDescent="0.25">
      <c r="A741" s="73"/>
      <c r="B741" s="73"/>
    </row>
    <row r="742" spans="1:2" ht="15.75" customHeight="1" x14ac:dyDescent="0.25">
      <c r="A742" s="73"/>
      <c r="B742" s="73"/>
    </row>
    <row r="743" spans="1:2" ht="15.75" customHeight="1" x14ac:dyDescent="0.25">
      <c r="A743" s="73"/>
      <c r="B743" s="73"/>
    </row>
    <row r="744" spans="1:2" ht="15.75" customHeight="1" x14ac:dyDescent="0.25">
      <c r="A744" s="73"/>
      <c r="B744" s="73"/>
    </row>
    <row r="745" spans="1:2" ht="15.75" customHeight="1" x14ac:dyDescent="0.25">
      <c r="A745" s="73"/>
      <c r="B745" s="73"/>
    </row>
    <row r="746" spans="1:2" ht="15.75" customHeight="1" x14ac:dyDescent="0.25">
      <c r="A746" s="73"/>
      <c r="B746" s="73"/>
    </row>
    <row r="747" spans="1:2" ht="15.75" customHeight="1" x14ac:dyDescent="0.25">
      <c r="A747" s="73"/>
      <c r="B747" s="73"/>
    </row>
    <row r="748" spans="1:2" ht="15.75" customHeight="1" x14ac:dyDescent="0.25">
      <c r="A748" s="73"/>
      <c r="B748" s="73"/>
    </row>
    <row r="749" spans="1:2" ht="15.75" customHeight="1" x14ac:dyDescent="0.25">
      <c r="A749" s="73"/>
      <c r="B749" s="73"/>
    </row>
    <row r="750" spans="1:2" ht="15.75" customHeight="1" x14ac:dyDescent="0.25">
      <c r="A750" s="73"/>
      <c r="B750" s="73"/>
    </row>
    <row r="751" spans="1:2" ht="15.75" customHeight="1" x14ac:dyDescent="0.25">
      <c r="A751" s="73"/>
      <c r="B751" s="73"/>
    </row>
    <row r="752" spans="1:2" ht="15.75" customHeight="1" x14ac:dyDescent="0.25">
      <c r="A752" s="73"/>
      <c r="B752" s="73"/>
    </row>
    <row r="753" spans="1:2" ht="15.75" customHeight="1" x14ac:dyDescent="0.25">
      <c r="A753" s="73"/>
      <c r="B753" s="73"/>
    </row>
    <row r="754" spans="1:2" ht="15.75" customHeight="1" x14ac:dyDescent="0.25">
      <c r="A754" s="73"/>
      <c r="B754" s="73"/>
    </row>
    <row r="755" spans="1:2" ht="15.75" customHeight="1" x14ac:dyDescent="0.25">
      <c r="A755" s="73"/>
      <c r="B755" s="73"/>
    </row>
    <row r="756" spans="1:2" ht="15.75" customHeight="1" x14ac:dyDescent="0.25">
      <c r="A756" s="73"/>
      <c r="B756" s="73"/>
    </row>
    <row r="757" spans="1:2" ht="15.75" customHeight="1" x14ac:dyDescent="0.25">
      <c r="A757" s="73"/>
      <c r="B757" s="73"/>
    </row>
    <row r="758" spans="1:2" ht="15.75" customHeight="1" x14ac:dyDescent="0.25">
      <c r="A758" s="73"/>
      <c r="B758" s="73"/>
    </row>
    <row r="759" spans="1:2" ht="15.75" customHeight="1" x14ac:dyDescent="0.25">
      <c r="A759" s="73"/>
      <c r="B759" s="73"/>
    </row>
    <row r="760" spans="1:2" ht="15.75" customHeight="1" x14ac:dyDescent="0.25">
      <c r="A760" s="73"/>
      <c r="B760" s="73"/>
    </row>
    <row r="761" spans="1:2" ht="15.75" customHeight="1" x14ac:dyDescent="0.25">
      <c r="A761" s="73"/>
      <c r="B761" s="73"/>
    </row>
    <row r="762" spans="1:2" ht="15.75" customHeight="1" x14ac:dyDescent="0.25">
      <c r="A762" s="73"/>
      <c r="B762" s="73"/>
    </row>
    <row r="763" spans="1:2" ht="15.75" customHeight="1" x14ac:dyDescent="0.25">
      <c r="A763" s="73"/>
      <c r="B763" s="73"/>
    </row>
    <row r="764" spans="1:2" ht="15.75" customHeight="1" x14ac:dyDescent="0.25">
      <c r="A764" s="73"/>
      <c r="B764" s="73"/>
    </row>
    <row r="765" spans="1:2" ht="15.75" customHeight="1" x14ac:dyDescent="0.25">
      <c r="A765" s="73"/>
      <c r="B765" s="73"/>
    </row>
    <row r="766" spans="1:2" ht="15.75" customHeight="1" x14ac:dyDescent="0.25">
      <c r="A766" s="73"/>
      <c r="B766" s="73"/>
    </row>
    <row r="767" spans="1:2" ht="15.75" customHeight="1" x14ac:dyDescent="0.25">
      <c r="A767" s="73"/>
      <c r="B767" s="73"/>
    </row>
    <row r="768" spans="1:2" ht="15.75" customHeight="1" x14ac:dyDescent="0.25">
      <c r="A768" s="73"/>
      <c r="B768" s="73"/>
    </row>
    <row r="769" spans="1:2" ht="15.75" customHeight="1" x14ac:dyDescent="0.25">
      <c r="A769" s="73"/>
      <c r="B769" s="73"/>
    </row>
    <row r="770" spans="1:2" ht="15.75" customHeight="1" x14ac:dyDescent="0.25">
      <c r="A770" s="73"/>
      <c r="B770" s="73"/>
    </row>
    <row r="771" spans="1:2" ht="15.75" customHeight="1" x14ac:dyDescent="0.25">
      <c r="A771" s="73"/>
      <c r="B771" s="73"/>
    </row>
    <row r="772" spans="1:2" ht="15.75" customHeight="1" x14ac:dyDescent="0.25">
      <c r="A772" s="73"/>
      <c r="B772" s="73"/>
    </row>
    <row r="773" spans="1:2" ht="15.75" customHeight="1" x14ac:dyDescent="0.25">
      <c r="A773" s="73"/>
      <c r="B773" s="73"/>
    </row>
    <row r="774" spans="1:2" ht="15.75" customHeight="1" x14ac:dyDescent="0.25">
      <c r="A774" s="73"/>
      <c r="B774" s="73"/>
    </row>
    <row r="775" spans="1:2" ht="15.75" customHeight="1" x14ac:dyDescent="0.25">
      <c r="A775" s="73"/>
      <c r="B775" s="73"/>
    </row>
    <row r="776" spans="1:2" ht="15.75" customHeight="1" x14ac:dyDescent="0.25">
      <c r="A776" s="73"/>
      <c r="B776" s="73"/>
    </row>
    <row r="777" spans="1:2" ht="15.75" customHeight="1" x14ac:dyDescent="0.25">
      <c r="A777" s="73"/>
      <c r="B777" s="73"/>
    </row>
    <row r="778" spans="1:2" ht="15.75" customHeight="1" x14ac:dyDescent="0.25">
      <c r="A778" s="73"/>
      <c r="B778" s="73"/>
    </row>
    <row r="779" spans="1:2" ht="15.75" customHeight="1" x14ac:dyDescent="0.25">
      <c r="A779" s="73"/>
      <c r="B779" s="73"/>
    </row>
    <row r="780" spans="1:2" ht="15.75" customHeight="1" x14ac:dyDescent="0.25">
      <c r="A780" s="73"/>
      <c r="B780" s="73"/>
    </row>
    <row r="781" spans="1:2" ht="15.75" customHeight="1" x14ac:dyDescent="0.25">
      <c r="A781" s="73"/>
      <c r="B781" s="73"/>
    </row>
    <row r="782" spans="1:2" ht="15.75" customHeight="1" x14ac:dyDescent="0.25">
      <c r="A782" s="73"/>
      <c r="B782" s="73"/>
    </row>
    <row r="783" spans="1:2" ht="15.75" customHeight="1" x14ac:dyDescent="0.25">
      <c r="A783" s="73"/>
      <c r="B783" s="73"/>
    </row>
    <row r="784" spans="1:2" ht="15.75" customHeight="1" x14ac:dyDescent="0.25">
      <c r="A784" s="73"/>
      <c r="B784" s="73"/>
    </row>
    <row r="785" spans="1:2" ht="15.75" customHeight="1" x14ac:dyDescent="0.25">
      <c r="A785" s="73"/>
      <c r="B785" s="73"/>
    </row>
    <row r="786" spans="1:2" ht="15.75" customHeight="1" x14ac:dyDescent="0.25">
      <c r="A786" s="73"/>
      <c r="B786" s="73"/>
    </row>
    <row r="787" spans="1:2" ht="15.75" customHeight="1" x14ac:dyDescent="0.25">
      <c r="A787" s="73"/>
      <c r="B787" s="73"/>
    </row>
    <row r="788" spans="1:2" ht="15.75" customHeight="1" x14ac:dyDescent="0.25">
      <c r="A788" s="73"/>
      <c r="B788" s="73"/>
    </row>
    <row r="789" spans="1:2" ht="15.75" customHeight="1" x14ac:dyDescent="0.25">
      <c r="A789" s="73"/>
      <c r="B789" s="73"/>
    </row>
    <row r="790" spans="1:2" ht="15.75" customHeight="1" x14ac:dyDescent="0.25">
      <c r="A790" s="73"/>
      <c r="B790" s="73"/>
    </row>
    <row r="791" spans="1:2" ht="15.75" customHeight="1" x14ac:dyDescent="0.25">
      <c r="A791" s="73"/>
      <c r="B791" s="73"/>
    </row>
    <row r="792" spans="1:2" ht="15.75" customHeight="1" x14ac:dyDescent="0.25">
      <c r="A792" s="73"/>
      <c r="B792" s="73"/>
    </row>
    <row r="793" spans="1:2" ht="15.75" customHeight="1" x14ac:dyDescent="0.25">
      <c r="A793" s="73"/>
      <c r="B793" s="73"/>
    </row>
    <row r="794" spans="1:2" ht="15.75" customHeight="1" x14ac:dyDescent="0.25">
      <c r="A794" s="73"/>
      <c r="B794" s="73"/>
    </row>
    <row r="795" spans="1:2" ht="15.75" customHeight="1" x14ac:dyDescent="0.25">
      <c r="A795" s="73"/>
      <c r="B795" s="73"/>
    </row>
    <row r="796" spans="1:2" ht="15.75" customHeight="1" x14ac:dyDescent="0.25">
      <c r="A796" s="73"/>
      <c r="B796" s="73"/>
    </row>
    <row r="797" spans="1:2" ht="15.75" customHeight="1" x14ac:dyDescent="0.25">
      <c r="A797" s="73"/>
      <c r="B797" s="73"/>
    </row>
    <row r="798" spans="1:2" ht="15.75" customHeight="1" x14ac:dyDescent="0.25">
      <c r="A798" s="73"/>
      <c r="B798" s="73"/>
    </row>
    <row r="799" spans="1:2" ht="15.75" customHeight="1" x14ac:dyDescent="0.25">
      <c r="A799" s="73"/>
      <c r="B799" s="73"/>
    </row>
    <row r="800" spans="1:2" ht="15.75" customHeight="1" x14ac:dyDescent="0.25">
      <c r="A800" s="73"/>
      <c r="B800" s="73"/>
    </row>
    <row r="801" spans="1:2" ht="15.75" customHeight="1" x14ac:dyDescent="0.25">
      <c r="A801" s="73"/>
      <c r="B801" s="73"/>
    </row>
    <row r="802" spans="1:2" ht="15.75" customHeight="1" x14ac:dyDescent="0.25">
      <c r="A802" s="73"/>
      <c r="B802" s="73"/>
    </row>
    <row r="803" spans="1:2" ht="15.75" customHeight="1" x14ac:dyDescent="0.25">
      <c r="A803" s="73"/>
      <c r="B803" s="73"/>
    </row>
    <row r="804" spans="1:2" ht="15.75" customHeight="1" x14ac:dyDescent="0.25">
      <c r="A804" s="73"/>
      <c r="B804" s="73"/>
    </row>
    <row r="805" spans="1:2" ht="15.75" customHeight="1" x14ac:dyDescent="0.25">
      <c r="A805" s="73"/>
      <c r="B805" s="73"/>
    </row>
    <row r="806" spans="1:2" ht="15.75" customHeight="1" x14ac:dyDescent="0.25">
      <c r="A806" s="73"/>
      <c r="B806" s="73"/>
    </row>
    <row r="807" spans="1:2" ht="15.75" customHeight="1" x14ac:dyDescent="0.25">
      <c r="A807" s="73"/>
      <c r="B807" s="73"/>
    </row>
    <row r="808" spans="1:2" ht="15.75" customHeight="1" x14ac:dyDescent="0.25">
      <c r="A808" s="73"/>
      <c r="B808" s="73"/>
    </row>
    <row r="809" spans="1:2" ht="15.75" customHeight="1" x14ac:dyDescent="0.25">
      <c r="A809" s="73"/>
      <c r="B809" s="73"/>
    </row>
    <row r="810" spans="1:2" ht="15.75" customHeight="1" x14ac:dyDescent="0.25">
      <c r="A810" s="73"/>
      <c r="B810" s="73"/>
    </row>
    <row r="811" spans="1:2" ht="15.75" customHeight="1" x14ac:dyDescent="0.25">
      <c r="A811" s="73"/>
      <c r="B811" s="73"/>
    </row>
    <row r="812" spans="1:2" ht="15.75" customHeight="1" x14ac:dyDescent="0.25">
      <c r="A812" s="73"/>
      <c r="B812" s="73"/>
    </row>
    <row r="813" spans="1:2" ht="15.75" customHeight="1" x14ac:dyDescent="0.25">
      <c r="A813" s="73"/>
      <c r="B813" s="73"/>
    </row>
    <row r="814" spans="1:2" ht="15.75" customHeight="1" x14ac:dyDescent="0.25">
      <c r="A814" s="73"/>
      <c r="B814" s="73"/>
    </row>
    <row r="815" spans="1:2" ht="15.75" customHeight="1" x14ac:dyDescent="0.25">
      <c r="A815" s="73"/>
      <c r="B815" s="73"/>
    </row>
    <row r="816" spans="1:2" ht="15.75" customHeight="1" x14ac:dyDescent="0.25">
      <c r="A816" s="73"/>
      <c r="B816" s="73"/>
    </row>
    <row r="817" spans="1:2" ht="15.75" customHeight="1" x14ac:dyDescent="0.25">
      <c r="A817" s="73"/>
      <c r="B817" s="73"/>
    </row>
    <row r="818" spans="1:2" ht="15.75" customHeight="1" x14ac:dyDescent="0.25">
      <c r="A818" s="73"/>
      <c r="B818" s="73"/>
    </row>
    <row r="819" spans="1:2" ht="15.75" customHeight="1" x14ac:dyDescent="0.25">
      <c r="A819" s="73"/>
      <c r="B819" s="73"/>
    </row>
    <row r="820" spans="1:2" ht="15.75" customHeight="1" x14ac:dyDescent="0.25">
      <c r="A820" s="73"/>
      <c r="B820" s="73"/>
    </row>
    <row r="821" spans="1:2" ht="15.75" customHeight="1" x14ac:dyDescent="0.25">
      <c r="A821" s="73"/>
      <c r="B821" s="73"/>
    </row>
    <row r="822" spans="1:2" ht="15.75" customHeight="1" x14ac:dyDescent="0.25">
      <c r="A822" s="73"/>
      <c r="B822" s="73"/>
    </row>
    <row r="823" spans="1:2" ht="15.75" customHeight="1" x14ac:dyDescent="0.25">
      <c r="A823" s="73"/>
      <c r="B823" s="73"/>
    </row>
    <row r="824" spans="1:2" ht="15.75" customHeight="1" x14ac:dyDescent="0.25">
      <c r="A824" s="73"/>
      <c r="B824" s="73"/>
    </row>
    <row r="825" spans="1:2" ht="15.75" customHeight="1" x14ac:dyDescent="0.25">
      <c r="A825" s="73"/>
      <c r="B825" s="73"/>
    </row>
    <row r="826" spans="1:2" ht="15.75" customHeight="1" x14ac:dyDescent="0.25">
      <c r="A826" s="73"/>
      <c r="B826" s="73"/>
    </row>
    <row r="827" spans="1:2" ht="15.75" customHeight="1" x14ac:dyDescent="0.25">
      <c r="A827" s="73"/>
      <c r="B827" s="73"/>
    </row>
    <row r="828" spans="1:2" ht="15.75" customHeight="1" x14ac:dyDescent="0.25">
      <c r="A828" s="73"/>
      <c r="B828" s="73"/>
    </row>
    <row r="829" spans="1:2" ht="15.75" customHeight="1" x14ac:dyDescent="0.25">
      <c r="A829" s="73"/>
      <c r="B829" s="73"/>
    </row>
    <row r="830" spans="1:2" ht="15.75" customHeight="1" x14ac:dyDescent="0.25">
      <c r="A830" s="73"/>
      <c r="B830" s="73"/>
    </row>
    <row r="831" spans="1:2" ht="15.75" customHeight="1" x14ac:dyDescent="0.25">
      <c r="A831" s="73"/>
      <c r="B831" s="73"/>
    </row>
    <row r="832" spans="1:2" ht="15.75" customHeight="1" x14ac:dyDescent="0.25">
      <c r="A832" s="73"/>
      <c r="B832" s="73"/>
    </row>
    <row r="833" spans="1:2" ht="15.75" customHeight="1" x14ac:dyDescent="0.25">
      <c r="A833" s="73"/>
      <c r="B833" s="73"/>
    </row>
    <row r="834" spans="1:2" ht="15.75" customHeight="1" x14ac:dyDescent="0.25">
      <c r="A834" s="73"/>
      <c r="B834" s="73"/>
    </row>
    <row r="835" spans="1:2" ht="15.75" customHeight="1" x14ac:dyDescent="0.25">
      <c r="A835" s="73"/>
      <c r="B835" s="73"/>
    </row>
    <row r="836" spans="1:2" ht="15.75" customHeight="1" x14ac:dyDescent="0.25">
      <c r="A836" s="73"/>
      <c r="B836" s="73"/>
    </row>
    <row r="837" spans="1:2" ht="15.75" customHeight="1" x14ac:dyDescent="0.25">
      <c r="A837" s="73"/>
      <c r="B837" s="73"/>
    </row>
    <row r="838" spans="1:2" ht="15.75" customHeight="1" x14ac:dyDescent="0.25">
      <c r="A838" s="73"/>
      <c r="B838" s="73"/>
    </row>
    <row r="839" spans="1:2" ht="15.75" customHeight="1" x14ac:dyDescent="0.25">
      <c r="A839" s="73"/>
      <c r="B839" s="73"/>
    </row>
    <row r="840" spans="1:2" ht="15.75" customHeight="1" x14ac:dyDescent="0.25">
      <c r="A840" s="73"/>
      <c r="B840" s="73"/>
    </row>
    <row r="841" spans="1:2" ht="15.75" customHeight="1" x14ac:dyDescent="0.25">
      <c r="A841" s="73"/>
      <c r="B841" s="73"/>
    </row>
    <row r="842" spans="1:2" ht="15.75" customHeight="1" x14ac:dyDescent="0.25">
      <c r="A842" s="73"/>
      <c r="B842" s="73"/>
    </row>
    <row r="843" spans="1:2" ht="15.75" customHeight="1" x14ac:dyDescent="0.25">
      <c r="A843" s="73"/>
      <c r="B843" s="73"/>
    </row>
    <row r="844" spans="1:2" ht="15.75" customHeight="1" x14ac:dyDescent="0.25">
      <c r="A844" s="73"/>
      <c r="B844" s="73"/>
    </row>
    <row r="845" spans="1:2" ht="15.75" customHeight="1" x14ac:dyDescent="0.25">
      <c r="A845" s="73"/>
      <c r="B845" s="73"/>
    </row>
    <row r="846" spans="1:2" ht="15.75" customHeight="1" x14ac:dyDescent="0.25">
      <c r="A846" s="73"/>
      <c r="B846" s="73"/>
    </row>
    <row r="847" spans="1:2" ht="15.75" customHeight="1" x14ac:dyDescent="0.25">
      <c r="A847" s="73"/>
      <c r="B847" s="73"/>
    </row>
    <row r="848" spans="1:2" ht="15.75" customHeight="1" x14ac:dyDescent="0.25">
      <c r="A848" s="73"/>
      <c r="B848" s="73"/>
    </row>
    <row r="849" spans="1:2" ht="15.75" customHeight="1" x14ac:dyDescent="0.25">
      <c r="A849" s="73"/>
      <c r="B849" s="73"/>
    </row>
    <row r="850" spans="1:2" ht="15.75" customHeight="1" x14ac:dyDescent="0.25">
      <c r="A850" s="73"/>
      <c r="B850" s="73"/>
    </row>
    <row r="851" spans="1:2" ht="15.75" customHeight="1" x14ac:dyDescent="0.25">
      <c r="A851" s="73"/>
      <c r="B851" s="73"/>
    </row>
    <row r="852" spans="1:2" ht="15.75" customHeight="1" x14ac:dyDescent="0.25">
      <c r="A852" s="73"/>
      <c r="B852" s="73"/>
    </row>
    <row r="853" spans="1:2" ht="15.75" customHeight="1" x14ac:dyDescent="0.25">
      <c r="A853" s="73"/>
      <c r="B853" s="73"/>
    </row>
    <row r="854" spans="1:2" ht="15.75" customHeight="1" x14ac:dyDescent="0.25">
      <c r="A854" s="73"/>
      <c r="B854" s="73"/>
    </row>
    <row r="855" spans="1:2" ht="15.75" customHeight="1" x14ac:dyDescent="0.25">
      <c r="A855" s="73"/>
      <c r="B855" s="73"/>
    </row>
    <row r="856" spans="1:2" ht="15.75" customHeight="1" x14ac:dyDescent="0.25">
      <c r="A856" s="73"/>
      <c r="B856" s="73"/>
    </row>
    <row r="857" spans="1:2" ht="15.75" customHeight="1" x14ac:dyDescent="0.25">
      <c r="A857" s="73"/>
      <c r="B857" s="73"/>
    </row>
    <row r="858" spans="1:2" ht="15.75" customHeight="1" x14ac:dyDescent="0.25">
      <c r="A858" s="73"/>
      <c r="B858" s="73"/>
    </row>
    <row r="859" spans="1:2" ht="15.75" customHeight="1" x14ac:dyDescent="0.25">
      <c r="A859" s="73"/>
      <c r="B859" s="73"/>
    </row>
    <row r="860" spans="1:2" ht="15.75" customHeight="1" x14ac:dyDescent="0.25">
      <c r="A860" s="73"/>
      <c r="B860" s="73"/>
    </row>
    <row r="861" spans="1:2" ht="15.75" customHeight="1" x14ac:dyDescent="0.25">
      <c r="A861" s="73"/>
      <c r="B861" s="73"/>
    </row>
    <row r="862" spans="1:2" ht="15.75" customHeight="1" x14ac:dyDescent="0.25">
      <c r="A862" s="73"/>
      <c r="B862" s="73"/>
    </row>
    <row r="863" spans="1:2" ht="15.75" customHeight="1" x14ac:dyDescent="0.25">
      <c r="A863" s="73"/>
      <c r="B863" s="73"/>
    </row>
    <row r="864" spans="1:2" ht="15.75" customHeight="1" x14ac:dyDescent="0.25">
      <c r="A864" s="73"/>
      <c r="B864" s="73"/>
    </row>
    <row r="865" spans="1:2" ht="15.75" customHeight="1" x14ac:dyDescent="0.25">
      <c r="A865" s="73"/>
      <c r="B865" s="73"/>
    </row>
    <row r="866" spans="1:2" ht="15.75" customHeight="1" x14ac:dyDescent="0.25">
      <c r="A866" s="73"/>
      <c r="B866" s="73"/>
    </row>
    <row r="867" spans="1:2" ht="15.75" customHeight="1" x14ac:dyDescent="0.25">
      <c r="A867" s="73"/>
      <c r="B867" s="73"/>
    </row>
    <row r="868" spans="1:2" ht="15.75" customHeight="1" x14ac:dyDescent="0.25">
      <c r="A868" s="73"/>
      <c r="B868" s="73"/>
    </row>
    <row r="869" spans="1:2" ht="15.75" customHeight="1" x14ac:dyDescent="0.25">
      <c r="A869" s="73"/>
      <c r="B869" s="73"/>
    </row>
    <row r="870" spans="1:2" ht="15.75" customHeight="1" x14ac:dyDescent="0.25">
      <c r="A870" s="73"/>
      <c r="B870" s="73"/>
    </row>
    <row r="871" spans="1:2" ht="15.75" customHeight="1" x14ac:dyDescent="0.25">
      <c r="A871" s="73"/>
      <c r="B871" s="73"/>
    </row>
    <row r="872" spans="1:2" ht="15.75" customHeight="1" x14ac:dyDescent="0.25">
      <c r="A872" s="73"/>
      <c r="B872" s="73"/>
    </row>
    <row r="873" spans="1:2" ht="15.75" customHeight="1" x14ac:dyDescent="0.25">
      <c r="A873" s="73"/>
      <c r="B873" s="73"/>
    </row>
    <row r="874" spans="1:2" ht="15.75" customHeight="1" x14ac:dyDescent="0.25">
      <c r="A874" s="73"/>
      <c r="B874" s="73"/>
    </row>
    <row r="875" spans="1:2" ht="15.75" customHeight="1" x14ac:dyDescent="0.25">
      <c r="A875" s="73"/>
      <c r="B875" s="73"/>
    </row>
    <row r="876" spans="1:2" ht="15.75" customHeight="1" x14ac:dyDescent="0.25">
      <c r="A876" s="73"/>
      <c r="B876" s="73"/>
    </row>
    <row r="877" spans="1:2" ht="15.75" customHeight="1" x14ac:dyDescent="0.25">
      <c r="A877" s="73"/>
      <c r="B877" s="73"/>
    </row>
    <row r="878" spans="1:2" ht="15.75" customHeight="1" x14ac:dyDescent="0.25">
      <c r="A878" s="73"/>
      <c r="B878" s="73"/>
    </row>
    <row r="879" spans="1:2" ht="15.75" customHeight="1" x14ac:dyDescent="0.25">
      <c r="A879" s="73"/>
      <c r="B879" s="73"/>
    </row>
    <row r="880" spans="1:2" ht="15.75" customHeight="1" x14ac:dyDescent="0.25">
      <c r="A880" s="73"/>
      <c r="B880" s="73"/>
    </row>
    <row r="881" spans="1:2" ht="15.75" customHeight="1" x14ac:dyDescent="0.25">
      <c r="A881" s="73"/>
      <c r="B881" s="73"/>
    </row>
    <row r="882" spans="1:2" ht="15.75" customHeight="1" x14ac:dyDescent="0.25">
      <c r="A882" s="73"/>
      <c r="B882" s="73"/>
    </row>
    <row r="883" spans="1:2" ht="15.75" customHeight="1" x14ac:dyDescent="0.25">
      <c r="A883" s="73"/>
      <c r="B883" s="73"/>
    </row>
    <row r="884" spans="1:2" ht="15.75" customHeight="1" x14ac:dyDescent="0.25">
      <c r="A884" s="73"/>
      <c r="B884" s="73"/>
    </row>
    <row r="885" spans="1:2" ht="15.75" customHeight="1" x14ac:dyDescent="0.25">
      <c r="A885" s="73"/>
      <c r="B885" s="73"/>
    </row>
    <row r="886" spans="1:2" ht="15.75" customHeight="1" x14ac:dyDescent="0.25">
      <c r="A886" s="73"/>
      <c r="B886" s="73"/>
    </row>
    <row r="887" spans="1:2" ht="15.75" customHeight="1" x14ac:dyDescent="0.25">
      <c r="A887" s="73"/>
      <c r="B887" s="73"/>
    </row>
    <row r="888" spans="1:2" ht="15.75" customHeight="1" x14ac:dyDescent="0.25">
      <c r="A888" s="73"/>
      <c r="B888" s="73"/>
    </row>
    <row r="889" spans="1:2" ht="15.75" customHeight="1" x14ac:dyDescent="0.25">
      <c r="A889" s="73"/>
      <c r="B889" s="73"/>
    </row>
    <row r="890" spans="1:2" ht="15.75" customHeight="1" x14ac:dyDescent="0.25">
      <c r="A890" s="73"/>
      <c r="B890" s="73"/>
    </row>
    <row r="891" spans="1:2" ht="15.75" customHeight="1" x14ac:dyDescent="0.25">
      <c r="A891" s="73"/>
      <c r="B891" s="73"/>
    </row>
    <row r="892" spans="1:2" ht="15.75" customHeight="1" x14ac:dyDescent="0.25">
      <c r="A892" s="73"/>
      <c r="B892" s="73"/>
    </row>
    <row r="893" spans="1:2" ht="15.75" customHeight="1" x14ac:dyDescent="0.25">
      <c r="A893" s="73"/>
      <c r="B893" s="73"/>
    </row>
    <row r="894" spans="1:2" ht="15.75" customHeight="1" x14ac:dyDescent="0.25">
      <c r="A894" s="73"/>
      <c r="B894" s="73"/>
    </row>
    <row r="895" spans="1:2" ht="15.75" customHeight="1" x14ac:dyDescent="0.25">
      <c r="A895" s="73"/>
      <c r="B895" s="73"/>
    </row>
    <row r="896" spans="1:2" ht="15.75" customHeight="1" x14ac:dyDescent="0.25">
      <c r="A896" s="73"/>
      <c r="B896" s="73"/>
    </row>
    <row r="897" spans="1:2" ht="15.75" customHeight="1" x14ac:dyDescent="0.25">
      <c r="A897" s="73"/>
      <c r="B897" s="73"/>
    </row>
    <row r="898" spans="1:2" ht="15.75" customHeight="1" x14ac:dyDescent="0.25">
      <c r="A898" s="73"/>
      <c r="B898" s="73"/>
    </row>
    <row r="899" spans="1:2" ht="15.75" customHeight="1" x14ac:dyDescent="0.25">
      <c r="A899" s="73"/>
      <c r="B899" s="73"/>
    </row>
    <row r="900" spans="1:2" ht="15.75" customHeight="1" x14ac:dyDescent="0.25">
      <c r="A900" s="73"/>
      <c r="B900" s="73"/>
    </row>
    <row r="901" spans="1:2" ht="15.75" customHeight="1" x14ac:dyDescent="0.25">
      <c r="A901" s="73"/>
      <c r="B901" s="73"/>
    </row>
    <row r="902" spans="1:2" ht="15.75" customHeight="1" x14ac:dyDescent="0.25">
      <c r="A902" s="73"/>
      <c r="B902" s="73"/>
    </row>
    <row r="903" spans="1:2" ht="15.75" customHeight="1" x14ac:dyDescent="0.25">
      <c r="A903" s="73"/>
      <c r="B903" s="73"/>
    </row>
    <row r="904" spans="1:2" ht="15.75" customHeight="1" x14ac:dyDescent="0.25">
      <c r="A904" s="73"/>
      <c r="B904" s="73"/>
    </row>
    <row r="905" spans="1:2" ht="15.75" customHeight="1" x14ac:dyDescent="0.25">
      <c r="A905" s="73"/>
      <c r="B905" s="73"/>
    </row>
    <row r="906" spans="1:2" ht="15.75" customHeight="1" x14ac:dyDescent="0.25">
      <c r="A906" s="73"/>
      <c r="B906" s="73"/>
    </row>
    <row r="907" spans="1:2" ht="15.75" customHeight="1" x14ac:dyDescent="0.25">
      <c r="A907" s="73"/>
      <c r="B907" s="73"/>
    </row>
    <row r="908" spans="1:2" ht="15.75" customHeight="1" x14ac:dyDescent="0.25">
      <c r="A908" s="73"/>
      <c r="B908" s="73"/>
    </row>
    <row r="909" spans="1:2" ht="15.75" customHeight="1" x14ac:dyDescent="0.25">
      <c r="A909" s="73"/>
      <c r="B909" s="73"/>
    </row>
    <row r="910" spans="1:2" ht="15.75" customHeight="1" x14ac:dyDescent="0.25">
      <c r="A910" s="73"/>
      <c r="B910" s="73"/>
    </row>
    <row r="911" spans="1:2" ht="15.75" customHeight="1" x14ac:dyDescent="0.25">
      <c r="A911" s="73"/>
      <c r="B911" s="73"/>
    </row>
    <row r="912" spans="1:2" ht="15.75" customHeight="1" x14ac:dyDescent="0.25">
      <c r="A912" s="73"/>
      <c r="B912" s="73"/>
    </row>
    <row r="913" spans="1:2" ht="15.75" customHeight="1" x14ac:dyDescent="0.25">
      <c r="A913" s="73"/>
      <c r="B913" s="73"/>
    </row>
    <row r="914" spans="1:2" ht="15.75" customHeight="1" x14ac:dyDescent="0.25">
      <c r="A914" s="73"/>
      <c r="B914" s="73"/>
    </row>
    <row r="915" spans="1:2" ht="15.75" customHeight="1" x14ac:dyDescent="0.25">
      <c r="A915" s="73"/>
      <c r="B915" s="73"/>
    </row>
    <row r="916" spans="1:2" ht="15.75" customHeight="1" x14ac:dyDescent="0.25">
      <c r="A916" s="73"/>
      <c r="B916" s="73"/>
    </row>
    <row r="917" spans="1:2" ht="15.75" customHeight="1" x14ac:dyDescent="0.25">
      <c r="A917" s="73"/>
      <c r="B917" s="73"/>
    </row>
    <row r="918" spans="1:2" ht="15.75" customHeight="1" x14ac:dyDescent="0.25">
      <c r="A918" s="73"/>
      <c r="B918" s="73"/>
    </row>
    <row r="919" spans="1:2" ht="15.75" customHeight="1" x14ac:dyDescent="0.25">
      <c r="A919" s="73"/>
      <c r="B919" s="73"/>
    </row>
    <row r="920" spans="1:2" ht="15.75" customHeight="1" x14ac:dyDescent="0.25">
      <c r="A920" s="73"/>
      <c r="B920" s="73"/>
    </row>
    <row r="921" spans="1:2" ht="15.75" customHeight="1" x14ac:dyDescent="0.25">
      <c r="A921" s="73"/>
      <c r="B921" s="73"/>
    </row>
    <row r="922" spans="1:2" ht="15.75" customHeight="1" x14ac:dyDescent="0.25">
      <c r="A922" s="73"/>
      <c r="B922" s="73"/>
    </row>
    <row r="923" spans="1:2" ht="15.75" customHeight="1" x14ac:dyDescent="0.25">
      <c r="A923" s="73"/>
      <c r="B923" s="73"/>
    </row>
    <row r="924" spans="1:2" ht="15.75" customHeight="1" x14ac:dyDescent="0.25">
      <c r="A924" s="73"/>
      <c r="B924" s="73"/>
    </row>
    <row r="925" spans="1:2" ht="15.75" customHeight="1" x14ac:dyDescent="0.25">
      <c r="A925" s="73"/>
      <c r="B925" s="73"/>
    </row>
    <row r="926" spans="1:2" ht="15.75" customHeight="1" x14ac:dyDescent="0.25">
      <c r="A926" s="73"/>
      <c r="B926" s="73"/>
    </row>
    <row r="927" spans="1:2" ht="15.75" customHeight="1" x14ac:dyDescent="0.25">
      <c r="A927" s="73"/>
      <c r="B927" s="73"/>
    </row>
    <row r="928" spans="1:2" ht="15.75" customHeight="1" x14ac:dyDescent="0.25">
      <c r="A928" s="73"/>
      <c r="B928" s="73"/>
    </row>
    <row r="929" spans="1:2" ht="15.75" customHeight="1" x14ac:dyDescent="0.25">
      <c r="A929" s="73"/>
      <c r="B929" s="73"/>
    </row>
    <row r="930" spans="1:2" ht="15.75" customHeight="1" x14ac:dyDescent="0.25">
      <c r="A930" s="73"/>
      <c r="B930" s="73"/>
    </row>
    <row r="931" spans="1:2" ht="15.75" customHeight="1" x14ac:dyDescent="0.25">
      <c r="A931" s="73"/>
      <c r="B931" s="73"/>
    </row>
    <row r="932" spans="1:2" ht="15.75" customHeight="1" x14ac:dyDescent="0.25">
      <c r="A932" s="73"/>
      <c r="B932" s="73"/>
    </row>
    <row r="933" spans="1:2" ht="15.75" customHeight="1" x14ac:dyDescent="0.25">
      <c r="A933" s="73"/>
      <c r="B933" s="73"/>
    </row>
    <row r="934" spans="1:2" ht="15.75" customHeight="1" x14ac:dyDescent="0.25">
      <c r="A934" s="73"/>
      <c r="B934" s="73"/>
    </row>
    <row r="935" spans="1:2" ht="15.75" customHeight="1" x14ac:dyDescent="0.25">
      <c r="A935" s="73"/>
      <c r="B935" s="73"/>
    </row>
    <row r="936" spans="1:2" ht="15.75" customHeight="1" x14ac:dyDescent="0.25">
      <c r="A936" s="73"/>
      <c r="B936" s="73"/>
    </row>
    <row r="937" spans="1:2" ht="15.75" customHeight="1" x14ac:dyDescent="0.25">
      <c r="A937" s="73"/>
      <c r="B937" s="73"/>
    </row>
    <row r="938" spans="1:2" ht="15.75" customHeight="1" x14ac:dyDescent="0.25">
      <c r="A938" s="73"/>
      <c r="B938" s="73"/>
    </row>
    <row r="939" spans="1:2" ht="15.75" customHeight="1" x14ac:dyDescent="0.25">
      <c r="A939" s="73"/>
      <c r="B939" s="73"/>
    </row>
    <row r="940" spans="1:2" ht="15.75" customHeight="1" x14ac:dyDescent="0.25">
      <c r="A940" s="73"/>
      <c r="B940" s="73"/>
    </row>
    <row r="941" spans="1:2" ht="15.75" customHeight="1" x14ac:dyDescent="0.25">
      <c r="A941" s="73"/>
      <c r="B941" s="73"/>
    </row>
    <row r="942" spans="1:2" ht="15.75" customHeight="1" x14ac:dyDescent="0.25">
      <c r="A942" s="73"/>
      <c r="B942" s="73"/>
    </row>
    <row r="943" spans="1:2" ht="15.75" customHeight="1" x14ac:dyDescent="0.25">
      <c r="A943" s="73"/>
      <c r="B943" s="73"/>
    </row>
    <row r="944" spans="1:2" ht="15.75" customHeight="1" x14ac:dyDescent="0.25">
      <c r="A944" s="73"/>
      <c r="B944" s="73"/>
    </row>
    <row r="945" spans="1:2" ht="15.75" customHeight="1" x14ac:dyDescent="0.25">
      <c r="A945" s="73"/>
      <c r="B945" s="73"/>
    </row>
    <row r="946" spans="1:2" ht="15.75" customHeight="1" x14ac:dyDescent="0.25">
      <c r="A946" s="73"/>
      <c r="B946" s="73"/>
    </row>
    <row r="947" spans="1:2" ht="15.75" customHeight="1" x14ac:dyDescent="0.25">
      <c r="A947" s="73"/>
      <c r="B947" s="73"/>
    </row>
    <row r="948" spans="1:2" ht="15.75" customHeight="1" x14ac:dyDescent="0.25">
      <c r="A948" s="73"/>
      <c r="B948" s="73"/>
    </row>
    <row r="949" spans="1:2" ht="15.75" customHeight="1" x14ac:dyDescent="0.25">
      <c r="A949" s="73"/>
      <c r="B949" s="73"/>
    </row>
    <row r="950" spans="1:2" ht="15.75" customHeight="1" x14ac:dyDescent="0.25">
      <c r="A950" s="73"/>
      <c r="B950" s="73"/>
    </row>
    <row r="951" spans="1:2" ht="15.75" customHeight="1" x14ac:dyDescent="0.25">
      <c r="A951" s="73"/>
      <c r="B951" s="73"/>
    </row>
    <row r="952" spans="1:2" ht="15.75" customHeight="1" x14ac:dyDescent="0.25">
      <c r="A952" s="73"/>
      <c r="B952" s="73"/>
    </row>
    <row r="953" spans="1:2" ht="15.75" customHeight="1" x14ac:dyDescent="0.25">
      <c r="A953" s="73"/>
      <c r="B953" s="73"/>
    </row>
    <row r="954" spans="1:2" ht="15.75" customHeight="1" x14ac:dyDescent="0.25">
      <c r="A954" s="73"/>
      <c r="B954" s="73"/>
    </row>
    <row r="955" spans="1:2" ht="15.75" customHeight="1" x14ac:dyDescent="0.25">
      <c r="A955" s="73"/>
      <c r="B955" s="73"/>
    </row>
    <row r="956" spans="1:2" ht="15.75" customHeight="1" x14ac:dyDescent="0.25">
      <c r="A956" s="73"/>
      <c r="B956" s="73"/>
    </row>
    <row r="957" spans="1:2" ht="15.75" customHeight="1" x14ac:dyDescent="0.25">
      <c r="A957" s="73"/>
      <c r="B957" s="73"/>
    </row>
    <row r="958" spans="1:2" ht="15.75" customHeight="1" x14ac:dyDescent="0.25">
      <c r="A958" s="73"/>
      <c r="B958" s="73"/>
    </row>
    <row r="959" spans="1:2" ht="15.75" customHeight="1" x14ac:dyDescent="0.25">
      <c r="A959" s="73"/>
      <c r="B959" s="73"/>
    </row>
    <row r="960" spans="1:2" ht="15.75" customHeight="1" x14ac:dyDescent="0.25">
      <c r="A960" s="73"/>
      <c r="B960" s="73"/>
    </row>
    <row r="961" spans="1:2" ht="15.75" customHeight="1" x14ac:dyDescent="0.25">
      <c r="A961" s="73"/>
      <c r="B961" s="73"/>
    </row>
    <row r="962" spans="1:2" ht="15.75" customHeight="1" x14ac:dyDescent="0.25">
      <c r="A962" s="73"/>
      <c r="B962" s="73"/>
    </row>
    <row r="963" spans="1:2" ht="15.75" customHeight="1" x14ac:dyDescent="0.25">
      <c r="A963" s="73"/>
      <c r="B963" s="73"/>
    </row>
    <row r="964" spans="1:2" ht="15.75" customHeight="1" x14ac:dyDescent="0.25">
      <c r="A964" s="73"/>
      <c r="B964" s="73"/>
    </row>
    <row r="965" spans="1:2" ht="15.75" customHeight="1" x14ac:dyDescent="0.25">
      <c r="A965" s="73"/>
      <c r="B965" s="73"/>
    </row>
    <row r="966" spans="1:2" ht="15.75" customHeight="1" x14ac:dyDescent="0.25">
      <c r="A966" s="73"/>
      <c r="B966" s="73"/>
    </row>
    <row r="967" spans="1:2" ht="15.75" customHeight="1" x14ac:dyDescent="0.25">
      <c r="A967" s="73"/>
      <c r="B967" s="73"/>
    </row>
    <row r="968" spans="1:2" ht="15.75" customHeight="1" x14ac:dyDescent="0.25">
      <c r="A968" s="73"/>
      <c r="B968" s="73"/>
    </row>
    <row r="969" spans="1:2" ht="15.75" customHeight="1" x14ac:dyDescent="0.25">
      <c r="A969" s="73"/>
      <c r="B969" s="73"/>
    </row>
    <row r="970" spans="1:2" ht="15.75" customHeight="1" x14ac:dyDescent="0.25">
      <c r="A970" s="73"/>
      <c r="B970" s="73"/>
    </row>
    <row r="971" spans="1:2" ht="15.75" customHeight="1" x14ac:dyDescent="0.25">
      <c r="A971" s="73"/>
      <c r="B971" s="73"/>
    </row>
    <row r="972" spans="1:2" ht="15.75" customHeight="1" x14ac:dyDescent="0.25">
      <c r="A972" s="73"/>
      <c r="B972" s="73"/>
    </row>
    <row r="973" spans="1:2" ht="15.75" customHeight="1" x14ac:dyDescent="0.25">
      <c r="A973" s="73"/>
      <c r="B973" s="73"/>
    </row>
    <row r="974" spans="1:2" ht="15.75" customHeight="1" x14ac:dyDescent="0.25">
      <c r="A974" s="73"/>
      <c r="B974" s="73"/>
    </row>
    <row r="975" spans="1:2" ht="15.75" customHeight="1" x14ac:dyDescent="0.25">
      <c r="A975" s="73"/>
      <c r="B975" s="73"/>
    </row>
    <row r="976" spans="1:2" ht="15.75" customHeight="1" x14ac:dyDescent="0.25">
      <c r="A976" s="73"/>
      <c r="B976" s="73"/>
    </row>
    <row r="977" spans="1:2" ht="15.75" customHeight="1" x14ac:dyDescent="0.25">
      <c r="A977" s="73"/>
      <c r="B977" s="73"/>
    </row>
    <row r="978" spans="1:2" ht="15.75" customHeight="1" x14ac:dyDescent="0.25">
      <c r="A978" s="73"/>
      <c r="B978" s="73"/>
    </row>
    <row r="979" spans="1:2" ht="15.75" customHeight="1" x14ac:dyDescent="0.25">
      <c r="A979" s="73"/>
      <c r="B979" s="73"/>
    </row>
    <row r="980" spans="1:2" ht="15.75" customHeight="1" x14ac:dyDescent="0.25">
      <c r="A980" s="73"/>
      <c r="B980" s="73"/>
    </row>
    <row r="981" spans="1:2" ht="15.75" customHeight="1" x14ac:dyDescent="0.25">
      <c r="A981" s="73"/>
      <c r="B981" s="73"/>
    </row>
    <row r="982" spans="1:2" ht="15.75" customHeight="1" x14ac:dyDescent="0.25">
      <c r="A982" s="73"/>
      <c r="B982" s="73"/>
    </row>
    <row r="983" spans="1:2" ht="15.75" customHeight="1" x14ac:dyDescent="0.25">
      <c r="A983" s="73"/>
      <c r="B983" s="73"/>
    </row>
    <row r="984" spans="1:2" ht="15.75" customHeight="1" x14ac:dyDescent="0.25">
      <c r="A984" s="73"/>
      <c r="B984" s="73"/>
    </row>
    <row r="985" spans="1:2" ht="15.75" customHeight="1" x14ac:dyDescent="0.25">
      <c r="A985" s="73"/>
      <c r="B985" s="73"/>
    </row>
    <row r="986" spans="1:2" ht="15.75" customHeight="1" x14ac:dyDescent="0.25">
      <c r="A986" s="73"/>
      <c r="B986" s="73"/>
    </row>
    <row r="987" spans="1:2" ht="15.75" customHeight="1" x14ac:dyDescent="0.25">
      <c r="A987" s="73"/>
      <c r="B987" s="73"/>
    </row>
    <row r="988" spans="1:2" ht="15.75" customHeight="1" x14ac:dyDescent="0.25">
      <c r="A988" s="73"/>
      <c r="B988" s="73"/>
    </row>
    <row r="989" spans="1:2" ht="15.75" customHeight="1" x14ac:dyDescent="0.25">
      <c r="A989" s="73"/>
      <c r="B989" s="73"/>
    </row>
    <row r="990" spans="1:2" ht="15.75" customHeight="1" x14ac:dyDescent="0.25">
      <c r="A990" s="73"/>
      <c r="B990" s="73"/>
    </row>
    <row r="991" spans="1:2" ht="15.75" customHeight="1" x14ac:dyDescent="0.25">
      <c r="A991" s="73"/>
      <c r="B991" s="73"/>
    </row>
    <row r="992" spans="1:2" ht="15.75" customHeight="1" x14ac:dyDescent="0.25">
      <c r="A992" s="73"/>
      <c r="B992" s="73"/>
    </row>
    <row r="993" spans="1:2" ht="15.75" customHeight="1" x14ac:dyDescent="0.25">
      <c r="A993" s="73"/>
      <c r="B993" s="73"/>
    </row>
    <row r="994" spans="1:2" ht="15.75" customHeight="1" x14ac:dyDescent="0.25">
      <c r="A994" s="73"/>
      <c r="B994" s="73"/>
    </row>
    <row r="995" spans="1:2" ht="15.75" customHeight="1" x14ac:dyDescent="0.25">
      <c r="A995" s="73"/>
      <c r="B995" s="73"/>
    </row>
    <row r="996" spans="1:2" ht="15.75" customHeight="1" x14ac:dyDescent="0.25">
      <c r="A996" s="73"/>
      <c r="B996" s="73"/>
    </row>
    <row r="997" spans="1:2" ht="15.75" customHeight="1" x14ac:dyDescent="0.25">
      <c r="A997" s="73"/>
      <c r="B997" s="73"/>
    </row>
    <row r="998" spans="1:2" ht="15.75" customHeight="1" x14ac:dyDescent="0.25">
      <c r="A998" s="73"/>
      <c r="B998" s="73"/>
    </row>
    <row r="999" spans="1:2" ht="15.75" customHeight="1" x14ac:dyDescent="0.25">
      <c r="A999" s="73"/>
      <c r="B999" s="73"/>
    </row>
    <row r="1000" spans="1:2" ht="15.75" customHeight="1" x14ac:dyDescent="0.25">
      <c r="A1000" s="73"/>
      <c r="B1000" s="73"/>
    </row>
  </sheetData>
  <mergeCells count="2">
    <mergeCell ref="H1:H2"/>
    <mergeCell ref="I2:J2"/>
  </mergeCells>
  <printOptions horizontalCentered="1" verticalCentered="1"/>
  <pageMargins left="0.23622047244094491" right="0.23622047244094491" top="0.74803149606299213" bottom="0.74803149606299213" header="0" footer="0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 de gtos</vt:lpstr>
      <vt:lpstr>prorrateo</vt:lpstr>
      <vt:lpstr>'detalle de gtos'!Área_de_impresión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2025-03-07T15:18:59Z</cp:lastPrinted>
  <dcterms:created xsi:type="dcterms:W3CDTF">2020-12-10T00:27:53Z</dcterms:created>
  <dcterms:modified xsi:type="dcterms:W3CDTF">2025-03-07T15:19:08Z</dcterms:modified>
</cp:coreProperties>
</file>