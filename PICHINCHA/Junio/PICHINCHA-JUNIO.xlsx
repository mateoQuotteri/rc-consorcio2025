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ICHINCHA\Junio\"/>
    </mc:Choice>
  </mc:AlternateContent>
  <xr:revisionPtr revIDLastSave="0" documentId="13_ncr:1_{B64F0504-C32A-4FE3-AE69-BFF09242D1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lle y gastos" sheetId="3" r:id="rId1"/>
    <sheet name="prorrateo " sheetId="1" r:id="rId2"/>
    <sheet name="EDESUR" sheetId="6" r:id="rId3"/>
    <sheet name="Hoja1" sheetId="5" r:id="rId4"/>
    <sheet name="extraordinaria" sheetId="4" r:id="rId5"/>
  </sheets>
  <definedNames>
    <definedName name="_xlnm.Print_Area" localSheetId="0">'detalle y gastos'!$A$1:$F$45</definedName>
    <definedName name="_xlnm.Print_Area" localSheetId="2">EDESUR!$A$1:$O$25</definedName>
    <definedName name="_xlnm.Print_Area" localSheetId="1">'prorrateo '!$A$1:$M$12</definedName>
  </definedNames>
  <calcPr calcId="181029"/>
</workbook>
</file>

<file path=xl/calcChain.xml><?xml version="1.0" encoding="utf-8"?>
<calcChain xmlns="http://schemas.openxmlformats.org/spreadsheetml/2006/main">
  <c r="C24" i="3" l="1"/>
  <c r="E20" i="6"/>
  <c r="E21" i="6"/>
  <c r="E18" i="6"/>
  <c r="F7" i="1" l="1"/>
  <c r="F8" i="1"/>
  <c r="F5" i="1"/>
  <c r="F12" i="3" l="1"/>
  <c r="E22" i="6"/>
  <c r="E19" i="6"/>
  <c r="C22" i="3"/>
  <c r="C27" i="3" s="1"/>
  <c r="L4" i="1" l="1"/>
  <c r="F6" i="1"/>
  <c r="M3" i="6" l="1"/>
  <c r="O4" i="6" s="1"/>
  <c r="K6" i="6"/>
  <c r="F9" i="1" l="1"/>
  <c r="E24" i="6"/>
  <c r="F16" i="3" s="1"/>
  <c r="K7" i="6"/>
  <c r="K9" i="6"/>
  <c r="K10" i="6"/>
  <c r="L9" i="6" l="1"/>
  <c r="N9" i="6" s="1"/>
  <c r="L7" i="6"/>
  <c r="N7" i="6" s="1"/>
  <c r="L8" i="6"/>
  <c r="N8" i="6" s="1"/>
  <c r="F20" i="6" s="1"/>
  <c r="H20" i="6" s="1"/>
  <c r="L10" i="6"/>
  <c r="N10" i="6" s="1"/>
  <c r="F22" i="6" s="1"/>
  <c r="H22" i="6" s="1"/>
  <c r="L11" i="6"/>
  <c r="L6" i="6"/>
  <c r="N6" i="6" s="1"/>
  <c r="F18" i="6" s="1"/>
  <c r="E7" i="6"/>
  <c r="F15" i="3" s="1"/>
  <c r="F21" i="6" l="1"/>
  <c r="H21" i="6" s="1"/>
  <c r="F19" i="6"/>
  <c r="H19" i="6" s="1"/>
  <c r="H18" i="6"/>
  <c r="N14" i="6"/>
  <c r="C20" i="3"/>
  <c r="C28" i="3" s="1"/>
  <c r="G8" i="1"/>
  <c r="H8" i="1" s="1"/>
  <c r="G7" i="1"/>
  <c r="G6" i="1"/>
  <c r="C38" i="3" l="1"/>
  <c r="C39" i="3"/>
  <c r="J9" i="1"/>
  <c r="J6" i="1"/>
  <c r="J7" i="1"/>
  <c r="J8" i="1"/>
  <c r="J5" i="1"/>
  <c r="F14" i="3" l="1"/>
  <c r="A2" i="1"/>
  <c r="G9" i="1" l="1"/>
  <c r="C37" i="3" l="1"/>
  <c r="C40" i="3" s="1"/>
  <c r="K8" i="1" l="1"/>
  <c r="L8" i="1" s="1"/>
  <c r="M8" i="1" s="1"/>
  <c r="K7" i="1"/>
  <c r="K6" i="1"/>
  <c r="K9" i="1"/>
  <c r="K5" i="1"/>
  <c r="G5" i="1"/>
  <c r="H5" i="1" s="1"/>
  <c r="L5" i="1" s="1"/>
  <c r="M5" i="1" s="1"/>
  <c r="H6" i="1" l="1"/>
  <c r="L6" i="1" s="1"/>
  <c r="M6" i="1" s="1"/>
  <c r="H7" i="1"/>
  <c r="L7" i="1" s="1"/>
  <c r="M7" i="1" l="1"/>
  <c r="K10" i="1"/>
  <c r="I10" i="1"/>
  <c r="H9" i="1" l="1"/>
  <c r="L9" i="1" s="1"/>
  <c r="F10" i="1"/>
  <c r="D10" i="1"/>
  <c r="E10" i="1"/>
  <c r="M9" i="1" l="1"/>
  <c r="L10" i="1"/>
  <c r="F13" i="3"/>
  <c r="F20" i="3" s="1"/>
  <c r="J10" i="1"/>
  <c r="G10" i="1"/>
  <c r="H10" i="1"/>
  <c r="M10" i="1" l="1"/>
</calcChain>
</file>

<file path=xl/sharedStrings.xml><?xml version="1.0" encoding="utf-8"?>
<sst xmlns="http://schemas.openxmlformats.org/spreadsheetml/2006/main" count="116" uniqueCount="94">
  <si>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</si>
  <si>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</si>
  <si>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</si>
  <si>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</si>
  <si>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</si>
  <si>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</si>
  <si>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</si>
  <si>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</si>
  <si>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</si>
  <si>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</si>
  <si>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</si>
  <si>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</si>
  <si>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</si>
  <si>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</si>
  <si>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</si>
  <si>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</si>
  <si>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</si>
  <si>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</si>
  <si>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</si>
  <si>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</si>
  <si>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</si>
  <si>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</si>
  <si>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</si>
  <si>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</si>
  <si>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</si>
  <si>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</si>
  <si>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</si>
  <si>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</si>
  <si>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</si>
  <si>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</si>
  <si>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</si>
  <si>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</si>
  <si>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</si>
  <si>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</si>
  <si>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</si>
  <si>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</si>
  <si>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</si>
  <si>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</si>
  <si>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</si>
  <si>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</si>
  <si>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</si>
  <si>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</si>
  <si>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</si>
  <si>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</si>
  <si>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</si>
  <si>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</si>
  <si>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</si>
  <si>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</si>
  <si>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</si>
  <si>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</si>
  <si>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</si>
  <si>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</si>
  <si>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</si>
  <si>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</si>
  <si>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</si>
  <si>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</si>
  <si>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</si>
  <si>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</si>
  <si>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</si>
  <si>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 xml:space="preserve">Honorarios Administracion </t>
  </si>
  <si>
    <t>PREVISION ORDINARIA</t>
  </si>
  <si>
    <t>AGUSTIN</t>
  </si>
  <si>
    <t>GABRIEL</t>
  </si>
  <si>
    <t>MARY</t>
  </si>
  <si>
    <t>MARTIN</t>
  </si>
  <si>
    <t>CAMILA</t>
  </si>
  <si>
    <t>SERVICIO DE LIMPIEZA SRA. MONICA GOROSITO</t>
  </si>
  <si>
    <t>AYSA</t>
  </si>
  <si>
    <t>FLOW - INTERNET CAMARA</t>
  </si>
  <si>
    <t>VTO</t>
  </si>
  <si>
    <t>SEGUNDO</t>
  </si>
  <si>
    <t>PRIMER VTO</t>
  </si>
  <si>
    <t xml:space="preserve">Edesur </t>
  </si>
  <si>
    <t>EDESUR FACTURA 1:</t>
  </si>
  <si>
    <t>EDESUR FACTURA 2:</t>
  </si>
  <si>
    <t>EDESUR FACTURA 3:</t>
  </si>
  <si>
    <t>GASTOS COMUNES</t>
  </si>
  <si>
    <t>GASTOS COMUNES (SIN INCLUIR CONSUMO DE UF 3)</t>
  </si>
  <si>
    <t>LOS GASTOS COMUNES INCLUYEN: CONSUMO DE LA BOMBA, LUCES DE ESCALERAS, TERRAZAS, COCHERAS Y PUERTAS, CAMARAS E INTERNET</t>
  </si>
  <si>
    <t>SALDO A ABONAR</t>
  </si>
  <si>
    <t>ABONADO</t>
  </si>
  <si>
    <t>SALDO ANTERIOR</t>
  </si>
  <si>
    <t>TOTAL</t>
  </si>
  <si>
    <t>Total abonado de Edesur</t>
  </si>
  <si>
    <t>METROGAS</t>
  </si>
  <si>
    <t>tsg y flow a ajustar - repetimos montos</t>
  </si>
  <si>
    <t>CERRRAJERIA - ARREGLO CERRADURA PORTON</t>
  </si>
  <si>
    <t>SALVATIERRA MATIAS - DESOBSTRUCCION COLECTORA CLOACAL</t>
  </si>
  <si>
    <t xml:space="preserve">FERRETERIA V&amp;A </t>
  </si>
  <si>
    <t>ARBA - CUOTA 2</t>
  </si>
  <si>
    <t>SERVISUR - CAMBIO DE FOTCELULA - MANO DE OBRA Y MATERIAL</t>
  </si>
  <si>
    <t>Vto. 14/07</t>
  </si>
  <si>
    <t>Liquidacion mes de JUNIO</t>
  </si>
  <si>
    <t>TSG - MES DE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</si>
</sst>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71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0" fontId="5" fillId="0" borderId="8" xfId="0" applyFont="1" applyBorder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8" xfId="0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0" fontId="0" fillId="0" borderId="0" xfId="0" applyAlignment="1">
      <alignment horizontal="center" vertical="center" wrapText="1"/>
    </xf>
    <xf numFmtId="164" fontId="0" fillId="0" borderId="0" xfId="2" applyFont="1"/>
    <xf numFmtId="166" fontId="9" fillId="0" borderId="22" xfId="2" applyNumberFormat="1" applyFont="1" applyBorder="1"/>
    <xf numFmtId="0" fontId="0" fillId="9" borderId="0" xfId="0" applyFill="1"/>
    <xf numFmtId="164" fontId="0" fillId="9" borderId="0" xfId="0" applyNumberFormat="1" applyFill="1"/>
    <xf numFmtId="0" fontId="0" fillId="10" borderId="0" xfId="0" applyFill="1"/>
    <xf numFmtId="0" fontId="0" fillId="11" borderId="0" xfId="0" applyFill="1"/>
    <xf numFmtId="43" fontId="0" fillId="0" borderId="0" xfId="0" applyNumberFormat="1"/>
    <xf numFmtId="0" fontId="0" fillId="0" borderId="54" xfId="0" applyBorder="1"/>
    <xf numFmtId="164" fontId="0" fillId="0" borderId="52" xfId="0" applyNumberFormat="1" applyBorder="1"/>
    <xf numFmtId="0" fontId="8" fillId="12" borderId="0" xfId="0" applyFont="1" applyFill="1"/>
    <xf numFmtId="4" fontId="10" fillId="6" borderId="1" xfId="0" applyNumberFormat="1" applyFont="1" applyFill="1" applyBorder="1"/>
    <xf numFmtId="4" fontId="10" fillId="6" borderId="6" xfId="0" applyNumberFormat="1" applyFont="1" applyFill="1" applyBorder="1"/>
    <xf numFmtId="164" fontId="10" fillId="0" borderId="0" xfId="0" applyNumberFormat="1" applyFont="1"/>
    <xf numFmtId="164" fontId="10" fillId="6" borderId="53" xfId="0" applyNumberFormat="1" applyFont="1" applyFill="1" applyBorder="1"/>
    <xf numFmtId="164" fontId="10" fillId="6" borderId="52" xfId="0" applyNumberFormat="1" applyFont="1" applyFill="1" applyBorder="1"/>
    <xf numFmtId="164" fontId="10" fillId="6" borderId="55" xfId="0" applyNumberFormat="1" applyFont="1" applyFill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164" fontId="1" fillId="0" borderId="57" xfId="2" applyFont="1" applyBorder="1"/>
    <xf numFmtId="164" fontId="1" fillId="0" borderId="23" xfId="2" applyFont="1" applyBorder="1"/>
    <xf numFmtId="164" fontId="1" fillId="0" borderId="58" xfId="2" applyFont="1" applyBorder="1"/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164" fontId="1" fillId="0" borderId="16" xfId="2" applyFont="1" applyBorder="1"/>
    <xf numFmtId="164" fontId="1" fillId="0" borderId="0" xfId="2" applyFont="1" applyBorder="1"/>
    <xf numFmtId="164" fontId="1" fillId="0" borderId="56" xfId="2" applyFont="1" applyBorder="1"/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164" fontId="14" fillId="2" borderId="0" xfId="2" applyFont="1" applyFill="1"/>
    <xf numFmtId="4" fontId="14" fillId="6" borderId="6" xfId="0" applyNumberFormat="1" applyFont="1" applyFill="1" applyBorder="1"/>
    <xf numFmtId="164" fontId="14" fillId="6" borderId="0" xfId="2" applyFont="1" applyFill="1"/>
    <xf numFmtId="164" fontId="14" fillId="10" borderId="0" xfId="2" applyFont="1" applyFill="1"/>
    <xf numFmtId="4" fontId="14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topLeftCell="A10" workbookViewId="0">
      <selection activeCell="C17" sqref="C17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6" x14ac:dyDescent="0.25">
      <c r="B1" t="s">
        <v>57</v>
      </c>
    </row>
    <row r="2" spans="1:6" x14ac:dyDescent="0.25">
      <c r="B2" t="s">
        <v>18</v>
      </c>
      <c r="C2" s="110" t="s">
        <v>56</v>
      </c>
    </row>
    <row r="3" spans="1:6" x14ac:dyDescent="0.25">
      <c r="B3" t="s">
        <v>9</v>
      </c>
    </row>
    <row r="4" spans="1:6" x14ac:dyDescent="0.25">
      <c r="B4" s="4" t="s">
        <v>6</v>
      </c>
    </row>
    <row r="5" spans="1:6" ht="8.25" customHeight="1" x14ac:dyDescent="0.25">
      <c r="A5" s="3"/>
      <c r="B5" s="23"/>
      <c r="C5" s="3"/>
    </row>
    <row r="6" spans="1:6" x14ac:dyDescent="0.25">
      <c r="D6" s="29"/>
      <c r="E6" s="29"/>
      <c r="F6" s="29"/>
    </row>
    <row r="7" spans="1:6" x14ac:dyDescent="0.25">
      <c r="A7" s="24" t="s">
        <v>58</v>
      </c>
      <c r="B7" s="24"/>
      <c r="C7" s="68"/>
      <c r="D7" s="68"/>
      <c r="E7" s="24" t="s">
        <v>92</v>
      </c>
      <c r="F7" s="111" t="s">
        <v>91</v>
      </c>
    </row>
    <row r="8" spans="1:6" x14ac:dyDescent="0.25">
      <c r="A8" s="3"/>
      <c r="B8" s="3"/>
      <c r="C8" s="3"/>
      <c r="D8" s="3"/>
      <c r="E8" s="3"/>
      <c r="F8" s="3"/>
    </row>
    <row r="10" spans="1:6" x14ac:dyDescent="0.25">
      <c r="A10" s="22" t="s">
        <v>11</v>
      </c>
    </row>
    <row r="11" spans="1:6" ht="15.75" thickBot="1" x14ac:dyDescent="0.3">
      <c r="A11" s="28" t="s">
        <v>10</v>
      </c>
      <c r="B11" s="29"/>
      <c r="C11" s="30"/>
      <c r="D11" s="5"/>
      <c r="E11" s="136" t="s">
        <v>22</v>
      </c>
      <c r="F11" s="136"/>
    </row>
    <row r="12" spans="1:6" x14ac:dyDescent="0.25">
      <c r="A12" s="107" t="s">
        <v>67</v>
      </c>
      <c r="B12" s="108"/>
      <c r="C12" s="131">
        <v>78921.33</v>
      </c>
      <c r="D12" s="5"/>
      <c r="E12" s="56" t="s">
        <v>42</v>
      </c>
      <c r="F12" s="57">
        <f>-1484152</f>
        <v>-1484152</v>
      </c>
    </row>
    <row r="13" spans="1:6" x14ac:dyDescent="0.25">
      <c r="A13" s="31" t="s">
        <v>45</v>
      </c>
      <c r="C13" s="167">
        <v>92086</v>
      </c>
      <c r="D13" s="43"/>
      <c r="E13" s="58" t="s">
        <v>7</v>
      </c>
      <c r="F13" s="59">
        <f>'prorrateo '!F10</f>
        <v>856053.07200353278</v>
      </c>
    </row>
    <row r="14" spans="1:6" ht="15.75" customHeight="1" x14ac:dyDescent="0.25">
      <c r="A14" s="31" t="s">
        <v>19</v>
      </c>
      <c r="B14" t="s">
        <v>59</v>
      </c>
      <c r="C14" s="80">
        <v>33600</v>
      </c>
      <c r="D14" s="5"/>
      <c r="E14" s="58" t="s">
        <v>20</v>
      </c>
      <c r="F14" s="59">
        <f>-(C38)</f>
        <v>-535928.1</v>
      </c>
    </row>
    <row r="15" spans="1:6" x14ac:dyDescent="0.25">
      <c r="A15" s="31" t="s">
        <v>68</v>
      </c>
      <c r="C15" s="130">
        <v>39299</v>
      </c>
      <c r="D15" s="5"/>
      <c r="E15" s="58" t="s">
        <v>72</v>
      </c>
      <c r="F15" s="59">
        <f>-EDESUR!E7</f>
        <v>-196109.41</v>
      </c>
    </row>
    <row r="16" spans="1:6" x14ac:dyDescent="0.25">
      <c r="A16" s="31" t="s">
        <v>84</v>
      </c>
      <c r="C16" s="130">
        <v>70904.02</v>
      </c>
      <c r="D16" s="5"/>
      <c r="E16" s="58" t="s">
        <v>83</v>
      </c>
      <c r="F16" s="59">
        <f>EDESUR!E24</f>
        <v>648604.22600000002</v>
      </c>
    </row>
    <row r="17" spans="1:8" x14ac:dyDescent="0.25">
      <c r="A17" s="31" t="s">
        <v>88</v>
      </c>
      <c r="C17" s="170">
        <v>5000</v>
      </c>
      <c r="D17" s="5"/>
      <c r="E17" s="58"/>
      <c r="F17" s="59"/>
    </row>
    <row r="18" spans="1:8" x14ac:dyDescent="0.25">
      <c r="A18" s="31" t="s">
        <v>93</v>
      </c>
      <c r="C18" s="130">
        <v>12287</v>
      </c>
      <c r="D18" s="5"/>
      <c r="E18" s="58"/>
      <c r="F18" s="59"/>
    </row>
    <row r="19" spans="1:8" x14ac:dyDescent="0.25">
      <c r="A19" s="31" t="s">
        <v>89</v>
      </c>
      <c r="C19" s="130">
        <v>6317.6</v>
      </c>
      <c r="E19" s="58"/>
      <c r="F19" s="59"/>
      <c r="H19" s="122" t="s">
        <v>85</v>
      </c>
    </row>
    <row r="20" spans="1:8" ht="15.75" thickBot="1" x14ac:dyDescent="0.3">
      <c r="A20" s="32"/>
      <c r="B20" s="33"/>
      <c r="C20" s="87">
        <f>SUM(C12:C19)</f>
        <v>338414.95</v>
      </c>
      <c r="E20" s="60" t="s">
        <v>43</v>
      </c>
      <c r="F20" s="121">
        <f>SUM(F12:F19)</f>
        <v>-711532.21199646709</v>
      </c>
    </row>
    <row r="21" spans="1:8" x14ac:dyDescent="0.25">
      <c r="A21" s="34" t="s">
        <v>21</v>
      </c>
      <c r="C21" s="113"/>
      <c r="D21" s="5"/>
      <c r="E21" s="19"/>
      <c r="F21" s="20"/>
    </row>
    <row r="22" spans="1:8" x14ac:dyDescent="0.25">
      <c r="A22" s="31" t="s">
        <v>66</v>
      </c>
      <c r="B22" s="35"/>
      <c r="C22" s="130">
        <f>65203*5%+65203</f>
        <v>68463.149999999994</v>
      </c>
      <c r="D22" s="5"/>
      <c r="E22" s="19"/>
      <c r="F22" s="20"/>
    </row>
    <row r="23" spans="1:8" x14ac:dyDescent="0.25">
      <c r="A23" s="31" t="s">
        <v>86</v>
      </c>
      <c r="B23" s="35"/>
      <c r="C23" s="130">
        <v>40000</v>
      </c>
      <c r="D23" s="5"/>
      <c r="E23" s="19"/>
      <c r="F23" s="20"/>
    </row>
    <row r="24" spans="1:8" x14ac:dyDescent="0.25">
      <c r="A24" s="31" t="s">
        <v>90</v>
      </c>
      <c r="B24" s="35"/>
      <c r="C24" s="130">
        <f>25000+7500</f>
        <v>32500</v>
      </c>
      <c r="D24" s="5"/>
      <c r="E24" s="19"/>
      <c r="F24" s="20"/>
    </row>
    <row r="25" spans="1:8" ht="14.25" customHeight="1" x14ac:dyDescent="0.25">
      <c r="A25" s="31" t="s">
        <v>87</v>
      </c>
      <c r="B25" s="35"/>
      <c r="C25" s="130">
        <v>56550</v>
      </c>
      <c r="D25" s="5"/>
      <c r="E25" s="19"/>
      <c r="F25" s="20"/>
    </row>
    <row r="26" spans="1:8" x14ac:dyDescent="0.25">
      <c r="A26" s="31" t="s">
        <v>60</v>
      </c>
      <c r="B26" s="35"/>
      <c r="C26" s="112">
        <v>0</v>
      </c>
      <c r="D26" s="5"/>
      <c r="E26" s="19"/>
      <c r="F26" s="20"/>
    </row>
    <row r="27" spans="1:8" x14ac:dyDescent="0.25">
      <c r="A27" s="32"/>
      <c r="B27" s="33"/>
      <c r="C27" s="109">
        <f>SUM(C21:C26)</f>
        <v>197513.15</v>
      </c>
      <c r="D27" s="5"/>
      <c r="E27" s="5"/>
      <c r="F27" s="55"/>
      <c r="G27" s="6"/>
    </row>
    <row r="28" spans="1:8" x14ac:dyDescent="0.25">
      <c r="A28" s="47" t="s">
        <v>12</v>
      </c>
      <c r="B28" s="48"/>
      <c r="C28" s="49">
        <f>+C27+C20</f>
        <v>535928.1</v>
      </c>
      <c r="D28" s="5"/>
      <c r="E28" s="19"/>
      <c r="F28" s="20"/>
    </row>
    <row r="29" spans="1:8" ht="14.25" customHeight="1" x14ac:dyDescent="0.25">
      <c r="A29" s="69" t="s">
        <v>24</v>
      </c>
      <c r="B29" s="82"/>
      <c r="C29" s="83"/>
      <c r="E29" s="19"/>
      <c r="F29" s="20"/>
    </row>
    <row r="30" spans="1:8" hidden="1" x14ac:dyDescent="0.25">
      <c r="A30" s="22" t="s">
        <v>24</v>
      </c>
    </row>
    <row r="31" spans="1:8" hidden="1" x14ac:dyDescent="0.25">
      <c r="A31" s="44"/>
      <c r="B31" s="29"/>
      <c r="C31" s="54"/>
      <c r="F31" s="6"/>
    </row>
    <row r="32" spans="1:8" hidden="1" x14ac:dyDescent="0.25">
      <c r="A32" s="52"/>
      <c r="B32" s="51"/>
      <c r="C32" s="53">
        <v>0</v>
      </c>
      <c r="F32" s="6"/>
    </row>
    <row r="33" spans="1:6" hidden="1" x14ac:dyDescent="0.25">
      <c r="A33" s="61"/>
      <c r="B33" s="62"/>
      <c r="C33" s="53">
        <v>0</v>
      </c>
      <c r="F33" s="6"/>
    </row>
    <row r="34" spans="1:6" x14ac:dyDescent="0.25">
      <c r="A34" s="78"/>
      <c r="B34" s="79"/>
      <c r="C34" s="81"/>
      <c r="F34" s="6"/>
    </row>
    <row r="35" spans="1:6" x14ac:dyDescent="0.25">
      <c r="A35" s="78"/>
      <c r="B35" s="85"/>
      <c r="C35" s="86"/>
      <c r="F35" s="6"/>
    </row>
    <row r="36" spans="1:6" x14ac:dyDescent="0.25">
      <c r="A36" s="78"/>
      <c r="B36" s="84"/>
      <c r="C36" s="81">
        <v>0</v>
      </c>
      <c r="F36" s="6"/>
    </row>
    <row r="37" spans="1:6" x14ac:dyDescent="0.25">
      <c r="A37" s="63" t="s">
        <v>23</v>
      </c>
      <c r="B37" s="64"/>
      <c r="C37" s="65">
        <f>SUM(C32:C36)</f>
        <v>0</v>
      </c>
    </row>
    <row r="38" spans="1:6" x14ac:dyDescent="0.25">
      <c r="A38" t="s">
        <v>54</v>
      </c>
      <c r="C38" s="53">
        <f>C28-C26</f>
        <v>535928.1</v>
      </c>
      <c r="F38" s="6"/>
    </row>
    <row r="39" spans="1:6" x14ac:dyDescent="0.25">
      <c r="A39" s="5" t="s">
        <v>49</v>
      </c>
      <c r="C39" s="77">
        <f>+C28</f>
        <v>535928.1</v>
      </c>
      <c r="F39" s="6"/>
    </row>
    <row r="40" spans="1:6" x14ac:dyDescent="0.25">
      <c r="A40" s="63" t="s">
        <v>13</v>
      </c>
      <c r="B40" s="64"/>
      <c r="C40" s="65">
        <f>+C28+C37</f>
        <v>535928.1</v>
      </c>
      <c r="E40" s="16"/>
    </row>
    <row r="45" spans="1:6" x14ac:dyDescent="0.25">
      <c r="D45" s="6"/>
    </row>
    <row r="46" spans="1:6" x14ac:dyDescent="0.25">
      <c r="D46" s="16"/>
      <c r="E46" s="16"/>
    </row>
    <row r="47" spans="1:6" x14ac:dyDescent="0.25">
      <c r="B47" s="137"/>
      <c r="C47" s="137"/>
      <c r="D47" s="137"/>
      <c r="E47" s="137"/>
    </row>
    <row r="48" spans="1:6" x14ac:dyDescent="0.25">
      <c r="B48" s="137"/>
      <c r="C48" s="137"/>
      <c r="D48" s="137"/>
      <c r="E48" s="137"/>
    </row>
    <row r="49" spans="1:5" x14ac:dyDescent="0.25">
      <c r="B49" s="137"/>
      <c r="C49" s="137"/>
      <c r="D49" s="137"/>
      <c r="E49" s="137"/>
    </row>
    <row r="61" spans="1:5" x14ac:dyDescent="0.25">
      <c r="A61" s="19"/>
      <c r="B61" s="18"/>
      <c r="C61" s="20"/>
    </row>
    <row r="62" spans="1:5" x14ac:dyDescent="0.25">
      <c r="A62" s="18"/>
      <c r="B62" s="18"/>
      <c r="C62" s="18"/>
    </row>
    <row r="63" spans="1:5" x14ac:dyDescent="0.25">
      <c r="A63" s="18"/>
      <c r="B63" s="18"/>
      <c r="C63" s="18"/>
    </row>
    <row r="64" spans="1:5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  <row r="68" spans="1:3" x14ac:dyDescent="0.25">
      <c r="A68" s="18"/>
      <c r="B68" s="18"/>
      <c r="C68" s="18"/>
    </row>
  </sheetData>
  <mergeCells count="2">
    <mergeCell ref="E11:F11"/>
    <mergeCell ref="B47:E49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5" t="s">
        <v>55</v>
      </c>
      <c r="B1" s="106"/>
      <c r="C1" s="106"/>
      <c r="D1" s="26"/>
      <c r="E1" s="25"/>
      <c r="F1" s="26"/>
      <c r="G1" s="25" t="s">
        <v>47</v>
      </c>
      <c r="H1" s="26"/>
      <c r="I1" s="26"/>
      <c r="J1" s="26"/>
      <c r="K1" s="71">
        <v>550928.1</v>
      </c>
      <c r="L1" s="71"/>
      <c r="M1" s="27"/>
    </row>
    <row r="2" spans="1:13" ht="15.75" thickBot="1" x14ac:dyDescent="0.3">
      <c r="A2" s="72" t="str">
        <f>'detalle y gastos'!E7</f>
        <v>Liquidacion mes de JUNIO</v>
      </c>
      <c r="B2" s="73"/>
      <c r="C2" s="73"/>
      <c r="D2" s="74"/>
      <c r="E2" s="75"/>
      <c r="F2" s="74"/>
      <c r="G2" s="75" t="s">
        <v>48</v>
      </c>
      <c r="H2" s="74"/>
      <c r="I2" s="74"/>
      <c r="J2" s="74"/>
      <c r="K2" s="114"/>
      <c r="L2" s="114"/>
      <c r="M2" s="76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40" t="s">
        <v>14</v>
      </c>
      <c r="K3" s="115" t="s">
        <v>38</v>
      </c>
      <c r="L3" s="30" t="s">
        <v>71</v>
      </c>
      <c r="M3" s="7" t="s">
        <v>70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6">
        <v>0.04</v>
      </c>
      <c r="I4" s="7" t="s">
        <v>41</v>
      </c>
      <c r="J4" s="37" t="s">
        <v>15</v>
      </c>
      <c r="K4" s="116" t="s">
        <v>39</v>
      </c>
      <c r="L4" s="66" t="str">
        <f>'detalle y gastos'!F7</f>
        <v>Vto. 14/07</v>
      </c>
      <c r="M4" s="66" t="s">
        <v>69</v>
      </c>
    </row>
    <row r="5" spans="1:13" x14ac:dyDescent="0.25">
      <c r="A5" s="12">
        <v>1</v>
      </c>
      <c r="B5" s="13">
        <v>1</v>
      </c>
      <c r="C5" s="14" t="s">
        <v>62</v>
      </c>
      <c r="D5" s="17"/>
      <c r="E5" s="41">
        <v>86036.752000000008</v>
      </c>
      <c r="F5" s="80">
        <f>E5</f>
        <v>86036.752000000008</v>
      </c>
      <c r="G5" s="67">
        <f>E5-F5</f>
        <v>0</v>
      </c>
      <c r="H5" s="70">
        <f>IF(G5&gt;0,G5*4%,0)</f>
        <v>0</v>
      </c>
      <c r="I5" s="15">
        <v>0</v>
      </c>
      <c r="J5" s="38">
        <f>K$1/5</f>
        <v>110185.62</v>
      </c>
      <c r="K5" s="117">
        <f>K2*D5</f>
        <v>0</v>
      </c>
      <c r="L5" s="15">
        <f>J5+K5+H5+G5</f>
        <v>110185.62</v>
      </c>
      <c r="M5" s="39">
        <f>L5*4%+L5</f>
        <v>114593.04479999999</v>
      </c>
    </row>
    <row r="6" spans="1:13" x14ac:dyDescent="0.25">
      <c r="A6" s="12">
        <v>2</v>
      </c>
      <c r="B6" s="13">
        <v>2</v>
      </c>
      <c r="C6" s="14" t="s">
        <v>65</v>
      </c>
      <c r="D6" s="17"/>
      <c r="E6" s="41">
        <v>86036.752000000008</v>
      </c>
      <c r="F6" s="80">
        <f>E6</f>
        <v>86036.752000000008</v>
      </c>
      <c r="G6" s="67">
        <f t="shared" ref="G6:G9" si="0">E6-F6</f>
        <v>0</v>
      </c>
      <c r="H6" s="70">
        <f t="shared" ref="H6:H9" si="1">IF(G6&gt;0,G6*4%,0)</f>
        <v>0</v>
      </c>
      <c r="I6" s="15">
        <v>0</v>
      </c>
      <c r="J6" s="38">
        <f t="shared" ref="J6:J9" si="2">K$1/5</f>
        <v>110185.62</v>
      </c>
      <c r="K6" s="117">
        <f>K2*D6</f>
        <v>0</v>
      </c>
      <c r="L6" s="15">
        <f t="shared" ref="L6:L9" si="3">J6+K6+H6+G6</f>
        <v>110185.62</v>
      </c>
      <c r="M6" s="39">
        <f t="shared" ref="M6:M9" si="4">L6*4%+L6</f>
        <v>114593.04479999999</v>
      </c>
    </row>
    <row r="7" spans="1:13" x14ac:dyDescent="0.25">
      <c r="A7" s="12">
        <v>3</v>
      </c>
      <c r="B7" s="13">
        <v>3</v>
      </c>
      <c r="C7" s="14" t="s">
        <v>63</v>
      </c>
      <c r="D7" s="17"/>
      <c r="E7" s="41">
        <v>159545.88224000001</v>
      </c>
      <c r="F7" s="80">
        <f t="shared" ref="F7:F8" si="5">E7</f>
        <v>159545.88224000001</v>
      </c>
      <c r="G7" s="67">
        <f t="shared" si="0"/>
        <v>0</v>
      </c>
      <c r="H7" s="70">
        <f t="shared" si="1"/>
        <v>0</v>
      </c>
      <c r="I7" s="15">
        <v>0</v>
      </c>
      <c r="J7" s="38">
        <f t="shared" si="2"/>
        <v>110185.62</v>
      </c>
      <c r="K7" s="117">
        <f>K2*D7</f>
        <v>0</v>
      </c>
      <c r="L7" s="15">
        <f t="shared" si="3"/>
        <v>110185.62</v>
      </c>
      <c r="M7" s="39">
        <f t="shared" si="4"/>
        <v>114593.04479999999</v>
      </c>
    </row>
    <row r="8" spans="1:13" x14ac:dyDescent="0.25">
      <c r="A8" s="12">
        <v>4</v>
      </c>
      <c r="B8" s="13">
        <v>4</v>
      </c>
      <c r="C8" s="14" t="s">
        <v>61</v>
      </c>
      <c r="D8" s="17"/>
      <c r="E8" s="41">
        <v>438396.93376353284</v>
      </c>
      <c r="F8" s="80">
        <f t="shared" si="5"/>
        <v>438396.93376353284</v>
      </c>
      <c r="G8" s="67">
        <f t="shared" si="0"/>
        <v>0</v>
      </c>
      <c r="H8" s="70">
        <f t="shared" si="1"/>
        <v>0</v>
      </c>
      <c r="I8" s="15">
        <v>0</v>
      </c>
      <c r="J8" s="38">
        <f t="shared" si="2"/>
        <v>110185.62</v>
      </c>
      <c r="K8" s="117">
        <f>K2*D8</f>
        <v>0</v>
      </c>
      <c r="L8" s="15">
        <f t="shared" si="3"/>
        <v>110185.62</v>
      </c>
      <c r="M8" s="39">
        <f t="shared" si="4"/>
        <v>114593.04479999999</v>
      </c>
    </row>
    <row r="9" spans="1:13" x14ac:dyDescent="0.25">
      <c r="A9" s="12">
        <v>5</v>
      </c>
      <c r="B9" s="13">
        <v>5</v>
      </c>
      <c r="C9" s="14" t="s">
        <v>64</v>
      </c>
      <c r="D9" s="17"/>
      <c r="E9" s="41">
        <v>86036.752000000008</v>
      </c>
      <c r="F9" s="80">
        <f>E9</f>
        <v>86036.752000000008</v>
      </c>
      <c r="G9" s="67">
        <f t="shared" si="0"/>
        <v>0</v>
      </c>
      <c r="H9" s="70">
        <f t="shared" si="1"/>
        <v>0</v>
      </c>
      <c r="I9" s="15">
        <v>0</v>
      </c>
      <c r="J9" s="38">
        <f t="shared" si="2"/>
        <v>110185.62</v>
      </c>
      <c r="K9" s="117">
        <f>K2*D9</f>
        <v>0</v>
      </c>
      <c r="L9" s="15">
        <f t="shared" si="3"/>
        <v>110185.62</v>
      </c>
      <c r="M9" s="39">
        <f t="shared" si="4"/>
        <v>114593.04479999999</v>
      </c>
    </row>
    <row r="10" spans="1:13" ht="15" customHeight="1" thickBot="1" x14ac:dyDescent="0.3">
      <c r="A10" s="8" t="s">
        <v>8</v>
      </c>
      <c r="B10" s="9"/>
      <c r="C10" s="10"/>
      <c r="D10" s="45">
        <f t="shared" ref="D10:M10" si="6">SUM(D5:D9)</f>
        <v>0</v>
      </c>
      <c r="E10" s="42">
        <f t="shared" si="6"/>
        <v>856053.07200353278</v>
      </c>
      <c r="F10" s="42">
        <f t="shared" si="6"/>
        <v>856053.07200353278</v>
      </c>
      <c r="G10" s="50">
        <f t="shared" si="6"/>
        <v>0</v>
      </c>
      <c r="H10" s="50">
        <f t="shared" si="6"/>
        <v>0</v>
      </c>
      <c r="I10" s="11">
        <f t="shared" si="6"/>
        <v>0</v>
      </c>
      <c r="J10" s="46">
        <f t="shared" si="6"/>
        <v>550928.1</v>
      </c>
      <c r="K10" s="46">
        <f t="shared" si="6"/>
        <v>0</v>
      </c>
      <c r="L10" s="118">
        <f t="shared" si="6"/>
        <v>550928.1</v>
      </c>
      <c r="M10" s="118">
        <f t="shared" si="6"/>
        <v>572965.22399999993</v>
      </c>
    </row>
    <row r="11" spans="1:13" ht="51.75" hidden="1" customHeight="1" x14ac:dyDescent="0.25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</row>
    <row r="12" spans="1:13" ht="14.25" customHeight="1" x14ac:dyDescent="0.25">
      <c r="M12" s="6"/>
    </row>
    <row r="13" spans="1:13" hidden="1" x14ac:dyDescent="0.25">
      <c r="C13" s="139"/>
      <c r="D13" s="139"/>
      <c r="E13" s="139"/>
      <c r="F13" s="139"/>
      <c r="G13" s="139"/>
      <c r="H13" s="139"/>
      <c r="I13" s="139"/>
      <c r="J13" s="139"/>
      <c r="K13" s="139"/>
      <c r="L13" s="139"/>
    </row>
    <row r="14" spans="1:13" hidden="1" x14ac:dyDescent="0.25">
      <c r="C14" s="139"/>
      <c r="D14" s="139"/>
      <c r="E14" s="139"/>
      <c r="F14" s="139"/>
      <c r="G14" s="139"/>
      <c r="H14" s="139"/>
      <c r="I14" s="139"/>
      <c r="J14" s="139"/>
      <c r="K14" s="139"/>
      <c r="L14" s="139"/>
    </row>
    <row r="15" spans="1:13" hidden="1" x14ac:dyDescent="0.25">
      <c r="C15" s="139"/>
      <c r="D15" s="139"/>
      <c r="E15" s="139"/>
      <c r="F15" s="139"/>
      <c r="G15" s="139"/>
      <c r="H15" s="139"/>
      <c r="I15" s="139"/>
      <c r="J15" s="139"/>
      <c r="K15" s="139"/>
      <c r="L15" s="139"/>
    </row>
    <row r="16" spans="1:13" hidden="1" x14ac:dyDescent="0.25">
      <c r="C16" s="139"/>
      <c r="D16" s="139"/>
      <c r="E16" s="139"/>
      <c r="F16" s="139"/>
      <c r="G16" s="139"/>
      <c r="H16" s="139"/>
      <c r="I16" s="139"/>
      <c r="J16" s="139"/>
      <c r="K16" s="139"/>
      <c r="L16" s="139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6844-9F76-4FEE-994B-56DA20848B8C}">
  <sheetPr>
    <pageSetUpPr fitToPage="1"/>
  </sheetPr>
  <dimension ref="A1:O24"/>
  <sheetViews>
    <sheetView topLeftCell="C1" workbookViewId="0">
      <selection activeCell="E5" sqref="E5"/>
    </sheetView>
  </sheetViews>
  <sheetFormatPr baseColWidth="10" defaultRowHeight="15" x14ac:dyDescent="0.25"/>
  <cols>
    <col min="1" max="1" width="5.28515625" style="1" hidden="1" customWidth="1"/>
    <col min="2" max="2" width="8.42578125" style="1" hidden="1" customWidth="1"/>
    <col min="3" max="3" width="18.5703125" customWidth="1"/>
    <col min="4" max="4" width="0.140625" hidden="1" customWidth="1"/>
    <col min="5" max="5" width="1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9.42578125" customWidth="1"/>
    <col min="11" max="11" width="14.28515625" bestFit="1" customWidth="1"/>
    <col min="12" max="12" width="14.28515625" customWidth="1"/>
    <col min="13" max="14" width="12.42578125" bestFit="1" customWidth="1"/>
    <col min="15" max="15" width="12.42578125" style="21" bestFit="1" customWidth="1"/>
  </cols>
  <sheetData>
    <row r="1" spans="1:15" x14ac:dyDescent="0.25">
      <c r="A1"/>
      <c r="B1"/>
    </row>
    <row r="2" spans="1:15" x14ac:dyDescent="0.25">
      <c r="A2"/>
      <c r="B2"/>
    </row>
    <row r="3" spans="1:15" x14ac:dyDescent="0.25">
      <c r="A3"/>
      <c r="B3"/>
      <c r="K3" t="s">
        <v>76</v>
      </c>
      <c r="M3" s="6">
        <f>E6</f>
        <v>59261.97</v>
      </c>
    </row>
    <row r="4" spans="1:15" x14ac:dyDescent="0.25">
      <c r="A4"/>
      <c r="B4"/>
      <c r="C4" s="124" t="s">
        <v>73</v>
      </c>
      <c r="D4" s="124"/>
      <c r="E4" s="169">
        <v>79470.880000000005</v>
      </c>
      <c r="G4" t="s">
        <v>0</v>
      </c>
      <c r="H4" t="s">
        <v>1</v>
      </c>
      <c r="I4" t="s">
        <v>2</v>
      </c>
      <c r="K4" t="s">
        <v>77</v>
      </c>
      <c r="O4" s="120">
        <f>M3-K8</f>
        <v>-23231.479999999996</v>
      </c>
    </row>
    <row r="5" spans="1:15" ht="15.75" thickBot="1" x14ac:dyDescent="0.3">
      <c r="A5"/>
      <c r="B5"/>
      <c r="C5" s="33" t="s">
        <v>74</v>
      </c>
      <c r="D5" s="33"/>
      <c r="E5" s="166">
        <v>57376.56</v>
      </c>
    </row>
    <row r="6" spans="1:15" ht="15.75" thickBot="1" x14ac:dyDescent="0.3">
      <c r="A6"/>
      <c r="B6"/>
      <c r="C6" s="108" t="s">
        <v>75</v>
      </c>
      <c r="D6" s="108"/>
      <c r="E6" s="168">
        <v>59261.97</v>
      </c>
      <c r="G6" s="124">
        <v>1</v>
      </c>
      <c r="H6" s="124">
        <v>1</v>
      </c>
      <c r="I6" t="s">
        <v>62</v>
      </c>
      <c r="J6" s="124" t="s">
        <v>62</v>
      </c>
      <c r="K6" s="120">
        <f>E4/2</f>
        <v>39735.440000000002</v>
      </c>
      <c r="L6" s="126">
        <f>O$4/5</f>
        <v>-4646.2959999999994</v>
      </c>
      <c r="N6" s="133">
        <f>SUM(K6:M6)</f>
        <v>35089.144</v>
      </c>
    </row>
    <row r="7" spans="1:15" ht="15.75" thickBot="1" x14ac:dyDescent="0.3">
      <c r="A7"/>
      <c r="B7"/>
      <c r="C7" s="122"/>
      <c r="D7" s="122"/>
      <c r="E7" s="123">
        <f>SUM(E4:E6)</f>
        <v>196109.41</v>
      </c>
      <c r="G7" s="125">
        <v>2</v>
      </c>
      <c r="H7" s="125">
        <v>2</v>
      </c>
      <c r="I7" s="125" t="s">
        <v>65</v>
      </c>
      <c r="J7" s="125" t="s">
        <v>65</v>
      </c>
      <c r="K7" s="120">
        <f>E5/2</f>
        <v>28688.28</v>
      </c>
      <c r="L7" s="126">
        <f>O$4/5</f>
        <v>-4646.2959999999994</v>
      </c>
      <c r="N7" s="134">
        <f t="shared" ref="N7:N10" si="0">SUM(K7:M7)</f>
        <v>24041.984</v>
      </c>
    </row>
    <row r="8" spans="1:15" ht="15.75" thickBot="1" x14ac:dyDescent="0.3">
      <c r="A8"/>
      <c r="B8"/>
      <c r="G8">
        <v>3</v>
      </c>
      <c r="H8">
        <v>3</v>
      </c>
      <c r="I8" t="s">
        <v>63</v>
      </c>
      <c r="J8" t="s">
        <v>63</v>
      </c>
      <c r="K8" s="120">
        <v>82493.45</v>
      </c>
      <c r="L8" s="126">
        <f t="shared" ref="L8:L11" si="1">O$4/5</f>
        <v>-4646.2959999999994</v>
      </c>
      <c r="N8" s="134">
        <f t="shared" si="0"/>
        <v>77847.153999999995</v>
      </c>
    </row>
    <row r="9" spans="1:15" ht="15.75" thickBot="1" x14ac:dyDescent="0.3">
      <c r="A9"/>
      <c r="B9"/>
      <c r="G9" s="125">
        <v>4</v>
      </c>
      <c r="H9" s="125">
        <v>4</v>
      </c>
      <c r="I9" s="125" t="s">
        <v>61</v>
      </c>
      <c r="J9" s="125" t="s">
        <v>61</v>
      </c>
      <c r="K9" s="120">
        <f>E5/2</f>
        <v>28688.28</v>
      </c>
      <c r="L9" s="126">
        <f t="shared" si="1"/>
        <v>-4646.2959999999994</v>
      </c>
      <c r="N9" s="134">
        <f t="shared" si="0"/>
        <v>24041.984</v>
      </c>
    </row>
    <row r="10" spans="1:15" ht="15" customHeight="1" thickBot="1" x14ac:dyDescent="0.3">
      <c r="A10"/>
      <c r="B10"/>
      <c r="G10" s="124">
        <v>5</v>
      </c>
      <c r="H10" s="124">
        <v>5</v>
      </c>
      <c r="I10" t="s">
        <v>64</v>
      </c>
      <c r="J10" s="124" t="s">
        <v>64</v>
      </c>
      <c r="K10" s="120">
        <f>E4/2</f>
        <v>39735.440000000002</v>
      </c>
      <c r="L10" s="126">
        <f t="shared" si="1"/>
        <v>-4646.2959999999994</v>
      </c>
      <c r="N10" s="135">
        <f t="shared" si="0"/>
        <v>35089.144</v>
      </c>
    </row>
    <row r="11" spans="1:15" ht="51.75" hidden="1" customHeight="1" x14ac:dyDescent="0.25">
      <c r="A11"/>
      <c r="B11"/>
      <c r="L11" s="126">
        <f t="shared" si="1"/>
        <v>-4646.2959999999994</v>
      </c>
      <c r="N11" s="127"/>
    </row>
    <row r="12" spans="1:15" x14ac:dyDescent="0.25">
      <c r="A12"/>
      <c r="B12"/>
      <c r="N12" s="127"/>
    </row>
    <row r="13" spans="1:15" ht="15.75" thickBot="1" x14ac:dyDescent="0.3">
      <c r="A13"/>
      <c r="B13"/>
      <c r="C13" s="129" t="s">
        <v>78</v>
      </c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7"/>
    </row>
    <row r="14" spans="1:15" ht="15.75" thickBot="1" x14ac:dyDescent="0.3">
      <c r="A14"/>
      <c r="B14"/>
      <c r="N14" s="128">
        <f>SUM(N6:N13)</f>
        <v>196109.41</v>
      </c>
    </row>
    <row r="15" spans="1:15" x14ac:dyDescent="0.25">
      <c r="F15" s="6"/>
      <c r="G15" s="6"/>
    </row>
    <row r="16" spans="1:15" ht="15.75" thickBot="1" x14ac:dyDescent="0.3"/>
    <row r="17" spans="3:10" ht="30.75" customHeight="1" thickBot="1" x14ac:dyDescent="0.3">
      <c r="C17" s="119" t="s">
        <v>81</v>
      </c>
      <c r="E17" s="119" t="s">
        <v>80</v>
      </c>
      <c r="F17" s="119" t="s">
        <v>79</v>
      </c>
      <c r="H17" s="143" t="s">
        <v>82</v>
      </c>
      <c r="I17" s="144"/>
      <c r="J17" s="145"/>
    </row>
    <row r="18" spans="3:10" x14ac:dyDescent="0.25">
      <c r="C18" s="120">
        <v>199078.77000000002</v>
      </c>
      <c r="E18" s="132">
        <f>C18</f>
        <v>199078.77000000002</v>
      </c>
      <c r="F18" s="6">
        <f>N6</f>
        <v>35089.144</v>
      </c>
      <c r="H18" s="146">
        <f>C18-E18+F18</f>
        <v>35089.144</v>
      </c>
      <c r="I18" s="147"/>
      <c r="J18" s="148"/>
    </row>
    <row r="19" spans="3:10" x14ac:dyDescent="0.25">
      <c r="C19" s="120">
        <v>131973.81400000001</v>
      </c>
      <c r="E19" s="132">
        <f>C19</f>
        <v>131973.81400000001</v>
      </c>
      <c r="F19" s="6">
        <f>N7</f>
        <v>24041.984</v>
      </c>
      <c r="H19" s="146">
        <f t="shared" ref="H19:H22" si="2">C19-E19+F19</f>
        <v>24041.984</v>
      </c>
      <c r="I19" s="147"/>
      <c r="J19" s="148"/>
    </row>
    <row r="20" spans="3:10" x14ac:dyDescent="0.25">
      <c r="C20" s="120">
        <v>96846.073999999993</v>
      </c>
      <c r="E20" s="132">
        <f t="shared" ref="E20:E21" si="3">C20</f>
        <v>96846.073999999993</v>
      </c>
      <c r="F20" s="6">
        <f t="shared" ref="F20:F22" si="4">N8</f>
        <v>77847.153999999995</v>
      </c>
      <c r="H20" s="146">
        <f>C20-E20+F20</f>
        <v>77847.153999999995</v>
      </c>
      <c r="I20" s="147"/>
      <c r="J20" s="148"/>
    </row>
    <row r="21" spans="3:10" x14ac:dyDescent="0.25">
      <c r="C21" s="120">
        <v>131973.81400000001</v>
      </c>
      <c r="E21" s="132">
        <f t="shared" si="3"/>
        <v>131973.81400000001</v>
      </c>
      <c r="F21" s="6">
        <f>N9</f>
        <v>24041.984</v>
      </c>
      <c r="H21" s="146">
        <f t="shared" si="2"/>
        <v>24041.984</v>
      </c>
      <c r="I21" s="147"/>
      <c r="J21" s="148"/>
    </row>
    <row r="22" spans="3:10" ht="15.75" thickBot="1" x14ac:dyDescent="0.3">
      <c r="C22" s="120">
        <v>88731.754000000001</v>
      </c>
      <c r="E22" s="132">
        <f>C22</f>
        <v>88731.754000000001</v>
      </c>
      <c r="F22" s="6">
        <f t="shared" si="4"/>
        <v>35089.144</v>
      </c>
      <c r="H22" s="140">
        <f t="shared" si="2"/>
        <v>35089.144</v>
      </c>
      <c r="I22" s="141"/>
      <c r="J22" s="142"/>
    </row>
    <row r="24" spans="3:10" x14ac:dyDescent="0.25">
      <c r="E24" s="6">
        <f>SUM(E18:E23)</f>
        <v>648604.22600000002</v>
      </c>
    </row>
  </sheetData>
  <mergeCells count="6">
    <mergeCell ref="H22:J22"/>
    <mergeCell ref="H17:J17"/>
    <mergeCell ref="H18:J18"/>
    <mergeCell ref="H19:J19"/>
    <mergeCell ref="H20:J20"/>
    <mergeCell ref="H21:J21"/>
  </mergeCells>
  <printOptions horizontalCentered="1" verticalCentered="1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9F83D-EB65-4E23-8775-704ADF1A523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54" t="s">
        <v>24</v>
      </c>
      <c r="B1" s="155"/>
      <c r="C1" s="155"/>
      <c r="D1" s="155"/>
      <c r="E1" s="156"/>
      <c r="F1" s="88"/>
      <c r="G1" s="88"/>
    </row>
    <row r="2" spans="1:7" ht="15.75" thickBot="1" x14ac:dyDescent="0.3">
      <c r="A2" s="157" t="s">
        <v>50</v>
      </c>
      <c r="B2" s="158"/>
      <c r="C2" s="159"/>
      <c r="D2" s="160">
        <v>565</v>
      </c>
      <c r="E2" s="161"/>
      <c r="F2" s="89"/>
      <c r="G2" s="89"/>
    </row>
    <row r="3" spans="1:7" ht="15.75" thickTop="1" x14ac:dyDescent="0.25">
      <c r="A3" s="162" t="s">
        <v>0</v>
      </c>
      <c r="B3" s="162" t="s">
        <v>1</v>
      </c>
      <c r="C3" s="162" t="s">
        <v>2</v>
      </c>
      <c r="D3" s="164" t="s">
        <v>4</v>
      </c>
      <c r="E3" s="149" t="s">
        <v>51</v>
      </c>
      <c r="F3" s="149" t="s">
        <v>52</v>
      </c>
      <c r="G3" s="149" t="s">
        <v>44</v>
      </c>
    </row>
    <row r="4" spans="1:7" ht="15.75" thickBot="1" x14ac:dyDescent="0.3">
      <c r="A4" s="163"/>
      <c r="B4" s="163"/>
      <c r="C4" s="163"/>
      <c r="D4" s="165"/>
      <c r="E4" s="150"/>
      <c r="F4" s="150"/>
      <c r="G4" s="150"/>
    </row>
    <row r="5" spans="1:7" ht="16.5" thickTop="1" thickBot="1" x14ac:dyDescent="0.3">
      <c r="A5" s="90">
        <v>1</v>
      </c>
      <c r="B5" s="92" t="s">
        <v>26</v>
      </c>
      <c r="C5" s="93" t="s">
        <v>34</v>
      </c>
      <c r="D5" s="91">
        <v>0.1512</v>
      </c>
      <c r="E5" s="94">
        <v>85</v>
      </c>
      <c r="F5" s="94">
        <v>0</v>
      </c>
      <c r="G5" s="94">
        <v>0</v>
      </c>
    </row>
    <row r="6" spans="1:7" ht="15.75" thickBot="1" x14ac:dyDescent="0.3">
      <c r="A6" s="90">
        <v>2</v>
      </c>
      <c r="B6" s="92" t="s">
        <v>27</v>
      </c>
      <c r="C6" s="93" t="s">
        <v>35</v>
      </c>
      <c r="D6" s="91">
        <v>0.15690000000000001</v>
      </c>
      <c r="E6" s="94">
        <v>89</v>
      </c>
      <c r="F6" s="94">
        <v>0</v>
      </c>
      <c r="G6" s="94">
        <v>0</v>
      </c>
    </row>
    <row r="7" spans="1:7" ht="15.75" thickBot="1" x14ac:dyDescent="0.3">
      <c r="A7" s="90">
        <v>3</v>
      </c>
      <c r="B7" s="92" t="s">
        <v>28</v>
      </c>
      <c r="C7" s="93" t="s">
        <v>36</v>
      </c>
      <c r="D7" s="91">
        <v>0.15820000000000001</v>
      </c>
      <c r="E7" s="94">
        <v>89</v>
      </c>
      <c r="F7" s="94">
        <v>0</v>
      </c>
      <c r="G7" s="94">
        <v>0</v>
      </c>
    </row>
    <row r="8" spans="1:7" ht="18" customHeight="1" thickBot="1" x14ac:dyDescent="0.3">
      <c r="A8" s="90">
        <v>4</v>
      </c>
      <c r="B8" s="92" t="s">
        <v>30</v>
      </c>
      <c r="C8" s="104" t="s">
        <v>37</v>
      </c>
      <c r="D8" s="91">
        <v>0.19800000000000001</v>
      </c>
      <c r="E8" s="94">
        <v>112</v>
      </c>
      <c r="F8" s="94">
        <v>0</v>
      </c>
      <c r="G8" s="94">
        <v>0</v>
      </c>
    </row>
    <row r="9" spans="1:7" ht="15.75" thickBot="1" x14ac:dyDescent="0.3">
      <c r="A9" s="90">
        <v>5</v>
      </c>
      <c r="B9" s="92" t="s">
        <v>29</v>
      </c>
      <c r="C9" s="93" t="s">
        <v>32</v>
      </c>
      <c r="D9" s="91">
        <v>0.15920000000000001</v>
      </c>
      <c r="E9" s="94">
        <v>90</v>
      </c>
      <c r="F9" s="94">
        <v>0</v>
      </c>
      <c r="G9" s="94">
        <v>0</v>
      </c>
    </row>
    <row r="10" spans="1:7" ht="15.75" thickBot="1" x14ac:dyDescent="0.3">
      <c r="A10" s="95">
        <v>6</v>
      </c>
      <c r="B10" s="97" t="s">
        <v>31</v>
      </c>
      <c r="C10" s="98" t="s">
        <v>33</v>
      </c>
      <c r="D10" s="96">
        <v>0.17649999999999999</v>
      </c>
      <c r="E10" s="99">
        <v>100</v>
      </c>
      <c r="F10" s="99">
        <v>0</v>
      </c>
      <c r="G10" s="99">
        <v>0</v>
      </c>
    </row>
    <row r="11" spans="1:7" ht="16.5" thickTop="1" thickBot="1" x14ac:dyDescent="0.3">
      <c r="A11" s="100" t="s">
        <v>8</v>
      </c>
      <c r="B11" s="101"/>
      <c r="C11" s="101"/>
      <c r="D11" s="102">
        <v>1</v>
      </c>
      <c r="E11" s="102">
        <v>565</v>
      </c>
      <c r="F11" s="102" t="s">
        <v>53</v>
      </c>
      <c r="G11" s="103" t="s">
        <v>53</v>
      </c>
    </row>
    <row r="12" spans="1:7" ht="16.5" thickTop="1" thickBot="1" x14ac:dyDescent="0.3">
      <c r="A12" s="151"/>
      <c r="B12" s="152"/>
      <c r="C12" s="152"/>
      <c r="D12" s="152"/>
      <c r="E12" s="153"/>
      <c r="F12" s="88"/>
      <c r="G12" s="8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detalle y gastos</vt:lpstr>
      <vt:lpstr>prorrateo </vt:lpstr>
      <vt:lpstr>EDESUR</vt:lpstr>
      <vt:lpstr>Hoja1</vt:lpstr>
      <vt:lpstr>extraordinaria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2025-05-29T13:34:28Z</cp:lastPrinted>
  <dcterms:created xsi:type="dcterms:W3CDTF">2020-12-10T00:27:53Z</dcterms:created>
  <dcterms:modified xsi:type="dcterms:W3CDTF">2025-06-24T01:22:00Z</dcterms:modified>
</cp:coreProperties>
</file>