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ICHINCHA\Agosto\"/>
    </mc:Choice>
  </mc:AlternateContent>
  <xr:revisionPtr revIDLastSave="0" documentId="13_ncr:1_{7F659E15-2123-4C25-BC28-6172747877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gastos'!$A$1:$F$45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F7" i="1" l="1"/>
  <c r="F8" i="1"/>
  <c r="F5" i="1"/>
  <c r="C22" i="3" l="1"/>
  <c r="C27" i="3" s="1"/>
  <c r="L4" i="1" l="1"/>
  <c r="F6" i="1"/>
  <c r="F9" i="1" l="1"/>
  <c r="C20" i="3" l="1"/>
  <c r="C28" i="3" s="1"/>
  <c r="G8" i="1"/>
  <c r="H8" i="1" s="1"/>
  <c r="G7" i="1"/>
  <c r="G6" i="1"/>
  <c r="C38" i="3" l="1"/>
  <c r="C39" i="3"/>
  <c r="J9" i="1"/>
  <c r="J6" i="1"/>
  <c r="J7" i="1"/>
  <c r="J8" i="1"/>
  <c r="J5" i="1"/>
  <c r="F14" i="3" l="1"/>
  <c r="A2" i="1"/>
  <c r="G9" i="1" l="1"/>
  <c r="C37" i="3" l="1"/>
  <c r="C40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D10" i="1"/>
  <c r="E10" i="1"/>
  <c r="M9" i="1" l="1"/>
  <c r="L10" i="1"/>
  <c r="F13" i="3"/>
  <c r="F20" i="3" s="1"/>
  <c r="J10" i="1"/>
  <c r="G10" i="1"/>
  <c r="H10" i="1"/>
  <c r="M10" i="1" l="1"/>
</calcChain>
</file>

<file path=xl/sharedStrings.xml><?xml version="1.0" encoding="utf-8"?>
<sst xmlns="http://schemas.openxmlformats.org/spreadsheetml/2006/main" count="88" uniqueCount="79">
  <si>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</si>
  <si>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</si>
  <si>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</si>
  <si>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</si>
  <si>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</si>
  <si>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</si>
  <si>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</si>
  <si>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</si>
  <si>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</si>
  <si>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</si>
  <si>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</si>
  <si>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</si>
  <si>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</si>
  <si>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</si>
  <si>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</si>
  <si>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</si>
  <si>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</si>
  <si>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</si>
  <si>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</si>
  <si>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</si>
  <si>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</si>
  <si>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</si>
  <si>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</si>
  <si>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</si>
  <si>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</si>
  <si>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</si>
  <si>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</si>
  <si>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</si>
  <si>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</si>
  <si>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</si>
  <si>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</si>
  <si>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</si>
  <si>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</si>
  <si>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</si>
  <si>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</si>
  <si>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</si>
  <si>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</si>
  <si>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</si>
  <si>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</si>
  <si>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</si>
  <si>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</si>
  <si>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</si>
  <si>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</si>
  <si>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</si>
  <si>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</si>
  <si>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</si>
  <si>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</si>
  <si>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</si>
  <si>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</si>
  <si>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</si>
  <si>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</si>
  <si>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</si>
  <si>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</si>
  <si>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</si>
  <si>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</si>
  <si>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</si>
  <si>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</si>
  <si>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</si>
  <si>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</si>
  <si>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 xml:space="preserve">Honorarios Administracion 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</si>
  <si>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</si>
  <si>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</si>
  <si>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</si>
  <si>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</si>
  <si>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</si>
  <si>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</si>
  <si>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</si>
  <si>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</si>
  <si>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</si>
  <si>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</si>
  <si>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</si>
  <si>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METROGAS</t>
  </si>
  <si>
    <t>ARBA</t>
  </si>
  <si>
    <t>ARTICULOS DE LIMPIEZA</t>
  </si>
  <si>
    <t>FLOW - INTERNET CAMARA</t>
  </si>
  <si>
    <t>EDESUR</t>
  </si>
  <si>
    <t>Vto. 15/09</t>
  </si>
  <si>
    <t>Liquidacion mes de AGOSTO</t>
  </si>
  <si>
    <t>TSG - MES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</si>
</sst>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166" fontId="9" fillId="0" borderId="22" xfId="2" applyNumberFormat="1" applyFont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4" fontId="10" fillId="6" borderId="6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4" fontId="14" fillId="6" borderId="6" xfId="0" applyNumberFormat="1" applyFont="1" applyFill="1" applyBorder="1"/>
    <xf numFmtId="4" fontId="14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tabSelected="1" workbookViewId="0">
      <selection activeCell="C17" sqref="C17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5" customWidth="1"/>
  </cols>
  <sheetData>
    <row r="1" spans="1:6" x14ac:dyDescent="0.3">
      <c r="B1" t="s">
        <v>57</v>
      </c>
    </row>
    <row r="2" spans="1:6" x14ac:dyDescent="0.3">
      <c r="B2" t="s">
        <v>18</v>
      </c>
      <c r="C2" s="110" t="s">
        <v>56</v>
      </c>
    </row>
    <row r="3" spans="1:6" x14ac:dyDescent="0.3">
      <c r="B3" t="s">
        <v>9</v>
      </c>
    </row>
    <row r="4" spans="1:6" x14ac:dyDescent="0.3">
      <c r="B4" s="4" t="s">
        <v>6</v>
      </c>
    </row>
    <row r="5" spans="1:6" ht="8.25" customHeight="1" x14ac:dyDescent="0.3">
      <c r="A5" s="3"/>
      <c r="B5" s="23"/>
      <c r="C5" s="3"/>
    </row>
    <row r="6" spans="1:6" x14ac:dyDescent="0.3">
      <c r="D6" s="29"/>
      <c r="E6" s="29"/>
      <c r="F6" s="29"/>
    </row>
    <row r="7" spans="1:6" x14ac:dyDescent="0.3">
      <c r="A7" s="24" t="s">
        <v>58</v>
      </c>
      <c r="B7" s="24"/>
      <c r="C7" s="68"/>
      <c r="D7" s="68"/>
      <c r="E7" s="24" t="s">
        <v>77</v>
      </c>
      <c r="F7" s="111" t="s">
        <v>76</v>
      </c>
    </row>
    <row r="8" spans="1:6" x14ac:dyDescent="0.3">
      <c r="A8" s="3"/>
      <c r="B8" s="3"/>
      <c r="C8" s="3"/>
      <c r="D8" s="3"/>
      <c r="E8" s="3"/>
      <c r="F8" s="3"/>
    </row>
    <row r="10" spans="1:6" x14ac:dyDescent="0.3">
      <c r="A10" s="22" t="s">
        <v>11</v>
      </c>
    </row>
    <row r="11" spans="1:6" ht="15" thickBot="1" x14ac:dyDescent="0.35">
      <c r="A11" s="28" t="s">
        <v>10</v>
      </c>
      <c r="B11" s="29"/>
      <c r="C11" s="30"/>
      <c r="D11" s="5"/>
      <c r="E11" s="123" t="s">
        <v>22</v>
      </c>
      <c r="F11" s="123"/>
    </row>
    <row r="12" spans="1:6" x14ac:dyDescent="0.3">
      <c r="A12" s="107" t="s">
        <v>67</v>
      </c>
      <c r="B12" s="108"/>
      <c r="C12" s="122">
        <v>33631.699999999997</v>
      </c>
      <c r="D12" s="5"/>
      <c r="E12" s="56" t="s">
        <v>42</v>
      </c>
      <c r="F12" s="57">
        <v>-537107.59759646724</v>
      </c>
    </row>
    <row r="13" spans="1:6" x14ac:dyDescent="0.3">
      <c r="A13" s="31" t="s">
        <v>45</v>
      </c>
      <c r="C13" s="144">
        <v>92086</v>
      </c>
      <c r="D13" s="43"/>
      <c r="E13" s="58" t="s">
        <v>7</v>
      </c>
      <c r="F13" s="59">
        <f>'prorrateo '!F10</f>
        <v>564150.37439999986</v>
      </c>
    </row>
    <row r="14" spans="1:6" ht="15.75" customHeight="1" x14ac:dyDescent="0.3">
      <c r="A14" s="31" t="s">
        <v>19</v>
      </c>
      <c r="B14" t="s">
        <v>59</v>
      </c>
      <c r="C14" s="80">
        <v>33600</v>
      </c>
      <c r="D14" s="5"/>
      <c r="E14" s="58" t="s">
        <v>20</v>
      </c>
      <c r="F14" s="59">
        <f>-(C38)</f>
        <v>-488587.19999999995</v>
      </c>
    </row>
    <row r="15" spans="1:6" x14ac:dyDescent="0.3">
      <c r="A15" s="31" t="s">
        <v>74</v>
      </c>
      <c r="C15" s="120">
        <v>55570.55</v>
      </c>
      <c r="D15" s="5"/>
      <c r="E15" s="58"/>
      <c r="F15" s="59"/>
    </row>
    <row r="16" spans="1:6" x14ac:dyDescent="0.3">
      <c r="A16" s="31" t="s">
        <v>71</v>
      </c>
      <c r="C16" s="120">
        <v>99374.86</v>
      </c>
      <c r="D16" s="5"/>
      <c r="E16" s="58"/>
      <c r="F16" s="59"/>
    </row>
    <row r="17" spans="1:8" x14ac:dyDescent="0.3">
      <c r="A17" s="31" t="s">
        <v>75</v>
      </c>
      <c r="C17" s="145">
        <v>56633.440000000002</v>
      </c>
      <c r="D17" s="5"/>
      <c r="E17" s="58"/>
      <c r="F17" s="59"/>
    </row>
    <row r="18" spans="1:8" x14ac:dyDescent="0.3">
      <c r="A18" s="31" t="s">
        <v>78</v>
      </c>
      <c r="C18" s="120">
        <v>14560</v>
      </c>
      <c r="D18" s="5"/>
      <c r="E18" s="58"/>
      <c r="F18" s="59"/>
    </row>
    <row r="19" spans="1:8" x14ac:dyDescent="0.3">
      <c r="A19" s="31" t="s">
        <v>72</v>
      </c>
      <c r="C19" s="120">
        <v>7017.5</v>
      </c>
      <c r="E19" s="58"/>
      <c r="F19" s="59"/>
      <c r="H19" s="108"/>
    </row>
    <row r="20" spans="1:8" ht="15" thickBot="1" x14ac:dyDescent="0.35">
      <c r="A20" s="32"/>
      <c r="B20" s="33"/>
      <c r="C20" s="87">
        <f>SUM(C12:C19)</f>
        <v>392474.05</v>
      </c>
      <c r="E20" s="60" t="s">
        <v>43</v>
      </c>
      <c r="F20" s="119">
        <f>SUM(F12:F19)</f>
        <v>-461544.42319646734</v>
      </c>
    </row>
    <row r="21" spans="1:8" x14ac:dyDescent="0.3">
      <c r="A21" s="34" t="s">
        <v>21</v>
      </c>
      <c r="C21" s="113"/>
      <c r="D21" s="5"/>
      <c r="E21" s="19"/>
      <c r="F21" s="20"/>
    </row>
    <row r="22" spans="1:8" x14ac:dyDescent="0.3">
      <c r="A22" s="31" t="s">
        <v>66</v>
      </c>
      <c r="B22" s="35"/>
      <c r="C22" s="120">
        <f>65203*5%+65203</f>
        <v>68463.149999999994</v>
      </c>
      <c r="D22" s="5"/>
      <c r="E22" s="19"/>
      <c r="F22" s="20"/>
    </row>
    <row r="23" spans="1:8" x14ac:dyDescent="0.3">
      <c r="A23" s="31" t="s">
        <v>73</v>
      </c>
      <c r="C23" s="120">
        <v>27650</v>
      </c>
      <c r="D23" s="5"/>
      <c r="E23" s="19"/>
      <c r="F23" s="20"/>
    </row>
    <row r="24" spans="1:8" x14ac:dyDescent="0.3">
      <c r="A24" s="31"/>
      <c r="B24" s="35"/>
      <c r="C24" s="120"/>
      <c r="D24" s="5"/>
      <c r="E24" s="19"/>
      <c r="F24" s="20"/>
    </row>
    <row r="25" spans="1:8" ht="14.25" customHeight="1" x14ac:dyDescent="0.3">
      <c r="A25" s="31"/>
      <c r="B25" s="35"/>
      <c r="C25" s="120"/>
      <c r="D25" s="5"/>
      <c r="E25" s="19"/>
      <c r="F25" s="20"/>
    </row>
    <row r="26" spans="1:8" x14ac:dyDescent="0.3">
      <c r="A26" s="31" t="s">
        <v>60</v>
      </c>
      <c r="B26" s="35"/>
      <c r="C26" s="112"/>
      <c r="D26" s="5"/>
      <c r="E26" s="19"/>
      <c r="F26" s="20"/>
    </row>
    <row r="27" spans="1:8" x14ac:dyDescent="0.3">
      <c r="A27" s="32"/>
      <c r="B27" s="33"/>
      <c r="C27" s="109">
        <f>SUM(C21:C26)</f>
        <v>96113.15</v>
      </c>
      <c r="D27" s="5"/>
      <c r="E27" s="5"/>
      <c r="F27" s="55"/>
      <c r="G27" s="6"/>
    </row>
    <row r="28" spans="1:8" x14ac:dyDescent="0.3">
      <c r="A28" s="47" t="s">
        <v>12</v>
      </c>
      <c r="B28" s="48"/>
      <c r="C28" s="49">
        <f>+C27+C20</f>
        <v>488587.19999999995</v>
      </c>
      <c r="D28" s="5"/>
      <c r="E28" s="19"/>
      <c r="F28" s="20"/>
    </row>
    <row r="29" spans="1:8" ht="14.25" customHeight="1" x14ac:dyDescent="0.3">
      <c r="A29" s="69" t="s">
        <v>24</v>
      </c>
      <c r="B29" s="82"/>
      <c r="C29" s="83"/>
      <c r="E29" s="19"/>
      <c r="F29" s="20"/>
    </row>
    <row r="30" spans="1:8" hidden="1" x14ac:dyDescent="0.3">
      <c r="A30" s="22" t="s">
        <v>24</v>
      </c>
    </row>
    <row r="31" spans="1:8" hidden="1" x14ac:dyDescent="0.3">
      <c r="A31" s="44"/>
      <c r="B31" s="29"/>
      <c r="C31" s="54"/>
      <c r="F31" s="6"/>
    </row>
    <row r="32" spans="1:8" hidden="1" x14ac:dyDescent="0.3">
      <c r="A32" s="52"/>
      <c r="B32" s="51"/>
      <c r="C32" s="53">
        <v>0</v>
      </c>
      <c r="F32" s="6"/>
    </row>
    <row r="33" spans="1:6" hidden="1" x14ac:dyDescent="0.3">
      <c r="A33" s="61"/>
      <c r="B33" s="62"/>
      <c r="C33" s="53">
        <v>0</v>
      </c>
      <c r="F33" s="6"/>
    </row>
    <row r="34" spans="1:6" x14ac:dyDescent="0.3">
      <c r="A34" s="78"/>
      <c r="B34" s="79"/>
      <c r="C34" s="81"/>
      <c r="F34" s="6"/>
    </row>
    <row r="35" spans="1:6" x14ac:dyDescent="0.3">
      <c r="A35" s="78"/>
      <c r="B35" s="85"/>
      <c r="C35" s="86"/>
      <c r="F35" s="6"/>
    </row>
    <row r="36" spans="1:6" x14ac:dyDescent="0.3">
      <c r="A36" s="78"/>
      <c r="B36" s="84"/>
      <c r="C36" s="81">
        <v>0</v>
      </c>
      <c r="F36" s="6"/>
    </row>
    <row r="37" spans="1:6" x14ac:dyDescent="0.3">
      <c r="A37" s="63" t="s">
        <v>23</v>
      </c>
      <c r="B37" s="64"/>
      <c r="C37" s="65">
        <f>SUM(C32:C36)</f>
        <v>0</v>
      </c>
    </row>
    <row r="38" spans="1:6" x14ac:dyDescent="0.3">
      <c r="A38" t="s">
        <v>54</v>
      </c>
      <c r="C38" s="53">
        <f>C28-C26</f>
        <v>488587.19999999995</v>
      </c>
      <c r="F38" s="6"/>
    </row>
    <row r="39" spans="1:6" x14ac:dyDescent="0.3">
      <c r="A39" s="5" t="s">
        <v>49</v>
      </c>
      <c r="C39" s="77">
        <f>+C28</f>
        <v>488587.19999999995</v>
      </c>
      <c r="F39" s="6"/>
    </row>
    <row r="40" spans="1:6" x14ac:dyDescent="0.3">
      <c r="A40" s="63" t="s">
        <v>13</v>
      </c>
      <c r="B40" s="64"/>
      <c r="C40" s="65">
        <f>+C28+C37</f>
        <v>488587.19999999995</v>
      </c>
      <c r="E40" s="16"/>
    </row>
    <row r="45" spans="1:6" x14ac:dyDescent="0.3">
      <c r="D45" s="6"/>
    </row>
    <row r="46" spans="1:6" x14ac:dyDescent="0.3">
      <c r="D46" s="16"/>
      <c r="E46" s="16"/>
    </row>
    <row r="47" spans="1:6" x14ac:dyDescent="0.3">
      <c r="B47" s="124"/>
      <c r="C47" s="124"/>
      <c r="D47" s="124"/>
      <c r="E47" s="124"/>
    </row>
    <row r="48" spans="1:6" x14ac:dyDescent="0.3">
      <c r="B48" s="124"/>
      <c r="C48" s="124"/>
      <c r="D48" s="124"/>
      <c r="E48" s="124"/>
    </row>
    <row r="49" spans="1:5" x14ac:dyDescent="0.3">
      <c r="B49" s="124"/>
      <c r="C49" s="124"/>
      <c r="D49" s="124"/>
      <c r="E49" s="124"/>
    </row>
    <row r="61" spans="1:5" x14ac:dyDescent="0.3">
      <c r="A61" s="19"/>
      <c r="B61" s="18"/>
      <c r="C61" s="20"/>
    </row>
    <row r="62" spans="1:5" x14ac:dyDescent="0.3">
      <c r="A62" s="18"/>
      <c r="B62" s="18"/>
      <c r="C62" s="18"/>
    </row>
    <row r="63" spans="1:5" x14ac:dyDescent="0.3">
      <c r="A63" s="18"/>
      <c r="B63" s="18"/>
      <c r="C63" s="18"/>
    </row>
    <row r="64" spans="1:5" x14ac:dyDescent="0.3">
      <c r="A64" s="18"/>
      <c r="B64" s="18"/>
      <c r="C64" s="18"/>
    </row>
    <row r="65" spans="1:3" x14ac:dyDescent="0.3">
      <c r="A65" s="18"/>
      <c r="B65" s="18"/>
      <c r="C65" s="18"/>
    </row>
    <row r="66" spans="1:3" x14ac:dyDescent="0.3">
      <c r="A66" s="18"/>
      <c r="B66" s="18"/>
      <c r="C66" s="18"/>
    </row>
    <row r="67" spans="1:3" x14ac:dyDescent="0.3">
      <c r="A67" s="18"/>
      <c r="B67" s="18"/>
      <c r="C67" s="18"/>
    </row>
    <row r="68" spans="1:3" x14ac:dyDescent="0.3">
      <c r="A68" s="18"/>
      <c r="B68" s="18"/>
      <c r="C68" s="18"/>
    </row>
  </sheetData>
  <mergeCells count="2">
    <mergeCell ref="E11:F11"/>
    <mergeCell ref="B47:E49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F2" sqref="F2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8.5546875" customWidth="1"/>
    <col min="4" max="4" width="0.109375" hidden="1" customWidth="1"/>
    <col min="5" max="5" width="13.6640625" customWidth="1"/>
    <col min="6" max="6" width="12.44140625" bestFit="1" customWidth="1"/>
    <col min="7" max="7" width="12.44140625" customWidth="1"/>
    <col min="8" max="8" width="9.33203125" customWidth="1"/>
    <col min="9" max="9" width="13.109375" hidden="1" customWidth="1"/>
    <col min="10" max="10" width="17.88671875" customWidth="1"/>
    <col min="11" max="11" width="14.33203125" bestFit="1" customWidth="1"/>
    <col min="12" max="12" width="14.33203125" customWidth="1"/>
    <col min="13" max="13" width="12.44140625" bestFit="1" customWidth="1"/>
    <col min="15" max="15" width="11.44140625" style="21"/>
  </cols>
  <sheetData>
    <row r="1" spans="1:13" x14ac:dyDescent="0.3">
      <c r="A1" s="105" t="s">
        <v>55</v>
      </c>
      <c r="B1" s="106"/>
      <c r="C1" s="106"/>
      <c r="D1" s="26"/>
      <c r="E1" s="25"/>
      <c r="F1" s="121"/>
      <c r="G1" s="25" t="s">
        <v>47</v>
      </c>
      <c r="H1" s="26"/>
      <c r="I1" s="26"/>
      <c r="J1" s="26"/>
      <c r="K1" s="71">
        <v>488303.4</v>
      </c>
      <c r="L1" s="71"/>
      <c r="M1" s="27"/>
    </row>
    <row r="2" spans="1:13" ht="15" thickBot="1" x14ac:dyDescent="0.35">
      <c r="A2" s="72" t="str">
        <f>'detalle y gastos'!E7</f>
        <v>Liquidacion mes de AGOSTO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3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70</v>
      </c>
      <c r="M3" s="7" t="s">
        <v>69</v>
      </c>
    </row>
    <row r="4" spans="1:13" x14ac:dyDescent="0.3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15/09</v>
      </c>
      <c r="M4" s="66" t="s">
        <v>68</v>
      </c>
    </row>
    <row r="5" spans="1:13" x14ac:dyDescent="0.3">
      <c r="A5" s="12">
        <v>1</v>
      </c>
      <c r="B5" s="13">
        <v>1</v>
      </c>
      <c r="C5" s="14" t="s">
        <v>62</v>
      </c>
      <c r="D5" s="17"/>
      <c r="E5" s="41">
        <v>114593.04479999999</v>
      </c>
      <c r="F5" s="80">
        <f>E5</f>
        <v>114593.04479999999</v>
      </c>
      <c r="G5" s="67">
        <f>E5-F5</f>
        <v>0</v>
      </c>
      <c r="H5" s="70">
        <f>IF(G5&gt;0,G5*4%,0)</f>
        <v>0</v>
      </c>
      <c r="I5" s="15">
        <v>0</v>
      </c>
      <c r="J5" s="38">
        <f>K$1/5</f>
        <v>97660.680000000008</v>
      </c>
      <c r="K5" s="117">
        <f>K2*D5</f>
        <v>0</v>
      </c>
      <c r="L5" s="15">
        <f>J5+K5+H5+G5</f>
        <v>97660.680000000008</v>
      </c>
      <c r="M5" s="39">
        <f>L5*4%+L5</f>
        <v>101567.10720000001</v>
      </c>
    </row>
    <row r="6" spans="1:13" x14ac:dyDescent="0.3">
      <c r="A6" s="12">
        <v>2</v>
      </c>
      <c r="B6" s="13">
        <v>2</v>
      </c>
      <c r="C6" s="14" t="s">
        <v>65</v>
      </c>
      <c r="D6" s="17"/>
      <c r="E6" s="41">
        <v>110185.62</v>
      </c>
      <c r="F6" s="80">
        <f>E6</f>
        <v>110185.62</v>
      </c>
      <c r="G6" s="67">
        <f t="shared" ref="G6:G9" si="0">E6-F6</f>
        <v>0</v>
      </c>
      <c r="H6" s="70">
        <f t="shared" ref="H6:H9" si="1">IF(G6&gt;0,G6*4%,0)</f>
        <v>0</v>
      </c>
      <c r="I6" s="15">
        <v>0</v>
      </c>
      <c r="J6" s="38">
        <f t="shared" ref="J6:J9" si="2">K$1/5</f>
        <v>97660.680000000008</v>
      </c>
      <c r="K6" s="117">
        <f>K2*D6</f>
        <v>0</v>
      </c>
      <c r="L6" s="15">
        <f>J6+K6+H6+G6</f>
        <v>97660.680000000008</v>
      </c>
      <c r="M6" s="39">
        <f t="shared" ref="M6:M9" si="3">L6*4%+L6</f>
        <v>101567.10720000001</v>
      </c>
    </row>
    <row r="7" spans="1:13" x14ac:dyDescent="0.3">
      <c r="A7" s="12">
        <v>3</v>
      </c>
      <c r="B7" s="13">
        <v>3</v>
      </c>
      <c r="C7" s="14" t="s">
        <v>63</v>
      </c>
      <c r="D7" s="17"/>
      <c r="E7" s="41">
        <v>114593.04479999999</v>
      </c>
      <c r="F7" s="80">
        <f t="shared" ref="F7:F8" si="4">E7</f>
        <v>114593.04479999999</v>
      </c>
      <c r="G7" s="67">
        <f t="shared" si="0"/>
        <v>0</v>
      </c>
      <c r="H7" s="70">
        <f t="shared" si="1"/>
        <v>0</v>
      </c>
      <c r="I7" s="15">
        <v>0</v>
      </c>
      <c r="J7" s="38">
        <f t="shared" si="2"/>
        <v>97660.680000000008</v>
      </c>
      <c r="K7" s="117">
        <f>K2*D7</f>
        <v>0</v>
      </c>
      <c r="L7" s="15">
        <f>J7+K7+H7+G7</f>
        <v>97660.680000000008</v>
      </c>
      <c r="M7" s="39">
        <f t="shared" si="3"/>
        <v>101567.10720000001</v>
      </c>
    </row>
    <row r="8" spans="1:13" x14ac:dyDescent="0.3">
      <c r="A8" s="12">
        <v>4</v>
      </c>
      <c r="B8" s="13">
        <v>4</v>
      </c>
      <c r="C8" s="14" t="s">
        <v>61</v>
      </c>
      <c r="D8" s="17"/>
      <c r="E8" s="41">
        <v>114593.04479999999</v>
      </c>
      <c r="F8" s="80">
        <f t="shared" si="4"/>
        <v>114593.04479999999</v>
      </c>
      <c r="G8" s="67">
        <f t="shared" si="0"/>
        <v>0</v>
      </c>
      <c r="H8" s="70">
        <f t="shared" si="1"/>
        <v>0</v>
      </c>
      <c r="I8" s="15">
        <v>0</v>
      </c>
      <c r="J8" s="38">
        <f t="shared" si="2"/>
        <v>97660.680000000008</v>
      </c>
      <c r="K8" s="117">
        <f>K2*D8</f>
        <v>0</v>
      </c>
      <c r="L8" s="15">
        <f>J8+K8+H8+G8</f>
        <v>97660.680000000008</v>
      </c>
      <c r="M8" s="39">
        <f t="shared" si="3"/>
        <v>101567.10720000001</v>
      </c>
    </row>
    <row r="9" spans="1:13" x14ac:dyDescent="0.3">
      <c r="A9" s="12">
        <v>5</v>
      </c>
      <c r="B9" s="13">
        <v>5</v>
      </c>
      <c r="C9" s="14" t="s">
        <v>64</v>
      </c>
      <c r="D9" s="17"/>
      <c r="E9" s="41">
        <v>110185.62</v>
      </c>
      <c r="F9" s="80">
        <f>E9</f>
        <v>110185.62</v>
      </c>
      <c r="G9" s="67">
        <f t="shared" si="0"/>
        <v>0</v>
      </c>
      <c r="H9" s="70">
        <f t="shared" si="1"/>
        <v>0</v>
      </c>
      <c r="I9" s="15">
        <v>0</v>
      </c>
      <c r="J9" s="38">
        <f t="shared" si="2"/>
        <v>97660.680000000008</v>
      </c>
      <c r="K9" s="117">
        <f>K2*D9</f>
        <v>0</v>
      </c>
      <c r="L9" s="15">
        <f>J9+K9+H9+G9</f>
        <v>97660.680000000008</v>
      </c>
      <c r="M9" s="39">
        <f t="shared" si="3"/>
        <v>101567.10720000001</v>
      </c>
    </row>
    <row r="10" spans="1:13" ht="15" customHeight="1" thickBot="1" x14ac:dyDescent="0.35">
      <c r="A10" s="8" t="s">
        <v>8</v>
      </c>
      <c r="B10" s="9"/>
      <c r="C10" s="10"/>
      <c r="D10" s="45">
        <f t="shared" ref="D10:M10" si="5">SUM(D5:D9)</f>
        <v>0</v>
      </c>
      <c r="E10" s="42">
        <f t="shared" si="5"/>
        <v>564150.37439999986</v>
      </c>
      <c r="F10" s="42">
        <f t="shared" si="5"/>
        <v>564150.37439999986</v>
      </c>
      <c r="G10" s="50">
        <f t="shared" si="5"/>
        <v>0</v>
      </c>
      <c r="H10" s="50">
        <f t="shared" si="5"/>
        <v>0</v>
      </c>
      <c r="I10" s="11">
        <f t="shared" si="5"/>
        <v>0</v>
      </c>
      <c r="J10" s="46">
        <f t="shared" si="5"/>
        <v>488303.4</v>
      </c>
      <c r="K10" s="46">
        <f t="shared" si="5"/>
        <v>0</v>
      </c>
      <c r="L10" s="118">
        <f t="shared" si="5"/>
        <v>488303.4</v>
      </c>
      <c r="M10" s="118">
        <f t="shared" si="5"/>
        <v>507835.53600000008</v>
      </c>
    </row>
    <row r="11" spans="1:13" ht="51.75" hidden="1" customHeight="1" thickBot="1" x14ac:dyDescent="0.35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</row>
    <row r="12" spans="1:13" ht="14.25" customHeight="1" x14ac:dyDescent="0.3">
      <c r="M12" s="6"/>
    </row>
    <row r="13" spans="1:13" hidden="1" x14ac:dyDescent="0.3">
      <c r="C13" s="126"/>
      <c r="D13" s="126"/>
      <c r="E13" s="126"/>
      <c r="F13" s="126"/>
      <c r="G13" s="126"/>
      <c r="H13" s="126"/>
      <c r="I13" s="126"/>
      <c r="J13" s="126"/>
      <c r="K13" s="126"/>
      <c r="L13" s="126"/>
    </row>
    <row r="14" spans="1:13" hidden="1" x14ac:dyDescent="0.3">
      <c r="C14" s="126"/>
      <c r="D14" s="126"/>
      <c r="E14" s="126"/>
      <c r="F14" s="126"/>
      <c r="G14" s="126"/>
      <c r="H14" s="126"/>
      <c r="I14" s="126"/>
      <c r="J14" s="126"/>
      <c r="K14" s="126"/>
      <c r="L14" s="126"/>
    </row>
    <row r="15" spans="1:13" hidden="1" x14ac:dyDescent="0.3">
      <c r="C15" s="126"/>
      <c r="D15" s="126"/>
      <c r="E15" s="126"/>
      <c r="F15" s="126"/>
      <c r="G15" s="126"/>
      <c r="H15" s="126"/>
      <c r="I15" s="126"/>
      <c r="J15" s="126"/>
      <c r="K15" s="126"/>
      <c r="L15" s="126"/>
    </row>
    <row r="16" spans="1:13" hidden="1" x14ac:dyDescent="0.3">
      <c r="C16" s="126"/>
      <c r="D16" s="126"/>
      <c r="E16" s="126"/>
      <c r="F16" s="126"/>
      <c r="G16" s="126"/>
      <c r="H16" s="126"/>
      <c r="I16" s="126"/>
      <c r="J16" s="126"/>
      <c r="K16" s="126"/>
      <c r="L16" s="126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4.4" x14ac:dyDescent="0.3"/>
  <cols>
    <col min="3" max="3" width="13.109375" customWidth="1"/>
  </cols>
  <sheetData>
    <row r="1" spans="1:7" ht="18.600000000000001" thickBot="1" x14ac:dyDescent="0.4">
      <c r="A1" s="132" t="s">
        <v>24</v>
      </c>
      <c r="B1" s="133"/>
      <c r="C1" s="133"/>
      <c r="D1" s="133"/>
      <c r="E1" s="134"/>
      <c r="F1" s="88"/>
      <c r="G1" s="88"/>
    </row>
    <row r="2" spans="1:7" ht="15" thickBot="1" x14ac:dyDescent="0.35">
      <c r="A2" s="135" t="s">
        <v>50</v>
      </c>
      <c r="B2" s="136"/>
      <c r="C2" s="137"/>
      <c r="D2" s="138">
        <v>565</v>
      </c>
      <c r="E2" s="139"/>
      <c r="F2" s="89"/>
      <c r="G2" s="89"/>
    </row>
    <row r="3" spans="1:7" ht="15" thickTop="1" x14ac:dyDescent="0.3">
      <c r="A3" s="140" t="s">
        <v>0</v>
      </c>
      <c r="B3" s="140" t="s">
        <v>1</v>
      </c>
      <c r="C3" s="140" t="s">
        <v>2</v>
      </c>
      <c r="D3" s="142" t="s">
        <v>4</v>
      </c>
      <c r="E3" s="127" t="s">
        <v>51</v>
      </c>
      <c r="F3" s="127" t="s">
        <v>52</v>
      </c>
      <c r="G3" s="127" t="s">
        <v>44</v>
      </c>
    </row>
    <row r="4" spans="1:7" ht="15" thickBot="1" x14ac:dyDescent="0.35">
      <c r="A4" s="141"/>
      <c r="B4" s="141"/>
      <c r="C4" s="141"/>
      <c r="D4" s="143"/>
      <c r="E4" s="128"/>
      <c r="F4" s="128"/>
      <c r="G4" s="128"/>
    </row>
    <row r="5" spans="1:7" ht="15.6" thickTop="1" thickBot="1" x14ac:dyDescent="0.35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" thickBot="1" x14ac:dyDescent="0.35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" thickBot="1" x14ac:dyDescent="0.35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5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" thickBot="1" x14ac:dyDescent="0.35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" thickBot="1" x14ac:dyDescent="0.35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5.6" thickTop="1" thickBot="1" x14ac:dyDescent="0.35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5.6" thickTop="1" thickBot="1" x14ac:dyDescent="0.35">
      <c r="A12" s="129"/>
      <c r="B12" s="130"/>
      <c r="C12" s="130"/>
      <c r="D12" s="130"/>
      <c r="E12" s="131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2025-07-29T22:29:21Z</cp:lastPrinted>
  <dcterms:created xsi:type="dcterms:W3CDTF">2020-12-10T00:27:53Z</dcterms:created>
  <dcterms:modified xsi:type="dcterms:W3CDTF">2025-08-27T14:15:00Z</dcterms:modified>
</cp:coreProperties>
</file>