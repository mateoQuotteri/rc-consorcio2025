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ICHINCHA\Agosto\"/>
    </mc:Choice>
  </mc:AlternateContent>
  <xr:revisionPtr revIDLastSave="0" documentId="13_ncr:1_{D81332EE-3022-4848-BDD8-5B1DA5546EE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gastos'!$A$1:$F$44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F6" i="1" l="1"/>
  <c r="F9" i="1"/>
  <c r="C26" i="3" l="1"/>
  <c r="L4" i="1" l="1"/>
  <c r="C20" i="3" l="1"/>
  <c r="C27" i="3" s="1"/>
  <c r="G8" i="1"/>
  <c r="H8" i="1" s="1"/>
  <c r="G7" i="1"/>
  <c r="G6" i="1"/>
  <c r="C37" i="3" l="1"/>
  <c r="C38" i="3"/>
  <c r="J9" i="1"/>
  <c r="J6" i="1"/>
  <c r="J7" i="1"/>
  <c r="J8" i="1"/>
  <c r="J5" i="1"/>
  <c r="F14" i="3" l="1"/>
  <c r="A2" i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D10" i="1"/>
  <c r="E10" i="1"/>
  <c r="M9" i="1" l="1"/>
  <c r="L10" i="1"/>
  <c r="F13" i="3"/>
  <c r="F20" i="3" s="1"/>
  <c r="J10" i="1"/>
  <c r="G10" i="1"/>
  <c r="H10" i="1"/>
  <c r="M10" i="1" l="1"/>
</calcChain>
</file>

<file path=xl/sharedStrings.xml><?xml version="1.0" encoding="utf-8"?>
<sst xmlns="http://schemas.openxmlformats.org/spreadsheetml/2006/main" count="92" uniqueCount="79">
  <si>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</si>
  <si>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</si>
  <si>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</si>
  <si>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</si>
  <si>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</si>
  <si>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</si>
  <si>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</si>
  <si>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</si>
  <si>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</si>
  <si>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</si>
  <si>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</si>
  <si>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</si>
  <si>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</si>
  <si>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</si>
  <si>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</si>
  <si>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</si>
  <si>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</si>
  <si>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</si>
  <si>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</si>
  <si>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</si>
  <si>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</si>
  <si>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</si>
  <si>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</si>
  <si>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</si>
  <si>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</si>
  <si>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</si>
  <si>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</si>
  <si>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</si>
  <si>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</si>
  <si>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</si>
  <si>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</si>
  <si>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</si>
  <si>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</si>
  <si>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</si>
  <si>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</si>
  <si>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</si>
  <si>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</si>
  <si>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</si>
  <si>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</si>
  <si>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</si>
  <si>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</si>
  <si>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</si>
  <si>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</si>
  <si>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</si>
  <si>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</si>
  <si>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</si>
  <si>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</si>
  <si>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</si>
  <si>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</si>
  <si>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</si>
  <si>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</si>
  <si>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</si>
  <si>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</si>
  <si>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</si>
  <si>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</si>
  <si>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</si>
  <si>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</si>
  <si>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</si>
  <si>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</si>
  <si>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PREVISION ORDINARIA</t>
  </si>
  <si>
    <t>AGUSTIN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</si>
  <si>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</si>
  <si>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</si>
  <si>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</si>
  <si>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</si>
  <si>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</si>
  <si>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</si>
  <si>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</si>
  <si>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</si>
  <si>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</si>
  <si>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METROGAS</t>
  </si>
  <si>
    <t>ARBA</t>
  </si>
  <si>
    <t>FLOW - INTERNET CAMARA</t>
  </si>
  <si>
    <t>EDESUR</t>
  </si>
  <si>
    <t>Vto. 15/09</t>
  </si>
  <si>
    <t>Liquidacion mes de AGOSTO</t>
  </si>
  <si>
    <t>TSG - MES DE AGOSTO</t>
  </si>
  <si>
    <t>SEGURO DE VIDA. SRA MONICA GOROSITO</t>
  </si>
  <si>
    <t>SIN ABONAR POR FALTA DE PAGO DE EXPENSAS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</si>
</sst>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4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166" fontId="9" fillId="0" borderId="22" xfId="2" applyNumberFormat="1" applyFont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4" fontId="10" fillId="6" borderId="6" xfId="0" applyNumberFormat="1" applyFont="1" applyFill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opLeftCell="A10" workbookViewId="0">
      <selection activeCell="E16" sqref="E16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6" x14ac:dyDescent="0.25">
      <c r="B1" t="s">
        <v>57</v>
      </c>
    </row>
    <row r="2" spans="1:6" x14ac:dyDescent="0.25">
      <c r="B2" t="s">
        <v>18</v>
      </c>
      <c r="C2" s="110" t="s">
        <v>56</v>
      </c>
    </row>
    <row r="3" spans="1:6" x14ac:dyDescent="0.25">
      <c r="B3" t="s">
        <v>9</v>
      </c>
    </row>
    <row r="4" spans="1:6" x14ac:dyDescent="0.25">
      <c r="B4" s="4" t="s">
        <v>6</v>
      </c>
    </row>
    <row r="5" spans="1:6" ht="8.25" customHeight="1" x14ac:dyDescent="0.25">
      <c r="A5" s="3"/>
      <c r="B5" s="23"/>
      <c r="C5" s="3"/>
    </row>
    <row r="6" spans="1:6" x14ac:dyDescent="0.25">
      <c r="D6" s="29"/>
      <c r="E6" s="29"/>
      <c r="F6" s="29"/>
    </row>
    <row r="7" spans="1:6" x14ac:dyDescent="0.25">
      <c r="A7" s="24" t="s">
        <v>58</v>
      </c>
      <c r="B7" s="24"/>
      <c r="C7" s="68"/>
      <c r="D7" s="68"/>
      <c r="E7" s="24" t="s">
        <v>75</v>
      </c>
      <c r="F7" s="111" t="s">
        <v>74</v>
      </c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11</v>
      </c>
    </row>
    <row r="11" spans="1:6" ht="15.75" thickBot="1" x14ac:dyDescent="0.3">
      <c r="A11" s="28" t="s">
        <v>10</v>
      </c>
      <c r="B11" s="29"/>
      <c r="C11" s="30"/>
      <c r="D11" s="5"/>
      <c r="E11" s="123" t="s">
        <v>22</v>
      </c>
      <c r="F11" s="123"/>
    </row>
    <row r="12" spans="1:6" x14ac:dyDescent="0.25">
      <c r="A12" s="107" t="s">
        <v>66</v>
      </c>
      <c r="B12" s="108" t="s">
        <v>78</v>
      </c>
      <c r="C12" s="122"/>
      <c r="D12" s="5"/>
      <c r="E12" s="56" t="s">
        <v>42</v>
      </c>
      <c r="F12" s="57">
        <v>-461260.62319646741</v>
      </c>
    </row>
    <row r="13" spans="1:6" x14ac:dyDescent="0.25">
      <c r="A13" s="31" t="s">
        <v>45</v>
      </c>
      <c r="C13" s="122">
        <v>92086</v>
      </c>
      <c r="D13" s="43"/>
      <c r="E13" s="58" t="s">
        <v>7</v>
      </c>
      <c r="F13" s="59">
        <f>'prorrateo '!F10</f>
        <v>195321.36000000002</v>
      </c>
    </row>
    <row r="14" spans="1:6" ht="15.75" customHeight="1" x14ac:dyDescent="0.25">
      <c r="A14" s="31" t="s">
        <v>19</v>
      </c>
      <c r="B14" s="108" t="s">
        <v>78</v>
      </c>
      <c r="C14" s="80"/>
      <c r="D14" s="5"/>
      <c r="E14" s="58" t="s">
        <v>20</v>
      </c>
      <c r="F14" s="59">
        <f>-(C37)</f>
        <v>-225072.19</v>
      </c>
    </row>
    <row r="15" spans="1:6" x14ac:dyDescent="0.25">
      <c r="A15" s="31" t="s">
        <v>72</v>
      </c>
      <c r="B15" s="108" t="s">
        <v>78</v>
      </c>
      <c r="C15" s="120"/>
      <c r="D15" s="5"/>
      <c r="E15" s="58"/>
      <c r="F15" s="59"/>
    </row>
    <row r="16" spans="1:6" x14ac:dyDescent="0.25">
      <c r="A16" s="31" t="s">
        <v>70</v>
      </c>
      <c r="B16" s="108" t="s">
        <v>78</v>
      </c>
      <c r="C16" s="120"/>
      <c r="D16" s="5"/>
      <c r="E16" s="58"/>
      <c r="F16" s="59"/>
    </row>
    <row r="17" spans="1:8" x14ac:dyDescent="0.25">
      <c r="A17" s="31" t="s">
        <v>73</v>
      </c>
      <c r="C17" s="120">
        <v>56633.440000000002</v>
      </c>
      <c r="D17" s="5"/>
      <c r="E17" s="58"/>
      <c r="F17" s="59"/>
    </row>
    <row r="18" spans="1:8" x14ac:dyDescent="0.25">
      <c r="A18" s="31" t="s">
        <v>76</v>
      </c>
      <c r="B18" s="108" t="s">
        <v>78</v>
      </c>
      <c r="C18" s="120"/>
      <c r="D18" s="5"/>
      <c r="E18" s="58"/>
      <c r="F18" s="59"/>
    </row>
    <row r="19" spans="1:8" x14ac:dyDescent="0.25">
      <c r="A19" s="31" t="s">
        <v>71</v>
      </c>
      <c r="C19" s="120"/>
      <c r="E19" s="58"/>
      <c r="F19" s="59"/>
      <c r="H19" s="108"/>
    </row>
    <row r="20" spans="1:8" ht="15.75" thickBot="1" x14ac:dyDescent="0.3">
      <c r="A20" s="32"/>
      <c r="B20" s="33"/>
      <c r="C20" s="87">
        <f>SUM(C12:C19)</f>
        <v>148719.44</v>
      </c>
      <c r="E20" s="60" t="s">
        <v>43</v>
      </c>
      <c r="F20" s="119">
        <f>SUM(F12:F19)</f>
        <v>-491011.45319646742</v>
      </c>
    </row>
    <row r="21" spans="1:8" x14ac:dyDescent="0.25">
      <c r="A21" s="34" t="s">
        <v>21</v>
      </c>
      <c r="C21" s="113"/>
      <c r="D21" s="5"/>
      <c r="E21" s="19"/>
      <c r="F21" s="20"/>
    </row>
    <row r="22" spans="1:8" x14ac:dyDescent="0.25">
      <c r="A22" s="31" t="s">
        <v>65</v>
      </c>
      <c r="B22" s="35"/>
      <c r="C22" s="120">
        <v>71833</v>
      </c>
      <c r="D22" s="5"/>
      <c r="E22" s="19"/>
      <c r="F22" s="20"/>
    </row>
    <row r="23" spans="1:8" x14ac:dyDescent="0.25">
      <c r="A23" s="31" t="s">
        <v>77</v>
      </c>
      <c r="B23" s="35"/>
      <c r="C23" s="120">
        <v>4519.75</v>
      </c>
      <c r="D23" s="5"/>
      <c r="E23" s="19"/>
      <c r="F23" s="20"/>
    </row>
    <row r="24" spans="1:8" ht="14.25" customHeight="1" x14ac:dyDescent="0.25">
      <c r="A24" s="31"/>
      <c r="B24" s="35"/>
      <c r="C24" s="120"/>
      <c r="D24" s="5"/>
      <c r="E24" s="19"/>
      <c r="F24" s="20"/>
    </row>
    <row r="25" spans="1:8" x14ac:dyDescent="0.25">
      <c r="A25" s="31" t="s">
        <v>59</v>
      </c>
      <c r="B25" s="35"/>
      <c r="C25" s="112"/>
      <c r="D25" s="5"/>
      <c r="E25" s="19"/>
      <c r="F25" s="20"/>
    </row>
    <row r="26" spans="1:8" x14ac:dyDescent="0.25">
      <c r="A26" s="32"/>
      <c r="B26" s="33"/>
      <c r="C26" s="109">
        <f>SUM(C21:C25)</f>
        <v>76352.75</v>
      </c>
      <c r="D26" s="5"/>
      <c r="E26" s="5"/>
      <c r="F26" s="55"/>
      <c r="G26" s="6"/>
    </row>
    <row r="27" spans="1:8" x14ac:dyDescent="0.25">
      <c r="A27" s="47" t="s">
        <v>12</v>
      </c>
      <c r="B27" s="48"/>
      <c r="C27" s="49">
        <f>+C26+C20</f>
        <v>225072.19</v>
      </c>
      <c r="D27" s="5"/>
      <c r="E27" s="19"/>
      <c r="F27" s="20"/>
    </row>
    <row r="28" spans="1:8" ht="14.25" customHeight="1" x14ac:dyDescent="0.25">
      <c r="A28" s="69" t="s">
        <v>24</v>
      </c>
      <c r="B28" s="82"/>
      <c r="C28" s="83"/>
      <c r="E28" s="19"/>
      <c r="F28" s="20"/>
    </row>
    <row r="29" spans="1:8" hidden="1" x14ac:dyDescent="0.25">
      <c r="A29" s="22" t="s">
        <v>24</v>
      </c>
    </row>
    <row r="30" spans="1:8" hidden="1" x14ac:dyDescent="0.25">
      <c r="A30" s="44"/>
      <c r="B30" s="29"/>
      <c r="C30" s="54"/>
      <c r="F30" s="6"/>
    </row>
    <row r="31" spans="1:8" hidden="1" x14ac:dyDescent="0.25">
      <c r="A31" s="52"/>
      <c r="B31" s="51"/>
      <c r="C31" s="53">
        <v>0</v>
      </c>
      <c r="F31" s="6"/>
    </row>
    <row r="32" spans="1:8" hidden="1" x14ac:dyDescent="0.25">
      <c r="A32" s="61"/>
      <c r="B32" s="62"/>
      <c r="C32" s="53">
        <v>0</v>
      </c>
      <c r="F32" s="6"/>
    </row>
    <row r="33" spans="1:6" x14ac:dyDescent="0.25">
      <c r="A33" s="78"/>
      <c r="B33" s="79"/>
      <c r="C33" s="81"/>
      <c r="F33" s="6"/>
    </row>
    <row r="34" spans="1:6" x14ac:dyDescent="0.25">
      <c r="A34" s="78"/>
      <c r="B34" s="85"/>
      <c r="C34" s="86"/>
      <c r="F34" s="6"/>
    </row>
    <row r="35" spans="1:6" x14ac:dyDescent="0.25">
      <c r="A35" s="78"/>
      <c r="B35" s="84"/>
      <c r="C35" s="81">
        <v>0</v>
      </c>
      <c r="F35" s="6"/>
    </row>
    <row r="36" spans="1:6" x14ac:dyDescent="0.25">
      <c r="A36" s="63" t="s">
        <v>23</v>
      </c>
      <c r="B36" s="64"/>
      <c r="C36" s="65">
        <f>SUM(C31:C35)</f>
        <v>0</v>
      </c>
    </row>
    <row r="37" spans="1:6" x14ac:dyDescent="0.25">
      <c r="A37" t="s">
        <v>54</v>
      </c>
      <c r="C37" s="53">
        <f>C27-C25</f>
        <v>225072.19</v>
      </c>
      <c r="F37" s="6"/>
    </row>
    <row r="38" spans="1:6" x14ac:dyDescent="0.25">
      <c r="A38" s="5" t="s">
        <v>49</v>
      </c>
      <c r="C38" s="77">
        <f>+C27</f>
        <v>225072.19</v>
      </c>
      <c r="F38" s="6"/>
    </row>
    <row r="39" spans="1:6" x14ac:dyDescent="0.25">
      <c r="A39" s="63" t="s">
        <v>13</v>
      </c>
      <c r="B39" s="64"/>
      <c r="C39" s="65">
        <f>+C27+C36</f>
        <v>225072.19</v>
      </c>
      <c r="E39" s="16"/>
    </row>
    <row r="44" spans="1:6" x14ac:dyDescent="0.25">
      <c r="D44" s="6"/>
    </row>
    <row r="45" spans="1:6" x14ac:dyDescent="0.25">
      <c r="D45" s="16"/>
      <c r="E45" s="16"/>
    </row>
    <row r="46" spans="1:6" x14ac:dyDescent="0.25">
      <c r="B46" s="124"/>
      <c r="C46" s="124"/>
      <c r="D46" s="124"/>
      <c r="E46" s="124"/>
    </row>
    <row r="47" spans="1:6" x14ac:dyDescent="0.25">
      <c r="B47" s="124"/>
      <c r="C47" s="124"/>
      <c r="D47" s="124"/>
      <c r="E47" s="124"/>
    </row>
    <row r="48" spans="1:6" x14ac:dyDescent="0.25">
      <c r="B48" s="124"/>
      <c r="C48" s="124"/>
      <c r="D48" s="124"/>
      <c r="E48" s="124"/>
    </row>
    <row r="60" spans="1:3" x14ac:dyDescent="0.25">
      <c r="A60" s="19"/>
      <c r="B60" s="18"/>
      <c r="C60" s="20"/>
    </row>
    <row r="61" spans="1:3" x14ac:dyDescent="0.25">
      <c r="A61" s="18"/>
      <c r="B61" s="18"/>
      <c r="C61" s="18"/>
    </row>
    <row r="62" spans="1:3" x14ac:dyDescent="0.25">
      <c r="A62" s="18"/>
      <c r="B62" s="18"/>
      <c r="C62" s="18"/>
    </row>
    <row r="63" spans="1:3" x14ac:dyDescent="0.25">
      <c r="A63" s="18"/>
      <c r="B63" s="18"/>
      <c r="C63" s="18"/>
    </row>
    <row r="64" spans="1:3" x14ac:dyDescent="0.25">
      <c r="A64" s="18"/>
      <c r="B64" s="18"/>
      <c r="C64" s="18"/>
    </row>
    <row r="65" spans="1:3" x14ac:dyDescent="0.25">
      <c r="A65" s="18"/>
      <c r="B65" s="18"/>
      <c r="C65" s="18"/>
    </row>
    <row r="66" spans="1:3" x14ac:dyDescent="0.25">
      <c r="A66" s="18"/>
      <c r="B66" s="18"/>
      <c r="C66" s="18"/>
    </row>
    <row r="67" spans="1:3" x14ac:dyDescent="0.25">
      <c r="A67" s="18"/>
      <c r="B67" s="18"/>
      <c r="C67" s="18"/>
    </row>
  </sheetData>
  <mergeCells count="2">
    <mergeCell ref="E11:F11"/>
    <mergeCell ref="B46:E48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tabSelected="1" workbookViewId="0">
      <selection activeCell="F7" sqref="F7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7.8554687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21"/>
  </cols>
  <sheetData>
    <row r="1" spans="1:13" x14ac:dyDescent="0.25">
      <c r="A1" s="105" t="s">
        <v>55</v>
      </c>
      <c r="B1" s="106"/>
      <c r="C1" s="106"/>
      <c r="D1" s="26"/>
      <c r="E1" s="25"/>
      <c r="F1" s="121"/>
      <c r="G1" s="25" t="s">
        <v>47</v>
      </c>
      <c r="H1" s="26"/>
      <c r="I1" s="26"/>
      <c r="J1" s="26"/>
      <c r="K1" s="71">
        <v>488303.4</v>
      </c>
      <c r="L1" s="71"/>
      <c r="M1" s="27"/>
    </row>
    <row r="2" spans="1:13" ht="15.75" thickBot="1" x14ac:dyDescent="0.3">
      <c r="A2" s="72" t="str">
        <f>'detalle y gastos'!E7</f>
        <v>Liquidacion mes de AGOSTO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25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69</v>
      </c>
      <c r="M3" s="7" t="s">
        <v>68</v>
      </c>
    </row>
    <row r="4" spans="1:13" x14ac:dyDescent="0.25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15/09</v>
      </c>
      <c r="M4" s="66" t="s">
        <v>67</v>
      </c>
    </row>
    <row r="5" spans="1:13" x14ac:dyDescent="0.25">
      <c r="A5" s="12">
        <v>1</v>
      </c>
      <c r="B5" s="13">
        <v>1</v>
      </c>
      <c r="C5" s="14" t="s">
        <v>61</v>
      </c>
      <c r="D5" s="17"/>
      <c r="E5" s="41">
        <v>97660.680000000008</v>
      </c>
      <c r="F5" s="80"/>
      <c r="G5" s="67">
        <f>E5-F5</f>
        <v>97660.680000000008</v>
      </c>
      <c r="H5" s="70">
        <f>IF(G5&gt;0,G5*4%,0)</f>
        <v>3906.4272000000005</v>
      </c>
      <c r="I5" s="15">
        <v>0</v>
      </c>
      <c r="J5" s="38">
        <f>K$1/5</f>
        <v>97660.680000000008</v>
      </c>
      <c r="K5" s="117">
        <f>K2*D5</f>
        <v>0</v>
      </c>
      <c r="L5" s="15">
        <f>J5+K5+H5+G5</f>
        <v>199227.78720000002</v>
      </c>
      <c r="M5" s="39">
        <f>L5*4%+L5</f>
        <v>207196.89868800002</v>
      </c>
    </row>
    <row r="6" spans="1:13" x14ac:dyDescent="0.25">
      <c r="A6" s="12">
        <v>2</v>
      </c>
      <c r="B6" s="13">
        <v>2</v>
      </c>
      <c r="C6" s="14" t="s">
        <v>64</v>
      </c>
      <c r="D6" s="17"/>
      <c r="E6" s="41">
        <v>97660.680000000008</v>
      </c>
      <c r="F6" s="80">
        <f>E6</f>
        <v>97660.680000000008</v>
      </c>
      <c r="G6" s="67">
        <f t="shared" ref="G6:G9" si="0"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97660.680000000008</v>
      </c>
      <c r="K6" s="117">
        <f>K2*D6</f>
        <v>0</v>
      </c>
      <c r="L6" s="15">
        <f>J6+K6+H6+G6</f>
        <v>97660.680000000008</v>
      </c>
      <c r="M6" s="39">
        <f t="shared" ref="M6:M9" si="3">L6*4%+L6</f>
        <v>101567.10720000001</v>
      </c>
    </row>
    <row r="7" spans="1:13" x14ac:dyDescent="0.25">
      <c r="A7" s="12">
        <v>3</v>
      </c>
      <c r="B7" s="13">
        <v>3</v>
      </c>
      <c r="C7" s="14" t="s">
        <v>62</v>
      </c>
      <c r="D7" s="17"/>
      <c r="E7" s="41">
        <v>97660.680000000008</v>
      </c>
      <c r="F7" s="80"/>
      <c r="G7" s="67">
        <f t="shared" si="0"/>
        <v>97660.680000000008</v>
      </c>
      <c r="H7" s="70">
        <f t="shared" si="1"/>
        <v>3906.4272000000005</v>
      </c>
      <c r="I7" s="15">
        <v>0</v>
      </c>
      <c r="J7" s="38">
        <f t="shared" si="2"/>
        <v>97660.680000000008</v>
      </c>
      <c r="K7" s="117">
        <f>K2*D7</f>
        <v>0</v>
      </c>
      <c r="L7" s="15">
        <f>J7+K7+H7+G7</f>
        <v>199227.78720000002</v>
      </c>
      <c r="M7" s="39">
        <f t="shared" si="3"/>
        <v>207196.89868800002</v>
      </c>
    </row>
    <row r="8" spans="1:13" x14ac:dyDescent="0.25">
      <c r="A8" s="12">
        <v>4</v>
      </c>
      <c r="B8" s="13">
        <v>4</v>
      </c>
      <c r="C8" s="14" t="s">
        <v>60</v>
      </c>
      <c r="D8" s="17"/>
      <c r="E8" s="41">
        <v>97660.680000000008</v>
      </c>
      <c r="F8" s="80"/>
      <c r="G8" s="67">
        <f t="shared" si="0"/>
        <v>97660.680000000008</v>
      </c>
      <c r="H8" s="70">
        <f t="shared" si="1"/>
        <v>3906.4272000000005</v>
      </c>
      <c r="I8" s="15">
        <v>0</v>
      </c>
      <c r="J8" s="38">
        <f t="shared" si="2"/>
        <v>97660.680000000008</v>
      </c>
      <c r="K8" s="117">
        <f>K2*D8</f>
        <v>0</v>
      </c>
      <c r="L8" s="15">
        <f>J8+K8+H8+G8</f>
        <v>199227.78720000002</v>
      </c>
      <c r="M8" s="39">
        <f t="shared" si="3"/>
        <v>207196.89868800002</v>
      </c>
    </row>
    <row r="9" spans="1:13" x14ac:dyDescent="0.25">
      <c r="A9" s="12">
        <v>5</v>
      </c>
      <c r="B9" s="13">
        <v>5</v>
      </c>
      <c r="C9" s="14" t="s">
        <v>63</v>
      </c>
      <c r="D9" s="17"/>
      <c r="E9" s="41">
        <v>97660.680000000008</v>
      </c>
      <c r="F9" s="80">
        <f>E9</f>
        <v>97660.680000000008</v>
      </c>
      <c r="G9" s="67">
        <f t="shared" si="0"/>
        <v>0</v>
      </c>
      <c r="H9" s="70">
        <f t="shared" si="1"/>
        <v>0</v>
      </c>
      <c r="I9" s="15">
        <v>0</v>
      </c>
      <c r="J9" s="38">
        <f t="shared" si="2"/>
        <v>97660.680000000008</v>
      </c>
      <c r="K9" s="117">
        <f>K2*D9</f>
        <v>0</v>
      </c>
      <c r="L9" s="15">
        <f>J9+K9+H9+G9</f>
        <v>97660.680000000008</v>
      </c>
      <c r="M9" s="39">
        <f t="shared" si="3"/>
        <v>101567.10720000001</v>
      </c>
    </row>
    <row r="10" spans="1:13" ht="15" customHeight="1" thickBot="1" x14ac:dyDescent="0.3">
      <c r="A10" s="8" t="s">
        <v>8</v>
      </c>
      <c r="B10" s="9"/>
      <c r="C10" s="10"/>
      <c r="D10" s="45">
        <f t="shared" ref="D10:M10" si="4">SUM(D5:D9)</f>
        <v>0</v>
      </c>
      <c r="E10" s="42">
        <f t="shared" si="4"/>
        <v>488303.4</v>
      </c>
      <c r="F10" s="42">
        <f t="shared" si="4"/>
        <v>195321.36000000002</v>
      </c>
      <c r="G10" s="50">
        <f t="shared" si="4"/>
        <v>292982.04000000004</v>
      </c>
      <c r="H10" s="50">
        <f t="shared" si="4"/>
        <v>11719.281600000002</v>
      </c>
      <c r="I10" s="11">
        <f t="shared" si="4"/>
        <v>0</v>
      </c>
      <c r="J10" s="46">
        <f t="shared" si="4"/>
        <v>488303.4</v>
      </c>
      <c r="K10" s="46">
        <f t="shared" si="4"/>
        <v>0</v>
      </c>
      <c r="L10" s="118">
        <f t="shared" si="4"/>
        <v>793004.72160000016</v>
      </c>
      <c r="M10" s="118">
        <f t="shared" si="4"/>
        <v>824724.91046400007</v>
      </c>
    </row>
    <row r="11" spans="1:13" ht="51.75" hidden="1" customHeight="1" thickBot="1" x14ac:dyDescent="0.3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5"/>
      <c r="L11" s="125"/>
      <c r="M11" s="125"/>
    </row>
    <row r="12" spans="1:13" ht="14.25" customHeight="1" x14ac:dyDescent="0.25">
      <c r="M12" s="6"/>
    </row>
    <row r="13" spans="1:13" hidden="1" x14ac:dyDescent="0.25">
      <c r="C13" s="126"/>
      <c r="D13" s="126"/>
      <c r="E13" s="126"/>
      <c r="F13" s="126"/>
      <c r="G13" s="126"/>
      <c r="H13" s="126"/>
      <c r="I13" s="126"/>
      <c r="J13" s="126"/>
      <c r="K13" s="126"/>
      <c r="L13" s="126"/>
    </row>
    <row r="14" spans="1:13" hidden="1" x14ac:dyDescent="0.25">
      <c r="C14" s="126"/>
      <c r="D14" s="126"/>
      <c r="E14" s="126"/>
      <c r="F14" s="126"/>
      <c r="G14" s="126"/>
      <c r="H14" s="126"/>
      <c r="I14" s="126"/>
      <c r="J14" s="126"/>
      <c r="K14" s="126"/>
      <c r="L14" s="126"/>
    </row>
    <row r="15" spans="1:13" hidden="1" x14ac:dyDescent="0.25">
      <c r="C15" s="126"/>
      <c r="D15" s="126"/>
      <c r="E15" s="126"/>
      <c r="F15" s="126"/>
      <c r="G15" s="126"/>
      <c r="H15" s="126"/>
      <c r="I15" s="126"/>
      <c r="J15" s="126"/>
      <c r="K15" s="126"/>
      <c r="L15" s="126"/>
    </row>
    <row r="16" spans="1:13" hidden="1" x14ac:dyDescent="0.25">
      <c r="C16" s="126"/>
      <c r="D16" s="126"/>
      <c r="E16" s="126"/>
      <c r="F16" s="126"/>
      <c r="G16" s="126"/>
      <c r="H16" s="126"/>
      <c r="I16" s="126"/>
      <c r="J16" s="126"/>
      <c r="K16" s="126"/>
      <c r="L16" s="126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32" t="s">
        <v>24</v>
      </c>
      <c r="B1" s="133"/>
      <c r="C1" s="133"/>
      <c r="D1" s="133"/>
      <c r="E1" s="134"/>
      <c r="F1" s="88"/>
      <c r="G1" s="88"/>
    </row>
    <row r="2" spans="1:7" ht="15.75" thickBot="1" x14ac:dyDescent="0.3">
      <c r="A2" s="135" t="s">
        <v>50</v>
      </c>
      <c r="B2" s="136"/>
      <c r="C2" s="137"/>
      <c r="D2" s="138">
        <v>565</v>
      </c>
      <c r="E2" s="139"/>
      <c r="F2" s="89"/>
      <c r="G2" s="89"/>
    </row>
    <row r="3" spans="1:7" ht="15.75" thickTop="1" x14ac:dyDescent="0.25">
      <c r="A3" s="140" t="s">
        <v>0</v>
      </c>
      <c r="B3" s="140" t="s">
        <v>1</v>
      </c>
      <c r="C3" s="140" t="s">
        <v>2</v>
      </c>
      <c r="D3" s="142" t="s">
        <v>4</v>
      </c>
      <c r="E3" s="127" t="s">
        <v>51</v>
      </c>
      <c r="F3" s="127" t="s">
        <v>52</v>
      </c>
      <c r="G3" s="127" t="s">
        <v>44</v>
      </c>
    </row>
    <row r="4" spans="1:7" ht="15.75" thickBot="1" x14ac:dyDescent="0.3">
      <c r="A4" s="141"/>
      <c r="B4" s="141"/>
      <c r="C4" s="141"/>
      <c r="D4" s="143"/>
      <c r="E4" s="128"/>
      <c r="F4" s="128"/>
      <c r="G4" s="128"/>
    </row>
    <row r="5" spans="1:7" ht="16.5" thickTop="1" thickBot="1" x14ac:dyDescent="0.3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.75" thickBot="1" x14ac:dyDescent="0.3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.75" thickBot="1" x14ac:dyDescent="0.3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.75" thickBot="1" x14ac:dyDescent="0.3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.75" thickBot="1" x14ac:dyDescent="0.3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6.5" thickTop="1" thickBot="1" x14ac:dyDescent="0.3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6.5" thickTop="1" thickBot="1" x14ac:dyDescent="0.3">
      <c r="A12" s="129"/>
      <c r="B12" s="130"/>
      <c r="C12" s="130"/>
      <c r="D12" s="130"/>
      <c r="E12" s="131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2025-07-29T22:29:21Z</cp:lastPrinted>
  <dcterms:created xsi:type="dcterms:W3CDTF">2020-12-10T00:27:53Z</dcterms:created>
  <dcterms:modified xsi:type="dcterms:W3CDTF">2025-08-28T15:16:56Z</dcterms:modified>
</cp:coreProperties>
</file>