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155" activeTab="1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gastos'!$A$1:$G$43</definedName>
    <definedName name="_xlnm.Print_Area" localSheetId="1">'prorrateo '!$A$1:$M$12</definedName>
  </definedNames>
  <calcPr calcId="144525"/>
</workbook>
</file>

<file path=xl/calcChain.xml><?xml version="1.0" encoding="utf-8"?>
<calcChain xmlns="http://schemas.openxmlformats.org/spreadsheetml/2006/main">
  <c r="C14" i="3" l="1"/>
  <c r="C20" i="3" l="1"/>
  <c r="C29" i="3"/>
  <c r="G8" i="1"/>
  <c r="H8" i="1" s="1"/>
  <c r="F7" i="1"/>
  <c r="G7" i="1" s="1"/>
  <c r="F6" i="1"/>
  <c r="G6" i="1" s="1"/>
  <c r="J9" i="1" l="1"/>
  <c r="J6" i="1"/>
  <c r="J7" i="1"/>
  <c r="J8" i="1"/>
  <c r="L8" i="1" s="1"/>
  <c r="M8" i="1" s="1"/>
  <c r="J5" i="1"/>
  <c r="C30" i="3" l="1"/>
  <c r="C40" i="3" s="1"/>
  <c r="F14" i="3" l="1"/>
  <c r="C41" i="3"/>
  <c r="A2" i="1"/>
  <c r="G9" i="1" l="1"/>
  <c r="C39" i="3" l="1"/>
  <c r="C42" i="3" s="1"/>
  <c r="K8" i="1" l="1"/>
  <c r="K7" i="1"/>
  <c r="K6" i="1"/>
  <c r="K9" i="1"/>
  <c r="K5" i="1"/>
  <c r="G5" i="1"/>
  <c r="H5" i="1" s="1"/>
  <c r="L5" i="1" s="1"/>
  <c r="M5" i="1" s="1"/>
  <c r="H6" i="1" l="1"/>
  <c r="L6" i="1" s="1"/>
  <c r="M6" i="1" s="1"/>
  <c r="H7" i="1"/>
  <c r="L7" i="1" s="1"/>
  <c r="M7" i="1" s="1"/>
  <c r="K10" i="1" l="1"/>
  <c r="I10" i="1"/>
  <c r="H9" i="1" l="1"/>
  <c r="L9" i="1" s="1"/>
  <c r="M9" i="1" s="1"/>
  <c r="F10" i="1"/>
  <c r="D10" i="1"/>
  <c r="E10" i="1"/>
  <c r="F13" i="3" l="1"/>
  <c r="F20" i="3" s="1"/>
  <c r="J10" i="1"/>
  <c r="G10" i="1"/>
  <c r="H10" i="1"/>
  <c r="M10" i="1" l="1"/>
</calcChain>
</file>

<file path=xl/sharedStrings.xml><?xml version="1.0" encoding="utf-8"?>
<sst xmlns="http://schemas.openxmlformats.org/spreadsheetml/2006/main" count="92" uniqueCount="82">
  <si>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</si>
  <si>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</si>
  <si>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</si>
  <si>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</si>
  <si>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</si>
  <si>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</si>
  <si>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</si>
  <si>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</si>
  <si>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</si>
  <si>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</si>
  <si>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</si>
  <si>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</si>
  <si>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</si>
  <si>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</si>
  <si>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</si>
  <si>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</si>
  <si>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</si>
  <si>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</si>
  <si>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</si>
  <si>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</si>
  <si>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</si>
  <si>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</si>
  <si>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</si>
  <si>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</si>
  <si>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</si>
  <si>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</si>
  <si>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</si>
  <si>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</si>
  <si>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</si>
  <si>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</si>
  <si>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</si>
  <si>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</si>
  <si>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</si>
  <si>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</si>
  <si>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</si>
  <si>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</si>
  <si>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</si>
  <si>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</si>
  <si>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</si>
  <si>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</si>
  <si>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</si>
  <si>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</si>
  <si>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</si>
  <si>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</si>
  <si>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</si>
  <si>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</si>
  <si>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</si>
  <si>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</si>
  <si>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</si>
  <si>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</si>
  <si>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</si>
  <si>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</si>
  <si>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</si>
  <si>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</si>
  <si>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</si>
  <si>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</si>
  <si>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</si>
  <si>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</si>
  <si>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</si>
  <si>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</si>
  <si>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 xml:space="preserve">Honorarios Administracion 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</si>
  <si>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</si>
  <si>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</si>
  <si>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</si>
  <si>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</si>
  <si>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</si>
  <si>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</si>
  <si>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</si>
  <si>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 xml:space="preserve">SEGURO DE ACCIDENTES PERSONALES SRA. MONICA </t>
  </si>
  <si>
    <t xml:space="preserve">JPL ARTICULOS DE LIMPIEZA </t>
  </si>
  <si>
    <t>AYSA</t>
  </si>
  <si>
    <t>METROGAS - TERMO</t>
  </si>
  <si>
    <t>FLOW - INTERNET CAMARA</t>
  </si>
  <si>
    <t xml:space="preserve">DESTAPACION ESPECIAL - CAMARA CLOACAL VEREDA </t>
  </si>
  <si>
    <t>VTO</t>
  </si>
  <si>
    <t>SEGUNDO</t>
  </si>
  <si>
    <t>PRIMER VTO</t>
  </si>
  <si>
    <t>Vto. 12/2</t>
  </si>
  <si>
    <t>Liquidacion mes de ENERO</t>
  </si>
  <si>
    <t>TSG - MES DE ENERO</t>
  </si>
  <si>
    <t xml:space="preserve">CASA RUAN COMPRA DE DICROICAS </t>
  </si>
  <si>
    <t>SERVISUR -MANO DE OBRA ARREGLO ELECTRICIDAD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</si>
</sst>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0" fillId="0" borderId="0" xfId="0" applyFont="1"/>
    <xf numFmtId="165" fontId="0" fillId="0" borderId="9" xfId="0" applyNumberFormat="1" applyBorder="1"/>
    <xf numFmtId="0" fontId="7" fillId="0" borderId="0" xfId="0" applyFont="1"/>
    <xf numFmtId="0" fontId="6" fillId="0" borderId="0" xfId="0" applyFont="1" applyBorder="1"/>
    <xf numFmtId="0" fontId="7" fillId="0" borderId="0" xfId="0" applyFont="1" applyBorder="1"/>
    <xf numFmtId="4" fontId="7" fillId="0" borderId="0" xfId="0" applyNumberFormat="1" applyFont="1" applyBorder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Font="1" applyBorder="1"/>
    <xf numFmtId="0" fontId="0" fillId="0" borderId="5" xfId="0" applyFont="1" applyBorder="1" applyAlignment="1">
      <alignment horizontal="center"/>
    </xf>
    <xf numFmtId="0" fontId="0" fillId="0" borderId="8" xfId="0" applyFont="1" applyBorder="1"/>
    <xf numFmtId="0" fontId="0" fillId="0" borderId="0" xfId="0" applyFont="1" applyBorder="1"/>
    <xf numFmtId="0" fontId="0" fillId="0" borderId="0" xfId="0" applyFont="1" applyFill="1" applyBorder="1"/>
    <xf numFmtId="0" fontId="1" fillId="2" borderId="8" xfId="0" applyFont="1" applyFill="1" applyBorder="1"/>
    <xf numFmtId="0" fontId="0" fillId="2" borderId="0" xfId="0" applyFont="1" applyFill="1" applyBorder="1"/>
    <xf numFmtId="0" fontId="5" fillId="0" borderId="8" xfId="0" applyFont="1" applyBorder="1"/>
    <xf numFmtId="0" fontId="0" fillId="0" borderId="7" xfId="0" applyFont="1" applyBorder="1" applyAlignment="1">
      <alignment horizontal="center"/>
    </xf>
    <xf numFmtId="17" fontId="0" fillId="0" borderId="0" xfId="0" applyNumberFormat="1" applyFont="1" applyBorder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Fon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Font="1" applyBorder="1"/>
    <xf numFmtId="0" fontId="0" fillId="0" borderId="12" xfId="0" applyFont="1" applyFill="1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 applyBorder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Font="1" applyBorder="1"/>
    <xf numFmtId="0" fontId="0" fillId="0" borderId="0" xfId="0" applyBorder="1"/>
    <xf numFmtId="0" fontId="1" fillId="0" borderId="0" xfId="0" applyFont="1" applyBorder="1"/>
    <xf numFmtId="164" fontId="9" fillId="0" borderId="0" xfId="2" applyFont="1" applyBorder="1"/>
    <xf numFmtId="164" fontId="0" fillId="0" borderId="0" xfId="0" applyNumberForma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Font="1" applyBorder="1"/>
    <xf numFmtId="4" fontId="0" fillId="0" borderId="21" xfId="0" applyNumberFormat="1" applyFont="1" applyBorder="1"/>
    <xf numFmtId="0" fontId="1" fillId="0" borderId="15" xfId="0" applyFont="1" applyBorder="1"/>
    <xf numFmtId="164" fontId="9" fillId="0" borderId="22" xfId="2" applyFont="1" applyBorder="1"/>
    <xf numFmtId="0" fontId="10" fillId="6" borderId="0" xfId="0" applyFont="1" applyFill="1" applyBorder="1" applyAlignment="1">
      <alignment horizontal="left" vertical="center" wrapText="1"/>
    </xf>
    <xf numFmtId="0" fontId="10" fillId="6" borderId="0" xfId="0" applyFont="1" applyFill="1" applyBorder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Font="1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 applyAlignment="1"/>
    <xf numFmtId="0" fontId="0" fillId="0" borderId="12" xfId="0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ont="1" applyFill="1" applyBorder="1" applyAlignment="1"/>
    <xf numFmtId="0" fontId="0" fillId="4" borderId="11" xfId="0" applyFont="1" applyFill="1" applyBorder="1" applyAlignment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 applyAlignment="1"/>
    <xf numFmtId="17" fontId="1" fillId="2" borderId="10" xfId="0" applyNumberFormat="1" applyFont="1" applyFill="1" applyBorder="1" applyAlignment="1"/>
    <xf numFmtId="0" fontId="0" fillId="6" borderId="8" xfId="0" applyFont="1" applyFill="1" applyBorder="1"/>
    <xf numFmtId="0" fontId="0" fillId="6" borderId="0" xfId="0" applyFont="1" applyFill="1" applyBorder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4" fontId="10" fillId="6" borderId="1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3" fontId="1" fillId="3" borderId="1" xfId="2" applyNumberFormat="1" applyFont="1" applyFill="1" applyBorder="1"/>
    <xf numFmtId="4" fontId="10" fillId="6" borderId="6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topLeftCell="A9" workbookViewId="0">
      <selection activeCell="C30" sqref="C30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6" x14ac:dyDescent="0.25">
      <c r="B1" t="s">
        <v>58</v>
      </c>
    </row>
    <row r="2" spans="1:6" x14ac:dyDescent="0.25">
      <c r="B2" t="s">
        <v>18</v>
      </c>
      <c r="C2" s="121" t="s">
        <v>57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5"/>
      <c r="C5" s="3"/>
      <c r="D5" s="61"/>
      <c r="E5" s="61"/>
      <c r="F5" s="61"/>
    </row>
    <row r="6" spans="1:6" x14ac:dyDescent="0.25">
      <c r="D6" s="80"/>
      <c r="E6" s="80"/>
      <c r="F6" s="80"/>
    </row>
    <row r="7" spans="1:6" x14ac:dyDescent="0.25">
      <c r="A7" s="26" t="s">
        <v>59</v>
      </c>
      <c r="B7" s="26"/>
      <c r="C7" s="78"/>
      <c r="D7" s="78"/>
      <c r="E7" s="26" t="s">
        <v>78</v>
      </c>
      <c r="F7" s="122" t="s">
        <v>77</v>
      </c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C9" s="17"/>
    </row>
    <row r="10" spans="1:6" x14ac:dyDescent="0.25">
      <c r="A10" s="24" t="s">
        <v>11</v>
      </c>
      <c r="B10" s="17"/>
    </row>
    <row r="11" spans="1:6" ht="15.75" thickBot="1" x14ac:dyDescent="0.3">
      <c r="A11" s="30" t="s">
        <v>10</v>
      </c>
      <c r="B11" s="31"/>
      <c r="C11" s="32"/>
      <c r="D11" s="5"/>
      <c r="E11" s="135" t="s">
        <v>22</v>
      </c>
      <c r="F11" s="135"/>
    </row>
    <row r="12" spans="1:6" x14ac:dyDescent="0.25">
      <c r="A12" s="118" t="s">
        <v>70</v>
      </c>
      <c r="B12" s="119"/>
      <c r="C12" s="134">
        <v>23573</v>
      </c>
      <c r="D12" s="5"/>
      <c r="E12" s="65" t="s">
        <v>43</v>
      </c>
      <c r="F12" s="66">
        <v>-520072.59080000001</v>
      </c>
    </row>
    <row r="13" spans="1:6" x14ac:dyDescent="0.25">
      <c r="A13" s="33" t="s">
        <v>46</v>
      </c>
      <c r="B13" s="34"/>
      <c r="C13" s="134">
        <v>75901</v>
      </c>
      <c r="D13" s="48"/>
      <c r="E13" s="67" t="s">
        <v>7</v>
      </c>
      <c r="F13" s="68">
        <f>'prorrateo '!F10</f>
        <v>316416.36</v>
      </c>
    </row>
    <row r="14" spans="1:6" x14ac:dyDescent="0.25">
      <c r="A14" s="33" t="s">
        <v>24</v>
      </c>
      <c r="B14" s="34"/>
      <c r="C14" s="124">
        <f>154468+74513+61175</f>
        <v>290156</v>
      </c>
      <c r="D14" s="5"/>
      <c r="E14" s="67" t="s">
        <v>20</v>
      </c>
      <c r="F14" s="68">
        <f>-(C40)</f>
        <v>-655334.34</v>
      </c>
    </row>
    <row r="15" spans="1:6" x14ac:dyDescent="0.25">
      <c r="A15" s="33" t="s">
        <v>72</v>
      </c>
      <c r="B15" s="34"/>
      <c r="C15" s="124">
        <v>39299.800000000003</v>
      </c>
      <c r="D15" s="5"/>
      <c r="E15" s="67"/>
      <c r="F15" s="68"/>
    </row>
    <row r="16" spans="1:6" x14ac:dyDescent="0.25">
      <c r="A16" s="33" t="s">
        <v>71</v>
      </c>
      <c r="B16" s="34"/>
      <c r="C16" s="124">
        <v>50130.54</v>
      </c>
      <c r="D16" s="5"/>
      <c r="E16" s="67"/>
      <c r="F16" s="68"/>
    </row>
    <row r="17" spans="1:7" hidden="1" x14ac:dyDescent="0.25">
      <c r="A17" s="33"/>
      <c r="B17" s="34"/>
      <c r="C17" s="124"/>
      <c r="D17" s="5"/>
      <c r="E17" s="67"/>
      <c r="F17" s="68"/>
    </row>
    <row r="18" spans="1:7" x14ac:dyDescent="0.25">
      <c r="A18" s="33" t="s">
        <v>79</v>
      </c>
      <c r="B18" s="34"/>
      <c r="C18" s="124">
        <v>10539</v>
      </c>
      <c r="D18" s="5"/>
      <c r="E18" s="67"/>
      <c r="F18" s="68"/>
    </row>
    <row r="19" spans="1:7" x14ac:dyDescent="0.25">
      <c r="A19" s="33" t="s">
        <v>19</v>
      </c>
      <c r="B19" s="35" t="s">
        <v>60</v>
      </c>
      <c r="C19" s="91">
        <v>33600</v>
      </c>
      <c r="E19" s="67"/>
      <c r="F19" s="68"/>
    </row>
    <row r="20" spans="1:7" ht="15.75" thickBot="1" x14ac:dyDescent="0.3">
      <c r="A20" s="36"/>
      <c r="B20" s="37"/>
      <c r="C20" s="98">
        <f>SUM(C12:C19)</f>
        <v>523199.33999999997</v>
      </c>
      <c r="E20" s="69" t="s">
        <v>44</v>
      </c>
      <c r="F20" s="70">
        <f>SUM(F12:F19)</f>
        <v>-858990.57079999999</v>
      </c>
      <c r="G20" s="61"/>
    </row>
    <row r="21" spans="1:7" x14ac:dyDescent="0.25">
      <c r="A21" s="38" t="s">
        <v>21</v>
      </c>
      <c r="B21" s="34"/>
      <c r="C21" s="125"/>
      <c r="D21" s="5"/>
      <c r="E21" s="20"/>
      <c r="F21" s="22"/>
      <c r="G21" s="61"/>
    </row>
    <row r="22" spans="1:7" x14ac:dyDescent="0.25">
      <c r="A22" s="33" t="s">
        <v>67</v>
      </c>
      <c r="B22" s="40"/>
      <c r="C22" s="124">
        <v>62099</v>
      </c>
      <c r="D22" s="5"/>
      <c r="E22" s="20"/>
      <c r="F22" s="22"/>
      <c r="G22" s="61"/>
    </row>
    <row r="23" spans="1:7" x14ac:dyDescent="0.25">
      <c r="A23" s="33" t="s">
        <v>73</v>
      </c>
      <c r="B23" s="40"/>
      <c r="C23" s="124">
        <v>40000</v>
      </c>
      <c r="D23" s="5"/>
      <c r="E23" s="20"/>
      <c r="F23" s="22"/>
      <c r="G23" s="61"/>
    </row>
    <row r="24" spans="1:7" x14ac:dyDescent="0.25">
      <c r="A24" s="33" t="s">
        <v>80</v>
      </c>
      <c r="B24" s="40"/>
      <c r="C24" s="124">
        <v>7000</v>
      </c>
      <c r="D24" s="5"/>
      <c r="E24" s="20"/>
      <c r="F24" s="22"/>
      <c r="G24" s="61"/>
    </row>
    <row r="25" spans="1:7" x14ac:dyDescent="0.25">
      <c r="A25" s="33" t="s">
        <v>81</v>
      </c>
      <c r="B25" s="40"/>
      <c r="C25" s="124">
        <v>20000</v>
      </c>
      <c r="D25" s="5"/>
      <c r="E25" s="20"/>
      <c r="F25" s="22"/>
      <c r="G25" s="61"/>
    </row>
    <row r="26" spans="1:7" ht="14.25" customHeight="1" x14ac:dyDescent="0.25">
      <c r="A26" s="33" t="s">
        <v>68</v>
      </c>
      <c r="B26" s="40"/>
      <c r="C26" s="124">
        <v>3036</v>
      </c>
      <c r="D26" s="5"/>
      <c r="E26" s="20"/>
      <c r="F26" s="22"/>
      <c r="G26" s="61"/>
    </row>
    <row r="27" spans="1:7" ht="14.25" customHeight="1" x14ac:dyDescent="0.25">
      <c r="A27" s="33" t="s">
        <v>69</v>
      </c>
      <c r="B27" s="40"/>
      <c r="C27" s="124">
        <v>0</v>
      </c>
      <c r="D27" s="5"/>
      <c r="E27" s="20"/>
      <c r="F27" s="22"/>
      <c r="G27" s="61"/>
    </row>
    <row r="28" spans="1:7" x14ac:dyDescent="0.25">
      <c r="A28" s="33" t="s">
        <v>61</v>
      </c>
      <c r="B28" s="40"/>
      <c r="C28" s="123">
        <v>0</v>
      </c>
      <c r="D28" s="5"/>
      <c r="E28" s="20"/>
      <c r="F28" s="22"/>
      <c r="G28" s="61"/>
    </row>
    <row r="29" spans="1:7" x14ac:dyDescent="0.25">
      <c r="A29" s="36"/>
      <c r="B29" s="37"/>
      <c r="C29" s="120">
        <f>SUM(C21:C28)</f>
        <v>132135</v>
      </c>
      <c r="D29" s="5"/>
      <c r="E29" s="62"/>
      <c r="F29" s="63"/>
      <c r="G29" s="64"/>
    </row>
    <row r="30" spans="1:7" x14ac:dyDescent="0.25">
      <c r="A30" s="53" t="s">
        <v>12</v>
      </c>
      <c r="B30" s="54"/>
      <c r="C30" s="55">
        <f>+C29+C20</f>
        <v>655334.34</v>
      </c>
      <c r="D30" s="5"/>
      <c r="E30" s="20"/>
      <c r="F30" s="22"/>
      <c r="G30" s="61"/>
    </row>
    <row r="31" spans="1:7" ht="14.25" customHeight="1" x14ac:dyDescent="0.25">
      <c r="A31" s="79" t="s">
        <v>25</v>
      </c>
      <c r="B31" s="93"/>
      <c r="C31" s="94"/>
      <c r="E31" s="20"/>
      <c r="F31" s="22"/>
      <c r="G31" s="61"/>
    </row>
    <row r="32" spans="1:7" hidden="1" x14ac:dyDescent="0.25">
      <c r="A32" s="24" t="s">
        <v>25</v>
      </c>
      <c r="B32" s="34"/>
      <c r="C32" s="34"/>
    </row>
    <row r="33" spans="1:6" hidden="1" x14ac:dyDescent="0.25">
      <c r="A33" s="49"/>
      <c r="B33" s="50"/>
      <c r="C33" s="60"/>
      <c r="F33" s="6"/>
    </row>
    <row r="34" spans="1:6" hidden="1" x14ac:dyDescent="0.25">
      <c r="A34" s="58"/>
      <c r="B34" s="57"/>
      <c r="C34" s="59">
        <v>0</v>
      </c>
      <c r="F34" s="6"/>
    </row>
    <row r="35" spans="1:6" hidden="1" x14ac:dyDescent="0.25">
      <c r="A35" s="71"/>
      <c r="B35" s="72"/>
      <c r="C35" s="59">
        <v>0</v>
      </c>
      <c r="F35" s="6"/>
    </row>
    <row r="36" spans="1:6" x14ac:dyDescent="0.25">
      <c r="A36" s="89"/>
      <c r="B36" s="90"/>
      <c r="C36" s="92"/>
      <c r="F36" s="6"/>
    </row>
    <row r="37" spans="1:6" x14ac:dyDescent="0.25">
      <c r="A37" s="89"/>
      <c r="B37" s="96"/>
      <c r="C37" s="97"/>
      <c r="F37" s="6"/>
    </row>
    <row r="38" spans="1:6" x14ac:dyDescent="0.25">
      <c r="A38" s="89"/>
      <c r="B38" s="95"/>
      <c r="C38" s="92">
        <v>0</v>
      </c>
      <c r="F38" s="6"/>
    </row>
    <row r="39" spans="1:6" x14ac:dyDescent="0.25">
      <c r="A39" s="73" t="s">
        <v>23</v>
      </c>
      <c r="B39" s="74"/>
      <c r="C39" s="75">
        <f>SUM(C34:C38)</f>
        <v>0</v>
      </c>
    </row>
    <row r="40" spans="1:6" x14ac:dyDescent="0.25">
      <c r="A40" s="17" t="s">
        <v>55</v>
      </c>
      <c r="B40" s="17"/>
      <c r="C40" s="59">
        <f>C30-C28</f>
        <v>655334.34</v>
      </c>
      <c r="F40" s="6"/>
    </row>
    <row r="41" spans="1:6" x14ac:dyDescent="0.25">
      <c r="A41" s="5" t="s">
        <v>50</v>
      </c>
      <c r="B41" s="17"/>
      <c r="C41" s="88">
        <f>+C30</f>
        <v>655334.34</v>
      </c>
      <c r="F41" s="6"/>
    </row>
    <row r="42" spans="1:6" x14ac:dyDescent="0.25">
      <c r="A42" s="73" t="s">
        <v>13</v>
      </c>
      <c r="B42" s="74"/>
      <c r="C42" s="75">
        <f>+C30+C39</f>
        <v>655334.34</v>
      </c>
      <c r="E42" s="16"/>
    </row>
    <row r="46" spans="1:6" x14ac:dyDescent="0.25">
      <c r="C46" s="17"/>
    </row>
    <row r="47" spans="1:6" x14ac:dyDescent="0.25">
      <c r="D47" s="6"/>
    </row>
    <row r="48" spans="1:6" x14ac:dyDescent="0.25">
      <c r="D48" s="16"/>
      <c r="E48" s="16"/>
    </row>
    <row r="49" spans="1:5" x14ac:dyDescent="0.25">
      <c r="D49" s="16"/>
      <c r="E49" s="16"/>
    </row>
    <row r="50" spans="1:5" x14ac:dyDescent="0.25">
      <c r="D50" s="16"/>
    </row>
    <row r="51" spans="1:5" x14ac:dyDescent="0.25">
      <c r="D51" s="16"/>
    </row>
    <row r="63" spans="1:5" x14ac:dyDescent="0.25">
      <c r="A63" s="20"/>
      <c r="B63" s="21"/>
      <c r="C63" s="22"/>
    </row>
    <row r="64" spans="1:5" x14ac:dyDescent="0.25">
      <c r="A64" s="19"/>
      <c r="B64" s="19"/>
      <c r="C64" s="19"/>
    </row>
    <row r="65" spans="1:3" x14ac:dyDescent="0.25">
      <c r="A65" s="19"/>
      <c r="B65" s="19"/>
      <c r="C65" s="19"/>
    </row>
    <row r="66" spans="1:3" x14ac:dyDescent="0.25">
      <c r="A66" s="19"/>
      <c r="B66" s="19"/>
      <c r="C66" s="19"/>
    </row>
    <row r="67" spans="1:3" x14ac:dyDescent="0.25">
      <c r="A67" s="19"/>
      <c r="B67" s="19"/>
      <c r="C67" s="19"/>
    </row>
    <row r="68" spans="1:3" x14ac:dyDescent="0.25">
      <c r="A68" s="19"/>
      <c r="B68" s="19"/>
      <c r="C68" s="19"/>
    </row>
    <row r="69" spans="1:3" x14ac:dyDescent="0.25">
      <c r="A69" s="19"/>
      <c r="B69" s="19"/>
      <c r="C69" s="19"/>
    </row>
    <row r="70" spans="1:3" x14ac:dyDescent="0.25">
      <c r="A70" s="19"/>
      <c r="B70" s="19"/>
      <c r="C70" s="19"/>
    </row>
  </sheetData>
  <mergeCells count="1">
    <mergeCell ref="E11:F11"/>
  </mergeCells>
  <hyperlinks>
    <hyperlink ref="B4" r:id="rId1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7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"/>
  <sheetViews>
    <sheetView tabSelected="1" workbookViewId="0">
      <selection activeCell="F6" sqref="F6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3"/>
  </cols>
  <sheetData>
    <row r="1" spans="1:13" x14ac:dyDescent="0.25">
      <c r="A1" s="116" t="s">
        <v>56</v>
      </c>
      <c r="B1" s="117"/>
      <c r="C1" s="117"/>
      <c r="D1" s="28"/>
      <c r="E1" s="27"/>
      <c r="F1" s="28"/>
      <c r="G1" s="27" t="s">
        <v>48</v>
      </c>
      <c r="H1" s="28"/>
      <c r="I1" s="28"/>
      <c r="J1" s="28"/>
      <c r="K1" s="82">
        <v>655334.34</v>
      </c>
      <c r="L1" s="82"/>
      <c r="M1" s="29"/>
    </row>
    <row r="2" spans="1:13" ht="15.75" thickBot="1" x14ac:dyDescent="0.3">
      <c r="A2" s="83" t="str">
        <f>'detalle y gastos'!E7</f>
        <v>Liquidacion mes de ENERO</v>
      </c>
      <c r="B2" s="84"/>
      <c r="C2" s="84"/>
      <c r="D2" s="85"/>
      <c r="E2" s="86"/>
      <c r="F2" s="85"/>
      <c r="G2" s="86" t="s">
        <v>49</v>
      </c>
      <c r="H2" s="85"/>
      <c r="I2" s="85"/>
      <c r="J2" s="85"/>
      <c r="K2" s="126"/>
      <c r="L2" s="126"/>
      <c r="M2" s="87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45</v>
      </c>
      <c r="H3" s="2" t="s">
        <v>26</v>
      </c>
      <c r="I3" s="7" t="s">
        <v>41</v>
      </c>
      <c r="J3" s="45" t="s">
        <v>14</v>
      </c>
      <c r="K3" s="127" t="s">
        <v>39</v>
      </c>
      <c r="L3" s="129" t="s">
        <v>76</v>
      </c>
      <c r="M3" s="39" t="s">
        <v>75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47</v>
      </c>
      <c r="G4" s="2"/>
      <c r="H4" s="41">
        <v>0.04</v>
      </c>
      <c r="I4" s="7" t="s">
        <v>42</v>
      </c>
      <c r="J4" s="42" t="s">
        <v>15</v>
      </c>
      <c r="K4" s="128" t="s">
        <v>40</v>
      </c>
      <c r="L4" s="130" t="s">
        <v>74</v>
      </c>
      <c r="M4" s="76" t="s">
        <v>74</v>
      </c>
    </row>
    <row r="5" spans="1:13" x14ac:dyDescent="0.25">
      <c r="A5" s="12">
        <v>1</v>
      </c>
      <c r="B5" s="13">
        <v>1</v>
      </c>
      <c r="C5" s="14" t="s">
        <v>63</v>
      </c>
      <c r="D5" s="18"/>
      <c r="E5" s="46">
        <v>108248</v>
      </c>
      <c r="F5" s="91"/>
      <c r="G5" s="77">
        <f>E5-F5</f>
        <v>108248</v>
      </c>
      <c r="H5" s="81">
        <f>IF(G5&gt;0,G5*4%,0)</f>
        <v>4329.92</v>
      </c>
      <c r="I5" s="15">
        <v>0</v>
      </c>
      <c r="J5" s="43">
        <f>K$1/5</f>
        <v>131066.86799999999</v>
      </c>
      <c r="K5" s="131">
        <f>K2*D5</f>
        <v>0</v>
      </c>
      <c r="L5" s="15">
        <f>J5+K5+H5+G5</f>
        <v>243644.788</v>
      </c>
      <c r="M5" s="44">
        <f>L5*4%+L5</f>
        <v>253390.57952</v>
      </c>
    </row>
    <row r="6" spans="1:13" x14ac:dyDescent="0.25">
      <c r="A6" s="12">
        <v>2</v>
      </c>
      <c r="B6" s="13">
        <v>2</v>
      </c>
      <c r="C6" s="14" t="s">
        <v>66</v>
      </c>
      <c r="D6" s="18"/>
      <c r="E6" s="46">
        <v>104084.18000000001</v>
      </c>
      <c r="F6" s="91">
        <f>E6</f>
        <v>104084.18000000001</v>
      </c>
      <c r="G6" s="77">
        <f t="shared" ref="G6:G9" si="0">E6-F6</f>
        <v>0</v>
      </c>
      <c r="H6" s="81">
        <f t="shared" ref="H6:H9" si="1">IF(G6&gt;0,G6*4%,0)</f>
        <v>0</v>
      </c>
      <c r="I6" s="15">
        <v>0</v>
      </c>
      <c r="J6" s="43">
        <f t="shared" ref="J6:J9" si="2">K$1/5</f>
        <v>131066.86799999999</v>
      </c>
      <c r="K6" s="131">
        <f>K2*D6</f>
        <v>0</v>
      </c>
      <c r="L6" s="15">
        <f t="shared" ref="L6:L9" si="3">J6+K6+H6+G6</f>
        <v>131066.86799999999</v>
      </c>
      <c r="M6" s="44">
        <f t="shared" ref="M6:M9" si="4">L6*4%+L6</f>
        <v>136309.54272</v>
      </c>
    </row>
    <row r="7" spans="1:13" x14ac:dyDescent="0.25">
      <c r="A7" s="12">
        <v>3</v>
      </c>
      <c r="B7" s="13">
        <v>3</v>
      </c>
      <c r="C7" s="14" t="s">
        <v>64</v>
      </c>
      <c r="D7" s="18"/>
      <c r="E7" s="46">
        <v>104084.18000000001</v>
      </c>
      <c r="F7" s="91">
        <f>E7</f>
        <v>104084.18000000001</v>
      </c>
      <c r="G7" s="77">
        <f t="shared" si="0"/>
        <v>0</v>
      </c>
      <c r="H7" s="81">
        <f t="shared" si="1"/>
        <v>0</v>
      </c>
      <c r="I7" s="15">
        <v>0</v>
      </c>
      <c r="J7" s="43">
        <f t="shared" si="2"/>
        <v>131066.86799999999</v>
      </c>
      <c r="K7" s="131">
        <f>K2*D7</f>
        <v>0</v>
      </c>
      <c r="L7" s="15">
        <f t="shared" si="3"/>
        <v>131066.86799999999</v>
      </c>
      <c r="M7" s="44">
        <f t="shared" si="4"/>
        <v>136309.54272</v>
      </c>
    </row>
    <row r="8" spans="1:13" x14ac:dyDescent="0.25">
      <c r="A8" s="12">
        <v>4</v>
      </c>
      <c r="B8" s="13">
        <v>4</v>
      </c>
      <c r="C8" s="14" t="s">
        <v>62</v>
      </c>
      <c r="D8" s="18"/>
      <c r="E8" s="46">
        <v>104084.18000000001</v>
      </c>
      <c r="F8" s="91"/>
      <c r="G8" s="77">
        <f t="shared" si="0"/>
        <v>104084.18000000001</v>
      </c>
      <c r="H8" s="81">
        <f t="shared" si="1"/>
        <v>4163.3672000000006</v>
      </c>
      <c r="I8" s="15">
        <v>0</v>
      </c>
      <c r="J8" s="43">
        <f t="shared" si="2"/>
        <v>131066.86799999999</v>
      </c>
      <c r="K8" s="131">
        <f>K2*D8</f>
        <v>0</v>
      </c>
      <c r="L8" s="15">
        <f t="shared" si="3"/>
        <v>239314.41519999999</v>
      </c>
      <c r="M8" s="44">
        <f t="shared" si="4"/>
        <v>248886.99180799999</v>
      </c>
    </row>
    <row r="9" spans="1:13" x14ac:dyDescent="0.25">
      <c r="A9" s="12">
        <v>5</v>
      </c>
      <c r="B9" s="13">
        <v>5</v>
      </c>
      <c r="C9" s="14" t="s">
        <v>65</v>
      </c>
      <c r="D9" s="18"/>
      <c r="E9" s="46">
        <v>104084.18000000001</v>
      </c>
      <c r="F9" s="91">
        <v>108248</v>
      </c>
      <c r="G9" s="77">
        <f t="shared" si="0"/>
        <v>-4163.8199999999924</v>
      </c>
      <c r="H9" s="81">
        <f t="shared" si="1"/>
        <v>0</v>
      </c>
      <c r="I9" s="15">
        <v>0</v>
      </c>
      <c r="J9" s="43">
        <f t="shared" si="2"/>
        <v>131066.86799999999</v>
      </c>
      <c r="K9" s="131">
        <f>K2*D9</f>
        <v>0</v>
      </c>
      <c r="L9" s="15">
        <f t="shared" si="3"/>
        <v>126903.048</v>
      </c>
      <c r="M9" s="44">
        <f t="shared" si="4"/>
        <v>131979.16991999999</v>
      </c>
    </row>
    <row r="10" spans="1:13" ht="15" customHeight="1" thickBot="1" x14ac:dyDescent="0.3">
      <c r="A10" s="8" t="s">
        <v>8</v>
      </c>
      <c r="B10" s="9"/>
      <c r="C10" s="10"/>
      <c r="D10" s="51">
        <f t="shared" ref="D10:M10" si="5">SUM(D5:D9)</f>
        <v>0</v>
      </c>
      <c r="E10" s="47">
        <f t="shared" si="5"/>
        <v>524584.72</v>
      </c>
      <c r="F10" s="47">
        <f t="shared" si="5"/>
        <v>316416.36</v>
      </c>
      <c r="G10" s="56">
        <f t="shared" si="5"/>
        <v>208168.36</v>
      </c>
      <c r="H10" s="56">
        <f t="shared" si="5"/>
        <v>8493.2872000000007</v>
      </c>
      <c r="I10" s="11">
        <f t="shared" si="5"/>
        <v>0</v>
      </c>
      <c r="J10" s="52">
        <f t="shared" si="5"/>
        <v>655334.34</v>
      </c>
      <c r="K10" s="52">
        <f t="shared" si="5"/>
        <v>0</v>
      </c>
      <c r="L10" s="133"/>
      <c r="M10" s="132">
        <f t="shared" si="5"/>
        <v>906875.826688</v>
      </c>
    </row>
    <row r="11" spans="1:13" ht="51.75" hidden="1" customHeight="1" x14ac:dyDescent="0.2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</row>
    <row r="12" spans="1:13" x14ac:dyDescent="0.25">
      <c r="M12" s="6"/>
    </row>
    <row r="15" spans="1:13" x14ac:dyDescent="0.25">
      <c r="F15" s="6"/>
      <c r="G15" s="6"/>
    </row>
  </sheetData>
  <mergeCells count="1">
    <mergeCell ref="A11:M1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42" t="s">
        <v>25</v>
      </c>
      <c r="B1" s="143"/>
      <c r="C1" s="143"/>
      <c r="D1" s="143"/>
      <c r="E1" s="144"/>
      <c r="F1" s="99"/>
      <c r="G1" s="99"/>
    </row>
    <row r="2" spans="1:7" ht="15.75" thickBot="1" x14ac:dyDescent="0.3">
      <c r="A2" s="145" t="s">
        <v>51</v>
      </c>
      <c r="B2" s="146"/>
      <c r="C2" s="147"/>
      <c r="D2" s="148">
        <v>565</v>
      </c>
      <c r="E2" s="149"/>
      <c r="F2" s="100"/>
      <c r="G2" s="100"/>
    </row>
    <row r="3" spans="1:7" ht="15.75" thickTop="1" x14ac:dyDescent="0.25">
      <c r="A3" s="150" t="s">
        <v>0</v>
      </c>
      <c r="B3" s="150" t="s">
        <v>1</v>
      </c>
      <c r="C3" s="150" t="s">
        <v>2</v>
      </c>
      <c r="D3" s="152" t="s">
        <v>4</v>
      </c>
      <c r="E3" s="137" t="s">
        <v>52</v>
      </c>
      <c r="F3" s="137" t="s">
        <v>53</v>
      </c>
      <c r="G3" s="137" t="s">
        <v>45</v>
      </c>
    </row>
    <row r="4" spans="1:7" ht="15.75" thickBot="1" x14ac:dyDescent="0.3">
      <c r="A4" s="151"/>
      <c r="B4" s="151"/>
      <c r="C4" s="151"/>
      <c r="D4" s="153"/>
      <c r="E4" s="138"/>
      <c r="F4" s="138"/>
      <c r="G4" s="138"/>
    </row>
    <row r="5" spans="1:7" ht="16.5" thickTop="1" thickBot="1" x14ac:dyDescent="0.3">
      <c r="A5" s="101">
        <v>1</v>
      </c>
      <c r="B5" s="103" t="s">
        <v>27</v>
      </c>
      <c r="C5" s="104" t="s">
        <v>35</v>
      </c>
      <c r="D5" s="102">
        <v>0.1512</v>
      </c>
      <c r="E5" s="105">
        <v>85</v>
      </c>
      <c r="F5" s="105">
        <v>0</v>
      </c>
      <c r="G5" s="105">
        <v>0</v>
      </c>
    </row>
    <row r="6" spans="1:7" ht="15.75" thickBot="1" x14ac:dyDescent="0.3">
      <c r="A6" s="101">
        <v>2</v>
      </c>
      <c r="B6" s="103" t="s">
        <v>28</v>
      </c>
      <c r="C6" s="104" t="s">
        <v>36</v>
      </c>
      <c r="D6" s="102">
        <v>0.15690000000000001</v>
      </c>
      <c r="E6" s="105">
        <v>89</v>
      </c>
      <c r="F6" s="105">
        <v>0</v>
      </c>
      <c r="G6" s="105">
        <v>0</v>
      </c>
    </row>
    <row r="7" spans="1:7" ht="15.75" thickBot="1" x14ac:dyDescent="0.3">
      <c r="A7" s="101">
        <v>3</v>
      </c>
      <c r="B7" s="103" t="s">
        <v>29</v>
      </c>
      <c r="C7" s="104" t="s">
        <v>37</v>
      </c>
      <c r="D7" s="102">
        <v>0.15820000000000001</v>
      </c>
      <c r="E7" s="105">
        <v>89</v>
      </c>
      <c r="F7" s="105">
        <v>0</v>
      </c>
      <c r="G7" s="105">
        <v>0</v>
      </c>
    </row>
    <row r="8" spans="1:7" ht="18" customHeight="1" thickBot="1" x14ac:dyDescent="0.3">
      <c r="A8" s="101">
        <v>4</v>
      </c>
      <c r="B8" s="103" t="s">
        <v>31</v>
      </c>
      <c r="C8" s="115" t="s">
        <v>38</v>
      </c>
      <c r="D8" s="102">
        <v>0.19800000000000001</v>
      </c>
      <c r="E8" s="105">
        <v>112</v>
      </c>
      <c r="F8" s="105">
        <v>0</v>
      </c>
      <c r="G8" s="105">
        <v>0</v>
      </c>
    </row>
    <row r="9" spans="1:7" ht="15.75" thickBot="1" x14ac:dyDescent="0.3">
      <c r="A9" s="101">
        <v>5</v>
      </c>
      <c r="B9" s="103" t="s">
        <v>30</v>
      </c>
      <c r="C9" s="104" t="s">
        <v>33</v>
      </c>
      <c r="D9" s="102">
        <v>0.15920000000000001</v>
      </c>
      <c r="E9" s="105">
        <v>90</v>
      </c>
      <c r="F9" s="105">
        <v>0</v>
      </c>
      <c r="G9" s="105">
        <v>0</v>
      </c>
    </row>
    <row r="10" spans="1:7" ht="15.75" thickBot="1" x14ac:dyDescent="0.3">
      <c r="A10" s="106">
        <v>6</v>
      </c>
      <c r="B10" s="108" t="s">
        <v>32</v>
      </c>
      <c r="C10" s="109" t="s">
        <v>34</v>
      </c>
      <c r="D10" s="107">
        <v>0.17649999999999999</v>
      </c>
      <c r="E10" s="110">
        <v>100</v>
      </c>
      <c r="F10" s="110">
        <v>0</v>
      </c>
      <c r="G10" s="110">
        <v>0</v>
      </c>
    </row>
    <row r="11" spans="1:7" ht="16.5" thickTop="1" thickBot="1" x14ac:dyDescent="0.3">
      <c r="A11" s="111" t="s">
        <v>8</v>
      </c>
      <c r="B11" s="112"/>
      <c r="C11" s="112"/>
      <c r="D11" s="113">
        <v>1</v>
      </c>
      <c r="E11" s="113">
        <v>565</v>
      </c>
      <c r="F11" s="113" t="s">
        <v>54</v>
      </c>
      <c r="G11" s="114" t="s">
        <v>54</v>
      </c>
    </row>
    <row r="12" spans="1:7" ht="16.5" thickTop="1" thickBot="1" x14ac:dyDescent="0.3">
      <c r="A12" s="139"/>
      <c r="B12" s="140"/>
      <c r="C12" s="140"/>
      <c r="D12" s="140"/>
      <c r="E12" s="141"/>
      <c r="F12" s="99"/>
      <c r="G12" s="99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2025-01-29T00:51:11Z</cp:lastPrinted>
  <dcterms:created xsi:type="dcterms:W3CDTF">2020-12-10T00:27:53Z</dcterms:created>
  <dcterms:modified xsi:type="dcterms:W3CDTF">2025-01-29T00:51:33Z</dcterms:modified>
</cp:coreProperties>
</file>