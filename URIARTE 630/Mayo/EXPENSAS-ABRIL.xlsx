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URIARTE 630\Abril\"/>
    </mc:Choice>
  </mc:AlternateContent>
  <xr:revisionPtr revIDLastSave="0" documentId="13_ncr:1_{1E4F89B3-C977-491D-AFAB-70EB03F470F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</sheets>
  <definedNames>
    <definedName name="_xlnm.Print_Area" localSheetId="1">'prorrateo '!$A$1:$M$10</definedName>
  </definedNames>
  <calcPr calcId="181029"/>
</workbook>
</file>

<file path=xl/calcChain.xml><?xml version="1.0" encoding="utf-8"?>
<calcChain xmlns="http://schemas.openxmlformats.org/spreadsheetml/2006/main">
  <c r="F8" i="1" l="1"/>
  <c r="F5" i="1" l="1"/>
  <c r="C12" i="3" l="1"/>
  <c r="A2" i="1"/>
  <c r="L4" i="1" s="1"/>
  <c r="F9" i="1" l="1"/>
  <c r="J6" i="1" l="1"/>
  <c r="J7" i="1"/>
  <c r="J8" i="1"/>
  <c r="J9" i="1"/>
  <c r="J5" i="1"/>
  <c r="B10" i="1"/>
  <c r="E44" i="1" l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L7" i="1" s="1"/>
  <c r="M7" i="1" s="1"/>
  <c r="G8" i="1"/>
  <c r="H8" i="1" s="1"/>
  <c r="L8" i="1" s="1"/>
  <c r="M8" i="1" s="1"/>
  <c r="G9" i="1"/>
  <c r="H9" i="1" s="1"/>
  <c r="L9" i="1" s="1"/>
  <c r="G5" i="1"/>
  <c r="G6" i="1"/>
  <c r="K6" i="1"/>
  <c r="A1" i="1"/>
  <c r="C21" i="3"/>
  <c r="M9" i="1" l="1"/>
  <c r="K5" i="1"/>
  <c r="E10" i="1"/>
  <c r="F10" i="1" l="1"/>
  <c r="F14" i="3" s="1"/>
  <c r="C38" i="3" l="1"/>
  <c r="H5" i="1" l="1"/>
  <c r="L5" i="1" s="1"/>
  <c r="M5" i="1" s="1"/>
  <c r="C28" i="3" l="1"/>
  <c r="C29" i="3" s="1"/>
  <c r="H6" i="1"/>
  <c r="L6" i="1" s="1"/>
  <c r="M6" i="1" l="1"/>
  <c r="L10" i="1"/>
  <c r="C41" i="3"/>
  <c r="F17" i="3" s="1"/>
  <c r="F21" i="3" s="1"/>
  <c r="C40" i="3"/>
  <c r="K10" i="1"/>
  <c r="I10" i="1"/>
  <c r="D10" i="1" l="1"/>
  <c r="G10" i="1" l="1"/>
  <c r="H10" i="1"/>
  <c r="J10" i="1"/>
  <c r="M10" i="1" l="1"/>
  <c r="H49" i="1"/>
</calcChain>
</file>

<file path=xl/sharedStrings.xml><?xml version="1.0" encoding="utf-8"?>
<sst xmlns="http://schemas.openxmlformats.org/spreadsheetml/2006/main" count="144" uniqueCount="71">
  <si>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</si>
  <si>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</si>
  <si>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</si>
  <si>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</si>
  <si>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</si>
  <si>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</si>
  <si>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</si>
  <si>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</si>
  <si>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</si>
  <si>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</si>
  <si>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</si>
  <si>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</si>
  <si>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</si>
  <si>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</si>
  <si>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</si>
  <si>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</si>
  <si>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</si>
  <si>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</si>
  <si>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</si>
  <si>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</si>
  <si>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</si>
  <si>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</si>
  <si>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</si>
  <si>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</si>
  <si>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</si>
  <si>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</si>
  <si>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</si>
  <si>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</si>
  <si>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</si>
  <si>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</si>
  <si>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</si>
  <si>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</si>
  <si>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</si>
  <si>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</si>
  <si>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</si>
  <si>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</si>
  <si>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</si>
  <si>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</si>
  <si>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</si>
  <si>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</si>
  <si>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</si>
  <si>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</si>
  <si>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/ Inquilino</t>
  </si>
  <si>
    <t>Sra Monica Gorosito</t>
  </si>
  <si>
    <t>Seguro Monica Gorosito</t>
  </si>
  <si>
    <t>ARBA cuota 5</t>
  </si>
  <si>
    <t>TARQUIRINI SABRINA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</si>
  <si>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</si>
  <si>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</si>
  <si>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</si>
  <si>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</si>
  <si>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</si>
  <si>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</si>
  <si>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</si>
  <si>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</si>
  <si>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</si>
  <si>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</si>
  <si>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</si>
  <si>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</si>
  <si>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</si>
  <si>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</si>
  <si>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</si>
  <si>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FEDERACION PATRONAL POLIZA DE SEGURO OBLIGATORIA</t>
  </si>
  <si>
    <t>LUCA BASUALDO</t>
  </si>
  <si>
    <t xml:space="preserve">VARLAS GUILLERMO </t>
  </si>
  <si>
    <t xml:space="preserve">PRIMER </t>
  </si>
  <si>
    <t>VTO</t>
  </si>
  <si>
    <t>SEGUNDO</t>
  </si>
  <si>
    <t>Vto. 14/05</t>
  </si>
  <si>
    <t>Liquidacion mes de ABRIL</t>
  </si>
  <si>
    <t>ARBA cuota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</si>
</sst>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5" fillId="0" borderId="2" xfId="0" applyFont="1" applyBorder="1"/>
    <xf numFmtId="0" fontId="0" fillId="0" borderId="11" xfId="0" applyBorder="1"/>
    <xf numFmtId="0" fontId="0" fillId="0" borderId="5" xfId="0" applyBorder="1" applyAlignment="1">
      <alignment horizontal="center"/>
    </xf>
    <xf numFmtId="0" fontId="1" fillId="2" borderId="7" xfId="0" applyFont="1" applyFill="1" applyBorder="1"/>
    <xf numFmtId="0" fontId="0" fillId="2" borderId="0" xfId="0" applyFill="1"/>
    <xf numFmtId="3" fontId="0" fillId="0" borderId="1" xfId="0" applyNumberFormat="1" applyBorder="1"/>
    <xf numFmtId="4" fontId="1" fillId="0" borderId="0" xfId="0" applyNumberFormat="1" applyFont="1"/>
    <xf numFmtId="0" fontId="0" fillId="0" borderId="2" xfId="0" applyBorder="1"/>
    <xf numFmtId="0" fontId="9" fillId="6" borderId="8" xfId="0" applyFont="1" applyFill="1" applyBorder="1"/>
    <xf numFmtId="0" fontId="9" fillId="6" borderId="9" xfId="0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9" fillId="0" borderId="0" xfId="2" applyFont="1" applyBorder="1"/>
    <xf numFmtId="0" fontId="1" fillId="0" borderId="16" xfId="0" applyFont="1" applyBorder="1"/>
    <xf numFmtId="164" fontId="10" fillId="0" borderId="17" xfId="2" applyFont="1" applyBorder="1"/>
    <xf numFmtId="0" fontId="0" fillId="0" borderId="13" xfId="0" applyBorder="1"/>
    <xf numFmtId="4" fontId="0" fillId="0" borderId="18" xfId="0" applyNumberFormat="1" applyBorder="1"/>
    <xf numFmtId="0" fontId="1" fillId="0" borderId="12" xfId="0" applyFont="1" applyBorder="1"/>
    <xf numFmtId="164" fontId="9" fillId="0" borderId="19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0" fontId="1" fillId="6" borderId="0" xfId="0" applyFont="1" applyFill="1"/>
    <xf numFmtId="0" fontId="8" fillId="4" borderId="11" xfId="0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0" fontId="0" fillId="0" borderId="9" xfId="0" applyBorder="1"/>
    <xf numFmtId="4" fontId="10" fillId="0" borderId="1" xfId="0" applyNumberFormat="1" applyFont="1" applyBorder="1"/>
    <xf numFmtId="164" fontId="1" fillId="2" borderId="6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7" fontId="0" fillId="0" borderId="1" xfId="0" applyNumberFormat="1" applyBorder="1"/>
    <xf numFmtId="0" fontId="10" fillId="6" borderId="1" xfId="0" applyFont="1" applyFill="1" applyBorder="1"/>
    <xf numFmtId="17" fontId="0" fillId="0" borderId="1" xfId="0" applyNumberFormat="1" applyBorder="1" applyAlignment="1">
      <alignment horizontal="left"/>
    </xf>
    <xf numFmtId="165" fontId="0" fillId="0" borderId="1" xfId="0" applyNumberFormat="1" applyBorder="1"/>
    <xf numFmtId="164" fontId="1" fillId="2" borderId="10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16" fontId="0" fillId="0" borderId="1" xfId="0" applyNumberFormat="1" applyBorder="1"/>
    <xf numFmtId="0" fontId="1" fillId="0" borderId="13" xfId="0" applyFont="1" applyBorder="1"/>
    <xf numFmtId="164" fontId="10" fillId="0" borderId="18" xfId="2" applyFont="1" applyBorder="1"/>
    <xf numFmtId="0" fontId="3" fillId="6" borderId="1" xfId="0" applyFont="1" applyFill="1" applyBorder="1" applyAlignment="1">
      <alignment wrapText="1"/>
    </xf>
    <xf numFmtId="0" fontId="14" fillId="0" borderId="25" xfId="0" applyFont="1" applyBorder="1"/>
    <xf numFmtId="0" fontId="14" fillId="0" borderId="26" xfId="0" applyFont="1" applyBorder="1"/>
    <xf numFmtId="0" fontId="14" fillId="0" borderId="27" xfId="0" applyFont="1" applyBorder="1"/>
    <xf numFmtId="0" fontId="14" fillId="0" borderId="28" xfId="0" applyFont="1" applyBorder="1"/>
    <xf numFmtId="0" fontId="14" fillId="0" borderId="29" xfId="0" applyFont="1" applyBorder="1"/>
    <xf numFmtId="0" fontId="14" fillId="0" borderId="0" xfId="0" applyFont="1"/>
    <xf numFmtId="0" fontId="14" fillId="0" borderId="30" xfId="0" applyFont="1" applyBorder="1"/>
    <xf numFmtId="0" fontId="14" fillId="0" borderId="31" xfId="0" applyFont="1" applyBorder="1"/>
    <xf numFmtId="0" fontId="14" fillId="0" borderId="32" xfId="0" applyFont="1" applyBorder="1"/>
    <xf numFmtId="167" fontId="14" fillId="6" borderId="0" xfId="0" applyNumberFormat="1" applyFont="1" applyFill="1"/>
    <xf numFmtId="1" fontId="14" fillId="0" borderId="0" xfId="0" applyNumberFormat="1" applyFont="1"/>
    <xf numFmtId="0" fontId="14" fillId="0" borderId="36" xfId="0" applyFont="1" applyBorder="1"/>
    <xf numFmtId="0" fontId="14" fillId="0" borderId="37" xfId="0" applyFont="1" applyBorder="1"/>
    <xf numFmtId="0" fontId="14" fillId="0" borderId="38" xfId="0" applyFont="1" applyBorder="1"/>
    <xf numFmtId="0" fontId="14" fillId="0" borderId="40" xfId="0" applyFont="1" applyBorder="1"/>
    <xf numFmtId="4" fontId="14" fillId="0" borderId="0" xfId="0" applyNumberFormat="1" applyFont="1"/>
    <xf numFmtId="0" fontId="14" fillId="0" borderId="7" xfId="0" applyFont="1" applyBorder="1"/>
    <xf numFmtId="0" fontId="0" fillId="0" borderId="7" xfId="0" applyBorder="1"/>
    <xf numFmtId="4" fontId="0" fillId="6" borderId="18" xfId="0" applyNumberFormat="1" applyFill="1" applyBorder="1"/>
    <xf numFmtId="0" fontId="13" fillId="0" borderId="0" xfId="0" applyFont="1"/>
    <xf numFmtId="4" fontId="0" fillId="6" borderId="1" xfId="0" applyNumberFormat="1" applyFill="1" applyBorder="1"/>
    <xf numFmtId="164" fontId="1" fillId="2" borderId="1" xfId="2" applyFont="1" applyFill="1" applyBorder="1"/>
    <xf numFmtId="164" fontId="1" fillId="6" borderId="10" xfId="0" applyNumberFormat="1" applyFont="1" applyFill="1" applyBorder="1"/>
    <xf numFmtId="0" fontId="0" fillId="0" borderId="10" xfId="0" applyBorder="1"/>
    <xf numFmtId="4" fontId="0" fillId="0" borderId="14" xfId="0" applyNumberFormat="1" applyBorder="1"/>
    <xf numFmtId="164" fontId="0" fillId="6" borderId="15" xfId="2" applyFont="1" applyFill="1" applyBorder="1"/>
    <xf numFmtId="164" fontId="0" fillId="6" borderId="21" xfId="2" applyFont="1" applyFill="1" applyBorder="1"/>
    <xf numFmtId="164" fontId="1" fillId="6" borderId="15" xfId="2" applyFont="1" applyFill="1" applyBorder="1"/>
    <xf numFmtId="0" fontId="8" fillId="4" borderId="2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left" vertical="center" wrapText="1"/>
    </xf>
    <xf numFmtId="0" fontId="14" fillId="0" borderId="38" xfId="0" applyFont="1" applyBorder="1"/>
    <xf numFmtId="0" fontId="13" fillId="0" borderId="39" xfId="0" applyFont="1" applyBorder="1"/>
    <xf numFmtId="168" fontId="14" fillId="8" borderId="22" xfId="0" applyNumberFormat="1" applyFont="1" applyFill="1" applyBorder="1" applyAlignment="1">
      <alignment horizontal="center"/>
    </xf>
    <xf numFmtId="0" fontId="13" fillId="0" borderId="24" xfId="0" applyFont="1" applyBorder="1"/>
    <xf numFmtId="0" fontId="0" fillId="0" borderId="0" xfId="0" applyAlignment="1">
      <alignment horizontal="left" vertical="center" wrapText="1"/>
    </xf>
    <xf numFmtId="0" fontId="12" fillId="7" borderId="22" xfId="0" applyFont="1" applyFill="1" applyBorder="1" applyAlignment="1">
      <alignment horizontal="center"/>
    </xf>
    <xf numFmtId="0" fontId="13" fillId="0" borderId="23" xfId="0" applyFont="1" applyBorder="1"/>
    <xf numFmtId="0" fontId="15" fillId="0" borderId="22" xfId="0" applyFont="1" applyBorder="1" applyAlignment="1">
      <alignment horizontal="center"/>
    </xf>
    <xf numFmtId="0" fontId="14" fillId="8" borderId="33" xfId="0" applyFont="1" applyFill="1" applyBorder="1" applyAlignment="1">
      <alignment horizontal="center"/>
    </xf>
    <xf numFmtId="0" fontId="13" fillId="0" borderId="34" xfId="0" applyFont="1" applyBorder="1"/>
    <xf numFmtId="0" fontId="13" fillId="0" borderId="35" xfId="0" applyFont="1" applyBorder="1"/>
    <xf numFmtId="0" fontId="14" fillId="0" borderId="27" xfId="0" applyFont="1" applyBorder="1" applyAlignment="1">
      <alignment horizontal="center"/>
    </xf>
    <xf numFmtId="0" fontId="13" fillId="0" borderId="28" xfId="0" applyFont="1" applyBorder="1"/>
    <xf numFmtId="0" fontId="14" fillId="0" borderId="27" xfId="0" applyFont="1" applyBorder="1"/>
    <xf numFmtId="17" fontId="1" fillId="2" borderId="1" xfId="0" applyNumberFormat="1" applyFont="1" applyFill="1" applyBorder="1" applyAlignment="1">
      <alignment horizontal="left"/>
    </xf>
    <xf numFmtId="9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6" fontId="0" fillId="0" borderId="1" xfId="2" applyNumberFormat="1" applyFont="1" applyBorder="1"/>
    <xf numFmtId="17" fontId="1" fillId="2" borderId="41" xfId="0" applyNumberFormat="1" applyFont="1" applyFill="1" applyBorder="1" applyAlignment="1">
      <alignment horizontal="left"/>
    </xf>
    <xf numFmtId="17" fontId="1" fillId="2" borderId="42" xfId="0" applyNumberFormat="1" applyFont="1" applyFill="1" applyBorder="1" applyAlignment="1">
      <alignment horizontal="left"/>
    </xf>
    <xf numFmtId="0" fontId="0" fillId="2" borderId="42" xfId="0" applyFill="1" applyBorder="1"/>
    <xf numFmtId="0" fontId="1" fillId="2" borderId="42" xfId="0" applyFont="1" applyFill="1" applyBorder="1"/>
    <xf numFmtId="164" fontId="11" fillId="2" borderId="42" xfId="2" applyFont="1" applyFill="1" applyBorder="1"/>
    <xf numFmtId="164" fontId="1" fillId="2" borderId="17" xfId="2" applyFont="1" applyFill="1" applyBorder="1"/>
    <xf numFmtId="17" fontId="1" fillId="2" borderId="43" xfId="0" applyNumberFormat="1" applyFont="1" applyFill="1" applyBorder="1" applyAlignment="1">
      <alignment horizontal="left"/>
    </xf>
    <xf numFmtId="0" fontId="0" fillId="2" borderId="44" xfId="0" applyFill="1" applyBorder="1"/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3" fontId="0" fillId="0" borderId="44" xfId="0" applyNumberFormat="1" applyBorder="1"/>
    <xf numFmtId="0" fontId="1" fillId="3" borderId="45" xfId="0" applyFont="1" applyFill="1" applyBorder="1" applyAlignment="1">
      <alignment horizontal="left"/>
    </xf>
    <xf numFmtId="0" fontId="0" fillId="3" borderId="46" xfId="0" applyFill="1" applyBorder="1" applyAlignment="1">
      <alignment horizontal="center"/>
    </xf>
    <xf numFmtId="0" fontId="0" fillId="3" borderId="46" xfId="0" applyFill="1" applyBorder="1"/>
    <xf numFmtId="165" fontId="1" fillId="3" borderId="46" xfId="0" applyNumberFormat="1" applyFont="1" applyFill="1" applyBorder="1"/>
    <xf numFmtId="166" fontId="1" fillId="3" borderId="46" xfId="2" applyNumberFormat="1" applyFont="1" applyFill="1" applyBorder="1"/>
    <xf numFmtId="164" fontId="1" fillId="3" borderId="46" xfId="2" applyFont="1" applyFill="1" applyBorder="1"/>
    <xf numFmtId="3" fontId="1" fillId="3" borderId="46" xfId="2" applyNumberFormat="1" applyFont="1" applyFill="1" applyBorder="1"/>
    <xf numFmtId="166" fontId="1" fillId="3" borderId="19" xfId="2" applyNumberFormat="1" applyFont="1" applyFill="1" applyBorder="1"/>
    <xf numFmtId="4" fontId="10" fillId="6" borderId="1" xfId="0" applyNumberFormat="1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69"/>
  <sheetViews>
    <sheetView topLeftCell="A16" workbookViewId="0">
      <selection activeCell="C29" sqref="C29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12.140625" bestFit="1" customWidth="1"/>
    <col min="5" max="5" width="58.140625" bestFit="1" customWidth="1"/>
    <col min="6" max="6" width="15" customWidth="1"/>
  </cols>
  <sheetData>
    <row r="2" spans="1:6" x14ac:dyDescent="0.25">
      <c r="B2" t="s">
        <v>18</v>
      </c>
    </row>
    <row r="3" spans="1:6" x14ac:dyDescent="0.25">
      <c r="B3" t="s">
        <v>9</v>
      </c>
    </row>
    <row r="4" spans="1:6" x14ac:dyDescent="0.25">
      <c r="B4" s="3" t="s">
        <v>6</v>
      </c>
    </row>
    <row r="5" spans="1:6" ht="8.25" customHeight="1" x14ac:dyDescent="0.25">
      <c r="A5" s="2"/>
      <c r="B5" s="16"/>
      <c r="C5" s="2"/>
    </row>
    <row r="6" spans="1:6" x14ac:dyDescent="0.25">
      <c r="D6" s="19"/>
      <c r="E6" s="19"/>
      <c r="F6" s="19"/>
    </row>
    <row r="7" spans="1:6" x14ac:dyDescent="0.25">
      <c r="A7" s="17" t="s">
        <v>37</v>
      </c>
      <c r="B7" s="17"/>
      <c r="C7" s="41"/>
      <c r="D7" s="41"/>
      <c r="E7" s="17" t="s">
        <v>69</v>
      </c>
      <c r="F7" s="57" t="s">
        <v>68</v>
      </c>
    </row>
    <row r="8" spans="1:6" x14ac:dyDescent="0.25">
      <c r="A8" s="2"/>
      <c r="B8" s="2"/>
      <c r="C8" s="2"/>
      <c r="D8" s="2"/>
      <c r="E8" s="2"/>
      <c r="F8" s="2"/>
    </row>
    <row r="10" spans="1:6" x14ac:dyDescent="0.25">
      <c r="A10" s="15" t="s">
        <v>11</v>
      </c>
    </row>
    <row r="11" spans="1:6" ht="15.75" thickBot="1" x14ac:dyDescent="0.3">
      <c r="A11" s="18" t="s">
        <v>10</v>
      </c>
      <c r="B11" s="19"/>
      <c r="C11" s="20"/>
      <c r="D11" s="4"/>
      <c r="E11" s="91" t="s">
        <v>21</v>
      </c>
      <c r="F11" s="91"/>
    </row>
    <row r="12" spans="1:6" x14ac:dyDescent="0.25">
      <c r="A12" s="48" t="s">
        <v>43</v>
      </c>
      <c r="B12" s="48"/>
      <c r="C12" s="131">
        <f>62099*5%+62099</f>
        <v>65203.95</v>
      </c>
      <c r="D12" s="4"/>
      <c r="E12" s="31" t="s">
        <v>29</v>
      </c>
      <c r="F12" s="32">
        <v>-654333.3655716799</v>
      </c>
    </row>
    <row r="13" spans="1:6" x14ac:dyDescent="0.25">
      <c r="A13" s="48" t="s">
        <v>44</v>
      </c>
      <c r="B13" s="48"/>
      <c r="C13" s="131">
        <v>3567.21</v>
      </c>
      <c r="D13" s="4"/>
      <c r="E13" s="60"/>
      <c r="F13" s="61"/>
    </row>
    <row r="14" spans="1:6" x14ac:dyDescent="0.25">
      <c r="A14" s="58" t="s">
        <v>57</v>
      </c>
      <c r="B14" s="48"/>
      <c r="C14" s="46">
        <v>82851.100000000006</v>
      </c>
      <c r="D14" s="24"/>
      <c r="E14" s="33" t="s">
        <v>7</v>
      </c>
      <c r="F14" s="81">
        <f>'prorrateo '!F10</f>
        <v>452681.02959999989</v>
      </c>
    </row>
    <row r="15" spans="1:6" hidden="1" x14ac:dyDescent="0.25">
      <c r="A15" s="58"/>
      <c r="B15" s="48"/>
      <c r="C15" s="46"/>
      <c r="D15" s="24"/>
      <c r="E15" s="33"/>
      <c r="F15" s="81"/>
    </row>
    <row r="16" spans="1:6" x14ac:dyDescent="0.25">
      <c r="A16" s="58" t="s">
        <v>62</v>
      </c>
      <c r="B16" s="48"/>
      <c r="C16" s="46">
        <v>109718</v>
      </c>
      <c r="D16" s="24"/>
      <c r="E16" s="33"/>
      <c r="F16" s="34"/>
    </row>
    <row r="17" spans="1:7" x14ac:dyDescent="0.25">
      <c r="A17" s="58" t="s">
        <v>38</v>
      </c>
      <c r="B17" s="59"/>
      <c r="C17" s="131">
        <v>13461.61</v>
      </c>
      <c r="D17" s="4"/>
      <c r="E17" s="33" t="s">
        <v>19</v>
      </c>
      <c r="F17" s="34">
        <f>-C41 +C35</f>
        <v>-353462.23</v>
      </c>
    </row>
    <row r="18" spans="1:7" x14ac:dyDescent="0.25">
      <c r="A18" s="58" t="s">
        <v>41</v>
      </c>
      <c r="B18" s="48"/>
      <c r="C18" s="131">
        <v>32000</v>
      </c>
      <c r="D18" s="4"/>
      <c r="E18" s="33"/>
      <c r="F18" s="34"/>
    </row>
    <row r="19" spans="1:7" ht="15.75" customHeight="1" x14ac:dyDescent="0.25">
      <c r="A19" s="58" t="s">
        <v>39</v>
      </c>
      <c r="B19" s="58"/>
      <c r="C19" s="131">
        <v>46660.36</v>
      </c>
      <c r="E19" s="33"/>
      <c r="F19" s="34"/>
    </row>
    <row r="20" spans="1:7" x14ac:dyDescent="0.25">
      <c r="A20" s="58" t="s">
        <v>70</v>
      </c>
      <c r="B20" s="48"/>
      <c r="C20" s="46">
        <v>9567.5</v>
      </c>
      <c r="E20" s="33"/>
      <c r="F20" s="34"/>
    </row>
    <row r="21" spans="1:7" ht="15.75" thickBot="1" x14ac:dyDescent="0.3">
      <c r="A21" s="49"/>
      <c r="B21" s="50"/>
      <c r="C21" s="84">
        <f>SUM(C12:C19)</f>
        <v>353462.23</v>
      </c>
      <c r="D21" s="10"/>
      <c r="E21" s="35" t="s">
        <v>30</v>
      </c>
      <c r="F21" s="36">
        <f>SUM(F12:F19)</f>
        <v>-555114.56597167999</v>
      </c>
    </row>
    <row r="22" spans="1:7" x14ac:dyDescent="0.25">
      <c r="A22" s="51" t="s">
        <v>20</v>
      </c>
      <c r="B22" s="48"/>
      <c r="C22" s="6"/>
      <c r="D22" s="4"/>
      <c r="E22" s="12"/>
      <c r="F22" s="13"/>
    </row>
    <row r="23" spans="1:7" ht="14.25" customHeight="1" x14ac:dyDescent="0.25">
      <c r="A23" s="48"/>
      <c r="B23" s="52"/>
      <c r="C23" s="83"/>
      <c r="D23" s="4"/>
      <c r="E23" s="12"/>
      <c r="F23" s="13"/>
    </row>
    <row r="24" spans="1:7" ht="14.25" customHeight="1" x14ac:dyDescent="0.25">
      <c r="A24" s="48"/>
      <c r="B24" s="52"/>
      <c r="C24" s="9"/>
      <c r="D24" s="4"/>
      <c r="E24" s="12"/>
      <c r="F24" s="13"/>
    </row>
    <row r="25" spans="1:7" x14ac:dyDescent="0.25">
      <c r="A25" s="53"/>
      <c r="B25" s="54"/>
      <c r="C25" s="83"/>
      <c r="D25" s="4"/>
      <c r="E25" s="12"/>
      <c r="F25" s="13"/>
    </row>
    <row r="26" spans="1:7" x14ac:dyDescent="0.25">
      <c r="A26" s="48"/>
      <c r="B26" s="52"/>
      <c r="C26" s="9"/>
      <c r="D26" s="4"/>
      <c r="E26" s="12"/>
      <c r="F26" s="13"/>
    </row>
    <row r="27" spans="1:7" x14ac:dyDescent="0.25">
      <c r="A27" s="48"/>
      <c r="B27" s="52"/>
      <c r="C27" s="9"/>
      <c r="D27" s="4"/>
      <c r="E27" s="12"/>
      <c r="F27" s="13"/>
    </row>
    <row r="28" spans="1:7" x14ac:dyDescent="0.25">
      <c r="A28" s="21"/>
      <c r="B28" s="22"/>
      <c r="C28" s="47">
        <f>SUM(C22:C27)</f>
        <v>0</v>
      </c>
      <c r="D28" s="4"/>
      <c r="E28" s="4"/>
      <c r="F28" s="30"/>
      <c r="G28" s="5"/>
    </row>
    <row r="29" spans="1:7" x14ac:dyDescent="0.25">
      <c r="A29" s="26" t="s">
        <v>12</v>
      </c>
      <c r="B29" s="27"/>
      <c r="C29" s="85">
        <f>+C28+C21</f>
        <v>353462.23</v>
      </c>
      <c r="D29" s="4"/>
      <c r="E29" s="12"/>
      <c r="F29" s="13"/>
    </row>
    <row r="30" spans="1:7" ht="14.25" customHeight="1" x14ac:dyDescent="0.25">
      <c r="A30" s="42" t="s">
        <v>23</v>
      </c>
      <c r="B30" s="45"/>
      <c r="C30" s="86"/>
      <c r="E30" s="12"/>
      <c r="F30" s="13"/>
    </row>
    <row r="31" spans="1:7" hidden="1" x14ac:dyDescent="0.25">
      <c r="A31" s="15" t="s">
        <v>23</v>
      </c>
    </row>
    <row r="32" spans="1:7" hidden="1" x14ac:dyDescent="0.25">
      <c r="A32" s="25"/>
      <c r="B32" s="19"/>
      <c r="C32" s="87"/>
      <c r="F32" s="5"/>
    </row>
    <row r="33" spans="1:6" hidden="1" x14ac:dyDescent="0.25">
      <c r="A33" s="29"/>
      <c r="B33" s="28"/>
      <c r="C33" s="88">
        <v>0</v>
      </c>
      <c r="F33" s="5"/>
    </row>
    <row r="34" spans="1:6" hidden="1" x14ac:dyDescent="0.25">
      <c r="A34" s="37"/>
      <c r="B34" s="38"/>
      <c r="C34" s="88">
        <v>0</v>
      </c>
      <c r="F34" s="5"/>
    </row>
    <row r="35" spans="1:6" x14ac:dyDescent="0.25">
      <c r="A35" s="43"/>
      <c r="B35" s="44"/>
      <c r="C35" s="89"/>
      <c r="F35" s="5"/>
    </row>
    <row r="36" spans="1:6" ht="15" customHeight="1" x14ac:dyDescent="0.25">
      <c r="A36" s="92"/>
      <c r="B36" s="92"/>
      <c r="C36" s="88"/>
      <c r="F36" s="5"/>
    </row>
    <row r="37" spans="1:6" x14ac:dyDescent="0.25">
      <c r="A37" s="29"/>
      <c r="B37" s="28"/>
      <c r="C37" s="88">
        <v>0</v>
      </c>
      <c r="F37" s="5"/>
    </row>
    <row r="38" spans="1:6" x14ac:dyDescent="0.25">
      <c r="A38" s="39" t="s">
        <v>22</v>
      </c>
      <c r="B38" s="40"/>
      <c r="C38" s="56">
        <f>SUM(C33:C37)</f>
        <v>0</v>
      </c>
    </row>
    <row r="39" spans="1:6" x14ac:dyDescent="0.25">
      <c r="C39" s="88"/>
      <c r="F39" s="5"/>
    </row>
    <row r="40" spans="1:6" x14ac:dyDescent="0.25">
      <c r="A40" s="4" t="s">
        <v>35</v>
      </c>
      <c r="C40" s="90">
        <f>C39+C29</f>
        <v>353462.23</v>
      </c>
      <c r="F40" s="5"/>
    </row>
    <row r="41" spans="1:6" x14ac:dyDescent="0.25">
      <c r="A41" s="39" t="s">
        <v>13</v>
      </c>
      <c r="B41" s="40"/>
      <c r="C41" s="56">
        <f>+C29+C38</f>
        <v>353462.23</v>
      </c>
      <c r="E41" s="10"/>
    </row>
    <row r="46" spans="1:6" x14ac:dyDescent="0.25">
      <c r="D46" s="5"/>
    </row>
    <row r="47" spans="1:6" x14ac:dyDescent="0.25">
      <c r="D47" s="10"/>
      <c r="E47" s="10"/>
    </row>
    <row r="48" spans="1:6" x14ac:dyDescent="0.25">
      <c r="D48" s="10"/>
      <c r="E48" s="10"/>
    </row>
    <row r="49" spans="1:4" x14ac:dyDescent="0.25">
      <c r="D49" s="10"/>
    </row>
    <row r="50" spans="1:4" x14ac:dyDescent="0.25">
      <c r="D50" s="10"/>
    </row>
    <row r="62" spans="1:4" x14ac:dyDescent="0.25">
      <c r="A62" s="12"/>
      <c r="B62" s="11"/>
      <c r="C62" s="13"/>
    </row>
    <row r="63" spans="1:4" x14ac:dyDescent="0.25">
      <c r="A63" s="11"/>
      <c r="B63" s="11"/>
      <c r="C63" s="11"/>
    </row>
    <row r="64" spans="1:4" x14ac:dyDescent="0.25">
      <c r="A64" s="11"/>
      <c r="B64" s="11"/>
      <c r="C64" s="11"/>
    </row>
    <row r="65" spans="1:3" x14ac:dyDescent="0.25">
      <c r="A65" s="11"/>
      <c r="B65" s="11"/>
      <c r="C65" s="11"/>
    </row>
    <row r="66" spans="1:3" x14ac:dyDescent="0.25">
      <c r="A66" s="11"/>
      <c r="B66" s="11"/>
      <c r="C66" s="11"/>
    </row>
    <row r="67" spans="1:3" x14ac:dyDescent="0.25">
      <c r="A67" s="11"/>
      <c r="B67" s="11"/>
      <c r="C67" s="11"/>
    </row>
    <row r="68" spans="1:3" x14ac:dyDescent="0.25">
      <c r="A68" s="11"/>
      <c r="B68" s="11"/>
      <c r="C68" s="11"/>
    </row>
    <row r="69" spans="1:3" x14ac:dyDescent="0.25">
      <c r="A69" s="11"/>
      <c r="B69" s="11"/>
      <c r="C69" s="11"/>
    </row>
  </sheetData>
  <mergeCells count="2">
    <mergeCell ref="E11:F11"/>
    <mergeCell ref="A36:B36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16"/>
  <sheetViews>
    <sheetView tabSelected="1" workbookViewId="0">
      <selection activeCell="M1" sqref="M1"/>
    </sheetView>
  </sheetViews>
  <sheetFormatPr baseColWidth="10" defaultRowHeight="15" x14ac:dyDescent="0.25"/>
  <cols>
    <col min="1" max="1" width="5.28515625" style="1" customWidth="1"/>
    <col min="2" max="2" width="5.85546875" style="1" hidden="1" customWidth="1"/>
    <col min="3" max="3" width="25.28515625" customWidth="1"/>
    <col min="4" max="4" width="6.85546875" hidden="1" customWidth="1"/>
    <col min="5" max="5" width="13.7109375" customWidth="1"/>
    <col min="6" max="6" width="12.42578125" bestFit="1" customWidth="1"/>
    <col min="7" max="7" width="10.7109375" customWidth="1"/>
    <col min="8" max="8" width="0.140625" customWidth="1"/>
    <col min="9" max="9" width="13.140625" hidden="1" customWidth="1"/>
    <col min="10" max="10" width="17.710937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14"/>
  </cols>
  <sheetData>
    <row r="1" spans="1:20" x14ac:dyDescent="0.25">
      <c r="A1" s="112" t="str">
        <f>'detalle y gastos'!E7</f>
        <v>Liquidacion mes de ABRIL</v>
      </c>
      <c r="B1" s="113"/>
      <c r="C1" s="113"/>
      <c r="D1" s="114"/>
      <c r="E1" s="115" t="s">
        <v>36</v>
      </c>
      <c r="F1" s="114"/>
      <c r="G1" s="115" t="s">
        <v>33</v>
      </c>
      <c r="H1" s="114"/>
      <c r="I1" s="114"/>
      <c r="J1" s="114"/>
      <c r="K1" s="116">
        <v>84295.42</v>
      </c>
      <c r="L1" s="116"/>
      <c r="M1" s="117">
        <v>353462.23</v>
      </c>
    </row>
    <row r="2" spans="1:20" x14ac:dyDescent="0.25">
      <c r="A2" s="118" t="str">
        <f>'detalle y gastos'!F7</f>
        <v>Vto. 14/05</v>
      </c>
      <c r="B2" s="107"/>
      <c r="C2" s="107"/>
      <c r="D2" s="50"/>
      <c r="E2" s="49"/>
      <c r="F2" s="50"/>
      <c r="G2" s="49" t="s">
        <v>34</v>
      </c>
      <c r="H2" s="50"/>
      <c r="I2" s="50"/>
      <c r="J2" s="50"/>
      <c r="K2" s="84"/>
      <c r="L2" s="84"/>
      <c r="M2" s="119"/>
    </row>
    <row r="3" spans="1:20" x14ac:dyDescent="0.25">
      <c r="A3" s="120" t="s">
        <v>0</v>
      </c>
      <c r="B3" s="6" t="s">
        <v>1</v>
      </c>
      <c r="C3" s="6" t="s">
        <v>2</v>
      </c>
      <c r="D3" s="6" t="s">
        <v>4</v>
      </c>
      <c r="E3" s="6" t="s">
        <v>16</v>
      </c>
      <c r="F3" s="6" t="s">
        <v>3</v>
      </c>
      <c r="G3" s="6" t="s">
        <v>31</v>
      </c>
      <c r="H3" s="6" t="s">
        <v>24</v>
      </c>
      <c r="I3" s="6" t="s">
        <v>27</v>
      </c>
      <c r="J3" s="6" t="s">
        <v>14</v>
      </c>
      <c r="K3" s="6" t="s">
        <v>25</v>
      </c>
      <c r="L3" s="6" t="s">
        <v>65</v>
      </c>
      <c r="M3" s="121" t="s">
        <v>67</v>
      </c>
    </row>
    <row r="4" spans="1:20" x14ac:dyDescent="0.25">
      <c r="A4" s="120"/>
      <c r="B4" s="6"/>
      <c r="C4" s="6" t="s">
        <v>42</v>
      </c>
      <c r="D4" s="6" t="s">
        <v>5</v>
      </c>
      <c r="E4" s="6" t="s">
        <v>17</v>
      </c>
      <c r="F4" s="6" t="s">
        <v>32</v>
      </c>
      <c r="G4" s="6"/>
      <c r="H4" s="108">
        <v>7.6999999999999999E-2</v>
      </c>
      <c r="I4" s="6" t="s">
        <v>28</v>
      </c>
      <c r="J4" s="6" t="s">
        <v>15</v>
      </c>
      <c r="K4" s="6" t="s">
        <v>26</v>
      </c>
      <c r="L4" s="109" t="str">
        <f>A2</f>
        <v>Vto. 14/05</v>
      </c>
      <c r="M4" s="121" t="s">
        <v>66</v>
      </c>
    </row>
    <row r="5" spans="1:20" x14ac:dyDescent="0.25">
      <c r="A5" s="120">
        <v>1</v>
      </c>
      <c r="B5" s="7">
        <v>0.21</v>
      </c>
      <c r="C5" s="8" t="s">
        <v>46</v>
      </c>
      <c r="D5" s="55">
        <v>0.5</v>
      </c>
      <c r="E5" s="23">
        <v>120629.87159999998</v>
      </c>
      <c r="F5" s="46">
        <f>E5</f>
        <v>120629.87159999998</v>
      </c>
      <c r="G5" s="110">
        <f>E5-F5</f>
        <v>0</v>
      </c>
      <c r="H5" s="111">
        <f>IF(G5&gt;0,G5*8.4%,0)</f>
        <v>0</v>
      </c>
      <c r="I5" s="9">
        <v>0</v>
      </c>
      <c r="J5" s="23">
        <f>M$1*B5</f>
        <v>74227.068299999999</v>
      </c>
      <c r="K5" s="9">
        <f>K$2*D5</f>
        <v>0</v>
      </c>
      <c r="L5" s="9">
        <f>J5+K5+H5+G5</f>
        <v>74227.068299999999</v>
      </c>
      <c r="M5" s="122">
        <f>L5+L5*4%</f>
        <v>77196.151031999994</v>
      </c>
    </row>
    <row r="6" spans="1:20" x14ac:dyDescent="0.25">
      <c r="A6" s="120">
        <v>2</v>
      </c>
      <c r="B6" s="7">
        <v>0.16</v>
      </c>
      <c r="C6" s="62" t="s">
        <v>60</v>
      </c>
      <c r="D6" s="55">
        <v>0.5</v>
      </c>
      <c r="E6" s="23">
        <v>91908.473599999998</v>
      </c>
      <c r="F6" s="46">
        <v>91000</v>
      </c>
      <c r="G6" s="110">
        <f t="shared" ref="G6:G9" si="0">E6-F6</f>
        <v>908.47359999999753</v>
      </c>
      <c r="H6" s="111">
        <f t="shared" ref="H6:H9" si="1">IF(G6&gt;0,G6*8.4%,0)</f>
        <v>76.3117823999998</v>
      </c>
      <c r="I6" s="9">
        <v>0</v>
      </c>
      <c r="J6" s="23">
        <f t="shared" ref="J6:J9" si="2">M$1*B6</f>
        <v>56553.9568</v>
      </c>
      <c r="K6" s="9">
        <f>K$2*D6</f>
        <v>0</v>
      </c>
      <c r="L6" s="9">
        <f t="shared" ref="L6:L9" si="3">J6+K6+H6+G6</f>
        <v>57538.742182399998</v>
      </c>
      <c r="M6" s="122">
        <f t="shared" ref="M6:M9" si="4">L6+L6*4%</f>
        <v>59840.291869695997</v>
      </c>
    </row>
    <row r="7" spans="1:20" x14ac:dyDescent="0.25">
      <c r="A7" s="120">
        <v>3</v>
      </c>
      <c r="B7" s="7">
        <v>0.21</v>
      </c>
      <c r="C7" s="62" t="s">
        <v>63</v>
      </c>
      <c r="D7" s="55"/>
      <c r="E7" s="23">
        <v>120629.87159999998</v>
      </c>
      <c r="F7" s="46"/>
      <c r="G7" s="110">
        <f t="shared" si="0"/>
        <v>120629.87159999998</v>
      </c>
      <c r="H7" s="111">
        <f t="shared" si="1"/>
        <v>10132.909214399999</v>
      </c>
      <c r="I7" s="9"/>
      <c r="J7" s="23">
        <f t="shared" si="2"/>
        <v>74227.068299999999</v>
      </c>
      <c r="K7" s="9">
        <v>0</v>
      </c>
      <c r="L7" s="9">
        <f t="shared" si="3"/>
        <v>204989.84911439999</v>
      </c>
      <c r="M7" s="122">
        <f t="shared" si="4"/>
        <v>213189.44307897598</v>
      </c>
    </row>
    <row r="8" spans="1:20" x14ac:dyDescent="0.25">
      <c r="A8" s="120">
        <v>4</v>
      </c>
      <c r="B8" s="7">
        <v>0.21</v>
      </c>
      <c r="C8" s="8" t="s">
        <v>58</v>
      </c>
      <c r="D8" s="55"/>
      <c r="E8" s="23">
        <v>120421.28639999998</v>
      </c>
      <c r="F8" s="46">
        <f>E8</f>
        <v>120421.28639999998</v>
      </c>
      <c r="G8" s="110">
        <f t="shared" si="0"/>
        <v>0</v>
      </c>
      <c r="H8" s="111">
        <f t="shared" si="1"/>
        <v>0</v>
      </c>
      <c r="I8" s="9"/>
      <c r="J8" s="23">
        <f t="shared" si="2"/>
        <v>74227.068299999999</v>
      </c>
      <c r="K8" s="9">
        <v>0</v>
      </c>
      <c r="L8" s="9">
        <f t="shared" si="3"/>
        <v>74227.068299999999</v>
      </c>
      <c r="M8" s="122">
        <f t="shared" si="4"/>
        <v>77196.151031999994</v>
      </c>
    </row>
    <row r="9" spans="1:20" x14ac:dyDescent="0.25">
      <c r="A9" s="120">
        <v>5</v>
      </c>
      <c r="B9" s="7">
        <v>0.21</v>
      </c>
      <c r="C9" s="8" t="s">
        <v>64</v>
      </c>
      <c r="D9" s="55"/>
      <c r="E9" s="23">
        <v>120629.87159999998</v>
      </c>
      <c r="F9" s="46">
        <f>E9</f>
        <v>120629.87159999998</v>
      </c>
      <c r="G9" s="110">
        <f t="shared" si="0"/>
        <v>0</v>
      </c>
      <c r="H9" s="111">
        <f t="shared" si="1"/>
        <v>0</v>
      </c>
      <c r="I9" s="9"/>
      <c r="J9" s="23">
        <f t="shared" si="2"/>
        <v>74227.068299999999</v>
      </c>
      <c r="K9" s="9">
        <v>0</v>
      </c>
      <c r="L9" s="9">
        <f t="shared" si="3"/>
        <v>74227.068299999999</v>
      </c>
      <c r="M9" s="122">
        <f t="shared" si="4"/>
        <v>77196.151031999994</v>
      </c>
    </row>
    <row r="10" spans="1:20" ht="15" customHeight="1" thickBot="1" x14ac:dyDescent="0.3">
      <c r="A10" s="123" t="s">
        <v>8</v>
      </c>
      <c r="B10" s="124">
        <f>SUM(B5:B9)</f>
        <v>0.99999999999999989</v>
      </c>
      <c r="C10" s="125"/>
      <c r="D10" s="126">
        <f t="shared" ref="D10:K10" si="5">SUM(D5:D6)</f>
        <v>1</v>
      </c>
      <c r="E10" s="127">
        <f>SUM(E5:E9)</f>
        <v>574219.37479999987</v>
      </c>
      <c r="F10" s="127">
        <f>SUM(F5:F9)</f>
        <v>452681.02959999989</v>
      </c>
      <c r="G10" s="127">
        <f t="shared" si="5"/>
        <v>908.47359999999753</v>
      </c>
      <c r="H10" s="127">
        <f t="shared" si="5"/>
        <v>76.3117823999998</v>
      </c>
      <c r="I10" s="128">
        <f t="shared" si="5"/>
        <v>0</v>
      </c>
      <c r="J10" s="129">
        <f>SUM(J5:J9)</f>
        <v>353462.23</v>
      </c>
      <c r="K10" s="129">
        <f t="shared" si="5"/>
        <v>0</v>
      </c>
      <c r="L10" s="127">
        <f>SUM(L5:L9)</f>
        <v>485209.79619679996</v>
      </c>
      <c r="M10" s="130">
        <f>SUM(M5:M9)</f>
        <v>504618.1880446719</v>
      </c>
    </row>
    <row r="11" spans="1:20" ht="55.5" hidden="1" customHeight="1" x14ac:dyDescent="0.25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</row>
    <row r="12" spans="1:20" x14ac:dyDescent="0.25">
      <c r="M12" s="5"/>
    </row>
    <row r="13" spans="1:20" ht="15.75" thickBot="1" x14ac:dyDescent="0.3"/>
    <row r="14" spans="1:20" ht="15.75" thickBot="1" x14ac:dyDescent="0.3">
      <c r="C14" s="98" t="s">
        <v>47</v>
      </c>
      <c r="D14" s="99"/>
      <c r="E14" s="99"/>
      <c r="F14" s="99"/>
      <c r="G14" s="99"/>
      <c r="H14" s="99"/>
      <c r="I14" s="96"/>
      <c r="J14" s="63"/>
      <c r="K14" s="64"/>
      <c r="L14" s="68"/>
    </row>
    <row r="15" spans="1:20" ht="15.75" thickBot="1" x14ac:dyDescent="0.3">
      <c r="C15" s="100" t="s">
        <v>48</v>
      </c>
      <c r="D15" s="99"/>
      <c r="E15" s="99"/>
      <c r="F15" s="99"/>
      <c r="G15" s="99"/>
      <c r="H15" s="99"/>
      <c r="I15" s="96"/>
      <c r="J15" s="65"/>
      <c r="K15" s="66"/>
      <c r="L15" s="68"/>
      <c r="R15" t="s">
        <v>40</v>
      </c>
      <c r="T15">
        <v>96550</v>
      </c>
    </row>
    <row r="16" spans="1:20" x14ac:dyDescent="0.25">
      <c r="C16" s="63"/>
      <c r="D16" s="67"/>
      <c r="E16" s="67"/>
      <c r="F16" s="67"/>
      <c r="G16" s="68"/>
      <c r="H16" s="68" t="s">
        <v>59</v>
      </c>
      <c r="I16" s="66"/>
      <c r="J16" s="65"/>
      <c r="K16" s="66"/>
      <c r="L16" s="68"/>
      <c r="R16" t="s">
        <v>38</v>
      </c>
      <c r="T16">
        <v>27991.75</v>
      </c>
    </row>
    <row r="17" spans="3:20" x14ac:dyDescent="0.25">
      <c r="C17" s="65" t="s">
        <v>49</v>
      </c>
      <c r="D17" s="68"/>
      <c r="E17" s="68"/>
      <c r="F17" s="68"/>
      <c r="G17" s="68"/>
      <c r="H17" s="68" t="s">
        <v>61</v>
      </c>
      <c r="I17" s="66"/>
      <c r="J17" s="65"/>
      <c r="K17" s="66"/>
      <c r="L17" s="68"/>
      <c r="R17" t="s">
        <v>41</v>
      </c>
      <c r="T17">
        <v>32000</v>
      </c>
    </row>
    <row r="18" spans="3:20" x14ac:dyDescent="0.25">
      <c r="C18" s="69"/>
      <c r="D18" s="70"/>
      <c r="E18" s="70"/>
      <c r="F18" s="70"/>
      <c r="G18" s="70"/>
      <c r="H18" s="70"/>
      <c r="I18" s="71"/>
      <c r="J18" s="65"/>
      <c r="K18" s="66"/>
      <c r="L18" s="68"/>
      <c r="R18" t="s">
        <v>39</v>
      </c>
      <c r="T18">
        <v>24923.78</v>
      </c>
    </row>
    <row r="19" spans="3:20" x14ac:dyDescent="0.25">
      <c r="C19" s="101" t="s">
        <v>50</v>
      </c>
      <c r="D19" s="102"/>
      <c r="E19" s="102"/>
      <c r="F19" s="102"/>
      <c r="G19" s="102"/>
      <c r="H19" s="102"/>
      <c r="I19" s="103"/>
      <c r="J19" s="65"/>
      <c r="K19" s="66"/>
      <c r="L19" s="68"/>
    </row>
    <row r="20" spans="3:20" x14ac:dyDescent="0.25">
      <c r="C20" s="65"/>
      <c r="D20" s="68"/>
      <c r="E20" s="68"/>
      <c r="F20" s="68"/>
      <c r="G20" s="68"/>
      <c r="H20" s="68"/>
      <c r="I20" s="66"/>
      <c r="J20" s="65"/>
      <c r="K20" s="66"/>
      <c r="L20" s="68"/>
      <c r="R20" t="s">
        <v>45</v>
      </c>
      <c r="T20">
        <v>0</v>
      </c>
    </row>
    <row r="21" spans="3:20" x14ac:dyDescent="0.25">
      <c r="C21" s="65" t="s">
        <v>51</v>
      </c>
      <c r="D21" s="68"/>
      <c r="E21" s="68" t="str">
        <f>C5</f>
        <v>TARQUIRINI SABRINA</v>
      </c>
      <c r="F21" s="68"/>
      <c r="G21" s="68" t="s">
        <v>52</v>
      </c>
      <c r="H21" s="72"/>
      <c r="I21" s="66"/>
      <c r="J21" s="104" t="s">
        <v>53</v>
      </c>
      <c r="K21" s="105"/>
      <c r="L21" s="82"/>
    </row>
    <row r="22" spans="3:20" x14ac:dyDescent="0.25">
      <c r="C22" s="65" t="s">
        <v>54</v>
      </c>
      <c r="D22" s="73" t="s">
        <v>55</v>
      </c>
      <c r="E22" s="68">
        <f>A5</f>
        <v>1</v>
      </c>
      <c r="F22" s="68"/>
      <c r="G22" s="68"/>
      <c r="H22" s="68"/>
      <c r="I22" s="66"/>
      <c r="J22" s="65"/>
      <c r="K22" s="66"/>
      <c r="L22" s="68"/>
    </row>
    <row r="23" spans="3:20" x14ac:dyDescent="0.25">
      <c r="C23" s="65"/>
      <c r="D23" s="68"/>
      <c r="E23" s="68"/>
      <c r="F23" s="68"/>
      <c r="G23" s="68"/>
      <c r="H23" s="68"/>
      <c r="I23" s="66"/>
      <c r="J23" s="106"/>
      <c r="K23" s="105"/>
      <c r="L23" s="82"/>
    </row>
    <row r="24" spans="3:20" x14ac:dyDescent="0.25">
      <c r="C24" s="79" t="s">
        <v>57</v>
      </c>
      <c r="D24" s="68"/>
      <c r="E24" s="68"/>
      <c r="F24" s="68"/>
      <c r="G24" s="68"/>
      <c r="H24" s="78">
        <f>M$1/5</f>
        <v>70692.445999999996</v>
      </c>
      <c r="I24" s="66"/>
      <c r="J24" s="65"/>
      <c r="K24" s="66"/>
      <c r="L24" s="68"/>
    </row>
    <row r="25" spans="3:20" x14ac:dyDescent="0.25">
      <c r="C25" s="80" t="s">
        <v>40</v>
      </c>
      <c r="D25" s="68"/>
      <c r="E25" s="68"/>
      <c r="F25" s="68"/>
      <c r="G25" s="68"/>
      <c r="H25" s="78">
        <f>T$15/4</f>
        <v>24137.5</v>
      </c>
      <c r="I25" s="66"/>
      <c r="J25" s="65"/>
      <c r="K25" s="66"/>
      <c r="L25" s="68"/>
    </row>
    <row r="26" spans="3:20" x14ac:dyDescent="0.25">
      <c r="C26" s="80" t="s">
        <v>38</v>
      </c>
      <c r="D26" s="68"/>
      <c r="E26" s="68"/>
      <c r="F26" s="68"/>
      <c r="G26" s="68"/>
      <c r="H26" s="78">
        <f>T$16/4</f>
        <v>6997.9375</v>
      </c>
      <c r="I26" s="66"/>
      <c r="J26" s="65"/>
      <c r="K26" s="66"/>
      <c r="L26" s="68"/>
    </row>
    <row r="27" spans="3:20" x14ac:dyDescent="0.25">
      <c r="C27" s="80" t="s">
        <v>41</v>
      </c>
      <c r="D27" s="68"/>
      <c r="E27" s="68"/>
      <c r="F27" s="68"/>
      <c r="G27" s="68"/>
      <c r="H27" s="78">
        <f>T$17/4</f>
        <v>8000</v>
      </c>
      <c r="I27" s="66"/>
      <c r="J27" s="65"/>
      <c r="K27" s="66"/>
      <c r="L27" s="68"/>
    </row>
    <row r="28" spans="3:20" ht="14.25" customHeight="1" x14ac:dyDescent="0.25">
      <c r="C28" s="80" t="s">
        <v>39</v>
      </c>
      <c r="D28" s="68"/>
      <c r="E28" s="68"/>
      <c r="F28" s="68"/>
      <c r="G28" s="68"/>
      <c r="H28" s="78">
        <f>T$18/4</f>
        <v>6230.9449999999997</v>
      </c>
      <c r="I28" s="66"/>
      <c r="J28" s="65"/>
      <c r="K28" s="66"/>
      <c r="L28" s="68"/>
    </row>
    <row r="29" spans="3:20" hidden="1" x14ac:dyDescent="0.25">
      <c r="D29" s="68"/>
      <c r="E29" s="68"/>
      <c r="F29" s="68"/>
      <c r="G29" s="68"/>
      <c r="H29" s="78"/>
      <c r="I29" s="66"/>
      <c r="J29" s="65"/>
      <c r="K29" s="66"/>
      <c r="L29" s="68"/>
    </row>
    <row r="30" spans="3:20" x14ac:dyDescent="0.25">
      <c r="C30" s="80" t="s">
        <v>45</v>
      </c>
      <c r="D30" s="68"/>
      <c r="E30" s="68"/>
      <c r="F30" s="68"/>
      <c r="G30" s="68"/>
      <c r="H30" s="78">
        <f>T$20/3</f>
        <v>0</v>
      </c>
      <c r="I30" s="66"/>
      <c r="J30" s="65"/>
      <c r="K30" s="66"/>
      <c r="L30" s="68"/>
    </row>
    <row r="31" spans="3:20" ht="15.75" thickBot="1" x14ac:dyDescent="0.3">
      <c r="C31" s="65"/>
      <c r="D31" s="68"/>
      <c r="E31" s="68"/>
      <c r="F31" s="68"/>
      <c r="G31" s="68"/>
      <c r="H31" s="68"/>
      <c r="I31" s="66"/>
      <c r="J31" s="74"/>
      <c r="K31" s="75"/>
      <c r="L31" s="68"/>
    </row>
    <row r="32" spans="3:20" ht="15.75" thickBot="1" x14ac:dyDescent="0.3">
      <c r="C32" s="93" t="s">
        <v>56</v>
      </c>
      <c r="D32" s="94"/>
      <c r="E32" s="94"/>
      <c r="F32" s="94"/>
      <c r="G32" s="94"/>
      <c r="H32" s="95">
        <f>SUM(H24:H31)</f>
        <v>116058.8285</v>
      </c>
      <c r="I32" s="96"/>
      <c r="J32" s="76"/>
      <c r="K32" s="77"/>
      <c r="L32" s="68"/>
    </row>
    <row r="35" spans="3:12" ht="15.75" thickBot="1" x14ac:dyDescent="0.3"/>
    <row r="36" spans="3:12" ht="15.75" thickBot="1" x14ac:dyDescent="0.3">
      <c r="C36" s="98" t="s">
        <v>47</v>
      </c>
      <c r="D36" s="99"/>
      <c r="E36" s="99"/>
      <c r="F36" s="99"/>
      <c r="G36" s="99"/>
      <c r="H36" s="99"/>
      <c r="I36" s="96"/>
      <c r="J36" s="63"/>
      <c r="K36" s="64"/>
      <c r="L36" s="68"/>
    </row>
    <row r="37" spans="3:12" ht="15.75" thickBot="1" x14ac:dyDescent="0.3">
      <c r="C37" s="100" t="s">
        <v>48</v>
      </c>
      <c r="D37" s="99"/>
      <c r="E37" s="99"/>
      <c r="F37" s="99"/>
      <c r="G37" s="99"/>
      <c r="H37" s="99"/>
      <c r="I37" s="96"/>
      <c r="J37" s="65"/>
      <c r="K37" s="66"/>
      <c r="L37" s="68"/>
    </row>
    <row r="38" spans="3:12" x14ac:dyDescent="0.25">
      <c r="C38" s="63"/>
      <c r="D38" s="67"/>
      <c r="E38" s="67"/>
      <c r="F38" s="67"/>
      <c r="G38" s="68"/>
      <c r="H38" s="68" t="s">
        <v>59</v>
      </c>
      <c r="I38" s="66"/>
      <c r="J38" s="65"/>
      <c r="K38" s="66"/>
      <c r="L38" s="68"/>
    </row>
    <row r="39" spans="3:12" x14ac:dyDescent="0.25">
      <c r="C39" s="65" t="s">
        <v>49</v>
      </c>
      <c r="D39" s="68"/>
      <c r="E39" s="68"/>
      <c r="F39" s="68"/>
      <c r="G39" s="68"/>
      <c r="H39" s="68" t="str">
        <f>H17</f>
        <v>VENCIMIENTO: DICIEMBRE</v>
      </c>
      <c r="I39" s="66"/>
      <c r="J39" s="65"/>
      <c r="K39" s="66"/>
      <c r="L39" s="68"/>
    </row>
    <row r="40" spans="3:12" x14ac:dyDescent="0.25">
      <c r="C40" s="69"/>
      <c r="D40" s="70"/>
      <c r="E40" s="70"/>
      <c r="F40" s="70"/>
      <c r="G40" s="70"/>
      <c r="H40" s="70"/>
      <c r="I40" s="71"/>
      <c r="J40" s="65"/>
      <c r="K40" s="66"/>
      <c r="L40" s="68"/>
    </row>
    <row r="41" spans="3:12" x14ac:dyDescent="0.25">
      <c r="C41" s="101" t="s">
        <v>50</v>
      </c>
      <c r="D41" s="102"/>
      <c r="E41" s="102"/>
      <c r="F41" s="102"/>
      <c r="G41" s="102"/>
      <c r="H41" s="102"/>
      <c r="I41" s="103"/>
      <c r="J41" s="65"/>
      <c r="K41" s="66"/>
      <c r="L41" s="68"/>
    </row>
    <row r="42" spans="3:12" x14ac:dyDescent="0.25">
      <c r="C42" s="65"/>
      <c r="D42" s="68"/>
      <c r="E42" s="68"/>
      <c r="F42" s="68"/>
      <c r="G42" s="68"/>
      <c r="H42" s="68"/>
      <c r="I42" s="66"/>
      <c r="J42" s="65"/>
      <c r="K42" s="66"/>
      <c r="L42" s="68"/>
    </row>
    <row r="43" spans="3:12" x14ac:dyDescent="0.25">
      <c r="C43" s="65" t="s">
        <v>51</v>
      </c>
      <c r="D43" s="68"/>
      <c r="E43" s="68" t="str">
        <f>C7</f>
        <v>LUCA BASUALDO</v>
      </c>
      <c r="F43" s="68"/>
      <c r="G43" s="68" t="s">
        <v>52</v>
      </c>
      <c r="H43" s="72"/>
      <c r="I43" s="66"/>
      <c r="J43" s="104" t="s">
        <v>53</v>
      </c>
      <c r="K43" s="105"/>
      <c r="L43" s="82"/>
    </row>
    <row r="44" spans="3:12" x14ac:dyDescent="0.25">
      <c r="C44" s="65" t="s">
        <v>54</v>
      </c>
      <c r="D44" s="73" t="s">
        <v>55</v>
      </c>
      <c r="E44" s="68">
        <f>A7</f>
        <v>3</v>
      </c>
      <c r="F44" s="68"/>
      <c r="G44" s="68"/>
      <c r="H44" s="68"/>
      <c r="I44" s="66"/>
      <c r="J44" s="65"/>
      <c r="K44" s="66"/>
      <c r="L44" s="68"/>
    </row>
    <row r="45" spans="3:12" x14ac:dyDescent="0.25">
      <c r="C45" s="65"/>
      <c r="D45" s="68"/>
      <c r="E45" s="68"/>
      <c r="F45" s="68"/>
      <c r="G45" s="68"/>
      <c r="H45" s="68"/>
      <c r="I45" s="66"/>
      <c r="J45" s="106"/>
      <c r="K45" s="105"/>
      <c r="L45" s="82"/>
    </row>
    <row r="46" spans="3:12" x14ac:dyDescent="0.25">
      <c r="C46" s="65" t="s">
        <v>57</v>
      </c>
      <c r="D46" s="68"/>
      <c r="E46" s="68"/>
      <c r="F46" s="68"/>
      <c r="G46" s="68"/>
      <c r="H46" s="78">
        <f>M$1/5</f>
        <v>70692.445999999996</v>
      </c>
      <c r="I46" s="66"/>
      <c r="J46" s="65"/>
      <c r="K46" s="66"/>
      <c r="L46" s="68"/>
    </row>
    <row r="47" spans="3:12" x14ac:dyDescent="0.25">
      <c r="C47" s="65"/>
      <c r="D47" s="68"/>
      <c r="E47" s="68"/>
      <c r="F47" s="68"/>
      <c r="G47" s="68"/>
      <c r="H47" s="68"/>
      <c r="I47" s="66"/>
      <c r="J47" s="65"/>
      <c r="K47" s="66"/>
      <c r="L47" s="68"/>
    </row>
    <row r="48" spans="3:12" ht="15.75" thickBot="1" x14ac:dyDescent="0.3">
      <c r="C48" s="65"/>
      <c r="D48" s="68"/>
      <c r="E48" s="68"/>
      <c r="F48" s="68"/>
      <c r="G48" s="68"/>
      <c r="H48" s="68"/>
      <c r="I48" s="66"/>
      <c r="J48" s="74"/>
      <c r="K48" s="75"/>
      <c r="L48" s="68"/>
    </row>
    <row r="49" spans="3:12" ht="15.75" thickBot="1" x14ac:dyDescent="0.3">
      <c r="C49" s="93" t="s">
        <v>56</v>
      </c>
      <c r="D49" s="94"/>
      <c r="E49" s="94"/>
      <c r="F49" s="94"/>
      <c r="G49" s="94"/>
      <c r="H49" s="95">
        <f>M6</f>
        <v>59840.291869695997</v>
      </c>
      <c r="I49" s="96"/>
      <c r="J49" s="76"/>
      <c r="K49" s="77"/>
      <c r="L49" s="68"/>
    </row>
    <row r="51" spans="3:12" ht="15.75" thickBot="1" x14ac:dyDescent="0.3"/>
    <row r="52" spans="3:12" ht="15.75" thickBot="1" x14ac:dyDescent="0.3">
      <c r="C52" s="98" t="s">
        <v>47</v>
      </c>
      <c r="D52" s="99"/>
      <c r="E52" s="99"/>
      <c r="F52" s="99"/>
      <c r="G52" s="99"/>
      <c r="H52" s="99"/>
      <c r="I52" s="96"/>
      <c r="J52" s="63"/>
      <c r="K52" s="64"/>
      <c r="L52" s="68"/>
    </row>
    <row r="53" spans="3:12" ht="15.75" thickBot="1" x14ac:dyDescent="0.3">
      <c r="C53" s="100" t="s">
        <v>48</v>
      </c>
      <c r="D53" s="99"/>
      <c r="E53" s="99"/>
      <c r="F53" s="99"/>
      <c r="G53" s="99"/>
      <c r="H53" s="99"/>
      <c r="I53" s="96"/>
      <c r="J53" s="65"/>
      <c r="K53" s="66"/>
      <c r="L53" s="68"/>
    </row>
    <row r="54" spans="3:12" x14ac:dyDescent="0.25">
      <c r="C54" s="63"/>
      <c r="D54" s="67"/>
      <c r="E54" s="67"/>
      <c r="F54" s="67"/>
      <c r="G54" s="68"/>
      <c r="H54" s="68" t="s">
        <v>59</v>
      </c>
      <c r="I54" s="66"/>
      <c r="J54" s="65"/>
      <c r="K54" s="66"/>
      <c r="L54" s="68"/>
    </row>
    <row r="55" spans="3:12" x14ac:dyDescent="0.25">
      <c r="C55" s="65" t="s">
        <v>49</v>
      </c>
      <c r="D55" s="68"/>
      <c r="E55" s="68"/>
      <c r="F55" s="68"/>
      <c r="G55" s="68"/>
      <c r="H55" s="68" t="str">
        <f>H17</f>
        <v>VENCIMIENTO: DICIEMBRE</v>
      </c>
      <c r="I55" s="66"/>
      <c r="J55" s="65"/>
      <c r="K55" s="66"/>
      <c r="L55" s="68"/>
    </row>
    <row r="56" spans="3:12" x14ac:dyDescent="0.25">
      <c r="C56" s="69"/>
      <c r="D56" s="70"/>
      <c r="E56" s="70"/>
      <c r="F56" s="70"/>
      <c r="G56" s="70"/>
      <c r="H56" s="70"/>
      <c r="I56" s="71"/>
      <c r="J56" s="65"/>
      <c r="K56" s="66"/>
      <c r="L56" s="68"/>
    </row>
    <row r="57" spans="3:12" x14ac:dyDescent="0.25">
      <c r="C57" s="101" t="s">
        <v>50</v>
      </c>
      <c r="D57" s="102"/>
      <c r="E57" s="102"/>
      <c r="F57" s="102"/>
      <c r="G57" s="102"/>
      <c r="H57" s="102"/>
      <c r="I57" s="103"/>
      <c r="J57" s="65"/>
      <c r="K57" s="66"/>
      <c r="L57" s="68"/>
    </row>
    <row r="58" spans="3:12" x14ac:dyDescent="0.25">
      <c r="C58" s="65"/>
      <c r="D58" s="68"/>
      <c r="E58" s="68"/>
      <c r="F58" s="68"/>
      <c r="G58" s="68"/>
      <c r="H58" s="68"/>
      <c r="I58" s="66"/>
      <c r="J58" s="65"/>
      <c r="K58" s="66"/>
      <c r="L58" s="68"/>
    </row>
    <row r="59" spans="3:12" x14ac:dyDescent="0.25">
      <c r="C59" s="65" t="s">
        <v>51</v>
      </c>
      <c r="D59" s="68"/>
      <c r="E59" s="68" t="str">
        <f>C6</f>
        <v>CASTILLO JONATHAN</v>
      </c>
      <c r="F59" s="68"/>
      <c r="G59" s="68" t="s">
        <v>52</v>
      </c>
      <c r="H59" s="72"/>
      <c r="I59" s="66"/>
      <c r="J59" s="104" t="s">
        <v>53</v>
      </c>
      <c r="K59" s="105"/>
      <c r="L59" s="82"/>
    </row>
    <row r="60" spans="3:12" x14ac:dyDescent="0.25">
      <c r="C60" s="65" t="s">
        <v>54</v>
      </c>
      <c r="D60" s="73" t="s">
        <v>55</v>
      </c>
      <c r="E60" s="68">
        <f>A6</f>
        <v>2</v>
      </c>
      <c r="F60" s="68"/>
      <c r="G60" s="68"/>
      <c r="H60" s="68"/>
      <c r="I60" s="66"/>
      <c r="J60" s="65"/>
      <c r="K60" s="66"/>
      <c r="L60" s="68"/>
    </row>
    <row r="61" spans="3:12" x14ac:dyDescent="0.25">
      <c r="C61" s="65"/>
      <c r="D61" s="68"/>
      <c r="E61" s="68"/>
      <c r="F61" s="68"/>
      <c r="G61" s="68"/>
      <c r="H61" s="68"/>
      <c r="I61" s="66"/>
      <c r="J61" s="106"/>
      <c r="K61" s="105"/>
      <c r="L61" s="82"/>
    </row>
    <row r="62" spans="3:12" x14ac:dyDescent="0.25">
      <c r="C62" s="65" t="s">
        <v>57</v>
      </c>
      <c r="D62" s="68"/>
      <c r="E62" s="68"/>
      <c r="F62" s="68"/>
      <c r="G62" s="68"/>
      <c r="H62" s="78">
        <f>M$1/5</f>
        <v>70692.445999999996</v>
      </c>
      <c r="I62" s="66"/>
      <c r="J62" s="65"/>
      <c r="K62" s="66"/>
      <c r="L62" s="68"/>
    </row>
    <row r="63" spans="3:12" x14ac:dyDescent="0.25">
      <c r="C63" s="80" t="s">
        <v>40</v>
      </c>
      <c r="D63" s="68"/>
      <c r="E63" s="68"/>
      <c r="F63" s="68"/>
      <c r="G63" s="68"/>
      <c r="H63" s="78">
        <f>T$15/4</f>
        <v>24137.5</v>
      </c>
      <c r="I63" s="66"/>
      <c r="J63" s="65"/>
      <c r="K63" s="66"/>
      <c r="L63" s="68"/>
    </row>
    <row r="64" spans="3:12" x14ac:dyDescent="0.25">
      <c r="C64" s="80" t="s">
        <v>38</v>
      </c>
      <c r="D64" s="68"/>
      <c r="E64" s="68"/>
      <c r="F64" s="68"/>
      <c r="G64" s="68"/>
      <c r="H64" s="78">
        <f>T$16/4</f>
        <v>6997.9375</v>
      </c>
      <c r="I64" s="66"/>
      <c r="J64" s="65"/>
      <c r="K64" s="66"/>
      <c r="L64" s="68"/>
    </row>
    <row r="65" spans="3:12" x14ac:dyDescent="0.25">
      <c r="C65" s="80" t="s">
        <v>41</v>
      </c>
      <c r="D65" s="68"/>
      <c r="E65" s="68"/>
      <c r="F65" s="68"/>
      <c r="G65" s="68"/>
      <c r="H65" s="78">
        <f>T$17/4</f>
        <v>8000</v>
      </c>
      <c r="I65" s="66"/>
      <c r="J65" s="65"/>
      <c r="K65" s="66"/>
      <c r="L65" s="68"/>
    </row>
    <row r="66" spans="3:12" x14ac:dyDescent="0.25">
      <c r="C66" s="80" t="s">
        <v>39</v>
      </c>
      <c r="D66" s="68"/>
      <c r="E66" s="68"/>
      <c r="F66" s="68"/>
      <c r="G66" s="68"/>
      <c r="H66" s="78">
        <f>T$18/4</f>
        <v>6230.9449999999997</v>
      </c>
      <c r="I66" s="66"/>
      <c r="J66" s="65"/>
      <c r="K66" s="66"/>
      <c r="L66" s="68"/>
    </row>
    <row r="67" spans="3:12" hidden="1" x14ac:dyDescent="0.25">
      <c r="D67" s="68"/>
      <c r="E67" s="68"/>
      <c r="F67" s="68"/>
      <c r="G67" s="68"/>
      <c r="H67" s="78"/>
      <c r="I67" s="66"/>
      <c r="J67" s="65"/>
      <c r="K67" s="66"/>
      <c r="L67" s="68"/>
    </row>
    <row r="68" spans="3:12" ht="13.5" customHeight="1" x14ac:dyDescent="0.25">
      <c r="C68" s="80" t="s">
        <v>45</v>
      </c>
      <c r="D68" s="68"/>
      <c r="E68" s="68"/>
      <c r="F68" s="68"/>
      <c r="G68" s="68"/>
      <c r="H68" s="78">
        <f>T$20/3</f>
        <v>0</v>
      </c>
      <c r="I68" s="66"/>
      <c r="J68" s="65"/>
      <c r="K68" s="66"/>
      <c r="L68" s="68"/>
    </row>
    <row r="69" spans="3:12" ht="0.75" customHeight="1" x14ac:dyDescent="0.25">
      <c r="C69" s="65"/>
      <c r="D69" s="68"/>
      <c r="E69" s="68"/>
      <c r="F69" s="68"/>
      <c r="G69" s="68"/>
      <c r="H69" s="68"/>
      <c r="I69" s="66"/>
      <c r="J69" s="65"/>
      <c r="K69" s="66"/>
      <c r="L69" s="68"/>
    </row>
    <row r="70" spans="3:12" hidden="1" x14ac:dyDescent="0.25">
      <c r="C70" s="65"/>
      <c r="D70" s="68"/>
      <c r="E70" s="68"/>
      <c r="F70" s="68"/>
      <c r="G70" s="68"/>
      <c r="H70" s="68"/>
      <c r="I70" s="66"/>
      <c r="J70" s="65"/>
      <c r="K70" s="66"/>
      <c r="L70" s="68"/>
    </row>
    <row r="71" spans="3:12" ht="15.75" thickBot="1" x14ac:dyDescent="0.3">
      <c r="C71" s="65"/>
      <c r="D71" s="68"/>
      <c r="E71" s="68"/>
      <c r="F71" s="68"/>
      <c r="G71" s="68"/>
      <c r="H71" s="68"/>
      <c r="I71" s="66"/>
      <c r="J71" s="74"/>
      <c r="K71" s="75"/>
      <c r="L71" s="68"/>
    </row>
    <row r="72" spans="3:12" ht="15.75" thickBot="1" x14ac:dyDescent="0.3">
      <c r="C72" s="93" t="s">
        <v>56</v>
      </c>
      <c r="D72" s="94"/>
      <c r="E72" s="94"/>
      <c r="F72" s="94"/>
      <c r="G72" s="94"/>
      <c r="H72" s="95">
        <f>SUM(H62:H71)</f>
        <v>116058.8285</v>
      </c>
      <c r="I72" s="96"/>
      <c r="J72" s="76"/>
      <c r="K72" s="77"/>
      <c r="L72" s="68"/>
    </row>
    <row r="75" spans="3:12" ht="15.75" thickBot="1" x14ac:dyDescent="0.3"/>
    <row r="76" spans="3:12" ht="15.75" thickBot="1" x14ac:dyDescent="0.3">
      <c r="C76" s="98" t="s">
        <v>47</v>
      </c>
      <c r="D76" s="99"/>
      <c r="E76" s="99"/>
      <c r="F76" s="99"/>
      <c r="G76" s="99"/>
      <c r="H76" s="99"/>
      <c r="I76" s="96"/>
      <c r="J76" s="63"/>
      <c r="K76" s="64"/>
      <c r="L76" s="68"/>
    </row>
    <row r="77" spans="3:12" ht="15.75" thickBot="1" x14ac:dyDescent="0.3">
      <c r="C77" s="100" t="s">
        <v>48</v>
      </c>
      <c r="D77" s="99"/>
      <c r="E77" s="99"/>
      <c r="F77" s="99"/>
      <c r="G77" s="99"/>
      <c r="H77" s="99"/>
      <c r="I77" s="96"/>
      <c r="J77" s="65"/>
      <c r="K77" s="66"/>
      <c r="L77" s="68"/>
    </row>
    <row r="78" spans="3:12" x14ac:dyDescent="0.25">
      <c r="C78" s="63"/>
      <c r="D78" s="67"/>
      <c r="E78" s="67"/>
      <c r="F78" s="67"/>
      <c r="G78" s="68"/>
      <c r="H78" s="68" t="s">
        <v>59</v>
      </c>
      <c r="I78" s="66"/>
      <c r="J78" s="65"/>
      <c r="K78" s="66"/>
      <c r="L78" s="68"/>
    </row>
    <row r="79" spans="3:12" x14ac:dyDescent="0.25">
      <c r="C79" s="65" t="s">
        <v>49</v>
      </c>
      <c r="D79" s="68"/>
      <c r="E79" s="68"/>
      <c r="F79" s="68"/>
      <c r="G79" s="68"/>
      <c r="H79" s="68" t="str">
        <f>H17</f>
        <v>VENCIMIENTO: DICIEMBRE</v>
      </c>
      <c r="I79" s="66"/>
      <c r="J79" s="65"/>
      <c r="K79" s="66"/>
      <c r="L79" s="68"/>
    </row>
    <row r="80" spans="3:12" x14ac:dyDescent="0.25">
      <c r="C80" s="69"/>
      <c r="D80" s="70"/>
      <c r="E80" s="70"/>
      <c r="F80" s="70"/>
      <c r="G80" s="70"/>
      <c r="H80" s="70"/>
      <c r="I80" s="71"/>
      <c r="J80" s="65"/>
      <c r="K80" s="66"/>
      <c r="L80" s="68"/>
    </row>
    <row r="81" spans="3:12" x14ac:dyDescent="0.25">
      <c r="C81" s="101" t="s">
        <v>50</v>
      </c>
      <c r="D81" s="102"/>
      <c r="E81" s="102"/>
      <c r="F81" s="102"/>
      <c r="G81" s="102"/>
      <c r="H81" s="102"/>
      <c r="I81" s="103"/>
      <c r="J81" s="65"/>
      <c r="K81" s="66"/>
      <c r="L81" s="68"/>
    </row>
    <row r="82" spans="3:12" x14ac:dyDescent="0.25">
      <c r="C82" s="65"/>
      <c r="D82" s="68"/>
      <c r="E82" s="68"/>
      <c r="F82" s="68"/>
      <c r="G82" s="68"/>
      <c r="H82" s="68"/>
      <c r="I82" s="66"/>
      <c r="J82" s="65"/>
      <c r="K82" s="66"/>
      <c r="L82" s="68"/>
    </row>
    <row r="83" spans="3:12" x14ac:dyDescent="0.25">
      <c r="C83" s="65" t="s">
        <v>51</v>
      </c>
      <c r="D83" s="68"/>
      <c r="E83" s="68" t="str">
        <f>C8</f>
        <v xml:space="preserve">JOHANA </v>
      </c>
      <c r="F83" s="68"/>
      <c r="G83" s="68" t="s">
        <v>52</v>
      </c>
      <c r="H83" s="72"/>
      <c r="I83" s="66"/>
      <c r="J83" s="104" t="s">
        <v>53</v>
      </c>
      <c r="K83" s="105"/>
      <c r="L83" s="82"/>
    </row>
    <row r="84" spans="3:12" x14ac:dyDescent="0.25">
      <c r="C84" s="65" t="s">
        <v>54</v>
      </c>
      <c r="D84" s="73" t="s">
        <v>55</v>
      </c>
      <c r="E84" s="68">
        <f>A8</f>
        <v>4</v>
      </c>
      <c r="F84" s="68"/>
      <c r="G84" s="68"/>
      <c r="H84" s="68"/>
      <c r="I84" s="66"/>
      <c r="J84" s="65"/>
      <c r="K84" s="66"/>
      <c r="L84" s="68"/>
    </row>
    <row r="85" spans="3:12" x14ac:dyDescent="0.25">
      <c r="C85" s="65"/>
      <c r="D85" s="68"/>
      <c r="E85" s="68"/>
      <c r="F85" s="68"/>
      <c r="G85" s="68"/>
      <c r="H85" s="68"/>
      <c r="I85" s="66"/>
      <c r="J85" s="106"/>
      <c r="K85" s="105"/>
      <c r="L85" s="82"/>
    </row>
    <row r="86" spans="3:12" x14ac:dyDescent="0.25">
      <c r="C86" s="65" t="s">
        <v>57</v>
      </c>
      <c r="D86" s="68"/>
      <c r="E86" s="68"/>
      <c r="F86" s="68"/>
      <c r="G86" s="68"/>
      <c r="H86" s="78">
        <f>M$1/5</f>
        <v>70692.445999999996</v>
      </c>
      <c r="I86" s="66"/>
      <c r="J86" s="65"/>
      <c r="K86" s="66"/>
      <c r="L86" s="68"/>
    </row>
    <row r="87" spans="3:12" x14ac:dyDescent="0.25">
      <c r="C87" s="80" t="s">
        <v>40</v>
      </c>
      <c r="D87" s="68"/>
      <c r="E87" s="68"/>
      <c r="F87" s="68"/>
      <c r="G87" s="68"/>
      <c r="H87" s="78">
        <f>T$15/4</f>
        <v>24137.5</v>
      </c>
      <c r="I87" s="66"/>
      <c r="J87" s="65"/>
      <c r="K87" s="66"/>
      <c r="L87" s="68"/>
    </row>
    <row r="88" spans="3:12" x14ac:dyDescent="0.25">
      <c r="C88" s="80" t="s">
        <v>38</v>
      </c>
      <c r="D88" s="68"/>
      <c r="E88" s="68"/>
      <c r="F88" s="68"/>
      <c r="G88" s="68"/>
      <c r="H88" s="78">
        <f>T$16/4</f>
        <v>6997.9375</v>
      </c>
      <c r="I88" s="66"/>
      <c r="J88" s="65"/>
      <c r="K88" s="66"/>
      <c r="L88" s="68"/>
    </row>
    <row r="89" spans="3:12" x14ac:dyDescent="0.25">
      <c r="C89" s="80" t="s">
        <v>41</v>
      </c>
      <c r="D89" s="68"/>
      <c r="E89" s="68"/>
      <c r="F89" s="68"/>
      <c r="G89" s="68"/>
      <c r="H89" s="78">
        <f>T$17/4</f>
        <v>8000</v>
      </c>
      <c r="I89" s="66"/>
      <c r="J89" s="65"/>
      <c r="K89" s="66"/>
      <c r="L89" s="68"/>
    </row>
    <row r="90" spans="3:12" ht="14.25" customHeight="1" x14ac:dyDescent="0.25">
      <c r="C90" s="80" t="s">
        <v>39</v>
      </c>
      <c r="D90" s="68"/>
      <c r="E90" s="68"/>
      <c r="F90" s="68"/>
      <c r="G90" s="68"/>
      <c r="H90" s="78">
        <f>T$18/4</f>
        <v>6230.9449999999997</v>
      </c>
      <c r="I90" s="66"/>
      <c r="J90" s="65"/>
      <c r="K90" s="66"/>
      <c r="L90" s="68"/>
    </row>
    <row r="91" spans="3:12" hidden="1" x14ac:dyDescent="0.25">
      <c r="D91" s="68"/>
      <c r="E91" s="68"/>
      <c r="F91" s="68"/>
      <c r="G91" s="68"/>
      <c r="H91" s="78"/>
      <c r="I91" s="66"/>
      <c r="J91" s="65"/>
      <c r="K91" s="66"/>
      <c r="L91" s="68"/>
    </row>
    <row r="92" spans="3:12" x14ac:dyDescent="0.25">
      <c r="C92" s="80" t="s">
        <v>45</v>
      </c>
      <c r="D92" s="68"/>
      <c r="E92" s="68"/>
      <c r="F92" s="68"/>
      <c r="G92" s="68"/>
      <c r="H92" s="78">
        <f>T$20/3</f>
        <v>0</v>
      </c>
      <c r="I92" s="66"/>
      <c r="J92" s="74"/>
      <c r="K92" s="75"/>
      <c r="L92" s="68"/>
    </row>
    <row r="93" spans="3:12" ht="15.75" thickBot="1" x14ac:dyDescent="0.3">
      <c r="D93" s="68"/>
      <c r="E93" s="68"/>
      <c r="F93" s="68"/>
      <c r="G93" s="68"/>
      <c r="H93" s="68"/>
      <c r="I93" s="66"/>
      <c r="J93" s="65"/>
      <c r="K93" s="66"/>
      <c r="L93" s="68"/>
    </row>
    <row r="94" spans="3:12" ht="15.75" thickBot="1" x14ac:dyDescent="0.3">
      <c r="C94" s="93" t="s">
        <v>56</v>
      </c>
      <c r="D94" s="94"/>
      <c r="E94" s="94"/>
      <c r="F94" s="94"/>
      <c r="G94" s="94"/>
      <c r="H94" s="95">
        <f>SUM(H86:H93)</f>
        <v>116058.8285</v>
      </c>
      <c r="I94" s="96"/>
      <c r="J94" s="76"/>
      <c r="K94" s="77"/>
      <c r="L94" s="68"/>
    </row>
    <row r="97" spans="3:12" ht="15.75" thickBot="1" x14ac:dyDescent="0.3"/>
    <row r="98" spans="3:12" ht="15.75" thickBot="1" x14ac:dyDescent="0.3">
      <c r="C98" s="98" t="s">
        <v>47</v>
      </c>
      <c r="D98" s="99"/>
      <c r="E98" s="99"/>
      <c r="F98" s="99"/>
      <c r="G98" s="99"/>
      <c r="H98" s="99"/>
      <c r="I98" s="96"/>
      <c r="J98" s="63"/>
      <c r="K98" s="64"/>
      <c r="L98" s="68"/>
    </row>
    <row r="99" spans="3:12" ht="15.75" thickBot="1" x14ac:dyDescent="0.3">
      <c r="C99" s="100" t="s">
        <v>48</v>
      </c>
      <c r="D99" s="99"/>
      <c r="E99" s="99"/>
      <c r="F99" s="99"/>
      <c r="G99" s="99"/>
      <c r="H99" s="99"/>
      <c r="I99" s="96"/>
      <c r="J99" s="65"/>
      <c r="K99" s="66"/>
      <c r="L99" s="68"/>
    </row>
    <row r="100" spans="3:12" x14ac:dyDescent="0.25">
      <c r="C100" s="63"/>
      <c r="D100" s="67"/>
      <c r="E100" s="67"/>
      <c r="F100" s="67"/>
      <c r="G100" s="68"/>
      <c r="H100" s="68" t="s">
        <v>59</v>
      </c>
      <c r="I100" s="66"/>
      <c r="J100" s="65"/>
      <c r="K100" s="66"/>
      <c r="L100" s="68"/>
    </row>
    <row r="101" spans="3:12" x14ac:dyDescent="0.25">
      <c r="C101" s="65" t="s">
        <v>49</v>
      </c>
      <c r="D101" s="68"/>
      <c r="E101" s="68"/>
      <c r="F101" s="68"/>
      <c r="G101" s="68"/>
      <c r="H101" s="68" t="str">
        <f>H17</f>
        <v>VENCIMIENTO: DICIEMBRE</v>
      </c>
      <c r="I101" s="66"/>
      <c r="J101" s="65"/>
      <c r="K101" s="66"/>
      <c r="L101" s="68"/>
    </row>
    <row r="102" spans="3:12" x14ac:dyDescent="0.25">
      <c r="C102" s="69"/>
      <c r="D102" s="70"/>
      <c r="E102" s="70"/>
      <c r="F102" s="70"/>
      <c r="G102" s="70"/>
      <c r="H102" s="70"/>
      <c r="I102" s="71"/>
      <c r="J102" s="65"/>
      <c r="K102" s="66"/>
      <c r="L102" s="68"/>
    </row>
    <row r="103" spans="3:12" x14ac:dyDescent="0.25">
      <c r="C103" s="101" t="s">
        <v>50</v>
      </c>
      <c r="D103" s="102"/>
      <c r="E103" s="102"/>
      <c r="F103" s="102"/>
      <c r="G103" s="102"/>
      <c r="H103" s="102"/>
      <c r="I103" s="103"/>
      <c r="J103" s="65"/>
      <c r="K103" s="66"/>
      <c r="L103" s="68"/>
    </row>
    <row r="104" spans="3:12" x14ac:dyDescent="0.25">
      <c r="C104" s="65"/>
      <c r="D104" s="68"/>
      <c r="E104" s="68"/>
      <c r="F104" s="68"/>
      <c r="G104" s="68"/>
      <c r="H104" s="68"/>
      <c r="I104" s="66"/>
      <c r="J104" s="65"/>
      <c r="K104" s="66"/>
      <c r="L104" s="68"/>
    </row>
    <row r="105" spans="3:12" x14ac:dyDescent="0.25">
      <c r="C105" s="65" t="s">
        <v>51</v>
      </c>
      <c r="D105" s="68"/>
      <c r="E105" s="68" t="str">
        <f>C9</f>
        <v xml:space="preserve">VARLAS GUILLERMO </v>
      </c>
      <c r="F105" s="68"/>
      <c r="G105" s="68" t="s">
        <v>52</v>
      </c>
      <c r="H105" s="72"/>
      <c r="I105" s="66"/>
      <c r="J105" s="104" t="s">
        <v>53</v>
      </c>
      <c r="K105" s="105"/>
      <c r="L105" s="82"/>
    </row>
    <row r="106" spans="3:12" x14ac:dyDescent="0.25">
      <c r="C106" s="65" t="s">
        <v>54</v>
      </c>
      <c r="D106" s="73" t="s">
        <v>55</v>
      </c>
      <c r="E106" s="68">
        <v>5</v>
      </c>
      <c r="F106" s="68"/>
      <c r="G106" s="68"/>
      <c r="H106" s="68"/>
      <c r="I106" s="66"/>
      <c r="J106" s="65"/>
      <c r="K106" s="66"/>
      <c r="L106" s="68"/>
    </row>
    <row r="107" spans="3:12" x14ac:dyDescent="0.25">
      <c r="C107" s="65"/>
      <c r="D107" s="68"/>
      <c r="E107" s="68"/>
      <c r="F107" s="68"/>
      <c r="G107" s="68"/>
      <c r="H107" s="68"/>
      <c r="I107" s="66"/>
      <c r="J107" s="106"/>
      <c r="K107" s="105"/>
      <c r="L107" s="82"/>
    </row>
    <row r="108" spans="3:12" x14ac:dyDescent="0.25">
      <c r="C108" s="65" t="s">
        <v>57</v>
      </c>
      <c r="D108" s="68"/>
      <c r="E108" s="68"/>
      <c r="F108" s="68"/>
      <c r="G108" s="68"/>
      <c r="H108" s="78">
        <f>M$1/5</f>
        <v>70692.445999999996</v>
      </c>
      <c r="I108" s="66"/>
      <c r="J108" s="65"/>
      <c r="K108" s="66"/>
      <c r="L108" s="68"/>
    </row>
    <row r="109" spans="3:12" x14ac:dyDescent="0.25">
      <c r="C109" s="80" t="s">
        <v>40</v>
      </c>
      <c r="D109" s="68"/>
      <c r="E109" s="68"/>
      <c r="F109" s="68"/>
      <c r="G109" s="68"/>
      <c r="H109" s="78">
        <f>T$15/4</f>
        <v>24137.5</v>
      </c>
      <c r="I109" s="66"/>
      <c r="J109" s="65"/>
      <c r="K109" s="66"/>
      <c r="L109" s="68"/>
    </row>
    <row r="110" spans="3:12" x14ac:dyDescent="0.25">
      <c r="C110" s="80" t="s">
        <v>38</v>
      </c>
      <c r="D110" s="68"/>
      <c r="E110" s="68"/>
      <c r="F110" s="68"/>
      <c r="G110" s="68"/>
      <c r="H110" s="78">
        <f>T$16/4</f>
        <v>6997.9375</v>
      </c>
      <c r="I110" s="66"/>
      <c r="J110" s="65"/>
      <c r="K110" s="66"/>
      <c r="L110" s="68"/>
    </row>
    <row r="111" spans="3:12" x14ac:dyDescent="0.25">
      <c r="C111" s="80" t="s">
        <v>41</v>
      </c>
      <c r="D111" s="68"/>
      <c r="E111" s="68"/>
      <c r="F111" s="68"/>
      <c r="G111" s="68"/>
      <c r="H111" s="78">
        <f>T$17/4</f>
        <v>8000</v>
      </c>
      <c r="I111" s="66"/>
      <c r="J111" s="65"/>
      <c r="K111" s="66"/>
      <c r="L111" s="68"/>
    </row>
    <row r="112" spans="3:12" x14ac:dyDescent="0.25">
      <c r="C112" s="80" t="s">
        <v>39</v>
      </c>
      <c r="D112" s="68"/>
      <c r="E112" s="68"/>
      <c r="F112" s="68"/>
      <c r="G112" s="68"/>
      <c r="H112" s="78">
        <f>T$18/4</f>
        <v>6230.9449999999997</v>
      </c>
      <c r="I112" s="66"/>
      <c r="J112" s="65"/>
      <c r="K112" s="66"/>
      <c r="L112" s="68"/>
    </row>
    <row r="113" spans="3:12" hidden="1" x14ac:dyDescent="0.25">
      <c r="D113" s="68"/>
      <c r="E113" s="68"/>
      <c r="F113" s="68"/>
      <c r="G113" s="68"/>
      <c r="H113" s="78"/>
      <c r="I113" s="66"/>
      <c r="J113" s="65"/>
      <c r="K113" s="66"/>
      <c r="L113" s="68"/>
    </row>
    <row r="114" spans="3:12" x14ac:dyDescent="0.25">
      <c r="C114" s="80" t="s">
        <v>45</v>
      </c>
      <c r="D114" s="68"/>
      <c r="E114" s="68"/>
      <c r="F114" s="68"/>
      <c r="G114" s="68"/>
      <c r="H114" s="78">
        <f>T$20/3</f>
        <v>0</v>
      </c>
      <c r="I114" s="66"/>
      <c r="J114" s="74"/>
      <c r="K114" s="75"/>
      <c r="L114" s="68"/>
    </row>
    <row r="115" spans="3:12" ht="15.75" thickBot="1" x14ac:dyDescent="0.3">
      <c r="D115" s="68"/>
      <c r="E115" s="68"/>
      <c r="F115" s="68"/>
      <c r="G115" s="68"/>
      <c r="H115" s="68"/>
      <c r="I115" s="66"/>
      <c r="J115" s="65"/>
      <c r="K115" s="66"/>
      <c r="L115" s="68"/>
    </row>
    <row r="116" spans="3:12" ht="15.75" thickBot="1" x14ac:dyDescent="0.3">
      <c r="C116" s="93" t="s">
        <v>56</v>
      </c>
      <c r="D116" s="94"/>
      <c r="E116" s="94"/>
      <c r="F116" s="94"/>
      <c r="G116" s="94"/>
      <c r="H116" s="95">
        <f>SUM(H108:H115)</f>
        <v>116058.8285</v>
      </c>
      <c r="I116" s="96"/>
      <c r="J116" s="76"/>
      <c r="K116" s="77"/>
      <c r="L116" s="68"/>
    </row>
  </sheetData>
  <mergeCells count="37">
    <mergeCell ref="C72:G72"/>
    <mergeCell ref="H72:I72"/>
    <mergeCell ref="C52:I52"/>
    <mergeCell ref="C53:I53"/>
    <mergeCell ref="C57:I57"/>
    <mergeCell ref="C49:G49"/>
    <mergeCell ref="H49:I49"/>
    <mergeCell ref="J105:K105"/>
    <mergeCell ref="J107:K107"/>
    <mergeCell ref="C94:G94"/>
    <mergeCell ref="H94:I94"/>
    <mergeCell ref="J59:K59"/>
    <mergeCell ref="J61:K61"/>
    <mergeCell ref="C98:I98"/>
    <mergeCell ref="C99:I99"/>
    <mergeCell ref="C103:I103"/>
    <mergeCell ref="C76:I76"/>
    <mergeCell ref="C77:I77"/>
    <mergeCell ref="C81:I81"/>
    <mergeCell ref="J83:K83"/>
    <mergeCell ref="J85:K85"/>
    <mergeCell ref="C116:G116"/>
    <mergeCell ref="H116:I116"/>
    <mergeCell ref="A1:C1"/>
    <mergeCell ref="A11:M11"/>
    <mergeCell ref="C14:I14"/>
    <mergeCell ref="C15:I15"/>
    <mergeCell ref="C19:I19"/>
    <mergeCell ref="J21:K21"/>
    <mergeCell ref="J23:K23"/>
    <mergeCell ref="C32:G32"/>
    <mergeCell ref="H32:I32"/>
    <mergeCell ref="C36:I36"/>
    <mergeCell ref="C37:I37"/>
    <mergeCell ref="C41:I41"/>
    <mergeCell ref="J43:K43"/>
    <mergeCell ref="J45:K45"/>
  </mergeCells>
  <printOptions horizontalCentered="1" verticalCentered="1"/>
  <pageMargins left="0.25" right="0.25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detalle y gastos</vt:lpstr>
      <vt:lpstr>prorrateo 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2025-03-30T15:03:26Z</cp:lastPrinted>
  <dcterms:created xsi:type="dcterms:W3CDTF">2020-12-10T00:27:53Z</dcterms:created>
  <dcterms:modified xsi:type="dcterms:W3CDTF">2025-04-30T14:58:06Z</dcterms:modified>
</cp:coreProperties>
</file>