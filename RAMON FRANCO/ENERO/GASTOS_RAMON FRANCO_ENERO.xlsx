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Hoja1" sheetId="1" r:id="rId1"/>
  </sheets>
  <definedNames>
    <definedName name="_xlnm.Print_Area" localSheetId="0">Hoja1!$A$1:$H$71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1" l="1"/>
  <c r="I48" i="1"/>
  <c r="H14" i="1" l="1"/>
  <c r="H26" i="1" l="1"/>
  <c r="K35" i="1" l="1"/>
  <c r="H22" i="1" l="1"/>
  <c r="H40" i="1"/>
  <c r="H17" i="1" l="1"/>
  <c r="H55" i="1" l="1"/>
  <c r="H61" i="1" s="1"/>
  <c r="H27" i="1" l="1"/>
  <c r="H48" i="1" l="1"/>
  <c r="H58" i="1" l="1"/>
  <c r="H68" i="1"/>
  <c r="H69" i="1" s="1"/>
</calcChain>
</file>

<file path=xl/sharedStrings.xml><?xml version="1.0" encoding="utf-8"?>
<sst xmlns="http://schemas.openxmlformats.org/spreadsheetml/2006/main" count="52" uniqueCount="51">
  <si>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</si>
  <si>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</si>
  <si>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</si>
  <si>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</si>
  <si>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</si>
  <si>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</si>
  <si>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</si>
  <si>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</si>
  <si>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</si>
  <si>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</si>
  <si>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</si>
  <si>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</si>
  <si>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</si>
  <si>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</si>
  <si>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</si>
  <si>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</si>
  <si>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</si>
  <si>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</si>
  <si>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</si>
  <si>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</si>
  <si>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</si>
  <si>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</si>
  <si>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</si>
  <si>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</si>
  <si>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</si>
  <si>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</si>
  <si>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</si>
  <si>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 xml:space="preserve">Mantenimiento de Ascensor 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</si>
  <si>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</si>
  <si>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</si>
  <si>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</si>
  <si>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</si>
  <si>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</si>
  <si>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</si>
  <si>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</si>
  <si>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</si>
  <si>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</si>
  <si>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</si>
  <si>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</si>
  <si>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</si>
  <si>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JPL Articulos de limpieza </t>
  </si>
  <si>
    <t xml:space="preserve">Ingreso pago por expensas - DICIEMBRE - </t>
  </si>
  <si>
    <t>Egresos gastos del mes - DICIEMBRE</t>
  </si>
  <si>
    <t>Mes ENERO</t>
  </si>
  <si>
    <t>PERIODO: ENERO - Vto. 14/02</t>
  </si>
  <si>
    <t xml:space="preserve"> HONORARIOS - LA ULTIMA VEZ FUE EN DICIEMBRE</t>
  </si>
  <si>
    <t>TSG ENERO - DESDE MAYO 2024 HASTA DICIEMBRE 2024</t>
  </si>
  <si>
    <t xml:space="preserve">Ferreteria compra de manguera </t>
  </si>
  <si>
    <t>Administraciòn ENERO 2025:</t>
  </si>
  <si>
    <t>SEÑORES PROPIETARIOS E INQUILINOS: A PARTIR DE LA LIQUIDACION DE FEBRERO, QUIEN NO ABONE EDESUR PAGARA CON PUNITORIOS AL MES SIGUIENTE. LA CAJA MOSTRADA NO ES LA REAL DEBIDO A QUE DENTRO DE LA MISMA SE SOSTIENEN LOS DEUDORES DE EDESUR Y NO SE PUEDEN AVANZAR EN MEJORAS.</t>
  </si>
  <si>
    <t>Prevision ordinaria - MATAFUEGOS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</si>
</sst>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 applyBorder="1"/>
    <xf numFmtId="0" fontId="5" fillId="3" borderId="0" xfId="0" applyFont="1" applyFill="1" applyBorder="1"/>
    <xf numFmtId="0" fontId="5" fillId="3" borderId="10" xfId="0" applyFont="1" applyFill="1" applyBorder="1"/>
    <xf numFmtId="0" fontId="2" fillId="0" borderId="0" xfId="0" applyFont="1" applyBorder="1"/>
    <xf numFmtId="0" fontId="0" fillId="5" borderId="0" xfId="0" applyFill="1" applyBorder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0" fillId="5" borderId="0" xfId="0" applyFill="1"/>
    <xf numFmtId="0" fontId="7" fillId="0" borderId="9" xfId="0" applyFont="1" applyBorder="1"/>
    <xf numFmtId="0" fontId="7" fillId="0" borderId="0" xfId="0" applyFont="1" applyBorder="1"/>
    <xf numFmtId="6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 applyBorder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 applyBorder="1"/>
    <xf numFmtId="44" fontId="7" fillId="5" borderId="10" xfId="1" applyFont="1" applyFill="1" applyBorder="1"/>
    <xf numFmtId="44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 applyBorder="1"/>
    <xf numFmtId="44" fontId="7" fillId="5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0" fillId="0" borderId="0" xfId="0" applyFont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5" borderId="0" xfId="0" applyFont="1" applyFill="1" applyBorder="1"/>
    <xf numFmtId="8" fontId="9" fillId="5" borderId="0" xfId="0" applyNumberFormat="1" applyFont="1" applyFill="1" applyBorder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6" fontId="8" fillId="6" borderId="10" xfId="0" applyNumberFormat="1" applyFont="1" applyFill="1" applyBorder="1"/>
    <xf numFmtId="0" fontId="7" fillId="0" borderId="12" xfId="0" applyFont="1" applyBorder="1"/>
    <xf numFmtId="6" fontId="7" fillId="5" borderId="10" xfId="0" applyNumberFormat="1" applyFont="1" applyFill="1" applyBorder="1"/>
    <xf numFmtId="44" fontId="7" fillId="0" borderId="10" xfId="1" applyFont="1" applyBorder="1"/>
    <xf numFmtId="44" fontId="8" fillId="4" borderId="10" xfId="1" applyFont="1" applyFill="1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Border="1" applyAlignment="1">
      <alignment vertical="center"/>
    </xf>
    <xf numFmtId="0" fontId="10" fillId="7" borderId="0" xfId="0" applyFont="1" applyFill="1" applyBorder="1" applyAlignment="1">
      <alignment vertical="center"/>
    </xf>
    <xf numFmtId="8" fontId="8" fillId="7" borderId="0" xfId="0" applyNumberFormat="1" applyFont="1" applyFill="1" applyBorder="1" applyAlignment="1">
      <alignment vertical="center"/>
    </xf>
    <xf numFmtId="8" fontId="10" fillId="5" borderId="3" xfId="1" applyNumberFormat="1" applyFont="1" applyFill="1" applyBorder="1"/>
    <xf numFmtId="16" fontId="7" fillId="5" borderId="0" xfId="0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0" fontId="0" fillId="0" borderId="0" xfId="0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44" fontId="7" fillId="5" borderId="12" xfId="1" applyFont="1" applyFill="1" applyBorder="1"/>
    <xf numFmtId="0" fontId="2" fillId="8" borderId="0" xfId="0" applyFont="1" applyFill="1" applyAlignment="1">
      <alignment horizontal="center" vertical="center" wrapText="1"/>
    </xf>
    <xf numFmtId="8" fontId="6" fillId="0" borderId="0" xfId="0" applyNumberFormat="1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topLeftCell="A44" zoomScale="90" zoomScaleNormal="90" workbookViewId="0">
      <selection activeCell="A50" sqref="A50:H51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4"/>
      <c r="B1" s="1"/>
      <c r="C1" s="1"/>
      <c r="D1" s="1"/>
      <c r="E1" s="1"/>
      <c r="F1" s="1"/>
      <c r="G1" s="1"/>
      <c r="H1" s="5"/>
    </row>
    <row r="2" spans="1:8" x14ac:dyDescent="0.25">
      <c r="A2" s="6"/>
      <c r="B2" s="2"/>
      <c r="C2" s="2"/>
      <c r="D2" s="14" t="s">
        <v>0</v>
      </c>
      <c r="E2" s="2" t="s">
        <v>24</v>
      </c>
      <c r="F2" s="2"/>
      <c r="G2" s="2"/>
      <c r="H2" s="7"/>
    </row>
    <row r="3" spans="1:8" x14ac:dyDescent="0.25">
      <c r="A3" s="6"/>
      <c r="B3" s="2"/>
      <c r="C3" s="2"/>
      <c r="D3" s="14" t="s">
        <v>1</v>
      </c>
      <c r="E3" s="69">
        <v>1153202676</v>
      </c>
      <c r="F3" s="69"/>
      <c r="G3" s="2"/>
      <c r="H3" s="7"/>
    </row>
    <row r="4" spans="1:8" x14ac:dyDescent="0.25">
      <c r="A4" s="6"/>
      <c r="B4" s="2"/>
      <c r="C4" s="2"/>
      <c r="D4" s="14" t="s">
        <v>2</v>
      </c>
      <c r="E4" s="18" t="s">
        <v>25</v>
      </c>
      <c r="F4" s="2"/>
      <c r="G4" s="2"/>
      <c r="H4" s="7"/>
    </row>
    <row r="5" spans="1:8" x14ac:dyDescent="0.25">
      <c r="A5" s="6"/>
      <c r="B5" s="2"/>
      <c r="C5" s="2"/>
      <c r="D5" s="54" t="s">
        <v>35</v>
      </c>
      <c r="E5" s="2"/>
      <c r="F5" s="2"/>
      <c r="G5" s="2"/>
      <c r="H5" s="7"/>
    </row>
    <row r="6" spans="1:8" x14ac:dyDescent="0.25">
      <c r="A6" s="6"/>
      <c r="B6" s="2"/>
      <c r="C6" s="2"/>
      <c r="D6" s="2"/>
      <c r="E6" s="2"/>
      <c r="F6" s="2"/>
      <c r="G6" s="2"/>
      <c r="H6" s="7"/>
    </row>
    <row r="7" spans="1:8" ht="18.75" x14ac:dyDescent="0.3">
      <c r="A7" s="10" t="s">
        <v>3</v>
      </c>
      <c r="B7" s="11"/>
      <c r="C7" s="11"/>
      <c r="D7" s="11"/>
      <c r="E7" s="11" t="s">
        <v>44</v>
      </c>
      <c r="F7" s="11"/>
      <c r="G7" s="12"/>
      <c r="H7" s="13"/>
    </row>
    <row r="8" spans="1:8" x14ac:dyDescent="0.25">
      <c r="A8" s="4"/>
      <c r="B8" s="1"/>
      <c r="C8" s="1"/>
      <c r="D8" s="1"/>
      <c r="E8" s="1"/>
      <c r="F8" s="1"/>
      <c r="G8" s="1"/>
      <c r="H8" s="5"/>
    </row>
    <row r="9" spans="1:8" x14ac:dyDescent="0.25">
      <c r="A9" s="6" t="s">
        <v>4</v>
      </c>
      <c r="B9" s="2"/>
      <c r="C9" s="2"/>
      <c r="D9" s="2"/>
      <c r="E9" s="2" t="s">
        <v>5</v>
      </c>
      <c r="F9" s="2"/>
      <c r="G9" s="2"/>
      <c r="H9" s="7"/>
    </row>
    <row r="10" spans="1:8" x14ac:dyDescent="0.25">
      <c r="A10" s="6" t="s">
        <v>6</v>
      </c>
      <c r="B10" s="2" t="s">
        <v>26</v>
      </c>
      <c r="C10" s="2"/>
      <c r="D10" s="2"/>
      <c r="E10" s="2"/>
      <c r="F10" s="2"/>
      <c r="G10" s="2"/>
      <c r="H10" s="7"/>
    </row>
    <row r="11" spans="1:8" x14ac:dyDescent="0.25">
      <c r="A11" s="8"/>
      <c r="B11" s="3"/>
      <c r="C11" s="3"/>
      <c r="D11" s="3"/>
      <c r="E11" s="3"/>
      <c r="F11" s="3"/>
      <c r="G11" s="3"/>
      <c r="H11" s="9"/>
    </row>
    <row r="12" spans="1:8" x14ac:dyDescent="0.25">
      <c r="A12" s="79" t="s">
        <v>13</v>
      </c>
      <c r="B12" s="79"/>
      <c r="C12" s="79"/>
      <c r="D12" s="79"/>
      <c r="E12" s="79"/>
      <c r="F12" s="79"/>
      <c r="G12" s="79"/>
      <c r="H12" s="79"/>
    </row>
    <row r="13" spans="1:8" x14ac:dyDescent="0.25">
      <c r="A13" s="20"/>
      <c r="B13" s="21"/>
      <c r="C13" s="21"/>
      <c r="D13" s="21"/>
      <c r="E13" s="21"/>
      <c r="F13" s="21"/>
      <c r="G13" s="21"/>
      <c r="H13" s="22"/>
    </row>
    <row r="14" spans="1:8" ht="14.25" customHeight="1" x14ac:dyDescent="0.25">
      <c r="A14" s="20" t="s">
        <v>29</v>
      </c>
      <c r="B14" s="21" t="s">
        <v>31</v>
      </c>
      <c r="C14" s="21"/>
      <c r="D14" s="21"/>
      <c r="E14" s="21"/>
      <c r="F14" s="21"/>
      <c r="G14" s="21"/>
      <c r="H14" s="57">
        <f>225200</f>
        <v>225200</v>
      </c>
    </row>
    <row r="15" spans="1:8" hidden="1" x14ac:dyDescent="0.25">
      <c r="A15" s="20"/>
      <c r="B15" s="21"/>
      <c r="C15" s="21"/>
      <c r="D15" s="21"/>
      <c r="E15" s="21"/>
      <c r="F15" s="21"/>
      <c r="G15" s="21"/>
      <c r="H15" s="57"/>
    </row>
    <row r="16" spans="1:8" x14ac:dyDescent="0.25">
      <c r="A16" s="20" t="s">
        <v>32</v>
      </c>
      <c r="B16" s="21"/>
      <c r="C16" s="20"/>
      <c r="D16" s="21" t="s">
        <v>33</v>
      </c>
      <c r="E16" s="21"/>
      <c r="F16" s="21"/>
      <c r="G16" s="21"/>
      <c r="H16" s="57">
        <v>3063</v>
      </c>
    </row>
    <row r="17" spans="1:8" x14ac:dyDescent="0.25">
      <c r="A17" s="23" t="s">
        <v>7</v>
      </c>
      <c r="B17" s="24"/>
      <c r="C17" s="24"/>
      <c r="D17" s="24"/>
      <c r="E17" s="24"/>
      <c r="F17" s="24"/>
      <c r="G17" s="24"/>
      <c r="H17" s="55">
        <f>SUM(H13:H16)</f>
        <v>228263</v>
      </c>
    </row>
    <row r="18" spans="1:8" x14ac:dyDescent="0.25">
      <c r="A18" s="25"/>
      <c r="B18" s="26"/>
      <c r="C18" s="26"/>
      <c r="D18" s="26"/>
      <c r="E18" s="26"/>
      <c r="F18" s="26"/>
      <c r="G18" s="26"/>
      <c r="H18" s="56"/>
    </row>
    <row r="19" spans="1:8" x14ac:dyDescent="0.25">
      <c r="A19" s="80" t="s">
        <v>8</v>
      </c>
      <c r="B19" s="81"/>
      <c r="C19" s="81"/>
      <c r="D19" s="81"/>
      <c r="E19" s="81"/>
      <c r="F19" s="81"/>
      <c r="G19" s="81"/>
      <c r="H19" s="82"/>
    </row>
    <row r="20" spans="1:8" x14ac:dyDescent="0.25">
      <c r="A20" s="20" t="s">
        <v>28</v>
      </c>
      <c r="B20" s="21"/>
      <c r="C20" s="27"/>
      <c r="D20" s="21"/>
      <c r="E20" s="21"/>
      <c r="F20" s="21"/>
      <c r="G20" s="21"/>
      <c r="H20" s="32">
        <v>23131.87</v>
      </c>
    </row>
    <row r="21" spans="1:8" ht="16.5" hidden="1" customHeight="1" x14ac:dyDescent="0.25">
      <c r="A21" s="20"/>
      <c r="B21" s="21"/>
      <c r="C21" s="21"/>
      <c r="D21" s="21"/>
      <c r="E21" s="27"/>
      <c r="F21" s="21"/>
      <c r="G21" s="21"/>
      <c r="H21" s="28"/>
    </row>
    <row r="22" spans="1:8" x14ac:dyDescent="0.25">
      <c r="A22" s="23" t="s">
        <v>9</v>
      </c>
      <c r="B22" s="24"/>
      <c r="C22" s="24"/>
      <c r="D22" s="24"/>
      <c r="E22" s="24"/>
      <c r="F22" s="24"/>
      <c r="G22" s="24"/>
      <c r="H22" s="29">
        <f>SUM(H20:H21)</f>
        <v>23131.87</v>
      </c>
    </row>
    <row r="23" spans="1:8" x14ac:dyDescent="0.25">
      <c r="A23" s="80" t="s">
        <v>18</v>
      </c>
      <c r="B23" s="81"/>
      <c r="C23" s="81"/>
      <c r="D23" s="81"/>
      <c r="E23" s="81"/>
      <c r="F23" s="81"/>
      <c r="G23" s="81"/>
      <c r="H23" s="82"/>
    </row>
    <row r="24" spans="1:8" x14ac:dyDescent="0.25">
      <c r="A24" s="30" t="s">
        <v>19</v>
      </c>
      <c r="B24" s="31"/>
      <c r="C24" s="31"/>
      <c r="D24" s="31"/>
      <c r="E24" s="31"/>
      <c r="F24" s="31"/>
      <c r="G24" s="31"/>
      <c r="H24" s="32"/>
    </row>
    <row r="25" spans="1:8" hidden="1" x14ac:dyDescent="0.25">
      <c r="A25" s="30"/>
      <c r="B25" s="31"/>
      <c r="C25" s="31"/>
      <c r="D25" s="31"/>
      <c r="E25" s="31"/>
      <c r="F25" s="31"/>
      <c r="G25" s="31"/>
      <c r="H25" s="32"/>
    </row>
    <row r="26" spans="1:8" x14ac:dyDescent="0.25">
      <c r="A26" s="20" t="s">
        <v>46</v>
      </c>
      <c r="B26" s="21"/>
      <c r="C26" s="21"/>
      <c r="D26" s="21"/>
      <c r="E26" s="21"/>
      <c r="F26" s="21"/>
      <c r="G26" s="21"/>
      <c r="H26" s="28">
        <f>4862+4714+5561+5382+5203+5727+5522+5318</f>
        <v>42289</v>
      </c>
    </row>
    <row r="27" spans="1:8" x14ac:dyDescent="0.25">
      <c r="A27" s="23" t="s">
        <v>7</v>
      </c>
      <c r="B27" s="24"/>
      <c r="C27" s="24"/>
      <c r="D27" s="24"/>
      <c r="E27" s="24"/>
      <c r="F27" s="24"/>
      <c r="G27" s="24"/>
      <c r="H27" s="29">
        <f>SUM(H24:H26)</f>
        <v>42289</v>
      </c>
    </row>
    <row r="28" spans="1:8" x14ac:dyDescent="0.25">
      <c r="A28" s="83" t="s">
        <v>20</v>
      </c>
      <c r="B28" s="83"/>
      <c r="C28" s="83"/>
      <c r="D28" s="83"/>
      <c r="E28" s="83"/>
      <c r="F28" s="83"/>
      <c r="G28" s="83"/>
      <c r="H28" s="83"/>
    </row>
    <row r="29" spans="1:8" x14ac:dyDescent="0.25">
      <c r="A29" s="20"/>
      <c r="B29" s="21"/>
      <c r="C29" s="21"/>
      <c r="D29" s="21"/>
      <c r="E29" s="21"/>
      <c r="F29" s="21"/>
      <c r="G29" s="21"/>
      <c r="H29" s="58"/>
    </row>
    <row r="30" spans="1:8" x14ac:dyDescent="0.25">
      <c r="A30" s="20" t="s">
        <v>27</v>
      </c>
      <c r="B30" s="21"/>
      <c r="C30" s="21"/>
      <c r="D30" s="21" t="s">
        <v>43</v>
      </c>
      <c r="E30" s="21"/>
      <c r="F30" s="21"/>
      <c r="G30" s="21"/>
      <c r="H30" s="28">
        <v>83573.490000000005</v>
      </c>
    </row>
    <row r="31" spans="1:8" hidden="1" x14ac:dyDescent="0.25">
      <c r="A31" s="20"/>
      <c r="B31" s="21"/>
      <c r="C31" s="21"/>
      <c r="D31" s="21"/>
      <c r="E31" s="21"/>
      <c r="F31" s="21"/>
      <c r="G31" s="21"/>
      <c r="H31" s="28"/>
    </row>
    <row r="32" spans="1:8" hidden="1" x14ac:dyDescent="0.25">
      <c r="A32" s="20"/>
      <c r="B32" s="21"/>
      <c r="C32" s="27"/>
      <c r="D32" s="21"/>
      <c r="E32" s="21"/>
      <c r="F32" s="21"/>
      <c r="G32" s="21"/>
      <c r="H32" s="28"/>
    </row>
    <row r="33" spans="1:12" x14ac:dyDescent="0.25">
      <c r="A33" s="30" t="s">
        <v>47</v>
      </c>
      <c r="B33" s="21"/>
      <c r="C33" s="27"/>
      <c r="D33" s="31"/>
      <c r="E33" s="66"/>
      <c r="F33" s="21"/>
      <c r="G33" s="21"/>
      <c r="H33" s="28">
        <v>16000</v>
      </c>
    </row>
    <row r="34" spans="1:12" x14ac:dyDescent="0.25">
      <c r="A34" s="30" t="s">
        <v>40</v>
      </c>
      <c r="B34" s="21"/>
      <c r="C34" s="27"/>
      <c r="D34" s="31"/>
      <c r="E34" s="66"/>
      <c r="F34" s="21"/>
      <c r="G34" s="21"/>
      <c r="H34" s="28">
        <v>0</v>
      </c>
      <c r="K34">
        <v>89897</v>
      </c>
    </row>
    <row r="35" spans="1:12" ht="14.25" customHeight="1" x14ac:dyDescent="0.25">
      <c r="A35" s="30"/>
      <c r="B35" s="21"/>
      <c r="C35" s="27"/>
      <c r="D35" s="66"/>
      <c r="E35" s="31"/>
      <c r="F35" s="21"/>
      <c r="G35" s="21"/>
      <c r="H35" s="28"/>
      <c r="K35" s="60">
        <f>K34-H36-5000-10000</f>
        <v>74897</v>
      </c>
      <c r="L35" t="s">
        <v>39</v>
      </c>
    </row>
    <row r="36" spans="1:12" hidden="1" x14ac:dyDescent="0.25">
      <c r="A36" s="30"/>
      <c r="B36" s="21"/>
      <c r="C36" s="27"/>
      <c r="D36" s="21"/>
      <c r="E36" s="21"/>
      <c r="F36" s="21"/>
      <c r="G36" s="27"/>
      <c r="H36" s="28"/>
    </row>
    <row r="37" spans="1:12" hidden="1" x14ac:dyDescent="0.25">
      <c r="A37" s="30"/>
      <c r="B37" s="21"/>
      <c r="C37" s="27"/>
      <c r="D37" s="21"/>
      <c r="E37" s="21"/>
      <c r="F37" s="21"/>
      <c r="G37" s="27"/>
      <c r="H37" s="28"/>
    </row>
    <row r="38" spans="1:12" ht="13.5" customHeight="1" x14ac:dyDescent="0.25">
      <c r="A38" s="20"/>
      <c r="B38" s="21"/>
      <c r="C38" s="27"/>
      <c r="D38" s="21"/>
      <c r="E38" s="21"/>
      <c r="F38" s="21"/>
      <c r="G38" s="21"/>
      <c r="H38" s="28"/>
      <c r="I38" s="19"/>
      <c r="J38" s="19"/>
    </row>
    <row r="39" spans="1:12" hidden="1" x14ac:dyDescent="0.25">
      <c r="A39" s="20"/>
      <c r="B39" s="21"/>
      <c r="C39" s="21"/>
      <c r="D39" s="21"/>
      <c r="E39" s="21"/>
      <c r="F39" s="21"/>
      <c r="G39" s="21"/>
      <c r="H39" s="28"/>
    </row>
    <row r="40" spans="1:12" x14ac:dyDescent="0.25">
      <c r="A40" s="23" t="s">
        <v>10</v>
      </c>
      <c r="B40" s="24"/>
      <c r="C40" s="24"/>
      <c r="D40" s="24"/>
      <c r="E40" s="24"/>
      <c r="F40" s="24"/>
      <c r="G40" s="24"/>
      <c r="H40" s="29">
        <f>SUM(H29:H39)</f>
        <v>99573.49</v>
      </c>
    </row>
    <row r="41" spans="1:12" x14ac:dyDescent="0.25">
      <c r="A41" s="20"/>
      <c r="B41" s="21"/>
      <c r="C41" s="21"/>
      <c r="D41" s="21"/>
      <c r="E41" s="21"/>
      <c r="F41" s="21"/>
      <c r="G41" s="21"/>
      <c r="H41" s="33"/>
    </row>
    <row r="42" spans="1:12" x14ac:dyDescent="0.25">
      <c r="A42" s="80" t="s">
        <v>21</v>
      </c>
      <c r="B42" s="81"/>
      <c r="C42" s="81"/>
      <c r="D42" s="81"/>
      <c r="E42" s="81"/>
      <c r="F42" s="81"/>
      <c r="G42" s="81"/>
      <c r="H42" s="82"/>
    </row>
    <row r="43" spans="1:12" x14ac:dyDescent="0.25">
      <c r="A43" s="20" t="s">
        <v>11</v>
      </c>
      <c r="B43" s="21"/>
      <c r="C43" s="21" t="s">
        <v>12</v>
      </c>
      <c r="D43" s="21"/>
      <c r="E43" s="21"/>
      <c r="F43" s="21"/>
      <c r="G43" s="21"/>
      <c r="H43" s="33"/>
      <c r="I43" s="60"/>
    </row>
    <row r="44" spans="1:12" x14ac:dyDescent="0.25">
      <c r="A44" s="23" t="s">
        <v>48</v>
      </c>
      <c r="B44" s="24"/>
      <c r="C44" s="24"/>
      <c r="D44" s="24"/>
      <c r="E44" s="24"/>
      <c r="F44" s="24"/>
      <c r="G44" s="24"/>
      <c r="H44" s="59">
        <v>124825</v>
      </c>
      <c r="I44" s="60"/>
      <c r="K44" t="s">
        <v>45</v>
      </c>
    </row>
    <row r="45" spans="1:12" x14ac:dyDescent="0.25">
      <c r="A45" s="20"/>
      <c r="B45" s="21"/>
      <c r="C45" s="21"/>
      <c r="D45" s="21"/>
      <c r="E45" s="21"/>
      <c r="F45" s="21"/>
      <c r="G45" s="21"/>
      <c r="H45" s="34"/>
    </row>
    <row r="46" spans="1:12" x14ac:dyDescent="0.25">
      <c r="A46" s="80" t="s">
        <v>22</v>
      </c>
      <c r="B46" s="81"/>
      <c r="C46" s="81"/>
      <c r="D46" s="81"/>
      <c r="E46" s="81"/>
      <c r="F46" s="81"/>
      <c r="G46" s="81"/>
      <c r="H46" s="82"/>
    </row>
    <row r="47" spans="1:12" x14ac:dyDescent="0.25">
      <c r="A47" s="67" t="s">
        <v>37</v>
      </c>
      <c r="B47" s="68"/>
      <c r="C47" s="68"/>
      <c r="D47" s="68"/>
      <c r="E47" s="68"/>
      <c r="F47" s="68"/>
      <c r="G47" s="68"/>
      <c r="H47" s="94">
        <v>47532.32</v>
      </c>
    </row>
    <row r="48" spans="1:12" s="17" customFormat="1" ht="15.75" x14ac:dyDescent="0.25">
      <c r="A48" s="36" t="s">
        <v>23</v>
      </c>
      <c r="B48" s="37"/>
      <c r="C48" s="37"/>
      <c r="D48" s="37"/>
      <c r="E48" s="37"/>
      <c r="F48" s="37"/>
      <c r="G48" s="37"/>
      <c r="H48" s="38">
        <f>H17+H22+H27+H40+H44+H47</f>
        <v>565614.67999999993</v>
      </c>
      <c r="I48" s="96">
        <f>J48-H48</f>
        <v>70715.90000000014</v>
      </c>
      <c r="J48" s="17">
        <v>636330.58000000007</v>
      </c>
    </row>
    <row r="49" spans="1:10" s="15" customFormat="1" ht="18.75" x14ac:dyDescent="0.25">
      <c r="A49" s="62" t="s">
        <v>50</v>
      </c>
      <c r="B49" s="63"/>
      <c r="C49" s="63"/>
      <c r="D49" s="63"/>
      <c r="E49" s="63"/>
      <c r="F49" s="63"/>
      <c r="G49" s="63"/>
      <c r="H49" s="64">
        <f>I48</f>
        <v>70715.90000000014</v>
      </c>
    </row>
    <row r="50" spans="1:10" ht="15" customHeight="1" x14ac:dyDescent="0.25">
      <c r="A50" s="70" t="s">
        <v>14</v>
      </c>
      <c r="B50" s="71"/>
      <c r="C50" s="71"/>
      <c r="D50" s="71"/>
      <c r="E50" s="71"/>
      <c r="F50" s="71"/>
      <c r="G50" s="71"/>
      <c r="H50" s="72"/>
    </row>
    <row r="51" spans="1:10" ht="18" customHeight="1" x14ac:dyDescent="0.25">
      <c r="A51" s="73"/>
      <c r="B51" s="74"/>
      <c r="C51" s="74"/>
      <c r="D51" s="74"/>
      <c r="E51" s="74"/>
      <c r="F51" s="74"/>
      <c r="G51" s="74"/>
      <c r="H51" s="75"/>
    </row>
    <row r="52" spans="1:10" ht="16.5" customHeight="1" x14ac:dyDescent="0.25">
      <c r="A52" s="84"/>
      <c r="B52" s="85"/>
      <c r="C52" s="85"/>
      <c r="D52" s="85"/>
      <c r="E52" s="85"/>
      <c r="F52" s="85"/>
      <c r="G52" s="86"/>
      <c r="H52" s="39"/>
    </row>
    <row r="53" spans="1:10" ht="16.5" customHeight="1" x14ac:dyDescent="0.25">
      <c r="A53" s="84"/>
      <c r="B53" s="85"/>
      <c r="C53" s="85"/>
      <c r="D53" s="85"/>
      <c r="E53" s="85"/>
      <c r="F53" s="85"/>
      <c r="G53" s="86"/>
      <c r="H53" s="39"/>
    </row>
    <row r="54" spans="1:10" ht="15.75" customHeight="1" x14ac:dyDescent="0.25">
      <c r="A54" s="87"/>
      <c r="B54" s="88"/>
      <c r="C54" s="88"/>
      <c r="D54" s="88"/>
      <c r="E54" s="88"/>
      <c r="F54" s="88"/>
      <c r="G54" s="89"/>
      <c r="H54" s="39"/>
    </row>
    <row r="55" spans="1:10" s="19" customFormat="1" ht="14.25" customHeight="1" x14ac:dyDescent="0.25">
      <c r="A55" s="90" t="s">
        <v>30</v>
      </c>
      <c r="B55" s="91"/>
      <c r="C55" s="91"/>
      <c r="D55" s="91"/>
      <c r="E55" s="91"/>
      <c r="F55" s="91"/>
      <c r="G55" s="92"/>
      <c r="H55" s="40">
        <f>SUM(H52:H54)</f>
        <v>0</v>
      </c>
    </row>
    <row r="56" spans="1:10" x14ac:dyDescent="0.25">
      <c r="A56" s="41"/>
      <c r="B56" s="41"/>
      <c r="C56" s="41"/>
      <c r="D56" s="41"/>
      <c r="E56" s="41"/>
      <c r="F56" s="41"/>
      <c r="G56" s="41"/>
      <c r="H56" s="41"/>
    </row>
    <row r="57" spans="1:10" ht="15" customHeight="1" x14ac:dyDescent="0.25">
      <c r="H57" s="41"/>
      <c r="J57" s="16"/>
    </row>
    <row r="58" spans="1:10" ht="54.75" customHeight="1" x14ac:dyDescent="0.25">
      <c r="A58" s="93" t="s">
        <v>38</v>
      </c>
      <c r="B58" s="93"/>
      <c r="C58" s="93"/>
      <c r="D58" s="93"/>
      <c r="E58" s="93"/>
      <c r="F58" s="93"/>
      <c r="G58" s="93"/>
      <c r="H58" s="38">
        <f>+H48+H49</f>
        <v>636330.58000000007</v>
      </c>
    </row>
    <row r="59" spans="1:10" ht="15.75" x14ac:dyDescent="0.25">
      <c r="A59" s="42"/>
      <c r="B59" s="42"/>
      <c r="C59" s="42"/>
      <c r="D59" s="42"/>
      <c r="E59" s="42"/>
      <c r="F59" s="42"/>
      <c r="G59" s="42"/>
      <c r="H59" s="43"/>
    </row>
    <row r="60" spans="1:10" x14ac:dyDescent="0.25">
      <c r="A60" s="41"/>
      <c r="B60" s="41"/>
      <c r="C60" s="41"/>
      <c r="D60" s="41"/>
      <c r="E60" s="41"/>
      <c r="F60" s="41"/>
      <c r="G60" s="41"/>
      <c r="H60" s="41"/>
    </row>
    <row r="61" spans="1:10" ht="15.75" x14ac:dyDescent="0.25">
      <c r="A61" s="36" t="s">
        <v>34</v>
      </c>
      <c r="B61" s="37"/>
      <c r="C61" s="37"/>
      <c r="D61" s="37"/>
      <c r="E61" s="37"/>
      <c r="F61" s="37"/>
      <c r="G61" s="37"/>
      <c r="H61" s="44">
        <f>H55</f>
        <v>0</v>
      </c>
    </row>
    <row r="62" spans="1:10" x14ac:dyDescent="0.25">
      <c r="A62" s="41"/>
      <c r="B62" s="41"/>
      <c r="C62" s="41"/>
      <c r="D62" s="41"/>
      <c r="E62" s="41"/>
      <c r="F62" s="41"/>
      <c r="G62" s="41"/>
      <c r="H62" s="41"/>
    </row>
    <row r="63" spans="1:10" ht="18.75" x14ac:dyDescent="0.3">
      <c r="A63" s="76" t="s">
        <v>15</v>
      </c>
      <c r="B63" s="77"/>
      <c r="C63" s="77"/>
      <c r="D63" s="77"/>
      <c r="E63" s="77"/>
      <c r="F63" s="77"/>
      <c r="G63" s="77"/>
      <c r="H63" s="78"/>
    </row>
    <row r="64" spans="1:10" ht="18.75" x14ac:dyDescent="0.3">
      <c r="A64" s="45" t="s">
        <v>17</v>
      </c>
      <c r="B64" s="46"/>
      <c r="C64" s="46"/>
      <c r="D64" s="46"/>
      <c r="E64" s="46"/>
      <c r="F64" s="46"/>
      <c r="G64" s="46"/>
      <c r="H64" s="52">
        <v>978433.53406598349</v>
      </c>
    </row>
    <row r="65" spans="1:10" ht="14.25" customHeight="1" x14ac:dyDescent="0.25">
      <c r="A65" s="47" t="s">
        <v>41</v>
      </c>
      <c r="B65" s="48"/>
      <c r="C65" s="48"/>
      <c r="D65" s="48"/>
      <c r="E65" s="48"/>
      <c r="F65" s="48"/>
      <c r="G65" s="48"/>
      <c r="H65" s="61">
        <v>781823.4610468644</v>
      </c>
    </row>
    <row r="66" spans="1:10" hidden="1" x14ac:dyDescent="0.25">
      <c r="A66" s="47"/>
      <c r="B66" s="48"/>
      <c r="C66" s="48"/>
      <c r="D66" s="48"/>
      <c r="E66" s="48"/>
      <c r="F66" s="48"/>
      <c r="G66" s="48"/>
      <c r="H66" s="53"/>
    </row>
    <row r="67" spans="1:10" x14ac:dyDescent="0.25">
      <c r="A67" s="47" t="s">
        <v>36</v>
      </c>
      <c r="B67" s="48"/>
      <c r="C67" s="48"/>
      <c r="D67" s="48"/>
      <c r="E67" s="48"/>
      <c r="F67" s="48"/>
      <c r="G67" s="48"/>
      <c r="H67" s="53"/>
      <c r="J67" s="35"/>
    </row>
    <row r="68" spans="1:10" x14ac:dyDescent="0.25">
      <c r="A68" s="47" t="s">
        <v>42</v>
      </c>
      <c r="B68" s="48"/>
      <c r="C68" s="48"/>
      <c r="D68" s="48"/>
      <c r="E68" s="48"/>
      <c r="F68" s="48"/>
      <c r="G68" s="48"/>
      <c r="H68" s="49">
        <f>-(H48+H61)</f>
        <v>-565614.67999999993</v>
      </c>
      <c r="J68" s="16"/>
    </row>
    <row r="69" spans="1:10" ht="18.75" x14ac:dyDescent="0.3">
      <c r="A69" s="50" t="s">
        <v>16</v>
      </c>
      <c r="B69" s="51"/>
      <c r="C69" s="51"/>
      <c r="D69" s="51"/>
      <c r="E69" s="51"/>
      <c r="F69" s="51"/>
      <c r="G69" s="51"/>
      <c r="H69" s="65">
        <f>SUM(H64:H68)</f>
        <v>1194642.3151128481</v>
      </c>
    </row>
    <row r="71" spans="1:10" x14ac:dyDescent="0.25">
      <c r="B71" s="95" t="s">
        <v>49</v>
      </c>
      <c r="C71" s="95"/>
      <c r="D71" s="95"/>
      <c r="E71" s="95"/>
      <c r="F71" s="95"/>
      <c r="G71" s="95"/>
    </row>
    <row r="72" spans="1:10" x14ac:dyDescent="0.25">
      <c r="B72" s="95"/>
      <c r="C72" s="95"/>
      <c r="D72" s="95"/>
      <c r="E72" s="95"/>
      <c r="F72" s="95"/>
      <c r="G72" s="95"/>
    </row>
    <row r="73" spans="1:10" x14ac:dyDescent="0.25">
      <c r="B73" s="95"/>
      <c r="C73" s="95"/>
      <c r="D73" s="95"/>
      <c r="E73" s="95"/>
      <c r="F73" s="95"/>
      <c r="G73" s="95"/>
    </row>
    <row r="74" spans="1:10" x14ac:dyDescent="0.25">
      <c r="B74" s="95"/>
      <c r="C74" s="95"/>
      <c r="D74" s="95"/>
      <c r="E74" s="95"/>
      <c r="F74" s="95"/>
      <c r="G74" s="95"/>
    </row>
    <row r="75" spans="1:10" x14ac:dyDescent="0.25">
      <c r="B75" s="95"/>
      <c r="C75" s="95"/>
      <c r="D75" s="95"/>
      <c r="E75" s="95"/>
      <c r="F75" s="95"/>
      <c r="G75" s="95"/>
    </row>
    <row r="76" spans="1:10" x14ac:dyDescent="0.25">
      <c r="B76" s="95"/>
      <c r="C76" s="95"/>
      <c r="D76" s="95"/>
      <c r="E76" s="95"/>
      <c r="F76" s="95"/>
      <c r="G76" s="95"/>
    </row>
    <row r="77" spans="1:10" x14ac:dyDescent="0.25">
      <c r="B77" s="95"/>
      <c r="C77" s="95"/>
      <c r="D77" s="95"/>
      <c r="E77" s="95"/>
      <c r="F77" s="95"/>
      <c r="G77" s="95"/>
    </row>
    <row r="78" spans="1:10" x14ac:dyDescent="0.25">
      <c r="B78" s="95"/>
      <c r="C78" s="95"/>
      <c r="D78" s="95"/>
      <c r="E78" s="95"/>
      <c r="F78" s="95"/>
      <c r="G78" s="95"/>
    </row>
  </sheetData>
  <mergeCells count="15">
    <mergeCell ref="B71:G78"/>
    <mergeCell ref="E3:F3"/>
    <mergeCell ref="A50:H51"/>
    <mergeCell ref="A63:H63"/>
    <mergeCell ref="A12:H12"/>
    <mergeCell ref="A19:H19"/>
    <mergeCell ref="A28:H28"/>
    <mergeCell ref="A42:H42"/>
    <mergeCell ref="A46:H46"/>
    <mergeCell ref="A23:H23"/>
    <mergeCell ref="A52:G52"/>
    <mergeCell ref="A54:G54"/>
    <mergeCell ref="A55:G55"/>
    <mergeCell ref="A53:G53"/>
    <mergeCell ref="A58:G58"/>
  </mergeCells>
  <hyperlinks>
    <hyperlink ref="E4" r:id="rId1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2025-01-29T18:11:44Z</cp:lastPrinted>
  <dcterms:created xsi:type="dcterms:W3CDTF">2021-11-02T15:18:42Z</dcterms:created>
  <dcterms:modified xsi:type="dcterms:W3CDTF">2025-01-29T18:12:11Z</dcterms:modified>
</cp:coreProperties>
</file>