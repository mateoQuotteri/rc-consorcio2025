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Hoja1 (2)" sheetId="1" r:id="rId1"/>
    <sheet name="Hoja1" sheetId="2" r:id="rId2"/>
    <sheet name="Hoja2" sheetId="3" r:id="rId3"/>
  </sheets>
  <definedNames>
    <definedName name="_xlnm.Print_Area" localSheetId="0">'Hoja1 (2)'!$A$1:$N$35</definedName>
  </definedNames>
  <calcPr calcId="144525"/>
</workbook>
</file>

<file path=xl/calcChain.xml><?xml version="1.0" encoding="utf-8"?>
<calcChain xmlns="http://schemas.openxmlformats.org/spreadsheetml/2006/main">
  <c r="G20" i="1" l="1"/>
  <c r="G13" i="1"/>
  <c r="G11" i="1" l="1"/>
  <c r="G14" i="1" l="1"/>
  <c r="J22" i="1" l="1"/>
  <c r="J23" i="1"/>
  <c r="J24" i="1"/>
  <c r="J25" i="1"/>
  <c r="J26" i="1"/>
  <c r="J27" i="1"/>
  <c r="E32" i="1" l="1"/>
  <c r="N28" i="1" l="1"/>
  <c r="N29" i="1"/>
  <c r="N30" i="1"/>
  <c r="N31" i="1"/>
  <c r="L32" i="1" l="1"/>
  <c r="M19" i="1"/>
  <c r="J19" i="1" s="1"/>
  <c r="M10" i="1" l="1"/>
  <c r="J10" i="1" s="1"/>
  <c r="G32" i="1"/>
  <c r="I13" i="1" l="1"/>
  <c r="M13" i="1"/>
  <c r="J13" i="1" s="1"/>
  <c r="M31" i="1"/>
  <c r="M30" i="1"/>
  <c r="M29" i="1"/>
  <c r="M28" i="1"/>
  <c r="M27" i="1"/>
  <c r="M26" i="1"/>
  <c r="M25" i="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P26" i="2"/>
  <c r="O26" i="2"/>
  <c r="N26" i="2"/>
  <c r="M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O19" i="2"/>
  <c r="P19" i="2" s="1"/>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O14" i="2"/>
  <c r="P14" i="2" s="1"/>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L34" i="2" s="1"/>
  <c r="K10" i="2"/>
  <c r="J10" i="2"/>
  <c r="N10" i="2" s="1"/>
  <c r="I10" i="2"/>
  <c r="I34" i="2" s="1"/>
  <c r="P34" i="1"/>
  <c r="H33" i="1"/>
  <c r="I32" i="1"/>
  <c r="I31" i="1"/>
  <c r="I30" i="1"/>
  <c r="I29" i="1"/>
  <c r="I28" i="1"/>
  <c r="I27" i="1"/>
  <c r="I26" i="1"/>
  <c r="I25" i="1"/>
  <c r="M24" i="1"/>
  <c r="I24" i="1"/>
  <c r="M23" i="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J34" i="2" l="1"/>
  <c r="O34" i="2" s="1"/>
  <c r="O12" i="2"/>
  <c r="P12" i="2" s="1"/>
  <c r="M12" i="2" s="1"/>
  <c r="O16" i="2"/>
  <c r="P16" i="2" s="1"/>
  <c r="O20" i="2"/>
  <c r="P20" i="2" s="1"/>
  <c r="O24" i="2"/>
  <c r="P24" i="2" s="1"/>
  <c r="M24" i="2" s="1"/>
  <c r="O25" i="2"/>
  <c r="P25" i="2" s="1"/>
  <c r="M25" i="2" s="1"/>
  <c r="M32" i="1"/>
  <c r="M22" i="1"/>
  <c r="I33" i="1"/>
  <c r="M10" i="2"/>
  <c r="M11" i="2"/>
  <c r="M13" i="2"/>
  <c r="M14" i="2"/>
  <c r="M15" i="2"/>
  <c r="M16" i="2"/>
  <c r="M17" i="2"/>
  <c r="M18" i="2"/>
  <c r="M19" i="2"/>
  <c r="M20" i="2"/>
  <c r="M21" i="2"/>
  <c r="M22" i="2"/>
  <c r="M23" i="2"/>
  <c r="J32" i="1" l="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<sst xmlns="http://schemas.openxmlformats.org/spreadsheetml/2006/main" count="151" uniqueCount="104">
  <si>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</si>
  <si>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</si>
  <si>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</si>
  <si>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</si>
  <si>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</si>
  <si>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</si>
  <si>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</si>
  <si>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</si>
  <si>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</si>
  <si>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</si>
  <si>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</si>
  <si>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</si>
  <si>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</si>
  <si>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</si>
  <si>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</si>
  <si>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</si>
  <si>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</si>
  <si>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</si>
  <si>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</si>
  <si>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</si>
  <si>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</si>
  <si>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</si>
  <si>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</si>
  <si>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</si>
  <si>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</si>
  <si>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</si>
  <si>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</si>
  <si>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</si>
  <si>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</si>
  <si>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</si>
  <si>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</si>
  <si>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</si>
  <si>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</si>
  <si>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</si>
  <si>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</si>
  <si>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</si>
  <si>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</si>
  <si>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</si>
  <si>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</si>
  <si>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</si>
  <si>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</si>
  <si>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</si>
  <si>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</si>
  <si>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</si>
  <si>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</si>
  <si>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</si>
  <si>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</si>
  <si>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</si>
  <si>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</si>
  <si>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</si>
  <si>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</si>
  <si>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</si>
  <si>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</si>
  <si>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</si>
  <si>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</si>
  <si>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</si>
  <si>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</si>
  <si>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</si>
  <si>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</si>
  <si>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</si>
  <si>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</si>
  <si>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</si>
  <si>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</si>
  <si>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</si>
  <si>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</si>
  <si>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</si>
  <si>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</si>
  <si>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</si>
  <si>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</si>
  <si>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</si>
  <si>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</si>
  <si>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</si>
  <si>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</si>
  <si>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</si>
  <si>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</si>
  <si>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</si>
  <si>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</si>
  <si>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</si>
  <si>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</si>
  <si>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</si>
  <si>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</si>
  <si>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</si>
  <si>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</si>
  <si>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</si>
  <si>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</si>
  <si>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</si>
  <si>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</si>
  <si>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</si>
  <si>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</si>
  <si>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</si>
  <si>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</si>
  <si>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</si>
  <si>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</si>
  <si>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</si>
  <si>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</si>
  <si>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</si>
  <si>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</si>
  <si>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</si>
  <si>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</si>
  <si>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</si>
  <si>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</si>
  <si>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</si>
  <si>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EDESUR - VENCIMIENTO 13/02</t>
  </si>
  <si>
    <t>GISELA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</si>
</sst>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 #,##0.00_-;\-&quot;$&quot;\ * #,##0.00_-;_-&quot;$&quot;\ * &quot;-&quot;??_-;_-@_-"/>
    <numFmt numFmtId="43" formatCode="_-* #,##0.00_-;\-* #,##0.00_-;_-* &quot;-&quot;??_-;_-@_-"/>
    <numFmt numFmtId="164" formatCode="_-&quot;$&quot;\ * #,##0_-;\-&quot;$&quot;\ * #,##0_-;_-&quot;$&quot;\ * &quot;-&quot;??_-;_-@"/>
    <numFmt numFmtId="165" formatCode="_-&quot;$&quot;\ * #,##0.00_-;\-&quot;$&quot;\ * #,##0.00_-;_-&quot;$&quot;\ * &quot;-&quot;??_-;_-@"/>
    <numFmt numFmtId="166" formatCode="0.00;[Red]0.00"/>
    <numFmt numFmtId="167" formatCode="_-* #,##0.0_-;\-* #,##0.0_-;_-* &quot;-&quot;??_-;_-@_-"/>
    <numFmt numFmtId="168" formatCode="_-* #,##0_-;\-* #,##0_-;_-* &quot;-&quot;??_-;_-@_-"/>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44" fontId="5" fillId="0" borderId="4" applyFont="0" applyFill="0" applyBorder="0" applyAlignment="0" applyProtection="0"/>
    <xf numFmtId="9" fontId="5" fillId="0" borderId="4" applyFont="0" applyFill="0" applyBorder="0" applyAlignment="0" applyProtection="0"/>
  </cellStyleXfs>
  <cellXfs count="98">
    <xf numFmtId="0" fontId="0" fillId="0" borderId="0" xfId="0" applyFont="1" applyAlignment="1"/>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4"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5" fontId="9" fillId="0" borderId="8" xfId="0" applyNumberFormat="1" applyFont="1" applyBorder="1"/>
    <xf numFmtId="0" fontId="8" fillId="0" borderId="8" xfId="0" applyFont="1" applyBorder="1"/>
    <xf numFmtId="164"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4" fontId="9" fillId="2" borderId="10" xfId="0" applyNumberFormat="1"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4" fontId="8" fillId="0" borderId="10" xfId="0" applyNumberFormat="1" applyFont="1" applyBorder="1"/>
    <xf numFmtId="165" fontId="8" fillId="0" borderId="10" xfId="0" applyNumberFormat="1" applyFont="1" applyBorder="1"/>
    <xf numFmtId="2" fontId="8" fillId="0" borderId="10" xfId="0" applyNumberFormat="1" applyFont="1" applyBorder="1"/>
    <xf numFmtId="166"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4" fontId="8" fillId="3" borderId="10" xfId="0" applyNumberFormat="1" applyFont="1" applyFill="1" applyBorder="1"/>
    <xf numFmtId="0" fontId="8" fillId="0" borderId="11" xfId="0" applyFont="1" applyBorder="1"/>
    <xf numFmtId="0" fontId="8" fillId="0" borderId="12" xfId="0" applyFont="1" applyBorder="1"/>
    <xf numFmtId="164" fontId="8" fillId="0" borderId="12" xfId="0" applyNumberFormat="1" applyFont="1" applyBorder="1"/>
    <xf numFmtId="165" fontId="8" fillId="0" borderId="12" xfId="0" applyNumberFormat="1" applyFont="1" applyBorder="1"/>
    <xf numFmtId="0" fontId="9" fillId="4" borderId="4" xfId="0" applyFont="1" applyFill="1" applyBorder="1" applyAlignment="1">
      <alignment horizontal="left" vertical="center" wrapText="1"/>
    </xf>
    <xf numFmtId="165" fontId="0" fillId="0" borderId="0" xfId="0" applyNumberFormat="1" applyFont="1" applyAlignment="1"/>
    <xf numFmtId="164" fontId="0" fillId="0" borderId="0" xfId="0" applyNumberFormat="1" applyFont="1" applyAlignmen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NumberFormat="1" applyFont="1" applyBorder="1"/>
    <xf numFmtId="43" fontId="5" fillId="0" borderId="16" xfId="2" applyNumberFormat="1"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5" fontId="8" fillId="0" borderId="21" xfId="0" applyNumberFormat="1" applyFont="1" applyBorder="1"/>
    <xf numFmtId="0" fontId="9" fillId="2" borderId="20" xfId="0" applyFont="1" applyFill="1" applyBorder="1" applyAlignment="1">
      <alignment horizontal="center" vertical="center" wrapText="1"/>
    </xf>
    <xf numFmtId="164" fontId="8" fillId="0" borderId="20" xfId="0" applyNumberFormat="1" applyFont="1" applyBorder="1"/>
    <xf numFmtId="0" fontId="9" fillId="2" borderId="22" xfId="0" applyFont="1" applyFill="1" applyBorder="1" applyAlignment="1">
      <alignment horizontal="center" vertical="center" wrapText="1"/>
    </xf>
    <xf numFmtId="165" fontId="8" fillId="0" borderId="22" xfId="0" applyNumberFormat="1" applyFont="1" applyBorder="1"/>
    <xf numFmtId="165" fontId="8" fillId="0" borderId="13" xfId="0" applyNumberFormat="1" applyFont="1" applyBorder="1"/>
    <xf numFmtId="44" fontId="8" fillId="0" borderId="8" xfId="0" applyNumberFormat="1" applyFont="1" applyBorder="1"/>
    <xf numFmtId="0" fontId="6" fillId="5" borderId="4" xfId="0" applyFont="1" applyFill="1" applyBorder="1" applyAlignment="1">
      <alignment horizontal="center" vertical="center" wrapText="1"/>
    </xf>
    <xf numFmtId="168" fontId="8" fillId="0" borderId="10" xfId="0" applyNumberFormat="1" applyFont="1" applyBorder="1"/>
    <xf numFmtId="0" fontId="3" fillId="0" borderId="0" xfId="0" applyFont="1" applyAlignment="1"/>
    <xf numFmtId="0" fontId="5" fillId="6" borderId="14" xfId="1" applyFill="1" applyBorder="1" applyAlignment="1">
      <alignment horizontal="center"/>
    </xf>
    <xf numFmtId="0" fontId="8" fillId="6" borderId="10" xfId="0" applyFont="1" applyFill="1" applyBorder="1" applyAlignment="1">
      <alignment horizontal="center" vertical="center"/>
    </xf>
    <xf numFmtId="43" fontId="5" fillId="6" borderId="14" xfId="2" applyNumberFormat="1" applyFont="1" applyFill="1" applyBorder="1"/>
    <xf numFmtId="0" fontId="8" fillId="6" borderId="10" xfId="0" applyFont="1" applyFill="1" applyBorder="1"/>
    <xf numFmtId="165" fontId="8" fillId="6" borderId="10" xfId="0" applyNumberFormat="1" applyFont="1" applyFill="1" applyBorder="1"/>
    <xf numFmtId="165" fontId="8" fillId="6" borderId="21" xfId="0" applyNumberFormat="1" applyFont="1" applyFill="1" applyBorder="1"/>
    <xf numFmtId="165" fontId="8" fillId="6" borderId="22" xfId="0" applyNumberFormat="1" applyFont="1" applyFill="1" applyBorder="1"/>
    <xf numFmtId="2" fontId="8" fillId="6" borderId="20" xfId="0" applyNumberFormat="1" applyFont="1" applyFill="1" applyBorder="1"/>
    <xf numFmtId="164" fontId="8" fillId="6" borderId="10" xfId="0" applyNumberFormat="1" applyFont="1" applyFill="1" applyBorder="1"/>
    <xf numFmtId="0" fontId="5" fillId="6" borderId="14" xfId="1" applyFill="1" applyBorder="1"/>
    <xf numFmtId="164" fontId="8" fillId="6" borderId="20" xfId="0" applyNumberFormat="1" applyFont="1" applyFill="1" applyBorder="1"/>
    <xf numFmtId="0" fontId="8" fillId="7" borderId="10" xfId="0" applyFont="1" applyFill="1" applyBorder="1" applyAlignment="1">
      <alignment horizontal="center" vertical="center"/>
    </xf>
    <xf numFmtId="0" fontId="5" fillId="7" borderId="14" xfId="1" applyFill="1" applyBorder="1"/>
    <xf numFmtId="43" fontId="5" fillId="7" borderId="14" xfId="2" applyNumberFormat="1" applyFont="1" applyFill="1" applyBorder="1"/>
    <xf numFmtId="164" fontId="8" fillId="7" borderId="10" xfId="0" applyNumberFormat="1" applyFont="1" applyFill="1" applyBorder="1"/>
    <xf numFmtId="165" fontId="8" fillId="7" borderId="10" xfId="0" applyNumberFormat="1" applyFont="1" applyFill="1" applyBorder="1"/>
    <xf numFmtId="165" fontId="8" fillId="7" borderId="21" xfId="0" applyNumberFormat="1" applyFont="1" applyFill="1" applyBorder="1"/>
    <xf numFmtId="165" fontId="8" fillId="7" borderId="22" xfId="0" applyNumberFormat="1" applyFont="1" applyFill="1" applyBorder="1"/>
    <xf numFmtId="2" fontId="8" fillId="7" borderId="20" xfId="0" applyNumberFormat="1" applyFont="1" applyFill="1" applyBorder="1"/>
    <xf numFmtId="0" fontId="7" fillId="7" borderId="10" xfId="0" applyFont="1" applyFill="1" applyBorder="1"/>
    <xf numFmtId="0" fontId="5" fillId="7" borderId="14" xfId="1" applyFill="1" applyBorder="1" applyAlignment="1">
      <alignment horizontal="center"/>
    </xf>
    <xf numFmtId="0" fontId="8" fillId="7" borderId="10" xfId="0" applyFont="1" applyFill="1" applyBorder="1"/>
    <xf numFmtId="0" fontId="2" fillId="7" borderId="14" xfId="1" applyFont="1" applyFill="1" applyBorder="1"/>
    <xf numFmtId="0" fontId="5" fillId="7" borderId="16" xfId="1" applyFill="1" applyBorder="1" applyAlignment="1">
      <alignment vertical="center" wrapText="1"/>
    </xf>
    <xf numFmtId="0" fontId="4" fillId="7" borderId="14" xfId="1" applyFont="1" applyFill="1" applyBorder="1" applyAlignment="1">
      <alignment horizontal="center"/>
    </xf>
    <xf numFmtId="0" fontId="8" fillId="7" borderId="17" xfId="0" applyFont="1" applyFill="1" applyBorder="1" applyAlignment="1">
      <alignment horizontal="center" vertical="center"/>
    </xf>
    <xf numFmtId="0" fontId="4" fillId="7" borderId="14" xfId="1" applyFont="1" applyFill="1" applyBorder="1"/>
    <xf numFmtId="43" fontId="5" fillId="7" borderId="16" xfId="2" applyNumberFormat="1" applyFont="1" applyFill="1" applyBorder="1" applyAlignment="1">
      <alignment horizontal="center" vertical="center" wrapText="1"/>
    </xf>
    <xf numFmtId="164" fontId="8" fillId="3" borderId="19" xfId="0" applyNumberFormat="1" applyFont="1" applyFill="1" applyBorder="1" applyAlignment="1">
      <alignment horizontal="right" vertical="center"/>
    </xf>
    <xf numFmtId="165" fontId="8" fillId="7" borderId="19" xfId="0" applyNumberFormat="1" applyFont="1" applyFill="1" applyBorder="1" applyAlignment="1">
      <alignment horizontal="right" vertical="center"/>
    </xf>
    <xf numFmtId="165" fontId="8" fillId="7" borderId="13" xfId="0" applyNumberFormat="1" applyFont="1" applyFill="1" applyBorder="1" applyAlignment="1">
      <alignment horizontal="right" vertical="center"/>
    </xf>
    <xf numFmtId="2" fontId="8" fillId="7" borderId="18" xfId="0" applyNumberFormat="1" applyFont="1" applyFill="1" applyBorder="1" applyAlignment="1">
      <alignment horizontal="right" vertical="center"/>
    </xf>
    <xf numFmtId="167" fontId="5" fillId="7" borderId="14" xfId="2" applyNumberFormat="1" applyFont="1" applyFill="1" applyBorder="1"/>
    <xf numFmtId="0" fontId="5" fillId="6" borderId="15" xfId="1" applyFill="1" applyBorder="1" applyAlignment="1">
      <alignment horizontal="center"/>
    </xf>
    <xf numFmtId="0" fontId="11" fillId="6" borderId="10" xfId="0" applyFont="1" applyFill="1" applyBorder="1"/>
    <xf numFmtId="0" fontId="7" fillId="6" borderId="10" xfId="0" applyFont="1" applyFill="1" applyBorder="1"/>
    <xf numFmtId="0" fontId="1" fillId="0" borderId="14" xfId="1" applyFont="1" applyBorder="1"/>
    <xf numFmtId="0" fontId="1" fillId="6" borderId="14" xfId="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165" fontId="12" fillId="7" borderId="8" xfId="0" applyNumberFormat="1" applyFont="1" applyFill="1" applyBorder="1"/>
    <xf numFmtId="164" fontId="7" fillId="6" borderId="10" xfId="0" applyNumberFormat="1" applyFont="1" applyFill="1" applyBorder="1"/>
    <xf numFmtId="164" fontId="7" fillId="7" borderId="10" xfId="0" applyNumberFormat="1" applyFont="1" applyFill="1" applyBorder="1"/>
    <xf numFmtId="164" fontId="7" fillId="0" borderId="10" xfId="0" applyNumberFormat="1" applyFont="1" applyBorder="1"/>
  </cellXfs>
  <cellStyles count="5">
    <cellStyle name="Millares 2" xfId="2"/>
    <cellStyle name="Moneda 2" xfId="3"/>
    <cellStyle name="Normal" xfId="0" builtinId="0"/>
    <cellStyle name="Normal 2" xfId="1"/>
    <cellStyle name="Porcentaje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9"/>
  <sheetViews>
    <sheetView tabSelected="1" topLeftCell="B9" zoomScale="80" zoomScaleNormal="80" workbookViewId="0">
      <selection activeCell="D16" sqref="D16"/>
    </sheetView>
  </sheetViews>
  <sheetFormatPr baseColWidth="10" defaultColWidth="14.42578125" defaultRowHeight="15" customHeight="1" x14ac:dyDescent="0.25"/>
  <cols>
    <col min="1" max="1" width="10" hidden="1" customWidth="1"/>
    <col min="2" max="2" width="10" customWidth="1"/>
    <col min="3" max="3" width="15.85546875" customWidth="1"/>
    <col min="4" max="4" width="38" customWidth="1"/>
    <col min="5" max="5" width="6.42578125" hidden="1" customWidth="1"/>
    <col min="6" max="7" width="10.85546875" hidden="1" customWidth="1"/>
    <col min="8" max="8" width="8.42578125" hidden="1" customWidth="1"/>
    <col min="9" max="9" width="22.7109375" hidden="1" customWidth="1"/>
    <col min="10" max="11" width="13.85546875" hidden="1" customWidth="1"/>
    <col min="12" max="12" width="9.28515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89" t="s">
        <v>102</v>
      </c>
      <c r="B1" s="90"/>
      <c r="C1" s="90"/>
      <c r="D1" s="90"/>
      <c r="E1" s="90"/>
      <c r="F1" s="90"/>
      <c r="G1" s="90"/>
      <c r="H1" s="90"/>
      <c r="I1" s="90"/>
      <c r="J1" s="90"/>
      <c r="K1" s="91"/>
      <c r="L1" s="91"/>
      <c r="M1" s="90"/>
      <c r="N1" s="92"/>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94">
        <v>720839.18</v>
      </c>
      <c r="E8" s="10"/>
      <c r="F8" s="10"/>
      <c r="G8" s="10"/>
      <c r="H8" s="11"/>
      <c r="I8" s="10"/>
      <c r="J8" s="10"/>
      <c r="K8" s="47">
        <f>C8-J32</f>
        <v>388811.62898999982</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row>
    <row r="10" spans="1:24" x14ac:dyDescent="0.25">
      <c r="A10" s="72">
        <v>1</v>
      </c>
      <c r="B10" s="84">
        <v>1</v>
      </c>
      <c r="C10" s="52" t="s">
        <v>76</v>
      </c>
      <c r="D10" s="60" t="s">
        <v>64</v>
      </c>
      <c r="E10" s="53">
        <v>7.99</v>
      </c>
      <c r="F10" s="85">
        <v>4248</v>
      </c>
      <c r="G10" s="86">
        <v>4805</v>
      </c>
      <c r="H10" s="59">
        <v>0</v>
      </c>
      <c r="I10" s="55">
        <f t="shared" ref="I10:I32" si="0">H10*7%</f>
        <v>0</v>
      </c>
      <c r="J10" s="56">
        <f>M10*93.787</f>
        <v>52239.359000000004</v>
      </c>
      <c r="K10" s="57">
        <f>K8*E10%</f>
        <v>31066.049156300985</v>
      </c>
      <c r="L10" s="57"/>
      <c r="M10" s="58">
        <f>G10-F10</f>
        <v>557</v>
      </c>
      <c r="N10" s="95">
        <f>J10+K10+L10</f>
        <v>83305.408156300982</v>
      </c>
    </row>
    <row r="11" spans="1:24" ht="14.25" customHeight="1" x14ac:dyDescent="0.25">
      <c r="A11" s="72">
        <v>2</v>
      </c>
      <c r="B11" s="71">
        <v>2</v>
      </c>
      <c r="C11" s="62" t="s">
        <v>77</v>
      </c>
      <c r="D11" s="73" t="s">
        <v>65</v>
      </c>
      <c r="E11" s="64">
        <v>6.05</v>
      </c>
      <c r="F11" s="72">
        <v>5768</v>
      </c>
      <c r="G11" s="70">
        <f>F11+175</f>
        <v>5943</v>
      </c>
      <c r="H11" s="65">
        <v>0</v>
      </c>
      <c r="I11" s="66">
        <f t="shared" si="0"/>
        <v>0</v>
      </c>
      <c r="J11" s="67">
        <f t="shared" ref="J11:J27" si="1">M11*93.787</f>
        <v>16412.725000000002</v>
      </c>
      <c r="K11" s="68">
        <f>K8*E11%</f>
        <v>23523.103553894987</v>
      </c>
      <c r="L11" s="68"/>
      <c r="M11" s="69">
        <f t="shared" ref="M11:M31" si="2">G11-F11</f>
        <v>175</v>
      </c>
      <c r="N11" s="96">
        <f t="shared" ref="N11:N31" si="3">J11+K11+L11</f>
        <v>39935.828553894986</v>
      </c>
    </row>
    <row r="12" spans="1:24" x14ac:dyDescent="0.25">
      <c r="A12" s="72">
        <v>3</v>
      </c>
      <c r="B12" s="71">
        <v>3</v>
      </c>
      <c r="C12" s="62" t="s">
        <v>78</v>
      </c>
      <c r="D12" s="63" t="s">
        <v>66</v>
      </c>
      <c r="E12" s="64">
        <v>6.02</v>
      </c>
      <c r="F12" s="72">
        <v>3093.4</v>
      </c>
      <c r="G12" s="70">
        <v>3248.1</v>
      </c>
      <c r="H12" s="65">
        <v>0</v>
      </c>
      <c r="I12" s="66">
        <f t="shared" si="0"/>
        <v>0</v>
      </c>
      <c r="J12" s="67">
        <f t="shared" si="1"/>
        <v>14508.848899999984</v>
      </c>
      <c r="K12" s="68">
        <f>K8*E12%</f>
        <v>23406.460065197989</v>
      </c>
      <c r="L12" s="68"/>
      <c r="M12" s="69">
        <f>G12-F12</f>
        <v>154.69999999999982</v>
      </c>
      <c r="N12" s="96">
        <f t="shared" si="3"/>
        <v>37915.308965197975</v>
      </c>
    </row>
    <row r="13" spans="1:24" x14ac:dyDescent="0.25">
      <c r="A13" s="72">
        <v>4</v>
      </c>
      <c r="B13" s="75" t="s">
        <v>96</v>
      </c>
      <c r="C13" s="76" t="s">
        <v>79</v>
      </c>
      <c r="D13" s="77" t="s">
        <v>95</v>
      </c>
      <c r="E13" s="78">
        <v>7.63</v>
      </c>
      <c r="F13" s="72">
        <v>1510</v>
      </c>
      <c r="G13" s="70">
        <f>F13+250</f>
        <v>1760</v>
      </c>
      <c r="H13" s="79">
        <v>0</v>
      </c>
      <c r="I13" s="80">
        <f t="shared" si="0"/>
        <v>0</v>
      </c>
      <c r="J13" s="67">
        <f t="shared" si="1"/>
        <v>23446.75</v>
      </c>
      <c r="K13" s="81">
        <f>K8*E13%</f>
        <v>29666.327291936985</v>
      </c>
      <c r="L13" s="68"/>
      <c r="M13" s="82">
        <f t="shared" si="2"/>
        <v>250</v>
      </c>
      <c r="N13" s="96">
        <f t="shared" si="3"/>
        <v>53113.077291936985</v>
      </c>
    </row>
    <row r="14" spans="1:24" x14ac:dyDescent="0.25">
      <c r="A14" s="72">
        <v>6</v>
      </c>
      <c r="B14" s="71">
        <v>6</v>
      </c>
      <c r="C14" s="62" t="s">
        <v>80</v>
      </c>
      <c r="D14" s="63" t="s">
        <v>67</v>
      </c>
      <c r="E14" s="64">
        <v>6.05</v>
      </c>
      <c r="F14" s="72">
        <v>13863</v>
      </c>
      <c r="G14" s="70">
        <f>F14+250</f>
        <v>14113</v>
      </c>
      <c r="H14" s="65">
        <v>0</v>
      </c>
      <c r="I14" s="66">
        <f t="shared" si="0"/>
        <v>0</v>
      </c>
      <c r="J14" s="67">
        <f t="shared" si="1"/>
        <v>23446.75</v>
      </c>
      <c r="K14" s="68">
        <f>K8*E14%</f>
        <v>23523.103553894987</v>
      </c>
      <c r="L14" s="68"/>
      <c r="M14" s="69">
        <f t="shared" si="2"/>
        <v>250</v>
      </c>
      <c r="N14" s="96">
        <f>J14+K14+L14</f>
        <v>46969.853553894987</v>
      </c>
    </row>
    <row r="15" spans="1:24" x14ac:dyDescent="0.25">
      <c r="A15" s="72">
        <v>7</v>
      </c>
      <c r="B15" s="71">
        <v>7</v>
      </c>
      <c r="C15" s="62" t="s">
        <v>81</v>
      </c>
      <c r="D15" s="63" t="s">
        <v>67</v>
      </c>
      <c r="E15" s="64">
        <v>6.02</v>
      </c>
      <c r="F15" s="72">
        <v>3649.7</v>
      </c>
      <c r="G15" s="70">
        <v>3770.6</v>
      </c>
      <c r="H15" s="65">
        <v>0</v>
      </c>
      <c r="I15" s="66">
        <f t="shared" si="0"/>
        <v>0</v>
      </c>
      <c r="J15" s="67">
        <f t="shared" si="1"/>
        <v>11338.848300000009</v>
      </c>
      <c r="K15" s="68">
        <f>K8*E15%</f>
        <v>23406.460065197989</v>
      </c>
      <c r="L15" s="68"/>
      <c r="M15" s="69">
        <f t="shared" si="2"/>
        <v>120.90000000000009</v>
      </c>
      <c r="N15" s="96">
        <f t="shared" si="3"/>
        <v>34745.308365197998</v>
      </c>
    </row>
    <row r="16" spans="1:24" x14ac:dyDescent="0.25">
      <c r="A16" s="72">
        <v>8</v>
      </c>
      <c r="B16" s="71">
        <v>8</v>
      </c>
      <c r="C16" s="62" t="s">
        <v>82</v>
      </c>
      <c r="D16" s="63" t="s">
        <v>68</v>
      </c>
      <c r="E16" s="64">
        <v>7.63</v>
      </c>
      <c r="F16" s="72">
        <v>11409.9</v>
      </c>
      <c r="G16" s="70">
        <v>11884.2</v>
      </c>
      <c r="H16" s="26">
        <v>0</v>
      </c>
      <c r="I16" s="66">
        <f t="shared" si="0"/>
        <v>0</v>
      </c>
      <c r="J16" s="67">
        <f t="shared" si="1"/>
        <v>44483.174100000106</v>
      </c>
      <c r="K16" s="68">
        <f>K8*E16%</f>
        <v>29666.327291936985</v>
      </c>
      <c r="L16" s="68"/>
      <c r="M16" s="69">
        <f t="shared" si="2"/>
        <v>474.30000000000109</v>
      </c>
      <c r="N16" s="96">
        <f t="shared" si="3"/>
        <v>74149.501391937083</v>
      </c>
      <c r="P16" s="50"/>
    </row>
    <row r="17" spans="1:16" x14ac:dyDescent="0.25">
      <c r="A17" s="72">
        <v>9</v>
      </c>
      <c r="B17" s="71">
        <v>9</v>
      </c>
      <c r="C17" s="62" t="s">
        <v>83</v>
      </c>
      <c r="D17" s="63" t="s">
        <v>69</v>
      </c>
      <c r="E17" s="64">
        <v>6.05</v>
      </c>
      <c r="F17" s="72">
        <v>8667.5</v>
      </c>
      <c r="G17" s="70">
        <v>9055.4</v>
      </c>
      <c r="H17" s="65">
        <v>0</v>
      </c>
      <c r="I17" s="66">
        <f t="shared" si="0"/>
        <v>0</v>
      </c>
      <c r="J17" s="67">
        <f t="shared" si="1"/>
        <v>36379.97729999997</v>
      </c>
      <c r="K17" s="68">
        <f>K8*E17%</f>
        <v>23523.103553894987</v>
      </c>
      <c r="L17" s="68"/>
      <c r="M17" s="69">
        <f t="shared" si="2"/>
        <v>387.89999999999964</v>
      </c>
      <c r="N17" s="96">
        <f t="shared" si="3"/>
        <v>59903.080853894957</v>
      </c>
    </row>
    <row r="18" spans="1:16" x14ac:dyDescent="0.25">
      <c r="A18" s="72">
        <v>10</v>
      </c>
      <c r="B18" s="71">
        <v>10</v>
      </c>
      <c r="C18" s="62" t="s">
        <v>84</v>
      </c>
      <c r="D18" s="63" t="s">
        <v>101</v>
      </c>
      <c r="E18" s="64">
        <v>6.02</v>
      </c>
      <c r="F18" s="72">
        <v>7021.5</v>
      </c>
      <c r="G18" s="70">
        <v>7234.4</v>
      </c>
      <c r="H18" s="65">
        <v>0</v>
      </c>
      <c r="I18" s="66">
        <f t="shared" si="0"/>
        <v>0</v>
      </c>
      <c r="J18" s="67">
        <f t="shared" si="1"/>
        <v>19967.252299999967</v>
      </c>
      <c r="K18" s="68">
        <f>K8*E18%</f>
        <v>23406.460065197989</v>
      </c>
      <c r="L18" s="68"/>
      <c r="M18" s="69">
        <f t="shared" si="2"/>
        <v>212.89999999999964</v>
      </c>
      <c r="N18" s="96">
        <f t="shared" si="3"/>
        <v>43373.712365197956</v>
      </c>
    </row>
    <row r="19" spans="1:16" x14ac:dyDescent="0.25">
      <c r="A19" s="72">
        <v>11</v>
      </c>
      <c r="B19" s="71">
        <v>11</v>
      </c>
      <c r="C19" s="62" t="s">
        <v>85</v>
      </c>
      <c r="D19" s="74" t="s">
        <v>70</v>
      </c>
      <c r="E19" s="83">
        <v>21.2</v>
      </c>
      <c r="F19" s="72">
        <v>21071.1</v>
      </c>
      <c r="G19" s="70">
        <v>21020.65</v>
      </c>
      <c r="H19" s="26">
        <v>0</v>
      </c>
      <c r="I19" s="66">
        <f t="shared" si="0"/>
        <v>0</v>
      </c>
      <c r="J19" s="67">
        <f t="shared" si="1"/>
        <v>-4731.5541499997271</v>
      </c>
      <c r="K19" s="68">
        <f>K8*E19%</f>
        <v>82428.065345879964</v>
      </c>
      <c r="L19" s="68"/>
      <c r="M19" s="69">
        <f>G19-F19</f>
        <v>-50.44999999999709</v>
      </c>
      <c r="N19" s="96">
        <f t="shared" si="3"/>
        <v>77696.511195880244</v>
      </c>
    </row>
    <row r="20" spans="1:16" ht="15.75" customHeight="1" x14ac:dyDescent="0.25">
      <c r="A20" s="72">
        <v>12</v>
      </c>
      <c r="B20" s="71">
        <v>12</v>
      </c>
      <c r="C20" s="62" t="s">
        <v>86</v>
      </c>
      <c r="D20" s="74" t="s">
        <v>70</v>
      </c>
      <c r="E20" s="64">
        <v>6.81</v>
      </c>
      <c r="F20" s="72">
        <v>4960</v>
      </c>
      <c r="G20" s="70">
        <f>F20+480</f>
        <v>5440</v>
      </c>
      <c r="H20" s="26">
        <v>0</v>
      </c>
      <c r="I20" s="66">
        <f t="shared" si="0"/>
        <v>0</v>
      </c>
      <c r="J20" s="67">
        <f t="shared" si="1"/>
        <v>45017.760000000002</v>
      </c>
      <c r="K20" s="68">
        <f>K8*E20%</f>
        <v>26478.071934218984</v>
      </c>
      <c r="L20" s="68"/>
      <c r="M20" s="69">
        <f t="shared" si="2"/>
        <v>480</v>
      </c>
      <c r="N20" s="96">
        <f t="shared" si="3"/>
        <v>71495.831934218993</v>
      </c>
      <c r="P20" s="33"/>
    </row>
    <row r="21" spans="1:16" ht="15.75" customHeight="1" x14ac:dyDescent="0.25">
      <c r="A21" s="72">
        <v>13</v>
      </c>
      <c r="B21" s="71">
        <v>13</v>
      </c>
      <c r="C21" s="62" t="s">
        <v>87</v>
      </c>
      <c r="D21" s="63" t="s">
        <v>71</v>
      </c>
      <c r="E21" s="64">
        <v>6.52</v>
      </c>
      <c r="F21" s="72">
        <v>9560.25</v>
      </c>
      <c r="G21" s="70">
        <v>10088.23</v>
      </c>
      <c r="H21" s="26">
        <v>0</v>
      </c>
      <c r="I21" s="66">
        <f t="shared" si="0"/>
        <v>0</v>
      </c>
      <c r="J21" s="67">
        <f t="shared" si="1"/>
        <v>49517.660259999961</v>
      </c>
      <c r="K21" s="68">
        <f>K8*E21%</f>
        <v>25350.518210147988</v>
      </c>
      <c r="L21" s="68"/>
      <c r="M21" s="69">
        <f t="shared" si="2"/>
        <v>527.97999999999956</v>
      </c>
      <c r="N21" s="96">
        <f t="shared" si="3"/>
        <v>74868.178470147948</v>
      </c>
    </row>
    <row r="22" spans="1:16" ht="15.75" customHeight="1" x14ac:dyDescent="0.25">
      <c r="A22" s="18">
        <v>14</v>
      </c>
      <c r="B22" s="51">
        <v>14</v>
      </c>
      <c r="C22" s="52" t="s">
        <v>88</v>
      </c>
      <c r="D22" s="60" t="s">
        <v>72</v>
      </c>
      <c r="E22" s="53">
        <v>1.18</v>
      </c>
      <c r="F22" s="54">
        <v>0</v>
      </c>
      <c r="G22" s="54">
        <v>0</v>
      </c>
      <c r="H22" s="59">
        <v>0</v>
      </c>
      <c r="I22" s="55">
        <f t="shared" si="0"/>
        <v>0</v>
      </c>
      <c r="J22" s="56">
        <f t="shared" si="1"/>
        <v>0</v>
      </c>
      <c r="K22" s="57">
        <f>K8*E22%</f>
        <v>4587.9772220819978</v>
      </c>
      <c r="L22" s="57"/>
      <c r="M22" s="58">
        <f t="shared" si="2"/>
        <v>0</v>
      </c>
      <c r="N22" s="95">
        <f t="shared" si="3"/>
        <v>4587.9772220819978</v>
      </c>
    </row>
    <row r="23" spans="1:16" ht="15.75" customHeight="1" x14ac:dyDescent="0.25">
      <c r="A23" s="18">
        <v>15</v>
      </c>
      <c r="B23" s="51">
        <v>15</v>
      </c>
      <c r="C23" s="52" t="s">
        <v>89</v>
      </c>
      <c r="D23" s="60" t="s">
        <v>73</v>
      </c>
      <c r="E23" s="53">
        <v>1.17</v>
      </c>
      <c r="F23" s="54">
        <v>0</v>
      </c>
      <c r="G23" s="54">
        <v>0</v>
      </c>
      <c r="H23" s="59">
        <v>0</v>
      </c>
      <c r="I23" s="55">
        <f t="shared" si="0"/>
        <v>0</v>
      </c>
      <c r="J23" s="56">
        <f t="shared" si="1"/>
        <v>0</v>
      </c>
      <c r="K23" s="57">
        <f>K8*E23%</f>
        <v>4549.0960591829971</v>
      </c>
      <c r="L23" s="57"/>
      <c r="M23" s="58">
        <f t="shared" si="2"/>
        <v>0</v>
      </c>
      <c r="N23" s="95">
        <f t="shared" si="3"/>
        <v>4549.0960591829971</v>
      </c>
    </row>
    <row r="24" spans="1:16" ht="15.75" customHeight="1" x14ac:dyDescent="0.25">
      <c r="A24" s="18">
        <v>16</v>
      </c>
      <c r="B24" s="71">
        <v>16</v>
      </c>
      <c r="C24" s="62" t="s">
        <v>90</v>
      </c>
      <c r="D24" s="63" t="s">
        <v>74</v>
      </c>
      <c r="E24" s="64">
        <v>1.06</v>
      </c>
      <c r="F24" s="72">
        <v>0</v>
      </c>
      <c r="G24" s="72">
        <v>0</v>
      </c>
      <c r="H24" s="65">
        <v>0</v>
      </c>
      <c r="I24" s="66">
        <f t="shared" si="0"/>
        <v>0</v>
      </c>
      <c r="J24" s="67">
        <f t="shared" si="1"/>
        <v>0</v>
      </c>
      <c r="K24" s="68">
        <f>K8*E24%</f>
        <v>4121.4032672939984</v>
      </c>
      <c r="L24" s="68"/>
      <c r="M24" s="69">
        <f t="shared" si="2"/>
        <v>0</v>
      </c>
      <c r="N24" s="96">
        <f t="shared" si="3"/>
        <v>4121.4032672939984</v>
      </c>
    </row>
    <row r="25" spans="1:16" ht="15.75" customHeight="1" x14ac:dyDescent="0.25">
      <c r="A25" s="18">
        <v>17</v>
      </c>
      <c r="B25" s="51">
        <v>17</v>
      </c>
      <c r="C25" s="52" t="s">
        <v>91</v>
      </c>
      <c r="D25" s="88" t="s">
        <v>103</v>
      </c>
      <c r="E25" s="53">
        <v>0.51</v>
      </c>
      <c r="F25" s="54">
        <v>0</v>
      </c>
      <c r="G25" s="54">
        <v>0</v>
      </c>
      <c r="H25" s="59">
        <v>0</v>
      </c>
      <c r="I25" s="55">
        <f t="shared" si="0"/>
        <v>0</v>
      </c>
      <c r="J25" s="56">
        <f t="shared" si="1"/>
        <v>0</v>
      </c>
      <c r="K25" s="57">
        <f>K8*E25%</f>
        <v>1982.9393078489993</v>
      </c>
      <c r="L25" s="57"/>
      <c r="M25" s="61">
        <f t="shared" si="2"/>
        <v>0</v>
      </c>
      <c r="N25" s="95">
        <f t="shared" si="3"/>
        <v>1982.9393078489993</v>
      </c>
    </row>
    <row r="26" spans="1:16" ht="15.75" customHeight="1" x14ac:dyDescent="0.25">
      <c r="A26" s="18">
        <v>18</v>
      </c>
      <c r="B26" s="35">
        <v>18</v>
      </c>
      <c r="C26" s="39" t="s">
        <v>92</v>
      </c>
      <c r="D26" s="87" t="s">
        <v>75</v>
      </c>
      <c r="E26" s="37">
        <v>0.27</v>
      </c>
      <c r="F26" s="18">
        <v>0</v>
      </c>
      <c r="G26" s="18">
        <v>0</v>
      </c>
      <c r="H26" s="19">
        <v>0</v>
      </c>
      <c r="I26" s="20">
        <f t="shared" si="0"/>
        <v>0</v>
      </c>
      <c r="J26" s="41">
        <f t="shared" si="1"/>
        <v>0</v>
      </c>
      <c r="K26" s="45">
        <f>K8*E26%</f>
        <v>1049.7913982729997</v>
      </c>
      <c r="L26" s="45"/>
      <c r="M26" s="43">
        <f t="shared" si="2"/>
        <v>0</v>
      </c>
      <c r="N26" s="97">
        <f t="shared" si="3"/>
        <v>1049.7913982729997</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7076.371647617997</v>
      </c>
      <c r="L27" s="45"/>
      <c r="M27" s="43">
        <f t="shared" si="2"/>
        <v>0</v>
      </c>
      <c r="N27" s="97">
        <f t="shared" si="3"/>
        <v>7076.371647617997</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98362.58</v>
      </c>
      <c r="H32" s="19">
        <v>0</v>
      </c>
      <c r="I32" s="20">
        <f t="shared" si="0"/>
        <v>0</v>
      </c>
      <c r="J32" s="41">
        <f>J27+J26+J25+J24+J23+J22+J21+J20+J19+J18+J17+J16+J15+J14+J13+J12+J11+J10</f>
        <v>332027.55101000023</v>
      </c>
      <c r="K32" s="45">
        <f>K27+K26+K25+K24+K23+K22+K21+K20+K18+K19+K17+K16+K15+K14+K13+K12+K11+K10</f>
        <v>388811.62898999976</v>
      </c>
      <c r="L32" s="45">
        <f>SUM(L10:L31)</f>
        <v>0</v>
      </c>
      <c r="M32" s="43">
        <f>SUM(M14:M31)+M12+M13+M11+M10</f>
        <v>3540.2300000000027</v>
      </c>
      <c r="N32" s="19">
        <f>N27+N26+N25+N24+N23+N22+N21+N20+N19+N18+N17+N16+N15+N14+N13++N12+N11+N10</f>
        <v>720839.18000000017</v>
      </c>
    </row>
    <row r="33" spans="1:16" ht="2.25" customHeight="1" x14ac:dyDescent="0.25">
      <c r="A33" s="3"/>
      <c r="C33" s="27"/>
      <c r="D33" s="28"/>
      <c r="E33" s="28"/>
      <c r="F33" s="28"/>
      <c r="G33" s="28"/>
      <c r="H33" s="29">
        <f>SUM(H10:H32)</f>
        <v>0</v>
      </c>
      <c r="I33" s="30">
        <f>SUM(I10:I32)</f>
        <v>0</v>
      </c>
      <c r="J33" s="30">
        <f>SUM(J10:J32)</f>
        <v>664055.10202000057</v>
      </c>
      <c r="K33" s="46"/>
      <c r="L33" s="46"/>
      <c r="M33" s="29" t="e">
        <f ca="1">SUM(M10:M33)</f>
        <v>#VALUE!</v>
      </c>
      <c r="N33" s="29">
        <f>SUM(N10:N32)</f>
        <v>1441678.3600000003</v>
      </c>
      <c r="O33" s="5"/>
      <c r="P33" s="2" t="e">
        <f t="shared" ref="P33:P34" si="4">J33/C31*100</f>
        <v>#DIV/0!</v>
      </c>
    </row>
    <row r="34" spans="1:16" ht="29.25" hidden="1" customHeight="1" x14ac:dyDescent="0.25">
      <c r="A34" s="31" t="s">
        <v>60</v>
      </c>
      <c r="C34" s="93" t="s">
        <v>61</v>
      </c>
      <c r="D34" s="90"/>
      <c r="E34" s="90"/>
      <c r="F34" s="90"/>
      <c r="G34" s="90"/>
      <c r="H34" s="90"/>
      <c r="I34" s="90"/>
      <c r="J34" s="90"/>
      <c r="K34" s="91"/>
      <c r="L34" s="91"/>
      <c r="M34" s="90"/>
      <c r="N34" s="91"/>
      <c r="O34" s="31"/>
      <c r="P34" s="2" t="e">
        <f t="shared" si="4"/>
        <v>#DIV/0!</v>
      </c>
    </row>
    <row r="35" spans="1:16" ht="15.75" customHeight="1" x14ac:dyDescent="0.25">
      <c r="H35" s="5"/>
      <c r="J35" s="32"/>
      <c r="K35" s="32"/>
      <c r="L35" s="32"/>
      <c r="N35" s="33"/>
      <c r="P35" s="2"/>
    </row>
    <row r="36" spans="1:16" ht="15.75" customHeight="1" x14ac:dyDescent="0.25">
      <c r="H36" s="5"/>
      <c r="P36" s="2"/>
    </row>
    <row r="37" spans="1:16" ht="15.75" customHeight="1" x14ac:dyDescent="0.25">
      <c r="H37" s="5"/>
      <c r="P37" s="2"/>
    </row>
    <row r="38" spans="1:16" ht="15.75" customHeight="1" x14ac:dyDescent="0.25">
      <c r="H38" s="5"/>
      <c r="P38" s="2"/>
    </row>
    <row r="39" spans="1:16" ht="15.75" customHeight="1" x14ac:dyDescent="0.25">
      <c r="H39" s="5"/>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2">
    <mergeCell ref="A1:N1"/>
    <mergeCell ref="C34:N34"/>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89" t="s">
        <v>100</v>
      </c>
      <c r="B1" s="90"/>
      <c r="C1" s="90"/>
      <c r="D1" s="90"/>
      <c r="E1" s="90"/>
      <c r="F1" s="90"/>
      <c r="G1" s="90"/>
      <c r="H1" s="90"/>
      <c r="I1" s="90"/>
      <c r="J1" s="90"/>
      <c r="K1" s="90"/>
      <c r="L1" s="90"/>
      <c r="M1" s="92"/>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3" t="s">
        <v>61</v>
      </c>
      <c r="D35" s="90"/>
      <c r="E35" s="90"/>
      <c r="F35" s="90"/>
      <c r="G35" s="90"/>
      <c r="H35" s="90"/>
      <c r="I35" s="90"/>
      <c r="J35" s="90"/>
      <c r="K35" s="90"/>
      <c r="L35" s="90"/>
      <c r="M35" s="91"/>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2025-02-03T13:19:16Z</cp:lastPrinted>
  <dcterms:created xsi:type="dcterms:W3CDTF">2021-11-02T15:21:56Z</dcterms:created>
  <dcterms:modified xsi:type="dcterms:W3CDTF">2025-02-03T13:19:25Z</dcterms:modified>
</cp:coreProperties>
</file>