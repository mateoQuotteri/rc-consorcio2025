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Septiembre\"/>
    </mc:Choice>
  </mc:AlternateContent>
  <xr:revisionPtr revIDLastSave="0" documentId="13_ncr:1_{8372AD85-8063-457E-B9BB-C54B8F54B3D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Hoja1!$A$1:$H$66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6" i="1" l="1"/>
  <c r="H14" i="1" l="1"/>
  <c r="H27" i="1"/>
  <c r="H19" i="1" l="1"/>
  <c r="H16" i="1" l="1"/>
  <c r="H41" i="1" l="1"/>
  <c r="H48" i="1" s="1"/>
  <c r="H23" i="1" l="1"/>
  <c r="H34" i="1" l="1"/>
  <c r="H55" i="1" s="1"/>
  <c r="H45" i="1" l="1"/>
</calcChain>
</file>

<file path=xl/sharedStrings.xml><?xml version="1.0" encoding="utf-8"?>
<sst xmlns="http://schemas.openxmlformats.org/spreadsheetml/2006/main" count="53" uniqueCount="52">
  <si>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</si>
  <si>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</si>
  <si>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</si>
  <si>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</si>
  <si>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</si>
  <si>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</si>
  <si>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</si>
  <si>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</si>
  <si>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</si>
  <si>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</si>
  <si>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</si>
  <si>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</si>
  <si>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</si>
  <si>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</si>
  <si>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</si>
  <si>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</si>
  <si>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</si>
  <si>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</si>
  <si>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</si>
  <si>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</si>
  <si>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</si>
  <si>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</si>
  <si>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</si>
  <si>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</si>
  <si>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</si>
  <si>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</si>
  <si>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</si>
  <si>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</si>
  <si>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</si>
  <si>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</si>
  <si>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</si>
  <si>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</si>
  <si>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</si>
  <si>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</si>
  <si>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</si>
  <si>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</si>
  <si>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</si>
  <si>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</si>
  <si>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 xml:space="preserve">Prevision ordinaria </t>
  </si>
  <si>
    <t>son 74897$ que recuperamos con el abono de ascensores</t>
  </si>
  <si>
    <t>Prevision Extraordinaria</t>
  </si>
  <si>
    <t xml:space="preserve">Ingreso pago por expensas - MAYO - </t>
  </si>
  <si>
    <t>Egresos gastos del mes - MAYO</t>
  </si>
  <si>
    <t>Articulos de limpieza</t>
  </si>
  <si>
    <t>subidos JULI de 2025</t>
  </si>
  <si>
    <t>SEÑORES PROPIETARIOS E INQUILINOS: QUIEN NO ABONE EDESUR PAGARA CON PUNITORIOS AL MES SIGUIENTE. LA CAJA MOSTRADA NO ES LA REAL DEBIDO A QUE DENTRO DE LA MISMA SE SOSTIENEN LOS DEUDORES DE EDESUR Y NO SE PUEDEN AVANZAR EN MEJORAS.</t>
  </si>
  <si>
    <t>PERIODO: SEPTIEMBRE - Vto. 15/10</t>
  </si>
  <si>
    <t>TSG SEPTIEMBRE</t>
  </si>
  <si>
    <t>Mantenimiento de Ascensor - SEPTIEMBRE</t>
  </si>
  <si>
    <t>Administraciòn SEPTIEMBRE 2025:</t>
  </si>
  <si>
    <t>Reparacion de sombrero - A.C - Zingueria en terraza -  Reparacion de canaleta - Bajada techo Dpto. - Sellado de grietas en la finalizacion de la canaleta</t>
  </si>
  <si>
    <t xml:space="preserve">Adelanto compra y colocacion semaforo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</si>
</sst>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0" fontId="7" fillId="4" borderId="9" xfId="0" applyFont="1" applyFill="1" applyBorder="1"/>
    <xf numFmtId="0" fontId="7" fillId="4" borderId="0" xfId="0" applyFont="1" applyFill="1"/>
    <xf numFmtId="44" fontId="8" fillId="4" borderId="10" xfId="0" applyNumberFormat="1" applyFont="1" applyFill="1" applyBorder="1"/>
    <xf numFmtId="0" fontId="7" fillId="0" borderId="10" xfId="0" applyFont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8" fontId="9" fillId="5" borderId="0" xfId="0" applyNumberFormat="1" applyFont="1" applyFill="1"/>
    <xf numFmtId="44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44" fontId="12" fillId="5" borderId="3" xfId="1" applyFont="1" applyFill="1" applyBorder="1"/>
    <xf numFmtId="0" fontId="0" fillId="0" borderId="3" xfId="0" applyBorder="1"/>
    <xf numFmtId="44" fontId="0" fillId="0" borderId="0" xfId="0" applyNumberFormat="1"/>
    <xf numFmtId="44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8" fontId="8" fillId="7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8" fontId="6" fillId="0" borderId="0" xfId="0" applyNumberFormat="1" applyFont="1"/>
    <xf numFmtId="8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44" fontId="8" fillId="4" borderId="10" xfId="1" applyFont="1" applyFill="1" applyBorder="1"/>
    <xf numFmtId="164" fontId="6" fillId="0" borderId="0" xfId="0" applyNumberFormat="1" applyFont="1"/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7" fillId="0" borderId="3" xfId="0" applyFont="1" applyBorder="1"/>
    <xf numFmtId="6" fontId="7" fillId="0" borderId="3" xfId="0" applyNumberFormat="1" applyFont="1" applyBorder="1"/>
    <xf numFmtId="0" fontId="7" fillId="4" borderId="3" xfId="0" applyFont="1" applyFill="1" applyBorder="1"/>
    <xf numFmtId="6" fontId="8" fillId="6" borderId="3" xfId="0" applyNumberFormat="1" applyFont="1" applyFill="1" applyBorder="1"/>
    <xf numFmtId="16" fontId="7" fillId="0" borderId="3" xfId="0" applyNumberFormat="1" applyFont="1" applyBorder="1"/>
    <xf numFmtId="44" fontId="8" fillId="4" borderId="3" xfId="0" applyNumberFormat="1" applyFont="1" applyFill="1" applyBorder="1"/>
    <xf numFmtId="0" fontId="7" fillId="5" borderId="3" xfId="0" applyFont="1" applyFill="1" applyBorder="1"/>
    <xf numFmtId="44" fontId="7" fillId="5" borderId="3" xfId="0" applyNumberFormat="1" applyFont="1" applyFill="1" applyBorder="1"/>
    <xf numFmtId="16" fontId="7" fillId="5" borderId="3" xfId="0" applyNumberFormat="1" applyFont="1" applyFill="1" applyBorder="1"/>
    <xf numFmtId="6" fontId="7" fillId="5" borderId="3" xfId="0" applyNumberFormat="1" applyFont="1" applyFill="1" applyBorder="1"/>
    <xf numFmtId="44" fontId="7" fillId="5" borderId="12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5"/>
  <sheetViews>
    <sheetView tabSelected="1" topLeftCell="A31" zoomScale="90" zoomScaleNormal="90" workbookViewId="0">
      <selection activeCell="H39" sqref="A13:H39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9" width="13.85546875" bestFit="1" customWidth="1"/>
    <col min="10" max="10" width="12.5703125" bestFit="1" customWidth="1"/>
    <col min="11" max="11" width="12.71093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24</v>
      </c>
      <c r="H2" s="6"/>
    </row>
    <row r="3" spans="1:8" x14ac:dyDescent="0.25">
      <c r="A3" s="5"/>
      <c r="D3" s="13" t="s">
        <v>1</v>
      </c>
      <c r="E3" s="59">
        <v>1153202676</v>
      </c>
      <c r="F3" s="59"/>
      <c r="H3" s="6"/>
    </row>
    <row r="4" spans="1:8" x14ac:dyDescent="0.25">
      <c r="A4" s="5"/>
      <c r="D4" s="13" t="s">
        <v>2</v>
      </c>
      <c r="E4" s="17" t="s">
        <v>25</v>
      </c>
      <c r="H4" s="6"/>
    </row>
    <row r="5" spans="1:8" x14ac:dyDescent="0.25">
      <c r="A5" s="5"/>
      <c r="D5" s="42" t="s">
        <v>34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46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x14ac:dyDescent="0.25">
      <c r="A9" s="5" t="s">
        <v>4</v>
      </c>
      <c r="E9" t="s">
        <v>5</v>
      </c>
      <c r="H9" s="6"/>
    </row>
    <row r="10" spans="1:8" x14ac:dyDescent="0.25">
      <c r="A10" s="5" t="s">
        <v>6</v>
      </c>
      <c r="B10" t="s">
        <v>26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69" t="s">
        <v>13</v>
      </c>
      <c r="B12" s="69"/>
      <c r="C12" s="69"/>
      <c r="D12" s="69"/>
      <c r="E12" s="69"/>
      <c r="F12" s="69"/>
      <c r="G12" s="69"/>
      <c r="H12" s="69"/>
    </row>
    <row r="13" spans="1:8" x14ac:dyDescent="0.25">
      <c r="A13" s="86"/>
      <c r="B13" s="86"/>
      <c r="C13" s="86"/>
      <c r="D13" s="86"/>
      <c r="E13" s="86"/>
      <c r="F13" s="86"/>
      <c r="G13" s="86"/>
      <c r="H13" s="87"/>
    </row>
    <row r="14" spans="1:8" ht="14.25" customHeight="1" x14ac:dyDescent="0.25">
      <c r="A14" s="86" t="s">
        <v>28</v>
      </c>
      <c r="B14" s="86" t="s">
        <v>30</v>
      </c>
      <c r="C14" s="86"/>
      <c r="D14" s="86"/>
      <c r="E14" s="86"/>
      <c r="F14" s="86"/>
      <c r="G14" s="86"/>
      <c r="H14" s="95">
        <f>266091*3%+266091</f>
        <v>274073.73</v>
      </c>
    </row>
    <row r="15" spans="1:8" x14ac:dyDescent="0.25">
      <c r="A15" s="86" t="s">
        <v>31</v>
      </c>
      <c r="B15" s="86"/>
      <c r="C15" s="86"/>
      <c r="D15" s="86" t="s">
        <v>32</v>
      </c>
      <c r="E15" s="86"/>
      <c r="F15" s="86"/>
      <c r="G15" s="86"/>
      <c r="H15" s="95">
        <v>8379</v>
      </c>
    </row>
    <row r="16" spans="1:8" x14ac:dyDescent="0.25">
      <c r="A16" s="88" t="s">
        <v>7</v>
      </c>
      <c r="B16" s="88"/>
      <c r="C16" s="88"/>
      <c r="D16" s="88"/>
      <c r="E16" s="88"/>
      <c r="F16" s="88"/>
      <c r="G16" s="88"/>
      <c r="H16" s="89">
        <f>SUM(H13:H15)</f>
        <v>282452.73</v>
      </c>
    </row>
    <row r="17" spans="1:12" x14ac:dyDescent="0.25">
      <c r="A17" s="73" t="s">
        <v>8</v>
      </c>
      <c r="B17" s="73"/>
      <c r="C17" s="73"/>
      <c r="D17" s="73"/>
      <c r="E17" s="73"/>
      <c r="F17" s="73"/>
      <c r="G17" s="73"/>
      <c r="H17" s="73"/>
    </row>
    <row r="18" spans="1:12" x14ac:dyDescent="0.25">
      <c r="A18" s="86" t="s">
        <v>27</v>
      </c>
      <c r="B18" s="86"/>
      <c r="C18" s="90"/>
      <c r="D18" s="86"/>
      <c r="E18" s="86"/>
      <c r="F18" s="86"/>
      <c r="G18" s="86"/>
      <c r="H18" s="93">
        <v>145038.43</v>
      </c>
    </row>
    <row r="19" spans="1:12" x14ac:dyDescent="0.25">
      <c r="A19" s="88" t="s">
        <v>9</v>
      </c>
      <c r="B19" s="88"/>
      <c r="C19" s="88"/>
      <c r="D19" s="88"/>
      <c r="E19" s="88"/>
      <c r="F19" s="88"/>
      <c r="G19" s="88"/>
      <c r="H19" s="91">
        <f>SUM(H18:H18)</f>
        <v>145038.43</v>
      </c>
    </row>
    <row r="20" spans="1:12" x14ac:dyDescent="0.25">
      <c r="A20" s="73" t="s">
        <v>18</v>
      </c>
      <c r="B20" s="73"/>
      <c r="C20" s="73"/>
      <c r="D20" s="73"/>
      <c r="E20" s="73"/>
      <c r="F20" s="73"/>
      <c r="G20" s="73"/>
      <c r="H20" s="73"/>
    </row>
    <row r="21" spans="1:12" x14ac:dyDescent="0.25">
      <c r="A21" s="92" t="s">
        <v>19</v>
      </c>
      <c r="B21" s="92"/>
      <c r="C21" s="92"/>
      <c r="D21" s="92"/>
      <c r="E21" s="92"/>
      <c r="F21" s="92"/>
      <c r="G21" s="92"/>
      <c r="H21" s="93"/>
    </row>
    <row r="22" spans="1:12" x14ac:dyDescent="0.25">
      <c r="A22" s="86" t="s">
        <v>47</v>
      </c>
      <c r="B22" s="86"/>
      <c r="C22" s="86"/>
      <c r="D22" s="86"/>
      <c r="E22" s="86"/>
      <c r="F22" s="86"/>
      <c r="G22" s="86"/>
      <c r="H22" s="44">
        <v>7186</v>
      </c>
    </row>
    <row r="23" spans="1:12" x14ac:dyDescent="0.25">
      <c r="A23" s="88" t="s">
        <v>7</v>
      </c>
      <c r="B23" s="88"/>
      <c r="C23" s="88"/>
      <c r="D23" s="88"/>
      <c r="E23" s="88"/>
      <c r="F23" s="88"/>
      <c r="G23" s="88"/>
      <c r="H23" s="91">
        <f>SUM(H21:H22)</f>
        <v>7186</v>
      </c>
    </row>
    <row r="24" spans="1:12" x14ac:dyDescent="0.25">
      <c r="A24" s="73" t="s">
        <v>20</v>
      </c>
      <c r="B24" s="73"/>
      <c r="C24" s="73"/>
      <c r="D24" s="73"/>
      <c r="E24" s="73"/>
      <c r="F24" s="73"/>
      <c r="G24" s="73"/>
      <c r="H24" s="73"/>
    </row>
    <row r="25" spans="1:12" x14ac:dyDescent="0.25">
      <c r="A25" s="86" t="s">
        <v>48</v>
      </c>
      <c r="B25" s="86"/>
      <c r="C25" s="86"/>
      <c r="D25" s="86"/>
      <c r="E25" s="86"/>
      <c r="F25" s="86"/>
      <c r="G25" s="86"/>
      <c r="H25" s="44">
        <v>70000</v>
      </c>
    </row>
    <row r="26" spans="1:12" x14ac:dyDescent="0.25">
      <c r="A26" s="92" t="s">
        <v>43</v>
      </c>
      <c r="B26" s="86"/>
      <c r="C26" s="90"/>
      <c r="D26" s="92"/>
      <c r="E26" s="94"/>
      <c r="F26" s="86"/>
      <c r="G26" s="86"/>
      <c r="H26" s="44">
        <v>0</v>
      </c>
    </row>
    <row r="27" spans="1:12" x14ac:dyDescent="0.25">
      <c r="A27" s="20" t="s">
        <v>10</v>
      </c>
      <c r="B27" s="21"/>
      <c r="C27" s="21"/>
      <c r="D27" s="21"/>
      <c r="E27" s="21"/>
      <c r="F27" s="21"/>
      <c r="G27" s="21"/>
      <c r="H27" s="22">
        <f>SUM(H25:H26)</f>
        <v>70000</v>
      </c>
      <c r="L27" t="s">
        <v>39</v>
      </c>
    </row>
    <row r="28" spans="1:12" x14ac:dyDescent="0.25">
      <c r="A28" s="70" t="s">
        <v>21</v>
      </c>
      <c r="B28" s="71"/>
      <c r="C28" s="71"/>
      <c r="D28" s="71"/>
      <c r="E28" s="71"/>
      <c r="F28" s="71"/>
      <c r="G28" s="71"/>
      <c r="H28" s="72"/>
    </row>
    <row r="29" spans="1:12" x14ac:dyDescent="0.25">
      <c r="A29" s="18" t="s">
        <v>11</v>
      </c>
      <c r="B29" s="19"/>
      <c r="C29" s="19" t="s">
        <v>12</v>
      </c>
      <c r="D29" s="19"/>
      <c r="E29" s="19"/>
      <c r="F29" s="19"/>
      <c r="G29" s="19"/>
      <c r="H29" s="23"/>
      <c r="I29" s="43"/>
    </row>
    <row r="30" spans="1:12" x14ac:dyDescent="0.25">
      <c r="A30" s="20" t="s">
        <v>49</v>
      </c>
      <c r="B30" s="21"/>
      <c r="C30" s="21"/>
      <c r="D30" s="21"/>
      <c r="E30" s="21"/>
      <c r="F30" s="21"/>
      <c r="G30" s="21"/>
      <c r="H30" s="56">
        <v>147500</v>
      </c>
      <c r="I30" s="43"/>
      <c r="K30" t="s">
        <v>44</v>
      </c>
    </row>
    <row r="31" spans="1:12" x14ac:dyDescent="0.25">
      <c r="A31" s="18"/>
      <c r="B31" s="19"/>
      <c r="C31" s="19"/>
      <c r="D31" s="19"/>
      <c r="E31" s="19"/>
      <c r="F31" s="19"/>
      <c r="G31" s="19"/>
      <c r="H31" s="24"/>
    </row>
    <row r="32" spans="1:12" x14ac:dyDescent="0.25">
      <c r="A32" s="70" t="s">
        <v>22</v>
      </c>
      <c r="B32" s="71"/>
      <c r="C32" s="71"/>
      <c r="D32" s="71"/>
      <c r="E32" s="71"/>
      <c r="F32" s="71"/>
      <c r="G32" s="71"/>
      <c r="H32" s="72"/>
    </row>
    <row r="33" spans="1:11" x14ac:dyDescent="0.25">
      <c r="A33" s="49" t="s">
        <v>36</v>
      </c>
      <c r="B33" s="50"/>
      <c r="C33" s="50"/>
      <c r="D33" s="50"/>
      <c r="E33" s="50"/>
      <c r="F33" s="50"/>
      <c r="G33" s="50"/>
      <c r="H33" s="96">
        <v>53282</v>
      </c>
    </row>
    <row r="34" spans="1:11" s="16" customFormat="1" ht="15.75" x14ac:dyDescent="0.25">
      <c r="A34" s="25" t="s">
        <v>23</v>
      </c>
      <c r="B34" s="26"/>
      <c r="C34" s="26"/>
      <c r="D34" s="26"/>
      <c r="E34" s="26"/>
      <c r="F34" s="26"/>
      <c r="G34" s="26"/>
      <c r="H34" s="27">
        <f>H16+H19+H23+H27+H30+H33</f>
        <v>705459.15999999992</v>
      </c>
      <c r="I34" s="51"/>
      <c r="K34" s="57"/>
    </row>
    <row r="35" spans="1:11" s="14" customFormat="1" ht="18.75" x14ac:dyDescent="0.25">
      <c r="A35" s="45" t="s">
        <v>38</v>
      </c>
      <c r="B35" s="46"/>
      <c r="C35" s="46"/>
      <c r="D35" s="46"/>
      <c r="E35" s="46"/>
      <c r="F35" s="46"/>
      <c r="G35" s="46"/>
      <c r="H35" s="47"/>
    </row>
    <row r="36" spans="1:11" ht="15" customHeight="1" x14ac:dyDescent="0.25">
      <c r="A36" s="60" t="s">
        <v>14</v>
      </c>
      <c r="B36" s="61"/>
      <c r="C36" s="61"/>
      <c r="D36" s="61"/>
      <c r="E36" s="61"/>
      <c r="F36" s="61"/>
      <c r="G36" s="61"/>
      <c r="H36" s="62"/>
    </row>
    <row r="37" spans="1:11" ht="18" customHeight="1" x14ac:dyDescent="0.25">
      <c r="A37" s="63"/>
      <c r="B37" s="64"/>
      <c r="C37" s="64"/>
      <c r="D37" s="64"/>
      <c r="E37" s="64"/>
      <c r="F37" s="64"/>
      <c r="G37" s="64"/>
      <c r="H37" s="65"/>
    </row>
    <row r="38" spans="1:11" ht="33.75" customHeight="1" x14ac:dyDescent="0.25">
      <c r="A38" s="74" t="s">
        <v>50</v>
      </c>
      <c r="B38" s="75"/>
      <c r="C38" s="75"/>
      <c r="D38" s="75"/>
      <c r="E38" s="75"/>
      <c r="F38" s="75"/>
      <c r="G38" s="75"/>
      <c r="H38" s="28">
        <v>250000</v>
      </c>
    </row>
    <row r="39" spans="1:11" ht="16.5" customHeight="1" x14ac:dyDescent="0.25">
      <c r="A39" s="82" t="s">
        <v>51</v>
      </c>
      <c r="B39" s="83"/>
      <c r="C39" s="83"/>
      <c r="D39" s="83"/>
      <c r="E39" s="83"/>
      <c r="F39" s="83"/>
      <c r="G39" s="84"/>
      <c r="H39" s="28">
        <v>100000</v>
      </c>
    </row>
    <row r="40" spans="1:11" ht="15.75" customHeight="1" x14ac:dyDescent="0.25">
      <c r="A40" s="76"/>
      <c r="B40" s="77"/>
      <c r="C40" s="77"/>
      <c r="D40" s="77"/>
      <c r="E40" s="77"/>
      <c r="F40" s="77"/>
      <c r="G40" s="78"/>
      <c r="H40" s="28"/>
    </row>
    <row r="41" spans="1:11" s="14" customFormat="1" ht="14.25" customHeight="1" x14ac:dyDescent="0.25">
      <c r="A41" s="79" t="s">
        <v>29</v>
      </c>
      <c r="B41" s="80"/>
      <c r="C41" s="80"/>
      <c r="D41" s="80"/>
      <c r="E41" s="80"/>
      <c r="F41" s="80"/>
      <c r="G41" s="81"/>
      <c r="H41" s="29">
        <f>SUM(H38:H40)</f>
        <v>350000</v>
      </c>
    </row>
    <row r="42" spans="1:11" x14ac:dyDescent="0.25">
      <c r="A42" s="19"/>
      <c r="B42" s="19"/>
      <c r="C42" s="19"/>
      <c r="D42" s="19"/>
      <c r="E42" s="19"/>
      <c r="F42" s="19"/>
      <c r="G42" s="19"/>
      <c r="H42" s="19"/>
    </row>
    <row r="43" spans="1:11" ht="18.75" customHeight="1" x14ac:dyDescent="0.25">
      <c r="A43" s="53" t="s">
        <v>40</v>
      </c>
      <c r="B43" s="54"/>
      <c r="C43" s="54"/>
      <c r="D43" s="54"/>
      <c r="E43" s="54"/>
      <c r="F43" s="54"/>
      <c r="G43" s="55"/>
      <c r="H43" s="52"/>
    </row>
    <row r="44" spans="1:11" ht="15" customHeight="1" x14ac:dyDescent="0.25">
      <c r="A44" s="19"/>
      <c r="B44" s="19"/>
      <c r="C44" s="19"/>
      <c r="D44" s="19"/>
      <c r="E44" s="19"/>
      <c r="F44" s="19"/>
      <c r="G44" s="19"/>
      <c r="H44" s="19"/>
      <c r="J44" s="15"/>
    </row>
    <row r="45" spans="1:11" ht="54.75" customHeight="1" x14ac:dyDescent="0.25">
      <c r="A45" s="85" t="s">
        <v>37</v>
      </c>
      <c r="B45" s="85"/>
      <c r="C45" s="85"/>
      <c r="D45" s="85"/>
      <c r="E45" s="85"/>
      <c r="F45" s="85"/>
      <c r="G45" s="85"/>
      <c r="H45" s="27">
        <f>+H34+H35</f>
        <v>705459.15999999992</v>
      </c>
    </row>
    <row r="46" spans="1:11" ht="15.75" x14ac:dyDescent="0.25">
      <c r="A46" s="30"/>
      <c r="B46" s="30"/>
      <c r="C46" s="30"/>
      <c r="D46" s="30"/>
      <c r="E46" s="30"/>
      <c r="F46" s="30"/>
      <c r="G46" s="30"/>
      <c r="H46" s="31"/>
    </row>
    <row r="47" spans="1:11" x14ac:dyDescent="0.25">
      <c r="A47" s="19"/>
      <c r="B47" s="19"/>
      <c r="C47" s="19"/>
      <c r="D47" s="19"/>
      <c r="E47" s="19"/>
      <c r="F47" s="19"/>
      <c r="G47" s="19"/>
      <c r="H47" s="19"/>
    </row>
    <row r="48" spans="1:11" ht="15.75" x14ac:dyDescent="0.25">
      <c r="A48" s="25" t="s">
        <v>33</v>
      </c>
      <c r="B48" s="26"/>
      <c r="C48" s="26"/>
      <c r="D48" s="26"/>
      <c r="E48" s="26"/>
      <c r="F48" s="26"/>
      <c r="G48" s="26"/>
      <c r="H48" s="32">
        <f>H41</f>
        <v>350000</v>
      </c>
    </row>
    <row r="49" spans="1:10" x14ac:dyDescent="0.25">
      <c r="A49" s="19"/>
      <c r="B49" s="19"/>
      <c r="C49" s="19"/>
      <c r="D49" s="19"/>
      <c r="E49" s="19"/>
      <c r="F49" s="19"/>
      <c r="G49" s="19"/>
      <c r="H49" s="19"/>
    </row>
    <row r="50" spans="1:10" ht="18.75" x14ac:dyDescent="0.3">
      <c r="A50" s="66" t="s">
        <v>15</v>
      </c>
      <c r="B50" s="67"/>
      <c r="C50" s="67"/>
      <c r="D50" s="67"/>
      <c r="E50" s="67"/>
      <c r="F50" s="67"/>
      <c r="G50" s="67"/>
      <c r="H50" s="68"/>
    </row>
    <row r="51" spans="1:10" ht="18.75" x14ac:dyDescent="0.3">
      <c r="A51" s="33" t="s">
        <v>17</v>
      </c>
      <c r="B51" s="34"/>
      <c r="C51" s="34"/>
      <c r="D51" s="34"/>
      <c r="E51" s="34"/>
      <c r="F51" s="34"/>
      <c r="G51" s="34"/>
      <c r="H51" s="40">
        <v>825879.73876219126</v>
      </c>
    </row>
    <row r="52" spans="1:10" ht="14.25" customHeight="1" x14ac:dyDescent="0.25">
      <c r="A52" s="35" t="s">
        <v>41</v>
      </c>
      <c r="B52" s="36"/>
      <c r="C52" s="36"/>
      <c r="D52" s="36"/>
      <c r="E52" s="36"/>
      <c r="F52" s="36"/>
      <c r="G52" s="36"/>
      <c r="H52" s="44">
        <v>1278402.3537500002</v>
      </c>
    </row>
    <row r="53" spans="1:10" hidden="1" x14ac:dyDescent="0.25">
      <c r="A53" s="35"/>
      <c r="B53" s="36"/>
      <c r="C53" s="36"/>
      <c r="D53" s="36"/>
      <c r="E53" s="36"/>
      <c r="F53" s="36"/>
      <c r="G53" s="36"/>
      <c r="H53" s="41"/>
    </row>
    <row r="54" spans="1:10" x14ac:dyDescent="0.25">
      <c r="A54" s="35" t="s">
        <v>35</v>
      </c>
      <c r="B54" s="36"/>
      <c r="C54" s="36"/>
      <c r="D54" s="36"/>
      <c r="E54" s="36"/>
      <c r="F54" s="36"/>
      <c r="G54" s="36"/>
      <c r="H54" s="41">
        <v>-16692</v>
      </c>
    </row>
    <row r="55" spans="1:10" x14ac:dyDescent="0.25">
      <c r="A55" s="35" t="s">
        <v>42</v>
      </c>
      <c r="B55" s="36"/>
      <c r="C55" s="36"/>
      <c r="D55" s="36"/>
      <c r="E55" s="36"/>
      <c r="F55" s="36"/>
      <c r="G55" s="36"/>
      <c r="H55" s="37">
        <f>-(H34+H48)</f>
        <v>-1055459.1599999999</v>
      </c>
      <c r="J55" s="15"/>
    </row>
    <row r="56" spans="1:10" ht="18.75" x14ac:dyDescent="0.3">
      <c r="A56" s="38" t="s">
        <v>16</v>
      </c>
      <c r="B56" s="39"/>
      <c r="C56" s="39"/>
      <c r="D56" s="39"/>
      <c r="E56" s="39"/>
      <c r="F56" s="39"/>
      <c r="G56" s="39"/>
      <c r="H56" s="48">
        <f>SUM(H51:H55)</f>
        <v>1032130.9325121914</v>
      </c>
    </row>
    <row r="58" spans="1:10" x14ac:dyDescent="0.25">
      <c r="B58" s="58" t="s">
        <v>45</v>
      </c>
      <c r="C58" s="58"/>
      <c r="D58" s="58"/>
      <c r="E58" s="58"/>
      <c r="F58" s="58"/>
      <c r="G58" s="58"/>
    </row>
    <row r="59" spans="1:10" x14ac:dyDescent="0.25">
      <c r="B59" s="58"/>
      <c r="C59" s="58"/>
      <c r="D59" s="58"/>
      <c r="E59" s="58"/>
      <c r="F59" s="58"/>
      <c r="G59" s="58"/>
    </row>
    <row r="60" spans="1:10" x14ac:dyDescent="0.25">
      <c r="B60" s="58"/>
      <c r="C60" s="58"/>
      <c r="D60" s="58"/>
      <c r="E60" s="58"/>
      <c r="F60" s="58"/>
      <c r="G60" s="58"/>
    </row>
    <row r="61" spans="1:10" x14ac:dyDescent="0.25">
      <c r="B61" s="58"/>
      <c r="C61" s="58"/>
      <c r="D61" s="58"/>
      <c r="E61" s="58"/>
      <c r="F61" s="58"/>
      <c r="G61" s="58"/>
    </row>
    <row r="62" spans="1:10" x14ac:dyDescent="0.25">
      <c r="B62" s="58"/>
      <c r="C62" s="58"/>
      <c r="D62" s="58"/>
      <c r="E62" s="58"/>
      <c r="F62" s="58"/>
      <c r="G62" s="58"/>
    </row>
    <row r="63" spans="1:10" x14ac:dyDescent="0.25">
      <c r="B63" s="58"/>
      <c r="C63" s="58"/>
      <c r="D63" s="58"/>
      <c r="E63" s="58"/>
      <c r="F63" s="58"/>
      <c r="G63" s="58"/>
    </row>
    <row r="64" spans="1:10" x14ac:dyDescent="0.25">
      <c r="B64" s="58"/>
      <c r="C64" s="58"/>
      <c r="D64" s="58"/>
      <c r="E64" s="58"/>
      <c r="F64" s="58"/>
      <c r="G64" s="58"/>
    </row>
    <row r="65" spans="2:7" x14ac:dyDescent="0.25">
      <c r="B65" s="58"/>
      <c r="C65" s="58"/>
      <c r="D65" s="58"/>
      <c r="E65" s="58"/>
      <c r="F65" s="58"/>
      <c r="G65" s="58"/>
    </row>
  </sheetData>
  <mergeCells count="15">
    <mergeCell ref="B58:G65"/>
    <mergeCell ref="E3:F3"/>
    <mergeCell ref="A36:H37"/>
    <mergeCell ref="A50:H50"/>
    <mergeCell ref="A12:H12"/>
    <mergeCell ref="A17:H17"/>
    <mergeCell ref="A24:H24"/>
    <mergeCell ref="A28:H28"/>
    <mergeCell ref="A32:H32"/>
    <mergeCell ref="A20:H20"/>
    <mergeCell ref="A38:G38"/>
    <mergeCell ref="A40:G40"/>
    <mergeCell ref="A41:G41"/>
    <mergeCell ref="A39:G39"/>
    <mergeCell ref="A45:G45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2025-07-29T22:39:34Z</cp:lastPrinted>
  <dcterms:created xsi:type="dcterms:W3CDTF">2021-11-02T15:18:42Z</dcterms:created>
  <dcterms:modified xsi:type="dcterms:W3CDTF">2025-09-28T14:22:43Z</dcterms:modified>
</cp:coreProperties>
</file>