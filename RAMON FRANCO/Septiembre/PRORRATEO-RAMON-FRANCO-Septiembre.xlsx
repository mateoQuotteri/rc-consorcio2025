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Agosto\"/>
    </mc:Choice>
  </mc:AlternateContent>
  <xr:revisionPtr revIDLastSave="0" documentId="13_ncr:1_{F1FE9381-EED2-41AC-9DED-2A0EA5F193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H20" i="1"/>
  <c r="H15" i="1"/>
  <c r="H18" i="1" l="1"/>
  <c r="H23" i="1" l="1"/>
  <c r="H16" i="1"/>
  <c r="H13" i="1"/>
  <c r="H17" i="1" l="1"/>
  <c r="H29" i="1" l="1"/>
  <c r="H21" i="1" l="1"/>
  <c r="H22" i="1" l="1"/>
  <c r="H26" i="1" l="1"/>
  <c r="H14" i="1" l="1"/>
  <c r="K20" i="1"/>
  <c r="H28" i="1"/>
  <c r="J23" i="1" l="1"/>
  <c r="L23" i="1" s="1"/>
  <c r="H30" i="1"/>
  <c r="M23" i="1" l="1"/>
  <c r="O12" i="1" l="1"/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 l="1"/>
  <c r="J13" i="1"/>
  <c r="J12" i="1" l="1"/>
  <c r="N13" i="1"/>
  <c r="J21" i="1"/>
  <c r="L21" i="1" s="1"/>
  <c r="J22" i="1"/>
  <c r="L22" i="1" s="1"/>
  <c r="J24" i="1"/>
  <c r="L24" i="1" s="1"/>
  <c r="J25" i="1"/>
  <c r="L25" i="1" s="1"/>
  <c r="J26" i="1"/>
  <c r="L26" i="1" s="1"/>
  <c r="J29" i="1"/>
  <c r="L29" i="1" s="1"/>
  <c r="J15" i="1"/>
  <c r="L15" i="1" s="1"/>
  <c r="J14" i="1"/>
  <c r="L14" i="1" s="1"/>
  <c r="J16" i="1"/>
  <c r="L16" i="1" s="1"/>
  <c r="J17" i="1"/>
  <c r="L17" i="1" s="1"/>
  <c r="J18" i="1"/>
  <c r="L18" i="1" s="1"/>
  <c r="J28" i="1"/>
  <c r="L28" i="1" s="1"/>
  <c r="L12" i="1" l="1"/>
  <c r="L13" i="1"/>
  <c r="M15" i="1"/>
  <c r="M26" i="1"/>
  <c r="M28" i="1"/>
  <c r="M29" i="1"/>
  <c r="M24" i="1"/>
  <c r="M25" i="1" l="1"/>
  <c r="M17" i="1" l="1"/>
  <c r="M21" i="1"/>
  <c r="M18" i="1"/>
  <c r="M22" i="1"/>
  <c r="M16" i="1"/>
  <c r="M14" i="1"/>
  <c r="M13" i="1"/>
  <c r="P13" i="1" s="1"/>
  <c r="N12" i="1"/>
  <c r="N29" i="1"/>
  <c r="P29" i="1" s="1"/>
  <c r="F30" i="1" l="1"/>
  <c r="N28" i="1" l="1"/>
  <c r="P28" i="1" s="1"/>
  <c r="N27" i="1"/>
  <c r="N14" i="1" l="1"/>
  <c r="P14" i="1" s="1"/>
  <c r="N15" i="1"/>
  <c r="P15" i="1" s="1"/>
  <c r="N16" i="1"/>
  <c r="P16" i="1" s="1"/>
  <c r="N17" i="1"/>
  <c r="P17" i="1" s="1"/>
  <c r="N18" i="1"/>
  <c r="P18" i="1" s="1"/>
  <c r="N19" i="1"/>
  <c r="N20" i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30" i="1" l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F16" i="2" l="1"/>
  <c r="F15" i="2"/>
  <c r="F14" i="2"/>
  <c r="F22" i="2"/>
  <c r="F21" i="2"/>
  <c r="F20" i="2"/>
  <c r="F19" i="2"/>
  <c r="F18" i="2"/>
  <c r="F17" i="2"/>
  <c r="F13" i="2"/>
  <c r="F12" i="2"/>
  <c r="F11" i="2"/>
  <c r="F10" i="2"/>
  <c r="F9" i="2"/>
  <c r="F8" i="2"/>
  <c r="F7" i="2"/>
  <c r="F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E5" i="2"/>
  <c r="D23" i="2"/>
  <c r="F23" i="2" l="1"/>
  <c r="E23" i="2"/>
  <c r="M12" i="1" l="1"/>
  <c r="P12" i="1" l="1"/>
  <c r="J27" i="1" l="1"/>
  <c r="L27" i="1" s="1"/>
  <c r="M27" i="1" l="1"/>
  <c r="P27" i="1" s="1"/>
  <c r="J19" i="1" l="1"/>
  <c r="L20" i="1" l="1"/>
  <c r="M20" i="1" s="1"/>
  <c r="P20" i="1" s="1"/>
  <c r="L19" i="1"/>
  <c r="L30" i="1" s="1"/>
  <c r="J30" i="1"/>
  <c r="M19" i="1" l="1"/>
  <c r="P19" i="1" s="1"/>
  <c r="P30" i="1" s="1"/>
</calcChain>
</file>

<file path=xl/sharedStrings.xml><?xml version="1.0" encoding="utf-8"?>
<sst xmlns="http://schemas.openxmlformats.org/spreadsheetml/2006/main" count="114" uniqueCount="83">
  <si>
    <t>Domicilio:</t>
  </si>
  <si>
    <t>Localidad:</t>
  </si>
  <si>
    <t>U.F.</t>
  </si>
  <si>
    <t>PROPIETARIOS</t>
  </si>
  <si>
    <t>PISO - DEPTO</t>
  </si>
  <si>
    <t>1 -A</t>
  </si>
  <si>
    <t>1-B</t>
  </si>
  <si>
    <t>2 -A</t>
  </si>
  <si>
    <t>1-C</t>
  </si>
  <si>
    <t>2-B</t>
  </si>
  <si>
    <t>2-C</t>
  </si>
  <si>
    <t>3-A</t>
  </si>
  <si>
    <t>3-B</t>
  </si>
  <si>
    <t>URSO, MATIAS EZEQUIEL</t>
  </si>
  <si>
    <t>TOTALES</t>
  </si>
  <si>
    <t>CUIT:</t>
  </si>
  <si>
    <t>Gasto Ordinario</t>
  </si>
  <si>
    <t>SALDO MES ANTERIOR</t>
  </si>
  <si>
    <t>Total a Pagar</t>
  </si>
  <si>
    <t>CAROLINA CANCIANI</t>
  </si>
  <si>
    <t>Total con Mora</t>
  </si>
  <si>
    <t>Gastos Extr.</t>
  </si>
  <si>
    <t xml:space="preserve">% </t>
  </si>
  <si>
    <t>ARBA</t>
  </si>
  <si>
    <t>TSG</t>
  </si>
  <si>
    <t>Total ARBA:</t>
  </si>
  <si>
    <t>Total TSG:</t>
  </si>
  <si>
    <t>ramonfranco3372@gmail.com</t>
  </si>
  <si>
    <t>ANA MARIA, MENDEZ</t>
  </si>
  <si>
    <t>MIRTA SILVIA, BALBIS</t>
  </si>
  <si>
    <t>DANIEL, BALBIS</t>
  </si>
  <si>
    <t>LUCILA JULIANA, LEONE</t>
  </si>
  <si>
    <t>MARIA JULIA, LEONE</t>
  </si>
  <si>
    <t>RICARDO, PLAUL</t>
  </si>
  <si>
    <t>CLAUDIO ERNESTO, BICCAI</t>
  </si>
  <si>
    <t>JAVIER, GASTON ESTELA</t>
  </si>
  <si>
    <t>3 -C</t>
  </si>
  <si>
    <t>LEONARDO GABRIEL, CARCACI</t>
  </si>
  <si>
    <t>4-A</t>
  </si>
  <si>
    <t>QUINCHO</t>
  </si>
  <si>
    <t>PEDRO DANIEL, NIEVAS</t>
  </si>
  <si>
    <t>5 -A</t>
  </si>
  <si>
    <t>LEONADO, PASCARELLI</t>
  </si>
  <si>
    <t>COCHERA - 1</t>
  </si>
  <si>
    <t>LEONOR, LUCIA, LABIANCA</t>
  </si>
  <si>
    <t>COCHERA - 2</t>
  </si>
  <si>
    <t>ANA LAURA, MEDINA</t>
  </si>
  <si>
    <t>COCHERA - 3</t>
  </si>
  <si>
    <t>COCHERA - 4</t>
  </si>
  <si>
    <t>COCHERA - 5</t>
  </si>
  <si>
    <t>JAVIER EDUARDO, GIACUNDO</t>
  </si>
  <si>
    <t>ANGEL ANTONIO, RUDDOCK</t>
  </si>
  <si>
    <t>WALTER HUGO, SANDOVAL</t>
  </si>
  <si>
    <t>EDESUR</t>
  </si>
  <si>
    <t>Señores propietarios e inquilinos: la superficie que ocupa la camara de luz y que forma del porcentaje total construido, el gasto se prorratea por cada unidad funcional. Atte. La Administracion.-</t>
  </si>
  <si>
    <t>LEONARDO, PASCARELLI</t>
  </si>
  <si>
    <t>C - 1</t>
  </si>
  <si>
    <t>C - 2</t>
  </si>
  <si>
    <t>C - 3</t>
  </si>
  <si>
    <t>C - 4</t>
  </si>
  <si>
    <t>C - 5</t>
  </si>
  <si>
    <t>B</t>
  </si>
  <si>
    <t>QUIN.</t>
  </si>
  <si>
    <t xml:space="preserve">  </t>
  </si>
  <si>
    <t>DEUDA Extra</t>
  </si>
  <si>
    <t>PAGO EXTRA</t>
  </si>
  <si>
    <t>Gastos Ordinarios:</t>
  </si>
  <si>
    <t>LUCILA Y MARINA, LEONE</t>
  </si>
  <si>
    <t>Gastos Extraordinarios:</t>
  </si>
  <si>
    <t>Gasto Extraordinario</t>
  </si>
  <si>
    <t>Interés por Mora 8%</t>
  </si>
  <si>
    <t xml:space="preserve">PAGOS </t>
  </si>
  <si>
    <t xml:space="preserve">DEUDA </t>
  </si>
  <si>
    <t>INQUILINOS</t>
  </si>
  <si>
    <t>BLAS</t>
  </si>
  <si>
    <t>EMILIANO</t>
  </si>
  <si>
    <t xml:space="preserve">BELEN </t>
  </si>
  <si>
    <t>VALENTINA SOL, DIRESE</t>
  </si>
  <si>
    <t>MICAELA</t>
  </si>
  <si>
    <t>MARIELA</t>
  </si>
  <si>
    <t>GISELA</t>
  </si>
  <si>
    <t>EXPENSAS - VENCIMIENTO 15/09 LIQUIDACION: AGOSTO</t>
  </si>
  <si>
    <t>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</si>
</sst>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  <numFmt numFmtId="168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4" fillId="0" borderId="0" xfId="0" applyFont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165" fontId="2" fillId="0" borderId="0" xfId="2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8" fontId="0" fillId="0" borderId="1" xfId="1" applyNumberFormat="1" applyFont="1" applyBorder="1"/>
    <xf numFmtId="43" fontId="0" fillId="0" borderId="0" xfId="0" applyNumberFormat="1"/>
    <xf numFmtId="43" fontId="0" fillId="0" borderId="9" xfId="0" applyNumberFormat="1" applyBorder="1"/>
    <xf numFmtId="43" fontId="2" fillId="2" borderId="7" xfId="2" applyNumberFormat="1" applyFont="1" applyFill="1" applyBorder="1" applyAlignment="1">
      <alignment horizontal="center" vertical="center" wrapText="1"/>
    </xf>
    <xf numFmtId="43" fontId="0" fillId="0" borderId="0" xfId="1" applyFont="1" applyBorder="1"/>
    <xf numFmtId="0" fontId="0" fillId="0" borderId="14" xfId="0" applyBorder="1" applyAlignment="1">
      <alignment horizontal="center"/>
    </xf>
    <xf numFmtId="43" fontId="8" fillId="2" borderId="12" xfId="1" applyFont="1" applyFill="1" applyBorder="1"/>
    <xf numFmtId="43" fontId="10" fillId="0" borderId="1" xfId="1" applyFont="1" applyBorder="1"/>
    <xf numFmtId="166" fontId="10" fillId="0" borderId="1" xfId="2" applyNumberFormat="1" applyFont="1" applyBorder="1"/>
    <xf numFmtId="166" fontId="10" fillId="0" borderId="1" xfId="0" applyNumberFormat="1" applyFont="1" applyBorder="1"/>
    <xf numFmtId="165" fontId="10" fillId="0" borderId="14" xfId="2" applyFont="1" applyBorder="1" applyAlignment="1">
      <alignment horizontal="center" vertical="center" wrapText="1"/>
    </xf>
    <xf numFmtId="43" fontId="10" fillId="0" borderId="14" xfId="1" applyFont="1" applyBorder="1"/>
    <xf numFmtId="166" fontId="10" fillId="0" borderId="14" xfId="2" applyNumberFormat="1" applyFont="1" applyBorder="1"/>
    <xf numFmtId="43" fontId="10" fillId="0" borderId="14" xfId="1" applyFont="1" applyBorder="1" applyAlignment="1">
      <alignment horizontal="center" vertical="center" wrapText="1"/>
    </xf>
    <xf numFmtId="166" fontId="10" fillId="0" borderId="14" xfId="2" applyNumberFormat="1" applyFont="1" applyBorder="1" applyAlignment="1">
      <alignment horizontal="center" vertical="center" wrapText="1"/>
    </xf>
    <xf numFmtId="164" fontId="2" fillId="0" borderId="9" xfId="2" applyNumberFormat="1" applyFont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66" fontId="11" fillId="2" borderId="12" xfId="2" applyNumberFormat="1" applyFont="1" applyFill="1" applyBorder="1"/>
    <xf numFmtId="165" fontId="11" fillId="2" borderId="12" xfId="0" applyNumberFormat="1" applyFont="1" applyFill="1" applyBorder="1"/>
    <xf numFmtId="166" fontId="11" fillId="2" borderId="18" xfId="2" applyNumberFormat="1" applyFont="1" applyFill="1" applyBorder="1"/>
    <xf numFmtId="166" fontId="11" fillId="2" borderId="13" xfId="0" applyNumberFormat="1" applyFont="1" applyFill="1" applyBorder="1"/>
    <xf numFmtId="166" fontId="12" fillId="0" borderId="1" xfId="2" applyNumberFormat="1" applyFont="1" applyBorder="1"/>
    <xf numFmtId="166" fontId="12" fillId="0" borderId="14" xfId="2" applyNumberFormat="1" applyFont="1" applyBorder="1"/>
    <xf numFmtId="166" fontId="12" fillId="0" borderId="14" xfId="2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166" fontId="13" fillId="2" borderId="12" xfId="2" applyNumberFormat="1" applyFont="1" applyFill="1" applyBorder="1"/>
    <xf numFmtId="0" fontId="13" fillId="2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4" xfId="0" applyFont="1" applyBorder="1"/>
    <xf numFmtId="0" fontId="14" fillId="0" borderId="14" xfId="0" applyFont="1" applyBorder="1" applyAlignment="1">
      <alignment vertical="center" wrapText="1"/>
    </xf>
    <xf numFmtId="166" fontId="15" fillId="0" borderId="1" xfId="0" applyNumberFormat="1" applyFont="1" applyBorder="1"/>
    <xf numFmtId="166" fontId="16" fillId="2" borderId="12" xfId="0" applyNumberFormat="1" applyFont="1" applyFill="1" applyBorder="1"/>
    <xf numFmtId="166" fontId="12" fillId="3" borderId="1" xfId="2" applyNumberFormat="1" applyFont="1" applyFill="1" applyBorder="1"/>
    <xf numFmtId="166" fontId="16" fillId="2" borderId="12" xfId="2" applyNumberFormat="1" applyFont="1" applyFill="1" applyBorder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68" fontId="0" fillId="0" borderId="14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5" borderId="1" xfId="0" applyFill="1" applyBorder="1" applyAlignment="1">
      <alignment horizontal="left"/>
    </xf>
    <xf numFmtId="0" fontId="14" fillId="5" borderId="1" xfId="0" applyFont="1" applyFill="1" applyBorder="1"/>
    <xf numFmtId="43" fontId="10" fillId="5" borderId="1" xfId="1" applyFont="1" applyFill="1" applyBorder="1"/>
    <xf numFmtId="166" fontId="12" fillId="5" borderId="1" xfId="2" applyNumberFormat="1" applyFont="1" applyFill="1" applyBorder="1"/>
    <xf numFmtId="166" fontId="10" fillId="5" borderId="1" xfId="2" applyNumberFormat="1" applyFont="1" applyFill="1" applyBorder="1"/>
    <xf numFmtId="166" fontId="10" fillId="5" borderId="1" xfId="0" applyNumberFormat="1" applyFont="1" applyFill="1" applyBorder="1"/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405413</xdr:colOff>
      <xdr:row>1</xdr:row>
      <xdr:rowOff>95250</xdr:rowOff>
    </xdr:from>
    <xdr:to>
      <xdr:col>9</xdr:col>
      <xdr:colOff>609540</xdr:colOff>
      <xdr:row>8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763" y="42862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topLeftCell="B7" zoomScaleNormal="100" workbookViewId="0">
      <selection activeCell="F17" sqref="F17:P17"/>
    </sheetView>
  </sheetViews>
  <sheetFormatPr baseColWidth="10" defaultRowHeight="15" x14ac:dyDescent="0.25"/>
  <cols>
    <col min="1" max="1" width="9.5703125" style="6" hidden="1" customWidth="1"/>
    <col min="2" max="2" width="6.7109375" customWidth="1"/>
    <col min="3" max="3" width="19.5703125" customWidth="1"/>
    <col min="4" max="4" width="10.5703125" customWidth="1"/>
    <col min="5" max="5" width="6.42578125" style="37" customWidth="1"/>
    <col min="6" max="6" width="12" style="3" customWidth="1"/>
    <col min="7" max="7" width="12.7109375" style="3" hidden="1" customWidth="1"/>
    <col min="8" max="8" width="9.85546875" style="3" customWidth="1"/>
    <col min="9" max="9" width="0.140625" style="3" customWidth="1"/>
    <col min="10" max="10" width="11.42578125" style="3" customWidth="1"/>
    <col min="11" max="11" width="0.140625" style="3" customWidth="1"/>
    <col min="12" max="12" width="9.28515625" customWidth="1"/>
    <col min="13" max="13" width="10.42578125" customWidth="1"/>
    <col min="14" max="14" width="10" customWidth="1"/>
    <col min="15" max="15" width="11.140625" customWidth="1"/>
    <col min="16" max="16" width="12.140625" customWidth="1"/>
  </cols>
  <sheetData>
    <row r="1" spans="1:16" ht="26.25" customHeight="1" x14ac:dyDescent="0.25">
      <c r="A1" s="74" t="s">
        <v>81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6" x14ac:dyDescent="0.25">
      <c r="A2" s="9"/>
      <c r="F2" s="4"/>
      <c r="G2" s="4"/>
      <c r="H2" s="4"/>
      <c r="I2" s="4"/>
      <c r="J2" s="4"/>
      <c r="K2" s="21"/>
      <c r="P2" s="8"/>
    </row>
    <row r="3" spans="1:16" x14ac:dyDescent="0.25">
      <c r="A3" s="10" t="s">
        <v>0</v>
      </c>
      <c r="F3" s="4"/>
      <c r="G3" s="4"/>
      <c r="H3" s="4"/>
      <c r="I3" s="4"/>
      <c r="K3" s="11"/>
      <c r="L3" t="s">
        <v>19</v>
      </c>
      <c r="P3" s="8"/>
    </row>
    <row r="4" spans="1:16" x14ac:dyDescent="0.25">
      <c r="A4" s="10" t="s">
        <v>1</v>
      </c>
      <c r="F4" s="4"/>
      <c r="G4" s="4"/>
      <c r="H4" s="4"/>
      <c r="I4" s="4"/>
      <c r="K4" s="11"/>
      <c r="L4" s="72">
        <v>1153202676</v>
      </c>
      <c r="M4" s="72"/>
      <c r="N4" s="72"/>
      <c r="O4" s="72"/>
      <c r="P4" s="73"/>
    </row>
    <row r="5" spans="1:16" x14ac:dyDescent="0.25">
      <c r="A5" s="10" t="s">
        <v>15</v>
      </c>
      <c r="B5" s="22"/>
      <c r="C5" s="21"/>
      <c r="D5" s="21"/>
      <c r="F5" s="4"/>
      <c r="G5" s="4"/>
      <c r="H5" s="4"/>
      <c r="I5" s="4"/>
      <c r="K5" s="11"/>
      <c r="L5" s="20" t="s">
        <v>27</v>
      </c>
      <c r="P5" s="8"/>
    </row>
    <row r="6" spans="1:16" x14ac:dyDescent="0.25">
      <c r="A6" s="10"/>
      <c r="C6" s="21" t="s">
        <v>66</v>
      </c>
      <c r="D6" s="21"/>
      <c r="F6" s="4"/>
      <c r="G6" s="4"/>
      <c r="H6" s="4"/>
      <c r="I6" s="4"/>
      <c r="J6" s="4"/>
      <c r="K6" s="4"/>
      <c r="P6" s="8"/>
    </row>
    <row r="7" spans="1:16" x14ac:dyDescent="0.25">
      <c r="A7" s="10"/>
      <c r="B7" s="25"/>
      <c r="C7" s="26">
        <v>958293.75</v>
      </c>
      <c r="D7" s="26"/>
      <c r="F7" s="4"/>
      <c r="G7" s="4"/>
      <c r="H7" s="4"/>
      <c r="I7" s="4"/>
      <c r="J7" s="4"/>
      <c r="K7" s="4"/>
      <c r="P7" s="8"/>
    </row>
    <row r="8" spans="1:16" hidden="1" x14ac:dyDescent="0.25">
      <c r="A8" s="10"/>
      <c r="B8" s="25" t="s">
        <v>21</v>
      </c>
      <c r="C8" s="25">
        <v>0</v>
      </c>
      <c r="D8" s="25"/>
      <c r="F8" s="4"/>
      <c r="G8" s="4"/>
      <c r="H8" s="4"/>
      <c r="I8" s="4"/>
      <c r="J8" s="4"/>
      <c r="K8" s="4"/>
      <c r="P8" s="8"/>
    </row>
    <row r="9" spans="1:16" x14ac:dyDescent="0.25">
      <c r="A9" s="10"/>
      <c r="B9" s="25"/>
      <c r="C9" s="25" t="s">
        <v>68</v>
      </c>
      <c r="D9" s="25"/>
      <c r="F9" s="4"/>
      <c r="G9" s="4"/>
      <c r="H9" s="4"/>
      <c r="I9" s="4"/>
      <c r="J9" s="4"/>
      <c r="K9" s="4"/>
      <c r="P9" s="8"/>
    </row>
    <row r="10" spans="1:16" x14ac:dyDescent="0.25">
      <c r="A10" s="15"/>
      <c r="B10" s="16"/>
      <c r="C10" s="51">
        <v>700000</v>
      </c>
      <c r="D10" s="51"/>
      <c r="E10" s="38"/>
      <c r="F10" s="18"/>
      <c r="G10" s="18"/>
      <c r="H10" s="18"/>
      <c r="I10" s="18"/>
      <c r="J10" s="18"/>
      <c r="K10" s="24"/>
      <c r="L10" s="17"/>
      <c r="M10" s="17"/>
      <c r="N10" s="17"/>
      <c r="O10" s="17"/>
      <c r="P10" s="19"/>
    </row>
    <row r="11" spans="1:16" ht="29.25" customHeight="1" x14ac:dyDescent="0.25">
      <c r="A11" s="12" t="s">
        <v>2</v>
      </c>
      <c r="B11" s="13" t="s">
        <v>4</v>
      </c>
      <c r="C11" s="63" t="s">
        <v>3</v>
      </c>
      <c r="D11" s="63" t="s">
        <v>73</v>
      </c>
      <c r="E11" s="39" t="s">
        <v>22</v>
      </c>
      <c r="F11" s="14" t="s">
        <v>17</v>
      </c>
      <c r="G11" s="14" t="s">
        <v>65</v>
      </c>
      <c r="H11" s="14" t="s">
        <v>71</v>
      </c>
      <c r="I11" s="14" t="s">
        <v>53</v>
      </c>
      <c r="J11" s="14" t="s">
        <v>72</v>
      </c>
      <c r="K11" s="14" t="s">
        <v>64</v>
      </c>
      <c r="L11" s="13" t="s">
        <v>70</v>
      </c>
      <c r="M11" s="13" t="s">
        <v>20</v>
      </c>
      <c r="N11" s="13" t="s">
        <v>16</v>
      </c>
      <c r="O11" s="13" t="s">
        <v>69</v>
      </c>
      <c r="P11" s="13" t="s">
        <v>18</v>
      </c>
    </row>
    <row r="12" spans="1:16" ht="15" customHeight="1" x14ac:dyDescent="0.25">
      <c r="A12" s="7">
        <v>1</v>
      </c>
      <c r="B12" s="88" t="s">
        <v>5</v>
      </c>
      <c r="C12" s="89" t="s">
        <v>28</v>
      </c>
      <c r="D12" s="89"/>
      <c r="E12" s="90">
        <v>7.99</v>
      </c>
      <c r="F12" s="91">
        <v>222026.96665235999</v>
      </c>
      <c r="G12" s="92">
        <v>0</v>
      </c>
      <c r="H12" s="91"/>
      <c r="I12" s="92" t="e">
        <f>C9*E12/100</f>
        <v>#VALUE!</v>
      </c>
      <c r="J12" s="92">
        <f>F12-G12-H12</f>
        <v>222026.96665235999</v>
      </c>
      <c r="K12" s="92"/>
      <c r="L12" s="93">
        <f>IF(J11&gt;0,(J12+K12)*8%,0)</f>
        <v>17762.157332188799</v>
      </c>
      <c r="M12" s="93">
        <f>J12+L12+K12</f>
        <v>239789.12398454879</v>
      </c>
      <c r="N12" s="92">
        <f>C7*E12/100</f>
        <v>76567.670624999999</v>
      </c>
      <c r="O12" s="92">
        <f>C$10*E12/100</f>
        <v>55930</v>
      </c>
      <c r="P12" s="93">
        <f>N12+M12+O12</f>
        <v>372286.79460954876</v>
      </c>
    </row>
    <row r="13" spans="1:16" ht="15" customHeight="1" x14ac:dyDescent="0.25">
      <c r="A13" s="7">
        <v>2</v>
      </c>
      <c r="B13" s="52" t="s">
        <v>6</v>
      </c>
      <c r="C13" s="64" t="s">
        <v>30</v>
      </c>
      <c r="D13" s="64" t="s">
        <v>74</v>
      </c>
      <c r="E13" s="43">
        <v>6.05</v>
      </c>
      <c r="F13" s="58">
        <v>75722.996085000006</v>
      </c>
      <c r="G13" s="44">
        <v>0</v>
      </c>
      <c r="H13" s="69">
        <f>F13</f>
        <v>75722.996085000006</v>
      </c>
      <c r="I13" s="44" t="e">
        <f>C9*E13/100</f>
        <v>#VALUE!</v>
      </c>
      <c r="J13" s="44">
        <f>F13-G13-H13</f>
        <v>0</v>
      </c>
      <c r="K13" s="44"/>
      <c r="L13" s="45">
        <f>IF(J12&gt;0,(J13+K13)*8%,0)</f>
        <v>0</v>
      </c>
      <c r="M13" s="45">
        <f t="shared" ref="M13:M15" si="0">J13+L13+K13</f>
        <v>0</v>
      </c>
      <c r="N13" s="44">
        <f>C7*E13/100</f>
        <v>57976.771874999999</v>
      </c>
      <c r="O13" s="44">
        <f>C$10*E13/100</f>
        <v>42350</v>
      </c>
      <c r="P13" s="45">
        <f t="shared" ref="P13:P29" si="1">N13+M13+O13</f>
        <v>100326.77187500001</v>
      </c>
    </row>
    <row r="14" spans="1:16" ht="15" customHeight="1" x14ac:dyDescent="0.25">
      <c r="A14" s="7">
        <v>3</v>
      </c>
      <c r="B14" s="52" t="s">
        <v>8</v>
      </c>
      <c r="C14" s="64" t="s">
        <v>29</v>
      </c>
      <c r="D14" s="64" t="s">
        <v>79</v>
      </c>
      <c r="E14" s="43">
        <v>6.02</v>
      </c>
      <c r="F14" s="58">
        <v>75347.510154000003</v>
      </c>
      <c r="G14" s="44">
        <v>0</v>
      </c>
      <c r="H14" s="69">
        <f>F14</f>
        <v>75347.510154000003</v>
      </c>
      <c r="I14" s="44" t="e">
        <f>C9*E14/100</f>
        <v>#VALUE!</v>
      </c>
      <c r="J14" s="44">
        <f>F14-G14-H14</f>
        <v>0</v>
      </c>
      <c r="K14" s="44"/>
      <c r="L14" s="45">
        <f t="shared" ref="L14:L29" si="2">(J14+K14)*8%</f>
        <v>0</v>
      </c>
      <c r="M14" s="45">
        <f t="shared" si="0"/>
        <v>0</v>
      </c>
      <c r="N14" s="44">
        <f>C7*E14/100</f>
        <v>57689.283750000002</v>
      </c>
      <c r="O14" s="44">
        <f>C$10*E14/100</f>
        <v>42140</v>
      </c>
      <c r="P14" s="45">
        <f t="shared" si="1"/>
        <v>99829.283750000002</v>
      </c>
    </row>
    <row r="15" spans="1:16" ht="15" customHeight="1" x14ac:dyDescent="0.25">
      <c r="A15" s="7">
        <v>4</v>
      </c>
      <c r="B15" s="53" t="s">
        <v>7</v>
      </c>
      <c r="C15" s="64" t="s">
        <v>67</v>
      </c>
      <c r="D15" s="65"/>
      <c r="E15" s="49">
        <v>7.63</v>
      </c>
      <c r="F15" s="60">
        <v>212023.24850532002</v>
      </c>
      <c r="G15" s="46"/>
      <c r="H15" s="69">
        <f>F15</f>
        <v>212023.24850532002</v>
      </c>
      <c r="I15" s="44" t="e">
        <f>C9*E15/100</f>
        <v>#VALUE!</v>
      </c>
      <c r="J15" s="44">
        <f>F15-G15-H15</f>
        <v>0</v>
      </c>
      <c r="K15" s="48"/>
      <c r="L15" s="45">
        <f t="shared" si="2"/>
        <v>0</v>
      </c>
      <c r="M15" s="45">
        <f t="shared" si="0"/>
        <v>0</v>
      </c>
      <c r="N15" s="50">
        <f>C7*E15/100</f>
        <v>73117.813125000001</v>
      </c>
      <c r="O15" s="44">
        <f>C$10*E15/100</f>
        <v>53410</v>
      </c>
      <c r="P15" s="45">
        <f t="shared" si="1"/>
        <v>126527.813125</v>
      </c>
    </row>
    <row r="16" spans="1:16" ht="15" customHeight="1" x14ac:dyDescent="0.25">
      <c r="A16" s="7">
        <v>6</v>
      </c>
      <c r="B16" s="52" t="s">
        <v>9</v>
      </c>
      <c r="C16" s="64" t="s">
        <v>33</v>
      </c>
      <c r="D16" s="64" t="s">
        <v>82</v>
      </c>
      <c r="E16" s="43">
        <v>6.05</v>
      </c>
      <c r="F16" s="58">
        <v>75722.996085000006</v>
      </c>
      <c r="G16" s="46">
        <v>0</v>
      </c>
      <c r="H16" s="69">
        <f>F16</f>
        <v>75722.996085000006</v>
      </c>
      <c r="I16" s="44" t="e">
        <f>C9*E16/100</f>
        <v>#VALUE!</v>
      </c>
      <c r="J16" s="44">
        <f>F16-G16-H16</f>
        <v>0</v>
      </c>
      <c r="K16" s="44"/>
      <c r="L16" s="45">
        <f t="shared" si="2"/>
        <v>0</v>
      </c>
      <c r="M16" s="45">
        <f>J16+L16+K16</f>
        <v>0</v>
      </c>
      <c r="N16" s="44">
        <f>C7*E16/100</f>
        <v>57976.771874999999</v>
      </c>
      <c r="O16" s="44">
        <f>C$10*E16/100</f>
        <v>42350</v>
      </c>
      <c r="P16" s="45">
        <f t="shared" si="1"/>
        <v>100326.77187500001</v>
      </c>
    </row>
    <row r="17" spans="1:16" ht="15" customHeight="1" x14ac:dyDescent="0.25">
      <c r="A17" s="7">
        <v>7</v>
      </c>
      <c r="B17" s="52" t="s">
        <v>10</v>
      </c>
      <c r="C17" s="64" t="s">
        <v>33</v>
      </c>
      <c r="D17" s="64" t="s">
        <v>78</v>
      </c>
      <c r="E17" s="43">
        <v>6.02</v>
      </c>
      <c r="F17" s="58">
        <v>75347.510154000003</v>
      </c>
      <c r="G17" s="44">
        <v>0</v>
      </c>
      <c r="H17" s="69">
        <f>F17</f>
        <v>75347.510154000003</v>
      </c>
      <c r="I17" s="44" t="e">
        <f>C9*E17/100</f>
        <v>#VALUE!</v>
      </c>
      <c r="J17" s="44">
        <f>F17-G17-H17</f>
        <v>0</v>
      </c>
      <c r="K17" s="44"/>
      <c r="L17" s="45">
        <f t="shared" si="2"/>
        <v>0</v>
      </c>
      <c r="M17" s="45">
        <f t="shared" ref="M17:M29" si="3">J17+L17+K17</f>
        <v>0</v>
      </c>
      <c r="N17" s="44">
        <f>C7*E17/100</f>
        <v>57689.283750000002</v>
      </c>
      <c r="O17" s="44">
        <f>C$10*E17/100</f>
        <v>42140</v>
      </c>
      <c r="P17" s="45">
        <f t="shared" si="1"/>
        <v>99829.283750000002</v>
      </c>
    </row>
    <row r="18" spans="1:16" ht="15" customHeight="1" x14ac:dyDescent="0.25">
      <c r="A18" s="7">
        <v>8</v>
      </c>
      <c r="B18" s="52" t="s">
        <v>11</v>
      </c>
      <c r="C18" s="64" t="s">
        <v>34</v>
      </c>
      <c r="D18" s="64"/>
      <c r="E18" s="43">
        <v>7.63</v>
      </c>
      <c r="F18" s="58">
        <v>95498.588451000003</v>
      </c>
      <c r="G18" s="44">
        <v>0</v>
      </c>
      <c r="H18" s="69">
        <f>F18</f>
        <v>95498.588451000003</v>
      </c>
      <c r="I18" s="44" t="e">
        <f>C9*E18/100</f>
        <v>#VALUE!</v>
      </c>
      <c r="J18" s="44">
        <f>F18-G18-H18</f>
        <v>0</v>
      </c>
      <c r="K18" s="44"/>
      <c r="L18" s="45">
        <f t="shared" si="2"/>
        <v>0</v>
      </c>
      <c r="M18" s="45">
        <f t="shared" si="3"/>
        <v>0</v>
      </c>
      <c r="N18" s="44">
        <f>C7*E18/100</f>
        <v>73117.813125000001</v>
      </c>
      <c r="O18" s="44">
        <f>C$10*E18/100</f>
        <v>53410</v>
      </c>
      <c r="P18" s="45">
        <f t="shared" si="1"/>
        <v>126527.813125</v>
      </c>
    </row>
    <row r="19" spans="1:16" ht="15" customHeight="1" x14ac:dyDescent="0.25">
      <c r="A19" s="7">
        <v>9</v>
      </c>
      <c r="B19" s="52" t="s">
        <v>12</v>
      </c>
      <c r="C19" s="64" t="s">
        <v>35</v>
      </c>
      <c r="D19" s="64"/>
      <c r="E19" s="43">
        <v>6.05</v>
      </c>
      <c r="F19" s="58">
        <v>75722.996085000006</v>
      </c>
      <c r="G19" s="44">
        <v>0</v>
      </c>
      <c r="H19" s="69"/>
      <c r="I19" s="44" t="e">
        <f>C9*E19/100</f>
        <v>#VALUE!</v>
      </c>
      <c r="J19" s="44">
        <f>F19-G19-H19</f>
        <v>75722.996085000006</v>
      </c>
      <c r="K19" s="44"/>
      <c r="L19" s="45">
        <f t="shared" si="2"/>
        <v>6057.8396868000009</v>
      </c>
      <c r="M19" s="45">
        <f t="shared" si="3"/>
        <v>81780.835771800004</v>
      </c>
      <c r="N19" s="44">
        <f>C7*E19/100</f>
        <v>57976.771874999999</v>
      </c>
      <c r="O19" s="44">
        <f>C$10*E19/100</f>
        <v>42350</v>
      </c>
      <c r="P19" s="45">
        <f>N19+M19+O19</f>
        <v>182107.6076468</v>
      </c>
    </row>
    <row r="20" spans="1:16" ht="15" customHeight="1" x14ac:dyDescent="0.25">
      <c r="A20" s="7">
        <v>10</v>
      </c>
      <c r="B20" s="52" t="s">
        <v>36</v>
      </c>
      <c r="C20" s="64" t="s">
        <v>77</v>
      </c>
      <c r="D20" s="64"/>
      <c r="E20" s="43">
        <v>6.02</v>
      </c>
      <c r="F20" s="58">
        <v>75347.510154000003</v>
      </c>
      <c r="G20" s="44">
        <v>0</v>
      </c>
      <c r="H20" s="69">
        <f>F20+50000</f>
        <v>125347.510154</v>
      </c>
      <c r="I20" s="44" t="e">
        <f>C9*E20/100</f>
        <v>#VALUE!</v>
      </c>
      <c r="J20" s="44"/>
      <c r="K20" s="44">
        <f>F20-H20</f>
        <v>-50000</v>
      </c>
      <c r="L20" s="45">
        <f>IF(J19&gt;0,(J20+K20)*8%,0)</f>
        <v>-4000</v>
      </c>
      <c r="M20" s="45">
        <f t="shared" si="3"/>
        <v>-54000</v>
      </c>
      <c r="N20" s="44">
        <f>C7*E20/100</f>
        <v>57689.283750000002</v>
      </c>
      <c r="O20" s="44">
        <f>C$10*E20/100</f>
        <v>42140</v>
      </c>
      <c r="P20" s="45">
        <f>N20+M20+O20</f>
        <v>45829.283750000002</v>
      </c>
    </row>
    <row r="21" spans="1:16" ht="15" customHeight="1" x14ac:dyDescent="0.25">
      <c r="A21" s="7">
        <v>11</v>
      </c>
      <c r="B21" s="52" t="s">
        <v>38</v>
      </c>
      <c r="C21" s="66" t="s">
        <v>40</v>
      </c>
      <c r="D21" s="66"/>
      <c r="E21" s="43">
        <v>21.2</v>
      </c>
      <c r="F21" s="58">
        <v>265343.39123999997</v>
      </c>
      <c r="G21" s="44">
        <v>0</v>
      </c>
      <c r="H21" s="69">
        <f>F21</f>
        <v>265343.39123999997</v>
      </c>
      <c r="I21" s="44" t="e">
        <f>C9*E21/100</f>
        <v>#VALUE!</v>
      </c>
      <c r="J21" s="44">
        <f>F21-G21-H21</f>
        <v>0</v>
      </c>
      <c r="K21" s="44"/>
      <c r="L21" s="45">
        <f t="shared" si="2"/>
        <v>0</v>
      </c>
      <c r="M21" s="45">
        <f t="shared" si="3"/>
        <v>0</v>
      </c>
      <c r="N21" s="44">
        <f>C7*E21/100</f>
        <v>203158.27499999999</v>
      </c>
      <c r="O21" s="44">
        <f>C$10*E21/100</f>
        <v>148400</v>
      </c>
      <c r="P21" s="45">
        <f t="shared" si="1"/>
        <v>351558.27500000002</v>
      </c>
    </row>
    <row r="22" spans="1:16" ht="15" customHeight="1" x14ac:dyDescent="0.25">
      <c r="A22" s="7">
        <v>12</v>
      </c>
      <c r="B22" s="52" t="s">
        <v>62</v>
      </c>
      <c r="C22" s="66" t="s">
        <v>40</v>
      </c>
      <c r="D22" s="66" t="s">
        <v>75</v>
      </c>
      <c r="E22" s="43">
        <v>6.81</v>
      </c>
      <c r="F22" s="58">
        <v>85235.306337000002</v>
      </c>
      <c r="G22" s="44">
        <v>0</v>
      </c>
      <c r="H22" s="69">
        <f>F22</f>
        <v>85235.306337000002</v>
      </c>
      <c r="I22" s="44" t="e">
        <f>C9*E22/100</f>
        <v>#VALUE!</v>
      </c>
      <c r="J22" s="44">
        <f>F22-G22-H22</f>
        <v>0</v>
      </c>
      <c r="K22" s="44"/>
      <c r="L22" s="45">
        <f t="shared" si="2"/>
        <v>0</v>
      </c>
      <c r="M22" s="45">
        <f t="shared" si="3"/>
        <v>0</v>
      </c>
      <c r="N22" s="44">
        <f>C7*E22/100</f>
        <v>65259.804375</v>
      </c>
      <c r="O22" s="44">
        <f>C$10*E22/100</f>
        <v>47670</v>
      </c>
      <c r="P22" s="45">
        <f t="shared" si="1"/>
        <v>112929.80437500001</v>
      </c>
    </row>
    <row r="23" spans="1:16" ht="15" customHeight="1" x14ac:dyDescent="0.25">
      <c r="A23" s="7">
        <v>13</v>
      </c>
      <c r="B23" s="52" t="s">
        <v>41</v>
      </c>
      <c r="C23" s="64" t="s">
        <v>55</v>
      </c>
      <c r="D23" s="64" t="s">
        <v>76</v>
      </c>
      <c r="E23" s="43">
        <v>6.52</v>
      </c>
      <c r="F23" s="69">
        <v>81605.609003999998</v>
      </c>
      <c r="G23" s="44">
        <v>0</v>
      </c>
      <c r="H23" s="69">
        <f>F23</f>
        <v>81605.609003999998</v>
      </c>
      <c r="I23" s="44">
        <v>0</v>
      </c>
      <c r="J23" s="44">
        <f>F23-G23-H23</f>
        <v>0</v>
      </c>
      <c r="K23" s="44"/>
      <c r="L23" s="67">
        <f t="shared" si="2"/>
        <v>0</v>
      </c>
      <c r="M23" s="67">
        <f>J23+L23+K23</f>
        <v>0</v>
      </c>
      <c r="N23" s="44">
        <f>C7*E23/100</f>
        <v>62480.752500000002</v>
      </c>
      <c r="O23" s="44">
        <f>C$10*E23/100</f>
        <v>45640</v>
      </c>
      <c r="P23" s="45">
        <f t="shared" si="1"/>
        <v>108120.7525</v>
      </c>
    </row>
    <row r="24" spans="1:16" ht="15" customHeight="1" x14ac:dyDescent="0.25">
      <c r="A24" s="7">
        <v>14</v>
      </c>
      <c r="B24" s="88" t="s">
        <v>56</v>
      </c>
      <c r="C24" s="89" t="s">
        <v>44</v>
      </c>
      <c r="D24" s="89"/>
      <c r="E24" s="90">
        <v>1.18</v>
      </c>
      <c r="F24" s="91">
        <v>530501.03312079341</v>
      </c>
      <c r="G24" s="92">
        <v>0</v>
      </c>
      <c r="H24" s="91"/>
      <c r="I24" s="92" t="e">
        <f>C9*E24/100</f>
        <v>#VALUE!</v>
      </c>
      <c r="J24" s="92">
        <f>F24-G24-H24</f>
        <v>530501.03312079341</v>
      </c>
      <c r="K24" s="92"/>
      <c r="L24" s="93">
        <f t="shared" si="2"/>
        <v>42440.082649663476</v>
      </c>
      <c r="M24" s="93">
        <f t="shared" si="3"/>
        <v>572941.11577045685</v>
      </c>
      <c r="N24" s="92">
        <f>C7*E24/100</f>
        <v>11307.866249999999</v>
      </c>
      <c r="O24" s="92">
        <f>C$10*E24/100</f>
        <v>8260</v>
      </c>
      <c r="P24" s="93">
        <f t="shared" si="1"/>
        <v>592508.98202045681</v>
      </c>
    </row>
    <row r="25" spans="1:16" ht="15" customHeight="1" x14ac:dyDescent="0.25">
      <c r="A25" s="7">
        <v>15</v>
      </c>
      <c r="B25" s="88" t="s">
        <v>57</v>
      </c>
      <c r="C25" s="89" t="s">
        <v>46</v>
      </c>
      <c r="D25" s="89"/>
      <c r="E25" s="90">
        <v>1.17</v>
      </c>
      <c r="F25" s="91">
        <v>523675.87064790376</v>
      </c>
      <c r="G25" s="92">
        <v>0</v>
      </c>
      <c r="H25" s="91">
        <v>0</v>
      </c>
      <c r="I25" s="92" t="e">
        <f>C9*E25/100</f>
        <v>#VALUE!</v>
      </c>
      <c r="J25" s="92">
        <f>F25-G25-H25</f>
        <v>523675.87064790376</v>
      </c>
      <c r="K25" s="92"/>
      <c r="L25" s="93">
        <f t="shared" si="2"/>
        <v>41894.069651832302</v>
      </c>
      <c r="M25" s="93">
        <f t="shared" si="3"/>
        <v>565569.9402997361</v>
      </c>
      <c r="N25" s="92">
        <f>C7*E25/100</f>
        <v>11212.036875</v>
      </c>
      <c r="O25" s="92">
        <f>C$10*E25/100</f>
        <v>8190</v>
      </c>
      <c r="P25" s="93">
        <f t="shared" si="1"/>
        <v>584971.97717473609</v>
      </c>
    </row>
    <row r="26" spans="1:16" ht="15" customHeight="1" x14ac:dyDescent="0.25">
      <c r="A26" s="7">
        <v>16</v>
      </c>
      <c r="B26" s="52" t="s">
        <v>58</v>
      </c>
      <c r="C26" s="64" t="s">
        <v>51</v>
      </c>
      <c r="D26" s="64"/>
      <c r="E26" s="43">
        <v>1.06</v>
      </c>
      <c r="F26" s="58">
        <v>13267.169562000001</v>
      </c>
      <c r="G26" s="44">
        <v>0</v>
      </c>
      <c r="H26" s="69">
        <f>F26</f>
        <v>13267.169562000001</v>
      </c>
      <c r="I26" s="44" t="e">
        <f>C9*E26/100</f>
        <v>#VALUE!</v>
      </c>
      <c r="J26" s="44">
        <f>F26-G26-H26</f>
        <v>0</v>
      </c>
      <c r="K26" s="44"/>
      <c r="L26" s="45">
        <f t="shared" si="2"/>
        <v>0</v>
      </c>
      <c r="M26" s="45">
        <f t="shared" si="3"/>
        <v>0</v>
      </c>
      <c r="N26" s="44">
        <f>C7*E26/100</f>
        <v>10157.91375</v>
      </c>
      <c r="O26" s="44">
        <f>C$10*E26/100</f>
        <v>7420</v>
      </c>
      <c r="P26" s="45">
        <f t="shared" si="1"/>
        <v>17577.91375</v>
      </c>
    </row>
    <row r="27" spans="1:16" ht="15" customHeight="1" x14ac:dyDescent="0.25">
      <c r="A27" s="7">
        <v>17</v>
      </c>
      <c r="B27" s="52" t="s">
        <v>59</v>
      </c>
      <c r="C27" s="64" t="s">
        <v>80</v>
      </c>
      <c r="D27" s="64"/>
      <c r="E27" s="43">
        <v>0.51</v>
      </c>
      <c r="F27" s="58">
        <v>43534.28174727202</v>
      </c>
      <c r="G27" s="44">
        <v>0</v>
      </c>
      <c r="H27" s="69"/>
      <c r="I27" s="44" t="e">
        <f>C9*E27/100</f>
        <v>#VALUE!</v>
      </c>
      <c r="J27" s="44">
        <f>F27-G27-H27</f>
        <v>43534.28174727202</v>
      </c>
      <c r="K27" s="44"/>
      <c r="L27" s="45">
        <f t="shared" si="2"/>
        <v>3482.7425397817615</v>
      </c>
      <c r="M27" s="45">
        <f t="shared" si="3"/>
        <v>47017.024287053784</v>
      </c>
      <c r="N27" s="44">
        <f>C7*E27/100</f>
        <v>4887.2981250000003</v>
      </c>
      <c r="O27" s="44">
        <f>C$10*E27/100</f>
        <v>3570</v>
      </c>
      <c r="P27" s="45">
        <f t="shared" si="1"/>
        <v>55474.322412053785</v>
      </c>
    </row>
    <row r="28" spans="1:16" ht="15" customHeight="1" x14ac:dyDescent="0.25">
      <c r="A28" s="7">
        <v>18</v>
      </c>
      <c r="B28" s="52" t="s">
        <v>60</v>
      </c>
      <c r="C28" s="64" t="s">
        <v>52</v>
      </c>
      <c r="D28" s="64"/>
      <c r="E28" s="43">
        <v>0.27</v>
      </c>
      <c r="F28" s="58">
        <v>3379.3733790000006</v>
      </c>
      <c r="G28" s="44">
        <v>0</v>
      </c>
      <c r="H28" s="69">
        <f>F28</f>
        <v>3379.3733790000006</v>
      </c>
      <c r="I28" s="44" t="e">
        <f>C9*E28/100</f>
        <v>#VALUE!</v>
      </c>
      <c r="J28" s="44">
        <f>F28-G28-H28</f>
        <v>0</v>
      </c>
      <c r="K28" s="44"/>
      <c r="L28" s="45">
        <f t="shared" si="2"/>
        <v>0</v>
      </c>
      <c r="M28" s="45">
        <f t="shared" si="3"/>
        <v>0</v>
      </c>
      <c r="N28" s="44">
        <f>C7*E28/100</f>
        <v>2587.3931250000005</v>
      </c>
      <c r="O28" s="44">
        <f>C$10*E28/100</f>
        <v>1890</v>
      </c>
      <c r="P28" s="45">
        <f t="shared" si="1"/>
        <v>4477.3931250000005</v>
      </c>
    </row>
    <row r="29" spans="1:16" ht="15" customHeight="1" thickBot="1" x14ac:dyDescent="0.3">
      <c r="A29" s="41"/>
      <c r="B29" s="52" t="s">
        <v>61</v>
      </c>
      <c r="C29" s="65" t="s">
        <v>40</v>
      </c>
      <c r="D29" s="65"/>
      <c r="E29" s="47">
        <v>1.82</v>
      </c>
      <c r="F29" s="59">
        <v>22779.479813999998</v>
      </c>
      <c r="G29" s="44">
        <v>0</v>
      </c>
      <c r="H29" s="69">
        <f>F29</f>
        <v>22779.479813999998</v>
      </c>
      <c r="I29" s="48"/>
      <c r="J29" s="44">
        <f>F29-G29-H29</f>
        <v>0</v>
      </c>
      <c r="K29" s="48"/>
      <c r="L29" s="45">
        <f t="shared" si="2"/>
        <v>0</v>
      </c>
      <c r="M29" s="45">
        <f t="shared" si="3"/>
        <v>0</v>
      </c>
      <c r="N29" s="48">
        <f>C7*E29/100</f>
        <v>17440.946250000001</v>
      </c>
      <c r="O29" s="44">
        <f>C$10*E29/100</f>
        <v>12740</v>
      </c>
      <c r="P29" s="45">
        <f t="shared" si="1"/>
        <v>30180.946250000001</v>
      </c>
    </row>
    <row r="30" spans="1:16" s="2" customFormat="1" ht="21.75" thickBot="1" x14ac:dyDescent="0.4">
      <c r="A30" s="80" t="s">
        <v>14</v>
      </c>
      <c r="B30" s="81"/>
      <c r="C30" s="81"/>
      <c r="D30" s="61"/>
      <c r="E30" s="42"/>
      <c r="F30" s="54">
        <f>SUM(F12:F29)</f>
        <v>2552081.8371776491</v>
      </c>
      <c r="G30" s="54">
        <f>SUM(G12:G29)</f>
        <v>0</v>
      </c>
      <c r="H30" s="62">
        <f>SUM(H12:H29)</f>
        <v>1206620.6889243203</v>
      </c>
      <c r="I30" s="54"/>
      <c r="J30" s="62">
        <f>SUM(J12:J29)</f>
        <v>1395461.1482533291</v>
      </c>
      <c r="K30" s="54"/>
      <c r="L30" s="68">
        <f>L12+L13+L14+L15+L16+L17+L18+L19+L20+L21+L22+L23+L24+L25+L26+L27+L28+L29</f>
        <v>107636.89186026633</v>
      </c>
      <c r="M30" s="55"/>
      <c r="N30" s="70">
        <f>SUM(N12:N29)</f>
        <v>958293.74999999965</v>
      </c>
      <c r="O30" s="56">
        <f>SUM(O12:O29)</f>
        <v>700000</v>
      </c>
      <c r="P30" s="57">
        <f>SUM(P16:P29) +P15+P14+P13+P12</f>
        <v>3111391.7901135944</v>
      </c>
    </row>
    <row r="31" spans="1:16" ht="34.5" hidden="1" customHeight="1" thickBot="1" x14ac:dyDescent="0.3">
      <c r="B31" s="77" t="s">
        <v>54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9"/>
    </row>
    <row r="32" spans="1:16" x14ac:dyDescent="0.25">
      <c r="E32" s="40"/>
      <c r="F32" s="4"/>
      <c r="G32" s="4"/>
      <c r="H32" s="4"/>
      <c r="I32" s="4"/>
      <c r="J32" s="4" t="s">
        <v>63</v>
      </c>
      <c r="K32" s="4"/>
    </row>
    <row r="33" spans="2:16" ht="15" customHeight="1" x14ac:dyDescent="0.25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 spans="2:16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</row>
    <row r="35" spans="2:16" x14ac:dyDescent="0.25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spans="2:16" x14ac:dyDescent="0.25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spans="2:16" x14ac:dyDescent="0.25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</row>
  </sheetData>
  <mergeCells count="5">
    <mergeCell ref="B33:P37"/>
    <mergeCell ref="L4:P4"/>
    <mergeCell ref="A1:P1"/>
    <mergeCell ref="B31:P31"/>
    <mergeCell ref="A30:C30"/>
  </mergeCells>
  <hyperlinks>
    <hyperlink ref="L5" r:id="rId1" xr:uid="{00000000-0004-0000-0000-000000000000}"/>
  </hyperlinks>
  <pageMargins left="0.25" right="0.25" top="0.75" bottom="0.75" header="0.3" footer="0.3"/>
  <pageSetup scale="92"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workbookViewId="0">
      <selection activeCell="C18" sqref="C18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8" bestFit="1" customWidth="1"/>
    <col min="5" max="6" width="14.85546875" bestFit="1" customWidth="1"/>
  </cols>
  <sheetData>
    <row r="2" spans="1:6" x14ac:dyDescent="0.25">
      <c r="A2" s="21" t="s">
        <v>25</v>
      </c>
      <c r="B2" s="33">
        <v>0</v>
      </c>
    </row>
    <row r="3" spans="1:6" ht="15.75" thickBot="1" x14ac:dyDescent="0.3">
      <c r="A3" s="21" t="s">
        <v>26</v>
      </c>
      <c r="B3" s="33">
        <v>0</v>
      </c>
    </row>
    <row r="4" spans="1:6" ht="30.75" thickBot="1" x14ac:dyDescent="0.3">
      <c r="A4" s="28" t="s">
        <v>2</v>
      </c>
      <c r="B4" s="29" t="s">
        <v>4</v>
      </c>
      <c r="C4" s="30" t="s">
        <v>3</v>
      </c>
      <c r="D4" s="31" t="s">
        <v>22</v>
      </c>
      <c r="E4" s="30" t="s">
        <v>23</v>
      </c>
      <c r="F4" s="32" t="s">
        <v>24</v>
      </c>
    </row>
    <row r="5" spans="1:6" x14ac:dyDescent="0.25">
      <c r="A5" s="27">
        <v>1</v>
      </c>
      <c r="B5" s="7" t="s">
        <v>5</v>
      </c>
      <c r="C5" s="1" t="s">
        <v>28</v>
      </c>
      <c r="D5" s="36">
        <v>7.9899999999999999E-2</v>
      </c>
      <c r="E5" s="34">
        <f>B2*D5/100</f>
        <v>0</v>
      </c>
      <c r="F5" s="34">
        <f>B3*D5/100</f>
        <v>0</v>
      </c>
    </row>
    <row r="6" spans="1:6" x14ac:dyDescent="0.25">
      <c r="A6" s="7">
        <v>2</v>
      </c>
      <c r="B6" s="7" t="s">
        <v>6</v>
      </c>
      <c r="C6" s="1" t="s">
        <v>29</v>
      </c>
      <c r="D6" s="36">
        <v>6.0499999999999998E-2</v>
      </c>
      <c r="E6" s="5">
        <f>B3*D6/100</f>
        <v>0</v>
      </c>
      <c r="F6" s="5">
        <f>B3*D6/100</f>
        <v>0</v>
      </c>
    </row>
    <row r="7" spans="1:6" x14ac:dyDescent="0.25">
      <c r="A7" s="7">
        <v>3</v>
      </c>
      <c r="B7" s="7" t="s">
        <v>8</v>
      </c>
      <c r="C7" s="1" t="s">
        <v>30</v>
      </c>
      <c r="D7" s="36">
        <v>6.0199999999999997E-2</v>
      </c>
      <c r="E7" s="5">
        <f>B2*D7/100</f>
        <v>0</v>
      </c>
      <c r="F7" s="5">
        <f>B3*D7/100</f>
        <v>0</v>
      </c>
    </row>
    <row r="8" spans="1:6" x14ac:dyDescent="0.25">
      <c r="A8" s="7">
        <v>4</v>
      </c>
      <c r="B8" s="85" t="s">
        <v>7</v>
      </c>
      <c r="C8" s="1" t="s">
        <v>31</v>
      </c>
      <c r="D8" s="82">
        <v>7.6300000000000007E-2</v>
      </c>
      <c r="E8" s="5">
        <f>B2*D8/100</f>
        <v>0</v>
      </c>
      <c r="F8" s="5">
        <f>B3*D8/100</f>
        <v>0</v>
      </c>
    </row>
    <row r="9" spans="1:6" x14ac:dyDescent="0.25">
      <c r="A9" s="7">
        <v>5</v>
      </c>
      <c r="B9" s="83"/>
      <c r="C9" s="1" t="s">
        <v>32</v>
      </c>
      <c r="D9" s="83"/>
      <c r="E9" s="5">
        <f>B2*D9/100</f>
        <v>0</v>
      </c>
      <c r="F9" s="5">
        <f>B3*D9/100</f>
        <v>0</v>
      </c>
    </row>
    <row r="10" spans="1:6" x14ac:dyDescent="0.25">
      <c r="A10" s="7">
        <v>6</v>
      </c>
      <c r="B10" s="7" t="s">
        <v>9</v>
      </c>
      <c r="C10" s="1" t="s">
        <v>33</v>
      </c>
      <c r="D10" s="36">
        <v>6.0499999999999998E-2</v>
      </c>
      <c r="E10" s="5">
        <f>B2*D10/100</f>
        <v>0</v>
      </c>
      <c r="F10" s="5">
        <f>B3*D10/100</f>
        <v>0</v>
      </c>
    </row>
    <row r="11" spans="1:6" x14ac:dyDescent="0.25">
      <c r="A11" s="7">
        <v>7</v>
      </c>
      <c r="B11" s="7" t="s">
        <v>10</v>
      </c>
      <c r="C11" s="1" t="s">
        <v>33</v>
      </c>
      <c r="D11" s="36">
        <v>6.0199999999999997E-2</v>
      </c>
      <c r="E11" s="5">
        <f>B2*D11/100</f>
        <v>0</v>
      </c>
      <c r="F11" s="5">
        <f>B3*D11/100</f>
        <v>0</v>
      </c>
    </row>
    <row r="12" spans="1:6" x14ac:dyDescent="0.25">
      <c r="A12" s="7">
        <v>8</v>
      </c>
      <c r="B12" s="7" t="s">
        <v>11</v>
      </c>
      <c r="C12" s="1" t="s">
        <v>34</v>
      </c>
      <c r="D12" s="36">
        <v>7.6300000000000007E-2</v>
      </c>
      <c r="E12" s="5">
        <f>B2*D12/100</f>
        <v>0</v>
      </c>
      <c r="F12" s="5">
        <f>B3*D12/100</f>
        <v>0</v>
      </c>
    </row>
    <row r="13" spans="1:6" x14ac:dyDescent="0.25">
      <c r="A13" s="7">
        <v>9</v>
      </c>
      <c r="B13" s="7" t="s">
        <v>12</v>
      </c>
      <c r="C13" s="1" t="s">
        <v>35</v>
      </c>
      <c r="D13" s="36">
        <v>6.0499999999999998E-2</v>
      </c>
      <c r="E13" s="5">
        <f>B2*D13/100</f>
        <v>0</v>
      </c>
      <c r="F13" s="5">
        <f>B3*D13/100</f>
        <v>0</v>
      </c>
    </row>
    <row r="14" spans="1:6" x14ac:dyDescent="0.25">
      <c r="A14" s="7">
        <v>10</v>
      </c>
      <c r="B14" s="7" t="s">
        <v>36</v>
      </c>
      <c r="C14" s="1" t="s">
        <v>37</v>
      </c>
      <c r="D14" s="36">
        <v>6.0199999999999997E-2</v>
      </c>
      <c r="E14" s="5">
        <f>B2*D14/100</f>
        <v>0</v>
      </c>
      <c r="F14" s="5">
        <f>B3*D14/100</f>
        <v>0</v>
      </c>
    </row>
    <row r="15" spans="1:6" ht="15" customHeight="1" x14ac:dyDescent="0.25">
      <c r="A15" s="7">
        <v>11</v>
      </c>
      <c r="B15" s="7" t="s">
        <v>38</v>
      </c>
      <c r="C15" s="86" t="s">
        <v>40</v>
      </c>
      <c r="D15" s="36">
        <v>0.21199999999999999</v>
      </c>
      <c r="E15" s="5">
        <f>B2*D15/100</f>
        <v>0</v>
      </c>
      <c r="F15" s="5">
        <f>B3*D15/100</f>
        <v>0</v>
      </c>
    </row>
    <row r="16" spans="1:6" ht="15" customHeight="1" x14ac:dyDescent="0.25">
      <c r="A16" s="7">
        <v>12</v>
      </c>
      <c r="B16" s="7" t="s">
        <v>39</v>
      </c>
      <c r="C16" s="87" t="s">
        <v>13</v>
      </c>
      <c r="D16" s="36">
        <v>6.8099999999999994E-2</v>
      </c>
      <c r="E16" s="5">
        <f>B2*D16/100</f>
        <v>0</v>
      </c>
      <c r="F16" s="5">
        <f>B3*D16/100</f>
        <v>0</v>
      </c>
    </row>
    <row r="17" spans="1:6" x14ac:dyDescent="0.25">
      <c r="A17" s="7">
        <v>13</v>
      </c>
      <c r="B17" s="7" t="s">
        <v>41</v>
      </c>
      <c r="C17" s="1" t="s">
        <v>42</v>
      </c>
      <c r="D17" s="36">
        <v>6.5199999999999994E-2</v>
      </c>
      <c r="E17" s="5">
        <f>B2*D17/100</f>
        <v>0</v>
      </c>
      <c r="F17" s="5">
        <f>B3*D17/100</f>
        <v>0</v>
      </c>
    </row>
    <row r="18" spans="1:6" x14ac:dyDescent="0.25">
      <c r="A18" s="7">
        <v>14</v>
      </c>
      <c r="B18" s="7" t="s">
        <v>43</v>
      </c>
      <c r="C18" s="1" t="s">
        <v>44</v>
      </c>
      <c r="D18" s="36">
        <v>1.18E-2</v>
      </c>
      <c r="E18" s="5">
        <f>B2*D18/100</f>
        <v>0</v>
      </c>
      <c r="F18" s="5">
        <f>B3*D18/100</f>
        <v>0</v>
      </c>
    </row>
    <row r="19" spans="1:6" x14ac:dyDescent="0.25">
      <c r="A19" s="7">
        <v>15</v>
      </c>
      <c r="B19" s="7" t="s">
        <v>45</v>
      </c>
      <c r="C19" s="1" t="s">
        <v>46</v>
      </c>
      <c r="D19" s="36">
        <v>1.17E-2</v>
      </c>
      <c r="E19" s="5">
        <f>B2*D19/100</f>
        <v>0</v>
      </c>
      <c r="F19" s="5">
        <f>B3*D19/100</f>
        <v>0</v>
      </c>
    </row>
    <row r="20" spans="1:6" x14ac:dyDescent="0.25">
      <c r="A20" s="7">
        <v>16</v>
      </c>
      <c r="B20" s="7" t="s">
        <v>47</v>
      </c>
      <c r="C20" s="1" t="s">
        <v>50</v>
      </c>
      <c r="D20" s="36">
        <v>1.06E-2</v>
      </c>
      <c r="E20" s="5">
        <f>B2*D20/100</f>
        <v>0</v>
      </c>
      <c r="F20" s="5">
        <f>B3*D20/100</f>
        <v>0</v>
      </c>
    </row>
    <row r="21" spans="1:6" x14ac:dyDescent="0.25">
      <c r="A21" s="7">
        <v>17</v>
      </c>
      <c r="B21" s="7" t="s">
        <v>48</v>
      </c>
      <c r="C21" s="1" t="s">
        <v>51</v>
      </c>
      <c r="D21" s="36">
        <v>5.1000000000000004E-3</v>
      </c>
      <c r="E21" s="5">
        <f>B2*D21/100</f>
        <v>0</v>
      </c>
      <c r="F21" s="5">
        <f>B3*D21/100</f>
        <v>0</v>
      </c>
    </row>
    <row r="22" spans="1:6" x14ac:dyDescent="0.25">
      <c r="A22" s="7">
        <v>18</v>
      </c>
      <c r="B22" s="7" t="s">
        <v>49</v>
      </c>
      <c r="C22" s="1" t="s">
        <v>52</v>
      </c>
      <c r="D22" s="36">
        <v>2.7000000000000001E-3</v>
      </c>
      <c r="E22" s="5">
        <f>B2*D22/100</f>
        <v>0</v>
      </c>
      <c r="F22" s="5">
        <f>B3*D22/100</f>
        <v>0</v>
      </c>
    </row>
    <row r="23" spans="1:6" ht="18.75" x14ac:dyDescent="0.3">
      <c r="A23" s="84" t="s">
        <v>14</v>
      </c>
      <c r="B23" s="84"/>
      <c r="C23" s="84"/>
      <c r="D23" s="23">
        <f>SUM(D5:D22)</f>
        <v>0.98180000000000023</v>
      </c>
      <c r="E23" s="35">
        <f>SUM(E5:E22)</f>
        <v>0</v>
      </c>
      <c r="F23" s="35">
        <f>SUM(F5:F22)</f>
        <v>0</v>
      </c>
    </row>
  </sheetData>
  <mergeCells count="4">
    <mergeCell ref="D8:D9"/>
    <mergeCell ref="A23:C23"/>
    <mergeCell ref="B8:B9"/>
    <mergeCell ref="C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2025-04-30T17:05:42Z</cp:lastPrinted>
  <dcterms:created xsi:type="dcterms:W3CDTF">2021-10-25T13:53:39Z</dcterms:created>
  <dcterms:modified xsi:type="dcterms:W3CDTF">2025-08-31T16:58:02Z</dcterms:modified>
</cp:coreProperties>
</file>