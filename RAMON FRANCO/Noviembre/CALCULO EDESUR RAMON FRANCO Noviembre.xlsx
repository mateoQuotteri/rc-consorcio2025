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OneDrive\Desktop\RC CONSORCIO 2025\RAMON FRANCO\Octubre\"/>
    </mc:Choice>
  </mc:AlternateContent>
  <xr:revisionPtr revIDLastSave="0" documentId="13_ncr:1_{13355AD3-C467-453D-8976-F0B3A8D2AB9B}" xr6:coauthVersionLast="47" xr6:coauthVersionMax="47" xr10:uidLastSave="{00000000-0000-0000-0000-000000000000}"/>
  <bookViews>
    <workbookView xWindow="-120" yWindow="-120" windowWidth="20730" windowHeight="11160" xr2:uid="{00000000-000D-0000-FFFF-FFFF00000000}"/>
  </bookViews>
  <sheets>
    <sheet name="Hoja1 (2)" sheetId="1" r:id="rId1"/>
    <sheet name="Hoja1" sheetId="2" r:id="rId2"/>
    <sheet name="Hoja2" sheetId="3" r:id="rId3"/>
  </sheets>
  <definedNames>
    <definedName name="_xlnm.Print_Area" localSheetId="0">'Hoja1 (2)'!$A$1:$N$40</definedName>
  </definedNames>
  <calcPr calcId="181029"/>
</workbook>
</file>

<file path=xl/calcChain.xml><?xml version="1.0" encoding="utf-8"?>
<calcChain xmlns="http://schemas.openxmlformats.org/spreadsheetml/2006/main">
  <c r="G18" i="1" l="1"/>
  <c r="G10" i="1" l="1"/>
  <c r="G20" i="1" l="1"/>
  <c r="G14" i="1" l="1"/>
  <c r="G13" i="1"/>
  <c r="E32" i="1" l="1"/>
  <c r="N28" i="1" l="1"/>
  <c r="N29" i="1"/>
  <c r="N30" i="1"/>
  <c r="N31" i="1"/>
  <c r="L32" i="1" l="1"/>
  <c r="M19" i="1"/>
  <c r="J19" i="1" s="1"/>
  <c r="M10" i="1" l="1"/>
  <c r="J10" i="1" s="1"/>
  <c r="G32" i="1"/>
  <c r="I13" i="1" l="1"/>
  <c r="M13" i="1"/>
  <c r="J13" i="1" s="1"/>
  <c r="M31" i="1"/>
  <c r="M30" i="1"/>
  <c r="M29" i="1"/>
  <c r="M28" i="1"/>
  <c r="M27" i="1"/>
  <c r="J27" i="1" s="1"/>
  <c r="M26" i="1"/>
  <c r="J26" i="1" s="1"/>
  <c r="M25" i="1"/>
  <c r="J25" i="1" s="1"/>
  <c r="M12" i="1"/>
  <c r="J12" i="1" s="1"/>
  <c r="O35" i="2"/>
  <c r="H34" i="2"/>
  <c r="O33" i="2"/>
  <c r="P33" i="2" s="1"/>
  <c r="M33" i="2" s="1"/>
  <c r="N33" i="2"/>
  <c r="I33" i="2"/>
  <c r="P32" i="2"/>
  <c r="M32" i="2" s="1"/>
  <c r="O32" i="2"/>
  <c r="N32" i="2"/>
  <c r="I32" i="2"/>
  <c r="P31" i="2"/>
  <c r="O31" i="2"/>
  <c r="N31" i="2"/>
  <c r="M31" i="2"/>
  <c r="I31" i="2"/>
  <c r="O30" i="2"/>
  <c r="P30" i="2" s="1"/>
  <c r="M30" i="2" s="1"/>
  <c r="N30" i="2"/>
  <c r="I30" i="2"/>
  <c r="O29" i="2"/>
  <c r="P29" i="2" s="1"/>
  <c r="M29" i="2" s="1"/>
  <c r="N29" i="2"/>
  <c r="I29" i="2"/>
  <c r="P28" i="2"/>
  <c r="M28" i="2" s="1"/>
  <c r="O28" i="2"/>
  <c r="N28" i="2"/>
  <c r="I28" i="2"/>
  <c r="P27" i="2"/>
  <c r="M27" i="2" s="1"/>
  <c r="O27" i="2"/>
  <c r="N27" i="2"/>
  <c r="I27" i="2"/>
  <c r="O26" i="2"/>
  <c r="P26" i="2" s="1"/>
  <c r="M26" i="2" s="1"/>
  <c r="N26" i="2"/>
  <c r="I26" i="2"/>
  <c r="L25" i="2"/>
  <c r="K25" i="2"/>
  <c r="J25" i="2"/>
  <c r="N25" i="2" s="1"/>
  <c r="I25" i="2"/>
  <c r="L24" i="2"/>
  <c r="K24" i="2"/>
  <c r="J24" i="2"/>
  <c r="N24" i="2" s="1"/>
  <c r="I24" i="2"/>
  <c r="O23" i="2"/>
  <c r="P23" i="2" s="1"/>
  <c r="L23" i="2"/>
  <c r="K23" i="2"/>
  <c r="J23" i="2"/>
  <c r="N23" i="2" s="1"/>
  <c r="I23" i="2"/>
  <c r="O22" i="2"/>
  <c r="P22" i="2" s="1"/>
  <c r="L22" i="2"/>
  <c r="K22" i="2"/>
  <c r="J22" i="2"/>
  <c r="N22" i="2" s="1"/>
  <c r="I22" i="2"/>
  <c r="O21" i="2"/>
  <c r="P21" i="2" s="1"/>
  <c r="L21" i="2"/>
  <c r="K21" i="2"/>
  <c r="J21" i="2"/>
  <c r="N21" i="2" s="1"/>
  <c r="I21" i="2"/>
  <c r="L20" i="2"/>
  <c r="K20" i="2"/>
  <c r="J20" i="2"/>
  <c r="N20" i="2" s="1"/>
  <c r="I20" i="2"/>
  <c r="L19" i="2"/>
  <c r="K19" i="2"/>
  <c r="J19" i="2"/>
  <c r="N19" i="2" s="1"/>
  <c r="I19" i="2"/>
  <c r="O18" i="2"/>
  <c r="P18" i="2" s="1"/>
  <c r="L18" i="2"/>
  <c r="K18" i="2"/>
  <c r="J18" i="2"/>
  <c r="N18" i="2" s="1"/>
  <c r="I18" i="2"/>
  <c r="O17" i="2"/>
  <c r="P17" i="2" s="1"/>
  <c r="L17" i="2"/>
  <c r="K17" i="2"/>
  <c r="J17" i="2"/>
  <c r="N17" i="2" s="1"/>
  <c r="I17" i="2"/>
  <c r="L16" i="2"/>
  <c r="K16" i="2"/>
  <c r="J16" i="2"/>
  <c r="N16" i="2" s="1"/>
  <c r="I16" i="2"/>
  <c r="O15" i="2"/>
  <c r="P15" i="2" s="1"/>
  <c r="L15" i="2"/>
  <c r="K15" i="2"/>
  <c r="J15" i="2"/>
  <c r="N15" i="2" s="1"/>
  <c r="I15" i="2"/>
  <c r="L14" i="2"/>
  <c r="K14" i="2"/>
  <c r="J14" i="2"/>
  <c r="N14" i="2" s="1"/>
  <c r="I14" i="2"/>
  <c r="O13" i="2"/>
  <c r="P13" i="2" s="1"/>
  <c r="L13" i="2"/>
  <c r="K13" i="2"/>
  <c r="J13" i="2"/>
  <c r="N13" i="2" s="1"/>
  <c r="I13" i="2"/>
  <c r="L12" i="2"/>
  <c r="K12" i="2"/>
  <c r="J12" i="2"/>
  <c r="N12" i="2" s="1"/>
  <c r="I12" i="2"/>
  <c r="R11" i="2"/>
  <c r="P11" i="2"/>
  <c r="O11" i="2"/>
  <c r="K11" i="2"/>
  <c r="J11" i="2"/>
  <c r="N11" i="2" s="1"/>
  <c r="I11" i="2"/>
  <c r="R10" i="2"/>
  <c r="O10" i="2"/>
  <c r="P10" i="2" s="1"/>
  <c r="L10" i="2"/>
  <c r="K10" i="2"/>
  <c r="J10" i="2"/>
  <c r="N10" i="2" s="1"/>
  <c r="I10" i="2"/>
  <c r="P34" i="1"/>
  <c r="H33" i="1"/>
  <c r="I32" i="1"/>
  <c r="I31" i="1"/>
  <c r="I30" i="1"/>
  <c r="I29" i="1"/>
  <c r="I28" i="1"/>
  <c r="I27" i="1"/>
  <c r="I26" i="1"/>
  <c r="I25" i="1"/>
  <c r="M24" i="1"/>
  <c r="J24" i="1" s="1"/>
  <c r="I24" i="1"/>
  <c r="M23" i="1"/>
  <c r="J23" i="1" s="1"/>
  <c r="I23" i="1"/>
  <c r="I22" i="1"/>
  <c r="M21" i="1"/>
  <c r="J21" i="1" s="1"/>
  <c r="I21" i="1"/>
  <c r="M20" i="1"/>
  <c r="J20" i="1" s="1"/>
  <c r="I20" i="1"/>
  <c r="I19" i="1"/>
  <c r="M18" i="1"/>
  <c r="J18" i="1" s="1"/>
  <c r="I18" i="1"/>
  <c r="M17" i="1"/>
  <c r="J17" i="1" s="1"/>
  <c r="I17" i="1"/>
  <c r="M16" i="1"/>
  <c r="J16" i="1" s="1"/>
  <c r="I16" i="1"/>
  <c r="M15" i="1"/>
  <c r="J15" i="1" s="1"/>
  <c r="I15" i="1"/>
  <c r="M14" i="1"/>
  <c r="J14" i="1" s="1"/>
  <c r="I14" i="1"/>
  <c r="I12" i="1"/>
  <c r="M11" i="1"/>
  <c r="J11" i="1" s="1"/>
  <c r="I11" i="1"/>
  <c r="I10" i="1"/>
  <c r="I34" i="2" l="1"/>
  <c r="O14" i="2"/>
  <c r="P14" i="2" s="1"/>
  <c r="O19" i="2"/>
  <c r="P19" i="2" s="1"/>
  <c r="L34" i="2"/>
  <c r="J34" i="2"/>
  <c r="O34" i="2" s="1"/>
  <c r="O12" i="2"/>
  <c r="P12" i="2" s="1"/>
  <c r="M12" i="2" s="1"/>
  <c r="O16" i="2"/>
  <c r="P16" i="2" s="1"/>
  <c r="O20" i="2"/>
  <c r="P20" i="2" s="1"/>
  <c r="O24" i="2"/>
  <c r="P24" i="2" s="1"/>
  <c r="M24" i="2" s="1"/>
  <c r="O25" i="2"/>
  <c r="P25" i="2" s="1"/>
  <c r="M25" i="2" s="1"/>
  <c r="M22" i="1"/>
  <c r="J22" i="1" s="1"/>
  <c r="I33" i="1"/>
  <c r="M10" i="2"/>
  <c r="M11" i="2"/>
  <c r="M13" i="2"/>
  <c r="M14" i="2"/>
  <c r="M15" i="2"/>
  <c r="M16" i="2"/>
  <c r="M17" i="2"/>
  <c r="M18" i="2"/>
  <c r="M19" i="2"/>
  <c r="M20" i="2"/>
  <c r="M21" i="2"/>
  <c r="M22" i="2"/>
  <c r="M23" i="2"/>
  <c r="M32" i="1" l="1"/>
  <c r="J32" i="1"/>
  <c r="M34" i="2"/>
  <c r="K8" i="1" l="1"/>
  <c r="K10" i="1" s="1"/>
  <c r="N10" i="1" s="1"/>
  <c r="J33" i="1"/>
  <c r="P33" i="1" s="1"/>
  <c r="K27" i="1" l="1"/>
  <c r="N27" i="1" s="1"/>
  <c r="K23" i="1"/>
  <c r="N23" i="1" s="1"/>
  <c r="K19" i="1"/>
  <c r="N19" i="1" s="1"/>
  <c r="K15" i="1"/>
  <c r="N15" i="1" s="1"/>
  <c r="K11" i="1"/>
  <c r="N11" i="1" s="1"/>
  <c r="K26" i="1"/>
  <c r="N26" i="1" s="1"/>
  <c r="K22" i="1"/>
  <c r="N22" i="1" s="1"/>
  <c r="K18" i="1"/>
  <c r="N18" i="1" s="1"/>
  <c r="K14" i="1"/>
  <c r="N14" i="1" s="1"/>
  <c r="K20" i="1"/>
  <c r="N20" i="1" s="1"/>
  <c r="K25" i="1"/>
  <c r="N25" i="1" s="1"/>
  <c r="K21" i="1"/>
  <c r="N21" i="1" s="1"/>
  <c r="K17" i="1"/>
  <c r="N17" i="1" s="1"/>
  <c r="K13" i="1"/>
  <c r="N13" i="1" s="1"/>
  <c r="K24" i="1"/>
  <c r="N24" i="1" s="1"/>
  <c r="K16" i="1"/>
  <c r="N16" i="1" s="1"/>
  <c r="K12" i="1"/>
  <c r="N12" i="1" s="1"/>
  <c r="K32" i="1" l="1"/>
  <c r="N32" i="1"/>
  <c r="N33" i="1" s="1"/>
  <c r="M33" i="1"/>
</calcChain>
</file>

<file path=xl/sharedStrings.xml><?xml version="1.0" encoding="utf-8"?>
<sst xmlns="http://schemas.openxmlformats.org/spreadsheetml/2006/main" count="152" uniqueCount="105">
  <si>
    <t>Domicilio:</t>
  </si>
  <si>
    <t>FLORES DE ESTRADA 5065</t>
  </si>
  <si>
    <t>Localidad:</t>
  </si>
  <si>
    <t>Lanus</t>
  </si>
  <si>
    <t>CUIT:</t>
  </si>
  <si>
    <t>0-000000-0</t>
  </si>
  <si>
    <t>C.P.:</t>
  </si>
  <si>
    <t>B1824</t>
  </si>
  <si>
    <t xml:space="preserve">EDESUR </t>
  </si>
  <si>
    <t>U.F.</t>
  </si>
  <si>
    <t>PISO - DEPTO</t>
  </si>
  <si>
    <t>PROPIETARIOS</t>
  </si>
  <si>
    <t>%</t>
  </si>
  <si>
    <t>CONSUMO ANT.</t>
  </si>
  <si>
    <t>CONSUMO ACTUAL</t>
  </si>
  <si>
    <t>DEUDA</t>
  </si>
  <si>
    <t>INTERES POR MORA 7%</t>
  </si>
  <si>
    <t>KWH</t>
  </si>
  <si>
    <t>EDESUR FINAL</t>
  </si>
  <si>
    <t>% CONSUMO REAL</t>
  </si>
  <si>
    <t>PRORRATEO FALTANTE</t>
  </si>
  <si>
    <t>1 -A</t>
  </si>
  <si>
    <t>NICOLAU, IGNACIO</t>
  </si>
  <si>
    <t>1-B</t>
  </si>
  <si>
    <t>STARK, CARLOS L. FRANCIS</t>
  </si>
  <si>
    <t>1-C</t>
  </si>
  <si>
    <t>BOSSIO, GERARDO</t>
  </si>
  <si>
    <t>2 -A</t>
  </si>
  <si>
    <t>BEARZOTTI, EDGARDO OSCAR</t>
  </si>
  <si>
    <t>2-B</t>
  </si>
  <si>
    <t>ALONSO,GUSTAVO OSVALDO</t>
  </si>
  <si>
    <t>2-C</t>
  </si>
  <si>
    <t>PUGLIESE, FRANCISCO</t>
  </si>
  <si>
    <t>3-A</t>
  </si>
  <si>
    <t>NIEVA, DANIELA ANTONELA</t>
  </si>
  <si>
    <t>3-B</t>
  </si>
  <si>
    <t>BALBIS, MARISA</t>
  </si>
  <si>
    <t>3-C</t>
  </si>
  <si>
    <t>NIEVA, PEDRO DANIEL</t>
  </si>
  <si>
    <t>4 -A</t>
  </si>
  <si>
    <t xml:space="preserve">MOSQUERA FERNANDO </t>
  </si>
  <si>
    <t>4-B</t>
  </si>
  <si>
    <t>4-C</t>
  </si>
  <si>
    <t>URSO, MATIAS EZEQUIEL</t>
  </si>
  <si>
    <t>6 -A</t>
  </si>
  <si>
    <t>BRESCIA, MELODY ELIZABETH</t>
  </si>
  <si>
    <t>6-B</t>
  </si>
  <si>
    <t>SORIA, JUAN CRUZ</t>
  </si>
  <si>
    <t>7-A</t>
  </si>
  <si>
    <t>7-C</t>
  </si>
  <si>
    <t>0-COCHO 1</t>
  </si>
  <si>
    <t>0-COCHO 2</t>
  </si>
  <si>
    <t>BELON, SERGIO</t>
  </si>
  <si>
    <t>0-COCHO 3</t>
  </si>
  <si>
    <t>0-COCHO 4</t>
  </si>
  <si>
    <t>0-COCHO 5</t>
  </si>
  <si>
    <t>0-COCHO 6</t>
  </si>
  <si>
    <t>0-COCHO 7</t>
  </si>
  <si>
    <t>RUDDOCK</t>
  </si>
  <si>
    <t>0-COCHO 8</t>
  </si>
  <si>
    <t>NOTA:</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</si>
  <si>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</si>
  <si>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RAMON FRANCO 3370</t>
  </si>
  <si>
    <t>Lanus Oeste</t>
  </si>
  <si>
    <t>ANA MARIA, MENDEZ</t>
  </si>
  <si>
    <t>DANIEL, BALBIS</t>
  </si>
  <si>
    <t>MIRTA SILVIA, BALBIS</t>
  </si>
  <si>
    <t>RICARDO, PLAUL</t>
  </si>
  <si>
    <t>CLAUDIO ERNESTO, BICCAI</t>
  </si>
  <si>
    <t>JAVIER, GASTON ESTELA</t>
  </si>
  <si>
    <t>PEDRO DANIEL, NIEVAS</t>
  </si>
  <si>
    <t>LEONARDO, PASCARELLI</t>
  </si>
  <si>
    <t>LEONOR, LUCIA, LABIANCA</t>
  </si>
  <si>
    <t>ANA LAURA, MEDINA</t>
  </si>
  <si>
    <t>ANGEL ANTONIO, RUDDOCK</t>
  </si>
  <si>
    <t>WALTER HUGO, SANDOVAL</t>
  </si>
  <si>
    <t>1A</t>
  </si>
  <si>
    <t>1B</t>
  </si>
  <si>
    <t>1C</t>
  </si>
  <si>
    <t>2A</t>
  </si>
  <si>
    <t>2B</t>
  </si>
  <si>
    <t>2C</t>
  </si>
  <si>
    <t>3A</t>
  </si>
  <si>
    <t>3B</t>
  </si>
  <si>
    <t>3C</t>
  </si>
  <si>
    <t>4A</t>
  </si>
  <si>
    <t>QUINCHO</t>
  </si>
  <si>
    <t>5A</t>
  </si>
  <si>
    <t>COCHERA 1</t>
  </si>
  <si>
    <t>COCHERA 2</t>
  </si>
  <si>
    <t>COCHERA 3</t>
  </si>
  <si>
    <t>COCHERA 4</t>
  </si>
  <si>
    <t>COCHERA 5</t>
  </si>
  <si>
    <t>BAULERA</t>
  </si>
  <si>
    <t>PARTES COMUNES</t>
  </si>
  <si>
    <t>LUCILA Y MARINA LEONE</t>
  </si>
  <si>
    <t>4 Y 5</t>
  </si>
  <si>
    <t xml:space="preserve"> </t>
  </si>
  <si>
    <t>metro cuadrado</t>
  </si>
  <si>
    <t xml:space="preserve">  </t>
  </si>
  <si>
    <t>EDESUR - VENCIMIENTO 14/8</t>
  </si>
  <si>
    <t>VALENTINA SOL, DIRESE</t>
  </si>
  <si>
    <t>GISELA</t>
  </si>
  <si>
    <t>QUIENES ADEUDEN DOS MESES DE EDESUR SERAN DESCONECTADOS DE LA RED. SALUDOS CORDIALES.</t>
  </si>
  <si>
    <t>EDESUR - VENCIMIENTO 14/11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</si>
</sst>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 #,##0.00_-;\-&quot;$&quot;\ * #,##0.00_-;_-&quot;$&quot;\ * &quot;-&quot;??_-;_-@_-"/>
    <numFmt numFmtId="43" formatCode="_-* #,##0.00_-;\-* #,##0.00_-;_-* &quot;-&quot;??_-;_-@_-"/>
    <numFmt numFmtId="164" formatCode="_-&quot;$&quot;\ * #,##0_-;\-&quot;$&quot;\ * #,##0_-;_-&quot;$&quot;\ * &quot;-&quot;??_-;_-@"/>
    <numFmt numFmtId="165" formatCode="_-&quot;$&quot;\ * #,##0.00_-;\-&quot;$&quot;\ * #,##0.00_-;_-&quot;$&quot;\ * &quot;-&quot;??_-;_-@"/>
    <numFmt numFmtId="166" formatCode="0.00;[Red]0.00"/>
    <numFmt numFmtId="167" formatCode="_-* #,##0.0_-;\-* #,##0.0_-;_-* &quot;-&quot;??_-;_-@_-"/>
    <numFmt numFmtId="168" formatCode="_-* #,##0_-;\-* #,##0_-;_-* &quot;-&quot;??_-;_-@_-"/>
  </numFmts>
  <fonts count="1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11"/>
      <color theme="1"/>
      <name val="Calibri"/>
      <family val="2"/>
      <scheme val="minor"/>
    </font>
    <font>
      <b/>
      <sz val="11"/>
      <color theme="1"/>
      <name val="Calibri"/>
      <family val="2"/>
      <scheme val="minor"/>
    </font>
    <font>
      <b/>
      <sz val="11"/>
      <name val="Calibri"/>
      <family val="2"/>
    </font>
  </fonts>
  <fills count="10">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theme="0"/>
        <bgColor rgb="FF9CC2E5"/>
      </patternFill>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FFFF00"/>
        <bgColor theme="0"/>
      </patternFill>
    </fill>
  </fills>
  <borders count="23">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thin">
        <color indexed="64"/>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5">
    <xf numFmtId="0" fontId="0" fillId="0" borderId="0"/>
    <xf numFmtId="0" fontId="5" fillId="0" borderId="4"/>
    <xf numFmtId="43" fontId="5" fillId="0" borderId="4" applyFont="0" applyFill="0" applyBorder="0" applyAlignment="0" applyProtection="0"/>
    <xf numFmtId="44" fontId="5" fillId="0" borderId="4" applyFont="0" applyFill="0" applyBorder="0" applyAlignment="0" applyProtection="0"/>
    <xf numFmtId="9" fontId="5" fillId="0" borderId="4" applyFont="0" applyFill="0" applyBorder="0" applyAlignment="0" applyProtection="0"/>
  </cellStyleXfs>
  <cellXfs count="116">
    <xf numFmtId="0" fontId="0" fillId="0" borderId="0" xfId="0"/>
    <xf numFmtId="0" fontId="6" fillId="2" borderId="4" xfId="0" applyFont="1" applyFill="1" applyBorder="1" applyAlignment="1">
      <alignment horizontal="center" vertical="center" wrapText="1"/>
    </xf>
    <xf numFmtId="0" fontId="8" fillId="0" borderId="0" xfId="0" applyFont="1" applyAlignment="1">
      <alignment horizontal="center"/>
    </xf>
    <xf numFmtId="0" fontId="8" fillId="0" borderId="0" xfId="0" applyFont="1"/>
    <xf numFmtId="0" fontId="8" fillId="0" borderId="5" xfId="0" applyFont="1" applyBorder="1"/>
    <xf numFmtId="164" fontId="8" fillId="0" borderId="0" xfId="0" applyNumberFormat="1" applyFont="1"/>
    <xf numFmtId="0" fontId="8" fillId="0" borderId="6" xfId="0" applyFont="1" applyBorder="1"/>
    <xf numFmtId="0" fontId="9" fillId="0" borderId="5" xfId="0" applyFont="1" applyBorder="1"/>
    <xf numFmtId="0" fontId="9" fillId="0" borderId="7" xfId="0" applyFont="1" applyBorder="1"/>
    <xf numFmtId="165" fontId="9" fillId="0" borderId="8" xfId="0" applyNumberFormat="1" applyFont="1" applyBorder="1"/>
    <xf numFmtId="0" fontId="8" fillId="0" borderId="8" xfId="0" applyFont="1" applyBorder="1"/>
    <xf numFmtId="164" fontId="8" fillId="0" borderId="8" xfId="0" applyNumberFormat="1" applyFont="1" applyBorder="1"/>
    <xf numFmtId="0" fontId="8" fillId="0" borderId="9" xfId="0" applyFont="1" applyBorder="1"/>
    <xf numFmtId="0" fontId="9" fillId="2" borderId="10" xfId="0" applyFont="1" applyFill="1" applyBorder="1" applyAlignment="1">
      <alignment horizontal="center" vertical="center"/>
    </xf>
    <xf numFmtId="0" fontId="9" fillId="2" borderId="10" xfId="0" applyFont="1" applyFill="1" applyBorder="1" applyAlignment="1">
      <alignment horizontal="center" vertical="center" wrapText="1"/>
    </xf>
    <xf numFmtId="164" fontId="9" fillId="2" borderId="10" xfId="0" applyNumberFormat="1" applyFont="1" applyFill="1" applyBorder="1" applyAlignment="1">
      <alignment horizontal="center" vertical="center" wrapText="1"/>
    </xf>
    <xf numFmtId="165" fontId="9" fillId="2" borderId="10" xfId="0" applyNumberFormat="1" applyFont="1" applyFill="1" applyBorder="1" applyAlignment="1">
      <alignment horizontal="center" vertical="center" wrapText="1"/>
    </xf>
    <xf numFmtId="0" fontId="9" fillId="2" borderId="4" xfId="0" applyFont="1" applyFill="1" applyBorder="1" applyAlignment="1">
      <alignment horizontal="center" vertical="center" wrapText="1"/>
    </xf>
    <xf numFmtId="0" fontId="8" fillId="0" borderId="10" xfId="0" applyFont="1" applyBorder="1"/>
    <xf numFmtId="164" fontId="8" fillId="0" borderId="10" xfId="0" applyNumberFormat="1" applyFont="1" applyBorder="1"/>
    <xf numFmtId="165" fontId="8" fillId="0" borderId="10" xfId="0" applyNumberFormat="1" applyFont="1" applyBorder="1"/>
    <xf numFmtId="2" fontId="8" fillId="0" borderId="10" xfId="0" applyNumberFormat="1" applyFont="1" applyBorder="1"/>
    <xf numFmtId="166" fontId="8" fillId="0" borderId="0" xfId="0" applyNumberFormat="1" applyFont="1"/>
    <xf numFmtId="2" fontId="8" fillId="0" borderId="10" xfId="0" applyNumberFormat="1" applyFont="1" applyBorder="1" applyAlignment="1">
      <alignment horizontal="center"/>
    </xf>
    <xf numFmtId="9" fontId="8" fillId="0" borderId="0" xfId="0" applyNumberFormat="1" applyFont="1"/>
    <xf numFmtId="0" fontId="10" fillId="0" borderId="0" xfId="0" applyFont="1"/>
    <xf numFmtId="164" fontId="8" fillId="3" borderId="10" xfId="0" applyNumberFormat="1" applyFont="1" applyFill="1" applyBorder="1"/>
    <xf numFmtId="0" fontId="8" fillId="0" borderId="11" xfId="0" applyFont="1" applyBorder="1"/>
    <xf numFmtId="0" fontId="8" fillId="0" borderId="12" xfId="0" applyFont="1" applyBorder="1"/>
    <xf numFmtId="164" fontId="8" fillId="0" borderId="12" xfId="0" applyNumberFormat="1" applyFont="1" applyBorder="1"/>
    <xf numFmtId="165" fontId="8" fillId="0" borderId="12" xfId="0" applyNumberFormat="1" applyFont="1" applyBorder="1"/>
    <xf numFmtId="0" fontId="9" fillId="4" borderId="4" xfId="0" applyFont="1" applyFill="1" applyBorder="1" applyAlignment="1">
      <alignment horizontal="left" vertical="center" wrapText="1"/>
    </xf>
    <xf numFmtId="165" fontId="0" fillId="0" borderId="0" xfId="0" applyNumberFormat="1"/>
    <xf numFmtId="164" fontId="0" fillId="0" borderId="0" xfId="0" applyNumberFormat="1"/>
    <xf numFmtId="0" fontId="5" fillId="0" borderId="16" xfId="1" applyBorder="1"/>
    <xf numFmtId="0" fontId="5" fillId="0" borderId="14" xfId="1" applyBorder="1" applyAlignment="1">
      <alignment horizontal="center"/>
    </xf>
    <xf numFmtId="0" fontId="8" fillId="0" borderId="10" xfId="0" applyFont="1" applyBorder="1" applyAlignment="1">
      <alignment horizontal="center"/>
    </xf>
    <xf numFmtId="43" fontId="5" fillId="0" borderId="14" xfId="2" applyFont="1" applyBorder="1"/>
    <xf numFmtId="43" fontId="5" fillId="0" borderId="16" xfId="2" applyFont="1" applyBorder="1"/>
    <xf numFmtId="0" fontId="8" fillId="0" borderId="10" xfId="0" applyFont="1" applyBorder="1" applyAlignment="1">
      <alignment horizontal="center" vertical="center"/>
    </xf>
    <xf numFmtId="0" fontId="9" fillId="2" borderId="21" xfId="0" applyFont="1" applyFill="1" applyBorder="1" applyAlignment="1">
      <alignment horizontal="center" vertical="center" wrapText="1"/>
    </xf>
    <xf numFmtId="165" fontId="8" fillId="0" borderId="21" xfId="0" applyNumberFormat="1" applyFont="1" applyBorder="1"/>
    <xf numFmtId="0" fontId="9" fillId="2" borderId="20" xfId="0" applyFont="1" applyFill="1" applyBorder="1" applyAlignment="1">
      <alignment horizontal="center" vertical="center" wrapText="1"/>
    </xf>
    <xf numFmtId="164" fontId="8" fillId="0" borderId="20" xfId="0" applyNumberFormat="1" applyFont="1" applyBorder="1"/>
    <xf numFmtId="0" fontId="9" fillId="2" borderId="22" xfId="0" applyFont="1" applyFill="1" applyBorder="1" applyAlignment="1">
      <alignment horizontal="center" vertical="center" wrapText="1"/>
    </xf>
    <xf numFmtId="165" fontId="8" fillId="0" borderId="22" xfId="0" applyNumberFormat="1" applyFont="1" applyBorder="1"/>
    <xf numFmtId="165" fontId="8" fillId="0" borderId="13" xfId="0" applyNumberFormat="1" applyFont="1" applyBorder="1"/>
    <xf numFmtId="44" fontId="8" fillId="0" borderId="8" xfId="0" applyNumberFormat="1" applyFont="1" applyBorder="1"/>
    <xf numFmtId="0" fontId="6" fillId="5" borderId="4" xfId="0" applyFont="1" applyFill="1" applyBorder="1" applyAlignment="1">
      <alignment horizontal="center" vertical="center" wrapText="1"/>
    </xf>
    <xf numFmtId="168" fontId="8" fillId="0" borderId="10" xfId="0" applyNumberFormat="1" applyFont="1" applyBorder="1"/>
    <xf numFmtId="0" fontId="3" fillId="0" borderId="0" xfId="0" applyFont="1"/>
    <xf numFmtId="0" fontId="8" fillId="6" borderId="10" xfId="0" applyFont="1" applyFill="1" applyBorder="1" applyAlignment="1">
      <alignment horizontal="center" vertical="center"/>
    </xf>
    <xf numFmtId="0" fontId="5" fillId="6" borderId="14" xfId="1" applyFill="1" applyBorder="1"/>
    <xf numFmtId="43" fontId="5" fillId="6" borderId="14" xfId="2" applyFont="1" applyFill="1" applyBorder="1"/>
    <xf numFmtId="164" fontId="8" fillId="6" borderId="10" xfId="0" applyNumberFormat="1" applyFont="1" applyFill="1" applyBorder="1"/>
    <xf numFmtId="165" fontId="8" fillId="6" borderId="21" xfId="0" applyNumberFormat="1" applyFont="1" applyFill="1" applyBorder="1"/>
    <xf numFmtId="165" fontId="8" fillId="6" borderId="22" xfId="0" applyNumberFormat="1" applyFont="1" applyFill="1" applyBorder="1"/>
    <xf numFmtId="2" fontId="8" fillId="6" borderId="20" xfId="0" applyNumberFormat="1" applyFont="1" applyFill="1" applyBorder="1"/>
    <xf numFmtId="0" fontId="5" fillId="6" borderId="14" xfId="1" applyFill="1" applyBorder="1" applyAlignment="1">
      <alignment horizontal="center"/>
    </xf>
    <xf numFmtId="0" fontId="8" fillId="6" borderId="10" xfId="0" applyFont="1" applyFill="1" applyBorder="1"/>
    <xf numFmtId="0" fontId="5" fillId="6" borderId="16" xfId="1" applyFill="1" applyBorder="1" applyAlignment="1">
      <alignment vertical="center" wrapText="1"/>
    </xf>
    <xf numFmtId="0" fontId="4" fillId="6" borderId="14" xfId="1" applyFont="1" applyFill="1" applyBorder="1" applyAlignment="1">
      <alignment horizontal="center"/>
    </xf>
    <xf numFmtId="0" fontId="8" fillId="6" borderId="17" xfId="0" applyFont="1" applyFill="1" applyBorder="1" applyAlignment="1">
      <alignment horizontal="center" vertical="center"/>
    </xf>
    <xf numFmtId="0" fontId="4" fillId="6" borderId="14" xfId="1" applyFont="1" applyFill="1" applyBorder="1"/>
    <xf numFmtId="43" fontId="5" fillId="6" borderId="16" xfId="2" applyFont="1" applyFill="1" applyBorder="1" applyAlignment="1">
      <alignment horizontal="center" vertical="center" wrapText="1"/>
    </xf>
    <xf numFmtId="164" fontId="8" fillId="3" borderId="19" xfId="0" applyNumberFormat="1" applyFont="1" applyFill="1" applyBorder="1" applyAlignment="1">
      <alignment horizontal="right" vertical="center"/>
    </xf>
    <xf numFmtId="2" fontId="8" fillId="6" borderId="18" xfId="0" applyNumberFormat="1" applyFont="1" applyFill="1" applyBorder="1" applyAlignment="1">
      <alignment horizontal="right" vertical="center"/>
    </xf>
    <xf numFmtId="167" fontId="5" fillId="6" borderId="14" xfId="2" applyNumberFormat="1" applyFont="1" applyFill="1" applyBorder="1"/>
    <xf numFmtId="0" fontId="1" fillId="0" borderId="14" xfId="1" applyFont="1" applyBorder="1"/>
    <xf numFmtId="164" fontId="7" fillId="6" borderId="10" xfId="0" applyNumberFormat="1" applyFont="1" applyFill="1" applyBorder="1"/>
    <xf numFmtId="164" fontId="7" fillId="0" borderId="10" xfId="0" applyNumberFormat="1" applyFont="1" applyBorder="1"/>
    <xf numFmtId="0" fontId="8" fillId="7" borderId="10" xfId="0" applyFont="1" applyFill="1" applyBorder="1" applyAlignment="1">
      <alignment horizontal="center" vertical="center"/>
    </xf>
    <xf numFmtId="0" fontId="5" fillId="7" borderId="14" xfId="1" applyFill="1" applyBorder="1"/>
    <xf numFmtId="43" fontId="5" fillId="7" borderId="14" xfId="2" applyFont="1" applyFill="1" applyBorder="1"/>
    <xf numFmtId="164" fontId="8" fillId="7" borderId="10" xfId="0" applyNumberFormat="1" applyFont="1" applyFill="1" applyBorder="1"/>
    <xf numFmtId="165" fontId="8" fillId="7" borderId="21" xfId="0" applyNumberFormat="1" applyFont="1" applyFill="1" applyBorder="1"/>
    <xf numFmtId="165" fontId="8" fillId="7" borderId="22" xfId="0" applyNumberFormat="1" applyFont="1" applyFill="1" applyBorder="1"/>
    <xf numFmtId="2" fontId="8" fillId="7" borderId="20" xfId="0" applyNumberFormat="1" applyFont="1" applyFill="1" applyBorder="1"/>
    <xf numFmtId="164" fontId="7" fillId="7" borderId="10" xfId="0" applyNumberFormat="1" applyFont="1" applyFill="1" applyBorder="1"/>
    <xf numFmtId="0" fontId="5" fillId="7" borderId="14" xfId="1" applyFill="1" applyBorder="1" applyAlignment="1">
      <alignment horizontal="center"/>
    </xf>
    <xf numFmtId="0" fontId="8" fillId="7" borderId="10" xfId="0" applyFont="1" applyFill="1" applyBorder="1"/>
    <xf numFmtId="0" fontId="1" fillId="7" borderId="14" xfId="1" applyFont="1" applyFill="1" applyBorder="1"/>
    <xf numFmtId="164" fontId="8" fillId="7" borderId="20" xfId="0" applyNumberFormat="1" applyFont="1" applyFill="1" applyBorder="1"/>
    <xf numFmtId="165" fontId="12" fillId="6" borderId="8" xfId="0" applyNumberFormat="1" applyFont="1" applyFill="1" applyBorder="1"/>
    <xf numFmtId="165" fontId="8" fillId="6" borderId="11" xfId="0" applyNumberFormat="1" applyFont="1" applyFill="1" applyBorder="1" applyAlignment="1">
      <alignment horizontal="right" vertical="center"/>
    </xf>
    <xf numFmtId="0" fontId="8" fillId="0" borderId="4" xfId="0" applyFont="1" applyBorder="1"/>
    <xf numFmtId="44" fontId="8" fillId="0" borderId="4" xfId="0" applyNumberFormat="1" applyFont="1" applyBorder="1"/>
    <xf numFmtId="165" fontId="8" fillId="0" borderId="7" xfId="0" applyNumberFormat="1" applyFont="1" applyBorder="1"/>
    <xf numFmtId="165" fontId="8" fillId="0" borderId="8" xfId="0" applyNumberFormat="1" applyFont="1" applyBorder="1"/>
    <xf numFmtId="0" fontId="9" fillId="2" borderId="14" xfId="0" applyFont="1" applyFill="1" applyBorder="1" applyAlignment="1">
      <alignment horizontal="center" vertical="center" wrapText="1"/>
    </xf>
    <xf numFmtId="165" fontId="8" fillId="6" borderId="14" xfId="0" applyNumberFormat="1" applyFont="1" applyFill="1" applyBorder="1"/>
    <xf numFmtId="165" fontId="8" fillId="6" borderId="14" xfId="0" applyNumberFormat="1" applyFont="1" applyFill="1" applyBorder="1" applyAlignment="1">
      <alignment horizontal="right" vertical="center"/>
    </xf>
    <xf numFmtId="165" fontId="8" fillId="7" borderId="14" xfId="0" applyNumberFormat="1" applyFont="1" applyFill="1" applyBorder="1"/>
    <xf numFmtId="0" fontId="7" fillId="6" borderId="10" xfId="0" applyFont="1" applyFill="1" applyBorder="1"/>
    <xf numFmtId="0" fontId="5" fillId="7" borderId="15" xfId="1" applyFill="1" applyBorder="1" applyAlignment="1">
      <alignment horizontal="center"/>
    </xf>
    <xf numFmtId="0" fontId="7" fillId="7" borderId="10" xfId="0" applyFont="1" applyFill="1" applyBorder="1"/>
    <xf numFmtId="0" fontId="5" fillId="8" borderId="14" xfId="1" applyFill="1" applyBorder="1" applyAlignment="1">
      <alignment horizontal="center"/>
    </xf>
    <xf numFmtId="0" fontId="8" fillId="8" borderId="10" xfId="0" applyFont="1" applyFill="1" applyBorder="1" applyAlignment="1">
      <alignment horizontal="center" vertical="center"/>
    </xf>
    <xf numFmtId="0" fontId="5" fillId="8" borderId="14" xfId="1" applyFill="1" applyBorder="1"/>
    <xf numFmtId="43" fontId="5" fillId="8" borderId="14" xfId="2" applyFont="1" applyFill="1" applyBorder="1"/>
    <xf numFmtId="0" fontId="7" fillId="8" borderId="10" xfId="0" applyFont="1" applyFill="1" applyBorder="1"/>
    <xf numFmtId="164" fontId="8" fillId="8" borderId="10" xfId="0" applyNumberFormat="1" applyFont="1" applyFill="1" applyBorder="1"/>
    <xf numFmtId="165" fontId="8" fillId="8" borderId="21" xfId="0" applyNumberFormat="1" applyFont="1" applyFill="1" applyBorder="1"/>
    <xf numFmtId="165" fontId="8" fillId="8" borderId="14" xfId="0" applyNumberFormat="1" applyFont="1" applyFill="1" applyBorder="1"/>
    <xf numFmtId="165" fontId="8" fillId="8" borderId="22" xfId="0" applyNumberFormat="1" applyFont="1" applyFill="1" applyBorder="1"/>
    <xf numFmtId="2" fontId="8" fillId="8" borderId="20" xfId="0" applyNumberFormat="1" applyFont="1" applyFill="1" applyBorder="1"/>
    <xf numFmtId="164" fontId="7" fillId="8" borderId="10" xfId="0" applyNumberFormat="1" applyFont="1" applyFill="1" applyBorder="1"/>
    <xf numFmtId="0" fontId="2" fillId="8" borderId="14" xfId="1" applyFont="1" applyFill="1" applyBorder="1"/>
    <xf numFmtId="0" fontId="5" fillId="8" borderId="16" xfId="1" applyFill="1" applyBorder="1" applyAlignment="1">
      <alignment vertical="center" wrapText="1"/>
    </xf>
    <xf numFmtId="164" fontId="8" fillId="9" borderId="10" xfId="0" applyNumberFormat="1" applyFont="1" applyFill="1" applyBorder="1"/>
    <xf numFmtId="0" fontId="6" fillId="2" borderId="1" xfId="0" applyFont="1" applyFill="1" applyBorder="1" applyAlignment="1">
      <alignment horizontal="center" vertical="center" wrapText="1"/>
    </xf>
    <xf numFmtId="0" fontId="7" fillId="0" borderId="2" xfId="0" applyFont="1" applyBorder="1"/>
    <xf numFmtId="0" fontId="7" fillId="0" borderId="13" xfId="0" applyFont="1" applyBorder="1"/>
    <xf numFmtId="0" fontId="7" fillId="0" borderId="3" xfId="0" applyFont="1" applyBorder="1"/>
    <xf numFmtId="0" fontId="9" fillId="4" borderId="1" xfId="0" applyFont="1" applyFill="1" applyBorder="1" applyAlignment="1">
      <alignment horizontal="left" vertical="center" wrapText="1"/>
    </xf>
    <xf numFmtId="0" fontId="11" fillId="7" borderId="4" xfId="0" applyFont="1" applyFill="1" applyBorder="1" applyAlignment="1">
      <alignment horizontal="center" vertical="center" wrapText="1"/>
    </xf>
  </cellXfs>
  <cellStyles count="5">
    <cellStyle name="Millares 2" xfId="2" xr:uid="{00000000-0005-0000-0000-000000000000}"/>
    <cellStyle name="Moneda 2" xfId="3" xr:uid="{00000000-0005-0000-0000-000001000000}"/>
    <cellStyle name="Normal" xfId="0" builtinId="0"/>
    <cellStyle name="Normal 2" xfId="1" xr:uid="{00000000-0005-0000-0000-000003000000}"/>
    <cellStyle name="Porcentaje 2"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459581</xdr:colOff>
      <xdr:row>2</xdr:row>
      <xdr:rowOff>19049</xdr:rowOff>
    </xdr:from>
    <xdr:ext cx="2257425" cy="847725"/>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185987" y="471487"/>
          <a:ext cx="2257425" cy="8477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771525</xdr:colOff>
      <xdr:row>1</xdr:row>
      <xdr:rowOff>47625</xdr:rowOff>
    </xdr:from>
    <xdr:ext cx="6619875" cy="990600"/>
    <xdr:pic>
      <xdr:nvPicPr>
        <xdr:cNvPr id="2" name="image1.jp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9"/>
  <sheetViews>
    <sheetView tabSelected="1" topLeftCell="B1" zoomScale="80" zoomScaleNormal="80" workbookViewId="0">
      <selection sqref="A1:N1"/>
    </sheetView>
  </sheetViews>
  <sheetFormatPr baseColWidth="10" defaultColWidth="14.42578125" defaultRowHeight="15" customHeight="1" x14ac:dyDescent="0.25"/>
  <cols>
    <col min="1" max="1" width="10" hidden="1" customWidth="1"/>
    <col min="2" max="2" width="10" customWidth="1"/>
    <col min="3" max="3" width="15.85546875" customWidth="1"/>
    <col min="4" max="4" width="27" customWidth="1"/>
    <col min="5" max="5" width="6.28515625" customWidth="1"/>
    <col min="6" max="7" width="10.85546875" hidden="1" customWidth="1"/>
    <col min="8" max="8" width="8.42578125" hidden="1" customWidth="1"/>
    <col min="9" max="9" width="13" hidden="1" customWidth="1"/>
    <col min="10" max="10" width="15.5703125" hidden="1" customWidth="1"/>
    <col min="11" max="11" width="17.42578125" hidden="1" customWidth="1"/>
    <col min="12" max="12" width="7.140625" hidden="1" customWidth="1"/>
    <col min="13" max="13" width="9.85546875" hidden="1" customWidth="1"/>
    <col min="14" max="14" width="15.42578125" customWidth="1"/>
    <col min="15" max="15" width="20" customWidth="1"/>
    <col min="16" max="16" width="20.85546875" customWidth="1"/>
    <col min="17" max="17" width="13.5703125" customWidth="1"/>
    <col min="18" max="18" width="20.7109375" customWidth="1"/>
    <col min="19" max="19" width="18.28515625" customWidth="1"/>
    <col min="20" max="27" width="10.7109375" customWidth="1"/>
  </cols>
  <sheetData>
    <row r="1" spans="1:24" ht="21" customHeight="1" x14ac:dyDescent="0.25">
      <c r="A1" s="110" t="s">
        <v>104</v>
      </c>
      <c r="B1" s="111"/>
      <c r="C1" s="111"/>
      <c r="D1" s="111"/>
      <c r="E1" s="111"/>
      <c r="F1" s="111"/>
      <c r="G1" s="111"/>
      <c r="H1" s="111"/>
      <c r="I1" s="111"/>
      <c r="J1" s="111"/>
      <c r="K1" s="112"/>
      <c r="L1" s="112"/>
      <c r="M1" s="111"/>
      <c r="N1" s="113"/>
      <c r="O1" s="48"/>
      <c r="P1" s="2"/>
      <c r="Q1" s="3"/>
      <c r="R1" s="3"/>
    </row>
    <row r="2" spans="1:24" x14ac:dyDescent="0.25">
      <c r="A2" s="4"/>
      <c r="B2" s="4"/>
      <c r="C2" s="3"/>
      <c r="D2" s="3"/>
      <c r="E2" s="3"/>
      <c r="F2" s="3"/>
      <c r="G2" s="3"/>
      <c r="H2" s="5"/>
      <c r="I2" s="3"/>
      <c r="J2" s="3"/>
      <c r="K2" s="3"/>
      <c r="L2" s="3"/>
      <c r="M2" s="3"/>
      <c r="N2" s="6"/>
      <c r="O2" s="3"/>
      <c r="P2" s="2"/>
      <c r="Q2" s="3"/>
      <c r="R2" s="3"/>
    </row>
    <row r="3" spans="1:24" x14ac:dyDescent="0.25">
      <c r="A3" s="7" t="s">
        <v>0</v>
      </c>
      <c r="B3" s="7" t="s">
        <v>0</v>
      </c>
      <c r="C3" s="3" t="s">
        <v>62</v>
      </c>
      <c r="E3" s="3"/>
      <c r="F3" s="3"/>
      <c r="G3" s="3"/>
      <c r="H3" s="5"/>
      <c r="I3" s="3"/>
      <c r="J3" s="3"/>
      <c r="K3" s="3"/>
      <c r="L3" s="3"/>
      <c r="M3" s="3"/>
      <c r="N3" s="6"/>
      <c r="O3" s="3"/>
      <c r="P3" s="2"/>
      <c r="Q3" s="3"/>
      <c r="R3" s="3"/>
    </row>
    <row r="4" spans="1:24" x14ac:dyDescent="0.25">
      <c r="A4" s="7" t="s">
        <v>2</v>
      </c>
      <c r="B4" s="7" t="s">
        <v>2</v>
      </c>
      <c r="C4" s="3" t="s">
        <v>63</v>
      </c>
      <c r="E4" s="3"/>
      <c r="F4" s="3"/>
      <c r="G4" s="3"/>
      <c r="H4" s="5"/>
      <c r="I4" s="3" t="s">
        <v>97</v>
      </c>
      <c r="J4" s="3"/>
      <c r="K4" s="3"/>
      <c r="L4" s="3"/>
      <c r="M4" s="3"/>
      <c r="N4" s="6"/>
      <c r="O4" s="3"/>
      <c r="P4" s="2"/>
    </row>
    <row r="5" spans="1:24" x14ac:dyDescent="0.25">
      <c r="A5" s="7" t="s">
        <v>4</v>
      </c>
      <c r="B5" s="7" t="s">
        <v>4</v>
      </c>
      <c r="C5" s="3" t="s">
        <v>5</v>
      </c>
      <c r="E5" s="3"/>
      <c r="F5" s="3"/>
      <c r="G5" s="3"/>
      <c r="H5" s="5"/>
      <c r="I5" s="3"/>
      <c r="J5" s="3"/>
      <c r="K5" s="3"/>
      <c r="L5" s="3"/>
      <c r="M5" s="3"/>
      <c r="N5" s="6"/>
      <c r="O5" s="3"/>
      <c r="P5" s="2"/>
      <c r="X5" t="s">
        <v>99</v>
      </c>
    </row>
    <row r="6" spans="1:24" x14ac:dyDescent="0.25">
      <c r="A6" s="7" t="s">
        <v>6</v>
      </c>
      <c r="B6" s="7" t="s">
        <v>6</v>
      </c>
      <c r="C6" s="3" t="s">
        <v>7</v>
      </c>
      <c r="E6" s="3"/>
      <c r="F6" s="3"/>
      <c r="G6" s="3"/>
      <c r="H6" s="5"/>
      <c r="I6" s="3"/>
      <c r="J6" s="3"/>
      <c r="K6" s="3"/>
      <c r="L6" s="3"/>
      <c r="M6" s="3"/>
      <c r="N6" s="6"/>
      <c r="O6" s="3"/>
      <c r="P6" s="2"/>
    </row>
    <row r="7" spans="1:24" hidden="1" x14ac:dyDescent="0.25">
      <c r="A7" s="8" t="s">
        <v>8</v>
      </c>
      <c r="B7" s="8" t="s">
        <v>8</v>
      </c>
      <c r="C7" s="9">
        <v>78050</v>
      </c>
      <c r="E7" s="10"/>
      <c r="F7" s="10"/>
      <c r="G7" s="10"/>
      <c r="H7" s="11"/>
      <c r="I7" s="10"/>
      <c r="J7" s="10"/>
      <c r="K7" s="10"/>
      <c r="L7" s="10"/>
      <c r="M7" s="10"/>
      <c r="N7" s="12"/>
      <c r="O7" s="3"/>
      <c r="P7" s="2"/>
    </row>
    <row r="8" spans="1:24" x14ac:dyDescent="0.25">
      <c r="A8" s="8"/>
      <c r="B8" s="7" t="s">
        <v>8</v>
      </c>
      <c r="C8" s="83">
        <v>1062106.55</v>
      </c>
      <c r="E8" s="10"/>
      <c r="F8" s="10"/>
      <c r="G8" s="10"/>
      <c r="H8" s="11"/>
      <c r="I8" s="10"/>
      <c r="J8" s="85"/>
      <c r="K8" s="86">
        <f>C8-J32</f>
        <v>613800.67879999964</v>
      </c>
      <c r="L8" s="47"/>
      <c r="M8" s="10"/>
      <c r="N8" s="12"/>
      <c r="O8" s="3"/>
      <c r="P8" s="2"/>
    </row>
    <row r="9" spans="1:24" ht="51.75" customHeight="1" x14ac:dyDescent="0.25">
      <c r="A9" s="13" t="s">
        <v>9</v>
      </c>
      <c r="B9" s="13" t="s">
        <v>9</v>
      </c>
      <c r="C9" s="14" t="s">
        <v>10</v>
      </c>
      <c r="D9" s="13" t="s">
        <v>11</v>
      </c>
      <c r="E9" s="13" t="s">
        <v>12</v>
      </c>
      <c r="F9" s="14" t="s">
        <v>13</v>
      </c>
      <c r="G9" s="14" t="s">
        <v>14</v>
      </c>
      <c r="H9" s="15" t="s">
        <v>15</v>
      </c>
      <c r="I9" s="40" t="s">
        <v>16</v>
      </c>
      <c r="J9" s="89" t="s">
        <v>8</v>
      </c>
      <c r="K9" s="89" t="s">
        <v>94</v>
      </c>
      <c r="L9" s="44" t="s">
        <v>98</v>
      </c>
      <c r="M9" s="42" t="s">
        <v>17</v>
      </c>
      <c r="N9" s="14" t="s">
        <v>18</v>
      </c>
    </row>
    <row r="10" spans="1:24" x14ac:dyDescent="0.25">
      <c r="A10" s="59">
        <v>1</v>
      </c>
      <c r="B10" s="94">
        <v>1</v>
      </c>
      <c r="C10" s="71" t="s">
        <v>76</v>
      </c>
      <c r="D10" s="72" t="s">
        <v>64</v>
      </c>
      <c r="E10" s="73">
        <v>7.99</v>
      </c>
      <c r="F10" s="95">
        <v>7.99</v>
      </c>
      <c r="G10" s="95">
        <f>+F10</f>
        <v>7.99</v>
      </c>
      <c r="H10" s="74">
        <v>0</v>
      </c>
      <c r="I10" s="75">
        <f t="shared" ref="I10:I32" si="0">H10*7%</f>
        <v>0</v>
      </c>
      <c r="J10" s="92">
        <f>M10*93.787</f>
        <v>0</v>
      </c>
      <c r="K10" s="92">
        <f>K8*E10%</f>
        <v>49042.674236119972</v>
      </c>
      <c r="L10" s="76"/>
      <c r="M10" s="77">
        <f>G10-F10</f>
        <v>0</v>
      </c>
      <c r="N10" s="78">
        <f>J10+K10+L10</f>
        <v>49042.674236119972</v>
      </c>
    </row>
    <row r="11" spans="1:24" ht="14.25" customHeight="1" x14ac:dyDescent="0.25">
      <c r="A11" s="59">
        <v>2</v>
      </c>
      <c r="B11" s="96">
        <v>2</v>
      </c>
      <c r="C11" s="97" t="s">
        <v>77</v>
      </c>
      <c r="D11" s="107" t="s">
        <v>65</v>
      </c>
      <c r="E11" s="99">
        <v>6.05</v>
      </c>
      <c r="F11" s="100">
        <v>492.1</v>
      </c>
      <c r="G11" s="100">
        <v>494.5</v>
      </c>
      <c r="H11" s="101">
        <v>0</v>
      </c>
      <c r="I11" s="102">
        <f t="shared" si="0"/>
        <v>0</v>
      </c>
      <c r="J11" s="103">
        <f>M11*173.944</f>
        <v>417.46559999999602</v>
      </c>
      <c r="K11" s="103">
        <f>K8*E11%</f>
        <v>37134.941067399981</v>
      </c>
      <c r="L11" s="104"/>
      <c r="M11" s="105">
        <f t="shared" ref="M11:M31" si="1">G11-F11</f>
        <v>2.3999999999999773</v>
      </c>
      <c r="N11" s="106">
        <f t="shared" ref="N11:N31" si="2">J11+K11+L11</f>
        <v>37552.406667399977</v>
      </c>
    </row>
    <row r="12" spans="1:24" x14ac:dyDescent="0.25">
      <c r="A12" s="59">
        <v>3</v>
      </c>
      <c r="B12" s="58">
        <v>3</v>
      </c>
      <c r="C12" s="51" t="s">
        <v>78</v>
      </c>
      <c r="D12" s="52" t="s">
        <v>66</v>
      </c>
      <c r="E12" s="53">
        <v>6.02</v>
      </c>
      <c r="F12" s="93">
        <v>5125.8999999999996</v>
      </c>
      <c r="G12" s="93">
        <v>5161</v>
      </c>
      <c r="H12" s="54">
        <v>0</v>
      </c>
      <c r="I12" s="55">
        <f t="shared" si="0"/>
        <v>0</v>
      </c>
      <c r="J12" s="90">
        <f t="shared" ref="J12:J21" si="3">M12*173.944</f>
        <v>6105.4344000000629</v>
      </c>
      <c r="K12" s="90">
        <f>K8*E12%</f>
        <v>36950.800863759978</v>
      </c>
      <c r="L12" s="56"/>
      <c r="M12" s="57">
        <f>G12-F12</f>
        <v>35.100000000000364</v>
      </c>
      <c r="N12" s="69">
        <f t="shared" si="2"/>
        <v>43056.235263760042</v>
      </c>
    </row>
    <row r="13" spans="1:24" x14ac:dyDescent="0.25">
      <c r="A13" s="59">
        <v>4</v>
      </c>
      <c r="B13" s="61" t="s">
        <v>96</v>
      </c>
      <c r="C13" s="62" t="s">
        <v>79</v>
      </c>
      <c r="D13" s="63" t="s">
        <v>95</v>
      </c>
      <c r="E13" s="64">
        <v>7.63</v>
      </c>
      <c r="F13" s="93">
        <v>507.63</v>
      </c>
      <c r="G13" s="93">
        <f>F13+250</f>
        <v>757.63</v>
      </c>
      <c r="H13" s="65">
        <v>0</v>
      </c>
      <c r="I13" s="84">
        <f t="shared" si="0"/>
        <v>0</v>
      </c>
      <c r="J13" s="90">
        <f t="shared" si="3"/>
        <v>43486</v>
      </c>
      <c r="K13" s="91">
        <f>K8*E13%</f>
        <v>46832.991792439971</v>
      </c>
      <c r="L13" s="56"/>
      <c r="M13" s="66">
        <f t="shared" si="1"/>
        <v>250</v>
      </c>
      <c r="N13" s="69">
        <f t="shared" si="2"/>
        <v>90318.991792439978</v>
      </c>
    </row>
    <row r="14" spans="1:24" x14ac:dyDescent="0.25">
      <c r="A14" s="59">
        <v>6</v>
      </c>
      <c r="B14" s="96">
        <v>6</v>
      </c>
      <c r="C14" s="97" t="s">
        <v>80</v>
      </c>
      <c r="D14" s="98" t="s">
        <v>67</v>
      </c>
      <c r="E14" s="99">
        <v>6.05</v>
      </c>
      <c r="F14" s="100">
        <v>506.05</v>
      </c>
      <c r="G14" s="100">
        <f>+F14+250</f>
        <v>756.05</v>
      </c>
      <c r="H14" s="101">
        <v>0</v>
      </c>
      <c r="I14" s="102">
        <f t="shared" si="0"/>
        <v>0</v>
      </c>
      <c r="J14" s="103">
        <f t="shared" si="3"/>
        <v>43485.999999999985</v>
      </c>
      <c r="K14" s="103">
        <f>K8*E14%</f>
        <v>37134.941067399981</v>
      </c>
      <c r="L14" s="104"/>
      <c r="M14" s="105">
        <f t="shared" si="1"/>
        <v>249.99999999999994</v>
      </c>
      <c r="N14" s="106">
        <f>J14+K14+L14</f>
        <v>80620.941067399966</v>
      </c>
    </row>
    <row r="15" spans="1:24" x14ac:dyDescent="0.25">
      <c r="A15" s="59">
        <v>7</v>
      </c>
      <c r="B15" s="96">
        <v>7</v>
      </c>
      <c r="C15" s="97" t="s">
        <v>81</v>
      </c>
      <c r="D15" s="98" t="s">
        <v>67</v>
      </c>
      <c r="E15" s="99">
        <v>6.02</v>
      </c>
      <c r="F15" s="100">
        <v>5182.8999999999996</v>
      </c>
      <c r="G15" s="100">
        <v>5383.3</v>
      </c>
      <c r="H15" s="101">
        <v>0</v>
      </c>
      <c r="I15" s="102">
        <f t="shared" si="0"/>
        <v>0</v>
      </c>
      <c r="J15" s="103">
        <f t="shared" si="3"/>
        <v>34858.377600000094</v>
      </c>
      <c r="K15" s="103">
        <f>K8*E15%</f>
        <v>36950.800863759978</v>
      </c>
      <c r="L15" s="104"/>
      <c r="M15" s="105">
        <f t="shared" si="1"/>
        <v>200.40000000000055</v>
      </c>
      <c r="N15" s="106">
        <f t="shared" si="2"/>
        <v>71809.178463760065</v>
      </c>
    </row>
    <row r="16" spans="1:24" x14ac:dyDescent="0.25">
      <c r="A16" s="59">
        <v>8</v>
      </c>
      <c r="B16" s="58">
        <v>8</v>
      </c>
      <c r="C16" s="51" t="s">
        <v>82</v>
      </c>
      <c r="D16" s="52" t="s">
        <v>68</v>
      </c>
      <c r="E16" s="53">
        <v>7.63</v>
      </c>
      <c r="F16" s="93">
        <v>15267.9</v>
      </c>
      <c r="G16" s="93">
        <v>15698.4</v>
      </c>
      <c r="H16" s="26">
        <v>0</v>
      </c>
      <c r="I16" s="55">
        <f t="shared" si="0"/>
        <v>0</v>
      </c>
      <c r="J16" s="90">
        <f t="shared" si="3"/>
        <v>74882.891999999993</v>
      </c>
      <c r="K16" s="90">
        <f>K8*E16%</f>
        <v>46832.991792439971</v>
      </c>
      <c r="L16" s="56"/>
      <c r="M16" s="57">
        <f t="shared" si="1"/>
        <v>430.5</v>
      </c>
      <c r="N16" s="69">
        <f t="shared" si="2"/>
        <v>121715.88379243997</v>
      </c>
      <c r="P16" s="50"/>
    </row>
    <row r="17" spans="1:16" x14ac:dyDescent="0.25">
      <c r="A17" s="59">
        <v>9</v>
      </c>
      <c r="B17" s="96">
        <v>9</v>
      </c>
      <c r="C17" s="97" t="s">
        <v>83</v>
      </c>
      <c r="D17" s="98" t="s">
        <v>69</v>
      </c>
      <c r="E17" s="99">
        <v>6.05</v>
      </c>
      <c r="F17" s="100">
        <v>10827.14</v>
      </c>
      <c r="G17" s="100">
        <v>10949.59</v>
      </c>
      <c r="H17" s="101">
        <v>0</v>
      </c>
      <c r="I17" s="102">
        <f t="shared" si="0"/>
        <v>0</v>
      </c>
      <c r="J17" s="103">
        <f t="shared" si="3"/>
        <v>21299.442800000124</v>
      </c>
      <c r="K17" s="103">
        <f>K8*E17%</f>
        <v>37134.941067399981</v>
      </c>
      <c r="L17" s="104"/>
      <c r="M17" s="105">
        <f t="shared" si="1"/>
        <v>122.45000000000073</v>
      </c>
      <c r="N17" s="106">
        <f t="shared" si="2"/>
        <v>58434.383867400102</v>
      </c>
    </row>
    <row r="18" spans="1:16" x14ac:dyDescent="0.25">
      <c r="A18" s="59">
        <v>10</v>
      </c>
      <c r="B18" s="58">
        <v>10</v>
      </c>
      <c r="C18" s="51" t="s">
        <v>84</v>
      </c>
      <c r="D18" s="52" t="s">
        <v>101</v>
      </c>
      <c r="E18" s="53">
        <v>6.02</v>
      </c>
      <c r="F18" s="93">
        <v>8642.7999999999993</v>
      </c>
      <c r="G18" s="93">
        <f>F18+150</f>
        <v>8792.7999999999993</v>
      </c>
      <c r="H18" s="54">
        <v>0</v>
      </c>
      <c r="I18" s="55">
        <f t="shared" si="0"/>
        <v>0</v>
      </c>
      <c r="J18" s="90">
        <f t="shared" si="3"/>
        <v>26091.599999999999</v>
      </c>
      <c r="K18" s="90">
        <f>K8*E18%</f>
        <v>36950.800863759978</v>
      </c>
      <c r="L18" s="56"/>
      <c r="M18" s="57">
        <f t="shared" si="1"/>
        <v>150</v>
      </c>
      <c r="N18" s="69">
        <f t="shared" si="2"/>
        <v>63042.400863759976</v>
      </c>
    </row>
    <row r="19" spans="1:16" x14ac:dyDescent="0.25">
      <c r="A19" s="59">
        <v>11</v>
      </c>
      <c r="B19" s="58">
        <v>11</v>
      </c>
      <c r="C19" s="51" t="s">
        <v>85</v>
      </c>
      <c r="D19" s="60" t="s">
        <v>70</v>
      </c>
      <c r="E19" s="67">
        <v>21.2</v>
      </c>
      <c r="F19" s="93">
        <v>23463.64</v>
      </c>
      <c r="G19" s="93">
        <v>23696.95</v>
      </c>
      <c r="H19" s="26">
        <v>0</v>
      </c>
      <c r="I19" s="55">
        <f t="shared" si="0"/>
        <v>0</v>
      </c>
      <c r="J19" s="90">
        <f t="shared" si="3"/>
        <v>40582.874640000227</v>
      </c>
      <c r="K19" s="90">
        <f>K8*E19%</f>
        <v>130125.74390559993</v>
      </c>
      <c r="L19" s="56"/>
      <c r="M19" s="57">
        <f>G19-F19</f>
        <v>233.31000000000131</v>
      </c>
      <c r="N19" s="69">
        <f t="shared" si="2"/>
        <v>170708.61854560015</v>
      </c>
    </row>
    <row r="20" spans="1:16" ht="15.75" customHeight="1" x14ac:dyDescent="0.25">
      <c r="A20" s="59">
        <v>12</v>
      </c>
      <c r="B20" s="96">
        <v>12</v>
      </c>
      <c r="C20" s="97" t="s">
        <v>86</v>
      </c>
      <c r="D20" s="108" t="s">
        <v>70</v>
      </c>
      <c r="E20" s="99">
        <v>6.81</v>
      </c>
      <c r="F20" s="100">
        <v>1206.81</v>
      </c>
      <c r="G20" s="100">
        <f>F20+600</f>
        <v>1806.81</v>
      </c>
      <c r="H20" s="109">
        <v>0</v>
      </c>
      <c r="I20" s="102">
        <f t="shared" si="0"/>
        <v>0</v>
      </c>
      <c r="J20" s="103">
        <f t="shared" si="3"/>
        <v>104366.39999999999</v>
      </c>
      <c r="K20" s="103">
        <f>K8*E20%</f>
        <v>41799.826226279969</v>
      </c>
      <c r="L20" s="104"/>
      <c r="M20" s="105">
        <f t="shared" si="1"/>
        <v>600</v>
      </c>
      <c r="N20" s="106">
        <f t="shared" si="2"/>
        <v>146166.22622627998</v>
      </c>
      <c r="P20" s="33"/>
    </row>
    <row r="21" spans="1:16" ht="15.75" customHeight="1" x14ac:dyDescent="0.25">
      <c r="A21" s="59">
        <v>13</v>
      </c>
      <c r="B21" s="58">
        <v>13</v>
      </c>
      <c r="C21" s="51" t="s">
        <v>87</v>
      </c>
      <c r="D21" s="52" t="s">
        <v>71</v>
      </c>
      <c r="E21" s="53">
        <v>6.52</v>
      </c>
      <c r="F21" s="93">
        <v>15240</v>
      </c>
      <c r="G21" s="93">
        <v>15543.14</v>
      </c>
      <c r="H21" s="26">
        <v>0</v>
      </c>
      <c r="I21" s="55">
        <f t="shared" si="0"/>
        <v>0</v>
      </c>
      <c r="J21" s="90">
        <f t="shared" si="3"/>
        <v>52729.384159999892</v>
      </c>
      <c r="K21" s="90">
        <f>K8*E21%</f>
        <v>40019.80425775997</v>
      </c>
      <c r="L21" s="56"/>
      <c r="M21" s="57">
        <f t="shared" si="1"/>
        <v>303.13999999999942</v>
      </c>
      <c r="N21" s="69">
        <f t="shared" si="2"/>
        <v>92749.188417759869</v>
      </c>
    </row>
    <row r="22" spans="1:16" ht="15.75" customHeight="1" x14ac:dyDescent="0.25">
      <c r="A22" s="18">
        <v>14</v>
      </c>
      <c r="B22" s="79">
        <v>14</v>
      </c>
      <c r="C22" s="71" t="s">
        <v>88</v>
      </c>
      <c r="D22" s="72" t="s">
        <v>72</v>
      </c>
      <c r="E22" s="73">
        <v>1.18</v>
      </c>
      <c r="F22" s="80">
        <v>0</v>
      </c>
      <c r="G22" s="80">
        <v>0</v>
      </c>
      <c r="H22" s="74">
        <v>0</v>
      </c>
      <c r="I22" s="75">
        <f t="shared" si="0"/>
        <v>0</v>
      </c>
      <c r="J22" s="92">
        <f t="shared" ref="J22:J27" si="4">M22*93.787</f>
        <v>0</v>
      </c>
      <c r="K22" s="92">
        <f>K8*E22%</f>
        <v>7242.8480098399959</v>
      </c>
      <c r="L22" s="76"/>
      <c r="M22" s="77">
        <f t="shared" si="1"/>
        <v>0</v>
      </c>
      <c r="N22" s="78">
        <f t="shared" si="2"/>
        <v>7242.8480098399959</v>
      </c>
    </row>
    <row r="23" spans="1:16" ht="15.75" customHeight="1" x14ac:dyDescent="0.25">
      <c r="A23" s="18">
        <v>15</v>
      </c>
      <c r="B23" s="79">
        <v>15</v>
      </c>
      <c r="C23" s="71" t="s">
        <v>89</v>
      </c>
      <c r="D23" s="72" t="s">
        <v>73</v>
      </c>
      <c r="E23" s="73">
        <v>1.17</v>
      </c>
      <c r="F23" s="80">
        <v>0</v>
      </c>
      <c r="G23" s="80">
        <v>0</v>
      </c>
      <c r="H23" s="74">
        <v>0</v>
      </c>
      <c r="I23" s="75">
        <f t="shared" si="0"/>
        <v>0</v>
      </c>
      <c r="J23" s="92">
        <f t="shared" si="4"/>
        <v>0</v>
      </c>
      <c r="K23" s="92">
        <f>K8*E23%</f>
        <v>7181.4679419599952</v>
      </c>
      <c r="L23" s="76"/>
      <c r="M23" s="77">
        <f t="shared" si="1"/>
        <v>0</v>
      </c>
      <c r="N23" s="78">
        <f t="shared" si="2"/>
        <v>7181.4679419599952</v>
      </c>
    </row>
    <row r="24" spans="1:16" ht="15.75" customHeight="1" x14ac:dyDescent="0.25">
      <c r="A24" s="18">
        <v>16</v>
      </c>
      <c r="B24" s="79">
        <v>16</v>
      </c>
      <c r="C24" s="71" t="s">
        <v>90</v>
      </c>
      <c r="D24" s="72" t="s">
        <v>74</v>
      </c>
      <c r="E24" s="73">
        <v>1.06</v>
      </c>
      <c r="F24" s="80">
        <v>0</v>
      </c>
      <c r="G24" s="80">
        <v>0</v>
      </c>
      <c r="H24" s="74">
        <v>0</v>
      </c>
      <c r="I24" s="75">
        <f t="shared" si="0"/>
        <v>0</v>
      </c>
      <c r="J24" s="92">
        <f t="shared" si="4"/>
        <v>0</v>
      </c>
      <c r="K24" s="92">
        <f>K8*E24%</f>
        <v>6506.287195279996</v>
      </c>
      <c r="L24" s="76"/>
      <c r="M24" s="77">
        <f t="shared" si="1"/>
        <v>0</v>
      </c>
      <c r="N24" s="78">
        <f t="shared" si="2"/>
        <v>6506.287195279996</v>
      </c>
    </row>
    <row r="25" spans="1:16" ht="15.75" customHeight="1" x14ac:dyDescent="0.25">
      <c r="A25" s="18">
        <v>17</v>
      </c>
      <c r="B25" s="79">
        <v>17</v>
      </c>
      <c r="C25" s="71" t="s">
        <v>91</v>
      </c>
      <c r="D25" s="81" t="s">
        <v>102</v>
      </c>
      <c r="E25" s="73">
        <v>0.51</v>
      </c>
      <c r="F25" s="80">
        <v>0</v>
      </c>
      <c r="G25" s="80">
        <v>0</v>
      </c>
      <c r="H25" s="74">
        <v>0</v>
      </c>
      <c r="I25" s="75">
        <f t="shared" si="0"/>
        <v>0</v>
      </c>
      <c r="J25" s="92">
        <f t="shared" si="4"/>
        <v>0</v>
      </c>
      <c r="K25" s="92">
        <f>K8*E25%</f>
        <v>3130.3834618799983</v>
      </c>
      <c r="L25" s="76"/>
      <c r="M25" s="82">
        <f t="shared" si="1"/>
        <v>0</v>
      </c>
      <c r="N25" s="78">
        <f t="shared" si="2"/>
        <v>3130.3834618799983</v>
      </c>
    </row>
    <row r="26" spans="1:16" ht="15.75" customHeight="1" x14ac:dyDescent="0.25">
      <c r="A26" s="18">
        <v>18</v>
      </c>
      <c r="B26" s="35">
        <v>18</v>
      </c>
      <c r="C26" s="39" t="s">
        <v>92</v>
      </c>
      <c r="D26" s="68" t="s">
        <v>75</v>
      </c>
      <c r="E26" s="37">
        <v>0.27</v>
      </c>
      <c r="F26" s="18">
        <v>0</v>
      </c>
      <c r="G26" s="18">
        <v>0</v>
      </c>
      <c r="H26" s="19">
        <v>0</v>
      </c>
      <c r="I26" s="20">
        <f t="shared" si="0"/>
        <v>0</v>
      </c>
      <c r="J26" s="87">
        <f t="shared" si="4"/>
        <v>0</v>
      </c>
      <c r="K26" s="88">
        <f>K8*E26%</f>
        <v>1657.2618327599992</v>
      </c>
      <c r="L26" s="45"/>
      <c r="M26" s="43">
        <f t="shared" si="1"/>
        <v>0</v>
      </c>
      <c r="N26" s="70">
        <f t="shared" si="2"/>
        <v>1657.2618327599992</v>
      </c>
    </row>
    <row r="27" spans="1:16" ht="15.75" customHeight="1" x14ac:dyDescent="0.25">
      <c r="A27" s="18">
        <v>19</v>
      </c>
      <c r="B27" s="36">
        <v>19</v>
      </c>
      <c r="C27" s="39" t="s">
        <v>93</v>
      </c>
      <c r="D27" s="34" t="s">
        <v>70</v>
      </c>
      <c r="E27" s="38">
        <v>1.82</v>
      </c>
      <c r="F27" s="18">
        <v>0</v>
      </c>
      <c r="G27" s="18">
        <v>0</v>
      </c>
      <c r="H27" s="19">
        <v>0</v>
      </c>
      <c r="I27" s="20">
        <f t="shared" si="0"/>
        <v>0</v>
      </c>
      <c r="J27" s="41">
        <f t="shared" si="4"/>
        <v>0</v>
      </c>
      <c r="K27" s="45">
        <f>K8*E27%</f>
        <v>11171.172354159995</v>
      </c>
      <c r="L27" s="45"/>
      <c r="M27" s="43">
        <f t="shared" si="1"/>
        <v>0</v>
      </c>
      <c r="N27" s="70">
        <f t="shared" si="2"/>
        <v>11171.172354159995</v>
      </c>
    </row>
    <row r="28" spans="1:16" ht="15.75" customHeight="1" x14ac:dyDescent="0.25">
      <c r="A28" s="18">
        <v>20</v>
      </c>
      <c r="B28" s="36">
        <v>20</v>
      </c>
      <c r="C28" s="39"/>
      <c r="D28" s="18"/>
      <c r="E28" s="18"/>
      <c r="F28" s="18">
        <v>0</v>
      </c>
      <c r="G28" s="18">
        <v>0</v>
      </c>
      <c r="H28" s="19">
        <v>0</v>
      </c>
      <c r="I28" s="20">
        <f t="shared" si="0"/>
        <v>0</v>
      </c>
      <c r="J28" s="41"/>
      <c r="K28" s="45"/>
      <c r="L28" s="45"/>
      <c r="M28" s="43">
        <f t="shared" si="1"/>
        <v>0</v>
      </c>
      <c r="N28" s="19">
        <f t="shared" si="2"/>
        <v>0</v>
      </c>
    </row>
    <row r="29" spans="1:16" ht="15.75" customHeight="1" x14ac:dyDescent="0.25">
      <c r="A29" s="18">
        <v>21</v>
      </c>
      <c r="B29" s="36">
        <v>21</v>
      </c>
      <c r="C29" s="39"/>
      <c r="D29" s="18"/>
      <c r="E29" s="18"/>
      <c r="F29" s="18">
        <v>0</v>
      </c>
      <c r="G29" s="18">
        <v>0</v>
      </c>
      <c r="H29" s="19">
        <v>0</v>
      </c>
      <c r="I29" s="20">
        <f t="shared" si="0"/>
        <v>0</v>
      </c>
      <c r="J29" s="41"/>
      <c r="K29" s="45"/>
      <c r="L29" s="45"/>
      <c r="M29" s="43">
        <f t="shared" si="1"/>
        <v>0</v>
      </c>
      <c r="N29" s="19">
        <f t="shared" si="2"/>
        <v>0</v>
      </c>
    </row>
    <row r="30" spans="1:16" ht="15.75" customHeight="1" x14ac:dyDescent="0.25">
      <c r="A30" s="18">
        <v>22</v>
      </c>
      <c r="B30" s="36">
        <v>22</v>
      </c>
      <c r="C30" s="39"/>
      <c r="D30" s="18"/>
      <c r="E30" s="18"/>
      <c r="F30" s="18">
        <v>0</v>
      </c>
      <c r="G30" s="18">
        <v>0</v>
      </c>
      <c r="H30" s="19">
        <v>0</v>
      </c>
      <c r="I30" s="20">
        <f t="shared" si="0"/>
        <v>0</v>
      </c>
      <c r="J30" s="41"/>
      <c r="K30" s="45"/>
      <c r="L30" s="45"/>
      <c r="M30" s="43">
        <f t="shared" si="1"/>
        <v>0</v>
      </c>
      <c r="N30" s="19">
        <f t="shared" si="2"/>
        <v>0</v>
      </c>
    </row>
    <row r="31" spans="1:16" ht="15.75" customHeight="1" x14ac:dyDescent="0.25">
      <c r="A31" s="18">
        <v>23</v>
      </c>
      <c r="B31" s="36">
        <v>23</v>
      </c>
      <c r="C31" s="18"/>
      <c r="D31" s="18"/>
      <c r="E31" s="18"/>
      <c r="F31" s="18">
        <v>0</v>
      </c>
      <c r="G31" s="18">
        <v>0</v>
      </c>
      <c r="H31" s="19">
        <v>0</v>
      </c>
      <c r="I31" s="20">
        <f t="shared" si="0"/>
        <v>0</v>
      </c>
      <c r="J31" s="41"/>
      <c r="K31" s="45"/>
      <c r="L31" s="45"/>
      <c r="M31" s="43">
        <f t="shared" si="1"/>
        <v>0</v>
      </c>
      <c r="N31" s="19">
        <f t="shared" si="2"/>
        <v>0</v>
      </c>
    </row>
    <row r="32" spans="1:16" ht="18.75" customHeight="1" x14ac:dyDescent="0.25">
      <c r="A32" s="18">
        <v>24</v>
      </c>
      <c r="B32" s="36">
        <v>24</v>
      </c>
      <c r="C32" s="18"/>
      <c r="D32" s="18"/>
      <c r="E32" s="49">
        <f>SUM(E10:E31)</f>
        <v>100</v>
      </c>
      <c r="F32" s="18">
        <v>0</v>
      </c>
      <c r="G32" s="18">
        <f>SUM(G14:G31)+G13+G12+G11+G10</f>
        <v>89048.16</v>
      </c>
      <c r="H32" s="19">
        <v>0</v>
      </c>
      <c r="I32" s="20">
        <f t="shared" si="0"/>
        <v>0</v>
      </c>
      <c r="J32" s="41">
        <f>J27+J26+J25+J24+J23+J22+J21+J20+J19+J18+J17+J16+J15+J14+J13+J12+J11+J10</f>
        <v>448305.87120000046</v>
      </c>
      <c r="K32" s="45">
        <f>K27+K26+K25+K24+K23+K22+K21+K20+K18+K19+K17+K16+K15+K14+K13+K12+K11+K10</f>
        <v>613800.67879999964</v>
      </c>
      <c r="L32" s="45">
        <f>SUM(L10:L31)</f>
        <v>0</v>
      </c>
      <c r="M32" s="43">
        <f>SUM(M14:M31)+M12+M13+M11+M10</f>
        <v>2577.3000000000025</v>
      </c>
      <c r="N32" s="19">
        <f>N27+N26+N25+N24+N23+N22+N21+N20+N19+N18+N17+N16+N15+N14+N13++N12+N11+N10</f>
        <v>1062106.55</v>
      </c>
    </row>
    <row r="33" spans="1:16" ht="2.25" customHeight="1" x14ac:dyDescent="0.25">
      <c r="A33" s="3"/>
      <c r="C33" s="27"/>
      <c r="D33" s="28"/>
      <c r="E33" s="28"/>
      <c r="F33" s="28"/>
      <c r="G33" s="28"/>
      <c r="H33" s="29">
        <f>SUM(H10:H32)</f>
        <v>0</v>
      </c>
      <c r="I33" s="30">
        <f>SUM(I10:I32)</f>
        <v>0</v>
      </c>
      <c r="J33" s="30">
        <f>SUM(J10:J32)</f>
        <v>896611.7424000008</v>
      </c>
      <c r="K33" s="46"/>
      <c r="L33" s="46"/>
      <c r="M33" s="29" t="e">
        <f ca="1">SUM(M10:M33)</f>
        <v>#VALUE!</v>
      </c>
      <c r="N33" s="29">
        <f>SUM(N10:N32)</f>
        <v>2124213.1</v>
      </c>
      <c r="O33" s="5"/>
      <c r="P33" s="2" t="e">
        <f t="shared" ref="P33:P34" si="5">J33/C31*100</f>
        <v>#DIV/0!</v>
      </c>
    </row>
    <row r="34" spans="1:16" ht="29.25" hidden="1" customHeight="1" x14ac:dyDescent="0.25">
      <c r="A34" s="31" t="s">
        <v>60</v>
      </c>
      <c r="C34" s="114" t="s">
        <v>61</v>
      </c>
      <c r="D34" s="111"/>
      <c r="E34" s="111"/>
      <c r="F34" s="111"/>
      <c r="G34" s="111"/>
      <c r="H34" s="111"/>
      <c r="I34" s="111"/>
      <c r="J34" s="111"/>
      <c r="K34" s="112"/>
      <c r="L34" s="112"/>
      <c r="M34" s="111"/>
      <c r="N34" s="112"/>
      <c r="O34" s="31"/>
      <c r="P34" s="2" t="e">
        <f t="shared" si="5"/>
        <v>#DIV/0!</v>
      </c>
    </row>
    <row r="35" spans="1:16" ht="15.75" customHeight="1" x14ac:dyDescent="0.25">
      <c r="H35" s="5"/>
      <c r="J35" s="32"/>
      <c r="K35" s="32"/>
      <c r="L35" s="32"/>
      <c r="N35" s="33"/>
      <c r="P35" s="2"/>
    </row>
    <row r="36" spans="1:16" ht="15.75" customHeight="1" x14ac:dyDescent="0.25">
      <c r="C36" s="115" t="s">
        <v>103</v>
      </c>
      <c r="D36" s="115"/>
      <c r="E36" s="115"/>
      <c r="F36" s="115"/>
      <c r="G36" s="115"/>
      <c r="H36" s="115"/>
      <c r="I36" s="115"/>
      <c r="J36" s="115"/>
      <c r="K36" s="115"/>
      <c r="L36" s="115"/>
      <c r="M36" s="115"/>
      <c r="P36" s="2"/>
    </row>
    <row r="37" spans="1:16" ht="15.75" customHeight="1" x14ac:dyDescent="0.25">
      <c r="C37" s="115"/>
      <c r="D37" s="115"/>
      <c r="E37" s="115"/>
      <c r="F37" s="115"/>
      <c r="G37" s="115"/>
      <c r="H37" s="115"/>
      <c r="I37" s="115"/>
      <c r="J37" s="115"/>
      <c r="K37" s="115"/>
      <c r="L37" s="115"/>
      <c r="M37" s="115"/>
      <c r="P37" s="2"/>
    </row>
    <row r="38" spans="1:16" ht="15.75" customHeight="1" x14ac:dyDescent="0.25">
      <c r="C38" s="115"/>
      <c r="D38" s="115"/>
      <c r="E38" s="115"/>
      <c r="F38" s="115"/>
      <c r="G38" s="115"/>
      <c r="H38" s="115"/>
      <c r="I38" s="115"/>
      <c r="J38" s="115"/>
      <c r="K38" s="115"/>
      <c r="L38" s="115"/>
      <c r="M38" s="115"/>
      <c r="P38" s="2"/>
    </row>
    <row r="39" spans="1:16" ht="15.75" customHeight="1" x14ac:dyDescent="0.25">
      <c r="C39" s="115"/>
      <c r="D39" s="115"/>
      <c r="E39" s="115"/>
      <c r="F39" s="115"/>
      <c r="G39" s="115"/>
      <c r="H39" s="115"/>
      <c r="I39" s="115"/>
      <c r="J39" s="115"/>
      <c r="K39" s="115"/>
      <c r="L39" s="115"/>
      <c r="M39" s="115"/>
      <c r="P39" s="2"/>
    </row>
    <row r="40" spans="1:16" ht="15.75" customHeight="1" x14ac:dyDescent="0.25">
      <c r="H40" s="5"/>
      <c r="P40" s="2"/>
    </row>
    <row r="41" spans="1:16" ht="15.75" customHeight="1" x14ac:dyDescent="0.25">
      <c r="H41" s="5"/>
      <c r="P41" s="2"/>
    </row>
    <row r="42" spans="1:16" ht="15.75" customHeight="1" x14ac:dyDescent="0.25">
      <c r="H42" s="5"/>
      <c r="P42" s="2"/>
    </row>
    <row r="43" spans="1:16" ht="15.75" customHeight="1" x14ac:dyDescent="0.25">
      <c r="H43" s="5"/>
      <c r="P43" s="2"/>
    </row>
    <row r="44" spans="1:16" ht="15.75" customHeight="1" x14ac:dyDescent="0.25">
      <c r="H44" s="5"/>
      <c r="P44" s="2"/>
    </row>
    <row r="45" spans="1:16" ht="15.75" customHeight="1" x14ac:dyDescent="0.25">
      <c r="H45" s="5"/>
      <c r="P45" s="2"/>
    </row>
    <row r="46" spans="1:16" ht="15.75" customHeight="1" x14ac:dyDescent="0.25">
      <c r="H46" s="5"/>
      <c r="P46" s="2"/>
    </row>
    <row r="47" spans="1:16" ht="15.75" customHeight="1" x14ac:dyDescent="0.25">
      <c r="H47" s="5"/>
      <c r="P47" s="2"/>
    </row>
    <row r="48" spans="1:16" ht="15.75" customHeight="1" x14ac:dyDescent="0.25">
      <c r="H48" s="5"/>
      <c r="P48" s="2"/>
    </row>
    <row r="49" spans="8:16" ht="15.75" customHeight="1" x14ac:dyDescent="0.25">
      <c r="H49" s="5"/>
      <c r="P49" s="2"/>
    </row>
    <row r="50" spans="8:16" ht="15.75" customHeight="1" x14ac:dyDescent="0.25">
      <c r="H50" s="5"/>
      <c r="P50" s="2"/>
    </row>
    <row r="51" spans="8:16" ht="15.75" customHeight="1" x14ac:dyDescent="0.25">
      <c r="H51" s="5"/>
      <c r="P51" s="2"/>
    </row>
    <row r="52" spans="8:16" ht="15.75" customHeight="1" x14ac:dyDescent="0.25">
      <c r="H52" s="5"/>
      <c r="P52" s="2"/>
    </row>
    <row r="53" spans="8:16" ht="15.75" customHeight="1" x14ac:dyDescent="0.25">
      <c r="H53" s="5"/>
      <c r="P53" s="2"/>
    </row>
    <row r="54" spans="8:16" ht="15.75" customHeight="1" x14ac:dyDescent="0.25">
      <c r="H54" s="5"/>
      <c r="P54" s="2"/>
    </row>
    <row r="55" spans="8:16" ht="15.75" customHeight="1" x14ac:dyDescent="0.25">
      <c r="H55" s="5"/>
      <c r="P55" s="2"/>
    </row>
    <row r="56" spans="8:16" ht="15.75" customHeight="1" x14ac:dyDescent="0.25">
      <c r="H56" s="5"/>
      <c r="P56" s="2"/>
    </row>
    <row r="57" spans="8:16" ht="15.75" customHeight="1" x14ac:dyDescent="0.25">
      <c r="H57" s="5"/>
      <c r="P57" s="2"/>
    </row>
    <row r="58" spans="8:16" ht="15.75" customHeight="1" x14ac:dyDescent="0.25">
      <c r="H58" s="5"/>
      <c r="P58" s="2"/>
    </row>
    <row r="59" spans="8:16" ht="15.75" customHeight="1" x14ac:dyDescent="0.25">
      <c r="H59" s="5"/>
      <c r="P59" s="2"/>
    </row>
    <row r="60" spans="8:16" ht="15.75" customHeight="1" x14ac:dyDescent="0.25">
      <c r="H60" s="5"/>
      <c r="P60" s="2"/>
    </row>
    <row r="61" spans="8:16" ht="15.75" customHeight="1" x14ac:dyDescent="0.25">
      <c r="H61" s="5"/>
      <c r="P61" s="2"/>
    </row>
    <row r="62" spans="8:16" ht="15.75" customHeight="1" x14ac:dyDescent="0.25">
      <c r="H62" s="5"/>
      <c r="P62" s="2"/>
    </row>
    <row r="63" spans="8:16" ht="15.75" customHeight="1" x14ac:dyDescent="0.25">
      <c r="H63" s="5"/>
      <c r="P63" s="2"/>
    </row>
    <row r="64" spans="8:16" ht="15.75" customHeight="1" x14ac:dyDescent="0.25">
      <c r="H64" s="5"/>
      <c r="P64" s="2"/>
    </row>
    <row r="65" spans="8:16" ht="15.75" customHeight="1" x14ac:dyDescent="0.25">
      <c r="H65" s="5"/>
      <c r="P65" s="2"/>
    </row>
    <row r="66" spans="8:16" ht="15.75" customHeight="1" x14ac:dyDescent="0.25">
      <c r="H66" s="5"/>
      <c r="P66" s="2"/>
    </row>
    <row r="67" spans="8:16" ht="15.75" customHeight="1" x14ac:dyDescent="0.25">
      <c r="H67" s="5"/>
      <c r="P67" s="2"/>
    </row>
    <row r="68" spans="8:16" ht="15.75" customHeight="1" x14ac:dyDescent="0.25">
      <c r="H68" s="5"/>
      <c r="P68" s="2"/>
    </row>
    <row r="69" spans="8:16" ht="15.75" customHeight="1" x14ac:dyDescent="0.25">
      <c r="H69" s="5"/>
      <c r="P69" s="2"/>
    </row>
    <row r="70" spans="8:16" ht="15.75" customHeight="1" x14ac:dyDescent="0.25">
      <c r="H70" s="5"/>
      <c r="P70" s="2"/>
    </row>
    <row r="71" spans="8:16" ht="15.75" customHeight="1" x14ac:dyDescent="0.25">
      <c r="H71" s="5"/>
      <c r="P71" s="2"/>
    </row>
    <row r="72" spans="8:16" ht="15.75" customHeight="1" x14ac:dyDescent="0.25">
      <c r="H72" s="5"/>
      <c r="P72" s="2"/>
    </row>
    <row r="73" spans="8:16" ht="15.75" customHeight="1" x14ac:dyDescent="0.25">
      <c r="H73" s="5"/>
      <c r="P73" s="2"/>
    </row>
    <row r="74" spans="8:16" ht="15.75" customHeight="1" x14ac:dyDescent="0.25">
      <c r="H74" s="5"/>
      <c r="P74" s="2"/>
    </row>
    <row r="75" spans="8:16" ht="15.75" customHeight="1" x14ac:dyDescent="0.25">
      <c r="H75" s="5"/>
      <c r="P75" s="2"/>
    </row>
    <row r="76" spans="8:16" ht="15.75" customHeight="1" x14ac:dyDescent="0.25">
      <c r="H76" s="5"/>
      <c r="P76" s="2"/>
    </row>
    <row r="77" spans="8:16" ht="15.75" customHeight="1" x14ac:dyDescent="0.25">
      <c r="H77" s="5"/>
      <c r="P77" s="2"/>
    </row>
    <row r="78" spans="8:16" ht="15.75" customHeight="1" x14ac:dyDescent="0.25">
      <c r="H78" s="5"/>
      <c r="P78" s="2"/>
    </row>
    <row r="79" spans="8:16" ht="15.75" customHeight="1" x14ac:dyDescent="0.25">
      <c r="H79" s="5"/>
      <c r="P79" s="2"/>
    </row>
    <row r="80" spans="8:16" ht="15.75" customHeight="1" x14ac:dyDescent="0.25">
      <c r="H80" s="5"/>
      <c r="P80" s="2"/>
    </row>
    <row r="81" spans="8:16" ht="15.75" customHeight="1" x14ac:dyDescent="0.25">
      <c r="H81" s="5"/>
      <c r="P81" s="2"/>
    </row>
    <row r="82" spans="8:16" ht="15.75" customHeight="1" x14ac:dyDescent="0.25">
      <c r="H82" s="5"/>
      <c r="P82" s="2"/>
    </row>
    <row r="83" spans="8:16" ht="15.75" customHeight="1" x14ac:dyDescent="0.25">
      <c r="H83" s="5"/>
      <c r="P83" s="2"/>
    </row>
    <row r="84" spans="8:16" ht="15.75" customHeight="1" x14ac:dyDescent="0.25">
      <c r="H84" s="5"/>
      <c r="P84" s="2"/>
    </row>
    <row r="85" spans="8:16" ht="15.75" customHeight="1" x14ac:dyDescent="0.25">
      <c r="H85" s="5"/>
      <c r="P85" s="2"/>
    </row>
    <row r="86" spans="8:16" ht="15.75" customHeight="1" x14ac:dyDescent="0.25">
      <c r="H86" s="5"/>
      <c r="P86" s="2"/>
    </row>
    <row r="87" spans="8:16" ht="15.75" customHeight="1" x14ac:dyDescent="0.25">
      <c r="H87" s="5"/>
      <c r="P87" s="2"/>
    </row>
    <row r="88" spans="8:16" ht="15.75" customHeight="1" x14ac:dyDescent="0.25">
      <c r="H88" s="5"/>
      <c r="P88" s="2"/>
    </row>
    <row r="89" spans="8:16" ht="15.75" customHeight="1" x14ac:dyDescent="0.25">
      <c r="H89" s="5"/>
      <c r="P89" s="2"/>
    </row>
    <row r="90" spans="8:16" ht="15.75" customHeight="1" x14ac:dyDescent="0.25">
      <c r="H90" s="5"/>
      <c r="P90" s="2"/>
    </row>
    <row r="91" spans="8:16" ht="15.75" customHeight="1" x14ac:dyDescent="0.25">
      <c r="H91" s="5"/>
      <c r="P91" s="2"/>
    </row>
    <row r="92" spans="8:16" ht="15.75" customHeight="1" x14ac:dyDescent="0.25">
      <c r="H92" s="5"/>
      <c r="P92" s="2"/>
    </row>
    <row r="93" spans="8:16" ht="15.75" customHeight="1" x14ac:dyDescent="0.25">
      <c r="H93" s="5"/>
      <c r="P93" s="2"/>
    </row>
    <row r="94" spans="8:16" ht="15.75" customHeight="1" x14ac:dyDescent="0.25">
      <c r="H94" s="5"/>
      <c r="P94" s="2"/>
    </row>
    <row r="95" spans="8:16" ht="15.75" customHeight="1" x14ac:dyDescent="0.25">
      <c r="H95" s="5"/>
      <c r="P95" s="2"/>
    </row>
    <row r="96" spans="8:16" ht="15.75" customHeight="1" x14ac:dyDescent="0.25">
      <c r="H96" s="5"/>
      <c r="P96" s="2"/>
    </row>
    <row r="97" spans="8:16" ht="15.75" customHeight="1" x14ac:dyDescent="0.25">
      <c r="H97" s="5"/>
      <c r="P97" s="2"/>
    </row>
    <row r="98" spans="8:16" ht="15.75" customHeight="1" x14ac:dyDescent="0.25">
      <c r="H98" s="5"/>
      <c r="P98" s="2"/>
    </row>
    <row r="99" spans="8:16" ht="15.75" customHeight="1" x14ac:dyDescent="0.25">
      <c r="H99" s="5"/>
      <c r="P99" s="2"/>
    </row>
    <row r="100" spans="8:16" ht="15.75" customHeight="1" x14ac:dyDescent="0.25">
      <c r="H100" s="5"/>
      <c r="P100" s="2"/>
    </row>
    <row r="101" spans="8:16" ht="15.75" customHeight="1" x14ac:dyDescent="0.25">
      <c r="H101" s="5"/>
      <c r="P101" s="2"/>
    </row>
    <row r="102" spans="8:16" ht="15.75" customHeight="1" x14ac:dyDescent="0.25">
      <c r="H102" s="5"/>
      <c r="P102" s="2"/>
    </row>
    <row r="103" spans="8:16" ht="15.75" customHeight="1" x14ac:dyDescent="0.25">
      <c r="H103" s="5"/>
      <c r="P103" s="2"/>
    </row>
    <row r="104" spans="8:16" ht="15.75" customHeight="1" x14ac:dyDescent="0.25">
      <c r="H104" s="5"/>
      <c r="P104" s="2"/>
    </row>
    <row r="105" spans="8:16" ht="15.75" customHeight="1" x14ac:dyDescent="0.25">
      <c r="H105" s="5"/>
      <c r="P105" s="2"/>
    </row>
    <row r="106" spans="8:16" ht="15.75" customHeight="1" x14ac:dyDescent="0.25">
      <c r="H106" s="5"/>
      <c r="P106" s="2"/>
    </row>
    <row r="107" spans="8:16" ht="15.75" customHeight="1" x14ac:dyDescent="0.25">
      <c r="H107" s="5"/>
      <c r="P107" s="2"/>
    </row>
    <row r="108" spans="8:16" ht="15.75" customHeight="1" x14ac:dyDescent="0.25">
      <c r="H108" s="5"/>
      <c r="P108" s="2"/>
    </row>
    <row r="109" spans="8:16" ht="15.75" customHeight="1" x14ac:dyDescent="0.25">
      <c r="H109" s="5"/>
      <c r="P109" s="2"/>
    </row>
    <row r="110" spans="8:16" ht="15.75" customHeight="1" x14ac:dyDescent="0.25">
      <c r="H110" s="5"/>
      <c r="P110" s="2"/>
    </row>
    <row r="111" spans="8:16" ht="15.75" customHeight="1" x14ac:dyDescent="0.25">
      <c r="H111" s="5"/>
      <c r="P111" s="2"/>
    </row>
    <row r="112" spans="8:16" ht="15.75" customHeight="1" x14ac:dyDescent="0.25">
      <c r="H112" s="5"/>
      <c r="P112" s="2"/>
    </row>
    <row r="113" spans="8:16" ht="15.75" customHeight="1" x14ac:dyDescent="0.25">
      <c r="H113" s="5"/>
      <c r="P113" s="2"/>
    </row>
    <row r="114" spans="8:16" ht="15.75" customHeight="1" x14ac:dyDescent="0.25">
      <c r="H114" s="5"/>
      <c r="P114" s="2"/>
    </row>
    <row r="115" spans="8:16" ht="15.75" customHeight="1" x14ac:dyDescent="0.25">
      <c r="H115" s="5"/>
      <c r="P115" s="2"/>
    </row>
    <row r="116" spans="8:16" ht="15.75" customHeight="1" x14ac:dyDescent="0.25">
      <c r="H116" s="5"/>
      <c r="P116" s="2"/>
    </row>
    <row r="117" spans="8:16" ht="15.75" customHeight="1" x14ac:dyDescent="0.25">
      <c r="H117" s="5"/>
      <c r="P117" s="2"/>
    </row>
    <row r="118" spans="8:16" ht="15.75" customHeight="1" x14ac:dyDescent="0.25">
      <c r="H118" s="5"/>
      <c r="P118" s="2"/>
    </row>
    <row r="119" spans="8:16" ht="15.75" customHeight="1" x14ac:dyDescent="0.25">
      <c r="H119" s="5"/>
      <c r="P119" s="2"/>
    </row>
    <row r="120" spans="8:16" ht="15.75" customHeight="1" x14ac:dyDescent="0.25">
      <c r="H120" s="5"/>
      <c r="P120" s="2"/>
    </row>
    <row r="121" spans="8:16" ht="15.75" customHeight="1" x14ac:dyDescent="0.25">
      <c r="H121" s="5"/>
      <c r="P121" s="2"/>
    </row>
    <row r="122" spans="8:16" ht="15.75" customHeight="1" x14ac:dyDescent="0.25">
      <c r="H122" s="5"/>
      <c r="P122" s="2"/>
    </row>
    <row r="123" spans="8:16" ht="15.75" customHeight="1" x14ac:dyDescent="0.25">
      <c r="H123" s="5"/>
      <c r="P123" s="2"/>
    </row>
    <row r="124" spans="8:16" ht="15.75" customHeight="1" x14ac:dyDescent="0.25">
      <c r="H124" s="5"/>
      <c r="P124" s="2"/>
    </row>
    <row r="125" spans="8:16" ht="15.75" customHeight="1" x14ac:dyDescent="0.25">
      <c r="H125" s="5"/>
      <c r="P125" s="2"/>
    </row>
    <row r="126" spans="8:16" ht="15.75" customHeight="1" x14ac:dyDescent="0.25">
      <c r="H126" s="5"/>
      <c r="P126" s="2"/>
    </row>
    <row r="127" spans="8:16" ht="15.75" customHeight="1" x14ac:dyDescent="0.25">
      <c r="H127" s="5"/>
      <c r="P127" s="2"/>
    </row>
    <row r="128" spans="8:16" ht="15.75" customHeight="1" x14ac:dyDescent="0.25">
      <c r="H128" s="5"/>
      <c r="P128" s="2"/>
    </row>
    <row r="129" spans="8:16" ht="15.75" customHeight="1" x14ac:dyDescent="0.25">
      <c r="H129" s="5"/>
      <c r="P129" s="2"/>
    </row>
    <row r="130" spans="8:16" ht="15.75" customHeight="1" x14ac:dyDescent="0.25">
      <c r="H130" s="5"/>
      <c r="P130" s="2"/>
    </row>
    <row r="131" spans="8:16" ht="15.75" customHeight="1" x14ac:dyDescent="0.25">
      <c r="H131" s="5"/>
      <c r="P131" s="2"/>
    </row>
    <row r="132" spans="8:16" ht="15.75" customHeight="1" x14ac:dyDescent="0.25">
      <c r="H132" s="5"/>
      <c r="P132" s="2"/>
    </row>
    <row r="133" spans="8:16" ht="15.75" customHeight="1" x14ac:dyDescent="0.25">
      <c r="H133" s="5"/>
      <c r="P133" s="2"/>
    </row>
    <row r="134" spans="8:16" ht="15.75" customHeight="1" x14ac:dyDescent="0.25">
      <c r="H134" s="5"/>
      <c r="P134" s="2"/>
    </row>
    <row r="135" spans="8:16" ht="15.75" customHeight="1" x14ac:dyDescent="0.25">
      <c r="H135" s="5"/>
      <c r="P135" s="2"/>
    </row>
    <row r="136" spans="8:16" ht="15.75" customHeight="1" x14ac:dyDescent="0.25">
      <c r="H136" s="5"/>
      <c r="P136" s="2"/>
    </row>
    <row r="137" spans="8:16" ht="15.75" customHeight="1" x14ac:dyDescent="0.25">
      <c r="H137" s="5"/>
      <c r="P137" s="2"/>
    </row>
    <row r="138" spans="8:16" ht="15.75" customHeight="1" x14ac:dyDescent="0.25">
      <c r="H138" s="5"/>
      <c r="P138" s="2"/>
    </row>
    <row r="139" spans="8:16" ht="15.75" customHeight="1" x14ac:dyDescent="0.25">
      <c r="H139" s="5"/>
      <c r="P139" s="2"/>
    </row>
    <row r="140" spans="8:16" ht="15.75" customHeight="1" x14ac:dyDescent="0.25">
      <c r="H140" s="5"/>
      <c r="P140" s="2"/>
    </row>
    <row r="141" spans="8:16" ht="15.75" customHeight="1" x14ac:dyDescent="0.25">
      <c r="H141" s="5"/>
      <c r="P141" s="2"/>
    </row>
    <row r="142" spans="8:16" ht="15.75" customHeight="1" x14ac:dyDescent="0.25">
      <c r="H142" s="5"/>
      <c r="P142" s="2"/>
    </row>
    <row r="143" spans="8:16" ht="15.75" customHeight="1" x14ac:dyDescent="0.25">
      <c r="H143" s="5"/>
      <c r="P143" s="2"/>
    </row>
    <row r="144" spans="8:16" ht="15.75" customHeight="1" x14ac:dyDescent="0.25">
      <c r="H144" s="5"/>
      <c r="P144" s="2"/>
    </row>
    <row r="145" spans="8:16" ht="15.75" customHeight="1" x14ac:dyDescent="0.25">
      <c r="H145" s="5"/>
      <c r="P145" s="2"/>
    </row>
    <row r="146" spans="8:16" ht="15.75" customHeight="1" x14ac:dyDescent="0.25">
      <c r="H146" s="5"/>
      <c r="P146" s="2"/>
    </row>
    <row r="147" spans="8:16" ht="15.75" customHeight="1" x14ac:dyDescent="0.25">
      <c r="H147" s="5"/>
      <c r="P147" s="2"/>
    </row>
    <row r="148" spans="8:16" ht="15.75" customHeight="1" x14ac:dyDescent="0.25">
      <c r="H148" s="5"/>
      <c r="P148" s="2"/>
    </row>
    <row r="149" spans="8:16" ht="15.75" customHeight="1" x14ac:dyDescent="0.25">
      <c r="H149" s="5"/>
      <c r="P149" s="2"/>
    </row>
    <row r="150" spans="8:16" ht="15.75" customHeight="1" x14ac:dyDescent="0.25">
      <c r="H150" s="5"/>
      <c r="P150" s="2"/>
    </row>
    <row r="151" spans="8:16" ht="15.75" customHeight="1" x14ac:dyDescent="0.25">
      <c r="H151" s="5"/>
      <c r="P151" s="2"/>
    </row>
    <row r="152" spans="8:16" ht="15.75" customHeight="1" x14ac:dyDescent="0.25">
      <c r="H152" s="5"/>
      <c r="P152" s="2"/>
    </row>
    <row r="153" spans="8:16" ht="15.75" customHeight="1" x14ac:dyDescent="0.25">
      <c r="H153" s="5"/>
      <c r="P153" s="2"/>
    </row>
    <row r="154" spans="8:16" ht="15.75" customHeight="1" x14ac:dyDescent="0.25">
      <c r="H154" s="5"/>
      <c r="P154" s="2"/>
    </row>
    <row r="155" spans="8:16" ht="15.75" customHeight="1" x14ac:dyDescent="0.25">
      <c r="H155" s="5"/>
      <c r="P155" s="2"/>
    </row>
    <row r="156" spans="8:16" ht="15.75" customHeight="1" x14ac:dyDescent="0.25">
      <c r="H156" s="5"/>
      <c r="P156" s="2"/>
    </row>
    <row r="157" spans="8:16" ht="15.75" customHeight="1" x14ac:dyDescent="0.25">
      <c r="H157" s="5"/>
      <c r="P157" s="2"/>
    </row>
    <row r="158" spans="8:16" ht="15.75" customHeight="1" x14ac:dyDescent="0.25">
      <c r="H158" s="5"/>
      <c r="P158" s="2"/>
    </row>
    <row r="159" spans="8:16" ht="15.75" customHeight="1" x14ac:dyDescent="0.25">
      <c r="H159" s="5"/>
      <c r="P159" s="2"/>
    </row>
    <row r="160" spans="8:16" ht="15.75" customHeight="1" x14ac:dyDescent="0.25">
      <c r="H160" s="5"/>
      <c r="P160" s="2"/>
    </row>
    <row r="161" spans="8:16" ht="15.75" customHeight="1" x14ac:dyDescent="0.25">
      <c r="H161" s="5"/>
      <c r="P161" s="2"/>
    </row>
    <row r="162" spans="8:16" ht="15.75" customHeight="1" x14ac:dyDescent="0.25">
      <c r="H162" s="5"/>
      <c r="P162" s="2"/>
    </row>
    <row r="163" spans="8:16" ht="15.75" customHeight="1" x14ac:dyDescent="0.25">
      <c r="H163" s="5"/>
      <c r="P163" s="2"/>
    </row>
    <row r="164" spans="8:16" ht="15.75" customHeight="1" x14ac:dyDescent="0.25">
      <c r="H164" s="5"/>
      <c r="P164" s="2"/>
    </row>
    <row r="165" spans="8:16" ht="15.75" customHeight="1" x14ac:dyDescent="0.25">
      <c r="H165" s="5"/>
      <c r="P165" s="2"/>
    </row>
    <row r="166" spans="8:16" ht="15.75" customHeight="1" x14ac:dyDescent="0.25">
      <c r="H166" s="5"/>
      <c r="P166" s="2"/>
    </row>
    <row r="167" spans="8:16" ht="15.75" customHeight="1" x14ac:dyDescent="0.25">
      <c r="H167" s="5"/>
      <c r="P167" s="2"/>
    </row>
    <row r="168" spans="8:16" ht="15.75" customHeight="1" x14ac:dyDescent="0.25">
      <c r="H168" s="5"/>
      <c r="P168" s="2"/>
    </row>
    <row r="169" spans="8:16" ht="15.75" customHeight="1" x14ac:dyDescent="0.25">
      <c r="H169" s="5"/>
      <c r="P169" s="2"/>
    </row>
    <row r="170" spans="8:16" ht="15.75" customHeight="1" x14ac:dyDescent="0.25">
      <c r="H170" s="5"/>
      <c r="P170" s="2"/>
    </row>
    <row r="171" spans="8:16" ht="15.75" customHeight="1" x14ac:dyDescent="0.25">
      <c r="H171" s="5"/>
      <c r="P171" s="2"/>
    </row>
    <row r="172" spans="8:16" ht="15.75" customHeight="1" x14ac:dyDescent="0.25">
      <c r="H172" s="5"/>
      <c r="P172" s="2"/>
    </row>
    <row r="173" spans="8:16" ht="15.75" customHeight="1" x14ac:dyDescent="0.25">
      <c r="H173" s="5"/>
      <c r="P173" s="2"/>
    </row>
    <row r="174" spans="8:16" ht="15.75" customHeight="1" x14ac:dyDescent="0.25">
      <c r="H174" s="5"/>
      <c r="P174" s="2"/>
    </row>
    <row r="175" spans="8:16" ht="15.75" customHeight="1" x14ac:dyDescent="0.25">
      <c r="H175" s="5"/>
      <c r="P175" s="2"/>
    </row>
    <row r="176" spans="8:16" ht="15.75" customHeight="1" x14ac:dyDescent="0.25">
      <c r="H176" s="5"/>
      <c r="P176" s="2"/>
    </row>
    <row r="177" spans="8:16" ht="15.75" customHeight="1" x14ac:dyDescent="0.25">
      <c r="H177" s="5"/>
      <c r="P177" s="2"/>
    </row>
    <row r="178" spans="8:16" ht="15.75" customHeight="1" x14ac:dyDescent="0.25">
      <c r="H178" s="5"/>
      <c r="P178" s="2"/>
    </row>
    <row r="179" spans="8:16" ht="15.75" customHeight="1" x14ac:dyDescent="0.25">
      <c r="H179" s="5"/>
      <c r="P179" s="2"/>
    </row>
    <row r="180" spans="8:16" ht="15.75" customHeight="1" x14ac:dyDescent="0.25">
      <c r="H180" s="5"/>
      <c r="P180" s="2"/>
    </row>
    <row r="181" spans="8:16" ht="15.75" customHeight="1" x14ac:dyDescent="0.25">
      <c r="H181" s="5"/>
      <c r="P181" s="2"/>
    </row>
    <row r="182" spans="8:16" ht="15.75" customHeight="1" x14ac:dyDescent="0.25">
      <c r="H182" s="5"/>
      <c r="P182" s="2"/>
    </row>
    <row r="183" spans="8:16" ht="15.75" customHeight="1" x14ac:dyDescent="0.25">
      <c r="H183" s="5"/>
      <c r="P183" s="2"/>
    </row>
    <row r="184" spans="8:16" ht="15.75" customHeight="1" x14ac:dyDescent="0.25">
      <c r="H184" s="5"/>
      <c r="P184" s="2"/>
    </row>
    <row r="185" spans="8:16" ht="15.75" customHeight="1" x14ac:dyDescent="0.25">
      <c r="H185" s="5"/>
      <c r="P185" s="2"/>
    </row>
    <row r="186" spans="8:16" ht="15.75" customHeight="1" x14ac:dyDescent="0.25">
      <c r="H186" s="5"/>
      <c r="P186" s="2"/>
    </row>
    <row r="187" spans="8:16" ht="15.75" customHeight="1" x14ac:dyDescent="0.25">
      <c r="H187" s="5"/>
      <c r="P187" s="2"/>
    </row>
    <row r="188" spans="8:16" ht="15.75" customHeight="1" x14ac:dyDescent="0.25">
      <c r="H188" s="5"/>
      <c r="P188" s="2"/>
    </row>
    <row r="189" spans="8:16" ht="15.75" customHeight="1" x14ac:dyDescent="0.25">
      <c r="H189" s="5"/>
      <c r="P189" s="2"/>
    </row>
    <row r="190" spans="8:16" ht="15.75" customHeight="1" x14ac:dyDescent="0.25">
      <c r="H190" s="5"/>
      <c r="P190" s="2"/>
    </row>
    <row r="191" spans="8:16" ht="15.75" customHeight="1" x14ac:dyDescent="0.25">
      <c r="H191" s="5"/>
      <c r="P191" s="2"/>
    </row>
    <row r="192" spans="8:16" ht="15.75" customHeight="1" x14ac:dyDescent="0.25">
      <c r="H192" s="5"/>
      <c r="P192" s="2"/>
    </row>
    <row r="193" spans="8:16" ht="15.75" customHeight="1" x14ac:dyDescent="0.25">
      <c r="H193" s="5"/>
      <c r="P193" s="2"/>
    </row>
    <row r="194" spans="8:16" ht="15.75" customHeight="1" x14ac:dyDescent="0.25">
      <c r="H194" s="5"/>
      <c r="P194" s="2"/>
    </row>
    <row r="195" spans="8:16" ht="15.75" customHeight="1" x14ac:dyDescent="0.25">
      <c r="H195" s="5"/>
      <c r="P195" s="2"/>
    </row>
    <row r="196" spans="8:16" ht="15.75" customHeight="1" x14ac:dyDescent="0.25">
      <c r="H196" s="5"/>
      <c r="P196" s="2"/>
    </row>
    <row r="197" spans="8:16" ht="15.75" customHeight="1" x14ac:dyDescent="0.25">
      <c r="H197" s="5"/>
      <c r="P197" s="2"/>
    </row>
    <row r="198" spans="8:16" ht="15.75" customHeight="1" x14ac:dyDescent="0.25">
      <c r="H198" s="5"/>
      <c r="P198" s="2"/>
    </row>
    <row r="199" spans="8:16" ht="15.75" customHeight="1" x14ac:dyDescent="0.25">
      <c r="H199" s="5"/>
      <c r="P199" s="2"/>
    </row>
    <row r="200" spans="8:16" ht="15.75" customHeight="1" x14ac:dyDescent="0.25">
      <c r="H200" s="5"/>
      <c r="P200" s="2"/>
    </row>
    <row r="201" spans="8:16" ht="15.75" customHeight="1" x14ac:dyDescent="0.25">
      <c r="H201" s="5"/>
      <c r="P201" s="2"/>
    </row>
    <row r="202" spans="8:16" ht="15.75" customHeight="1" x14ac:dyDescent="0.25">
      <c r="H202" s="5"/>
      <c r="P202" s="2"/>
    </row>
    <row r="203" spans="8:16" ht="15.75" customHeight="1" x14ac:dyDescent="0.25">
      <c r="H203" s="5"/>
      <c r="P203" s="2"/>
    </row>
    <row r="204" spans="8:16" ht="15.75" customHeight="1" x14ac:dyDescent="0.25">
      <c r="H204" s="5"/>
      <c r="P204" s="2"/>
    </row>
    <row r="205" spans="8:16" ht="15.75" customHeight="1" x14ac:dyDescent="0.25">
      <c r="H205" s="5"/>
      <c r="P205" s="2"/>
    </row>
    <row r="206" spans="8:16" ht="15.75" customHeight="1" x14ac:dyDescent="0.25">
      <c r="H206" s="5"/>
      <c r="P206" s="2"/>
    </row>
    <row r="207" spans="8:16" ht="15.75" customHeight="1" x14ac:dyDescent="0.25">
      <c r="H207" s="5"/>
      <c r="P207" s="2"/>
    </row>
    <row r="208" spans="8:16" ht="15.75" customHeight="1" x14ac:dyDescent="0.25">
      <c r="H208" s="5"/>
      <c r="P208" s="2"/>
    </row>
    <row r="209" spans="8:16" ht="15.75" customHeight="1" x14ac:dyDescent="0.25">
      <c r="H209" s="5"/>
      <c r="P209" s="2"/>
    </row>
    <row r="210" spans="8:16" ht="15.75" customHeight="1" x14ac:dyDescent="0.25">
      <c r="H210" s="5"/>
      <c r="P210" s="2"/>
    </row>
    <row r="211" spans="8:16" ht="15.75" customHeight="1" x14ac:dyDescent="0.25">
      <c r="H211" s="5"/>
      <c r="P211" s="2"/>
    </row>
    <row r="212" spans="8:16" ht="15.75" customHeight="1" x14ac:dyDescent="0.25">
      <c r="H212" s="5"/>
      <c r="P212" s="2"/>
    </row>
    <row r="213" spans="8:16" ht="15.75" customHeight="1" x14ac:dyDescent="0.25">
      <c r="H213" s="5"/>
      <c r="P213" s="2"/>
    </row>
    <row r="214" spans="8:16" ht="15.75" customHeight="1" x14ac:dyDescent="0.25">
      <c r="H214" s="5"/>
      <c r="P214" s="2"/>
    </row>
    <row r="215" spans="8:16" ht="15.75" customHeight="1" x14ac:dyDescent="0.25">
      <c r="H215" s="5"/>
      <c r="P215" s="2"/>
    </row>
    <row r="216" spans="8:16" ht="15.75" customHeight="1" x14ac:dyDescent="0.25">
      <c r="H216" s="5"/>
      <c r="P216" s="2"/>
    </row>
    <row r="217" spans="8:16" ht="15.75" customHeight="1" x14ac:dyDescent="0.25">
      <c r="H217" s="5"/>
      <c r="P217" s="2"/>
    </row>
    <row r="218" spans="8:16" ht="15.75" customHeight="1" x14ac:dyDescent="0.25">
      <c r="H218" s="5"/>
      <c r="P218" s="2"/>
    </row>
    <row r="219" spans="8:16" ht="15.75" customHeight="1" x14ac:dyDescent="0.25">
      <c r="H219" s="5"/>
      <c r="P219" s="2"/>
    </row>
    <row r="220" spans="8:16" ht="15.75" customHeight="1" x14ac:dyDescent="0.25">
      <c r="H220" s="5"/>
      <c r="P220" s="2"/>
    </row>
    <row r="221" spans="8:16" ht="15.75" customHeight="1" x14ac:dyDescent="0.25">
      <c r="H221" s="5"/>
      <c r="P221" s="2"/>
    </row>
    <row r="222" spans="8:16" ht="15.75" customHeight="1" x14ac:dyDescent="0.25">
      <c r="H222" s="5"/>
      <c r="P222" s="2"/>
    </row>
    <row r="223" spans="8:16" ht="15.75" customHeight="1" x14ac:dyDescent="0.25">
      <c r="H223" s="5"/>
      <c r="P223" s="2"/>
    </row>
    <row r="224" spans="8:16" ht="15.75" customHeight="1" x14ac:dyDescent="0.25">
      <c r="H224" s="5"/>
      <c r="P224" s="2"/>
    </row>
    <row r="225" spans="8:16" ht="15.75" customHeight="1" x14ac:dyDescent="0.25">
      <c r="H225" s="5"/>
      <c r="P225" s="2"/>
    </row>
    <row r="226" spans="8:16" ht="15.75" customHeight="1" x14ac:dyDescent="0.25">
      <c r="H226" s="5"/>
      <c r="P226" s="2"/>
    </row>
    <row r="227" spans="8:16" ht="15.75" customHeight="1" x14ac:dyDescent="0.25">
      <c r="H227" s="5"/>
      <c r="P227" s="2"/>
    </row>
    <row r="228" spans="8:16" ht="15.75" customHeight="1" x14ac:dyDescent="0.25">
      <c r="H228" s="5"/>
      <c r="P228" s="2"/>
    </row>
    <row r="229" spans="8:16" ht="15.75" customHeight="1" x14ac:dyDescent="0.25">
      <c r="H229" s="5"/>
      <c r="P229" s="2"/>
    </row>
    <row r="230" spans="8:16" ht="15.75" customHeight="1" x14ac:dyDescent="0.25">
      <c r="H230" s="5"/>
      <c r="P230" s="2"/>
    </row>
    <row r="231" spans="8:16" ht="15.75" customHeight="1" x14ac:dyDescent="0.25">
      <c r="H231" s="5"/>
      <c r="P231" s="2"/>
    </row>
    <row r="232" spans="8:16" ht="15.75" customHeight="1" x14ac:dyDescent="0.25">
      <c r="H232" s="5"/>
      <c r="P232" s="2"/>
    </row>
    <row r="233" spans="8:16" ht="15.75" customHeight="1" x14ac:dyDescent="0.25">
      <c r="H233" s="5"/>
      <c r="P233" s="2"/>
    </row>
    <row r="234" spans="8:16" ht="15.75" customHeight="1" x14ac:dyDescent="0.25">
      <c r="H234" s="5"/>
      <c r="P234" s="2"/>
    </row>
    <row r="235" spans="8:16" ht="15.75" customHeight="1" x14ac:dyDescent="0.25">
      <c r="H235" s="5"/>
      <c r="P235" s="2"/>
    </row>
    <row r="236" spans="8:16" ht="15.75" customHeight="1" x14ac:dyDescent="0.25">
      <c r="H236" s="5"/>
      <c r="P236" s="2"/>
    </row>
    <row r="237" spans="8:16" ht="15.75" customHeight="1" x14ac:dyDescent="0.25">
      <c r="H237" s="5"/>
      <c r="P237" s="2"/>
    </row>
    <row r="238" spans="8:16" ht="15.75" customHeight="1" x14ac:dyDescent="0.25">
      <c r="H238" s="5"/>
      <c r="P238" s="2"/>
    </row>
    <row r="239" spans="8:16" ht="15.75" customHeight="1" x14ac:dyDescent="0.25">
      <c r="H239" s="5"/>
      <c r="P239" s="2"/>
    </row>
    <row r="240" spans="8:16" ht="15.75" customHeight="1" x14ac:dyDescent="0.25">
      <c r="H240" s="5"/>
      <c r="P240" s="2"/>
    </row>
    <row r="241" spans="8:16" ht="15.75" customHeight="1" x14ac:dyDescent="0.25">
      <c r="H241" s="5"/>
      <c r="P241" s="2"/>
    </row>
    <row r="242" spans="8:16" ht="15.75" customHeight="1" x14ac:dyDescent="0.25">
      <c r="H242" s="5"/>
      <c r="P242" s="2"/>
    </row>
    <row r="243" spans="8:16" ht="15.75" customHeight="1" x14ac:dyDescent="0.25">
      <c r="H243" s="5"/>
      <c r="P243" s="2"/>
    </row>
    <row r="244" spans="8:16" ht="15.75" customHeight="1" x14ac:dyDescent="0.25">
      <c r="H244" s="5"/>
      <c r="P244" s="2"/>
    </row>
    <row r="245" spans="8:16" ht="15.75" customHeight="1" x14ac:dyDescent="0.25">
      <c r="H245" s="5"/>
      <c r="P245" s="2"/>
    </row>
    <row r="246" spans="8:16" ht="15.75" customHeight="1" x14ac:dyDescent="0.25">
      <c r="H246" s="5"/>
      <c r="P246" s="2"/>
    </row>
    <row r="247" spans="8:16" ht="15.75" customHeight="1" x14ac:dyDescent="0.25">
      <c r="H247" s="5"/>
      <c r="P247" s="2"/>
    </row>
    <row r="248" spans="8:16" ht="15.75" customHeight="1" x14ac:dyDescent="0.25">
      <c r="H248" s="5"/>
      <c r="P248" s="2"/>
    </row>
    <row r="249" spans="8:16" ht="15.75" customHeight="1" x14ac:dyDescent="0.25">
      <c r="H249" s="5"/>
      <c r="P249" s="2"/>
    </row>
    <row r="250" spans="8:16" ht="15.75" customHeight="1" x14ac:dyDescent="0.25">
      <c r="H250" s="5"/>
      <c r="P250" s="2"/>
    </row>
    <row r="251" spans="8:16" ht="15.75" customHeight="1" x14ac:dyDescent="0.25">
      <c r="H251" s="5"/>
      <c r="P251" s="2"/>
    </row>
    <row r="252" spans="8:16" ht="15.75" customHeight="1" x14ac:dyDescent="0.25">
      <c r="H252" s="5"/>
      <c r="P252" s="2"/>
    </row>
    <row r="253" spans="8:16" ht="15.75" customHeight="1" x14ac:dyDescent="0.25">
      <c r="H253" s="5"/>
      <c r="P253" s="2"/>
    </row>
    <row r="254" spans="8:16" ht="15.75" customHeight="1" x14ac:dyDescent="0.25">
      <c r="H254" s="5"/>
      <c r="P254" s="2"/>
    </row>
    <row r="255" spans="8:16" ht="15.75" customHeight="1" x14ac:dyDescent="0.25">
      <c r="H255" s="5"/>
      <c r="P255" s="2"/>
    </row>
    <row r="256" spans="8:16" ht="15.75" customHeight="1" x14ac:dyDescent="0.25">
      <c r="H256" s="5"/>
      <c r="P256" s="2"/>
    </row>
    <row r="257" spans="8:16" ht="15.75" customHeight="1" x14ac:dyDescent="0.25">
      <c r="H257" s="5"/>
      <c r="P257" s="2"/>
    </row>
    <row r="258" spans="8:16" ht="15.75" customHeight="1" x14ac:dyDescent="0.25">
      <c r="H258" s="5"/>
      <c r="P258" s="2"/>
    </row>
    <row r="259" spans="8:16" ht="15.75" customHeight="1" x14ac:dyDescent="0.25">
      <c r="H259" s="5"/>
      <c r="P259" s="2"/>
    </row>
    <row r="260" spans="8:16" ht="15.75" customHeight="1" x14ac:dyDescent="0.25">
      <c r="H260" s="5"/>
      <c r="P260" s="2"/>
    </row>
    <row r="261" spans="8:16" ht="15.75" customHeight="1" x14ac:dyDescent="0.25">
      <c r="H261" s="5"/>
      <c r="P261" s="2"/>
    </row>
    <row r="262" spans="8:16" ht="15.75" customHeight="1" x14ac:dyDescent="0.25">
      <c r="H262" s="5"/>
      <c r="P262" s="2"/>
    </row>
    <row r="263" spans="8:16" ht="15.75" customHeight="1" x14ac:dyDescent="0.25">
      <c r="H263" s="5"/>
      <c r="P263" s="2"/>
    </row>
    <row r="264" spans="8:16" ht="15.75" customHeight="1" x14ac:dyDescent="0.25">
      <c r="H264" s="5"/>
      <c r="P264" s="2"/>
    </row>
    <row r="265" spans="8:16" ht="15.75" customHeight="1" x14ac:dyDescent="0.25">
      <c r="H265" s="5"/>
      <c r="P265" s="2"/>
    </row>
    <row r="266" spans="8:16" ht="15.75" customHeight="1" x14ac:dyDescent="0.25">
      <c r="H266" s="5"/>
      <c r="P266" s="2"/>
    </row>
    <row r="267" spans="8:16" ht="15.75" customHeight="1" x14ac:dyDescent="0.25">
      <c r="H267" s="5"/>
      <c r="P267" s="2"/>
    </row>
    <row r="268" spans="8:16" ht="15.75" customHeight="1" x14ac:dyDescent="0.25">
      <c r="H268" s="5"/>
      <c r="P268" s="2"/>
    </row>
    <row r="269" spans="8:16" ht="15.75" customHeight="1" x14ac:dyDescent="0.25">
      <c r="H269" s="5"/>
      <c r="P269" s="2"/>
    </row>
    <row r="270" spans="8:16" ht="15.75" customHeight="1" x14ac:dyDescent="0.25">
      <c r="H270" s="5"/>
      <c r="P270" s="2"/>
    </row>
    <row r="271" spans="8:16" ht="15.75" customHeight="1" x14ac:dyDescent="0.25">
      <c r="H271" s="5"/>
      <c r="P271" s="2"/>
    </row>
    <row r="272" spans="8:16" ht="15.75" customHeight="1" x14ac:dyDescent="0.25">
      <c r="H272" s="5"/>
      <c r="P272" s="2"/>
    </row>
    <row r="273" spans="8:16" ht="15.75" customHeight="1" x14ac:dyDescent="0.25">
      <c r="H273" s="5"/>
      <c r="P273" s="2"/>
    </row>
    <row r="274" spans="8:16" ht="15.75" customHeight="1" x14ac:dyDescent="0.25">
      <c r="H274" s="5"/>
      <c r="P274" s="2"/>
    </row>
    <row r="275" spans="8:16" ht="15.75" customHeight="1" x14ac:dyDescent="0.25">
      <c r="H275" s="5"/>
      <c r="P275" s="2"/>
    </row>
    <row r="276" spans="8:16" ht="15.75" customHeight="1" x14ac:dyDescent="0.25">
      <c r="H276" s="5"/>
      <c r="P276" s="2"/>
    </row>
    <row r="277" spans="8:16" ht="15.75" customHeight="1" x14ac:dyDescent="0.25">
      <c r="H277" s="5"/>
      <c r="P277" s="2"/>
    </row>
    <row r="278" spans="8:16" ht="15.75" customHeight="1" x14ac:dyDescent="0.25">
      <c r="H278" s="5"/>
      <c r="P278" s="2"/>
    </row>
    <row r="279" spans="8:16" ht="15.75" customHeight="1" x14ac:dyDescent="0.25">
      <c r="H279" s="5"/>
      <c r="P279" s="2"/>
    </row>
    <row r="280" spans="8:16" ht="15.75" customHeight="1" x14ac:dyDescent="0.25">
      <c r="H280" s="5"/>
      <c r="P280" s="2"/>
    </row>
    <row r="281" spans="8:16" ht="15.75" customHeight="1" x14ac:dyDescent="0.25">
      <c r="H281" s="5"/>
      <c r="P281" s="2"/>
    </row>
    <row r="282" spans="8:16" ht="15.75" customHeight="1" x14ac:dyDescent="0.25">
      <c r="H282" s="5"/>
      <c r="P282" s="2"/>
    </row>
    <row r="283" spans="8:16" ht="15.75" customHeight="1" x14ac:dyDescent="0.25">
      <c r="H283" s="5"/>
      <c r="P283" s="2"/>
    </row>
    <row r="284" spans="8:16" ht="15.75" customHeight="1" x14ac:dyDescent="0.25">
      <c r="H284" s="5"/>
      <c r="P284" s="2"/>
    </row>
    <row r="285" spans="8:16" ht="15.75" customHeight="1" x14ac:dyDescent="0.25">
      <c r="H285" s="5"/>
      <c r="P285" s="2"/>
    </row>
    <row r="286" spans="8:16" ht="15.75" customHeight="1" x14ac:dyDescent="0.25">
      <c r="H286" s="5"/>
      <c r="P286" s="2"/>
    </row>
    <row r="287" spans="8:16" ht="15.75" customHeight="1" x14ac:dyDescent="0.25">
      <c r="H287" s="5"/>
      <c r="P287" s="2"/>
    </row>
    <row r="288" spans="8:16" ht="15.75" customHeight="1" x14ac:dyDescent="0.25">
      <c r="H288" s="5"/>
      <c r="P288" s="2"/>
    </row>
    <row r="289" spans="8:16" ht="15.75" customHeight="1" x14ac:dyDescent="0.25">
      <c r="H289" s="5"/>
      <c r="P289" s="2"/>
    </row>
    <row r="290" spans="8:16" ht="15.75" customHeight="1" x14ac:dyDescent="0.25">
      <c r="H290" s="5"/>
      <c r="P290" s="2"/>
    </row>
    <row r="291" spans="8:16" ht="15.75" customHeight="1" x14ac:dyDescent="0.25">
      <c r="H291" s="5"/>
      <c r="P291" s="2"/>
    </row>
    <row r="292" spans="8:16" ht="15.75" customHeight="1" x14ac:dyDescent="0.25">
      <c r="H292" s="5"/>
      <c r="P292" s="2"/>
    </row>
    <row r="293" spans="8:16" ht="15.75" customHeight="1" x14ac:dyDescent="0.25">
      <c r="H293" s="5"/>
      <c r="P293" s="2"/>
    </row>
    <row r="294" spans="8:16" ht="15.75" customHeight="1" x14ac:dyDescent="0.25">
      <c r="H294" s="5"/>
      <c r="P294" s="2"/>
    </row>
    <row r="295" spans="8:16" ht="15.75" customHeight="1" x14ac:dyDescent="0.25">
      <c r="H295" s="5"/>
      <c r="P295" s="2"/>
    </row>
    <row r="296" spans="8:16" ht="15.75" customHeight="1" x14ac:dyDescent="0.25">
      <c r="H296" s="5"/>
      <c r="P296" s="2"/>
    </row>
    <row r="297" spans="8:16" ht="15.75" customHeight="1" x14ac:dyDescent="0.25">
      <c r="H297" s="5"/>
      <c r="P297" s="2"/>
    </row>
    <row r="298" spans="8:16" ht="15.75" customHeight="1" x14ac:dyDescent="0.25">
      <c r="H298" s="5"/>
      <c r="P298" s="2"/>
    </row>
    <row r="299" spans="8:16" ht="15.75" customHeight="1" x14ac:dyDescent="0.25">
      <c r="H299" s="5"/>
      <c r="P299" s="2"/>
    </row>
    <row r="300" spans="8:16" ht="15.75" customHeight="1" x14ac:dyDescent="0.25">
      <c r="H300" s="5"/>
      <c r="P300" s="2"/>
    </row>
    <row r="301" spans="8:16" ht="15.75" customHeight="1" x14ac:dyDescent="0.25">
      <c r="H301" s="5"/>
      <c r="P301" s="2"/>
    </row>
    <row r="302" spans="8:16" ht="15.75" customHeight="1" x14ac:dyDescent="0.25">
      <c r="H302" s="5"/>
      <c r="P302" s="2"/>
    </row>
    <row r="303" spans="8:16" ht="15.75" customHeight="1" x14ac:dyDescent="0.25">
      <c r="H303" s="5"/>
      <c r="P303" s="2"/>
    </row>
    <row r="304" spans="8:16" ht="15.75" customHeight="1" x14ac:dyDescent="0.25">
      <c r="H304" s="5"/>
      <c r="P304" s="2"/>
    </row>
    <row r="305" spans="8:16" ht="15.75" customHeight="1" x14ac:dyDescent="0.25">
      <c r="H305" s="5"/>
      <c r="P305" s="2"/>
    </row>
    <row r="306" spans="8:16" ht="15.75" customHeight="1" x14ac:dyDescent="0.25">
      <c r="H306" s="5"/>
      <c r="P306" s="2"/>
    </row>
    <row r="307" spans="8:16" ht="15.75" customHeight="1" x14ac:dyDescent="0.25">
      <c r="H307" s="5"/>
      <c r="P307" s="2"/>
    </row>
    <row r="308" spans="8:16" ht="15.75" customHeight="1" x14ac:dyDescent="0.25">
      <c r="H308" s="5"/>
      <c r="P308" s="2"/>
    </row>
    <row r="309" spans="8:16" ht="15.75" customHeight="1" x14ac:dyDescent="0.25">
      <c r="H309" s="5"/>
      <c r="P309" s="2"/>
    </row>
    <row r="310" spans="8:16" ht="15.75" customHeight="1" x14ac:dyDescent="0.25">
      <c r="H310" s="5"/>
      <c r="P310" s="2"/>
    </row>
    <row r="311" spans="8:16" ht="15.75" customHeight="1" x14ac:dyDescent="0.25">
      <c r="H311" s="5"/>
      <c r="P311" s="2"/>
    </row>
    <row r="312" spans="8:16" ht="15.75" customHeight="1" x14ac:dyDescent="0.25">
      <c r="H312" s="5"/>
      <c r="P312" s="2"/>
    </row>
    <row r="313" spans="8:16" ht="15.75" customHeight="1" x14ac:dyDescent="0.25">
      <c r="H313" s="5"/>
      <c r="P313" s="2"/>
    </row>
    <row r="314" spans="8:16" ht="15.75" customHeight="1" x14ac:dyDescent="0.25">
      <c r="H314" s="5"/>
      <c r="P314" s="2"/>
    </row>
    <row r="315" spans="8:16" ht="15.75" customHeight="1" x14ac:dyDescent="0.25">
      <c r="H315" s="5"/>
      <c r="P315" s="2"/>
    </row>
    <row r="316" spans="8:16" ht="15.75" customHeight="1" x14ac:dyDescent="0.25">
      <c r="H316" s="5"/>
      <c r="P316" s="2"/>
    </row>
    <row r="317" spans="8:16" ht="15.75" customHeight="1" x14ac:dyDescent="0.25">
      <c r="H317" s="5"/>
      <c r="P317" s="2"/>
    </row>
    <row r="318" spans="8:16" ht="15.75" customHeight="1" x14ac:dyDescent="0.25">
      <c r="H318" s="5"/>
      <c r="P318" s="2"/>
    </row>
    <row r="319" spans="8:16" ht="15.75" customHeight="1" x14ac:dyDescent="0.25">
      <c r="H319" s="5"/>
      <c r="P319" s="2"/>
    </row>
    <row r="320" spans="8:16" ht="15.75" customHeight="1" x14ac:dyDescent="0.25">
      <c r="H320" s="5"/>
      <c r="P320" s="2"/>
    </row>
    <row r="321" spans="8:16" ht="15.75" customHeight="1" x14ac:dyDescent="0.25">
      <c r="H321" s="5"/>
      <c r="P321" s="2"/>
    </row>
    <row r="322" spans="8:16" ht="15.75" customHeight="1" x14ac:dyDescent="0.25">
      <c r="H322" s="5"/>
      <c r="P322" s="2"/>
    </row>
    <row r="323" spans="8:16" ht="15.75" customHeight="1" x14ac:dyDescent="0.25">
      <c r="H323" s="5"/>
      <c r="P323" s="2"/>
    </row>
    <row r="324" spans="8:16" ht="15.75" customHeight="1" x14ac:dyDescent="0.25">
      <c r="H324" s="5"/>
      <c r="P324" s="2"/>
    </row>
    <row r="325" spans="8:16" ht="15.75" customHeight="1" x14ac:dyDescent="0.25">
      <c r="H325" s="5"/>
      <c r="P325" s="2"/>
    </row>
    <row r="326" spans="8:16" ht="15.75" customHeight="1" x14ac:dyDescent="0.25">
      <c r="H326" s="5"/>
      <c r="P326" s="2"/>
    </row>
    <row r="327" spans="8:16" ht="15.75" customHeight="1" x14ac:dyDescent="0.25">
      <c r="H327" s="5"/>
      <c r="P327" s="2"/>
    </row>
    <row r="328" spans="8:16" ht="15.75" customHeight="1" x14ac:dyDescent="0.25">
      <c r="H328" s="5"/>
      <c r="P328" s="2"/>
    </row>
    <row r="329" spans="8:16" ht="15.75" customHeight="1" x14ac:dyDescent="0.25">
      <c r="H329" s="5"/>
      <c r="P329" s="2"/>
    </row>
    <row r="330" spans="8:16" ht="15.75" customHeight="1" x14ac:dyDescent="0.25">
      <c r="H330" s="5"/>
      <c r="P330" s="2"/>
    </row>
    <row r="331" spans="8:16" ht="15.75" customHeight="1" x14ac:dyDescent="0.25">
      <c r="H331" s="5"/>
      <c r="P331" s="2"/>
    </row>
    <row r="332" spans="8:16" ht="15.75" customHeight="1" x14ac:dyDescent="0.25">
      <c r="H332" s="5"/>
      <c r="P332" s="2"/>
    </row>
    <row r="333" spans="8:16" ht="15.75" customHeight="1" x14ac:dyDescent="0.25">
      <c r="H333" s="5"/>
      <c r="P333" s="2"/>
    </row>
    <row r="334" spans="8:16" ht="15.75" customHeight="1" x14ac:dyDescent="0.25">
      <c r="H334" s="5"/>
      <c r="P334" s="2"/>
    </row>
    <row r="335" spans="8:16" ht="15.75" customHeight="1" x14ac:dyDescent="0.25">
      <c r="H335" s="5"/>
      <c r="P335" s="2"/>
    </row>
    <row r="336" spans="8:16" ht="15.75" customHeight="1" x14ac:dyDescent="0.25">
      <c r="H336" s="5"/>
      <c r="P336" s="2"/>
    </row>
    <row r="337" spans="8:16" ht="15.75" customHeight="1" x14ac:dyDescent="0.25">
      <c r="H337" s="5"/>
      <c r="P337" s="2"/>
    </row>
    <row r="338" spans="8:16" ht="15.75" customHeight="1" x14ac:dyDescent="0.25">
      <c r="H338" s="5"/>
      <c r="P338" s="2"/>
    </row>
    <row r="339" spans="8:16" ht="15.75" customHeight="1" x14ac:dyDescent="0.25">
      <c r="H339" s="5"/>
      <c r="P339" s="2"/>
    </row>
    <row r="340" spans="8:16" ht="15.75" customHeight="1" x14ac:dyDescent="0.25">
      <c r="H340" s="5"/>
      <c r="P340" s="2"/>
    </row>
    <row r="341" spans="8:16" ht="15.75" customHeight="1" x14ac:dyDescent="0.25">
      <c r="H341" s="5"/>
      <c r="P341" s="2"/>
    </row>
    <row r="342" spans="8:16" ht="15.75" customHeight="1" x14ac:dyDescent="0.25">
      <c r="H342" s="5"/>
      <c r="P342" s="2"/>
    </row>
    <row r="343" spans="8:16" ht="15.75" customHeight="1" x14ac:dyDescent="0.25">
      <c r="H343" s="5"/>
      <c r="P343" s="2"/>
    </row>
    <row r="344" spans="8:16" ht="15.75" customHeight="1" x14ac:dyDescent="0.25">
      <c r="H344" s="5"/>
      <c r="P344" s="2"/>
    </row>
    <row r="345" spans="8:16" ht="15.75" customHeight="1" x14ac:dyDescent="0.25">
      <c r="H345" s="5"/>
      <c r="P345" s="2"/>
    </row>
    <row r="346" spans="8:16" ht="15.75" customHeight="1" x14ac:dyDescent="0.25">
      <c r="H346" s="5"/>
      <c r="P346" s="2"/>
    </row>
    <row r="347" spans="8:16" ht="15.75" customHeight="1" x14ac:dyDescent="0.25">
      <c r="H347" s="5"/>
      <c r="P347" s="2"/>
    </row>
    <row r="348" spans="8:16" ht="15.75" customHeight="1" x14ac:dyDescent="0.25">
      <c r="H348" s="5"/>
      <c r="P348" s="2"/>
    </row>
    <row r="349" spans="8:16" ht="15.75" customHeight="1" x14ac:dyDescent="0.25">
      <c r="H349" s="5"/>
      <c r="P349" s="2"/>
    </row>
    <row r="350" spans="8:16" ht="15.75" customHeight="1" x14ac:dyDescent="0.25">
      <c r="H350" s="5"/>
      <c r="P350" s="2"/>
    </row>
    <row r="351" spans="8:16" ht="15.75" customHeight="1" x14ac:dyDescent="0.25">
      <c r="H351" s="5"/>
      <c r="P351" s="2"/>
    </row>
    <row r="352" spans="8:16" ht="15.75" customHeight="1" x14ac:dyDescent="0.25">
      <c r="H352" s="5"/>
      <c r="P352" s="2"/>
    </row>
    <row r="353" spans="8:16" ht="15.75" customHeight="1" x14ac:dyDescent="0.25">
      <c r="H353" s="5"/>
      <c r="P353" s="2"/>
    </row>
    <row r="354" spans="8:16" ht="15.75" customHeight="1" x14ac:dyDescent="0.25">
      <c r="H354" s="5"/>
      <c r="P354" s="2"/>
    </row>
    <row r="355" spans="8:16" ht="15.75" customHeight="1" x14ac:dyDescent="0.25">
      <c r="H355" s="5"/>
      <c r="P355" s="2"/>
    </row>
    <row r="356" spans="8:16" ht="15.75" customHeight="1" x14ac:dyDescent="0.25">
      <c r="H356" s="5"/>
      <c r="P356" s="2"/>
    </row>
    <row r="357" spans="8:16" ht="15.75" customHeight="1" x14ac:dyDescent="0.25">
      <c r="H357" s="5"/>
      <c r="P357" s="2"/>
    </row>
    <row r="358" spans="8:16" ht="15.75" customHeight="1" x14ac:dyDescent="0.25">
      <c r="H358" s="5"/>
      <c r="P358" s="2"/>
    </row>
    <row r="359" spans="8:16" ht="15.75" customHeight="1" x14ac:dyDescent="0.25">
      <c r="H359" s="5"/>
      <c r="P359" s="2"/>
    </row>
    <row r="360" spans="8:16" ht="15.75" customHeight="1" x14ac:dyDescent="0.25">
      <c r="H360" s="5"/>
      <c r="P360" s="2"/>
    </row>
    <row r="361" spans="8:16" ht="15.75" customHeight="1" x14ac:dyDescent="0.25">
      <c r="H361" s="5"/>
      <c r="P361" s="2"/>
    </row>
    <row r="362" spans="8:16" ht="15.75" customHeight="1" x14ac:dyDescent="0.25">
      <c r="H362" s="5"/>
      <c r="P362" s="2"/>
    </row>
    <row r="363" spans="8:16" ht="15.75" customHeight="1" x14ac:dyDescent="0.25">
      <c r="H363" s="5"/>
      <c r="P363" s="2"/>
    </row>
    <row r="364" spans="8:16" ht="15.75" customHeight="1" x14ac:dyDescent="0.25">
      <c r="H364" s="5"/>
      <c r="P364" s="2"/>
    </row>
    <row r="365" spans="8:16" ht="15.75" customHeight="1" x14ac:dyDescent="0.25">
      <c r="H365" s="5"/>
      <c r="P365" s="2"/>
    </row>
    <row r="366" spans="8:16" ht="15.75" customHeight="1" x14ac:dyDescent="0.25">
      <c r="H366" s="5"/>
      <c r="P366" s="2"/>
    </row>
    <row r="367" spans="8:16" ht="15.75" customHeight="1" x14ac:dyDescent="0.25">
      <c r="H367" s="5"/>
      <c r="P367" s="2"/>
    </row>
    <row r="368" spans="8:16" ht="15.75" customHeight="1" x14ac:dyDescent="0.25">
      <c r="H368" s="5"/>
      <c r="P368" s="2"/>
    </row>
    <row r="369" spans="8:16" ht="15.75" customHeight="1" x14ac:dyDescent="0.25">
      <c r="H369" s="5"/>
      <c r="P369" s="2"/>
    </row>
    <row r="370" spans="8:16" ht="15.75" customHeight="1" x14ac:dyDescent="0.25">
      <c r="H370" s="5"/>
      <c r="P370" s="2"/>
    </row>
    <row r="371" spans="8:16" ht="15.75" customHeight="1" x14ac:dyDescent="0.25">
      <c r="H371" s="5"/>
      <c r="P371" s="2"/>
    </row>
    <row r="372" spans="8:16" ht="15.75" customHeight="1" x14ac:dyDescent="0.25">
      <c r="H372" s="5"/>
      <c r="P372" s="2"/>
    </row>
    <row r="373" spans="8:16" ht="15.75" customHeight="1" x14ac:dyDescent="0.25">
      <c r="H373" s="5"/>
      <c r="P373" s="2"/>
    </row>
    <row r="374" spans="8:16" ht="15.75" customHeight="1" x14ac:dyDescent="0.25">
      <c r="H374" s="5"/>
      <c r="P374" s="2"/>
    </row>
    <row r="375" spans="8:16" ht="15.75" customHeight="1" x14ac:dyDescent="0.25">
      <c r="H375" s="5"/>
      <c r="P375" s="2"/>
    </row>
    <row r="376" spans="8:16" ht="15.75" customHeight="1" x14ac:dyDescent="0.25">
      <c r="H376" s="5"/>
      <c r="P376" s="2"/>
    </row>
    <row r="377" spans="8:16" ht="15.75" customHeight="1" x14ac:dyDescent="0.25">
      <c r="H377" s="5"/>
      <c r="P377" s="2"/>
    </row>
    <row r="378" spans="8:16" ht="15.75" customHeight="1" x14ac:dyDescent="0.25">
      <c r="H378" s="5"/>
      <c r="P378" s="2"/>
    </row>
    <row r="379" spans="8:16" ht="15.75" customHeight="1" x14ac:dyDescent="0.25">
      <c r="H379" s="5"/>
      <c r="P379" s="2"/>
    </row>
    <row r="380" spans="8:16" ht="15.75" customHeight="1" x14ac:dyDescent="0.25">
      <c r="H380" s="5"/>
      <c r="P380" s="2"/>
    </row>
    <row r="381" spans="8:16" ht="15.75" customHeight="1" x14ac:dyDescent="0.25">
      <c r="H381" s="5"/>
      <c r="P381" s="2"/>
    </row>
    <row r="382" spans="8:16" ht="15.75" customHeight="1" x14ac:dyDescent="0.25">
      <c r="H382" s="5"/>
      <c r="P382" s="2"/>
    </row>
    <row r="383" spans="8:16" ht="15.75" customHeight="1" x14ac:dyDescent="0.25">
      <c r="H383" s="5"/>
      <c r="P383" s="2"/>
    </row>
    <row r="384" spans="8:16" ht="15.75" customHeight="1" x14ac:dyDescent="0.25">
      <c r="H384" s="5"/>
      <c r="P384" s="2"/>
    </row>
    <row r="385" spans="8:16" ht="15.75" customHeight="1" x14ac:dyDescent="0.25">
      <c r="H385" s="5"/>
      <c r="P385" s="2"/>
    </row>
    <row r="386" spans="8:16" ht="15.75" customHeight="1" x14ac:dyDescent="0.25">
      <c r="H386" s="5"/>
      <c r="P386" s="2"/>
    </row>
    <row r="387" spans="8:16" ht="15.75" customHeight="1" x14ac:dyDescent="0.25">
      <c r="H387" s="5"/>
      <c r="P387" s="2"/>
    </row>
    <row r="388" spans="8:16" ht="15.75" customHeight="1" x14ac:dyDescent="0.25">
      <c r="H388" s="5"/>
      <c r="P388" s="2"/>
    </row>
    <row r="389" spans="8:16" ht="15.75" customHeight="1" x14ac:dyDescent="0.25">
      <c r="H389" s="5"/>
      <c r="P389" s="2"/>
    </row>
    <row r="390" spans="8:16" ht="15.75" customHeight="1" x14ac:dyDescent="0.25">
      <c r="H390" s="5"/>
      <c r="P390" s="2"/>
    </row>
    <row r="391" spans="8:16" ht="15.75" customHeight="1" x14ac:dyDescent="0.25">
      <c r="H391" s="5"/>
      <c r="P391" s="2"/>
    </row>
    <row r="392" spans="8:16" ht="15.75" customHeight="1" x14ac:dyDescent="0.25">
      <c r="H392" s="5"/>
      <c r="P392" s="2"/>
    </row>
    <row r="393" spans="8:16" ht="15.75" customHeight="1" x14ac:dyDescent="0.25">
      <c r="H393" s="5"/>
      <c r="P393" s="2"/>
    </row>
    <row r="394" spans="8:16" ht="15.75" customHeight="1" x14ac:dyDescent="0.25">
      <c r="H394" s="5"/>
      <c r="P394" s="2"/>
    </row>
    <row r="395" spans="8:16" ht="15.75" customHeight="1" x14ac:dyDescent="0.25">
      <c r="H395" s="5"/>
      <c r="P395" s="2"/>
    </row>
    <row r="396" spans="8:16" ht="15.75" customHeight="1" x14ac:dyDescent="0.25">
      <c r="H396" s="5"/>
      <c r="P396" s="2"/>
    </row>
    <row r="397" spans="8:16" ht="15.75" customHeight="1" x14ac:dyDescent="0.25">
      <c r="H397" s="5"/>
      <c r="P397" s="2"/>
    </row>
    <row r="398" spans="8:16" ht="15.75" customHeight="1" x14ac:dyDescent="0.25">
      <c r="H398" s="5"/>
      <c r="P398" s="2"/>
    </row>
    <row r="399" spans="8:16" ht="15.75" customHeight="1" x14ac:dyDescent="0.25">
      <c r="H399" s="5"/>
      <c r="P399" s="2"/>
    </row>
    <row r="400" spans="8:16" ht="15.75" customHeight="1" x14ac:dyDescent="0.25">
      <c r="H400" s="5"/>
      <c r="P400" s="2"/>
    </row>
    <row r="401" spans="8:16" ht="15.75" customHeight="1" x14ac:dyDescent="0.25">
      <c r="H401" s="5"/>
      <c r="P401" s="2"/>
    </row>
    <row r="402" spans="8:16" ht="15.75" customHeight="1" x14ac:dyDescent="0.25">
      <c r="H402" s="5"/>
      <c r="P402" s="2"/>
    </row>
    <row r="403" spans="8:16" ht="15.75" customHeight="1" x14ac:dyDescent="0.25">
      <c r="H403" s="5"/>
      <c r="P403" s="2"/>
    </row>
    <row r="404" spans="8:16" ht="15.75" customHeight="1" x14ac:dyDescent="0.25">
      <c r="H404" s="5"/>
      <c r="P404" s="2"/>
    </row>
    <row r="405" spans="8:16" ht="15.75" customHeight="1" x14ac:dyDescent="0.25">
      <c r="H405" s="5"/>
      <c r="P405" s="2"/>
    </row>
    <row r="406" spans="8:16" ht="15.75" customHeight="1" x14ac:dyDescent="0.25">
      <c r="H406" s="5"/>
      <c r="P406" s="2"/>
    </row>
    <row r="407" spans="8:16" ht="15.75" customHeight="1" x14ac:dyDescent="0.25">
      <c r="H407" s="5"/>
      <c r="P407" s="2"/>
    </row>
    <row r="408" spans="8:16" ht="15.75" customHeight="1" x14ac:dyDescent="0.25">
      <c r="H408" s="5"/>
      <c r="P408" s="2"/>
    </row>
    <row r="409" spans="8:16" ht="15.75" customHeight="1" x14ac:dyDescent="0.25">
      <c r="H409" s="5"/>
      <c r="P409" s="2"/>
    </row>
    <row r="410" spans="8:16" ht="15.75" customHeight="1" x14ac:dyDescent="0.25">
      <c r="H410" s="5"/>
      <c r="P410" s="2"/>
    </row>
    <row r="411" spans="8:16" ht="15.75" customHeight="1" x14ac:dyDescent="0.25">
      <c r="H411" s="5"/>
      <c r="P411" s="2"/>
    </row>
    <row r="412" spans="8:16" ht="15.75" customHeight="1" x14ac:dyDescent="0.25">
      <c r="H412" s="5"/>
      <c r="P412" s="2"/>
    </row>
    <row r="413" spans="8:16" ht="15.75" customHeight="1" x14ac:dyDescent="0.25">
      <c r="H413" s="5"/>
      <c r="P413" s="2"/>
    </row>
    <row r="414" spans="8:16" ht="15.75" customHeight="1" x14ac:dyDescent="0.25">
      <c r="H414" s="5"/>
      <c r="P414" s="2"/>
    </row>
    <row r="415" spans="8:16" ht="15.75" customHeight="1" x14ac:dyDescent="0.25">
      <c r="H415" s="5"/>
      <c r="P415" s="2"/>
    </row>
    <row r="416" spans="8:16" ht="15.75" customHeight="1" x14ac:dyDescent="0.25">
      <c r="H416" s="5"/>
      <c r="P416" s="2"/>
    </row>
    <row r="417" spans="8:16" ht="15.75" customHeight="1" x14ac:dyDescent="0.25">
      <c r="H417" s="5"/>
      <c r="P417" s="2"/>
    </row>
    <row r="418" spans="8:16" ht="15.75" customHeight="1" x14ac:dyDescent="0.25">
      <c r="H418" s="5"/>
      <c r="P418" s="2"/>
    </row>
    <row r="419" spans="8:16" ht="15.75" customHeight="1" x14ac:dyDescent="0.25">
      <c r="H419" s="5"/>
      <c r="P419" s="2"/>
    </row>
    <row r="420" spans="8:16" ht="15.75" customHeight="1" x14ac:dyDescent="0.25">
      <c r="H420" s="5"/>
      <c r="P420" s="2"/>
    </row>
    <row r="421" spans="8:16" ht="15.75" customHeight="1" x14ac:dyDescent="0.25">
      <c r="H421" s="5"/>
      <c r="P421" s="2"/>
    </row>
    <row r="422" spans="8:16" ht="15.75" customHeight="1" x14ac:dyDescent="0.25">
      <c r="H422" s="5"/>
      <c r="P422" s="2"/>
    </row>
    <row r="423" spans="8:16" ht="15.75" customHeight="1" x14ac:dyDescent="0.25">
      <c r="H423" s="5"/>
      <c r="P423" s="2"/>
    </row>
    <row r="424" spans="8:16" ht="15.75" customHeight="1" x14ac:dyDescent="0.25">
      <c r="H424" s="5"/>
      <c r="P424" s="2"/>
    </row>
    <row r="425" spans="8:16" ht="15.75" customHeight="1" x14ac:dyDescent="0.25">
      <c r="H425" s="5"/>
      <c r="P425" s="2"/>
    </row>
    <row r="426" spans="8:16" ht="15.75" customHeight="1" x14ac:dyDescent="0.25">
      <c r="H426" s="5"/>
      <c r="P426" s="2"/>
    </row>
    <row r="427" spans="8:16" ht="15.75" customHeight="1" x14ac:dyDescent="0.25">
      <c r="H427" s="5"/>
      <c r="P427" s="2"/>
    </row>
    <row r="428" spans="8:16" ht="15.75" customHeight="1" x14ac:dyDescent="0.25">
      <c r="H428" s="5"/>
      <c r="P428" s="2"/>
    </row>
    <row r="429" spans="8:16" ht="15.75" customHeight="1" x14ac:dyDescent="0.25">
      <c r="H429" s="5"/>
      <c r="P429" s="2"/>
    </row>
    <row r="430" spans="8:16" ht="15.75" customHeight="1" x14ac:dyDescent="0.25">
      <c r="H430" s="5"/>
      <c r="P430" s="2"/>
    </row>
    <row r="431" spans="8:16" ht="15.75" customHeight="1" x14ac:dyDescent="0.25">
      <c r="H431" s="5"/>
      <c r="P431" s="2"/>
    </row>
    <row r="432" spans="8:16" ht="15.75" customHeight="1" x14ac:dyDescent="0.25">
      <c r="H432" s="5"/>
      <c r="P432" s="2"/>
    </row>
    <row r="433" spans="8:16" ht="15.75" customHeight="1" x14ac:dyDescent="0.25">
      <c r="H433" s="5"/>
      <c r="P433" s="2"/>
    </row>
    <row r="434" spans="8:16" ht="15.75" customHeight="1" x14ac:dyDescent="0.25">
      <c r="H434" s="5"/>
      <c r="P434" s="2"/>
    </row>
    <row r="435" spans="8:16" ht="15.75" customHeight="1" x14ac:dyDescent="0.25">
      <c r="H435" s="5"/>
      <c r="P435" s="2"/>
    </row>
    <row r="436" spans="8:16" ht="15.75" customHeight="1" x14ac:dyDescent="0.25">
      <c r="H436" s="5"/>
      <c r="P436" s="2"/>
    </row>
    <row r="437" spans="8:16" ht="15.75" customHeight="1" x14ac:dyDescent="0.25">
      <c r="H437" s="5"/>
      <c r="P437" s="2"/>
    </row>
    <row r="438" spans="8:16" ht="15.75" customHeight="1" x14ac:dyDescent="0.25">
      <c r="H438" s="5"/>
      <c r="P438" s="2"/>
    </row>
    <row r="439" spans="8:16" ht="15.75" customHeight="1" x14ac:dyDescent="0.25">
      <c r="H439" s="5"/>
      <c r="P439" s="2"/>
    </row>
    <row r="440" spans="8:16" ht="15.75" customHeight="1" x14ac:dyDescent="0.25">
      <c r="H440" s="5"/>
      <c r="P440" s="2"/>
    </row>
    <row r="441" spans="8:16" ht="15.75" customHeight="1" x14ac:dyDescent="0.25">
      <c r="H441" s="5"/>
      <c r="P441" s="2"/>
    </row>
    <row r="442" spans="8:16" ht="15.75" customHeight="1" x14ac:dyDescent="0.25">
      <c r="H442" s="5"/>
      <c r="P442" s="2"/>
    </row>
    <row r="443" spans="8:16" ht="15.75" customHeight="1" x14ac:dyDescent="0.25">
      <c r="H443" s="5"/>
      <c r="P443" s="2"/>
    </row>
    <row r="444" spans="8:16" ht="15.75" customHeight="1" x14ac:dyDescent="0.25">
      <c r="H444" s="5"/>
      <c r="P444" s="2"/>
    </row>
    <row r="445" spans="8:16" ht="15.75" customHeight="1" x14ac:dyDescent="0.25">
      <c r="H445" s="5"/>
      <c r="P445" s="2"/>
    </row>
    <row r="446" spans="8:16" ht="15.75" customHeight="1" x14ac:dyDescent="0.25">
      <c r="H446" s="5"/>
      <c r="P446" s="2"/>
    </row>
    <row r="447" spans="8:16" ht="15.75" customHeight="1" x14ac:dyDescent="0.25">
      <c r="H447" s="5"/>
      <c r="P447" s="2"/>
    </row>
    <row r="448" spans="8:16" ht="15.75" customHeight="1" x14ac:dyDescent="0.25">
      <c r="H448" s="5"/>
      <c r="P448" s="2"/>
    </row>
    <row r="449" spans="8:16" ht="15.75" customHeight="1" x14ac:dyDescent="0.25">
      <c r="H449" s="5"/>
      <c r="P449" s="2"/>
    </row>
    <row r="450" spans="8:16" ht="15.75" customHeight="1" x14ac:dyDescent="0.25">
      <c r="H450" s="5"/>
      <c r="P450" s="2"/>
    </row>
    <row r="451" spans="8:16" ht="15.75" customHeight="1" x14ac:dyDescent="0.25">
      <c r="H451" s="5"/>
      <c r="P451" s="2"/>
    </row>
    <row r="452" spans="8:16" ht="15.75" customHeight="1" x14ac:dyDescent="0.25">
      <c r="H452" s="5"/>
      <c r="P452" s="2"/>
    </row>
    <row r="453" spans="8:16" ht="15.75" customHeight="1" x14ac:dyDescent="0.25">
      <c r="H453" s="5"/>
      <c r="P453" s="2"/>
    </row>
    <row r="454" spans="8:16" ht="15.75" customHeight="1" x14ac:dyDescent="0.25">
      <c r="H454" s="5"/>
      <c r="P454" s="2"/>
    </row>
    <row r="455" spans="8:16" ht="15.75" customHeight="1" x14ac:dyDescent="0.25">
      <c r="H455" s="5"/>
      <c r="P455" s="2"/>
    </row>
    <row r="456" spans="8:16" ht="15.75" customHeight="1" x14ac:dyDescent="0.25">
      <c r="H456" s="5"/>
      <c r="P456" s="2"/>
    </row>
    <row r="457" spans="8:16" ht="15.75" customHeight="1" x14ac:dyDescent="0.25">
      <c r="H457" s="5"/>
      <c r="P457" s="2"/>
    </row>
    <row r="458" spans="8:16" ht="15.75" customHeight="1" x14ac:dyDescent="0.25">
      <c r="H458" s="5"/>
      <c r="P458" s="2"/>
    </row>
    <row r="459" spans="8:16" ht="15.75" customHeight="1" x14ac:dyDescent="0.25">
      <c r="H459" s="5"/>
      <c r="P459" s="2"/>
    </row>
    <row r="460" spans="8:16" ht="15.75" customHeight="1" x14ac:dyDescent="0.25">
      <c r="H460" s="5"/>
      <c r="P460" s="2"/>
    </row>
    <row r="461" spans="8:16" ht="15.75" customHeight="1" x14ac:dyDescent="0.25">
      <c r="H461" s="5"/>
      <c r="P461" s="2"/>
    </row>
    <row r="462" spans="8:16" ht="15.75" customHeight="1" x14ac:dyDescent="0.25">
      <c r="H462" s="5"/>
      <c r="P462" s="2"/>
    </row>
    <row r="463" spans="8:16" ht="15.75" customHeight="1" x14ac:dyDescent="0.25">
      <c r="H463" s="5"/>
      <c r="P463" s="2"/>
    </row>
    <row r="464" spans="8:16" ht="15.75" customHeight="1" x14ac:dyDescent="0.25">
      <c r="H464" s="5"/>
      <c r="P464" s="2"/>
    </row>
    <row r="465" spans="8:16" ht="15.75" customHeight="1" x14ac:dyDescent="0.25">
      <c r="H465" s="5"/>
      <c r="P465" s="2"/>
    </row>
    <row r="466" spans="8:16" ht="15.75" customHeight="1" x14ac:dyDescent="0.25">
      <c r="H466" s="5"/>
      <c r="P466" s="2"/>
    </row>
    <row r="467" spans="8:16" ht="15.75" customHeight="1" x14ac:dyDescent="0.25">
      <c r="H467" s="5"/>
      <c r="P467" s="2"/>
    </row>
    <row r="468" spans="8:16" ht="15.75" customHeight="1" x14ac:dyDescent="0.25">
      <c r="H468" s="5"/>
      <c r="P468" s="2"/>
    </row>
    <row r="469" spans="8:16" ht="15.75" customHeight="1" x14ac:dyDescent="0.25">
      <c r="H469" s="5"/>
      <c r="P469" s="2"/>
    </row>
    <row r="470" spans="8:16" ht="15.75" customHeight="1" x14ac:dyDescent="0.25">
      <c r="H470" s="5"/>
      <c r="P470" s="2"/>
    </row>
    <row r="471" spans="8:16" ht="15.75" customHeight="1" x14ac:dyDescent="0.25">
      <c r="H471" s="5"/>
      <c r="P471" s="2"/>
    </row>
    <row r="472" spans="8:16" ht="15.75" customHeight="1" x14ac:dyDescent="0.25">
      <c r="H472" s="5"/>
      <c r="P472" s="2"/>
    </row>
    <row r="473" spans="8:16" ht="15.75" customHeight="1" x14ac:dyDescent="0.25">
      <c r="H473" s="5"/>
      <c r="P473" s="2"/>
    </row>
    <row r="474" spans="8:16" ht="15.75" customHeight="1" x14ac:dyDescent="0.25">
      <c r="H474" s="5"/>
      <c r="P474" s="2"/>
    </row>
    <row r="475" spans="8:16" ht="15.75" customHeight="1" x14ac:dyDescent="0.25">
      <c r="H475" s="5"/>
      <c r="P475" s="2"/>
    </row>
    <row r="476" spans="8:16" ht="15.75" customHeight="1" x14ac:dyDescent="0.25">
      <c r="H476" s="5"/>
      <c r="P476" s="2"/>
    </row>
    <row r="477" spans="8:16" ht="15.75" customHeight="1" x14ac:dyDescent="0.25">
      <c r="H477" s="5"/>
      <c r="P477" s="2"/>
    </row>
    <row r="478" spans="8:16" ht="15.75" customHeight="1" x14ac:dyDescent="0.25">
      <c r="H478" s="5"/>
      <c r="P478" s="2"/>
    </row>
    <row r="479" spans="8:16" ht="15.75" customHeight="1" x14ac:dyDescent="0.25">
      <c r="H479" s="5"/>
      <c r="P479" s="2"/>
    </row>
    <row r="480" spans="8:16" ht="15.75" customHeight="1" x14ac:dyDescent="0.25">
      <c r="H480" s="5"/>
      <c r="P480" s="2"/>
    </row>
    <row r="481" spans="8:16" ht="15.75" customHeight="1" x14ac:dyDescent="0.25">
      <c r="H481" s="5"/>
      <c r="P481" s="2"/>
    </row>
    <row r="482" spans="8:16" ht="15.75" customHeight="1" x14ac:dyDescent="0.25">
      <c r="H482" s="5"/>
      <c r="P482" s="2"/>
    </row>
    <row r="483" spans="8:16" ht="15.75" customHeight="1" x14ac:dyDescent="0.25">
      <c r="H483" s="5"/>
      <c r="P483" s="2"/>
    </row>
    <row r="484" spans="8:16" ht="15.75" customHeight="1" x14ac:dyDescent="0.25">
      <c r="H484" s="5"/>
      <c r="P484" s="2"/>
    </row>
    <row r="485" spans="8:16" ht="15.75" customHeight="1" x14ac:dyDescent="0.25">
      <c r="H485" s="5"/>
      <c r="P485" s="2"/>
    </row>
    <row r="486" spans="8:16" ht="15.75" customHeight="1" x14ac:dyDescent="0.25">
      <c r="H486" s="5"/>
      <c r="P486" s="2"/>
    </row>
    <row r="487" spans="8:16" ht="15.75" customHeight="1" x14ac:dyDescent="0.25">
      <c r="H487" s="5"/>
      <c r="P487" s="2"/>
    </row>
    <row r="488" spans="8:16" ht="15.75" customHeight="1" x14ac:dyDescent="0.25">
      <c r="H488" s="5"/>
      <c r="P488" s="2"/>
    </row>
    <row r="489" spans="8:16" ht="15.75" customHeight="1" x14ac:dyDescent="0.25">
      <c r="H489" s="5"/>
      <c r="P489" s="2"/>
    </row>
    <row r="490" spans="8:16" ht="15.75" customHeight="1" x14ac:dyDescent="0.25">
      <c r="H490" s="5"/>
      <c r="P490" s="2"/>
    </row>
    <row r="491" spans="8:16" ht="15.75" customHeight="1" x14ac:dyDescent="0.25">
      <c r="H491" s="5"/>
      <c r="P491" s="2"/>
    </row>
    <row r="492" spans="8:16" ht="15.75" customHeight="1" x14ac:dyDescent="0.25">
      <c r="H492" s="5"/>
      <c r="P492" s="2"/>
    </row>
    <row r="493" spans="8:16" ht="15.75" customHeight="1" x14ac:dyDescent="0.25">
      <c r="H493" s="5"/>
      <c r="P493" s="2"/>
    </row>
    <row r="494" spans="8:16" ht="15.75" customHeight="1" x14ac:dyDescent="0.25">
      <c r="H494" s="5"/>
      <c r="P494" s="2"/>
    </row>
    <row r="495" spans="8:16" ht="15.75" customHeight="1" x14ac:dyDescent="0.25">
      <c r="H495" s="5"/>
      <c r="P495" s="2"/>
    </row>
    <row r="496" spans="8:16" ht="15.75" customHeight="1" x14ac:dyDescent="0.25">
      <c r="H496" s="5"/>
      <c r="P496" s="2"/>
    </row>
    <row r="497" spans="8:16" ht="15.75" customHeight="1" x14ac:dyDescent="0.25">
      <c r="H497" s="5"/>
      <c r="P497" s="2"/>
    </row>
    <row r="498" spans="8:16" ht="15.75" customHeight="1" x14ac:dyDescent="0.25">
      <c r="H498" s="5"/>
      <c r="P498" s="2"/>
    </row>
    <row r="499" spans="8:16" ht="15.75" customHeight="1" x14ac:dyDescent="0.25">
      <c r="H499" s="5"/>
      <c r="P499" s="2"/>
    </row>
    <row r="500" spans="8:16" ht="15.75" customHeight="1" x14ac:dyDescent="0.25">
      <c r="H500" s="5"/>
      <c r="P500" s="2"/>
    </row>
    <row r="501" spans="8:16" ht="15.75" customHeight="1" x14ac:dyDescent="0.25">
      <c r="H501" s="5"/>
      <c r="P501" s="2"/>
    </row>
    <row r="502" spans="8:16" ht="15.75" customHeight="1" x14ac:dyDescent="0.25">
      <c r="H502" s="5"/>
      <c r="P502" s="2"/>
    </row>
    <row r="503" spans="8:16" ht="15.75" customHeight="1" x14ac:dyDescent="0.25">
      <c r="H503" s="5"/>
      <c r="P503" s="2"/>
    </row>
    <row r="504" spans="8:16" ht="15.75" customHeight="1" x14ac:dyDescent="0.25">
      <c r="H504" s="5"/>
      <c r="P504" s="2"/>
    </row>
    <row r="505" spans="8:16" ht="15.75" customHeight="1" x14ac:dyDescent="0.25">
      <c r="H505" s="5"/>
      <c r="P505" s="2"/>
    </row>
    <row r="506" spans="8:16" ht="15.75" customHeight="1" x14ac:dyDescent="0.25">
      <c r="H506" s="5"/>
      <c r="P506" s="2"/>
    </row>
    <row r="507" spans="8:16" ht="15.75" customHeight="1" x14ac:dyDescent="0.25">
      <c r="H507" s="5"/>
      <c r="P507" s="2"/>
    </row>
    <row r="508" spans="8:16" ht="15.75" customHeight="1" x14ac:dyDescent="0.25">
      <c r="H508" s="5"/>
      <c r="P508" s="2"/>
    </row>
    <row r="509" spans="8:16" ht="15.75" customHeight="1" x14ac:dyDescent="0.25">
      <c r="H509" s="5"/>
      <c r="P509" s="2"/>
    </row>
    <row r="510" spans="8:16" ht="15.75" customHeight="1" x14ac:dyDescent="0.25">
      <c r="H510" s="5"/>
      <c r="P510" s="2"/>
    </row>
    <row r="511" spans="8:16" ht="15.75" customHeight="1" x14ac:dyDescent="0.25">
      <c r="H511" s="5"/>
      <c r="P511" s="2"/>
    </row>
    <row r="512" spans="8:16" ht="15.75" customHeight="1" x14ac:dyDescent="0.25">
      <c r="H512" s="5"/>
      <c r="P512" s="2"/>
    </row>
    <row r="513" spans="8:16" ht="15.75" customHeight="1" x14ac:dyDescent="0.25">
      <c r="H513" s="5"/>
      <c r="P513" s="2"/>
    </row>
    <row r="514" spans="8:16" ht="15.75" customHeight="1" x14ac:dyDescent="0.25">
      <c r="H514" s="5"/>
      <c r="P514" s="2"/>
    </row>
    <row r="515" spans="8:16" ht="15.75" customHeight="1" x14ac:dyDescent="0.25">
      <c r="H515" s="5"/>
      <c r="P515" s="2"/>
    </row>
    <row r="516" spans="8:16" ht="15.75" customHeight="1" x14ac:dyDescent="0.25">
      <c r="H516" s="5"/>
      <c r="P516" s="2"/>
    </row>
    <row r="517" spans="8:16" ht="15.75" customHeight="1" x14ac:dyDescent="0.25">
      <c r="H517" s="5"/>
      <c r="P517" s="2"/>
    </row>
    <row r="518" spans="8:16" ht="15.75" customHeight="1" x14ac:dyDescent="0.25">
      <c r="H518" s="5"/>
      <c r="P518" s="2"/>
    </row>
    <row r="519" spans="8:16" ht="15.75" customHeight="1" x14ac:dyDescent="0.25">
      <c r="H519" s="5"/>
      <c r="P519" s="2"/>
    </row>
    <row r="520" spans="8:16" ht="15.75" customHeight="1" x14ac:dyDescent="0.25">
      <c r="H520" s="5"/>
      <c r="P520" s="2"/>
    </row>
    <row r="521" spans="8:16" ht="15.75" customHeight="1" x14ac:dyDescent="0.25">
      <c r="H521" s="5"/>
      <c r="P521" s="2"/>
    </row>
    <row r="522" spans="8:16" ht="15.75" customHeight="1" x14ac:dyDescent="0.25">
      <c r="H522" s="5"/>
      <c r="P522" s="2"/>
    </row>
    <row r="523" spans="8:16" ht="15.75" customHeight="1" x14ac:dyDescent="0.25">
      <c r="H523" s="5"/>
      <c r="P523" s="2"/>
    </row>
    <row r="524" spans="8:16" ht="15.75" customHeight="1" x14ac:dyDescent="0.25">
      <c r="H524" s="5"/>
      <c r="P524" s="2"/>
    </row>
    <row r="525" spans="8:16" ht="15.75" customHeight="1" x14ac:dyDescent="0.25">
      <c r="H525" s="5"/>
      <c r="P525" s="2"/>
    </row>
    <row r="526" spans="8:16" ht="15.75" customHeight="1" x14ac:dyDescent="0.25">
      <c r="H526" s="5"/>
      <c r="P526" s="2"/>
    </row>
    <row r="527" spans="8:16" ht="15.75" customHeight="1" x14ac:dyDescent="0.25">
      <c r="H527" s="5"/>
      <c r="P527" s="2"/>
    </row>
    <row r="528" spans="8:16" ht="15.75" customHeight="1" x14ac:dyDescent="0.25">
      <c r="H528" s="5"/>
      <c r="P528" s="2"/>
    </row>
    <row r="529" spans="8:16" ht="15.75" customHeight="1" x14ac:dyDescent="0.25">
      <c r="H529" s="5"/>
      <c r="P529" s="2"/>
    </row>
    <row r="530" spans="8:16" ht="15.75" customHeight="1" x14ac:dyDescent="0.25">
      <c r="H530" s="5"/>
      <c r="P530" s="2"/>
    </row>
    <row r="531" spans="8:16" ht="15.75" customHeight="1" x14ac:dyDescent="0.25">
      <c r="H531" s="5"/>
      <c r="P531" s="2"/>
    </row>
    <row r="532" spans="8:16" ht="15.75" customHeight="1" x14ac:dyDescent="0.25">
      <c r="H532" s="5"/>
      <c r="P532" s="2"/>
    </row>
    <row r="533" spans="8:16" ht="15.75" customHeight="1" x14ac:dyDescent="0.25">
      <c r="H533" s="5"/>
      <c r="P533" s="2"/>
    </row>
    <row r="534" spans="8:16" ht="15.75" customHeight="1" x14ac:dyDescent="0.25">
      <c r="H534" s="5"/>
      <c r="P534" s="2"/>
    </row>
    <row r="535" spans="8:16" ht="15.75" customHeight="1" x14ac:dyDescent="0.25">
      <c r="H535" s="5"/>
      <c r="P535" s="2"/>
    </row>
    <row r="536" spans="8:16" ht="15.75" customHeight="1" x14ac:dyDescent="0.25">
      <c r="H536" s="5"/>
      <c r="P536" s="2"/>
    </row>
    <row r="537" spans="8:16" ht="15.75" customHeight="1" x14ac:dyDescent="0.25">
      <c r="H537" s="5"/>
      <c r="P537" s="2"/>
    </row>
    <row r="538" spans="8:16" ht="15.75" customHeight="1" x14ac:dyDescent="0.25">
      <c r="H538" s="5"/>
      <c r="P538" s="2"/>
    </row>
    <row r="539" spans="8:16" ht="15.75" customHeight="1" x14ac:dyDescent="0.25">
      <c r="H539" s="5"/>
      <c r="P539" s="2"/>
    </row>
    <row r="540" spans="8:16" ht="15.75" customHeight="1" x14ac:dyDescent="0.25">
      <c r="H540" s="5"/>
      <c r="P540" s="2"/>
    </row>
    <row r="541" spans="8:16" ht="15.75" customHeight="1" x14ac:dyDescent="0.25">
      <c r="H541" s="5"/>
      <c r="P541" s="2"/>
    </row>
    <row r="542" spans="8:16" ht="15.75" customHeight="1" x14ac:dyDescent="0.25">
      <c r="H542" s="5"/>
      <c r="P542" s="2"/>
    </row>
    <row r="543" spans="8:16" ht="15.75" customHeight="1" x14ac:dyDescent="0.25">
      <c r="H543" s="5"/>
      <c r="P543" s="2"/>
    </row>
    <row r="544" spans="8:16" ht="15.75" customHeight="1" x14ac:dyDescent="0.25">
      <c r="H544" s="5"/>
      <c r="P544" s="2"/>
    </row>
    <row r="545" spans="8:16" ht="15.75" customHeight="1" x14ac:dyDescent="0.25">
      <c r="H545" s="5"/>
      <c r="P545" s="2"/>
    </row>
    <row r="546" spans="8:16" ht="15.75" customHeight="1" x14ac:dyDescent="0.25">
      <c r="H546" s="5"/>
      <c r="P546" s="2"/>
    </row>
    <row r="547" spans="8:16" ht="15.75" customHeight="1" x14ac:dyDescent="0.25">
      <c r="H547" s="5"/>
      <c r="P547" s="2"/>
    </row>
    <row r="548" spans="8:16" ht="15.75" customHeight="1" x14ac:dyDescent="0.25">
      <c r="H548" s="5"/>
      <c r="P548" s="2"/>
    </row>
    <row r="549" spans="8:16" ht="15.75" customHeight="1" x14ac:dyDescent="0.25">
      <c r="H549" s="5"/>
      <c r="P549" s="2"/>
    </row>
    <row r="550" spans="8:16" ht="15.75" customHeight="1" x14ac:dyDescent="0.25">
      <c r="H550" s="5"/>
      <c r="P550" s="2"/>
    </row>
    <row r="551" spans="8:16" ht="15.75" customHeight="1" x14ac:dyDescent="0.25">
      <c r="H551" s="5"/>
      <c r="P551" s="2"/>
    </row>
    <row r="552" spans="8:16" ht="15.75" customHeight="1" x14ac:dyDescent="0.25">
      <c r="H552" s="5"/>
      <c r="P552" s="2"/>
    </row>
    <row r="553" spans="8:16" ht="15.75" customHeight="1" x14ac:dyDescent="0.25">
      <c r="H553" s="5"/>
      <c r="P553" s="2"/>
    </row>
    <row r="554" spans="8:16" ht="15.75" customHeight="1" x14ac:dyDescent="0.25">
      <c r="H554" s="5"/>
      <c r="P554" s="2"/>
    </row>
    <row r="555" spans="8:16" ht="15.75" customHeight="1" x14ac:dyDescent="0.25">
      <c r="H555" s="5"/>
      <c r="P555" s="2"/>
    </row>
    <row r="556" spans="8:16" ht="15.75" customHeight="1" x14ac:dyDescent="0.25">
      <c r="H556" s="5"/>
      <c r="P556" s="2"/>
    </row>
    <row r="557" spans="8:16" ht="15.75" customHeight="1" x14ac:dyDescent="0.25">
      <c r="H557" s="5"/>
      <c r="P557" s="2"/>
    </row>
    <row r="558" spans="8:16" ht="15.75" customHeight="1" x14ac:dyDescent="0.25">
      <c r="H558" s="5"/>
      <c r="P558" s="2"/>
    </row>
    <row r="559" spans="8:16" ht="15.75" customHeight="1" x14ac:dyDescent="0.25">
      <c r="H559" s="5"/>
      <c r="P559" s="2"/>
    </row>
    <row r="560" spans="8:16" ht="15.75" customHeight="1" x14ac:dyDescent="0.25">
      <c r="H560" s="5"/>
      <c r="P560" s="2"/>
    </row>
    <row r="561" spans="8:16" ht="15.75" customHeight="1" x14ac:dyDescent="0.25">
      <c r="H561" s="5"/>
      <c r="P561" s="2"/>
    </row>
    <row r="562" spans="8:16" ht="15.75" customHeight="1" x14ac:dyDescent="0.25">
      <c r="H562" s="5"/>
      <c r="P562" s="2"/>
    </row>
    <row r="563" spans="8:16" ht="15.75" customHeight="1" x14ac:dyDescent="0.25">
      <c r="H563" s="5"/>
      <c r="P563" s="2"/>
    </row>
    <row r="564" spans="8:16" ht="15.75" customHeight="1" x14ac:dyDescent="0.25">
      <c r="H564" s="5"/>
      <c r="P564" s="2"/>
    </row>
    <row r="565" spans="8:16" ht="15.75" customHeight="1" x14ac:dyDescent="0.25">
      <c r="H565" s="5"/>
      <c r="P565" s="2"/>
    </row>
    <row r="566" spans="8:16" ht="15.75" customHeight="1" x14ac:dyDescent="0.25">
      <c r="H566" s="5"/>
      <c r="P566" s="2"/>
    </row>
    <row r="567" spans="8:16" ht="15.75" customHeight="1" x14ac:dyDescent="0.25">
      <c r="H567" s="5"/>
      <c r="P567" s="2"/>
    </row>
    <row r="568" spans="8:16" ht="15.75" customHeight="1" x14ac:dyDescent="0.25">
      <c r="H568" s="5"/>
      <c r="P568" s="2"/>
    </row>
    <row r="569" spans="8:16" ht="15.75" customHeight="1" x14ac:dyDescent="0.25">
      <c r="H569" s="5"/>
      <c r="P569" s="2"/>
    </row>
    <row r="570" spans="8:16" ht="15.75" customHeight="1" x14ac:dyDescent="0.25">
      <c r="H570" s="5"/>
      <c r="P570" s="2"/>
    </row>
    <row r="571" spans="8:16" ht="15.75" customHeight="1" x14ac:dyDescent="0.25">
      <c r="H571" s="5"/>
      <c r="P571" s="2"/>
    </row>
    <row r="572" spans="8:16" ht="15.75" customHeight="1" x14ac:dyDescent="0.25">
      <c r="H572" s="5"/>
      <c r="P572" s="2"/>
    </row>
    <row r="573" spans="8:16" ht="15.75" customHeight="1" x14ac:dyDescent="0.25">
      <c r="H573" s="5"/>
      <c r="P573" s="2"/>
    </row>
    <row r="574" spans="8:16" ht="15.75" customHeight="1" x14ac:dyDescent="0.25">
      <c r="H574" s="5"/>
      <c r="P574" s="2"/>
    </row>
    <row r="575" spans="8:16" ht="15.75" customHeight="1" x14ac:dyDescent="0.25">
      <c r="H575" s="5"/>
      <c r="P575" s="2"/>
    </row>
    <row r="576" spans="8:16" ht="15.75" customHeight="1" x14ac:dyDescent="0.25">
      <c r="H576" s="5"/>
      <c r="P576" s="2"/>
    </row>
    <row r="577" spans="8:16" ht="15.75" customHeight="1" x14ac:dyDescent="0.25">
      <c r="H577" s="5"/>
      <c r="P577" s="2"/>
    </row>
    <row r="578" spans="8:16" ht="15.75" customHeight="1" x14ac:dyDescent="0.25">
      <c r="H578" s="5"/>
      <c r="P578" s="2"/>
    </row>
    <row r="579" spans="8:16" ht="15.75" customHeight="1" x14ac:dyDescent="0.25">
      <c r="H579" s="5"/>
      <c r="P579" s="2"/>
    </row>
    <row r="580" spans="8:16" ht="15.75" customHeight="1" x14ac:dyDescent="0.25">
      <c r="H580" s="5"/>
      <c r="P580" s="2"/>
    </row>
    <row r="581" spans="8:16" ht="15.75" customHeight="1" x14ac:dyDescent="0.25">
      <c r="H581" s="5"/>
      <c r="P581" s="2"/>
    </row>
    <row r="582" spans="8:16" ht="15.75" customHeight="1" x14ac:dyDescent="0.25">
      <c r="H582" s="5"/>
      <c r="P582" s="2"/>
    </row>
    <row r="583" spans="8:16" ht="15.75" customHeight="1" x14ac:dyDescent="0.25">
      <c r="H583" s="5"/>
      <c r="P583" s="2"/>
    </row>
    <row r="584" spans="8:16" ht="15.75" customHeight="1" x14ac:dyDescent="0.25">
      <c r="H584" s="5"/>
      <c r="P584" s="2"/>
    </row>
    <row r="585" spans="8:16" ht="15.75" customHeight="1" x14ac:dyDescent="0.25">
      <c r="H585" s="5"/>
      <c r="P585" s="2"/>
    </row>
    <row r="586" spans="8:16" ht="15.75" customHeight="1" x14ac:dyDescent="0.25">
      <c r="H586" s="5"/>
      <c r="P586" s="2"/>
    </row>
    <row r="587" spans="8:16" ht="15.75" customHeight="1" x14ac:dyDescent="0.25">
      <c r="H587" s="5"/>
      <c r="P587" s="2"/>
    </row>
    <row r="588" spans="8:16" ht="15.75" customHeight="1" x14ac:dyDescent="0.25">
      <c r="H588" s="5"/>
      <c r="P588" s="2"/>
    </row>
    <row r="589" spans="8:16" ht="15.75" customHeight="1" x14ac:dyDescent="0.25">
      <c r="H589" s="5"/>
      <c r="P589" s="2"/>
    </row>
    <row r="590" spans="8:16" ht="15.75" customHeight="1" x14ac:dyDescent="0.25">
      <c r="H590" s="5"/>
      <c r="P590" s="2"/>
    </row>
    <row r="591" spans="8:16" ht="15.75" customHeight="1" x14ac:dyDescent="0.25">
      <c r="H591" s="5"/>
      <c r="P591" s="2"/>
    </row>
    <row r="592" spans="8:16" ht="15.75" customHeight="1" x14ac:dyDescent="0.25">
      <c r="H592" s="5"/>
      <c r="P592" s="2"/>
    </row>
    <row r="593" spans="8:16" ht="15.75" customHeight="1" x14ac:dyDescent="0.25">
      <c r="H593" s="5"/>
      <c r="P593" s="2"/>
    </row>
    <row r="594" spans="8:16" ht="15.75" customHeight="1" x14ac:dyDescent="0.25">
      <c r="H594" s="5"/>
      <c r="P594" s="2"/>
    </row>
    <row r="595" spans="8:16" ht="15.75" customHeight="1" x14ac:dyDescent="0.25">
      <c r="H595" s="5"/>
      <c r="P595" s="2"/>
    </row>
    <row r="596" spans="8:16" ht="15.75" customHeight="1" x14ac:dyDescent="0.25">
      <c r="H596" s="5"/>
      <c r="P596" s="2"/>
    </row>
    <row r="597" spans="8:16" ht="15.75" customHeight="1" x14ac:dyDescent="0.25">
      <c r="H597" s="5"/>
      <c r="P597" s="2"/>
    </row>
    <row r="598" spans="8:16" ht="15.75" customHeight="1" x14ac:dyDescent="0.25">
      <c r="H598" s="5"/>
      <c r="P598" s="2"/>
    </row>
    <row r="599" spans="8:16" ht="15.75" customHeight="1" x14ac:dyDescent="0.25">
      <c r="H599" s="5"/>
      <c r="P599" s="2"/>
    </row>
    <row r="600" spans="8:16" ht="15.75" customHeight="1" x14ac:dyDescent="0.25">
      <c r="H600" s="5"/>
      <c r="P600" s="2"/>
    </row>
    <row r="601" spans="8:16" ht="15.75" customHeight="1" x14ac:dyDescent="0.25">
      <c r="H601" s="5"/>
      <c r="P601" s="2"/>
    </row>
    <row r="602" spans="8:16" ht="15.75" customHeight="1" x14ac:dyDescent="0.25">
      <c r="H602" s="5"/>
      <c r="P602" s="2"/>
    </row>
    <row r="603" spans="8:16" ht="15.75" customHeight="1" x14ac:dyDescent="0.25">
      <c r="H603" s="5"/>
      <c r="P603" s="2"/>
    </row>
    <row r="604" spans="8:16" ht="15.75" customHeight="1" x14ac:dyDescent="0.25">
      <c r="H604" s="5"/>
      <c r="P604" s="2"/>
    </row>
    <row r="605" spans="8:16" ht="15.75" customHeight="1" x14ac:dyDescent="0.25">
      <c r="H605" s="5"/>
      <c r="P605" s="2"/>
    </row>
    <row r="606" spans="8:16" ht="15.75" customHeight="1" x14ac:dyDescent="0.25">
      <c r="H606" s="5"/>
      <c r="P606" s="2"/>
    </row>
    <row r="607" spans="8:16" ht="15.75" customHeight="1" x14ac:dyDescent="0.25">
      <c r="H607" s="5"/>
      <c r="P607" s="2"/>
    </row>
    <row r="608" spans="8:16" ht="15.75" customHeight="1" x14ac:dyDescent="0.25">
      <c r="H608" s="5"/>
      <c r="P608" s="2"/>
    </row>
    <row r="609" spans="8:16" ht="15.75" customHeight="1" x14ac:dyDescent="0.25">
      <c r="H609" s="5"/>
      <c r="P609" s="2"/>
    </row>
    <row r="610" spans="8:16" ht="15.75" customHeight="1" x14ac:dyDescent="0.25">
      <c r="H610" s="5"/>
      <c r="P610" s="2"/>
    </row>
    <row r="611" spans="8:16" ht="15.75" customHeight="1" x14ac:dyDescent="0.25">
      <c r="H611" s="5"/>
      <c r="P611" s="2"/>
    </row>
    <row r="612" spans="8:16" ht="15.75" customHeight="1" x14ac:dyDescent="0.25">
      <c r="H612" s="5"/>
      <c r="P612" s="2"/>
    </row>
    <row r="613" spans="8:16" ht="15.75" customHeight="1" x14ac:dyDescent="0.25">
      <c r="H613" s="5"/>
      <c r="P613" s="2"/>
    </row>
    <row r="614" spans="8:16" ht="15.75" customHeight="1" x14ac:dyDescent="0.25">
      <c r="H614" s="5"/>
      <c r="P614" s="2"/>
    </row>
    <row r="615" spans="8:16" ht="15.75" customHeight="1" x14ac:dyDescent="0.25">
      <c r="H615" s="5"/>
      <c r="P615" s="2"/>
    </row>
    <row r="616" spans="8:16" ht="15.75" customHeight="1" x14ac:dyDescent="0.25">
      <c r="H616" s="5"/>
      <c r="P616" s="2"/>
    </row>
    <row r="617" spans="8:16" ht="15.75" customHeight="1" x14ac:dyDescent="0.25">
      <c r="H617" s="5"/>
      <c r="P617" s="2"/>
    </row>
    <row r="618" spans="8:16" ht="15.75" customHeight="1" x14ac:dyDescent="0.25">
      <c r="H618" s="5"/>
      <c r="P618" s="2"/>
    </row>
    <row r="619" spans="8:16" ht="15.75" customHeight="1" x14ac:dyDescent="0.25">
      <c r="H619" s="5"/>
      <c r="P619" s="2"/>
    </row>
    <row r="620" spans="8:16" ht="15.75" customHeight="1" x14ac:dyDescent="0.25">
      <c r="H620" s="5"/>
      <c r="P620" s="2"/>
    </row>
    <row r="621" spans="8:16" ht="15.75" customHeight="1" x14ac:dyDescent="0.25">
      <c r="H621" s="5"/>
      <c r="P621" s="2"/>
    </row>
    <row r="622" spans="8:16" ht="15.75" customHeight="1" x14ac:dyDescent="0.25">
      <c r="H622" s="5"/>
      <c r="P622" s="2"/>
    </row>
    <row r="623" spans="8:16" ht="15.75" customHeight="1" x14ac:dyDescent="0.25">
      <c r="H623" s="5"/>
      <c r="P623" s="2"/>
    </row>
    <row r="624" spans="8:16" ht="15.75" customHeight="1" x14ac:dyDescent="0.25">
      <c r="H624" s="5"/>
      <c r="P624" s="2"/>
    </row>
    <row r="625" spans="8:16" ht="15.75" customHeight="1" x14ac:dyDescent="0.25">
      <c r="H625" s="5"/>
      <c r="P625" s="2"/>
    </row>
    <row r="626" spans="8:16" ht="15.75" customHeight="1" x14ac:dyDescent="0.25">
      <c r="H626" s="5"/>
      <c r="P626" s="2"/>
    </row>
    <row r="627" spans="8:16" ht="15.75" customHeight="1" x14ac:dyDescent="0.25">
      <c r="H627" s="5"/>
      <c r="P627" s="2"/>
    </row>
    <row r="628" spans="8:16" ht="15.75" customHeight="1" x14ac:dyDescent="0.25">
      <c r="H628" s="5"/>
      <c r="P628" s="2"/>
    </row>
    <row r="629" spans="8:16" ht="15.75" customHeight="1" x14ac:dyDescent="0.25">
      <c r="H629" s="5"/>
      <c r="P629" s="2"/>
    </row>
    <row r="630" spans="8:16" ht="15.75" customHeight="1" x14ac:dyDescent="0.25">
      <c r="H630" s="5"/>
      <c r="P630" s="2"/>
    </row>
    <row r="631" spans="8:16" ht="15.75" customHeight="1" x14ac:dyDescent="0.25">
      <c r="H631" s="5"/>
      <c r="P631" s="2"/>
    </row>
    <row r="632" spans="8:16" ht="15.75" customHeight="1" x14ac:dyDescent="0.25">
      <c r="H632" s="5"/>
      <c r="P632" s="2"/>
    </row>
    <row r="633" spans="8:16" ht="15.75" customHeight="1" x14ac:dyDescent="0.25">
      <c r="H633" s="5"/>
      <c r="P633" s="2"/>
    </row>
    <row r="634" spans="8:16" ht="15.75" customHeight="1" x14ac:dyDescent="0.25">
      <c r="H634" s="5"/>
      <c r="P634" s="2"/>
    </row>
    <row r="635" spans="8:16" ht="15.75" customHeight="1" x14ac:dyDescent="0.25">
      <c r="H635" s="5"/>
      <c r="P635" s="2"/>
    </row>
    <row r="636" spans="8:16" ht="15.75" customHeight="1" x14ac:dyDescent="0.25">
      <c r="H636" s="5"/>
      <c r="P636" s="2"/>
    </row>
    <row r="637" spans="8:16" ht="15.75" customHeight="1" x14ac:dyDescent="0.25">
      <c r="H637" s="5"/>
      <c r="P637" s="2"/>
    </row>
    <row r="638" spans="8:16" ht="15.75" customHeight="1" x14ac:dyDescent="0.25">
      <c r="H638" s="5"/>
      <c r="P638" s="2"/>
    </row>
    <row r="639" spans="8:16" ht="15.75" customHeight="1" x14ac:dyDescent="0.25">
      <c r="H639" s="5"/>
      <c r="P639" s="2"/>
    </row>
    <row r="640" spans="8:16" ht="15.75" customHeight="1" x14ac:dyDescent="0.25">
      <c r="H640" s="5"/>
      <c r="P640" s="2"/>
    </row>
    <row r="641" spans="8:16" ht="15.75" customHeight="1" x14ac:dyDescent="0.25">
      <c r="H641" s="5"/>
      <c r="P641" s="2"/>
    </row>
    <row r="642" spans="8:16" ht="15.75" customHeight="1" x14ac:dyDescent="0.25">
      <c r="H642" s="5"/>
      <c r="P642" s="2"/>
    </row>
    <row r="643" spans="8:16" ht="15.75" customHeight="1" x14ac:dyDescent="0.25">
      <c r="H643" s="5"/>
      <c r="P643" s="2"/>
    </row>
    <row r="644" spans="8:16" ht="15.75" customHeight="1" x14ac:dyDescent="0.25">
      <c r="H644" s="5"/>
      <c r="P644" s="2"/>
    </row>
    <row r="645" spans="8:16" ht="15.75" customHeight="1" x14ac:dyDescent="0.25">
      <c r="H645" s="5"/>
      <c r="P645" s="2"/>
    </row>
    <row r="646" spans="8:16" ht="15.75" customHeight="1" x14ac:dyDescent="0.25">
      <c r="H646" s="5"/>
      <c r="P646" s="2"/>
    </row>
    <row r="647" spans="8:16" ht="15.75" customHeight="1" x14ac:dyDescent="0.25">
      <c r="H647" s="5"/>
      <c r="P647" s="2"/>
    </row>
    <row r="648" spans="8:16" ht="15.75" customHeight="1" x14ac:dyDescent="0.25">
      <c r="H648" s="5"/>
      <c r="P648" s="2"/>
    </row>
    <row r="649" spans="8:16" ht="15.75" customHeight="1" x14ac:dyDescent="0.25">
      <c r="H649" s="5"/>
      <c r="P649" s="2"/>
    </row>
    <row r="650" spans="8:16" ht="15.75" customHeight="1" x14ac:dyDescent="0.25">
      <c r="H650" s="5"/>
      <c r="P650" s="2"/>
    </row>
    <row r="651" spans="8:16" ht="15.75" customHeight="1" x14ac:dyDescent="0.25">
      <c r="H651" s="5"/>
      <c r="P651" s="2"/>
    </row>
    <row r="652" spans="8:16" ht="15.75" customHeight="1" x14ac:dyDescent="0.25">
      <c r="H652" s="5"/>
      <c r="P652" s="2"/>
    </row>
    <row r="653" spans="8:16" ht="15.75" customHeight="1" x14ac:dyDescent="0.25">
      <c r="H653" s="5"/>
      <c r="P653" s="2"/>
    </row>
    <row r="654" spans="8:16" ht="15.75" customHeight="1" x14ac:dyDescent="0.25">
      <c r="H654" s="5"/>
      <c r="P654" s="2"/>
    </row>
    <row r="655" spans="8:16" ht="15.75" customHeight="1" x14ac:dyDescent="0.25">
      <c r="H655" s="5"/>
      <c r="P655" s="2"/>
    </row>
    <row r="656" spans="8:16" ht="15.75" customHeight="1" x14ac:dyDescent="0.25">
      <c r="H656" s="5"/>
      <c r="P656" s="2"/>
    </row>
    <row r="657" spans="8:16" ht="15.75" customHeight="1" x14ac:dyDescent="0.25">
      <c r="H657" s="5"/>
      <c r="P657" s="2"/>
    </row>
    <row r="658" spans="8:16" ht="15.75" customHeight="1" x14ac:dyDescent="0.25">
      <c r="H658" s="5"/>
      <c r="P658" s="2"/>
    </row>
    <row r="659" spans="8:16" ht="15.75" customHeight="1" x14ac:dyDescent="0.25">
      <c r="H659" s="5"/>
      <c r="P659" s="2"/>
    </row>
    <row r="660" spans="8:16" ht="15.75" customHeight="1" x14ac:dyDescent="0.25">
      <c r="H660" s="5"/>
      <c r="P660" s="2"/>
    </row>
    <row r="661" spans="8:16" ht="15.75" customHeight="1" x14ac:dyDescent="0.25">
      <c r="H661" s="5"/>
      <c r="P661" s="2"/>
    </row>
    <row r="662" spans="8:16" ht="15.75" customHeight="1" x14ac:dyDescent="0.25">
      <c r="H662" s="5"/>
      <c r="P662" s="2"/>
    </row>
    <row r="663" spans="8:16" ht="15.75" customHeight="1" x14ac:dyDescent="0.25">
      <c r="H663" s="5"/>
      <c r="P663" s="2"/>
    </row>
    <row r="664" spans="8:16" ht="15.75" customHeight="1" x14ac:dyDescent="0.25">
      <c r="H664" s="5"/>
      <c r="P664" s="2"/>
    </row>
    <row r="665" spans="8:16" ht="15.75" customHeight="1" x14ac:dyDescent="0.25">
      <c r="H665" s="5"/>
      <c r="P665" s="2"/>
    </row>
    <row r="666" spans="8:16" ht="15.75" customHeight="1" x14ac:dyDescent="0.25">
      <c r="H666" s="5"/>
      <c r="P666" s="2"/>
    </row>
    <row r="667" spans="8:16" ht="15.75" customHeight="1" x14ac:dyDescent="0.25">
      <c r="H667" s="5"/>
      <c r="P667" s="2"/>
    </row>
    <row r="668" spans="8:16" ht="15.75" customHeight="1" x14ac:dyDescent="0.25">
      <c r="H668" s="5"/>
      <c r="P668" s="2"/>
    </row>
    <row r="669" spans="8:16" ht="15.75" customHeight="1" x14ac:dyDescent="0.25">
      <c r="H669" s="5"/>
      <c r="P669" s="2"/>
    </row>
    <row r="670" spans="8:16" ht="15.75" customHeight="1" x14ac:dyDescent="0.25">
      <c r="H670" s="5"/>
      <c r="P670" s="2"/>
    </row>
    <row r="671" spans="8:16" ht="15.75" customHeight="1" x14ac:dyDescent="0.25">
      <c r="H671" s="5"/>
      <c r="P671" s="2"/>
    </row>
    <row r="672" spans="8:16" ht="15.75" customHeight="1" x14ac:dyDescent="0.25">
      <c r="H672" s="5"/>
      <c r="P672" s="2"/>
    </row>
    <row r="673" spans="8:16" ht="15.75" customHeight="1" x14ac:dyDescent="0.25">
      <c r="H673" s="5"/>
      <c r="P673" s="2"/>
    </row>
    <row r="674" spans="8:16" ht="15.75" customHeight="1" x14ac:dyDescent="0.25">
      <c r="H674" s="5"/>
      <c r="P674" s="2"/>
    </row>
    <row r="675" spans="8:16" ht="15.75" customHeight="1" x14ac:dyDescent="0.25">
      <c r="H675" s="5"/>
      <c r="P675" s="2"/>
    </row>
    <row r="676" spans="8:16" ht="15.75" customHeight="1" x14ac:dyDescent="0.25">
      <c r="H676" s="5"/>
      <c r="P676" s="2"/>
    </row>
    <row r="677" spans="8:16" ht="15.75" customHeight="1" x14ac:dyDescent="0.25">
      <c r="H677" s="5"/>
      <c r="P677" s="2"/>
    </row>
    <row r="678" spans="8:16" ht="15.75" customHeight="1" x14ac:dyDescent="0.25">
      <c r="H678" s="5"/>
      <c r="P678" s="2"/>
    </row>
    <row r="679" spans="8:16" ht="15.75" customHeight="1" x14ac:dyDescent="0.25">
      <c r="H679" s="5"/>
      <c r="P679" s="2"/>
    </row>
    <row r="680" spans="8:16" ht="15.75" customHeight="1" x14ac:dyDescent="0.25">
      <c r="H680" s="5"/>
      <c r="P680" s="2"/>
    </row>
    <row r="681" spans="8:16" ht="15.75" customHeight="1" x14ac:dyDescent="0.25">
      <c r="H681" s="5"/>
      <c r="P681" s="2"/>
    </row>
    <row r="682" spans="8:16" ht="15.75" customHeight="1" x14ac:dyDescent="0.25">
      <c r="H682" s="5"/>
      <c r="P682" s="2"/>
    </row>
    <row r="683" spans="8:16" ht="15.75" customHeight="1" x14ac:dyDescent="0.25">
      <c r="H683" s="5"/>
      <c r="P683" s="2"/>
    </row>
    <row r="684" spans="8:16" ht="15.75" customHeight="1" x14ac:dyDescent="0.25">
      <c r="H684" s="5"/>
      <c r="P684" s="2"/>
    </row>
    <row r="685" spans="8:16" ht="15.75" customHeight="1" x14ac:dyDescent="0.25">
      <c r="H685" s="5"/>
      <c r="P685" s="2"/>
    </row>
    <row r="686" spans="8:16" ht="15.75" customHeight="1" x14ac:dyDescent="0.25">
      <c r="H686" s="5"/>
      <c r="P686" s="2"/>
    </row>
    <row r="687" spans="8:16" ht="15.75" customHeight="1" x14ac:dyDescent="0.25">
      <c r="H687" s="5"/>
      <c r="P687" s="2"/>
    </row>
    <row r="688" spans="8:16" ht="15.75" customHeight="1" x14ac:dyDescent="0.25">
      <c r="H688" s="5"/>
      <c r="P688" s="2"/>
    </row>
    <row r="689" spans="8:16" ht="15.75" customHeight="1" x14ac:dyDescent="0.25">
      <c r="H689" s="5"/>
      <c r="P689" s="2"/>
    </row>
    <row r="690" spans="8:16" ht="15.75" customHeight="1" x14ac:dyDescent="0.25">
      <c r="H690" s="5"/>
      <c r="P690" s="2"/>
    </row>
    <row r="691" spans="8:16" ht="15.75" customHeight="1" x14ac:dyDescent="0.25">
      <c r="H691" s="5"/>
      <c r="P691" s="2"/>
    </row>
    <row r="692" spans="8:16" ht="15.75" customHeight="1" x14ac:dyDescent="0.25">
      <c r="H692" s="5"/>
      <c r="P692" s="2"/>
    </row>
    <row r="693" spans="8:16" ht="15.75" customHeight="1" x14ac:dyDescent="0.25">
      <c r="H693" s="5"/>
      <c r="P693" s="2"/>
    </row>
    <row r="694" spans="8:16" ht="15.75" customHeight="1" x14ac:dyDescent="0.25">
      <c r="H694" s="5"/>
      <c r="P694" s="2"/>
    </row>
    <row r="695" spans="8:16" ht="15.75" customHeight="1" x14ac:dyDescent="0.25">
      <c r="H695" s="5"/>
      <c r="P695" s="2"/>
    </row>
    <row r="696" spans="8:16" ht="15.75" customHeight="1" x14ac:dyDescent="0.25">
      <c r="H696" s="5"/>
      <c r="P696" s="2"/>
    </row>
    <row r="697" spans="8:16" ht="15.75" customHeight="1" x14ac:dyDescent="0.25">
      <c r="H697" s="5"/>
      <c r="P697" s="2"/>
    </row>
    <row r="698" spans="8:16" ht="15.75" customHeight="1" x14ac:dyDescent="0.25">
      <c r="H698" s="5"/>
      <c r="P698" s="2"/>
    </row>
    <row r="699" spans="8:16" ht="15.75" customHeight="1" x14ac:dyDescent="0.25">
      <c r="H699" s="5"/>
      <c r="P699" s="2"/>
    </row>
    <row r="700" spans="8:16" ht="15.75" customHeight="1" x14ac:dyDescent="0.25">
      <c r="H700" s="5"/>
      <c r="P700" s="2"/>
    </row>
    <row r="701" spans="8:16" ht="15.75" customHeight="1" x14ac:dyDescent="0.25">
      <c r="H701" s="5"/>
      <c r="P701" s="2"/>
    </row>
    <row r="702" spans="8:16" ht="15.75" customHeight="1" x14ac:dyDescent="0.25">
      <c r="H702" s="5"/>
      <c r="P702" s="2"/>
    </row>
    <row r="703" spans="8:16" ht="15.75" customHeight="1" x14ac:dyDescent="0.25">
      <c r="H703" s="5"/>
      <c r="P703" s="2"/>
    </row>
    <row r="704" spans="8:16" ht="15.75" customHeight="1" x14ac:dyDescent="0.25">
      <c r="H704" s="5"/>
      <c r="P704" s="2"/>
    </row>
    <row r="705" spans="8:16" ht="15.75" customHeight="1" x14ac:dyDescent="0.25">
      <c r="H705" s="5"/>
      <c r="P705" s="2"/>
    </row>
    <row r="706" spans="8:16" ht="15.75" customHeight="1" x14ac:dyDescent="0.25">
      <c r="H706" s="5"/>
      <c r="P706" s="2"/>
    </row>
    <row r="707" spans="8:16" ht="15.75" customHeight="1" x14ac:dyDescent="0.25">
      <c r="H707" s="5"/>
      <c r="P707" s="2"/>
    </row>
    <row r="708" spans="8:16" ht="15.75" customHeight="1" x14ac:dyDescent="0.25">
      <c r="H708" s="5"/>
      <c r="P708" s="2"/>
    </row>
    <row r="709" spans="8:16" ht="15.75" customHeight="1" x14ac:dyDescent="0.25">
      <c r="H709" s="5"/>
      <c r="P709" s="2"/>
    </row>
    <row r="710" spans="8:16" ht="15.75" customHeight="1" x14ac:dyDescent="0.25">
      <c r="H710" s="5"/>
      <c r="P710" s="2"/>
    </row>
    <row r="711" spans="8:16" ht="15.75" customHeight="1" x14ac:dyDescent="0.25">
      <c r="H711" s="5"/>
      <c r="P711" s="2"/>
    </row>
    <row r="712" spans="8:16" ht="15.75" customHeight="1" x14ac:dyDescent="0.25">
      <c r="H712" s="5"/>
      <c r="P712" s="2"/>
    </row>
    <row r="713" spans="8:16" ht="15.75" customHeight="1" x14ac:dyDescent="0.25">
      <c r="H713" s="5"/>
      <c r="P713" s="2"/>
    </row>
    <row r="714" spans="8:16" ht="15.75" customHeight="1" x14ac:dyDescent="0.25">
      <c r="H714" s="5"/>
      <c r="P714" s="2"/>
    </row>
    <row r="715" spans="8:16" ht="15.75" customHeight="1" x14ac:dyDescent="0.25">
      <c r="H715" s="5"/>
      <c r="P715" s="2"/>
    </row>
    <row r="716" spans="8:16" ht="15.75" customHeight="1" x14ac:dyDescent="0.25">
      <c r="H716" s="5"/>
      <c r="P716" s="2"/>
    </row>
    <row r="717" spans="8:16" ht="15.75" customHeight="1" x14ac:dyDescent="0.25">
      <c r="H717" s="5"/>
      <c r="P717" s="2"/>
    </row>
    <row r="718" spans="8:16" ht="15.75" customHeight="1" x14ac:dyDescent="0.25">
      <c r="H718" s="5"/>
      <c r="P718" s="2"/>
    </row>
    <row r="719" spans="8:16" ht="15.75" customHeight="1" x14ac:dyDescent="0.25">
      <c r="H719" s="5"/>
      <c r="P719" s="2"/>
    </row>
    <row r="720" spans="8:16" ht="15.75" customHeight="1" x14ac:dyDescent="0.25">
      <c r="H720" s="5"/>
      <c r="P720" s="2"/>
    </row>
    <row r="721" spans="8:16" ht="15.75" customHeight="1" x14ac:dyDescent="0.25">
      <c r="H721" s="5"/>
      <c r="P721" s="2"/>
    </row>
    <row r="722" spans="8:16" ht="15.75" customHeight="1" x14ac:dyDescent="0.25">
      <c r="H722" s="5"/>
      <c r="P722" s="2"/>
    </row>
    <row r="723" spans="8:16" ht="15.75" customHeight="1" x14ac:dyDescent="0.25">
      <c r="H723" s="5"/>
      <c r="P723" s="2"/>
    </row>
    <row r="724" spans="8:16" ht="15.75" customHeight="1" x14ac:dyDescent="0.25">
      <c r="H724" s="5"/>
      <c r="P724" s="2"/>
    </row>
    <row r="725" spans="8:16" ht="15.75" customHeight="1" x14ac:dyDescent="0.25">
      <c r="H725" s="5"/>
      <c r="P725" s="2"/>
    </row>
    <row r="726" spans="8:16" ht="15.75" customHeight="1" x14ac:dyDescent="0.25">
      <c r="H726" s="5"/>
      <c r="P726" s="2"/>
    </row>
    <row r="727" spans="8:16" ht="15.75" customHeight="1" x14ac:dyDescent="0.25">
      <c r="H727" s="5"/>
      <c r="P727" s="2"/>
    </row>
    <row r="728" spans="8:16" ht="15.75" customHeight="1" x14ac:dyDescent="0.25">
      <c r="H728" s="5"/>
      <c r="P728" s="2"/>
    </row>
    <row r="729" spans="8:16" ht="15.75" customHeight="1" x14ac:dyDescent="0.25">
      <c r="H729" s="5"/>
      <c r="P729" s="2"/>
    </row>
    <row r="730" spans="8:16" ht="15.75" customHeight="1" x14ac:dyDescent="0.25">
      <c r="H730" s="5"/>
      <c r="P730" s="2"/>
    </row>
    <row r="731" spans="8:16" ht="15.75" customHeight="1" x14ac:dyDescent="0.25">
      <c r="H731" s="5"/>
      <c r="P731" s="2"/>
    </row>
    <row r="732" spans="8:16" ht="15.75" customHeight="1" x14ac:dyDescent="0.25">
      <c r="H732" s="5"/>
      <c r="P732" s="2"/>
    </row>
    <row r="733" spans="8:16" ht="15.75" customHeight="1" x14ac:dyDescent="0.25">
      <c r="H733" s="5"/>
      <c r="P733" s="2"/>
    </row>
    <row r="734" spans="8:16" ht="15.75" customHeight="1" x14ac:dyDescent="0.25">
      <c r="H734" s="5"/>
      <c r="P734" s="2"/>
    </row>
    <row r="735" spans="8:16" ht="15.75" customHeight="1" x14ac:dyDescent="0.25">
      <c r="H735" s="5"/>
      <c r="P735" s="2"/>
    </row>
    <row r="736" spans="8:16" ht="15.75" customHeight="1" x14ac:dyDescent="0.25">
      <c r="H736" s="5"/>
      <c r="P736" s="2"/>
    </row>
    <row r="737" spans="8:16" ht="15.75" customHeight="1" x14ac:dyDescent="0.25">
      <c r="H737" s="5"/>
      <c r="P737" s="2"/>
    </row>
    <row r="738" spans="8:16" ht="15.75" customHeight="1" x14ac:dyDescent="0.25">
      <c r="H738" s="5"/>
      <c r="P738" s="2"/>
    </row>
    <row r="739" spans="8:16" ht="15.75" customHeight="1" x14ac:dyDescent="0.25">
      <c r="H739" s="5"/>
      <c r="P739" s="2"/>
    </row>
    <row r="740" spans="8:16" ht="15.75" customHeight="1" x14ac:dyDescent="0.25">
      <c r="H740" s="5"/>
      <c r="P740" s="2"/>
    </row>
    <row r="741" spans="8:16" ht="15.75" customHeight="1" x14ac:dyDescent="0.25">
      <c r="H741" s="5"/>
      <c r="P741" s="2"/>
    </row>
    <row r="742" spans="8:16" ht="15.75" customHeight="1" x14ac:dyDescent="0.25">
      <c r="H742" s="5"/>
      <c r="P742" s="2"/>
    </row>
    <row r="743" spans="8:16" ht="15.75" customHeight="1" x14ac:dyDescent="0.25">
      <c r="H743" s="5"/>
      <c r="P743" s="2"/>
    </row>
    <row r="744" spans="8:16" ht="15.75" customHeight="1" x14ac:dyDescent="0.25">
      <c r="H744" s="5"/>
      <c r="P744" s="2"/>
    </row>
    <row r="745" spans="8:16" ht="15.75" customHeight="1" x14ac:dyDescent="0.25">
      <c r="H745" s="5"/>
      <c r="P745" s="2"/>
    </row>
    <row r="746" spans="8:16" ht="15.75" customHeight="1" x14ac:dyDescent="0.25">
      <c r="H746" s="5"/>
      <c r="P746" s="2"/>
    </row>
    <row r="747" spans="8:16" ht="15.75" customHeight="1" x14ac:dyDescent="0.25">
      <c r="H747" s="5"/>
      <c r="P747" s="2"/>
    </row>
    <row r="748" spans="8:16" ht="15.75" customHeight="1" x14ac:dyDescent="0.25">
      <c r="H748" s="5"/>
      <c r="P748" s="2"/>
    </row>
    <row r="749" spans="8:16" ht="15.75" customHeight="1" x14ac:dyDescent="0.25">
      <c r="H749" s="5"/>
      <c r="P749" s="2"/>
    </row>
    <row r="750" spans="8:16" ht="15.75" customHeight="1" x14ac:dyDescent="0.25">
      <c r="H750" s="5"/>
      <c r="P750" s="2"/>
    </row>
    <row r="751" spans="8:16" ht="15.75" customHeight="1" x14ac:dyDescent="0.25">
      <c r="H751" s="5"/>
      <c r="P751" s="2"/>
    </row>
    <row r="752" spans="8:16" ht="15.75" customHeight="1" x14ac:dyDescent="0.25">
      <c r="H752" s="5"/>
      <c r="P752" s="2"/>
    </row>
    <row r="753" spans="8:16" ht="15.75" customHeight="1" x14ac:dyDescent="0.25">
      <c r="H753" s="5"/>
      <c r="P753" s="2"/>
    </row>
    <row r="754" spans="8:16" ht="15.75" customHeight="1" x14ac:dyDescent="0.25">
      <c r="H754" s="5"/>
      <c r="P754" s="2"/>
    </row>
    <row r="755" spans="8:16" ht="15.75" customHeight="1" x14ac:dyDescent="0.25">
      <c r="H755" s="5"/>
      <c r="P755" s="2"/>
    </row>
    <row r="756" spans="8:16" ht="15.75" customHeight="1" x14ac:dyDescent="0.25">
      <c r="H756" s="5"/>
      <c r="P756" s="2"/>
    </row>
    <row r="757" spans="8:16" ht="15.75" customHeight="1" x14ac:dyDescent="0.25">
      <c r="H757" s="5"/>
      <c r="P757" s="2"/>
    </row>
    <row r="758" spans="8:16" ht="15.75" customHeight="1" x14ac:dyDescent="0.25">
      <c r="H758" s="5"/>
      <c r="P758" s="2"/>
    </row>
    <row r="759" spans="8:16" ht="15.75" customHeight="1" x14ac:dyDescent="0.25">
      <c r="H759" s="5"/>
      <c r="P759" s="2"/>
    </row>
    <row r="760" spans="8:16" ht="15.75" customHeight="1" x14ac:dyDescent="0.25">
      <c r="H760" s="5"/>
      <c r="P760" s="2"/>
    </row>
    <row r="761" spans="8:16" ht="15.75" customHeight="1" x14ac:dyDescent="0.25">
      <c r="H761" s="5"/>
      <c r="P761" s="2"/>
    </row>
    <row r="762" spans="8:16" ht="15.75" customHeight="1" x14ac:dyDescent="0.25">
      <c r="H762" s="5"/>
      <c r="P762" s="2"/>
    </row>
    <row r="763" spans="8:16" ht="15.75" customHeight="1" x14ac:dyDescent="0.25">
      <c r="H763" s="5"/>
      <c r="P763" s="2"/>
    </row>
    <row r="764" spans="8:16" ht="15.75" customHeight="1" x14ac:dyDescent="0.25">
      <c r="H764" s="5"/>
      <c r="P764" s="2"/>
    </row>
    <row r="765" spans="8:16" ht="15.75" customHeight="1" x14ac:dyDescent="0.25">
      <c r="H765" s="5"/>
      <c r="P765" s="2"/>
    </row>
    <row r="766" spans="8:16" ht="15.75" customHeight="1" x14ac:dyDescent="0.25">
      <c r="H766" s="5"/>
      <c r="P766" s="2"/>
    </row>
    <row r="767" spans="8:16" ht="15.75" customHeight="1" x14ac:dyDescent="0.25">
      <c r="H767" s="5"/>
      <c r="P767" s="2"/>
    </row>
    <row r="768" spans="8:16" ht="15.75" customHeight="1" x14ac:dyDescent="0.25">
      <c r="H768" s="5"/>
      <c r="P768" s="2"/>
    </row>
    <row r="769" spans="8:16" ht="15.75" customHeight="1" x14ac:dyDescent="0.25">
      <c r="H769" s="5"/>
      <c r="P769" s="2"/>
    </row>
    <row r="770" spans="8:16" ht="15.75" customHeight="1" x14ac:dyDescent="0.25">
      <c r="H770" s="5"/>
      <c r="P770" s="2"/>
    </row>
    <row r="771" spans="8:16" ht="15.75" customHeight="1" x14ac:dyDescent="0.25">
      <c r="H771" s="5"/>
      <c r="P771" s="2"/>
    </row>
    <row r="772" spans="8:16" ht="15.75" customHeight="1" x14ac:dyDescent="0.25">
      <c r="H772" s="5"/>
      <c r="P772" s="2"/>
    </row>
    <row r="773" spans="8:16" ht="15.75" customHeight="1" x14ac:dyDescent="0.25">
      <c r="H773" s="5"/>
      <c r="P773" s="2"/>
    </row>
    <row r="774" spans="8:16" ht="15.75" customHeight="1" x14ac:dyDescent="0.25">
      <c r="H774" s="5"/>
      <c r="P774" s="2"/>
    </row>
    <row r="775" spans="8:16" ht="15.75" customHeight="1" x14ac:dyDescent="0.25">
      <c r="H775" s="5"/>
      <c r="P775" s="2"/>
    </row>
    <row r="776" spans="8:16" ht="15.75" customHeight="1" x14ac:dyDescent="0.25">
      <c r="H776" s="5"/>
      <c r="P776" s="2"/>
    </row>
    <row r="777" spans="8:16" ht="15.75" customHeight="1" x14ac:dyDescent="0.25">
      <c r="H777" s="5"/>
      <c r="P777" s="2"/>
    </row>
    <row r="778" spans="8:16" ht="15.75" customHeight="1" x14ac:dyDescent="0.25">
      <c r="H778" s="5"/>
      <c r="P778" s="2"/>
    </row>
    <row r="779" spans="8:16" ht="15.75" customHeight="1" x14ac:dyDescent="0.25">
      <c r="H779" s="5"/>
      <c r="P779" s="2"/>
    </row>
    <row r="780" spans="8:16" ht="15.75" customHeight="1" x14ac:dyDescent="0.25">
      <c r="H780" s="5"/>
      <c r="P780" s="2"/>
    </row>
    <row r="781" spans="8:16" ht="15.75" customHeight="1" x14ac:dyDescent="0.25">
      <c r="H781" s="5"/>
      <c r="P781" s="2"/>
    </row>
    <row r="782" spans="8:16" ht="15.75" customHeight="1" x14ac:dyDescent="0.25">
      <c r="H782" s="5"/>
      <c r="P782" s="2"/>
    </row>
    <row r="783" spans="8:16" ht="15.75" customHeight="1" x14ac:dyDescent="0.25">
      <c r="H783" s="5"/>
      <c r="P783" s="2"/>
    </row>
    <row r="784" spans="8:16" ht="15.75" customHeight="1" x14ac:dyDescent="0.25">
      <c r="H784" s="5"/>
      <c r="P784" s="2"/>
    </row>
    <row r="785" spans="8:16" ht="15.75" customHeight="1" x14ac:dyDescent="0.25">
      <c r="H785" s="5"/>
      <c r="P785" s="2"/>
    </row>
    <row r="786" spans="8:16" ht="15.75" customHeight="1" x14ac:dyDescent="0.25">
      <c r="H786" s="5"/>
      <c r="P786" s="2"/>
    </row>
    <row r="787" spans="8:16" ht="15.75" customHeight="1" x14ac:dyDescent="0.25">
      <c r="H787" s="5"/>
      <c r="P787" s="2"/>
    </row>
    <row r="788" spans="8:16" ht="15.75" customHeight="1" x14ac:dyDescent="0.25">
      <c r="H788" s="5"/>
      <c r="P788" s="2"/>
    </row>
    <row r="789" spans="8:16" ht="15.75" customHeight="1" x14ac:dyDescent="0.25">
      <c r="H789" s="5"/>
      <c r="P789" s="2"/>
    </row>
    <row r="790" spans="8:16" ht="15.75" customHeight="1" x14ac:dyDescent="0.25">
      <c r="H790" s="5"/>
      <c r="P790" s="2"/>
    </row>
    <row r="791" spans="8:16" ht="15.75" customHeight="1" x14ac:dyDescent="0.25">
      <c r="H791" s="5"/>
      <c r="P791" s="2"/>
    </row>
    <row r="792" spans="8:16" ht="15.75" customHeight="1" x14ac:dyDescent="0.25">
      <c r="H792" s="5"/>
      <c r="P792" s="2"/>
    </row>
    <row r="793" spans="8:16" ht="15.75" customHeight="1" x14ac:dyDescent="0.25">
      <c r="H793" s="5"/>
      <c r="P793" s="2"/>
    </row>
    <row r="794" spans="8:16" ht="15.75" customHeight="1" x14ac:dyDescent="0.25">
      <c r="H794" s="5"/>
      <c r="P794" s="2"/>
    </row>
    <row r="795" spans="8:16" ht="15.75" customHeight="1" x14ac:dyDescent="0.25">
      <c r="H795" s="5"/>
      <c r="P795" s="2"/>
    </row>
    <row r="796" spans="8:16" ht="15.75" customHeight="1" x14ac:dyDescent="0.25">
      <c r="H796" s="5"/>
      <c r="P796" s="2"/>
    </row>
    <row r="797" spans="8:16" ht="15.75" customHeight="1" x14ac:dyDescent="0.25">
      <c r="H797" s="5"/>
      <c r="P797" s="2"/>
    </row>
    <row r="798" spans="8:16" ht="15.75" customHeight="1" x14ac:dyDescent="0.25">
      <c r="H798" s="5"/>
      <c r="P798" s="2"/>
    </row>
    <row r="799" spans="8:16" ht="15.75" customHeight="1" x14ac:dyDescent="0.25">
      <c r="H799" s="5"/>
      <c r="P799" s="2"/>
    </row>
    <row r="800" spans="8:16" ht="15.75" customHeight="1" x14ac:dyDescent="0.25">
      <c r="H800" s="5"/>
      <c r="P800" s="2"/>
    </row>
    <row r="801" spans="8:16" ht="15.75" customHeight="1" x14ac:dyDescent="0.25">
      <c r="H801" s="5"/>
      <c r="P801" s="2"/>
    </row>
    <row r="802" spans="8:16" ht="15.75" customHeight="1" x14ac:dyDescent="0.25">
      <c r="H802" s="5"/>
      <c r="P802" s="2"/>
    </row>
    <row r="803" spans="8:16" ht="15.75" customHeight="1" x14ac:dyDescent="0.25">
      <c r="H803" s="5"/>
      <c r="P803" s="2"/>
    </row>
    <row r="804" spans="8:16" ht="15.75" customHeight="1" x14ac:dyDescent="0.25">
      <c r="H804" s="5"/>
      <c r="P804" s="2"/>
    </row>
    <row r="805" spans="8:16" ht="15.75" customHeight="1" x14ac:dyDescent="0.25">
      <c r="H805" s="5"/>
      <c r="P805" s="2"/>
    </row>
    <row r="806" spans="8:16" ht="15.75" customHeight="1" x14ac:dyDescent="0.25">
      <c r="H806" s="5"/>
      <c r="P806" s="2"/>
    </row>
    <row r="807" spans="8:16" ht="15.75" customHeight="1" x14ac:dyDescent="0.25">
      <c r="H807" s="5"/>
      <c r="P807" s="2"/>
    </row>
    <row r="808" spans="8:16" ht="15.75" customHeight="1" x14ac:dyDescent="0.25">
      <c r="H808" s="5"/>
      <c r="P808" s="2"/>
    </row>
    <row r="809" spans="8:16" ht="15.75" customHeight="1" x14ac:dyDescent="0.25">
      <c r="H809" s="5"/>
      <c r="P809" s="2"/>
    </row>
    <row r="810" spans="8:16" ht="15.75" customHeight="1" x14ac:dyDescent="0.25">
      <c r="H810" s="5"/>
      <c r="P810" s="2"/>
    </row>
    <row r="811" spans="8:16" ht="15.75" customHeight="1" x14ac:dyDescent="0.25">
      <c r="H811" s="5"/>
      <c r="P811" s="2"/>
    </row>
    <row r="812" spans="8:16" ht="15.75" customHeight="1" x14ac:dyDescent="0.25">
      <c r="H812" s="5"/>
      <c r="P812" s="2"/>
    </row>
    <row r="813" spans="8:16" ht="15.75" customHeight="1" x14ac:dyDescent="0.25">
      <c r="H813" s="5"/>
      <c r="P813" s="2"/>
    </row>
    <row r="814" spans="8:16" ht="15.75" customHeight="1" x14ac:dyDescent="0.25">
      <c r="H814" s="5"/>
      <c r="P814" s="2"/>
    </row>
    <row r="815" spans="8:16" ht="15.75" customHeight="1" x14ac:dyDescent="0.25">
      <c r="H815" s="5"/>
      <c r="P815" s="2"/>
    </row>
    <row r="816" spans="8:16" ht="15.75" customHeight="1" x14ac:dyDescent="0.25">
      <c r="H816" s="5"/>
      <c r="P816" s="2"/>
    </row>
    <row r="817" spans="8:16" ht="15.75" customHeight="1" x14ac:dyDescent="0.25">
      <c r="H817" s="5"/>
      <c r="P817" s="2"/>
    </row>
    <row r="818" spans="8:16" ht="15.75" customHeight="1" x14ac:dyDescent="0.25">
      <c r="H818" s="5"/>
      <c r="P818" s="2"/>
    </row>
    <row r="819" spans="8:16" ht="15.75" customHeight="1" x14ac:dyDescent="0.25">
      <c r="H819" s="5"/>
      <c r="P819" s="2"/>
    </row>
    <row r="820" spans="8:16" ht="15.75" customHeight="1" x14ac:dyDescent="0.25">
      <c r="H820" s="5"/>
      <c r="P820" s="2"/>
    </row>
    <row r="821" spans="8:16" ht="15.75" customHeight="1" x14ac:dyDescent="0.25">
      <c r="H821" s="5"/>
      <c r="P821" s="2"/>
    </row>
    <row r="822" spans="8:16" ht="15.75" customHeight="1" x14ac:dyDescent="0.25">
      <c r="H822" s="5"/>
      <c r="P822" s="2"/>
    </row>
    <row r="823" spans="8:16" ht="15.75" customHeight="1" x14ac:dyDescent="0.25">
      <c r="H823" s="5"/>
      <c r="P823" s="2"/>
    </row>
    <row r="824" spans="8:16" ht="15.75" customHeight="1" x14ac:dyDescent="0.25">
      <c r="H824" s="5"/>
      <c r="P824" s="2"/>
    </row>
    <row r="825" spans="8:16" ht="15.75" customHeight="1" x14ac:dyDescent="0.25">
      <c r="H825" s="5"/>
      <c r="P825" s="2"/>
    </row>
    <row r="826" spans="8:16" ht="15.75" customHeight="1" x14ac:dyDescent="0.25">
      <c r="H826" s="5"/>
      <c r="P826" s="2"/>
    </row>
    <row r="827" spans="8:16" ht="15.75" customHeight="1" x14ac:dyDescent="0.25">
      <c r="H827" s="5"/>
      <c r="P827" s="2"/>
    </row>
    <row r="828" spans="8:16" ht="15.75" customHeight="1" x14ac:dyDescent="0.25">
      <c r="H828" s="5"/>
      <c r="P828" s="2"/>
    </row>
    <row r="829" spans="8:16" ht="15.75" customHeight="1" x14ac:dyDescent="0.25">
      <c r="H829" s="5"/>
      <c r="P829" s="2"/>
    </row>
    <row r="830" spans="8:16" ht="15.75" customHeight="1" x14ac:dyDescent="0.25">
      <c r="H830" s="5"/>
      <c r="P830" s="2"/>
    </row>
    <row r="831" spans="8:16" ht="15.75" customHeight="1" x14ac:dyDescent="0.25">
      <c r="H831" s="5"/>
      <c r="P831" s="2"/>
    </row>
    <row r="832" spans="8:16" ht="15.75" customHeight="1" x14ac:dyDescent="0.25">
      <c r="H832" s="5"/>
      <c r="P832" s="2"/>
    </row>
    <row r="833" spans="8:16" ht="15.75" customHeight="1" x14ac:dyDescent="0.25">
      <c r="H833" s="5"/>
      <c r="P833" s="2"/>
    </row>
    <row r="834" spans="8:16" ht="15.75" customHeight="1" x14ac:dyDescent="0.25">
      <c r="H834" s="5"/>
      <c r="P834" s="2"/>
    </row>
    <row r="835" spans="8:16" ht="15.75" customHeight="1" x14ac:dyDescent="0.25">
      <c r="H835" s="5"/>
      <c r="P835" s="2"/>
    </row>
    <row r="836" spans="8:16" ht="15.75" customHeight="1" x14ac:dyDescent="0.25">
      <c r="H836" s="5"/>
      <c r="P836" s="2"/>
    </row>
    <row r="837" spans="8:16" ht="15.75" customHeight="1" x14ac:dyDescent="0.25">
      <c r="H837" s="5"/>
      <c r="P837" s="2"/>
    </row>
    <row r="838" spans="8:16" ht="15.75" customHeight="1" x14ac:dyDescent="0.25">
      <c r="H838" s="5"/>
      <c r="P838" s="2"/>
    </row>
    <row r="839" spans="8:16" ht="15.75" customHeight="1" x14ac:dyDescent="0.25">
      <c r="H839" s="5"/>
      <c r="P839" s="2"/>
    </row>
    <row r="840" spans="8:16" ht="15.75" customHeight="1" x14ac:dyDescent="0.25">
      <c r="H840" s="5"/>
      <c r="P840" s="2"/>
    </row>
    <row r="841" spans="8:16" ht="15.75" customHeight="1" x14ac:dyDescent="0.25">
      <c r="H841" s="5"/>
      <c r="P841" s="2"/>
    </row>
    <row r="842" spans="8:16" ht="15.75" customHeight="1" x14ac:dyDescent="0.25">
      <c r="H842" s="5"/>
      <c r="P842" s="2"/>
    </row>
    <row r="843" spans="8:16" ht="15.75" customHeight="1" x14ac:dyDescent="0.25">
      <c r="H843" s="5"/>
      <c r="P843" s="2"/>
    </row>
    <row r="844" spans="8:16" ht="15.75" customHeight="1" x14ac:dyDescent="0.25">
      <c r="H844" s="5"/>
      <c r="P844" s="2"/>
    </row>
    <row r="845" spans="8:16" ht="15.75" customHeight="1" x14ac:dyDescent="0.25">
      <c r="H845" s="5"/>
      <c r="P845" s="2"/>
    </row>
    <row r="846" spans="8:16" ht="15.75" customHeight="1" x14ac:dyDescent="0.25">
      <c r="H846" s="5"/>
      <c r="P846" s="2"/>
    </row>
    <row r="847" spans="8:16" ht="15.75" customHeight="1" x14ac:dyDescent="0.25">
      <c r="H847" s="5"/>
      <c r="P847" s="2"/>
    </row>
    <row r="848" spans="8:16" ht="15.75" customHeight="1" x14ac:dyDescent="0.25">
      <c r="H848" s="5"/>
      <c r="P848" s="2"/>
    </row>
    <row r="849" spans="8:16" ht="15.75" customHeight="1" x14ac:dyDescent="0.25">
      <c r="H849" s="5"/>
      <c r="P849" s="2"/>
    </row>
    <row r="850" spans="8:16" ht="15.75" customHeight="1" x14ac:dyDescent="0.25">
      <c r="H850" s="5"/>
      <c r="P850" s="2"/>
    </row>
    <row r="851" spans="8:16" ht="15.75" customHeight="1" x14ac:dyDescent="0.25">
      <c r="H851" s="5"/>
      <c r="P851" s="2"/>
    </row>
    <row r="852" spans="8:16" ht="15.75" customHeight="1" x14ac:dyDescent="0.25">
      <c r="H852" s="5"/>
      <c r="P852" s="2"/>
    </row>
    <row r="853" spans="8:16" ht="15.75" customHeight="1" x14ac:dyDescent="0.25">
      <c r="H853" s="5"/>
      <c r="P853" s="2"/>
    </row>
    <row r="854" spans="8:16" ht="15.75" customHeight="1" x14ac:dyDescent="0.25">
      <c r="H854" s="5"/>
      <c r="P854" s="2"/>
    </row>
    <row r="855" spans="8:16" ht="15.75" customHeight="1" x14ac:dyDescent="0.25">
      <c r="H855" s="5"/>
      <c r="P855" s="2"/>
    </row>
    <row r="856" spans="8:16" ht="15.75" customHeight="1" x14ac:dyDescent="0.25">
      <c r="H856" s="5"/>
      <c r="P856" s="2"/>
    </row>
    <row r="857" spans="8:16" ht="15.75" customHeight="1" x14ac:dyDescent="0.25">
      <c r="H857" s="5"/>
      <c r="P857" s="2"/>
    </row>
    <row r="858" spans="8:16" ht="15.75" customHeight="1" x14ac:dyDescent="0.25">
      <c r="H858" s="5"/>
      <c r="P858" s="2"/>
    </row>
    <row r="859" spans="8:16" ht="15.75" customHeight="1" x14ac:dyDescent="0.25">
      <c r="H859" s="5"/>
      <c r="P859" s="2"/>
    </row>
    <row r="860" spans="8:16" ht="15.75" customHeight="1" x14ac:dyDescent="0.25">
      <c r="H860" s="5"/>
      <c r="P860" s="2"/>
    </row>
    <row r="861" spans="8:16" ht="15.75" customHeight="1" x14ac:dyDescent="0.25">
      <c r="H861" s="5"/>
      <c r="P861" s="2"/>
    </row>
    <row r="862" spans="8:16" ht="15.75" customHeight="1" x14ac:dyDescent="0.25">
      <c r="H862" s="5"/>
      <c r="P862" s="2"/>
    </row>
    <row r="863" spans="8:16" ht="15.75" customHeight="1" x14ac:dyDescent="0.25">
      <c r="H863" s="5"/>
      <c r="P863" s="2"/>
    </row>
    <row r="864" spans="8:16" ht="15.75" customHeight="1" x14ac:dyDescent="0.25">
      <c r="H864" s="5"/>
      <c r="P864" s="2"/>
    </row>
    <row r="865" spans="8:16" ht="15.75" customHeight="1" x14ac:dyDescent="0.25">
      <c r="H865" s="5"/>
      <c r="P865" s="2"/>
    </row>
    <row r="866" spans="8:16" ht="15.75" customHeight="1" x14ac:dyDescent="0.25">
      <c r="H866" s="5"/>
      <c r="P866" s="2"/>
    </row>
    <row r="867" spans="8:16" ht="15.75" customHeight="1" x14ac:dyDescent="0.25">
      <c r="H867" s="5"/>
      <c r="P867" s="2"/>
    </row>
    <row r="868" spans="8:16" ht="15.75" customHeight="1" x14ac:dyDescent="0.25">
      <c r="H868" s="5"/>
      <c r="P868" s="2"/>
    </row>
    <row r="869" spans="8:16" ht="15.75" customHeight="1" x14ac:dyDescent="0.25">
      <c r="H869" s="5"/>
      <c r="P869" s="2"/>
    </row>
    <row r="870" spans="8:16" ht="15.75" customHeight="1" x14ac:dyDescent="0.25">
      <c r="H870" s="5"/>
      <c r="P870" s="2"/>
    </row>
    <row r="871" spans="8:16" ht="15.75" customHeight="1" x14ac:dyDescent="0.25">
      <c r="H871" s="5"/>
      <c r="P871" s="2"/>
    </row>
    <row r="872" spans="8:16" ht="15.75" customHeight="1" x14ac:dyDescent="0.25">
      <c r="H872" s="5"/>
      <c r="P872" s="2"/>
    </row>
    <row r="873" spans="8:16" ht="15.75" customHeight="1" x14ac:dyDescent="0.25">
      <c r="H873" s="5"/>
      <c r="P873" s="2"/>
    </row>
    <row r="874" spans="8:16" ht="15.75" customHeight="1" x14ac:dyDescent="0.25">
      <c r="H874" s="5"/>
      <c r="P874" s="2"/>
    </row>
    <row r="875" spans="8:16" ht="15.75" customHeight="1" x14ac:dyDescent="0.25">
      <c r="H875" s="5"/>
      <c r="P875" s="2"/>
    </row>
    <row r="876" spans="8:16" ht="15.75" customHeight="1" x14ac:dyDescent="0.25">
      <c r="H876" s="5"/>
      <c r="P876" s="2"/>
    </row>
    <row r="877" spans="8:16" ht="15.75" customHeight="1" x14ac:dyDescent="0.25">
      <c r="H877" s="5"/>
      <c r="P877" s="2"/>
    </row>
    <row r="878" spans="8:16" ht="15.75" customHeight="1" x14ac:dyDescent="0.25">
      <c r="H878" s="5"/>
      <c r="P878" s="2"/>
    </row>
    <row r="879" spans="8:16" ht="15.75" customHeight="1" x14ac:dyDescent="0.25">
      <c r="H879" s="5"/>
      <c r="P879" s="2"/>
    </row>
    <row r="880" spans="8:16" ht="15.75" customHeight="1" x14ac:dyDescent="0.25">
      <c r="H880" s="5"/>
      <c r="P880" s="2"/>
    </row>
    <row r="881" spans="8:16" ht="15.75" customHeight="1" x14ac:dyDescent="0.25">
      <c r="H881" s="5"/>
      <c r="P881" s="2"/>
    </row>
    <row r="882" spans="8:16" ht="15.75" customHeight="1" x14ac:dyDescent="0.25">
      <c r="H882" s="5"/>
      <c r="P882" s="2"/>
    </row>
    <row r="883" spans="8:16" ht="15.75" customHeight="1" x14ac:dyDescent="0.25">
      <c r="H883" s="5"/>
      <c r="P883" s="2"/>
    </row>
    <row r="884" spans="8:16" ht="15.75" customHeight="1" x14ac:dyDescent="0.25">
      <c r="H884" s="5"/>
      <c r="P884" s="2"/>
    </row>
    <row r="885" spans="8:16" ht="15.75" customHeight="1" x14ac:dyDescent="0.25">
      <c r="H885" s="5"/>
      <c r="P885" s="2"/>
    </row>
    <row r="886" spans="8:16" ht="15.75" customHeight="1" x14ac:dyDescent="0.25">
      <c r="H886" s="5"/>
      <c r="P886" s="2"/>
    </row>
    <row r="887" spans="8:16" ht="15.75" customHeight="1" x14ac:dyDescent="0.25">
      <c r="H887" s="5"/>
      <c r="P887" s="2"/>
    </row>
    <row r="888" spans="8:16" ht="15.75" customHeight="1" x14ac:dyDescent="0.25">
      <c r="H888" s="5"/>
      <c r="P888" s="2"/>
    </row>
    <row r="889" spans="8:16" ht="15.75" customHeight="1" x14ac:dyDescent="0.25">
      <c r="H889" s="5"/>
      <c r="P889" s="2"/>
    </row>
    <row r="890" spans="8:16" ht="15.75" customHeight="1" x14ac:dyDescent="0.25">
      <c r="H890" s="5"/>
      <c r="P890" s="2"/>
    </row>
    <row r="891" spans="8:16" ht="15.75" customHeight="1" x14ac:dyDescent="0.25">
      <c r="H891" s="5"/>
      <c r="P891" s="2"/>
    </row>
    <row r="892" spans="8:16" ht="15.75" customHeight="1" x14ac:dyDescent="0.25">
      <c r="H892" s="5"/>
      <c r="P892" s="2"/>
    </row>
    <row r="893" spans="8:16" ht="15.75" customHeight="1" x14ac:dyDescent="0.25">
      <c r="H893" s="5"/>
      <c r="P893" s="2"/>
    </row>
    <row r="894" spans="8:16" ht="15.75" customHeight="1" x14ac:dyDescent="0.25">
      <c r="H894" s="5"/>
      <c r="P894" s="2"/>
    </row>
    <row r="895" spans="8:16" ht="15.75" customHeight="1" x14ac:dyDescent="0.25">
      <c r="H895" s="5"/>
      <c r="P895" s="2"/>
    </row>
    <row r="896" spans="8:16" ht="15.75" customHeight="1" x14ac:dyDescent="0.25">
      <c r="H896" s="5"/>
      <c r="P896" s="2"/>
    </row>
    <row r="897" spans="8:16" ht="15.75" customHeight="1" x14ac:dyDescent="0.25">
      <c r="H897" s="5"/>
      <c r="P897" s="2"/>
    </row>
    <row r="898" spans="8:16" ht="15.75" customHeight="1" x14ac:dyDescent="0.25">
      <c r="H898" s="5"/>
      <c r="P898" s="2"/>
    </row>
    <row r="899" spans="8:16" ht="15.75" customHeight="1" x14ac:dyDescent="0.25">
      <c r="H899" s="5"/>
      <c r="P899" s="2"/>
    </row>
    <row r="900" spans="8:16" ht="15.75" customHeight="1" x14ac:dyDescent="0.25">
      <c r="H900" s="5"/>
      <c r="P900" s="2"/>
    </row>
    <row r="901" spans="8:16" ht="15.75" customHeight="1" x14ac:dyDescent="0.25">
      <c r="H901" s="5"/>
      <c r="P901" s="2"/>
    </row>
    <row r="902" spans="8:16" ht="15.75" customHeight="1" x14ac:dyDescent="0.25">
      <c r="H902" s="5"/>
      <c r="P902" s="2"/>
    </row>
    <row r="903" spans="8:16" ht="15.75" customHeight="1" x14ac:dyDescent="0.25">
      <c r="H903" s="5"/>
      <c r="P903" s="2"/>
    </row>
    <row r="904" spans="8:16" ht="15.75" customHeight="1" x14ac:dyDescent="0.25">
      <c r="H904" s="5"/>
      <c r="P904" s="2"/>
    </row>
    <row r="905" spans="8:16" ht="15.75" customHeight="1" x14ac:dyDescent="0.25">
      <c r="H905" s="5"/>
      <c r="P905" s="2"/>
    </row>
    <row r="906" spans="8:16" ht="15.75" customHeight="1" x14ac:dyDescent="0.25">
      <c r="H906" s="5"/>
      <c r="P906" s="2"/>
    </row>
    <row r="907" spans="8:16" ht="15.75" customHeight="1" x14ac:dyDescent="0.25">
      <c r="H907" s="5"/>
      <c r="P907" s="2"/>
    </row>
    <row r="908" spans="8:16" ht="15.75" customHeight="1" x14ac:dyDescent="0.25">
      <c r="H908" s="5"/>
      <c r="P908" s="2"/>
    </row>
    <row r="909" spans="8:16" ht="15.75" customHeight="1" x14ac:dyDescent="0.25">
      <c r="H909" s="5"/>
      <c r="P909" s="2"/>
    </row>
    <row r="910" spans="8:16" ht="15.75" customHeight="1" x14ac:dyDescent="0.25">
      <c r="H910" s="5"/>
      <c r="P910" s="2"/>
    </row>
    <row r="911" spans="8:16" ht="15.75" customHeight="1" x14ac:dyDescent="0.25">
      <c r="H911" s="5"/>
      <c r="P911" s="2"/>
    </row>
    <row r="912" spans="8:16" ht="15.75" customHeight="1" x14ac:dyDescent="0.25">
      <c r="H912" s="5"/>
      <c r="P912" s="2"/>
    </row>
    <row r="913" spans="8:16" ht="15.75" customHeight="1" x14ac:dyDescent="0.25">
      <c r="H913" s="5"/>
      <c r="P913" s="2"/>
    </row>
    <row r="914" spans="8:16" ht="15.75" customHeight="1" x14ac:dyDescent="0.25">
      <c r="H914" s="5"/>
      <c r="P914" s="2"/>
    </row>
    <row r="915" spans="8:16" ht="15.75" customHeight="1" x14ac:dyDescent="0.25">
      <c r="H915" s="5"/>
      <c r="P915" s="2"/>
    </row>
    <row r="916" spans="8:16" ht="15.75" customHeight="1" x14ac:dyDescent="0.25">
      <c r="H916" s="5"/>
      <c r="P916" s="2"/>
    </row>
    <row r="917" spans="8:16" ht="15.75" customHeight="1" x14ac:dyDescent="0.25">
      <c r="H917" s="5"/>
      <c r="P917" s="2"/>
    </row>
    <row r="918" spans="8:16" ht="15.75" customHeight="1" x14ac:dyDescent="0.25">
      <c r="H918" s="5"/>
      <c r="P918" s="2"/>
    </row>
    <row r="919" spans="8:16" ht="15.75" customHeight="1" x14ac:dyDescent="0.25">
      <c r="H919" s="5"/>
      <c r="P919" s="2"/>
    </row>
    <row r="920" spans="8:16" ht="15.75" customHeight="1" x14ac:dyDescent="0.25">
      <c r="H920" s="5"/>
      <c r="P920" s="2"/>
    </row>
    <row r="921" spans="8:16" ht="15.75" customHeight="1" x14ac:dyDescent="0.25">
      <c r="H921" s="5"/>
      <c r="P921" s="2"/>
    </row>
    <row r="922" spans="8:16" ht="15.75" customHeight="1" x14ac:dyDescent="0.25">
      <c r="H922" s="5"/>
      <c r="P922" s="2"/>
    </row>
    <row r="923" spans="8:16" ht="15.75" customHeight="1" x14ac:dyDescent="0.25">
      <c r="H923" s="5"/>
      <c r="P923" s="2"/>
    </row>
    <row r="924" spans="8:16" ht="15.75" customHeight="1" x14ac:dyDescent="0.25">
      <c r="H924" s="5"/>
      <c r="P924" s="2"/>
    </row>
    <row r="925" spans="8:16" ht="15.75" customHeight="1" x14ac:dyDescent="0.25">
      <c r="H925" s="5"/>
      <c r="P925" s="2"/>
    </row>
    <row r="926" spans="8:16" ht="15.75" customHeight="1" x14ac:dyDescent="0.25">
      <c r="H926" s="5"/>
      <c r="P926" s="2"/>
    </row>
    <row r="927" spans="8:16" ht="15.75" customHeight="1" x14ac:dyDescent="0.25">
      <c r="H927" s="5"/>
      <c r="P927" s="2"/>
    </row>
    <row r="928" spans="8:16" ht="15.75" customHeight="1" x14ac:dyDescent="0.25">
      <c r="H928" s="5"/>
      <c r="P928" s="2"/>
    </row>
    <row r="929" spans="8:16" ht="15.75" customHeight="1" x14ac:dyDescent="0.25">
      <c r="H929" s="5"/>
      <c r="P929" s="2"/>
    </row>
    <row r="930" spans="8:16" ht="15.75" customHeight="1" x14ac:dyDescent="0.25">
      <c r="H930" s="5"/>
      <c r="P930" s="2"/>
    </row>
    <row r="931" spans="8:16" ht="15.75" customHeight="1" x14ac:dyDescent="0.25">
      <c r="H931" s="5"/>
      <c r="P931" s="2"/>
    </row>
    <row r="932" spans="8:16" ht="15.75" customHeight="1" x14ac:dyDescent="0.25">
      <c r="H932" s="5"/>
      <c r="P932" s="2"/>
    </row>
    <row r="933" spans="8:16" ht="15.75" customHeight="1" x14ac:dyDescent="0.25">
      <c r="H933" s="5"/>
      <c r="P933" s="2"/>
    </row>
    <row r="934" spans="8:16" ht="15.75" customHeight="1" x14ac:dyDescent="0.25">
      <c r="H934" s="5"/>
      <c r="P934" s="2"/>
    </row>
    <row r="935" spans="8:16" ht="15.75" customHeight="1" x14ac:dyDescent="0.25">
      <c r="H935" s="5"/>
      <c r="P935" s="2"/>
    </row>
    <row r="936" spans="8:16" ht="15.75" customHeight="1" x14ac:dyDescent="0.25">
      <c r="H936" s="5"/>
      <c r="P936" s="2"/>
    </row>
    <row r="937" spans="8:16" ht="15.75" customHeight="1" x14ac:dyDescent="0.25">
      <c r="H937" s="5"/>
      <c r="P937" s="2"/>
    </row>
    <row r="938" spans="8:16" ht="15.75" customHeight="1" x14ac:dyDescent="0.25">
      <c r="H938" s="5"/>
      <c r="P938" s="2"/>
    </row>
    <row r="939" spans="8:16" ht="15.75" customHeight="1" x14ac:dyDescent="0.25">
      <c r="H939" s="5"/>
      <c r="P939" s="2"/>
    </row>
    <row r="940" spans="8:16" ht="15.75" customHeight="1" x14ac:dyDescent="0.25">
      <c r="H940" s="5"/>
      <c r="P940" s="2"/>
    </row>
    <row r="941" spans="8:16" ht="15.75" customHeight="1" x14ac:dyDescent="0.25">
      <c r="H941" s="5"/>
      <c r="P941" s="2"/>
    </row>
    <row r="942" spans="8:16" ht="15.75" customHeight="1" x14ac:dyDescent="0.25">
      <c r="H942" s="5"/>
      <c r="P942" s="2"/>
    </row>
    <row r="943" spans="8:16" ht="15.75" customHeight="1" x14ac:dyDescent="0.25">
      <c r="H943" s="5"/>
      <c r="P943" s="2"/>
    </row>
    <row r="944" spans="8:16" ht="15.75" customHeight="1" x14ac:dyDescent="0.25">
      <c r="H944" s="5"/>
      <c r="P944" s="2"/>
    </row>
    <row r="945" spans="8:16" ht="15.75" customHeight="1" x14ac:dyDescent="0.25">
      <c r="H945" s="5"/>
      <c r="P945" s="2"/>
    </row>
    <row r="946" spans="8:16" ht="15.75" customHeight="1" x14ac:dyDescent="0.25">
      <c r="H946" s="5"/>
      <c r="P946" s="2"/>
    </row>
    <row r="947" spans="8:16" ht="15.75" customHeight="1" x14ac:dyDescent="0.25">
      <c r="H947" s="5"/>
      <c r="P947" s="2"/>
    </row>
    <row r="948" spans="8:16" ht="15.75" customHeight="1" x14ac:dyDescent="0.25">
      <c r="H948" s="5"/>
      <c r="P948" s="2"/>
    </row>
    <row r="949" spans="8:16" ht="15.75" customHeight="1" x14ac:dyDescent="0.25">
      <c r="H949" s="5"/>
      <c r="P949" s="2"/>
    </row>
    <row r="950" spans="8:16" ht="15.75" customHeight="1" x14ac:dyDescent="0.25">
      <c r="H950" s="5"/>
      <c r="P950" s="2"/>
    </row>
    <row r="951" spans="8:16" ht="15.75" customHeight="1" x14ac:dyDescent="0.25">
      <c r="H951" s="5"/>
      <c r="P951" s="2"/>
    </row>
    <row r="952" spans="8:16" ht="15.75" customHeight="1" x14ac:dyDescent="0.25">
      <c r="H952" s="5"/>
      <c r="P952" s="2"/>
    </row>
    <row r="953" spans="8:16" ht="15.75" customHeight="1" x14ac:dyDescent="0.25">
      <c r="H953" s="5"/>
      <c r="P953" s="2"/>
    </row>
    <row r="954" spans="8:16" ht="15.75" customHeight="1" x14ac:dyDescent="0.25">
      <c r="H954" s="5"/>
      <c r="P954" s="2"/>
    </row>
    <row r="955" spans="8:16" ht="15.75" customHeight="1" x14ac:dyDescent="0.25">
      <c r="H955" s="5"/>
      <c r="P955" s="2"/>
    </row>
    <row r="956" spans="8:16" ht="15.75" customHeight="1" x14ac:dyDescent="0.25">
      <c r="H956" s="5"/>
      <c r="P956" s="2"/>
    </row>
    <row r="957" spans="8:16" ht="15.75" customHeight="1" x14ac:dyDescent="0.25">
      <c r="H957" s="5"/>
      <c r="P957" s="2"/>
    </row>
    <row r="958" spans="8:16" ht="15.75" customHeight="1" x14ac:dyDescent="0.25">
      <c r="H958" s="5"/>
      <c r="P958" s="2"/>
    </row>
    <row r="959" spans="8:16" ht="15.75" customHeight="1" x14ac:dyDescent="0.25">
      <c r="H959" s="5"/>
      <c r="P959" s="2"/>
    </row>
    <row r="960" spans="8:16" ht="15.75" customHeight="1" x14ac:dyDescent="0.25">
      <c r="H960" s="5"/>
      <c r="P960" s="2"/>
    </row>
    <row r="961" spans="8:16" ht="15.75" customHeight="1" x14ac:dyDescent="0.25">
      <c r="H961" s="5"/>
      <c r="P961" s="2"/>
    </row>
    <row r="962" spans="8:16" ht="15.75" customHeight="1" x14ac:dyDescent="0.25">
      <c r="H962" s="5"/>
      <c r="P962" s="2"/>
    </row>
    <row r="963" spans="8:16" ht="15.75" customHeight="1" x14ac:dyDescent="0.25">
      <c r="H963" s="5"/>
      <c r="P963" s="2"/>
    </row>
    <row r="964" spans="8:16" ht="15.75" customHeight="1" x14ac:dyDescent="0.25">
      <c r="H964" s="5"/>
      <c r="P964" s="2"/>
    </row>
    <row r="965" spans="8:16" ht="15.75" customHeight="1" x14ac:dyDescent="0.25">
      <c r="H965" s="5"/>
      <c r="P965" s="2"/>
    </row>
    <row r="966" spans="8:16" ht="15.75" customHeight="1" x14ac:dyDescent="0.25">
      <c r="H966" s="5"/>
      <c r="P966" s="2"/>
    </row>
    <row r="967" spans="8:16" ht="15.75" customHeight="1" x14ac:dyDescent="0.25">
      <c r="H967" s="5"/>
      <c r="P967" s="2"/>
    </row>
    <row r="968" spans="8:16" ht="15.75" customHeight="1" x14ac:dyDescent="0.25">
      <c r="H968" s="5"/>
      <c r="P968" s="2"/>
    </row>
    <row r="969" spans="8:16" ht="15.75" customHeight="1" x14ac:dyDescent="0.25">
      <c r="H969" s="5"/>
      <c r="P969" s="2"/>
    </row>
    <row r="970" spans="8:16" ht="15.75" customHeight="1" x14ac:dyDescent="0.25">
      <c r="H970" s="5"/>
      <c r="P970" s="2"/>
    </row>
    <row r="971" spans="8:16" ht="15.75" customHeight="1" x14ac:dyDescent="0.25">
      <c r="H971" s="5"/>
      <c r="P971" s="2"/>
    </row>
    <row r="972" spans="8:16" ht="15.75" customHeight="1" x14ac:dyDescent="0.25">
      <c r="H972" s="5"/>
      <c r="P972" s="2"/>
    </row>
    <row r="973" spans="8:16" ht="15.75" customHeight="1" x14ac:dyDescent="0.25">
      <c r="H973" s="5"/>
      <c r="P973" s="2"/>
    </row>
    <row r="974" spans="8:16" ht="15.75" customHeight="1" x14ac:dyDescent="0.25">
      <c r="H974" s="5"/>
      <c r="P974" s="2"/>
    </row>
    <row r="975" spans="8:16" ht="15.75" customHeight="1" x14ac:dyDescent="0.25">
      <c r="H975" s="5"/>
      <c r="P975" s="2"/>
    </row>
    <row r="976" spans="8:16" ht="15.75" customHeight="1" x14ac:dyDescent="0.25">
      <c r="H976" s="5"/>
      <c r="P976" s="2"/>
    </row>
    <row r="977" spans="8:16" ht="15.75" customHeight="1" x14ac:dyDescent="0.25">
      <c r="H977" s="5"/>
      <c r="P977" s="2"/>
    </row>
    <row r="978" spans="8:16" ht="15.75" customHeight="1" x14ac:dyDescent="0.25">
      <c r="H978" s="5"/>
      <c r="P978" s="2"/>
    </row>
    <row r="979" spans="8:16" ht="15.75" customHeight="1" x14ac:dyDescent="0.25">
      <c r="H979" s="5"/>
      <c r="P979" s="2"/>
    </row>
    <row r="980" spans="8:16" ht="15.75" customHeight="1" x14ac:dyDescent="0.25">
      <c r="H980" s="5"/>
      <c r="P980" s="2"/>
    </row>
    <row r="981" spans="8:16" ht="15.75" customHeight="1" x14ac:dyDescent="0.25">
      <c r="H981" s="5"/>
      <c r="P981" s="2"/>
    </row>
    <row r="982" spans="8:16" ht="15.75" customHeight="1" x14ac:dyDescent="0.25">
      <c r="H982" s="5"/>
      <c r="P982" s="2"/>
    </row>
    <row r="983" spans="8:16" ht="15.75" customHeight="1" x14ac:dyDescent="0.25">
      <c r="H983" s="5"/>
      <c r="P983" s="2"/>
    </row>
    <row r="984" spans="8:16" ht="15.75" customHeight="1" x14ac:dyDescent="0.25">
      <c r="H984" s="5"/>
      <c r="P984" s="2"/>
    </row>
    <row r="985" spans="8:16" ht="15.75" customHeight="1" x14ac:dyDescent="0.25">
      <c r="H985" s="5"/>
      <c r="P985" s="2"/>
    </row>
    <row r="986" spans="8:16" ht="15.75" customHeight="1" x14ac:dyDescent="0.25">
      <c r="H986" s="5"/>
      <c r="P986" s="2"/>
    </row>
    <row r="987" spans="8:16" ht="15.75" customHeight="1" x14ac:dyDescent="0.25">
      <c r="H987" s="5"/>
      <c r="P987" s="2"/>
    </row>
    <row r="988" spans="8:16" ht="15.75" customHeight="1" x14ac:dyDescent="0.25">
      <c r="H988" s="5"/>
      <c r="P988" s="2"/>
    </row>
    <row r="989" spans="8:16" ht="15.75" customHeight="1" x14ac:dyDescent="0.25">
      <c r="H989" s="5"/>
      <c r="P989" s="2"/>
    </row>
    <row r="990" spans="8:16" ht="15.75" customHeight="1" x14ac:dyDescent="0.25">
      <c r="H990" s="5"/>
      <c r="P990" s="2"/>
    </row>
    <row r="991" spans="8:16" ht="15.75" customHeight="1" x14ac:dyDescent="0.25">
      <c r="H991" s="5"/>
      <c r="P991" s="2"/>
    </row>
    <row r="992" spans="8:16" ht="15.75" customHeight="1" x14ac:dyDescent="0.25">
      <c r="H992" s="5"/>
      <c r="P992" s="2"/>
    </row>
    <row r="993" spans="8:16" ht="15.75" customHeight="1" x14ac:dyDescent="0.25">
      <c r="H993" s="5"/>
      <c r="P993" s="2"/>
    </row>
    <row r="994" spans="8:16" ht="15.75" customHeight="1" x14ac:dyDescent="0.25">
      <c r="H994" s="5"/>
      <c r="P994" s="2"/>
    </row>
    <row r="995" spans="8:16" ht="15.75" customHeight="1" x14ac:dyDescent="0.25">
      <c r="H995" s="5"/>
      <c r="P995" s="2"/>
    </row>
    <row r="996" spans="8:16" ht="15.75" customHeight="1" x14ac:dyDescent="0.25">
      <c r="H996" s="5"/>
      <c r="P996" s="2"/>
    </row>
    <row r="997" spans="8:16" ht="15.75" customHeight="1" x14ac:dyDescent="0.25">
      <c r="H997" s="5"/>
      <c r="P997" s="2"/>
    </row>
    <row r="998" spans="8:16" ht="15.75" customHeight="1" x14ac:dyDescent="0.25">
      <c r="H998" s="5"/>
      <c r="P998" s="2"/>
    </row>
    <row r="999" spans="8:16" ht="15.75" customHeight="1" x14ac:dyDescent="0.25">
      <c r="H999" s="5"/>
      <c r="P999" s="2"/>
    </row>
  </sheetData>
  <mergeCells count="3">
    <mergeCell ref="A1:N1"/>
    <mergeCell ref="C34:N34"/>
    <mergeCell ref="C36:M39"/>
  </mergeCells>
  <pageMargins left="0.25" right="0.25" top="0.75" bottom="0.75" header="0" footer="0"/>
  <pageSetup scale="8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opLeftCell="B4" workbookViewId="0">
      <selection activeCell="G10" sqref="G10"/>
    </sheetView>
  </sheetViews>
  <sheetFormatPr baseColWidth="10" defaultColWidth="14.42578125" defaultRowHeight="15" customHeight="1" x14ac:dyDescent="0.25"/>
  <cols>
    <col min="1" max="1" width="10" hidden="1" customWidth="1"/>
    <col min="2" max="2" width="10" customWidth="1"/>
    <col min="3" max="3" width="15.85546875" customWidth="1"/>
    <col min="4" max="4" width="27.85546875" customWidth="1"/>
    <col min="5" max="5" width="6.28515625" customWidth="1"/>
    <col min="6" max="7" width="10.7109375" customWidth="1"/>
    <col min="8" max="8" width="7.7109375" customWidth="1"/>
    <col min="9" max="9" width="10.85546875" customWidth="1"/>
    <col min="10" max="10" width="12.5703125" customWidth="1"/>
    <col min="11" max="11" width="6.85546875" customWidth="1"/>
    <col min="12" max="12" width="12.28515625" customWidth="1"/>
    <col min="13" max="13" width="13.42578125" customWidth="1"/>
    <col min="14" max="15" width="9.42578125" hidden="1" customWidth="1"/>
    <col min="16" max="16" width="12.5703125" hidden="1" customWidth="1"/>
    <col min="17" max="17" width="4.5703125" hidden="1" customWidth="1"/>
    <col min="18" max="18" width="5.28515625" hidden="1" customWidth="1"/>
    <col min="19" max="26" width="10.7109375" customWidth="1"/>
  </cols>
  <sheetData>
    <row r="1" spans="1:18" ht="21" customHeight="1" x14ac:dyDescent="0.25">
      <c r="A1" s="110" t="s">
        <v>100</v>
      </c>
      <c r="B1" s="111"/>
      <c r="C1" s="111"/>
      <c r="D1" s="111"/>
      <c r="E1" s="111"/>
      <c r="F1" s="111"/>
      <c r="G1" s="111"/>
      <c r="H1" s="111"/>
      <c r="I1" s="111"/>
      <c r="J1" s="111"/>
      <c r="K1" s="111"/>
      <c r="L1" s="111"/>
      <c r="M1" s="113"/>
      <c r="N1" s="1"/>
      <c r="O1" s="2"/>
      <c r="P1" s="3"/>
      <c r="Q1" s="3"/>
    </row>
    <row r="2" spans="1:18" x14ac:dyDescent="0.25">
      <c r="A2" s="4"/>
      <c r="B2" s="4"/>
      <c r="C2" s="3"/>
      <c r="D2" s="3"/>
      <c r="E2" s="3"/>
      <c r="F2" s="3"/>
      <c r="G2" s="3"/>
      <c r="H2" s="5"/>
      <c r="I2" s="3"/>
      <c r="J2" s="3"/>
      <c r="K2" s="3"/>
      <c r="L2" s="3"/>
      <c r="M2" s="6"/>
      <c r="N2" s="3"/>
      <c r="O2" s="2"/>
      <c r="P2" s="3"/>
      <c r="Q2" s="3"/>
    </row>
    <row r="3" spans="1:18" x14ac:dyDescent="0.25">
      <c r="A3" s="7" t="s">
        <v>0</v>
      </c>
      <c r="B3" s="7" t="s">
        <v>0</v>
      </c>
      <c r="C3" s="3" t="s">
        <v>1</v>
      </c>
      <c r="E3" s="3"/>
      <c r="F3" s="3"/>
      <c r="G3" s="3"/>
      <c r="H3" s="5"/>
      <c r="I3" s="3"/>
      <c r="J3" s="3"/>
      <c r="K3" s="3"/>
      <c r="L3" s="3"/>
      <c r="M3" s="6"/>
      <c r="N3" s="3"/>
      <c r="O3" s="2"/>
      <c r="P3" s="3"/>
      <c r="Q3" s="3"/>
    </row>
    <row r="4" spans="1:18" x14ac:dyDescent="0.25">
      <c r="A4" s="7" t="s">
        <v>2</v>
      </c>
      <c r="B4" s="7" t="s">
        <v>2</v>
      </c>
      <c r="C4" s="3" t="s">
        <v>3</v>
      </c>
      <c r="E4" s="3"/>
      <c r="F4" s="3"/>
      <c r="G4" s="3"/>
      <c r="H4" s="5"/>
      <c r="I4" s="3"/>
      <c r="J4" s="3"/>
      <c r="K4" s="3"/>
      <c r="L4" s="3"/>
      <c r="M4" s="6"/>
      <c r="N4" s="3"/>
      <c r="O4" s="2"/>
    </row>
    <row r="5" spans="1:18" x14ac:dyDescent="0.25">
      <c r="A5" s="7" t="s">
        <v>4</v>
      </c>
      <c r="B5" s="7" t="s">
        <v>4</v>
      </c>
      <c r="C5" s="3" t="s">
        <v>5</v>
      </c>
      <c r="E5" s="3"/>
      <c r="F5" s="3"/>
      <c r="G5" s="3"/>
      <c r="H5" s="5"/>
      <c r="I5" s="3"/>
      <c r="J5" s="3"/>
      <c r="K5" s="3"/>
      <c r="L5" s="3"/>
      <c r="M5" s="6"/>
      <c r="N5" s="3"/>
      <c r="O5" s="2"/>
    </row>
    <row r="6" spans="1:18" x14ac:dyDescent="0.25">
      <c r="A6" s="7" t="s">
        <v>6</v>
      </c>
      <c r="B6" s="7" t="s">
        <v>6</v>
      </c>
      <c r="C6" s="3" t="s">
        <v>7</v>
      </c>
      <c r="E6" s="3"/>
      <c r="F6" s="3"/>
      <c r="G6" s="3"/>
      <c r="H6" s="5"/>
      <c r="I6" s="3"/>
      <c r="J6" s="3"/>
      <c r="K6" s="3"/>
      <c r="L6" s="3"/>
      <c r="M6" s="6"/>
      <c r="N6" s="3"/>
      <c r="O6" s="2"/>
    </row>
    <row r="7" spans="1:18" hidden="1" x14ac:dyDescent="0.25">
      <c r="A7" s="8" t="s">
        <v>8</v>
      </c>
      <c r="B7" s="8" t="s">
        <v>8</v>
      </c>
      <c r="C7" s="9">
        <v>78800</v>
      </c>
      <c r="E7" s="10"/>
      <c r="F7" s="10"/>
      <c r="G7" s="10"/>
      <c r="H7" s="11"/>
      <c r="I7" s="10"/>
      <c r="J7" s="10"/>
      <c r="K7" s="10"/>
      <c r="L7" s="10"/>
      <c r="M7" s="12"/>
      <c r="N7" s="3"/>
      <c r="O7" s="2"/>
    </row>
    <row r="8" spans="1:18" x14ac:dyDescent="0.25">
      <c r="A8" s="8"/>
      <c r="B8" s="7" t="s">
        <v>8</v>
      </c>
      <c r="C8" s="9">
        <v>108686.04</v>
      </c>
      <c r="E8" s="10"/>
      <c r="F8" s="10"/>
      <c r="G8" s="10"/>
      <c r="H8" s="11"/>
      <c r="I8" s="10"/>
      <c r="J8" s="10"/>
      <c r="K8" s="10"/>
      <c r="L8" s="10"/>
      <c r="M8" s="12"/>
      <c r="N8" s="3"/>
      <c r="O8" s="2"/>
    </row>
    <row r="9" spans="1:18" ht="45" x14ac:dyDescent="0.25">
      <c r="A9" s="13" t="s">
        <v>9</v>
      </c>
      <c r="B9" s="13" t="s">
        <v>9</v>
      </c>
      <c r="C9" s="14" t="s">
        <v>10</v>
      </c>
      <c r="D9" s="13" t="s">
        <v>11</v>
      </c>
      <c r="E9" s="13" t="s">
        <v>12</v>
      </c>
      <c r="F9" s="14" t="s">
        <v>13</v>
      </c>
      <c r="G9" s="14" t="s">
        <v>14</v>
      </c>
      <c r="H9" s="15" t="s">
        <v>15</v>
      </c>
      <c r="I9" s="14" t="s">
        <v>16</v>
      </c>
      <c r="J9" s="14" t="s">
        <v>8</v>
      </c>
      <c r="K9" s="14" t="s">
        <v>17</v>
      </c>
      <c r="L9" s="16">
        <v>32215.279999999999</v>
      </c>
      <c r="M9" s="14" t="s">
        <v>18</v>
      </c>
      <c r="N9" s="17"/>
      <c r="O9" s="14" t="s">
        <v>19</v>
      </c>
      <c r="P9" s="14" t="s">
        <v>20</v>
      </c>
    </row>
    <row r="10" spans="1:18" x14ac:dyDescent="0.25">
      <c r="A10" s="18">
        <v>1</v>
      </c>
      <c r="B10" s="18">
        <v>1</v>
      </c>
      <c r="C10" s="18" t="s">
        <v>21</v>
      </c>
      <c r="D10" s="18" t="s">
        <v>22</v>
      </c>
      <c r="E10" s="18">
        <v>4.9000000000000004</v>
      </c>
      <c r="F10" s="18">
        <v>9288</v>
      </c>
      <c r="G10" s="18">
        <v>9288</v>
      </c>
      <c r="H10" s="19">
        <v>0</v>
      </c>
      <c r="I10" s="20">
        <f t="shared" ref="I10:I33" si="0">H10*7%</f>
        <v>0</v>
      </c>
      <c r="J10" s="20">
        <f t="shared" ref="J10:J23" si="1">(G10-F10)*8.0939</f>
        <v>0</v>
      </c>
      <c r="K10" s="21">
        <f t="shared" ref="K10:K25" si="2">G10-F10</f>
        <v>0</v>
      </c>
      <c r="L10" s="19">
        <f>L9*E10/100</f>
        <v>1578.54872</v>
      </c>
      <c r="M10" s="19">
        <f t="shared" ref="M10:M33" si="3">J10+P10</f>
        <v>0</v>
      </c>
      <c r="N10" s="22">
        <f>J10/C7*100</f>
        <v>0</v>
      </c>
      <c r="O10" s="23">
        <f>J10/L9*100</f>
        <v>0</v>
      </c>
      <c r="P10" s="20">
        <f>C7*O10/100</f>
        <v>0</v>
      </c>
      <c r="Q10" s="24">
        <v>0.31</v>
      </c>
      <c r="R10" s="25">
        <f t="shared" ref="R10:R11" si="4">4000*Q10</f>
        <v>1240</v>
      </c>
    </row>
    <row r="11" spans="1:18" x14ac:dyDescent="0.25">
      <c r="A11" s="18">
        <v>2</v>
      </c>
      <c r="B11" s="18">
        <v>2</v>
      </c>
      <c r="C11" s="18" t="s">
        <v>23</v>
      </c>
      <c r="D11" s="18" t="s">
        <v>24</v>
      </c>
      <c r="E11" s="18">
        <v>3.89</v>
      </c>
      <c r="F11" s="18">
        <v>13535.5</v>
      </c>
      <c r="G11" s="18">
        <v>13535.5</v>
      </c>
      <c r="H11" s="19">
        <v>0</v>
      </c>
      <c r="I11" s="20">
        <f t="shared" si="0"/>
        <v>0</v>
      </c>
      <c r="J11" s="20">
        <f t="shared" si="1"/>
        <v>0</v>
      </c>
      <c r="K11" s="21">
        <f t="shared" si="2"/>
        <v>0</v>
      </c>
      <c r="L11" s="19">
        <v>1950</v>
      </c>
      <c r="M11" s="19">
        <f t="shared" si="3"/>
        <v>4769.786262916231</v>
      </c>
      <c r="N11" s="22" t="e">
        <f t="shared" ref="N11:N33" si="5">J11/C9*100</f>
        <v>#VALUE!</v>
      </c>
      <c r="O11" s="23">
        <f>L11/L9*100</f>
        <v>6.0530282524317656</v>
      </c>
      <c r="P11" s="20">
        <f>C7*O11/100</f>
        <v>4769.786262916231</v>
      </c>
      <c r="Q11" s="24">
        <v>0.19</v>
      </c>
      <c r="R11" s="25">
        <f t="shared" si="4"/>
        <v>760</v>
      </c>
    </row>
    <row r="12" spans="1:18" x14ac:dyDescent="0.25">
      <c r="A12" s="18">
        <v>3</v>
      </c>
      <c r="B12" s="18">
        <v>3</v>
      </c>
      <c r="C12" s="18" t="s">
        <v>25</v>
      </c>
      <c r="D12" s="18" t="s">
        <v>26</v>
      </c>
      <c r="E12" s="18">
        <v>4</v>
      </c>
      <c r="F12" s="18">
        <v>6559.4</v>
      </c>
      <c r="G12" s="18">
        <v>6559.4</v>
      </c>
      <c r="H12" s="19">
        <v>0</v>
      </c>
      <c r="I12" s="20">
        <f t="shared" si="0"/>
        <v>0</v>
      </c>
      <c r="J12" s="20">
        <f t="shared" si="1"/>
        <v>0</v>
      </c>
      <c r="K12" s="21">
        <f t="shared" si="2"/>
        <v>0</v>
      </c>
      <c r="L12" s="19">
        <f>L9*E12/100</f>
        <v>1288.6112000000001</v>
      </c>
      <c r="M12" s="19">
        <f t="shared" si="3"/>
        <v>0</v>
      </c>
      <c r="N12" s="22" t="e">
        <f t="shared" si="5"/>
        <v>#VALUE!</v>
      </c>
      <c r="O12" s="23">
        <f>J12/L9*100</f>
        <v>0</v>
      </c>
      <c r="P12" s="20">
        <f>C7*O12/100</f>
        <v>0</v>
      </c>
    </row>
    <row r="13" spans="1:18" x14ac:dyDescent="0.25">
      <c r="A13" s="18">
        <v>4</v>
      </c>
      <c r="B13" s="18">
        <v>4</v>
      </c>
      <c r="C13" s="18" t="s">
        <v>27</v>
      </c>
      <c r="D13" s="18" t="s">
        <v>28</v>
      </c>
      <c r="E13" s="18">
        <v>4.9000000000000004</v>
      </c>
      <c r="F13" s="18">
        <v>15308.8</v>
      </c>
      <c r="G13" s="18">
        <v>15308.8</v>
      </c>
      <c r="H13" s="26">
        <v>0</v>
      </c>
      <c r="I13" s="20">
        <f t="shared" si="0"/>
        <v>0</v>
      </c>
      <c r="J13" s="20">
        <f t="shared" si="1"/>
        <v>0</v>
      </c>
      <c r="K13" s="21">
        <f t="shared" si="2"/>
        <v>0</v>
      </c>
      <c r="L13" s="19">
        <f>L9*E13/100</f>
        <v>1578.54872</v>
      </c>
      <c r="M13" s="19">
        <f t="shared" si="3"/>
        <v>0</v>
      </c>
      <c r="N13" s="22" t="e">
        <f t="shared" si="5"/>
        <v>#VALUE!</v>
      </c>
      <c r="O13" s="23">
        <f>J13/L9*100</f>
        <v>0</v>
      </c>
      <c r="P13" s="20">
        <f>C7*O13/100</f>
        <v>0</v>
      </c>
    </row>
    <row r="14" spans="1:18" x14ac:dyDescent="0.25">
      <c r="A14" s="18">
        <v>5</v>
      </c>
      <c r="B14" s="18">
        <v>5</v>
      </c>
      <c r="C14" s="18" t="s">
        <v>29</v>
      </c>
      <c r="D14" s="18" t="s">
        <v>30</v>
      </c>
      <c r="E14" s="18">
        <v>3.89</v>
      </c>
      <c r="F14" s="18">
        <v>2540.3000000000002</v>
      </c>
      <c r="G14" s="18">
        <v>2540.3000000000002</v>
      </c>
      <c r="H14" s="26">
        <v>0</v>
      </c>
      <c r="I14" s="20">
        <f t="shared" si="0"/>
        <v>0</v>
      </c>
      <c r="J14" s="20">
        <f t="shared" si="1"/>
        <v>0</v>
      </c>
      <c r="K14" s="21">
        <f t="shared" si="2"/>
        <v>0</v>
      </c>
      <c r="L14" s="19">
        <f>L9*E14/100</f>
        <v>1253.1743919999999</v>
      </c>
      <c r="M14" s="19">
        <f t="shared" si="3"/>
        <v>0</v>
      </c>
      <c r="N14" s="22" t="e">
        <f t="shared" si="5"/>
        <v>#VALUE!</v>
      </c>
      <c r="O14" s="23">
        <f>J14/L9*100</f>
        <v>0</v>
      </c>
      <c r="P14" s="20">
        <f>C7*O14/100</f>
        <v>0</v>
      </c>
    </row>
    <row r="15" spans="1:18" x14ac:dyDescent="0.25">
      <c r="A15" s="18">
        <v>6</v>
      </c>
      <c r="B15" s="18">
        <v>6</v>
      </c>
      <c r="C15" s="18" t="s">
        <v>31</v>
      </c>
      <c r="D15" s="18" t="s">
        <v>32</v>
      </c>
      <c r="E15" s="18">
        <v>4</v>
      </c>
      <c r="F15" s="18">
        <v>6222.3</v>
      </c>
      <c r="G15" s="18">
        <v>6222.3</v>
      </c>
      <c r="H15" s="19">
        <v>0</v>
      </c>
      <c r="I15" s="20">
        <f t="shared" si="0"/>
        <v>0</v>
      </c>
      <c r="J15" s="20">
        <f t="shared" si="1"/>
        <v>0</v>
      </c>
      <c r="K15" s="21">
        <f t="shared" si="2"/>
        <v>0</v>
      </c>
      <c r="L15" s="19">
        <f>L9*E15/100</f>
        <v>1288.6112000000001</v>
      </c>
      <c r="M15" s="19">
        <f t="shared" si="3"/>
        <v>0</v>
      </c>
      <c r="N15" s="22" t="e">
        <f t="shared" si="5"/>
        <v>#VALUE!</v>
      </c>
      <c r="O15" s="23">
        <f>J15/L9*100</f>
        <v>0</v>
      </c>
      <c r="P15" s="20">
        <f>C7*O15/100</f>
        <v>0</v>
      </c>
    </row>
    <row r="16" spans="1:18" x14ac:dyDescent="0.25">
      <c r="A16" s="18">
        <v>7</v>
      </c>
      <c r="B16" s="18">
        <v>7</v>
      </c>
      <c r="C16" s="18" t="s">
        <v>33</v>
      </c>
      <c r="D16" s="18" t="s">
        <v>34</v>
      </c>
      <c r="E16" s="18">
        <v>4.9000000000000004</v>
      </c>
      <c r="F16" s="18">
        <v>12348.1</v>
      </c>
      <c r="G16" s="18">
        <v>12348.1</v>
      </c>
      <c r="H16" s="19">
        <v>0</v>
      </c>
      <c r="I16" s="20">
        <f t="shared" si="0"/>
        <v>0</v>
      </c>
      <c r="J16" s="20">
        <f t="shared" si="1"/>
        <v>0</v>
      </c>
      <c r="K16" s="21">
        <f t="shared" si="2"/>
        <v>0</v>
      </c>
      <c r="L16" s="19">
        <f>L9*E16/100</f>
        <v>1578.54872</v>
      </c>
      <c r="M16" s="19">
        <f t="shared" si="3"/>
        <v>0</v>
      </c>
      <c r="N16" s="22" t="e">
        <f t="shared" si="5"/>
        <v>#VALUE!</v>
      </c>
      <c r="O16" s="23">
        <f>J16/L9*100</f>
        <v>0</v>
      </c>
      <c r="P16" s="20">
        <f>C7*O16/100</f>
        <v>0</v>
      </c>
    </row>
    <row r="17" spans="1:16" x14ac:dyDescent="0.25">
      <c r="A17" s="18">
        <v>8</v>
      </c>
      <c r="B17" s="18">
        <v>8</v>
      </c>
      <c r="C17" s="18" t="s">
        <v>35</v>
      </c>
      <c r="D17" s="18" t="s">
        <v>36</v>
      </c>
      <c r="E17" s="18">
        <v>3.89</v>
      </c>
      <c r="F17" s="18">
        <v>1650.33</v>
      </c>
      <c r="G17" s="18">
        <v>1650.33</v>
      </c>
      <c r="H17" s="26">
        <v>0</v>
      </c>
      <c r="I17" s="20">
        <f t="shared" si="0"/>
        <v>0</v>
      </c>
      <c r="J17" s="20">
        <f t="shared" si="1"/>
        <v>0</v>
      </c>
      <c r="K17" s="21">
        <f t="shared" si="2"/>
        <v>0</v>
      </c>
      <c r="L17" s="19">
        <f>L9*E17/100</f>
        <v>1253.1743919999999</v>
      </c>
      <c r="M17" s="19">
        <f t="shared" si="3"/>
        <v>0</v>
      </c>
      <c r="N17" s="22" t="e">
        <f t="shared" si="5"/>
        <v>#VALUE!</v>
      </c>
      <c r="O17" s="23">
        <f>J17/L9*100</f>
        <v>0</v>
      </c>
      <c r="P17" s="20">
        <f>C7*O17/100</f>
        <v>0</v>
      </c>
    </row>
    <row r="18" spans="1:16" x14ac:dyDescent="0.25">
      <c r="A18" s="18">
        <v>9</v>
      </c>
      <c r="B18" s="18">
        <v>9</v>
      </c>
      <c r="C18" s="18" t="s">
        <v>37</v>
      </c>
      <c r="D18" s="18" t="s">
        <v>38</v>
      </c>
      <c r="E18" s="18">
        <v>4</v>
      </c>
      <c r="F18" s="18">
        <v>13160.8</v>
      </c>
      <c r="G18" s="18">
        <v>13160.8</v>
      </c>
      <c r="H18" s="19">
        <v>0</v>
      </c>
      <c r="I18" s="20">
        <f t="shared" si="0"/>
        <v>0</v>
      </c>
      <c r="J18" s="20">
        <f t="shared" si="1"/>
        <v>0</v>
      </c>
      <c r="K18" s="21">
        <f t="shared" si="2"/>
        <v>0</v>
      </c>
      <c r="L18" s="19">
        <f>L9*E18/100</f>
        <v>1288.6112000000001</v>
      </c>
      <c r="M18" s="19">
        <f t="shared" si="3"/>
        <v>0</v>
      </c>
      <c r="N18" s="22" t="e">
        <f t="shared" si="5"/>
        <v>#VALUE!</v>
      </c>
      <c r="O18" s="23">
        <f>J18/L9*100</f>
        <v>0</v>
      </c>
      <c r="P18" s="20">
        <f>C7*O18/100</f>
        <v>0</v>
      </c>
    </row>
    <row r="19" spans="1:16" x14ac:dyDescent="0.25">
      <c r="A19" s="18">
        <v>10</v>
      </c>
      <c r="B19" s="18">
        <v>10</v>
      </c>
      <c r="C19" s="18" t="s">
        <v>39</v>
      </c>
      <c r="D19" s="18" t="s">
        <v>40</v>
      </c>
      <c r="E19" s="18">
        <v>12.66</v>
      </c>
      <c r="F19" s="18">
        <v>11514.4</v>
      </c>
      <c r="G19" s="18">
        <v>11514.4</v>
      </c>
      <c r="H19" s="19">
        <v>0</v>
      </c>
      <c r="I19" s="20">
        <f t="shared" si="0"/>
        <v>0</v>
      </c>
      <c r="J19" s="20">
        <f t="shared" si="1"/>
        <v>0</v>
      </c>
      <c r="K19" s="21">
        <f t="shared" si="2"/>
        <v>0</v>
      </c>
      <c r="L19" s="19">
        <f>L9*E19/100</f>
        <v>4078.454448</v>
      </c>
      <c r="M19" s="19">
        <f t="shared" si="3"/>
        <v>0</v>
      </c>
      <c r="N19" s="22" t="e">
        <f t="shared" si="5"/>
        <v>#VALUE!</v>
      </c>
      <c r="O19" s="23">
        <f>J19/L9*100</f>
        <v>0</v>
      </c>
      <c r="P19" s="20">
        <f>C7*O19/100</f>
        <v>0</v>
      </c>
    </row>
    <row r="20" spans="1:16" x14ac:dyDescent="0.25">
      <c r="A20" s="18">
        <v>11</v>
      </c>
      <c r="B20" s="18">
        <v>11</v>
      </c>
      <c r="C20" s="18" t="s">
        <v>41</v>
      </c>
      <c r="D20" s="18" t="s">
        <v>28</v>
      </c>
      <c r="E20" s="18">
        <v>7.75</v>
      </c>
      <c r="F20" s="18">
        <v>8306.1</v>
      </c>
      <c r="G20" s="18">
        <v>8306.1</v>
      </c>
      <c r="H20" s="26">
        <v>0</v>
      </c>
      <c r="I20" s="20">
        <f t="shared" si="0"/>
        <v>0</v>
      </c>
      <c r="J20" s="20">
        <f t="shared" si="1"/>
        <v>0</v>
      </c>
      <c r="K20" s="21">
        <f t="shared" si="2"/>
        <v>0</v>
      </c>
      <c r="L20" s="19">
        <f>L9*E20/100</f>
        <v>2496.6841999999997</v>
      </c>
      <c r="M20" s="19">
        <f t="shared" si="3"/>
        <v>0</v>
      </c>
      <c r="N20" s="22" t="e">
        <f t="shared" si="5"/>
        <v>#VALUE!</v>
      </c>
      <c r="O20" s="23">
        <f>J20/L9*100</f>
        <v>0</v>
      </c>
      <c r="P20" s="20">
        <f>C7*O20/100</f>
        <v>0</v>
      </c>
    </row>
    <row r="21" spans="1:16" ht="15.75" customHeight="1" x14ac:dyDescent="0.25">
      <c r="A21" s="18">
        <v>12</v>
      </c>
      <c r="B21" s="18">
        <v>12</v>
      </c>
      <c r="C21" s="18" t="s">
        <v>42</v>
      </c>
      <c r="D21" s="18" t="s">
        <v>43</v>
      </c>
      <c r="E21" s="18">
        <v>7.51</v>
      </c>
      <c r="F21" s="18">
        <v>7159.5</v>
      </c>
      <c r="G21" s="18">
        <v>7159.5</v>
      </c>
      <c r="H21" s="26">
        <v>0</v>
      </c>
      <c r="I21" s="20">
        <f t="shared" si="0"/>
        <v>0</v>
      </c>
      <c r="J21" s="20">
        <f t="shared" si="1"/>
        <v>0</v>
      </c>
      <c r="K21" s="21">
        <f t="shared" si="2"/>
        <v>0</v>
      </c>
      <c r="L21" s="19">
        <f>L9*E21/100</f>
        <v>2419.3675279999998</v>
      </c>
      <c r="M21" s="19">
        <f t="shared" si="3"/>
        <v>0</v>
      </c>
      <c r="N21" s="22" t="e">
        <f t="shared" si="5"/>
        <v>#VALUE!</v>
      </c>
      <c r="O21" s="23">
        <f>J21/L9*100</f>
        <v>0</v>
      </c>
      <c r="P21" s="20">
        <f>C7*O21/100</f>
        <v>0</v>
      </c>
    </row>
    <row r="22" spans="1:16" ht="15.75" customHeight="1" x14ac:dyDescent="0.25">
      <c r="A22" s="18">
        <v>13</v>
      </c>
      <c r="B22" s="18">
        <v>13</v>
      </c>
      <c r="C22" s="18" t="s">
        <v>44</v>
      </c>
      <c r="D22" s="18" t="s">
        <v>45</v>
      </c>
      <c r="E22" s="18">
        <v>4.45</v>
      </c>
      <c r="F22" s="18">
        <v>1161.8</v>
      </c>
      <c r="G22" s="18">
        <v>1161.8</v>
      </c>
      <c r="H22" s="26">
        <v>0</v>
      </c>
      <c r="I22" s="20">
        <f t="shared" si="0"/>
        <v>0</v>
      </c>
      <c r="J22" s="20">
        <f t="shared" si="1"/>
        <v>0</v>
      </c>
      <c r="K22" s="21">
        <f t="shared" si="2"/>
        <v>0</v>
      </c>
      <c r="L22" s="19">
        <f>L9*E22/100</f>
        <v>1433.57996</v>
      </c>
      <c r="M22" s="19">
        <f t="shared" si="3"/>
        <v>0</v>
      </c>
      <c r="N22" s="22" t="e">
        <f t="shared" si="5"/>
        <v>#VALUE!</v>
      </c>
      <c r="O22" s="23">
        <f>J22/L9*100</f>
        <v>0</v>
      </c>
      <c r="P22" s="20">
        <f>C7*O22/100</f>
        <v>0</v>
      </c>
    </row>
    <row r="23" spans="1:16" ht="15.75" customHeight="1" x14ac:dyDescent="0.25">
      <c r="A23" s="18">
        <v>14</v>
      </c>
      <c r="B23" s="18">
        <v>14</v>
      </c>
      <c r="C23" s="18" t="s">
        <v>46</v>
      </c>
      <c r="D23" s="18" t="s">
        <v>47</v>
      </c>
      <c r="E23" s="18">
        <v>6.17</v>
      </c>
      <c r="F23" s="18">
        <v>8479.3700000000008</v>
      </c>
      <c r="G23" s="18">
        <v>8479.3700000000008</v>
      </c>
      <c r="H23" s="19">
        <v>0</v>
      </c>
      <c r="I23" s="20">
        <f t="shared" si="0"/>
        <v>0</v>
      </c>
      <c r="J23" s="20">
        <f t="shared" si="1"/>
        <v>0</v>
      </c>
      <c r="K23" s="21">
        <f t="shared" si="2"/>
        <v>0</v>
      </c>
      <c r="L23" s="19">
        <f>L9*E23/100</f>
        <v>1987.6827760000001</v>
      </c>
      <c r="M23" s="19">
        <f t="shared" si="3"/>
        <v>0</v>
      </c>
      <c r="N23" s="22" t="e">
        <f t="shared" si="5"/>
        <v>#VALUE!</v>
      </c>
      <c r="O23" s="23">
        <f>J23/L9*100</f>
        <v>0</v>
      </c>
      <c r="P23" s="20">
        <f>C7*O23/100</f>
        <v>0</v>
      </c>
    </row>
    <row r="24" spans="1:16" ht="15.75" customHeight="1" x14ac:dyDescent="0.25">
      <c r="A24" s="18">
        <v>15</v>
      </c>
      <c r="B24" s="18">
        <v>15</v>
      </c>
      <c r="C24" s="18" t="s">
        <v>48</v>
      </c>
      <c r="D24" s="18" t="s">
        <v>24</v>
      </c>
      <c r="E24" s="18">
        <v>4.45</v>
      </c>
      <c r="F24" s="18">
        <v>19822.099999999999</v>
      </c>
      <c r="G24" s="18">
        <v>19822.099999999999</v>
      </c>
      <c r="H24" s="19">
        <v>0</v>
      </c>
      <c r="I24" s="20">
        <f t="shared" si="0"/>
        <v>0</v>
      </c>
      <c r="J24" s="20">
        <f>(G24-F24)*8.0939+22</f>
        <v>22</v>
      </c>
      <c r="K24" s="21">
        <f t="shared" si="2"/>
        <v>0</v>
      </c>
      <c r="L24" s="19">
        <f>L9*E24/100</f>
        <v>1433.57996</v>
      </c>
      <c r="M24" s="19">
        <f t="shared" si="3"/>
        <v>75.812973222644644</v>
      </c>
      <c r="N24" s="22" t="e">
        <f t="shared" si="5"/>
        <v>#VALUE!</v>
      </c>
      <c r="O24" s="23">
        <f>J24/L9*100</f>
        <v>6.8290575155640423E-2</v>
      </c>
      <c r="P24" s="20">
        <f>C7*O24/100</f>
        <v>53.812973222644651</v>
      </c>
    </row>
    <row r="25" spans="1:16" ht="15.75" customHeight="1" x14ac:dyDescent="0.25">
      <c r="A25" s="18">
        <v>16</v>
      </c>
      <c r="B25" s="18">
        <v>16</v>
      </c>
      <c r="C25" s="18" t="s">
        <v>49</v>
      </c>
      <c r="D25" s="18" t="s">
        <v>40</v>
      </c>
      <c r="E25" s="18">
        <v>9.19</v>
      </c>
      <c r="F25" s="18">
        <v>7571.2</v>
      </c>
      <c r="G25" s="18">
        <v>7571.2</v>
      </c>
      <c r="H25" s="19">
        <v>0</v>
      </c>
      <c r="I25" s="20">
        <f t="shared" si="0"/>
        <v>0</v>
      </c>
      <c r="J25" s="20">
        <f>(G25-F25)*8.0939</f>
        <v>0</v>
      </c>
      <c r="K25" s="21">
        <f t="shared" si="2"/>
        <v>0</v>
      </c>
      <c r="L25" s="19">
        <f>L9*E25/100</f>
        <v>2960.5842319999997</v>
      </c>
      <c r="M25" s="19">
        <f t="shared" si="3"/>
        <v>0</v>
      </c>
      <c r="N25" s="22" t="e">
        <f t="shared" si="5"/>
        <v>#VALUE!</v>
      </c>
      <c r="O25" s="23">
        <f>J25/L9*100</f>
        <v>0</v>
      </c>
      <c r="P25" s="20">
        <f>C7*O25/100</f>
        <v>0</v>
      </c>
    </row>
    <row r="26" spans="1:16" ht="15.75" customHeight="1" x14ac:dyDescent="0.25">
      <c r="A26" s="18">
        <v>17</v>
      </c>
      <c r="B26" s="18">
        <v>17</v>
      </c>
      <c r="C26" s="18" t="s">
        <v>50</v>
      </c>
      <c r="D26" s="18" t="s">
        <v>28</v>
      </c>
      <c r="E26" s="18">
        <v>1.18</v>
      </c>
      <c r="F26" s="18"/>
      <c r="G26" s="18">
        <v>0</v>
      </c>
      <c r="H26" s="19">
        <v>0</v>
      </c>
      <c r="I26" s="20">
        <f t="shared" si="0"/>
        <v>0</v>
      </c>
      <c r="J26" s="20">
        <v>450</v>
      </c>
      <c r="K26" s="19"/>
      <c r="L26" s="19">
        <v>0</v>
      </c>
      <c r="M26" s="19">
        <f t="shared" si="3"/>
        <v>1550.7199068268226</v>
      </c>
      <c r="N26" s="22" t="e">
        <f t="shared" si="5"/>
        <v>#VALUE!</v>
      </c>
      <c r="O26" s="23">
        <f>J26/L9*100</f>
        <v>1.3968526736380997</v>
      </c>
      <c r="P26" s="20">
        <f>C7*O26/100</f>
        <v>1100.7199068268226</v>
      </c>
    </row>
    <row r="27" spans="1:16" ht="15.75" customHeight="1" x14ac:dyDescent="0.25">
      <c r="A27" s="18">
        <v>18</v>
      </c>
      <c r="B27" s="18">
        <v>18</v>
      </c>
      <c r="C27" s="18" t="s">
        <v>51</v>
      </c>
      <c r="D27" s="18" t="s">
        <v>52</v>
      </c>
      <c r="E27" s="18">
        <v>1.18</v>
      </c>
      <c r="F27" s="18"/>
      <c r="G27" s="18">
        <v>0</v>
      </c>
      <c r="H27" s="19">
        <v>0</v>
      </c>
      <c r="I27" s="20">
        <f t="shared" si="0"/>
        <v>0</v>
      </c>
      <c r="J27" s="20">
        <v>450</v>
      </c>
      <c r="K27" s="19"/>
      <c r="L27" s="19">
        <v>0</v>
      </c>
      <c r="M27" s="19">
        <f t="shared" si="3"/>
        <v>1550.7199068268226</v>
      </c>
      <c r="N27" s="22" t="e">
        <f t="shared" si="5"/>
        <v>#VALUE!</v>
      </c>
      <c r="O27" s="23">
        <f>J27/L9*100</f>
        <v>1.3968526736380997</v>
      </c>
      <c r="P27" s="20">
        <f>C7*O27/100</f>
        <v>1100.7199068268226</v>
      </c>
    </row>
    <row r="28" spans="1:16" ht="15.75" customHeight="1" x14ac:dyDescent="0.25">
      <c r="A28" s="18">
        <v>19</v>
      </c>
      <c r="B28" s="18">
        <v>19</v>
      </c>
      <c r="C28" s="18" t="s">
        <v>53</v>
      </c>
      <c r="D28" s="18" t="s">
        <v>52</v>
      </c>
      <c r="E28" s="18">
        <v>1.18</v>
      </c>
      <c r="F28" s="18"/>
      <c r="G28" s="18">
        <v>0</v>
      </c>
      <c r="H28" s="19">
        <v>0</v>
      </c>
      <c r="I28" s="20">
        <f t="shared" si="0"/>
        <v>0</v>
      </c>
      <c r="J28" s="20">
        <v>450</v>
      </c>
      <c r="K28" s="19"/>
      <c r="L28" s="19">
        <v>0</v>
      </c>
      <c r="M28" s="19">
        <f t="shared" si="3"/>
        <v>1550.7199068268226</v>
      </c>
      <c r="N28" s="22" t="e">
        <f t="shared" si="5"/>
        <v>#VALUE!</v>
      </c>
      <c r="O28" s="23">
        <f>J28/L9*100</f>
        <v>1.3968526736380997</v>
      </c>
      <c r="P28" s="20">
        <f>C7*O28/100</f>
        <v>1100.7199068268226</v>
      </c>
    </row>
    <row r="29" spans="1:16" ht="15.75" customHeight="1" x14ac:dyDescent="0.25">
      <c r="A29" s="18">
        <v>20</v>
      </c>
      <c r="B29" s="18">
        <v>20</v>
      </c>
      <c r="C29" s="18" t="s">
        <v>54</v>
      </c>
      <c r="D29" s="18" t="s">
        <v>26</v>
      </c>
      <c r="E29" s="18">
        <v>1.18</v>
      </c>
      <c r="F29" s="18"/>
      <c r="G29" s="18">
        <v>0</v>
      </c>
      <c r="H29" s="19">
        <v>0</v>
      </c>
      <c r="I29" s="20">
        <f t="shared" si="0"/>
        <v>0</v>
      </c>
      <c r="J29" s="20">
        <v>450</v>
      </c>
      <c r="K29" s="19"/>
      <c r="L29" s="19">
        <v>0</v>
      </c>
      <c r="M29" s="19">
        <f t="shared" si="3"/>
        <v>1550.7199068268226</v>
      </c>
      <c r="N29" s="22" t="e">
        <f t="shared" si="5"/>
        <v>#VALUE!</v>
      </c>
      <c r="O29" s="23">
        <f>J29/L9*100</f>
        <v>1.3968526736380997</v>
      </c>
      <c r="P29" s="20">
        <f>C7*O29/100</f>
        <v>1100.7199068268226</v>
      </c>
    </row>
    <row r="30" spans="1:16" ht="15.75" customHeight="1" x14ac:dyDescent="0.25">
      <c r="A30" s="18">
        <v>21</v>
      </c>
      <c r="B30" s="18">
        <v>21</v>
      </c>
      <c r="C30" s="18" t="s">
        <v>55</v>
      </c>
      <c r="D30" s="18" t="s">
        <v>40</v>
      </c>
      <c r="E30" s="18">
        <v>1.18</v>
      </c>
      <c r="F30" s="18"/>
      <c r="G30" s="18">
        <v>0</v>
      </c>
      <c r="H30" s="19">
        <v>0</v>
      </c>
      <c r="I30" s="20">
        <f t="shared" si="0"/>
        <v>0</v>
      </c>
      <c r="J30" s="20">
        <v>450</v>
      </c>
      <c r="K30" s="19"/>
      <c r="L30" s="19">
        <v>0</v>
      </c>
      <c r="M30" s="19">
        <f t="shared" si="3"/>
        <v>1550.7199068268226</v>
      </c>
      <c r="N30" s="22" t="e">
        <f t="shared" si="5"/>
        <v>#VALUE!</v>
      </c>
      <c r="O30" s="23">
        <f>J30/L9*100</f>
        <v>1.3968526736380997</v>
      </c>
      <c r="P30" s="20">
        <f>C7*O30/100</f>
        <v>1100.7199068268226</v>
      </c>
    </row>
    <row r="31" spans="1:16" ht="15.75" customHeight="1" x14ac:dyDescent="0.25">
      <c r="A31" s="18">
        <v>22</v>
      </c>
      <c r="B31" s="18">
        <v>22</v>
      </c>
      <c r="C31" s="18" t="s">
        <v>56</v>
      </c>
      <c r="D31" s="18" t="s">
        <v>38</v>
      </c>
      <c r="E31" s="18">
        <v>1.18</v>
      </c>
      <c r="F31" s="18"/>
      <c r="G31" s="18">
        <v>0</v>
      </c>
      <c r="H31" s="19">
        <v>0</v>
      </c>
      <c r="I31" s="20">
        <f t="shared" si="0"/>
        <v>0</v>
      </c>
      <c r="J31" s="20">
        <v>450</v>
      </c>
      <c r="K31" s="19"/>
      <c r="L31" s="19">
        <v>0</v>
      </c>
      <c r="M31" s="19">
        <f t="shared" si="3"/>
        <v>1550.7199068268226</v>
      </c>
      <c r="N31" s="22" t="e">
        <f t="shared" si="5"/>
        <v>#VALUE!</v>
      </c>
      <c r="O31" s="23">
        <f>J31/L9*100</f>
        <v>1.3968526736380997</v>
      </c>
      <c r="P31" s="20">
        <f>C7*O31/100</f>
        <v>1100.7199068268226</v>
      </c>
    </row>
    <row r="32" spans="1:16" ht="15.75" customHeight="1" x14ac:dyDescent="0.25">
      <c r="A32" s="18">
        <v>23</v>
      </c>
      <c r="B32" s="18">
        <v>23</v>
      </c>
      <c r="C32" s="18" t="s">
        <v>57</v>
      </c>
      <c r="D32" s="18" t="s">
        <v>58</v>
      </c>
      <c r="E32" s="18">
        <v>1.18</v>
      </c>
      <c r="F32" s="18"/>
      <c r="G32" s="18">
        <v>0</v>
      </c>
      <c r="H32" s="19">
        <v>0</v>
      </c>
      <c r="I32" s="20">
        <f t="shared" si="0"/>
        <v>0</v>
      </c>
      <c r="J32" s="20">
        <v>450</v>
      </c>
      <c r="K32" s="19"/>
      <c r="L32" s="19">
        <v>0</v>
      </c>
      <c r="M32" s="19">
        <f t="shared" si="3"/>
        <v>1550.7199068268226</v>
      </c>
      <c r="N32" s="22" t="e">
        <f t="shared" si="5"/>
        <v>#VALUE!</v>
      </c>
      <c r="O32" s="23">
        <f>J32/L9*100</f>
        <v>1.3968526736380997</v>
      </c>
      <c r="P32" s="20">
        <f>C7*O32/100</f>
        <v>1100.7199068268226</v>
      </c>
    </row>
    <row r="33" spans="1:16" ht="15.75" customHeight="1" x14ac:dyDescent="0.25">
      <c r="A33" s="18">
        <v>24</v>
      </c>
      <c r="B33" s="18">
        <v>24</v>
      </c>
      <c r="C33" s="18" t="s">
        <v>59</v>
      </c>
      <c r="D33" s="18" t="s">
        <v>43</v>
      </c>
      <c r="E33" s="18">
        <v>1.18</v>
      </c>
      <c r="F33" s="18"/>
      <c r="G33" s="18">
        <v>0</v>
      </c>
      <c r="H33" s="19">
        <v>0</v>
      </c>
      <c r="I33" s="20">
        <f t="shared" si="0"/>
        <v>0</v>
      </c>
      <c r="J33" s="20">
        <v>450</v>
      </c>
      <c r="K33" s="19"/>
      <c r="L33" s="19">
        <v>0</v>
      </c>
      <c r="M33" s="19">
        <f t="shared" si="3"/>
        <v>1550.7199068268226</v>
      </c>
      <c r="N33" s="22" t="e">
        <f t="shared" si="5"/>
        <v>#VALUE!</v>
      </c>
      <c r="O33" s="23">
        <f>J33/L9*100</f>
        <v>1.3968526736380997</v>
      </c>
      <c r="P33" s="20">
        <f>C7*O33/100</f>
        <v>1100.7199068268226</v>
      </c>
    </row>
    <row r="34" spans="1:16" ht="15.75" hidden="1" customHeight="1" x14ac:dyDescent="0.25">
      <c r="A34" s="3"/>
      <c r="C34" s="27"/>
      <c r="D34" s="28"/>
      <c r="E34" s="28"/>
      <c r="F34" s="28"/>
      <c r="G34" s="28"/>
      <c r="H34" s="29">
        <f t="shared" ref="H34:J34" si="6">SUM(H10:H33)</f>
        <v>0</v>
      </c>
      <c r="I34" s="30">
        <f t="shared" si="6"/>
        <v>0</v>
      </c>
      <c r="J34" s="30">
        <f t="shared" si="6"/>
        <v>3622</v>
      </c>
      <c r="K34" s="29"/>
      <c r="L34" s="29">
        <f t="shared" ref="L34:M34" si="7">SUM(L10:L33)</f>
        <v>29867.761648</v>
      </c>
      <c r="M34" s="29">
        <f t="shared" si="7"/>
        <v>17251.358490753453</v>
      </c>
      <c r="N34" s="5"/>
      <c r="O34" s="2" t="e">
        <f t="shared" ref="O34:O35" si="8">J34/C32*100</f>
        <v>#VALUE!</v>
      </c>
    </row>
    <row r="35" spans="1:16" ht="15.75" hidden="1" customHeight="1" x14ac:dyDescent="0.25">
      <c r="A35" s="31" t="s">
        <v>60</v>
      </c>
      <c r="C35" s="114" t="s">
        <v>61</v>
      </c>
      <c r="D35" s="111"/>
      <c r="E35" s="111"/>
      <c r="F35" s="111"/>
      <c r="G35" s="111"/>
      <c r="H35" s="111"/>
      <c r="I35" s="111"/>
      <c r="J35" s="111"/>
      <c r="K35" s="111"/>
      <c r="L35" s="111"/>
      <c r="M35" s="112"/>
      <c r="N35" s="31"/>
      <c r="O35" s="2" t="e">
        <f t="shared" si="8"/>
        <v>#VALUE!</v>
      </c>
    </row>
    <row r="36" spans="1:16" ht="15.75" customHeight="1" x14ac:dyDescent="0.25">
      <c r="H36" s="5"/>
      <c r="O36" s="2"/>
    </row>
    <row r="37" spans="1:16" ht="15.75" customHeight="1" x14ac:dyDescent="0.25">
      <c r="H37" s="5"/>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 (2)</vt:lpstr>
      <vt:lpstr>Hoja1</vt:lpstr>
      <vt:lpstr>Hoja2</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2025-11-04T12:30:19Z</cp:lastPrinted>
  <dcterms:created xsi:type="dcterms:W3CDTF">2021-11-02T15:21:56Z</dcterms:created>
  <dcterms:modified xsi:type="dcterms:W3CDTF">2025-11-04T12:30:32Z</dcterms:modified>
</cp:coreProperties>
</file>