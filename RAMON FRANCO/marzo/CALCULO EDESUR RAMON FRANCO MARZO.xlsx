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OneDrive\Desktop\RC CONSORCIO 2025\RAMON FRANCO\marzo\"/>
    </mc:Choice>
  </mc:AlternateContent>
  <xr:revisionPtr revIDLastSave="0" documentId="13_ncr:1_{D4F337A8-6ACD-417E-9B10-25716363D6EF}"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4" i="1" l="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l="1"/>
</calcChain>
</file>

<file path=xl/sharedStrings.xml><?xml version="1.0" encoding="utf-8"?>
<sst xmlns="http://schemas.openxmlformats.org/spreadsheetml/2006/main" count="153" uniqueCount="105">
  <si>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</si>
  <si>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</si>
  <si>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</si>
  <si>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</si>
  <si>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</si>
  <si>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</si>
  <si>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</si>
  <si>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</si>
  <si>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</si>
  <si>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</si>
  <si>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</si>
  <si>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</si>
  <si>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</si>
  <si>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</si>
  <si>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</si>
  <si>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</si>
  <si>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</si>
  <si>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</si>
  <si>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</si>
  <si>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</si>
  <si>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</si>
  <si>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</si>
  <si>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</si>
  <si>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</si>
  <si>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</si>
  <si>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</si>
  <si>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</si>
  <si>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</si>
  <si>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</si>
  <si>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</si>
  <si>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</si>
  <si>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</si>
  <si>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</si>
  <si>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</si>
  <si>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</si>
  <si>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</si>
  <si>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</si>
  <si>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</si>
  <si>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</si>
  <si>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</si>
  <si>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</si>
  <si>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</si>
  <si>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</si>
  <si>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</si>
  <si>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</si>
  <si>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</si>
  <si>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</si>
  <si>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</si>
  <si>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</si>
  <si>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</si>
  <si>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</si>
  <si>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</si>
  <si>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</si>
  <si>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</si>
  <si>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</si>
  <si>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</si>
  <si>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</si>
  <si>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</si>
  <si>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</si>
  <si>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</si>
  <si>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</si>
  <si>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</si>
  <si>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</si>
  <si>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</si>
  <si>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</si>
  <si>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</si>
  <si>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</si>
  <si>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</si>
  <si>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</si>
  <si>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</si>
  <si>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</si>
  <si>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</si>
  <si>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</si>
  <si>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</si>
  <si>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</si>
  <si>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</si>
  <si>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</si>
  <si>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</si>
  <si>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</si>
  <si>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</si>
  <si>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</si>
  <si>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</si>
  <si>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</si>
  <si>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</si>
  <si>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</si>
  <si>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</si>
  <si>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</si>
  <si>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</si>
  <si>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</si>
  <si>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</si>
  <si>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</si>
  <si>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</si>
  <si>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</si>
  <si>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</si>
  <si>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</si>
  <si>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</si>
  <si>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</si>
  <si>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</si>
  <si>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</si>
  <si>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</si>
  <si>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</si>
  <si>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</si>
  <si>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</si>
  <si>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EDESUR - VENCIMIENTO 14/04</t>
  </si>
  <si>
    <t>QUIENES ADEUDEN DOS MESES DE EDESUR SERAN DESCONECTADOS DE LA RED. SALUDOS CORDIALES.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</si>
</sst>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
      <patternFill patternType="solid">
        <fgColor rgb="FFFFFF00"/>
        <bgColor theme="0"/>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6" fillId="0" borderId="4"/>
    <xf numFmtId="43" fontId="6" fillId="0" borderId="4" applyFont="0" applyFill="0" applyBorder="0" applyAlignment="0" applyProtection="0"/>
    <xf numFmtId="164" fontId="6" fillId="0" borderId="4" applyFont="0" applyFill="0" applyBorder="0" applyAlignment="0" applyProtection="0"/>
    <xf numFmtId="9" fontId="6" fillId="0" borderId="4" applyFont="0" applyFill="0" applyBorder="0" applyAlignment="0" applyProtection="0"/>
  </cellStyleXfs>
  <cellXfs count="100">
    <xf numFmtId="0" fontId="0" fillId="0" borderId="0" xfId="0"/>
    <xf numFmtId="0" fontId="7" fillId="2" borderId="4" xfId="0" applyFont="1" applyFill="1" applyBorder="1" applyAlignment="1">
      <alignment horizontal="center" vertical="center" wrapText="1"/>
    </xf>
    <xf numFmtId="0" fontId="9" fillId="0" borderId="0" xfId="0" applyFont="1" applyAlignment="1">
      <alignment horizontal="center"/>
    </xf>
    <xf numFmtId="0" fontId="9" fillId="0" borderId="0" xfId="0" applyFont="1"/>
    <xf numFmtId="0" fontId="9" fillId="0" borderId="5" xfId="0" applyFont="1" applyBorder="1"/>
    <xf numFmtId="165" fontId="9" fillId="0" borderId="0" xfId="0" applyNumberFormat="1" applyFont="1"/>
    <xf numFmtId="0" fontId="9" fillId="0" borderId="6" xfId="0" applyFont="1" applyBorder="1"/>
    <xf numFmtId="0" fontId="10" fillId="0" borderId="5" xfId="0" applyFont="1" applyBorder="1"/>
    <xf numFmtId="0" fontId="10" fillId="0" borderId="7" xfId="0" applyFont="1" applyBorder="1"/>
    <xf numFmtId="166" fontId="10" fillId="0" borderId="8" xfId="0" applyNumberFormat="1" applyFont="1" applyBorder="1"/>
    <xf numFmtId="0" fontId="9" fillId="0" borderId="8" xfId="0" applyFont="1" applyBorder="1"/>
    <xf numFmtId="165" fontId="9" fillId="0" borderId="8" xfId="0" applyNumberFormat="1" applyFont="1" applyBorder="1"/>
    <xf numFmtId="0" fontId="9" fillId="0" borderId="9" xfId="0" applyFont="1" applyBorder="1"/>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165" fontId="10" fillId="2" borderId="10" xfId="0" applyNumberFormat="1" applyFont="1" applyFill="1" applyBorder="1" applyAlignment="1">
      <alignment horizontal="center" vertical="center" wrapText="1"/>
    </xf>
    <xf numFmtId="166" fontId="10" fillId="2" borderId="10"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0" borderId="10" xfId="0" applyFont="1" applyBorder="1"/>
    <xf numFmtId="165" fontId="9" fillId="0" borderId="10" xfId="0" applyNumberFormat="1" applyFont="1" applyBorder="1"/>
    <xf numFmtId="166" fontId="9" fillId="0" borderId="10" xfId="0" applyNumberFormat="1" applyFont="1" applyBorder="1"/>
    <xf numFmtId="2" fontId="9" fillId="0" borderId="10" xfId="0" applyNumberFormat="1" applyFont="1" applyBorder="1"/>
    <xf numFmtId="167" fontId="9" fillId="0" borderId="0" xfId="0" applyNumberFormat="1" applyFont="1"/>
    <xf numFmtId="2" fontId="9" fillId="0" borderId="10" xfId="0" applyNumberFormat="1" applyFont="1" applyBorder="1" applyAlignment="1">
      <alignment horizontal="center"/>
    </xf>
    <xf numFmtId="9" fontId="9" fillId="0" borderId="0" xfId="0" applyNumberFormat="1" applyFont="1"/>
    <xf numFmtId="0" fontId="11" fillId="0" borderId="0" xfId="0" applyFont="1"/>
    <xf numFmtId="165" fontId="9" fillId="3" borderId="10" xfId="0" applyNumberFormat="1" applyFont="1" applyFill="1" applyBorder="1"/>
    <xf numFmtId="0" fontId="9" fillId="0" borderId="11" xfId="0" applyFont="1" applyBorder="1"/>
    <xf numFmtId="0" fontId="9" fillId="0" borderId="12" xfId="0" applyFont="1" applyBorder="1"/>
    <xf numFmtId="165" fontId="9" fillId="0" borderId="12" xfId="0" applyNumberFormat="1" applyFont="1" applyBorder="1"/>
    <xf numFmtId="166" fontId="9" fillId="0" borderId="12" xfId="0" applyNumberFormat="1" applyFont="1" applyBorder="1"/>
    <xf numFmtId="0" fontId="10"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6" fillId="0" borderId="16" xfId="1" applyBorder="1"/>
    <xf numFmtId="0" fontId="6" fillId="0" borderId="14" xfId="1" applyBorder="1" applyAlignment="1">
      <alignment horizontal="center"/>
    </xf>
    <xf numFmtId="0" fontId="9" fillId="0" borderId="10" xfId="0" applyFont="1" applyBorder="1" applyAlignment="1">
      <alignment horizontal="center"/>
    </xf>
    <xf numFmtId="43" fontId="6" fillId="0" borderId="14" xfId="2" applyFont="1" applyBorder="1"/>
    <xf numFmtId="43" fontId="6" fillId="0" borderId="16" xfId="2" applyFont="1" applyBorder="1"/>
    <xf numFmtId="0" fontId="9" fillId="0" borderId="10" xfId="0" applyFont="1" applyBorder="1" applyAlignment="1">
      <alignment horizontal="center" vertical="center"/>
    </xf>
    <xf numFmtId="0" fontId="10" fillId="2" borderId="21" xfId="0" applyFont="1" applyFill="1" applyBorder="1" applyAlignment="1">
      <alignment horizontal="center" vertical="center" wrapText="1"/>
    </xf>
    <xf numFmtId="166" fontId="9" fillId="0" borderId="21" xfId="0" applyNumberFormat="1" applyFont="1" applyBorder="1"/>
    <xf numFmtId="0" fontId="10" fillId="2" borderId="20" xfId="0" applyFont="1" applyFill="1" applyBorder="1" applyAlignment="1">
      <alignment horizontal="center" vertical="center" wrapText="1"/>
    </xf>
    <xf numFmtId="165" fontId="9" fillId="0" borderId="20" xfId="0" applyNumberFormat="1" applyFont="1" applyBorder="1"/>
    <xf numFmtId="0" fontId="10" fillId="2" borderId="22" xfId="0" applyFont="1" applyFill="1" applyBorder="1" applyAlignment="1">
      <alignment horizontal="center" vertical="center" wrapText="1"/>
    </xf>
    <xf numFmtId="166" fontId="9" fillId="0" borderId="22" xfId="0" applyNumberFormat="1" applyFont="1" applyBorder="1"/>
    <xf numFmtId="166" fontId="9" fillId="0" borderId="13" xfId="0" applyNumberFormat="1" applyFont="1" applyBorder="1"/>
    <xf numFmtId="164" fontId="9" fillId="0" borderId="8" xfId="0" applyNumberFormat="1" applyFont="1" applyBorder="1"/>
    <xf numFmtId="0" fontId="7" fillId="5" borderId="4" xfId="0" applyFont="1" applyFill="1" applyBorder="1" applyAlignment="1">
      <alignment horizontal="center" vertical="center" wrapText="1"/>
    </xf>
    <xf numFmtId="169" fontId="9" fillId="0" borderId="10" xfId="0" applyNumberFormat="1" applyFont="1" applyBorder="1"/>
    <xf numFmtId="0" fontId="4" fillId="0" borderId="0" xfId="0" applyFont="1"/>
    <xf numFmtId="0" fontId="6" fillId="6" borderId="14" xfId="1" applyFill="1" applyBorder="1" applyAlignment="1">
      <alignment horizontal="center"/>
    </xf>
    <xf numFmtId="0" fontId="9" fillId="6" borderId="10" xfId="0" applyFont="1" applyFill="1" applyBorder="1" applyAlignment="1">
      <alignment horizontal="center" vertical="center"/>
    </xf>
    <xf numFmtId="43" fontId="6" fillId="6" borderId="14" xfId="2" applyFont="1" applyFill="1" applyBorder="1"/>
    <xf numFmtId="0" fontId="9" fillId="6" borderId="10" xfId="0" applyFont="1" applyFill="1" applyBorder="1"/>
    <xf numFmtId="166" fontId="9" fillId="6" borderId="10" xfId="0" applyNumberFormat="1" applyFont="1" applyFill="1" applyBorder="1"/>
    <xf numFmtId="166" fontId="9" fillId="6" borderId="21" xfId="0" applyNumberFormat="1" applyFont="1" applyFill="1" applyBorder="1"/>
    <xf numFmtId="166" fontId="9" fillId="6" borderId="22" xfId="0" applyNumberFormat="1" applyFont="1" applyFill="1" applyBorder="1"/>
    <xf numFmtId="2" fontId="9" fillId="6" borderId="20" xfId="0" applyNumberFormat="1" applyFont="1" applyFill="1" applyBorder="1"/>
    <xf numFmtId="165" fontId="9" fillId="6" borderId="10" xfId="0" applyNumberFormat="1" applyFont="1" applyFill="1" applyBorder="1"/>
    <xf numFmtId="0" fontId="6" fillId="6" borderId="14" xfId="1" applyFill="1" applyBorder="1"/>
    <xf numFmtId="165" fontId="9" fillId="6" borderId="20" xfId="0" applyNumberFormat="1" applyFont="1" applyFill="1" applyBorder="1"/>
    <xf numFmtId="0" fontId="9" fillId="7" borderId="10" xfId="0" applyFont="1" applyFill="1" applyBorder="1" applyAlignment="1">
      <alignment horizontal="center" vertical="center"/>
    </xf>
    <xf numFmtId="0" fontId="6" fillId="7" borderId="14" xfId="1" applyFill="1" applyBorder="1"/>
    <xf numFmtId="43" fontId="6" fillId="7" borderId="14" xfId="2" applyFont="1" applyFill="1" applyBorder="1"/>
    <xf numFmtId="165" fontId="9" fillId="7" borderId="10" xfId="0" applyNumberFormat="1" applyFont="1" applyFill="1" applyBorder="1"/>
    <xf numFmtId="166" fontId="9" fillId="7" borderId="10" xfId="0" applyNumberFormat="1" applyFont="1" applyFill="1" applyBorder="1"/>
    <xf numFmtId="166" fontId="9" fillId="7" borderId="21" xfId="0" applyNumberFormat="1" applyFont="1" applyFill="1" applyBorder="1"/>
    <xf numFmtId="166" fontId="9" fillId="7" borderId="22" xfId="0" applyNumberFormat="1" applyFont="1" applyFill="1" applyBorder="1"/>
    <xf numFmtId="2" fontId="9" fillId="7" borderId="20" xfId="0" applyNumberFormat="1" applyFont="1" applyFill="1" applyBorder="1"/>
    <xf numFmtId="0" fontId="8" fillId="7" borderId="10" xfId="0" applyFont="1" applyFill="1" applyBorder="1"/>
    <xf numFmtId="0" fontId="6" fillId="7" borderId="14" xfId="1" applyFill="1" applyBorder="1" applyAlignment="1">
      <alignment horizontal="center"/>
    </xf>
    <xf numFmtId="0" fontId="9" fillId="7" borderId="10" xfId="0" applyFont="1" applyFill="1" applyBorder="1"/>
    <xf numFmtId="0" fontId="3" fillId="7" borderId="14" xfId="1" applyFont="1" applyFill="1" applyBorder="1"/>
    <xf numFmtId="0" fontId="6" fillId="7" borderId="16" xfId="1" applyFill="1" applyBorder="1" applyAlignment="1">
      <alignment vertical="center" wrapText="1"/>
    </xf>
    <xf numFmtId="0" fontId="5" fillId="7" borderId="14" xfId="1" applyFont="1" applyFill="1" applyBorder="1" applyAlignment="1">
      <alignment horizontal="center"/>
    </xf>
    <xf numFmtId="0" fontId="9" fillId="7" borderId="17" xfId="0" applyFont="1" applyFill="1" applyBorder="1" applyAlignment="1">
      <alignment horizontal="center" vertical="center"/>
    </xf>
    <xf numFmtId="0" fontId="5" fillId="7" borderId="14" xfId="1" applyFont="1" applyFill="1" applyBorder="1"/>
    <xf numFmtId="43" fontId="6" fillId="7" borderId="16" xfId="2" applyFont="1" applyFill="1" applyBorder="1" applyAlignment="1">
      <alignment horizontal="center" vertical="center" wrapText="1"/>
    </xf>
    <xf numFmtId="165" fontId="9" fillId="3" borderId="19" xfId="0" applyNumberFormat="1" applyFont="1" applyFill="1" applyBorder="1" applyAlignment="1">
      <alignment horizontal="right" vertical="center"/>
    </xf>
    <xf numFmtId="166" fontId="9" fillId="7" borderId="19" xfId="0" applyNumberFormat="1" applyFont="1" applyFill="1" applyBorder="1" applyAlignment="1">
      <alignment horizontal="right" vertical="center"/>
    </xf>
    <xf numFmtId="166" fontId="9" fillId="7" borderId="13" xfId="0" applyNumberFormat="1" applyFont="1" applyFill="1" applyBorder="1" applyAlignment="1">
      <alignment horizontal="right" vertical="center"/>
    </xf>
    <xf numFmtId="2" fontId="9" fillId="7" borderId="18" xfId="0" applyNumberFormat="1" applyFont="1" applyFill="1" applyBorder="1" applyAlignment="1">
      <alignment horizontal="right" vertical="center"/>
    </xf>
    <xf numFmtId="168" fontId="6" fillId="7" borderId="14" xfId="2" applyNumberFormat="1" applyFont="1" applyFill="1" applyBorder="1"/>
    <xf numFmtId="0" fontId="2" fillId="0" borderId="14" xfId="1" applyFont="1" applyBorder="1"/>
    <xf numFmtId="0" fontId="2" fillId="6" borderId="14" xfId="1" applyFont="1" applyFill="1" applyBorder="1"/>
    <xf numFmtId="166" fontId="13" fillId="7" borderId="8" xfId="0" applyNumberFormat="1" applyFont="1" applyFill="1" applyBorder="1"/>
    <xf numFmtId="165" fontId="8" fillId="6" borderId="10" xfId="0" applyNumberFormat="1" applyFont="1" applyFill="1" applyBorder="1"/>
    <xf numFmtId="165" fontId="8" fillId="7" borderId="10" xfId="0" applyNumberFormat="1" applyFont="1" applyFill="1" applyBorder="1"/>
    <xf numFmtId="165" fontId="8" fillId="0" borderId="10" xfId="0" applyNumberFormat="1" applyFont="1" applyBorder="1"/>
    <xf numFmtId="0" fontId="6" fillId="7" borderId="15" xfId="1" applyFill="1" applyBorder="1" applyAlignment="1">
      <alignment horizontal="center"/>
    </xf>
    <xf numFmtId="0" fontId="12" fillId="7" borderId="10" xfId="0" applyFont="1" applyFill="1" applyBorder="1"/>
    <xf numFmtId="0" fontId="7" fillId="2" borderId="1" xfId="0" applyFont="1" applyFill="1" applyBorder="1" applyAlignment="1">
      <alignment horizontal="center" vertical="center" wrapText="1"/>
    </xf>
    <xf numFmtId="0" fontId="8" fillId="0" borderId="2" xfId="0" applyFont="1" applyBorder="1"/>
    <xf numFmtId="0" fontId="8" fillId="0" borderId="13" xfId="0" applyFont="1" applyBorder="1"/>
    <xf numFmtId="0" fontId="8" fillId="0" borderId="3" xfId="0" applyFont="1" applyBorder="1"/>
    <xf numFmtId="0" fontId="10" fillId="4" borderId="1" xfId="0" applyFont="1" applyFill="1" applyBorder="1" applyAlignment="1">
      <alignment horizontal="left" vertical="center" wrapText="1"/>
    </xf>
    <xf numFmtId="0" fontId="8" fillId="6" borderId="10" xfId="0" applyFont="1" applyFill="1" applyBorder="1"/>
    <xf numFmtId="165" fontId="9" fillId="8" borderId="10" xfId="0" applyNumberFormat="1" applyFont="1" applyFill="1" applyBorder="1"/>
    <xf numFmtId="0" fontId="1" fillId="6" borderId="4" xfId="0" applyFont="1" applyFill="1" applyBorder="1" applyAlignment="1">
      <alignment horizontal="center"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23" zoomScale="80" zoomScaleNormal="80" workbookViewId="0">
      <selection activeCell="P28" sqref="P28"/>
    </sheetView>
  </sheetViews>
  <sheetFormatPr baseColWidth="10" defaultColWidth="14.42578125" defaultRowHeight="15" customHeight="1" x14ac:dyDescent="0.25"/>
  <cols>
    <col min="1" max="1" width="10" hidden="1" customWidth="1"/>
    <col min="2" max="2" width="10" customWidth="1"/>
    <col min="3" max="3" width="15.85546875" customWidth="1"/>
    <col min="4" max="4" width="27.140625" customWidth="1"/>
    <col min="5" max="5" width="6.42578125" hidden="1" customWidth="1"/>
    <col min="6" max="7" width="10.85546875" hidden="1" customWidth="1"/>
    <col min="8" max="8" width="8.42578125" hidden="1" customWidth="1"/>
    <col min="9" max="9" width="22.7109375" hidden="1" customWidth="1"/>
    <col min="10" max="11" width="13.85546875" hidden="1" customWidth="1"/>
    <col min="12" max="12" width="9.28515625" hidden="1" customWidth="1"/>
    <col min="13" max="13" width="10.4257812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92" t="s">
        <v>103</v>
      </c>
      <c r="B1" s="93"/>
      <c r="C1" s="93"/>
      <c r="D1" s="93"/>
      <c r="E1" s="93"/>
      <c r="F1" s="93"/>
      <c r="G1" s="93"/>
      <c r="H1" s="93"/>
      <c r="I1" s="93"/>
      <c r="J1" s="93"/>
      <c r="K1" s="94"/>
      <c r="L1" s="94"/>
      <c r="M1" s="93"/>
      <c r="N1" s="95"/>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6">
        <v>714102.81</v>
      </c>
      <c r="E8" s="10"/>
      <c r="F8" s="10"/>
      <c r="G8" s="10"/>
      <c r="H8" s="11"/>
      <c r="I8" s="10"/>
      <c r="J8" s="10"/>
      <c r="K8" s="47">
        <f>C8-J32</f>
        <v>415750.41921000002</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c r="Q9" s="14" t="s">
        <v>18</v>
      </c>
    </row>
    <row r="10" spans="1:24" x14ac:dyDescent="0.25">
      <c r="A10" s="72">
        <v>1</v>
      </c>
      <c r="B10" s="90">
        <v>1</v>
      </c>
      <c r="C10" s="62" t="s">
        <v>76</v>
      </c>
      <c r="D10" s="63" t="s">
        <v>64</v>
      </c>
      <c r="E10" s="64">
        <v>7.99</v>
      </c>
      <c r="F10" s="91">
        <v>5055</v>
      </c>
      <c r="G10" s="70">
        <f>+F10+250</f>
        <v>5305</v>
      </c>
      <c r="H10" s="65">
        <v>0</v>
      </c>
      <c r="I10" s="66">
        <f t="shared" ref="I10:I32" si="0">H10*7%</f>
        <v>0</v>
      </c>
      <c r="J10" s="67">
        <f>M10*93.787</f>
        <v>23446.75</v>
      </c>
      <c r="K10" s="68">
        <f>K8*E10%</f>
        <v>33218.458494879</v>
      </c>
      <c r="L10" s="68"/>
      <c r="M10" s="69">
        <f>G10-F10</f>
        <v>250</v>
      </c>
      <c r="N10" s="88">
        <f>J10+K10+L10</f>
        <v>56665.208494879</v>
      </c>
    </row>
    <row r="11" spans="1:24" ht="14.25" customHeight="1" x14ac:dyDescent="0.25">
      <c r="A11" s="72">
        <v>2</v>
      </c>
      <c r="B11" s="71">
        <v>2</v>
      </c>
      <c r="C11" s="62" t="s">
        <v>77</v>
      </c>
      <c r="D11" s="73" t="s">
        <v>65</v>
      </c>
      <c r="E11" s="64">
        <v>6.05</v>
      </c>
      <c r="F11" s="72">
        <v>6143</v>
      </c>
      <c r="G11" s="70">
        <f>F11+200</f>
        <v>6343</v>
      </c>
      <c r="H11" s="65">
        <v>0</v>
      </c>
      <c r="I11" s="66">
        <f t="shared" si="0"/>
        <v>0</v>
      </c>
      <c r="J11" s="67">
        <f t="shared" ref="J11:J27" si="1">M11*93.787</f>
        <v>18757.400000000001</v>
      </c>
      <c r="K11" s="68">
        <f>K8*E11%</f>
        <v>25152.900362205</v>
      </c>
      <c r="L11" s="68"/>
      <c r="M11" s="69">
        <f t="shared" ref="M11:M31" si="2">G11-F11</f>
        <v>200</v>
      </c>
      <c r="N11" s="88">
        <f t="shared" ref="N11:N31" si="3">J11+K11+L11</f>
        <v>43910.300362205002</v>
      </c>
    </row>
    <row r="12" spans="1:24" x14ac:dyDescent="0.25">
      <c r="A12" s="72">
        <v>3</v>
      </c>
      <c r="B12" s="71">
        <v>3</v>
      </c>
      <c r="C12" s="62" t="s">
        <v>78</v>
      </c>
      <c r="D12" s="63" t="s">
        <v>66</v>
      </c>
      <c r="E12" s="64">
        <v>6.02</v>
      </c>
      <c r="F12" s="72">
        <v>3381</v>
      </c>
      <c r="G12" s="70">
        <v>3488.4</v>
      </c>
      <c r="H12" s="65">
        <v>0</v>
      </c>
      <c r="I12" s="66">
        <f t="shared" si="0"/>
        <v>0</v>
      </c>
      <c r="J12" s="67">
        <f t="shared" si="1"/>
        <v>10072.723800000009</v>
      </c>
      <c r="K12" s="68">
        <f>K8*E12%</f>
        <v>25028.175236441999</v>
      </c>
      <c r="L12" s="68"/>
      <c r="M12" s="69">
        <f>G12-F12</f>
        <v>107.40000000000009</v>
      </c>
      <c r="N12" s="88">
        <f t="shared" si="3"/>
        <v>35100.89903644201</v>
      </c>
    </row>
    <row r="13" spans="1:24" x14ac:dyDescent="0.25">
      <c r="A13" s="72">
        <v>4</v>
      </c>
      <c r="B13" s="75" t="s">
        <v>96</v>
      </c>
      <c r="C13" s="76" t="s">
        <v>79</v>
      </c>
      <c r="D13" s="77" t="s">
        <v>95</v>
      </c>
      <c r="E13" s="78">
        <v>7.63</v>
      </c>
      <c r="F13" s="72">
        <v>2010</v>
      </c>
      <c r="G13" s="70">
        <f>F13+250</f>
        <v>2260</v>
      </c>
      <c r="H13" s="79">
        <v>0</v>
      </c>
      <c r="I13" s="80">
        <f t="shared" si="0"/>
        <v>0</v>
      </c>
      <c r="J13" s="67">
        <f t="shared" si="1"/>
        <v>23446.75</v>
      </c>
      <c r="K13" s="81">
        <f>K8*E13%</f>
        <v>31721.756985722997</v>
      </c>
      <c r="L13" s="68"/>
      <c r="M13" s="82">
        <f t="shared" si="2"/>
        <v>250</v>
      </c>
      <c r="N13" s="88">
        <f t="shared" si="3"/>
        <v>55168.506985722997</v>
      </c>
    </row>
    <row r="14" spans="1:24" x14ac:dyDescent="0.25">
      <c r="A14" s="72">
        <v>6</v>
      </c>
      <c r="B14" s="51">
        <v>6</v>
      </c>
      <c r="C14" s="52" t="s">
        <v>80</v>
      </c>
      <c r="D14" s="60" t="s">
        <v>67</v>
      </c>
      <c r="E14" s="53">
        <v>6.05</v>
      </c>
      <c r="F14" s="54">
        <v>14363</v>
      </c>
      <c r="G14" s="97">
        <f>+F14+250</f>
        <v>14613</v>
      </c>
      <c r="H14" s="59">
        <v>0</v>
      </c>
      <c r="I14" s="55">
        <f t="shared" si="0"/>
        <v>0</v>
      </c>
      <c r="J14" s="56">
        <f t="shared" si="1"/>
        <v>23446.75</v>
      </c>
      <c r="K14" s="57">
        <f>K8*E14%</f>
        <v>25152.900362205</v>
      </c>
      <c r="L14" s="57"/>
      <c r="M14" s="58">
        <f t="shared" si="2"/>
        <v>250</v>
      </c>
      <c r="N14" s="87">
        <f>J14+K14+L14</f>
        <v>48599.650362205</v>
      </c>
    </row>
    <row r="15" spans="1:24" x14ac:dyDescent="0.25">
      <c r="A15" s="72">
        <v>7</v>
      </c>
      <c r="B15" s="51">
        <v>7</v>
      </c>
      <c r="C15" s="52" t="s">
        <v>81</v>
      </c>
      <c r="D15" s="60" t="s">
        <v>67</v>
      </c>
      <c r="E15" s="53">
        <v>6.02</v>
      </c>
      <c r="F15" s="54">
        <v>3916.7</v>
      </c>
      <c r="G15" s="97">
        <v>4105.2</v>
      </c>
      <c r="H15" s="59">
        <v>0</v>
      </c>
      <c r="I15" s="55">
        <f t="shared" si="0"/>
        <v>0</v>
      </c>
      <c r="J15" s="56">
        <f t="shared" si="1"/>
        <v>17678.8495</v>
      </c>
      <c r="K15" s="57">
        <f>K8*E15%</f>
        <v>25028.175236441999</v>
      </c>
      <c r="L15" s="57"/>
      <c r="M15" s="58">
        <f t="shared" si="2"/>
        <v>188.5</v>
      </c>
      <c r="N15" s="87">
        <f t="shared" si="3"/>
        <v>42707.024736441999</v>
      </c>
    </row>
    <row r="16" spans="1:24" x14ac:dyDescent="0.25">
      <c r="A16" s="72">
        <v>8</v>
      </c>
      <c r="B16" s="71">
        <v>8</v>
      </c>
      <c r="C16" s="62" t="s">
        <v>82</v>
      </c>
      <c r="D16" s="63" t="s">
        <v>68</v>
      </c>
      <c r="E16" s="64">
        <v>7.63</v>
      </c>
      <c r="F16" s="72">
        <v>12350.7</v>
      </c>
      <c r="G16" s="70">
        <v>12846</v>
      </c>
      <c r="H16" s="26">
        <v>0</v>
      </c>
      <c r="I16" s="66">
        <f t="shared" si="0"/>
        <v>0</v>
      </c>
      <c r="J16" s="67">
        <f t="shared" si="1"/>
        <v>46452.701099999933</v>
      </c>
      <c r="K16" s="68">
        <f>K8*E16%</f>
        <v>31721.756985722997</v>
      </c>
      <c r="L16" s="68"/>
      <c r="M16" s="69">
        <f t="shared" si="2"/>
        <v>495.29999999999927</v>
      </c>
      <c r="N16" s="88">
        <f t="shared" si="3"/>
        <v>78174.45808572293</v>
      </c>
      <c r="P16" s="50"/>
    </row>
    <row r="17" spans="1:16" x14ac:dyDescent="0.25">
      <c r="A17" s="72">
        <v>9</v>
      </c>
      <c r="B17" s="71">
        <v>9</v>
      </c>
      <c r="C17" s="62" t="s">
        <v>83</v>
      </c>
      <c r="D17" s="63" t="s">
        <v>69</v>
      </c>
      <c r="E17" s="64">
        <v>6.05</v>
      </c>
      <c r="F17" s="72">
        <v>9326.14</v>
      </c>
      <c r="G17" s="70">
        <v>9528.2199999999993</v>
      </c>
      <c r="H17" s="65">
        <v>0</v>
      </c>
      <c r="I17" s="66">
        <f t="shared" si="0"/>
        <v>0</v>
      </c>
      <c r="J17" s="67">
        <f t="shared" si="1"/>
        <v>18952.476959999993</v>
      </c>
      <c r="K17" s="68">
        <f>K8*E17%</f>
        <v>25152.900362205</v>
      </c>
      <c r="L17" s="68"/>
      <c r="M17" s="69">
        <f t="shared" si="2"/>
        <v>202.07999999999993</v>
      </c>
      <c r="N17" s="88">
        <f t="shared" si="3"/>
        <v>44105.377322204993</v>
      </c>
    </row>
    <row r="18" spans="1:16" x14ac:dyDescent="0.25">
      <c r="A18" s="72">
        <v>10</v>
      </c>
      <c r="B18" s="71">
        <v>10</v>
      </c>
      <c r="C18" s="62" t="s">
        <v>84</v>
      </c>
      <c r="D18" s="63" t="s">
        <v>101</v>
      </c>
      <c r="E18" s="64">
        <v>6.02</v>
      </c>
      <c r="F18" s="72">
        <v>7431.4</v>
      </c>
      <c r="G18" s="70">
        <v>7584.5</v>
      </c>
      <c r="H18" s="65">
        <v>0</v>
      </c>
      <c r="I18" s="66">
        <f t="shared" si="0"/>
        <v>0</v>
      </c>
      <c r="J18" s="67">
        <f t="shared" si="1"/>
        <v>14358.789700000036</v>
      </c>
      <c r="K18" s="68">
        <f>K8*E18%</f>
        <v>25028.175236441999</v>
      </c>
      <c r="L18" s="68"/>
      <c r="M18" s="69">
        <f t="shared" si="2"/>
        <v>153.10000000000036</v>
      </c>
      <c r="N18" s="88">
        <f t="shared" si="3"/>
        <v>39386.964936442033</v>
      </c>
    </row>
    <row r="19" spans="1:16" x14ac:dyDescent="0.25">
      <c r="A19" s="72">
        <v>11</v>
      </c>
      <c r="B19" s="71">
        <v>11</v>
      </c>
      <c r="C19" s="62" t="s">
        <v>85</v>
      </c>
      <c r="D19" s="74" t="s">
        <v>70</v>
      </c>
      <c r="E19" s="83">
        <v>21.2</v>
      </c>
      <c r="F19" s="72">
        <v>21024.39</v>
      </c>
      <c r="G19" s="70">
        <v>21194.75</v>
      </c>
      <c r="H19" s="26">
        <v>0</v>
      </c>
      <c r="I19" s="66">
        <f t="shared" si="0"/>
        <v>0</v>
      </c>
      <c r="J19" s="67">
        <f t="shared" si="1"/>
        <v>15977.553320000055</v>
      </c>
      <c r="K19" s="68">
        <f>K8*E19%</f>
        <v>88139.088872520006</v>
      </c>
      <c r="L19" s="68"/>
      <c r="M19" s="69">
        <f>G19-F19</f>
        <v>170.36000000000058</v>
      </c>
      <c r="N19" s="88">
        <f t="shared" si="3"/>
        <v>104116.64219252006</v>
      </c>
    </row>
    <row r="20" spans="1:16" ht="15.75" customHeight="1" x14ac:dyDescent="0.25">
      <c r="A20" s="72">
        <v>12</v>
      </c>
      <c r="B20" s="71">
        <v>12</v>
      </c>
      <c r="C20" s="62" t="s">
        <v>86</v>
      </c>
      <c r="D20" s="74" t="s">
        <v>70</v>
      </c>
      <c r="E20" s="64">
        <v>6.81</v>
      </c>
      <c r="F20" s="72">
        <v>5920</v>
      </c>
      <c r="G20" s="70">
        <f>F20+480</f>
        <v>6400</v>
      </c>
      <c r="H20" s="26">
        <v>0</v>
      </c>
      <c r="I20" s="66">
        <f t="shared" si="0"/>
        <v>0</v>
      </c>
      <c r="J20" s="67">
        <f t="shared" si="1"/>
        <v>45017.760000000002</v>
      </c>
      <c r="K20" s="68">
        <f>K8*E20%</f>
        <v>28312.603548200997</v>
      </c>
      <c r="L20" s="68"/>
      <c r="M20" s="69">
        <f t="shared" si="2"/>
        <v>480</v>
      </c>
      <c r="N20" s="88">
        <f t="shared" si="3"/>
        <v>73330.363548201</v>
      </c>
      <c r="P20" s="33"/>
    </row>
    <row r="21" spans="1:16" ht="15.75" customHeight="1" x14ac:dyDescent="0.25">
      <c r="A21" s="72">
        <v>13</v>
      </c>
      <c r="B21" s="51">
        <v>13</v>
      </c>
      <c r="C21" s="52" t="s">
        <v>87</v>
      </c>
      <c r="D21" s="60" t="s">
        <v>71</v>
      </c>
      <c r="E21" s="53">
        <v>6.52</v>
      </c>
      <c r="F21" s="54">
        <v>10448.1</v>
      </c>
      <c r="G21" s="97">
        <v>10882.53</v>
      </c>
      <c r="H21" s="98">
        <v>0</v>
      </c>
      <c r="I21" s="55">
        <f t="shared" si="0"/>
        <v>0</v>
      </c>
      <c r="J21" s="56">
        <f t="shared" si="1"/>
        <v>40743.886410000028</v>
      </c>
      <c r="K21" s="57">
        <f>K8*E21%</f>
        <v>27106.927332492</v>
      </c>
      <c r="L21" s="57"/>
      <c r="M21" s="58">
        <f t="shared" si="2"/>
        <v>434.43000000000029</v>
      </c>
      <c r="N21" s="87">
        <f t="shared" si="3"/>
        <v>67850.813742492028</v>
      </c>
    </row>
    <row r="22" spans="1:16" ht="15.75" customHeight="1" x14ac:dyDescent="0.25">
      <c r="A22" s="18">
        <v>14</v>
      </c>
      <c r="B22" s="51">
        <v>14</v>
      </c>
      <c r="C22" s="52" t="s">
        <v>88</v>
      </c>
      <c r="D22" s="60" t="s">
        <v>72</v>
      </c>
      <c r="E22" s="53">
        <v>1.18</v>
      </c>
      <c r="F22" s="54">
        <v>0</v>
      </c>
      <c r="G22" s="54">
        <v>0</v>
      </c>
      <c r="H22" s="59">
        <v>0</v>
      </c>
      <c r="I22" s="55">
        <f t="shared" si="0"/>
        <v>0</v>
      </c>
      <c r="J22" s="56">
        <f t="shared" si="1"/>
        <v>0</v>
      </c>
      <c r="K22" s="57">
        <f>K8*E22%</f>
        <v>4905.8549466780005</v>
      </c>
      <c r="L22" s="57"/>
      <c r="M22" s="58">
        <f t="shared" si="2"/>
        <v>0</v>
      </c>
      <c r="N22" s="87">
        <f t="shared" si="3"/>
        <v>4905.8549466780005</v>
      </c>
    </row>
    <row r="23" spans="1:16" ht="15.75" customHeight="1" x14ac:dyDescent="0.25">
      <c r="A23" s="18">
        <v>15</v>
      </c>
      <c r="B23" s="51">
        <v>15</v>
      </c>
      <c r="C23" s="52" t="s">
        <v>89</v>
      </c>
      <c r="D23" s="60" t="s">
        <v>73</v>
      </c>
      <c r="E23" s="53">
        <v>1.17</v>
      </c>
      <c r="F23" s="54">
        <v>0</v>
      </c>
      <c r="G23" s="54">
        <v>0</v>
      </c>
      <c r="H23" s="59">
        <v>0</v>
      </c>
      <c r="I23" s="55">
        <f t="shared" si="0"/>
        <v>0</v>
      </c>
      <c r="J23" s="56">
        <f t="shared" si="1"/>
        <v>0</v>
      </c>
      <c r="K23" s="57">
        <f>K8*E23%</f>
        <v>4864.2799047569997</v>
      </c>
      <c r="L23" s="57"/>
      <c r="M23" s="58">
        <f t="shared" si="2"/>
        <v>0</v>
      </c>
      <c r="N23" s="87">
        <f t="shared" si="3"/>
        <v>4864.2799047569997</v>
      </c>
    </row>
    <row r="24" spans="1:16" ht="15.75" customHeight="1" x14ac:dyDescent="0.25">
      <c r="A24" s="18">
        <v>16</v>
      </c>
      <c r="B24" s="71">
        <v>16</v>
      </c>
      <c r="C24" s="62" t="s">
        <v>90</v>
      </c>
      <c r="D24" s="63" t="s">
        <v>74</v>
      </c>
      <c r="E24" s="64">
        <v>1.06</v>
      </c>
      <c r="F24" s="72">
        <v>0</v>
      </c>
      <c r="G24" s="72">
        <v>0</v>
      </c>
      <c r="H24" s="65">
        <v>0</v>
      </c>
      <c r="I24" s="66">
        <f t="shared" si="0"/>
        <v>0</v>
      </c>
      <c r="J24" s="67">
        <f t="shared" si="1"/>
        <v>0</v>
      </c>
      <c r="K24" s="68">
        <f>K8*E24%</f>
        <v>4406.9544436260003</v>
      </c>
      <c r="L24" s="68"/>
      <c r="M24" s="69">
        <f t="shared" si="2"/>
        <v>0</v>
      </c>
      <c r="N24" s="88">
        <f t="shared" si="3"/>
        <v>4406.9544436260003</v>
      </c>
    </row>
    <row r="25" spans="1:16" ht="15.75" customHeight="1" x14ac:dyDescent="0.25">
      <c r="A25" s="18">
        <v>17</v>
      </c>
      <c r="B25" s="51">
        <v>17</v>
      </c>
      <c r="C25" s="52" t="s">
        <v>91</v>
      </c>
      <c r="D25" s="85" t="s">
        <v>102</v>
      </c>
      <c r="E25" s="53">
        <v>0.51</v>
      </c>
      <c r="F25" s="54">
        <v>0</v>
      </c>
      <c r="G25" s="54">
        <v>0</v>
      </c>
      <c r="H25" s="59">
        <v>0</v>
      </c>
      <c r="I25" s="55">
        <f t="shared" si="0"/>
        <v>0</v>
      </c>
      <c r="J25" s="56">
        <f t="shared" si="1"/>
        <v>0</v>
      </c>
      <c r="K25" s="57">
        <f>K8*E25%</f>
        <v>2120.3271379710004</v>
      </c>
      <c r="L25" s="57"/>
      <c r="M25" s="61">
        <f t="shared" si="2"/>
        <v>0</v>
      </c>
      <c r="N25" s="87">
        <f t="shared" si="3"/>
        <v>2120.3271379710004</v>
      </c>
    </row>
    <row r="26" spans="1:16" ht="15.75" customHeight="1" x14ac:dyDescent="0.25">
      <c r="A26" s="18">
        <v>18</v>
      </c>
      <c r="B26" s="35">
        <v>18</v>
      </c>
      <c r="C26" s="39" t="s">
        <v>92</v>
      </c>
      <c r="D26" s="84" t="s">
        <v>75</v>
      </c>
      <c r="E26" s="37">
        <v>0.27</v>
      </c>
      <c r="F26" s="18">
        <v>0</v>
      </c>
      <c r="G26" s="18">
        <v>0</v>
      </c>
      <c r="H26" s="19">
        <v>0</v>
      </c>
      <c r="I26" s="20">
        <f t="shared" si="0"/>
        <v>0</v>
      </c>
      <c r="J26" s="41">
        <f t="shared" si="1"/>
        <v>0</v>
      </c>
      <c r="K26" s="45">
        <f>K8*E26%</f>
        <v>1122.5261318670002</v>
      </c>
      <c r="L26" s="45"/>
      <c r="M26" s="43">
        <f t="shared" si="2"/>
        <v>0</v>
      </c>
      <c r="N26" s="89">
        <f t="shared" si="3"/>
        <v>1122.5261318670002</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7566.657629622001</v>
      </c>
      <c r="L27" s="45"/>
      <c r="M27" s="43">
        <f t="shared" si="2"/>
        <v>0</v>
      </c>
      <c r="N27" s="89">
        <f t="shared" si="3"/>
        <v>7566.657629622001</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104550.59999999999</v>
      </c>
      <c r="H32" s="19">
        <v>0</v>
      </c>
      <c r="I32" s="20">
        <f t="shared" si="0"/>
        <v>0</v>
      </c>
      <c r="J32" s="41">
        <f>J27+J26+J25+J24+J23+J22+J21+J20+J19+J18+J17+J16+J15+J14+J13+J12+J11+J10</f>
        <v>298352.39079000003</v>
      </c>
      <c r="K32" s="45">
        <f>K27+K26+K25+K24+K23+K22+K21+K20+K18+K19+K17+K16+K15+K14+K13+K12+K11+K10</f>
        <v>415750.41920999996</v>
      </c>
      <c r="L32" s="45">
        <f>SUM(L10:L31)</f>
        <v>0</v>
      </c>
      <c r="M32" s="43">
        <f>SUM(M14:M31)+M12+M13+M11+M10</f>
        <v>3181.1700000000005</v>
      </c>
      <c r="N32" s="19">
        <f>N27+N26+N25+N24+N23+N22+N21+N20+N19+N18+N17+N16+N15+N14+N13++N12+N11+N10</f>
        <v>714102.81</v>
      </c>
    </row>
    <row r="33" spans="1:16" ht="2.25" customHeight="1" x14ac:dyDescent="0.25">
      <c r="A33" s="3"/>
      <c r="C33" s="27"/>
      <c r="D33" s="28"/>
      <c r="E33" s="28"/>
      <c r="F33" s="28"/>
      <c r="G33" s="28"/>
      <c r="H33" s="29">
        <f>SUM(H10:H32)</f>
        <v>0</v>
      </c>
      <c r="I33" s="30">
        <f>SUM(I10:I32)</f>
        <v>0</v>
      </c>
      <c r="J33" s="30">
        <f>SUM(J10:J32)</f>
        <v>596704.78158000007</v>
      </c>
      <c r="K33" s="46"/>
      <c r="L33" s="46"/>
      <c r="M33" s="29" t="e">
        <f ca="1">SUM(M10:M33)</f>
        <v>#VALUE!</v>
      </c>
      <c r="N33" s="29">
        <f>SUM(N10:N32)</f>
        <v>1428205.62</v>
      </c>
      <c r="O33" s="5"/>
      <c r="P33" s="2" t="e">
        <f t="shared" ref="P33:P34" si="4">J33/C31*100</f>
        <v>#DIV/0!</v>
      </c>
    </row>
    <row r="34" spans="1:16" ht="29.25" hidden="1" customHeight="1" x14ac:dyDescent="0.25">
      <c r="A34" s="31" t="s">
        <v>60</v>
      </c>
      <c r="C34" s="96" t="s">
        <v>61</v>
      </c>
      <c r="D34" s="93"/>
      <c r="E34" s="93"/>
      <c r="F34" s="93"/>
      <c r="G34" s="93"/>
      <c r="H34" s="93"/>
      <c r="I34" s="93"/>
      <c r="J34" s="93"/>
      <c r="K34" s="94"/>
      <c r="L34" s="94"/>
      <c r="M34" s="93"/>
      <c r="N34" s="94"/>
      <c r="O34" s="31"/>
      <c r="P34" s="2" t="e">
        <f t="shared" si="4"/>
        <v>#DIV/0!</v>
      </c>
    </row>
    <row r="35" spans="1:16" ht="15.75" customHeight="1" x14ac:dyDescent="0.25">
      <c r="H35" s="5"/>
      <c r="J35" s="32"/>
      <c r="K35" s="32"/>
      <c r="L35" s="32"/>
      <c r="N35" s="33"/>
      <c r="P35" s="2"/>
    </row>
    <row r="36" spans="1:16" ht="15.75" customHeight="1" x14ac:dyDescent="0.25">
      <c r="C36" s="99" t="s">
        <v>104</v>
      </c>
      <c r="D36" s="99"/>
      <c r="E36" s="99"/>
      <c r="F36" s="99"/>
      <c r="G36" s="99"/>
      <c r="H36" s="99"/>
      <c r="I36" s="99"/>
      <c r="J36" s="99"/>
      <c r="K36" s="99"/>
      <c r="L36" s="99"/>
      <c r="M36" s="99"/>
      <c r="P36" s="2"/>
    </row>
    <row r="37" spans="1:16" ht="15.75" customHeight="1" x14ac:dyDescent="0.25">
      <c r="C37" s="99"/>
      <c r="D37" s="99"/>
      <c r="E37" s="99"/>
      <c r="F37" s="99"/>
      <c r="G37" s="99"/>
      <c r="H37" s="99"/>
      <c r="I37" s="99"/>
      <c r="J37" s="99"/>
      <c r="K37" s="99"/>
      <c r="L37" s="99"/>
      <c r="M37" s="99"/>
      <c r="P37" s="2"/>
    </row>
    <row r="38" spans="1:16" ht="15.75" customHeight="1" x14ac:dyDescent="0.25">
      <c r="C38" s="99"/>
      <c r="D38" s="99"/>
      <c r="E38" s="99"/>
      <c r="F38" s="99"/>
      <c r="G38" s="99"/>
      <c r="H38" s="99"/>
      <c r="I38" s="99"/>
      <c r="J38" s="99"/>
      <c r="K38" s="99"/>
      <c r="L38" s="99"/>
      <c r="M38" s="99"/>
      <c r="P38" s="2"/>
    </row>
    <row r="39" spans="1:16" ht="15.75" customHeight="1" x14ac:dyDescent="0.25">
      <c r="C39" s="99"/>
      <c r="D39" s="99"/>
      <c r="E39" s="99"/>
      <c r="F39" s="99"/>
      <c r="G39" s="99"/>
      <c r="H39" s="99"/>
      <c r="I39" s="99"/>
      <c r="J39" s="99"/>
      <c r="K39" s="99"/>
      <c r="L39" s="99"/>
      <c r="M39" s="99"/>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92" t="s">
        <v>100</v>
      </c>
      <c r="B1" s="93"/>
      <c r="C1" s="93"/>
      <c r="D1" s="93"/>
      <c r="E1" s="93"/>
      <c r="F1" s="93"/>
      <c r="G1" s="93"/>
      <c r="H1" s="93"/>
      <c r="I1" s="93"/>
      <c r="J1" s="93"/>
      <c r="K1" s="93"/>
      <c r="L1" s="93"/>
      <c r="M1" s="95"/>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6" t="s">
        <v>61</v>
      </c>
      <c r="D35" s="93"/>
      <c r="E35" s="93"/>
      <c r="F35" s="93"/>
      <c r="G35" s="93"/>
      <c r="H35" s="93"/>
      <c r="I35" s="93"/>
      <c r="J35" s="93"/>
      <c r="K35" s="93"/>
      <c r="L35" s="93"/>
      <c r="M35" s="94"/>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2025-04-03T12:44:35Z</cp:lastPrinted>
  <dcterms:created xsi:type="dcterms:W3CDTF">2021-11-02T15:21:56Z</dcterms:created>
  <dcterms:modified xsi:type="dcterms:W3CDTF">2025-04-03T12:53:04Z</dcterms:modified>
</cp:coreProperties>
</file>