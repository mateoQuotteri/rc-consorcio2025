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Octubre\"/>
    </mc:Choice>
  </mc:AlternateContent>
  <xr:revisionPtr revIDLastSave="0" documentId="13_ncr:1_{03E21873-7A1D-4F5E-9F46-8E9A76248D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definedNames>
    <definedName name="_xlnm.Print_Area" localSheetId="0">Planilla!$A$1:$Q$32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F26" i="1"/>
  <c r="H20" i="1"/>
  <c r="G30" i="1"/>
  <c r="H15" i="1"/>
  <c r="H18" i="1" l="1"/>
  <c r="H14" i="1" l="1"/>
  <c r="K20" i="1"/>
  <c r="H28" i="1"/>
  <c r="J23" i="1" l="1"/>
  <c r="L23" i="1" s="1"/>
  <c r="H30" i="1"/>
  <c r="M23" i="1" l="1"/>
  <c r="P23" i="1" s="1"/>
  <c r="Q23" i="1" s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L15" i="1" s="1"/>
  <c r="J14" i="1"/>
  <c r="L14" i="1" s="1"/>
  <c r="J16" i="1"/>
  <c r="L16" i="1" s="1"/>
  <c r="J17" i="1"/>
  <c r="L17" i="1" s="1"/>
  <c r="J18" i="1"/>
  <c r="L18" i="1" s="1"/>
  <c r="J28" i="1"/>
  <c r="L28" i="1" s="1"/>
  <c r="L12" i="1" l="1"/>
  <c r="L13" i="1"/>
  <c r="M15" i="1"/>
  <c r="P15" i="1" s="1"/>
  <c r="M26" i="1"/>
  <c r="P26" i="1" s="1"/>
  <c r="Q26" i="1" s="1"/>
  <c r="M28" i="1"/>
  <c r="P28" i="1" s="1"/>
  <c r="Q28" i="1" s="1"/>
  <c r="M29" i="1"/>
  <c r="P29" i="1" s="1"/>
  <c r="Q29" i="1" s="1"/>
  <c r="M24" i="1"/>
  <c r="P24" i="1" s="1"/>
  <c r="Q24" i="1" s="1"/>
  <c r="Q15" i="1" l="1"/>
  <c r="M25" i="1"/>
  <c r="P25" i="1" s="1"/>
  <c r="Q25" i="1" s="1"/>
  <c r="M17" i="1" l="1"/>
  <c r="P17" i="1" s="1"/>
  <c r="Q17" i="1" s="1"/>
  <c r="M21" i="1"/>
  <c r="P21" i="1" s="1"/>
  <c r="Q21" i="1" s="1"/>
  <c r="M18" i="1"/>
  <c r="P18" i="1" s="1"/>
  <c r="Q18" i="1" s="1"/>
  <c r="M22" i="1"/>
  <c r="P22" i="1" s="1"/>
  <c r="Q22" i="1" s="1"/>
  <c r="M16" i="1"/>
  <c r="P16" i="1" s="1"/>
  <c r="Q16" i="1" s="1"/>
  <c r="M14" i="1"/>
  <c r="P14" i="1" s="1"/>
  <c r="M13" i="1"/>
  <c r="P13" i="1" s="1"/>
  <c r="Q13" i="1" s="1"/>
  <c r="N12" i="1"/>
  <c r="N29" i="1"/>
  <c r="Q14" i="1" l="1"/>
  <c r="F30" i="1"/>
  <c r="N28" i="1" l="1"/>
  <c r="N27" i="1"/>
  <c r="N14" i="1" l="1"/>
  <c r="N15" i="1"/>
  <c r="N16" i="1"/>
  <c r="N17" i="1"/>
  <c r="N18" i="1"/>
  <c r="N19" i="1"/>
  <c r="N20" i="1"/>
  <c r="N21" i="1"/>
  <c r="N22" i="1"/>
  <c r="N23" i="1"/>
  <c r="N24" i="1"/>
  <c r="N25" i="1"/>
  <c r="N26" i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s="1"/>
  <c r="Q12" i="1" l="1"/>
  <c r="J27" i="1"/>
  <c r="L27" i="1" s="1"/>
  <c r="M27" i="1" l="1"/>
  <c r="P27" i="1" s="1"/>
  <c r="Q27" i="1" s="1"/>
  <c r="J19" i="1" l="1"/>
  <c r="L20" i="1" l="1"/>
  <c r="M20" i="1" s="1"/>
  <c r="P20" i="1" s="1"/>
  <c r="Q20" i="1" s="1"/>
  <c r="L19" i="1"/>
  <c r="J30" i="1"/>
  <c r="L30" i="1" l="1"/>
  <c r="M19" i="1"/>
  <c r="P19" i="1" l="1"/>
  <c r="Q19" i="1" l="1"/>
  <c r="Q30" i="1" s="1"/>
  <c r="P30" i="1"/>
</calcChain>
</file>

<file path=xl/sharedStrings.xml><?xml version="1.0" encoding="utf-8"?>
<sst xmlns="http://schemas.openxmlformats.org/spreadsheetml/2006/main" count="116" uniqueCount="86">
  <si>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</si>
  <si>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</si>
  <si>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</si>
  <si>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</si>
  <si>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</si>
  <si>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</si>
  <si>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</si>
  <si>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</si>
  <si>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</si>
  <si>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</si>
  <si>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</si>
  <si>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</si>
  <si>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</si>
  <si>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</si>
  <si>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</si>
  <si>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</si>
  <si>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</si>
  <si>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</si>
  <si>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</si>
  <si>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</si>
  <si>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</si>
  <si>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</si>
  <si>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</si>
  <si>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</si>
  <si>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</si>
  <si>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</si>
  <si>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</si>
  <si>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</si>
  <si>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</si>
  <si>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</si>
  <si>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</si>
  <si>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</si>
  <si>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</si>
  <si>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</si>
  <si>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</si>
  <si>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</si>
  <si>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</si>
  <si>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</si>
  <si>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</si>
  <si>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</si>
  <si>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</si>
  <si>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</si>
  <si>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</si>
  <si>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</si>
  <si>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</si>
  <si>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</si>
  <si>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</si>
  <si>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</si>
  <si>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</si>
  <si>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</si>
  <si>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</si>
  <si>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</si>
  <si>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</si>
  <si>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</si>
  <si>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</si>
  <si>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</si>
  <si>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</si>
  <si>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</si>
  <si>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</si>
  <si>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</si>
  <si>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</si>
  <si>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</si>
  <si>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</si>
  <si>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</si>
  <si>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</si>
  <si>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</si>
  <si>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</si>
  <si>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</si>
  <si>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</si>
  <si>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</si>
  <si>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</si>
  <si>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</si>
  <si>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</si>
  <si>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</si>
  <si>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</si>
  <si>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</si>
  <si>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</si>
  <si>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MICAELA</t>
  </si>
  <si>
    <t>MARIELA</t>
  </si>
  <si>
    <t>GISELA</t>
  </si>
  <si>
    <t>SERGIO</t>
  </si>
  <si>
    <t>Total a Pagar 2do vto</t>
  </si>
  <si>
    <t>Total a Pagar 1er vto</t>
  </si>
  <si>
    <t>Vto: 14/10</t>
  </si>
  <si>
    <t>EXPENSAS - VENCIMIENTO 14/11 LIQUIDACION: OCTUBRE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</si>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</sst>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4" fillId="0" borderId="0" xfId="0" applyFont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44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166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4" fontId="10" fillId="0" borderId="1" xfId="2" applyNumberFormat="1" applyFont="1" applyBorder="1"/>
    <xf numFmtId="164" fontId="10" fillId="0" borderId="1" xfId="0" applyNumberFormat="1" applyFont="1" applyBorder="1"/>
    <xf numFmtId="44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4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4" fontId="10" fillId="0" borderId="14" xfId="2" applyNumberFormat="1" applyFont="1" applyBorder="1" applyAlignment="1">
      <alignment horizontal="center" vertical="center" wrapText="1"/>
    </xf>
    <xf numFmtId="6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4" fontId="11" fillId="2" borderId="12" xfId="2" applyNumberFormat="1" applyFont="1" applyFill="1" applyBorder="1"/>
    <xf numFmtId="44" fontId="11" fillId="2" borderId="12" xfId="0" applyNumberFormat="1" applyFont="1" applyFill="1" applyBorder="1"/>
    <xf numFmtId="164" fontId="11" fillId="2" borderId="18" xfId="2" applyNumberFormat="1" applyFont="1" applyFill="1" applyBorder="1"/>
    <xf numFmtId="164" fontId="11" fillId="2" borderId="13" xfId="0" applyNumberFormat="1" applyFont="1" applyFill="1" applyBorder="1"/>
    <xf numFmtId="164" fontId="12" fillId="0" borderId="1" xfId="2" applyNumberFormat="1" applyFont="1" applyBorder="1"/>
    <xf numFmtId="164" fontId="12" fillId="0" borderId="14" xfId="2" applyNumberFormat="1" applyFont="1" applyBorder="1"/>
    <xf numFmtId="164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4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4" fontId="15" fillId="0" borderId="1" xfId="0" applyNumberFormat="1" applyFont="1" applyBorder="1"/>
    <xf numFmtId="164" fontId="16" fillId="2" borderId="12" xfId="0" applyNumberFormat="1" applyFont="1" applyFill="1" applyBorder="1"/>
    <xf numFmtId="164" fontId="12" fillId="3" borderId="1" xfId="2" applyNumberFormat="1" applyFont="1" applyFill="1" applyBorder="1"/>
    <xf numFmtId="164" fontId="16" fillId="2" borderId="12" xfId="2" applyNumberFormat="1" applyFont="1" applyFill="1" applyBorder="1"/>
    <xf numFmtId="0" fontId="0" fillId="5" borderId="1" xfId="0" applyFill="1" applyBorder="1" applyAlignment="1">
      <alignment horizontal="left"/>
    </xf>
    <xf numFmtId="0" fontId="14" fillId="5" borderId="1" xfId="0" applyFont="1" applyFill="1" applyBorder="1"/>
    <xf numFmtId="43" fontId="10" fillId="5" borderId="1" xfId="1" applyFont="1" applyFill="1" applyBorder="1"/>
    <xf numFmtId="164" fontId="12" fillId="5" borderId="1" xfId="2" applyNumberFormat="1" applyFont="1" applyFill="1" applyBorder="1"/>
    <xf numFmtId="164" fontId="10" fillId="5" borderId="1" xfId="2" applyNumberFormat="1" applyFont="1" applyFill="1" applyBorder="1"/>
    <xf numFmtId="164" fontId="10" fillId="5" borderId="1" xfId="0" applyNumberFormat="1" applyFont="1" applyFill="1" applyBorder="1"/>
    <xf numFmtId="164" fontId="10" fillId="3" borderId="1" xfId="2" applyNumberFormat="1" applyFont="1" applyFill="1" applyBorder="1"/>
    <xf numFmtId="164" fontId="10" fillId="3" borderId="1" xfId="0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6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B17" zoomScaleNormal="100" workbookViewId="0">
      <selection activeCell="B27" sqref="B27:Q27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12.710937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6" width="11.140625" customWidth="1"/>
    <col min="17" max="17" width="12.140625" customWidth="1"/>
  </cols>
  <sheetData>
    <row r="1" spans="1:17" ht="26.25" customHeight="1" x14ac:dyDescent="0.25">
      <c r="A1" s="82" t="s">
        <v>84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</row>
    <row r="2" spans="1:17" x14ac:dyDescent="0.25">
      <c r="A2" s="9"/>
      <c r="F2" s="4"/>
      <c r="G2" s="4"/>
      <c r="H2" s="4"/>
      <c r="I2" s="4"/>
      <c r="J2" s="4"/>
      <c r="K2" s="21"/>
      <c r="Q2" s="8"/>
    </row>
    <row r="3" spans="1:17" x14ac:dyDescent="0.25">
      <c r="A3" s="10" t="s">
        <v>0</v>
      </c>
      <c r="F3" s="4"/>
      <c r="G3" s="4"/>
      <c r="H3" s="4"/>
      <c r="I3" s="4"/>
      <c r="K3" s="11"/>
      <c r="L3" t="s">
        <v>18</v>
      </c>
      <c r="Q3" s="8"/>
    </row>
    <row r="4" spans="1:17" x14ac:dyDescent="0.25">
      <c r="A4" s="10" t="s">
        <v>1</v>
      </c>
      <c r="F4" s="4"/>
      <c r="G4" s="4"/>
      <c r="H4" s="4"/>
      <c r="I4" s="4"/>
      <c r="K4" s="11"/>
      <c r="L4" s="80">
        <v>1153202676</v>
      </c>
      <c r="M4" s="80"/>
      <c r="N4" s="80"/>
      <c r="O4" s="80"/>
      <c r="P4" s="80"/>
      <c r="Q4" s="81"/>
    </row>
    <row r="5" spans="1:17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26</v>
      </c>
      <c r="Q5" s="8"/>
    </row>
    <row r="6" spans="1:17" x14ac:dyDescent="0.25">
      <c r="A6" s="10"/>
      <c r="C6" s="21" t="s">
        <v>65</v>
      </c>
      <c r="D6" s="21"/>
      <c r="F6" s="4"/>
      <c r="G6" s="4"/>
      <c r="H6" s="4"/>
      <c r="I6" s="4"/>
      <c r="J6" s="4"/>
      <c r="K6" s="4"/>
      <c r="Q6" s="8"/>
    </row>
    <row r="7" spans="1:17" x14ac:dyDescent="0.25">
      <c r="A7" s="10"/>
      <c r="B7" s="25"/>
      <c r="C7" s="26">
        <v>705459.15999999992</v>
      </c>
      <c r="D7" s="26"/>
      <c r="F7" s="4"/>
      <c r="G7" s="4"/>
      <c r="H7" s="4"/>
      <c r="I7" s="4"/>
      <c r="J7" s="4"/>
      <c r="K7" s="4"/>
      <c r="Q7" s="8"/>
    </row>
    <row r="8" spans="1:17" hidden="1" x14ac:dyDescent="0.25">
      <c r="A8" s="10"/>
      <c r="B8" s="25" t="s">
        <v>20</v>
      </c>
      <c r="C8" s="25">
        <v>0</v>
      </c>
      <c r="D8" s="25"/>
      <c r="F8" s="4"/>
      <c r="G8" s="4"/>
      <c r="H8" s="4"/>
      <c r="I8" s="4"/>
      <c r="J8" s="4"/>
      <c r="K8" s="4"/>
      <c r="Q8" s="8"/>
    </row>
    <row r="9" spans="1:17" x14ac:dyDescent="0.25">
      <c r="A9" s="10"/>
      <c r="B9" s="25"/>
      <c r="C9" s="25" t="s">
        <v>67</v>
      </c>
      <c r="D9" s="25"/>
      <c r="F9" s="4"/>
      <c r="G9" s="4"/>
      <c r="H9" s="4"/>
      <c r="I9" s="4"/>
      <c r="J9" s="4"/>
      <c r="K9" s="4"/>
      <c r="Q9" s="8"/>
    </row>
    <row r="10" spans="1:17" x14ac:dyDescent="0.25">
      <c r="A10" s="15"/>
      <c r="B10" s="16"/>
      <c r="C10" s="51">
        <v>350000</v>
      </c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7" t="s">
        <v>83</v>
      </c>
      <c r="Q10" s="19"/>
    </row>
    <row r="11" spans="1:17" ht="29.25" customHeight="1" x14ac:dyDescent="0.25">
      <c r="A11" s="12" t="s">
        <v>2</v>
      </c>
      <c r="B11" s="13" t="s">
        <v>4</v>
      </c>
      <c r="C11" s="63" t="s">
        <v>3</v>
      </c>
      <c r="D11" s="63" t="s">
        <v>72</v>
      </c>
      <c r="E11" s="39" t="s">
        <v>21</v>
      </c>
      <c r="F11" s="14" t="s">
        <v>17</v>
      </c>
      <c r="G11" s="14" t="s">
        <v>64</v>
      </c>
      <c r="H11" s="14" t="s">
        <v>70</v>
      </c>
      <c r="I11" s="14" t="s">
        <v>52</v>
      </c>
      <c r="J11" s="14" t="s">
        <v>71</v>
      </c>
      <c r="K11" s="14" t="s">
        <v>63</v>
      </c>
      <c r="L11" s="13" t="s">
        <v>69</v>
      </c>
      <c r="M11" s="13" t="s">
        <v>19</v>
      </c>
      <c r="N11" s="13" t="s">
        <v>16</v>
      </c>
      <c r="O11" s="13" t="s">
        <v>68</v>
      </c>
      <c r="P11" s="13" t="s">
        <v>82</v>
      </c>
      <c r="Q11" s="13" t="s">
        <v>81</v>
      </c>
    </row>
    <row r="12" spans="1:17" ht="15" customHeight="1" x14ac:dyDescent="0.25">
      <c r="A12" s="7">
        <v>1</v>
      </c>
      <c r="B12" s="71" t="s">
        <v>5</v>
      </c>
      <c r="C12" s="72" t="s">
        <v>27</v>
      </c>
      <c r="D12" s="72"/>
      <c r="E12" s="73">
        <v>7.99</v>
      </c>
      <c r="F12" s="74">
        <v>486400.92506231263</v>
      </c>
      <c r="G12" s="75">
        <v>0</v>
      </c>
      <c r="H12" s="74"/>
      <c r="I12" s="75" t="e">
        <f>C9*E12/100</f>
        <v>#VALUE!</v>
      </c>
      <c r="J12" s="75">
        <f t="shared" ref="J12:J19" si="0">F12-G12-H12</f>
        <v>486400.92506231263</v>
      </c>
      <c r="K12" s="75"/>
      <c r="L12" s="76">
        <f>IF(J11&gt;0,(J12+K12)*8%,0)</f>
        <v>38912.074004985014</v>
      </c>
      <c r="M12" s="76">
        <f>J12+L12+K12</f>
        <v>525312.99906729767</v>
      </c>
      <c r="N12" s="75">
        <f>C7*E12/100</f>
        <v>56366.186883999995</v>
      </c>
      <c r="O12" s="75">
        <f t="shared" ref="O12:O29" si="1">C$10*E12/100</f>
        <v>27965</v>
      </c>
      <c r="P12" s="75">
        <f>N12+M12+O12</f>
        <v>609644.18595129764</v>
      </c>
      <c r="Q12" s="76">
        <f>P12*3%+P12</f>
        <v>627933.51152983657</v>
      </c>
    </row>
    <row r="13" spans="1:17" ht="15" customHeight="1" x14ac:dyDescent="0.25">
      <c r="A13" s="7">
        <v>2</v>
      </c>
      <c r="B13" s="52" t="s">
        <v>6</v>
      </c>
      <c r="C13" s="64" t="s">
        <v>29</v>
      </c>
      <c r="D13" s="64" t="s">
        <v>73</v>
      </c>
      <c r="E13" s="43">
        <v>6.05</v>
      </c>
      <c r="F13" s="58">
        <v>63855.279179999998</v>
      </c>
      <c r="G13" s="44">
        <v>0</v>
      </c>
      <c r="H13" s="69">
        <v>21175</v>
      </c>
      <c r="I13" s="44" t="e">
        <f>C9*E13/100</f>
        <v>#VALUE!</v>
      </c>
      <c r="J13" s="44">
        <f t="shared" si="0"/>
        <v>42680.279179999998</v>
      </c>
      <c r="K13" s="44"/>
      <c r="L13" s="45">
        <f>IF(J12&gt;0,(J13+K13)*8%,0)</f>
        <v>3414.4223343999997</v>
      </c>
      <c r="M13" s="45">
        <f t="shared" ref="M13:M15" si="2">J13+L13+K13</f>
        <v>46094.701514399996</v>
      </c>
      <c r="N13" s="44">
        <f>C7*E13/100</f>
        <v>42680.279179999998</v>
      </c>
      <c r="O13" s="44">
        <f t="shared" si="1"/>
        <v>21175</v>
      </c>
      <c r="P13" s="77">
        <f t="shared" ref="P13:P29" si="3">N13+M13+O13</f>
        <v>109949.9806944</v>
      </c>
      <c r="Q13" s="78">
        <f t="shared" ref="Q13:Q29" si="4">P13*3%+P13</f>
        <v>113248.480115232</v>
      </c>
    </row>
    <row r="14" spans="1:17" ht="15" customHeight="1" x14ac:dyDescent="0.25">
      <c r="A14" s="7">
        <v>3</v>
      </c>
      <c r="B14" s="52" t="s">
        <v>8</v>
      </c>
      <c r="C14" s="64" t="s">
        <v>28</v>
      </c>
      <c r="D14" s="64" t="s">
        <v>78</v>
      </c>
      <c r="E14" s="43">
        <v>6.02</v>
      </c>
      <c r="F14" s="58">
        <v>63538.641431999989</v>
      </c>
      <c r="G14" s="44">
        <v>0</v>
      </c>
      <c r="H14" s="69">
        <f t="shared" ref="H13:H18" si="5">F14</f>
        <v>63538.641431999989</v>
      </c>
      <c r="I14" s="44" t="e">
        <f>C9*E14/100</f>
        <v>#VALUE!</v>
      </c>
      <c r="J14" s="44">
        <f t="shared" si="0"/>
        <v>0</v>
      </c>
      <c r="K14" s="44"/>
      <c r="L14" s="45">
        <f t="shared" ref="L14:L29" si="6">(J14+K14)*8%</f>
        <v>0</v>
      </c>
      <c r="M14" s="45">
        <f t="shared" si="2"/>
        <v>0</v>
      </c>
      <c r="N14" s="44">
        <f>C7*E14/100</f>
        <v>42468.641431999989</v>
      </c>
      <c r="O14" s="44">
        <f t="shared" si="1"/>
        <v>21070</v>
      </c>
      <c r="P14" s="77">
        <f t="shared" si="3"/>
        <v>63538.641431999989</v>
      </c>
      <c r="Q14" s="78">
        <f t="shared" si="4"/>
        <v>65444.800674959988</v>
      </c>
    </row>
    <row r="15" spans="1:17" ht="15" customHeight="1" x14ac:dyDescent="0.25">
      <c r="A15" s="7">
        <v>4</v>
      </c>
      <c r="B15" s="53" t="s">
        <v>7</v>
      </c>
      <c r="C15" s="64" t="s">
        <v>66</v>
      </c>
      <c r="D15" s="65"/>
      <c r="E15" s="49">
        <v>7.63</v>
      </c>
      <c r="F15" s="60">
        <v>80531.533907999983</v>
      </c>
      <c r="G15" s="46"/>
      <c r="H15" s="69">
        <f t="shared" si="5"/>
        <v>80531.533907999983</v>
      </c>
      <c r="I15" s="44" t="e">
        <f>C9*E15/100</f>
        <v>#VALUE!</v>
      </c>
      <c r="J15" s="44">
        <f t="shared" si="0"/>
        <v>0</v>
      </c>
      <c r="K15" s="48"/>
      <c r="L15" s="45">
        <f t="shared" si="6"/>
        <v>0</v>
      </c>
      <c r="M15" s="45">
        <f t="shared" si="2"/>
        <v>0</v>
      </c>
      <c r="N15" s="50">
        <f>C7*E15/100</f>
        <v>53826.53390799999</v>
      </c>
      <c r="O15" s="44">
        <f t="shared" si="1"/>
        <v>26705</v>
      </c>
      <c r="P15" s="77">
        <f t="shared" si="3"/>
        <v>80531.533907999983</v>
      </c>
      <c r="Q15" s="78">
        <f t="shared" si="4"/>
        <v>82947.479925239983</v>
      </c>
    </row>
    <row r="16" spans="1:17" ht="15" customHeight="1" x14ac:dyDescent="0.25">
      <c r="A16" s="7">
        <v>6</v>
      </c>
      <c r="B16" s="52" t="s">
        <v>9</v>
      </c>
      <c r="C16" s="64" t="s">
        <v>32</v>
      </c>
      <c r="D16" s="64" t="s">
        <v>80</v>
      </c>
      <c r="E16" s="43">
        <v>6.05</v>
      </c>
      <c r="F16" s="58">
        <v>63855.279179999998</v>
      </c>
      <c r="G16" s="46">
        <v>0</v>
      </c>
      <c r="H16" s="69"/>
      <c r="I16" s="44" t="e">
        <f>C9*E16/100</f>
        <v>#VALUE!</v>
      </c>
      <c r="J16" s="44">
        <f t="shared" si="0"/>
        <v>63855.279179999998</v>
      </c>
      <c r="K16" s="44"/>
      <c r="L16" s="45">
        <f t="shared" si="6"/>
        <v>5108.4223344000002</v>
      </c>
      <c r="M16" s="45">
        <f>J16+L16+K16</f>
        <v>68963.701514400003</v>
      </c>
      <c r="N16" s="44">
        <f>C7*E16/100</f>
        <v>42680.279179999998</v>
      </c>
      <c r="O16" s="44">
        <f t="shared" si="1"/>
        <v>21175</v>
      </c>
      <c r="P16" s="77">
        <f t="shared" si="3"/>
        <v>132818.9806944</v>
      </c>
      <c r="Q16" s="78">
        <f t="shared" si="4"/>
        <v>136803.55011523201</v>
      </c>
    </row>
    <row r="17" spans="1:17" ht="15" customHeight="1" x14ac:dyDescent="0.25">
      <c r="A17" s="7">
        <v>7</v>
      </c>
      <c r="B17" s="52" t="s">
        <v>10</v>
      </c>
      <c r="C17" s="64" t="s">
        <v>32</v>
      </c>
      <c r="D17" s="64" t="s">
        <v>77</v>
      </c>
      <c r="E17" s="43">
        <v>6.02</v>
      </c>
      <c r="F17" s="58">
        <v>63538.641431999989</v>
      </c>
      <c r="G17" s="44">
        <v>0</v>
      </c>
      <c r="H17" s="69"/>
      <c r="I17" s="44" t="e">
        <f>C9*E17/100</f>
        <v>#VALUE!</v>
      </c>
      <c r="J17" s="44">
        <f t="shared" si="0"/>
        <v>63538.641431999989</v>
      </c>
      <c r="K17" s="44"/>
      <c r="L17" s="45">
        <f t="shared" si="6"/>
        <v>5083.0913145599989</v>
      </c>
      <c r="M17" s="45">
        <f t="shared" ref="M17:M29" si="7">J17+L17+K17</f>
        <v>68621.732746559981</v>
      </c>
      <c r="N17" s="44">
        <f>C7*E17/100</f>
        <v>42468.641431999989</v>
      </c>
      <c r="O17" s="44">
        <f t="shared" si="1"/>
        <v>21070</v>
      </c>
      <c r="P17" s="77">
        <f t="shared" si="3"/>
        <v>132160.37417855999</v>
      </c>
      <c r="Q17" s="78">
        <f t="shared" si="4"/>
        <v>136125.18540391678</v>
      </c>
    </row>
    <row r="18" spans="1:17" ht="15" customHeight="1" x14ac:dyDescent="0.25">
      <c r="A18" s="7">
        <v>8</v>
      </c>
      <c r="B18" s="52" t="s">
        <v>11</v>
      </c>
      <c r="C18" s="64" t="s">
        <v>33</v>
      </c>
      <c r="D18" s="64"/>
      <c r="E18" s="43">
        <v>7.63</v>
      </c>
      <c r="F18" s="58">
        <v>80531.533907999983</v>
      </c>
      <c r="G18" s="44">
        <v>0</v>
      </c>
      <c r="H18" s="69">
        <f t="shared" si="5"/>
        <v>80531.533907999983</v>
      </c>
      <c r="I18" s="44" t="e">
        <f>C9*E18/100</f>
        <v>#VALUE!</v>
      </c>
      <c r="J18" s="44">
        <f t="shared" si="0"/>
        <v>0</v>
      </c>
      <c r="K18" s="44"/>
      <c r="L18" s="45">
        <f t="shared" si="6"/>
        <v>0</v>
      </c>
      <c r="M18" s="45">
        <f t="shared" si="7"/>
        <v>0</v>
      </c>
      <c r="N18" s="44">
        <f>C7*E18/100</f>
        <v>53826.53390799999</v>
      </c>
      <c r="O18" s="44">
        <f t="shared" si="1"/>
        <v>26705</v>
      </c>
      <c r="P18" s="77">
        <f t="shared" si="3"/>
        <v>80531.533907999983</v>
      </c>
      <c r="Q18" s="78">
        <f t="shared" si="4"/>
        <v>82947.479925239983</v>
      </c>
    </row>
    <row r="19" spans="1:17" ht="15" customHeight="1" x14ac:dyDescent="0.25">
      <c r="A19" s="7">
        <v>9</v>
      </c>
      <c r="B19" s="52" t="s">
        <v>12</v>
      </c>
      <c r="C19" s="64" t="s">
        <v>34</v>
      </c>
      <c r="D19" s="64"/>
      <c r="E19" s="43">
        <v>6.05</v>
      </c>
      <c r="F19" s="58">
        <v>260531.49543854402</v>
      </c>
      <c r="G19" s="44">
        <v>0</v>
      </c>
      <c r="H19" s="69"/>
      <c r="I19" s="44" t="e">
        <f>C9*E19/100</f>
        <v>#VALUE!</v>
      </c>
      <c r="J19" s="44">
        <f t="shared" si="0"/>
        <v>260531.49543854402</v>
      </c>
      <c r="K19" s="44"/>
      <c r="L19" s="45">
        <f t="shared" si="6"/>
        <v>20842.519635083521</v>
      </c>
      <c r="M19" s="45">
        <f t="shared" si="7"/>
        <v>281374.01507362752</v>
      </c>
      <c r="N19" s="44">
        <f>C7*E19/100</f>
        <v>42680.279179999998</v>
      </c>
      <c r="O19" s="44">
        <f t="shared" si="1"/>
        <v>21175</v>
      </c>
      <c r="P19" s="77">
        <f t="shared" si="3"/>
        <v>345229.29425362754</v>
      </c>
      <c r="Q19" s="78">
        <f t="shared" si="4"/>
        <v>355586.17308123637</v>
      </c>
    </row>
    <row r="20" spans="1:17" ht="15" customHeight="1" x14ac:dyDescent="0.25">
      <c r="A20" s="7">
        <v>10</v>
      </c>
      <c r="B20" s="52" t="s">
        <v>35</v>
      </c>
      <c r="C20" s="64" t="s">
        <v>76</v>
      </c>
      <c r="D20" s="64"/>
      <c r="E20" s="43">
        <v>6.02</v>
      </c>
      <c r="F20" s="58">
        <v>63538.641431999989</v>
      </c>
      <c r="G20" s="44">
        <v>0</v>
      </c>
      <c r="H20" s="69">
        <f>F20</f>
        <v>63538.641431999989</v>
      </c>
      <c r="I20" s="44" t="e">
        <f>C9*E20/100</f>
        <v>#VALUE!</v>
      </c>
      <c r="J20" s="44"/>
      <c r="K20" s="44">
        <f>F20-H20</f>
        <v>0</v>
      </c>
      <c r="L20" s="45">
        <f>IF(J19&gt;0,(J20+K20)*8%,0)</f>
        <v>0</v>
      </c>
      <c r="M20" s="45">
        <f t="shared" si="7"/>
        <v>0</v>
      </c>
      <c r="N20" s="44">
        <f>C7*E20/100</f>
        <v>42468.641431999989</v>
      </c>
      <c r="O20" s="44">
        <f t="shared" si="1"/>
        <v>21070</v>
      </c>
      <c r="P20" s="77">
        <f t="shared" si="3"/>
        <v>63538.641431999989</v>
      </c>
      <c r="Q20" s="78">
        <f t="shared" si="4"/>
        <v>65444.800674959988</v>
      </c>
    </row>
    <row r="21" spans="1:17" ht="15" customHeight="1" x14ac:dyDescent="0.25">
      <c r="A21" s="7">
        <v>11</v>
      </c>
      <c r="B21" s="52" t="s">
        <v>37</v>
      </c>
      <c r="C21" s="66" t="s">
        <v>39</v>
      </c>
      <c r="D21" s="66"/>
      <c r="E21" s="43">
        <v>21.2</v>
      </c>
      <c r="F21" s="58">
        <v>223757.34191999998</v>
      </c>
      <c r="G21" s="44">
        <v>0</v>
      </c>
      <c r="H21" s="69">
        <f>F21-74200</f>
        <v>149557.34191999998</v>
      </c>
      <c r="I21" s="44" t="e">
        <f>C9*E21/100</f>
        <v>#VALUE!</v>
      </c>
      <c r="J21" s="44">
        <f t="shared" ref="J21:J29" si="8">F21-G21-H21</f>
        <v>74200</v>
      </c>
      <c r="K21" s="44"/>
      <c r="L21" s="45">
        <f t="shared" si="6"/>
        <v>5936</v>
      </c>
      <c r="M21" s="45">
        <f t="shared" si="7"/>
        <v>80136</v>
      </c>
      <c r="N21" s="44">
        <f>C7*E21/100</f>
        <v>149557.34191999998</v>
      </c>
      <c r="O21" s="44">
        <f t="shared" si="1"/>
        <v>74200</v>
      </c>
      <c r="P21" s="77">
        <f t="shared" si="3"/>
        <v>303893.34191999998</v>
      </c>
      <c r="Q21" s="78">
        <f t="shared" si="4"/>
        <v>313010.14217759995</v>
      </c>
    </row>
    <row r="22" spans="1:17" ht="15" customHeight="1" x14ac:dyDescent="0.25">
      <c r="A22" s="7">
        <v>12</v>
      </c>
      <c r="B22" s="52" t="s">
        <v>61</v>
      </c>
      <c r="C22" s="66" t="s">
        <v>39</v>
      </c>
      <c r="D22" s="66" t="s">
        <v>74</v>
      </c>
      <c r="E22" s="43">
        <v>6.81</v>
      </c>
      <c r="F22" s="58">
        <v>71876.768795999989</v>
      </c>
      <c r="G22" s="44">
        <v>0</v>
      </c>
      <c r="H22" s="69"/>
      <c r="I22" s="44" t="e">
        <f>C9*E22/100</f>
        <v>#VALUE!</v>
      </c>
      <c r="J22" s="44">
        <f t="shared" si="8"/>
        <v>71876.768795999989</v>
      </c>
      <c r="K22" s="44"/>
      <c r="L22" s="45">
        <f t="shared" si="6"/>
        <v>5750.141503679999</v>
      </c>
      <c r="M22" s="45">
        <f t="shared" si="7"/>
        <v>77626.910299679992</v>
      </c>
      <c r="N22" s="44">
        <f>C7*E22/100</f>
        <v>48041.768795999989</v>
      </c>
      <c r="O22" s="44">
        <f t="shared" si="1"/>
        <v>23835</v>
      </c>
      <c r="P22" s="77">
        <f t="shared" si="3"/>
        <v>149503.67909567998</v>
      </c>
      <c r="Q22" s="78">
        <f t="shared" si="4"/>
        <v>153988.78946855039</v>
      </c>
    </row>
    <row r="23" spans="1:17" ht="15" customHeight="1" x14ac:dyDescent="0.25">
      <c r="A23" s="7">
        <v>13</v>
      </c>
      <c r="B23" s="52" t="s">
        <v>40</v>
      </c>
      <c r="C23" s="64" t="s">
        <v>54</v>
      </c>
      <c r="D23" s="64" t="s">
        <v>75</v>
      </c>
      <c r="E23" s="43">
        <v>6.52</v>
      </c>
      <c r="F23" s="69">
        <v>118106.869932</v>
      </c>
      <c r="G23" s="44">
        <v>0</v>
      </c>
      <c r="H23" s="69">
        <v>45996</v>
      </c>
      <c r="I23" s="44">
        <v>0</v>
      </c>
      <c r="J23" s="44">
        <f t="shared" si="8"/>
        <v>72110.869932000001</v>
      </c>
      <c r="K23" s="44"/>
      <c r="L23" s="67">
        <f t="shared" si="6"/>
        <v>5768.8695945600002</v>
      </c>
      <c r="M23" s="67">
        <f>J23+L23+K23</f>
        <v>77879.739526560006</v>
      </c>
      <c r="N23" s="44">
        <f>C7*E23/100</f>
        <v>45995.937231999989</v>
      </c>
      <c r="O23" s="44">
        <f t="shared" si="1"/>
        <v>22820</v>
      </c>
      <c r="P23" s="77">
        <f t="shared" si="3"/>
        <v>146695.67675856</v>
      </c>
      <c r="Q23" s="78">
        <f t="shared" si="4"/>
        <v>151096.54706131681</v>
      </c>
    </row>
    <row r="24" spans="1:17" ht="15" customHeight="1" x14ac:dyDescent="0.25">
      <c r="A24" s="7">
        <v>14</v>
      </c>
      <c r="B24" s="71" t="s">
        <v>55</v>
      </c>
      <c r="C24" s="72" t="s">
        <v>43</v>
      </c>
      <c r="D24" s="72"/>
      <c r="E24" s="73">
        <v>1.18</v>
      </c>
      <c r="F24" s="74">
        <v>652364.11867009336</v>
      </c>
      <c r="G24" s="75">
        <v>0</v>
      </c>
      <c r="H24" s="74"/>
      <c r="I24" s="75" t="e">
        <f>C9*E24/100</f>
        <v>#VALUE!</v>
      </c>
      <c r="J24" s="75">
        <f t="shared" si="8"/>
        <v>652364.11867009336</v>
      </c>
      <c r="K24" s="75"/>
      <c r="L24" s="76">
        <f t="shared" si="6"/>
        <v>52189.12949360747</v>
      </c>
      <c r="M24" s="76">
        <f t="shared" si="7"/>
        <v>704553.2481637008</v>
      </c>
      <c r="N24" s="75">
        <f>C7*E24/100</f>
        <v>8324.4180879999985</v>
      </c>
      <c r="O24" s="75">
        <f t="shared" si="1"/>
        <v>4130</v>
      </c>
      <c r="P24" s="75">
        <f t="shared" si="3"/>
        <v>717007.66625170084</v>
      </c>
      <c r="Q24" s="76">
        <f t="shared" si="4"/>
        <v>738517.89623925183</v>
      </c>
    </row>
    <row r="25" spans="1:17" ht="15" customHeight="1" x14ac:dyDescent="0.25">
      <c r="A25" s="7">
        <v>15</v>
      </c>
      <c r="B25" s="71" t="s">
        <v>56</v>
      </c>
      <c r="C25" s="72" t="s">
        <v>45</v>
      </c>
      <c r="D25" s="72"/>
      <c r="E25" s="73">
        <v>1.17</v>
      </c>
      <c r="F25" s="74">
        <v>644118.60752071498</v>
      </c>
      <c r="G25" s="75">
        <v>0</v>
      </c>
      <c r="H25" s="74">
        <v>0</v>
      </c>
      <c r="I25" s="75" t="e">
        <f>C9*E25/100</f>
        <v>#VALUE!</v>
      </c>
      <c r="J25" s="75">
        <f t="shared" si="8"/>
        <v>644118.60752071498</v>
      </c>
      <c r="K25" s="75"/>
      <c r="L25" s="76">
        <f t="shared" si="6"/>
        <v>51529.488601657198</v>
      </c>
      <c r="M25" s="76">
        <f t="shared" si="7"/>
        <v>695648.0961223722</v>
      </c>
      <c r="N25" s="75">
        <f>C7*E25/100</f>
        <v>8253.8721719999976</v>
      </c>
      <c r="O25" s="75">
        <f t="shared" si="1"/>
        <v>4095</v>
      </c>
      <c r="P25" s="75">
        <f t="shared" si="3"/>
        <v>707996.9682943722</v>
      </c>
      <c r="Q25" s="76">
        <f t="shared" si="4"/>
        <v>729236.87734320341</v>
      </c>
    </row>
    <row r="26" spans="1:17" ht="15" customHeight="1" x14ac:dyDescent="0.25">
      <c r="A26" s="7">
        <v>16</v>
      </c>
      <c r="B26" s="71" t="s">
        <v>57</v>
      </c>
      <c r="C26" s="72" t="s">
        <v>85</v>
      </c>
      <c r="D26" s="72"/>
      <c r="E26" s="73">
        <v>1.06</v>
      </c>
      <c r="F26" s="74">
        <f>14989+13267+17578+11187.867096</f>
        <v>57021.867096000002</v>
      </c>
      <c r="G26" s="75">
        <v>0</v>
      </c>
      <c r="H26" s="74"/>
      <c r="I26" s="75" t="e">
        <f>C9*E26/100</f>
        <v>#VALUE!</v>
      </c>
      <c r="J26" s="75">
        <f t="shared" si="8"/>
        <v>57021.867096000002</v>
      </c>
      <c r="K26" s="75"/>
      <c r="L26" s="76">
        <f t="shared" si="6"/>
        <v>4561.7493676800004</v>
      </c>
      <c r="M26" s="76">
        <f t="shared" si="7"/>
        <v>61583.616463680002</v>
      </c>
      <c r="N26" s="75">
        <f>C7*E26/100</f>
        <v>7477.867095999999</v>
      </c>
      <c r="O26" s="75">
        <f t="shared" si="1"/>
        <v>3710</v>
      </c>
      <c r="P26" s="75">
        <f t="shared" si="3"/>
        <v>72771.483559679997</v>
      </c>
      <c r="Q26" s="76">
        <f t="shared" si="4"/>
        <v>74954.628066470395</v>
      </c>
    </row>
    <row r="27" spans="1:17" ht="15" customHeight="1" x14ac:dyDescent="0.25">
      <c r="A27" s="7">
        <v>17</v>
      </c>
      <c r="B27" s="71" t="s">
        <v>58</v>
      </c>
      <c r="C27" s="72" t="s">
        <v>79</v>
      </c>
      <c r="D27" s="72"/>
      <c r="E27" s="73">
        <v>0.51</v>
      </c>
      <c r="F27" s="74">
        <v>65295.109921018091</v>
      </c>
      <c r="G27" s="75">
        <v>0</v>
      </c>
      <c r="H27" s="74"/>
      <c r="I27" s="75" t="e">
        <f>C9*E27/100</f>
        <v>#VALUE!</v>
      </c>
      <c r="J27" s="75">
        <f t="shared" si="8"/>
        <v>65295.109921018091</v>
      </c>
      <c r="K27" s="75"/>
      <c r="L27" s="76">
        <f t="shared" si="6"/>
        <v>5223.6087936814474</v>
      </c>
      <c r="M27" s="76">
        <f t="shared" si="7"/>
        <v>70518.718714699542</v>
      </c>
      <c r="N27" s="75">
        <f>C7*E27/100</f>
        <v>3597.8417159999995</v>
      </c>
      <c r="O27" s="75">
        <f t="shared" si="1"/>
        <v>1785</v>
      </c>
      <c r="P27" s="75">
        <f t="shared" si="3"/>
        <v>75901.560430699537</v>
      </c>
      <c r="Q27" s="76">
        <f t="shared" si="4"/>
        <v>78178.607243620529</v>
      </c>
    </row>
    <row r="28" spans="1:17" ht="15" customHeight="1" x14ac:dyDescent="0.25">
      <c r="A28" s="7">
        <v>18</v>
      </c>
      <c r="B28" s="52" t="s">
        <v>59</v>
      </c>
      <c r="C28" s="64" t="s">
        <v>51</v>
      </c>
      <c r="D28" s="64"/>
      <c r="E28" s="43">
        <v>0.27</v>
      </c>
      <c r="F28" s="58">
        <v>2849.739732</v>
      </c>
      <c r="G28" s="44">
        <v>0</v>
      </c>
      <c r="H28" s="69">
        <f>F28</f>
        <v>2849.739732</v>
      </c>
      <c r="I28" s="44" t="e">
        <f>C9*E28/100</f>
        <v>#VALUE!</v>
      </c>
      <c r="J28" s="44">
        <f t="shared" si="8"/>
        <v>0</v>
      </c>
      <c r="K28" s="44"/>
      <c r="L28" s="45">
        <f t="shared" si="6"/>
        <v>0</v>
      </c>
      <c r="M28" s="45">
        <f t="shared" si="7"/>
        <v>0</v>
      </c>
      <c r="N28" s="44">
        <f>C7*E28/100</f>
        <v>1904.7397319999998</v>
      </c>
      <c r="O28" s="44">
        <f t="shared" si="1"/>
        <v>945</v>
      </c>
      <c r="P28" s="77">
        <f t="shared" si="3"/>
        <v>2849.739732</v>
      </c>
      <c r="Q28" s="78">
        <f t="shared" si="4"/>
        <v>2935.2319239600001</v>
      </c>
    </row>
    <row r="29" spans="1:17" ht="15" customHeight="1" thickBot="1" x14ac:dyDescent="0.3">
      <c r="A29" s="41"/>
      <c r="B29" s="52" t="s">
        <v>60</v>
      </c>
      <c r="C29" s="65" t="s">
        <v>39</v>
      </c>
      <c r="D29" s="65"/>
      <c r="E29" s="47">
        <v>1.82</v>
      </c>
      <c r="F29" s="59">
        <v>19209.356712000001</v>
      </c>
      <c r="G29" s="44">
        <v>0</v>
      </c>
      <c r="H29" s="69"/>
      <c r="I29" s="48"/>
      <c r="J29" s="44">
        <f t="shared" si="8"/>
        <v>19209.356712000001</v>
      </c>
      <c r="K29" s="48"/>
      <c r="L29" s="45">
        <f t="shared" si="6"/>
        <v>1536.7485369600001</v>
      </c>
      <c r="M29" s="45">
        <f t="shared" si="7"/>
        <v>20746.105248960001</v>
      </c>
      <c r="N29" s="48">
        <f>C7*E29/100</f>
        <v>12839.356712000001</v>
      </c>
      <c r="O29" s="44">
        <f t="shared" si="1"/>
        <v>6370</v>
      </c>
      <c r="P29" s="77">
        <f t="shared" si="3"/>
        <v>39955.461960960005</v>
      </c>
      <c r="Q29" s="78">
        <f t="shared" si="4"/>
        <v>41154.125819788802</v>
      </c>
    </row>
    <row r="30" spans="1:17" s="2" customFormat="1" ht="21.75" thickBot="1" x14ac:dyDescent="0.4">
      <c r="A30" s="88" t="s">
        <v>14</v>
      </c>
      <c r="B30" s="89"/>
      <c r="C30" s="89"/>
      <c r="D30" s="61"/>
      <c r="E30" s="42"/>
      <c r="F30" s="54">
        <f>SUM(F12:F29)</f>
        <v>3080921.751272683</v>
      </c>
      <c r="G30" s="54">
        <f>SUM(G12:G29)</f>
        <v>0</v>
      </c>
      <c r="H30" s="62">
        <f>SUM(H12:H29)</f>
        <v>507718.43233199988</v>
      </c>
      <c r="I30" s="54"/>
      <c r="J30" s="62">
        <f>SUM(J12:J29)</f>
        <v>2573203.3189406828</v>
      </c>
      <c r="K30" s="54"/>
      <c r="L30" s="68">
        <f>L12+L13+L14+L15+L16+L17+L18+L19+L20+L21+L22+L23+L24+L25+L26+L27+L28+L29</f>
        <v>205856.26551525466</v>
      </c>
      <c r="M30" s="55"/>
      <c r="N30" s="70">
        <f>SUM(N12:N29)</f>
        <v>705459.15999999992</v>
      </c>
      <c r="O30" s="56">
        <f>SUM(O12:O29)</f>
        <v>350000</v>
      </c>
      <c r="P30" s="57">
        <f>SUM(P16:P29) +P15+P14+P13+P12</f>
        <v>3834518.7444559382</v>
      </c>
      <c r="Q30" s="57">
        <f>SUM(Q16:Q29) +Q15+Q14+Q13+Q12</f>
        <v>3949554.3067896161</v>
      </c>
    </row>
    <row r="31" spans="1:17" ht="34.5" hidden="1" customHeight="1" thickBot="1" x14ac:dyDescent="0.3">
      <c r="B31" s="85" t="s">
        <v>53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</row>
    <row r="32" spans="1:17" x14ac:dyDescent="0.25">
      <c r="E32" s="40"/>
      <c r="F32" s="4"/>
      <c r="G32" s="4"/>
      <c r="H32" s="4"/>
      <c r="I32" s="4"/>
      <c r="J32" s="4" t="s">
        <v>62</v>
      </c>
      <c r="K32" s="4"/>
    </row>
    <row r="33" spans="2:17" ht="15" customHeight="1" x14ac:dyDescent="0.25"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</row>
    <row r="34" spans="2:17" x14ac:dyDescent="0.25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</row>
    <row r="35" spans="2:17" x14ac:dyDescent="0.25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</row>
    <row r="36" spans="2:17" x14ac:dyDescent="0.25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</row>
    <row r="37" spans="2:17" x14ac:dyDescent="0.25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</row>
  </sheetData>
  <mergeCells count="5">
    <mergeCell ref="B33:Q37"/>
    <mergeCell ref="L4:Q4"/>
    <mergeCell ref="A1:Q1"/>
    <mergeCell ref="B31:Q31"/>
    <mergeCell ref="A30:C30"/>
  </mergeCells>
  <hyperlinks>
    <hyperlink ref="L5" r:id="rId1" xr:uid="{00000000-0004-0000-0000-000000000000}"/>
  </hyperlinks>
  <pageMargins left="0.25" right="0.25" top="0.75" bottom="0.75" header="0.3" footer="0.3"/>
  <pageSetup paperSize="5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24</v>
      </c>
      <c r="B2" s="33">
        <v>0</v>
      </c>
    </row>
    <row r="3" spans="1:6" ht="15.75" thickBot="1" x14ac:dyDescent="0.3">
      <c r="A3" s="21" t="s">
        <v>25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21</v>
      </c>
      <c r="E4" s="30" t="s">
        <v>22</v>
      </c>
      <c r="F4" s="32" t="s">
        <v>23</v>
      </c>
    </row>
    <row r="5" spans="1:6" x14ac:dyDescent="0.25">
      <c r="A5" s="27">
        <v>1</v>
      </c>
      <c r="B5" s="7" t="s">
        <v>5</v>
      </c>
      <c r="C5" s="1" t="s">
        <v>27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28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29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93" t="s">
        <v>7</v>
      </c>
      <c r="C8" s="1" t="s">
        <v>30</v>
      </c>
      <c r="D8" s="90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91"/>
      <c r="C9" s="1" t="s">
        <v>31</v>
      </c>
      <c r="D9" s="91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32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32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33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34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35</v>
      </c>
      <c r="C14" s="1" t="s">
        <v>36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37</v>
      </c>
      <c r="C15" s="94" t="s">
        <v>39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38</v>
      </c>
      <c r="C16" s="95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40</v>
      </c>
      <c r="C17" s="1" t="s">
        <v>41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42</v>
      </c>
      <c r="C18" s="1" t="s">
        <v>43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44</v>
      </c>
      <c r="C19" s="1" t="s">
        <v>45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46</v>
      </c>
      <c r="C20" s="1" t="s">
        <v>49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47</v>
      </c>
      <c r="C21" s="1" t="s">
        <v>50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48</v>
      </c>
      <c r="C22" s="1" t="s">
        <v>51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92" t="s">
        <v>14</v>
      </c>
      <c r="B23" s="92"/>
      <c r="C23" s="92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Planilla</vt:lpstr>
      <vt:lpstr>TSG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2025-09-28T14:46:32Z</cp:lastPrinted>
  <dcterms:created xsi:type="dcterms:W3CDTF">2021-10-25T13:53:39Z</dcterms:created>
  <dcterms:modified xsi:type="dcterms:W3CDTF">2025-11-02T20:50:52Z</dcterms:modified>
</cp:coreProperties>
</file>