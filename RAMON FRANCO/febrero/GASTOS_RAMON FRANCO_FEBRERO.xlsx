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D:\OneDrive\Desktop\RC CONSORCIO 2025\RAMON FRANCO\febrero\"/>
    </mc:Choice>
  </mc:AlternateContent>
  <xr:revisionPtr revIDLastSave="0" documentId="13_ncr:1_{3EC99C86-395C-42B0-8410-0BEACFF4113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definedNames>
    <definedName name="_xlnm.Print_Area" localSheetId="0">Hoja1!$A$1:$H$76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6" i="1" l="1"/>
  <c r="K32" i="1"/>
  <c r="H16" i="1" l="1"/>
  <c r="H22" i="1" l="1"/>
  <c r="H37" i="1"/>
  <c r="H17" i="1" l="1"/>
  <c r="H52" i="1" l="1"/>
  <c r="H58" i="1" s="1"/>
  <c r="H27" i="1" l="1"/>
  <c r="H45" i="1" l="1"/>
  <c r="H55" i="1" l="1"/>
  <c r="H65" i="1"/>
  <c r="H66" i="1" s="1"/>
</calcChain>
</file>

<file path=xl/sharedStrings.xml><?xml version="1.0" encoding="utf-8"?>
<sst xmlns="http://schemas.openxmlformats.org/spreadsheetml/2006/main" count="54" uniqueCount="53">
  <si>
    <t>Domicilio:</t>
  </si>
  <si>
    <t>Cel.</t>
  </si>
  <si>
    <t>e-mail:</t>
  </si>
  <si>
    <t>LIQUIDACION DE EXPENSAS</t>
  </si>
  <si>
    <t>CONSORCIO</t>
  </si>
  <si>
    <t>PAGO: EFECTIVO</t>
  </si>
  <si>
    <t xml:space="preserve">Domicilio: </t>
  </si>
  <si>
    <t>Total:</t>
  </si>
  <si>
    <t>2- SERVICIO PUBLICIO</t>
  </si>
  <si>
    <t>Total Servicios publicos:</t>
  </si>
  <si>
    <t>Total mantenimiento:</t>
  </si>
  <si>
    <t xml:space="preserve">Nombre y Apellido: </t>
  </si>
  <si>
    <t>Carolina Canciani</t>
  </si>
  <si>
    <t>1- SERVICIO DE LIMPIEZA Y JARDINERIA</t>
  </si>
  <si>
    <t>GASTOS EXTRAORDINARIOS</t>
  </si>
  <si>
    <t>ESTADO FINANCIERO</t>
  </si>
  <si>
    <t>Saldo al cierre</t>
  </si>
  <si>
    <t>Saldo anterior</t>
  </si>
  <si>
    <t>3- IMPUESTOS MUNICIPALES Y PROVINCIALES</t>
  </si>
  <si>
    <t>ARBA</t>
  </si>
  <si>
    <t>4- MANTENIMIENTO DE PARTES COMUNES</t>
  </si>
  <si>
    <t>5- GASTO DE ADMINISTRACION</t>
  </si>
  <si>
    <t>6- SEGURO OBLIGATORIO</t>
  </si>
  <si>
    <t>TOTAL DE GASTOS ORDINARIOS 1,2,3,4,5,6;</t>
  </si>
  <si>
    <t>RAMON FRANCO Nº 3372</t>
  </si>
  <si>
    <t>ramonfranco3372@gmail.com</t>
  </si>
  <si>
    <t>Ramon Franco Nº 3372</t>
  </si>
  <si>
    <t xml:space="preserve">Mantenimiento de Ascensor </t>
  </si>
  <si>
    <t>AYSA :</t>
  </si>
  <si>
    <t>SUELDO SRA. - Viviana</t>
  </si>
  <si>
    <t>TOTAL</t>
  </si>
  <si>
    <t>Nancy</t>
  </si>
  <si>
    <t>FEDERACION PATRONAL SEGUROS S.A.</t>
  </si>
  <si>
    <t xml:space="preserve">Poliza 12-7478661-0 </t>
  </si>
  <si>
    <t>TOTAL DE GASTOS EXTRAORDINARIO</t>
  </si>
  <si>
    <t>MP:1148</t>
  </si>
  <si>
    <t>Punitorios mal cobrados</t>
  </si>
  <si>
    <t>Mercantil Andina - Poliza Nro. 1172432</t>
  </si>
  <si>
    <t xml:space="preserve">TOTAL DE GASTOS ORDINARIOS A PRORRATEAR </t>
  </si>
  <si>
    <t>NOS QUEDAN RECUPERAR EN CONCEPTO DE EDESUR MAL COBRADO ESTA CANTIDAD DE PLATA, HAY QUE "inventar un gasto"</t>
  </si>
  <si>
    <t xml:space="preserve">JPL Articulos de limpieza </t>
  </si>
  <si>
    <t>SEÑORES PROPIETARIOS E INQUILINOS: A PARTIR DE LA LIQUIDACION DE FEBRERO, QUIEN NO ABONE EDESUR PAGARA CON PUNITORIOS AL MES SIGUIENTE. LA CAJA MOSTRADA NO ES LA REAL DEBIDO A QUE DENTRO DE LA MISMA SE SOSTIENEN LOS DEUDORES DE EDESUR Y NO SE PUEDEN AVANZAR EN MEJORAS.</t>
  </si>
  <si>
    <t>Mes FEBRERO</t>
  </si>
  <si>
    <t>Administraciòn FEBRERO 2025:</t>
  </si>
  <si>
    <t xml:space="preserve">Ingreso pago por expensas - ENERO - </t>
  </si>
  <si>
    <t>Egresos gastos del mes - ENERO</t>
  </si>
  <si>
    <t>PERIODO: FEBRERO - Vto. 14/03</t>
  </si>
  <si>
    <t>Doartero trabajos en pallier 6/2</t>
  </si>
  <si>
    <t>Doartero Raparacion y pintura en techo 6/2</t>
  </si>
  <si>
    <t xml:space="preserve"> HONORARIOS - LA ULTIMA VEZ FUE EN diciembre</t>
  </si>
  <si>
    <t xml:space="preserve">Prevision ordinaria </t>
  </si>
  <si>
    <t>TSG FEBRERO</t>
  </si>
  <si>
    <t>DIFERENCIA RENOVACION POLIZA DE ENERO FEDERACION PATRONAL SEGUROS S.A.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</si>
</sst>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$&quot;\ #,##0;[Red]\-&quot;$&quot;\ #,##0"/>
    <numFmt numFmtId="165" formatCode="&quot;$&quot;\ #,##0.00;[Red]\-&quot;$&quot;\ #,##0.00"/>
    <numFmt numFmtId="166" formatCode="_-&quot;$&quot;\ * #,##0.00_-;\-&quot;$&quot;\ * #,##0.00_-;_-&quot;$&quot;\ * &quot;-&quot;??_-;_-@_-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name val="Calibri"/>
      <family val="2"/>
      <scheme val="minor"/>
    </font>
    <font>
      <b/>
      <sz val="14"/>
      <name val="Calibri"/>
      <family val="2"/>
      <scheme val="minor"/>
    </font>
    <font>
      <sz val="12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166" fontId="1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96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4" fillId="3" borderId="9" xfId="0" applyFont="1" applyFill="1" applyBorder="1"/>
    <xf numFmtId="0" fontId="4" fillId="3" borderId="0" xfId="0" applyFont="1" applyFill="1"/>
    <xf numFmtId="0" fontId="5" fillId="3" borderId="0" xfId="0" applyFont="1" applyFill="1"/>
    <xf numFmtId="0" fontId="5" fillId="3" borderId="10" xfId="0" applyFont="1" applyFill="1" applyBorder="1"/>
    <xf numFmtId="0" fontId="2" fillId="0" borderId="0" xfId="0" applyFont="1"/>
    <xf numFmtId="0" fontId="0" fillId="5" borderId="0" xfId="0" applyFill="1"/>
    <xf numFmtId="165" fontId="0" fillId="0" borderId="0" xfId="0" applyNumberFormat="1"/>
    <xf numFmtId="0" fontId="6" fillId="0" borderId="0" xfId="0" applyFont="1"/>
    <xf numFmtId="0" fontId="3" fillId="0" borderId="0" xfId="2" applyBorder="1"/>
    <xf numFmtId="0" fontId="7" fillId="0" borderId="9" xfId="0" applyFont="1" applyBorder="1"/>
    <xf numFmtId="0" fontId="7" fillId="0" borderId="0" xfId="0" applyFont="1"/>
    <xf numFmtId="164" fontId="7" fillId="0" borderId="10" xfId="0" applyNumberFormat="1" applyFont="1" applyBorder="1"/>
    <xf numFmtId="0" fontId="7" fillId="4" borderId="9" xfId="0" applyFont="1" applyFill="1" applyBorder="1"/>
    <xf numFmtId="0" fontId="7" fillId="4" borderId="0" xfId="0" applyFont="1" applyFill="1"/>
    <xf numFmtId="0" fontId="7" fillId="0" borderId="11" xfId="0" applyFont="1" applyBorder="1"/>
    <xf numFmtId="0" fontId="7" fillId="0" borderId="2" xfId="0" applyFont="1" applyBorder="1"/>
    <xf numFmtId="16" fontId="7" fillId="0" borderId="0" xfId="0" applyNumberFormat="1" applyFont="1"/>
    <xf numFmtId="166" fontId="7" fillId="5" borderId="10" xfId="1" applyFont="1" applyFill="1" applyBorder="1"/>
    <xf numFmtId="166" fontId="8" fillId="4" borderId="10" xfId="0" applyNumberFormat="1" applyFont="1" applyFill="1" applyBorder="1"/>
    <xf numFmtId="0" fontId="7" fillId="5" borderId="9" xfId="0" applyFont="1" applyFill="1" applyBorder="1"/>
    <xf numFmtId="0" fontId="7" fillId="5" borderId="0" xfId="0" applyFont="1" applyFill="1"/>
    <xf numFmtId="166" fontId="7" fillId="5" borderId="10" xfId="0" applyNumberFormat="1" applyFont="1" applyFill="1" applyBorder="1"/>
    <xf numFmtId="0" fontId="7" fillId="0" borderId="10" xfId="0" applyFont="1" applyBorder="1"/>
    <xf numFmtId="166" fontId="8" fillId="5" borderId="10" xfId="1" applyFont="1" applyFill="1" applyBorder="1"/>
    <xf numFmtId="0" fontId="9" fillId="2" borderId="4" xfId="0" applyFont="1" applyFill="1" applyBorder="1"/>
    <xf numFmtId="0" fontId="9" fillId="2" borderId="5" xfId="0" applyFont="1" applyFill="1" applyBorder="1"/>
    <xf numFmtId="165" fontId="9" fillId="2" borderId="6" xfId="0" applyNumberFormat="1" applyFont="1" applyFill="1" applyBorder="1"/>
    <xf numFmtId="166" fontId="11" fillId="5" borderId="3" xfId="1" applyFont="1" applyFill="1" applyBorder="1" applyAlignment="1">
      <alignment horizontal="center" vertical="center"/>
    </xf>
    <xf numFmtId="166" fontId="9" fillId="5" borderId="3" xfId="0" applyNumberFormat="1" applyFont="1" applyFill="1" applyBorder="1" applyAlignment="1">
      <alignment horizontal="center" vertical="center"/>
    </xf>
    <xf numFmtId="0" fontId="9" fillId="5" borderId="0" xfId="0" applyFont="1" applyFill="1"/>
    <xf numFmtId="165" fontId="9" fillId="5" borderId="0" xfId="0" applyNumberFormat="1" applyFont="1" applyFill="1"/>
    <xf numFmtId="166" fontId="9" fillId="2" borderId="6" xfId="1" applyFont="1" applyFill="1" applyBorder="1"/>
    <xf numFmtId="0" fontId="10" fillId="5" borderId="4" xfId="0" applyFont="1" applyFill="1" applyBorder="1" applyAlignment="1">
      <alignment horizontal="left"/>
    </xf>
    <xf numFmtId="0" fontId="10" fillId="5" borderId="5" xfId="0" applyFont="1" applyFill="1" applyBorder="1" applyAlignment="1">
      <alignment horizontal="center"/>
    </xf>
    <xf numFmtId="0" fontId="7" fillId="5" borderId="4" xfId="0" applyFont="1" applyFill="1" applyBorder="1"/>
    <xf numFmtId="0" fontId="7" fillId="5" borderId="5" xfId="0" applyFont="1" applyFill="1" applyBorder="1"/>
    <xf numFmtId="165" fontId="7" fillId="5" borderId="3" xfId="1" applyNumberFormat="1" applyFont="1" applyFill="1" applyBorder="1"/>
    <xf numFmtId="0" fontId="10" fillId="5" borderId="4" xfId="0" applyFont="1" applyFill="1" applyBorder="1"/>
    <xf numFmtId="0" fontId="10" fillId="5" borderId="5" xfId="0" applyFont="1" applyFill="1" applyBorder="1"/>
    <xf numFmtId="165" fontId="10" fillId="5" borderId="6" xfId="1" applyNumberFormat="1" applyFont="1" applyFill="1" applyBorder="1" applyAlignment="1">
      <alignment horizontal="right"/>
    </xf>
    <xf numFmtId="166" fontId="12" fillId="5" borderId="3" xfId="1" applyFont="1" applyFill="1" applyBorder="1"/>
    <xf numFmtId="0" fontId="0" fillId="0" borderId="3" xfId="0" applyBorder="1"/>
    <xf numFmtId="164" fontId="8" fillId="6" borderId="10" xfId="0" applyNumberFormat="1" applyFont="1" applyFill="1" applyBorder="1"/>
    <xf numFmtId="0" fontId="7" fillId="0" borderId="12" xfId="0" applyFont="1" applyBorder="1"/>
    <xf numFmtId="166" fontId="7" fillId="0" borderId="10" xfId="1" applyFont="1" applyBorder="1"/>
    <xf numFmtId="166" fontId="0" fillId="0" borderId="0" xfId="0" applyNumberFormat="1"/>
    <xf numFmtId="166" fontId="7" fillId="5" borderId="3" xfId="1" applyFont="1" applyFill="1" applyBorder="1"/>
    <xf numFmtId="0" fontId="8" fillId="7" borderId="0" xfId="0" applyFont="1" applyFill="1" applyAlignment="1">
      <alignment vertical="center"/>
    </xf>
    <xf numFmtId="0" fontId="10" fillId="7" borderId="0" xfId="0" applyFont="1" applyFill="1" applyAlignment="1">
      <alignment vertical="center"/>
    </xf>
    <xf numFmtId="165" fontId="8" fillId="7" borderId="0" xfId="0" applyNumberFormat="1" applyFont="1" applyFill="1" applyAlignment="1">
      <alignment vertical="center"/>
    </xf>
    <xf numFmtId="165" fontId="10" fillId="5" borderId="3" xfId="1" applyNumberFormat="1" applyFont="1" applyFill="1" applyBorder="1"/>
    <xf numFmtId="16" fontId="7" fillId="5" borderId="0" xfId="0" applyNumberFormat="1" applyFont="1" applyFill="1"/>
    <xf numFmtId="0" fontId="7" fillId="5" borderId="11" xfId="0" applyFont="1" applyFill="1" applyBorder="1"/>
    <xf numFmtId="0" fontId="7" fillId="5" borderId="2" xfId="0" applyFont="1" applyFill="1" applyBorder="1"/>
    <xf numFmtId="165" fontId="6" fillId="0" borderId="0" xfId="0" applyNumberFormat="1" applyFont="1"/>
    <xf numFmtId="166" fontId="13" fillId="4" borderId="10" xfId="0" applyNumberFormat="1" applyFont="1" applyFill="1" applyBorder="1"/>
    <xf numFmtId="166" fontId="12" fillId="5" borderId="10" xfId="0" applyNumberFormat="1" applyFont="1" applyFill="1" applyBorder="1"/>
    <xf numFmtId="166" fontId="12" fillId="5" borderId="10" xfId="1" applyFont="1" applyFill="1" applyBorder="1"/>
    <xf numFmtId="164" fontId="12" fillId="5" borderId="10" xfId="0" applyNumberFormat="1" applyFont="1" applyFill="1" applyBorder="1"/>
    <xf numFmtId="166" fontId="12" fillId="5" borderId="12" xfId="1" applyFont="1" applyFill="1" applyBorder="1"/>
    <xf numFmtId="166" fontId="13" fillId="4" borderId="10" xfId="1" applyFont="1" applyFill="1" applyBorder="1"/>
    <xf numFmtId="0" fontId="2" fillId="8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9" fillId="3" borderId="7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9" fillId="3" borderId="11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12" xfId="0" applyFont="1" applyFill="1" applyBorder="1" applyAlignment="1">
      <alignment horizontal="center" vertical="center"/>
    </xf>
    <xf numFmtId="0" fontId="10" fillId="5" borderId="4" xfId="0" applyFont="1" applyFill="1" applyBorder="1" applyAlignment="1">
      <alignment horizontal="center"/>
    </xf>
    <xf numFmtId="0" fontId="10" fillId="5" borderId="5" xfId="0" applyFont="1" applyFill="1" applyBorder="1" applyAlignment="1">
      <alignment horizontal="center"/>
    </xf>
    <xf numFmtId="0" fontId="10" fillId="5" borderId="6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8" fillId="3" borderId="4" xfId="0" applyFont="1" applyFill="1" applyBorder="1" applyAlignment="1">
      <alignment horizontal="center"/>
    </xf>
    <xf numFmtId="0" fontId="8" fillId="3" borderId="5" xfId="0" applyFont="1" applyFill="1" applyBorder="1" applyAlignment="1">
      <alignment horizontal="center"/>
    </xf>
    <xf numFmtId="0" fontId="8" fillId="3" borderId="6" xfId="0" applyFont="1" applyFill="1" applyBorder="1" applyAlignment="1">
      <alignment horizontal="center"/>
    </xf>
    <xf numFmtId="0" fontId="8" fillId="3" borderId="3" xfId="0" applyFont="1" applyFill="1" applyBorder="1" applyAlignment="1">
      <alignment horizontal="center"/>
    </xf>
    <xf numFmtId="0" fontId="7" fillId="5" borderId="4" xfId="0" applyFont="1" applyFill="1" applyBorder="1" applyAlignment="1">
      <alignment horizontal="left" vertical="top" wrapText="1"/>
    </xf>
    <xf numFmtId="0" fontId="7" fillId="5" borderId="5" xfId="0" applyFont="1" applyFill="1" applyBorder="1" applyAlignment="1">
      <alignment horizontal="left" vertical="top" wrapText="1"/>
    </xf>
    <xf numFmtId="0" fontId="7" fillId="5" borderId="6" xfId="0" applyFont="1" applyFill="1" applyBorder="1" applyAlignment="1">
      <alignment horizontal="left" vertical="top" wrapText="1"/>
    </xf>
    <xf numFmtId="0" fontId="11" fillId="5" borderId="4" xfId="0" applyFont="1" applyFill="1" applyBorder="1" applyAlignment="1">
      <alignment horizontal="left" vertical="center"/>
    </xf>
    <xf numFmtId="0" fontId="11" fillId="5" borderId="5" xfId="0" applyFont="1" applyFill="1" applyBorder="1" applyAlignment="1">
      <alignment horizontal="left" vertical="center"/>
    </xf>
    <xf numFmtId="0" fontId="11" fillId="5" borderId="6" xfId="0" applyFont="1" applyFill="1" applyBorder="1" applyAlignment="1">
      <alignment horizontal="left" vertical="center"/>
    </xf>
    <xf numFmtId="0" fontId="9" fillId="5" borderId="4" xfId="0" applyFont="1" applyFill="1" applyBorder="1" applyAlignment="1">
      <alignment horizontal="left" vertical="center"/>
    </xf>
    <xf numFmtId="0" fontId="9" fillId="5" borderId="5" xfId="0" applyFont="1" applyFill="1" applyBorder="1" applyAlignment="1">
      <alignment horizontal="left" vertical="center"/>
    </xf>
    <xf numFmtId="0" fontId="9" fillId="5" borderId="6" xfId="0" applyFont="1" applyFill="1" applyBorder="1" applyAlignment="1">
      <alignment horizontal="left" vertical="center"/>
    </xf>
    <xf numFmtId="0" fontId="9" fillId="2" borderId="2" xfId="0" applyFont="1" applyFill="1" applyBorder="1" applyAlignment="1">
      <alignment horizontal="center" vertical="center" wrapText="1"/>
    </xf>
  </cellXfs>
  <cellStyles count="3">
    <cellStyle name="Hipervínculo" xfId="2" builtinId="8"/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104775</xdr:colOff>
      <xdr:row>0</xdr:row>
      <xdr:rowOff>142875</xdr:rowOff>
    </xdr:from>
    <xdr:to>
      <xdr:col>2</xdr:col>
      <xdr:colOff>681875</xdr:colOff>
      <xdr:row>5</xdr:row>
      <xdr:rowOff>47624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775" y="142875"/>
          <a:ext cx="2101100" cy="85724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ramonfranco3372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5"/>
  <sheetViews>
    <sheetView tabSelected="1" topLeftCell="A58" zoomScale="90" zoomScaleNormal="90" workbookViewId="0">
      <selection activeCell="H62" sqref="H62"/>
    </sheetView>
  </sheetViews>
  <sheetFormatPr baseColWidth="10" defaultRowHeight="15" x14ac:dyDescent="0.25"/>
  <cols>
    <col min="3" max="3" width="11.85546875" bestFit="1" customWidth="1"/>
    <col min="8" max="8" width="19.5703125" bestFit="1" customWidth="1"/>
    <col min="9" max="9" width="13.85546875" bestFit="1" customWidth="1"/>
    <col min="10" max="10" width="12.5703125" bestFit="1" customWidth="1"/>
    <col min="11" max="11" width="12.7109375" bestFit="1" customWidth="1"/>
  </cols>
  <sheetData>
    <row r="1" spans="1:8" x14ac:dyDescent="0.25">
      <c r="A1" s="3"/>
      <c r="B1" s="1"/>
      <c r="C1" s="1"/>
      <c r="D1" s="1"/>
      <c r="E1" s="1"/>
      <c r="F1" s="1"/>
      <c r="G1" s="1"/>
      <c r="H1" s="4"/>
    </row>
    <row r="2" spans="1:8" x14ac:dyDescent="0.25">
      <c r="A2" s="5"/>
      <c r="D2" s="13" t="s">
        <v>0</v>
      </c>
      <c r="E2" t="s">
        <v>24</v>
      </c>
      <c r="H2" s="6"/>
    </row>
    <row r="3" spans="1:8" x14ac:dyDescent="0.25">
      <c r="A3" s="5"/>
      <c r="D3" s="13" t="s">
        <v>1</v>
      </c>
      <c r="E3" s="71">
        <v>1153202676</v>
      </c>
      <c r="F3" s="71"/>
      <c r="H3" s="6"/>
    </row>
    <row r="4" spans="1:8" x14ac:dyDescent="0.25">
      <c r="A4" s="5"/>
      <c r="D4" s="13" t="s">
        <v>2</v>
      </c>
      <c r="E4" s="17" t="s">
        <v>25</v>
      </c>
      <c r="H4" s="6"/>
    </row>
    <row r="5" spans="1:8" x14ac:dyDescent="0.25">
      <c r="A5" s="5"/>
      <c r="D5" s="50" t="s">
        <v>35</v>
      </c>
      <c r="H5" s="6"/>
    </row>
    <row r="6" spans="1:8" x14ac:dyDescent="0.25">
      <c r="A6" s="5"/>
      <c r="H6" s="6"/>
    </row>
    <row r="7" spans="1:8" ht="18.75" x14ac:dyDescent="0.3">
      <c r="A7" s="9" t="s">
        <v>3</v>
      </c>
      <c r="B7" s="10"/>
      <c r="C7" s="10"/>
      <c r="D7" s="10"/>
      <c r="E7" s="10" t="s">
        <v>46</v>
      </c>
      <c r="F7" s="10"/>
      <c r="G7" s="11"/>
      <c r="H7" s="12"/>
    </row>
    <row r="8" spans="1:8" x14ac:dyDescent="0.25">
      <c r="A8" s="3"/>
      <c r="B8" s="1"/>
      <c r="C8" s="1"/>
      <c r="D8" s="1"/>
      <c r="E8" s="1"/>
      <c r="F8" s="1"/>
      <c r="G8" s="1"/>
      <c r="H8" s="4"/>
    </row>
    <row r="9" spans="1:8" x14ac:dyDescent="0.25">
      <c r="A9" s="5" t="s">
        <v>4</v>
      </c>
      <c r="E9" t="s">
        <v>5</v>
      </c>
      <c r="H9" s="6"/>
    </row>
    <row r="10" spans="1:8" x14ac:dyDescent="0.25">
      <c r="A10" s="5" t="s">
        <v>6</v>
      </c>
      <c r="B10" t="s">
        <v>26</v>
      </c>
      <c r="H10" s="6"/>
    </row>
    <row r="11" spans="1:8" x14ac:dyDescent="0.25">
      <c r="A11" s="7"/>
      <c r="B11" s="2"/>
      <c r="C11" s="2"/>
      <c r="D11" s="2"/>
      <c r="E11" s="2"/>
      <c r="F11" s="2"/>
      <c r="G11" s="2"/>
      <c r="H11" s="8"/>
    </row>
    <row r="12" spans="1:8" x14ac:dyDescent="0.25">
      <c r="A12" s="81" t="s">
        <v>13</v>
      </c>
      <c r="B12" s="81"/>
      <c r="C12" s="81"/>
      <c r="D12" s="81"/>
      <c r="E12" s="81"/>
      <c r="F12" s="81"/>
      <c r="G12" s="81"/>
      <c r="H12" s="81"/>
    </row>
    <row r="13" spans="1:8" x14ac:dyDescent="0.25">
      <c r="A13" s="18"/>
      <c r="B13" s="19"/>
      <c r="C13" s="19"/>
      <c r="D13" s="19"/>
      <c r="E13" s="19"/>
      <c r="F13" s="19"/>
      <c r="G13" s="19"/>
      <c r="H13" s="20"/>
    </row>
    <row r="14" spans="1:8" ht="14.25" customHeight="1" x14ac:dyDescent="0.25">
      <c r="A14" s="18" t="s">
        <v>29</v>
      </c>
      <c r="B14" s="19" t="s">
        <v>31</v>
      </c>
      <c r="C14" s="19"/>
      <c r="D14" s="19"/>
      <c r="E14" s="19"/>
      <c r="F14" s="19"/>
      <c r="G14" s="19"/>
      <c r="H14" s="67">
        <v>230379</v>
      </c>
    </row>
    <row r="15" spans="1:8" x14ac:dyDescent="0.25">
      <c r="A15" s="18" t="s">
        <v>32</v>
      </c>
      <c r="B15" s="19"/>
      <c r="C15" s="19"/>
      <c r="D15" s="19" t="s">
        <v>33</v>
      </c>
      <c r="E15" s="19"/>
      <c r="F15" s="19"/>
      <c r="G15" s="19"/>
      <c r="H15" s="67">
        <v>8379</v>
      </c>
    </row>
    <row r="16" spans="1:8" x14ac:dyDescent="0.25">
      <c r="A16" s="18" t="s">
        <v>52</v>
      </c>
      <c r="B16" s="19"/>
      <c r="C16" s="18"/>
      <c r="D16" s="19"/>
      <c r="E16" s="19"/>
      <c r="F16" s="19"/>
      <c r="G16" s="19"/>
      <c r="H16" s="67">
        <f>8379-3063</f>
        <v>5316</v>
      </c>
    </row>
    <row r="17" spans="1:12" x14ac:dyDescent="0.25">
      <c r="A17" s="21" t="s">
        <v>7</v>
      </c>
      <c r="B17" s="22"/>
      <c r="C17" s="22"/>
      <c r="D17" s="22"/>
      <c r="E17" s="22"/>
      <c r="F17" s="22"/>
      <c r="G17" s="22"/>
      <c r="H17" s="51">
        <f>SUM(H13:H16)</f>
        <v>244074</v>
      </c>
    </row>
    <row r="18" spans="1:12" x14ac:dyDescent="0.25">
      <c r="A18" s="23"/>
      <c r="B18" s="24"/>
      <c r="C18" s="24"/>
      <c r="D18" s="24"/>
      <c r="E18" s="24"/>
      <c r="F18" s="24"/>
      <c r="G18" s="24"/>
      <c r="H18" s="52"/>
    </row>
    <row r="19" spans="1:12" x14ac:dyDescent="0.25">
      <c r="A19" s="82" t="s">
        <v>8</v>
      </c>
      <c r="B19" s="83"/>
      <c r="C19" s="83"/>
      <c r="D19" s="83"/>
      <c r="E19" s="83"/>
      <c r="F19" s="83"/>
      <c r="G19" s="83"/>
      <c r="H19" s="84"/>
    </row>
    <row r="20" spans="1:12" x14ac:dyDescent="0.25">
      <c r="A20" s="18" t="s">
        <v>28</v>
      </c>
      <c r="B20" s="19"/>
      <c r="C20" s="25"/>
      <c r="D20" s="19"/>
      <c r="E20" s="19"/>
      <c r="F20" s="19"/>
      <c r="G20" s="19"/>
      <c r="H20" s="65">
        <v>23138.75</v>
      </c>
    </row>
    <row r="21" spans="1:12" ht="16.5" hidden="1" customHeight="1" x14ac:dyDescent="0.25">
      <c r="A21" s="18"/>
      <c r="B21" s="19"/>
      <c r="C21" s="19"/>
      <c r="D21" s="19"/>
      <c r="E21" s="25"/>
      <c r="F21" s="19"/>
      <c r="G21" s="19"/>
      <c r="H21" s="26"/>
    </row>
    <row r="22" spans="1:12" x14ac:dyDescent="0.25">
      <c r="A22" s="21" t="s">
        <v>9</v>
      </c>
      <c r="B22" s="22"/>
      <c r="C22" s="22"/>
      <c r="D22" s="22"/>
      <c r="E22" s="22"/>
      <c r="F22" s="22"/>
      <c r="G22" s="22"/>
      <c r="H22" s="64">
        <f>SUM(H20:H21)</f>
        <v>23138.75</v>
      </c>
    </row>
    <row r="23" spans="1:12" x14ac:dyDescent="0.25">
      <c r="A23" s="82" t="s">
        <v>18</v>
      </c>
      <c r="B23" s="83"/>
      <c r="C23" s="83"/>
      <c r="D23" s="83"/>
      <c r="E23" s="83"/>
      <c r="F23" s="83"/>
      <c r="G23" s="83"/>
      <c r="H23" s="84"/>
    </row>
    <row r="24" spans="1:12" x14ac:dyDescent="0.25">
      <c r="A24" s="28" t="s">
        <v>19</v>
      </c>
      <c r="B24" s="29"/>
      <c r="C24" s="29"/>
      <c r="D24" s="29"/>
      <c r="E24" s="29"/>
      <c r="F24" s="29"/>
      <c r="G24" s="29"/>
      <c r="H24" s="30"/>
    </row>
    <row r="25" spans="1:12" hidden="1" x14ac:dyDescent="0.25">
      <c r="A25" s="28"/>
      <c r="B25" s="29"/>
      <c r="C25" s="29"/>
      <c r="D25" s="29"/>
      <c r="E25" s="29"/>
      <c r="F25" s="29"/>
      <c r="G25" s="29"/>
      <c r="H25" s="30"/>
    </row>
    <row r="26" spans="1:12" x14ac:dyDescent="0.25">
      <c r="A26" s="18" t="s">
        <v>51</v>
      </c>
      <c r="B26" s="19"/>
      <c r="C26" s="19"/>
      <c r="D26" s="19"/>
      <c r="E26" s="19"/>
      <c r="F26" s="19"/>
      <c r="G26" s="19"/>
      <c r="H26" s="66">
        <f>5727</f>
        <v>5727</v>
      </c>
    </row>
    <row r="27" spans="1:12" x14ac:dyDescent="0.25">
      <c r="A27" s="21" t="s">
        <v>7</v>
      </c>
      <c r="B27" s="22"/>
      <c r="C27" s="22"/>
      <c r="D27" s="22"/>
      <c r="E27" s="22"/>
      <c r="F27" s="22"/>
      <c r="G27" s="22"/>
      <c r="H27" s="27">
        <f>SUM(H24:H26)</f>
        <v>5727</v>
      </c>
    </row>
    <row r="28" spans="1:12" x14ac:dyDescent="0.25">
      <c r="A28" s="85" t="s">
        <v>20</v>
      </c>
      <c r="B28" s="85"/>
      <c r="C28" s="85"/>
      <c r="D28" s="85"/>
      <c r="E28" s="85"/>
      <c r="F28" s="85"/>
      <c r="G28" s="85"/>
      <c r="H28" s="85"/>
    </row>
    <row r="29" spans="1:12" x14ac:dyDescent="0.25">
      <c r="A29" s="18"/>
      <c r="B29" s="19"/>
      <c r="C29" s="19"/>
      <c r="D29" s="19"/>
      <c r="E29" s="19"/>
      <c r="F29" s="19"/>
      <c r="G29" s="19"/>
      <c r="H29" s="53"/>
    </row>
    <row r="30" spans="1:12" x14ac:dyDescent="0.25">
      <c r="A30" s="18" t="s">
        <v>27</v>
      </c>
      <c r="B30" s="19"/>
      <c r="C30" s="19"/>
      <c r="D30" s="19" t="s">
        <v>42</v>
      </c>
      <c r="E30" s="19"/>
      <c r="F30" s="19"/>
      <c r="G30" s="19"/>
      <c r="H30" s="66">
        <v>83573.490000000005</v>
      </c>
    </row>
    <row r="31" spans="1:12" x14ac:dyDescent="0.25">
      <c r="A31" s="28" t="s">
        <v>40</v>
      </c>
      <c r="B31" s="19"/>
      <c r="C31" s="25"/>
      <c r="D31" s="29"/>
      <c r="E31" s="60"/>
      <c r="F31" s="19"/>
      <c r="G31" s="19"/>
      <c r="H31" s="26">
        <v>0</v>
      </c>
      <c r="K31">
        <v>89897</v>
      </c>
    </row>
    <row r="32" spans="1:12" ht="14.25" customHeight="1" x14ac:dyDescent="0.25">
      <c r="A32" s="28" t="s">
        <v>47</v>
      </c>
      <c r="B32" s="19"/>
      <c r="C32" s="25"/>
      <c r="D32" s="60"/>
      <c r="E32" s="29"/>
      <c r="F32" s="19"/>
      <c r="G32" s="19"/>
      <c r="H32" s="66">
        <v>65000</v>
      </c>
      <c r="K32" s="54">
        <f>K31-H33-5000-10000</f>
        <v>74897</v>
      </c>
      <c r="L32" t="s">
        <v>39</v>
      </c>
    </row>
    <row r="33" spans="1:11" hidden="1" x14ac:dyDescent="0.25">
      <c r="A33" s="28"/>
      <c r="B33" s="19"/>
      <c r="C33" s="25"/>
      <c r="D33" s="19"/>
      <c r="E33" s="19"/>
      <c r="F33" s="19"/>
      <c r="G33" s="25"/>
      <c r="H33" s="26"/>
    </row>
    <row r="34" spans="1:11" hidden="1" x14ac:dyDescent="0.25">
      <c r="A34" s="28"/>
      <c r="B34" s="19"/>
      <c r="C34" s="25"/>
      <c r="D34" s="19"/>
      <c r="E34" s="19"/>
      <c r="F34" s="19"/>
      <c r="G34" s="25"/>
      <c r="H34" s="26"/>
    </row>
    <row r="35" spans="1:11" ht="13.5" customHeight="1" x14ac:dyDescent="0.25">
      <c r="A35" s="28" t="s">
        <v>48</v>
      </c>
      <c r="B35" s="19"/>
      <c r="C35" s="25"/>
      <c r="D35" s="19"/>
      <c r="E35" s="19"/>
      <c r="F35" s="19"/>
      <c r="G35" s="19"/>
      <c r="H35" s="66">
        <v>165000</v>
      </c>
      <c r="I35" s="14"/>
      <c r="J35" s="14"/>
    </row>
    <row r="36" spans="1:11" hidden="1" x14ac:dyDescent="0.25">
      <c r="A36" s="18"/>
      <c r="B36" s="19"/>
      <c r="C36" s="19"/>
      <c r="D36" s="19"/>
      <c r="E36" s="19"/>
      <c r="F36" s="19"/>
      <c r="G36" s="19"/>
      <c r="H36" s="26"/>
    </row>
    <row r="37" spans="1:11" x14ac:dyDescent="0.25">
      <c r="A37" s="21" t="s">
        <v>10</v>
      </c>
      <c r="B37" s="22"/>
      <c r="C37" s="22"/>
      <c r="D37" s="22"/>
      <c r="E37" s="22"/>
      <c r="F37" s="22"/>
      <c r="G37" s="22"/>
      <c r="H37" s="27">
        <f>SUM(H29:H36)</f>
        <v>313573.49</v>
      </c>
    </row>
    <row r="38" spans="1:11" x14ac:dyDescent="0.25">
      <c r="A38" s="18"/>
      <c r="B38" s="19"/>
      <c r="C38" s="19"/>
      <c r="D38" s="19"/>
      <c r="E38" s="19"/>
      <c r="F38" s="19"/>
      <c r="G38" s="19"/>
      <c r="H38" s="31"/>
    </row>
    <row r="39" spans="1:11" x14ac:dyDescent="0.25">
      <c r="A39" s="82" t="s">
        <v>21</v>
      </c>
      <c r="B39" s="83"/>
      <c r="C39" s="83"/>
      <c r="D39" s="83"/>
      <c r="E39" s="83"/>
      <c r="F39" s="83"/>
      <c r="G39" s="83"/>
      <c r="H39" s="84"/>
    </row>
    <row r="40" spans="1:11" x14ac:dyDescent="0.25">
      <c r="A40" s="18" t="s">
        <v>11</v>
      </c>
      <c r="B40" s="19"/>
      <c r="C40" s="19" t="s">
        <v>12</v>
      </c>
      <c r="D40" s="19"/>
      <c r="E40" s="19"/>
      <c r="F40" s="19"/>
      <c r="G40" s="19"/>
      <c r="H40" s="31"/>
      <c r="I40" s="54"/>
    </row>
    <row r="41" spans="1:11" x14ac:dyDescent="0.25">
      <c r="A41" s="21" t="s">
        <v>43</v>
      </c>
      <c r="B41" s="22"/>
      <c r="C41" s="22"/>
      <c r="D41" s="22"/>
      <c r="E41" s="22"/>
      <c r="F41" s="22"/>
      <c r="G41" s="22"/>
      <c r="H41" s="69">
        <v>124825</v>
      </c>
      <c r="I41" s="54"/>
      <c r="K41" t="s">
        <v>49</v>
      </c>
    </row>
    <row r="42" spans="1:11" x14ac:dyDescent="0.25">
      <c r="A42" s="18"/>
      <c r="B42" s="19"/>
      <c r="C42" s="19"/>
      <c r="D42" s="19"/>
      <c r="E42" s="19"/>
      <c r="F42" s="19"/>
      <c r="G42" s="19"/>
      <c r="H42" s="32"/>
    </row>
    <row r="43" spans="1:11" x14ac:dyDescent="0.25">
      <c r="A43" s="82" t="s">
        <v>22</v>
      </c>
      <c r="B43" s="83"/>
      <c r="C43" s="83"/>
      <c r="D43" s="83"/>
      <c r="E43" s="83"/>
      <c r="F43" s="83"/>
      <c r="G43" s="83"/>
      <c r="H43" s="84"/>
    </row>
    <row r="44" spans="1:11" x14ac:dyDescent="0.25">
      <c r="A44" s="61" t="s">
        <v>37</v>
      </c>
      <c r="B44" s="62"/>
      <c r="C44" s="62"/>
      <c r="D44" s="62"/>
      <c r="E44" s="62"/>
      <c r="F44" s="62"/>
      <c r="G44" s="62"/>
      <c r="H44" s="68">
        <v>47532.32</v>
      </c>
    </row>
    <row r="45" spans="1:11" s="16" customFormat="1" ht="15.75" x14ac:dyDescent="0.25">
      <c r="A45" s="33" t="s">
        <v>23</v>
      </c>
      <c r="B45" s="34"/>
      <c r="C45" s="34"/>
      <c r="D45" s="34"/>
      <c r="E45" s="34"/>
      <c r="F45" s="34"/>
      <c r="G45" s="34"/>
      <c r="H45" s="35">
        <f>H17+H22+H27+H37+H41+H44</f>
        <v>758870.55999999994</v>
      </c>
      <c r="I45" s="63"/>
    </row>
    <row r="46" spans="1:11" s="14" customFormat="1" ht="18.75" x14ac:dyDescent="0.25">
      <c r="A46" s="56" t="s">
        <v>50</v>
      </c>
      <c r="B46" s="57"/>
      <c r="C46" s="57"/>
      <c r="D46" s="57"/>
      <c r="E46" s="57"/>
      <c r="F46" s="57"/>
      <c r="G46" s="57"/>
      <c r="H46" s="58"/>
    </row>
    <row r="47" spans="1:11" ht="15" customHeight="1" x14ac:dyDescent="0.25">
      <c r="A47" s="72" t="s">
        <v>14</v>
      </c>
      <c r="B47" s="73"/>
      <c r="C47" s="73"/>
      <c r="D47" s="73"/>
      <c r="E47" s="73"/>
      <c r="F47" s="73"/>
      <c r="G47" s="73"/>
      <c r="H47" s="74"/>
    </row>
    <row r="48" spans="1:11" ht="18" customHeight="1" x14ac:dyDescent="0.25">
      <c r="A48" s="75"/>
      <c r="B48" s="76"/>
      <c r="C48" s="76"/>
      <c r="D48" s="76"/>
      <c r="E48" s="76"/>
      <c r="F48" s="76"/>
      <c r="G48" s="76"/>
      <c r="H48" s="77"/>
    </row>
    <row r="49" spans="1:10" ht="16.5" customHeight="1" x14ac:dyDescent="0.25">
      <c r="A49" s="86"/>
      <c r="B49" s="87"/>
      <c r="C49" s="87"/>
      <c r="D49" s="87"/>
      <c r="E49" s="87"/>
      <c r="F49" s="87"/>
      <c r="G49" s="88"/>
      <c r="H49" s="36"/>
    </row>
    <row r="50" spans="1:10" ht="16.5" customHeight="1" x14ac:dyDescent="0.25">
      <c r="A50" s="86"/>
      <c r="B50" s="87"/>
      <c r="C50" s="87"/>
      <c r="D50" s="87"/>
      <c r="E50" s="87"/>
      <c r="F50" s="87"/>
      <c r="G50" s="88"/>
      <c r="H50" s="36"/>
    </row>
    <row r="51" spans="1:10" ht="15.75" customHeight="1" x14ac:dyDescent="0.25">
      <c r="A51" s="89"/>
      <c r="B51" s="90"/>
      <c r="C51" s="90"/>
      <c r="D51" s="90"/>
      <c r="E51" s="90"/>
      <c r="F51" s="90"/>
      <c r="G51" s="91"/>
      <c r="H51" s="36"/>
    </row>
    <row r="52" spans="1:10" s="14" customFormat="1" ht="14.25" customHeight="1" x14ac:dyDescent="0.25">
      <c r="A52" s="92" t="s">
        <v>30</v>
      </c>
      <c r="B52" s="93"/>
      <c r="C52" s="93"/>
      <c r="D52" s="93"/>
      <c r="E52" s="93"/>
      <c r="F52" s="93"/>
      <c r="G52" s="94"/>
      <c r="H52" s="37">
        <f>SUM(H49:H51)</f>
        <v>0</v>
      </c>
    </row>
    <row r="53" spans="1:10" x14ac:dyDescent="0.25">
      <c r="A53" s="19"/>
      <c r="B53" s="19"/>
      <c r="C53" s="19"/>
      <c r="D53" s="19"/>
      <c r="E53" s="19"/>
      <c r="F53" s="19"/>
      <c r="G53" s="19"/>
      <c r="H53" s="19"/>
    </row>
    <row r="54" spans="1:10" ht="15" customHeight="1" x14ac:dyDescent="0.25">
      <c r="H54" s="19"/>
      <c r="J54" s="15"/>
    </row>
    <row r="55" spans="1:10" ht="54.75" customHeight="1" x14ac:dyDescent="0.25">
      <c r="A55" s="95" t="s">
        <v>38</v>
      </c>
      <c r="B55" s="95"/>
      <c r="C55" s="95"/>
      <c r="D55" s="95"/>
      <c r="E55" s="95"/>
      <c r="F55" s="95"/>
      <c r="G55" s="95"/>
      <c r="H55" s="35">
        <f>+H45+H46</f>
        <v>758870.55999999994</v>
      </c>
    </row>
    <row r="56" spans="1:10" ht="15.75" x14ac:dyDescent="0.25">
      <c r="A56" s="38"/>
      <c r="B56" s="38"/>
      <c r="C56" s="38"/>
      <c r="D56" s="38"/>
      <c r="E56" s="38"/>
      <c r="F56" s="38"/>
      <c r="G56" s="38"/>
      <c r="H56" s="39"/>
    </row>
    <row r="57" spans="1:10" x14ac:dyDescent="0.25">
      <c r="A57" s="19"/>
      <c r="B57" s="19"/>
      <c r="C57" s="19"/>
      <c r="D57" s="19"/>
      <c r="E57" s="19"/>
      <c r="F57" s="19"/>
      <c r="G57" s="19"/>
      <c r="H57" s="19"/>
    </row>
    <row r="58" spans="1:10" ht="15.75" x14ac:dyDescent="0.25">
      <c r="A58" s="33" t="s">
        <v>34</v>
      </c>
      <c r="B58" s="34"/>
      <c r="C58" s="34"/>
      <c r="D58" s="34"/>
      <c r="E58" s="34"/>
      <c r="F58" s="34"/>
      <c r="G58" s="34"/>
      <c r="H58" s="40">
        <f>H52</f>
        <v>0</v>
      </c>
    </row>
    <row r="59" spans="1:10" x14ac:dyDescent="0.25">
      <c r="A59" s="19"/>
      <c r="B59" s="19"/>
      <c r="C59" s="19"/>
      <c r="D59" s="19"/>
      <c r="E59" s="19"/>
      <c r="F59" s="19"/>
      <c r="G59" s="19"/>
      <c r="H59" s="19"/>
    </row>
    <row r="60" spans="1:10" ht="18.75" x14ac:dyDescent="0.3">
      <c r="A60" s="78" t="s">
        <v>15</v>
      </c>
      <c r="B60" s="79"/>
      <c r="C60" s="79"/>
      <c r="D60" s="79"/>
      <c r="E60" s="79"/>
      <c r="F60" s="79"/>
      <c r="G60" s="79"/>
      <c r="H60" s="80"/>
    </row>
    <row r="61" spans="1:10" ht="18.75" x14ac:dyDescent="0.3">
      <c r="A61" s="41" t="s">
        <v>17</v>
      </c>
      <c r="B61" s="42"/>
      <c r="C61" s="42"/>
      <c r="D61" s="42"/>
      <c r="E61" s="42"/>
      <c r="F61" s="42"/>
      <c r="G61" s="42"/>
      <c r="H61" s="48">
        <v>1194642.32</v>
      </c>
    </row>
    <row r="62" spans="1:10" ht="14.25" customHeight="1" x14ac:dyDescent="0.25">
      <c r="A62" s="43" t="s">
        <v>44</v>
      </c>
      <c r="B62" s="44"/>
      <c r="C62" s="44"/>
      <c r="D62" s="44"/>
      <c r="E62" s="44"/>
      <c r="F62" s="44"/>
      <c r="G62" s="44"/>
      <c r="H62" s="55">
        <v>631553.00991536013</v>
      </c>
    </row>
    <row r="63" spans="1:10" hidden="1" x14ac:dyDescent="0.25">
      <c r="A63" s="43"/>
      <c r="B63" s="44"/>
      <c r="C63" s="44"/>
      <c r="D63" s="44"/>
      <c r="E63" s="44"/>
      <c r="F63" s="44"/>
      <c r="G63" s="44"/>
      <c r="H63" s="49"/>
    </row>
    <row r="64" spans="1:10" x14ac:dyDescent="0.25">
      <c r="A64" s="43" t="s">
        <v>36</v>
      </c>
      <c r="B64" s="44"/>
      <c r="C64" s="44"/>
      <c r="D64" s="44"/>
      <c r="E64" s="44"/>
      <c r="F64" s="44"/>
      <c r="G64" s="44"/>
      <c r="H64" s="49"/>
    </row>
    <row r="65" spans="1:10" x14ac:dyDescent="0.25">
      <c r="A65" s="43" t="s">
        <v>45</v>
      </c>
      <c r="B65" s="44"/>
      <c r="C65" s="44"/>
      <c r="D65" s="44"/>
      <c r="E65" s="44"/>
      <c r="F65" s="44"/>
      <c r="G65" s="44"/>
      <c r="H65" s="45">
        <f>-(H45+H58)</f>
        <v>-758870.55999999994</v>
      </c>
      <c r="J65" s="15"/>
    </row>
    <row r="66" spans="1:10" ht="18.75" x14ac:dyDescent="0.3">
      <c r="A66" s="46" t="s">
        <v>16</v>
      </c>
      <c r="B66" s="47"/>
      <c r="C66" s="47"/>
      <c r="D66" s="47"/>
      <c r="E66" s="47"/>
      <c r="F66" s="47"/>
      <c r="G66" s="47"/>
      <c r="H66" s="59">
        <f>SUM(H61:H65)</f>
        <v>1067324.76991536</v>
      </c>
    </row>
    <row r="68" spans="1:10" x14ac:dyDescent="0.25">
      <c r="B68" s="70" t="s">
        <v>41</v>
      </c>
      <c r="C68" s="70"/>
      <c r="D68" s="70"/>
      <c r="E68" s="70"/>
      <c r="F68" s="70"/>
      <c r="G68" s="70"/>
    </row>
    <row r="69" spans="1:10" x14ac:dyDescent="0.25">
      <c r="B69" s="70"/>
      <c r="C69" s="70"/>
      <c r="D69" s="70"/>
      <c r="E69" s="70"/>
      <c r="F69" s="70"/>
      <c r="G69" s="70"/>
    </row>
    <row r="70" spans="1:10" x14ac:dyDescent="0.25">
      <c r="B70" s="70"/>
      <c r="C70" s="70"/>
      <c r="D70" s="70"/>
      <c r="E70" s="70"/>
      <c r="F70" s="70"/>
      <c r="G70" s="70"/>
    </row>
    <row r="71" spans="1:10" x14ac:dyDescent="0.25">
      <c r="B71" s="70"/>
      <c r="C71" s="70"/>
      <c r="D71" s="70"/>
      <c r="E71" s="70"/>
      <c r="F71" s="70"/>
      <c r="G71" s="70"/>
    </row>
    <row r="72" spans="1:10" x14ac:dyDescent="0.25">
      <c r="B72" s="70"/>
      <c r="C72" s="70"/>
      <c r="D72" s="70"/>
      <c r="E72" s="70"/>
      <c r="F72" s="70"/>
      <c r="G72" s="70"/>
    </row>
    <row r="73" spans="1:10" x14ac:dyDescent="0.25">
      <c r="B73" s="70"/>
      <c r="C73" s="70"/>
      <c r="D73" s="70"/>
      <c r="E73" s="70"/>
      <c r="F73" s="70"/>
      <c r="G73" s="70"/>
    </row>
    <row r="74" spans="1:10" x14ac:dyDescent="0.25">
      <c r="B74" s="70"/>
      <c r="C74" s="70"/>
      <c r="D74" s="70"/>
      <c r="E74" s="70"/>
      <c r="F74" s="70"/>
      <c r="G74" s="70"/>
    </row>
    <row r="75" spans="1:10" x14ac:dyDescent="0.25">
      <c r="B75" s="70"/>
      <c r="C75" s="70"/>
      <c r="D75" s="70"/>
      <c r="E75" s="70"/>
      <c r="F75" s="70"/>
      <c r="G75" s="70"/>
    </row>
  </sheetData>
  <mergeCells count="15">
    <mergeCell ref="B68:G75"/>
    <mergeCell ref="E3:F3"/>
    <mergeCell ref="A47:H48"/>
    <mergeCell ref="A60:H60"/>
    <mergeCell ref="A12:H12"/>
    <mergeCell ref="A19:H19"/>
    <mergeCell ref="A28:H28"/>
    <mergeCell ref="A39:H39"/>
    <mergeCell ref="A43:H43"/>
    <mergeCell ref="A23:H23"/>
    <mergeCell ref="A49:G49"/>
    <mergeCell ref="A51:G51"/>
    <mergeCell ref="A52:G52"/>
    <mergeCell ref="A50:G50"/>
    <mergeCell ref="A55:G55"/>
  </mergeCells>
  <hyperlinks>
    <hyperlink ref="E4" r:id="rId1" xr:uid="{00000000-0004-0000-0000-000000000000}"/>
  </hyperlinks>
  <pageMargins left="0.25" right="0.25" top="0.75" bottom="0.75" header="0.3" footer="0.3"/>
  <pageSetup scale="95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Sistemax</cp:lastModifiedBy>
  <cp:lastPrinted>2025-02-28T13:36:16Z</cp:lastPrinted>
  <dcterms:created xsi:type="dcterms:W3CDTF">2021-11-02T15:18:42Z</dcterms:created>
  <dcterms:modified xsi:type="dcterms:W3CDTF">2025-02-28T17:42:45Z</dcterms:modified>
</cp:coreProperties>
</file>