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Mayo\"/>
    </mc:Choice>
  </mc:AlternateContent>
  <xr:revisionPtr revIDLastSave="0" documentId="13_ncr:1_{F13A65D5-7754-4CB9-A35F-56E51CA6B6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22" i="1" l="1"/>
  <c r="H32" i="1"/>
  <c r="H17" i="1" l="1"/>
  <c r="H46" i="1" l="1"/>
  <c r="H53" i="1" s="1"/>
  <c r="H26" i="1" l="1"/>
  <c r="H39" i="1" l="1"/>
  <c r="H60" i="1" l="1"/>
  <c r="H61" i="1" s="1"/>
  <c r="H50" i="1"/>
</calcChain>
</file>

<file path=xl/sharedStrings.xml><?xml version="1.0" encoding="utf-8"?>
<sst xmlns="http://schemas.openxmlformats.org/spreadsheetml/2006/main" count="54" uniqueCount="53">
  <si>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</si>
  <si>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</si>
  <si>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</si>
  <si>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</si>
  <si>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</si>
  <si>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</si>
  <si>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</si>
  <si>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</si>
  <si>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</si>
  <si>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</si>
  <si>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</si>
  <si>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</si>
  <si>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</si>
  <si>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</si>
  <si>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</si>
  <si>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</si>
  <si>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</si>
  <si>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</si>
  <si>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</si>
  <si>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</si>
  <si>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</si>
  <si>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</si>
  <si>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</si>
  <si>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</si>
  <si>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</si>
  <si>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</si>
  <si>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</si>
  <si>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</si>
  <si>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</si>
  <si>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</si>
  <si>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</si>
  <si>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</si>
  <si>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</si>
  <si>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</si>
  <si>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</si>
  <si>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</si>
  <si>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</si>
  <si>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</si>
  <si>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</si>
  <si>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Prevision ordinaria </t>
  </si>
  <si>
    <t>subidos marz de 2025</t>
  </si>
  <si>
    <t>son 74897$ que recuperamos con el abono de ascensores</t>
  </si>
  <si>
    <t>TSG MAYO</t>
  </si>
  <si>
    <t>Mantenimiento de Ascensor - MAYO</t>
  </si>
  <si>
    <t>Administraciòn MAYO 2025:</t>
  </si>
  <si>
    <t xml:space="preserve">Ingreso pago por expensas - abril - </t>
  </si>
  <si>
    <t>Egresos gastos del mes - abril</t>
  </si>
  <si>
    <t>PERIODO: MAYO - Vto. 16/06</t>
  </si>
  <si>
    <t>Salvatierra Matias - Desobstruccion 3B</t>
  </si>
  <si>
    <t>Arreglo sala de ascensores - Colocacion de ventana</t>
  </si>
  <si>
    <t>Prevision Extraordinaria</t>
  </si>
  <si>
    <t>Doartero -  Reparacion de puerta principal</t>
  </si>
  <si>
    <t>SEÑORES PROPIETARIOS E INQUILINOS: A PARTIR DE DE MAYO, QUIEN NO ABONE EDESUR PAGARA CON PUNITORIOS AL MES SIGUIENTE. LA CAJA MOSTRADA NO ES LA REAL DEBIDO A QUE DENTRO DE LA MISMA SE SOSTIENEN LOS DEUDORES DE EDESUR Y NO SE PUEDEN AVANZAR EN MEJORAS.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</si>
</sst>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165" fontId="9" fillId="5" borderId="0" xfId="0" applyNumberFormat="1" applyFont="1" applyFill="1"/>
    <xf numFmtId="166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165" fontId="6" fillId="0" borderId="0" xfId="0" applyNumberFormat="1" applyFont="1"/>
    <xf numFmtId="164" fontId="7" fillId="5" borderId="10" xfId="0" applyNumberFormat="1" applyFont="1" applyFill="1" applyBorder="1"/>
    <xf numFmtId="165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166" fontId="8" fillId="4" borderId="10" xfId="1" applyFont="1" applyFill="1" applyBorder="1"/>
    <xf numFmtId="166" fontId="7" fillId="5" borderId="12" xfId="1" applyFont="1" applyFill="1" applyBorder="1"/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topLeftCell="A16" zoomScale="90" zoomScaleNormal="90" workbookViewId="0">
      <selection activeCell="B63" sqref="B63:G70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24</v>
      </c>
      <c r="H2" s="6"/>
    </row>
    <row r="3" spans="1:8" x14ac:dyDescent="0.25">
      <c r="A3" s="5"/>
      <c r="D3" s="13" t="s">
        <v>1</v>
      </c>
      <c r="E3" s="73">
        <v>1153202676</v>
      </c>
      <c r="F3" s="73"/>
      <c r="H3" s="6"/>
    </row>
    <row r="4" spans="1:8" x14ac:dyDescent="0.25">
      <c r="A4" s="5"/>
      <c r="D4" s="13" t="s">
        <v>2</v>
      </c>
      <c r="E4" s="17" t="s">
        <v>25</v>
      </c>
      <c r="H4" s="6"/>
    </row>
    <row r="5" spans="1:8" x14ac:dyDescent="0.25">
      <c r="A5" s="5"/>
      <c r="D5" s="50" t="s">
        <v>34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47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5" t="s">
        <v>4</v>
      </c>
      <c r="E9" t="s">
        <v>5</v>
      </c>
      <c r="H9" s="6"/>
    </row>
    <row r="10" spans="1:8" x14ac:dyDescent="0.25">
      <c r="A10" s="5" t="s">
        <v>6</v>
      </c>
      <c r="B10" t="s">
        <v>26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83" t="s">
        <v>13</v>
      </c>
      <c r="B12" s="83"/>
      <c r="C12" s="83"/>
      <c r="D12" s="83"/>
      <c r="E12" s="83"/>
      <c r="F12" s="83"/>
      <c r="G12" s="83"/>
      <c r="H12" s="83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25">
      <c r="A14" s="18" t="s">
        <v>28</v>
      </c>
      <c r="B14" s="19" t="s">
        <v>30</v>
      </c>
      <c r="C14" s="19"/>
      <c r="D14" s="19"/>
      <c r="E14" s="19"/>
      <c r="F14" s="19"/>
      <c r="G14" s="19"/>
      <c r="H14" s="63">
        <f>253420*5%+253420</f>
        <v>266091</v>
      </c>
    </row>
    <row r="15" spans="1:8" x14ac:dyDescent="0.25">
      <c r="A15" s="18" t="s">
        <v>31</v>
      </c>
      <c r="B15" s="19"/>
      <c r="C15" s="19"/>
      <c r="D15" s="19" t="s">
        <v>32</v>
      </c>
      <c r="E15" s="19"/>
      <c r="F15" s="19"/>
      <c r="G15" s="19"/>
      <c r="H15" s="63">
        <v>8379</v>
      </c>
    </row>
    <row r="16" spans="1:8" x14ac:dyDescent="0.25">
      <c r="A16" s="18"/>
      <c r="B16" s="19"/>
      <c r="C16" s="18"/>
      <c r="D16" s="19"/>
      <c r="E16" s="19"/>
      <c r="F16" s="19"/>
      <c r="G16" s="19"/>
      <c r="H16" s="63"/>
    </row>
    <row r="17" spans="1:12" x14ac:dyDescent="0.25">
      <c r="A17" s="21" t="s">
        <v>7</v>
      </c>
      <c r="B17" s="22"/>
      <c r="C17" s="22"/>
      <c r="D17" s="22"/>
      <c r="E17" s="22"/>
      <c r="F17" s="22"/>
      <c r="G17" s="22"/>
      <c r="H17" s="51">
        <f>SUM(H13:H16)</f>
        <v>274470</v>
      </c>
    </row>
    <row r="18" spans="1:12" x14ac:dyDescent="0.25">
      <c r="A18" s="23"/>
      <c r="B18" s="24"/>
      <c r="C18" s="24"/>
      <c r="D18" s="24"/>
      <c r="E18" s="24"/>
      <c r="F18" s="24"/>
      <c r="G18" s="24"/>
      <c r="H18" s="52"/>
    </row>
    <row r="19" spans="1:12" x14ac:dyDescent="0.25">
      <c r="A19" s="84" t="s">
        <v>8</v>
      </c>
      <c r="B19" s="85"/>
      <c r="C19" s="85"/>
      <c r="D19" s="85"/>
      <c r="E19" s="85"/>
      <c r="F19" s="85"/>
      <c r="G19" s="85"/>
      <c r="H19" s="86"/>
    </row>
    <row r="20" spans="1:12" x14ac:dyDescent="0.25">
      <c r="A20" s="18" t="s">
        <v>27</v>
      </c>
      <c r="B20" s="19"/>
      <c r="C20" s="25"/>
      <c r="D20" s="19"/>
      <c r="E20" s="19"/>
      <c r="F20" s="19"/>
      <c r="G20" s="19"/>
      <c r="H20" s="30">
        <v>24151.63</v>
      </c>
    </row>
    <row r="21" spans="1:12" ht="16.5" hidden="1" customHeight="1" x14ac:dyDescent="0.25">
      <c r="A21" s="18"/>
      <c r="B21" s="19"/>
      <c r="C21" s="19"/>
      <c r="D21" s="19"/>
      <c r="E21" s="25"/>
      <c r="F21" s="19"/>
      <c r="G21" s="19"/>
      <c r="H21" s="26"/>
    </row>
    <row r="22" spans="1:12" x14ac:dyDescent="0.25">
      <c r="A22" s="21" t="s">
        <v>9</v>
      </c>
      <c r="B22" s="22"/>
      <c r="C22" s="22"/>
      <c r="D22" s="22"/>
      <c r="E22" s="22"/>
      <c r="F22" s="22"/>
      <c r="G22" s="22"/>
      <c r="H22" s="27">
        <f>SUM(H20:H21)</f>
        <v>24151.63</v>
      </c>
    </row>
    <row r="23" spans="1:12" x14ac:dyDescent="0.25">
      <c r="A23" s="84" t="s">
        <v>18</v>
      </c>
      <c r="B23" s="85"/>
      <c r="C23" s="85"/>
      <c r="D23" s="85"/>
      <c r="E23" s="85"/>
      <c r="F23" s="85"/>
      <c r="G23" s="85"/>
      <c r="H23" s="86"/>
    </row>
    <row r="24" spans="1:12" x14ac:dyDescent="0.25">
      <c r="A24" s="28" t="s">
        <v>19</v>
      </c>
      <c r="B24" s="29"/>
      <c r="C24" s="29"/>
      <c r="D24" s="29"/>
      <c r="E24" s="29"/>
      <c r="F24" s="29"/>
      <c r="G24" s="29"/>
      <c r="H24" s="30"/>
    </row>
    <row r="25" spans="1:12" x14ac:dyDescent="0.25">
      <c r="A25" s="18" t="s">
        <v>42</v>
      </c>
      <c r="B25" s="19"/>
      <c r="C25" s="19"/>
      <c r="D25" s="19"/>
      <c r="E25" s="19"/>
      <c r="F25" s="19"/>
      <c r="G25" s="19"/>
      <c r="H25" s="26"/>
    </row>
    <row r="26" spans="1:12" x14ac:dyDescent="0.25">
      <c r="A26" s="21" t="s">
        <v>7</v>
      </c>
      <c r="B26" s="22"/>
      <c r="C26" s="22"/>
      <c r="D26" s="22"/>
      <c r="E26" s="22"/>
      <c r="F26" s="22"/>
      <c r="G26" s="22"/>
      <c r="H26" s="27">
        <f>SUM(H24:H25)</f>
        <v>0</v>
      </c>
    </row>
    <row r="27" spans="1:12" x14ac:dyDescent="0.25">
      <c r="A27" s="87" t="s">
        <v>20</v>
      </c>
      <c r="B27" s="87"/>
      <c r="C27" s="87"/>
      <c r="D27" s="87"/>
      <c r="E27" s="87"/>
      <c r="F27" s="87"/>
      <c r="G27" s="87"/>
      <c r="H27" s="87"/>
    </row>
    <row r="28" spans="1:12" x14ac:dyDescent="0.25">
      <c r="A28" s="18" t="s">
        <v>43</v>
      </c>
      <c r="B28" s="19"/>
      <c r="C28" s="19"/>
      <c r="D28" s="19"/>
      <c r="E28" s="19"/>
      <c r="F28" s="19"/>
      <c r="G28" s="19"/>
      <c r="H28" s="26">
        <v>91930.94</v>
      </c>
    </row>
    <row r="29" spans="1:12" x14ac:dyDescent="0.25">
      <c r="A29" s="28" t="s">
        <v>48</v>
      </c>
      <c r="B29" s="19"/>
      <c r="C29" s="25"/>
      <c r="D29" s="29"/>
      <c r="E29" s="59"/>
      <c r="F29" s="19"/>
      <c r="G29" s="19"/>
      <c r="H29" s="26">
        <v>18500</v>
      </c>
      <c r="K29">
        <v>89897</v>
      </c>
    </row>
    <row r="30" spans="1:12" x14ac:dyDescent="0.25">
      <c r="A30" s="28" t="s">
        <v>51</v>
      </c>
      <c r="B30" s="19"/>
      <c r="C30" s="25"/>
      <c r="D30" s="29"/>
      <c r="E30" s="59"/>
      <c r="F30" s="19"/>
      <c r="G30" s="19"/>
      <c r="H30" s="26">
        <v>110000</v>
      </c>
    </row>
    <row r="31" spans="1:12" ht="15" customHeight="1" x14ac:dyDescent="0.25">
      <c r="A31" s="70"/>
      <c r="B31" s="71"/>
      <c r="C31" s="71"/>
      <c r="D31" s="71"/>
      <c r="E31" s="71"/>
      <c r="F31" s="71"/>
      <c r="G31" s="71"/>
      <c r="H31" s="26"/>
      <c r="K31" s="53"/>
      <c r="L31" t="s">
        <v>38</v>
      </c>
    </row>
    <row r="32" spans="1:12" x14ac:dyDescent="0.25">
      <c r="A32" s="21" t="s">
        <v>10</v>
      </c>
      <c r="B32" s="22"/>
      <c r="C32" s="22"/>
      <c r="D32" s="22"/>
      <c r="E32" s="22"/>
      <c r="F32" s="22"/>
      <c r="G32" s="22"/>
      <c r="H32" s="27">
        <f>SUM(H28:H31)</f>
        <v>220430.94</v>
      </c>
      <c r="L32" t="s">
        <v>41</v>
      </c>
    </row>
    <row r="33" spans="1:11" x14ac:dyDescent="0.25">
      <c r="A33" s="84" t="s">
        <v>21</v>
      </c>
      <c r="B33" s="85"/>
      <c r="C33" s="85"/>
      <c r="D33" s="85"/>
      <c r="E33" s="85"/>
      <c r="F33" s="85"/>
      <c r="G33" s="85"/>
      <c r="H33" s="86"/>
    </row>
    <row r="34" spans="1:11" x14ac:dyDescent="0.25">
      <c r="A34" s="18" t="s">
        <v>11</v>
      </c>
      <c r="B34" s="19"/>
      <c r="C34" s="19" t="s">
        <v>12</v>
      </c>
      <c r="D34" s="19"/>
      <c r="E34" s="19"/>
      <c r="F34" s="19"/>
      <c r="G34" s="19"/>
      <c r="H34" s="31"/>
      <c r="I34" s="53"/>
    </row>
    <row r="35" spans="1:11" x14ac:dyDescent="0.25">
      <c r="A35" s="21" t="s">
        <v>44</v>
      </c>
      <c r="B35" s="22"/>
      <c r="C35" s="22"/>
      <c r="D35" s="22"/>
      <c r="E35" s="22"/>
      <c r="F35" s="22"/>
      <c r="G35" s="22"/>
      <c r="H35" s="68">
        <v>134182.76</v>
      </c>
      <c r="I35" s="53"/>
      <c r="K35" t="s">
        <v>40</v>
      </c>
    </row>
    <row r="36" spans="1:11" x14ac:dyDescent="0.25">
      <c r="A36" s="18"/>
      <c r="B36" s="19"/>
      <c r="C36" s="19"/>
      <c r="D36" s="19"/>
      <c r="E36" s="19"/>
      <c r="F36" s="19"/>
      <c r="G36" s="19"/>
      <c r="H36" s="32"/>
    </row>
    <row r="37" spans="1:11" x14ac:dyDescent="0.25">
      <c r="A37" s="84" t="s">
        <v>22</v>
      </c>
      <c r="B37" s="85"/>
      <c r="C37" s="85"/>
      <c r="D37" s="85"/>
      <c r="E37" s="85"/>
      <c r="F37" s="85"/>
      <c r="G37" s="85"/>
      <c r="H37" s="86"/>
    </row>
    <row r="38" spans="1:11" x14ac:dyDescent="0.25">
      <c r="A38" s="60" t="s">
        <v>36</v>
      </c>
      <c r="B38" s="61"/>
      <c r="C38" s="61"/>
      <c r="D38" s="61"/>
      <c r="E38" s="61"/>
      <c r="F38" s="61"/>
      <c r="G38" s="61"/>
      <c r="H38" s="69">
        <v>47532.32</v>
      </c>
    </row>
    <row r="39" spans="1:11" s="16" customFormat="1" ht="15.75" x14ac:dyDescent="0.25">
      <c r="A39" s="33" t="s">
        <v>23</v>
      </c>
      <c r="B39" s="34"/>
      <c r="C39" s="34"/>
      <c r="D39" s="34"/>
      <c r="E39" s="34"/>
      <c r="F39" s="34"/>
      <c r="G39" s="34"/>
      <c r="H39" s="35">
        <f>H17+H22+H26+H32+H35+H38</f>
        <v>700767.65</v>
      </c>
      <c r="I39" s="62"/>
    </row>
    <row r="40" spans="1:11" s="14" customFormat="1" ht="18.75" x14ac:dyDescent="0.25">
      <c r="A40" s="55" t="s">
        <v>39</v>
      </c>
      <c r="B40" s="56"/>
      <c r="C40" s="56"/>
      <c r="D40" s="56"/>
      <c r="E40" s="56"/>
      <c r="F40" s="56"/>
      <c r="G40" s="56"/>
      <c r="H40" s="57"/>
    </row>
    <row r="41" spans="1:11" ht="15" customHeight="1" x14ac:dyDescent="0.25">
      <c r="A41" s="74" t="s">
        <v>14</v>
      </c>
      <c r="B41" s="75"/>
      <c r="C41" s="75"/>
      <c r="D41" s="75"/>
      <c r="E41" s="75"/>
      <c r="F41" s="75"/>
      <c r="G41" s="75"/>
      <c r="H41" s="76"/>
    </row>
    <row r="42" spans="1:11" ht="18" customHeight="1" x14ac:dyDescent="0.25">
      <c r="A42" s="77"/>
      <c r="B42" s="78"/>
      <c r="C42" s="78"/>
      <c r="D42" s="78"/>
      <c r="E42" s="78"/>
      <c r="F42" s="78"/>
      <c r="G42" s="78"/>
      <c r="H42" s="79"/>
    </row>
    <row r="43" spans="1:11" ht="15.75" customHeight="1" x14ac:dyDescent="0.25">
      <c r="A43" s="70" t="s">
        <v>49</v>
      </c>
      <c r="B43" s="71"/>
      <c r="C43" s="71"/>
      <c r="D43" s="71"/>
      <c r="E43" s="71"/>
      <c r="F43" s="71"/>
      <c r="G43" s="71"/>
      <c r="H43" s="36">
        <v>420000</v>
      </c>
    </row>
    <row r="44" spans="1:11" ht="16.5" customHeight="1" x14ac:dyDescent="0.25">
      <c r="A44" s="88"/>
      <c r="B44" s="89"/>
      <c r="C44" s="89"/>
      <c r="D44" s="89"/>
      <c r="E44" s="89"/>
      <c r="F44" s="89"/>
      <c r="G44" s="90"/>
      <c r="H44" s="36"/>
    </row>
    <row r="45" spans="1:11" ht="15.75" customHeight="1" x14ac:dyDescent="0.25">
      <c r="A45" s="91"/>
      <c r="B45" s="92"/>
      <c r="C45" s="92"/>
      <c r="D45" s="92"/>
      <c r="E45" s="92"/>
      <c r="F45" s="92"/>
      <c r="G45" s="93"/>
      <c r="H45" s="36"/>
    </row>
    <row r="46" spans="1:11" s="14" customFormat="1" ht="14.25" customHeight="1" x14ac:dyDescent="0.25">
      <c r="A46" s="94" t="s">
        <v>29</v>
      </c>
      <c r="B46" s="95"/>
      <c r="C46" s="95"/>
      <c r="D46" s="95"/>
      <c r="E46" s="95"/>
      <c r="F46" s="95"/>
      <c r="G46" s="96"/>
      <c r="H46" s="37">
        <f>SUM(H43:H45)</f>
        <v>420000</v>
      </c>
    </row>
    <row r="47" spans="1:11" x14ac:dyDescent="0.25">
      <c r="A47" s="19"/>
      <c r="B47" s="19"/>
      <c r="C47" s="19"/>
      <c r="D47" s="19"/>
      <c r="E47" s="19"/>
      <c r="F47" s="19"/>
      <c r="G47" s="19"/>
      <c r="H47" s="19"/>
    </row>
    <row r="48" spans="1:11" ht="18.75" customHeight="1" x14ac:dyDescent="0.25">
      <c r="A48" s="65" t="s">
        <v>50</v>
      </c>
      <c r="B48" s="66"/>
      <c r="C48" s="66"/>
      <c r="D48" s="66"/>
      <c r="E48" s="66"/>
      <c r="F48" s="66"/>
      <c r="G48" s="67"/>
      <c r="H48" s="64"/>
    </row>
    <row r="49" spans="1:10" ht="15" customHeight="1" x14ac:dyDescent="0.25">
      <c r="A49" s="19"/>
      <c r="B49" s="19"/>
      <c r="C49" s="19"/>
      <c r="D49" s="19"/>
      <c r="E49" s="19"/>
      <c r="F49" s="19"/>
      <c r="G49" s="19"/>
      <c r="H49" s="19"/>
      <c r="J49" s="15"/>
    </row>
    <row r="50" spans="1:10" ht="54.75" customHeight="1" x14ac:dyDescent="0.25">
      <c r="A50" s="97" t="s">
        <v>37</v>
      </c>
      <c r="B50" s="97"/>
      <c r="C50" s="97"/>
      <c r="D50" s="97"/>
      <c r="E50" s="97"/>
      <c r="F50" s="97"/>
      <c r="G50" s="97"/>
      <c r="H50" s="35">
        <f>+H39+H40</f>
        <v>700767.65</v>
      </c>
    </row>
    <row r="51" spans="1:10" ht="15.75" x14ac:dyDescent="0.25">
      <c r="A51" s="38"/>
      <c r="B51" s="38"/>
      <c r="C51" s="38"/>
      <c r="D51" s="38"/>
      <c r="E51" s="38"/>
      <c r="F51" s="38"/>
      <c r="G51" s="38"/>
      <c r="H51" s="39"/>
    </row>
    <row r="52" spans="1:10" x14ac:dyDescent="0.25">
      <c r="A52" s="19"/>
      <c r="B52" s="19"/>
      <c r="C52" s="19"/>
      <c r="D52" s="19"/>
      <c r="E52" s="19"/>
      <c r="F52" s="19"/>
      <c r="G52" s="19"/>
      <c r="H52" s="19"/>
    </row>
    <row r="53" spans="1:10" ht="15.75" x14ac:dyDescent="0.25">
      <c r="A53" s="33" t="s">
        <v>33</v>
      </c>
      <c r="B53" s="34"/>
      <c r="C53" s="34"/>
      <c r="D53" s="34"/>
      <c r="E53" s="34"/>
      <c r="F53" s="34"/>
      <c r="G53" s="34"/>
      <c r="H53" s="40">
        <f>H46</f>
        <v>420000</v>
      </c>
    </row>
    <row r="54" spans="1:10" x14ac:dyDescent="0.25">
      <c r="A54" s="19"/>
      <c r="B54" s="19"/>
      <c r="C54" s="19"/>
      <c r="D54" s="19"/>
      <c r="E54" s="19"/>
      <c r="F54" s="19"/>
      <c r="G54" s="19"/>
      <c r="H54" s="19"/>
    </row>
    <row r="55" spans="1:10" ht="18.75" x14ac:dyDescent="0.3">
      <c r="A55" s="80" t="s">
        <v>15</v>
      </c>
      <c r="B55" s="81"/>
      <c r="C55" s="81"/>
      <c r="D55" s="81"/>
      <c r="E55" s="81"/>
      <c r="F55" s="81"/>
      <c r="G55" s="81"/>
      <c r="H55" s="82"/>
    </row>
    <row r="56" spans="1:10" ht="18.75" x14ac:dyDescent="0.3">
      <c r="A56" s="41" t="s">
        <v>17</v>
      </c>
      <c r="B56" s="42"/>
      <c r="C56" s="42"/>
      <c r="D56" s="42"/>
      <c r="E56" s="42"/>
      <c r="F56" s="42"/>
      <c r="G56" s="42"/>
      <c r="H56" s="48">
        <v>596709.46716047998</v>
      </c>
    </row>
    <row r="57" spans="1:10" ht="14.25" customHeight="1" x14ac:dyDescent="0.25">
      <c r="A57" s="43" t="s">
        <v>45</v>
      </c>
      <c r="B57" s="44"/>
      <c r="C57" s="44"/>
      <c r="D57" s="44"/>
      <c r="E57" s="44"/>
      <c r="F57" s="44"/>
      <c r="G57" s="44"/>
      <c r="H57" s="54">
        <v>995172.28472</v>
      </c>
    </row>
    <row r="58" spans="1:10" hidden="1" x14ac:dyDescent="0.25">
      <c r="A58" s="43"/>
      <c r="B58" s="44"/>
      <c r="C58" s="44"/>
      <c r="D58" s="44"/>
      <c r="E58" s="44"/>
      <c r="F58" s="44"/>
      <c r="G58" s="44"/>
      <c r="H58" s="49"/>
    </row>
    <row r="59" spans="1:10" x14ac:dyDescent="0.25">
      <c r="A59" s="43" t="s">
        <v>35</v>
      </c>
      <c r="B59" s="44"/>
      <c r="C59" s="44"/>
      <c r="D59" s="44"/>
      <c r="E59" s="44"/>
      <c r="F59" s="44"/>
      <c r="G59" s="44"/>
      <c r="H59" s="49"/>
    </row>
    <row r="60" spans="1:10" x14ac:dyDescent="0.25">
      <c r="A60" s="43" t="s">
        <v>46</v>
      </c>
      <c r="B60" s="44"/>
      <c r="C60" s="44"/>
      <c r="D60" s="44"/>
      <c r="E60" s="44"/>
      <c r="F60" s="44"/>
      <c r="G60" s="44"/>
      <c r="H60" s="45">
        <f>-(H39+H53)</f>
        <v>-1120767.6499999999</v>
      </c>
      <c r="J60" s="15"/>
    </row>
    <row r="61" spans="1:10" ht="18.75" x14ac:dyDescent="0.3">
      <c r="A61" s="46" t="s">
        <v>16</v>
      </c>
      <c r="B61" s="47"/>
      <c r="C61" s="47"/>
      <c r="D61" s="47"/>
      <c r="E61" s="47"/>
      <c r="F61" s="47"/>
      <c r="G61" s="47"/>
      <c r="H61" s="58">
        <f>SUM(H56:H60)</f>
        <v>471114.10188048007</v>
      </c>
    </row>
    <row r="63" spans="1:10" x14ac:dyDescent="0.25">
      <c r="B63" s="72" t="s">
        <v>52</v>
      </c>
      <c r="C63" s="72"/>
      <c r="D63" s="72"/>
      <c r="E63" s="72"/>
      <c r="F63" s="72"/>
      <c r="G63" s="72"/>
    </row>
    <row r="64" spans="1:10" x14ac:dyDescent="0.25">
      <c r="B64" s="72"/>
      <c r="C64" s="72"/>
      <c r="D64" s="72"/>
      <c r="E64" s="72"/>
      <c r="F64" s="72"/>
      <c r="G64" s="72"/>
    </row>
    <row r="65" spans="2:7" x14ac:dyDescent="0.25">
      <c r="B65" s="72"/>
      <c r="C65" s="72"/>
      <c r="D65" s="72"/>
      <c r="E65" s="72"/>
      <c r="F65" s="72"/>
      <c r="G65" s="72"/>
    </row>
    <row r="66" spans="2:7" x14ac:dyDescent="0.25">
      <c r="B66" s="72"/>
      <c r="C66" s="72"/>
      <c r="D66" s="72"/>
      <c r="E66" s="72"/>
      <c r="F66" s="72"/>
      <c r="G66" s="72"/>
    </row>
    <row r="67" spans="2:7" x14ac:dyDescent="0.25">
      <c r="B67" s="72"/>
      <c r="C67" s="72"/>
      <c r="D67" s="72"/>
      <c r="E67" s="72"/>
      <c r="F67" s="72"/>
      <c r="G67" s="72"/>
    </row>
    <row r="68" spans="2:7" x14ac:dyDescent="0.25">
      <c r="B68" s="72"/>
      <c r="C68" s="72"/>
      <c r="D68" s="72"/>
      <c r="E68" s="72"/>
      <c r="F68" s="72"/>
      <c r="G68" s="72"/>
    </row>
    <row r="69" spans="2:7" x14ac:dyDescent="0.25">
      <c r="B69" s="72"/>
      <c r="C69" s="72"/>
      <c r="D69" s="72"/>
      <c r="E69" s="72"/>
      <c r="F69" s="72"/>
      <c r="G69" s="72"/>
    </row>
    <row r="70" spans="2:7" x14ac:dyDescent="0.25">
      <c r="B70" s="72"/>
      <c r="C70" s="72"/>
      <c r="D70" s="72"/>
      <c r="E70" s="72"/>
      <c r="F70" s="72"/>
      <c r="G70" s="72"/>
    </row>
  </sheetData>
  <mergeCells count="16">
    <mergeCell ref="A31:G31"/>
    <mergeCell ref="B63:G70"/>
    <mergeCell ref="E3:F3"/>
    <mergeCell ref="A41:H42"/>
    <mergeCell ref="A55:H55"/>
    <mergeCell ref="A12:H12"/>
    <mergeCell ref="A19:H19"/>
    <mergeCell ref="A27:H27"/>
    <mergeCell ref="A33:H33"/>
    <mergeCell ref="A37:H37"/>
    <mergeCell ref="A23:H23"/>
    <mergeCell ref="A43:G43"/>
    <mergeCell ref="A45:G45"/>
    <mergeCell ref="A46:G46"/>
    <mergeCell ref="A44:G44"/>
    <mergeCell ref="A50:G50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2025-04-30T17:06:06Z</cp:lastPrinted>
  <dcterms:created xsi:type="dcterms:W3CDTF">2021-11-02T15:18:42Z</dcterms:created>
  <dcterms:modified xsi:type="dcterms:W3CDTF">2025-05-28T18:41:53Z</dcterms:modified>
</cp:coreProperties>
</file>