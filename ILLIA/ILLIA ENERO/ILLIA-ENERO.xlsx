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18615" windowHeight="8385" activeTab="1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RESUMEN!$A$1:$E$140</definedName>
  </definedNames>
  <calcPr calcId="144525"/>
</workbook>
</file>

<file path=xl/calcChain.xml><?xml version="1.0" encoding="utf-8"?>
<calcChain xmlns="http://schemas.openxmlformats.org/spreadsheetml/2006/main">
  <c r="H22" i="2" l="1"/>
  <c r="H17" i="2"/>
  <c r="H30" i="2"/>
  <c r="H29" i="2"/>
  <c r="H11" i="2"/>
  <c r="H10" i="2"/>
  <c r="H24" i="2"/>
  <c r="H8" i="2"/>
  <c r="H16" i="2"/>
  <c r="H14" i="2"/>
  <c r="H19" i="2"/>
  <c r="H32" i="2"/>
  <c r="H31" i="2"/>
  <c r="H26" i="2"/>
  <c r="H23" i="2" l="1"/>
  <c r="G23" i="2"/>
  <c r="C15" i="2" l="1"/>
  <c r="C16" i="2"/>
  <c r="C17" i="2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14" i="2"/>
  <c r="E88" i="1" l="1"/>
  <c r="H18" i="2"/>
  <c r="H21" i="2"/>
  <c r="E80" i="1" l="1"/>
  <c r="H12" i="2"/>
  <c r="H27" i="2" s="1"/>
  <c r="H20" i="2"/>
  <c r="H6" i="2" l="1"/>
  <c r="H34" i="2"/>
  <c r="H9" i="2"/>
  <c r="E87" i="1"/>
  <c r="E53" i="1"/>
  <c r="E54" i="1" s="1"/>
  <c r="N37" i="2" l="1"/>
  <c r="I37" i="2"/>
  <c r="H37" i="2"/>
  <c r="B115" i="1" s="1"/>
  <c r="G37" i="2"/>
  <c r="F37" i="2"/>
  <c r="M36" i="2"/>
  <c r="L36" i="2"/>
  <c r="K36" i="2"/>
  <c r="J36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K25" i="2" s="1"/>
  <c r="M24" i="2"/>
  <c r="L24" i="2"/>
  <c r="J24" i="2"/>
  <c r="K24" i="2" s="1"/>
  <c r="M23" i="2"/>
  <c r="L23" i="2"/>
  <c r="J23" i="2"/>
  <c r="K23" i="2" s="1"/>
  <c r="M22" i="2"/>
  <c r="L22" i="2"/>
  <c r="J22" i="2"/>
  <c r="K22" i="2" s="1"/>
  <c r="M21" i="2"/>
  <c r="L21" i="2"/>
  <c r="J21" i="2"/>
  <c r="K21" i="2" s="1"/>
  <c r="M20" i="2"/>
  <c r="L20" i="2"/>
  <c r="J20" i="2"/>
  <c r="K20" i="2" s="1"/>
  <c r="M19" i="2"/>
  <c r="L19" i="2"/>
  <c r="J19" i="2"/>
  <c r="K19" i="2" s="1"/>
  <c r="M18" i="2"/>
  <c r="L18" i="2"/>
  <c r="J18" i="2"/>
  <c r="K18" i="2" s="1"/>
  <c r="M17" i="2"/>
  <c r="L17" i="2"/>
  <c r="J17" i="2"/>
  <c r="K17" i="2" s="1"/>
  <c r="M16" i="2"/>
  <c r="L16" i="2"/>
  <c r="J16" i="2"/>
  <c r="K16" i="2" s="1"/>
  <c r="M15" i="2"/>
  <c r="L15" i="2"/>
  <c r="J15" i="2"/>
  <c r="K15" i="2" s="1"/>
  <c r="M14" i="2"/>
  <c r="L14" i="2"/>
  <c r="J14" i="2"/>
  <c r="K14" i="2" s="1"/>
  <c r="M13" i="2"/>
  <c r="L13" i="2"/>
  <c r="J13" i="2"/>
  <c r="K13" i="2" s="1"/>
  <c r="M12" i="2"/>
  <c r="L12" i="2"/>
  <c r="J12" i="2"/>
  <c r="K12" i="2" s="1"/>
  <c r="M11" i="2"/>
  <c r="L11" i="2"/>
  <c r="J11" i="2"/>
  <c r="K11" i="2" s="1"/>
  <c r="M10" i="2"/>
  <c r="L10" i="2"/>
  <c r="J10" i="2"/>
  <c r="K10" i="2" s="1"/>
  <c r="M9" i="2"/>
  <c r="L9" i="2"/>
  <c r="J9" i="2"/>
  <c r="K9" i="2" s="1"/>
  <c r="M8" i="2"/>
  <c r="L8" i="2"/>
  <c r="J8" i="2"/>
  <c r="K8" i="2" s="1"/>
  <c r="R7" i="2"/>
  <c r="M7" i="2"/>
  <c r="L7" i="2"/>
  <c r="J7" i="2"/>
  <c r="K7" i="2" s="1"/>
  <c r="M6" i="2"/>
  <c r="L6" i="2"/>
  <c r="J6" i="2"/>
  <c r="K6" i="2" s="1"/>
  <c r="O5" i="2"/>
  <c r="D2" i="2"/>
  <c r="B130" i="1"/>
  <c r="E101" i="1"/>
  <c r="E106" i="1" s="1"/>
  <c r="E91" i="1"/>
  <c r="E55" i="1"/>
  <c r="A53" i="1"/>
  <c r="A54" i="1" s="1"/>
  <c r="E47" i="1"/>
  <c r="E43" i="1"/>
  <c r="D37" i="1"/>
  <c r="D28" i="1"/>
  <c r="O36" i="2" l="1"/>
  <c r="P36" i="2" s="1"/>
  <c r="E38" i="1"/>
  <c r="E95" i="1" s="1"/>
  <c r="O6" i="2"/>
  <c r="Q6" i="2" s="1"/>
  <c r="O7" i="2"/>
  <c r="B111" i="1"/>
  <c r="B110" i="1"/>
  <c r="B118" i="1" s="1"/>
  <c r="J37" i="2"/>
  <c r="L37" i="2"/>
  <c r="K37" i="2"/>
  <c r="M37" i="2"/>
  <c r="R8" i="2"/>
  <c r="Q36" i="2" l="1"/>
  <c r="B109" i="1"/>
  <c r="B117" i="1" s="1"/>
  <c r="B121" i="1" s="1"/>
  <c r="P6" i="2"/>
  <c r="R9" i="2"/>
  <c r="O8" i="2"/>
  <c r="P7" i="2"/>
  <c r="Q7" i="2"/>
  <c r="B108" i="1" l="1"/>
  <c r="Q8" i="2"/>
  <c r="P8" i="2"/>
  <c r="R10" i="2"/>
  <c r="O9" i="2"/>
  <c r="Q9" i="2" l="1"/>
  <c r="P9" i="2"/>
  <c r="O10" i="2"/>
  <c r="R11" i="2"/>
  <c r="R12" i="2" l="1"/>
  <c r="O11" i="2"/>
  <c r="Q10" i="2"/>
  <c r="P10" i="2"/>
  <c r="O12" i="2" l="1"/>
  <c r="R13" i="2"/>
  <c r="Q11" i="2"/>
  <c r="P11" i="2"/>
  <c r="O13" i="2" l="1"/>
  <c r="R14" i="2"/>
  <c r="Q12" i="2"/>
  <c r="P12" i="2"/>
  <c r="P13" i="2" l="1"/>
  <c r="Q13" i="2"/>
  <c r="O14" i="2"/>
  <c r="R15" i="2"/>
  <c r="R16" i="2" l="1"/>
  <c r="O15" i="2"/>
  <c r="P14" i="2"/>
  <c r="Q14" i="2"/>
  <c r="R17" i="2" l="1"/>
  <c r="O16" i="2"/>
  <c r="Q15" i="2"/>
  <c r="P15" i="2"/>
  <c r="Q16" i="2" l="1"/>
  <c r="P16" i="2"/>
  <c r="O17" i="2"/>
  <c r="R18" i="2"/>
  <c r="Q17" i="2" l="1"/>
  <c r="P17" i="2"/>
  <c r="R19" i="2"/>
  <c r="O18" i="2"/>
  <c r="Q18" i="2" l="1"/>
  <c r="P18" i="2"/>
  <c r="O19" i="2"/>
  <c r="R20" i="2"/>
  <c r="O20" i="2" l="1"/>
  <c r="R21" i="2"/>
  <c r="Q19" i="2"/>
  <c r="P19" i="2"/>
  <c r="O21" i="2" l="1"/>
  <c r="R22" i="2"/>
  <c r="Q20" i="2"/>
  <c r="P20" i="2"/>
  <c r="Q21" i="2" l="1"/>
  <c r="P21" i="2"/>
  <c r="O22" i="2"/>
  <c r="R23" i="2"/>
  <c r="O23" i="2" l="1"/>
  <c r="R24" i="2"/>
  <c r="Q22" i="2"/>
  <c r="P22" i="2"/>
  <c r="R25" i="2" l="1"/>
  <c r="O24" i="2"/>
  <c r="Q23" i="2"/>
  <c r="P23" i="2"/>
  <c r="R26" i="2" l="1"/>
  <c r="O25" i="2"/>
  <c r="Q24" i="2"/>
  <c r="P24" i="2"/>
  <c r="Q25" i="2" l="1"/>
  <c r="P25" i="2"/>
  <c r="O26" i="2"/>
  <c r="R27" i="2"/>
  <c r="R28" i="2" l="1"/>
  <c r="O27" i="2"/>
  <c r="Q26" i="2"/>
  <c r="P26" i="2"/>
  <c r="O28" i="2" l="1"/>
  <c r="R29" i="2"/>
  <c r="Q27" i="2"/>
  <c r="P27" i="2"/>
  <c r="O29" i="2" l="1"/>
  <c r="R30" i="2"/>
  <c r="Q28" i="2"/>
  <c r="P28" i="2"/>
  <c r="O30" i="2" l="1"/>
  <c r="R31" i="2"/>
  <c r="P29" i="2"/>
  <c r="Q29" i="2"/>
  <c r="R32" i="2" l="1"/>
  <c r="O31" i="2"/>
  <c r="P30" i="2"/>
  <c r="Q30" i="2"/>
  <c r="Q31" i="2" l="1"/>
  <c r="P31" i="2"/>
  <c r="R33" i="2"/>
  <c r="O32" i="2"/>
  <c r="O33" i="2" l="1"/>
  <c r="R34" i="2"/>
  <c r="Q32" i="2"/>
  <c r="P32" i="2"/>
  <c r="R35" i="2" l="1"/>
  <c r="O34" i="2"/>
  <c r="Q33" i="2"/>
  <c r="P33" i="2"/>
  <c r="Q34" i="2" l="1"/>
  <c r="P34" i="2"/>
  <c r="Q35" i="2"/>
  <c r="P35" i="2"/>
  <c r="O37" i="2"/>
  <c r="P37" i="2" l="1"/>
  <c r="Q37" i="2"/>
</calcChain>
</file>

<file path=xl/sharedStrings.xml><?xml version="1.0" encoding="utf-8"?>
<sst xmlns="http://schemas.openxmlformats.org/spreadsheetml/2006/main" count="217" uniqueCount="183">
  <si>
    <t>TELEFONO: 11 5320-2676</t>
  </si>
  <si>
    <t>LIQUIDACION DE EXPENSAS</t>
  </si>
  <si>
    <t>ADMINISTRADORA: CAROLINA CANCIANI MP:1148</t>
  </si>
  <si>
    <t>CUIT: 30-71612269-3</t>
  </si>
  <si>
    <t>HORARIOS DE ATENCION: LUNES A VIERNES</t>
  </si>
  <si>
    <r>
      <rPr>
        <b/>
        <sz val="10"/>
        <color theme="1"/>
        <rFont val="Trebuchet MS"/>
        <family val="2"/>
      </rPr>
      <t xml:space="preserve">CONS DE COPROP PRESIDENTE ARTURO ILLIA 1554 </t>
    </r>
    <r>
      <rPr>
        <b/>
        <sz val="10"/>
        <color theme="1"/>
        <rFont val="Yu Gothic"/>
        <family val="2"/>
      </rPr>
      <t>PRESIDENTE ARTURO ILLIA 1554</t>
    </r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</si>
  <si>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</si>
  <si>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</si>
  <si>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</si>
  <si>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</si>
  <si>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</si>
  <si>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</si>
  <si>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</si>
  <si>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HONORARIOS administracion RC</t>
  </si>
  <si>
    <t xml:space="preserve">TOTAL </t>
  </si>
  <si>
    <t xml:space="preserve">SEGUROS </t>
  </si>
  <si>
    <t>TOTAL IMPUESTO</t>
  </si>
  <si>
    <t>APORTES Y CONTRIBUCIONES</t>
  </si>
  <si>
    <t>Suther</t>
  </si>
  <si>
    <t>Fatheryh</t>
  </si>
  <si>
    <t>Seracarh</t>
  </si>
  <si>
    <t>TOTAL Aportes y Contribuciones - Sindicato</t>
  </si>
  <si>
    <t>ABONOS Y SERVICIOS</t>
  </si>
  <si>
    <t>EDESUR - 30-65511651-2</t>
  </si>
  <si>
    <t>TOTAL ABONOS Y SERVICIOS</t>
  </si>
  <si>
    <t>GASTOS GENERALES</t>
  </si>
  <si>
    <t>TOTAL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</si>
  <si>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</si>
  <si>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</si>
  <si>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</si>
  <si>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</si>
  <si>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</si>
  <si>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</si>
  <si>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</si>
  <si>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</si>
  <si>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</si>
  <si>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</si>
  <si>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</si>
  <si>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Intereses mal cobrados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</si>
  <si>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</si>
  <si>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</si>
  <si>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</si>
  <si>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</si>
  <si>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</si>
  <si>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</si>
  <si>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</si>
  <si>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</si>
  <si>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</si>
  <si>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</si>
  <si>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</si>
  <si>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</si>
  <si>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</si>
  <si>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</si>
  <si>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</si>
  <si>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</si>
  <si>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</si>
  <si>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</si>
  <si>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</si>
  <si>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</si>
  <si>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</si>
  <si>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</si>
  <si>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</si>
  <si>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</si>
  <si>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</si>
  <si>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</si>
  <si>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</si>
  <si>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</si>
  <si>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</si>
  <si>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</si>
  <si>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</si>
  <si>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</si>
  <si>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</si>
  <si>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</si>
  <si>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</si>
  <si>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</si>
  <si>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</si>
  <si>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</si>
  <si>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</si>
  <si>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</si>
  <si>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COC</t>
  </si>
  <si>
    <t>VALES OLGA</t>
  </si>
  <si>
    <t>VAZQUEZ DIEGO</t>
  </si>
  <si>
    <t>DI MEGLIO ALICIA</t>
  </si>
  <si>
    <t>TERESA</t>
  </si>
  <si>
    <t>1 A</t>
  </si>
  <si>
    <t>JEREMIAS ERIK</t>
  </si>
  <si>
    <t>1 B</t>
  </si>
  <si>
    <t>1 C</t>
  </si>
  <si>
    <t>CARBALLO CRISTIAN</t>
  </si>
  <si>
    <t>1 D</t>
  </si>
  <si>
    <t>MORVILLO LUIS</t>
  </si>
  <si>
    <t>2 A</t>
  </si>
  <si>
    <t>2 B</t>
  </si>
  <si>
    <t>TOBADA PAULA</t>
  </si>
  <si>
    <t>2 C</t>
  </si>
  <si>
    <t>GOMEZ TIRSO</t>
  </si>
  <si>
    <t>2 D</t>
  </si>
  <si>
    <t>REY-LAMBERTINI</t>
  </si>
  <si>
    <t>3 A</t>
  </si>
  <si>
    <t>MIOZZI MARTIN</t>
  </si>
  <si>
    <t>3 B</t>
  </si>
  <si>
    <t>3 C</t>
  </si>
  <si>
    <t>PIÑEIRO ARIEL</t>
  </si>
  <si>
    <t>3 D</t>
  </si>
  <si>
    <t>4 A</t>
  </si>
  <si>
    <t>HUSERMANN A.</t>
  </si>
  <si>
    <t>4 B</t>
  </si>
  <si>
    <t>4 C</t>
  </si>
  <si>
    <t>PRIETTELA-VENTURA</t>
  </si>
  <si>
    <t>4 D</t>
  </si>
  <si>
    <t>COPELLO MONICA</t>
  </si>
  <si>
    <t>5 A</t>
  </si>
  <si>
    <t>5 B</t>
  </si>
  <si>
    <t>RIVAROLA PAOLA</t>
  </si>
  <si>
    <t>5 C</t>
  </si>
  <si>
    <t>PITTELA MIGUEL</t>
  </si>
  <si>
    <t>5 D</t>
  </si>
  <si>
    <t>SOCINO-MOLINA</t>
  </si>
  <si>
    <t>6 C</t>
  </si>
  <si>
    <t>CURA MARCELA</t>
  </si>
  <si>
    <t>6 D</t>
  </si>
  <si>
    <t>DI PAOLO VANESA</t>
  </si>
  <si>
    <t>TELECOM - 99336146</t>
  </si>
  <si>
    <t>Mercantil Andina - Poliza nro 001175538</t>
  </si>
  <si>
    <t>Contador - Gustavo Padron</t>
  </si>
  <si>
    <t>MAIL: consorcioillia1554@gmail.com</t>
  </si>
  <si>
    <t>Interes 3%</t>
  </si>
  <si>
    <t>Burruchaga matias</t>
  </si>
  <si>
    <t>Juan Gonzales y Micaela</t>
  </si>
  <si>
    <t>Andrea</t>
  </si>
  <si>
    <t>Pedro</t>
  </si>
  <si>
    <t>Pablo Moyano o laura</t>
  </si>
  <si>
    <t>Mariela</t>
  </si>
  <si>
    <t>Banco credicoop
Cbu 1910028555002800979450
Cta corriente 191.028.009794.5
Pueden tranferir siempre enviando el comprobante por favor al mail o celular.</t>
  </si>
  <si>
    <t xml:space="preserve">PREVISION ORDINARIA </t>
  </si>
  <si>
    <t xml:space="preserve">Marina </t>
  </si>
  <si>
    <t>Carolina Tejeda</t>
  </si>
  <si>
    <t>ALONSO MARIA DEL CARMEN</t>
  </si>
  <si>
    <t>Saldo Inicial</t>
  </si>
  <si>
    <t>COMISION BANCARIA</t>
  </si>
  <si>
    <t>A</t>
  </si>
  <si>
    <t>B</t>
  </si>
  <si>
    <t>C</t>
  </si>
  <si>
    <t>D</t>
  </si>
  <si>
    <t>E</t>
  </si>
  <si>
    <t>F</t>
  </si>
  <si>
    <t>G</t>
  </si>
  <si>
    <t>ESTE HABIA PAGADO 320917 EN SEGUNDO VTO COMO CORRESPONDIA PERO NO LO PUSIMOS PAGO</t>
  </si>
  <si>
    <t>ALDANA(NOSE DE QUE UF) TMB HABIA PAGADO NOVIEMBRE CON $66000 Y NO LA PUSIMOS PAGA, AVERIGUAR QUIEN ES.</t>
  </si>
  <si>
    <t>PERÍODO: ENERO</t>
  </si>
  <si>
    <t xml:space="preserve">Mes de ENERO </t>
  </si>
  <si>
    <t>Mes de ENERO</t>
  </si>
  <si>
    <t>Sindicatos mes de ENERO</t>
  </si>
  <si>
    <t>Ascensores ADS - Mantenimiento de ascensor (Período ENERO)</t>
  </si>
  <si>
    <t>AYSA - Cuota plan de pagos - Mes de ENERO</t>
  </si>
  <si>
    <t>AYSA - Mes de ENERO</t>
  </si>
  <si>
    <t>Sueldo Ana encargada DICIEMBRE</t>
  </si>
  <si>
    <t>Claudio Sosa Periodo DICIEMBRE</t>
  </si>
  <si>
    <t>GASTOS BANCARIOS DICIEMBRE Y ENERO</t>
  </si>
  <si>
    <t>Efectivo 13/1</t>
  </si>
  <si>
    <t>Ascensores ADS - Mantenimiento de ascensor (Período DICIEMBRE) -NO HABIA LLEGADO FACTURA</t>
  </si>
  <si>
    <t>Efectivo 15/01</t>
  </si>
  <si>
    <t xml:space="preserve">Oliver maximiliano Abogado sindicato - Firma de contrato deuda Suther </t>
  </si>
  <si>
    <t>Transf 22/01</t>
  </si>
  <si>
    <t>PMC 16/01</t>
  </si>
  <si>
    <t>ARCA931 VEP</t>
  </si>
  <si>
    <t>Transf 13/1/2025</t>
  </si>
  <si>
    <t>Transf 9/1</t>
  </si>
  <si>
    <t>ARCA931 VEP MES DE DICIEMBRE</t>
  </si>
  <si>
    <t>VTO 13/02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</si>
  <si>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</t>
  </si>
  <si>
    <t>Karen</t>
  </si>
  <si>
    <t xml:space="preserve">Maria Laura </t>
  </si>
  <si>
    <t>Cecilia</t>
  </si>
  <si>
    <t>Dennys</t>
  </si>
  <si>
    <t>Aldana</t>
  </si>
  <si>
    <t xml:space="preserve">Punitorios mal cobrados </t>
  </si>
  <si>
    <t>Raquel / Jorge</t>
  </si>
  <si>
    <t>Transf 11/1</t>
  </si>
  <si>
    <t>Cochera mal cobrada</t>
  </si>
  <si>
    <t>JUAN (4B)</t>
  </si>
  <si>
    <t>MATIAS (1C)</t>
  </si>
  <si>
    <t>PABLO O LAURA (4C)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</si>
</sst>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\ #,##0.00;[Red]\-&quot;$&quot;\ #,##0.00"/>
    <numFmt numFmtId="164" formatCode="_-* #,##0.00_-;\-* #,##0.00_-;_-* &quot;-&quot;??_-;_-@"/>
    <numFmt numFmtId="165" formatCode="_-&quot;$&quot;\ * #,##0.00_-;\-&quot;$&quot;\ * #,##0.00_-;_-&quot;$&quot;\ * &quot;-&quot;??_-;_-@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"/>
    <numFmt numFmtId="168" formatCode="0.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0"/>
      <color theme="1"/>
      <name val="Trebuchet MS"/>
      <family val="2"/>
    </font>
    <font>
      <b/>
      <sz val="10"/>
      <color theme="1"/>
      <name val="Yu Gothic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  <font>
      <b/>
      <i/>
      <u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  <xf numFmtId="0" fontId="2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4" xfId="0" applyFont="1" applyFill="1" applyBorder="1"/>
    <xf numFmtId="0" fontId="3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 applyAlignment="1">
      <alignment horizontal="left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0" borderId="13" xfId="0" applyFont="1" applyBorder="1" applyAlignment="1">
      <alignment vertical="top" wrapText="1"/>
    </xf>
    <xf numFmtId="0" fontId="2" fillId="0" borderId="0" xfId="0" applyFont="1"/>
    <xf numFmtId="0" fontId="2" fillId="5" borderId="1" xfId="0" applyFont="1" applyFill="1" applyBorder="1"/>
    <xf numFmtId="0" fontId="2" fillId="5" borderId="2" xfId="0" applyFont="1" applyFill="1" applyBorder="1"/>
    <xf numFmtId="10" fontId="2" fillId="5" borderId="2" xfId="0" applyNumberFormat="1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7" fillId="6" borderId="23" xfId="0" applyFont="1" applyFill="1" applyBorder="1"/>
    <xf numFmtId="0" fontId="1" fillId="0" borderId="23" xfId="0" applyFont="1" applyBorder="1"/>
    <xf numFmtId="0" fontId="8" fillId="8" borderId="23" xfId="0" applyFont="1" applyFill="1" applyBorder="1"/>
    <xf numFmtId="0" fontId="1" fillId="8" borderId="23" xfId="0" applyFont="1" applyFill="1" applyBorder="1"/>
    <xf numFmtId="0" fontId="9" fillId="0" borderId="23" xfId="0" applyFont="1" applyBorder="1"/>
    <xf numFmtId="0" fontId="2" fillId="6" borderId="23" xfId="0" applyFont="1" applyFill="1" applyBorder="1"/>
    <xf numFmtId="8" fontId="3" fillId="6" borderId="25" xfId="0" applyNumberFormat="1" applyFont="1" applyFill="1" applyBorder="1"/>
    <xf numFmtId="8" fontId="1" fillId="0" borderId="0" xfId="0" applyNumberFormat="1" applyFont="1"/>
    <xf numFmtId="165" fontId="10" fillId="6" borderId="26" xfId="0" applyNumberFormat="1" applyFont="1" applyFill="1" applyBorder="1"/>
    <xf numFmtId="0" fontId="1" fillId="0" borderId="23" xfId="0" applyFont="1" applyBorder="1" applyAlignment="1">
      <alignment wrapText="1"/>
    </xf>
    <xf numFmtId="165" fontId="11" fillId="0" borderId="27" xfId="0" applyNumberFormat="1" applyFont="1" applyBorder="1"/>
    <xf numFmtId="8" fontId="3" fillId="6" borderId="28" xfId="0" applyNumberFormat="1" applyFont="1" applyFill="1" applyBorder="1"/>
    <xf numFmtId="165" fontId="3" fillId="6" borderId="23" xfId="0" applyNumberFormat="1" applyFont="1" applyFill="1" applyBorder="1"/>
    <xf numFmtId="0" fontId="1" fillId="0" borderId="23" xfId="0" applyFont="1" applyBorder="1" applyAlignment="1">
      <alignment vertical="center" wrapText="1"/>
    </xf>
    <xf numFmtId="165" fontId="11" fillId="7" borderId="23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165" fontId="3" fillId="6" borderId="25" xfId="0" applyNumberFormat="1" applyFont="1" applyFill="1" applyBorder="1"/>
    <xf numFmtId="0" fontId="1" fillId="6" borderId="23" xfId="0" applyFont="1" applyFill="1" applyBorder="1"/>
    <xf numFmtId="165" fontId="11" fillId="6" borderId="26" xfId="0" applyNumberFormat="1" applyFont="1" applyFill="1" applyBorder="1"/>
    <xf numFmtId="0" fontId="1" fillId="7" borderId="23" xfId="0" applyFont="1" applyFill="1" applyBorder="1"/>
    <xf numFmtId="165" fontId="1" fillId="0" borderId="23" xfId="0" applyNumberFormat="1" applyFont="1" applyBorder="1"/>
    <xf numFmtId="0" fontId="11" fillId="7" borderId="23" xfId="0" applyFont="1" applyFill="1" applyBorder="1"/>
    <xf numFmtId="0" fontId="11" fillId="0" borderId="23" xfId="0" applyFont="1" applyBorder="1"/>
    <xf numFmtId="0" fontId="11" fillId="0" borderId="30" xfId="0" applyFont="1" applyBorder="1"/>
    <xf numFmtId="0" fontId="11" fillId="0" borderId="23" xfId="0" applyFont="1" applyBorder="1" applyAlignment="1">
      <alignment horizontal="left"/>
    </xf>
    <xf numFmtId="0" fontId="1" fillId="0" borderId="2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9" xfId="0" applyFont="1" applyBorder="1"/>
    <xf numFmtId="0" fontId="11" fillId="0" borderId="30" xfId="0" applyFont="1" applyBorder="1" applyAlignment="1">
      <alignment horizontal="left"/>
    </xf>
    <xf numFmtId="0" fontId="12" fillId="0" borderId="23" xfId="0" applyFont="1" applyBorder="1"/>
    <xf numFmtId="165" fontId="11" fillId="7" borderId="23" xfId="0" applyNumberFormat="1" applyFont="1" applyFill="1" applyBorder="1"/>
    <xf numFmtId="16" fontId="1" fillId="0" borderId="29" xfId="0" applyNumberFormat="1" applyFont="1" applyBorder="1" applyAlignment="1">
      <alignment vertical="center" wrapText="1"/>
    </xf>
    <xf numFmtId="16" fontId="1" fillId="0" borderId="13" xfId="0" applyNumberFormat="1" applyFont="1" applyBorder="1" applyAlignment="1">
      <alignment vertical="center" wrapText="1"/>
    </xf>
    <xf numFmtId="165" fontId="11" fillId="0" borderId="23" xfId="0" applyNumberFormat="1" applyFont="1" applyBorder="1"/>
    <xf numFmtId="16" fontId="1" fillId="0" borderId="23" xfId="0" applyNumberFormat="1" applyFont="1" applyBorder="1" applyAlignment="1">
      <alignment vertical="center" wrapText="1"/>
    </xf>
    <xf numFmtId="165" fontId="3" fillId="6" borderId="28" xfId="0" applyNumberFormat="1" applyFont="1" applyFill="1" applyBorder="1"/>
    <xf numFmtId="0" fontId="1" fillId="0" borderId="14" xfId="0" applyFont="1" applyBorder="1" applyAlignment="1">
      <alignment wrapText="1"/>
    </xf>
    <xf numFmtId="16" fontId="11" fillId="0" borderId="23" xfId="0" applyNumberFormat="1" applyFont="1" applyBorder="1"/>
    <xf numFmtId="0" fontId="13" fillId="0" borderId="23" xfId="0" applyFont="1" applyBorder="1"/>
    <xf numFmtId="0" fontId="13" fillId="7" borderId="23" xfId="0" applyFont="1" applyFill="1" applyBorder="1"/>
    <xf numFmtId="165" fontId="3" fillId="6" borderId="35" xfId="0" applyNumberFormat="1" applyFont="1" applyFill="1" applyBorder="1"/>
    <xf numFmtId="0" fontId="2" fillId="6" borderId="23" xfId="0" applyFont="1" applyFill="1" applyBorder="1" applyAlignment="1">
      <alignment wrapText="1"/>
    </xf>
    <xf numFmtId="165" fontId="11" fillId="7" borderId="26" xfId="0" applyNumberFormat="1" applyFont="1" applyFill="1" applyBorder="1"/>
    <xf numFmtId="0" fontId="2" fillId="6" borderId="26" xfId="0" applyFont="1" applyFill="1" applyBorder="1"/>
    <xf numFmtId="0" fontId="11" fillId="0" borderId="37" xfId="0" applyFont="1" applyBorder="1"/>
    <xf numFmtId="0" fontId="2" fillId="9" borderId="23" xfId="0" applyFont="1" applyFill="1" applyBorder="1"/>
    <xf numFmtId="0" fontId="2" fillId="9" borderId="24" xfId="0" applyFont="1" applyFill="1" applyBorder="1"/>
    <xf numFmtId="165" fontId="3" fillId="9" borderId="28" xfId="0" applyNumberFormat="1" applyFont="1" applyFill="1" applyBorder="1"/>
    <xf numFmtId="0" fontId="1" fillId="0" borderId="38" xfId="0" applyFont="1" applyBorder="1"/>
    <xf numFmtId="0" fontId="11" fillId="0" borderId="39" xfId="0" applyFont="1" applyBorder="1"/>
    <xf numFmtId="165" fontId="1" fillId="0" borderId="0" xfId="0" applyNumberFormat="1" applyFont="1"/>
    <xf numFmtId="0" fontId="2" fillId="5" borderId="7" xfId="0" applyFont="1" applyFill="1" applyBorder="1"/>
    <xf numFmtId="10" fontId="2" fillId="5" borderId="8" xfId="0" applyNumberFormat="1" applyFont="1" applyFill="1" applyBorder="1"/>
    <xf numFmtId="0" fontId="2" fillId="5" borderId="8" xfId="0" applyFont="1" applyFill="1" applyBorder="1"/>
    <xf numFmtId="165" fontId="3" fillId="5" borderId="9" xfId="0" applyNumberFormat="1" applyFont="1" applyFill="1" applyBorder="1"/>
    <xf numFmtId="0" fontId="2" fillId="6" borderId="5" xfId="0" applyFont="1" applyFill="1" applyBorder="1"/>
    <xf numFmtId="0" fontId="1" fillId="6" borderId="5" xfId="0" applyFont="1" applyFill="1" applyBorder="1"/>
    <xf numFmtId="165" fontId="1" fillId="6" borderId="5" xfId="0" applyNumberFormat="1" applyFont="1" applyFill="1" applyBorder="1"/>
    <xf numFmtId="165" fontId="13" fillId="9" borderId="40" xfId="0" applyNumberFormat="1" applyFont="1" applyFill="1" applyBorder="1" applyAlignment="1">
      <alignment vertical="center"/>
    </xf>
    <xf numFmtId="0" fontId="3" fillId="4" borderId="7" xfId="0" applyFont="1" applyFill="1" applyBorder="1"/>
    <xf numFmtId="165" fontId="3" fillId="4" borderId="9" xfId="0" applyNumberFormat="1" applyFont="1" applyFill="1" applyBorder="1"/>
    <xf numFmtId="166" fontId="11" fillId="0" borderId="0" xfId="0" applyNumberFormat="1" applyFont="1"/>
    <xf numFmtId="4" fontId="1" fillId="0" borderId="0" xfId="0" applyNumberFormat="1" applyFont="1"/>
    <xf numFmtId="0" fontId="3" fillId="0" borderId="23" xfId="0" applyFont="1" applyBorder="1"/>
    <xf numFmtId="165" fontId="15" fillId="7" borderId="23" xfId="0" applyNumberFormat="1" applyFont="1" applyFill="1" applyBorder="1"/>
    <xf numFmtId="0" fontId="3" fillId="0" borderId="23" xfId="0" applyFont="1" applyBorder="1" applyAlignment="1">
      <alignment vertical="top" wrapText="1"/>
    </xf>
    <xf numFmtId="0" fontId="3" fillId="0" borderId="23" xfId="0" applyFont="1" applyBorder="1" applyAlignment="1">
      <alignment vertical="center" wrapText="1"/>
    </xf>
    <xf numFmtId="0" fontId="2" fillId="0" borderId="23" xfId="0" applyFont="1" applyBorder="1"/>
    <xf numFmtId="165" fontId="2" fillId="0" borderId="23" xfId="0" applyNumberFormat="1" applyFont="1" applyBorder="1"/>
    <xf numFmtId="4" fontId="3" fillId="0" borderId="0" xfId="0" applyNumberFormat="1" applyFont="1"/>
    <xf numFmtId="165" fontId="11" fillId="0" borderId="0" xfId="0" applyNumberFormat="1" applyFont="1"/>
    <xf numFmtId="4" fontId="3" fillId="0" borderId="0" xfId="0" applyNumberFormat="1" applyFont="1" applyAlignment="1">
      <alignment wrapText="1"/>
    </xf>
    <xf numFmtId="0" fontId="16" fillId="10" borderId="23" xfId="0" applyFont="1" applyFill="1" applyBorder="1"/>
    <xf numFmtId="165" fontId="1" fillId="0" borderId="0" xfId="0" applyNumberFormat="1" applyFont="1" applyAlignment="1">
      <alignment wrapText="1"/>
    </xf>
    <xf numFmtId="166" fontId="1" fillId="0" borderId="0" xfId="0" applyNumberFormat="1" applyFont="1"/>
    <xf numFmtId="165" fontId="17" fillId="0" borderId="23" xfId="0" applyNumberFormat="1" applyFont="1" applyBorder="1"/>
    <xf numFmtId="14" fontId="1" fillId="0" borderId="23" xfId="0" applyNumberFormat="1" applyFont="1" applyBorder="1"/>
    <xf numFmtId="0" fontId="16" fillId="10" borderId="5" xfId="0" applyFont="1" applyFill="1" applyBorder="1"/>
    <xf numFmtId="165" fontId="16" fillId="10" borderId="5" xfId="0" applyNumberFormat="1" applyFont="1" applyFill="1" applyBorder="1"/>
    <xf numFmtId="0" fontId="1" fillId="0" borderId="41" xfId="0" applyFont="1" applyBorder="1"/>
    <xf numFmtId="0" fontId="1" fillId="2" borderId="5" xfId="0" applyFont="1" applyFill="1" applyBorder="1"/>
    <xf numFmtId="8" fontId="1" fillId="2" borderId="5" xfId="0" applyNumberFormat="1" applyFont="1" applyFill="1" applyBorder="1"/>
    <xf numFmtId="165" fontId="1" fillId="2" borderId="5" xfId="0" applyNumberFormat="1" applyFont="1" applyFill="1" applyBorder="1"/>
    <xf numFmtId="165" fontId="1" fillId="2" borderId="40" xfId="0" applyNumberFormat="1" applyFont="1" applyFill="1" applyBorder="1" applyAlignment="1">
      <alignment vertical="center"/>
    </xf>
    <xf numFmtId="165" fontId="1" fillId="2" borderId="5" xfId="0" applyNumberFormat="1" applyFont="1" applyFill="1" applyBorder="1" applyAlignment="1">
      <alignment vertical="center"/>
    </xf>
    <xf numFmtId="0" fontId="13" fillId="2" borderId="47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8" fillId="0" borderId="23" xfId="0" applyFont="1" applyBorder="1"/>
    <xf numFmtId="0" fontId="18" fillId="0" borderId="23" xfId="0" applyFont="1" applyBorder="1" applyAlignment="1">
      <alignment horizontal="center"/>
    </xf>
    <xf numFmtId="165" fontId="18" fillId="0" borderId="23" xfId="0" applyNumberFormat="1" applyFont="1" applyBorder="1"/>
    <xf numFmtId="165" fontId="18" fillId="7" borderId="23" xfId="0" applyNumberFormat="1" applyFont="1" applyFill="1" applyBorder="1"/>
    <xf numFmtId="167" fontId="18" fillId="7" borderId="23" xfId="0" applyNumberFormat="1" applyFont="1" applyFill="1" applyBorder="1"/>
    <xf numFmtId="167" fontId="18" fillId="0" borderId="23" xfId="0" applyNumberFormat="1" applyFont="1" applyBorder="1"/>
    <xf numFmtId="165" fontId="18" fillId="0" borderId="29" xfId="0" applyNumberFormat="1" applyFont="1" applyBorder="1"/>
    <xf numFmtId="165" fontId="18" fillId="0" borderId="53" xfId="0" applyNumberFormat="1" applyFont="1" applyBorder="1"/>
    <xf numFmtId="165" fontId="18" fillId="0" borderId="54" xfId="0" applyNumberFormat="1" applyFont="1" applyBorder="1"/>
    <xf numFmtId="0" fontId="18" fillId="0" borderId="23" xfId="0" applyFont="1" applyBorder="1" applyAlignment="1">
      <alignment wrapText="1"/>
    </xf>
    <xf numFmtId="0" fontId="12" fillId="7" borderId="5" xfId="0" applyFont="1" applyFill="1" applyBorder="1"/>
    <xf numFmtId="167" fontId="18" fillId="0" borderId="29" xfId="0" applyNumberFormat="1" applyFont="1" applyBorder="1"/>
    <xf numFmtId="165" fontId="19" fillId="0" borderId="23" xfId="0" applyNumberFormat="1" applyFont="1" applyBorder="1"/>
    <xf numFmtId="167" fontId="19" fillId="7" borderId="23" xfId="0" applyNumberFormat="1" applyFont="1" applyFill="1" applyBorder="1"/>
    <xf numFmtId="167" fontId="19" fillId="0" borderId="23" xfId="0" applyNumberFormat="1" applyFont="1" applyBorder="1"/>
    <xf numFmtId="165" fontId="19" fillId="0" borderId="29" xfId="0" applyNumberFormat="1" applyFont="1" applyBorder="1"/>
    <xf numFmtId="0" fontId="18" fillId="11" borderId="25" xfId="0" applyFont="1" applyFill="1" applyBorder="1"/>
    <xf numFmtId="0" fontId="18" fillId="6" borderId="55" xfId="0" applyFont="1" applyFill="1" applyBorder="1"/>
    <xf numFmtId="0" fontId="18" fillId="6" borderId="28" xfId="0" applyFont="1" applyFill="1" applyBorder="1"/>
    <xf numFmtId="165" fontId="18" fillId="6" borderId="28" xfId="0" applyNumberFormat="1" applyFont="1" applyFill="1" applyBorder="1"/>
    <xf numFmtId="167" fontId="18" fillId="6" borderId="28" xfId="0" applyNumberFormat="1" applyFont="1" applyFill="1" applyBorder="1"/>
    <xf numFmtId="165" fontId="18" fillId="6" borderId="25" xfId="0" applyNumberFormat="1" applyFont="1" applyFill="1" applyBorder="1"/>
    <xf numFmtId="0" fontId="13" fillId="0" borderId="0" xfId="0" applyFont="1"/>
    <xf numFmtId="1" fontId="22" fillId="0" borderId="23" xfId="0" applyNumberFormat="1" applyFont="1" applyFill="1" applyBorder="1" applyAlignment="1">
      <alignment horizontal="left" vertical="top" shrinkToFit="1"/>
    </xf>
    <xf numFmtId="0" fontId="23" fillId="0" borderId="23" xfId="0" applyFont="1" applyFill="1" applyBorder="1" applyAlignment="1">
      <alignment horizontal="left" vertical="top" wrapText="1"/>
    </xf>
    <xf numFmtId="0" fontId="24" fillId="0" borderId="23" xfId="0" applyFont="1" applyBorder="1"/>
    <xf numFmtId="168" fontId="18" fillId="6" borderId="28" xfId="0" applyNumberFormat="1" applyFont="1" applyFill="1" applyBorder="1" applyAlignment="1">
      <alignment horizontal="center"/>
    </xf>
    <xf numFmtId="0" fontId="0" fillId="0" borderId="0" xfId="0" applyFont="1" applyAlignment="1"/>
    <xf numFmtId="0" fontId="4" fillId="0" borderId="14" xfId="0" applyFont="1" applyBorder="1"/>
    <xf numFmtId="0" fontId="25" fillId="0" borderId="29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/>
    </xf>
    <xf numFmtId="0" fontId="26" fillId="0" borderId="23" xfId="0" applyFont="1" applyBorder="1"/>
    <xf numFmtId="0" fontId="2" fillId="13" borderId="4" xfId="0" applyFont="1" applyFill="1" applyBorder="1"/>
    <xf numFmtId="8" fontId="27" fillId="8" borderId="23" xfId="0" applyNumberFormat="1" applyFont="1" applyFill="1" applyBorder="1"/>
    <xf numFmtId="8" fontId="27" fillId="8" borderId="24" xfId="0" applyNumberFormat="1" applyFont="1" applyFill="1" applyBorder="1"/>
    <xf numFmtId="8" fontId="28" fillId="6" borderId="24" xfId="0" applyNumberFormat="1" applyFont="1" applyFill="1" applyBorder="1"/>
    <xf numFmtId="8" fontId="29" fillId="6" borderId="23" xfId="0" applyNumberFormat="1" applyFont="1" applyFill="1" applyBorder="1"/>
    <xf numFmtId="165" fontId="28" fillId="6" borderId="24" xfId="0" applyNumberFormat="1" applyFont="1" applyFill="1" applyBorder="1"/>
    <xf numFmtId="165" fontId="28" fillId="6" borderId="23" xfId="0" applyNumberFormat="1" applyFont="1" applyFill="1" applyBorder="1"/>
    <xf numFmtId="167" fontId="18" fillId="0" borderId="53" xfId="0" applyNumberFormat="1" applyFont="1" applyBorder="1"/>
    <xf numFmtId="167" fontId="18" fillId="0" borderId="54" xfId="0" applyNumberFormat="1" applyFont="1" applyBorder="1"/>
    <xf numFmtId="0" fontId="14" fillId="10" borderId="44" xfId="0" applyFont="1" applyFill="1" applyBorder="1"/>
    <xf numFmtId="165" fontId="3" fillId="7" borderId="35" xfId="0" applyNumberFormat="1" applyFont="1" applyFill="1" applyBorder="1"/>
    <xf numFmtId="0" fontId="3" fillId="0" borderId="27" xfId="0" applyFont="1" applyBorder="1"/>
    <xf numFmtId="165" fontId="11" fillId="7" borderId="27" xfId="0" applyNumberFormat="1" applyFont="1" applyFill="1" applyBorder="1"/>
    <xf numFmtId="0" fontId="3" fillId="7" borderId="56" xfId="0" applyFont="1" applyFill="1" applyBorder="1" applyAlignment="1">
      <alignment vertical="center" wrapText="1"/>
    </xf>
    <xf numFmtId="4" fontId="1" fillId="0" borderId="56" xfId="0" applyNumberFormat="1" applyFont="1" applyBorder="1"/>
    <xf numFmtId="0" fontId="0" fillId="0" borderId="0" xfId="0" applyFont="1" applyAlignment="1"/>
    <xf numFmtId="0" fontId="11" fillId="7" borderId="23" xfId="0" applyFont="1" applyFill="1" applyBorder="1" applyAlignment="1">
      <alignment horizontal="left" wrapText="1"/>
    </xf>
    <xf numFmtId="0" fontId="2" fillId="2" borderId="44" xfId="0" applyFont="1" applyFill="1" applyBorder="1" applyAlignment="1">
      <alignment vertical="center"/>
    </xf>
    <xf numFmtId="164" fontId="1" fillId="2" borderId="57" xfId="0" applyNumberFormat="1" applyFont="1" applyFill="1" applyBorder="1"/>
    <xf numFmtId="0" fontId="1" fillId="0" borderId="14" xfId="0" applyFont="1" applyBorder="1"/>
    <xf numFmtId="0" fontId="1" fillId="0" borderId="56" xfId="0" applyFont="1" applyBorder="1" applyAlignment="1">
      <alignment wrapText="1"/>
    </xf>
    <xf numFmtId="0" fontId="1" fillId="0" borderId="44" xfId="0" applyFont="1" applyBorder="1"/>
    <xf numFmtId="0" fontId="0" fillId="0" borderId="44" xfId="0" applyFont="1" applyBorder="1" applyAlignment="1"/>
    <xf numFmtId="0" fontId="1" fillId="0" borderId="44" xfId="0" applyFont="1" applyBorder="1" applyAlignment="1">
      <alignment vertical="top" wrapText="1"/>
    </xf>
    <xf numFmtId="165" fontId="30" fillId="7" borderId="23" xfId="0" applyNumberFormat="1" applyFont="1" applyFill="1" applyBorder="1"/>
    <xf numFmtId="165" fontId="30" fillId="12" borderId="23" xfId="0" applyNumberFormat="1" applyFont="1" applyFill="1" applyBorder="1"/>
    <xf numFmtId="8" fontId="4" fillId="0" borderId="23" xfId="0" applyNumberFormat="1" applyFont="1" applyBorder="1"/>
    <xf numFmtId="165" fontId="4" fillId="7" borderId="23" xfId="0" applyNumberFormat="1" applyFont="1" applyFill="1" applyBorder="1" applyAlignment="1">
      <alignment wrapText="1"/>
    </xf>
    <xf numFmtId="165" fontId="4" fillId="7" borderId="23" xfId="0" applyNumberFormat="1" applyFont="1" applyFill="1" applyBorder="1"/>
    <xf numFmtId="165" fontId="4" fillId="6" borderId="23" xfId="0" applyNumberFormat="1" applyFont="1" applyFill="1" applyBorder="1"/>
    <xf numFmtId="165" fontId="4" fillId="0" borderId="23" xfId="0" applyNumberFormat="1" applyFont="1" applyBorder="1"/>
    <xf numFmtId="165" fontId="4" fillId="7" borderId="23" xfId="0" applyNumberFormat="1" applyFont="1" applyFill="1" applyBorder="1" applyAlignment="1">
      <alignment horizontal="left" vertical="center" wrapText="1"/>
    </xf>
    <xf numFmtId="165" fontId="4" fillId="7" borderId="24" xfId="0" applyNumberFormat="1" applyFont="1" applyFill="1" applyBorder="1"/>
    <xf numFmtId="0" fontId="29" fillId="6" borderId="23" xfId="0" applyFont="1" applyFill="1" applyBorder="1"/>
    <xf numFmtId="8" fontId="28" fillId="6" borderId="36" xfId="0" applyNumberFormat="1" applyFont="1" applyFill="1" applyBorder="1"/>
    <xf numFmtId="0" fontId="1" fillId="0" borderId="35" xfId="0" applyFont="1" applyBorder="1"/>
    <xf numFmtId="0" fontId="2" fillId="6" borderId="27" xfId="0" applyFont="1" applyFill="1" applyBorder="1"/>
    <xf numFmtId="0" fontId="1" fillId="6" borderId="27" xfId="0" applyFont="1" applyFill="1" applyBorder="1"/>
    <xf numFmtId="165" fontId="4" fillId="6" borderId="36" xfId="0" applyNumberFormat="1" applyFont="1" applyFill="1" applyBorder="1"/>
    <xf numFmtId="0" fontId="0" fillId="0" borderId="0" xfId="0" applyFont="1" applyAlignment="1"/>
    <xf numFmtId="0" fontId="0" fillId="0" borderId="0" xfId="0" applyFont="1" applyAlignment="1"/>
    <xf numFmtId="8" fontId="4" fillId="7" borderId="23" xfId="0" applyNumberFormat="1" applyFont="1" applyFill="1" applyBorder="1"/>
    <xf numFmtId="0" fontId="1" fillId="0" borderId="23" xfId="0" applyFont="1" applyBorder="1" applyAlignment="1">
      <alignment horizontal="left" vertical="center"/>
    </xf>
    <xf numFmtId="16" fontId="11" fillId="7" borderId="23" xfId="0" applyNumberFormat="1" applyFont="1" applyFill="1" applyBorder="1" applyAlignment="1">
      <alignment horizontal="left" wrapText="1"/>
    </xf>
    <xf numFmtId="8" fontId="4" fillId="7" borderId="24" xfId="0" applyNumberFormat="1" applyFont="1" applyFill="1" applyBorder="1"/>
    <xf numFmtId="0" fontId="0" fillId="14" borderId="0" xfId="0" applyFont="1" applyFill="1" applyAlignment="1"/>
    <xf numFmtId="0" fontId="31" fillId="7" borderId="23" xfId="0" applyFont="1" applyFill="1" applyBorder="1" applyAlignment="1">
      <alignment horizontal="left" wrapText="1"/>
    </xf>
    <xf numFmtId="16" fontId="11" fillId="7" borderId="23" xfId="0" applyNumberFormat="1" applyFont="1" applyFill="1" applyBorder="1"/>
    <xf numFmtId="0" fontId="0" fillId="0" borderId="0" xfId="0" applyFont="1" applyAlignment="1"/>
    <xf numFmtId="165" fontId="18" fillId="15" borderId="23" xfId="0" applyNumberFormat="1" applyFont="1" applyFill="1" applyBorder="1"/>
    <xf numFmtId="167" fontId="18" fillId="15" borderId="23" xfId="0" applyNumberFormat="1" applyFont="1" applyFill="1" applyBorder="1"/>
    <xf numFmtId="165" fontId="18" fillId="15" borderId="29" xfId="0" applyNumberFormat="1" applyFont="1" applyFill="1" applyBorder="1"/>
    <xf numFmtId="167" fontId="18" fillId="15" borderId="53" xfId="0" applyNumberFormat="1" applyFont="1" applyFill="1" applyBorder="1"/>
    <xf numFmtId="167" fontId="18" fillId="15" borderId="29" xfId="0" applyNumberFormat="1" applyFont="1" applyFill="1" applyBorder="1"/>
    <xf numFmtId="167" fontId="18" fillId="15" borderId="54" xfId="0" applyNumberFormat="1" applyFont="1" applyFill="1" applyBorder="1"/>
    <xf numFmtId="165" fontId="4" fillId="15" borderId="23" xfId="0" applyNumberFormat="1" applyFont="1" applyFill="1" applyBorder="1"/>
    <xf numFmtId="165" fontId="4" fillId="7" borderId="35" xfId="0" applyNumberFormat="1" applyFont="1" applyFill="1" applyBorder="1"/>
    <xf numFmtId="165" fontId="4" fillId="7" borderId="23" xfId="0" applyNumberFormat="1" applyFont="1" applyFill="1" applyBorder="1" applyAlignment="1">
      <alignment horizontal="right"/>
    </xf>
    <xf numFmtId="165" fontId="4" fillId="7" borderId="23" xfId="0" applyNumberFormat="1" applyFont="1" applyFill="1" applyBorder="1" applyAlignment="1">
      <alignment horizontal="left" wrapText="1"/>
    </xf>
    <xf numFmtId="165" fontId="31" fillId="7" borderId="26" xfId="0" applyNumberFormat="1" applyFont="1" applyFill="1" applyBorder="1"/>
    <xf numFmtId="0" fontId="1" fillId="0" borderId="29" xfId="0" applyFont="1" applyBorder="1" applyAlignment="1">
      <alignment horizontal="left" wrapText="1"/>
    </xf>
    <xf numFmtId="0" fontId="4" fillId="0" borderId="14" xfId="0" applyFont="1" applyBorder="1"/>
    <xf numFmtId="0" fontId="1" fillId="0" borderId="29" xfId="0" applyFont="1" applyBorder="1" applyAlignment="1">
      <alignment horizontal="left" vertical="center" wrapText="1"/>
    </xf>
    <xf numFmtId="0" fontId="3" fillId="13" borderId="44" xfId="0" applyFont="1" applyFill="1" applyBorder="1" applyAlignment="1">
      <alignment horizontal="left" vertical="center" wrapText="1"/>
    </xf>
    <xf numFmtId="0" fontId="3" fillId="13" borderId="40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165" fontId="4" fillId="7" borderId="30" xfId="0" applyNumberFormat="1" applyFont="1" applyFill="1" applyBorder="1" applyAlignment="1">
      <alignment horizontal="center"/>
    </xf>
    <xf numFmtId="0" fontId="4" fillId="0" borderId="27" xfId="0" applyFont="1" applyBorder="1"/>
    <xf numFmtId="0" fontId="3" fillId="2" borderId="10" xfId="0" applyFont="1" applyFill="1" applyBorder="1" applyAlignment="1">
      <alignment horizontal="left" vertical="top" wrapText="1"/>
    </xf>
    <xf numFmtId="0" fontId="4" fillId="0" borderId="11" xfId="0" applyFont="1" applyBorder="1"/>
    <xf numFmtId="0" fontId="4" fillId="0" borderId="12" xfId="0" applyFont="1" applyBorder="1"/>
    <xf numFmtId="0" fontId="5" fillId="3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6" fillId="4" borderId="15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0" fillId="0" borderId="0" xfId="0" applyFont="1" applyAlignment="1"/>
    <xf numFmtId="0" fontId="4" fillId="0" borderId="22" xfId="0" applyFont="1" applyBorder="1"/>
    <xf numFmtId="0" fontId="25" fillId="0" borderId="29" xfId="0" applyFont="1" applyBorder="1" applyAlignment="1">
      <alignment horizontal="left" vertical="center" wrapText="1"/>
    </xf>
    <xf numFmtId="0" fontId="11" fillId="7" borderId="30" xfId="0" applyFont="1" applyFill="1" applyBorder="1" applyAlignment="1">
      <alignment horizontal="left"/>
    </xf>
    <xf numFmtId="0" fontId="16" fillId="10" borderId="15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left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4" fillId="0" borderId="48" xfId="0" applyFont="1" applyBorder="1"/>
    <xf numFmtId="0" fontId="1" fillId="2" borderId="42" xfId="0" applyFont="1" applyFill="1" applyBorder="1" applyAlignment="1">
      <alignment horizontal="left"/>
    </xf>
    <xf numFmtId="0" fontId="4" fillId="0" borderId="43" xfId="0" applyFont="1" applyBorder="1"/>
    <xf numFmtId="0" fontId="4" fillId="0" borderId="44" xfId="0" applyFont="1" applyBorder="1"/>
    <xf numFmtId="0" fontId="1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4" fillId="0" borderId="49" xfId="0" applyFont="1" applyBorder="1"/>
    <xf numFmtId="0" fontId="13" fillId="2" borderId="45" xfId="0" applyFont="1" applyFill="1" applyBorder="1" applyAlignment="1">
      <alignment horizontal="center" vertical="center"/>
    </xf>
    <xf numFmtId="0" fontId="4" fillId="0" borderId="50" xfId="0" applyFont="1" applyBorder="1"/>
    <xf numFmtId="0" fontId="2" fillId="3" borderId="15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18" fillId="2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2038350" cy="857250"/>
    <xdr:pic>
      <xdr:nvPicPr>
        <xdr:cNvPr id="2" name="image1.jpg" descr="C:\Users\Particular\Desktop\NATI\CONSORCIOS RC\WhatsApp Image 2020-12-10 at 14.53.20.jpe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20383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topLeftCell="A105" workbookViewId="0">
      <selection activeCell="B120" sqref="B120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thickBot="1" x14ac:dyDescent="0.3">
      <c r="A1" s="1"/>
      <c r="B1" s="161"/>
      <c r="C1" s="2"/>
      <c r="D1" s="2"/>
      <c r="E1" s="3"/>
      <c r="F1" s="4"/>
      <c r="G1" s="4"/>
      <c r="H1" s="4"/>
    </row>
    <row r="2" spans="1:9" x14ac:dyDescent="0.25">
      <c r="A2" s="5"/>
      <c r="B2" s="160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06" t="s">
        <v>125</v>
      </c>
      <c r="C3" s="206"/>
      <c r="D3" s="206"/>
      <c r="E3" s="9"/>
      <c r="F3" s="4"/>
      <c r="G3" s="4"/>
      <c r="H3" s="4"/>
    </row>
    <row r="4" spans="1:9" ht="32.25" customHeight="1" thickBot="1" x14ac:dyDescent="0.3">
      <c r="A4" s="8"/>
      <c r="B4" s="207"/>
      <c r="C4" s="207"/>
      <c r="D4" s="207"/>
      <c r="E4" s="9"/>
      <c r="F4" s="4"/>
      <c r="G4" s="4"/>
      <c r="H4" s="4"/>
    </row>
    <row r="5" spans="1:9" ht="15.75" thickBot="1" x14ac:dyDescent="0.3">
      <c r="A5" s="10" t="s">
        <v>1</v>
      </c>
      <c r="B5" s="11" t="s">
        <v>2</v>
      </c>
      <c r="C5" s="12"/>
      <c r="D5" s="12"/>
      <c r="E5" s="13"/>
      <c r="F5" s="4"/>
      <c r="G5" s="4"/>
      <c r="H5" s="4"/>
    </row>
    <row r="6" spans="1:9" x14ac:dyDescent="0.25">
      <c r="A6" s="143" t="s">
        <v>3</v>
      </c>
      <c r="B6" s="14" t="s">
        <v>149</v>
      </c>
      <c r="C6" s="15"/>
      <c r="D6" s="15" t="s">
        <v>4</v>
      </c>
      <c r="E6" s="16"/>
      <c r="F6" s="4"/>
      <c r="G6" s="164"/>
      <c r="H6" s="164"/>
      <c r="I6" s="165"/>
    </row>
    <row r="7" spans="1:9" ht="15" customHeight="1" x14ac:dyDescent="0.25">
      <c r="A7" s="215" t="s">
        <v>5</v>
      </c>
      <c r="B7" s="216"/>
      <c r="C7" s="216"/>
      <c r="D7" s="216"/>
      <c r="E7" s="217"/>
      <c r="F7" s="17"/>
      <c r="G7" s="166"/>
      <c r="H7" s="166"/>
      <c r="I7" s="165"/>
    </row>
    <row r="8" spans="1:9" ht="15" customHeight="1" x14ac:dyDescent="0.25">
      <c r="G8" s="165"/>
      <c r="H8" s="165"/>
      <c r="I8" s="165"/>
    </row>
    <row r="9" spans="1:9" x14ac:dyDescent="0.25">
      <c r="A9" s="4"/>
      <c r="B9" s="218" t="s">
        <v>169</v>
      </c>
      <c r="C9" s="219"/>
      <c r="D9" s="4"/>
      <c r="E9" s="4"/>
      <c r="F9" s="4"/>
      <c r="G9" s="4"/>
      <c r="H9" s="4"/>
    </row>
    <row r="10" spans="1:9" x14ac:dyDescent="0.25">
      <c r="A10" s="4"/>
      <c r="B10" s="220"/>
      <c r="C10" s="221"/>
      <c r="D10" s="4"/>
      <c r="E10" s="4"/>
      <c r="F10" s="4"/>
      <c r="G10" s="4"/>
      <c r="H10" s="4"/>
    </row>
    <row r="11" spans="1:9" x14ac:dyDescent="0.25">
      <c r="A11" s="4"/>
      <c r="B11" s="222"/>
      <c r="C11" s="223"/>
      <c r="D11" s="4"/>
      <c r="E11" s="4"/>
      <c r="F11" s="4"/>
      <c r="G11" s="4"/>
      <c r="H11" s="4"/>
    </row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24" t="s">
        <v>133</v>
      </c>
      <c r="B14" s="225"/>
      <c r="C14" s="225"/>
      <c r="D14" s="225"/>
      <c r="E14" s="219"/>
      <c r="F14" s="4"/>
      <c r="G14" s="4"/>
      <c r="H14" s="4"/>
    </row>
    <row r="15" spans="1:9" ht="15" customHeight="1" x14ac:dyDescent="0.25">
      <c r="A15" s="220"/>
      <c r="B15" s="226"/>
      <c r="C15" s="226"/>
      <c r="D15" s="226"/>
      <c r="E15" s="221"/>
      <c r="F15" s="4"/>
      <c r="G15" s="4"/>
      <c r="H15" s="4"/>
    </row>
    <row r="16" spans="1:9" ht="15" customHeight="1" x14ac:dyDescent="0.25">
      <c r="A16" s="220"/>
      <c r="B16" s="226"/>
      <c r="C16" s="226"/>
      <c r="D16" s="226"/>
      <c r="E16" s="221"/>
      <c r="F16" s="4"/>
      <c r="G16" s="4"/>
      <c r="H16" s="4"/>
    </row>
    <row r="17" spans="1:26" ht="39" customHeight="1" x14ac:dyDescent="0.25">
      <c r="A17" s="222"/>
      <c r="B17" s="227"/>
      <c r="C17" s="227"/>
      <c r="D17" s="227"/>
      <c r="E17" s="223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6</v>
      </c>
      <c r="B21" s="20"/>
      <c r="C21" s="21"/>
      <c r="D21" s="22"/>
      <c r="E21" s="23"/>
    </row>
    <row r="22" spans="1:26" ht="15.75" customHeight="1" x14ac:dyDescent="0.25">
      <c r="A22" s="24" t="s">
        <v>7</v>
      </c>
      <c r="B22" s="24"/>
      <c r="C22" s="24"/>
      <c r="D22" s="24"/>
      <c r="E22" s="24"/>
    </row>
    <row r="23" spans="1:26" ht="14.25" customHeight="1" x14ac:dyDescent="0.25">
      <c r="A23" s="25" t="s">
        <v>156</v>
      </c>
      <c r="B23" s="25"/>
      <c r="C23" s="25"/>
      <c r="D23" s="184">
        <v>533020.5</v>
      </c>
      <c r="E23" s="25"/>
    </row>
    <row r="24" spans="1:26" ht="15.75" hidden="1" customHeight="1" x14ac:dyDescent="0.25">
      <c r="A24" s="25"/>
      <c r="B24" s="25"/>
      <c r="C24" s="25"/>
      <c r="D24" s="184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84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8</v>
      </c>
      <c r="B26" s="25"/>
      <c r="C26" s="25"/>
      <c r="D26" s="184">
        <v>-131922.54</v>
      </c>
      <c r="E26" s="25"/>
    </row>
    <row r="27" spans="1:26" ht="15.75" customHeight="1" x14ac:dyDescent="0.25">
      <c r="A27" s="25" t="s">
        <v>9</v>
      </c>
      <c r="B27" s="25"/>
      <c r="C27" s="25"/>
      <c r="D27" s="184">
        <v>0.04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26" t="s">
        <v>10</v>
      </c>
      <c r="B28" s="26"/>
      <c r="C28" s="26"/>
      <c r="D28" s="144">
        <f>SUM(D23:D27)</f>
        <v>401097.99999999994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157</v>
      </c>
      <c r="B29" s="25"/>
      <c r="C29" s="25"/>
      <c r="D29" s="184"/>
      <c r="E29" s="25"/>
    </row>
    <row r="30" spans="1:26" ht="0.75" hidden="1" customHeight="1" x14ac:dyDescent="0.25">
      <c r="A30" s="28"/>
      <c r="B30" s="25"/>
      <c r="C30" s="25"/>
      <c r="D30" s="184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84"/>
      <c r="E31" s="25"/>
    </row>
    <row r="32" spans="1:26" hidden="1" x14ac:dyDescent="0.25">
      <c r="A32" s="25"/>
      <c r="B32" s="25"/>
      <c r="C32" s="25"/>
      <c r="D32" s="187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87"/>
      <c r="E33" s="25"/>
      <c r="F33" s="4"/>
    </row>
    <row r="34" spans="1:26" s="183" customFormat="1" hidden="1" x14ac:dyDescent="0.25">
      <c r="A34" s="25"/>
      <c r="B34" s="25"/>
      <c r="C34" s="25"/>
      <c r="D34" s="187"/>
      <c r="E34" s="25"/>
      <c r="F34" s="4"/>
    </row>
    <row r="35" spans="1:26" hidden="1" x14ac:dyDescent="0.25">
      <c r="A35" s="25"/>
      <c r="B35" s="25"/>
      <c r="C35" s="25"/>
      <c r="D35" s="187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187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10</v>
      </c>
      <c r="B37" s="26"/>
      <c r="C37" s="26"/>
      <c r="D37" s="145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11</v>
      </c>
      <c r="B38" s="29"/>
      <c r="C38" s="29"/>
      <c r="D38" s="146"/>
      <c r="E38" s="30">
        <f>D28+D37</f>
        <v>401097.99999999994</v>
      </c>
      <c r="F38" s="31"/>
    </row>
    <row r="39" spans="1:26" ht="15.75" customHeight="1" x14ac:dyDescent="0.25">
      <c r="A39" s="24" t="s">
        <v>12</v>
      </c>
      <c r="B39" s="24"/>
      <c r="C39" s="24"/>
      <c r="D39" s="147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1" t="s">
        <v>124</v>
      </c>
      <c r="B40" s="33" t="s">
        <v>150</v>
      </c>
      <c r="C40" s="25"/>
      <c r="D40" s="169">
        <v>25000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183" customFormat="1" ht="0.75" customHeight="1" x14ac:dyDescent="0.25">
      <c r="A41" s="185"/>
      <c r="B41" s="33"/>
      <c r="C41" s="25"/>
      <c r="D41" s="169"/>
      <c r="E41" s="3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thickBot="1" x14ac:dyDescent="0.3">
      <c r="A42" s="25" t="s">
        <v>13</v>
      </c>
      <c r="B42" s="25" t="s">
        <v>151</v>
      </c>
      <c r="C42" s="25"/>
      <c r="D42" s="184">
        <v>105000</v>
      </c>
      <c r="E42" s="3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9" t="s">
        <v>14</v>
      </c>
      <c r="B43" s="29"/>
      <c r="C43" s="29"/>
      <c r="D43" s="148"/>
      <c r="E43" s="35">
        <f>SUM(D40:D42)</f>
        <v>130000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24" t="s">
        <v>15</v>
      </c>
      <c r="B44" s="29"/>
      <c r="C44" s="29"/>
      <c r="D44" s="149"/>
      <c r="E44" s="36"/>
      <c r="F44" s="4"/>
    </row>
    <row r="45" spans="1:26" ht="13.5" customHeight="1" x14ac:dyDescent="0.25">
      <c r="A45" s="205"/>
      <c r="B45" s="204"/>
      <c r="C45" s="37"/>
      <c r="D45" s="170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30" customHeight="1" x14ac:dyDescent="0.25">
      <c r="A46" s="228" t="s">
        <v>123</v>
      </c>
      <c r="B46" s="204"/>
      <c r="C46" s="37"/>
      <c r="D46" s="171">
        <v>46568</v>
      </c>
      <c r="E46" s="38" t="s">
        <v>161</v>
      </c>
      <c r="F46" s="4"/>
    </row>
    <row r="47" spans="1:26" ht="15.75" customHeight="1" x14ac:dyDescent="0.25">
      <c r="A47" s="29" t="s">
        <v>16</v>
      </c>
      <c r="B47" s="29"/>
      <c r="C47" s="29"/>
      <c r="D47" s="148"/>
      <c r="E47" s="40">
        <f>SUM(D45:D46)</f>
        <v>46568</v>
      </c>
      <c r="F47" s="4"/>
    </row>
    <row r="48" spans="1:26" ht="15.75" customHeight="1" x14ac:dyDescent="0.25">
      <c r="A48" s="24" t="s">
        <v>17</v>
      </c>
      <c r="B48" s="41"/>
      <c r="C48" s="41"/>
      <c r="D48" s="172"/>
      <c r="E48" s="4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0.75" customHeight="1" x14ac:dyDescent="0.25">
      <c r="A49" s="25"/>
      <c r="B49" s="25"/>
      <c r="C49" s="43"/>
      <c r="D49" s="173"/>
      <c r="E49" s="45"/>
      <c r="F49" s="4"/>
    </row>
    <row r="50" spans="1:26" s="183" customFormat="1" ht="15.75" customHeight="1" x14ac:dyDescent="0.25">
      <c r="A50" s="25" t="s">
        <v>165</v>
      </c>
      <c r="B50" s="25"/>
      <c r="C50" s="43"/>
      <c r="D50" s="198">
        <v>242649.1</v>
      </c>
      <c r="E50" s="190" t="s">
        <v>166</v>
      </c>
      <c r="F50" s="4"/>
    </row>
    <row r="51" spans="1:26" s="183" customFormat="1" ht="15.75" customHeight="1" x14ac:dyDescent="0.25">
      <c r="A51" s="25" t="s">
        <v>168</v>
      </c>
      <c r="B51" s="25"/>
      <c r="C51" s="43"/>
      <c r="D51" s="198">
        <v>466277.48</v>
      </c>
      <c r="E51" s="190" t="s">
        <v>166</v>
      </c>
      <c r="F51" s="4"/>
    </row>
    <row r="52" spans="1:26" ht="15.75" customHeight="1" x14ac:dyDescent="0.25">
      <c r="A52" s="25" t="s">
        <v>152</v>
      </c>
      <c r="B52" s="25" t="s">
        <v>18</v>
      </c>
      <c r="C52" s="25"/>
      <c r="D52" s="173">
        <v>35342.61</v>
      </c>
      <c r="E52" s="46" t="s">
        <v>159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25" t="str">
        <f t="shared" ref="A53:A54" si="0">A52</f>
        <v>Sindicatos mes de ENERO</v>
      </c>
      <c r="B53" s="25" t="s">
        <v>19</v>
      </c>
      <c r="C53" s="25"/>
      <c r="D53" s="171">
        <v>63794.45</v>
      </c>
      <c r="E53" s="46" t="str">
        <f>E52</f>
        <v>Efectivo 13/1</v>
      </c>
      <c r="F53" s="4"/>
      <c r="G53" s="4"/>
      <c r="H53" s="4"/>
    </row>
    <row r="54" spans="1:26" ht="15.75" customHeight="1" x14ac:dyDescent="0.25">
      <c r="A54" s="178" t="str">
        <f t="shared" si="0"/>
        <v>Sindicatos mes de ENERO</v>
      </c>
      <c r="B54" s="178" t="s">
        <v>20</v>
      </c>
      <c r="C54" s="178"/>
      <c r="D54" s="199">
        <v>3926.96</v>
      </c>
      <c r="E54" s="47" t="str">
        <f>E53</f>
        <v>Efectivo 13/1</v>
      </c>
      <c r="F54" s="4"/>
      <c r="G54" s="4"/>
      <c r="H54" s="4"/>
    </row>
    <row r="55" spans="1:26" ht="15" customHeight="1" thickBot="1" x14ac:dyDescent="0.3">
      <c r="A55" s="179" t="s">
        <v>21</v>
      </c>
      <c r="B55" s="180"/>
      <c r="C55" s="180"/>
      <c r="D55" s="181"/>
      <c r="E55" s="40">
        <f>SUM(D49:D54)</f>
        <v>811990.59999999986</v>
      </c>
      <c r="F55" s="4"/>
      <c r="G55" s="4"/>
      <c r="H55" s="4"/>
    </row>
    <row r="56" spans="1:26" ht="13.5" customHeight="1" x14ac:dyDescent="0.25">
      <c r="A56" s="24" t="s">
        <v>22</v>
      </c>
      <c r="B56" s="41"/>
      <c r="C56" s="41"/>
      <c r="D56" s="172"/>
      <c r="E56" s="4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9.25" hidden="1" customHeight="1" x14ac:dyDescent="0.25">
      <c r="A57" s="203"/>
      <c r="B57" s="204"/>
      <c r="C57" s="25"/>
      <c r="D57" s="171"/>
      <c r="E57" s="4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203" t="s">
        <v>153</v>
      </c>
      <c r="B58" s="204"/>
      <c r="C58" s="25"/>
      <c r="D58" s="200">
        <v>78099</v>
      </c>
      <c r="E58" s="4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9.25" customHeight="1" x14ac:dyDescent="0.25">
      <c r="A59" s="203" t="s">
        <v>160</v>
      </c>
      <c r="B59" s="204"/>
      <c r="C59" s="49"/>
      <c r="D59" s="200">
        <v>78099</v>
      </c>
      <c r="E59" s="48"/>
      <c r="F59" s="50"/>
      <c r="G59" s="50"/>
      <c r="H59" s="50"/>
    </row>
    <row r="60" spans="1:26" s="138" customFormat="1" ht="34.5" customHeight="1" x14ac:dyDescent="0.25">
      <c r="A60" s="140" t="s">
        <v>122</v>
      </c>
      <c r="B60" s="139"/>
      <c r="C60" s="49"/>
      <c r="D60" s="201">
        <v>16544.25</v>
      </c>
      <c r="E60" s="186" t="s">
        <v>178</v>
      </c>
      <c r="F60" s="50"/>
      <c r="G60" s="50"/>
      <c r="H60" s="50"/>
    </row>
    <row r="61" spans="1:26" s="182" customFormat="1" ht="34.5" customHeight="1" x14ac:dyDescent="0.25">
      <c r="A61" s="205" t="s">
        <v>162</v>
      </c>
      <c r="B61" s="208"/>
      <c r="C61" s="49"/>
      <c r="D61" s="174">
        <v>15373</v>
      </c>
      <c r="E61" s="186" t="s">
        <v>163</v>
      </c>
      <c r="F61" s="50"/>
      <c r="G61" s="50"/>
      <c r="H61" s="50"/>
    </row>
    <row r="62" spans="1:26" s="158" customFormat="1" ht="33.75" hidden="1" customHeight="1" x14ac:dyDescent="0.25">
      <c r="A62" s="205"/>
      <c r="B62" s="204"/>
      <c r="C62" s="49"/>
      <c r="D62" s="174"/>
      <c r="E62" s="159"/>
      <c r="F62" s="50"/>
      <c r="G62" s="50"/>
      <c r="H62" s="50"/>
    </row>
    <row r="63" spans="1:26" s="183" customFormat="1" ht="18" customHeight="1" x14ac:dyDescent="0.25">
      <c r="A63" s="205" t="s">
        <v>154</v>
      </c>
      <c r="B63" s="204"/>
      <c r="C63" s="49"/>
      <c r="D63" s="170">
        <v>77719.89</v>
      </c>
      <c r="E63" s="159" t="s">
        <v>167</v>
      </c>
      <c r="F63" s="50"/>
      <c r="G63" s="50"/>
      <c r="H63" s="50"/>
    </row>
    <row r="64" spans="1:26" ht="21.75" customHeight="1" x14ac:dyDescent="0.25">
      <c r="A64" s="205" t="s">
        <v>155</v>
      </c>
      <c r="B64" s="204"/>
      <c r="C64" s="33"/>
      <c r="D64" s="170">
        <v>252121.97</v>
      </c>
      <c r="E64" s="159" t="s">
        <v>167</v>
      </c>
      <c r="F64" s="39"/>
      <c r="G64" s="39"/>
      <c r="H64" s="3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9.75" customHeight="1" x14ac:dyDescent="0.25">
      <c r="A65" s="205" t="s">
        <v>23</v>
      </c>
      <c r="B65" s="204"/>
      <c r="C65" s="33"/>
      <c r="D65" s="170">
        <v>191479.74</v>
      </c>
      <c r="E65" s="189" t="s">
        <v>164</v>
      </c>
      <c r="F65" s="39"/>
      <c r="G65" s="39"/>
      <c r="H65" s="39"/>
    </row>
    <row r="66" spans="1:26" ht="14.25" hidden="1" customHeight="1" x14ac:dyDescent="0.25">
      <c r="A66" s="25"/>
      <c r="B66" s="25"/>
      <c r="C66" s="25"/>
      <c r="D66" s="171"/>
      <c r="E66" s="48"/>
      <c r="F66" s="4"/>
      <c r="G66" s="4"/>
      <c r="H66" s="4"/>
    </row>
    <row r="67" spans="1:26" ht="14.25" hidden="1" customHeight="1" x14ac:dyDescent="0.25">
      <c r="A67" s="203"/>
      <c r="B67" s="204"/>
      <c r="C67" s="25"/>
      <c r="D67" s="171"/>
      <c r="E67" s="4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hidden="1" customHeight="1" x14ac:dyDescent="0.25">
      <c r="A68" s="25"/>
      <c r="B68" s="51"/>
      <c r="C68" s="25"/>
      <c r="D68" s="171"/>
      <c r="E68" s="5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hidden="1" customHeight="1" x14ac:dyDescent="0.25">
      <c r="A69" s="209"/>
      <c r="B69" s="210"/>
      <c r="C69" s="53"/>
      <c r="D69" s="213"/>
      <c r="E69" s="22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9.5" hidden="1" customHeight="1" x14ac:dyDescent="0.25">
      <c r="A70" s="211"/>
      <c r="B70" s="212"/>
      <c r="C70" s="53"/>
      <c r="D70" s="214"/>
      <c r="E70" s="21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3" hidden="1" customHeight="1" x14ac:dyDescent="0.25">
      <c r="A71" s="205"/>
      <c r="B71" s="204"/>
      <c r="C71" s="25"/>
      <c r="D71" s="175"/>
      <c r="E71" s="5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hidden="1" customHeight="1" x14ac:dyDescent="0.25">
      <c r="A72" s="205"/>
      <c r="B72" s="204"/>
      <c r="C72" s="25"/>
      <c r="D72" s="175"/>
      <c r="E72" s="5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3.75" hidden="1" customHeight="1" x14ac:dyDescent="0.25">
      <c r="A73" s="205"/>
      <c r="B73" s="204"/>
      <c r="C73" s="25"/>
      <c r="D73" s="175"/>
      <c r="E73" s="48"/>
    </row>
    <row r="74" spans="1:26" ht="15.75" hidden="1" customHeight="1" x14ac:dyDescent="0.25">
      <c r="A74" s="25"/>
      <c r="B74" s="55"/>
      <c r="C74" s="25"/>
      <c r="D74" s="175"/>
      <c r="E74" s="4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hidden="1" customHeight="1" x14ac:dyDescent="0.25">
      <c r="A75" s="205"/>
      <c r="B75" s="204"/>
      <c r="C75" s="25"/>
      <c r="D75" s="175"/>
      <c r="E75" s="4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 x14ac:dyDescent="0.25">
      <c r="A76" s="51"/>
      <c r="B76" s="56"/>
      <c r="C76" s="25"/>
      <c r="D76" s="175"/>
      <c r="E76" s="4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3.75" hidden="1" customHeight="1" x14ac:dyDescent="0.25">
      <c r="A77" s="205"/>
      <c r="B77" s="204"/>
      <c r="C77" s="25"/>
      <c r="D77" s="175"/>
      <c r="E77" s="5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" hidden="1" customHeight="1" x14ac:dyDescent="0.25">
      <c r="A78" s="205"/>
      <c r="B78" s="204"/>
      <c r="C78" s="25"/>
      <c r="D78" s="175"/>
      <c r="E78" s="5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6.75" hidden="1" customHeight="1" x14ac:dyDescent="0.25">
      <c r="A79" s="231"/>
      <c r="B79" s="204"/>
      <c r="C79" s="58"/>
      <c r="D79" s="175"/>
      <c r="E79" s="5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thickBot="1" x14ac:dyDescent="0.3">
      <c r="A80" s="29" t="s">
        <v>24</v>
      </c>
      <c r="B80" s="29"/>
      <c r="C80" s="29"/>
      <c r="D80" s="148"/>
      <c r="E80" s="40">
        <f>SUM(D57:D65)</f>
        <v>709436.85</v>
      </c>
    </row>
    <row r="81" spans="1:26" ht="15.75" customHeight="1" thickBot="1" x14ac:dyDescent="0.3">
      <c r="A81" s="24" t="s">
        <v>25</v>
      </c>
      <c r="B81" s="29"/>
      <c r="C81" s="29"/>
      <c r="D81" s="148"/>
      <c r="E81" s="59"/>
    </row>
    <row r="82" spans="1:26" ht="30.75" customHeight="1" x14ac:dyDescent="0.25">
      <c r="A82" s="205"/>
      <c r="B82" s="204"/>
      <c r="C82" s="60"/>
      <c r="D82" s="173"/>
      <c r="E82" s="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0.75" hidden="1" customHeight="1" x14ac:dyDescent="0.25">
      <c r="A83" s="205"/>
      <c r="B83" s="208"/>
      <c r="C83" s="61"/>
      <c r="D83" s="173"/>
      <c r="E83" s="62"/>
    </row>
    <row r="84" spans="1:26" ht="29.25" hidden="1" customHeight="1" x14ac:dyDescent="0.25">
      <c r="A84" s="231"/>
      <c r="B84" s="204"/>
      <c r="C84" s="25"/>
      <c r="D84" s="173"/>
      <c r="E84" s="62"/>
    </row>
    <row r="85" spans="1:26" ht="15.75" hidden="1" customHeight="1" x14ac:dyDescent="0.25">
      <c r="A85" s="25"/>
      <c r="B85" s="25"/>
      <c r="C85" s="25"/>
      <c r="D85" s="173"/>
      <c r="E85" s="62"/>
    </row>
    <row r="86" spans="1:26" ht="15.75" hidden="1" customHeight="1" x14ac:dyDescent="0.25">
      <c r="A86" s="25"/>
      <c r="B86" s="25"/>
      <c r="C86" s="25"/>
      <c r="D86" s="173"/>
      <c r="E86" s="63"/>
    </row>
    <row r="87" spans="1:26" ht="15.75" customHeight="1" thickBot="1" x14ac:dyDescent="0.3">
      <c r="A87" s="29" t="s">
        <v>26</v>
      </c>
      <c r="B87" s="24"/>
      <c r="C87" s="24"/>
      <c r="D87" s="176"/>
      <c r="E87" s="64">
        <f>SUM(D82:D86)</f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thickBot="1" x14ac:dyDescent="0.3">
      <c r="A88" s="24" t="s">
        <v>158</v>
      </c>
      <c r="B88" s="65"/>
      <c r="C88" s="29"/>
      <c r="D88" s="146"/>
      <c r="E88" s="59">
        <f>850.17+698.43+4797.54+618.63+2.1+2364+10+1202.53+1583.5+3434+961.5+2275.93+1316.37+1224+2364.03+534+4200+154.8+1600+1200+2351.5+457.76+2442+6000</f>
        <v>42642.79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25" t="s">
        <v>139</v>
      </c>
      <c r="B89" s="25"/>
      <c r="C89" s="25"/>
      <c r="D89" s="202">
        <v>21668.12</v>
      </c>
      <c r="E89" s="6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25"/>
      <c r="B90" s="25"/>
      <c r="C90" s="25"/>
      <c r="D90" s="171"/>
      <c r="E90" s="5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67" t="s">
        <v>14</v>
      </c>
      <c r="B91" s="67"/>
      <c r="C91" s="67"/>
      <c r="D91" s="177"/>
      <c r="E91" s="40">
        <f>SUM(D89:D90)</f>
        <v>21668.12</v>
      </c>
      <c r="F91" s="4"/>
    </row>
    <row r="92" spans="1:26" ht="15.75" customHeight="1" x14ac:dyDescent="0.25">
      <c r="A92" s="25"/>
      <c r="B92" s="25"/>
      <c r="C92" s="25"/>
      <c r="D92" s="25"/>
      <c r="E92" s="68"/>
      <c r="F92" s="4"/>
    </row>
    <row r="93" spans="1:26" ht="15.75" customHeight="1" x14ac:dyDescent="0.25">
      <c r="A93" s="69" t="s">
        <v>134</v>
      </c>
      <c r="B93" s="69"/>
      <c r="C93" s="69"/>
      <c r="D93" s="70"/>
      <c r="E93" s="71"/>
      <c r="F93" s="4"/>
    </row>
    <row r="94" spans="1:26" ht="15.75" customHeight="1" x14ac:dyDescent="0.25">
      <c r="A94" s="72"/>
      <c r="B94" s="4"/>
      <c r="C94" s="4"/>
      <c r="D94" s="4"/>
      <c r="E94" s="73"/>
      <c r="F94" s="74"/>
    </row>
    <row r="95" spans="1:26" ht="15.75" customHeight="1" x14ac:dyDescent="0.25">
      <c r="A95" s="75" t="s">
        <v>27</v>
      </c>
      <c r="B95" s="76"/>
      <c r="C95" s="77"/>
      <c r="D95" s="77"/>
      <c r="E95" s="78">
        <f>(SUM(E31:E93))</f>
        <v>2163404.36</v>
      </c>
      <c r="F95" s="4"/>
    </row>
    <row r="96" spans="1:26" ht="15.75" customHeight="1" x14ac:dyDescent="0.25"/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19" t="s">
        <v>28</v>
      </c>
      <c r="B98" s="20"/>
      <c r="C98" s="21"/>
      <c r="D98" s="22"/>
      <c r="E98" s="2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163"/>
      <c r="B99" s="163"/>
      <c r="C99" s="162"/>
      <c r="D99" s="44"/>
      <c r="E99" s="6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163"/>
      <c r="B100" s="163"/>
      <c r="C100" s="162"/>
      <c r="D100" s="44">
        <v>0</v>
      </c>
      <c r="E100" s="4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79" t="s">
        <v>26</v>
      </c>
      <c r="B101" s="80"/>
      <c r="C101" s="80"/>
      <c r="D101" s="81"/>
      <c r="E101" s="81">
        <f>SUM(D99:D100)</f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thickBot="1" x14ac:dyDescent="0.3">
      <c r="A104" s="69" t="s">
        <v>29</v>
      </c>
      <c r="B104" s="69"/>
      <c r="C104" s="69"/>
      <c r="D104" s="70"/>
      <c r="E104" s="8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75" t="s">
        <v>30</v>
      </c>
      <c r="B106" s="76"/>
      <c r="C106" s="77"/>
      <c r="D106" s="77"/>
      <c r="E106" s="78">
        <f>E101+E104</f>
        <v>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83" t="s">
        <v>31</v>
      </c>
      <c r="B108" s="84">
        <f>E95</f>
        <v>2163404.36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83" t="s">
        <v>32</v>
      </c>
      <c r="B109" s="84">
        <f>E95-E93</f>
        <v>2163404.36</v>
      </c>
    </row>
    <row r="110" spans="1:26" ht="15.75" customHeight="1" x14ac:dyDescent="0.25">
      <c r="A110" s="83" t="s">
        <v>33</v>
      </c>
      <c r="B110" s="84">
        <f>E106-E104</f>
        <v>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83" t="s">
        <v>34</v>
      </c>
      <c r="B111" s="84">
        <f>E106</f>
        <v>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</row>
    <row r="113" spans="1:26" ht="15.75" customHeight="1" x14ac:dyDescent="0.25">
      <c r="A113" s="152" t="s">
        <v>35</v>
      </c>
      <c r="B113" s="153"/>
      <c r="C113" s="85"/>
    </row>
    <row r="114" spans="1:26" ht="19.5" customHeight="1" x14ac:dyDescent="0.25">
      <c r="A114" s="156" t="s">
        <v>138</v>
      </c>
      <c r="B114" s="157">
        <v>706752.94</v>
      </c>
      <c r="C114" s="86"/>
    </row>
    <row r="115" spans="1:26" ht="15" customHeight="1" x14ac:dyDescent="0.25">
      <c r="A115" s="154" t="s">
        <v>37</v>
      </c>
      <c r="B115" s="155">
        <f>'Copia de PRORRATEO'!H37</f>
        <v>2332623.11</v>
      </c>
      <c r="C115" s="85"/>
    </row>
    <row r="116" spans="1:26" ht="15.75" customHeight="1" x14ac:dyDescent="0.25">
      <c r="A116" s="142" t="s">
        <v>38</v>
      </c>
      <c r="B116" s="88"/>
      <c r="C116" s="8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89" t="s">
        <v>39</v>
      </c>
      <c r="B117" s="88">
        <f>-B109</f>
        <v>-2163404.36</v>
      </c>
      <c r="C117" s="8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0" t="s">
        <v>40</v>
      </c>
      <c r="B118" s="88">
        <f>-(B110)</f>
        <v>0</v>
      </c>
      <c r="C118" s="85"/>
    </row>
    <row r="119" spans="1:26" s="191" customFormat="1" ht="15.75" customHeight="1" x14ac:dyDescent="0.25">
      <c r="A119" s="90" t="s">
        <v>179</v>
      </c>
      <c r="B119" s="88">
        <v>-14546</v>
      </c>
      <c r="C119" s="85"/>
    </row>
    <row r="120" spans="1:26" s="191" customFormat="1" ht="15.75" customHeight="1" x14ac:dyDescent="0.25">
      <c r="A120" s="90" t="s">
        <v>176</v>
      </c>
      <c r="B120" s="88">
        <v>-42145</v>
      </c>
      <c r="C120" s="85"/>
    </row>
    <row r="121" spans="1:26" ht="15.75" customHeight="1" x14ac:dyDescent="0.25">
      <c r="A121" s="91" t="s">
        <v>26</v>
      </c>
      <c r="B121" s="92">
        <f>SUM(B114:B120)</f>
        <v>819280.69</v>
      </c>
      <c r="C121" s="93"/>
    </row>
    <row r="122" spans="1:26" ht="15.75" customHeight="1" x14ac:dyDescent="0.25">
      <c r="A122" s="4"/>
      <c r="B122" s="74"/>
      <c r="C122" s="93"/>
      <c r="D122" s="7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hidden="1" customHeight="1" x14ac:dyDescent="0.25">
      <c r="A123" s="4"/>
      <c r="B123" s="94"/>
      <c r="C123" s="93"/>
    </row>
    <row r="124" spans="1:26" ht="27" hidden="1" customHeight="1" x14ac:dyDescent="0.25">
      <c r="B124" s="74"/>
      <c r="C124" s="95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27" hidden="1" customHeight="1" x14ac:dyDescent="0.25">
      <c r="A125" s="96" t="s">
        <v>41</v>
      </c>
      <c r="B125" s="44"/>
      <c r="C125" s="95"/>
      <c r="D125" s="97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27" hidden="1" customHeight="1" x14ac:dyDescent="0.25">
      <c r="A126" s="25" t="s">
        <v>36</v>
      </c>
      <c r="B126" s="44">
        <v>0</v>
      </c>
      <c r="C126" s="95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hidden="1" customHeight="1" x14ac:dyDescent="0.25">
      <c r="A127" s="25" t="s">
        <v>42</v>
      </c>
      <c r="B127" s="44">
        <v>0</v>
      </c>
      <c r="C127" s="93"/>
      <c r="D127" s="74"/>
    </row>
    <row r="128" spans="1:26" ht="15.75" hidden="1" customHeight="1" x14ac:dyDescent="0.25">
      <c r="A128" s="25" t="s">
        <v>39</v>
      </c>
      <c r="B128" s="44">
        <v>0</v>
      </c>
      <c r="C128" s="93"/>
    </row>
    <row r="129" spans="1:26" ht="15.75" hidden="1" customHeight="1" x14ac:dyDescent="0.25">
      <c r="A129" s="25" t="s">
        <v>40</v>
      </c>
      <c r="B129" s="44">
        <v>0</v>
      </c>
      <c r="C129" s="98"/>
    </row>
    <row r="130" spans="1:26" ht="15.75" hidden="1" customHeight="1" x14ac:dyDescent="0.25">
      <c r="A130" s="96" t="s">
        <v>43</v>
      </c>
      <c r="B130" s="99">
        <f>SUM(B126:B129)</f>
        <v>0</v>
      </c>
      <c r="C130" s="85"/>
    </row>
    <row r="131" spans="1:26" ht="15.75" hidden="1" customHeight="1" x14ac:dyDescent="0.25"/>
    <row r="132" spans="1:26" ht="60.75" hidden="1" customHeight="1" x14ac:dyDescent="0.25"/>
    <row r="133" spans="1:26" ht="15.75" customHeight="1" x14ac:dyDescent="0.25">
      <c r="A133" s="230" t="s">
        <v>44</v>
      </c>
      <c r="B133" s="225"/>
      <c r="C133" s="219"/>
    </row>
    <row r="134" spans="1:26" ht="15.75" customHeight="1" x14ac:dyDescent="0.25">
      <c r="A134" s="222"/>
      <c r="B134" s="227"/>
      <c r="C134" s="223"/>
    </row>
    <row r="135" spans="1:26" ht="15.75" customHeight="1" x14ac:dyDescent="0.25">
      <c r="A135" s="25"/>
      <c r="B135" s="46"/>
      <c r="C135" s="44">
        <v>11948.17</v>
      </c>
    </row>
    <row r="136" spans="1:26" ht="15.75" customHeight="1" x14ac:dyDescent="0.25">
      <c r="A136" s="25"/>
      <c r="B136" s="25"/>
      <c r="C136" s="44">
        <v>52000</v>
      </c>
    </row>
    <row r="137" spans="1:26" ht="15.75" customHeight="1" x14ac:dyDescent="0.25">
      <c r="A137" s="100"/>
      <c r="B137" s="25"/>
      <c r="C137" s="44">
        <v>61209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87"/>
      <c r="B138" s="25"/>
      <c r="C138" s="44">
        <v>40000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101" t="s">
        <v>26</v>
      </c>
      <c r="B139" s="101"/>
      <c r="C139" s="102"/>
    </row>
    <row r="140" spans="1:26" ht="15.75" customHeight="1" x14ac:dyDescent="0.25">
      <c r="M140" s="103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29">
    <mergeCell ref="A65:B65"/>
    <mergeCell ref="A61:B61"/>
    <mergeCell ref="A63:B63"/>
    <mergeCell ref="A84:B84"/>
    <mergeCell ref="A133:C134"/>
    <mergeCell ref="A71:B71"/>
    <mergeCell ref="A72:B72"/>
    <mergeCell ref="A73:B73"/>
    <mergeCell ref="A75:B75"/>
    <mergeCell ref="A77:B77"/>
    <mergeCell ref="A78:B78"/>
    <mergeCell ref="A79:B79"/>
    <mergeCell ref="A82:B82"/>
    <mergeCell ref="A57:B57"/>
    <mergeCell ref="A62:B62"/>
    <mergeCell ref="B3:D4"/>
    <mergeCell ref="A83:B83"/>
    <mergeCell ref="A67:B67"/>
    <mergeCell ref="A69:B70"/>
    <mergeCell ref="D69:D70"/>
    <mergeCell ref="A7:E7"/>
    <mergeCell ref="B9:C11"/>
    <mergeCell ref="A14:E17"/>
    <mergeCell ref="A45:B45"/>
    <mergeCell ref="A46:B46"/>
    <mergeCell ref="E69:E70"/>
    <mergeCell ref="A58:B58"/>
    <mergeCell ref="A59:B59"/>
    <mergeCell ref="A64:B6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6"/>
  <sheetViews>
    <sheetView tabSelected="1" topLeftCell="B1" workbookViewId="0">
      <selection activeCell="H6" sqref="H6:H35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19" ht="12.75" customHeight="1" x14ac:dyDescent="0.25">
      <c r="A1" s="104"/>
      <c r="B1" s="104"/>
      <c r="C1" s="104"/>
      <c r="D1" s="104" t="s">
        <v>45</v>
      </c>
      <c r="E1" s="104"/>
      <c r="F1" s="234"/>
      <c r="G1" s="235"/>
      <c r="H1" s="235"/>
      <c r="I1" s="235"/>
      <c r="J1" s="235"/>
      <c r="K1" s="235"/>
      <c r="L1" s="235"/>
      <c r="M1" s="235"/>
      <c r="N1" s="235"/>
      <c r="O1" s="236"/>
      <c r="P1" s="104"/>
      <c r="Q1" s="104"/>
    </row>
    <row r="2" spans="1:19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46</v>
      </c>
      <c r="M2" s="104"/>
      <c r="N2" s="104"/>
      <c r="O2" s="106">
        <v>2163404.36</v>
      </c>
      <c r="P2" s="106"/>
      <c r="Q2" s="106"/>
      <c r="R2" s="31"/>
    </row>
    <row r="3" spans="1:19" ht="12.75" customHeight="1" x14ac:dyDescent="0.25">
      <c r="A3" s="104"/>
      <c r="B3" s="104"/>
      <c r="C3" s="104"/>
      <c r="D3" s="104" t="s">
        <v>47</v>
      </c>
      <c r="E3" s="104"/>
      <c r="F3" s="104"/>
      <c r="G3" s="104"/>
      <c r="H3" s="104"/>
      <c r="I3" s="104"/>
      <c r="J3" s="104"/>
      <c r="K3" s="104"/>
      <c r="L3" s="104" t="s">
        <v>48</v>
      </c>
      <c r="M3" s="104"/>
      <c r="N3" s="104"/>
      <c r="O3" s="107"/>
      <c r="P3" s="107"/>
      <c r="Q3" s="108"/>
    </row>
    <row r="4" spans="1:19" x14ac:dyDescent="0.25">
      <c r="A4" s="237" t="s">
        <v>49</v>
      </c>
      <c r="B4" s="238" t="s">
        <v>50</v>
      </c>
      <c r="C4" s="240" t="s">
        <v>51</v>
      </c>
      <c r="D4" s="240" t="s">
        <v>52</v>
      </c>
      <c r="E4" s="240" t="s">
        <v>53</v>
      </c>
      <c r="F4" s="240" t="s">
        <v>54</v>
      </c>
      <c r="G4" s="240" t="s">
        <v>55</v>
      </c>
      <c r="H4" s="240" t="s">
        <v>56</v>
      </c>
      <c r="I4" s="240" t="s">
        <v>57</v>
      </c>
      <c r="J4" s="245" t="s">
        <v>58</v>
      </c>
      <c r="K4" s="232" t="s">
        <v>126</v>
      </c>
      <c r="L4" s="232" t="s">
        <v>59</v>
      </c>
      <c r="M4" s="232" t="s">
        <v>60</v>
      </c>
      <c r="N4" s="243" t="s">
        <v>61</v>
      </c>
      <c r="O4" s="109" t="s">
        <v>62</v>
      </c>
      <c r="P4" s="243" t="s">
        <v>63</v>
      </c>
      <c r="Q4" s="232" t="s">
        <v>64</v>
      </c>
      <c r="R4" s="4"/>
    </row>
    <row r="5" spans="1:19" ht="15.75" customHeight="1" x14ac:dyDescent="0.25">
      <c r="A5" s="233"/>
      <c r="B5" s="239"/>
      <c r="C5" s="233"/>
      <c r="D5" s="233"/>
      <c r="E5" s="241"/>
      <c r="F5" s="233"/>
      <c r="G5" s="233"/>
      <c r="H5" s="233"/>
      <c r="I5" s="241"/>
      <c r="J5" s="241"/>
      <c r="K5" s="241"/>
      <c r="L5" s="233"/>
      <c r="M5" s="241"/>
      <c r="N5" s="244"/>
      <c r="O5" s="110" t="str">
        <f>RESUMEN!B9</f>
        <v>VTO 13/02</v>
      </c>
      <c r="P5" s="239"/>
      <c r="Q5" s="233"/>
    </row>
    <row r="6" spans="1:19" ht="16.5" customHeight="1" x14ac:dyDescent="0.25">
      <c r="A6" s="25" t="s">
        <v>65</v>
      </c>
      <c r="B6" s="134">
        <v>1</v>
      </c>
      <c r="C6" s="135" t="s">
        <v>140</v>
      </c>
      <c r="D6" s="135" t="s">
        <v>80</v>
      </c>
      <c r="E6" s="111" t="s">
        <v>180</v>
      </c>
      <c r="F6" s="112">
        <v>1.1000000000000001</v>
      </c>
      <c r="G6" s="113">
        <v>20900.009999999998</v>
      </c>
      <c r="H6" s="167">
        <f>G6</f>
        <v>20900.009999999998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6" si="2">O$3*F6%</f>
        <v>0</v>
      </c>
      <c r="M6" s="116">
        <f t="shared" ref="M6:M36" si="3">O$2*F6%</f>
        <v>23797.447960000001</v>
      </c>
      <c r="N6" s="117">
        <v>0</v>
      </c>
      <c r="O6" s="150">
        <f t="shared" ref="O6:O36" si="4">ROUND(SUM(J6:N6),0) + R6</f>
        <v>23797.01</v>
      </c>
      <c r="P6" s="122">
        <f t="shared" ref="P6:P36" si="5">ROUND(O6*6% + O6,0) + R6</f>
        <v>25225.01</v>
      </c>
      <c r="Q6" s="151">
        <f t="shared" ref="Q6:Q36" si="6">ROUND(O6*3%,0) + O6</f>
        <v>24511.01</v>
      </c>
      <c r="R6" s="74">
        <v>0.01</v>
      </c>
    </row>
    <row r="7" spans="1:19" ht="16.5" customHeight="1" x14ac:dyDescent="0.25">
      <c r="A7" s="25" t="s">
        <v>66</v>
      </c>
      <c r="B7" s="134">
        <v>2</v>
      </c>
      <c r="C7" s="135" t="s">
        <v>141</v>
      </c>
      <c r="D7" s="135" t="s">
        <v>81</v>
      </c>
      <c r="E7" s="120"/>
      <c r="F7" s="112">
        <v>0.9</v>
      </c>
      <c r="G7" s="113">
        <v>342155.02</v>
      </c>
      <c r="H7" s="167"/>
      <c r="I7" s="115"/>
      <c r="J7" s="116">
        <f t="shared" si="0"/>
        <v>342155.02</v>
      </c>
      <c r="K7" s="116">
        <f t="shared" si="1"/>
        <v>10264.650600000001</v>
      </c>
      <c r="L7" s="113">
        <f t="shared" si="2"/>
        <v>0</v>
      </c>
      <c r="M7" s="116">
        <f t="shared" si="3"/>
        <v>19470.63924</v>
      </c>
      <c r="N7" s="117">
        <v>0</v>
      </c>
      <c r="O7" s="150">
        <f t="shared" si="4"/>
        <v>371890.02</v>
      </c>
      <c r="P7" s="122">
        <f t="shared" si="5"/>
        <v>394203.02</v>
      </c>
      <c r="Q7" s="151">
        <f t="shared" si="6"/>
        <v>383047.02</v>
      </c>
      <c r="R7" s="74">
        <f t="shared" ref="R7:R35" si="7">R6+0.01</f>
        <v>0.02</v>
      </c>
      <c r="S7" s="74"/>
    </row>
    <row r="8" spans="1:19" ht="16.5" customHeight="1" x14ac:dyDescent="0.25">
      <c r="A8" s="25" t="s">
        <v>66</v>
      </c>
      <c r="B8" s="134">
        <v>3</v>
      </c>
      <c r="C8" s="135" t="s">
        <v>142</v>
      </c>
      <c r="D8" s="135" t="s">
        <v>82</v>
      </c>
      <c r="E8" s="120" t="s">
        <v>175</v>
      </c>
      <c r="F8" s="112">
        <v>0.8</v>
      </c>
      <c r="G8" s="113">
        <v>29100.03</v>
      </c>
      <c r="H8" s="167">
        <f>G8</f>
        <v>29100.03</v>
      </c>
      <c r="I8" s="115"/>
      <c r="J8" s="116">
        <f t="shared" si="0"/>
        <v>0</v>
      </c>
      <c r="K8" s="116">
        <f t="shared" si="1"/>
        <v>0</v>
      </c>
      <c r="L8" s="113">
        <f t="shared" si="2"/>
        <v>0</v>
      </c>
      <c r="M8" s="116">
        <f t="shared" si="3"/>
        <v>17307.23488</v>
      </c>
      <c r="N8" s="117">
        <v>0</v>
      </c>
      <c r="O8" s="150">
        <f t="shared" si="4"/>
        <v>17307.03</v>
      </c>
      <c r="P8" s="122">
        <f t="shared" si="5"/>
        <v>18345.03</v>
      </c>
      <c r="Q8" s="151">
        <f t="shared" si="6"/>
        <v>17826.03</v>
      </c>
      <c r="R8" s="74">
        <f t="shared" si="7"/>
        <v>0.03</v>
      </c>
    </row>
    <row r="9" spans="1:19" ht="16.5" customHeight="1" x14ac:dyDescent="0.25">
      <c r="A9" s="25" t="s">
        <v>67</v>
      </c>
      <c r="B9" s="134">
        <v>4</v>
      </c>
      <c r="C9" s="135" t="s">
        <v>143</v>
      </c>
      <c r="D9" s="135" t="s">
        <v>83</v>
      </c>
      <c r="E9" s="120"/>
      <c r="F9" s="112">
        <v>0.8</v>
      </c>
      <c r="G9" s="113">
        <v>15200.04</v>
      </c>
      <c r="H9" s="167">
        <f>G9</f>
        <v>15200.04</v>
      </c>
      <c r="I9" s="115"/>
      <c r="J9" s="116">
        <f t="shared" si="0"/>
        <v>0</v>
      </c>
      <c r="K9" s="116">
        <f t="shared" si="1"/>
        <v>0</v>
      </c>
      <c r="L9" s="113">
        <f t="shared" si="2"/>
        <v>0</v>
      </c>
      <c r="M9" s="116">
        <f t="shared" si="3"/>
        <v>17307.23488</v>
      </c>
      <c r="N9" s="117">
        <v>0</v>
      </c>
      <c r="O9" s="150">
        <f t="shared" si="4"/>
        <v>17307.04</v>
      </c>
      <c r="P9" s="122">
        <f t="shared" si="5"/>
        <v>18345.04</v>
      </c>
      <c r="Q9" s="151">
        <f t="shared" si="6"/>
        <v>17826.04</v>
      </c>
      <c r="R9" s="74">
        <f t="shared" si="7"/>
        <v>0.04</v>
      </c>
    </row>
    <row r="10" spans="1:19" ht="16.5" customHeight="1" x14ac:dyDescent="0.25">
      <c r="A10" s="25" t="s">
        <v>67</v>
      </c>
      <c r="B10" s="134">
        <v>5</v>
      </c>
      <c r="C10" s="135" t="s">
        <v>144</v>
      </c>
      <c r="D10" s="135" t="s">
        <v>81</v>
      </c>
      <c r="E10" s="120" t="s">
        <v>181</v>
      </c>
      <c r="F10" s="112">
        <v>0.5</v>
      </c>
      <c r="G10" s="113">
        <v>18187.05</v>
      </c>
      <c r="H10" s="168">
        <f>G10</f>
        <v>18187.05</v>
      </c>
      <c r="I10" s="115"/>
      <c r="J10" s="116">
        <f t="shared" si="0"/>
        <v>0</v>
      </c>
      <c r="K10" s="116">
        <f t="shared" si="1"/>
        <v>0</v>
      </c>
      <c r="L10" s="113">
        <f t="shared" si="2"/>
        <v>0</v>
      </c>
      <c r="M10" s="116">
        <f t="shared" si="3"/>
        <v>10817.0218</v>
      </c>
      <c r="N10" s="117">
        <v>0</v>
      </c>
      <c r="O10" s="150">
        <f t="shared" si="4"/>
        <v>10817.05</v>
      </c>
      <c r="P10" s="122">
        <f t="shared" si="5"/>
        <v>11466.05</v>
      </c>
      <c r="Q10" s="151">
        <f t="shared" si="6"/>
        <v>11142.05</v>
      </c>
      <c r="R10" s="74">
        <f t="shared" si="7"/>
        <v>0.05</v>
      </c>
    </row>
    <row r="11" spans="1:19" ht="16.5" customHeight="1" x14ac:dyDescent="0.25">
      <c r="A11" s="25" t="s">
        <v>68</v>
      </c>
      <c r="B11" s="134">
        <v>6</v>
      </c>
      <c r="C11" s="135" t="s">
        <v>145</v>
      </c>
      <c r="D11" s="135" t="s">
        <v>81</v>
      </c>
      <c r="E11" s="111"/>
      <c r="F11" s="112">
        <v>0.5</v>
      </c>
      <c r="G11" s="113">
        <v>18187.060000000001</v>
      </c>
      <c r="H11" s="167">
        <f>G11</f>
        <v>18187.060000000001</v>
      </c>
      <c r="I11" s="115"/>
      <c r="J11" s="116">
        <f t="shared" si="0"/>
        <v>0</v>
      </c>
      <c r="K11" s="116">
        <f t="shared" si="1"/>
        <v>0</v>
      </c>
      <c r="L11" s="113">
        <f t="shared" si="2"/>
        <v>0</v>
      </c>
      <c r="M11" s="116">
        <f t="shared" si="3"/>
        <v>10817.0218</v>
      </c>
      <c r="N11" s="117">
        <v>0</v>
      </c>
      <c r="O11" s="150">
        <f t="shared" si="4"/>
        <v>10817.06</v>
      </c>
      <c r="P11" s="122">
        <f t="shared" si="5"/>
        <v>11466.06</v>
      </c>
      <c r="Q11" s="151">
        <f t="shared" si="6"/>
        <v>11142.06</v>
      </c>
      <c r="R11" s="74">
        <f t="shared" si="7"/>
        <v>6.0000000000000005E-2</v>
      </c>
    </row>
    <row r="12" spans="1:19" ht="24" customHeight="1" x14ac:dyDescent="0.25">
      <c r="A12" s="25" t="s">
        <v>68</v>
      </c>
      <c r="B12" s="134">
        <v>7</v>
      </c>
      <c r="C12" s="135" t="s">
        <v>146</v>
      </c>
      <c r="D12" s="135" t="s">
        <v>81</v>
      </c>
      <c r="E12" s="120" t="s">
        <v>182</v>
      </c>
      <c r="F12" s="112">
        <v>0.5</v>
      </c>
      <c r="G12" s="113">
        <v>9785</v>
      </c>
      <c r="H12" s="167">
        <f>G12</f>
        <v>9785</v>
      </c>
      <c r="I12" s="115"/>
      <c r="J12" s="116">
        <f t="shared" si="0"/>
        <v>0</v>
      </c>
      <c r="K12" s="116">
        <f t="shared" si="1"/>
        <v>0</v>
      </c>
      <c r="L12" s="113">
        <f t="shared" si="2"/>
        <v>0</v>
      </c>
      <c r="M12" s="116">
        <f t="shared" si="3"/>
        <v>10817.0218</v>
      </c>
      <c r="N12" s="117">
        <v>0</v>
      </c>
      <c r="O12" s="150">
        <f t="shared" si="4"/>
        <v>10817.07</v>
      </c>
      <c r="P12" s="122">
        <f t="shared" si="5"/>
        <v>11466.07</v>
      </c>
      <c r="Q12" s="151">
        <f t="shared" si="6"/>
        <v>11142.07</v>
      </c>
      <c r="R12" s="74">
        <f t="shared" si="7"/>
        <v>7.0000000000000007E-2</v>
      </c>
    </row>
    <row r="13" spans="1:19" ht="16.5" customHeight="1" x14ac:dyDescent="0.25">
      <c r="A13" s="25" t="s">
        <v>69</v>
      </c>
      <c r="B13" s="134" t="s">
        <v>84</v>
      </c>
      <c r="C13" s="135">
        <v>1</v>
      </c>
      <c r="D13" s="135" t="s">
        <v>85</v>
      </c>
      <c r="E13" s="120" t="s">
        <v>132</v>
      </c>
      <c r="F13" s="112">
        <v>4.4000000000000004</v>
      </c>
      <c r="G13" s="113">
        <v>219172.08</v>
      </c>
      <c r="H13" s="167"/>
      <c r="I13" s="115"/>
      <c r="J13" s="116">
        <f t="shared" si="0"/>
        <v>219172.08</v>
      </c>
      <c r="K13" s="116">
        <f t="shared" si="1"/>
        <v>6575.1623999999993</v>
      </c>
      <c r="L13" s="113">
        <f t="shared" si="2"/>
        <v>0</v>
      </c>
      <c r="M13" s="116">
        <f t="shared" si="3"/>
        <v>95189.791840000005</v>
      </c>
      <c r="N13" s="117">
        <v>0</v>
      </c>
      <c r="O13" s="150">
        <f t="shared" si="4"/>
        <v>320937.08</v>
      </c>
      <c r="P13" s="122">
        <f t="shared" si="5"/>
        <v>340193.08</v>
      </c>
      <c r="Q13" s="151">
        <f t="shared" si="6"/>
        <v>330565.08</v>
      </c>
      <c r="R13" s="74">
        <f t="shared" si="7"/>
        <v>0.08</v>
      </c>
    </row>
    <row r="14" spans="1:19" ht="16.5" customHeight="1" x14ac:dyDescent="0.25">
      <c r="A14" s="25" t="s">
        <v>69</v>
      </c>
      <c r="B14" s="134" t="s">
        <v>86</v>
      </c>
      <c r="C14" s="135">
        <f>C13+1</f>
        <v>2</v>
      </c>
      <c r="D14" s="135" t="s">
        <v>83</v>
      </c>
      <c r="E14" s="120"/>
      <c r="F14" s="112">
        <v>4.5</v>
      </c>
      <c r="G14" s="113">
        <v>85500.09</v>
      </c>
      <c r="H14" s="167">
        <f>100700-H9</f>
        <v>85499.959999999992</v>
      </c>
      <c r="I14" s="115"/>
      <c r="J14" s="116">
        <f t="shared" si="0"/>
        <v>0.13000000000465661</v>
      </c>
      <c r="K14" s="116">
        <f t="shared" si="1"/>
        <v>3.9000000001396984E-3</v>
      </c>
      <c r="L14" s="113">
        <f t="shared" si="2"/>
        <v>0</v>
      </c>
      <c r="M14" s="116">
        <f t="shared" si="3"/>
        <v>97353.196199999991</v>
      </c>
      <c r="N14" s="117">
        <v>0</v>
      </c>
      <c r="O14" s="150">
        <f t="shared" si="4"/>
        <v>97353.09</v>
      </c>
      <c r="P14" s="122">
        <f t="shared" si="5"/>
        <v>103194.09</v>
      </c>
      <c r="Q14" s="151">
        <f t="shared" si="6"/>
        <v>100274.09</v>
      </c>
      <c r="R14" s="74">
        <f t="shared" si="7"/>
        <v>0.09</v>
      </c>
    </row>
    <row r="15" spans="1:19" ht="26.25" customHeight="1" x14ac:dyDescent="0.25">
      <c r="A15" s="25" t="s">
        <v>70</v>
      </c>
      <c r="B15" s="134" t="s">
        <v>87</v>
      </c>
      <c r="C15" s="135">
        <f t="shared" ref="C15:C34" si="8">C14+1</f>
        <v>3</v>
      </c>
      <c r="D15" s="135" t="s">
        <v>88</v>
      </c>
      <c r="E15" s="120" t="s">
        <v>127</v>
      </c>
      <c r="F15" s="112">
        <v>4.5</v>
      </c>
      <c r="G15" s="113">
        <v>85500.1</v>
      </c>
      <c r="H15" s="168">
        <v>88065</v>
      </c>
      <c r="I15" s="115"/>
      <c r="J15" s="116">
        <f t="shared" si="0"/>
        <v>-2564.8999999999942</v>
      </c>
      <c r="K15" s="116">
        <f t="shared" si="1"/>
        <v>0</v>
      </c>
      <c r="L15" s="113">
        <f t="shared" si="2"/>
        <v>0</v>
      </c>
      <c r="M15" s="116">
        <f t="shared" si="3"/>
        <v>97353.196199999991</v>
      </c>
      <c r="N15" s="117">
        <v>0</v>
      </c>
      <c r="O15" s="150">
        <f t="shared" si="4"/>
        <v>94788.1</v>
      </c>
      <c r="P15" s="122">
        <f t="shared" si="5"/>
        <v>100475.1</v>
      </c>
      <c r="Q15" s="151">
        <f t="shared" si="6"/>
        <v>97632.1</v>
      </c>
      <c r="R15" s="74">
        <f t="shared" si="7"/>
        <v>9.9999999999999992E-2</v>
      </c>
    </row>
    <row r="16" spans="1:19" ht="16.5" customHeight="1" x14ac:dyDescent="0.25">
      <c r="A16" s="25" t="s">
        <v>70</v>
      </c>
      <c r="B16" s="134" t="s">
        <v>89</v>
      </c>
      <c r="C16" s="135">
        <f t="shared" si="8"/>
        <v>4</v>
      </c>
      <c r="D16" s="135" t="s">
        <v>90</v>
      </c>
      <c r="E16" s="120" t="s">
        <v>174</v>
      </c>
      <c r="F16" s="112">
        <v>3.1</v>
      </c>
      <c r="G16" s="113">
        <v>54414.11</v>
      </c>
      <c r="H16" s="167">
        <f>G16</f>
        <v>54414.11</v>
      </c>
      <c r="I16" s="115"/>
      <c r="J16" s="116">
        <f t="shared" si="0"/>
        <v>0</v>
      </c>
      <c r="K16" s="116">
        <f t="shared" si="1"/>
        <v>0</v>
      </c>
      <c r="L16" s="113">
        <f t="shared" si="2"/>
        <v>0</v>
      </c>
      <c r="M16" s="116">
        <f t="shared" si="3"/>
        <v>67065.535159999999</v>
      </c>
      <c r="N16" s="117">
        <v>0</v>
      </c>
      <c r="O16" s="150">
        <f t="shared" si="4"/>
        <v>67066.11</v>
      </c>
      <c r="P16" s="122">
        <f t="shared" si="5"/>
        <v>71090.11</v>
      </c>
      <c r="Q16" s="151">
        <f t="shared" si="6"/>
        <v>69078.11</v>
      </c>
      <c r="R16" s="74">
        <f t="shared" si="7"/>
        <v>0.10999999999999999</v>
      </c>
    </row>
    <row r="17" spans="1:20" ht="16.5" customHeight="1" x14ac:dyDescent="0.25">
      <c r="A17" s="25" t="s">
        <v>71</v>
      </c>
      <c r="B17" s="134" t="s">
        <v>91</v>
      </c>
      <c r="C17" s="135">
        <f t="shared" si="8"/>
        <v>5</v>
      </c>
      <c r="D17" s="135" t="s">
        <v>137</v>
      </c>
      <c r="E17" s="120" t="s">
        <v>130</v>
      </c>
      <c r="F17" s="112">
        <v>4.4000000000000004</v>
      </c>
      <c r="G17" s="113">
        <v>94829</v>
      </c>
      <c r="H17" s="167">
        <f>94829</f>
        <v>94829</v>
      </c>
      <c r="I17" s="115"/>
      <c r="J17" s="116">
        <f t="shared" si="0"/>
        <v>0</v>
      </c>
      <c r="K17" s="116">
        <f t="shared" si="1"/>
        <v>0</v>
      </c>
      <c r="L17" s="113">
        <f t="shared" si="2"/>
        <v>0</v>
      </c>
      <c r="M17" s="116">
        <f t="shared" si="3"/>
        <v>95189.791840000005</v>
      </c>
      <c r="N17" s="117">
        <v>0</v>
      </c>
      <c r="O17" s="150">
        <f t="shared" si="4"/>
        <v>95190.12</v>
      </c>
      <c r="P17" s="122">
        <f t="shared" si="5"/>
        <v>100902.12</v>
      </c>
      <c r="Q17" s="151">
        <f t="shared" si="6"/>
        <v>98046.12</v>
      </c>
      <c r="R17" s="74">
        <f t="shared" si="7"/>
        <v>0.11999999999999998</v>
      </c>
    </row>
    <row r="18" spans="1:20" ht="16.5" customHeight="1" x14ac:dyDescent="0.25">
      <c r="A18" s="25" t="s">
        <v>71</v>
      </c>
      <c r="B18" s="134" t="s">
        <v>92</v>
      </c>
      <c r="C18" s="135">
        <f t="shared" si="8"/>
        <v>6</v>
      </c>
      <c r="D18" s="135" t="s">
        <v>93</v>
      </c>
      <c r="E18" s="120" t="s">
        <v>171</v>
      </c>
      <c r="F18" s="112">
        <v>4.5</v>
      </c>
      <c r="G18" s="113">
        <v>85500.13</v>
      </c>
      <c r="H18" s="167">
        <f>G18</f>
        <v>85500.13</v>
      </c>
      <c r="I18" s="115"/>
      <c r="J18" s="116">
        <f t="shared" si="0"/>
        <v>0</v>
      </c>
      <c r="K18" s="116">
        <f t="shared" si="1"/>
        <v>0</v>
      </c>
      <c r="L18" s="113">
        <f t="shared" si="2"/>
        <v>0</v>
      </c>
      <c r="M18" s="116">
        <f t="shared" si="3"/>
        <v>97353.196199999991</v>
      </c>
      <c r="N18" s="117">
        <v>0</v>
      </c>
      <c r="O18" s="150">
        <f t="shared" si="4"/>
        <v>97353.13</v>
      </c>
      <c r="P18" s="122">
        <f t="shared" si="5"/>
        <v>103194.13</v>
      </c>
      <c r="Q18" s="151">
        <f t="shared" si="6"/>
        <v>100274.13</v>
      </c>
      <c r="R18" s="74">
        <f t="shared" si="7"/>
        <v>0.12999999999999998</v>
      </c>
    </row>
    <row r="19" spans="1:20" ht="16.5" customHeight="1" x14ac:dyDescent="0.25">
      <c r="A19" s="25" t="s">
        <v>72</v>
      </c>
      <c r="B19" s="134" t="s">
        <v>94</v>
      </c>
      <c r="C19" s="135">
        <f t="shared" si="8"/>
        <v>7</v>
      </c>
      <c r="D19" s="135" t="s">
        <v>95</v>
      </c>
      <c r="E19" s="120"/>
      <c r="F19" s="112">
        <v>4.5</v>
      </c>
      <c r="G19" s="113">
        <v>90040.14</v>
      </c>
      <c r="H19" s="167">
        <f>85500+4540</f>
        <v>90040</v>
      </c>
      <c r="I19" s="115"/>
      <c r="J19" s="116">
        <f t="shared" si="0"/>
        <v>0.13999999999941792</v>
      </c>
      <c r="K19" s="116">
        <f t="shared" si="1"/>
        <v>4.1999999999825371E-3</v>
      </c>
      <c r="L19" s="113">
        <f t="shared" si="2"/>
        <v>0</v>
      </c>
      <c r="M19" s="116">
        <f t="shared" si="3"/>
        <v>97353.196199999991</v>
      </c>
      <c r="N19" s="117">
        <v>0</v>
      </c>
      <c r="O19" s="150">
        <f t="shared" si="4"/>
        <v>97353.14</v>
      </c>
      <c r="P19" s="122">
        <f t="shared" si="5"/>
        <v>103194.14</v>
      </c>
      <c r="Q19" s="151">
        <f t="shared" si="6"/>
        <v>100274.14</v>
      </c>
      <c r="R19" s="74">
        <f t="shared" si="7"/>
        <v>0.13999999999999999</v>
      </c>
    </row>
    <row r="20" spans="1:20" ht="16.5" customHeight="1" x14ac:dyDescent="0.25">
      <c r="A20" s="25" t="s">
        <v>72</v>
      </c>
      <c r="B20" s="134" t="s">
        <v>96</v>
      </c>
      <c r="C20" s="135">
        <f t="shared" si="8"/>
        <v>8</v>
      </c>
      <c r="D20" s="135" t="s">
        <v>97</v>
      </c>
      <c r="E20" s="120"/>
      <c r="F20" s="112">
        <v>3.1</v>
      </c>
      <c r="G20" s="113">
        <v>58900.15</v>
      </c>
      <c r="H20" s="167">
        <f>G20</f>
        <v>58900.15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67065.535159999999</v>
      </c>
      <c r="N20" s="117">
        <v>0</v>
      </c>
      <c r="O20" s="150">
        <f t="shared" si="4"/>
        <v>67066.149999999994</v>
      </c>
      <c r="P20" s="122">
        <f t="shared" si="5"/>
        <v>71090.149999999994</v>
      </c>
      <c r="Q20" s="151">
        <f t="shared" si="6"/>
        <v>69078.149999999994</v>
      </c>
      <c r="R20" s="74">
        <f t="shared" si="7"/>
        <v>0.15</v>
      </c>
    </row>
    <row r="21" spans="1:20" ht="16.5" customHeight="1" x14ac:dyDescent="0.25">
      <c r="A21" s="25" t="s">
        <v>73</v>
      </c>
      <c r="B21" s="134" t="s">
        <v>98</v>
      </c>
      <c r="C21" s="135">
        <f t="shared" si="8"/>
        <v>9</v>
      </c>
      <c r="D21" s="135" t="s">
        <v>99</v>
      </c>
      <c r="E21" s="111" t="s">
        <v>129</v>
      </c>
      <c r="F21" s="112">
        <v>4.4000000000000004</v>
      </c>
      <c r="G21" s="113">
        <v>83600.160000000003</v>
      </c>
      <c r="H21" s="167">
        <f>G21</f>
        <v>83600.160000000003</v>
      </c>
      <c r="I21" s="115"/>
      <c r="J21" s="116">
        <f t="shared" si="0"/>
        <v>0</v>
      </c>
      <c r="K21" s="116">
        <f t="shared" si="1"/>
        <v>0</v>
      </c>
      <c r="L21" s="113">
        <f t="shared" si="2"/>
        <v>0</v>
      </c>
      <c r="M21" s="116">
        <f t="shared" si="3"/>
        <v>95189.791840000005</v>
      </c>
      <c r="N21" s="117">
        <v>0</v>
      </c>
      <c r="O21" s="150">
        <f t="shared" si="4"/>
        <v>95190.16</v>
      </c>
      <c r="P21" s="122">
        <f t="shared" si="5"/>
        <v>100902.16</v>
      </c>
      <c r="Q21" s="151">
        <f t="shared" si="6"/>
        <v>98046.16</v>
      </c>
      <c r="R21" s="74">
        <f t="shared" si="7"/>
        <v>0.16</v>
      </c>
      <c r="T21" s="121"/>
    </row>
    <row r="22" spans="1:20" ht="16.5" customHeight="1" x14ac:dyDescent="0.25">
      <c r="A22" s="25" t="s">
        <v>73</v>
      </c>
      <c r="B22" s="134" t="s">
        <v>100</v>
      </c>
      <c r="C22" s="135">
        <f t="shared" si="8"/>
        <v>10</v>
      </c>
      <c r="D22" s="135" t="s">
        <v>80</v>
      </c>
      <c r="E22" s="120" t="s">
        <v>177</v>
      </c>
      <c r="F22" s="112">
        <v>4.5</v>
      </c>
      <c r="G22" s="114">
        <v>100046.17</v>
      </c>
      <c r="H22" s="167">
        <f>85500+14546</f>
        <v>100046</v>
      </c>
      <c r="I22" s="115"/>
      <c r="J22" s="116">
        <f t="shared" si="0"/>
        <v>0.16999999999825377</v>
      </c>
      <c r="K22" s="116">
        <f t="shared" si="1"/>
        <v>5.0999999999476126E-3</v>
      </c>
      <c r="L22" s="113">
        <f t="shared" si="2"/>
        <v>0</v>
      </c>
      <c r="M22" s="116">
        <f t="shared" si="3"/>
        <v>97353.196199999991</v>
      </c>
      <c r="N22" s="117">
        <v>0</v>
      </c>
      <c r="O22" s="150">
        <f t="shared" si="4"/>
        <v>97353.17</v>
      </c>
      <c r="P22" s="122">
        <f t="shared" si="5"/>
        <v>103194.17</v>
      </c>
      <c r="Q22" s="151">
        <f t="shared" si="6"/>
        <v>100274.17</v>
      </c>
      <c r="R22" s="74">
        <f t="shared" si="7"/>
        <v>0.17</v>
      </c>
    </row>
    <row r="23" spans="1:20" ht="16.5" customHeight="1" x14ac:dyDescent="0.25">
      <c r="A23" s="25" t="s">
        <v>74</v>
      </c>
      <c r="B23" s="134" t="s">
        <v>101</v>
      </c>
      <c r="C23" s="135">
        <f t="shared" si="8"/>
        <v>11</v>
      </c>
      <c r="D23" s="135" t="s">
        <v>102</v>
      </c>
      <c r="E23" s="111"/>
      <c r="F23" s="112">
        <v>4.5</v>
      </c>
      <c r="G23" s="192">
        <f>320917+85500.18</f>
        <v>406417.18</v>
      </c>
      <c r="H23" s="167">
        <f>320917+85500</f>
        <v>406417</v>
      </c>
      <c r="I23" s="115"/>
      <c r="J23" s="193">
        <f t="shared" si="0"/>
        <v>0.17999999999301508</v>
      </c>
      <c r="K23" s="193">
        <f t="shared" si="1"/>
        <v>5.3999999997904526E-3</v>
      </c>
      <c r="L23" s="192">
        <f t="shared" si="2"/>
        <v>0</v>
      </c>
      <c r="M23" s="193">
        <f t="shared" si="3"/>
        <v>97353.196199999991</v>
      </c>
      <c r="N23" s="194">
        <v>0</v>
      </c>
      <c r="O23" s="195">
        <f t="shared" si="4"/>
        <v>97353.18</v>
      </c>
      <c r="P23" s="196">
        <f t="shared" si="5"/>
        <v>103194.18</v>
      </c>
      <c r="Q23" s="197">
        <f t="shared" si="6"/>
        <v>100274.18</v>
      </c>
      <c r="R23" s="74">
        <f t="shared" si="7"/>
        <v>0.18000000000000002</v>
      </c>
      <c r="T23" s="188" t="s">
        <v>147</v>
      </c>
    </row>
    <row r="24" spans="1:20" ht="16.5" customHeight="1" x14ac:dyDescent="0.25">
      <c r="A24" s="25" t="s">
        <v>74</v>
      </c>
      <c r="B24" s="134" t="s">
        <v>103</v>
      </c>
      <c r="C24" s="135">
        <f t="shared" si="8"/>
        <v>12</v>
      </c>
      <c r="D24" s="135" t="s">
        <v>82</v>
      </c>
      <c r="E24" s="120" t="s">
        <v>175</v>
      </c>
      <c r="F24" s="112">
        <v>3.1</v>
      </c>
      <c r="G24" s="113">
        <v>112724.19</v>
      </c>
      <c r="H24" s="167">
        <f>74100+66000+1724-H8</f>
        <v>112723.97</v>
      </c>
      <c r="I24" s="115"/>
      <c r="J24" s="116">
        <f t="shared" si="0"/>
        <v>0.22000000000116415</v>
      </c>
      <c r="K24" s="116">
        <f t="shared" si="1"/>
        <v>6.6000000000349243E-3</v>
      </c>
      <c r="L24" s="113">
        <f t="shared" si="2"/>
        <v>0</v>
      </c>
      <c r="M24" s="116">
        <f t="shared" si="3"/>
        <v>67065.535159999999</v>
      </c>
      <c r="N24" s="117">
        <v>0</v>
      </c>
      <c r="O24" s="150">
        <f t="shared" si="4"/>
        <v>67066.19</v>
      </c>
      <c r="P24" s="122">
        <f t="shared" si="5"/>
        <v>71090.19</v>
      </c>
      <c r="Q24" s="151">
        <f t="shared" si="6"/>
        <v>69078.19</v>
      </c>
      <c r="R24" s="74">
        <f t="shared" si="7"/>
        <v>0.19000000000000003</v>
      </c>
    </row>
    <row r="25" spans="1:20" ht="16.5" customHeight="1" x14ac:dyDescent="0.25">
      <c r="A25" s="25" t="s">
        <v>75</v>
      </c>
      <c r="B25" s="134" t="s">
        <v>104</v>
      </c>
      <c r="C25" s="135">
        <f t="shared" si="8"/>
        <v>13</v>
      </c>
      <c r="D25" s="135" t="s">
        <v>105</v>
      </c>
      <c r="E25" s="111"/>
      <c r="F25" s="112">
        <v>4.4000000000000004</v>
      </c>
      <c r="G25" s="113">
        <v>87629.2</v>
      </c>
      <c r="H25" s="167"/>
      <c r="I25" s="115"/>
      <c r="J25" s="115">
        <f t="shared" si="0"/>
        <v>87629.2</v>
      </c>
      <c r="K25" s="116">
        <f t="shared" si="1"/>
        <v>2628.8759999999997</v>
      </c>
      <c r="L25" s="113">
        <f t="shared" si="2"/>
        <v>0</v>
      </c>
      <c r="M25" s="116">
        <f t="shared" si="3"/>
        <v>95189.791840000005</v>
      </c>
      <c r="N25" s="117">
        <v>0</v>
      </c>
      <c r="O25" s="150">
        <f t="shared" si="4"/>
        <v>185448.2</v>
      </c>
      <c r="P25" s="122">
        <f t="shared" si="5"/>
        <v>196575.2</v>
      </c>
      <c r="Q25" s="151">
        <f t="shared" si="6"/>
        <v>191011.20000000001</v>
      </c>
      <c r="R25" s="74">
        <f t="shared" si="7"/>
        <v>0.20000000000000004</v>
      </c>
    </row>
    <row r="26" spans="1:20" ht="27.75" customHeight="1" x14ac:dyDescent="0.25">
      <c r="A26" s="25" t="s">
        <v>76</v>
      </c>
      <c r="B26" s="134" t="s">
        <v>106</v>
      </c>
      <c r="C26" s="135">
        <f t="shared" si="8"/>
        <v>14</v>
      </c>
      <c r="D26" s="135" t="s">
        <v>80</v>
      </c>
      <c r="E26" s="120" t="s">
        <v>128</v>
      </c>
      <c r="F26" s="112">
        <v>4.5</v>
      </c>
      <c r="G26" s="113">
        <v>85500.21</v>
      </c>
      <c r="H26" s="167">
        <f>106400-H6</f>
        <v>85499.99</v>
      </c>
      <c r="I26" s="115"/>
      <c r="J26" s="116">
        <f t="shared" si="0"/>
        <v>0.22000000000116415</v>
      </c>
      <c r="K26" s="116">
        <f t="shared" si="1"/>
        <v>6.6000000000349243E-3</v>
      </c>
      <c r="L26" s="113">
        <f t="shared" si="2"/>
        <v>0</v>
      </c>
      <c r="M26" s="116">
        <f t="shared" si="3"/>
        <v>97353.196199999991</v>
      </c>
      <c r="N26" s="117">
        <v>0</v>
      </c>
      <c r="O26" s="150">
        <f t="shared" si="4"/>
        <v>97353.21</v>
      </c>
      <c r="P26" s="122">
        <f t="shared" si="5"/>
        <v>103194.21</v>
      </c>
      <c r="Q26" s="151">
        <f t="shared" si="6"/>
        <v>100274.21</v>
      </c>
      <c r="R26" s="74">
        <f t="shared" si="7"/>
        <v>0.21000000000000005</v>
      </c>
      <c r="T26" s="188" t="s">
        <v>148</v>
      </c>
    </row>
    <row r="27" spans="1:20" ht="24" customHeight="1" x14ac:dyDescent="0.25">
      <c r="A27" s="25" t="s">
        <v>77</v>
      </c>
      <c r="B27" s="134" t="s">
        <v>107</v>
      </c>
      <c r="C27" s="135">
        <f t="shared" si="8"/>
        <v>15</v>
      </c>
      <c r="D27" s="135" t="s">
        <v>108</v>
      </c>
      <c r="E27" s="120" t="s">
        <v>131</v>
      </c>
      <c r="F27" s="112">
        <v>4.5</v>
      </c>
      <c r="G27" s="113">
        <v>88065</v>
      </c>
      <c r="H27" s="167">
        <f>88065+9785-H12</f>
        <v>88065</v>
      </c>
      <c r="I27" s="115"/>
      <c r="J27" s="116">
        <f t="shared" si="0"/>
        <v>0</v>
      </c>
      <c r="K27" s="116">
        <f t="shared" si="1"/>
        <v>0</v>
      </c>
      <c r="L27" s="113">
        <f t="shared" si="2"/>
        <v>0</v>
      </c>
      <c r="M27" s="116">
        <f t="shared" si="3"/>
        <v>97353.196199999991</v>
      </c>
      <c r="N27" s="117">
        <v>0</v>
      </c>
      <c r="O27" s="150">
        <f t="shared" si="4"/>
        <v>97353.22</v>
      </c>
      <c r="P27" s="122">
        <f t="shared" si="5"/>
        <v>103194.22</v>
      </c>
      <c r="Q27" s="151">
        <f t="shared" si="6"/>
        <v>100274.22</v>
      </c>
      <c r="R27" s="74">
        <f t="shared" si="7"/>
        <v>0.22000000000000006</v>
      </c>
      <c r="T27" s="188"/>
    </row>
    <row r="28" spans="1:20" ht="16.5" customHeight="1" x14ac:dyDescent="0.25">
      <c r="A28" s="25" t="s">
        <v>78</v>
      </c>
      <c r="B28" s="134" t="s">
        <v>109</v>
      </c>
      <c r="C28" s="135">
        <f t="shared" si="8"/>
        <v>16</v>
      </c>
      <c r="D28" s="135" t="s">
        <v>110</v>
      </c>
      <c r="E28" s="120" t="s">
        <v>173</v>
      </c>
      <c r="F28" s="112">
        <v>3.1</v>
      </c>
      <c r="G28" s="113">
        <v>58900.23</v>
      </c>
      <c r="H28" s="167">
        <v>60667</v>
      </c>
      <c r="I28" s="115"/>
      <c r="J28" s="116">
        <f t="shared" si="0"/>
        <v>-1766.7699999999968</v>
      </c>
      <c r="K28" s="116">
        <f t="shared" si="1"/>
        <v>0</v>
      </c>
      <c r="L28" s="113">
        <f t="shared" si="2"/>
        <v>0</v>
      </c>
      <c r="M28" s="116">
        <f t="shared" si="3"/>
        <v>67065.535159999999</v>
      </c>
      <c r="N28" s="117">
        <v>0</v>
      </c>
      <c r="O28" s="150">
        <f t="shared" si="4"/>
        <v>65299.23</v>
      </c>
      <c r="P28" s="122">
        <f t="shared" si="5"/>
        <v>69217.23</v>
      </c>
      <c r="Q28" s="151">
        <f t="shared" si="6"/>
        <v>67258.23000000001</v>
      </c>
      <c r="R28" s="74">
        <f t="shared" si="7"/>
        <v>0.23000000000000007</v>
      </c>
    </row>
    <row r="29" spans="1:20" ht="16.5" customHeight="1" x14ac:dyDescent="0.25">
      <c r="A29" s="25" t="s">
        <v>79</v>
      </c>
      <c r="B29" s="134" t="s">
        <v>111</v>
      </c>
      <c r="C29" s="135">
        <f t="shared" si="8"/>
        <v>17</v>
      </c>
      <c r="D29" s="135" t="s">
        <v>81</v>
      </c>
      <c r="E29" s="120"/>
      <c r="F29" s="112">
        <v>6.8</v>
      </c>
      <c r="G29" s="113">
        <v>247226.23999999999</v>
      </c>
      <c r="H29" s="167">
        <f>116200+148200+19200-H10-H11</f>
        <v>247225.89</v>
      </c>
      <c r="I29" s="115"/>
      <c r="J29" s="116">
        <f t="shared" si="0"/>
        <v>0.34999999997671694</v>
      </c>
      <c r="K29" s="116">
        <f t="shared" si="1"/>
        <v>1.0499999999301507E-2</v>
      </c>
      <c r="L29" s="113">
        <f t="shared" si="2"/>
        <v>0</v>
      </c>
      <c r="M29" s="116">
        <f t="shared" si="3"/>
        <v>147111.49648</v>
      </c>
      <c r="N29" s="117">
        <v>0</v>
      </c>
      <c r="O29" s="150">
        <f t="shared" si="4"/>
        <v>147112.24</v>
      </c>
      <c r="P29" s="122">
        <f t="shared" si="5"/>
        <v>155939.24</v>
      </c>
      <c r="Q29" s="151">
        <f t="shared" si="6"/>
        <v>151525.24</v>
      </c>
      <c r="R29" s="74">
        <f t="shared" si="7"/>
        <v>0.24000000000000007</v>
      </c>
    </row>
    <row r="30" spans="1:20" ht="16.5" customHeight="1" x14ac:dyDescent="0.25">
      <c r="A30" s="25" t="s">
        <v>79</v>
      </c>
      <c r="B30" s="134" t="s">
        <v>112</v>
      </c>
      <c r="C30" s="135">
        <f t="shared" si="8"/>
        <v>18</v>
      </c>
      <c r="D30" s="135" t="s">
        <v>113</v>
      </c>
      <c r="E30" s="111"/>
      <c r="F30" s="112">
        <v>6.9</v>
      </c>
      <c r="G30" s="113">
        <v>150012</v>
      </c>
      <c r="H30" s="167">
        <f>130100+1000</f>
        <v>131100</v>
      </c>
      <c r="I30" s="115"/>
      <c r="J30" s="116">
        <f t="shared" si="0"/>
        <v>18912</v>
      </c>
      <c r="K30" s="116">
        <f t="shared" si="1"/>
        <v>567.36</v>
      </c>
      <c r="L30" s="113">
        <f t="shared" si="2"/>
        <v>0</v>
      </c>
      <c r="M30" s="116">
        <f t="shared" si="3"/>
        <v>149274.90084000002</v>
      </c>
      <c r="N30" s="117">
        <v>0</v>
      </c>
      <c r="O30" s="150">
        <f t="shared" si="4"/>
        <v>168754.25</v>
      </c>
      <c r="P30" s="122">
        <f t="shared" si="5"/>
        <v>178880.25</v>
      </c>
      <c r="Q30" s="151">
        <f t="shared" si="6"/>
        <v>173817.25</v>
      </c>
      <c r="R30" s="74">
        <f t="shared" si="7"/>
        <v>0.25000000000000006</v>
      </c>
    </row>
    <row r="31" spans="1:20" ht="16.5" customHeight="1" x14ac:dyDescent="0.25">
      <c r="A31" s="25" t="s">
        <v>79</v>
      </c>
      <c r="B31" s="134" t="s">
        <v>114</v>
      </c>
      <c r="C31" s="135">
        <f t="shared" si="8"/>
        <v>19</v>
      </c>
      <c r="D31" s="135" t="s">
        <v>115</v>
      </c>
      <c r="E31" s="111" t="s">
        <v>136</v>
      </c>
      <c r="F31" s="112">
        <v>4.5</v>
      </c>
      <c r="G31" s="113">
        <v>230870.26</v>
      </c>
      <c r="H31" s="167">
        <f>85500+137030+8340</f>
        <v>230870</v>
      </c>
      <c r="I31" s="115"/>
      <c r="J31" s="116">
        <f t="shared" si="0"/>
        <v>0.26000000000931323</v>
      </c>
      <c r="K31" s="116">
        <f t="shared" si="1"/>
        <v>7.8000000002793968E-3</v>
      </c>
      <c r="L31" s="113">
        <f t="shared" si="2"/>
        <v>0</v>
      </c>
      <c r="M31" s="116">
        <f t="shared" si="3"/>
        <v>97353.196199999991</v>
      </c>
      <c r="N31" s="117">
        <v>0</v>
      </c>
      <c r="O31" s="150">
        <f t="shared" si="4"/>
        <v>97353.26</v>
      </c>
      <c r="P31" s="122">
        <f t="shared" si="5"/>
        <v>103194.26</v>
      </c>
      <c r="Q31" s="151">
        <f t="shared" si="6"/>
        <v>100274.26</v>
      </c>
      <c r="R31" s="74">
        <f t="shared" si="7"/>
        <v>0.26000000000000006</v>
      </c>
    </row>
    <row r="32" spans="1:20" ht="16.5" customHeight="1" x14ac:dyDescent="0.25">
      <c r="A32" s="25" t="s">
        <v>79</v>
      </c>
      <c r="B32" s="134" t="s">
        <v>116</v>
      </c>
      <c r="C32" s="135">
        <f t="shared" si="8"/>
        <v>20</v>
      </c>
      <c r="D32" s="135" t="s">
        <v>117</v>
      </c>
      <c r="E32" s="120" t="s">
        <v>172</v>
      </c>
      <c r="F32" s="112">
        <v>3.1</v>
      </c>
      <c r="G32" s="113">
        <v>58900.27</v>
      </c>
      <c r="H32" s="167">
        <f>G32</f>
        <v>58900.27</v>
      </c>
      <c r="I32" s="115"/>
      <c r="J32" s="116">
        <f t="shared" si="0"/>
        <v>0</v>
      </c>
      <c r="K32" s="116">
        <f t="shared" si="1"/>
        <v>0</v>
      </c>
      <c r="L32" s="113">
        <f t="shared" si="2"/>
        <v>0</v>
      </c>
      <c r="M32" s="116">
        <f t="shared" si="3"/>
        <v>67065.535159999999</v>
      </c>
      <c r="N32" s="117">
        <v>0</v>
      </c>
      <c r="O32" s="150">
        <f t="shared" si="4"/>
        <v>67066.27</v>
      </c>
      <c r="P32" s="122">
        <f t="shared" si="5"/>
        <v>71090.27</v>
      </c>
      <c r="Q32" s="151">
        <f t="shared" si="6"/>
        <v>69078.27</v>
      </c>
      <c r="R32" s="74">
        <f t="shared" si="7"/>
        <v>0.27000000000000007</v>
      </c>
    </row>
    <row r="33" spans="1:18" ht="16.5" customHeight="1" x14ac:dyDescent="0.25">
      <c r="A33" s="25" t="s">
        <v>79</v>
      </c>
      <c r="B33" s="134" t="s">
        <v>118</v>
      </c>
      <c r="C33" s="135">
        <f t="shared" si="8"/>
        <v>21</v>
      </c>
      <c r="D33" s="135" t="s">
        <v>119</v>
      </c>
      <c r="E33" s="111" t="s">
        <v>135</v>
      </c>
      <c r="F33" s="112">
        <v>4.5</v>
      </c>
      <c r="G33" s="113">
        <v>443267.28</v>
      </c>
      <c r="H33" s="167"/>
      <c r="I33" s="115"/>
      <c r="J33" s="116">
        <f t="shared" si="0"/>
        <v>443267.28</v>
      </c>
      <c r="K33" s="116">
        <f t="shared" si="1"/>
        <v>13298.018400000001</v>
      </c>
      <c r="L33" s="113">
        <f t="shared" si="2"/>
        <v>0</v>
      </c>
      <c r="M33" s="116">
        <f t="shared" si="3"/>
        <v>97353.196199999991</v>
      </c>
      <c r="N33" s="122">
        <v>42488</v>
      </c>
      <c r="O33" s="150">
        <f t="shared" si="4"/>
        <v>596406.28</v>
      </c>
      <c r="P33" s="122">
        <f t="shared" si="5"/>
        <v>632191.28</v>
      </c>
      <c r="Q33" s="151">
        <f t="shared" si="6"/>
        <v>614298.28</v>
      </c>
      <c r="R33" s="74">
        <f t="shared" si="7"/>
        <v>0.28000000000000008</v>
      </c>
    </row>
    <row r="34" spans="1:18" ht="16.5" customHeight="1" x14ac:dyDescent="0.25">
      <c r="A34" s="25" t="s">
        <v>79</v>
      </c>
      <c r="B34" s="134" t="s">
        <v>120</v>
      </c>
      <c r="C34" s="135">
        <f t="shared" si="8"/>
        <v>22</v>
      </c>
      <c r="D34" s="135" t="s">
        <v>121</v>
      </c>
      <c r="E34" s="111"/>
      <c r="F34" s="112">
        <v>3.1</v>
      </c>
      <c r="G34" s="113">
        <v>58900.29</v>
      </c>
      <c r="H34" s="167">
        <f>G34</f>
        <v>58900.29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67065.535159999999</v>
      </c>
      <c r="N34" s="117">
        <v>0</v>
      </c>
      <c r="O34" s="150">
        <f t="shared" si="4"/>
        <v>67066.289999999994</v>
      </c>
      <c r="P34" s="122">
        <f t="shared" si="5"/>
        <v>71090.289999999994</v>
      </c>
      <c r="Q34" s="151">
        <f t="shared" si="6"/>
        <v>69078.289999999994</v>
      </c>
      <c r="R34" s="74">
        <f t="shared" si="7"/>
        <v>0.29000000000000009</v>
      </c>
    </row>
    <row r="35" spans="1:18" ht="17.25" customHeight="1" x14ac:dyDescent="0.25">
      <c r="A35" s="25" t="s">
        <v>79</v>
      </c>
      <c r="B35" s="136"/>
      <c r="C35" s="136"/>
      <c r="D35" s="136"/>
      <c r="E35" s="120"/>
      <c r="F35" s="112"/>
      <c r="G35" s="113"/>
      <c r="H35" s="167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79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 t="shared" si="2"/>
        <v>0</v>
      </c>
      <c r="M36" s="125">
        <f t="shared" si="3"/>
        <v>0</v>
      </c>
      <c r="N36" s="126">
        <v>0</v>
      </c>
      <c r="O36" s="118">
        <f t="shared" si="4"/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3439428.6899999995</v>
      </c>
      <c r="H37" s="131">
        <f t="shared" si="9"/>
        <v>2332623.11</v>
      </c>
      <c r="I37" s="130">
        <f t="shared" si="9"/>
        <v>0</v>
      </c>
      <c r="J37" s="131">
        <f t="shared" si="9"/>
        <v>1106805.58</v>
      </c>
      <c r="K37" s="130">
        <f t="shared" si="9"/>
        <v>33334.1175</v>
      </c>
      <c r="L37" s="131">
        <f t="shared" si="9"/>
        <v>0</v>
      </c>
      <c r="M37" s="130">
        <f t="shared" si="9"/>
        <v>2163404.3599999994</v>
      </c>
      <c r="N37" s="131">
        <f t="shared" si="9"/>
        <v>42488</v>
      </c>
      <c r="O37" s="132">
        <f t="shared" si="9"/>
        <v>3346034.3499999996</v>
      </c>
      <c r="P37" s="132">
        <f t="shared" si="9"/>
        <v>3546796.6499999994</v>
      </c>
      <c r="Q37" s="132">
        <f t="shared" si="9"/>
        <v>3446420.3499999996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42" t="s">
        <v>170</v>
      </c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19"/>
      <c r="Q40" s="4"/>
    </row>
    <row r="41" spans="1:18" ht="12" hidden="1" customHeight="1" x14ac:dyDescent="0.25">
      <c r="D41" s="220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1"/>
      <c r="Q41" s="4"/>
    </row>
    <row r="42" spans="1:18" ht="12" hidden="1" customHeight="1" x14ac:dyDescent="0.25">
      <c r="D42" s="220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1"/>
      <c r="Q42" s="4"/>
    </row>
    <row r="43" spans="1:18" ht="12" hidden="1" customHeight="1" x14ac:dyDescent="0.25">
      <c r="D43" s="220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1"/>
      <c r="Q43" s="4"/>
    </row>
    <row r="44" spans="1:18" ht="12" hidden="1" customHeight="1" x14ac:dyDescent="0.25">
      <c r="D44" s="220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1"/>
      <c r="Q44" s="4"/>
    </row>
    <row r="45" spans="1:18" ht="78.75" customHeight="1" x14ac:dyDescent="0.25">
      <c r="D45" s="222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3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D40:O45"/>
    <mergeCell ref="M4:M5"/>
    <mergeCell ref="N4:N5"/>
    <mergeCell ref="P4:P5"/>
    <mergeCell ref="G4:G5"/>
    <mergeCell ref="H4:H5"/>
    <mergeCell ref="I4:I5"/>
    <mergeCell ref="J4:J5"/>
    <mergeCell ref="K4:K5"/>
    <mergeCell ref="Q4:Q5"/>
    <mergeCell ref="F1:O1"/>
    <mergeCell ref="A4:A5"/>
    <mergeCell ref="B4:B5"/>
    <mergeCell ref="C4:C5"/>
    <mergeCell ref="D4:D5"/>
    <mergeCell ref="E4:E5"/>
    <mergeCell ref="F4:F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2025-02-03T12:54:26Z</cp:lastPrinted>
  <dcterms:created xsi:type="dcterms:W3CDTF">2024-11-03T18:47:30Z</dcterms:created>
  <dcterms:modified xsi:type="dcterms:W3CDTF">2025-02-04T15:46:20Z</dcterms:modified>
</cp:coreProperties>
</file>