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FEBRERO\"/>
    </mc:Choice>
  </mc:AlternateContent>
  <xr:revisionPtr revIDLastSave="0" documentId="13_ncr:1_{70767C7C-5536-4B6C-8EA9-5C8A9D26FB23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PRORRATEO!$A$1:$O$34</definedName>
    <definedName name="_xlnm.Print_Area" localSheetId="0">RESUMEN!$A$1:$E$121</definedName>
  </definedNames>
  <calcPr calcId="181029"/>
</workbook>
</file>

<file path=xl/calcChain.xml><?xml version="1.0" encoding="utf-8"?>
<calcChain xmlns="http://schemas.openxmlformats.org/spreadsheetml/2006/main"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6" i="2"/>
  <c r="B120" i="1"/>
  <c r="H23" i="2"/>
  <c r="H22" i="2"/>
  <c r="H24" i="2"/>
  <c r="H11" i="2"/>
  <c r="H17" i="2"/>
  <c r="E43" i="1"/>
  <c r="E41" i="1"/>
  <c r="E42" i="1" s="1"/>
  <c r="E36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6" i="2"/>
  <c r="D27" i="1" l="1"/>
  <c r="E28" i="1" s="1"/>
  <c r="E50" i="1" l="1"/>
  <c r="E69" i="1" l="1"/>
  <c r="E73" i="1" s="1"/>
  <c r="B77" i="1" s="1"/>
  <c r="B90" i="1" s="1"/>
  <c r="B88" i="1" l="1"/>
  <c r="E55" i="1" l="1"/>
  <c r="E33" i="1" l="1"/>
  <c r="J20" i="2" l="1"/>
  <c r="N5" i="2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E37" i="1" l="1"/>
  <c r="H25" i="2" l="1"/>
  <c r="B87" i="1" s="1"/>
  <c r="D2" i="2"/>
  <c r="I25" i="2"/>
  <c r="F25" i="2"/>
  <c r="G25" i="2"/>
  <c r="J7" i="2" l="1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6" i="2"/>
  <c r="B78" i="1" l="1"/>
  <c r="J25" i="2"/>
  <c r="L25" i="2"/>
  <c r="K25" i="2" l="1"/>
  <c r="A41" i="1"/>
  <c r="A42" i="1" s="1"/>
  <c r="E59" i="1" l="1"/>
  <c r="E63" i="1" s="1"/>
  <c r="B76" i="1" l="1"/>
  <c r="G63" i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6" i="2"/>
  <c r="N6" i="2" s="1"/>
  <c r="O23" i="2" l="1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4" i="2"/>
  <c r="O20" i="2"/>
  <c r="O16" i="2"/>
  <c r="O12" i="2"/>
  <c r="O8" i="2"/>
  <c r="M25" i="2"/>
  <c r="B89" i="1" l="1"/>
  <c r="B100" i="1"/>
  <c r="B91" i="1" l="1"/>
  <c r="B75" i="1"/>
  <c r="N25" i="2" l="1"/>
  <c r="O25" i="2" l="1"/>
</calcChain>
</file>

<file path=xl/sharedStrings.xml><?xml version="1.0" encoding="utf-8"?>
<sst xmlns="http://schemas.openxmlformats.org/spreadsheetml/2006/main" count="177" uniqueCount="157">
  <si>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</si>
  <si>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</si>
  <si>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</si>
  <si>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</si>
  <si>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</si>
  <si>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</si>
  <si>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</si>
  <si>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</si>
  <si>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</si>
  <si>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</si>
  <si>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</si>
  <si>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</si>
  <si>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</si>
  <si>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</si>
  <si>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</si>
  <si>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</si>
  <si>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</si>
  <si>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</si>
  <si>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</si>
  <si>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</si>
  <si>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</si>
  <si>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</si>
  <si>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</si>
  <si>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GASTOS ORDINARIOS UNIDADES FUNCIONALES:</t>
  </si>
  <si>
    <t>Ingresos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</si>
  <si>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</si>
  <si>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</si>
  <si>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</si>
  <si>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</si>
  <si>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</si>
  <si>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</si>
  <si>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</si>
  <si>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</si>
  <si>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</si>
  <si>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</si>
  <si>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</si>
  <si>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</si>
  <si>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</si>
  <si>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</si>
  <si>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</si>
  <si>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ORDINARIA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</si>
  <si>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</si>
  <si>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</si>
  <si>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</si>
  <si>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</si>
  <si>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</si>
  <si>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</si>
  <si>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</si>
  <si>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TELEFONO: 11 5320-2676</t>
  </si>
  <si>
    <t>Inquilinos</t>
  </si>
  <si>
    <t>Pago por</t>
  </si>
  <si>
    <t>Formas de Pago:</t>
  </si>
  <si>
    <t>Efectivo</t>
  </si>
  <si>
    <t>CUIT ADMINISTRACION: 27231256879</t>
  </si>
  <si>
    <t>HORARIOS DE ATENCION: LUNES A VIERNES</t>
  </si>
  <si>
    <t>Deuda o Saldo a favor</t>
  </si>
  <si>
    <t>HONORARIOS administracion RC</t>
  </si>
  <si>
    <t xml:space="preserve">SEGUROS </t>
  </si>
  <si>
    <t>DEPOSITOS NO IDENTIFICADOS</t>
  </si>
  <si>
    <t>RESUMEN</t>
  </si>
  <si>
    <t>COMISION POR CUENTA</t>
  </si>
  <si>
    <t>HABERES ENCARGADOS</t>
  </si>
  <si>
    <t xml:space="preserve">Retenciones </t>
  </si>
  <si>
    <t>Neto</t>
  </si>
  <si>
    <t>Redondeo</t>
  </si>
  <si>
    <t>Total 2do Vto</t>
  </si>
  <si>
    <t>Total 1er Vto</t>
  </si>
  <si>
    <t>ADMINISTRADORA: CAROLINA CANCIANI MP:1148</t>
  </si>
  <si>
    <t>GASTOS EXTRAORDINARIOS CON PREVISION:</t>
  </si>
  <si>
    <t>Saldo Ord</t>
  </si>
  <si>
    <t xml:space="preserve">Deposito sin identificar </t>
  </si>
  <si>
    <t>Gastos Extraordinarios:</t>
  </si>
  <si>
    <t>L.1º PB</t>
  </si>
  <si>
    <t>Hakim Faks, G. y S.</t>
  </si>
  <si>
    <t>L.2º PB</t>
  </si>
  <si>
    <t>Lloret Maria Ines.</t>
  </si>
  <si>
    <t>L.3º PB</t>
  </si>
  <si>
    <t>Abbatángelo Marta.</t>
  </si>
  <si>
    <t>L.4º PB</t>
  </si>
  <si>
    <t>Noemí Espósito</t>
  </si>
  <si>
    <t>L.5º PB</t>
  </si>
  <si>
    <t>Spotorno Osvaldo.</t>
  </si>
  <si>
    <t>L.6º PB</t>
  </si>
  <si>
    <t>Rivas Noemí</t>
  </si>
  <si>
    <t>L.7º PB</t>
  </si>
  <si>
    <t>Cecilia Nizzero</t>
  </si>
  <si>
    <t>1ºA</t>
  </si>
  <si>
    <t>Patanella Miguel</t>
  </si>
  <si>
    <t>1ºB</t>
  </si>
  <si>
    <t>Iglesias Norma</t>
  </si>
  <si>
    <t>1ºC</t>
  </si>
  <si>
    <t>Verdejo Graciela</t>
  </si>
  <si>
    <t>2ºA</t>
  </si>
  <si>
    <t>Moltoni Yolanda M.</t>
  </si>
  <si>
    <t>2ºB</t>
  </si>
  <si>
    <t>2ºC</t>
  </si>
  <si>
    <t>Marin Carlos</t>
  </si>
  <si>
    <t>3ºA</t>
  </si>
  <si>
    <t>3ºB</t>
  </si>
  <si>
    <t>Santoro Miguél Angel</t>
  </si>
  <si>
    <t>3ºC</t>
  </si>
  <si>
    <t>Salman, Yasmin</t>
  </si>
  <si>
    <t>4ºA</t>
  </si>
  <si>
    <t>Ortalli Laura</t>
  </si>
  <si>
    <t>4ºB</t>
  </si>
  <si>
    <t>Ricciardi Nicolás</t>
  </si>
  <si>
    <t>4ºC</t>
  </si>
  <si>
    <t>Freijedo Gonzalo</t>
  </si>
  <si>
    <t>Ingreso</t>
  </si>
  <si>
    <t>CONSORCIO DE COPROPIETARIOS PUEYRREDON 1494</t>
  </si>
  <si>
    <t>Las expensas deberán abonarse en el Banco Comafi. Cuenta Corriente en pesos.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</si>
  <si>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</si>
  <si>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CBU 2990024602400048530006</t>
  </si>
  <si>
    <t>CUIT DEL EDIFICIO: 30-68041540-0</t>
  </si>
  <si>
    <t>MAIL: consorciopueyrredon1494@gmail.com</t>
  </si>
  <si>
    <t>PERÍODO: FEBRERO</t>
  </si>
  <si>
    <t>VTO 13/03</t>
  </si>
  <si>
    <t>Sindicatos mes de febrero</t>
  </si>
  <si>
    <t xml:space="preserve">ARCA </t>
  </si>
  <si>
    <t>Seguro Integral Consorcio - Cuota 5/12</t>
  </si>
  <si>
    <t xml:space="preserve">Ayala Mirta Encargada </t>
  </si>
  <si>
    <t>Seguro Vida colectivo personal de limpieza - Cuota 5/12</t>
  </si>
  <si>
    <t xml:space="preserve">Edesur </t>
  </si>
  <si>
    <t>PMC 13/2</t>
  </si>
  <si>
    <t>Cheque 25/02</t>
  </si>
  <si>
    <t>Suther</t>
  </si>
  <si>
    <t>Fathery</t>
  </si>
  <si>
    <t>Seracarh</t>
  </si>
  <si>
    <t>Debito 12/2</t>
  </si>
  <si>
    <t>No se abona</t>
  </si>
  <si>
    <t>Debito 27/02</t>
  </si>
  <si>
    <t>Metrogas</t>
  </si>
  <si>
    <t>Traspaso Administracion Sra. Cristina</t>
  </si>
  <si>
    <t>Limpieza de marquesina</t>
  </si>
  <si>
    <t>Cheque 11/02</t>
  </si>
  <si>
    <t>ART DE LIMPIEZA</t>
  </si>
  <si>
    <t>Fotocopias - Periodo Enero</t>
  </si>
  <si>
    <t>A transferir</t>
  </si>
  <si>
    <t>Mantenimiento Ascensores -  Mes de Enero -  No se recibio boleta</t>
  </si>
  <si>
    <t>Ben Ada</t>
  </si>
  <si>
    <t>Raton mariela es la mujer</t>
  </si>
  <si>
    <t>Martin Bonjour</t>
  </si>
  <si>
    <t>3/2 - Cattani Nahuel</t>
  </si>
  <si>
    <t>3/2 -  Rozana Mazze</t>
  </si>
  <si>
    <t>5/2 - Verdejo Graciela</t>
  </si>
  <si>
    <t>5/2 -  Britez Nicolas</t>
  </si>
  <si>
    <t xml:space="preserve">Transferencia 10/02 </t>
  </si>
  <si>
    <t>7/2 - Malandra Natalia</t>
  </si>
  <si>
    <t>7/2 - Ezequiel Oscar Jose</t>
  </si>
  <si>
    <t>10/2 -  Gonzalo Emanuel Gonzalez</t>
  </si>
  <si>
    <t>10/2 - Sandra Sanabria Gabriela</t>
  </si>
  <si>
    <t>10/2 - Deposito en Cajero</t>
  </si>
  <si>
    <t>13/2 -  Pablo Javier Gonzalez</t>
  </si>
  <si>
    <t>18/2 - Gonzalez Castillo</t>
  </si>
  <si>
    <t xml:space="preserve">28/2 -  Ezequiel Oscar Jose </t>
  </si>
  <si>
    <t>No se cobran por falta de caja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</si>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</sst>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5" fontId="0" fillId="0" borderId="1" xfId="1" applyFont="1" applyBorder="1"/>
    <xf numFmtId="165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4" fillId="2" borderId="1" xfId="1" applyFont="1" applyFill="1" applyBorder="1"/>
    <xf numFmtId="165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14" fontId="0" fillId="0" borderId="1" xfId="0" applyNumberFormat="1" applyBorder="1"/>
    <xf numFmtId="0" fontId="20" fillId="11" borderId="1" xfId="0" applyFont="1" applyFill="1" applyBorder="1"/>
    <xf numFmtId="165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165" fontId="21" fillId="0" borderId="24" xfId="1" applyFont="1" applyBorder="1"/>
    <xf numFmtId="165" fontId="21" fillId="0" borderId="26" xfId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0" fillId="2" borderId="0" xfId="0" applyFill="1"/>
    <xf numFmtId="165" fontId="9" fillId="6" borderId="0" xfId="0" applyNumberFormat="1" applyFont="1" applyFill="1"/>
    <xf numFmtId="165" fontId="23" fillId="2" borderId="1" xfId="1" applyFont="1" applyFill="1" applyBorder="1" applyAlignment="1">
      <alignment wrapText="1"/>
    </xf>
    <xf numFmtId="0" fontId="17" fillId="0" borderId="1" xfId="1" applyNumberFormat="1" applyFont="1" applyBorder="1"/>
    <xf numFmtId="0" fontId="17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165" fontId="2" fillId="0" borderId="1" xfId="1" applyFont="1" applyBorder="1"/>
    <xf numFmtId="0" fontId="0" fillId="0" borderId="1" xfId="0" applyFont="1" applyBorder="1" applyAlignment="1">
      <alignment vertical="center" wrapText="1"/>
    </xf>
    <xf numFmtId="43" fontId="0" fillId="0" borderId="0" xfId="0" applyNumberFormat="1"/>
    <xf numFmtId="165" fontId="0" fillId="3" borderId="0" xfId="1" applyFont="1" applyFill="1" applyAlignment="1">
      <alignment horizontal="center"/>
    </xf>
    <xf numFmtId="165" fontId="0" fillId="3" borderId="8" xfId="1" applyFont="1" applyFill="1" applyBorder="1" applyAlignment="1">
      <alignment horizontal="center" vertical="center"/>
    </xf>
    <xf numFmtId="164" fontId="0" fillId="2" borderId="1" xfId="0" applyNumberFormat="1" applyFont="1" applyFill="1" applyBorder="1"/>
    <xf numFmtId="164" fontId="20" fillId="11" borderId="1" xfId="0" applyNumberFormat="1" applyFont="1" applyFill="1" applyBorder="1"/>
    <xf numFmtId="164" fontId="2" fillId="4" borderId="6" xfId="0" applyNumberFormat="1" applyFont="1" applyFill="1" applyBorder="1"/>
    <xf numFmtId="164" fontId="12" fillId="4" borderId="1" xfId="0" applyNumberFormat="1" applyFont="1" applyFill="1" applyBorder="1"/>
    <xf numFmtId="165" fontId="2" fillId="4" borderId="6" xfId="1" applyFont="1" applyFill="1" applyBorder="1"/>
    <xf numFmtId="165" fontId="2" fillId="4" borderId="1" xfId="1" applyFont="1" applyFill="1" applyBorder="1"/>
    <xf numFmtId="165" fontId="0" fillId="2" borderId="1" xfId="1" applyFont="1" applyFill="1" applyBorder="1" applyAlignment="1">
      <alignment wrapText="1"/>
    </xf>
    <xf numFmtId="165" fontId="0" fillId="2" borderId="1" xfId="1" applyFont="1" applyFill="1" applyBorder="1" applyAlignment="1"/>
    <xf numFmtId="165" fontId="0" fillId="4" borderId="1" xfId="1" applyFont="1" applyFill="1" applyBorder="1"/>
    <xf numFmtId="165" fontId="0" fillId="2" borderId="1" xfId="1" applyFont="1" applyFill="1" applyBorder="1"/>
    <xf numFmtId="165" fontId="0" fillId="4" borderId="6" xfId="1" applyFont="1" applyFill="1" applyBorder="1"/>
    <xf numFmtId="165" fontId="0" fillId="2" borderId="6" xfId="1" applyFont="1" applyFill="1" applyBorder="1"/>
    <xf numFmtId="165" fontId="25" fillId="8" borderId="23" xfId="1" applyFont="1" applyFill="1" applyBorder="1" applyAlignment="1">
      <alignment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topLeftCell="A4" workbookViewId="0">
      <selection activeCell="A14" sqref="A14:E1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2"/>
      <c r="C1" s="6"/>
      <c r="D1" s="6"/>
      <c r="E1" s="6"/>
    </row>
    <row r="2" spans="1:5" x14ac:dyDescent="0.25">
      <c r="A2" s="15"/>
      <c r="B2" s="79" t="s">
        <v>114</v>
      </c>
      <c r="C2" s="79"/>
      <c r="D2" s="79"/>
      <c r="E2" s="80"/>
    </row>
    <row r="3" spans="1:5" x14ac:dyDescent="0.25">
      <c r="A3" s="16"/>
      <c r="B3" s="81" t="s">
        <v>53</v>
      </c>
      <c r="C3" s="81"/>
      <c r="D3" s="81"/>
      <c r="E3" s="82"/>
    </row>
    <row r="4" spans="1:5" ht="32.25" customHeight="1" thickBot="1" x14ac:dyDescent="0.3">
      <c r="A4" s="16"/>
      <c r="B4" s="98" t="s">
        <v>112</v>
      </c>
      <c r="C4" s="81"/>
      <c r="D4" s="97" t="s">
        <v>48</v>
      </c>
      <c r="E4" s="82"/>
    </row>
    <row r="5" spans="1:5" ht="15.75" thickBot="1" x14ac:dyDescent="0.3">
      <c r="A5" s="19" t="s">
        <v>0</v>
      </c>
      <c r="B5" s="96" t="s">
        <v>67</v>
      </c>
      <c r="C5" s="20"/>
      <c r="D5" s="20"/>
      <c r="E5" s="21"/>
    </row>
    <row r="6" spans="1:5" ht="15.75" thickBot="1" x14ac:dyDescent="0.3">
      <c r="A6" s="16" t="s">
        <v>113</v>
      </c>
      <c r="B6" s="20" t="s">
        <v>115</v>
      </c>
      <c r="C6" s="17"/>
      <c r="D6" s="81" t="s">
        <v>54</v>
      </c>
      <c r="E6" s="18"/>
    </row>
    <row r="7" spans="1:5" ht="15.75" thickBot="1" x14ac:dyDescent="0.3">
      <c r="A7" s="19" t="s">
        <v>109</v>
      </c>
      <c r="B7" s="20"/>
      <c r="C7" s="20"/>
      <c r="D7" s="20"/>
      <c r="E7" s="21"/>
    </row>
    <row r="9" spans="1:5" x14ac:dyDescent="0.25">
      <c r="B9" s="148" t="s">
        <v>116</v>
      </c>
      <c r="C9" s="148"/>
    </row>
    <row r="10" spans="1:5" x14ac:dyDescent="0.25">
      <c r="B10" s="148"/>
      <c r="C10" s="148"/>
    </row>
    <row r="11" spans="1:5" x14ac:dyDescent="0.25">
      <c r="B11" s="148"/>
      <c r="C11" s="148"/>
    </row>
    <row r="13" spans="1:5" hidden="1" x14ac:dyDescent="0.25"/>
    <row r="14" spans="1:5" ht="15" customHeight="1" x14ac:dyDescent="0.25">
      <c r="A14" s="147" t="s">
        <v>156</v>
      </c>
      <c r="B14" s="147"/>
      <c r="C14" s="147"/>
      <c r="D14" s="147"/>
      <c r="E14" s="147"/>
    </row>
    <row r="15" spans="1:5" ht="15" customHeight="1" x14ac:dyDescent="0.25">
      <c r="A15" s="147"/>
      <c r="B15" s="147"/>
      <c r="C15" s="147"/>
      <c r="D15" s="147"/>
      <c r="E15" s="147"/>
    </row>
    <row r="16" spans="1:5" ht="15" customHeight="1" x14ac:dyDescent="0.25">
      <c r="A16" s="147"/>
      <c r="B16" s="147"/>
      <c r="C16" s="147"/>
      <c r="D16" s="147"/>
      <c r="E16" s="147"/>
    </row>
    <row r="17" spans="1:8" ht="53.25" customHeight="1" x14ac:dyDescent="0.25">
      <c r="A17" s="147"/>
      <c r="B17" s="147"/>
      <c r="C17" s="147"/>
      <c r="D17" s="147"/>
      <c r="E17" s="147"/>
    </row>
    <row r="18" spans="1:8" ht="14.25" customHeight="1" thickBot="1" x14ac:dyDescent="0.3"/>
    <row r="19" spans="1:8" hidden="1" x14ac:dyDescent="0.25">
      <c r="A19" s="2"/>
    </row>
    <row r="20" spans="1:8" ht="15.75" hidden="1" thickBot="1" x14ac:dyDescent="0.3"/>
    <row r="21" spans="1:8" x14ac:dyDescent="0.25">
      <c r="A21" s="11" t="s">
        <v>23</v>
      </c>
      <c r="B21" s="12"/>
      <c r="C21" s="13"/>
      <c r="D21" s="9"/>
      <c r="E21" s="14"/>
    </row>
    <row r="22" spans="1:8" x14ac:dyDescent="0.25">
      <c r="A22" s="40" t="s">
        <v>61</v>
      </c>
      <c r="B22" s="40"/>
      <c r="C22" s="40"/>
      <c r="D22" s="38"/>
      <c r="E22" s="38"/>
    </row>
    <row r="23" spans="1:8" ht="14.25" customHeight="1" x14ac:dyDescent="0.25">
      <c r="A23" s="5" t="s">
        <v>120</v>
      </c>
      <c r="B23" s="5"/>
      <c r="C23" s="5"/>
      <c r="D23" s="169">
        <v>685627.2</v>
      </c>
      <c r="E23" s="101"/>
    </row>
    <row r="24" spans="1:8" x14ac:dyDescent="0.25">
      <c r="A24" s="5" t="s">
        <v>62</v>
      </c>
      <c r="B24" s="5"/>
      <c r="C24" s="5"/>
      <c r="D24" s="169">
        <v>-151759.26</v>
      </c>
      <c r="E24" s="101"/>
    </row>
    <row r="25" spans="1:8" x14ac:dyDescent="0.25">
      <c r="A25" s="5" t="s">
        <v>64</v>
      </c>
      <c r="B25" s="5"/>
      <c r="C25" s="5"/>
      <c r="D25" s="169">
        <v>0.06</v>
      </c>
      <c r="E25" s="101"/>
      <c r="H25" s="22"/>
    </row>
    <row r="26" spans="1:8" x14ac:dyDescent="0.25">
      <c r="A26" s="5"/>
      <c r="B26" s="5"/>
      <c r="C26" s="5"/>
      <c r="D26" s="169"/>
      <c r="E26" s="101"/>
      <c r="H26" s="5"/>
    </row>
    <row r="27" spans="1:8" x14ac:dyDescent="0.25">
      <c r="A27" s="68" t="s">
        <v>63</v>
      </c>
      <c r="B27" s="68"/>
      <c r="C27" s="68"/>
      <c r="D27" s="170">
        <f>SUM(D23:D26)</f>
        <v>533868</v>
      </c>
      <c r="E27" s="102"/>
      <c r="H27" s="5"/>
    </row>
    <row r="28" spans="1:8" ht="14.25" customHeight="1" thickBot="1" x14ac:dyDescent="0.3">
      <c r="A28" s="30" t="s">
        <v>1</v>
      </c>
      <c r="B28" s="30"/>
      <c r="C28" s="30"/>
      <c r="D28" s="171"/>
      <c r="E28" s="103">
        <f>D27</f>
        <v>533868</v>
      </c>
      <c r="F28" s="22"/>
    </row>
    <row r="29" spans="1:8" x14ac:dyDescent="0.25">
      <c r="A29" s="40" t="s">
        <v>37</v>
      </c>
      <c r="B29" s="40"/>
      <c r="C29" s="40"/>
      <c r="D29" s="172"/>
      <c r="E29" s="104"/>
    </row>
    <row r="30" spans="1:8" ht="28.5" customHeight="1" x14ac:dyDescent="0.25">
      <c r="A30" s="75" t="s">
        <v>38</v>
      </c>
      <c r="B30" s="5" t="s">
        <v>129</v>
      </c>
      <c r="C30" s="5"/>
      <c r="D30" s="169"/>
      <c r="E30" s="105"/>
    </row>
    <row r="31" spans="1:8" ht="28.5" customHeight="1" x14ac:dyDescent="0.25">
      <c r="A31" s="75" t="s">
        <v>132</v>
      </c>
      <c r="B31" s="5"/>
      <c r="C31" s="5"/>
      <c r="D31" s="169">
        <v>140000</v>
      </c>
      <c r="E31" s="131" t="s">
        <v>137</v>
      </c>
    </row>
    <row r="32" spans="1:8" ht="15.75" thickBot="1" x14ac:dyDescent="0.3">
      <c r="A32" s="5" t="s">
        <v>56</v>
      </c>
      <c r="B32" s="5" t="s">
        <v>155</v>
      </c>
      <c r="C32" s="5"/>
      <c r="D32" s="169"/>
      <c r="E32" s="105"/>
    </row>
    <row r="33" spans="1:7" ht="15.75" thickBot="1" x14ac:dyDescent="0.3">
      <c r="A33" s="30" t="s">
        <v>33</v>
      </c>
      <c r="B33" s="30"/>
      <c r="C33" s="30"/>
      <c r="D33" s="173"/>
      <c r="E33" s="106">
        <f>SUM(D30:D32)</f>
        <v>140000</v>
      </c>
    </row>
    <row r="34" spans="1:7" x14ac:dyDescent="0.25">
      <c r="A34" s="38" t="s">
        <v>57</v>
      </c>
      <c r="B34" s="39"/>
      <c r="C34" s="39"/>
      <c r="D34" s="174"/>
      <c r="E34" s="77"/>
    </row>
    <row r="35" spans="1:7" s="44" customFormat="1" ht="17.25" customHeight="1" x14ac:dyDescent="0.25">
      <c r="A35" s="144" t="s">
        <v>119</v>
      </c>
      <c r="B35" s="145"/>
      <c r="C35" s="63"/>
      <c r="D35" s="175">
        <v>164979</v>
      </c>
      <c r="E35" s="130" t="s">
        <v>124</v>
      </c>
    </row>
    <row r="36" spans="1:7" ht="14.25" customHeight="1" x14ac:dyDescent="0.25">
      <c r="A36" s="144" t="s">
        <v>121</v>
      </c>
      <c r="B36" s="145"/>
      <c r="C36" s="63"/>
      <c r="D36" s="176">
        <v>6646.91</v>
      </c>
      <c r="E36" s="130" t="str">
        <f>E35</f>
        <v>Cheque 25/02</v>
      </c>
    </row>
    <row r="37" spans="1:7" ht="15.75" thickBot="1" x14ac:dyDescent="0.3">
      <c r="A37" s="30" t="s">
        <v>2</v>
      </c>
      <c r="B37" s="30"/>
      <c r="C37" s="30"/>
      <c r="D37" s="173"/>
      <c r="E37" s="107">
        <f>SUM(D35:D36)</f>
        <v>171625.91</v>
      </c>
    </row>
    <row r="38" spans="1:7" x14ac:dyDescent="0.25">
      <c r="A38" s="40" t="s">
        <v>34</v>
      </c>
      <c r="B38" s="31"/>
      <c r="C38" s="31"/>
      <c r="D38" s="177"/>
      <c r="E38" s="108"/>
    </row>
    <row r="39" spans="1:7" x14ac:dyDescent="0.25">
      <c r="A39" s="5" t="s">
        <v>118</v>
      </c>
      <c r="B39" s="5"/>
      <c r="C39" s="61"/>
      <c r="D39" s="41">
        <v>322973.14</v>
      </c>
      <c r="E39" s="135" t="s">
        <v>123</v>
      </c>
      <c r="G39" s="128"/>
    </row>
    <row r="40" spans="1:7" x14ac:dyDescent="0.25">
      <c r="A40" s="5" t="s">
        <v>117</v>
      </c>
      <c r="B40" s="5" t="s">
        <v>125</v>
      </c>
      <c r="C40" s="5"/>
      <c r="D40" s="178">
        <v>17140.650000000001</v>
      </c>
      <c r="E40" s="136" t="s">
        <v>128</v>
      </c>
    </row>
    <row r="41" spans="1:7" x14ac:dyDescent="0.25">
      <c r="A41" s="5" t="str">
        <f>A40</f>
        <v>Sindicatos mes de febrero</v>
      </c>
      <c r="B41" s="5" t="s">
        <v>126</v>
      </c>
      <c r="C41" s="5"/>
      <c r="D41" s="178">
        <v>48889.760000000002</v>
      </c>
      <c r="E41" s="136" t="str">
        <f>E40</f>
        <v>Debito 12/2</v>
      </c>
    </row>
    <row r="42" spans="1:7" x14ac:dyDescent="0.25">
      <c r="A42" s="5" t="str">
        <f>A41</f>
        <v>Sindicatos mes de febrero</v>
      </c>
      <c r="B42" s="5" t="s">
        <v>127</v>
      </c>
      <c r="C42" s="5"/>
      <c r="D42" s="178">
        <v>3428.14</v>
      </c>
      <c r="E42" s="137" t="str">
        <f>E41</f>
        <v>Debito 12/2</v>
      </c>
    </row>
    <row r="43" spans="1:7" ht="15" customHeight="1" thickBot="1" x14ac:dyDescent="0.3">
      <c r="A43" s="30" t="s">
        <v>3</v>
      </c>
      <c r="B43" s="31"/>
      <c r="C43" s="31"/>
      <c r="D43" s="179"/>
      <c r="E43" s="107">
        <f>SUM(D39:D42)</f>
        <v>392431.69000000006</v>
      </c>
    </row>
    <row r="44" spans="1:7" x14ac:dyDescent="0.25">
      <c r="A44" s="40" t="s">
        <v>36</v>
      </c>
      <c r="B44" s="31"/>
      <c r="C44" s="31"/>
      <c r="D44" s="177"/>
      <c r="E44" s="108"/>
    </row>
    <row r="45" spans="1:7" ht="14.25" customHeight="1" x14ac:dyDescent="0.25">
      <c r="A45" s="5" t="s">
        <v>138</v>
      </c>
      <c r="B45" s="5"/>
      <c r="C45" s="5"/>
      <c r="D45" s="178"/>
      <c r="E45" s="113" t="s">
        <v>129</v>
      </c>
    </row>
    <row r="46" spans="1:7" ht="14.25" customHeight="1" x14ac:dyDescent="0.25">
      <c r="A46" s="5" t="s">
        <v>122</v>
      </c>
      <c r="B46" s="5"/>
      <c r="C46" s="5"/>
      <c r="D46" s="178">
        <v>121945.52</v>
      </c>
      <c r="E46" s="113" t="s">
        <v>130</v>
      </c>
    </row>
    <row r="47" spans="1:7" x14ac:dyDescent="0.25">
      <c r="A47" s="5" t="s">
        <v>131</v>
      </c>
      <c r="B47" s="5"/>
      <c r="C47" s="5"/>
      <c r="D47" s="178">
        <v>18096.78</v>
      </c>
      <c r="E47" s="113" t="s">
        <v>130</v>
      </c>
    </row>
    <row r="48" spans="1:7" x14ac:dyDescent="0.25">
      <c r="A48" s="5" t="s">
        <v>133</v>
      </c>
      <c r="B48" s="5"/>
      <c r="C48" s="5"/>
      <c r="D48" s="178">
        <v>17000</v>
      </c>
      <c r="E48" s="113" t="s">
        <v>134</v>
      </c>
    </row>
    <row r="49" spans="1:8" x14ac:dyDescent="0.25">
      <c r="A49" s="141"/>
      <c r="B49" s="142"/>
      <c r="C49" s="64"/>
      <c r="D49" s="180"/>
      <c r="E49" s="110"/>
    </row>
    <row r="50" spans="1:8" ht="15.75" thickBot="1" x14ac:dyDescent="0.3">
      <c r="A50" s="30" t="s">
        <v>4</v>
      </c>
      <c r="B50" s="30"/>
      <c r="C50" s="30"/>
      <c r="D50" s="173"/>
      <c r="E50" s="107">
        <f>SUM(D45:D49)</f>
        <v>157042.29999999999</v>
      </c>
    </row>
    <row r="51" spans="1:8" ht="15.75" thickBot="1" x14ac:dyDescent="0.3">
      <c r="A51" s="40" t="s">
        <v>35</v>
      </c>
      <c r="B51" s="30"/>
      <c r="C51" s="30"/>
      <c r="D51" s="173"/>
      <c r="E51" s="111"/>
    </row>
    <row r="52" spans="1:8" x14ac:dyDescent="0.25">
      <c r="A52" s="65" t="s">
        <v>135</v>
      </c>
      <c r="B52" s="65"/>
      <c r="C52" s="66"/>
      <c r="D52" s="178"/>
      <c r="E52" s="132"/>
    </row>
    <row r="53" spans="1:8" x14ac:dyDescent="0.25">
      <c r="A53" s="5" t="s">
        <v>136</v>
      </c>
      <c r="B53" s="5"/>
      <c r="C53" s="5"/>
      <c r="D53" s="178">
        <v>2940</v>
      </c>
      <c r="E53" s="131" t="s">
        <v>137</v>
      </c>
    </row>
    <row r="54" spans="1:8" x14ac:dyDescent="0.25">
      <c r="A54" s="61"/>
      <c r="B54" s="5"/>
      <c r="C54" s="5"/>
      <c r="D54" s="41"/>
      <c r="E54" s="110"/>
    </row>
    <row r="55" spans="1:8" ht="15.75" thickBot="1" x14ac:dyDescent="0.3">
      <c r="A55" s="30" t="s">
        <v>12</v>
      </c>
      <c r="B55" s="40"/>
      <c r="C55" s="40"/>
      <c r="D55" s="40"/>
      <c r="E55" s="115">
        <f>SUM(D52:D54)</f>
        <v>2940</v>
      </c>
    </row>
    <row r="56" spans="1:8" ht="15.75" thickBot="1" x14ac:dyDescent="0.3">
      <c r="A56" s="40" t="s">
        <v>26</v>
      </c>
      <c r="B56" s="76"/>
      <c r="C56" s="30"/>
      <c r="D56" s="171"/>
      <c r="E56" s="111"/>
    </row>
    <row r="57" spans="1:8" x14ac:dyDescent="0.25">
      <c r="A57" s="5" t="s">
        <v>26</v>
      </c>
      <c r="B57" s="5"/>
      <c r="C57" s="5"/>
      <c r="D57" s="178">
        <v>33260.5</v>
      </c>
      <c r="E57" s="116"/>
    </row>
    <row r="58" spans="1:8" x14ac:dyDescent="0.25">
      <c r="A58" s="5" t="s">
        <v>60</v>
      </c>
      <c r="B58" s="5"/>
      <c r="C58" s="5"/>
      <c r="D58" s="178">
        <v>43304</v>
      </c>
      <c r="E58" s="114"/>
    </row>
    <row r="59" spans="1:8" ht="15.75" thickBot="1" x14ac:dyDescent="0.3">
      <c r="A59" s="60" t="s">
        <v>33</v>
      </c>
      <c r="B59" s="60"/>
      <c r="C59" s="60"/>
      <c r="D59" s="117"/>
      <c r="E59" s="107">
        <f>SUM(D57:D58)</f>
        <v>76564.5</v>
      </c>
    </row>
    <row r="60" spans="1:8" ht="15.75" thickBot="1" x14ac:dyDescent="0.3">
      <c r="A60" s="5"/>
      <c r="B60" s="5"/>
      <c r="C60" s="5"/>
      <c r="D60" s="101"/>
      <c r="E60" s="118"/>
    </row>
    <row r="61" spans="1:8" ht="15.75" thickBot="1" x14ac:dyDescent="0.3">
      <c r="A61" s="33" t="s">
        <v>40</v>
      </c>
      <c r="B61" s="33"/>
      <c r="C61" s="33"/>
      <c r="D61" s="119"/>
      <c r="E61" s="120">
        <v>225527.6</v>
      </c>
    </row>
    <row r="62" spans="1:8" ht="15.75" thickBot="1" x14ac:dyDescent="0.3">
      <c r="A62" s="1"/>
      <c r="D62" s="121"/>
      <c r="E62" s="122"/>
      <c r="F62" s="51"/>
    </row>
    <row r="63" spans="1:8" ht="15.75" thickBot="1" x14ac:dyDescent="0.3">
      <c r="A63" s="3" t="s">
        <v>27</v>
      </c>
      <c r="B63" s="10"/>
      <c r="C63" s="4"/>
      <c r="D63" s="123"/>
      <c r="E63" s="124">
        <f>(SUM(E28:E61))</f>
        <v>1700000.0000000002</v>
      </c>
      <c r="F63" s="51"/>
      <c r="G63" s="166">
        <f>E63-H63</f>
        <v>0</v>
      </c>
      <c r="H63">
        <v>1700000</v>
      </c>
    </row>
    <row r="64" spans="1:8" x14ac:dyDescent="0.25">
      <c r="D64" s="121"/>
      <c r="E64" s="121"/>
    </row>
    <row r="65" spans="1:5" ht="15.75" thickBot="1" x14ac:dyDescent="0.3">
      <c r="D65" s="121"/>
      <c r="E65" s="121"/>
    </row>
    <row r="66" spans="1:5" ht="14.25" customHeight="1" x14ac:dyDescent="0.25">
      <c r="A66" s="11" t="s">
        <v>39</v>
      </c>
      <c r="B66" s="12"/>
      <c r="C66" s="13"/>
      <c r="D66" s="125"/>
      <c r="E66" s="126"/>
    </row>
    <row r="67" spans="1:5" x14ac:dyDescent="0.25">
      <c r="A67" s="146"/>
      <c r="B67" s="142"/>
      <c r="C67" s="5"/>
      <c r="D67" s="112"/>
      <c r="E67" s="109"/>
    </row>
    <row r="68" spans="1:5" x14ac:dyDescent="0.25">
      <c r="A68" s="133"/>
      <c r="B68" s="134"/>
      <c r="C68" s="61"/>
      <c r="D68" s="112"/>
      <c r="E68" s="109"/>
    </row>
    <row r="69" spans="1:5" x14ac:dyDescent="0.25">
      <c r="A69" s="58"/>
      <c r="B69" s="57"/>
      <c r="C69" s="57"/>
      <c r="D69" s="69"/>
      <c r="E69" s="69">
        <f>SUM(D67:D68)</f>
        <v>0</v>
      </c>
    </row>
    <row r="71" spans="1:5" x14ac:dyDescent="0.25">
      <c r="A71" s="33" t="s">
        <v>41</v>
      </c>
      <c r="B71" s="33"/>
      <c r="C71" s="33"/>
      <c r="D71" s="34"/>
      <c r="E71" s="181">
        <v>800000</v>
      </c>
    </row>
    <row r="72" spans="1:5" ht="15.75" thickBot="1" x14ac:dyDescent="0.3"/>
    <row r="73" spans="1:5" ht="15.75" thickBot="1" x14ac:dyDescent="0.3">
      <c r="A73" s="3" t="s">
        <v>42</v>
      </c>
      <c r="B73" s="10"/>
      <c r="C73" s="4"/>
      <c r="D73" s="4"/>
      <c r="E73" s="78">
        <f>E69+E71</f>
        <v>800000</v>
      </c>
    </row>
    <row r="74" spans="1:5" ht="15.75" thickBot="1" x14ac:dyDescent="0.3"/>
    <row r="75" spans="1:5" ht="15.75" thickBot="1" x14ac:dyDescent="0.3">
      <c r="A75" s="99" t="s">
        <v>28</v>
      </c>
      <c r="B75" s="100">
        <f>E63</f>
        <v>1700000.0000000002</v>
      </c>
      <c r="D75" s="51"/>
    </row>
    <row r="76" spans="1:5" ht="15.75" thickBot="1" x14ac:dyDescent="0.3">
      <c r="A76" s="99" t="s">
        <v>29</v>
      </c>
      <c r="B76" s="100">
        <f>E63-E61</f>
        <v>1474472.4000000001</v>
      </c>
    </row>
    <row r="77" spans="1:5" ht="15.75" thickBot="1" x14ac:dyDescent="0.3">
      <c r="A77" s="99" t="s">
        <v>43</v>
      </c>
      <c r="B77" s="100">
        <f>E73-E71</f>
        <v>0</v>
      </c>
    </row>
    <row r="78" spans="1:5" ht="15.75" thickBot="1" x14ac:dyDescent="0.3">
      <c r="A78" s="99" t="s">
        <v>68</v>
      </c>
      <c r="B78" s="100">
        <f>E73</f>
        <v>800000</v>
      </c>
    </row>
    <row r="79" spans="1:5" ht="14.25" customHeight="1" x14ac:dyDescent="0.25"/>
    <row r="80" spans="1:5" hidden="1" x14ac:dyDescent="0.25"/>
    <row r="81" spans="1:5" hidden="1" x14ac:dyDescent="0.25">
      <c r="A81" s="143"/>
      <c r="B81" s="143"/>
      <c r="C81" s="143"/>
      <c r="D81" s="143"/>
      <c r="E81" s="143"/>
    </row>
    <row r="82" spans="1:5" hidden="1" x14ac:dyDescent="0.25">
      <c r="A82" s="143"/>
      <c r="B82" s="143"/>
      <c r="C82" s="143"/>
      <c r="D82" s="143"/>
      <c r="E82" s="143"/>
    </row>
    <row r="83" spans="1:5" ht="38.25" hidden="1" customHeight="1" x14ac:dyDescent="0.25">
      <c r="A83" s="143"/>
      <c r="B83" s="143"/>
      <c r="C83" s="143"/>
      <c r="D83" s="143"/>
      <c r="E83" s="143"/>
    </row>
    <row r="85" spans="1:5" x14ac:dyDescent="0.25">
      <c r="A85" s="23" t="s">
        <v>59</v>
      </c>
      <c r="B85" s="46"/>
      <c r="C85" s="24"/>
    </row>
    <row r="86" spans="1:5" ht="18" customHeight="1" x14ac:dyDescent="0.25">
      <c r="A86" s="36" t="s">
        <v>30</v>
      </c>
      <c r="B86" s="164">
        <v>158929.1100000001</v>
      </c>
      <c r="C86" s="26"/>
    </row>
    <row r="87" spans="1:5" ht="14.25" customHeight="1" x14ac:dyDescent="0.25">
      <c r="A87" s="25" t="s">
        <v>108</v>
      </c>
      <c r="B87" s="47">
        <f>PRORRATEO!H25</f>
        <v>515061.79249999998</v>
      </c>
      <c r="C87" s="24"/>
    </row>
    <row r="88" spans="1:5" x14ac:dyDescent="0.25">
      <c r="A88" s="25" t="s">
        <v>70</v>
      </c>
      <c r="B88" s="114">
        <f>B120</f>
        <v>1018291.72</v>
      </c>
      <c r="C88" s="24"/>
    </row>
    <row r="89" spans="1:5" x14ac:dyDescent="0.25">
      <c r="A89" s="45" t="s">
        <v>44</v>
      </c>
      <c r="B89" s="55">
        <f>-B76</f>
        <v>-1474472.4000000001</v>
      </c>
      <c r="C89" s="24"/>
    </row>
    <row r="90" spans="1:5" x14ac:dyDescent="0.25">
      <c r="A90" s="28" t="s">
        <v>45</v>
      </c>
      <c r="B90" s="55">
        <f>-(B77)</f>
        <v>0</v>
      </c>
      <c r="C90" s="24"/>
    </row>
    <row r="91" spans="1:5" x14ac:dyDescent="0.25">
      <c r="A91" s="35" t="s">
        <v>12</v>
      </c>
      <c r="B91" s="138">
        <f>SUM(B86:B90)</f>
        <v>217810.22249999992</v>
      </c>
      <c r="C91" s="27"/>
    </row>
    <row r="92" spans="1:5" ht="34.5" customHeight="1" x14ac:dyDescent="0.25">
      <c r="B92" s="48"/>
      <c r="C92" s="27"/>
      <c r="D92" s="51"/>
    </row>
    <row r="93" spans="1:5" ht="14.25" hidden="1" customHeight="1" x14ac:dyDescent="0.25">
      <c r="B93" s="49"/>
      <c r="C93" s="27"/>
    </row>
    <row r="94" spans="1:5" s="44" customFormat="1" ht="27" hidden="1" customHeight="1" x14ac:dyDescent="0.25">
      <c r="A94"/>
      <c r="B94" s="48"/>
      <c r="C94" s="43"/>
    </row>
    <row r="95" spans="1:5" s="44" customFormat="1" ht="27" hidden="1" customHeight="1" x14ac:dyDescent="0.25">
      <c r="A95" s="37" t="s">
        <v>31</v>
      </c>
      <c r="B95" s="41"/>
      <c r="C95" s="43"/>
      <c r="D95" s="54"/>
    </row>
    <row r="96" spans="1:5" s="44" customFormat="1" ht="27" hidden="1" customHeight="1" x14ac:dyDescent="0.25">
      <c r="A96" s="5" t="s">
        <v>30</v>
      </c>
      <c r="B96" s="42">
        <v>0</v>
      </c>
      <c r="C96" s="43"/>
    </row>
    <row r="97" spans="1:4" ht="14.25" hidden="1" customHeight="1" x14ac:dyDescent="0.25">
      <c r="A97" s="5" t="s">
        <v>24</v>
      </c>
      <c r="B97" s="41">
        <v>0</v>
      </c>
      <c r="C97" s="27"/>
      <c r="D97" s="51"/>
    </row>
    <row r="98" spans="1:4" hidden="1" x14ac:dyDescent="0.25">
      <c r="A98" s="5" t="s">
        <v>44</v>
      </c>
      <c r="B98" s="41">
        <v>0</v>
      </c>
      <c r="C98" s="27"/>
    </row>
    <row r="99" spans="1:4" hidden="1" x14ac:dyDescent="0.25">
      <c r="A99" s="5" t="s">
        <v>45</v>
      </c>
      <c r="B99" s="41">
        <v>0</v>
      </c>
      <c r="C99" s="29"/>
    </row>
    <row r="100" spans="1:4" hidden="1" x14ac:dyDescent="0.25">
      <c r="A100" s="37" t="s">
        <v>32</v>
      </c>
      <c r="B100" s="56">
        <f>SUM(B96:B99)</f>
        <v>0</v>
      </c>
      <c r="C100" s="24"/>
    </row>
    <row r="101" spans="1:4" hidden="1" x14ac:dyDescent="0.25"/>
    <row r="102" spans="1:4" ht="60.75" hidden="1" customHeight="1" x14ac:dyDescent="0.25"/>
    <row r="103" spans="1:4" x14ac:dyDescent="0.25">
      <c r="A103" s="140" t="s">
        <v>58</v>
      </c>
      <c r="B103" s="140"/>
      <c r="C103" s="140"/>
    </row>
    <row r="104" spans="1:4" x14ac:dyDescent="0.25">
      <c r="A104" s="140"/>
      <c r="B104" s="140"/>
      <c r="C104" s="140"/>
    </row>
    <row r="105" spans="1:4" ht="20.25" customHeight="1" x14ac:dyDescent="0.25">
      <c r="A105" s="5" t="s">
        <v>142</v>
      </c>
      <c r="B105" s="41">
        <v>150511</v>
      </c>
      <c r="C105" s="41">
        <v>11948.17</v>
      </c>
    </row>
    <row r="106" spans="1:4" x14ac:dyDescent="0.25">
      <c r="A106" s="5" t="s">
        <v>143</v>
      </c>
      <c r="B106" s="41">
        <v>60571.5</v>
      </c>
      <c r="C106" s="41">
        <v>52000</v>
      </c>
    </row>
    <row r="107" spans="1:4" x14ac:dyDescent="0.25">
      <c r="A107" s="67" t="s">
        <v>144</v>
      </c>
      <c r="B107" s="41">
        <v>150511</v>
      </c>
      <c r="C107" s="41">
        <v>61209</v>
      </c>
    </row>
    <row r="108" spans="1:4" x14ac:dyDescent="0.25">
      <c r="A108" s="67" t="s">
        <v>145</v>
      </c>
      <c r="B108" s="41">
        <v>78368</v>
      </c>
      <c r="C108" s="41"/>
    </row>
    <row r="109" spans="1:4" x14ac:dyDescent="0.25">
      <c r="A109" s="67" t="s">
        <v>146</v>
      </c>
      <c r="B109" s="41">
        <v>111965.9</v>
      </c>
      <c r="C109" s="41"/>
    </row>
    <row r="110" spans="1:4" x14ac:dyDescent="0.25">
      <c r="A110" s="67" t="s">
        <v>147</v>
      </c>
      <c r="B110" s="41">
        <v>55065</v>
      </c>
      <c r="C110" s="41"/>
    </row>
    <row r="111" spans="1:4" x14ac:dyDescent="0.25">
      <c r="A111" s="67" t="s">
        <v>148</v>
      </c>
      <c r="B111" s="41">
        <v>20000</v>
      </c>
      <c r="C111" s="41"/>
    </row>
    <row r="112" spans="1:4" x14ac:dyDescent="0.25">
      <c r="A112" s="165" t="s">
        <v>149</v>
      </c>
      <c r="B112" s="41">
        <v>93610.5</v>
      </c>
      <c r="C112" s="41"/>
    </row>
    <row r="113" spans="1:13" x14ac:dyDescent="0.25">
      <c r="A113" s="165" t="s">
        <v>150</v>
      </c>
      <c r="B113" s="41">
        <v>8536.5</v>
      </c>
      <c r="C113" s="41"/>
    </row>
    <row r="114" spans="1:13" x14ac:dyDescent="0.25">
      <c r="A114" s="165" t="s">
        <v>151</v>
      </c>
      <c r="B114" s="41">
        <v>91500</v>
      </c>
      <c r="C114" s="41"/>
    </row>
    <row r="115" spans="1:13" x14ac:dyDescent="0.25">
      <c r="A115" s="165" t="s">
        <v>152</v>
      </c>
      <c r="B115" s="41">
        <v>55065</v>
      </c>
      <c r="C115" s="41"/>
    </row>
    <row r="116" spans="1:13" x14ac:dyDescent="0.25">
      <c r="A116" s="165" t="s">
        <v>153</v>
      </c>
      <c r="B116" s="41">
        <v>109739</v>
      </c>
      <c r="C116" s="41"/>
    </row>
    <row r="117" spans="1:13" x14ac:dyDescent="0.25">
      <c r="A117" s="165" t="s">
        <v>154</v>
      </c>
      <c r="B117" s="41">
        <v>32848.32</v>
      </c>
      <c r="C117" s="41"/>
    </row>
    <row r="118" spans="1:13" ht="15.75" customHeight="1" x14ac:dyDescent="0.25">
      <c r="A118" s="165"/>
      <c r="B118" s="41"/>
      <c r="C118" s="41">
        <v>40000</v>
      </c>
    </row>
    <row r="119" spans="1:13" ht="15.75" customHeight="1" x14ac:dyDescent="0.25">
      <c r="A119" s="165"/>
      <c r="B119" s="41"/>
      <c r="C119" s="127"/>
    </row>
    <row r="120" spans="1:13" x14ac:dyDescent="0.25">
      <c r="A120" s="52" t="s">
        <v>12</v>
      </c>
      <c r="B120" s="129">
        <f>SUM(B105:B119)</f>
        <v>1018291.72</v>
      </c>
      <c r="C120" s="53"/>
    </row>
    <row r="121" spans="1:13" x14ac:dyDescent="0.25">
      <c r="M121" s="8"/>
    </row>
    <row r="122" spans="1:13" ht="15" hidden="1" customHeight="1" x14ac:dyDescent="0.25">
      <c r="A122" s="139"/>
      <c r="B122" s="139"/>
      <c r="C122" s="139"/>
      <c r="D122" s="139"/>
      <c r="E122" s="139"/>
    </row>
    <row r="123" spans="1:13" hidden="1" x14ac:dyDescent="0.25">
      <c r="A123" s="139"/>
      <c r="B123" s="139"/>
      <c r="C123" s="139"/>
      <c r="D123" s="139"/>
      <c r="E123" s="139"/>
    </row>
    <row r="124" spans="1:13" hidden="1" x14ac:dyDescent="0.25">
      <c r="A124" s="139"/>
      <c r="B124" s="139"/>
      <c r="C124" s="139"/>
      <c r="D124" s="139"/>
      <c r="E124" s="139"/>
    </row>
    <row r="125" spans="1:13" hidden="1" x14ac:dyDescent="0.25">
      <c r="A125" s="139"/>
      <c r="B125" s="139"/>
      <c r="C125" s="139"/>
      <c r="D125" s="139"/>
      <c r="E125" s="139"/>
    </row>
  </sheetData>
  <mergeCells count="9">
    <mergeCell ref="A14:E17"/>
    <mergeCell ref="B9:C11"/>
    <mergeCell ref="A35:B35"/>
    <mergeCell ref="A36:B36"/>
    <mergeCell ref="A122:E125"/>
    <mergeCell ref="A103:C104"/>
    <mergeCell ref="A49:B49"/>
    <mergeCell ref="A81:E83"/>
    <mergeCell ref="A67:B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topLeftCell="B1" zoomScaleNormal="100" workbookViewId="0">
      <selection activeCell="O7" sqref="O7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0.5703125" customWidth="1"/>
    <col min="14" max="14" width="14" customWidth="1"/>
    <col min="15" max="15" width="14.28515625" customWidth="1"/>
    <col min="16" max="16" width="7.42578125" hidden="1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6"/>
      <c r="C1" s="6"/>
      <c r="D1" s="6" t="s">
        <v>51</v>
      </c>
      <c r="E1" s="6"/>
      <c r="F1" s="158" t="s">
        <v>110</v>
      </c>
      <c r="G1" s="158"/>
      <c r="H1" s="158"/>
      <c r="I1" s="158"/>
      <c r="J1" s="158"/>
      <c r="K1" s="158"/>
      <c r="L1" s="158"/>
      <c r="M1" s="158"/>
      <c r="N1" s="158"/>
      <c r="O1" s="6"/>
    </row>
    <row r="2" spans="1:18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</v>
      </c>
      <c r="M2" s="6"/>
      <c r="N2" s="167">
        <v>1700000</v>
      </c>
      <c r="O2" s="167"/>
      <c r="P2" s="22"/>
    </row>
    <row r="3" spans="1:18" ht="12.95" customHeight="1" thickBot="1" x14ac:dyDescent="0.3">
      <c r="A3" s="6"/>
      <c r="B3" s="6"/>
      <c r="C3" s="6"/>
      <c r="D3" s="6" t="s">
        <v>52</v>
      </c>
      <c r="E3" s="6"/>
      <c r="F3" s="6"/>
      <c r="G3" s="6"/>
      <c r="H3" s="6"/>
      <c r="I3" s="6"/>
      <c r="J3" s="6"/>
      <c r="K3" s="6"/>
      <c r="L3" s="7" t="s">
        <v>71</v>
      </c>
      <c r="M3" s="6"/>
      <c r="N3" s="168">
        <v>800000</v>
      </c>
      <c r="O3" s="168"/>
    </row>
    <row r="4" spans="1:18" x14ac:dyDescent="0.25">
      <c r="A4" s="153" t="s">
        <v>6</v>
      </c>
      <c r="B4" s="155" t="s">
        <v>7</v>
      </c>
      <c r="C4" s="151" t="s">
        <v>8</v>
      </c>
      <c r="D4" s="151" t="s">
        <v>9</v>
      </c>
      <c r="E4" s="151" t="s">
        <v>49</v>
      </c>
      <c r="F4" s="151" t="s">
        <v>25</v>
      </c>
      <c r="G4" s="151" t="s">
        <v>69</v>
      </c>
      <c r="H4" s="151" t="s">
        <v>10</v>
      </c>
      <c r="I4" s="151" t="s">
        <v>50</v>
      </c>
      <c r="J4" s="161" t="s">
        <v>55</v>
      </c>
      <c r="K4" s="159" t="s">
        <v>47</v>
      </c>
      <c r="L4" s="159" t="s">
        <v>11</v>
      </c>
      <c r="M4" s="159" t="s">
        <v>46</v>
      </c>
      <c r="N4" s="72" t="s">
        <v>66</v>
      </c>
      <c r="O4" s="149" t="s">
        <v>65</v>
      </c>
      <c r="R4" s="51"/>
    </row>
    <row r="5" spans="1:18" ht="15.75" customHeight="1" x14ac:dyDescent="0.25">
      <c r="A5" s="154"/>
      <c r="B5" s="156"/>
      <c r="C5" s="157"/>
      <c r="D5" s="157"/>
      <c r="E5" s="152"/>
      <c r="F5" s="157"/>
      <c r="G5" s="157"/>
      <c r="H5" s="157"/>
      <c r="I5" s="152"/>
      <c r="J5" s="162"/>
      <c r="K5" s="160"/>
      <c r="L5" s="163"/>
      <c r="M5" s="160"/>
      <c r="N5" s="70" t="str">
        <f>RESUMEN!B9</f>
        <v>VTO 13/03</v>
      </c>
      <c r="O5" s="150"/>
    </row>
    <row r="6" spans="1:18" ht="17.100000000000001" customHeight="1" x14ac:dyDescent="0.25">
      <c r="A6" s="5" t="s">
        <v>13</v>
      </c>
      <c r="B6" s="73">
        <v>1</v>
      </c>
      <c r="C6" s="73" t="s">
        <v>72</v>
      </c>
      <c r="D6" s="73" t="s">
        <v>73</v>
      </c>
      <c r="E6" s="73"/>
      <c r="F6" s="83">
        <v>3</v>
      </c>
      <c r="G6" s="84">
        <v>55065</v>
      </c>
      <c r="H6" s="85"/>
      <c r="I6" s="86"/>
      <c r="J6" s="87">
        <f>G6-H6</f>
        <v>55065</v>
      </c>
      <c r="K6" s="87">
        <f>IF(J6&gt;0,J6*5%,0)</f>
        <v>2753.25</v>
      </c>
      <c r="L6" s="88">
        <f>N$3*F6%</f>
        <v>24000</v>
      </c>
      <c r="M6" s="88">
        <f>N$2*F6%</f>
        <v>51000</v>
      </c>
      <c r="N6" s="89">
        <f>ROUND(SUM(J6:M6),0) + P6</f>
        <v>132818.01</v>
      </c>
      <c r="O6" s="90">
        <f>ROUND(N6*3%,0) + N6</f>
        <v>136803.01</v>
      </c>
      <c r="P6" s="51">
        <v>0.01</v>
      </c>
    </row>
    <row r="7" spans="1:18" ht="17.100000000000001" customHeight="1" x14ac:dyDescent="0.25">
      <c r="A7" s="5" t="s">
        <v>14</v>
      </c>
      <c r="B7" s="73">
        <v>2</v>
      </c>
      <c r="C7" s="73" t="s">
        <v>74</v>
      </c>
      <c r="D7" s="73" t="s">
        <v>75</v>
      </c>
      <c r="E7" s="74"/>
      <c r="F7" s="83">
        <v>3.8</v>
      </c>
      <c r="G7" s="84">
        <v>134518.66999999998</v>
      </c>
      <c r="H7" s="85"/>
      <c r="I7" s="86"/>
      <c r="J7" s="87">
        <f>G7-H7</f>
        <v>134518.66999999998</v>
      </c>
      <c r="K7" s="87">
        <f t="shared" ref="K7:K24" si="0">IF(J7&gt;0,J7*5%,0)</f>
        <v>6725.9334999999992</v>
      </c>
      <c r="L7" s="88">
        <f>N$3*F7%</f>
        <v>30400</v>
      </c>
      <c r="M7" s="88">
        <f>N$2*F7%</f>
        <v>64600</v>
      </c>
      <c r="N7" s="89">
        <f>ROUND(SUM(J7:M7),0) + P7</f>
        <v>236245.02</v>
      </c>
      <c r="O7" s="90">
        <f>ROUND(N7*3%,0) + N7</f>
        <v>243332.02</v>
      </c>
      <c r="P7" s="51">
        <f>P6+0.01</f>
        <v>0.02</v>
      </c>
      <c r="Q7" s="51"/>
    </row>
    <row r="8" spans="1:18" ht="17.100000000000001" customHeight="1" x14ac:dyDescent="0.25">
      <c r="A8" s="5" t="s">
        <v>14</v>
      </c>
      <c r="B8" s="73">
        <v>3</v>
      </c>
      <c r="C8" s="73" t="s">
        <v>76</v>
      </c>
      <c r="D8" s="73" t="s">
        <v>77</v>
      </c>
      <c r="E8" s="74"/>
      <c r="F8" s="83">
        <v>3</v>
      </c>
      <c r="G8" s="84">
        <v>55065</v>
      </c>
      <c r="H8" s="85"/>
      <c r="I8" s="86"/>
      <c r="J8" s="87">
        <f>G8-H8</f>
        <v>55065</v>
      </c>
      <c r="K8" s="87">
        <f t="shared" si="0"/>
        <v>2753.25</v>
      </c>
      <c r="L8" s="88">
        <f>N$3*F8%</f>
        <v>24000</v>
      </c>
      <c r="M8" s="88">
        <f>N$2*F8%</f>
        <v>51000</v>
      </c>
      <c r="N8" s="89">
        <f>ROUND(SUM(J8:M8),0) + P8</f>
        <v>132818.03</v>
      </c>
      <c r="O8" s="90">
        <f>ROUND(N8*3%,0) + N8</f>
        <v>136803.03</v>
      </c>
      <c r="P8" s="51">
        <f t="shared" ref="P8:P24" si="1">P7+0.01</f>
        <v>0.03</v>
      </c>
    </row>
    <row r="9" spans="1:18" ht="17.100000000000001" customHeight="1" x14ac:dyDescent="0.25">
      <c r="A9" s="5" t="s">
        <v>15</v>
      </c>
      <c r="B9" s="73">
        <v>4</v>
      </c>
      <c r="C9" s="73" t="s">
        <v>78</v>
      </c>
      <c r="D9" s="73" t="s">
        <v>79</v>
      </c>
      <c r="E9" s="74"/>
      <c r="F9" s="83">
        <v>3.1</v>
      </c>
      <c r="G9" s="84">
        <v>109738.91500000001</v>
      </c>
      <c r="H9" s="85"/>
      <c r="I9" s="86"/>
      <c r="J9" s="87">
        <f>G9-H9</f>
        <v>109738.91500000001</v>
      </c>
      <c r="K9" s="87">
        <f t="shared" si="0"/>
        <v>5486.9457500000008</v>
      </c>
      <c r="L9" s="88">
        <f>N$3*F9%</f>
        <v>24800</v>
      </c>
      <c r="M9" s="88">
        <f>N$2*F9%</f>
        <v>52700</v>
      </c>
      <c r="N9" s="89">
        <f>ROUND(SUM(J9:M9),0) + P9</f>
        <v>192726.04</v>
      </c>
      <c r="O9" s="90">
        <f>ROUND(N9*3%,0) + N9</f>
        <v>198508.04</v>
      </c>
      <c r="P9" s="51">
        <f t="shared" si="1"/>
        <v>0.04</v>
      </c>
      <c r="R9" s="51"/>
    </row>
    <row r="10" spans="1:18" ht="17.100000000000001" customHeight="1" x14ac:dyDescent="0.25">
      <c r="A10" s="5" t="s">
        <v>15</v>
      </c>
      <c r="B10" s="73">
        <v>5</v>
      </c>
      <c r="C10" s="73" t="s">
        <v>80</v>
      </c>
      <c r="D10" s="73" t="s">
        <v>81</v>
      </c>
      <c r="E10" s="74"/>
      <c r="F10" s="83">
        <v>3.1</v>
      </c>
      <c r="G10" s="84">
        <v>109738.91500000001</v>
      </c>
      <c r="H10" s="85"/>
      <c r="I10" s="86"/>
      <c r="J10" s="87">
        <f>G10-H10</f>
        <v>109738.91500000001</v>
      </c>
      <c r="K10" s="87">
        <f t="shared" si="0"/>
        <v>5486.9457500000008</v>
      </c>
      <c r="L10" s="88">
        <f>N$3*F10%</f>
        <v>24800</v>
      </c>
      <c r="M10" s="88">
        <f>N$2*F10%</f>
        <v>52700</v>
      </c>
      <c r="N10" s="89">
        <f>ROUND(SUM(J10:M10),0) + P10</f>
        <v>192726.05</v>
      </c>
      <c r="O10" s="90">
        <f>ROUND(N10*3%,0) + N10</f>
        <v>198508.05</v>
      </c>
      <c r="P10" s="51">
        <f t="shared" si="1"/>
        <v>0.05</v>
      </c>
      <c r="R10" s="51"/>
    </row>
    <row r="11" spans="1:18" ht="17.100000000000001" customHeight="1" x14ac:dyDescent="0.25">
      <c r="A11" s="5" t="s">
        <v>16</v>
      </c>
      <c r="B11" s="73">
        <v>6</v>
      </c>
      <c r="C11" s="73" t="s">
        <v>82</v>
      </c>
      <c r="D11" s="73" t="s">
        <v>83</v>
      </c>
      <c r="E11" s="73"/>
      <c r="F11" s="83">
        <v>3.2</v>
      </c>
      <c r="G11" s="84">
        <v>58736</v>
      </c>
      <c r="H11" s="85">
        <f>G11</f>
        <v>58736</v>
      </c>
      <c r="I11" s="86"/>
      <c r="J11" s="87">
        <f>G11-H11</f>
        <v>0</v>
      </c>
      <c r="K11" s="87">
        <f t="shared" si="0"/>
        <v>0</v>
      </c>
      <c r="L11" s="88">
        <f>N$3*F11%</f>
        <v>25600</v>
      </c>
      <c r="M11" s="88">
        <f>N$2*F11%</f>
        <v>54400</v>
      </c>
      <c r="N11" s="89">
        <f>ROUND(SUM(J11:M11),0) + P11</f>
        <v>80000.06</v>
      </c>
      <c r="O11" s="90">
        <f>ROUND(N11*3%,0) + N11</f>
        <v>82400.06</v>
      </c>
      <c r="P11" s="51">
        <f t="shared" si="1"/>
        <v>6.0000000000000005E-2</v>
      </c>
    </row>
    <row r="12" spans="1:18" ht="17.100000000000001" customHeight="1" x14ac:dyDescent="0.25">
      <c r="A12" s="5" t="s">
        <v>16</v>
      </c>
      <c r="B12" s="73">
        <v>7</v>
      </c>
      <c r="C12" s="73" t="s">
        <v>84</v>
      </c>
      <c r="D12" s="73" t="s">
        <v>85</v>
      </c>
      <c r="E12" s="73"/>
      <c r="F12" s="83">
        <v>3.3</v>
      </c>
      <c r="G12" s="84">
        <v>60571.5</v>
      </c>
      <c r="H12" s="85"/>
      <c r="I12" s="86"/>
      <c r="J12" s="87">
        <f>G12-H12</f>
        <v>60571.5</v>
      </c>
      <c r="K12" s="87">
        <f t="shared" si="0"/>
        <v>3028.5750000000003</v>
      </c>
      <c r="L12" s="88">
        <f>N$3*F12%</f>
        <v>26400</v>
      </c>
      <c r="M12" s="88">
        <f>N$2*F12%</f>
        <v>56100</v>
      </c>
      <c r="N12" s="89">
        <f>ROUND(SUM(J12:M12),0) + P12</f>
        <v>146100.07</v>
      </c>
      <c r="O12" s="90">
        <f>ROUND(N12*3%,0) + N12</f>
        <v>150483.07</v>
      </c>
      <c r="P12" s="51">
        <f t="shared" si="1"/>
        <v>7.0000000000000007E-2</v>
      </c>
    </row>
    <row r="13" spans="1:18" ht="17.100000000000001" customHeight="1" x14ac:dyDescent="0.25">
      <c r="A13" s="5" t="s">
        <v>17</v>
      </c>
      <c r="B13" s="73">
        <v>23</v>
      </c>
      <c r="C13" s="73" t="s">
        <v>86</v>
      </c>
      <c r="D13" s="73" t="s">
        <v>87</v>
      </c>
      <c r="E13" s="74"/>
      <c r="F13" s="83">
        <v>6.3</v>
      </c>
      <c r="G13" s="84">
        <v>86904.4</v>
      </c>
      <c r="H13" s="85"/>
      <c r="I13" s="86"/>
      <c r="J13" s="87">
        <f>G13-H13</f>
        <v>86904.4</v>
      </c>
      <c r="K13" s="87">
        <f t="shared" si="0"/>
        <v>4345.22</v>
      </c>
      <c r="L13" s="88">
        <f>N$3*F13%</f>
        <v>50400</v>
      </c>
      <c r="M13" s="88">
        <f>N$2*F13%</f>
        <v>107100</v>
      </c>
      <c r="N13" s="89">
        <f>ROUND(SUM(J13:M13),0) + P13</f>
        <v>248750.07999999999</v>
      </c>
      <c r="O13" s="90">
        <f>ROUND(N13*3%,0) + N13</f>
        <v>256213.08</v>
      </c>
      <c r="P13" s="51">
        <f t="shared" si="1"/>
        <v>0.08</v>
      </c>
    </row>
    <row r="14" spans="1:18" ht="17.100000000000001" customHeight="1" x14ac:dyDescent="0.25">
      <c r="A14" s="5" t="s">
        <v>17</v>
      </c>
      <c r="B14" s="73">
        <v>22</v>
      </c>
      <c r="C14" s="73" t="s">
        <v>88</v>
      </c>
      <c r="D14" s="73" t="s">
        <v>89</v>
      </c>
      <c r="E14" s="74"/>
      <c r="F14" s="83">
        <v>5.0999999999999996</v>
      </c>
      <c r="G14" s="84">
        <v>93610.5</v>
      </c>
      <c r="H14" s="85"/>
      <c r="I14" s="86"/>
      <c r="J14" s="87">
        <f>G14-H14</f>
        <v>93610.5</v>
      </c>
      <c r="K14" s="87">
        <f t="shared" si="0"/>
        <v>4680.5250000000005</v>
      </c>
      <c r="L14" s="88">
        <f>N$3*F14%</f>
        <v>40800</v>
      </c>
      <c r="M14" s="88">
        <f>N$2*F14%</f>
        <v>86700</v>
      </c>
      <c r="N14" s="89">
        <f>ROUND(SUM(J14:M14),0) + P14</f>
        <v>225791.09</v>
      </c>
      <c r="O14" s="90">
        <f>ROUND(N14*3%,0) + N14</f>
        <v>232565.09</v>
      </c>
      <c r="P14" s="51">
        <f t="shared" si="1"/>
        <v>0.09</v>
      </c>
    </row>
    <row r="15" spans="1:18" ht="17.100000000000001" customHeight="1" x14ac:dyDescent="0.25">
      <c r="A15" s="5" t="s">
        <v>18</v>
      </c>
      <c r="B15" s="73">
        <v>21</v>
      </c>
      <c r="C15" s="73" t="s">
        <v>90</v>
      </c>
      <c r="D15" s="73" t="s">
        <v>91</v>
      </c>
      <c r="E15" s="74"/>
      <c r="F15" s="83">
        <v>8.1999999999999993</v>
      </c>
      <c r="G15" s="84">
        <v>150510.99999999997</v>
      </c>
      <c r="H15" s="85"/>
      <c r="I15" s="86"/>
      <c r="J15" s="87">
        <f>G15-H15</f>
        <v>150510.99999999997</v>
      </c>
      <c r="K15" s="87">
        <f t="shared" si="0"/>
        <v>7525.5499999999993</v>
      </c>
      <c r="L15" s="88">
        <f>N$3*F15%</f>
        <v>65599.999999999985</v>
      </c>
      <c r="M15" s="88">
        <f>N$2*F15%</f>
        <v>139399.99999999997</v>
      </c>
      <c r="N15" s="89">
        <f>ROUND(SUM(J15:M15),0) + P15</f>
        <v>363037.1</v>
      </c>
      <c r="O15" s="90">
        <f>ROUND(N15*3%,0) + N15</f>
        <v>373928.1</v>
      </c>
      <c r="P15" s="51">
        <f t="shared" si="1"/>
        <v>9.9999999999999992E-2</v>
      </c>
    </row>
    <row r="16" spans="1:18" ht="17.100000000000001" customHeight="1" x14ac:dyDescent="0.25">
      <c r="A16" s="5" t="s">
        <v>18</v>
      </c>
      <c r="B16" s="73">
        <v>14</v>
      </c>
      <c r="C16" s="73" t="s">
        <v>92</v>
      </c>
      <c r="D16" s="73" t="s">
        <v>93</v>
      </c>
      <c r="E16" s="74"/>
      <c r="F16" s="83">
        <v>6.1</v>
      </c>
      <c r="G16" s="84">
        <v>111965.5</v>
      </c>
      <c r="H16" s="85"/>
      <c r="I16" s="86"/>
      <c r="J16" s="87">
        <f>G16-H16</f>
        <v>111965.5</v>
      </c>
      <c r="K16" s="87">
        <f t="shared" si="0"/>
        <v>5598.2750000000005</v>
      </c>
      <c r="L16" s="88">
        <f>N$3*F16%</f>
        <v>48800</v>
      </c>
      <c r="M16" s="88">
        <f>N$2*F16%</f>
        <v>103700</v>
      </c>
      <c r="N16" s="89">
        <f>ROUND(SUM(J16:M16),0) + P16</f>
        <v>270064.11</v>
      </c>
      <c r="O16" s="90">
        <f>ROUND(N16*3%,0) + N16</f>
        <v>278166.11</v>
      </c>
      <c r="P16" s="51">
        <f t="shared" si="1"/>
        <v>0.10999999999999999</v>
      </c>
    </row>
    <row r="17" spans="1:19" ht="17.100000000000001" customHeight="1" x14ac:dyDescent="0.25">
      <c r="A17" s="5" t="s">
        <v>19</v>
      </c>
      <c r="B17" s="73">
        <v>13</v>
      </c>
      <c r="C17" s="73" t="s">
        <v>94</v>
      </c>
      <c r="D17" s="73" t="s">
        <v>139</v>
      </c>
      <c r="E17" s="74"/>
      <c r="F17" s="83">
        <v>5</v>
      </c>
      <c r="G17" s="84">
        <v>91775</v>
      </c>
      <c r="H17" s="85">
        <f>G17</f>
        <v>91775</v>
      </c>
      <c r="I17" s="86"/>
      <c r="J17" s="87">
        <f>G17-H17</f>
        <v>0</v>
      </c>
      <c r="K17" s="87">
        <f t="shared" si="0"/>
        <v>0</v>
      </c>
      <c r="L17" s="88">
        <f>N$3*F17%</f>
        <v>40000</v>
      </c>
      <c r="M17" s="88">
        <f>N$2*F17%</f>
        <v>85000</v>
      </c>
      <c r="N17" s="89">
        <f>ROUND(SUM(J17:M17),0) + P17</f>
        <v>125000.12</v>
      </c>
      <c r="O17" s="90">
        <f>ROUND(N17*3%,0) + N17</f>
        <v>128750.12</v>
      </c>
      <c r="P17" s="51">
        <f t="shared" si="1"/>
        <v>0.11999999999999998</v>
      </c>
    </row>
    <row r="18" spans="1:19" ht="17.100000000000001" customHeight="1" x14ac:dyDescent="0.25">
      <c r="A18" s="5" t="s">
        <v>19</v>
      </c>
      <c r="B18" s="73">
        <v>12</v>
      </c>
      <c r="C18" s="73" t="s">
        <v>95</v>
      </c>
      <c r="D18" s="73" t="s">
        <v>96</v>
      </c>
      <c r="E18" s="74"/>
      <c r="F18" s="83">
        <v>8.1999999999999993</v>
      </c>
      <c r="G18" s="84">
        <v>11191128.699999999</v>
      </c>
      <c r="H18" s="85"/>
      <c r="I18" s="86"/>
      <c r="J18" s="87">
        <f>G18-H18</f>
        <v>11191128.699999999</v>
      </c>
      <c r="K18" s="87">
        <f t="shared" si="0"/>
        <v>559556.43499999994</v>
      </c>
      <c r="L18" s="88">
        <f>N$3*F18%</f>
        <v>65599.999999999985</v>
      </c>
      <c r="M18" s="88">
        <f>N$2*F18%</f>
        <v>139399.99999999997</v>
      </c>
      <c r="N18" s="89">
        <f>ROUND(SUM(J18:M18),0) + P18</f>
        <v>11955685.130000001</v>
      </c>
      <c r="O18" s="90">
        <f>ROUND(N18*3%,0) + N18</f>
        <v>12314356.130000001</v>
      </c>
      <c r="P18" s="51">
        <f t="shared" si="1"/>
        <v>0.12999999999999998</v>
      </c>
    </row>
    <row r="19" spans="1:19" ht="17.100000000000001" customHeight="1" x14ac:dyDescent="0.25">
      <c r="A19" s="5" t="s">
        <v>20</v>
      </c>
      <c r="B19" s="73">
        <v>17</v>
      </c>
      <c r="C19" s="73" t="s">
        <v>97</v>
      </c>
      <c r="D19" s="73" t="s">
        <v>96</v>
      </c>
      <c r="E19" s="74"/>
      <c r="F19" s="83">
        <v>6.1</v>
      </c>
      <c r="G19" s="84">
        <v>7330118.6028086217</v>
      </c>
      <c r="H19" s="85"/>
      <c r="I19" s="86"/>
      <c r="J19" s="87">
        <f>G19-H19</f>
        <v>7330118.6028086217</v>
      </c>
      <c r="K19" s="87">
        <f t="shared" si="0"/>
        <v>366505.9301404311</v>
      </c>
      <c r="L19" s="88">
        <f>N$3*F19%</f>
        <v>48800</v>
      </c>
      <c r="M19" s="88">
        <f>N$2*F19%</f>
        <v>103700</v>
      </c>
      <c r="N19" s="89">
        <f>ROUND(SUM(J19:M19),0) + P19</f>
        <v>7849125.1399999997</v>
      </c>
      <c r="O19" s="90">
        <f>ROUND(N19*3%,0) + N19</f>
        <v>8084599.1399999997</v>
      </c>
      <c r="P19" s="51">
        <f t="shared" si="1"/>
        <v>0.13999999999999999</v>
      </c>
    </row>
    <row r="20" spans="1:19" ht="17.100000000000001" customHeight="1" x14ac:dyDescent="0.25">
      <c r="A20" s="5" t="s">
        <v>20</v>
      </c>
      <c r="B20" s="73">
        <v>16</v>
      </c>
      <c r="C20" s="73" t="s">
        <v>98</v>
      </c>
      <c r="D20" s="73" t="s">
        <v>99</v>
      </c>
      <c r="E20" s="74"/>
      <c r="F20" s="83">
        <v>5</v>
      </c>
      <c r="G20" s="84">
        <v>91451.5</v>
      </c>
      <c r="H20" s="85"/>
      <c r="I20" s="86"/>
      <c r="J20" s="87">
        <f>G20-H20</f>
        <v>91451.5</v>
      </c>
      <c r="K20" s="87">
        <f t="shared" si="0"/>
        <v>4572.5749999999998</v>
      </c>
      <c r="L20" s="88">
        <f>N$3*F20%</f>
        <v>40000</v>
      </c>
      <c r="M20" s="88">
        <f>N$2*F20%</f>
        <v>85000</v>
      </c>
      <c r="N20" s="89">
        <f>ROUND(SUM(J20:M20),0) + P20</f>
        <v>221024.15</v>
      </c>
      <c r="O20" s="90">
        <f>ROUND(N20*3%,0) + N20</f>
        <v>227655.15</v>
      </c>
      <c r="P20" s="51">
        <f t="shared" si="1"/>
        <v>0.15</v>
      </c>
    </row>
    <row r="21" spans="1:19" ht="17.100000000000001" customHeight="1" x14ac:dyDescent="0.25">
      <c r="A21" s="5" t="s">
        <v>21</v>
      </c>
      <c r="B21" s="73">
        <v>15</v>
      </c>
      <c r="C21" s="73" t="s">
        <v>100</v>
      </c>
      <c r="D21" s="73" t="s">
        <v>101</v>
      </c>
      <c r="E21" s="73"/>
      <c r="F21" s="83">
        <v>8.1999999999999993</v>
      </c>
      <c r="G21" s="84">
        <v>150510.99999999997</v>
      </c>
      <c r="H21" s="85"/>
      <c r="I21" s="86"/>
      <c r="J21" s="87">
        <f>G21-H21</f>
        <v>150510.99999999997</v>
      </c>
      <c r="K21" s="87">
        <f t="shared" si="0"/>
        <v>7525.5499999999993</v>
      </c>
      <c r="L21" s="88">
        <f>N$3*F21%</f>
        <v>65599.999999999985</v>
      </c>
      <c r="M21" s="88">
        <f>N$2*F21%</f>
        <v>139399.99999999997</v>
      </c>
      <c r="N21" s="89">
        <f>ROUND(SUM(J21:M21),0) + P21</f>
        <v>363037.16</v>
      </c>
      <c r="O21" s="90">
        <f>ROUND(N21*3%,0) + N21</f>
        <v>373928.16</v>
      </c>
      <c r="P21" s="51">
        <f t="shared" si="1"/>
        <v>0.16</v>
      </c>
      <c r="R21" s="50"/>
    </row>
    <row r="22" spans="1:19" ht="17.100000000000001" customHeight="1" x14ac:dyDescent="0.25">
      <c r="A22" s="5" t="s">
        <v>21</v>
      </c>
      <c r="B22" s="73">
        <v>20</v>
      </c>
      <c r="C22" s="73" t="s">
        <v>102</v>
      </c>
      <c r="D22" s="73" t="s">
        <v>103</v>
      </c>
      <c r="E22" s="74"/>
      <c r="F22" s="83">
        <v>6.1</v>
      </c>
      <c r="G22" s="85">
        <v>122264.7925</v>
      </c>
      <c r="H22" s="85">
        <f>G22</f>
        <v>122264.7925</v>
      </c>
      <c r="I22" s="86"/>
      <c r="J22" s="87">
        <f>G22-H22</f>
        <v>0</v>
      </c>
      <c r="K22" s="87">
        <f t="shared" si="0"/>
        <v>0</v>
      </c>
      <c r="L22" s="88">
        <f>N$3*F22%</f>
        <v>48800</v>
      </c>
      <c r="M22" s="88">
        <f>N$2*F22%</f>
        <v>103700</v>
      </c>
      <c r="N22" s="89">
        <f>ROUND(SUM(J22:M22),0) + P22</f>
        <v>152500.17000000001</v>
      </c>
      <c r="O22" s="90">
        <f>ROUND(N22*3%,0) + N22</f>
        <v>157075.17000000001</v>
      </c>
      <c r="P22" s="51">
        <f t="shared" si="1"/>
        <v>0.17</v>
      </c>
      <c r="S22" t="s">
        <v>141</v>
      </c>
    </row>
    <row r="23" spans="1:19" ht="17.100000000000001" customHeight="1" x14ac:dyDescent="0.25">
      <c r="A23" s="5" t="s">
        <v>22</v>
      </c>
      <c r="B23" s="73">
        <v>19</v>
      </c>
      <c r="C23" s="73" t="s">
        <v>104</v>
      </c>
      <c r="D23" s="73" t="s">
        <v>105</v>
      </c>
      <c r="E23" s="73"/>
      <c r="F23" s="83">
        <v>5</v>
      </c>
      <c r="G23" s="84">
        <v>91775</v>
      </c>
      <c r="H23" s="85">
        <f>G23</f>
        <v>91775</v>
      </c>
      <c r="I23" s="86"/>
      <c r="J23" s="87">
        <f>G23-H23</f>
        <v>0</v>
      </c>
      <c r="K23" s="87">
        <f t="shared" si="0"/>
        <v>0</v>
      </c>
      <c r="L23" s="88">
        <f>N$3*F23%</f>
        <v>40000</v>
      </c>
      <c r="M23" s="88">
        <f>N$2*F23%</f>
        <v>85000</v>
      </c>
      <c r="N23" s="89">
        <f>ROUND(SUM(J23:M23),0) + P23</f>
        <v>125000.18</v>
      </c>
      <c r="O23" s="90">
        <f>ROUND(N23*3%,0) + N23</f>
        <v>128750.18</v>
      </c>
      <c r="P23" s="51">
        <f t="shared" si="1"/>
        <v>0.18000000000000002</v>
      </c>
    </row>
    <row r="24" spans="1:19" ht="17.100000000000001" customHeight="1" thickBot="1" x14ac:dyDescent="0.3">
      <c r="A24" s="5" t="s">
        <v>22</v>
      </c>
      <c r="B24" s="73">
        <v>18</v>
      </c>
      <c r="C24" s="73" t="s">
        <v>106</v>
      </c>
      <c r="D24" s="73" t="s">
        <v>107</v>
      </c>
      <c r="E24" s="74"/>
      <c r="F24" s="83">
        <v>8.1999999999999993</v>
      </c>
      <c r="G24" s="84">
        <v>150510.99999999997</v>
      </c>
      <c r="H24" s="85">
        <f>G24</f>
        <v>150510.99999999997</v>
      </c>
      <c r="I24" s="86"/>
      <c r="J24" s="87">
        <f>G24-H24</f>
        <v>0</v>
      </c>
      <c r="K24" s="87">
        <f t="shared" si="0"/>
        <v>0</v>
      </c>
      <c r="L24" s="88">
        <f>N$3*F24%</f>
        <v>65599.999999999985</v>
      </c>
      <c r="M24" s="88">
        <f>N$2*F24%</f>
        <v>139399.99999999997</v>
      </c>
      <c r="N24" s="89">
        <f>ROUND(SUM(J24:M24),0) + P24</f>
        <v>205000.19</v>
      </c>
      <c r="O24" s="90">
        <f>ROUND(N24*3%,0) + N24</f>
        <v>211150.19</v>
      </c>
      <c r="P24" s="51">
        <f t="shared" si="1"/>
        <v>0.19000000000000003</v>
      </c>
      <c r="S24" t="s">
        <v>140</v>
      </c>
    </row>
    <row r="25" spans="1:19" ht="17.100000000000001" customHeight="1" thickBot="1" x14ac:dyDescent="0.3">
      <c r="B25" s="91"/>
      <c r="C25" s="92"/>
      <c r="D25" s="93"/>
      <c r="E25" s="93"/>
      <c r="F25" s="94">
        <f t="shared" ref="F25:O25" si="2">SUM(F6:F24)</f>
        <v>99.999999999999986</v>
      </c>
      <c r="G25" s="62">
        <f>SUM(G6:G24)</f>
        <v>20245960.995308623</v>
      </c>
      <c r="H25" s="71">
        <f t="shared" si="2"/>
        <v>515061.79249999998</v>
      </c>
      <c r="I25" s="62">
        <f t="shared" si="2"/>
        <v>0</v>
      </c>
      <c r="J25" s="71">
        <f t="shared" si="2"/>
        <v>19730899.202808622</v>
      </c>
      <c r="K25" s="62">
        <f t="shared" si="2"/>
        <v>986544.96014043107</v>
      </c>
      <c r="L25" s="71">
        <f t="shared" si="2"/>
        <v>800000</v>
      </c>
      <c r="M25" s="71">
        <f t="shared" si="2"/>
        <v>1700000</v>
      </c>
      <c r="N25" s="95">
        <f t="shared" si="2"/>
        <v>23217447.900000002</v>
      </c>
      <c r="O25" s="95">
        <f t="shared" si="2"/>
        <v>23913973.900000002</v>
      </c>
    </row>
    <row r="26" spans="1:19" ht="12.75" customHeight="1" x14ac:dyDescent="0.25">
      <c r="D26" s="59"/>
      <c r="E26" s="59"/>
    </row>
    <row r="27" spans="1:19" hidden="1" x14ac:dyDescent="0.25"/>
    <row r="28" spans="1:19" ht="9" customHeight="1" x14ac:dyDescent="0.25">
      <c r="D28" s="139" t="s">
        <v>111</v>
      </c>
      <c r="E28" s="139"/>
      <c r="F28" s="139"/>
      <c r="G28" s="139"/>
      <c r="H28" s="139"/>
      <c r="I28" s="139"/>
      <c r="J28" s="139"/>
      <c r="K28" s="139"/>
      <c r="L28" s="139"/>
      <c r="M28" s="139"/>
      <c r="N28" s="139"/>
    </row>
    <row r="29" spans="1:19" ht="12" hidden="1" customHeight="1" x14ac:dyDescent="0.25"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0" spans="1:19" ht="12" hidden="1" customHeight="1" x14ac:dyDescent="0.25"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</row>
    <row r="31" spans="1:19" ht="12" hidden="1" customHeight="1" x14ac:dyDescent="0.25"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</row>
    <row r="32" spans="1:19" ht="12" hidden="1" customHeight="1" x14ac:dyDescent="0.25"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</row>
    <row r="33" spans="4:14" ht="65.25" customHeight="1" x14ac:dyDescent="0.25"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</sheetData>
  <mergeCells count="18">
    <mergeCell ref="F1:N1"/>
    <mergeCell ref="K4:K5"/>
    <mergeCell ref="G4:G5"/>
    <mergeCell ref="H4:H5"/>
    <mergeCell ref="J4:J5"/>
    <mergeCell ref="L4:L5"/>
    <mergeCell ref="M4:M5"/>
    <mergeCell ref="N2:O2"/>
    <mergeCell ref="N3:O3"/>
    <mergeCell ref="O4:O5"/>
    <mergeCell ref="D28:N33"/>
    <mergeCell ref="E4:E5"/>
    <mergeCell ref="I4:I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2025-03-04T17:18:08Z</cp:lastPrinted>
  <dcterms:created xsi:type="dcterms:W3CDTF">2023-09-17T12:29:07Z</dcterms:created>
  <dcterms:modified xsi:type="dcterms:W3CDTF">2025-03-04T17:27:00Z</dcterms:modified>
</cp:coreProperties>
</file>