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PUEYRREDON 1494\Agosto\"/>
    </mc:Choice>
  </mc:AlternateContent>
  <xr:revisionPtr revIDLastSave="0" documentId="13_ncr:1_{38AE874A-6422-4EB0-9A42-996059B91076}" xr6:coauthVersionLast="47" xr6:coauthVersionMax="47" xr10:uidLastSave="{00000000-0000-0000-0000-000000000000}"/>
  <bookViews>
    <workbookView xWindow="-120" yWindow="-120" windowWidth="20730" windowHeight="11160" tabRatio="793" activeTab="1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PRORRATEO!$A$1:$P$34</definedName>
    <definedName name="_xlnm.Print_Area" localSheetId="0">RESUMEN!$A$1:$E$114</definedName>
  </definedNames>
  <calcPr calcId="181029"/>
</workbook>
</file>

<file path=xl/calcChain.xml><?xml version="1.0" encoding="utf-8"?>
<calcChain xmlns="http://schemas.openxmlformats.org/spreadsheetml/2006/main">
  <c r="E63" i="1" l="1"/>
  <c r="H22" i="2"/>
  <c r="H13" i="2"/>
  <c r="H23" i="2"/>
  <c r="H21" i="2"/>
  <c r="D48" i="1" l="1"/>
  <c r="E54" i="1" s="1"/>
  <c r="H12" i="2" l="1"/>
  <c r="H7" i="2"/>
  <c r="H14" i="2"/>
  <c r="O2" i="2" l="1"/>
  <c r="O3" i="2"/>
  <c r="H11" i="2"/>
  <c r="D30" i="1"/>
  <c r="H6" i="2" l="1"/>
  <c r="J6" i="2" s="1"/>
  <c r="L6" i="2"/>
  <c r="M6" i="2"/>
  <c r="Q6" i="2"/>
  <c r="J7" i="2"/>
  <c r="K7" i="2" s="1"/>
  <c r="L7" i="2"/>
  <c r="M7" i="2"/>
  <c r="Q7" i="2"/>
  <c r="J8" i="2"/>
  <c r="K8" i="2" s="1"/>
  <c r="L8" i="2"/>
  <c r="M8" i="2"/>
  <c r="Q8" i="2"/>
  <c r="J9" i="2"/>
  <c r="K9" i="2" s="1"/>
  <c r="L9" i="2"/>
  <c r="M9" i="2"/>
  <c r="Q9" i="2"/>
  <c r="J10" i="2"/>
  <c r="K10" i="2" s="1"/>
  <c r="L10" i="2"/>
  <c r="M10" i="2"/>
  <c r="Q10" i="2"/>
  <c r="J11" i="2"/>
  <c r="K11" i="2" s="1"/>
  <c r="L11" i="2"/>
  <c r="M11" i="2"/>
  <c r="Q11" i="2"/>
  <c r="J12" i="2"/>
  <c r="L12" i="2"/>
  <c r="M12" i="2"/>
  <c r="Q12" i="2"/>
  <c r="J13" i="2"/>
  <c r="K13" i="2" s="1"/>
  <c r="L13" i="2"/>
  <c r="M13" i="2"/>
  <c r="Q13" i="2"/>
  <c r="J14" i="2"/>
  <c r="K14" i="2" s="1"/>
  <c r="L14" i="2"/>
  <c r="M14" i="2"/>
  <c r="Q14" i="2"/>
  <c r="J15" i="2"/>
  <c r="K15" i="2" s="1"/>
  <c r="L15" i="2"/>
  <c r="M15" i="2"/>
  <c r="Q15" i="2"/>
  <c r="H16" i="2"/>
  <c r="J16" i="2" s="1"/>
  <c r="K16" i="2" s="1"/>
  <c r="L16" i="2"/>
  <c r="M16" i="2"/>
  <c r="Q16" i="2"/>
  <c r="J17" i="2"/>
  <c r="K17" i="2" s="1"/>
  <c r="L17" i="2"/>
  <c r="M17" i="2"/>
  <c r="Q17" i="2"/>
  <c r="J18" i="2"/>
  <c r="K18" i="2" s="1"/>
  <c r="L18" i="2"/>
  <c r="M18" i="2"/>
  <c r="Q18" i="2"/>
  <c r="J19" i="2"/>
  <c r="K19" i="2" s="1"/>
  <c r="L19" i="2"/>
  <c r="M19" i="2"/>
  <c r="Q19" i="2"/>
  <c r="J20" i="2"/>
  <c r="K20" i="2" s="1"/>
  <c r="L20" i="2"/>
  <c r="M20" i="2"/>
  <c r="Q20" i="2"/>
  <c r="J21" i="2"/>
  <c r="L21" i="2"/>
  <c r="M21" i="2"/>
  <c r="Q21" i="2"/>
  <c r="J22" i="2"/>
  <c r="K22" i="2" s="1"/>
  <c r="L22" i="2"/>
  <c r="M22" i="2"/>
  <c r="Q22" i="2"/>
  <c r="J23" i="2"/>
  <c r="K23" i="2" s="1"/>
  <c r="L23" i="2"/>
  <c r="M23" i="2"/>
  <c r="Q23" i="2"/>
  <c r="J24" i="2"/>
  <c r="K24" i="2" s="1"/>
  <c r="L24" i="2"/>
  <c r="M24" i="2"/>
  <c r="Q24" i="2"/>
  <c r="N23" i="2" l="1"/>
  <c r="P23" i="2" s="1"/>
  <c r="N20" i="2"/>
  <c r="P20" i="2" s="1"/>
  <c r="N19" i="2"/>
  <c r="P19" i="2" s="1"/>
  <c r="N18" i="2"/>
  <c r="P18" i="2" s="1"/>
  <c r="N16" i="2"/>
  <c r="O16" i="2" s="1"/>
  <c r="N15" i="2"/>
  <c r="O15" i="2" s="1"/>
  <c r="N13" i="2"/>
  <c r="P13" i="2" s="1"/>
  <c r="N11" i="2"/>
  <c r="P11" i="2" s="1"/>
  <c r="N10" i="2"/>
  <c r="O10" i="2" s="1"/>
  <c r="N7" i="2"/>
  <c r="P7" i="2" s="1"/>
  <c r="N14" i="2"/>
  <c r="P14" i="2" s="1"/>
  <c r="N24" i="2"/>
  <c r="O24" i="2" s="1"/>
  <c r="N22" i="2"/>
  <c r="O22" i="2" s="1"/>
  <c r="K12" i="2"/>
  <c r="N12" i="2" s="1"/>
  <c r="K21" i="2"/>
  <c r="N21" i="2" s="1"/>
  <c r="K6" i="2"/>
  <c r="N6" i="2" s="1"/>
  <c r="N17" i="2"/>
  <c r="N8" i="2"/>
  <c r="N9" i="2"/>
  <c r="P16" i="2" l="1"/>
  <c r="O20" i="2"/>
  <c r="O18" i="2"/>
  <c r="O19" i="2"/>
  <c r="O11" i="2"/>
  <c r="O14" i="2"/>
  <c r="P22" i="2"/>
  <c r="O13" i="2"/>
  <c r="O7" i="2"/>
  <c r="O23" i="2"/>
  <c r="P15" i="2"/>
  <c r="P10" i="2"/>
  <c r="P24" i="2"/>
  <c r="P12" i="2"/>
  <c r="O12" i="2"/>
  <c r="P21" i="2"/>
  <c r="O21" i="2"/>
  <c r="P6" i="2"/>
  <c r="O6" i="2"/>
  <c r="O9" i="2"/>
  <c r="P9" i="2"/>
  <c r="O8" i="2"/>
  <c r="P8" i="2"/>
  <c r="O17" i="2"/>
  <c r="P17" i="2"/>
  <c r="I25" i="2" l="1"/>
  <c r="G25" i="2"/>
  <c r="F25" i="2"/>
  <c r="O5" i="2"/>
  <c r="D2" i="2"/>
  <c r="B113" i="1"/>
  <c r="B94" i="1" s="1"/>
  <c r="B106" i="1"/>
  <c r="E72" i="1"/>
  <c r="E76" i="1" s="1"/>
  <c r="E61" i="1"/>
  <c r="E57" i="1"/>
  <c r="E45" i="1"/>
  <c r="E43" i="1"/>
  <c r="E44" i="1" s="1"/>
  <c r="A43" i="1"/>
  <c r="A44" i="1" s="1"/>
  <c r="E39" i="1"/>
  <c r="E35" i="1"/>
  <c r="D27" i="1"/>
  <c r="E31" i="1" s="1"/>
  <c r="H25" i="2" l="1"/>
  <c r="B90" i="1" s="1"/>
  <c r="B80" i="1"/>
  <c r="B96" i="1" s="1"/>
  <c r="B81" i="1"/>
  <c r="E65" i="1"/>
  <c r="L25" i="2"/>
  <c r="M25" i="2" l="1"/>
  <c r="J25" i="2"/>
  <c r="K25" i="2"/>
  <c r="B79" i="1"/>
  <c r="B95" i="1" s="1"/>
  <c r="B97" i="1" s="1"/>
  <c r="B78" i="1"/>
  <c r="O25" i="2" l="1"/>
  <c r="P25" i="2"/>
</calcChain>
</file>

<file path=xl/sharedStrings.xml><?xml version="1.0" encoding="utf-8"?>
<sst xmlns="http://schemas.openxmlformats.org/spreadsheetml/2006/main" count="184" uniqueCount="164">
  <si>
    <t>MAIL: consorciopueyrredon1494@gmail.com</t>
  </si>
  <si>
    <t>CUIT ADMINISTRACION: 27231256879</t>
  </si>
  <si>
    <t>CBU 2990024602400048530006</t>
  </si>
  <si>
    <t>TELEFONO: 11 5320-2676</t>
  </si>
  <si>
    <t>LIQUIDACION DE EXPENSAS</t>
  </si>
  <si>
    <t>ADMINISTRADORA: CAROLINA CANCIANI MP:1148</t>
  </si>
  <si>
    <t>CUIT DEL EDIFICIO: 30-68041540-0</t>
  </si>
  <si>
    <t>HORARIOS DE ATENCION: LUNES A VIERNES</t>
  </si>
  <si>
    <t>CONSORCIO DE COPROPIETARIOS PUEYRREDON 1494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</si>
  <si>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</t>
  </si>
  <si>
    <t>GASTOS ORDINARIOS UNIDADES FUNCIONALES:</t>
  </si>
  <si>
    <t>HABERES ENCARGADOS</t>
  </si>
  <si>
    <t xml:space="preserve">Ayala Mirta Encargada </t>
  </si>
  <si>
    <t xml:space="preserve">Retenciones </t>
  </si>
  <si>
    <t>Redondeo</t>
  </si>
  <si>
    <t>Neto</t>
  </si>
  <si>
    <t>TOTAL SUELDO</t>
  </si>
  <si>
    <t>HONORARIOS</t>
  </si>
  <si>
    <t>Marcela Di Biase- Sra. Contadora</t>
  </si>
  <si>
    <t>HONORARIOS administracion RC</t>
  </si>
  <si>
    <t xml:space="preserve">TOTAL </t>
  </si>
  <si>
    <t xml:space="preserve">SEGUROS </t>
  </si>
  <si>
    <t>Seguro Mercantil Andina - Poliza Nro. 001183277</t>
  </si>
  <si>
    <t xml:space="preserve">Seguro Vida colectivo personal de limpieza </t>
  </si>
  <si>
    <t>TOTAL IMPUESTO</t>
  </si>
  <si>
    <t>APORTES Y CONTRIBUCIONES</t>
  </si>
  <si>
    <t xml:space="preserve">ARCA </t>
  </si>
  <si>
    <t>Suther</t>
  </si>
  <si>
    <t>Fathery</t>
  </si>
  <si>
    <t>Seracarh</t>
  </si>
  <si>
    <t>TOTAL Aportes y Contribuciones - Sindicato</t>
  </si>
  <si>
    <t>ABONOS Y SERVICIOS</t>
  </si>
  <si>
    <t xml:space="preserve">Edesur </t>
  </si>
  <si>
    <t>Metrogas</t>
  </si>
  <si>
    <t>TOTAL ABONOS Y SERVICIOS</t>
  </si>
  <si>
    <t>GASTOS GENERALES / MANTENIMIENTO</t>
  </si>
  <si>
    <t>TOTAL</t>
  </si>
  <si>
    <t>GASTOS BANCARIOS</t>
  </si>
  <si>
    <t>COMISION POR CUENTA</t>
  </si>
  <si>
    <t>PREVISION ORDINARIA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</si>
  <si>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</si>
  <si>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</si>
  <si>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</si>
  <si>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</si>
  <si>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</si>
  <si>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</si>
  <si>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</si>
  <si>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</si>
  <si>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</si>
  <si>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</si>
  <si>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</si>
  <si>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>Depisitos ya identificados</t>
  </si>
  <si>
    <t xml:space="preserve">Deposito sin identificar 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</si>
  <si>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</si>
  <si>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</si>
  <si>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</si>
  <si>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</si>
  <si>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</si>
  <si>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</si>
  <si>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Formas de Pago:</t>
  </si>
  <si>
    <t>Las expensas deberán abonarse en el Banco Comafi. Cuenta Corriente en pesos.</t>
  </si>
  <si>
    <t>Gastos Ordinarios:</t>
  </si>
  <si>
    <t>Efectivo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</si>
  <si>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</si>
  <si>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</si>
  <si>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</si>
  <si>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</si>
  <si>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</si>
  <si>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</si>
  <si>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</si>
  <si>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>Saldo Ord</t>
  </si>
  <si>
    <t xml:space="preserve">Ingreso </t>
  </si>
  <si>
    <t>Pago por</t>
  </si>
  <si>
    <t>Deuda o Saldo a favor</t>
  </si>
  <si>
    <t>Interes</t>
  </si>
  <si>
    <t>Expensas extraor.</t>
  </si>
  <si>
    <t>Expensas ord.</t>
  </si>
  <si>
    <t>TOTAL DE EXPENSAS, INTERESES, DEUDA, EXTRAORDINARIAS, ETC</t>
  </si>
  <si>
    <t>Total 1er Vto</t>
  </si>
  <si>
    <t>Total 2do Vto</t>
  </si>
  <si>
    <t>PB</t>
  </si>
  <si>
    <t>L.1º PB</t>
  </si>
  <si>
    <t>Hakim Faks, G. y S.</t>
  </si>
  <si>
    <t>Pablo gonzalez</t>
  </si>
  <si>
    <t>3º</t>
  </si>
  <si>
    <t>L.2º PB</t>
  </si>
  <si>
    <t>Lloret Maria Ines.</t>
  </si>
  <si>
    <t>Daniela Ferino</t>
  </si>
  <si>
    <t>L.3º PB</t>
  </si>
  <si>
    <t>Abbatángelo Marta.</t>
  </si>
  <si>
    <t>Malandra Natalia</t>
  </si>
  <si>
    <t>4º</t>
  </si>
  <si>
    <t>L.4º PB</t>
  </si>
  <si>
    <t>Noemí Espósito</t>
  </si>
  <si>
    <t>Ezequiel Oscar Jose</t>
  </si>
  <si>
    <t>L.5º PB</t>
  </si>
  <si>
    <t>Spotorno Osvaldo.</t>
  </si>
  <si>
    <t>Gonzalez Castillo Giglio</t>
  </si>
  <si>
    <t>5º</t>
  </si>
  <si>
    <t>L.6º PB</t>
  </si>
  <si>
    <t>Rivas Noemí</t>
  </si>
  <si>
    <t>L.7º PB</t>
  </si>
  <si>
    <t>Cecilia Nizzero</t>
  </si>
  <si>
    <t>Roxana Mazze</t>
  </si>
  <si>
    <t>6º</t>
  </si>
  <si>
    <t>1ºA</t>
  </si>
  <si>
    <t>Patanella Miguel</t>
  </si>
  <si>
    <t>Britez Nicolas</t>
  </si>
  <si>
    <t>El dueño es sanabria</t>
  </si>
  <si>
    <t>1ºB</t>
  </si>
  <si>
    <t>Iglesias Norma</t>
  </si>
  <si>
    <t>Gonzalo Emanuel Gonzalez</t>
  </si>
  <si>
    <t>7º</t>
  </si>
  <si>
    <t>1ºC</t>
  </si>
  <si>
    <t>Verdejo Graciela</t>
  </si>
  <si>
    <t>2ºA</t>
  </si>
  <si>
    <t>Moltoni Yolanda M.</t>
  </si>
  <si>
    <t>Maria Eugenia Mauturano</t>
  </si>
  <si>
    <t>8º</t>
  </si>
  <si>
    <t>2ºB</t>
  </si>
  <si>
    <t>Ben Ada</t>
  </si>
  <si>
    <t>2ºC</t>
  </si>
  <si>
    <t>Marin Carlos</t>
  </si>
  <si>
    <t>Nahuel Cattani</t>
  </si>
  <si>
    <t>9º</t>
  </si>
  <si>
    <t>3ºA</t>
  </si>
  <si>
    <t>3ºB</t>
  </si>
  <si>
    <t>Santoro Miguél Angel</t>
  </si>
  <si>
    <t>Valeria</t>
  </si>
  <si>
    <t>10º</t>
  </si>
  <si>
    <t>3ºC</t>
  </si>
  <si>
    <t>Salman, Yasmin</t>
  </si>
  <si>
    <t>4ºA</t>
  </si>
  <si>
    <t>Ortalli Laura</t>
  </si>
  <si>
    <t>Martin Bonjour</t>
  </si>
  <si>
    <t>11º</t>
  </si>
  <si>
    <t>4ºB</t>
  </si>
  <si>
    <t>Ricciardi Nicolás</t>
  </si>
  <si>
    <t>4ºC</t>
  </si>
  <si>
    <t>Freijedo Gonzalo</t>
  </si>
  <si>
    <t>Raton mariela es la mujer</t>
  </si>
  <si>
    <t>Las expensas deberán abonarse en el Banco Comafi. Cuenta Corriente en pesos.                                                                                                                                                               Número 0240-00485/3 CUIT: 30-68041540-0 a nombre del Con. De Prop. C Pueyrredon 1494 - CBU 2990024602400048530006</t>
  </si>
  <si>
    <t>Articulos de limpieza</t>
  </si>
  <si>
    <t>Limpieza marquesina</t>
  </si>
  <si>
    <t>DEPOSITA SIEMPRE VALERIA</t>
  </si>
  <si>
    <t>SUBIDOS EN JULI</t>
  </si>
  <si>
    <t xml:space="preserve">Punitorios mal cobrados </t>
  </si>
  <si>
    <t>Lourdes</t>
  </si>
  <si>
    <t>VTO 15/09</t>
  </si>
  <si>
    <t>PERÍODO: AGOSTO</t>
  </si>
  <si>
    <t>Mes de AGOSTO</t>
  </si>
  <si>
    <t>Sindicatos mes de AGOSTO</t>
  </si>
  <si>
    <t>Mantenimiento Ascensores - Mes de AGOSTO</t>
  </si>
  <si>
    <t>Transf 19/08</t>
  </si>
  <si>
    <t>Efect 02/08</t>
  </si>
  <si>
    <t>PMC 12/08</t>
  </si>
  <si>
    <t>PMC 04/08</t>
  </si>
  <si>
    <t>Tanque cuota 3 de 3 limpieza, recapeo, cambio de tapas - Se debian $500.000</t>
  </si>
  <si>
    <t>Transf 04/08</t>
  </si>
  <si>
    <t>Debito 12/08</t>
  </si>
  <si>
    <t xml:space="preserve">6/9 arreglo terraza Sr. Luis (Total a abonar $1.250.000) </t>
  </si>
  <si>
    <t>Servisur - cambio de lamparas</t>
  </si>
  <si>
    <t>Debito 26/08</t>
  </si>
  <si>
    <t>Deposito ya identificado del mes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</si>
</sst>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&quot;Bs&quot;#,##0.00"/>
    <numFmt numFmtId="169" formatCode="_-[$$-2C0A]\ * #,##0.00_-;\-[$$-2C0A]\ * #,##0.00_-;_-[$$-2C0A]\ * &quot;-&quot;??_-;_-@_-"/>
    <numFmt numFmtId="170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5" fontId="1" fillId="0" borderId="0"/>
    <xf numFmtId="166" fontId="1" fillId="0" borderId="0"/>
    <xf numFmtId="43" fontId="1" fillId="0" borderId="0"/>
  </cellStyleXfs>
  <cellXfs count="189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164" fontId="0" fillId="0" borderId="0" xfId="0" applyNumberFormat="1"/>
    <xf numFmtId="0" fontId="5" fillId="6" borderId="0" xfId="0" applyFont="1" applyFill="1"/>
    <xf numFmtId="166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166" fontId="0" fillId="0" borderId="0" xfId="0" applyNumberFormat="1"/>
    <xf numFmtId="0" fontId="2" fillId="4" borderId="1" xfId="0" applyFont="1" applyFill="1" applyBorder="1"/>
    <xf numFmtId="0" fontId="0" fillId="4" borderId="1" xfId="0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9" fillId="6" borderId="1" xfId="0" applyFont="1" applyFill="1" applyBorder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165" fontId="0" fillId="0" borderId="1" xfId="1" applyFont="1" applyBorder="1"/>
    <xf numFmtId="165" fontId="4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165" fontId="6" fillId="2" borderId="1" xfId="1" applyFont="1" applyFill="1" applyBorder="1"/>
    <xf numFmtId="165" fontId="3" fillId="2" borderId="1" xfId="1" applyFont="1" applyFill="1" applyBorder="1"/>
    <xf numFmtId="165" fontId="0" fillId="0" borderId="0" xfId="1" applyFont="1"/>
    <xf numFmtId="165" fontId="3" fillId="0" borderId="0" xfId="1" applyFont="1"/>
    <xf numFmtId="0" fontId="8" fillId="2" borderId="0" xfId="0" applyFont="1" applyFill="1"/>
    <xf numFmtId="165" fontId="0" fillId="0" borderId="0" xfId="0" applyNumberFormat="1"/>
    <xf numFmtId="0" fontId="9" fillId="6" borderId="0" xfId="0" applyFont="1" applyFill="1"/>
    <xf numFmtId="165" fontId="9" fillId="6" borderId="0" xfId="1" applyFont="1" applyFill="1"/>
    <xf numFmtId="165" fontId="0" fillId="0" borderId="0" xfId="0" applyNumberFormat="1" applyAlignment="1">
      <alignment wrapText="1"/>
    </xf>
    <xf numFmtId="165" fontId="14" fillId="2" borderId="1" xfId="1" applyFont="1" applyFill="1" applyBorder="1"/>
    <xf numFmtId="165" fontId="15" fillId="0" borderId="1" xfId="1" applyFont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165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20" fillId="11" borderId="1" xfId="0" applyFont="1" applyFill="1" applyBorder="1"/>
    <xf numFmtId="165" fontId="0" fillId="4" borderId="0" xfId="1" applyFont="1" applyFill="1"/>
    <xf numFmtId="0" fontId="17" fillId="3" borderId="20" xfId="0" applyFont="1" applyFill="1" applyBorder="1" applyAlignment="1">
      <alignment horizontal="center" vertical="center" wrapText="1"/>
    </xf>
    <xf numFmtId="167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165" fontId="10" fillId="4" borderId="1" xfId="1" applyFont="1" applyFill="1" applyBorder="1"/>
    <xf numFmtId="165" fontId="6" fillId="5" borderId="11" xfId="0" applyNumberFormat="1" applyFont="1" applyFill="1" applyBorder="1"/>
    <xf numFmtId="0" fontId="16" fillId="0" borderId="1" xfId="0" applyFont="1" applyBorder="1" applyAlignment="1">
      <alignment horizontal="center"/>
    </xf>
    <xf numFmtId="165" fontId="21" fillId="2" borderId="1" xfId="1" applyFont="1" applyFill="1" applyBorder="1"/>
    <xf numFmtId="167" fontId="21" fillId="2" borderId="1" xfId="1" applyNumberFormat="1" applyFont="1" applyFill="1" applyBorder="1"/>
    <xf numFmtId="167" fontId="16" fillId="0" borderId="1" xfId="0" applyNumberFormat="1" applyFont="1" applyBorder="1"/>
    <xf numFmtId="167" fontId="16" fillId="0" borderId="1" xfId="1" applyNumberFormat="1" applyFont="1" applyBorder="1"/>
    <xf numFmtId="0" fontId="16" fillId="10" borderId="21" xfId="0" applyFont="1" applyFill="1" applyBorder="1"/>
    <xf numFmtId="0" fontId="16" fillId="4" borderId="25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165" fontId="16" fillId="4" borderId="21" xfId="0" applyNumberFormat="1" applyFont="1" applyFill="1" applyBorder="1"/>
    <xf numFmtId="0" fontId="6" fillId="7" borderId="9" xfId="0" applyFont="1" applyFill="1" applyBorder="1"/>
    <xf numFmtId="165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164" fontId="10" fillId="4" borderId="21" xfId="1" applyNumberFormat="1" applyFont="1" applyFill="1" applyBorder="1"/>
    <xf numFmtId="165" fontId="22" fillId="4" borderId="3" xfId="1" applyFont="1" applyFill="1" applyBorder="1"/>
    <xf numFmtId="165" fontId="23" fillId="0" borderId="3" xfId="1" applyFont="1" applyBorder="1"/>
    <xf numFmtId="164" fontId="10" fillId="4" borderId="13" xfId="1" applyNumberFormat="1" applyFont="1" applyFill="1" applyBorder="1"/>
    <xf numFmtId="165" fontId="10" fillId="4" borderId="21" xfId="1" applyFont="1" applyFill="1" applyBorder="1"/>
    <xf numFmtId="165" fontId="23" fillId="4" borderId="3" xfId="1" applyFont="1" applyFill="1" applyBorder="1"/>
    <xf numFmtId="165" fontId="23" fillId="0" borderId="1" xfId="1" applyFont="1" applyBorder="1"/>
    <xf numFmtId="165" fontId="10" fillId="4" borderId="13" xfId="1" applyFont="1" applyFill="1" applyBorder="1"/>
    <xf numFmtId="0" fontId="23" fillId="2" borderId="1" xfId="1" applyNumberFormat="1" applyFont="1" applyFill="1" applyBorder="1" applyAlignment="1">
      <alignment horizontal="left"/>
    </xf>
    <xf numFmtId="165" fontId="23" fillId="2" borderId="1" xfId="1" applyFont="1" applyFill="1" applyBorder="1"/>
    <xf numFmtId="165" fontId="10" fillId="4" borderId="2" xfId="1" applyFont="1" applyFill="1" applyBorder="1"/>
    <xf numFmtId="165" fontId="23" fillId="2" borderId="3" xfId="1" applyFont="1" applyFill="1" applyBorder="1"/>
    <xf numFmtId="164" fontId="7" fillId="4" borderId="22" xfId="0" applyNumberFormat="1" applyFont="1" applyFill="1" applyBorder="1"/>
    <xf numFmtId="0" fontId="23" fillId="0" borderId="4" xfId="0" applyFont="1" applyBorder="1"/>
    <xf numFmtId="0" fontId="7" fillId="8" borderId="6" xfId="0" applyFont="1" applyFill="1" applyBorder="1"/>
    <xf numFmtId="165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165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0" fillId="2" borderId="0" xfId="0" applyFill="1"/>
    <xf numFmtId="165" fontId="9" fillId="6" borderId="0" xfId="0" applyNumberFormat="1" applyFont="1" applyFill="1"/>
    <xf numFmtId="165" fontId="23" fillId="2" borderId="1" xfId="1" applyFont="1" applyFill="1" applyBorder="1" applyAlignment="1">
      <alignment wrapText="1"/>
    </xf>
    <xf numFmtId="0" fontId="23" fillId="2" borderId="1" xfId="0" applyFont="1" applyFill="1" applyBorder="1"/>
    <xf numFmtId="0" fontId="23" fillId="2" borderId="1" xfId="1" applyNumberFormat="1" applyFont="1" applyFill="1" applyBorder="1"/>
    <xf numFmtId="0" fontId="23" fillId="2" borderId="2" xfId="1" applyNumberFormat="1" applyFont="1" applyFill="1" applyBorder="1"/>
    <xf numFmtId="165" fontId="7" fillId="0" borderId="1" xfId="1" applyFont="1" applyBorder="1"/>
    <xf numFmtId="165" fontId="2" fillId="0" borderId="1" xfId="1" applyFont="1" applyBorder="1"/>
    <xf numFmtId="43" fontId="0" fillId="0" borderId="0" xfId="0" applyNumberFormat="1"/>
    <xf numFmtId="165" fontId="24" fillId="8" borderId="23" xfId="1" applyFont="1" applyFill="1" applyBorder="1" applyAlignment="1">
      <alignment vertical="center"/>
    </xf>
    <xf numFmtId="167" fontId="16" fillId="0" borderId="7" xfId="1" applyNumberFormat="1" applyFont="1" applyBorder="1"/>
    <xf numFmtId="167" fontId="16" fillId="4" borderId="21" xfId="0" applyNumberFormat="1" applyFont="1" applyFill="1" applyBorder="1"/>
    <xf numFmtId="168" fontId="23" fillId="0" borderId="24" xfId="1" applyNumberFormat="1" applyFont="1" applyBorder="1" applyAlignment="1">
      <alignment horizontal="right"/>
    </xf>
    <xf numFmtId="167" fontId="16" fillId="2" borderId="1" xfId="0" applyNumberFormat="1" applyFont="1" applyFill="1" applyBorder="1"/>
    <xf numFmtId="4" fontId="23" fillId="0" borderId="24" xfId="1" applyNumberFormat="1" applyFont="1" applyBorder="1" applyAlignment="1">
      <alignment horizontal="right"/>
    </xf>
    <xf numFmtId="169" fontId="23" fillId="0" borderId="26" xfId="1" applyNumberFormat="1" applyFont="1" applyBorder="1" applyAlignment="1">
      <alignment horizontal="right"/>
    </xf>
    <xf numFmtId="164" fontId="4" fillId="2" borderId="1" xfId="0" applyNumberFormat="1" applyFont="1" applyFill="1" applyBorder="1"/>
    <xf numFmtId="164" fontId="25" fillId="11" borderId="1" xfId="0" applyNumberFormat="1" applyFont="1" applyFill="1" applyBorder="1"/>
    <xf numFmtId="164" fontId="7" fillId="4" borderId="6" xfId="0" applyNumberFormat="1" applyFont="1" applyFill="1" applyBorder="1"/>
    <xf numFmtId="164" fontId="11" fillId="4" borderId="1" xfId="0" applyNumberFormat="1" applyFont="1" applyFill="1" applyBorder="1"/>
    <xf numFmtId="165" fontId="7" fillId="4" borderId="6" xfId="1" applyFont="1" applyFill="1" applyBorder="1"/>
    <xf numFmtId="165" fontId="7" fillId="4" borderId="1" xfId="1" applyFont="1" applyFill="1" applyBorder="1"/>
    <xf numFmtId="165" fontId="4" fillId="2" borderId="1" xfId="1" applyFont="1" applyFill="1" applyBorder="1" applyAlignment="1">
      <alignment wrapText="1"/>
    </xf>
    <xf numFmtId="165" fontId="4" fillId="2" borderId="1" xfId="1" applyFont="1" applyFill="1" applyBorder="1"/>
    <xf numFmtId="165" fontId="4" fillId="4" borderId="1" xfId="1" applyFont="1" applyFill="1" applyBorder="1"/>
    <xf numFmtId="165" fontId="4" fillId="4" borderId="6" xfId="1" applyFont="1" applyFill="1" applyBorder="1"/>
    <xf numFmtId="170" fontId="21" fillId="2" borderId="1" xfId="1" applyNumberFormat="1" applyFont="1" applyFill="1" applyBorder="1"/>
    <xf numFmtId="0" fontId="23" fillId="0" borderId="1" xfId="1" applyNumberFormat="1" applyFont="1" applyBorder="1" applyAlignment="1">
      <alignment horizontal="center"/>
    </xf>
    <xf numFmtId="164" fontId="25" fillId="11" borderId="6" xfId="0" applyNumberFormat="1" applyFont="1" applyFill="1" applyBorder="1"/>
    <xf numFmtId="0" fontId="8" fillId="0" borderId="0" xfId="0" applyFont="1"/>
    <xf numFmtId="169" fontId="21" fillId="0" borderId="1" xfId="1" applyNumberFormat="1" applyFont="1" applyBorder="1"/>
    <xf numFmtId="169" fontId="21" fillId="2" borderId="1" xfId="1" applyNumberFormat="1" applyFont="1" applyFill="1" applyBorder="1"/>
    <xf numFmtId="0" fontId="2" fillId="3" borderId="0" xfId="0" applyFont="1" applyFill="1"/>
    <xf numFmtId="0" fontId="6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/>
    </xf>
    <xf numFmtId="0" fontId="0" fillId="3" borderId="30" xfId="0" applyFill="1" applyBorder="1"/>
    <xf numFmtId="43" fontId="0" fillId="3" borderId="31" xfId="3" applyFont="1" applyFill="1" applyBorder="1"/>
    <xf numFmtId="0" fontId="0" fillId="3" borderId="31" xfId="0" applyFill="1" applyBorder="1"/>
    <xf numFmtId="0" fontId="0" fillId="3" borderId="27" xfId="0" applyFill="1" applyBorder="1"/>
    <xf numFmtId="0" fontId="2" fillId="3" borderId="5" xfId="0" applyFont="1" applyFill="1" applyBorder="1"/>
    <xf numFmtId="0" fontId="6" fillId="3" borderId="32" xfId="0" applyFont="1" applyFill="1" applyBorder="1"/>
    <xf numFmtId="0" fontId="2" fillId="3" borderId="32" xfId="0" applyFont="1" applyFill="1" applyBorder="1"/>
    <xf numFmtId="0" fontId="2" fillId="3" borderId="22" xfId="0" applyFont="1" applyFill="1" applyBorder="1"/>
    <xf numFmtId="0" fontId="2" fillId="3" borderId="33" xfId="0" applyFont="1" applyFill="1" applyBorder="1"/>
    <xf numFmtId="0" fontId="2" fillId="3" borderId="28" xfId="0" applyFont="1" applyFill="1" applyBorder="1"/>
    <xf numFmtId="0" fontId="6" fillId="0" borderId="1" xfId="0" applyFont="1" applyBorder="1" applyAlignment="1">
      <alignment horizontal="left" vertical="center" wrapText="1"/>
    </xf>
    <xf numFmtId="165" fontId="4" fillId="2" borderId="6" xfId="1" applyFont="1" applyFill="1" applyBorder="1"/>
    <xf numFmtId="0" fontId="0" fillId="9" borderId="0" xfId="0" applyFill="1" applyAlignment="1">
      <alignment horizontal="center" vertical="center" wrapText="1"/>
    </xf>
    <xf numFmtId="0" fontId="0" fillId="0" borderId="0" xfId="0"/>
    <xf numFmtId="0" fontId="9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0" fillId="0" borderId="27" xfId="0" applyBorder="1"/>
    <xf numFmtId="0" fontId="0" fillId="0" borderId="22" xfId="0" applyBorder="1"/>
    <xf numFmtId="0" fontId="0" fillId="0" borderId="28" xfId="0" applyBorder="1"/>
    <xf numFmtId="0" fontId="2" fillId="9" borderId="0" xfId="0" applyFont="1" applyFill="1" applyAlignment="1">
      <alignment horizontal="center" vertical="center" wrapText="1"/>
    </xf>
    <xf numFmtId="165" fontId="4" fillId="2" borderId="1" xfId="1" applyFont="1" applyFill="1" applyBorder="1" applyAlignment="1">
      <alignment horizontal="center"/>
    </xf>
    <xf numFmtId="0" fontId="23" fillId="0" borderId="1" xfId="1" applyNumberFormat="1" applyFont="1" applyBorder="1" applyAlignment="1">
      <alignment horizontal="center"/>
    </xf>
    <xf numFmtId="0" fontId="0" fillId="0" borderId="3" xfId="0" applyBorder="1"/>
    <xf numFmtId="0" fontId="19" fillId="9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0" borderId="19" xfId="0" applyBorder="1"/>
    <xf numFmtId="0" fontId="13" fillId="3" borderId="18" xfId="0" applyFont="1" applyFill="1" applyBorder="1" applyAlignment="1">
      <alignment horizontal="center" vertical="center"/>
    </xf>
    <xf numFmtId="0" fontId="13" fillId="3" borderId="29" xfId="0" applyFont="1" applyFill="1" applyBorder="1" applyAlignment="1">
      <alignment horizontal="center" vertical="center"/>
    </xf>
    <xf numFmtId="0" fontId="0" fillId="0" borderId="20" xfId="0" applyBorder="1"/>
    <xf numFmtId="0" fontId="13" fillId="3" borderId="29" xfId="0" applyFont="1" applyFill="1" applyBorder="1" applyAlignment="1">
      <alignment horizontal="center" vertical="center" wrapText="1"/>
    </xf>
    <xf numFmtId="165" fontId="0" fillId="3" borderId="0" xfId="1" applyFont="1" applyFill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165" fontId="0" fillId="3" borderId="8" xfId="1" applyFont="1" applyFill="1" applyBorder="1" applyAlignment="1">
      <alignment horizontal="center" vertical="center"/>
    </xf>
    <xf numFmtId="0" fontId="0" fillId="0" borderId="8" xfId="0" applyBorder="1"/>
    <xf numFmtId="0" fontId="0" fillId="3" borderId="0" xfId="0" applyFill="1" applyAlignment="1">
      <alignment horizontal="left"/>
    </xf>
    <xf numFmtId="0" fontId="16" fillId="3" borderId="2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0" fillId="0" borderId="0" xfId="0"/>
    <xf numFmtId="0" fontId="16" fillId="2" borderId="1" xfId="0" applyFont="1" applyFill="1" applyBorder="1"/>
    <xf numFmtId="0" fontId="4" fillId="2" borderId="3" xfId="0" applyFont="1" applyFill="1" applyBorder="1"/>
    <xf numFmtId="165" fontId="2" fillId="4" borderId="0" xfId="1" applyFont="1" applyFill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104775</xdr:colOff>
      <xdr:row>0</xdr:row>
      <xdr:rowOff>47625</xdr:rowOff>
    </xdr:from>
    <xdr:ext cx="2238375" cy="847725"/>
    <xdr:pic>
      <xdr:nvPicPr>
        <xdr:cNvPr id="2" name="image1.jpg">
          <a:extLst>
            <a:ext uri="{FF2B5EF4-FFF2-40B4-BE49-F238E27FC236}">
              <a16:creationId xmlns:a16="http://schemas.microsoft.com/office/drawing/2014/main" id="{383B74D3-69A2-44AC-93CA-6EA72C609EE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4775" y="47625"/>
          <a:ext cx="2238375" cy="8477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8"/>
  <sheetViews>
    <sheetView topLeftCell="A55" workbookViewId="0">
      <selection activeCell="E63" sqref="E63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140625" customWidth="1"/>
    <col min="6" max="6" width="13" bestFit="1" customWidth="1"/>
    <col min="7" max="7" width="13.140625" bestFit="1" customWidth="1"/>
    <col min="11" max="11" width="18" customWidth="1"/>
    <col min="12" max="12" width="18.28515625" customWidth="1"/>
  </cols>
  <sheetData>
    <row r="1" spans="1:5" ht="15.75" customHeight="1" x14ac:dyDescent="0.25">
      <c r="A1" s="141"/>
      <c r="B1" s="142"/>
      <c r="C1" s="143"/>
      <c r="D1" s="143"/>
      <c r="E1" s="144"/>
    </row>
    <row r="2" spans="1:5" x14ac:dyDescent="0.25">
      <c r="A2" s="145"/>
      <c r="B2" s="137" t="s">
        <v>0</v>
      </c>
      <c r="C2" s="137"/>
      <c r="D2" s="137"/>
      <c r="E2" s="146"/>
    </row>
    <row r="3" spans="1:5" x14ac:dyDescent="0.25">
      <c r="A3" s="145"/>
      <c r="B3" s="137" t="s">
        <v>1</v>
      </c>
      <c r="C3" s="137"/>
      <c r="D3" s="137"/>
      <c r="E3" s="146"/>
    </row>
    <row r="4" spans="1:5" ht="32.25" customHeight="1" x14ac:dyDescent="0.25">
      <c r="A4" s="145"/>
      <c r="B4" s="138" t="s">
        <v>2</v>
      </c>
      <c r="C4" s="137"/>
      <c r="D4" s="139" t="s">
        <v>3</v>
      </c>
      <c r="E4" s="146"/>
    </row>
    <row r="5" spans="1:5" ht="15.75" customHeight="1" x14ac:dyDescent="0.25">
      <c r="A5" s="145" t="s">
        <v>4</v>
      </c>
      <c r="B5" s="140" t="s">
        <v>5</v>
      </c>
      <c r="C5" s="136"/>
      <c r="D5" s="136"/>
      <c r="E5" s="147"/>
    </row>
    <row r="6" spans="1:5" ht="15.75" customHeight="1" x14ac:dyDescent="0.25">
      <c r="A6" s="145" t="s">
        <v>6</v>
      </c>
      <c r="B6" s="136" t="s">
        <v>149</v>
      </c>
      <c r="C6" s="136"/>
      <c r="D6" s="137" t="s">
        <v>7</v>
      </c>
      <c r="E6" s="147"/>
    </row>
    <row r="7" spans="1:5" ht="15.75" customHeight="1" x14ac:dyDescent="0.25">
      <c r="A7" s="148" t="s">
        <v>8</v>
      </c>
      <c r="B7" s="149"/>
      <c r="C7" s="149"/>
      <c r="D7" s="149"/>
      <c r="E7" s="150"/>
    </row>
    <row r="9" spans="1:5" x14ac:dyDescent="0.25">
      <c r="B9" s="165" t="s">
        <v>148</v>
      </c>
      <c r="C9" s="154"/>
    </row>
    <row r="10" spans="1:5" x14ac:dyDescent="0.25">
      <c r="B10" s="154"/>
      <c r="C10" s="154"/>
    </row>
    <row r="11" spans="1:5" x14ac:dyDescent="0.25">
      <c r="B11" s="154"/>
      <c r="C11" s="154"/>
    </row>
    <row r="12" spans="1:5" x14ac:dyDescent="0.25">
      <c r="B12" s="133"/>
    </row>
    <row r="13" spans="1:5" hidden="1" x14ac:dyDescent="0.25"/>
    <row r="14" spans="1:5" ht="15" customHeight="1" x14ac:dyDescent="0.25">
      <c r="A14" s="166" t="s">
        <v>9</v>
      </c>
      <c r="B14" s="154"/>
      <c r="C14" s="154"/>
      <c r="D14" s="154"/>
      <c r="E14" s="154"/>
    </row>
    <row r="15" spans="1:5" ht="15" customHeight="1" x14ac:dyDescent="0.25">
      <c r="A15" s="154"/>
      <c r="B15" s="154"/>
      <c r="C15" s="154"/>
      <c r="D15" s="154"/>
      <c r="E15" s="154"/>
    </row>
    <row r="16" spans="1:5" ht="15" customHeight="1" x14ac:dyDescent="0.25">
      <c r="A16" s="154"/>
      <c r="B16" s="154"/>
      <c r="C16" s="154"/>
      <c r="D16" s="154"/>
      <c r="E16" s="154"/>
    </row>
    <row r="17" spans="1:8" ht="53.25" customHeight="1" x14ac:dyDescent="0.25">
      <c r="A17" s="154"/>
      <c r="B17" s="154"/>
      <c r="C17" s="154"/>
      <c r="D17" s="154"/>
      <c r="E17" s="154"/>
    </row>
    <row r="18" spans="1:8" ht="14.25" customHeight="1" thickBot="1" x14ac:dyDescent="0.3"/>
    <row r="19" spans="1:8" hidden="1" x14ac:dyDescent="0.25">
      <c r="A19" s="2"/>
    </row>
    <row r="20" spans="1:8" ht="15.75" hidden="1" customHeight="1" thickBot="1" x14ac:dyDescent="0.3"/>
    <row r="21" spans="1:8" x14ac:dyDescent="0.25">
      <c r="A21" s="11" t="s">
        <v>10</v>
      </c>
      <c r="B21" s="12"/>
      <c r="C21" s="13"/>
      <c r="D21" s="9"/>
      <c r="E21" s="14"/>
    </row>
    <row r="22" spans="1:8" x14ac:dyDescent="0.25">
      <c r="A22" s="32" t="s">
        <v>11</v>
      </c>
      <c r="B22" s="32"/>
      <c r="C22" s="32"/>
      <c r="D22" s="30"/>
      <c r="E22" s="30"/>
    </row>
    <row r="23" spans="1:8" ht="14.25" customHeight="1" x14ac:dyDescent="0.25">
      <c r="A23" s="5" t="s">
        <v>12</v>
      </c>
      <c r="B23" s="5"/>
      <c r="C23" s="5"/>
      <c r="D23" s="120">
        <v>798601.4</v>
      </c>
      <c r="E23" s="80"/>
    </row>
    <row r="24" spans="1:8" x14ac:dyDescent="0.25">
      <c r="A24" s="5" t="s">
        <v>13</v>
      </c>
      <c r="B24" s="5"/>
      <c r="C24" s="5"/>
      <c r="D24" s="120">
        <v>-174514.13</v>
      </c>
      <c r="E24" s="80"/>
    </row>
    <row r="25" spans="1:8" x14ac:dyDescent="0.25">
      <c r="A25" s="5" t="s">
        <v>14</v>
      </c>
      <c r="B25" s="5"/>
      <c r="C25" s="5"/>
      <c r="D25" s="120">
        <v>0.73</v>
      </c>
      <c r="E25" s="80"/>
      <c r="H25" s="15"/>
    </row>
    <row r="26" spans="1:8" x14ac:dyDescent="0.25">
      <c r="A26" s="5"/>
      <c r="B26" s="5"/>
      <c r="C26" s="5"/>
      <c r="D26" s="120"/>
      <c r="E26" s="80"/>
      <c r="H26" s="5"/>
    </row>
    <row r="27" spans="1:8" ht="14.25" customHeight="1" x14ac:dyDescent="0.25">
      <c r="A27" s="57" t="s">
        <v>15</v>
      </c>
      <c r="B27" s="57"/>
      <c r="C27" s="57"/>
      <c r="D27" s="121">
        <f>SUM(D23:D26)</f>
        <v>624088</v>
      </c>
      <c r="E27" s="81"/>
      <c r="H27" s="5"/>
    </row>
    <row r="28" spans="1:8" ht="3.75" hidden="1" customHeight="1" x14ac:dyDescent="0.25">
      <c r="A28" s="5"/>
      <c r="B28" s="5"/>
      <c r="C28" s="5"/>
      <c r="D28" s="120"/>
      <c r="E28" s="80"/>
      <c r="H28" s="15"/>
    </row>
    <row r="29" spans="1:8" hidden="1" x14ac:dyDescent="0.25">
      <c r="A29" s="5"/>
      <c r="B29" s="5"/>
      <c r="C29" s="5"/>
      <c r="D29" s="120"/>
      <c r="E29" s="80"/>
      <c r="H29" s="5"/>
    </row>
    <row r="30" spans="1:8" hidden="1" x14ac:dyDescent="0.25">
      <c r="A30" s="57" t="s">
        <v>15</v>
      </c>
      <c r="B30" s="57"/>
      <c r="C30" s="57"/>
      <c r="D30" s="132">
        <f>SUM(D28:D29)</f>
        <v>0</v>
      </c>
      <c r="E30" s="81"/>
    </row>
    <row r="31" spans="1:8" ht="14.25" customHeight="1" thickBot="1" x14ac:dyDescent="0.3">
      <c r="A31" s="23" t="s">
        <v>16</v>
      </c>
      <c r="B31" s="23"/>
      <c r="C31" s="23"/>
      <c r="D31" s="122"/>
      <c r="E31" s="82">
        <f>D27+D30</f>
        <v>624088</v>
      </c>
      <c r="F31" s="15"/>
    </row>
    <row r="32" spans="1:8" x14ac:dyDescent="0.25">
      <c r="A32" s="32" t="s">
        <v>17</v>
      </c>
      <c r="B32" s="32"/>
      <c r="C32" s="32"/>
      <c r="D32" s="123"/>
      <c r="E32" s="83"/>
    </row>
    <row r="33" spans="1:8" ht="15.75" customHeight="1" x14ac:dyDescent="0.25">
      <c r="A33" s="64" t="s">
        <v>18</v>
      </c>
      <c r="B33" s="5" t="s">
        <v>150</v>
      </c>
      <c r="C33" s="5"/>
      <c r="D33" s="120">
        <v>35000</v>
      </c>
      <c r="E33" s="84"/>
    </row>
    <row r="34" spans="1:8" ht="15.75" customHeight="1" thickBot="1" x14ac:dyDescent="0.3">
      <c r="A34" s="5" t="s">
        <v>19</v>
      </c>
      <c r="B34" s="5" t="s">
        <v>150</v>
      </c>
      <c r="C34" s="5"/>
      <c r="D34" s="120">
        <v>135100</v>
      </c>
      <c r="E34" s="84"/>
      <c r="H34" t="s">
        <v>145</v>
      </c>
    </row>
    <row r="35" spans="1:8" ht="15.75" customHeight="1" thickBot="1" x14ac:dyDescent="0.3">
      <c r="A35" s="23" t="s">
        <v>20</v>
      </c>
      <c r="B35" s="23"/>
      <c r="C35" s="23"/>
      <c r="D35" s="124"/>
      <c r="E35" s="85">
        <f>SUM(D33:D34)</f>
        <v>170100</v>
      </c>
    </row>
    <row r="36" spans="1:8" x14ac:dyDescent="0.25">
      <c r="A36" s="30" t="s">
        <v>21</v>
      </c>
      <c r="B36" s="31"/>
      <c r="C36" s="31"/>
      <c r="D36" s="125"/>
      <c r="E36" s="66"/>
    </row>
    <row r="37" spans="1:8" s="36" customFormat="1" ht="13.5" customHeight="1" x14ac:dyDescent="0.25">
      <c r="A37" s="167" t="s">
        <v>22</v>
      </c>
      <c r="B37" s="157"/>
      <c r="C37" s="55"/>
      <c r="D37" s="126">
        <v>87562.7</v>
      </c>
      <c r="E37" s="106"/>
    </row>
    <row r="38" spans="1:8" ht="14.25" customHeight="1" x14ac:dyDescent="0.25">
      <c r="A38" s="167" t="s">
        <v>23</v>
      </c>
      <c r="B38" s="157"/>
      <c r="C38" s="55"/>
      <c r="D38" s="127">
        <v>6646.91</v>
      </c>
      <c r="E38" s="106"/>
    </row>
    <row r="39" spans="1:8" ht="15.75" customHeight="1" thickBot="1" x14ac:dyDescent="0.3">
      <c r="A39" s="23" t="s">
        <v>24</v>
      </c>
      <c r="B39" s="23"/>
      <c r="C39" s="23"/>
      <c r="D39" s="124"/>
      <c r="E39" s="86">
        <f>SUM(D37:D38)</f>
        <v>94209.61</v>
      </c>
    </row>
    <row r="40" spans="1:8" x14ac:dyDescent="0.25">
      <c r="A40" s="32" t="s">
        <v>25</v>
      </c>
      <c r="B40" s="24"/>
      <c r="C40" s="24"/>
      <c r="D40" s="128"/>
      <c r="E40" s="87"/>
    </row>
    <row r="41" spans="1:8" x14ac:dyDescent="0.25">
      <c r="A41" s="5" t="s">
        <v>26</v>
      </c>
      <c r="B41" s="5"/>
      <c r="C41" s="53"/>
      <c r="D41" s="127">
        <v>380468.13</v>
      </c>
      <c r="E41" s="107" t="s">
        <v>155</v>
      </c>
      <c r="G41" s="104"/>
    </row>
    <row r="42" spans="1:8" x14ac:dyDescent="0.25">
      <c r="A42" s="5" t="s">
        <v>151</v>
      </c>
      <c r="B42" s="5" t="s">
        <v>27</v>
      </c>
      <c r="C42" s="5"/>
      <c r="D42" s="127">
        <v>19706.62</v>
      </c>
      <c r="E42" s="108" t="s">
        <v>159</v>
      </c>
    </row>
    <row r="43" spans="1:8" x14ac:dyDescent="0.25">
      <c r="A43" s="5" t="str">
        <f>A42</f>
        <v>Sindicatos mes de AGOSTO</v>
      </c>
      <c r="B43" s="5" t="s">
        <v>28</v>
      </c>
      <c r="C43" s="5"/>
      <c r="D43" s="127">
        <v>63551.19</v>
      </c>
      <c r="E43" s="108" t="str">
        <f>E42</f>
        <v>Debito 12/08</v>
      </c>
    </row>
    <row r="44" spans="1:8" x14ac:dyDescent="0.25">
      <c r="A44" s="5" t="str">
        <f>A43</f>
        <v>Sindicatos mes de AGOSTO</v>
      </c>
      <c r="B44" s="5" t="s">
        <v>29</v>
      </c>
      <c r="C44" s="5"/>
      <c r="D44" s="127">
        <v>3941.32</v>
      </c>
      <c r="E44" s="109" t="str">
        <f>E43</f>
        <v>Debito 12/08</v>
      </c>
    </row>
    <row r="45" spans="1:8" ht="15" customHeight="1" thickBot="1" x14ac:dyDescent="0.3">
      <c r="A45" s="23" t="s">
        <v>30</v>
      </c>
      <c r="B45" s="24"/>
      <c r="C45" s="24"/>
      <c r="D45" s="129"/>
      <c r="E45" s="86">
        <f>SUM(D41:D44)</f>
        <v>467667.26</v>
      </c>
    </row>
    <row r="46" spans="1:8" x14ac:dyDescent="0.25">
      <c r="A46" s="32" t="s">
        <v>31</v>
      </c>
      <c r="B46" s="24"/>
      <c r="C46" s="24"/>
      <c r="D46" s="128"/>
      <c r="E46" s="87"/>
    </row>
    <row r="47" spans="1:8" ht="14.25" customHeight="1" x14ac:dyDescent="0.25">
      <c r="A47" s="53" t="s">
        <v>152</v>
      </c>
      <c r="B47" s="5"/>
      <c r="C47" s="5"/>
      <c r="D47" s="127">
        <v>44625</v>
      </c>
      <c r="E47" s="90" t="s">
        <v>153</v>
      </c>
      <c r="G47" s="112"/>
    </row>
    <row r="48" spans="1:8" ht="14.25" customHeight="1" x14ac:dyDescent="0.25">
      <c r="A48" s="5" t="s">
        <v>32</v>
      </c>
      <c r="B48" s="5"/>
      <c r="C48" s="5"/>
      <c r="D48" s="127">
        <f>180470.49-86610.08</f>
        <v>93860.409999999989</v>
      </c>
      <c r="E48" s="90" t="s">
        <v>162</v>
      </c>
    </row>
    <row r="49" spans="1:6" x14ac:dyDescent="0.25">
      <c r="A49" s="5" t="s">
        <v>33</v>
      </c>
      <c r="B49" s="5"/>
      <c r="C49" s="5"/>
      <c r="D49" s="127">
        <v>23426.2</v>
      </c>
      <c r="E49" s="90" t="s">
        <v>156</v>
      </c>
    </row>
    <row r="50" spans="1:6" x14ac:dyDescent="0.25">
      <c r="A50" s="5" t="s">
        <v>161</v>
      </c>
      <c r="B50" s="5"/>
      <c r="C50" s="5"/>
      <c r="D50" s="127">
        <v>30000</v>
      </c>
      <c r="E50" s="90" t="s">
        <v>153</v>
      </c>
    </row>
    <row r="51" spans="1:6" x14ac:dyDescent="0.25">
      <c r="A51" s="5" t="s">
        <v>143</v>
      </c>
      <c r="B51" s="5"/>
      <c r="C51" s="5"/>
      <c r="D51" s="127">
        <v>30000</v>
      </c>
      <c r="E51" s="90" t="s">
        <v>154</v>
      </c>
    </row>
    <row r="52" spans="1:6" ht="27" customHeight="1" x14ac:dyDescent="0.25">
      <c r="A52" s="168" t="s">
        <v>157</v>
      </c>
      <c r="B52" s="169"/>
      <c r="C52" s="5"/>
      <c r="D52" s="127">
        <v>500000</v>
      </c>
      <c r="E52" s="90" t="s">
        <v>158</v>
      </c>
    </row>
    <row r="53" spans="1:6" x14ac:dyDescent="0.25">
      <c r="A53" s="156" t="s">
        <v>142</v>
      </c>
      <c r="B53" s="157"/>
      <c r="C53" s="56"/>
      <c r="D53" s="152"/>
      <c r="E53" s="108"/>
    </row>
    <row r="54" spans="1:6" ht="15.75" customHeight="1" thickBot="1" x14ac:dyDescent="0.3">
      <c r="A54" s="23" t="s">
        <v>34</v>
      </c>
      <c r="B54" s="23"/>
      <c r="C54" s="23"/>
      <c r="D54" s="124"/>
      <c r="E54" s="86">
        <f>SUM(D47:D53)</f>
        <v>721911.61</v>
      </c>
    </row>
    <row r="55" spans="1:6" ht="15.75" customHeight="1" thickBot="1" x14ac:dyDescent="0.3">
      <c r="A55" s="32" t="s">
        <v>35</v>
      </c>
      <c r="B55" s="23"/>
      <c r="C55" s="23"/>
      <c r="D55" s="124"/>
      <c r="E55" s="89"/>
    </row>
    <row r="56" spans="1:6" x14ac:dyDescent="0.25">
      <c r="A56" s="53"/>
      <c r="B56" s="5"/>
      <c r="C56" s="5"/>
      <c r="D56" s="34"/>
      <c r="E56" s="88"/>
    </row>
    <row r="57" spans="1:6" ht="15.75" customHeight="1" thickBot="1" x14ac:dyDescent="0.3">
      <c r="A57" s="23" t="s">
        <v>36</v>
      </c>
      <c r="B57" s="32"/>
      <c r="C57" s="32"/>
      <c r="D57" s="30"/>
      <c r="E57" s="92">
        <f>SUM(D56:D56)</f>
        <v>0</v>
      </c>
    </row>
    <row r="58" spans="1:6" ht="15.75" customHeight="1" thickBot="1" x14ac:dyDescent="0.3">
      <c r="A58" s="32" t="s">
        <v>37</v>
      </c>
      <c r="B58" s="65"/>
      <c r="C58" s="23"/>
      <c r="D58" s="122"/>
      <c r="E58" s="89"/>
    </row>
    <row r="59" spans="1:6" x14ac:dyDescent="0.25">
      <c r="A59" s="5" t="s">
        <v>37</v>
      </c>
      <c r="B59" s="5"/>
      <c r="C59" s="5"/>
      <c r="D59" s="127">
        <v>45769.760000000002</v>
      </c>
      <c r="E59" s="93"/>
    </row>
    <row r="60" spans="1:6" x14ac:dyDescent="0.25">
      <c r="A60" s="5" t="s">
        <v>38</v>
      </c>
      <c r="B60" s="5"/>
      <c r="C60" s="5"/>
      <c r="D60" s="127">
        <v>56000</v>
      </c>
      <c r="E60" s="91"/>
    </row>
    <row r="61" spans="1:6" ht="15.75" customHeight="1" thickBot="1" x14ac:dyDescent="0.3">
      <c r="A61" s="52" t="s">
        <v>20</v>
      </c>
      <c r="B61" s="52"/>
      <c r="C61" s="52"/>
      <c r="D61" s="94"/>
      <c r="E61" s="86">
        <f>SUM(D59:D60)</f>
        <v>101769.76000000001</v>
      </c>
    </row>
    <row r="62" spans="1:6" ht="15.75" customHeight="1" thickBot="1" x14ac:dyDescent="0.3">
      <c r="A62" s="5"/>
      <c r="B62" s="5"/>
      <c r="C62" s="5"/>
      <c r="D62" s="80"/>
      <c r="E62" s="95"/>
    </row>
    <row r="63" spans="1:6" ht="15.75" customHeight="1" thickBot="1" x14ac:dyDescent="0.3">
      <c r="A63" s="25" t="s">
        <v>39</v>
      </c>
      <c r="B63" s="25"/>
      <c r="C63" s="25"/>
      <c r="D63" s="96"/>
      <c r="E63" s="97">
        <f>3200000-2179746.24</f>
        <v>1020253.7599999998</v>
      </c>
    </row>
    <row r="64" spans="1:6" ht="15.75" customHeight="1" thickBot="1" x14ac:dyDescent="0.3">
      <c r="A64" s="1"/>
      <c r="D64" s="98"/>
      <c r="E64" s="99"/>
      <c r="F64" s="43"/>
    </row>
    <row r="65" spans="1:7" ht="15.75" customHeight="1" thickBot="1" x14ac:dyDescent="0.3">
      <c r="A65" s="3" t="s">
        <v>40</v>
      </c>
      <c r="B65" s="10"/>
      <c r="C65" s="4"/>
      <c r="D65" s="100"/>
      <c r="E65" s="101">
        <f>(SUM(E31:E63))</f>
        <v>3200000</v>
      </c>
      <c r="F65" s="43"/>
      <c r="G65" s="112"/>
    </row>
    <row r="66" spans="1:7" x14ac:dyDescent="0.25">
      <c r="D66" s="98"/>
      <c r="E66" s="98"/>
      <c r="G66" s="112"/>
    </row>
    <row r="67" spans="1:7" ht="15.75" customHeight="1" thickBot="1" x14ac:dyDescent="0.3">
      <c r="D67" s="98"/>
      <c r="E67" s="98"/>
    </row>
    <row r="68" spans="1:7" ht="14.25" customHeight="1" x14ac:dyDescent="0.25">
      <c r="A68" s="11" t="s">
        <v>41</v>
      </c>
      <c r="B68" s="12"/>
      <c r="C68" s="13"/>
      <c r="D68" s="102"/>
      <c r="E68" s="103"/>
    </row>
    <row r="69" spans="1:7" ht="15" customHeight="1" x14ac:dyDescent="0.25">
      <c r="A69" s="156" t="s">
        <v>160</v>
      </c>
      <c r="B69" s="158"/>
      <c r="C69" s="5"/>
      <c r="D69" s="162">
        <v>181000</v>
      </c>
      <c r="E69" s="163"/>
    </row>
    <row r="70" spans="1:7" x14ac:dyDescent="0.25">
      <c r="A70" s="159"/>
      <c r="B70" s="160"/>
      <c r="C70" s="53"/>
      <c r="D70" s="187"/>
      <c r="E70" s="164"/>
    </row>
    <row r="71" spans="1:7" x14ac:dyDescent="0.25">
      <c r="A71" s="156"/>
      <c r="B71" s="157"/>
      <c r="C71" s="53"/>
      <c r="D71" s="34"/>
      <c r="E71" s="131"/>
    </row>
    <row r="72" spans="1:7" x14ac:dyDescent="0.25">
      <c r="A72" s="50"/>
      <c r="B72" s="49"/>
      <c r="C72" s="49"/>
      <c r="D72" s="58"/>
      <c r="E72" s="188">
        <f>SUM(D69:D71)</f>
        <v>181000</v>
      </c>
    </row>
    <row r="74" spans="1:7" x14ac:dyDescent="0.25">
      <c r="A74" s="25" t="s">
        <v>42</v>
      </c>
      <c r="B74" s="25"/>
      <c r="C74" s="25"/>
      <c r="D74" s="26"/>
      <c r="E74" s="113"/>
    </row>
    <row r="75" spans="1:7" ht="15.75" customHeight="1" thickBot="1" x14ac:dyDescent="0.3"/>
    <row r="76" spans="1:7" ht="15.75" customHeight="1" thickBot="1" x14ac:dyDescent="0.3">
      <c r="A76" s="3" t="s">
        <v>43</v>
      </c>
      <c r="B76" s="10"/>
      <c r="C76" s="4"/>
      <c r="D76" s="4"/>
      <c r="E76" s="67">
        <f>E72+E74</f>
        <v>181000</v>
      </c>
    </row>
    <row r="77" spans="1:7" ht="15.75" customHeight="1" thickBot="1" x14ac:dyDescent="0.3"/>
    <row r="78" spans="1:7" ht="15.75" customHeight="1" thickBot="1" x14ac:dyDescent="0.3">
      <c r="A78" s="78" t="s">
        <v>44</v>
      </c>
      <c r="B78" s="79">
        <f>E65</f>
        <v>3200000</v>
      </c>
      <c r="D78" s="43"/>
    </row>
    <row r="79" spans="1:7" ht="15.75" customHeight="1" thickBot="1" x14ac:dyDescent="0.3">
      <c r="A79" s="78" t="s">
        <v>45</v>
      </c>
      <c r="B79" s="79">
        <f>E65-E63</f>
        <v>2179746.2400000002</v>
      </c>
    </row>
    <row r="80" spans="1:7" ht="15.75" customHeight="1" thickBot="1" x14ac:dyDescent="0.3">
      <c r="A80" s="78" t="s">
        <v>46</v>
      </c>
      <c r="B80" s="79">
        <f>E76-E74</f>
        <v>181000</v>
      </c>
    </row>
    <row r="81" spans="1:5" ht="15.75" customHeight="1" thickBot="1" x14ac:dyDescent="0.3">
      <c r="A81" s="78" t="s">
        <v>47</v>
      </c>
      <c r="B81" s="79">
        <f>E76</f>
        <v>181000</v>
      </c>
    </row>
    <row r="82" spans="1:5" ht="14.25" customHeight="1" x14ac:dyDescent="0.25"/>
    <row r="83" spans="1:5" hidden="1" x14ac:dyDescent="0.25"/>
    <row r="84" spans="1:5" hidden="1" x14ac:dyDescent="0.25">
      <c r="A84" s="153"/>
      <c r="B84" s="154"/>
      <c r="C84" s="154"/>
      <c r="D84" s="154"/>
      <c r="E84" s="154"/>
    </row>
    <row r="85" spans="1:5" hidden="1" x14ac:dyDescent="0.25">
      <c r="A85" s="154"/>
      <c r="B85" s="154"/>
      <c r="C85" s="154"/>
      <c r="D85" s="154"/>
      <c r="E85" s="154"/>
    </row>
    <row r="86" spans="1:5" ht="38.25" hidden="1" customHeight="1" x14ac:dyDescent="0.25">
      <c r="A86" s="154"/>
      <c r="B86" s="154"/>
      <c r="C86" s="154"/>
      <c r="D86" s="154"/>
      <c r="E86" s="154"/>
    </row>
    <row r="88" spans="1:5" x14ac:dyDescent="0.25">
      <c r="A88" s="16" t="s">
        <v>48</v>
      </c>
      <c r="B88" s="38"/>
      <c r="C88" s="17"/>
    </row>
    <row r="89" spans="1:5" ht="18" customHeight="1" x14ac:dyDescent="0.25">
      <c r="A89" s="28" t="s">
        <v>49</v>
      </c>
      <c r="B89" s="111">
        <v>-705431.13749999925</v>
      </c>
      <c r="C89" s="19"/>
    </row>
    <row r="90" spans="1:5" ht="14.25" customHeight="1" x14ac:dyDescent="0.25">
      <c r="A90" s="18" t="s">
        <v>50</v>
      </c>
      <c r="B90" s="39">
        <f>PRORRATEO!H25</f>
        <v>2907739.07</v>
      </c>
      <c r="C90" s="17"/>
    </row>
    <row r="91" spans="1:5" ht="14.25" customHeight="1" x14ac:dyDescent="0.25">
      <c r="A91" s="18" t="s">
        <v>51</v>
      </c>
      <c r="B91" s="47"/>
      <c r="C91" s="17"/>
    </row>
    <row r="92" spans="1:5" ht="17.25" customHeight="1" x14ac:dyDescent="0.25">
      <c r="A92" s="151" t="s">
        <v>146</v>
      </c>
      <c r="B92" s="47">
        <v>-946</v>
      </c>
      <c r="C92" s="17"/>
    </row>
    <row r="93" spans="1:5" s="185" customFormat="1" ht="17.25" customHeight="1" x14ac:dyDescent="0.25">
      <c r="A93" s="151" t="s">
        <v>163</v>
      </c>
      <c r="B93" s="47">
        <v>-262000</v>
      </c>
      <c r="C93" s="17"/>
    </row>
    <row r="94" spans="1:5" x14ac:dyDescent="0.25">
      <c r="A94" s="18" t="s">
        <v>52</v>
      </c>
      <c r="B94" s="91">
        <f>B113</f>
        <v>0</v>
      </c>
      <c r="C94" s="17"/>
    </row>
    <row r="95" spans="1:5" x14ac:dyDescent="0.25">
      <c r="A95" s="37" t="s">
        <v>53</v>
      </c>
      <c r="B95" s="47">
        <f>-B79</f>
        <v>-2179746.2400000002</v>
      </c>
      <c r="C95" s="17"/>
    </row>
    <row r="96" spans="1:5" x14ac:dyDescent="0.25">
      <c r="A96" s="21" t="s">
        <v>54</v>
      </c>
      <c r="B96" s="47">
        <f>-(B80)</f>
        <v>-181000</v>
      </c>
      <c r="C96" s="17"/>
    </row>
    <row r="97" spans="1:4" x14ac:dyDescent="0.25">
      <c r="A97" s="27" t="s">
        <v>36</v>
      </c>
      <c r="B97" s="110">
        <f>SUM(B89:B96)</f>
        <v>-421384.30749999965</v>
      </c>
      <c r="C97" s="20"/>
    </row>
    <row r="98" spans="1:4" ht="34.5" customHeight="1" x14ac:dyDescent="0.25">
      <c r="B98" s="40"/>
      <c r="C98" s="20"/>
      <c r="D98" s="43"/>
    </row>
    <row r="99" spans="1:4" ht="14.25" hidden="1" customHeight="1" x14ac:dyDescent="0.25">
      <c r="B99" s="41"/>
      <c r="C99" s="20"/>
    </row>
    <row r="100" spans="1:4" s="36" customFormat="1" ht="27" hidden="1" customHeight="1" x14ac:dyDescent="0.25">
      <c r="B100" s="40"/>
      <c r="C100" s="35"/>
    </row>
    <row r="101" spans="1:4" s="36" customFormat="1" ht="27" hidden="1" customHeight="1" x14ac:dyDescent="0.25">
      <c r="A101" s="29" t="s">
        <v>55</v>
      </c>
      <c r="B101" s="33"/>
      <c r="C101" s="35"/>
      <c r="D101" s="46"/>
    </row>
    <row r="102" spans="1:4" s="36" customFormat="1" ht="27" hidden="1" customHeight="1" x14ac:dyDescent="0.25">
      <c r="A102" s="5" t="s">
        <v>49</v>
      </c>
      <c r="B102" s="34">
        <v>0</v>
      </c>
      <c r="C102" s="35"/>
    </row>
    <row r="103" spans="1:4" ht="14.25" hidden="1" customHeight="1" x14ac:dyDescent="0.25">
      <c r="A103" s="5" t="s">
        <v>56</v>
      </c>
      <c r="B103" s="33">
        <v>0</v>
      </c>
      <c r="C103" s="20"/>
      <c r="D103" s="43"/>
    </row>
    <row r="104" spans="1:4" hidden="1" x14ac:dyDescent="0.25">
      <c r="A104" s="5" t="s">
        <v>53</v>
      </c>
      <c r="B104" s="33">
        <v>0</v>
      </c>
      <c r="C104" s="20"/>
    </row>
    <row r="105" spans="1:4" hidden="1" x14ac:dyDescent="0.25">
      <c r="A105" s="5" t="s">
        <v>54</v>
      </c>
      <c r="B105" s="33">
        <v>0</v>
      </c>
      <c r="C105" s="22"/>
    </row>
    <row r="106" spans="1:4" hidden="1" x14ac:dyDescent="0.25">
      <c r="A106" s="29" t="s">
        <v>57</v>
      </c>
      <c r="B106" s="48">
        <f>SUM(B102:B105)</f>
        <v>0</v>
      </c>
      <c r="C106" s="17"/>
    </row>
    <row r="107" spans="1:4" hidden="1" x14ac:dyDescent="0.25"/>
    <row r="108" spans="1:4" ht="60.75" hidden="1" customHeight="1" x14ac:dyDescent="0.25"/>
    <row r="109" spans="1:4" x14ac:dyDescent="0.25">
      <c r="A109" s="155" t="s">
        <v>58</v>
      </c>
      <c r="B109" s="154"/>
      <c r="C109" s="154"/>
    </row>
    <row r="110" spans="1:4" x14ac:dyDescent="0.25">
      <c r="A110" s="154"/>
      <c r="B110" s="154"/>
      <c r="C110" s="154"/>
    </row>
    <row r="111" spans="1:4" ht="30.75" customHeight="1" x14ac:dyDescent="0.25">
      <c r="A111" s="55"/>
      <c r="B111" s="33"/>
      <c r="C111" s="33">
        <v>40000</v>
      </c>
    </row>
    <row r="112" spans="1:4" ht="15.75" customHeight="1" x14ac:dyDescent="0.25">
      <c r="A112" s="55"/>
      <c r="B112" s="33"/>
      <c r="C112" s="40"/>
    </row>
    <row r="113" spans="1:13" x14ac:dyDescent="0.25">
      <c r="A113" s="44" t="s">
        <v>36</v>
      </c>
      <c r="B113" s="105">
        <f>SUM(B111:B112)</f>
        <v>0</v>
      </c>
      <c r="C113" s="45"/>
    </row>
    <row r="114" spans="1:13" x14ac:dyDescent="0.25">
      <c r="M114" s="8"/>
    </row>
    <row r="115" spans="1:13" ht="15" hidden="1" customHeight="1" x14ac:dyDescent="0.25">
      <c r="A115" s="161"/>
      <c r="B115" s="154"/>
      <c r="C115" s="154"/>
      <c r="D115" s="154"/>
      <c r="E115" s="154"/>
    </row>
    <row r="116" spans="1:13" hidden="1" x14ac:dyDescent="0.25">
      <c r="A116" s="154"/>
      <c r="B116" s="154"/>
      <c r="C116" s="154"/>
      <c r="D116" s="154"/>
      <c r="E116" s="154"/>
    </row>
    <row r="117" spans="1:13" hidden="1" x14ac:dyDescent="0.25">
      <c r="A117" s="154"/>
      <c r="B117" s="154"/>
      <c r="C117" s="154"/>
      <c r="D117" s="154"/>
      <c r="E117" s="154"/>
    </row>
    <row r="118" spans="1:13" hidden="1" x14ac:dyDescent="0.25">
      <c r="A118" s="154"/>
      <c r="B118" s="154"/>
      <c r="C118" s="154"/>
      <c r="D118" s="154"/>
      <c r="E118" s="154"/>
    </row>
  </sheetData>
  <mergeCells count="13">
    <mergeCell ref="B9:C11"/>
    <mergeCell ref="A53:B53"/>
    <mergeCell ref="A14:E17"/>
    <mergeCell ref="A37:B37"/>
    <mergeCell ref="A38:B38"/>
    <mergeCell ref="A52:B52"/>
    <mergeCell ref="A84:E86"/>
    <mergeCell ref="A109:C110"/>
    <mergeCell ref="A71:B71"/>
    <mergeCell ref="A69:B70"/>
    <mergeCell ref="A115:E118"/>
    <mergeCell ref="D69:D70"/>
    <mergeCell ref="E69:E7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3"/>
  <sheetViews>
    <sheetView tabSelected="1" topLeftCell="B1" zoomScaleNormal="100" workbookViewId="0">
      <selection activeCell="T4" sqref="T4"/>
    </sheetView>
  </sheetViews>
  <sheetFormatPr baseColWidth="10" defaultRowHeight="15" x14ac:dyDescent="0.25"/>
  <cols>
    <col min="1" max="1" width="5" hidden="1" customWidth="1"/>
    <col min="2" max="2" width="5.5703125" customWidth="1"/>
    <col min="3" max="3" width="6.85546875" customWidth="1"/>
    <col min="4" max="4" width="18.5703125" customWidth="1"/>
    <col min="5" max="5" width="9.140625" bestFit="1" customWidth="1"/>
    <col min="6" max="6" width="5.140625" customWidth="1"/>
    <col min="7" max="7" width="14.140625" customWidth="1"/>
    <col min="8" max="8" width="11.5703125" customWidth="1"/>
    <col min="9" max="9" width="7.7109375" hidden="1" customWidth="1"/>
    <col min="10" max="10" width="10.5703125" customWidth="1"/>
    <col min="11" max="11" width="9.85546875" customWidth="1"/>
    <col min="12" max="12" width="11.28515625" customWidth="1"/>
    <col min="13" max="13" width="10.5703125" customWidth="1"/>
    <col min="14" max="14" width="10.5703125" hidden="1" customWidth="1"/>
    <col min="15" max="15" width="14" customWidth="1"/>
    <col min="16" max="16" width="13.5703125" customWidth="1"/>
    <col min="17" max="17" width="4.42578125" hidden="1" customWidth="1"/>
    <col min="18" max="18" width="12" bestFit="1" customWidth="1"/>
    <col min="19" max="19" width="13" bestFit="1" customWidth="1"/>
  </cols>
  <sheetData>
    <row r="1" spans="1:20" ht="12.95" customHeight="1" x14ac:dyDescent="0.25">
      <c r="A1" s="6"/>
      <c r="B1" s="6"/>
      <c r="C1" s="6"/>
      <c r="D1" s="6" t="s">
        <v>59</v>
      </c>
      <c r="E1" s="6"/>
      <c r="F1" s="182" t="s">
        <v>60</v>
      </c>
      <c r="G1" s="154"/>
      <c r="H1" s="154"/>
      <c r="I1" s="154"/>
      <c r="J1" s="154"/>
      <c r="K1" s="154"/>
      <c r="L1" s="154"/>
      <c r="M1" s="154"/>
      <c r="N1" s="154"/>
      <c r="O1" s="154"/>
      <c r="P1" s="6"/>
    </row>
    <row r="2" spans="1:20" ht="12.95" customHeight="1" x14ac:dyDescent="0.25">
      <c r="A2" s="6"/>
      <c r="B2" s="6"/>
      <c r="C2" s="6"/>
      <c r="D2" s="6" t="str">
        <f>RESUMEN!B4</f>
        <v>CBU 2990024602400048530006</v>
      </c>
      <c r="E2" s="6"/>
      <c r="F2" s="6"/>
      <c r="G2" s="6"/>
      <c r="H2" s="6"/>
      <c r="I2" s="6"/>
      <c r="J2" s="6"/>
      <c r="K2" s="6"/>
      <c r="L2" s="7" t="s">
        <v>61</v>
      </c>
      <c r="M2" s="6"/>
      <c r="N2" s="6"/>
      <c r="O2" s="176">
        <f>T4</f>
        <v>3200000</v>
      </c>
      <c r="P2" s="154"/>
      <c r="Q2" s="15"/>
    </row>
    <row r="3" spans="1:20" ht="12.95" customHeight="1" thickBot="1" x14ac:dyDescent="0.3">
      <c r="A3" s="6"/>
      <c r="B3" s="6"/>
      <c r="C3" s="6"/>
      <c r="D3" s="6" t="s">
        <v>62</v>
      </c>
      <c r="E3" s="6"/>
      <c r="F3" s="6"/>
      <c r="G3" s="6"/>
      <c r="H3" s="6"/>
      <c r="I3" s="6"/>
      <c r="J3" s="6"/>
      <c r="K3" s="6"/>
      <c r="L3" s="7" t="s">
        <v>63</v>
      </c>
      <c r="M3" s="6"/>
      <c r="N3" s="6"/>
      <c r="O3" s="180">
        <f>S6</f>
        <v>181000</v>
      </c>
      <c r="P3" s="181"/>
    </row>
    <row r="4" spans="1:20" x14ac:dyDescent="0.25">
      <c r="A4" s="170" t="s">
        <v>64</v>
      </c>
      <c r="B4" s="177" t="s">
        <v>65</v>
      </c>
      <c r="C4" s="172" t="s">
        <v>66</v>
      </c>
      <c r="D4" s="172" t="s">
        <v>67</v>
      </c>
      <c r="E4" s="173" t="s">
        <v>68</v>
      </c>
      <c r="F4" s="172" t="s">
        <v>69</v>
      </c>
      <c r="G4" s="172" t="s">
        <v>70</v>
      </c>
      <c r="H4" s="172" t="s">
        <v>71</v>
      </c>
      <c r="I4" s="173" t="s">
        <v>72</v>
      </c>
      <c r="J4" s="183" t="s">
        <v>73</v>
      </c>
      <c r="K4" s="175" t="s">
        <v>74</v>
      </c>
      <c r="L4" s="184" t="s">
        <v>75</v>
      </c>
      <c r="M4" s="175" t="s">
        <v>76</v>
      </c>
      <c r="N4" s="175" t="s">
        <v>77</v>
      </c>
      <c r="O4" s="61" t="s">
        <v>78</v>
      </c>
      <c r="P4" s="179" t="s">
        <v>79</v>
      </c>
      <c r="S4" s="43"/>
      <c r="T4">
        <v>3200000</v>
      </c>
    </row>
    <row r="5" spans="1:20" ht="15.75" customHeight="1" x14ac:dyDescent="0.25">
      <c r="A5" s="171"/>
      <c r="B5" s="178"/>
      <c r="C5" s="171"/>
      <c r="D5" s="171"/>
      <c r="E5" s="174"/>
      <c r="F5" s="171"/>
      <c r="G5" s="171"/>
      <c r="H5" s="171"/>
      <c r="I5" s="174"/>
      <c r="J5" s="174"/>
      <c r="K5" s="174"/>
      <c r="L5" s="171"/>
      <c r="M5" s="174"/>
      <c r="N5" s="174"/>
      <c r="O5" s="59" t="str">
        <f>RESUMEN!B9</f>
        <v>VTO 15/09</v>
      </c>
      <c r="P5" s="171"/>
    </row>
    <row r="6" spans="1:20" ht="17.100000000000001" customHeight="1" x14ac:dyDescent="0.25">
      <c r="A6" s="5" t="s">
        <v>80</v>
      </c>
      <c r="B6" s="62">
        <v>1</v>
      </c>
      <c r="C6" s="62" t="s">
        <v>81</v>
      </c>
      <c r="D6" s="62" t="s">
        <v>82</v>
      </c>
      <c r="E6" s="62" t="s">
        <v>83</v>
      </c>
      <c r="F6" s="68">
        <v>3</v>
      </c>
      <c r="G6" s="134">
        <v>95430.1</v>
      </c>
      <c r="H6" s="130">
        <f>G6</f>
        <v>95430.1</v>
      </c>
      <c r="I6" s="70"/>
      <c r="J6" s="117">
        <f t="shared" ref="J6:J24" si="0">G6-H6</f>
        <v>0</v>
      </c>
      <c r="K6" s="71">
        <f t="shared" ref="K6:K24" si="1">IF(J6&gt;0,J6*5%,0)</f>
        <v>0</v>
      </c>
      <c r="L6" s="72">
        <f t="shared" ref="L6:L24" si="2">O$3*F6%</f>
        <v>5430</v>
      </c>
      <c r="M6" s="72">
        <f t="shared" ref="M6:M24" si="3">O$2*F6%</f>
        <v>96000</v>
      </c>
      <c r="N6" s="114">
        <f t="shared" ref="N6:N24" si="4">SUM(J6:M6)</f>
        <v>101430</v>
      </c>
      <c r="O6" s="118" t="str">
        <f t="shared" ref="O6:O24" si="5">CONCATENATE("$",ROUND(N6,0), ",", Q6)</f>
        <v>$101430,1</v>
      </c>
      <c r="P6" s="119" t="str">
        <f t="shared" ref="P6:P24" si="6">CONCATENATE("$",ROUND(N6*3%+ N6,0), ",", Q6)</f>
        <v>$104473,1</v>
      </c>
      <c r="Q6" s="43" t="str">
        <f t="shared" ref="Q6:Q24" si="7">CONCATENATE(B6)</f>
        <v>1</v>
      </c>
      <c r="S6">
        <v>181000</v>
      </c>
    </row>
    <row r="7" spans="1:20" ht="17.100000000000001" customHeight="1" x14ac:dyDescent="0.25">
      <c r="A7" s="5" t="s">
        <v>84</v>
      </c>
      <c r="B7" s="62">
        <v>2</v>
      </c>
      <c r="C7" s="62" t="s">
        <v>85</v>
      </c>
      <c r="D7" s="62" t="s">
        <v>86</v>
      </c>
      <c r="E7" s="62" t="s">
        <v>87</v>
      </c>
      <c r="F7" s="68">
        <v>3.8</v>
      </c>
      <c r="G7" s="134">
        <v>120878.2</v>
      </c>
      <c r="H7" s="130">
        <f>G7</f>
        <v>120878.2</v>
      </c>
      <c r="I7" s="70"/>
      <c r="J7" s="117">
        <f t="shared" si="0"/>
        <v>0</v>
      </c>
      <c r="K7" s="71">
        <f t="shared" si="1"/>
        <v>0</v>
      </c>
      <c r="L7" s="72">
        <f t="shared" si="2"/>
        <v>6878</v>
      </c>
      <c r="M7" s="72">
        <f t="shared" si="3"/>
        <v>121600</v>
      </c>
      <c r="N7" s="114">
        <f t="shared" si="4"/>
        <v>128478</v>
      </c>
      <c r="O7" s="116" t="str">
        <f t="shared" si="5"/>
        <v>$128478,2</v>
      </c>
      <c r="P7" s="119" t="str">
        <f t="shared" si="6"/>
        <v>$132332,2</v>
      </c>
      <c r="Q7" s="43" t="str">
        <f t="shared" si="7"/>
        <v>2</v>
      </c>
      <c r="R7" s="43"/>
    </row>
    <row r="8" spans="1:20" ht="17.100000000000001" customHeight="1" x14ac:dyDescent="0.25">
      <c r="A8" s="5" t="s">
        <v>84</v>
      </c>
      <c r="B8" s="62">
        <v>3</v>
      </c>
      <c r="C8" s="62" t="s">
        <v>88</v>
      </c>
      <c r="D8" s="62" t="s">
        <v>89</v>
      </c>
      <c r="E8" s="62" t="s">
        <v>90</v>
      </c>
      <c r="F8" s="68">
        <v>3</v>
      </c>
      <c r="G8" s="134">
        <v>95430.3</v>
      </c>
      <c r="H8" s="130"/>
      <c r="I8" s="70"/>
      <c r="J8" s="117">
        <f t="shared" si="0"/>
        <v>95430.3</v>
      </c>
      <c r="K8" s="71">
        <f t="shared" si="1"/>
        <v>4771.5150000000003</v>
      </c>
      <c r="L8" s="72">
        <f t="shared" si="2"/>
        <v>5430</v>
      </c>
      <c r="M8" s="72">
        <f t="shared" si="3"/>
        <v>96000</v>
      </c>
      <c r="N8" s="114">
        <f t="shared" si="4"/>
        <v>201631.815</v>
      </c>
      <c r="O8" s="116" t="str">
        <f t="shared" si="5"/>
        <v>$201632,3</v>
      </c>
      <c r="P8" s="119" t="str">
        <f t="shared" si="6"/>
        <v>$207681,3</v>
      </c>
      <c r="Q8" s="43" t="str">
        <f t="shared" si="7"/>
        <v>3</v>
      </c>
    </row>
    <row r="9" spans="1:20" ht="17.100000000000001" customHeight="1" x14ac:dyDescent="0.25">
      <c r="A9" s="5" t="s">
        <v>91</v>
      </c>
      <c r="B9" s="62">
        <v>4</v>
      </c>
      <c r="C9" s="62" t="s">
        <v>92</v>
      </c>
      <c r="D9" s="62" t="s">
        <v>93</v>
      </c>
      <c r="E9" s="62" t="s">
        <v>94</v>
      </c>
      <c r="F9" s="68">
        <v>3.1</v>
      </c>
      <c r="G9" s="134">
        <v>98611.4</v>
      </c>
      <c r="H9" s="130"/>
      <c r="I9" s="70"/>
      <c r="J9" s="117">
        <f t="shared" si="0"/>
        <v>98611.4</v>
      </c>
      <c r="K9" s="71">
        <f t="shared" si="1"/>
        <v>4930.57</v>
      </c>
      <c r="L9" s="72">
        <f t="shared" si="2"/>
        <v>5611</v>
      </c>
      <c r="M9" s="72">
        <f t="shared" si="3"/>
        <v>99200</v>
      </c>
      <c r="N9" s="114">
        <f t="shared" si="4"/>
        <v>208352.97</v>
      </c>
      <c r="O9" s="116" t="str">
        <f t="shared" si="5"/>
        <v>$208353,4</v>
      </c>
      <c r="P9" s="119" t="str">
        <f t="shared" si="6"/>
        <v>$214604,4</v>
      </c>
      <c r="Q9" s="43" t="str">
        <f t="shared" si="7"/>
        <v>4</v>
      </c>
      <c r="S9" s="43"/>
    </row>
    <row r="10" spans="1:20" ht="17.100000000000001" customHeight="1" x14ac:dyDescent="0.25">
      <c r="A10" s="5" t="s">
        <v>91</v>
      </c>
      <c r="B10" s="62">
        <v>5</v>
      </c>
      <c r="C10" s="62" t="s">
        <v>95</v>
      </c>
      <c r="D10" s="62" t="s">
        <v>96</v>
      </c>
      <c r="E10" s="62" t="s">
        <v>97</v>
      </c>
      <c r="F10" s="68">
        <v>3.1</v>
      </c>
      <c r="G10" s="134">
        <v>202153.5</v>
      </c>
      <c r="H10" s="130"/>
      <c r="I10" s="70"/>
      <c r="J10" s="117">
        <f t="shared" si="0"/>
        <v>202153.5</v>
      </c>
      <c r="K10" s="71">
        <f t="shared" si="1"/>
        <v>10107.675000000001</v>
      </c>
      <c r="L10" s="72">
        <f t="shared" si="2"/>
        <v>5611</v>
      </c>
      <c r="M10" s="72">
        <f t="shared" si="3"/>
        <v>99200</v>
      </c>
      <c r="N10" s="114">
        <f t="shared" si="4"/>
        <v>317072.17499999999</v>
      </c>
      <c r="O10" s="116" t="str">
        <f t="shared" si="5"/>
        <v>$317072,5</v>
      </c>
      <c r="P10" s="119" t="str">
        <f t="shared" si="6"/>
        <v>$326584,5</v>
      </c>
      <c r="Q10" s="43" t="str">
        <f t="shared" si="7"/>
        <v>5</v>
      </c>
      <c r="S10" s="43"/>
    </row>
    <row r="11" spans="1:20" ht="17.100000000000001" customHeight="1" x14ac:dyDescent="0.25">
      <c r="A11" s="5" t="s">
        <v>98</v>
      </c>
      <c r="B11" s="62">
        <v>6</v>
      </c>
      <c r="C11" s="62" t="s">
        <v>99</v>
      </c>
      <c r="D11" s="62" t="s">
        <v>100</v>
      </c>
      <c r="E11" s="62"/>
      <c r="F11" s="68">
        <v>3.2</v>
      </c>
      <c r="G11" s="134">
        <v>101792.6</v>
      </c>
      <c r="H11" s="130">
        <f>G11</f>
        <v>101792.6</v>
      </c>
      <c r="I11" s="70"/>
      <c r="J11" s="117">
        <f t="shared" si="0"/>
        <v>0</v>
      </c>
      <c r="K11" s="71">
        <f t="shared" si="1"/>
        <v>0</v>
      </c>
      <c r="L11" s="72">
        <f t="shared" si="2"/>
        <v>5792</v>
      </c>
      <c r="M11" s="72">
        <f t="shared" si="3"/>
        <v>102400</v>
      </c>
      <c r="N11" s="114">
        <f t="shared" si="4"/>
        <v>108192</v>
      </c>
      <c r="O11" s="116" t="str">
        <f t="shared" si="5"/>
        <v>$108192,6</v>
      </c>
      <c r="P11" s="119" t="str">
        <f t="shared" si="6"/>
        <v>$111438,6</v>
      </c>
      <c r="Q11" s="43" t="str">
        <f t="shared" si="7"/>
        <v>6</v>
      </c>
    </row>
    <row r="12" spans="1:20" ht="17.100000000000001" customHeight="1" x14ac:dyDescent="0.25">
      <c r="A12" s="5" t="s">
        <v>98</v>
      </c>
      <c r="B12" s="62">
        <v>7</v>
      </c>
      <c r="C12" s="62" t="s">
        <v>101</v>
      </c>
      <c r="D12" s="62" t="s">
        <v>102</v>
      </c>
      <c r="E12" s="62" t="s">
        <v>103</v>
      </c>
      <c r="F12" s="68">
        <v>3.3</v>
      </c>
      <c r="G12" s="134">
        <v>104973.7</v>
      </c>
      <c r="H12" s="130">
        <f>G12</f>
        <v>104973.7</v>
      </c>
      <c r="I12" s="70"/>
      <c r="J12" s="117">
        <f t="shared" si="0"/>
        <v>0</v>
      </c>
      <c r="K12" s="71">
        <f t="shared" si="1"/>
        <v>0</v>
      </c>
      <c r="L12" s="72">
        <f t="shared" si="2"/>
        <v>5973</v>
      </c>
      <c r="M12" s="72">
        <f t="shared" si="3"/>
        <v>105600</v>
      </c>
      <c r="N12" s="114">
        <f t="shared" si="4"/>
        <v>111573</v>
      </c>
      <c r="O12" s="116" t="str">
        <f t="shared" si="5"/>
        <v>$111573,7</v>
      </c>
      <c r="P12" s="119" t="str">
        <f t="shared" si="6"/>
        <v>$114920,7</v>
      </c>
      <c r="Q12" s="43" t="str">
        <f t="shared" si="7"/>
        <v>7</v>
      </c>
    </row>
    <row r="13" spans="1:20" ht="17.100000000000001" customHeight="1" x14ac:dyDescent="0.25">
      <c r="A13" s="5" t="s">
        <v>104</v>
      </c>
      <c r="B13" s="62">
        <v>23</v>
      </c>
      <c r="C13" s="62" t="s">
        <v>105</v>
      </c>
      <c r="D13" s="62" t="s">
        <v>106</v>
      </c>
      <c r="E13" s="62" t="s">
        <v>107</v>
      </c>
      <c r="F13" s="68">
        <v>6.3</v>
      </c>
      <c r="G13" s="134">
        <v>212376.23</v>
      </c>
      <c r="H13" s="69">
        <f>189000+23976.23</f>
        <v>212976.23</v>
      </c>
      <c r="I13" s="70"/>
      <c r="J13" s="117">
        <f t="shared" si="0"/>
        <v>-600</v>
      </c>
      <c r="K13" s="71">
        <f t="shared" si="1"/>
        <v>0</v>
      </c>
      <c r="L13" s="72">
        <f t="shared" si="2"/>
        <v>11403</v>
      </c>
      <c r="M13" s="72">
        <f t="shared" si="3"/>
        <v>201600</v>
      </c>
      <c r="N13" s="114">
        <f t="shared" si="4"/>
        <v>212403</v>
      </c>
      <c r="O13" s="116" t="str">
        <f t="shared" si="5"/>
        <v>$212403,23</v>
      </c>
      <c r="P13" s="119" t="str">
        <f t="shared" si="6"/>
        <v>$218775,23</v>
      </c>
      <c r="Q13" s="43" t="str">
        <f t="shared" si="7"/>
        <v>23</v>
      </c>
      <c r="S13" t="s">
        <v>108</v>
      </c>
    </row>
    <row r="14" spans="1:20" ht="17.100000000000001" customHeight="1" x14ac:dyDescent="0.25">
      <c r="A14" s="5" t="s">
        <v>104</v>
      </c>
      <c r="B14" s="62">
        <v>22</v>
      </c>
      <c r="C14" s="62" t="s">
        <v>109</v>
      </c>
      <c r="D14" s="62" t="s">
        <v>110</v>
      </c>
      <c r="E14" s="62" t="s">
        <v>111</v>
      </c>
      <c r="F14" s="68">
        <v>5.0999999999999996</v>
      </c>
      <c r="G14" s="134">
        <v>162231.22</v>
      </c>
      <c r="H14" s="69">
        <f>G14</f>
        <v>162231.22</v>
      </c>
      <c r="I14" s="70"/>
      <c r="J14" s="117">
        <f t="shared" si="0"/>
        <v>0</v>
      </c>
      <c r="K14" s="71">
        <f t="shared" si="1"/>
        <v>0</v>
      </c>
      <c r="L14" s="72">
        <f t="shared" si="2"/>
        <v>9231</v>
      </c>
      <c r="M14" s="72">
        <f t="shared" si="3"/>
        <v>163200</v>
      </c>
      <c r="N14" s="114">
        <f t="shared" si="4"/>
        <v>172431</v>
      </c>
      <c r="O14" s="116" t="str">
        <f t="shared" si="5"/>
        <v>$172431,22</v>
      </c>
      <c r="P14" s="119" t="str">
        <f t="shared" si="6"/>
        <v>$177604,22</v>
      </c>
      <c r="Q14" s="43" t="str">
        <f t="shared" si="7"/>
        <v>22</v>
      </c>
    </row>
    <row r="15" spans="1:20" ht="17.100000000000001" customHeight="1" x14ac:dyDescent="0.25">
      <c r="A15" s="5" t="s">
        <v>112</v>
      </c>
      <c r="B15" s="62">
        <v>21</v>
      </c>
      <c r="C15" s="62" t="s">
        <v>113</v>
      </c>
      <c r="D15" s="62" t="s">
        <v>114</v>
      </c>
      <c r="E15" s="63"/>
      <c r="F15" s="68">
        <v>8.1999999999999993</v>
      </c>
      <c r="G15" s="134">
        <v>260842.21</v>
      </c>
      <c r="H15" s="69">
        <v>268667.21000000002</v>
      </c>
      <c r="I15" s="70"/>
      <c r="J15" s="117">
        <f t="shared" si="0"/>
        <v>-7825.0000000000291</v>
      </c>
      <c r="K15" s="71">
        <f t="shared" si="1"/>
        <v>0</v>
      </c>
      <c r="L15" s="72">
        <f t="shared" si="2"/>
        <v>14841.999999999998</v>
      </c>
      <c r="M15" s="72">
        <f t="shared" si="3"/>
        <v>262399.99999999994</v>
      </c>
      <c r="N15" s="114">
        <f t="shared" si="4"/>
        <v>269416.99999999988</v>
      </c>
      <c r="O15" s="116" t="str">
        <f t="shared" si="5"/>
        <v>$269417,21</v>
      </c>
      <c r="P15" s="119" t="str">
        <f t="shared" si="6"/>
        <v>$277500,21</v>
      </c>
      <c r="Q15" s="43" t="str">
        <f t="shared" si="7"/>
        <v>21</v>
      </c>
    </row>
    <row r="16" spans="1:20" ht="17.100000000000001" customHeight="1" x14ac:dyDescent="0.25">
      <c r="A16" s="5" t="s">
        <v>112</v>
      </c>
      <c r="B16" s="62">
        <v>14</v>
      </c>
      <c r="C16" s="62" t="s">
        <v>115</v>
      </c>
      <c r="D16" s="62" t="s">
        <v>116</v>
      </c>
      <c r="E16" s="62" t="s">
        <v>117</v>
      </c>
      <c r="F16" s="68">
        <v>6.1</v>
      </c>
      <c r="G16" s="134">
        <v>194041.14</v>
      </c>
      <c r="H16" s="69">
        <f>G16</f>
        <v>194041.14</v>
      </c>
      <c r="I16" s="70"/>
      <c r="J16" s="117">
        <f t="shared" si="0"/>
        <v>0</v>
      </c>
      <c r="K16" s="71">
        <f t="shared" si="1"/>
        <v>0</v>
      </c>
      <c r="L16" s="72">
        <f t="shared" si="2"/>
        <v>11041</v>
      </c>
      <c r="M16" s="72">
        <f t="shared" si="3"/>
        <v>195200</v>
      </c>
      <c r="N16" s="114">
        <f t="shared" si="4"/>
        <v>206241</v>
      </c>
      <c r="O16" s="116" t="str">
        <f t="shared" si="5"/>
        <v>$206241,14</v>
      </c>
      <c r="P16" s="119" t="str">
        <f t="shared" si="6"/>
        <v>$212428,14</v>
      </c>
      <c r="Q16" s="43" t="str">
        <f t="shared" si="7"/>
        <v>14</v>
      </c>
    </row>
    <row r="17" spans="1:20" ht="17.100000000000001" customHeight="1" x14ac:dyDescent="0.25">
      <c r="A17" s="5" t="s">
        <v>118</v>
      </c>
      <c r="B17" s="62">
        <v>13</v>
      </c>
      <c r="C17" s="62" t="s">
        <v>119</v>
      </c>
      <c r="D17" s="62" t="s">
        <v>120</v>
      </c>
      <c r="E17" s="63"/>
      <c r="F17" s="68">
        <v>5</v>
      </c>
      <c r="G17" s="134">
        <v>154398.13</v>
      </c>
      <c r="H17" s="69">
        <v>159030.13</v>
      </c>
      <c r="I17" s="70"/>
      <c r="J17" s="117">
        <f t="shared" si="0"/>
        <v>-4632</v>
      </c>
      <c r="K17" s="71">
        <f t="shared" si="1"/>
        <v>0</v>
      </c>
      <c r="L17" s="72">
        <f t="shared" si="2"/>
        <v>9050</v>
      </c>
      <c r="M17" s="72">
        <f t="shared" si="3"/>
        <v>160000</v>
      </c>
      <c r="N17" s="114">
        <f t="shared" si="4"/>
        <v>164418</v>
      </c>
      <c r="O17" s="116" t="str">
        <f t="shared" si="5"/>
        <v>$164418,13</v>
      </c>
      <c r="P17" s="119" t="str">
        <f t="shared" si="6"/>
        <v>$169351,13</v>
      </c>
      <c r="Q17" s="43" t="str">
        <f t="shared" si="7"/>
        <v>13</v>
      </c>
    </row>
    <row r="18" spans="1:20" ht="17.100000000000001" customHeight="1" x14ac:dyDescent="0.25">
      <c r="A18" s="5" t="s">
        <v>118</v>
      </c>
      <c r="B18" s="62">
        <v>12</v>
      </c>
      <c r="C18" s="62" t="s">
        <v>121</v>
      </c>
      <c r="D18" s="62" t="s">
        <v>122</v>
      </c>
      <c r="E18" s="62" t="s">
        <v>123</v>
      </c>
      <c r="F18" s="68">
        <v>8.1999999999999993</v>
      </c>
      <c r="G18" s="134">
        <v>15065931.119999999</v>
      </c>
      <c r="H18" s="69">
        <v>260842</v>
      </c>
      <c r="I18" s="70"/>
      <c r="J18" s="117">
        <f t="shared" si="0"/>
        <v>14805089.119999999</v>
      </c>
      <c r="K18" s="71">
        <f t="shared" si="1"/>
        <v>740254.45600000001</v>
      </c>
      <c r="L18" s="72">
        <f t="shared" si="2"/>
        <v>14841.999999999998</v>
      </c>
      <c r="M18" s="72">
        <f t="shared" si="3"/>
        <v>262399.99999999994</v>
      </c>
      <c r="N18" s="114">
        <f t="shared" si="4"/>
        <v>15822585.575999999</v>
      </c>
      <c r="O18" s="116" t="str">
        <f t="shared" si="5"/>
        <v>$15822586,12</v>
      </c>
      <c r="P18" s="119" t="str">
        <f t="shared" si="6"/>
        <v>$16297263,12</v>
      </c>
      <c r="Q18" s="43" t="str">
        <f t="shared" si="7"/>
        <v>12</v>
      </c>
    </row>
    <row r="19" spans="1:20" ht="17.100000000000001" customHeight="1" x14ac:dyDescent="0.25">
      <c r="A19" s="5" t="s">
        <v>124</v>
      </c>
      <c r="B19" s="62">
        <v>17</v>
      </c>
      <c r="C19" s="62" t="s">
        <v>125</v>
      </c>
      <c r="D19" s="62" t="s">
        <v>122</v>
      </c>
      <c r="E19" s="63"/>
      <c r="F19" s="68">
        <v>6.1</v>
      </c>
      <c r="G19" s="134">
        <v>10897785.17</v>
      </c>
      <c r="H19" s="69"/>
      <c r="I19" s="70"/>
      <c r="J19" s="117">
        <f t="shared" si="0"/>
        <v>10897785.17</v>
      </c>
      <c r="K19" s="71">
        <f t="shared" si="1"/>
        <v>544889.2585</v>
      </c>
      <c r="L19" s="72">
        <f t="shared" si="2"/>
        <v>11041</v>
      </c>
      <c r="M19" s="72">
        <f t="shared" si="3"/>
        <v>195200</v>
      </c>
      <c r="N19" s="114">
        <f t="shared" si="4"/>
        <v>11648915.4285</v>
      </c>
      <c r="O19" s="116" t="str">
        <f t="shared" si="5"/>
        <v>$11648915,17</v>
      </c>
      <c r="P19" s="119" t="str">
        <f t="shared" si="6"/>
        <v>$11998383,17</v>
      </c>
      <c r="Q19" s="43" t="str">
        <f t="shared" si="7"/>
        <v>17</v>
      </c>
    </row>
    <row r="20" spans="1:20" ht="17.100000000000001" customHeight="1" x14ac:dyDescent="0.25">
      <c r="A20" s="5" t="s">
        <v>124</v>
      </c>
      <c r="B20" s="62">
        <v>16</v>
      </c>
      <c r="C20" s="62" t="s">
        <v>126</v>
      </c>
      <c r="D20" s="62" t="s">
        <v>127</v>
      </c>
      <c r="E20" s="63" t="s">
        <v>128</v>
      </c>
      <c r="F20" s="68">
        <v>5</v>
      </c>
      <c r="G20" s="135">
        <v>159050.16</v>
      </c>
      <c r="H20" s="130">
        <v>160000</v>
      </c>
      <c r="I20" s="70"/>
      <c r="J20" s="117">
        <f t="shared" si="0"/>
        <v>-949.83999999999651</v>
      </c>
      <c r="K20" s="71">
        <f t="shared" si="1"/>
        <v>0</v>
      </c>
      <c r="L20" s="72">
        <f t="shared" si="2"/>
        <v>9050</v>
      </c>
      <c r="M20" s="72">
        <f t="shared" si="3"/>
        <v>160000</v>
      </c>
      <c r="N20" s="114">
        <f t="shared" si="4"/>
        <v>168100.16</v>
      </c>
      <c r="O20" s="116" t="str">
        <f t="shared" si="5"/>
        <v>$168100,16</v>
      </c>
      <c r="P20" s="119" t="str">
        <f t="shared" si="6"/>
        <v>$173143,16</v>
      </c>
      <c r="Q20" s="43" t="str">
        <f t="shared" si="7"/>
        <v>16</v>
      </c>
      <c r="S20" t="s">
        <v>144</v>
      </c>
    </row>
    <row r="21" spans="1:20" ht="17.100000000000001" customHeight="1" x14ac:dyDescent="0.25">
      <c r="A21" s="5" t="s">
        <v>129</v>
      </c>
      <c r="B21" s="62">
        <v>15</v>
      </c>
      <c r="C21" s="62" t="s">
        <v>130</v>
      </c>
      <c r="D21" s="62" t="s">
        <v>131</v>
      </c>
      <c r="E21" s="62"/>
      <c r="F21" s="68">
        <v>8.1999999999999993</v>
      </c>
      <c r="G21" s="134">
        <v>280706.15000000002</v>
      </c>
      <c r="H21" s="69">
        <f>18918+264918.15+946</f>
        <v>284782.15000000002</v>
      </c>
      <c r="I21" s="70"/>
      <c r="J21" s="117">
        <f t="shared" si="0"/>
        <v>-4076</v>
      </c>
      <c r="K21" s="71">
        <f t="shared" si="1"/>
        <v>0</v>
      </c>
      <c r="L21" s="72">
        <f t="shared" si="2"/>
        <v>14841.999999999998</v>
      </c>
      <c r="M21" s="72">
        <f t="shared" si="3"/>
        <v>262399.99999999994</v>
      </c>
      <c r="N21" s="114">
        <f t="shared" si="4"/>
        <v>273165.99999999994</v>
      </c>
      <c r="O21" s="116" t="str">
        <f t="shared" si="5"/>
        <v>$273166,15</v>
      </c>
      <c r="P21" s="119" t="str">
        <f t="shared" si="6"/>
        <v>$281361,15</v>
      </c>
      <c r="Q21" s="43" t="str">
        <f t="shared" si="7"/>
        <v>15</v>
      </c>
      <c r="S21" s="42"/>
    </row>
    <row r="22" spans="1:20" ht="17.100000000000001" customHeight="1" x14ac:dyDescent="0.25">
      <c r="A22" s="5" t="s">
        <v>129</v>
      </c>
      <c r="B22" s="62">
        <v>20</v>
      </c>
      <c r="C22" s="62" t="s">
        <v>132</v>
      </c>
      <c r="D22" s="62" t="s">
        <v>133</v>
      </c>
      <c r="E22" s="63"/>
      <c r="F22" s="68">
        <v>6.1</v>
      </c>
      <c r="G22" s="135">
        <v>194041.2</v>
      </c>
      <c r="H22" s="69">
        <f>G22</f>
        <v>194041.2</v>
      </c>
      <c r="I22" s="70"/>
      <c r="J22" s="71">
        <f t="shared" si="0"/>
        <v>0</v>
      </c>
      <c r="K22" s="71">
        <f t="shared" si="1"/>
        <v>0</v>
      </c>
      <c r="L22" s="72">
        <f t="shared" si="2"/>
        <v>11041</v>
      </c>
      <c r="M22" s="72">
        <f t="shared" si="3"/>
        <v>195200</v>
      </c>
      <c r="N22" s="114">
        <f t="shared" si="4"/>
        <v>206241</v>
      </c>
      <c r="O22" s="116" t="str">
        <f t="shared" si="5"/>
        <v>$206241,20</v>
      </c>
      <c r="P22" s="119" t="str">
        <f t="shared" si="6"/>
        <v>$212428,20</v>
      </c>
      <c r="Q22" s="43" t="str">
        <f t="shared" si="7"/>
        <v>20</v>
      </c>
      <c r="T22" t="s">
        <v>134</v>
      </c>
    </row>
    <row r="23" spans="1:20" ht="17.100000000000001" customHeight="1" x14ac:dyDescent="0.25">
      <c r="A23" s="5" t="s">
        <v>135</v>
      </c>
      <c r="B23" s="62">
        <v>19</v>
      </c>
      <c r="C23" s="62" t="s">
        <v>136</v>
      </c>
      <c r="D23" s="62" t="s">
        <v>137</v>
      </c>
      <c r="E23" s="62" t="s">
        <v>147</v>
      </c>
      <c r="F23" s="68">
        <v>5</v>
      </c>
      <c r="G23" s="134">
        <v>326053.19</v>
      </c>
      <c r="H23" s="69">
        <f>G23</f>
        <v>326053.19</v>
      </c>
      <c r="I23" s="70"/>
      <c r="J23" s="71">
        <f t="shared" si="0"/>
        <v>0</v>
      </c>
      <c r="K23" s="71">
        <f t="shared" si="1"/>
        <v>0</v>
      </c>
      <c r="L23" s="72">
        <f t="shared" si="2"/>
        <v>9050</v>
      </c>
      <c r="M23" s="72">
        <f t="shared" si="3"/>
        <v>160000</v>
      </c>
      <c r="N23" s="114">
        <f t="shared" si="4"/>
        <v>169050</v>
      </c>
      <c r="O23" s="116" t="str">
        <f t="shared" si="5"/>
        <v>$169050,19</v>
      </c>
      <c r="P23" s="119" t="str">
        <f t="shared" si="6"/>
        <v>$174122,19</v>
      </c>
      <c r="Q23" s="43" t="str">
        <f t="shared" si="7"/>
        <v>19</v>
      </c>
    </row>
    <row r="24" spans="1:20" ht="17.100000000000001" customHeight="1" thickBot="1" x14ac:dyDescent="0.3">
      <c r="A24" s="5" t="s">
        <v>135</v>
      </c>
      <c r="B24" s="62">
        <v>18</v>
      </c>
      <c r="C24" s="62" t="s">
        <v>138</v>
      </c>
      <c r="D24" s="186" t="s">
        <v>139</v>
      </c>
      <c r="E24" s="63"/>
      <c r="F24" s="68">
        <v>8.1999999999999993</v>
      </c>
      <c r="G24" s="134">
        <v>253017.18</v>
      </c>
      <c r="H24" s="69">
        <v>262000</v>
      </c>
      <c r="I24" s="70"/>
      <c r="J24" s="71">
        <f t="shared" si="0"/>
        <v>-8982.820000000007</v>
      </c>
      <c r="K24" s="71">
        <f t="shared" si="1"/>
        <v>0</v>
      </c>
      <c r="L24" s="72">
        <f t="shared" si="2"/>
        <v>14841.999999999998</v>
      </c>
      <c r="M24" s="72">
        <f t="shared" si="3"/>
        <v>262399.99999999994</v>
      </c>
      <c r="N24" s="114">
        <f t="shared" si="4"/>
        <v>268259.17999999993</v>
      </c>
      <c r="O24" s="116" t="str">
        <f t="shared" si="5"/>
        <v>$268259,18</v>
      </c>
      <c r="P24" s="119" t="str">
        <f t="shared" si="6"/>
        <v>$276307,18</v>
      </c>
      <c r="Q24" s="43" t="str">
        <f t="shared" si="7"/>
        <v>18</v>
      </c>
      <c r="T24" t="s">
        <v>140</v>
      </c>
    </row>
    <row r="25" spans="1:20" ht="17.100000000000001" customHeight="1" thickBot="1" x14ac:dyDescent="0.3">
      <c r="B25" s="73"/>
      <c r="C25" s="74"/>
      <c r="D25" s="75"/>
      <c r="E25" s="75"/>
      <c r="F25" s="76">
        <f t="shared" ref="F25:M25" si="8">SUM(F6:F24)</f>
        <v>99.999999999999986</v>
      </c>
      <c r="G25" s="54">
        <f t="shared" si="8"/>
        <v>28979742.899999995</v>
      </c>
      <c r="H25" s="60">
        <f t="shared" si="8"/>
        <v>2907739.07</v>
      </c>
      <c r="I25" s="54">
        <f t="shared" si="8"/>
        <v>0</v>
      </c>
      <c r="J25" s="60">
        <f t="shared" si="8"/>
        <v>26072003.829999998</v>
      </c>
      <c r="K25" s="60">
        <f t="shared" si="8"/>
        <v>1304953.4745</v>
      </c>
      <c r="L25" s="60">
        <f t="shared" si="8"/>
        <v>181000</v>
      </c>
      <c r="M25" s="60">
        <f t="shared" si="8"/>
        <v>3200000</v>
      </c>
      <c r="N25" s="115"/>
      <c r="O25" s="77">
        <f>SUM(O6:O24)</f>
        <v>0</v>
      </c>
      <c r="P25" s="77">
        <f>SUM(P6:P24)</f>
        <v>0</v>
      </c>
    </row>
    <row r="26" spans="1:20" ht="12.75" customHeight="1" x14ac:dyDescent="0.25">
      <c r="D26" s="51"/>
      <c r="E26" s="51"/>
      <c r="R26" s="104"/>
    </row>
    <row r="27" spans="1:20" hidden="1" x14ac:dyDescent="0.25"/>
    <row r="28" spans="1:20" ht="9" customHeight="1" x14ac:dyDescent="0.25">
      <c r="D28" s="161" t="s">
        <v>141</v>
      </c>
      <c r="E28" s="154"/>
      <c r="F28" s="154"/>
      <c r="G28" s="154"/>
      <c r="H28" s="154"/>
      <c r="I28" s="154"/>
      <c r="J28" s="154"/>
      <c r="K28" s="154"/>
      <c r="L28" s="154"/>
      <c r="M28" s="154"/>
      <c r="N28" s="154"/>
      <c r="O28" s="154"/>
    </row>
    <row r="29" spans="1:20" ht="12" hidden="1" customHeight="1" x14ac:dyDescent="0.25">
      <c r="D29" s="154"/>
      <c r="E29" s="154"/>
      <c r="F29" s="154"/>
      <c r="G29" s="154"/>
      <c r="H29" s="154"/>
      <c r="I29" s="154"/>
      <c r="J29" s="154"/>
      <c r="K29" s="154"/>
      <c r="L29" s="154"/>
      <c r="M29" s="154"/>
      <c r="N29" s="154"/>
      <c r="O29" s="154"/>
    </row>
    <row r="30" spans="1:20" ht="12" hidden="1" customHeight="1" x14ac:dyDescent="0.25">
      <c r="D30" s="154"/>
      <c r="E30" s="154"/>
      <c r="F30" s="154"/>
      <c r="G30" s="154"/>
      <c r="H30" s="154"/>
      <c r="I30" s="154"/>
      <c r="J30" s="154"/>
      <c r="K30" s="154"/>
      <c r="L30" s="154"/>
      <c r="M30" s="154"/>
      <c r="N30" s="154"/>
      <c r="O30" s="154"/>
    </row>
    <row r="31" spans="1:20" ht="12" hidden="1" customHeight="1" x14ac:dyDescent="0.25">
      <c r="D31" s="154"/>
      <c r="E31" s="154"/>
      <c r="F31" s="154"/>
      <c r="G31" s="154"/>
      <c r="H31" s="154"/>
      <c r="I31" s="154"/>
      <c r="J31" s="154"/>
      <c r="K31" s="154"/>
      <c r="L31" s="154"/>
      <c r="M31" s="154"/>
      <c r="N31" s="154"/>
      <c r="O31" s="154"/>
    </row>
    <row r="32" spans="1:20" ht="12" hidden="1" customHeight="1" x14ac:dyDescent="0.25">
      <c r="D32" s="154"/>
      <c r="E32" s="154"/>
      <c r="F32" s="154"/>
      <c r="G32" s="154"/>
      <c r="H32" s="154"/>
      <c r="I32" s="154"/>
      <c r="J32" s="154"/>
      <c r="K32" s="154"/>
      <c r="L32" s="154"/>
      <c r="M32" s="154"/>
      <c r="N32" s="154"/>
      <c r="O32" s="154"/>
    </row>
    <row r="33" spans="4:21" ht="65.25" customHeight="1" x14ac:dyDescent="0.25">
      <c r="D33" s="154"/>
      <c r="E33" s="154"/>
      <c r="F33" s="154"/>
      <c r="G33" s="154"/>
      <c r="H33" s="154"/>
      <c r="I33" s="154"/>
      <c r="J33" s="154"/>
      <c r="K33" s="154"/>
      <c r="L33" s="154"/>
      <c r="M33" s="154"/>
      <c r="N33" s="154"/>
      <c r="O33" s="154"/>
      <c r="R33" s="104"/>
      <c r="S33" s="104"/>
      <c r="T33" s="104"/>
      <c r="U33" s="104"/>
    </row>
  </sheetData>
  <mergeCells count="19">
    <mergeCell ref="D28:O33"/>
    <mergeCell ref="C4:C5"/>
    <mergeCell ref="E4:E5"/>
    <mergeCell ref="F1:O1"/>
    <mergeCell ref="D4:D5"/>
    <mergeCell ref="J4:J5"/>
    <mergeCell ref="L4:L5"/>
    <mergeCell ref="A4:A5"/>
    <mergeCell ref="G4:G5"/>
    <mergeCell ref="I4:I5"/>
    <mergeCell ref="K4:K5"/>
    <mergeCell ref="O2:P2"/>
    <mergeCell ref="M4:M5"/>
    <mergeCell ref="B4:B5"/>
    <mergeCell ref="F4:F5"/>
    <mergeCell ref="H4:H5"/>
    <mergeCell ref="N4:N5"/>
    <mergeCell ref="P4:P5"/>
    <mergeCell ref="O3:P3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2025-07-03T15:30:56Z</cp:lastPrinted>
  <dcterms:created xsi:type="dcterms:W3CDTF">2023-09-17T12:29:07Z</dcterms:created>
  <dcterms:modified xsi:type="dcterms:W3CDTF">2025-09-05T14:42:50Z</dcterms:modified>
</cp:coreProperties>
</file>