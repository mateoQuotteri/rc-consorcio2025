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UEYRREDON 1494\Mayo\"/>
    </mc:Choice>
  </mc:AlternateContent>
  <xr:revisionPtr revIDLastSave="0" documentId="13_ncr:1_{7637B611-4A74-4DA7-BA27-459CB954B51B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H20" i="2" l="1"/>
  <c r="H22" i="2"/>
  <c r="H8" i="2"/>
  <c r="H14" i="2"/>
  <c r="H16" i="2"/>
  <c r="H7" i="2"/>
  <c r="H6" i="2"/>
  <c r="H15" i="2"/>
  <c r="H11" i="2"/>
  <c r="H12" i="2"/>
  <c r="H13" i="2"/>
  <c r="H9" i="2"/>
  <c r="H21" i="2"/>
  <c r="Q6" i="2" l="1"/>
  <c r="Q7" i="2"/>
  <c r="Q8" i="2"/>
  <c r="Q9" i="2"/>
  <c r="Q10" i="2"/>
  <c r="Q11" i="2"/>
  <c r="Q12" i="2"/>
  <c r="Q13" i="2"/>
  <c r="Q15" i="2"/>
  <c r="Q16" i="2"/>
  <c r="Q17" i="2"/>
  <c r="Q18" i="2"/>
  <c r="Q19" i="2"/>
  <c r="Q20" i="2"/>
  <c r="Q21" i="2"/>
  <c r="Q22" i="2"/>
  <c r="Q23" i="2"/>
  <c r="Q24" i="2"/>
  <c r="Q14" i="2"/>
  <c r="B109" i="1" l="1"/>
  <c r="H23" i="2"/>
  <c r="H17" i="2"/>
  <c r="E42" i="1"/>
  <c r="E40" i="1"/>
  <c r="E41" i="1" s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6" i="2"/>
  <c r="D27" i="1" l="1"/>
  <c r="E28" i="1" s="1"/>
  <c r="E50" i="1" l="1"/>
  <c r="E69" i="1" l="1"/>
  <c r="E73" i="1" s="1"/>
  <c r="B77" i="1" s="1"/>
  <c r="B92" i="1" s="1"/>
  <c r="B90" i="1" l="1"/>
  <c r="E55" i="1" l="1"/>
  <c r="E32" i="1" l="1"/>
  <c r="J20" i="2" l="1"/>
  <c r="K20" i="2" l="1"/>
  <c r="O5" i="2"/>
  <c r="E36" i="1" l="1"/>
  <c r="H25" i="2" l="1"/>
  <c r="B87" i="1" s="1"/>
  <c r="D2" i="2"/>
  <c r="I25" i="2"/>
  <c r="F25" i="2"/>
  <c r="G25" i="2"/>
  <c r="J7" i="2" l="1"/>
  <c r="J8" i="2"/>
  <c r="J9" i="2"/>
  <c r="J10" i="2"/>
  <c r="J11" i="2"/>
  <c r="J12" i="2"/>
  <c r="J13" i="2"/>
  <c r="J14" i="2"/>
  <c r="J15" i="2"/>
  <c r="J16" i="2"/>
  <c r="J17" i="2"/>
  <c r="K17" i="2" s="1"/>
  <c r="J18" i="2"/>
  <c r="J19" i="2"/>
  <c r="K19" i="2" s="1"/>
  <c r="J21" i="2"/>
  <c r="J22" i="2"/>
  <c r="K22" i="2" s="1"/>
  <c r="J23" i="2"/>
  <c r="K23" i="2" s="1"/>
  <c r="J24" i="2"/>
  <c r="K24" i="2" s="1"/>
  <c r="J6" i="2"/>
  <c r="K10" i="2" l="1"/>
  <c r="K8" i="2"/>
  <c r="K9" i="2"/>
  <c r="K16" i="2"/>
  <c r="K15" i="2"/>
  <c r="K18" i="2"/>
  <c r="K7" i="2"/>
  <c r="K14" i="2"/>
  <c r="K13" i="2"/>
  <c r="K11" i="2"/>
  <c r="K12" i="2"/>
  <c r="K21" i="2"/>
  <c r="K6" i="2"/>
  <c r="B78" i="1"/>
  <c r="J25" i="2"/>
  <c r="L25" i="2"/>
  <c r="K25" i="2" l="1"/>
  <c r="A40" i="1"/>
  <c r="A41" i="1" s="1"/>
  <c r="E59" i="1" l="1"/>
  <c r="E63" i="1" s="1"/>
  <c r="B76" i="1" l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6" i="2"/>
  <c r="N6" i="2" s="1"/>
  <c r="O6" i="2" s="1"/>
  <c r="O14" i="2" l="1"/>
  <c r="P14" i="2"/>
  <c r="O10" i="2"/>
  <c r="P10" i="2"/>
  <c r="P6" i="2"/>
  <c r="O21" i="2"/>
  <c r="P21" i="2"/>
  <c r="O17" i="2"/>
  <c r="P17" i="2"/>
  <c r="O13" i="2"/>
  <c r="P13" i="2"/>
  <c r="O9" i="2"/>
  <c r="P9" i="2"/>
  <c r="O24" i="2"/>
  <c r="P24" i="2"/>
  <c r="O20" i="2"/>
  <c r="P20" i="2"/>
  <c r="O16" i="2"/>
  <c r="P16" i="2"/>
  <c r="O12" i="2"/>
  <c r="P12" i="2"/>
  <c r="O8" i="2"/>
  <c r="P8" i="2"/>
  <c r="O23" i="2"/>
  <c r="P23" i="2"/>
  <c r="O19" i="2"/>
  <c r="P19" i="2"/>
  <c r="O15" i="2"/>
  <c r="P15" i="2"/>
  <c r="O11" i="2"/>
  <c r="P11" i="2"/>
  <c r="O7" i="2"/>
  <c r="P7" i="2"/>
  <c r="O22" i="2"/>
  <c r="P22" i="2"/>
  <c r="O18" i="2"/>
  <c r="P18" i="2"/>
  <c r="M25" i="2"/>
  <c r="B91" i="1" l="1"/>
  <c r="B102" i="1"/>
  <c r="B93" i="1" l="1"/>
  <c r="B75" i="1"/>
  <c r="O25" i="2" l="1"/>
  <c r="P25" i="2" l="1"/>
</calcChain>
</file>

<file path=xl/sharedStrings.xml><?xml version="1.0" encoding="utf-8"?>
<sst xmlns="http://schemas.openxmlformats.org/spreadsheetml/2006/main" count="175" uniqueCount="157">
  <si>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</si>
  <si>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</si>
  <si>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</si>
  <si>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</si>
  <si>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</si>
  <si>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</si>
  <si>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</si>
  <si>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</si>
  <si>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</si>
  <si>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</si>
  <si>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</si>
  <si>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</si>
  <si>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</si>
  <si>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</si>
  <si>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</si>
  <si>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</si>
  <si>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</si>
  <si>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</si>
  <si>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</si>
  <si>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</si>
  <si>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</si>
  <si>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</si>
  <si>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</si>
  <si>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GASTOS ORDINARIOS UNIDADES FUNCIONALES:</t>
  </si>
  <si>
    <t>Ingresos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</si>
  <si>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</si>
  <si>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</si>
  <si>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</si>
  <si>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</si>
  <si>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</si>
  <si>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</si>
  <si>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</si>
  <si>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</si>
  <si>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</si>
  <si>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</si>
  <si>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</si>
  <si>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</si>
  <si>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</si>
  <si>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</si>
  <si>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</si>
  <si>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</si>
  <si>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</si>
  <si>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</si>
  <si>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</si>
  <si>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</si>
  <si>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</si>
  <si>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TELEFONO: 11 5320-2676</t>
  </si>
  <si>
    <t>Inquilinos</t>
  </si>
  <si>
    <t>Pago por</t>
  </si>
  <si>
    <t>Formas de Pago:</t>
  </si>
  <si>
    <t>Efectivo</t>
  </si>
  <si>
    <t>CUIT ADMINISTRACION: 27231256879</t>
  </si>
  <si>
    <t>HORARIOS DE ATENCION: LUNES A VIERNES</t>
  </si>
  <si>
    <t>Deuda o Saldo a favor</t>
  </si>
  <si>
    <t>HONORARIOS administracion RC</t>
  </si>
  <si>
    <t xml:space="preserve">SEGUROS </t>
  </si>
  <si>
    <t>DEPOSITOS NO IDENTIFICADOS</t>
  </si>
  <si>
    <t>RESUMEN</t>
  </si>
  <si>
    <t>COMISION POR CUENTA</t>
  </si>
  <si>
    <t>HABERES ENCARGADOS</t>
  </si>
  <si>
    <t xml:space="preserve">Retenciones </t>
  </si>
  <si>
    <t>Neto</t>
  </si>
  <si>
    <t>Redondeo</t>
  </si>
  <si>
    <t>Total 2do Vto</t>
  </si>
  <si>
    <t>Total 1er Vto</t>
  </si>
  <si>
    <t>ADMINISTRADORA: CAROLINA CANCIANI MP:1148</t>
  </si>
  <si>
    <t>GASTOS EXTRAORDINARIOS CON PREVISION:</t>
  </si>
  <si>
    <t>Saldo Ord</t>
  </si>
  <si>
    <t xml:space="preserve">Deposito sin identificar </t>
  </si>
  <si>
    <t>Gastos Extraordinarios:</t>
  </si>
  <si>
    <t>L.1º PB</t>
  </si>
  <si>
    <t>Hakim Faks, G. y S.</t>
  </si>
  <si>
    <t>L.2º PB</t>
  </si>
  <si>
    <t>Lloret Maria Ines.</t>
  </si>
  <si>
    <t>L.3º PB</t>
  </si>
  <si>
    <t>Abbatángelo Marta.</t>
  </si>
  <si>
    <t>L.4º PB</t>
  </si>
  <si>
    <t>Noemí Espósito</t>
  </si>
  <si>
    <t>L.5º PB</t>
  </si>
  <si>
    <t>Spotorno Osvaldo.</t>
  </si>
  <si>
    <t>L.6º PB</t>
  </si>
  <si>
    <t>Rivas Noemí</t>
  </si>
  <si>
    <t>L.7º PB</t>
  </si>
  <si>
    <t>Cecilia Nizzero</t>
  </si>
  <si>
    <t>1ºA</t>
  </si>
  <si>
    <t>Patanella Miguel</t>
  </si>
  <si>
    <t>1ºB</t>
  </si>
  <si>
    <t>Iglesias Norma</t>
  </si>
  <si>
    <t>1ºC</t>
  </si>
  <si>
    <t>Verdejo Graciela</t>
  </si>
  <si>
    <t>2ºA</t>
  </si>
  <si>
    <t>Moltoni Yolanda M.</t>
  </si>
  <si>
    <t>2ºB</t>
  </si>
  <si>
    <t>2ºC</t>
  </si>
  <si>
    <t>Marin Carlos</t>
  </si>
  <si>
    <t>3ºA</t>
  </si>
  <si>
    <t>3ºB</t>
  </si>
  <si>
    <t>Santoro Miguél Angel</t>
  </si>
  <si>
    <t>3ºC</t>
  </si>
  <si>
    <t>Salman, Yasmin</t>
  </si>
  <si>
    <t>4ºA</t>
  </si>
  <si>
    <t>Ortalli Laura</t>
  </si>
  <si>
    <t>4ºB</t>
  </si>
  <si>
    <t>Ricciardi Nicolás</t>
  </si>
  <si>
    <t>4ºC</t>
  </si>
  <si>
    <t>Freijedo Gonzalo</t>
  </si>
  <si>
    <t>Ingreso</t>
  </si>
  <si>
    <t>CONSORCIO DE COPROPIETARIOS PUEYRREDON 1494</t>
  </si>
  <si>
    <t>Las expensas deberán abonarse en el Banco Comafi. Cuenta Corriente en pesos.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</si>
  <si>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</si>
  <si>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CBU 2990024602400048530006</t>
  </si>
  <si>
    <t>CUIT DEL EDIFICIO: 30-68041540-0</t>
  </si>
  <si>
    <t>MAIL: consorciopueyrredon1494@gmail.com</t>
  </si>
  <si>
    <t xml:space="preserve">ARCA </t>
  </si>
  <si>
    <t xml:space="preserve">Ayala Mirta Encargada </t>
  </si>
  <si>
    <t xml:space="preserve">Edesur </t>
  </si>
  <si>
    <t>Suther</t>
  </si>
  <si>
    <t>Fathery</t>
  </si>
  <si>
    <t>Seracarh</t>
  </si>
  <si>
    <t>Metrogas</t>
  </si>
  <si>
    <t>ART DE LIMPIEZA</t>
  </si>
  <si>
    <t>Ben Ada</t>
  </si>
  <si>
    <t>Raton mariela es la mujer</t>
  </si>
  <si>
    <t>Martin Bonjour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</si>
  <si>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</si>
  <si>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Marcela Di Biase- Sra. Contadora</t>
  </si>
  <si>
    <t>Pablo gonzalez</t>
  </si>
  <si>
    <t>Roxana Mazze</t>
  </si>
  <si>
    <t>Britez Nicolas</t>
  </si>
  <si>
    <t>Gonzalo Emanuel</t>
  </si>
  <si>
    <t>Nahuel Cattani</t>
  </si>
  <si>
    <t>El dueño es sanabria</t>
  </si>
  <si>
    <t>Ezequiel Oscar Jose</t>
  </si>
  <si>
    <t>Malandra Natalia</t>
  </si>
  <si>
    <t>Gonzalez Castillo Giglio</t>
  </si>
  <si>
    <t>Valeria</t>
  </si>
  <si>
    <t>Depisitos ya identificados</t>
  </si>
  <si>
    <t>Punitorios mal cobrados de depositos identificados</t>
  </si>
  <si>
    <t>TOTAL DE EXPENSAS, INTERESES, DEUDA, EXTRAORDINARIAS, ETC</t>
  </si>
  <si>
    <t>Mes de ABRIL</t>
  </si>
  <si>
    <t>Seguro Vida colectivo personal de limpieza - Cuota 7/12</t>
  </si>
  <si>
    <t>Debito 03/04</t>
  </si>
  <si>
    <t>PMC 07/04</t>
  </si>
  <si>
    <t>PMC 10/04</t>
  </si>
  <si>
    <t>Debito 14/04</t>
  </si>
  <si>
    <t>PREVISION ORDINARIA</t>
  </si>
  <si>
    <t>Seguro Mercantil Andina - Poliza Nro. 001183277</t>
  </si>
  <si>
    <t>Fotocopias - Administracion anterior</t>
  </si>
  <si>
    <t>Daniela Ferino</t>
  </si>
  <si>
    <t>Cuota 2/9 arreglo terraza Sr. Luis (Total a abonar $1.250.000) - No se prorratea ya que se previsiono</t>
  </si>
  <si>
    <t>VTO 16/06</t>
  </si>
  <si>
    <t>PERÍODO: MAYO</t>
  </si>
  <si>
    <t>Mes de MAYO</t>
  </si>
  <si>
    <t>Sindicatos mes de MAYO</t>
  </si>
  <si>
    <t>Mantenimiento Ascensores -  Mes de ABRIL - No llego la factura</t>
  </si>
  <si>
    <t>Tanques</t>
  </si>
  <si>
    <t>Camara de seguridad Imou Ipc-f22p-d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</si>
</sst>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[$$-2C0A]\ * #,##0.00_-;\-[$$-2C0A]\ * #,##0.00_-;_-[$$-2C0A]\ * &quot;-&quot;??_-;_-@_-"/>
    <numFmt numFmtId="167" formatCode="&quot;Bs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17" fillId="0" borderId="1" xfId="1" applyNumberFormat="1" applyFont="1" applyBorder="1"/>
    <xf numFmtId="0" fontId="17" fillId="2" borderId="1" xfId="1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5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7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6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6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2" borderId="1" xfId="1" applyFont="1" applyFill="1" applyBorder="1"/>
    <xf numFmtId="44" fontId="4" fillId="4" borderId="6" xfId="1" applyFont="1" applyFill="1" applyBorder="1"/>
    <xf numFmtId="44" fontId="8" fillId="2" borderId="1" xfId="1" applyFont="1" applyFill="1" applyBorder="1"/>
    <xf numFmtId="0" fontId="0" fillId="9" borderId="1" xfId="0" applyFill="1" applyBorder="1"/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44" fontId="4" fillId="2" borderId="2" xfId="1" applyFont="1" applyFill="1" applyBorder="1" applyAlignment="1">
      <alignment horizontal="center"/>
    </xf>
    <xf numFmtId="44" fontId="4" fillId="2" borderId="3" xfId="1" applyFont="1" applyFill="1" applyBorder="1" applyAlignment="1">
      <alignment horizontal="center"/>
    </xf>
    <xf numFmtId="0" fontId="23" fillId="0" borderId="2" xfId="1" applyNumberFormat="1" applyFont="1" applyBorder="1" applyAlignment="1">
      <alignment horizontal="center"/>
    </xf>
    <xf numFmtId="0" fontId="23" fillId="0" borderId="3" xfId="1" applyNumberFormat="1" applyFont="1" applyBorder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44" fontId="0" fillId="3" borderId="8" xfId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44" fontId="8" fillId="0" borderId="1" xfId="1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36" workbookViewId="0">
      <selection activeCell="A54" sqref="A54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" thickBot="1" x14ac:dyDescent="0.35">
      <c r="A1" s="6"/>
      <c r="B1" s="32"/>
      <c r="C1" s="6"/>
      <c r="D1" s="6"/>
      <c r="E1" s="6"/>
    </row>
    <row r="2" spans="1:5" x14ac:dyDescent="0.3">
      <c r="A2" s="15"/>
      <c r="B2" s="78" t="s">
        <v>112</v>
      </c>
      <c r="C2" s="78"/>
      <c r="D2" s="78"/>
      <c r="E2" s="79"/>
    </row>
    <row r="3" spans="1:5" x14ac:dyDescent="0.3">
      <c r="A3" s="16"/>
      <c r="B3" s="80" t="s">
        <v>51</v>
      </c>
      <c r="C3" s="80"/>
      <c r="D3" s="80"/>
      <c r="E3" s="81"/>
    </row>
    <row r="4" spans="1:5" ht="32.25" customHeight="1" thickBot="1" x14ac:dyDescent="0.35">
      <c r="A4" s="16"/>
      <c r="B4" s="95" t="s">
        <v>110</v>
      </c>
      <c r="C4" s="80"/>
      <c r="D4" s="94" t="s">
        <v>46</v>
      </c>
      <c r="E4" s="81"/>
    </row>
    <row r="5" spans="1:5" ht="15" thickBot="1" x14ac:dyDescent="0.35">
      <c r="A5" s="19" t="s">
        <v>0</v>
      </c>
      <c r="B5" s="93" t="s">
        <v>65</v>
      </c>
      <c r="C5" s="20"/>
      <c r="D5" s="20"/>
      <c r="E5" s="21"/>
    </row>
    <row r="6" spans="1:5" ht="15" thickBot="1" x14ac:dyDescent="0.35">
      <c r="A6" s="16" t="s">
        <v>111</v>
      </c>
      <c r="B6" s="20" t="s">
        <v>151</v>
      </c>
      <c r="C6" s="17"/>
      <c r="D6" s="80" t="s">
        <v>52</v>
      </c>
      <c r="E6" s="18"/>
    </row>
    <row r="7" spans="1:5" ht="15" thickBot="1" x14ac:dyDescent="0.35">
      <c r="A7" s="19" t="s">
        <v>107</v>
      </c>
      <c r="B7" s="20"/>
      <c r="C7" s="20"/>
      <c r="D7" s="20"/>
      <c r="E7" s="21"/>
    </row>
    <row r="9" spans="1:5" x14ac:dyDescent="0.3">
      <c r="B9" s="157" t="s">
        <v>150</v>
      </c>
      <c r="C9" s="157"/>
    </row>
    <row r="10" spans="1:5" x14ac:dyDescent="0.3">
      <c r="B10" s="157"/>
      <c r="C10" s="157"/>
    </row>
    <row r="11" spans="1:5" x14ac:dyDescent="0.3">
      <c r="B11" s="157"/>
      <c r="C11" s="157"/>
    </row>
    <row r="13" spans="1:5" hidden="1" x14ac:dyDescent="0.3"/>
    <row r="14" spans="1:5" ht="15" customHeight="1" x14ac:dyDescent="0.3">
      <c r="A14" s="156" t="s">
        <v>124</v>
      </c>
      <c r="B14" s="156"/>
      <c r="C14" s="156"/>
      <c r="D14" s="156"/>
      <c r="E14" s="156"/>
    </row>
    <row r="15" spans="1:5" ht="15" customHeight="1" x14ac:dyDescent="0.3">
      <c r="A15" s="156"/>
      <c r="B15" s="156"/>
      <c r="C15" s="156"/>
      <c r="D15" s="156"/>
      <c r="E15" s="156"/>
    </row>
    <row r="16" spans="1:5" ht="15" customHeight="1" x14ac:dyDescent="0.3">
      <c r="A16" s="156"/>
      <c r="B16" s="156"/>
      <c r="C16" s="156"/>
      <c r="D16" s="156"/>
      <c r="E16" s="156"/>
    </row>
    <row r="17" spans="1:8" ht="53.25" customHeight="1" x14ac:dyDescent="0.3">
      <c r="A17" s="156"/>
      <c r="B17" s="156"/>
      <c r="C17" s="156"/>
      <c r="D17" s="156"/>
      <c r="E17" s="156"/>
    </row>
    <row r="18" spans="1:8" ht="14.25" customHeight="1" thickBot="1" x14ac:dyDescent="0.35"/>
    <row r="19" spans="1:8" hidden="1" x14ac:dyDescent="0.3">
      <c r="A19" s="2"/>
    </row>
    <row r="20" spans="1:8" ht="15" hidden="1" thickBot="1" x14ac:dyDescent="0.35"/>
    <row r="21" spans="1:8" x14ac:dyDescent="0.3">
      <c r="A21" s="11" t="s">
        <v>23</v>
      </c>
      <c r="B21" s="12"/>
      <c r="C21" s="13"/>
      <c r="D21" s="9"/>
      <c r="E21" s="14"/>
    </row>
    <row r="22" spans="1:8" x14ac:dyDescent="0.3">
      <c r="A22" s="40" t="s">
        <v>59</v>
      </c>
      <c r="B22" s="40"/>
      <c r="C22" s="40"/>
      <c r="D22" s="38"/>
      <c r="E22" s="38"/>
    </row>
    <row r="23" spans="1:8" ht="14.25" customHeight="1" x14ac:dyDescent="0.3">
      <c r="A23" s="5" t="s">
        <v>114</v>
      </c>
      <c r="B23" s="5"/>
      <c r="C23" s="5"/>
      <c r="D23" s="143">
        <v>769441.8</v>
      </c>
      <c r="E23" s="98"/>
    </row>
    <row r="24" spans="1:8" x14ac:dyDescent="0.3">
      <c r="A24" s="5" t="s">
        <v>60</v>
      </c>
      <c r="B24" s="5"/>
      <c r="C24" s="5"/>
      <c r="D24" s="143">
        <v>-168081.61</v>
      </c>
      <c r="E24" s="98"/>
    </row>
    <row r="25" spans="1:8" x14ac:dyDescent="0.3">
      <c r="A25" s="5" t="s">
        <v>62</v>
      </c>
      <c r="B25" s="5"/>
      <c r="C25" s="5"/>
      <c r="D25" s="143">
        <v>0.81</v>
      </c>
      <c r="E25" s="98"/>
      <c r="H25" s="22"/>
    </row>
    <row r="26" spans="1:8" x14ac:dyDescent="0.3">
      <c r="A26" s="5"/>
      <c r="B26" s="5"/>
      <c r="C26" s="5"/>
      <c r="D26" s="143"/>
      <c r="E26" s="98"/>
      <c r="H26" s="5"/>
    </row>
    <row r="27" spans="1:8" x14ac:dyDescent="0.3">
      <c r="A27" s="67" t="s">
        <v>61</v>
      </c>
      <c r="B27" s="67"/>
      <c r="C27" s="67"/>
      <c r="D27" s="144">
        <f>SUM(D23:D26)</f>
        <v>601361.00000000012</v>
      </c>
      <c r="E27" s="99"/>
      <c r="H27" s="5"/>
    </row>
    <row r="28" spans="1:8" ht="14.25" customHeight="1" thickBot="1" x14ac:dyDescent="0.35">
      <c r="A28" s="30" t="s">
        <v>1</v>
      </c>
      <c r="B28" s="30"/>
      <c r="C28" s="30"/>
      <c r="D28" s="145"/>
      <c r="E28" s="100">
        <f>D27</f>
        <v>601361.00000000012</v>
      </c>
      <c r="F28" s="22"/>
    </row>
    <row r="29" spans="1:8" x14ac:dyDescent="0.3">
      <c r="A29" s="40" t="s">
        <v>37</v>
      </c>
      <c r="B29" s="40"/>
      <c r="C29" s="40"/>
      <c r="D29" s="146"/>
      <c r="E29" s="101"/>
    </row>
    <row r="30" spans="1:8" ht="28.5" customHeight="1" x14ac:dyDescent="0.3">
      <c r="A30" s="74" t="s">
        <v>125</v>
      </c>
      <c r="B30" s="5" t="s">
        <v>139</v>
      </c>
      <c r="C30" s="5"/>
      <c r="D30" s="143">
        <v>31000</v>
      </c>
      <c r="E30" s="102"/>
    </row>
    <row r="31" spans="1:8" ht="15" thickBot="1" x14ac:dyDescent="0.35">
      <c r="A31" s="5" t="s">
        <v>54</v>
      </c>
      <c r="B31" s="5" t="s">
        <v>152</v>
      </c>
      <c r="C31" s="5"/>
      <c r="D31" s="143">
        <v>120000</v>
      </c>
      <c r="E31" s="102"/>
    </row>
    <row r="32" spans="1:8" ht="15" thickBot="1" x14ac:dyDescent="0.35">
      <c r="A32" s="30" t="s">
        <v>33</v>
      </c>
      <c r="B32" s="30"/>
      <c r="C32" s="30"/>
      <c r="D32" s="147"/>
      <c r="E32" s="103">
        <f>SUM(D30:D31)</f>
        <v>151000</v>
      </c>
    </row>
    <row r="33" spans="1:7" x14ac:dyDescent="0.3">
      <c r="A33" s="38" t="s">
        <v>55</v>
      </c>
      <c r="B33" s="39"/>
      <c r="C33" s="39"/>
      <c r="D33" s="148"/>
      <c r="E33" s="76"/>
    </row>
    <row r="34" spans="1:7" s="44" customFormat="1" ht="17.25" customHeight="1" x14ac:dyDescent="0.3">
      <c r="A34" s="158" t="s">
        <v>146</v>
      </c>
      <c r="B34" s="159"/>
      <c r="C34" s="63"/>
      <c r="D34" s="149">
        <v>87562.7</v>
      </c>
      <c r="E34" s="126"/>
    </row>
    <row r="35" spans="1:7" ht="14.25" customHeight="1" x14ac:dyDescent="0.3">
      <c r="A35" s="158" t="s">
        <v>140</v>
      </c>
      <c r="B35" s="159"/>
      <c r="C35" s="63"/>
      <c r="D35" s="150">
        <v>6646.91</v>
      </c>
      <c r="E35" s="126"/>
    </row>
    <row r="36" spans="1:7" ht="15" thickBot="1" x14ac:dyDescent="0.35">
      <c r="A36" s="30" t="s">
        <v>2</v>
      </c>
      <c r="B36" s="30"/>
      <c r="C36" s="30"/>
      <c r="D36" s="147"/>
      <c r="E36" s="104">
        <f>SUM(D34:D35)</f>
        <v>94209.61</v>
      </c>
    </row>
    <row r="37" spans="1:7" x14ac:dyDescent="0.3">
      <c r="A37" s="40" t="s">
        <v>34</v>
      </c>
      <c r="B37" s="31"/>
      <c r="C37" s="31"/>
      <c r="D37" s="151"/>
      <c r="E37" s="105"/>
    </row>
    <row r="38" spans="1:7" x14ac:dyDescent="0.3">
      <c r="A38" s="5" t="s">
        <v>113</v>
      </c>
      <c r="B38" s="5"/>
      <c r="C38" s="61"/>
      <c r="D38" s="154">
        <v>371131.27</v>
      </c>
      <c r="E38" s="129" t="s">
        <v>143</v>
      </c>
      <c r="G38" s="124"/>
    </row>
    <row r="39" spans="1:7" x14ac:dyDescent="0.3">
      <c r="A39" s="5" t="s">
        <v>153</v>
      </c>
      <c r="B39" s="5" t="s">
        <v>116</v>
      </c>
      <c r="C39" s="5"/>
      <c r="D39" s="154">
        <v>19236.05</v>
      </c>
      <c r="E39" s="130" t="s">
        <v>144</v>
      </c>
    </row>
    <row r="40" spans="1:7" x14ac:dyDescent="0.3">
      <c r="A40" s="5" t="str">
        <f>A39</f>
        <v>Sindicatos mes de MAYO</v>
      </c>
      <c r="B40" s="5" t="s">
        <v>117</v>
      </c>
      <c r="C40" s="5"/>
      <c r="D40" s="154">
        <v>62013.71</v>
      </c>
      <c r="E40" s="130" t="str">
        <f>E39</f>
        <v>Debito 14/04</v>
      </c>
    </row>
    <row r="41" spans="1:7" x14ac:dyDescent="0.3">
      <c r="A41" s="5" t="str">
        <f>A40</f>
        <v>Sindicatos mes de MAYO</v>
      </c>
      <c r="B41" s="5" t="s">
        <v>118</v>
      </c>
      <c r="C41" s="5"/>
      <c r="D41" s="154">
        <v>3847.21</v>
      </c>
      <c r="E41" s="131" t="str">
        <f>E40</f>
        <v>Debito 14/04</v>
      </c>
    </row>
    <row r="42" spans="1:7" ht="15" customHeight="1" thickBot="1" x14ac:dyDescent="0.35">
      <c r="A42" s="30" t="s">
        <v>3</v>
      </c>
      <c r="B42" s="31"/>
      <c r="C42" s="31"/>
      <c r="D42" s="153"/>
      <c r="E42" s="104">
        <f>SUM(D38:D41)</f>
        <v>456228.24000000005</v>
      </c>
    </row>
    <row r="43" spans="1:7" x14ac:dyDescent="0.3">
      <c r="A43" s="40" t="s">
        <v>36</v>
      </c>
      <c r="B43" s="31"/>
      <c r="C43" s="31"/>
      <c r="D43" s="151"/>
      <c r="E43" s="105"/>
    </row>
    <row r="44" spans="1:7" ht="14.25" customHeight="1" x14ac:dyDescent="0.3">
      <c r="A44" s="155" t="s">
        <v>154</v>
      </c>
      <c r="B44" s="5"/>
      <c r="C44" s="5"/>
      <c r="D44" s="154">
        <v>33360</v>
      </c>
      <c r="E44" s="109"/>
    </row>
    <row r="45" spans="1:7" ht="14.25" customHeight="1" x14ac:dyDescent="0.3">
      <c r="A45" s="155" t="s">
        <v>154</v>
      </c>
      <c r="B45" s="5"/>
      <c r="C45" s="5"/>
      <c r="D45" s="154">
        <v>36700</v>
      </c>
      <c r="E45" s="109"/>
    </row>
    <row r="46" spans="1:7" ht="14.25" customHeight="1" x14ac:dyDescent="0.3">
      <c r="A46" s="5" t="s">
        <v>115</v>
      </c>
      <c r="B46" s="5"/>
      <c r="C46" s="5"/>
      <c r="D46" s="152">
        <v>62862.53</v>
      </c>
      <c r="E46" s="109" t="s">
        <v>141</v>
      </c>
    </row>
    <row r="47" spans="1:7" x14ac:dyDescent="0.3">
      <c r="A47" s="5" t="s">
        <v>119</v>
      </c>
      <c r="B47" s="5"/>
      <c r="C47" s="5"/>
      <c r="D47" s="152">
        <v>20802.73</v>
      </c>
      <c r="E47" s="109" t="s">
        <v>142</v>
      </c>
    </row>
    <row r="48" spans="1:7" x14ac:dyDescent="0.3">
      <c r="A48" s="155" t="s">
        <v>155</v>
      </c>
      <c r="B48" s="5"/>
      <c r="C48" s="5"/>
      <c r="D48" s="154">
        <v>1000000</v>
      </c>
      <c r="E48" s="109"/>
    </row>
    <row r="49" spans="1:7" x14ac:dyDescent="0.3">
      <c r="A49" s="162"/>
      <c r="B49" s="163"/>
      <c r="C49" s="64"/>
      <c r="D49" s="108"/>
      <c r="E49" s="106"/>
    </row>
    <row r="50" spans="1:7" ht="15" thickBot="1" x14ac:dyDescent="0.35">
      <c r="A50" s="30" t="s">
        <v>4</v>
      </c>
      <c r="B50" s="30"/>
      <c r="C50" s="30"/>
      <c r="D50" s="147"/>
      <c r="E50" s="104">
        <f>SUM(D44:D49)</f>
        <v>1153725.26</v>
      </c>
    </row>
    <row r="51" spans="1:7" ht="15" thickBot="1" x14ac:dyDescent="0.35">
      <c r="A51" s="40" t="s">
        <v>35</v>
      </c>
      <c r="B51" s="30"/>
      <c r="C51" s="30"/>
      <c r="D51" s="147"/>
      <c r="E51" s="107"/>
    </row>
    <row r="52" spans="1:7" x14ac:dyDescent="0.3">
      <c r="A52" s="65" t="s">
        <v>120</v>
      </c>
      <c r="B52" s="65"/>
      <c r="C52" s="66"/>
      <c r="D52" s="152">
        <v>0</v>
      </c>
      <c r="E52" s="128"/>
    </row>
    <row r="53" spans="1:7" x14ac:dyDescent="0.3">
      <c r="A53" s="5" t="s">
        <v>147</v>
      </c>
      <c r="B53" s="5"/>
      <c r="C53" s="5"/>
      <c r="D53" s="152">
        <v>2940</v>
      </c>
      <c r="E53" s="127"/>
    </row>
    <row r="54" spans="1:7" x14ac:dyDescent="0.3">
      <c r="A54" s="61" t="s">
        <v>156</v>
      </c>
      <c r="B54" s="5"/>
      <c r="C54" s="5"/>
      <c r="D54" s="190">
        <v>47334</v>
      </c>
      <c r="E54" s="106"/>
    </row>
    <row r="55" spans="1:7" ht="15" thickBot="1" x14ac:dyDescent="0.35">
      <c r="A55" s="30" t="s">
        <v>12</v>
      </c>
      <c r="B55" s="40"/>
      <c r="C55" s="40"/>
      <c r="D55" s="38"/>
      <c r="E55" s="111">
        <f>SUM(D52:D54)</f>
        <v>50274</v>
      </c>
    </row>
    <row r="56" spans="1:7" ht="15" thickBot="1" x14ac:dyDescent="0.35">
      <c r="A56" s="40" t="s">
        <v>26</v>
      </c>
      <c r="B56" s="75"/>
      <c r="C56" s="30"/>
      <c r="D56" s="145"/>
      <c r="E56" s="107"/>
    </row>
    <row r="57" spans="1:7" x14ac:dyDescent="0.3">
      <c r="A57" s="5" t="s">
        <v>26</v>
      </c>
      <c r="B57" s="5"/>
      <c r="C57" s="5"/>
      <c r="D57" s="152">
        <v>30963.48</v>
      </c>
      <c r="E57" s="112"/>
    </row>
    <row r="58" spans="1:7" x14ac:dyDescent="0.3">
      <c r="A58" s="5" t="s">
        <v>58</v>
      </c>
      <c r="B58" s="5"/>
      <c r="C58" s="5"/>
      <c r="D58" s="152">
        <v>49082</v>
      </c>
      <c r="E58" s="110"/>
    </row>
    <row r="59" spans="1:7" ht="15" thickBot="1" x14ac:dyDescent="0.35">
      <c r="A59" s="60" t="s">
        <v>33</v>
      </c>
      <c r="B59" s="60"/>
      <c r="C59" s="60"/>
      <c r="D59" s="113"/>
      <c r="E59" s="104">
        <f>SUM(D57:D58)</f>
        <v>80045.48</v>
      </c>
    </row>
    <row r="60" spans="1:7" ht="15" thickBot="1" x14ac:dyDescent="0.35">
      <c r="A60" s="5"/>
      <c r="B60" s="5"/>
      <c r="C60" s="5"/>
      <c r="D60" s="98"/>
      <c r="E60" s="114"/>
    </row>
    <row r="61" spans="1:7" ht="15" thickBot="1" x14ac:dyDescent="0.35">
      <c r="A61" s="33" t="s">
        <v>145</v>
      </c>
      <c r="B61" s="33"/>
      <c r="C61" s="33"/>
      <c r="D61" s="115"/>
      <c r="E61" s="116">
        <v>690626.40999999992</v>
      </c>
    </row>
    <row r="62" spans="1:7" ht="15" thickBot="1" x14ac:dyDescent="0.35">
      <c r="A62" s="1"/>
      <c r="D62" s="117"/>
      <c r="E62" s="118"/>
      <c r="F62" s="51"/>
    </row>
    <row r="63" spans="1:7" ht="15" thickBot="1" x14ac:dyDescent="0.35">
      <c r="A63" s="3" t="s">
        <v>27</v>
      </c>
      <c r="B63" s="10"/>
      <c r="C63" s="4"/>
      <c r="D63" s="119"/>
      <c r="E63" s="120">
        <f>(SUM(E28:E61))</f>
        <v>3277470</v>
      </c>
      <c r="F63" s="51"/>
      <c r="G63" s="134"/>
    </row>
    <row r="64" spans="1:7" x14ac:dyDescent="0.3">
      <c r="D64" s="117"/>
      <c r="E64" s="117"/>
      <c r="G64" s="134"/>
    </row>
    <row r="65" spans="1:5" ht="15" thickBot="1" x14ac:dyDescent="0.35">
      <c r="D65" s="117"/>
      <c r="E65" s="117"/>
    </row>
    <row r="66" spans="1:5" ht="14.25" customHeight="1" x14ac:dyDescent="0.3">
      <c r="A66" s="11" t="s">
        <v>38</v>
      </c>
      <c r="B66" s="12"/>
      <c r="C66" s="13"/>
      <c r="D66" s="121"/>
      <c r="E66" s="122"/>
    </row>
    <row r="67" spans="1:5" ht="15" customHeight="1" x14ac:dyDescent="0.3">
      <c r="A67" s="165" t="s">
        <v>149</v>
      </c>
      <c r="B67" s="166"/>
      <c r="C67" s="5"/>
      <c r="D67" s="169">
        <v>190000</v>
      </c>
      <c r="E67" s="171"/>
    </row>
    <row r="68" spans="1:5" x14ac:dyDescent="0.3">
      <c r="A68" s="167"/>
      <c r="B68" s="168"/>
      <c r="C68" s="61"/>
      <c r="D68" s="170"/>
      <c r="E68" s="172"/>
    </row>
    <row r="69" spans="1:5" x14ac:dyDescent="0.3">
      <c r="A69" s="58"/>
      <c r="B69" s="57"/>
      <c r="C69" s="57"/>
      <c r="D69" s="68"/>
      <c r="E69" s="68">
        <f>SUM(D67:D68)</f>
        <v>190000</v>
      </c>
    </row>
    <row r="71" spans="1:5" x14ac:dyDescent="0.3">
      <c r="A71" s="33" t="s">
        <v>39</v>
      </c>
      <c r="B71" s="33"/>
      <c r="C71" s="33"/>
      <c r="D71" s="34"/>
      <c r="E71" s="135"/>
    </row>
    <row r="72" spans="1:5" ht="15" thickBot="1" x14ac:dyDescent="0.35"/>
    <row r="73" spans="1:5" ht="15" thickBot="1" x14ac:dyDescent="0.35">
      <c r="A73" s="3" t="s">
        <v>40</v>
      </c>
      <c r="B73" s="10"/>
      <c r="C73" s="4"/>
      <c r="D73" s="4"/>
      <c r="E73" s="77">
        <f>E69+E71</f>
        <v>190000</v>
      </c>
    </row>
    <row r="74" spans="1:5" ht="15" thickBot="1" x14ac:dyDescent="0.35"/>
    <row r="75" spans="1:5" ht="15" thickBot="1" x14ac:dyDescent="0.35">
      <c r="A75" s="96" t="s">
        <v>28</v>
      </c>
      <c r="B75" s="97">
        <f>E63</f>
        <v>3277470</v>
      </c>
      <c r="D75" s="51"/>
    </row>
    <row r="76" spans="1:5" ht="15" thickBot="1" x14ac:dyDescent="0.35">
      <c r="A76" s="96" t="s">
        <v>29</v>
      </c>
      <c r="B76" s="97">
        <f>E63-E61</f>
        <v>2586843.59</v>
      </c>
    </row>
    <row r="77" spans="1:5" ht="15" thickBot="1" x14ac:dyDescent="0.35">
      <c r="A77" s="96" t="s">
        <v>41</v>
      </c>
      <c r="B77" s="97">
        <f>E73-E71</f>
        <v>190000</v>
      </c>
    </row>
    <row r="78" spans="1:5" ht="15" thickBot="1" x14ac:dyDescent="0.35">
      <c r="A78" s="96" t="s">
        <v>66</v>
      </c>
      <c r="B78" s="97">
        <f>E73</f>
        <v>190000</v>
      </c>
    </row>
    <row r="79" spans="1:5" ht="14.25" customHeight="1" x14ac:dyDescent="0.3"/>
    <row r="80" spans="1:5" hidden="1" x14ac:dyDescent="0.3"/>
    <row r="81" spans="1:5" hidden="1" x14ac:dyDescent="0.3">
      <c r="A81" s="164"/>
      <c r="B81" s="164"/>
      <c r="C81" s="164"/>
      <c r="D81" s="164"/>
      <c r="E81" s="164"/>
    </row>
    <row r="82" spans="1:5" hidden="1" x14ac:dyDescent="0.3">
      <c r="A82" s="164"/>
      <c r="B82" s="164"/>
      <c r="C82" s="164"/>
      <c r="D82" s="164"/>
      <c r="E82" s="164"/>
    </row>
    <row r="83" spans="1:5" ht="38.25" hidden="1" customHeight="1" x14ac:dyDescent="0.3">
      <c r="A83" s="164"/>
      <c r="B83" s="164"/>
      <c r="C83" s="164"/>
      <c r="D83" s="164"/>
      <c r="E83" s="164"/>
    </row>
    <row r="85" spans="1:5" x14ac:dyDescent="0.3">
      <c r="A85" s="23" t="s">
        <v>57</v>
      </c>
      <c r="B85" s="46"/>
      <c r="C85" s="24"/>
    </row>
    <row r="86" spans="1:5" ht="18" customHeight="1" x14ac:dyDescent="0.3">
      <c r="A86" s="36" t="s">
        <v>30</v>
      </c>
      <c r="B86" s="133">
        <v>549424.81250000023</v>
      </c>
      <c r="C86" s="26"/>
    </row>
    <row r="87" spans="1:5" ht="14.25" customHeight="1" x14ac:dyDescent="0.3">
      <c r="A87" s="25" t="s">
        <v>106</v>
      </c>
      <c r="B87" s="47">
        <f>PRORRATEO!H25</f>
        <v>1874914</v>
      </c>
      <c r="C87" s="24"/>
    </row>
    <row r="88" spans="1:5" ht="14.25" customHeight="1" x14ac:dyDescent="0.3">
      <c r="A88" s="25" t="s">
        <v>136</v>
      </c>
      <c r="B88" s="55"/>
      <c r="C88" s="24"/>
    </row>
    <row r="89" spans="1:5" ht="25.5" customHeight="1" x14ac:dyDescent="0.3">
      <c r="A89" s="139" t="s">
        <v>137</v>
      </c>
      <c r="B89" s="55"/>
      <c r="C89" s="24"/>
    </row>
    <row r="90" spans="1:5" x14ac:dyDescent="0.3">
      <c r="A90" s="25" t="s">
        <v>68</v>
      </c>
      <c r="B90" s="110">
        <f>B109</f>
        <v>0</v>
      </c>
      <c r="C90" s="24"/>
    </row>
    <row r="91" spans="1:5" x14ac:dyDescent="0.3">
      <c r="A91" s="45" t="s">
        <v>42</v>
      </c>
      <c r="B91" s="55">
        <f>-B76</f>
        <v>-2586843.59</v>
      </c>
      <c r="C91" s="24"/>
    </row>
    <row r="92" spans="1:5" x14ac:dyDescent="0.3">
      <c r="A92" s="28" t="s">
        <v>43</v>
      </c>
      <c r="B92" s="55">
        <f>-(B77)</f>
        <v>-190000</v>
      </c>
      <c r="C92" s="24"/>
    </row>
    <row r="93" spans="1:5" x14ac:dyDescent="0.3">
      <c r="A93" s="35" t="s">
        <v>12</v>
      </c>
      <c r="B93" s="132">
        <f>SUM(B86:B92)</f>
        <v>-352504.77749999985</v>
      </c>
      <c r="C93" s="27"/>
    </row>
    <row r="94" spans="1:5" ht="34.5" customHeight="1" x14ac:dyDescent="0.3">
      <c r="B94" s="48"/>
      <c r="C94" s="27"/>
      <c r="D94" s="51"/>
    </row>
    <row r="95" spans="1:5" ht="14.25" hidden="1" customHeight="1" x14ac:dyDescent="0.3">
      <c r="B95" s="49"/>
      <c r="C95" s="27"/>
    </row>
    <row r="96" spans="1:5" s="44" customFormat="1" ht="27" hidden="1" customHeight="1" x14ac:dyDescent="0.3">
      <c r="A96"/>
      <c r="B96" s="48"/>
      <c r="C96" s="43"/>
    </row>
    <row r="97" spans="1:13" s="44" customFormat="1" ht="27" hidden="1" customHeight="1" x14ac:dyDescent="0.3">
      <c r="A97" s="37" t="s">
        <v>31</v>
      </c>
      <c r="B97" s="41"/>
      <c r="C97" s="43"/>
      <c r="D97" s="54"/>
    </row>
    <row r="98" spans="1:13" s="44" customFormat="1" ht="27" hidden="1" customHeight="1" x14ac:dyDescent="0.3">
      <c r="A98" s="5" t="s">
        <v>30</v>
      </c>
      <c r="B98" s="42">
        <v>0</v>
      </c>
      <c r="C98" s="43"/>
    </row>
    <row r="99" spans="1:13" ht="14.25" hidden="1" customHeight="1" x14ac:dyDescent="0.3">
      <c r="A99" s="5" t="s">
        <v>24</v>
      </c>
      <c r="B99" s="41">
        <v>0</v>
      </c>
      <c r="C99" s="27"/>
      <c r="D99" s="51"/>
    </row>
    <row r="100" spans="1:13" hidden="1" x14ac:dyDescent="0.3">
      <c r="A100" s="5" t="s">
        <v>42</v>
      </c>
      <c r="B100" s="41">
        <v>0</v>
      </c>
      <c r="C100" s="27"/>
    </row>
    <row r="101" spans="1:13" hidden="1" x14ac:dyDescent="0.3">
      <c r="A101" s="5" t="s">
        <v>43</v>
      </c>
      <c r="B101" s="41">
        <v>0</v>
      </c>
      <c r="C101" s="29"/>
    </row>
    <row r="102" spans="1:13" hidden="1" x14ac:dyDescent="0.3">
      <c r="A102" s="37" t="s">
        <v>32</v>
      </c>
      <c r="B102" s="56">
        <f>SUM(B98:B101)</f>
        <v>0</v>
      </c>
      <c r="C102" s="24"/>
    </row>
    <row r="103" spans="1:13" hidden="1" x14ac:dyDescent="0.3"/>
    <row r="104" spans="1:13" ht="60.75" hidden="1" customHeight="1" x14ac:dyDescent="0.3"/>
    <row r="105" spans="1:13" x14ac:dyDescent="0.3">
      <c r="A105" s="161" t="s">
        <v>56</v>
      </c>
      <c r="B105" s="161"/>
      <c r="C105" s="161"/>
    </row>
    <row r="106" spans="1:13" x14ac:dyDescent="0.3">
      <c r="A106" s="161"/>
      <c r="B106" s="161"/>
      <c r="C106" s="161"/>
    </row>
    <row r="107" spans="1:13" ht="15.75" customHeight="1" x14ac:dyDescent="0.3">
      <c r="A107" s="63"/>
      <c r="B107" s="41"/>
      <c r="C107" s="41">
        <v>40000</v>
      </c>
    </row>
    <row r="108" spans="1:13" ht="15.75" customHeight="1" x14ac:dyDescent="0.3">
      <c r="A108" s="63"/>
      <c r="B108" s="41"/>
      <c r="C108" s="123"/>
    </row>
    <row r="109" spans="1:13" x14ac:dyDescent="0.3">
      <c r="A109" s="52" t="s">
        <v>12</v>
      </c>
      <c r="B109" s="125">
        <f>SUM(B107:B108)</f>
        <v>0</v>
      </c>
      <c r="C109" s="53"/>
    </row>
    <row r="110" spans="1:13" x14ac:dyDescent="0.3">
      <c r="M110" s="8"/>
    </row>
    <row r="111" spans="1:13" ht="15" hidden="1" customHeight="1" x14ac:dyDescent="0.3">
      <c r="A111" s="160"/>
      <c r="B111" s="160"/>
      <c r="C111" s="160"/>
      <c r="D111" s="160"/>
      <c r="E111" s="160"/>
    </row>
    <row r="112" spans="1:13" hidden="1" x14ac:dyDescent="0.3">
      <c r="A112" s="160"/>
      <c r="B112" s="160"/>
      <c r="C112" s="160"/>
      <c r="D112" s="160"/>
      <c r="E112" s="160"/>
    </row>
    <row r="113" spans="1:5" hidden="1" x14ac:dyDescent="0.3">
      <c r="A113" s="160"/>
      <c r="B113" s="160"/>
      <c r="C113" s="160"/>
      <c r="D113" s="160"/>
      <c r="E113" s="160"/>
    </row>
    <row r="114" spans="1:5" hidden="1" x14ac:dyDescent="0.3">
      <c r="A114" s="160"/>
      <c r="B114" s="160"/>
      <c r="C114" s="160"/>
      <c r="D114" s="160"/>
      <c r="E114" s="160"/>
    </row>
  </sheetData>
  <mergeCells count="11">
    <mergeCell ref="A14:E17"/>
    <mergeCell ref="B9:C11"/>
    <mergeCell ref="A34:B34"/>
    <mergeCell ref="A35:B35"/>
    <mergeCell ref="A111:E114"/>
    <mergeCell ref="A105:C106"/>
    <mergeCell ref="A49:B49"/>
    <mergeCell ref="A81:E83"/>
    <mergeCell ref="A67:B68"/>
    <mergeCell ref="D67:D68"/>
    <mergeCell ref="E67:E6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opLeftCell="B1" zoomScaleNormal="100" workbookViewId="0">
      <selection activeCell="O7" sqref="O7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4.109375" customWidth="1"/>
    <col min="17" max="17" width="7.44140625" hidden="1" customWidth="1"/>
    <col min="18" max="18" width="12" bestFit="1" customWidth="1"/>
    <col min="19" max="19" width="13" bestFit="1" customWidth="1"/>
  </cols>
  <sheetData>
    <row r="1" spans="1:19" ht="12.9" customHeight="1" x14ac:dyDescent="0.3">
      <c r="A1" s="6"/>
      <c r="B1" s="6"/>
      <c r="C1" s="6"/>
      <c r="D1" s="6" t="s">
        <v>49</v>
      </c>
      <c r="E1" s="6"/>
      <c r="F1" s="180" t="s">
        <v>108</v>
      </c>
      <c r="G1" s="180"/>
      <c r="H1" s="180"/>
      <c r="I1" s="180"/>
      <c r="J1" s="180"/>
      <c r="K1" s="180"/>
      <c r="L1" s="180"/>
      <c r="M1" s="180"/>
      <c r="N1" s="180"/>
      <c r="O1" s="180"/>
      <c r="P1" s="6"/>
    </row>
    <row r="2" spans="1:19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</v>
      </c>
      <c r="M2" s="6"/>
      <c r="N2" s="6"/>
      <c r="O2" s="186">
        <v>2200000</v>
      </c>
      <c r="P2" s="186"/>
      <c r="Q2" s="22"/>
    </row>
    <row r="3" spans="1:19" ht="12.9" customHeight="1" thickBot="1" x14ac:dyDescent="0.35">
      <c r="A3" s="6"/>
      <c r="B3" s="6"/>
      <c r="C3" s="6"/>
      <c r="D3" s="6" t="s">
        <v>50</v>
      </c>
      <c r="E3" s="6"/>
      <c r="F3" s="6"/>
      <c r="G3" s="6"/>
      <c r="H3" s="6"/>
      <c r="I3" s="6"/>
      <c r="J3" s="6"/>
      <c r="K3" s="6"/>
      <c r="L3" s="7" t="s">
        <v>69</v>
      </c>
      <c r="M3" s="6"/>
      <c r="N3" s="6"/>
      <c r="O3" s="187"/>
      <c r="P3" s="187"/>
    </row>
    <row r="4" spans="1:19" x14ac:dyDescent="0.3">
      <c r="A4" s="175" t="s">
        <v>6</v>
      </c>
      <c r="B4" s="177" t="s">
        <v>7</v>
      </c>
      <c r="C4" s="173" t="s">
        <v>8</v>
      </c>
      <c r="D4" s="173" t="s">
        <v>9</v>
      </c>
      <c r="E4" s="173" t="s">
        <v>47</v>
      </c>
      <c r="F4" s="173" t="s">
        <v>25</v>
      </c>
      <c r="G4" s="173" t="s">
        <v>67</v>
      </c>
      <c r="H4" s="173" t="s">
        <v>10</v>
      </c>
      <c r="I4" s="173" t="s">
        <v>48</v>
      </c>
      <c r="J4" s="183" t="s">
        <v>53</v>
      </c>
      <c r="K4" s="181" t="s">
        <v>45</v>
      </c>
      <c r="L4" s="181" t="s">
        <v>11</v>
      </c>
      <c r="M4" s="181" t="s">
        <v>44</v>
      </c>
      <c r="N4" s="181" t="s">
        <v>138</v>
      </c>
      <c r="O4" s="71" t="s">
        <v>64</v>
      </c>
      <c r="P4" s="188" t="s">
        <v>63</v>
      </c>
      <c r="S4" s="51"/>
    </row>
    <row r="5" spans="1:19" ht="15.75" customHeight="1" x14ac:dyDescent="0.3">
      <c r="A5" s="176"/>
      <c r="B5" s="178"/>
      <c r="C5" s="179"/>
      <c r="D5" s="179"/>
      <c r="E5" s="174"/>
      <c r="F5" s="179"/>
      <c r="G5" s="179"/>
      <c r="H5" s="179"/>
      <c r="I5" s="174"/>
      <c r="J5" s="184"/>
      <c r="K5" s="182"/>
      <c r="L5" s="185"/>
      <c r="M5" s="182"/>
      <c r="N5" s="182"/>
      <c r="O5" s="69" t="str">
        <f>RESUMEN!B9</f>
        <v>VTO 16/06</v>
      </c>
      <c r="P5" s="189"/>
    </row>
    <row r="6" spans="1:19" ht="17.100000000000001" customHeight="1" x14ac:dyDescent="0.3">
      <c r="A6" s="5" t="s">
        <v>13</v>
      </c>
      <c r="B6" s="72">
        <v>1</v>
      </c>
      <c r="C6" s="72" t="s">
        <v>70</v>
      </c>
      <c r="D6" s="72" t="s">
        <v>71</v>
      </c>
      <c r="E6" s="72" t="s">
        <v>126</v>
      </c>
      <c r="F6" s="82">
        <v>3</v>
      </c>
      <c r="G6" s="83">
        <v>60000</v>
      </c>
      <c r="H6" s="84">
        <f>G6</f>
        <v>60000</v>
      </c>
      <c r="I6" s="85"/>
      <c r="J6" s="140">
        <f t="shared" ref="J6:J24" si="0">G6-H6</f>
        <v>0</v>
      </c>
      <c r="K6" s="86">
        <f>IF(J6&gt;0,J6*5%,0)</f>
        <v>0</v>
      </c>
      <c r="L6" s="87">
        <f t="shared" ref="L6:L24" si="1">O$3*F6%</f>
        <v>0</v>
      </c>
      <c r="M6" s="87">
        <f t="shared" ref="M6:M24" si="2">O$2*F6%</f>
        <v>66000</v>
      </c>
      <c r="N6" s="136">
        <f>SUM(J6:M6)</f>
        <v>66000</v>
      </c>
      <c r="O6" s="141" t="str">
        <f>CONCATENATE("$",ROUND(N6,0), ",", Q6)</f>
        <v>$66000,1</v>
      </c>
      <c r="P6" s="142" t="str">
        <f>CONCATENATE("$",ROUND(N6*3%+ N6,0), ",", Q6)</f>
        <v>$67980,1</v>
      </c>
      <c r="Q6" s="51" t="str">
        <f t="shared" ref="Q6:Q13" si="3">CONCATENATE(B6)</f>
        <v>1</v>
      </c>
    </row>
    <row r="7" spans="1:19" ht="17.100000000000001" customHeight="1" x14ac:dyDescent="0.3">
      <c r="A7" s="5" t="s">
        <v>14</v>
      </c>
      <c r="B7" s="72">
        <v>2</v>
      </c>
      <c r="C7" s="72" t="s">
        <v>72</v>
      </c>
      <c r="D7" s="72" t="s">
        <v>73</v>
      </c>
      <c r="E7" s="72" t="s">
        <v>148</v>
      </c>
      <c r="F7" s="82">
        <v>3.8</v>
      </c>
      <c r="G7" s="83">
        <v>76000</v>
      </c>
      <c r="H7" s="84">
        <f>G7</f>
        <v>76000</v>
      </c>
      <c r="I7" s="85"/>
      <c r="J7" s="140">
        <f t="shared" si="0"/>
        <v>0</v>
      </c>
      <c r="K7" s="86">
        <f t="shared" ref="K7:K24" si="4">IF(J7&gt;0,J7*5%,0)</f>
        <v>0</v>
      </c>
      <c r="L7" s="87">
        <f t="shared" si="1"/>
        <v>0</v>
      </c>
      <c r="M7" s="87">
        <f t="shared" si="2"/>
        <v>83600</v>
      </c>
      <c r="N7" s="136">
        <f t="shared" ref="N7:N24" si="5">SUM(J7:M7)</f>
        <v>83600</v>
      </c>
      <c r="O7" s="138" t="str">
        <f t="shared" ref="O7:O24" si="6">CONCATENATE("$",ROUND(N7,0), ",", Q7)</f>
        <v>$83600,2</v>
      </c>
      <c r="P7" s="142" t="str">
        <f t="shared" ref="P7:P24" si="7">CONCATENATE("$",ROUND(N7*3%+ N7,0), ",", Q7)</f>
        <v>$86108,2</v>
      </c>
      <c r="Q7" s="51" t="str">
        <f t="shared" si="3"/>
        <v>2</v>
      </c>
      <c r="R7" s="51"/>
    </row>
    <row r="8" spans="1:19" ht="17.100000000000001" customHeight="1" x14ac:dyDescent="0.3">
      <c r="A8" s="5" t="s">
        <v>14</v>
      </c>
      <c r="B8" s="72">
        <v>3</v>
      </c>
      <c r="C8" s="72" t="s">
        <v>74</v>
      </c>
      <c r="D8" s="72" t="s">
        <v>75</v>
      </c>
      <c r="E8" s="72" t="s">
        <v>133</v>
      </c>
      <c r="F8" s="82">
        <v>3</v>
      </c>
      <c r="G8" s="83">
        <v>60000</v>
      </c>
      <c r="H8" s="84">
        <f>G8</f>
        <v>60000</v>
      </c>
      <c r="I8" s="85"/>
      <c r="J8" s="140">
        <f t="shared" si="0"/>
        <v>0</v>
      </c>
      <c r="K8" s="86">
        <f t="shared" si="4"/>
        <v>0</v>
      </c>
      <c r="L8" s="87">
        <f t="shared" si="1"/>
        <v>0</v>
      </c>
      <c r="M8" s="87">
        <f t="shared" si="2"/>
        <v>66000</v>
      </c>
      <c r="N8" s="136">
        <f t="shared" si="5"/>
        <v>66000</v>
      </c>
      <c r="O8" s="138" t="str">
        <f t="shared" si="6"/>
        <v>$66000,3</v>
      </c>
      <c r="P8" s="142" t="str">
        <f t="shared" si="7"/>
        <v>$67980,3</v>
      </c>
      <c r="Q8" s="51" t="str">
        <f t="shared" si="3"/>
        <v>3</v>
      </c>
    </row>
    <row r="9" spans="1:19" ht="17.100000000000001" customHeight="1" x14ac:dyDescent="0.3">
      <c r="A9" s="5" t="s">
        <v>15</v>
      </c>
      <c r="B9" s="72">
        <v>4</v>
      </c>
      <c r="C9" s="72" t="s">
        <v>76</v>
      </c>
      <c r="D9" s="72" t="s">
        <v>77</v>
      </c>
      <c r="E9" s="72" t="s">
        <v>132</v>
      </c>
      <c r="F9" s="82">
        <v>3.1</v>
      </c>
      <c r="G9" s="83">
        <v>192610</v>
      </c>
      <c r="H9" s="84">
        <f>20000*2+58400+20000</f>
        <v>118400</v>
      </c>
      <c r="I9" s="85"/>
      <c r="J9" s="140">
        <f t="shared" si="0"/>
        <v>74210</v>
      </c>
      <c r="K9" s="86">
        <f t="shared" si="4"/>
        <v>3710.5</v>
      </c>
      <c r="L9" s="87">
        <f t="shared" si="1"/>
        <v>0</v>
      </c>
      <c r="M9" s="87">
        <f t="shared" si="2"/>
        <v>68200</v>
      </c>
      <c r="N9" s="136">
        <f t="shared" si="5"/>
        <v>146120.5</v>
      </c>
      <c r="O9" s="138" t="str">
        <f t="shared" si="6"/>
        <v>$146121,4</v>
      </c>
      <c r="P9" s="142" t="str">
        <f t="shared" si="7"/>
        <v>$150504,4</v>
      </c>
      <c r="Q9" s="51" t="str">
        <f t="shared" si="3"/>
        <v>4</v>
      </c>
      <c r="S9" s="51"/>
    </row>
    <row r="10" spans="1:19" ht="17.100000000000001" customHeight="1" x14ac:dyDescent="0.3">
      <c r="A10" s="5" t="s">
        <v>15</v>
      </c>
      <c r="B10" s="72">
        <v>5</v>
      </c>
      <c r="C10" s="72" t="s">
        <v>78</v>
      </c>
      <c r="D10" s="72" t="s">
        <v>79</v>
      </c>
      <c r="E10" s="72" t="s">
        <v>134</v>
      </c>
      <c r="F10" s="82">
        <v>3.1</v>
      </c>
      <c r="G10" s="83">
        <v>56218</v>
      </c>
      <c r="H10" s="84"/>
      <c r="I10" s="85"/>
      <c r="J10" s="140">
        <f t="shared" si="0"/>
        <v>56218</v>
      </c>
      <c r="K10" s="86">
        <f t="shared" si="4"/>
        <v>2810.9</v>
      </c>
      <c r="L10" s="87">
        <f t="shared" si="1"/>
        <v>0</v>
      </c>
      <c r="M10" s="87">
        <f t="shared" si="2"/>
        <v>68200</v>
      </c>
      <c r="N10" s="136">
        <f t="shared" si="5"/>
        <v>127228.9</v>
      </c>
      <c r="O10" s="138" t="str">
        <f t="shared" si="6"/>
        <v>$127229,5</v>
      </c>
      <c r="P10" s="142" t="str">
        <f t="shared" si="7"/>
        <v>$131046,5</v>
      </c>
      <c r="Q10" s="51" t="str">
        <f t="shared" si="3"/>
        <v>5</v>
      </c>
      <c r="S10" s="51"/>
    </row>
    <row r="11" spans="1:19" ht="17.100000000000001" customHeight="1" x14ac:dyDescent="0.3">
      <c r="A11" s="5" t="s">
        <v>16</v>
      </c>
      <c r="B11" s="72">
        <v>6</v>
      </c>
      <c r="C11" s="72" t="s">
        <v>80</v>
      </c>
      <c r="D11" s="72" t="s">
        <v>81</v>
      </c>
      <c r="E11" s="72"/>
      <c r="F11" s="82">
        <v>3.2</v>
      </c>
      <c r="G11" s="83">
        <v>61594</v>
      </c>
      <c r="H11" s="84">
        <f t="shared" ref="H11:H17" si="8">G11</f>
        <v>61594</v>
      </c>
      <c r="I11" s="85"/>
      <c r="J11" s="140">
        <f t="shared" si="0"/>
        <v>0</v>
      </c>
      <c r="K11" s="86">
        <f t="shared" si="4"/>
        <v>0</v>
      </c>
      <c r="L11" s="87">
        <f t="shared" si="1"/>
        <v>0</v>
      </c>
      <c r="M11" s="87">
        <f t="shared" si="2"/>
        <v>70400</v>
      </c>
      <c r="N11" s="136">
        <f t="shared" si="5"/>
        <v>70400</v>
      </c>
      <c r="O11" s="138" t="str">
        <f t="shared" si="6"/>
        <v>$70400,6</v>
      </c>
      <c r="P11" s="142" t="str">
        <f t="shared" si="7"/>
        <v>$72512,6</v>
      </c>
      <c r="Q11" s="51" t="str">
        <f t="shared" si="3"/>
        <v>6</v>
      </c>
    </row>
    <row r="12" spans="1:19" ht="17.100000000000001" customHeight="1" x14ac:dyDescent="0.3">
      <c r="A12" s="5" t="s">
        <v>16</v>
      </c>
      <c r="B12" s="72">
        <v>7</v>
      </c>
      <c r="C12" s="72" t="s">
        <v>82</v>
      </c>
      <c r="D12" s="72" t="s">
        <v>83</v>
      </c>
      <c r="E12" s="72" t="s">
        <v>127</v>
      </c>
      <c r="F12" s="82">
        <v>3.3</v>
      </c>
      <c r="G12" s="83">
        <v>66000</v>
      </c>
      <c r="H12" s="84">
        <f t="shared" si="8"/>
        <v>66000</v>
      </c>
      <c r="I12" s="85"/>
      <c r="J12" s="140">
        <f t="shared" si="0"/>
        <v>0</v>
      </c>
      <c r="K12" s="86">
        <f t="shared" si="4"/>
        <v>0</v>
      </c>
      <c r="L12" s="87">
        <f t="shared" si="1"/>
        <v>0</v>
      </c>
      <c r="M12" s="87">
        <f t="shared" si="2"/>
        <v>72600</v>
      </c>
      <c r="N12" s="136">
        <f t="shared" si="5"/>
        <v>72600</v>
      </c>
      <c r="O12" s="138" t="str">
        <f t="shared" si="6"/>
        <v>$72600,7</v>
      </c>
      <c r="P12" s="142" t="str">
        <f t="shared" si="7"/>
        <v>$74778,7</v>
      </c>
      <c r="Q12" s="51" t="str">
        <f t="shared" si="3"/>
        <v>7</v>
      </c>
    </row>
    <row r="13" spans="1:19" ht="17.100000000000001" customHeight="1" x14ac:dyDescent="0.3">
      <c r="A13" s="5" t="s">
        <v>17</v>
      </c>
      <c r="B13" s="72">
        <v>23</v>
      </c>
      <c r="C13" s="72" t="s">
        <v>84</v>
      </c>
      <c r="D13" s="72" t="s">
        <v>85</v>
      </c>
      <c r="E13" s="72" t="s">
        <v>128</v>
      </c>
      <c r="F13" s="82">
        <v>6.3</v>
      </c>
      <c r="G13" s="83">
        <v>126000</v>
      </c>
      <c r="H13" s="84">
        <f t="shared" si="8"/>
        <v>126000</v>
      </c>
      <c r="I13" s="85"/>
      <c r="J13" s="140">
        <f t="shared" si="0"/>
        <v>0</v>
      </c>
      <c r="K13" s="86">
        <f t="shared" si="4"/>
        <v>0</v>
      </c>
      <c r="L13" s="87">
        <f t="shared" si="1"/>
        <v>0</v>
      </c>
      <c r="M13" s="87">
        <f t="shared" si="2"/>
        <v>138600</v>
      </c>
      <c r="N13" s="136">
        <f t="shared" si="5"/>
        <v>138600</v>
      </c>
      <c r="O13" s="138" t="str">
        <f t="shared" si="6"/>
        <v>$138600,23</v>
      </c>
      <c r="P13" s="142" t="str">
        <f t="shared" si="7"/>
        <v>$142758,23</v>
      </c>
      <c r="Q13" s="51" t="str">
        <f t="shared" si="3"/>
        <v>23</v>
      </c>
      <c r="S13" t="s">
        <v>131</v>
      </c>
    </row>
    <row r="14" spans="1:19" ht="17.100000000000001" customHeight="1" x14ac:dyDescent="0.3">
      <c r="A14" s="5" t="s">
        <v>17</v>
      </c>
      <c r="B14" s="72">
        <v>22</v>
      </c>
      <c r="C14" s="72" t="s">
        <v>86</v>
      </c>
      <c r="D14" s="72" t="s">
        <v>87</v>
      </c>
      <c r="E14" s="72" t="s">
        <v>129</v>
      </c>
      <c r="F14" s="82">
        <v>5.0999999999999996</v>
      </c>
      <c r="G14" s="83">
        <v>102000</v>
      </c>
      <c r="H14" s="84">
        <f t="shared" si="8"/>
        <v>102000</v>
      </c>
      <c r="I14" s="85"/>
      <c r="J14" s="140">
        <f t="shared" si="0"/>
        <v>0</v>
      </c>
      <c r="K14" s="86">
        <f t="shared" si="4"/>
        <v>0</v>
      </c>
      <c r="L14" s="87">
        <f t="shared" si="1"/>
        <v>0</v>
      </c>
      <c r="M14" s="87">
        <f t="shared" si="2"/>
        <v>112200</v>
      </c>
      <c r="N14" s="136">
        <f t="shared" si="5"/>
        <v>112200</v>
      </c>
      <c r="O14" s="138" t="str">
        <f t="shared" si="6"/>
        <v>$112200,22</v>
      </c>
      <c r="P14" s="142" t="str">
        <f t="shared" si="7"/>
        <v>$115566,22</v>
      </c>
      <c r="Q14" s="51" t="str">
        <f>CONCATENATE(B14)</f>
        <v>22</v>
      </c>
    </row>
    <row r="15" spans="1:19" ht="17.100000000000001" customHeight="1" x14ac:dyDescent="0.3">
      <c r="A15" s="5" t="s">
        <v>18</v>
      </c>
      <c r="B15" s="72">
        <v>21</v>
      </c>
      <c r="C15" s="72" t="s">
        <v>88</v>
      </c>
      <c r="D15" s="72" t="s">
        <v>89</v>
      </c>
      <c r="E15" s="73"/>
      <c r="F15" s="82">
        <v>8.1999999999999993</v>
      </c>
      <c r="G15" s="83">
        <v>164000</v>
      </c>
      <c r="H15" s="84">
        <f t="shared" si="8"/>
        <v>164000</v>
      </c>
      <c r="I15" s="85"/>
      <c r="J15" s="140">
        <f t="shared" si="0"/>
        <v>0</v>
      </c>
      <c r="K15" s="86">
        <f t="shared" si="4"/>
        <v>0</v>
      </c>
      <c r="L15" s="87">
        <f t="shared" si="1"/>
        <v>0</v>
      </c>
      <c r="M15" s="87">
        <f t="shared" si="2"/>
        <v>180399.99999999997</v>
      </c>
      <c r="N15" s="136">
        <f t="shared" si="5"/>
        <v>180399.99999999997</v>
      </c>
      <c r="O15" s="138" t="str">
        <f t="shared" si="6"/>
        <v>$180400,21</v>
      </c>
      <c r="P15" s="142" t="str">
        <f t="shared" si="7"/>
        <v>$185812,21</v>
      </c>
      <c r="Q15" s="51" t="str">
        <f t="shared" ref="Q15:Q24" si="9">CONCATENATE(B15)</f>
        <v>21</v>
      </c>
    </row>
    <row r="16" spans="1:19" ht="17.100000000000001" customHeight="1" x14ac:dyDescent="0.3">
      <c r="A16" s="5" t="s">
        <v>18</v>
      </c>
      <c r="B16" s="72">
        <v>14</v>
      </c>
      <c r="C16" s="72" t="s">
        <v>90</v>
      </c>
      <c r="D16" s="72" t="s">
        <v>91</v>
      </c>
      <c r="E16" s="73"/>
      <c r="F16" s="82">
        <v>6.1</v>
      </c>
      <c r="G16" s="83">
        <v>122000</v>
      </c>
      <c r="H16" s="84">
        <f t="shared" si="8"/>
        <v>122000</v>
      </c>
      <c r="I16" s="85"/>
      <c r="J16" s="140">
        <f t="shared" si="0"/>
        <v>0</v>
      </c>
      <c r="K16" s="86">
        <f t="shared" si="4"/>
        <v>0</v>
      </c>
      <c r="L16" s="87">
        <f t="shared" si="1"/>
        <v>0</v>
      </c>
      <c r="M16" s="87">
        <f t="shared" si="2"/>
        <v>134200</v>
      </c>
      <c r="N16" s="136">
        <f t="shared" si="5"/>
        <v>134200</v>
      </c>
      <c r="O16" s="138" t="str">
        <f t="shared" si="6"/>
        <v>$134200,14</v>
      </c>
      <c r="P16" s="142" t="str">
        <f t="shared" si="7"/>
        <v>$138226,14</v>
      </c>
      <c r="Q16" s="51" t="str">
        <f t="shared" si="9"/>
        <v>14</v>
      </c>
    </row>
    <row r="17" spans="1:20" ht="17.100000000000001" customHeight="1" x14ac:dyDescent="0.3">
      <c r="A17" s="5" t="s">
        <v>19</v>
      </c>
      <c r="B17" s="72">
        <v>13</v>
      </c>
      <c r="C17" s="72" t="s">
        <v>92</v>
      </c>
      <c r="D17" s="72" t="s">
        <v>121</v>
      </c>
      <c r="E17" s="73"/>
      <c r="F17" s="82">
        <v>5</v>
      </c>
      <c r="G17" s="83">
        <v>100000</v>
      </c>
      <c r="H17" s="84">
        <f t="shared" si="8"/>
        <v>100000</v>
      </c>
      <c r="I17" s="85"/>
      <c r="J17" s="140">
        <f t="shared" si="0"/>
        <v>0</v>
      </c>
      <c r="K17" s="86">
        <f t="shared" si="4"/>
        <v>0</v>
      </c>
      <c r="L17" s="87">
        <f t="shared" si="1"/>
        <v>0</v>
      </c>
      <c r="M17" s="87">
        <f t="shared" si="2"/>
        <v>110000</v>
      </c>
      <c r="N17" s="136">
        <f t="shared" si="5"/>
        <v>110000</v>
      </c>
      <c r="O17" s="138" t="str">
        <f t="shared" si="6"/>
        <v>$110000,13</v>
      </c>
      <c r="P17" s="142" t="str">
        <f t="shared" si="7"/>
        <v>$113300,13</v>
      </c>
      <c r="Q17" s="51" t="str">
        <f t="shared" si="9"/>
        <v>13</v>
      </c>
    </row>
    <row r="18" spans="1:20" ht="17.100000000000001" customHeight="1" x14ac:dyDescent="0.3">
      <c r="A18" s="5" t="s">
        <v>19</v>
      </c>
      <c r="B18" s="72">
        <v>12</v>
      </c>
      <c r="C18" s="72" t="s">
        <v>93</v>
      </c>
      <c r="D18" s="72" t="s">
        <v>94</v>
      </c>
      <c r="E18" s="72" t="s">
        <v>130</v>
      </c>
      <c r="F18" s="82">
        <v>8.1999999999999993</v>
      </c>
      <c r="G18" s="83">
        <v>12344183</v>
      </c>
      <c r="H18" s="84">
        <v>164000</v>
      </c>
      <c r="I18" s="85"/>
      <c r="J18" s="140">
        <f t="shared" si="0"/>
        <v>12180183</v>
      </c>
      <c r="K18" s="86">
        <f t="shared" si="4"/>
        <v>609009.15</v>
      </c>
      <c r="L18" s="87">
        <f t="shared" si="1"/>
        <v>0</v>
      </c>
      <c r="M18" s="87">
        <f t="shared" si="2"/>
        <v>180399.99999999997</v>
      </c>
      <c r="N18" s="136">
        <f t="shared" si="5"/>
        <v>12969592.15</v>
      </c>
      <c r="O18" s="138" t="str">
        <f t="shared" si="6"/>
        <v>$12969592,12</v>
      </c>
      <c r="P18" s="142" t="str">
        <f t="shared" si="7"/>
        <v>$13358680,12</v>
      </c>
      <c r="Q18" s="51" t="str">
        <f t="shared" si="9"/>
        <v>12</v>
      </c>
    </row>
    <row r="19" spans="1:20" ht="17.100000000000001" customHeight="1" x14ac:dyDescent="0.3">
      <c r="A19" s="5" t="s">
        <v>20</v>
      </c>
      <c r="B19" s="72">
        <v>17</v>
      </c>
      <c r="C19" s="72" t="s">
        <v>95</v>
      </c>
      <c r="D19" s="72" t="s">
        <v>94</v>
      </c>
      <c r="E19" s="73"/>
      <c r="F19" s="82">
        <v>6.1</v>
      </c>
      <c r="G19" s="83">
        <v>8363581</v>
      </c>
      <c r="H19" s="84"/>
      <c r="I19" s="85"/>
      <c r="J19" s="140">
        <f t="shared" si="0"/>
        <v>8363581</v>
      </c>
      <c r="K19" s="86">
        <f t="shared" si="4"/>
        <v>418179.05000000005</v>
      </c>
      <c r="L19" s="87">
        <f t="shared" si="1"/>
        <v>0</v>
      </c>
      <c r="M19" s="87">
        <f t="shared" si="2"/>
        <v>134200</v>
      </c>
      <c r="N19" s="136">
        <f t="shared" si="5"/>
        <v>8915960.0500000007</v>
      </c>
      <c r="O19" s="138" t="str">
        <f t="shared" si="6"/>
        <v>$8915960,17</v>
      </c>
      <c r="P19" s="142" t="str">
        <f t="shared" si="7"/>
        <v>$9183439,17</v>
      </c>
      <c r="Q19" s="51" t="str">
        <f t="shared" si="9"/>
        <v>17</v>
      </c>
    </row>
    <row r="20" spans="1:20" ht="17.100000000000001" customHeight="1" x14ac:dyDescent="0.3">
      <c r="A20" s="5" t="s">
        <v>20</v>
      </c>
      <c r="B20" s="72">
        <v>16</v>
      </c>
      <c r="C20" s="72" t="s">
        <v>96</v>
      </c>
      <c r="D20" s="72" t="s">
        <v>97</v>
      </c>
      <c r="E20" s="73" t="s">
        <v>135</v>
      </c>
      <c r="F20" s="82">
        <v>5</v>
      </c>
      <c r="G20" s="83">
        <v>100000</v>
      </c>
      <c r="H20" s="84">
        <f>G20</f>
        <v>100000</v>
      </c>
      <c r="I20" s="85"/>
      <c r="J20" s="140">
        <f t="shared" si="0"/>
        <v>0</v>
      </c>
      <c r="K20" s="86">
        <f t="shared" si="4"/>
        <v>0</v>
      </c>
      <c r="L20" s="87">
        <f t="shared" si="1"/>
        <v>0</v>
      </c>
      <c r="M20" s="87">
        <f t="shared" si="2"/>
        <v>110000</v>
      </c>
      <c r="N20" s="136">
        <f t="shared" si="5"/>
        <v>110000</v>
      </c>
      <c r="O20" s="138" t="str">
        <f t="shared" si="6"/>
        <v>$110000,16</v>
      </c>
      <c r="P20" s="142" t="str">
        <f t="shared" si="7"/>
        <v>$113300,16</v>
      </c>
      <c r="Q20" s="51" t="str">
        <f t="shared" si="9"/>
        <v>16</v>
      </c>
    </row>
    <row r="21" spans="1:20" ht="17.100000000000001" customHeight="1" x14ac:dyDescent="0.3">
      <c r="A21" s="5" t="s">
        <v>21</v>
      </c>
      <c r="B21" s="72">
        <v>15</v>
      </c>
      <c r="C21" s="72" t="s">
        <v>98</v>
      </c>
      <c r="D21" s="72" t="s">
        <v>99</v>
      </c>
      <c r="E21" s="72"/>
      <c r="F21" s="82">
        <v>8.1999999999999993</v>
      </c>
      <c r="G21" s="83">
        <v>164000</v>
      </c>
      <c r="H21" s="84">
        <f>G21</f>
        <v>164000</v>
      </c>
      <c r="I21" s="85"/>
      <c r="J21" s="140">
        <f t="shared" si="0"/>
        <v>0</v>
      </c>
      <c r="K21" s="86">
        <f t="shared" si="4"/>
        <v>0</v>
      </c>
      <c r="L21" s="87">
        <f t="shared" si="1"/>
        <v>0</v>
      </c>
      <c r="M21" s="87">
        <f t="shared" si="2"/>
        <v>180399.99999999997</v>
      </c>
      <c r="N21" s="136">
        <f t="shared" si="5"/>
        <v>180399.99999999997</v>
      </c>
      <c r="O21" s="138" t="str">
        <f t="shared" si="6"/>
        <v>$180400,15</v>
      </c>
      <c r="P21" s="142" t="str">
        <f t="shared" si="7"/>
        <v>$185812,15</v>
      </c>
      <c r="Q21" s="51" t="str">
        <f t="shared" si="9"/>
        <v>15</v>
      </c>
      <c r="S21" s="50"/>
    </row>
    <row r="22" spans="1:20" ht="17.100000000000001" customHeight="1" x14ac:dyDescent="0.3">
      <c r="A22" s="5" t="s">
        <v>21</v>
      </c>
      <c r="B22" s="72">
        <v>20</v>
      </c>
      <c r="C22" s="72" t="s">
        <v>100</v>
      </c>
      <c r="D22" s="72" t="s">
        <v>101</v>
      </c>
      <c r="E22" s="73"/>
      <c r="F22" s="82">
        <v>6.1</v>
      </c>
      <c r="G22" s="84">
        <v>122000</v>
      </c>
      <c r="H22" s="84">
        <f>G22</f>
        <v>122000</v>
      </c>
      <c r="I22" s="85"/>
      <c r="J22" s="86">
        <f t="shared" si="0"/>
        <v>0</v>
      </c>
      <c r="K22" s="86">
        <f t="shared" si="4"/>
        <v>0</v>
      </c>
      <c r="L22" s="87">
        <f t="shared" si="1"/>
        <v>0</v>
      </c>
      <c r="M22" s="87">
        <f t="shared" si="2"/>
        <v>134200</v>
      </c>
      <c r="N22" s="136">
        <f t="shared" si="5"/>
        <v>134200</v>
      </c>
      <c r="O22" s="138" t="str">
        <f t="shared" si="6"/>
        <v>$134200,20</v>
      </c>
      <c r="P22" s="142" t="str">
        <f t="shared" si="7"/>
        <v>$138226,20</v>
      </c>
      <c r="Q22" s="51" t="str">
        <f t="shared" si="9"/>
        <v>20</v>
      </c>
      <c r="T22" t="s">
        <v>123</v>
      </c>
    </row>
    <row r="23" spans="1:20" ht="17.100000000000001" customHeight="1" x14ac:dyDescent="0.3">
      <c r="A23" s="5" t="s">
        <v>22</v>
      </c>
      <c r="B23" s="72">
        <v>19</v>
      </c>
      <c r="C23" s="72" t="s">
        <v>102</v>
      </c>
      <c r="D23" s="72" t="s">
        <v>103</v>
      </c>
      <c r="E23" s="72"/>
      <c r="F23" s="82">
        <v>5</v>
      </c>
      <c r="G23" s="83">
        <v>100000</v>
      </c>
      <c r="H23" s="84">
        <f>G23</f>
        <v>100000</v>
      </c>
      <c r="I23" s="85"/>
      <c r="J23" s="86">
        <f t="shared" si="0"/>
        <v>0</v>
      </c>
      <c r="K23" s="86">
        <f t="shared" si="4"/>
        <v>0</v>
      </c>
      <c r="L23" s="87">
        <f t="shared" si="1"/>
        <v>0</v>
      </c>
      <c r="M23" s="87">
        <f t="shared" si="2"/>
        <v>110000</v>
      </c>
      <c r="N23" s="136">
        <f t="shared" si="5"/>
        <v>110000</v>
      </c>
      <c r="O23" s="138" t="str">
        <f t="shared" si="6"/>
        <v>$110000,19</v>
      </c>
      <c r="P23" s="142" t="str">
        <f t="shared" si="7"/>
        <v>$113300,19</v>
      </c>
      <c r="Q23" s="51" t="str">
        <f t="shared" si="9"/>
        <v>19</v>
      </c>
    </row>
    <row r="24" spans="1:20" ht="17.100000000000001" customHeight="1" thickBot="1" x14ac:dyDescent="0.35">
      <c r="A24" s="5" t="s">
        <v>22</v>
      </c>
      <c r="B24" s="72">
        <v>18</v>
      </c>
      <c r="C24" s="72" t="s">
        <v>104</v>
      </c>
      <c r="D24" s="72" t="s">
        <v>105</v>
      </c>
      <c r="E24" s="73"/>
      <c r="F24" s="82">
        <v>8.1999999999999993</v>
      </c>
      <c r="G24" s="83">
        <v>164000</v>
      </c>
      <c r="H24" s="84">
        <v>168920</v>
      </c>
      <c r="I24" s="85"/>
      <c r="J24" s="86">
        <f t="shared" si="0"/>
        <v>-4920</v>
      </c>
      <c r="K24" s="86">
        <f t="shared" si="4"/>
        <v>0</v>
      </c>
      <c r="L24" s="87">
        <f t="shared" si="1"/>
        <v>0</v>
      </c>
      <c r="M24" s="87">
        <f t="shared" si="2"/>
        <v>180399.99999999997</v>
      </c>
      <c r="N24" s="136">
        <f t="shared" si="5"/>
        <v>175479.99999999997</v>
      </c>
      <c r="O24" s="138" t="str">
        <f t="shared" si="6"/>
        <v>$175480,18</v>
      </c>
      <c r="P24" s="142" t="str">
        <f t="shared" si="7"/>
        <v>$180744,18</v>
      </c>
      <c r="Q24" s="51" t="str">
        <f t="shared" si="9"/>
        <v>18</v>
      </c>
      <c r="T24" t="s">
        <v>122</v>
      </c>
    </row>
    <row r="25" spans="1:20" ht="17.100000000000001" customHeight="1" thickBot="1" x14ac:dyDescent="0.35">
      <c r="B25" s="88"/>
      <c r="C25" s="89"/>
      <c r="D25" s="90"/>
      <c r="E25" s="90"/>
      <c r="F25" s="91">
        <f t="shared" ref="F25:P25" si="10">SUM(F6:F24)</f>
        <v>99.999999999999986</v>
      </c>
      <c r="G25" s="62">
        <f>SUM(G6:G24)</f>
        <v>22544186</v>
      </c>
      <c r="H25" s="70">
        <f t="shared" si="10"/>
        <v>1874914</v>
      </c>
      <c r="I25" s="62">
        <f t="shared" si="10"/>
        <v>0</v>
      </c>
      <c r="J25" s="70">
        <f t="shared" si="10"/>
        <v>20669272</v>
      </c>
      <c r="K25" s="70">
        <f t="shared" si="10"/>
        <v>1033709.6000000001</v>
      </c>
      <c r="L25" s="70">
        <f t="shared" si="10"/>
        <v>0</v>
      </c>
      <c r="M25" s="70">
        <f t="shared" si="10"/>
        <v>2200000</v>
      </c>
      <c r="N25" s="137"/>
      <c r="O25" s="92">
        <f t="shared" si="10"/>
        <v>0</v>
      </c>
      <c r="P25" s="92">
        <f t="shared" si="10"/>
        <v>0</v>
      </c>
    </row>
    <row r="26" spans="1:20" ht="12.75" customHeight="1" x14ac:dyDescent="0.3">
      <c r="D26" s="59"/>
      <c r="E26" s="59"/>
    </row>
    <row r="27" spans="1:20" hidden="1" x14ac:dyDescent="0.3"/>
    <row r="28" spans="1:20" ht="9" customHeight="1" x14ac:dyDescent="0.3">
      <c r="D28" s="160" t="s">
        <v>109</v>
      </c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</row>
    <row r="29" spans="1:20" ht="12" hidden="1" customHeight="1" x14ac:dyDescent="0.3"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</row>
    <row r="30" spans="1:20" ht="12" hidden="1" customHeight="1" x14ac:dyDescent="0.3"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</row>
    <row r="31" spans="1:20" ht="12" hidden="1" customHeight="1" x14ac:dyDescent="0.3"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</row>
    <row r="32" spans="1:20" ht="12" hidden="1" customHeight="1" x14ac:dyDescent="0.3"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</row>
    <row r="33" spans="4:15" ht="65.25" customHeight="1" x14ac:dyDescent="0.3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</sheetData>
  <mergeCells count="19">
    <mergeCell ref="F1:O1"/>
    <mergeCell ref="K4:K5"/>
    <mergeCell ref="G4:G5"/>
    <mergeCell ref="H4:H5"/>
    <mergeCell ref="J4:J5"/>
    <mergeCell ref="L4:L5"/>
    <mergeCell ref="M4:M5"/>
    <mergeCell ref="O2:P2"/>
    <mergeCell ref="O3:P3"/>
    <mergeCell ref="P4:P5"/>
    <mergeCell ref="N4:N5"/>
    <mergeCell ref="D28:O33"/>
    <mergeCell ref="E4:E5"/>
    <mergeCell ref="I4:I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2025-04-02T15:18:31Z</cp:lastPrinted>
  <dcterms:created xsi:type="dcterms:W3CDTF">2023-09-17T12:29:07Z</dcterms:created>
  <dcterms:modified xsi:type="dcterms:W3CDTF">2025-05-26T00:20:31Z</dcterms:modified>
</cp:coreProperties>
</file>