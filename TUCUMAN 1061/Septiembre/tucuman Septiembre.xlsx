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TUCUMAN 1061\Septiembre\"/>
    </mc:Choice>
  </mc:AlternateContent>
  <xr:revisionPtr revIDLastSave="0" documentId="13_ncr:1_{A03015B6-014B-4F87-9ED0-BB6385034C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astos" sheetId="1" r:id="rId1"/>
    <sheet name="Planilla" sheetId="2" r:id="rId2"/>
    <sheet name="Calculo Servicios  (2)" sheetId="4" r:id="rId3"/>
  </sheets>
  <definedNames>
    <definedName name="_xlnm.Print_Area" localSheetId="2">'Calculo Servicios  (2)'!$A$6:$H$23</definedName>
    <definedName name="_xlnm.Print_Area" localSheetId="0">Gastos!$A$1:$H$52</definedName>
    <definedName name="_xlnm.Print_Area" localSheetId="1">Planilla!$A$1:$R$39</definedName>
    <definedName name="CantOper" localSheetId="2">#REF!</definedName>
    <definedName name="CantOper">#REF!</definedName>
    <definedName name="PaseMateriales" localSheetId="2">#REF!</definedName>
    <definedName name="PaseMateriales">#REF!</definedName>
    <definedName name="PaseMdeO" localSheetId="2">#REF!</definedName>
    <definedName name="PaseMdeO">#REF!</definedName>
    <definedName name="PaseSubcontratos" localSheetId="2">#REF!</definedName>
    <definedName name="PaseSubcontratos">#REF!</definedName>
    <definedName name="Plazo" localSheetId="2">#REF!</definedName>
    <definedName name="Plaz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I19" i="2"/>
  <c r="I22" i="2"/>
  <c r="I18" i="2"/>
  <c r="I27" i="2"/>
  <c r="I15" i="2"/>
  <c r="I13" i="2"/>
  <c r="I21" i="2"/>
  <c r="I17" i="2"/>
  <c r="I16" i="2"/>
  <c r="H15" i="1"/>
  <c r="H22" i="1"/>
  <c r="I29" i="2" l="1"/>
  <c r="I26" i="2"/>
  <c r="I24" i="2" l="1"/>
  <c r="C7" i="2"/>
  <c r="P11" i="2" l="1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I14" i="2"/>
  <c r="I28" i="2"/>
  <c r="I20" i="2"/>
  <c r="P31" i="2" l="1"/>
  <c r="O11" i="2"/>
  <c r="Q12" i="2"/>
  <c r="Q13" i="2"/>
  <c r="Q14" i="2"/>
  <c r="Q15" i="2"/>
  <c r="Q16" i="2"/>
  <c r="Q17" i="2"/>
  <c r="Q18" i="2"/>
  <c r="Q19" i="2"/>
  <c r="Q20" i="2"/>
  <c r="Q21" i="2"/>
  <c r="Q22" i="2"/>
  <c r="Q11" i="2"/>
  <c r="C9" i="4"/>
  <c r="P30" i="2" l="1"/>
  <c r="H26" i="1"/>
  <c r="I11" i="2" l="1"/>
  <c r="I23" i="2" l="1"/>
  <c r="I12" i="2"/>
  <c r="H17" i="1" l="1"/>
  <c r="C10" i="4" l="1"/>
  <c r="D10" i="4" s="1"/>
  <c r="C11" i="4"/>
  <c r="C12" i="4"/>
  <c r="D12" i="4" s="1"/>
  <c r="C13" i="4"/>
  <c r="D13" i="4" s="1"/>
  <c r="C14" i="4"/>
  <c r="D14" i="4" s="1"/>
  <c r="C15" i="4"/>
  <c r="C16" i="4"/>
  <c r="D16" i="4" s="1"/>
  <c r="C17" i="4"/>
  <c r="D17" i="4" s="1"/>
  <c r="C18" i="4"/>
  <c r="D18" i="4" s="1"/>
  <c r="C19" i="4"/>
  <c r="C20" i="4"/>
  <c r="D20" i="4" s="1"/>
  <c r="D11" i="4"/>
  <c r="D15" i="4"/>
  <c r="D19" i="4"/>
  <c r="Q24" i="2" l="1"/>
  <c r="Q31" i="2" s="1"/>
  <c r="Q25" i="2"/>
  <c r="Q26" i="2"/>
  <c r="Q27" i="2"/>
  <c r="Q28" i="2"/>
  <c r="Q29" i="2"/>
  <c r="A3" i="4" l="1"/>
  <c r="C3" i="4"/>
  <c r="E8" i="4"/>
  <c r="E11" i="4" s="1"/>
  <c r="D9" i="4"/>
  <c r="E9" i="4" s="1"/>
  <c r="L9" i="4"/>
  <c r="M9" i="4"/>
  <c r="L10" i="4"/>
  <c r="M10" i="4"/>
  <c r="L11" i="4"/>
  <c r="E12" i="4"/>
  <c r="F12" i="4" s="1"/>
  <c r="E13" i="4"/>
  <c r="F13" i="4" s="1"/>
  <c r="L13" i="4"/>
  <c r="E14" i="4"/>
  <c r="E15" i="4"/>
  <c r="F15" i="4"/>
  <c r="E16" i="4"/>
  <c r="E17" i="4"/>
  <c r="E18" i="4"/>
  <c r="F18" i="4" s="1"/>
  <c r="E19" i="4"/>
  <c r="F19" i="4" s="1"/>
  <c r="E20" i="4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K33" i="4"/>
  <c r="M38" i="4"/>
  <c r="C47" i="4"/>
  <c r="D29" i="2"/>
  <c r="D28" i="2"/>
  <c r="D27" i="2"/>
  <c r="D26" i="2"/>
  <c r="D25" i="2"/>
  <c r="D24" i="2"/>
  <c r="D23" i="2"/>
  <c r="M13" i="4" l="1"/>
  <c r="L15" i="4" s="1"/>
  <c r="D21" i="4"/>
  <c r="A22" i="4" s="1"/>
  <c r="A23" i="4" s="1"/>
  <c r="G9" i="4" s="1"/>
  <c r="E10" i="4"/>
  <c r="F10" i="4" s="1"/>
  <c r="F44" i="4"/>
  <c r="F46" i="4" s="1"/>
  <c r="F45" i="4"/>
  <c r="F47" i="4" s="1"/>
  <c r="F17" i="4"/>
  <c r="F14" i="4"/>
  <c r="F9" i="4"/>
  <c r="F20" i="4"/>
  <c r="F11" i="4"/>
  <c r="F16" i="4"/>
  <c r="G13" i="4" l="1"/>
  <c r="H13" i="4" s="1"/>
  <c r="G19" i="4"/>
  <c r="H19" i="4" s="1"/>
  <c r="G16" i="4"/>
  <c r="H16" i="4" s="1"/>
  <c r="G15" i="4"/>
  <c r="H15" i="4" s="1"/>
  <c r="G20" i="4"/>
  <c r="H20" i="4" s="1"/>
  <c r="G18" i="4"/>
  <c r="H18" i="4" s="1"/>
  <c r="G14" i="4"/>
  <c r="H14" i="4" s="1"/>
  <c r="G17" i="4"/>
  <c r="H17" i="4" s="1"/>
  <c r="H9" i="4"/>
  <c r="G12" i="4"/>
  <c r="H12" i="4" s="1"/>
  <c r="G10" i="4"/>
  <c r="H10" i="4" l="1"/>
  <c r="G11" i="4"/>
  <c r="H11" i="4" s="1"/>
  <c r="H21" i="4" l="1"/>
  <c r="J21" i="4" s="1"/>
  <c r="M30" i="4" l="1"/>
  <c r="A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K18" i="2"/>
  <c r="L19" i="2"/>
  <c r="K20" i="2"/>
  <c r="M20" i="2" s="1"/>
  <c r="K21" i="2"/>
  <c r="M21" i="2" s="1"/>
  <c r="K22" i="2"/>
  <c r="M22" i="2" s="1"/>
  <c r="I25" i="2"/>
  <c r="K25" i="2" s="1"/>
  <c r="M25" i="2" s="1"/>
  <c r="K27" i="2"/>
  <c r="M27" i="2" s="1"/>
  <c r="K28" i="2"/>
  <c r="M28" i="2" s="1"/>
  <c r="K29" i="2"/>
  <c r="M29" i="2" s="1"/>
  <c r="K23" i="2"/>
  <c r="M23" i="2" s="1"/>
  <c r="K24" i="2"/>
  <c r="M24" i="2" s="1"/>
  <c r="K26" i="2"/>
  <c r="K11" i="2"/>
  <c r="M11" i="2" s="1"/>
  <c r="J11" i="2"/>
  <c r="K12" i="2"/>
  <c r="M12" i="2" s="1"/>
  <c r="J12" i="2"/>
  <c r="K13" i="2"/>
  <c r="M13" i="2" s="1"/>
  <c r="J13" i="2"/>
  <c r="K14" i="2"/>
  <c r="M14" i="2" s="1"/>
  <c r="J14" i="2"/>
  <c r="K15" i="2"/>
  <c r="M15" i="2" s="1"/>
  <c r="J15" i="2"/>
  <c r="K16" i="2"/>
  <c r="M16" i="2" s="1"/>
  <c r="J16" i="2"/>
  <c r="K17" i="2"/>
  <c r="J17" i="2"/>
  <c r="J18" i="2"/>
  <c r="J19" i="2"/>
  <c r="J26" i="2"/>
  <c r="J27" i="2"/>
  <c r="J29" i="2"/>
  <c r="G31" i="2"/>
  <c r="H31" i="2"/>
  <c r="M26" i="2" l="1"/>
  <c r="N26" i="2" s="1"/>
  <c r="R26" i="2" s="1"/>
  <c r="M17" i="2"/>
  <c r="N17" i="2" s="1"/>
  <c r="R17" i="2" s="1"/>
  <c r="M18" i="2"/>
  <c r="N18" i="2" s="1"/>
  <c r="R18" i="2" s="1"/>
  <c r="N23" i="2"/>
  <c r="R23" i="2" s="1"/>
  <c r="N21" i="2"/>
  <c r="R21" i="2" s="1"/>
  <c r="N22" i="2"/>
  <c r="R22" i="2" s="1"/>
  <c r="N29" i="2"/>
  <c r="R29" i="2" s="1"/>
  <c r="N28" i="2"/>
  <c r="R28" i="2" s="1"/>
  <c r="N27" i="2"/>
  <c r="R27" i="2" s="1"/>
  <c r="N20" i="2"/>
  <c r="R20" i="2" s="1"/>
  <c r="N25" i="2"/>
  <c r="R25" i="2" s="1"/>
  <c r="N24" i="2"/>
  <c r="R24" i="2" s="1"/>
  <c r="N12" i="2"/>
  <c r="R12" i="2" s="1"/>
  <c r="K19" i="2"/>
  <c r="K31" i="2" s="1"/>
  <c r="N14" i="2"/>
  <c r="R14" i="2" s="1"/>
  <c r="N16" i="2"/>
  <c r="R16" i="2" s="1"/>
  <c r="O31" i="2"/>
  <c r="N13" i="2"/>
  <c r="R13" i="2" s="1"/>
  <c r="N15" i="2"/>
  <c r="R15" i="2" s="1"/>
  <c r="N11" i="2"/>
  <c r="R11" i="2" s="1"/>
  <c r="I31" i="2"/>
  <c r="H49" i="1" s="1"/>
  <c r="M19" i="2" l="1"/>
  <c r="N19" i="2" s="1"/>
  <c r="R19" i="2" s="1"/>
  <c r="R31" i="2" s="1"/>
  <c r="H33" i="1" l="1"/>
  <c r="H40" i="1" l="1"/>
  <c r="H45" i="1" s="1"/>
  <c r="H50" i="1" l="1"/>
  <c r="H43" i="1"/>
  <c r="H5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E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Valor Consumo Factura </t>
        </r>
      </text>
    </comment>
  </commentList>
</comments>
</file>

<file path=xl/sharedStrings.xml><?xml version="1.0" encoding="utf-8"?>
<sst xmlns="http://schemas.openxmlformats.org/spreadsheetml/2006/main" count="200" uniqueCount="168">
  <si>
    <t>Domicilio:</t>
  </si>
  <si>
    <t>Cel.</t>
  </si>
  <si>
    <t>e-mail:</t>
  </si>
  <si>
    <t>LIQUIDACION DE EXPENSAS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</si>
  <si>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</si>
  <si>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</si>
  <si>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</si>
  <si>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</si>
  <si>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</si>
  <si>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</si>
  <si>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</si>
  <si>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</si>
  <si>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</si>
  <si>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</si>
  <si>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</si>
  <si>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TOTAL DE GASTOS ORDINARIOS 1,2,3,4,5,6;</t>
  </si>
  <si>
    <t>TOTAL</t>
  </si>
  <si>
    <t>MP:1148</t>
  </si>
  <si>
    <t xml:space="preserve">  </t>
  </si>
  <si>
    <t>Señores propietarios e inquilinos: la superficie que ocupa la camara de luz y que forma del porcentaje total construido, el gasto se prorratea por cada unidad funcional. Atte. La Administracion.-</t>
  </si>
  <si>
    <t>Total a Pagar</t>
  </si>
  <si>
    <t>Gasto Extraordinario</t>
  </si>
  <si>
    <t>Total con Mora</t>
  </si>
  <si>
    <t>DEUDA Extra</t>
  </si>
  <si>
    <t xml:space="preserve">DEUDA </t>
  </si>
  <si>
    <t>EDESUR</t>
  </si>
  <si>
    <t xml:space="preserve">PAGOS </t>
  </si>
  <si>
    <t>PAGO EXTRA</t>
  </si>
  <si>
    <t xml:space="preserve">% </t>
  </si>
  <si>
    <t>INQUILINOS</t>
  </si>
  <si>
    <t>PROPIETARIOS</t>
  </si>
  <si>
    <t>PISO - DEPTO</t>
  </si>
  <si>
    <t>U.F.</t>
  </si>
  <si>
    <t>Gastos Extraordinarios: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</si>
  <si>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</si>
  <si>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</si>
  <si>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</si>
  <si>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</si>
  <si>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</si>
  <si>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</si>
  <si>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</si>
  <si>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</si>
  <si>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</si>
  <si>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</si>
  <si>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</si>
  <si>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</si>
  <si>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</si>
  <si>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</si>
  <si>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</si>
  <si>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</si>
  <si>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</si>
  <si>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 xml:space="preserve">COCHERA 1 </t>
  </si>
  <si>
    <t xml:space="preserve">COCHERA 2 </t>
  </si>
  <si>
    <t xml:space="preserve">COCHERA 7 </t>
  </si>
  <si>
    <t>COCHERA 8</t>
  </si>
  <si>
    <t>COCHERA 9</t>
  </si>
  <si>
    <t>COCHERA 10</t>
  </si>
  <si>
    <t>ROSALES 624</t>
  </si>
  <si>
    <t>Edesur</t>
  </si>
  <si>
    <t xml:space="preserve">AYSA </t>
  </si>
  <si>
    <t xml:space="preserve">SUELDO </t>
  </si>
  <si>
    <t>3- MANTENIMIENTO DE PARTES COMUNES</t>
  </si>
  <si>
    <t>4- GASTO DE ADMINISTRACION</t>
  </si>
  <si>
    <t>5- SEGURO OBLIGATORIO</t>
  </si>
  <si>
    <t xml:space="preserve">General </t>
  </si>
  <si>
    <t xml:space="preserve">Consumo Depto </t>
  </si>
  <si>
    <t xml:space="preserve">Tasa Municipal </t>
  </si>
  <si>
    <t xml:space="preserve">Contribicion Provincial </t>
  </si>
  <si>
    <t xml:space="preserve">Contribucion Municipal </t>
  </si>
  <si>
    <t>Iva</t>
  </si>
  <si>
    <t xml:space="preserve">Total x unidad </t>
  </si>
  <si>
    <t xml:space="preserve">Fijo </t>
  </si>
  <si>
    <t xml:space="preserve">Variable </t>
  </si>
  <si>
    <t xml:space="preserve">Consumo Mes </t>
  </si>
  <si>
    <t xml:space="preserve">Consumo Actual </t>
  </si>
  <si>
    <t xml:space="preserve">Consumo Anterior </t>
  </si>
  <si>
    <t>Fijo</t>
  </si>
  <si>
    <t xml:space="preserve">Edesur </t>
  </si>
  <si>
    <t>17/08 al 18/10</t>
  </si>
  <si>
    <t xml:space="preserve">Q dias Mes </t>
  </si>
  <si>
    <t xml:space="preserve">Aysa 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</si>
  <si>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</si>
  <si>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</si>
  <si>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</si>
  <si>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</si>
  <si>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</si>
  <si>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</si>
  <si>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</si>
  <si>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</si>
  <si>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</si>
  <si>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</si>
  <si>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</si>
  <si>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</si>
  <si>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COCHERA 1 (4A)</t>
  </si>
  <si>
    <t>COCHERA 2 (6A)</t>
  </si>
  <si>
    <t>COCHERA 3 (5B)</t>
  </si>
  <si>
    <t>COCHERA 4 (4B)</t>
  </si>
  <si>
    <t>COCHERA 5 (3A)</t>
  </si>
  <si>
    <t>COCHERA 6 (3B)</t>
  </si>
  <si>
    <t>COCHERA 7 (6B)</t>
  </si>
  <si>
    <t>Juan Pablo Rodriguez/ Valeria Ruggiero</t>
  </si>
  <si>
    <t>Mendez Juan Carlos</t>
  </si>
  <si>
    <t>Matias Ezequiel Bonfiglio</t>
  </si>
  <si>
    <t>Garcia Milano Maximiliano Gaston</t>
  </si>
  <si>
    <t>Cecilia Mariel Cassettari</t>
  </si>
  <si>
    <t>Estevez Norberto Omar</t>
  </si>
  <si>
    <t>Degl´Innocenti Julieta Antonella</t>
  </si>
  <si>
    <t>Scarlercio Jorge Omar</t>
  </si>
  <si>
    <t>Moro Vanesa Yania / Juan Carlos Moro</t>
  </si>
  <si>
    <t>SALDO  ANTERIOR</t>
  </si>
  <si>
    <t>Maria Elena</t>
  </si>
  <si>
    <t>Facundo</t>
  </si>
  <si>
    <t>TUCUMAN 1061</t>
  </si>
  <si>
    <t xml:space="preserve">tucuman1061rc@gmail.com  </t>
  </si>
  <si>
    <t>Septiembre 2022</t>
  </si>
  <si>
    <t>Agosto  2022</t>
  </si>
  <si>
    <t>Julio  2022</t>
  </si>
  <si>
    <t>Junio  2022</t>
  </si>
  <si>
    <t>Mayo  2022</t>
  </si>
  <si>
    <t>Abril  2022</t>
  </si>
  <si>
    <t>Marzo  2022</t>
  </si>
  <si>
    <t>Febrero 2022</t>
  </si>
  <si>
    <t>Enero 2022</t>
  </si>
  <si>
    <t xml:space="preserve">Arreglo cerradura </t>
  </si>
  <si>
    <t>Diciembre 2021</t>
  </si>
  <si>
    <t>Noviembre 2021</t>
  </si>
  <si>
    <t>Octubre 2021</t>
  </si>
  <si>
    <t>Septiembre 2021</t>
  </si>
  <si>
    <t>Agosto 2021</t>
  </si>
  <si>
    <t>Julio 2021</t>
  </si>
  <si>
    <t>Junio 2021</t>
  </si>
  <si>
    <t>Mayo 2021</t>
  </si>
  <si>
    <t>Abril 2021</t>
  </si>
  <si>
    <t xml:space="preserve">Acumulado </t>
  </si>
  <si>
    <t xml:space="preserve">Concepto </t>
  </si>
  <si>
    <t xml:space="preserve">Utilizado </t>
  </si>
  <si>
    <t xml:space="preserve">Cobrado </t>
  </si>
  <si>
    <t>Mes</t>
  </si>
  <si>
    <t xml:space="preserve">Fondo de Reserva </t>
  </si>
  <si>
    <t>Total Consumo Mes Octubre</t>
  </si>
  <si>
    <t>Tramo 2/2</t>
  </si>
  <si>
    <t>Mora</t>
  </si>
  <si>
    <t>Seguro OBLIGATORIO DE CONSORCIO - POLIZA Nro. 1175840 - Mercantil Andina</t>
  </si>
  <si>
    <t>Sr. Encargado Hernan</t>
  </si>
  <si>
    <t xml:space="preserve">Lema mantenimiento ascensores </t>
  </si>
  <si>
    <t>TOTAL DE GASTOS ORDINARIOS A PRORRATEAR</t>
  </si>
  <si>
    <t>Sofia</t>
  </si>
  <si>
    <t>Yago</t>
  </si>
  <si>
    <t>Lopez Gabriela</t>
  </si>
  <si>
    <t xml:space="preserve">Ingreso pago por expensas </t>
  </si>
  <si>
    <t xml:space="preserve">Egresos gastos del mes </t>
  </si>
  <si>
    <t>Prevision ordinaria</t>
  </si>
  <si>
    <t>SALDO ANTERIOR</t>
  </si>
  <si>
    <t xml:space="preserve">Javier </t>
  </si>
  <si>
    <t>Rodriguez Flavio/Rodriguez Mauro</t>
  </si>
  <si>
    <t>TOTAL DE GASTOS EXTRAORDINARIOS</t>
  </si>
  <si>
    <t xml:space="preserve">Gasto Ordinario - Sin Edesur </t>
  </si>
  <si>
    <t>Gastos Ordinarios sin edesur:</t>
  </si>
  <si>
    <t>EDESUR:</t>
  </si>
  <si>
    <t>Perez Sebastian</t>
  </si>
  <si>
    <t>subidos en juli 2025</t>
  </si>
  <si>
    <t>Luz</t>
  </si>
  <si>
    <t xml:space="preserve">PERIODO: SEPTIEMBRE </t>
  </si>
  <si>
    <t>Poliza Sr. De Luca Carlos Hernan - La holando SEPTIEMBRE</t>
  </si>
  <si>
    <t>Administraciòn SEPTIEMBRE 2025:</t>
  </si>
  <si>
    <t>Digitalizacion acta - Escribania Narosky</t>
  </si>
  <si>
    <t xml:space="preserve">Adelanto Sr. Leo trabajo en medianera </t>
  </si>
  <si>
    <t xml:space="preserve">Banco santander - C DE P TUCUMAN 1061 1063 - Nro. De cuenta : 39-022068/6
CBU: 0720039720000002206868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</si>
</sst>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.0000_-;\-* #,##0.0000_-;_-* &quot;-&quot;??_-;_-@_-"/>
    <numFmt numFmtId="166" formatCode="&quot;$&quot;\ #,##0.00"/>
    <numFmt numFmtId="167" formatCode="_ &quot;$&quot;\ * #,##0.00_ ;_ &quot;$&quot;\ * \-#,##0.00_ ;_ &quot;$&quot;\ * &quot;-&quot;??_ ;_ @_ "/>
    <numFmt numFmtId="168" formatCode="0.0000"/>
    <numFmt numFmtId="169" formatCode="0.0"/>
    <numFmt numFmtId="170" formatCode="0.000"/>
    <numFmt numFmtId="171" formatCode="0.000%"/>
    <numFmt numFmtId="172" formatCode="0.00000"/>
    <numFmt numFmtId="173" formatCode="#,##0.00_ ;[Red]\-#,##0.00\ 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" fontId="24" fillId="0" borderId="0"/>
    <xf numFmtId="9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" fontId="25" fillId="0" borderId="0"/>
  </cellStyleXfs>
  <cellXfs count="24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8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6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44" fontId="7" fillId="5" borderId="10" xfId="1" applyFont="1" applyFill="1" applyBorder="1"/>
    <xf numFmtId="44" fontId="8" fillId="4" borderId="10" xfId="0" applyNumberFormat="1" applyFont="1" applyFill="1" applyBorder="1"/>
    <xf numFmtId="0" fontId="7" fillId="0" borderId="10" xfId="0" applyFont="1" applyBorder="1"/>
    <xf numFmtId="44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8" fontId="9" fillId="2" borderId="6" xfId="0" applyNumberFormat="1" applyFont="1" applyFill="1" applyBorder="1"/>
    <xf numFmtId="44" fontId="11" fillId="5" borderId="3" xfId="1" applyFont="1" applyFill="1" applyBorder="1" applyAlignment="1">
      <alignment horizontal="center" vertical="center"/>
    </xf>
    <xf numFmtId="44" fontId="9" fillId="5" borderId="3" xfId="0" applyNumberFormat="1" applyFont="1" applyFill="1" applyBorder="1" applyAlignment="1">
      <alignment horizontal="center" vertical="center"/>
    </xf>
    <xf numFmtId="44" fontId="9" fillId="2" borderId="6" xfId="1" applyFont="1" applyFill="1" applyBorder="1"/>
    <xf numFmtId="0" fontId="7" fillId="5" borderId="4" xfId="0" applyFont="1" applyFill="1" applyBorder="1"/>
    <xf numFmtId="0" fontId="7" fillId="5" borderId="5" xfId="0" applyFont="1" applyFill="1" applyBorder="1"/>
    <xf numFmtId="8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8" fontId="10" fillId="5" borderId="6" xfId="1" applyNumberFormat="1" applyFont="1" applyFill="1" applyBorder="1" applyAlignment="1">
      <alignment horizontal="right"/>
    </xf>
    <xf numFmtId="0" fontId="7" fillId="0" borderId="12" xfId="0" applyFont="1" applyBorder="1"/>
    <xf numFmtId="44" fontId="0" fillId="0" borderId="0" xfId="0" applyNumberFormat="1"/>
    <xf numFmtId="44" fontId="7" fillId="5" borderId="3" xfId="1" applyFont="1" applyFill="1" applyBorder="1"/>
    <xf numFmtId="0" fontId="8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8" fontId="8" fillId="6" borderId="0" xfId="0" applyNumberFormat="1" applyFont="1" applyFill="1" applyAlignment="1">
      <alignment vertical="center"/>
    </xf>
    <xf numFmtId="8" fontId="10" fillId="5" borderId="3" xfId="1" applyNumberFormat="1" applyFont="1" applyFill="1" applyBorder="1"/>
    <xf numFmtId="0" fontId="7" fillId="5" borderId="11" xfId="0" applyFont="1" applyFill="1" applyBorder="1"/>
    <xf numFmtId="0" fontId="7" fillId="5" borderId="2" xfId="0" applyFont="1" applyFill="1" applyBorder="1"/>
    <xf numFmtId="44" fontId="7" fillId="5" borderId="12" xfId="1" applyFont="1" applyFill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43" fontId="0" fillId="0" borderId="0" xfId="0" applyNumberFormat="1"/>
    <xf numFmtId="164" fontId="0" fillId="0" borderId="0" xfId="1" applyNumberFormat="1" applyFont="1" applyBorder="1"/>
    <xf numFmtId="43" fontId="0" fillId="0" borderId="0" xfId="3" applyFont="1" applyBorder="1"/>
    <xf numFmtId="0" fontId="12" fillId="0" borderId="0" xfId="0" applyFont="1"/>
    <xf numFmtId="44" fontId="13" fillId="3" borderId="16" xfId="0" applyNumberFormat="1" applyFont="1" applyFill="1" applyBorder="1"/>
    <xf numFmtId="164" fontId="14" fillId="3" borderId="16" xfId="0" applyNumberFormat="1" applyFont="1" applyFill="1" applyBorder="1"/>
    <xf numFmtId="164" fontId="13" fillId="3" borderId="16" xfId="1" applyNumberFormat="1" applyFont="1" applyFill="1" applyBorder="1"/>
    <xf numFmtId="164" fontId="15" fillId="3" borderId="16" xfId="1" applyNumberFormat="1" applyFont="1" applyFill="1" applyBorder="1"/>
    <xf numFmtId="0" fontId="16" fillId="3" borderId="16" xfId="0" applyFont="1" applyFill="1" applyBorder="1" applyAlignment="1">
      <alignment horizontal="center"/>
    </xf>
    <xf numFmtId="164" fontId="17" fillId="0" borderId="3" xfId="0" applyNumberFormat="1" applyFont="1" applyBorder="1"/>
    <xf numFmtId="164" fontId="17" fillId="0" borderId="3" xfId="1" applyNumberFormat="1" applyFont="1" applyBorder="1"/>
    <xf numFmtId="164" fontId="17" fillId="0" borderId="18" xfId="1" applyNumberFormat="1" applyFont="1" applyBorder="1"/>
    <xf numFmtId="164" fontId="18" fillId="5" borderId="3" xfId="1" applyNumberFormat="1" applyFont="1" applyFill="1" applyBorder="1"/>
    <xf numFmtId="164" fontId="18" fillId="0" borderId="18" xfId="1" applyNumberFormat="1" applyFont="1" applyBorder="1"/>
    <xf numFmtId="43" fontId="17" fillId="0" borderId="18" xfId="3" applyFont="1" applyBorder="1"/>
    <xf numFmtId="0" fontId="19" fillId="0" borderId="18" xfId="0" applyFont="1" applyBorder="1"/>
    <xf numFmtId="0" fontId="0" fillId="0" borderId="3" xfId="0" applyBorder="1" applyAlignment="1">
      <alignment horizontal="left"/>
    </xf>
    <xf numFmtId="164" fontId="18" fillId="0" borderId="3" xfId="1" applyNumberFormat="1" applyFont="1" applyBorder="1"/>
    <xf numFmtId="0" fontId="0" fillId="0" borderId="3" xfId="0" applyBorder="1" applyAlignment="1">
      <alignment horizontal="center"/>
    </xf>
    <xf numFmtId="44" fontId="17" fillId="0" borderId="18" xfId="1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2" fillId="3" borderId="19" xfId="0" applyFont="1" applyFill="1" applyBorder="1" applyAlignment="1">
      <alignment horizontal="center" vertical="center" wrapText="1"/>
    </xf>
    <xf numFmtId="164" fontId="2" fillId="3" borderId="19" xfId="1" applyNumberFormat="1" applyFont="1" applyFill="1" applyBorder="1" applyAlignment="1">
      <alignment horizontal="center" vertical="center" wrapText="1"/>
    </xf>
    <xf numFmtId="43" fontId="2" fillId="3" borderId="19" xfId="1" applyNumberFormat="1" applyFont="1" applyFill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9" fontId="0" fillId="0" borderId="2" xfId="4" applyFont="1" applyBorder="1"/>
    <xf numFmtId="164" fontId="0" fillId="0" borderId="2" xfId="1" applyNumberFormat="1" applyFont="1" applyBorder="1"/>
    <xf numFmtId="43" fontId="0" fillId="0" borderId="2" xfId="0" applyNumberFormat="1" applyBorder="1"/>
    <xf numFmtId="6" fontId="2" fillId="0" borderId="2" xfId="1" applyNumberFormat="1" applyFont="1" applyBorder="1"/>
    <xf numFmtId="44" fontId="0" fillId="0" borderId="2" xfId="1" applyFont="1" applyBorder="1"/>
    <xf numFmtId="0" fontId="2" fillId="0" borderId="11" xfId="0" applyFont="1" applyBorder="1" applyAlignment="1">
      <alignment horizontal="center"/>
    </xf>
    <xf numFmtId="44" fontId="2" fillId="0" borderId="0" xfId="1" applyFont="1" applyBorder="1"/>
    <xf numFmtId="0" fontId="2" fillId="0" borderId="9" xfId="0" applyFont="1" applyBorder="1" applyAlignment="1">
      <alignment horizontal="left"/>
    </xf>
    <xf numFmtId="44" fontId="2" fillId="0" borderId="0" xfId="1" applyFont="1" applyBorder="1" applyAlignment="1">
      <alignment horizontal="left" vertical="top"/>
    </xf>
    <xf numFmtId="164" fontId="2" fillId="0" borderId="0" xfId="1" applyNumberFormat="1" applyFont="1" applyBorder="1"/>
    <xf numFmtId="164" fontId="2" fillId="5" borderId="0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/>
    </xf>
    <xf numFmtId="0" fontId="21" fillId="0" borderId="19" xfId="0" applyFont="1" applyBorder="1"/>
    <xf numFmtId="0" fontId="21" fillId="0" borderId="3" xfId="0" applyFont="1" applyBorder="1"/>
    <xf numFmtId="0" fontId="21" fillId="5" borderId="3" xfId="0" applyFont="1" applyFill="1" applyBorder="1"/>
    <xf numFmtId="2" fontId="21" fillId="0" borderId="3" xfId="0" applyNumberFormat="1" applyFont="1" applyBorder="1"/>
    <xf numFmtId="165" fontId="6" fillId="3" borderId="16" xfId="3" applyNumberFormat="1" applyFont="1" applyFill="1" applyBorder="1"/>
    <xf numFmtId="2" fontId="22" fillId="0" borderId="9" xfId="0" applyNumberFormat="1" applyFont="1" applyBorder="1" applyAlignment="1">
      <alignment vertical="center"/>
    </xf>
    <xf numFmtId="10" fontId="27" fillId="0" borderId="15" xfId="6" applyNumberFormat="1" applyFont="1" applyBorder="1"/>
    <xf numFmtId="10" fontId="27" fillId="0" borderId="21" xfId="6" applyNumberFormat="1" applyFont="1" applyFill="1" applyBorder="1"/>
    <xf numFmtId="167" fontId="26" fillId="0" borderId="22" xfId="7" applyFont="1" applyFill="1" applyBorder="1"/>
    <xf numFmtId="167" fontId="0" fillId="0" borderId="25" xfId="7" applyFont="1" applyBorder="1"/>
    <xf numFmtId="167" fontId="0" fillId="0" borderId="3" xfId="7" applyFont="1" applyBorder="1"/>
    <xf numFmtId="10" fontId="18" fillId="0" borderId="3" xfId="6" applyNumberFormat="1" applyFont="1" applyBorder="1"/>
    <xf numFmtId="171" fontId="0" fillId="0" borderId="0" xfId="6" applyNumberFormat="1" applyFont="1"/>
    <xf numFmtId="9" fontId="0" fillId="0" borderId="0" xfId="6" applyFont="1"/>
    <xf numFmtId="167" fontId="23" fillId="7" borderId="0" xfId="7" applyFont="1" applyFill="1" applyBorder="1" applyAlignment="1">
      <alignment vertical="center"/>
    </xf>
    <xf numFmtId="167" fontId="17" fillId="0" borderId="3" xfId="7" applyFont="1" applyBorder="1" applyAlignment="1">
      <alignment vertical="center"/>
    </xf>
    <xf numFmtId="164" fontId="17" fillId="0" borderId="18" xfId="0" applyNumberFormat="1" applyFont="1" applyBorder="1"/>
    <xf numFmtId="0" fontId="21" fillId="0" borderId="3" xfId="0" applyFont="1" applyBorder="1" applyAlignment="1">
      <alignment horizontal="centerContinuous"/>
    </xf>
    <xf numFmtId="0" fontId="31" fillId="0" borderId="6" xfId="0" applyFont="1" applyBorder="1" applyAlignment="1">
      <alignment horizontal="left" wrapText="1"/>
    </xf>
    <xf numFmtId="0" fontId="31" fillId="0" borderId="3" xfId="0" applyFont="1" applyBorder="1" applyAlignment="1">
      <alignment horizontal="left" wrapText="1"/>
    </xf>
    <xf numFmtId="0" fontId="31" fillId="0" borderId="3" xfId="0" applyFont="1" applyBorder="1"/>
    <xf numFmtId="1" fontId="25" fillId="0" borderId="0" xfId="8"/>
    <xf numFmtId="167" fontId="0" fillId="0" borderId="22" xfId="7" applyFont="1" applyBorder="1"/>
    <xf numFmtId="1" fontId="25" fillId="0" borderId="23" xfId="8" applyBorder="1"/>
    <xf numFmtId="167" fontId="0" fillId="0" borderId="23" xfId="7" applyFont="1" applyFill="1" applyBorder="1"/>
    <xf numFmtId="49" fontId="25" fillId="0" borderId="24" xfId="8" applyNumberFormat="1" applyBorder="1"/>
    <xf numFmtId="167" fontId="0" fillId="0" borderId="36" xfId="7" applyFont="1" applyBorder="1"/>
    <xf numFmtId="1" fontId="25" fillId="0" borderId="18" xfId="8" applyBorder="1"/>
    <xf numFmtId="167" fontId="0" fillId="0" borderId="18" xfId="7" applyFont="1" applyFill="1" applyBorder="1"/>
    <xf numFmtId="49" fontId="25" fillId="0" borderId="37" xfId="8" applyNumberFormat="1" applyBorder="1"/>
    <xf numFmtId="1" fontId="25" fillId="0" borderId="3" xfId="8" applyBorder="1"/>
    <xf numFmtId="167" fontId="0" fillId="0" borderId="3" xfId="7" applyFont="1" applyFill="1" applyBorder="1"/>
    <xf numFmtId="49" fontId="25" fillId="0" borderId="32" xfId="8" applyNumberFormat="1" applyBorder="1"/>
    <xf numFmtId="2" fontId="25" fillId="0" borderId="0" xfId="8" applyNumberFormat="1"/>
    <xf numFmtId="172" fontId="25" fillId="0" borderId="0" xfId="8" applyNumberFormat="1"/>
    <xf numFmtId="169" fontId="25" fillId="0" borderId="0" xfId="8" applyNumberFormat="1"/>
    <xf numFmtId="1" fontId="26" fillId="0" borderId="25" xfId="8" applyFont="1" applyBorder="1"/>
    <xf numFmtId="1" fontId="26" fillId="0" borderId="3" xfId="8" applyFont="1" applyBorder="1"/>
    <xf numFmtId="1" fontId="26" fillId="0" borderId="32" xfId="8" applyFont="1" applyBorder="1"/>
    <xf numFmtId="1" fontId="25" fillId="0" borderId="0" xfId="8" quotePrefix="1"/>
    <xf numFmtId="1" fontId="26" fillId="0" borderId="13" xfId="8" applyFont="1" applyBorder="1"/>
    <xf numFmtId="166" fontId="25" fillId="0" borderId="0" xfId="8" applyNumberFormat="1"/>
    <xf numFmtId="1" fontId="26" fillId="0" borderId="20" xfId="8" applyFont="1" applyBorder="1"/>
    <xf numFmtId="168" fontId="25" fillId="0" borderId="23" xfId="8" applyNumberFormat="1" applyBorder="1"/>
    <xf numFmtId="1" fontId="18" fillId="0" borderId="23" xfId="8" applyFont="1" applyBorder="1"/>
    <xf numFmtId="1" fontId="26" fillId="0" borderId="23" xfId="8" applyFont="1" applyBorder="1"/>
    <xf numFmtId="1" fontId="28" fillId="0" borderId="24" xfId="8" applyFont="1" applyBorder="1"/>
    <xf numFmtId="1" fontId="18" fillId="0" borderId="3" xfId="8" applyFont="1" applyBorder="1"/>
    <xf numFmtId="1" fontId="29" fillId="0" borderId="26" xfId="8" applyFont="1" applyBorder="1"/>
    <xf numFmtId="170" fontId="25" fillId="0" borderId="0" xfId="8" applyNumberFormat="1"/>
    <xf numFmtId="1" fontId="29" fillId="0" borderId="27" xfId="8" applyFont="1" applyBorder="1"/>
    <xf numFmtId="1" fontId="18" fillId="0" borderId="28" xfId="8" applyFont="1" applyBorder="1"/>
    <xf numFmtId="1" fontId="18" fillId="0" borderId="19" xfId="8" applyFont="1" applyBorder="1"/>
    <xf numFmtId="1" fontId="25" fillId="7" borderId="0" xfId="8" applyFill="1"/>
    <xf numFmtId="1" fontId="18" fillId="0" borderId="0" xfId="8" applyFont="1"/>
    <xf numFmtId="1" fontId="18" fillId="0" borderId="22" xfId="8" applyFont="1" applyBorder="1"/>
    <xf numFmtId="2" fontId="17" fillId="0" borderId="23" xfId="8" applyNumberFormat="1" applyFont="1" applyBorder="1" applyAlignment="1">
      <alignment vertical="center"/>
    </xf>
    <xf numFmtId="2" fontId="17" fillId="0" borderId="24" xfId="8" applyNumberFormat="1" applyFont="1" applyBorder="1" applyAlignment="1">
      <alignment vertical="center"/>
    </xf>
    <xf numFmtId="1" fontId="18" fillId="0" borderId="25" xfId="8" applyFont="1" applyBorder="1"/>
    <xf numFmtId="2" fontId="17" fillId="0" borderId="3" xfId="8" applyNumberFormat="1" applyFont="1" applyBorder="1" applyAlignment="1">
      <alignment vertical="center"/>
    </xf>
    <xf numFmtId="2" fontId="17" fillId="0" borderId="32" xfId="8" applyNumberFormat="1" applyFont="1" applyBorder="1" applyAlignment="1">
      <alignment vertical="center"/>
    </xf>
    <xf numFmtId="1" fontId="18" fillId="0" borderId="3" xfId="8" applyFont="1" applyBorder="1" applyAlignment="1">
      <alignment horizontal="center"/>
    </xf>
    <xf numFmtId="1" fontId="18" fillId="0" borderId="32" xfId="8" applyFont="1" applyBorder="1"/>
    <xf numFmtId="0" fontId="31" fillId="0" borderId="6" xfId="0" applyFont="1" applyBorder="1" applyAlignment="1">
      <alignment horizontal="left" vertical="center" wrapText="1"/>
    </xf>
    <xf numFmtId="0" fontId="0" fillId="7" borderId="3" xfId="0" applyFill="1" applyBorder="1" applyAlignment="1">
      <alignment horizontal="left"/>
    </xf>
    <xf numFmtId="164" fontId="18" fillId="0" borderId="18" xfId="1" applyNumberFormat="1" applyFont="1" applyBorder="1" applyAlignment="1">
      <alignment horizontal="center" wrapText="1"/>
    </xf>
    <xf numFmtId="164" fontId="17" fillId="5" borderId="3" xfId="1" applyNumberFormat="1" applyFont="1" applyFill="1" applyBorder="1"/>
    <xf numFmtId="0" fontId="21" fillId="5" borderId="3" xfId="0" applyFont="1" applyFill="1" applyBorder="1" applyAlignment="1">
      <alignment horizontal="centerContinuous"/>
    </xf>
    <xf numFmtId="0" fontId="0" fillId="5" borderId="3" xfId="0" applyFill="1" applyBorder="1" applyAlignment="1">
      <alignment horizontal="left"/>
    </xf>
    <xf numFmtId="0" fontId="31" fillId="5" borderId="6" xfId="0" applyFont="1" applyFill="1" applyBorder="1" applyAlignment="1">
      <alignment horizontal="left" wrapText="1"/>
    </xf>
    <xf numFmtId="0" fontId="31" fillId="5" borderId="3" xfId="0" applyFont="1" applyFill="1" applyBorder="1"/>
    <xf numFmtId="2" fontId="21" fillId="5" borderId="3" xfId="0" applyNumberFormat="1" applyFont="1" applyFill="1" applyBorder="1"/>
    <xf numFmtId="164" fontId="17" fillId="5" borderId="3" xfId="0" applyNumberFormat="1" applyFont="1" applyFill="1" applyBorder="1"/>
    <xf numFmtId="0" fontId="31" fillId="5" borderId="3" xfId="0" applyFont="1" applyFill="1" applyBorder="1" applyAlignment="1">
      <alignment horizontal="left" wrapText="1"/>
    </xf>
    <xf numFmtId="173" fontId="0" fillId="0" borderId="0" xfId="0" applyNumberFormat="1"/>
    <xf numFmtId="0" fontId="32" fillId="5" borderId="3" xfId="0" applyFont="1" applyFill="1" applyBorder="1" applyAlignment="1">
      <alignment horizontal="centerContinuous"/>
    </xf>
    <xf numFmtId="0" fontId="32" fillId="5" borderId="3" xfId="0" applyFont="1" applyFill="1" applyBorder="1"/>
    <xf numFmtId="0" fontId="33" fillId="5" borderId="6" xfId="0" applyFont="1" applyFill="1" applyBorder="1" applyAlignment="1">
      <alignment horizontal="left" wrapText="1"/>
    </xf>
    <xf numFmtId="0" fontId="33" fillId="5" borderId="3" xfId="0" applyFont="1" applyFill="1" applyBorder="1"/>
    <xf numFmtId="2" fontId="32" fillId="5" borderId="3" xfId="0" applyNumberFormat="1" applyFont="1" applyFill="1" applyBorder="1"/>
    <xf numFmtId="0" fontId="0" fillId="9" borderId="3" xfId="0" applyFill="1" applyBorder="1" applyAlignment="1">
      <alignment horizontal="left"/>
    </xf>
    <xf numFmtId="0" fontId="21" fillId="5" borderId="1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21" fillId="5" borderId="19" xfId="0" applyFont="1" applyFill="1" applyBorder="1"/>
    <xf numFmtId="0" fontId="31" fillId="5" borderId="0" xfId="0" applyFont="1" applyFill="1" applyAlignment="1">
      <alignment horizontal="left" vertical="center" wrapText="1"/>
    </xf>
    <xf numFmtId="2" fontId="21" fillId="5" borderId="19" xfId="0" applyNumberFormat="1" applyFont="1" applyFill="1" applyBorder="1"/>
    <xf numFmtId="164" fontId="18" fillId="5" borderId="3" xfId="0" applyNumberFormat="1" applyFont="1" applyFill="1" applyBorder="1"/>
    <xf numFmtId="164" fontId="0" fillId="0" borderId="0" xfId="0" applyNumberFormat="1"/>
    <xf numFmtId="6" fontId="8" fillId="4" borderId="10" xfId="0" applyNumberFormat="1" applyFont="1" applyFill="1" applyBorder="1"/>
    <xf numFmtId="2" fontId="17" fillId="5" borderId="3" xfId="3" applyNumberFormat="1" applyFont="1" applyFill="1" applyBorder="1" applyAlignment="1">
      <alignment horizontal="right"/>
    </xf>
    <xf numFmtId="0" fontId="34" fillId="0" borderId="0" xfId="0" applyFont="1"/>
    <xf numFmtId="0" fontId="36" fillId="5" borderId="3" xfId="0" applyFont="1" applyFill="1" applyBorder="1" applyAlignment="1">
      <alignment horizontal="centerContinuous"/>
    </xf>
    <xf numFmtId="0" fontId="35" fillId="5" borderId="3" xfId="0" applyFont="1" applyFill="1" applyBorder="1" applyAlignment="1">
      <alignment horizontal="left"/>
    </xf>
    <xf numFmtId="2" fontId="29" fillId="5" borderId="3" xfId="3" applyNumberFormat="1" applyFont="1" applyFill="1" applyBorder="1" applyAlignment="1"/>
    <xf numFmtId="0" fontId="9" fillId="5" borderId="0" xfId="0" applyFont="1" applyFill="1" applyAlignment="1">
      <alignment horizontal="left" vertical="center"/>
    </xf>
    <xf numFmtId="44" fontId="9" fillId="5" borderId="0" xfId="0" applyNumberFormat="1" applyFont="1" applyFill="1" applyAlignment="1">
      <alignment horizontal="center" vertical="center"/>
    </xf>
    <xf numFmtId="6" fontId="7" fillId="5" borderId="10" xfId="0" applyNumberFormat="1" applyFont="1" applyFill="1" applyBorder="1"/>
    <xf numFmtId="44" fontId="8" fillId="4" borderId="10" xfId="1" applyFont="1" applyFill="1" applyBorder="1"/>
    <xf numFmtId="6" fontId="8" fillId="5" borderId="3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20" fillId="3" borderId="7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16" fillId="3" borderId="17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44" fontId="2" fillId="0" borderId="0" xfId="1" applyFont="1" applyBorder="1" applyAlignment="1">
      <alignment horizontal="center" vertical="top"/>
    </xf>
    <xf numFmtId="6" fontId="2" fillId="0" borderId="2" xfId="1" applyNumberFormat="1" applyFont="1" applyBorder="1" applyAlignment="1">
      <alignment horizontal="right"/>
    </xf>
    <xf numFmtId="1" fontId="27" fillId="8" borderId="35" xfId="8" applyFont="1" applyFill="1" applyBorder="1" applyAlignment="1">
      <alignment horizontal="center" wrapText="1"/>
    </xf>
    <xf numFmtId="1" fontId="27" fillId="8" borderId="34" xfId="8" applyFont="1" applyFill="1" applyBorder="1" applyAlignment="1">
      <alignment horizontal="center" wrapText="1"/>
    </xf>
    <xf numFmtId="1" fontId="27" fillId="8" borderId="33" xfId="8" applyFont="1" applyFill="1" applyBorder="1" applyAlignment="1">
      <alignment horizontal="center" wrapText="1"/>
    </xf>
    <xf numFmtId="1" fontId="27" fillId="8" borderId="31" xfId="8" applyFont="1" applyFill="1" applyBorder="1" applyAlignment="1">
      <alignment horizontal="center"/>
    </xf>
    <xf numFmtId="1" fontId="27" fillId="8" borderId="30" xfId="8" applyFont="1" applyFill="1" applyBorder="1" applyAlignment="1">
      <alignment horizontal="center"/>
    </xf>
    <xf numFmtId="1" fontId="27" fillId="8" borderId="29" xfId="8" applyFont="1" applyFill="1" applyBorder="1" applyAlignment="1">
      <alignment horizontal="center"/>
    </xf>
    <xf numFmtId="1" fontId="26" fillId="8" borderId="31" xfId="8" applyFont="1" applyFill="1" applyBorder="1" applyAlignment="1">
      <alignment horizontal="center"/>
    </xf>
    <xf numFmtId="1" fontId="26" fillId="8" borderId="30" xfId="8" applyFont="1" applyFill="1" applyBorder="1" applyAlignment="1">
      <alignment horizontal="center"/>
    </xf>
    <xf numFmtId="1" fontId="26" fillId="8" borderId="29" xfId="8" applyFont="1" applyFill="1" applyBorder="1" applyAlignment="1">
      <alignment horizontal="center"/>
    </xf>
  </cellXfs>
  <cellStyles count="9">
    <cellStyle name="Hipervínculo" xfId="2" builtinId="8"/>
    <cellStyle name="Millares" xfId="3" builtinId="3"/>
    <cellStyle name="Moneda" xfId="1" builtinId="4"/>
    <cellStyle name="Moneda 2" xfId="7" xr:uid="{00000000-0005-0000-0000-000003000000}"/>
    <cellStyle name="Normal" xfId="0" builtinId="0"/>
    <cellStyle name="Normal 2" xfId="5" xr:uid="{00000000-0005-0000-0000-000005000000}"/>
    <cellStyle name="Normal 3" xfId="8" xr:uid="{00000000-0005-0000-0000-000006000000}"/>
    <cellStyle name="Porcentaje" xfId="4" builtinId="5"/>
    <cellStyle name="Porcentaje 2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168275</xdr:rowOff>
    </xdr:from>
    <xdr:to>
      <xdr:col>2</xdr:col>
      <xdr:colOff>733425</xdr:colOff>
      <xdr:row>6</xdr:row>
      <xdr:rowOff>177800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8275"/>
          <a:ext cx="2325158" cy="1127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62513</xdr:colOff>
      <xdr:row>1</xdr:row>
      <xdr:rowOff>114300</xdr:rowOff>
    </xdr:from>
    <xdr:to>
      <xdr:col>12</xdr:col>
      <xdr:colOff>676215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8188" y="44767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90" zoomScaleNormal="90" workbookViewId="0">
      <selection activeCell="D8" sqref="D8"/>
    </sheetView>
  </sheetViews>
  <sheetFormatPr baseColWidth="10" defaultRowHeight="14.4" x14ac:dyDescent="0.3"/>
  <cols>
    <col min="3" max="3" width="11.88671875" bestFit="1" customWidth="1"/>
    <col min="8" max="8" width="19.5546875" bestFit="1" customWidth="1"/>
    <col min="9" max="10" width="13.88671875" bestFit="1" customWidth="1"/>
  </cols>
  <sheetData>
    <row r="1" spans="1:10" x14ac:dyDescent="0.3">
      <c r="A1" s="3"/>
      <c r="B1" s="1"/>
      <c r="C1" s="1"/>
      <c r="D1" s="13" t="s">
        <v>0</v>
      </c>
      <c r="E1" t="s">
        <v>112</v>
      </c>
      <c r="G1" s="1"/>
      <c r="H1" s="4"/>
    </row>
    <row r="2" spans="1:10" x14ac:dyDescent="0.3">
      <c r="A2" s="5"/>
      <c r="D2" s="13" t="s">
        <v>1</v>
      </c>
      <c r="E2" s="192">
        <v>1153202676</v>
      </c>
      <c r="F2" s="192"/>
      <c r="H2" s="6"/>
    </row>
    <row r="3" spans="1:10" x14ac:dyDescent="0.3">
      <c r="A3" s="5"/>
      <c r="D3" s="13" t="s">
        <v>2</v>
      </c>
      <c r="E3" s="17" t="s">
        <v>113</v>
      </c>
      <c r="H3" s="6"/>
    </row>
    <row r="4" spans="1:10" x14ac:dyDescent="0.3">
      <c r="A4" s="5"/>
      <c r="D4" t="s">
        <v>17</v>
      </c>
      <c r="H4" s="6"/>
      <c r="J4" s="191"/>
    </row>
    <row r="5" spans="1:10" x14ac:dyDescent="0.3">
      <c r="A5" s="5"/>
      <c r="D5" s="193" t="s">
        <v>167</v>
      </c>
      <c r="E5" s="193"/>
      <c r="F5" s="193"/>
      <c r="G5" s="193"/>
      <c r="H5" s="194"/>
    </row>
    <row r="6" spans="1:10" x14ac:dyDescent="0.3">
      <c r="A6" s="5"/>
      <c r="D6" s="193"/>
      <c r="E6" s="193"/>
      <c r="F6" s="193"/>
      <c r="G6" s="193"/>
      <c r="H6" s="194"/>
    </row>
    <row r="7" spans="1:10" ht="22.8" customHeight="1" x14ac:dyDescent="0.3">
      <c r="A7" s="5"/>
      <c r="D7" s="193"/>
      <c r="E7" s="193"/>
      <c r="F7" s="193"/>
      <c r="G7" s="193"/>
      <c r="H7" s="194"/>
    </row>
    <row r="8" spans="1:10" ht="18" x14ac:dyDescent="0.35">
      <c r="A8" s="9" t="s">
        <v>3</v>
      </c>
      <c r="B8" s="10"/>
      <c r="C8" s="10"/>
      <c r="D8" s="10"/>
      <c r="E8" s="10" t="s">
        <v>162</v>
      </c>
      <c r="F8" s="10"/>
      <c r="G8" s="11"/>
      <c r="H8" s="12"/>
    </row>
    <row r="9" spans="1:10" x14ac:dyDescent="0.3">
      <c r="A9" s="3"/>
      <c r="B9" s="1"/>
      <c r="C9" s="1"/>
      <c r="D9" s="1"/>
      <c r="E9" s="1"/>
      <c r="F9" s="1"/>
      <c r="G9" s="1"/>
      <c r="H9" s="4"/>
    </row>
    <row r="10" spans="1:10" hidden="1" x14ac:dyDescent="0.3">
      <c r="A10" s="5"/>
      <c r="H10" s="6"/>
    </row>
    <row r="11" spans="1:10" hidden="1" x14ac:dyDescent="0.3">
      <c r="A11" s="5" t="s">
        <v>4</v>
      </c>
      <c r="B11" t="s">
        <v>57</v>
      </c>
      <c r="H11" s="6"/>
    </row>
    <row r="12" spans="1:10" x14ac:dyDescent="0.3">
      <c r="A12" s="7"/>
      <c r="B12" s="2"/>
      <c r="C12" s="2"/>
      <c r="D12" s="2"/>
      <c r="E12" s="2"/>
      <c r="F12" s="2"/>
      <c r="G12" s="2"/>
      <c r="H12" s="8"/>
    </row>
    <row r="13" spans="1:10" x14ac:dyDescent="0.3">
      <c r="A13" s="206" t="s">
        <v>11</v>
      </c>
      <c r="B13" s="206"/>
      <c r="C13" s="206"/>
      <c r="D13" s="206"/>
      <c r="E13" s="206"/>
      <c r="F13" s="206"/>
      <c r="G13" s="206"/>
      <c r="H13" s="206"/>
    </row>
    <row r="14" spans="1:10" x14ac:dyDescent="0.3">
      <c r="A14" s="18"/>
      <c r="B14" s="19"/>
      <c r="C14" s="19"/>
      <c r="D14" s="19"/>
      <c r="E14" s="19"/>
      <c r="F14" s="19"/>
      <c r="G14" s="19"/>
      <c r="H14" s="20"/>
    </row>
    <row r="15" spans="1:10" x14ac:dyDescent="0.3">
      <c r="A15" s="18" t="s">
        <v>60</v>
      </c>
      <c r="B15" s="19" t="s">
        <v>143</v>
      </c>
      <c r="C15" s="19"/>
      <c r="D15" s="19"/>
      <c r="E15" s="19"/>
      <c r="F15" s="19"/>
      <c r="G15" s="19"/>
      <c r="H15" s="188">
        <f>392270+392270*2%</f>
        <v>400115.4</v>
      </c>
    </row>
    <row r="16" spans="1:10" x14ac:dyDescent="0.3">
      <c r="A16" s="97" t="s">
        <v>163</v>
      </c>
      <c r="B16" s="19"/>
      <c r="C16" s="19"/>
      <c r="D16" s="19"/>
      <c r="E16" s="19"/>
      <c r="F16" s="19"/>
      <c r="G16" s="19"/>
      <c r="H16" s="188">
        <v>4030.28</v>
      </c>
    </row>
    <row r="17" spans="1:14" x14ac:dyDescent="0.3">
      <c r="A17" s="21" t="s">
        <v>5</v>
      </c>
      <c r="B17" s="22"/>
      <c r="C17" s="22"/>
      <c r="D17" s="22"/>
      <c r="E17" s="22"/>
      <c r="F17" s="22"/>
      <c r="G17" s="22"/>
      <c r="H17" s="180">
        <f>SUM(H14:H16)</f>
        <v>404145.68000000005</v>
      </c>
    </row>
    <row r="18" spans="1:14" ht="0.75" customHeight="1" x14ac:dyDescent="0.3">
      <c r="A18" s="23"/>
      <c r="B18" s="24"/>
      <c r="C18" s="24"/>
      <c r="D18" s="24"/>
      <c r="E18" s="24"/>
      <c r="F18" s="24"/>
      <c r="G18" s="24"/>
      <c r="H18" s="42"/>
    </row>
    <row r="19" spans="1:14" x14ac:dyDescent="0.3">
      <c r="A19" s="207" t="s">
        <v>6</v>
      </c>
      <c r="B19" s="208"/>
      <c r="C19" s="208"/>
      <c r="D19" s="208"/>
      <c r="E19" s="208"/>
      <c r="F19" s="208"/>
      <c r="G19" s="208"/>
      <c r="H19" s="209"/>
    </row>
    <row r="20" spans="1:14" x14ac:dyDescent="0.3">
      <c r="A20" s="18" t="s">
        <v>59</v>
      </c>
      <c r="B20" s="19"/>
      <c r="C20" s="25"/>
      <c r="D20" s="19"/>
      <c r="E20" s="19"/>
      <c r="F20" s="19"/>
      <c r="G20" s="19"/>
      <c r="H20" s="26">
        <v>364854.17</v>
      </c>
    </row>
    <row r="21" spans="1:14" x14ac:dyDescent="0.3">
      <c r="A21" s="18" t="s">
        <v>58</v>
      </c>
      <c r="B21" s="19"/>
      <c r="C21" s="25"/>
      <c r="D21" s="19"/>
      <c r="E21" s="19"/>
      <c r="F21" s="19"/>
      <c r="G21" s="19"/>
      <c r="H21" s="26">
        <v>533528.86</v>
      </c>
    </row>
    <row r="22" spans="1:14" x14ac:dyDescent="0.3">
      <c r="A22" s="21" t="s">
        <v>7</v>
      </c>
      <c r="B22" s="22"/>
      <c r="C22" s="22"/>
      <c r="D22" s="22"/>
      <c r="E22" s="22"/>
      <c r="F22" s="22"/>
      <c r="G22" s="22"/>
      <c r="H22" s="27">
        <f>SUM(H20:H21)</f>
        <v>898383.03</v>
      </c>
    </row>
    <row r="23" spans="1:14" x14ac:dyDescent="0.3">
      <c r="A23" s="210" t="s">
        <v>61</v>
      </c>
      <c r="B23" s="210"/>
      <c r="C23" s="210"/>
      <c r="D23" s="210"/>
      <c r="E23" s="210"/>
      <c r="F23" s="210"/>
      <c r="G23" s="210"/>
      <c r="H23" s="210"/>
      <c r="J23" s="26"/>
    </row>
    <row r="24" spans="1:14" x14ac:dyDescent="0.3">
      <c r="A24" s="97" t="s">
        <v>142</v>
      </c>
      <c r="B24" s="19"/>
      <c r="C24" s="25"/>
      <c r="D24" s="19"/>
      <c r="E24" s="19"/>
      <c r="F24" s="19"/>
      <c r="G24" s="19"/>
      <c r="H24" s="26">
        <v>46638</v>
      </c>
      <c r="I24" s="14"/>
      <c r="J24" s="14"/>
    </row>
    <row r="25" spans="1:14" ht="17.25" customHeight="1" x14ac:dyDescent="0.3">
      <c r="A25" s="97" t="s">
        <v>144</v>
      </c>
      <c r="B25" s="19"/>
      <c r="C25" s="19"/>
      <c r="D25" s="19"/>
      <c r="E25" s="19"/>
      <c r="F25" s="19"/>
      <c r="G25" s="19"/>
      <c r="H25" s="26">
        <v>75000</v>
      </c>
    </row>
    <row r="26" spans="1:14" x14ac:dyDescent="0.3">
      <c r="A26" s="21" t="s">
        <v>8</v>
      </c>
      <c r="B26" s="22"/>
      <c r="C26" s="22"/>
      <c r="D26" s="22"/>
      <c r="E26" s="22"/>
      <c r="F26" s="22"/>
      <c r="G26" s="22"/>
      <c r="H26" s="27">
        <f>SUM(H24:H25)</f>
        <v>121638</v>
      </c>
    </row>
    <row r="27" spans="1:14" x14ac:dyDescent="0.3">
      <c r="A27" s="207" t="s">
        <v>62</v>
      </c>
      <c r="B27" s="208"/>
      <c r="C27" s="208"/>
      <c r="D27" s="208"/>
      <c r="E27" s="208"/>
      <c r="F27" s="208"/>
      <c r="G27" s="208"/>
      <c r="H27" s="209"/>
    </row>
    <row r="28" spans="1:14" x14ac:dyDescent="0.3">
      <c r="A28" s="18" t="s">
        <v>9</v>
      </c>
      <c r="B28" s="19"/>
      <c r="C28" s="19" t="s">
        <v>10</v>
      </c>
      <c r="D28" s="19"/>
      <c r="E28" s="19"/>
      <c r="F28" s="19"/>
      <c r="G28" s="19"/>
      <c r="H28" s="28"/>
      <c r="I28" s="43"/>
    </row>
    <row r="29" spans="1:14" x14ac:dyDescent="0.3">
      <c r="A29" s="21" t="s">
        <v>164</v>
      </c>
      <c r="B29" s="22"/>
      <c r="C29" s="22"/>
      <c r="D29" s="22"/>
      <c r="E29" s="22"/>
      <c r="F29" s="22"/>
      <c r="G29" s="22"/>
      <c r="H29" s="189">
        <v>66600</v>
      </c>
      <c r="I29" s="43"/>
      <c r="N29" t="s">
        <v>160</v>
      </c>
    </row>
    <row r="30" spans="1:14" ht="0.75" customHeight="1" x14ac:dyDescent="0.3">
      <c r="A30" s="18"/>
      <c r="B30" s="19"/>
      <c r="C30" s="19"/>
      <c r="D30" s="19"/>
      <c r="E30" s="19"/>
      <c r="F30" s="19"/>
      <c r="G30" s="19"/>
      <c r="H30" s="29"/>
    </row>
    <row r="31" spans="1:14" x14ac:dyDescent="0.3">
      <c r="A31" s="207" t="s">
        <v>63</v>
      </c>
      <c r="B31" s="208"/>
      <c r="C31" s="208"/>
      <c r="D31" s="208"/>
      <c r="E31" s="208"/>
      <c r="F31" s="208"/>
      <c r="G31" s="208"/>
      <c r="H31" s="209"/>
    </row>
    <row r="32" spans="1:14" x14ac:dyDescent="0.3">
      <c r="A32" s="49"/>
      <c r="B32" s="50"/>
      <c r="C32" s="50"/>
      <c r="D32" s="50"/>
      <c r="E32" s="50"/>
      <c r="F32" s="50"/>
      <c r="G32" s="50"/>
      <c r="H32" s="51"/>
      <c r="J32" s="15"/>
    </row>
    <row r="33" spans="1:11" s="16" customFormat="1" ht="15.6" x14ac:dyDescent="0.3">
      <c r="A33" s="30" t="s">
        <v>15</v>
      </c>
      <c r="B33" s="31"/>
      <c r="C33" s="31"/>
      <c r="D33" s="31"/>
      <c r="E33" s="31"/>
      <c r="F33" s="31"/>
      <c r="G33" s="31"/>
      <c r="H33" s="32">
        <f>H17+H22+H26+H29+H32</f>
        <v>1490766.71</v>
      </c>
    </row>
    <row r="34" spans="1:11" s="14" customFormat="1" ht="18" x14ac:dyDescent="0.3">
      <c r="A34" s="45" t="s">
        <v>151</v>
      </c>
      <c r="B34" s="46"/>
      <c r="C34" s="46"/>
      <c r="D34" s="46"/>
      <c r="E34" s="46"/>
      <c r="F34" s="46"/>
      <c r="G34" s="46"/>
      <c r="H34" s="47"/>
    </row>
    <row r="35" spans="1:11" ht="15" customHeight="1" x14ac:dyDescent="0.3">
      <c r="A35" s="197" t="s">
        <v>12</v>
      </c>
      <c r="B35" s="198"/>
      <c r="C35" s="198"/>
      <c r="D35" s="198"/>
      <c r="E35" s="198"/>
      <c r="F35" s="198"/>
      <c r="G35" s="198"/>
      <c r="H35" s="199"/>
      <c r="I35" s="166"/>
      <c r="K35" s="166"/>
    </row>
    <row r="36" spans="1:11" ht="18" customHeight="1" x14ac:dyDescent="0.3">
      <c r="A36" s="200"/>
      <c r="B36" s="201"/>
      <c r="C36" s="201"/>
      <c r="D36" s="201"/>
      <c r="E36" s="201"/>
      <c r="F36" s="201"/>
      <c r="G36" s="201"/>
      <c r="H36" s="202"/>
    </row>
    <row r="37" spans="1:11" ht="16.5" customHeight="1" x14ac:dyDescent="0.3">
      <c r="A37" s="211" t="s">
        <v>165</v>
      </c>
      <c r="B37" s="212"/>
      <c r="C37" s="212"/>
      <c r="D37" s="212"/>
      <c r="E37" s="212"/>
      <c r="F37" s="212"/>
      <c r="G37" s="213"/>
      <c r="H37" s="190">
        <v>45500</v>
      </c>
    </row>
    <row r="38" spans="1:11" ht="16.5" customHeight="1" x14ac:dyDescent="0.3">
      <c r="A38" s="211" t="s">
        <v>166</v>
      </c>
      <c r="B38" s="212"/>
      <c r="C38" s="212"/>
      <c r="D38" s="212"/>
      <c r="E38" s="212"/>
      <c r="F38" s="212"/>
      <c r="G38" s="213"/>
      <c r="H38" s="190">
        <v>400000</v>
      </c>
    </row>
    <row r="39" spans="1:11" ht="15.75" customHeight="1" x14ac:dyDescent="0.3">
      <c r="A39" s="214"/>
      <c r="B39" s="215"/>
      <c r="C39" s="215"/>
      <c r="D39" s="215"/>
      <c r="E39" s="215"/>
      <c r="F39" s="215"/>
      <c r="G39" s="216"/>
      <c r="H39" s="33"/>
    </row>
    <row r="40" spans="1:11" s="14" customFormat="1" ht="14.25" customHeight="1" x14ac:dyDescent="0.3">
      <c r="A40" s="217" t="s">
        <v>16</v>
      </c>
      <c r="B40" s="218"/>
      <c r="C40" s="218"/>
      <c r="D40" s="218"/>
      <c r="E40" s="218"/>
      <c r="F40" s="218"/>
      <c r="G40" s="219"/>
      <c r="H40" s="34">
        <f>SUM(H37:H39)</f>
        <v>445500</v>
      </c>
    </row>
    <row r="41" spans="1:11" s="14" customFormat="1" ht="14.25" customHeight="1" x14ac:dyDescent="0.3">
      <c r="A41" s="186"/>
      <c r="B41" s="186"/>
      <c r="C41" s="186"/>
      <c r="D41" s="186"/>
      <c r="E41" s="186"/>
      <c r="F41" s="186"/>
      <c r="G41" s="186"/>
      <c r="H41" s="187"/>
    </row>
    <row r="42" spans="1:11" ht="15" customHeight="1" x14ac:dyDescent="0.3">
      <c r="H42" s="19"/>
      <c r="J42" s="15"/>
    </row>
    <row r="43" spans="1:11" ht="54.75" customHeight="1" x14ac:dyDescent="0.3">
      <c r="A43" s="195" t="s">
        <v>145</v>
      </c>
      <c r="B43" s="195"/>
      <c r="C43" s="195"/>
      <c r="D43" s="195"/>
      <c r="E43" s="195"/>
      <c r="F43" s="195"/>
      <c r="G43" s="195"/>
      <c r="H43" s="32">
        <f>+H33+H34</f>
        <v>1490766.71</v>
      </c>
      <c r="J43" s="166"/>
    </row>
    <row r="44" spans="1:11" x14ac:dyDescent="0.3">
      <c r="A44" s="19"/>
      <c r="B44" s="19"/>
      <c r="C44" s="19"/>
      <c r="D44" s="19"/>
      <c r="E44" s="19"/>
      <c r="F44" s="19"/>
      <c r="G44" s="19"/>
      <c r="H44" s="19"/>
    </row>
    <row r="45" spans="1:11" ht="15.6" x14ac:dyDescent="0.3">
      <c r="A45" s="30" t="s">
        <v>155</v>
      </c>
      <c r="B45" s="31"/>
      <c r="C45" s="31"/>
      <c r="D45" s="31"/>
      <c r="E45" s="31"/>
      <c r="F45" s="31"/>
      <c r="G45" s="31"/>
      <c r="H45" s="35">
        <f>H40</f>
        <v>445500</v>
      </c>
    </row>
    <row r="46" spans="1:11" x14ac:dyDescent="0.3">
      <c r="A46" s="19"/>
      <c r="B46" s="19"/>
      <c r="C46" s="19"/>
      <c r="D46" s="19"/>
      <c r="E46" s="19"/>
      <c r="F46" s="19"/>
      <c r="G46" s="19"/>
      <c r="H46" s="19"/>
    </row>
    <row r="47" spans="1:11" ht="18" hidden="1" x14ac:dyDescent="0.35">
      <c r="A47" s="203" t="s">
        <v>13</v>
      </c>
      <c r="B47" s="204"/>
      <c r="C47" s="204"/>
      <c r="D47" s="204"/>
      <c r="E47" s="204"/>
      <c r="F47" s="204"/>
      <c r="G47" s="204"/>
      <c r="H47" s="205"/>
    </row>
    <row r="48" spans="1:11" ht="39" customHeight="1" x14ac:dyDescent="0.35">
      <c r="A48" s="196" t="s">
        <v>152</v>
      </c>
      <c r="B48" s="196"/>
      <c r="C48" s="196"/>
      <c r="D48" s="196"/>
      <c r="E48" s="196"/>
      <c r="F48" s="196"/>
      <c r="G48" s="196"/>
      <c r="H48" s="41">
        <v>2237684.7725573108</v>
      </c>
    </row>
    <row r="49" spans="1:10" x14ac:dyDescent="0.3">
      <c r="A49" s="36" t="s">
        <v>149</v>
      </c>
      <c r="B49" s="37"/>
      <c r="C49" s="37"/>
      <c r="D49" s="37"/>
      <c r="E49" s="37"/>
      <c r="F49" s="37"/>
      <c r="G49" s="37"/>
      <c r="H49" s="44">
        <f>Planilla!I31</f>
        <v>1986523.3583134203</v>
      </c>
    </row>
    <row r="50" spans="1:10" x14ac:dyDescent="0.3">
      <c r="A50" s="36" t="s">
        <v>150</v>
      </c>
      <c r="B50" s="37"/>
      <c r="C50" s="37"/>
      <c r="D50" s="37"/>
      <c r="E50" s="37"/>
      <c r="F50" s="37"/>
      <c r="G50" s="37"/>
      <c r="H50" s="38">
        <f>-(H33+H40)</f>
        <v>-1936266.71</v>
      </c>
      <c r="J50" s="15"/>
    </row>
    <row r="51" spans="1:10" ht="18" x14ac:dyDescent="0.35">
      <c r="A51" s="39" t="s">
        <v>14</v>
      </c>
      <c r="B51" s="40"/>
      <c r="C51" s="40"/>
      <c r="D51" s="40"/>
      <c r="E51" s="40"/>
      <c r="F51" s="40"/>
      <c r="G51" s="40"/>
      <c r="H51" s="48">
        <f>SUM(H48:H50)</f>
        <v>2287941.4208707316</v>
      </c>
    </row>
  </sheetData>
  <mergeCells count="15">
    <mergeCell ref="E2:F2"/>
    <mergeCell ref="D5:H7"/>
    <mergeCell ref="A43:G43"/>
    <mergeCell ref="A48:G48"/>
    <mergeCell ref="A35:H36"/>
    <mergeCell ref="A47:H47"/>
    <mergeCell ref="A13:H13"/>
    <mergeCell ref="A19:H19"/>
    <mergeCell ref="A23:H23"/>
    <mergeCell ref="A27:H27"/>
    <mergeCell ref="A31:H31"/>
    <mergeCell ref="A37:G37"/>
    <mergeCell ref="A39:G39"/>
    <mergeCell ref="A40:G40"/>
    <mergeCell ref="A38:G3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8"/>
  <sheetViews>
    <sheetView topLeftCell="A4" zoomScaleNormal="100" workbookViewId="0">
      <selection activeCell="I11" sqref="I11:I29"/>
    </sheetView>
  </sheetViews>
  <sheetFormatPr baseColWidth="10" defaultRowHeight="14.4" x14ac:dyDescent="0.3"/>
  <cols>
    <col min="1" max="1" width="5.44140625" style="52" customWidth="1"/>
    <col min="2" max="2" width="11.33203125" hidden="1" customWidth="1"/>
    <col min="3" max="3" width="12.109375" customWidth="1"/>
    <col min="4" max="4" width="22.109375" customWidth="1"/>
    <col min="5" max="5" width="12.33203125" customWidth="1"/>
    <col min="6" max="6" width="6.33203125" style="54" customWidth="1"/>
    <col min="7" max="7" width="11.5546875" style="53" customWidth="1"/>
    <col min="8" max="8" width="7.5546875" style="53" hidden="1" customWidth="1"/>
    <col min="9" max="9" width="9.88671875" style="53" customWidth="1"/>
    <col min="10" max="10" width="0.109375" style="53" customWidth="1"/>
    <col min="11" max="11" width="11.109375" style="53" customWidth="1"/>
    <col min="12" max="12" width="0.109375" style="53" customWidth="1"/>
    <col min="13" max="13" width="10.33203125" customWidth="1"/>
    <col min="14" max="14" width="12.88671875" customWidth="1"/>
    <col min="15" max="15" width="12.109375" customWidth="1"/>
    <col min="16" max="16" width="13.5546875" bestFit="1" customWidth="1"/>
    <col min="17" max="17" width="9" bestFit="1" customWidth="1"/>
    <col min="18" max="18" width="12.109375" customWidth="1"/>
    <col min="19" max="19" width="12" bestFit="1" customWidth="1"/>
  </cols>
  <sheetData>
    <row r="1" spans="1:21" ht="26.25" customHeight="1" x14ac:dyDescent="0.3">
      <c r="A1" s="222" t="str">
        <f>Gastos!E8</f>
        <v xml:space="preserve">PERIODO: SEPTIEMBRE 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4"/>
    </row>
    <row r="2" spans="1:21" x14ac:dyDescent="0.3">
      <c r="A2" s="91"/>
      <c r="C2" s="182">
        <v>1490766.71</v>
      </c>
      <c r="G2" s="55"/>
      <c r="H2" s="55"/>
      <c r="I2" s="55"/>
      <c r="J2" s="55"/>
      <c r="K2" s="55"/>
      <c r="L2" s="13"/>
      <c r="R2" s="6"/>
    </row>
    <row r="3" spans="1:21" x14ac:dyDescent="0.3">
      <c r="A3" s="87"/>
      <c r="D3" s="182">
        <v>533528.66</v>
      </c>
      <c r="G3" s="55"/>
      <c r="H3" s="55"/>
      <c r="I3" s="55"/>
      <c r="J3" s="55"/>
      <c r="L3" s="89"/>
      <c r="R3" s="6"/>
    </row>
    <row r="4" spans="1:21" x14ac:dyDescent="0.3">
      <c r="A4" s="87"/>
      <c r="C4" s="13" t="s">
        <v>158</v>
      </c>
      <c r="D4" s="13"/>
      <c r="G4" s="55"/>
      <c r="H4" s="55"/>
      <c r="I4" s="55"/>
      <c r="J4" s="55"/>
      <c r="L4" s="89"/>
      <c r="M4" s="192"/>
      <c r="N4" s="192"/>
      <c r="O4" s="192"/>
      <c r="P4" s="192"/>
      <c r="Q4" s="192"/>
      <c r="R4" s="221"/>
    </row>
    <row r="5" spans="1:21" x14ac:dyDescent="0.3">
      <c r="A5" s="87"/>
      <c r="B5" s="90"/>
      <c r="C5" s="230">
        <f>D3</f>
        <v>533528.66</v>
      </c>
      <c r="D5" s="230"/>
      <c r="E5" s="13"/>
      <c r="G5" s="55"/>
      <c r="H5" s="55"/>
      <c r="I5" s="55"/>
      <c r="J5" s="55"/>
      <c r="L5" s="89"/>
      <c r="M5" s="17"/>
      <c r="R5" s="6"/>
    </row>
    <row r="6" spans="1:21" x14ac:dyDescent="0.3">
      <c r="A6" s="87"/>
      <c r="C6" s="13" t="s">
        <v>157</v>
      </c>
      <c r="D6" s="13"/>
      <c r="E6" s="13"/>
      <c r="G6" s="55"/>
      <c r="H6" s="55"/>
      <c r="I6" s="55"/>
      <c r="J6" s="55"/>
      <c r="K6" s="55"/>
      <c r="L6" s="55"/>
      <c r="R6" s="6"/>
    </row>
    <row r="7" spans="1:21" x14ac:dyDescent="0.3">
      <c r="A7" s="87"/>
      <c r="B7" s="86"/>
      <c r="C7" s="230">
        <f>C2-D3</f>
        <v>957238.04999999993</v>
      </c>
      <c r="D7" s="230"/>
      <c r="E7" s="88"/>
      <c r="G7" s="55"/>
      <c r="H7" s="55"/>
      <c r="I7" s="55"/>
      <c r="J7" s="55"/>
      <c r="K7" s="55"/>
      <c r="L7" s="55"/>
      <c r="R7" s="6"/>
    </row>
    <row r="8" spans="1:21" x14ac:dyDescent="0.3">
      <c r="A8" s="87"/>
      <c r="B8" s="86"/>
      <c r="C8" s="86" t="s">
        <v>33</v>
      </c>
      <c r="D8" s="86"/>
      <c r="E8" s="86"/>
      <c r="G8" s="55"/>
      <c r="H8" s="55"/>
      <c r="I8" s="55"/>
      <c r="J8" s="55"/>
      <c r="K8" s="55"/>
      <c r="L8" s="55"/>
      <c r="R8" s="6"/>
    </row>
    <row r="9" spans="1:21" x14ac:dyDescent="0.3">
      <c r="A9" s="85"/>
      <c r="B9" s="84"/>
      <c r="C9" s="231">
        <v>445500</v>
      </c>
      <c r="D9" s="231"/>
      <c r="E9" s="83"/>
      <c r="F9" s="82"/>
      <c r="G9" s="81"/>
      <c r="H9" s="81"/>
      <c r="I9" s="81"/>
      <c r="J9" s="81"/>
      <c r="K9" s="81"/>
      <c r="L9" s="80"/>
      <c r="M9" s="2"/>
      <c r="N9" s="2"/>
      <c r="O9" s="2"/>
      <c r="P9" s="2"/>
      <c r="Q9" s="2"/>
      <c r="R9" s="8"/>
    </row>
    <row r="10" spans="1:21" ht="44.25" customHeight="1" x14ac:dyDescent="0.3">
      <c r="A10" s="79" t="s">
        <v>32</v>
      </c>
      <c r="B10" s="75" t="s">
        <v>31</v>
      </c>
      <c r="C10" s="78" t="s">
        <v>30</v>
      </c>
      <c r="D10" s="78" t="s">
        <v>30</v>
      </c>
      <c r="E10" s="78" t="s">
        <v>29</v>
      </c>
      <c r="F10" s="77" t="s">
        <v>28</v>
      </c>
      <c r="G10" s="76" t="s">
        <v>109</v>
      </c>
      <c r="H10" s="76" t="s">
        <v>27</v>
      </c>
      <c r="I10" s="76" t="s">
        <v>26</v>
      </c>
      <c r="J10" s="76" t="s">
        <v>25</v>
      </c>
      <c r="K10" s="76" t="s">
        <v>24</v>
      </c>
      <c r="L10" s="76" t="s">
        <v>23</v>
      </c>
      <c r="M10" s="75" t="s">
        <v>141</v>
      </c>
      <c r="N10" s="75" t="s">
        <v>22</v>
      </c>
      <c r="O10" s="75" t="s">
        <v>156</v>
      </c>
      <c r="P10" s="75" t="s">
        <v>21</v>
      </c>
      <c r="Q10" s="75" t="s">
        <v>25</v>
      </c>
      <c r="R10" s="75" t="s">
        <v>20</v>
      </c>
    </row>
    <row r="11" spans="1:21" ht="29.25" customHeight="1" x14ac:dyDescent="0.3">
      <c r="A11" s="173" t="s">
        <v>81</v>
      </c>
      <c r="B11" s="174"/>
      <c r="C11" s="175" t="s">
        <v>34</v>
      </c>
      <c r="D11" s="176" t="s">
        <v>100</v>
      </c>
      <c r="E11" s="162"/>
      <c r="F11" s="177">
        <v>7.9</v>
      </c>
      <c r="G11" s="66">
        <v>125031.62204000002</v>
      </c>
      <c r="H11" s="66">
        <v>0</v>
      </c>
      <c r="I11" s="66">
        <f t="shared" ref="I11:I24" si="0">G11</f>
        <v>125031.62204000002</v>
      </c>
      <c r="J11" s="66" t="e">
        <f>C8*F11/100</f>
        <v>#VALUE!</v>
      </c>
      <c r="K11" s="66">
        <f t="shared" ref="K11:K18" si="1">G11-H11-I11</f>
        <v>0</v>
      </c>
      <c r="L11" s="66"/>
      <c r="M11" s="178">
        <f>(K11+L11)*3%</f>
        <v>0</v>
      </c>
      <c r="N11" s="178">
        <f t="shared" ref="N11:N19" si="2">K11+M11+L11</f>
        <v>0</v>
      </c>
      <c r="O11" s="66">
        <f>C$7*F11/100</f>
        <v>75621.805949999994</v>
      </c>
      <c r="P11" s="66">
        <f>C$9*F11/100</f>
        <v>35194.5</v>
      </c>
      <c r="Q11" s="66">
        <f>C$5*F11/100</f>
        <v>42148.764140000007</v>
      </c>
      <c r="R11" s="178">
        <f t="shared" ref="R11:R29" si="3">O11+N11+P11+Q11</f>
        <v>152965.07008999999</v>
      </c>
      <c r="U11" s="92" t="s">
        <v>34</v>
      </c>
    </row>
    <row r="12" spans="1:21" ht="21" customHeight="1" x14ac:dyDescent="0.3">
      <c r="A12" s="167" t="s">
        <v>82</v>
      </c>
      <c r="B12" s="160"/>
      <c r="C12" s="168" t="s">
        <v>35</v>
      </c>
      <c r="D12" s="169" t="s">
        <v>101</v>
      </c>
      <c r="E12" s="170"/>
      <c r="F12" s="171">
        <v>7.9</v>
      </c>
      <c r="G12" s="158">
        <v>125031.62204000002</v>
      </c>
      <c r="H12" s="158">
        <v>0</v>
      </c>
      <c r="I12" s="66">
        <f t="shared" si="0"/>
        <v>125031.62204000002</v>
      </c>
      <c r="J12" s="158" t="e">
        <f>C8*F12/100</f>
        <v>#VALUE!</v>
      </c>
      <c r="K12" s="158">
        <f t="shared" si="1"/>
        <v>0</v>
      </c>
      <c r="L12" s="158"/>
      <c r="M12" s="164">
        <f t="shared" ref="M12:M29" si="4">(K12+L12)*3%</f>
        <v>0</v>
      </c>
      <c r="N12" s="164">
        <f t="shared" si="2"/>
        <v>0</v>
      </c>
      <c r="O12" s="158">
        <f t="shared" ref="O12:O29" si="5">C$7*F12/100</f>
        <v>75621.805949999994</v>
      </c>
      <c r="P12" s="66">
        <f t="shared" ref="P12:P29" si="6">C$9*F12/100</f>
        <v>35194.5</v>
      </c>
      <c r="Q12" s="66">
        <f t="shared" ref="Q12:Q22" si="7">C$5*F12/100</f>
        <v>42148.764140000007</v>
      </c>
      <c r="R12" s="164">
        <f t="shared" si="3"/>
        <v>152965.07008999999</v>
      </c>
      <c r="U12" s="93" t="s">
        <v>35</v>
      </c>
    </row>
    <row r="13" spans="1:21" ht="21" customHeight="1" x14ac:dyDescent="0.3">
      <c r="A13" s="159" t="s">
        <v>83</v>
      </c>
      <c r="B13" s="160"/>
      <c r="C13" s="94" t="s">
        <v>36</v>
      </c>
      <c r="D13" s="161" t="s">
        <v>102</v>
      </c>
      <c r="E13" s="162" t="s">
        <v>110</v>
      </c>
      <c r="F13" s="163">
        <v>7.9</v>
      </c>
      <c r="G13" s="66">
        <v>255645.23380710077</v>
      </c>
      <c r="H13" s="158">
        <v>0</v>
      </c>
      <c r="I13" s="66">
        <f t="shared" si="0"/>
        <v>255645.23380710077</v>
      </c>
      <c r="J13" s="158" t="e">
        <f>C8*F13/100</f>
        <v>#VALUE!</v>
      </c>
      <c r="K13" s="158">
        <f t="shared" si="1"/>
        <v>0</v>
      </c>
      <c r="L13" s="158"/>
      <c r="M13" s="164">
        <f t="shared" si="4"/>
        <v>0</v>
      </c>
      <c r="N13" s="164">
        <f t="shared" si="2"/>
        <v>0</v>
      </c>
      <c r="O13" s="158">
        <f t="shared" si="5"/>
        <v>75621.805949999994</v>
      </c>
      <c r="P13" s="66">
        <f t="shared" si="6"/>
        <v>35194.5</v>
      </c>
      <c r="Q13" s="66">
        <f t="shared" si="7"/>
        <v>42148.764140000007</v>
      </c>
      <c r="R13" s="164">
        <f t="shared" si="3"/>
        <v>152965.07008999999</v>
      </c>
      <c r="U13" s="93" t="s">
        <v>36</v>
      </c>
    </row>
    <row r="14" spans="1:21" ht="21" customHeight="1" x14ac:dyDescent="0.3">
      <c r="A14" s="109" t="s">
        <v>84</v>
      </c>
      <c r="B14" s="74"/>
      <c r="C14" s="93" t="s">
        <v>37</v>
      </c>
      <c r="D14" s="155" t="s">
        <v>103</v>
      </c>
      <c r="E14" s="112"/>
      <c r="F14" s="95">
        <v>7.9</v>
      </c>
      <c r="G14" s="157">
        <v>125031.62204000002</v>
      </c>
      <c r="H14" s="73"/>
      <c r="I14" s="66">
        <f t="shared" si="0"/>
        <v>125031.62204000002</v>
      </c>
      <c r="J14" s="64" t="e">
        <f>C8*F14/100</f>
        <v>#VALUE!</v>
      </c>
      <c r="K14" s="64">
        <f t="shared" si="1"/>
        <v>0</v>
      </c>
      <c r="L14" s="65"/>
      <c r="M14" s="63">
        <f t="shared" si="4"/>
        <v>0</v>
      </c>
      <c r="N14" s="63">
        <f t="shared" si="2"/>
        <v>0</v>
      </c>
      <c r="O14" s="64">
        <f t="shared" si="5"/>
        <v>75621.805949999994</v>
      </c>
      <c r="P14" s="66">
        <f t="shared" si="6"/>
        <v>35194.5</v>
      </c>
      <c r="Q14" s="66">
        <f t="shared" si="7"/>
        <v>42148.764140000007</v>
      </c>
      <c r="R14" s="63">
        <f t="shared" si="3"/>
        <v>152965.07008999999</v>
      </c>
      <c r="U14" s="93" t="s">
        <v>37</v>
      </c>
    </row>
    <row r="15" spans="1:21" ht="21" customHeight="1" x14ac:dyDescent="0.3">
      <c r="A15" s="109" t="s">
        <v>85</v>
      </c>
      <c r="B15" s="70"/>
      <c r="C15" s="93" t="s">
        <v>38</v>
      </c>
      <c r="D15" s="110" t="s">
        <v>104</v>
      </c>
      <c r="E15" s="112"/>
      <c r="F15" s="95">
        <v>7.9</v>
      </c>
      <c r="G15" s="71">
        <v>408427.27100467531</v>
      </c>
      <c r="H15" s="73">
        <v>0</v>
      </c>
      <c r="I15" s="66">
        <f t="shared" si="0"/>
        <v>408427.27100467531</v>
      </c>
      <c r="J15" s="64" t="e">
        <f>C8*F15/100</f>
        <v>#VALUE!</v>
      </c>
      <c r="K15" s="64">
        <f t="shared" si="1"/>
        <v>0</v>
      </c>
      <c r="L15" s="64"/>
      <c r="M15" s="63">
        <f t="shared" si="4"/>
        <v>0</v>
      </c>
      <c r="N15" s="63">
        <f t="shared" si="2"/>
        <v>0</v>
      </c>
      <c r="O15" s="64">
        <f t="shared" si="5"/>
        <v>75621.805949999994</v>
      </c>
      <c r="P15" s="66">
        <f t="shared" si="6"/>
        <v>35194.5</v>
      </c>
      <c r="Q15" s="66">
        <f t="shared" si="7"/>
        <v>42148.764140000007</v>
      </c>
      <c r="R15" s="63">
        <f t="shared" si="3"/>
        <v>152965.07008999999</v>
      </c>
      <c r="U15" s="93" t="s">
        <v>38</v>
      </c>
    </row>
    <row r="16" spans="1:21" ht="21" customHeight="1" x14ac:dyDescent="0.3">
      <c r="A16" s="159" t="s">
        <v>86</v>
      </c>
      <c r="B16" s="160"/>
      <c r="C16" s="94" t="s">
        <v>39</v>
      </c>
      <c r="D16" s="161" t="s">
        <v>159</v>
      </c>
      <c r="E16" s="162" t="s">
        <v>161</v>
      </c>
      <c r="F16" s="163">
        <v>7.9</v>
      </c>
      <c r="G16" s="66">
        <v>125031.34985144658</v>
      </c>
      <c r="H16" s="158">
        <v>0</v>
      </c>
      <c r="I16" s="66">
        <f t="shared" si="0"/>
        <v>125031.34985144658</v>
      </c>
      <c r="J16" s="158" t="e">
        <f>C8*F16/100</f>
        <v>#VALUE!</v>
      </c>
      <c r="K16" s="158">
        <f t="shared" si="1"/>
        <v>0</v>
      </c>
      <c r="L16" s="158"/>
      <c r="M16" s="164">
        <f t="shared" si="4"/>
        <v>0</v>
      </c>
      <c r="N16" s="164">
        <f t="shared" si="2"/>
        <v>0</v>
      </c>
      <c r="O16" s="158">
        <f t="shared" si="5"/>
        <v>75621.805949999994</v>
      </c>
      <c r="P16" s="66">
        <f t="shared" si="6"/>
        <v>35194.5</v>
      </c>
      <c r="Q16" s="66">
        <f t="shared" si="7"/>
        <v>42148.764140000007</v>
      </c>
      <c r="R16" s="164">
        <f t="shared" si="3"/>
        <v>152965.07008999999</v>
      </c>
      <c r="U16" s="93" t="s">
        <v>39</v>
      </c>
    </row>
    <row r="17" spans="1:21" ht="21" customHeight="1" x14ac:dyDescent="0.3">
      <c r="A17" s="109" t="s">
        <v>87</v>
      </c>
      <c r="B17" s="70"/>
      <c r="C17" s="93" t="s">
        <v>40</v>
      </c>
      <c r="D17" s="110" t="s">
        <v>105</v>
      </c>
      <c r="E17" s="112" t="s">
        <v>146</v>
      </c>
      <c r="F17" s="95">
        <v>7.9</v>
      </c>
      <c r="G17" s="71">
        <v>125031.43807345279</v>
      </c>
      <c r="H17" s="64">
        <v>0</v>
      </c>
      <c r="I17" s="66">
        <f t="shared" si="0"/>
        <v>125031.43807345279</v>
      </c>
      <c r="J17" s="64" t="e">
        <f>C8*F17/100</f>
        <v>#VALUE!</v>
      </c>
      <c r="K17" s="64">
        <f t="shared" si="1"/>
        <v>0</v>
      </c>
      <c r="L17" s="64"/>
      <c r="M17" s="63">
        <f t="shared" si="4"/>
        <v>0</v>
      </c>
      <c r="N17" s="63">
        <f t="shared" si="2"/>
        <v>0</v>
      </c>
      <c r="O17" s="64">
        <f t="shared" si="5"/>
        <v>75621.805949999994</v>
      </c>
      <c r="P17" s="66">
        <f t="shared" si="6"/>
        <v>35194.5</v>
      </c>
      <c r="Q17" s="66">
        <f t="shared" si="7"/>
        <v>42148.764140000007</v>
      </c>
      <c r="R17" s="63">
        <f t="shared" si="3"/>
        <v>152965.07008999999</v>
      </c>
      <c r="U17" s="93" t="s">
        <v>40</v>
      </c>
    </row>
    <row r="18" spans="1:21" ht="21" customHeight="1" x14ac:dyDescent="0.3">
      <c r="A18" s="159" t="s">
        <v>88</v>
      </c>
      <c r="B18" s="160"/>
      <c r="C18" s="94" t="s">
        <v>41</v>
      </c>
      <c r="D18" s="161" t="s">
        <v>148</v>
      </c>
      <c r="E18" s="162" t="s">
        <v>147</v>
      </c>
      <c r="F18" s="163">
        <v>7.9</v>
      </c>
      <c r="G18" s="66">
        <v>124838.38386877713</v>
      </c>
      <c r="H18" s="158">
        <v>0</v>
      </c>
      <c r="I18" s="66">
        <f t="shared" si="0"/>
        <v>124838.38386877713</v>
      </c>
      <c r="J18" s="158" t="e">
        <f>C8*F18/100</f>
        <v>#VALUE!</v>
      </c>
      <c r="K18" s="158">
        <f t="shared" si="1"/>
        <v>0</v>
      </c>
      <c r="L18" s="158"/>
      <c r="M18" s="164">
        <f t="shared" si="4"/>
        <v>0</v>
      </c>
      <c r="N18" s="164">
        <f t="shared" si="2"/>
        <v>0</v>
      </c>
      <c r="O18" s="158">
        <f t="shared" si="5"/>
        <v>75621.805949999994</v>
      </c>
      <c r="P18" s="66">
        <f t="shared" si="6"/>
        <v>35194.5</v>
      </c>
      <c r="Q18" s="66">
        <f t="shared" si="7"/>
        <v>42148.764140000007</v>
      </c>
      <c r="R18" s="164">
        <f t="shared" si="3"/>
        <v>152965.07008999999</v>
      </c>
      <c r="U18" s="93" t="s">
        <v>41</v>
      </c>
    </row>
    <row r="19" spans="1:21" ht="24" customHeight="1" x14ac:dyDescent="0.3">
      <c r="A19" s="159" t="s">
        <v>89</v>
      </c>
      <c r="B19" s="160"/>
      <c r="C19" s="94" t="s">
        <v>42</v>
      </c>
      <c r="D19" s="161" t="s">
        <v>106</v>
      </c>
      <c r="E19" s="162"/>
      <c r="F19" s="163">
        <v>7.9</v>
      </c>
      <c r="G19" s="66">
        <v>125025.47008393914</v>
      </c>
      <c r="H19" s="158">
        <v>0</v>
      </c>
      <c r="I19" s="66">
        <f t="shared" si="0"/>
        <v>125025.47008393914</v>
      </c>
      <c r="J19" s="158" t="e">
        <f>C8*F19/100</f>
        <v>#VALUE!</v>
      </c>
      <c r="K19" s="158">
        <f t="shared" ref="K19:K29" si="8">G19-H19-I19</f>
        <v>0</v>
      </c>
      <c r="L19" s="158">
        <f>G19-I19</f>
        <v>0</v>
      </c>
      <c r="M19" s="164">
        <f t="shared" si="4"/>
        <v>0</v>
      </c>
      <c r="N19" s="164">
        <f t="shared" si="2"/>
        <v>0</v>
      </c>
      <c r="O19" s="158">
        <f t="shared" si="5"/>
        <v>75621.805949999994</v>
      </c>
      <c r="P19" s="66">
        <f t="shared" si="6"/>
        <v>35194.5</v>
      </c>
      <c r="Q19" s="66">
        <f t="shared" si="7"/>
        <v>42148.764140000007</v>
      </c>
      <c r="R19" s="164">
        <f t="shared" si="3"/>
        <v>152965.07008999999</v>
      </c>
      <c r="U19" s="93" t="s">
        <v>42</v>
      </c>
    </row>
    <row r="20" spans="1:21" ht="21" customHeight="1" x14ac:dyDescent="0.3">
      <c r="A20" s="109" t="s">
        <v>90</v>
      </c>
      <c r="B20" s="70"/>
      <c r="C20" s="93" t="s">
        <v>43</v>
      </c>
      <c r="D20" s="110" t="s">
        <v>107</v>
      </c>
      <c r="E20" s="112"/>
      <c r="F20" s="95">
        <v>7.9</v>
      </c>
      <c r="G20" s="71">
        <v>125031.62204000002</v>
      </c>
      <c r="H20" s="64"/>
      <c r="I20" s="66">
        <f t="shared" si="0"/>
        <v>125031.62204000002</v>
      </c>
      <c r="J20" s="64"/>
      <c r="K20" s="64">
        <f t="shared" si="8"/>
        <v>0</v>
      </c>
      <c r="L20" s="64"/>
      <c r="M20" s="63">
        <f t="shared" si="4"/>
        <v>0</v>
      </c>
      <c r="N20" s="63">
        <f t="shared" ref="N20:N29" si="9">K20+M20+L20</f>
        <v>0</v>
      </c>
      <c r="O20" s="64">
        <f t="shared" si="5"/>
        <v>75621.805949999994</v>
      </c>
      <c r="P20" s="66">
        <f t="shared" si="6"/>
        <v>35194.5</v>
      </c>
      <c r="Q20" s="66">
        <f t="shared" si="7"/>
        <v>42148.764140000007</v>
      </c>
      <c r="R20" s="63">
        <f t="shared" si="3"/>
        <v>152965.07008999999</v>
      </c>
      <c r="U20" s="93" t="s">
        <v>43</v>
      </c>
    </row>
    <row r="21" spans="1:21" ht="24" customHeight="1" x14ac:dyDescent="0.3">
      <c r="A21" s="159" t="s">
        <v>91</v>
      </c>
      <c r="B21" s="160"/>
      <c r="C21" s="94" t="s">
        <v>44</v>
      </c>
      <c r="D21" s="161" t="s">
        <v>108</v>
      </c>
      <c r="E21" s="162" t="s">
        <v>111</v>
      </c>
      <c r="F21" s="163">
        <v>7.9</v>
      </c>
      <c r="G21" s="66">
        <v>120968.14931198064</v>
      </c>
      <c r="H21" s="158"/>
      <c r="I21" s="66">
        <f t="shared" si="0"/>
        <v>120968.14931198064</v>
      </c>
      <c r="J21" s="158"/>
      <c r="K21" s="158">
        <f t="shared" si="8"/>
        <v>0</v>
      </c>
      <c r="L21" s="158"/>
      <c r="M21" s="164">
        <f t="shared" si="4"/>
        <v>0</v>
      </c>
      <c r="N21" s="164">
        <f t="shared" si="9"/>
        <v>0</v>
      </c>
      <c r="O21" s="158">
        <f t="shared" si="5"/>
        <v>75621.805949999994</v>
      </c>
      <c r="P21" s="66">
        <f t="shared" si="6"/>
        <v>35194.5</v>
      </c>
      <c r="Q21" s="66">
        <f t="shared" si="7"/>
        <v>42148.764140000007</v>
      </c>
      <c r="R21" s="164">
        <f t="shared" si="3"/>
        <v>152965.07008999999</v>
      </c>
      <c r="U21" s="93" t="s">
        <v>44</v>
      </c>
    </row>
    <row r="22" spans="1:21" ht="24.75" customHeight="1" x14ac:dyDescent="0.3">
      <c r="A22" s="159" t="s">
        <v>92</v>
      </c>
      <c r="B22" s="160"/>
      <c r="C22" s="94" t="s">
        <v>45</v>
      </c>
      <c r="D22" s="161" t="s">
        <v>154</v>
      </c>
      <c r="E22" s="162" t="s">
        <v>153</v>
      </c>
      <c r="F22" s="163">
        <v>7.9</v>
      </c>
      <c r="G22" s="66">
        <v>125031.53639642705</v>
      </c>
      <c r="H22" s="158"/>
      <c r="I22" s="66">
        <f t="shared" si="0"/>
        <v>125031.53639642705</v>
      </c>
      <c r="J22" s="158"/>
      <c r="K22" s="158">
        <f t="shared" si="8"/>
        <v>0</v>
      </c>
      <c r="L22" s="158"/>
      <c r="M22" s="164">
        <f t="shared" si="4"/>
        <v>0</v>
      </c>
      <c r="N22" s="164">
        <f t="shared" si="9"/>
        <v>0</v>
      </c>
      <c r="O22" s="158">
        <f t="shared" si="5"/>
        <v>75621.805949999994</v>
      </c>
      <c r="P22" s="66">
        <f t="shared" si="6"/>
        <v>35194.5</v>
      </c>
      <c r="Q22" s="66">
        <f t="shared" si="7"/>
        <v>42148.764140000007</v>
      </c>
      <c r="R22" s="164">
        <f t="shared" si="3"/>
        <v>152965.07008999999</v>
      </c>
      <c r="S22" s="179"/>
      <c r="U22" s="93" t="s">
        <v>45</v>
      </c>
    </row>
    <row r="23" spans="1:21" ht="21" customHeight="1" x14ac:dyDescent="0.3">
      <c r="A23" s="109"/>
      <c r="B23" s="70"/>
      <c r="C23" s="93" t="s">
        <v>93</v>
      </c>
      <c r="D23" s="111" t="str">
        <f>D17</f>
        <v>Estevez Norberto Omar</v>
      </c>
      <c r="E23" s="112" t="s">
        <v>146</v>
      </c>
      <c r="F23" s="95">
        <v>0.74</v>
      </c>
      <c r="G23" s="71">
        <v>7911.3758160000007</v>
      </c>
      <c r="H23" s="64"/>
      <c r="I23" s="66">
        <f t="shared" si="0"/>
        <v>7911.3758160000007</v>
      </c>
      <c r="J23" s="64"/>
      <c r="K23" s="64">
        <f t="shared" si="8"/>
        <v>0</v>
      </c>
      <c r="L23" s="64"/>
      <c r="M23" s="63">
        <f t="shared" si="4"/>
        <v>0</v>
      </c>
      <c r="N23" s="63">
        <f t="shared" si="9"/>
        <v>0</v>
      </c>
      <c r="O23" s="64">
        <f t="shared" si="5"/>
        <v>7083.5615699999989</v>
      </c>
      <c r="P23" s="66">
        <f t="shared" si="6"/>
        <v>3296.7</v>
      </c>
      <c r="Q23" s="64"/>
      <c r="R23" s="63">
        <f t="shared" si="3"/>
        <v>10380.261569999999</v>
      </c>
      <c r="U23" s="93" t="s">
        <v>46</v>
      </c>
    </row>
    <row r="24" spans="1:21" ht="24.75" customHeight="1" x14ac:dyDescent="0.3">
      <c r="A24" s="159"/>
      <c r="B24" s="160"/>
      <c r="C24" s="94" t="s">
        <v>94</v>
      </c>
      <c r="D24" s="165" t="str">
        <f>D21</f>
        <v>Moro Vanesa Yania / Juan Carlos Moro</v>
      </c>
      <c r="E24" s="162" t="s">
        <v>111</v>
      </c>
      <c r="F24" s="163">
        <v>0.74</v>
      </c>
      <c r="G24" s="66">
        <v>7911.3758160000007</v>
      </c>
      <c r="H24" s="158"/>
      <c r="I24" s="66">
        <f t="shared" si="0"/>
        <v>7911.3758160000007</v>
      </c>
      <c r="J24" s="158"/>
      <c r="K24" s="158">
        <f t="shared" si="8"/>
        <v>0</v>
      </c>
      <c r="L24" s="158"/>
      <c r="M24" s="164">
        <f t="shared" si="4"/>
        <v>0</v>
      </c>
      <c r="N24" s="164">
        <f t="shared" si="9"/>
        <v>0</v>
      </c>
      <c r="O24" s="158">
        <f t="shared" si="5"/>
        <v>7083.5615699999989</v>
      </c>
      <c r="P24" s="66">
        <f t="shared" si="6"/>
        <v>3296.7</v>
      </c>
      <c r="Q24" s="158">
        <f>'Calculo Servicios  (2)'!H22</f>
        <v>0</v>
      </c>
      <c r="R24" s="164">
        <f t="shared" si="3"/>
        <v>10380.261569999999</v>
      </c>
      <c r="U24" s="93" t="s">
        <v>47</v>
      </c>
    </row>
    <row r="25" spans="1:21" ht="21" customHeight="1" x14ac:dyDescent="0.3">
      <c r="A25" s="109"/>
      <c r="B25" s="70"/>
      <c r="C25" s="93" t="s">
        <v>95</v>
      </c>
      <c r="D25" s="111" t="str">
        <f>D20</f>
        <v>Scarlercio Jorge Omar</v>
      </c>
      <c r="E25" s="111"/>
      <c r="F25" s="95">
        <v>0.74</v>
      </c>
      <c r="G25" s="71">
        <v>7911.3758160000007</v>
      </c>
      <c r="H25" s="64"/>
      <c r="I25" s="66">
        <f t="shared" ref="I25" si="10">G25</f>
        <v>7911.3758160000007</v>
      </c>
      <c r="J25" s="64"/>
      <c r="K25" s="64">
        <f t="shared" si="8"/>
        <v>0</v>
      </c>
      <c r="L25" s="64"/>
      <c r="M25" s="63">
        <f t="shared" si="4"/>
        <v>0</v>
      </c>
      <c r="N25" s="63">
        <f t="shared" si="9"/>
        <v>0</v>
      </c>
      <c r="O25" s="64">
        <f t="shared" si="5"/>
        <v>7083.5615699999989</v>
      </c>
      <c r="P25" s="66">
        <f t="shared" si="6"/>
        <v>3296.7</v>
      </c>
      <c r="Q25" s="64">
        <f>'Calculo Servicios  (2)'!H23</f>
        <v>0</v>
      </c>
      <c r="R25" s="63">
        <f t="shared" si="3"/>
        <v>10380.261569999999</v>
      </c>
      <c r="U25" s="93" t="s">
        <v>48</v>
      </c>
    </row>
    <row r="26" spans="1:21" ht="21" customHeight="1" x14ac:dyDescent="0.3">
      <c r="A26" s="159"/>
      <c r="B26" s="156"/>
      <c r="C26" s="94" t="s">
        <v>96</v>
      </c>
      <c r="D26" s="165" t="str">
        <f>D18</f>
        <v>Lopez Gabriela</v>
      </c>
      <c r="E26" s="162" t="s">
        <v>147</v>
      </c>
      <c r="F26" s="163">
        <v>0.74</v>
      </c>
      <c r="G26" s="66">
        <v>7911.3758160000007</v>
      </c>
      <c r="H26" s="158">
        <v>0</v>
      </c>
      <c r="I26" s="66">
        <f>G26</f>
        <v>7911.3758160000007</v>
      </c>
      <c r="J26" s="158" t="e">
        <f>C8*F26/100</f>
        <v>#VALUE!</v>
      </c>
      <c r="K26" s="158">
        <f t="shared" si="8"/>
        <v>0</v>
      </c>
      <c r="L26" s="158"/>
      <c r="M26" s="164">
        <f t="shared" si="4"/>
        <v>0</v>
      </c>
      <c r="N26" s="164">
        <f t="shared" si="9"/>
        <v>0</v>
      </c>
      <c r="O26" s="158">
        <f t="shared" si="5"/>
        <v>7083.5615699999989</v>
      </c>
      <c r="P26" s="66">
        <f t="shared" si="6"/>
        <v>3296.7</v>
      </c>
      <c r="Q26" s="158">
        <f>'Calculo Servicios  (2)'!H24</f>
        <v>0</v>
      </c>
      <c r="R26" s="164">
        <f t="shared" si="3"/>
        <v>10380.261569999999</v>
      </c>
      <c r="U26" s="93" t="s">
        <v>49</v>
      </c>
    </row>
    <row r="27" spans="1:21" ht="21" customHeight="1" x14ac:dyDescent="0.3">
      <c r="A27" s="109"/>
      <c r="B27" s="70"/>
      <c r="C27" s="93" t="s">
        <v>97</v>
      </c>
      <c r="D27" s="111" t="str">
        <f>D15</f>
        <v>Cecilia Mariel Cassettari</v>
      </c>
      <c r="E27" s="111"/>
      <c r="F27" s="95">
        <v>0.74</v>
      </c>
      <c r="G27" s="71">
        <v>28929.782859621002</v>
      </c>
      <c r="H27" s="64">
        <v>0</v>
      </c>
      <c r="I27" s="66">
        <f>G27</f>
        <v>28929.782859621002</v>
      </c>
      <c r="J27" s="64" t="e">
        <f>C8*F27/100</f>
        <v>#VALUE!</v>
      </c>
      <c r="K27" s="64">
        <f t="shared" si="8"/>
        <v>0</v>
      </c>
      <c r="L27" s="64"/>
      <c r="M27" s="63">
        <f t="shared" si="4"/>
        <v>0</v>
      </c>
      <c r="N27" s="63">
        <f t="shared" si="9"/>
        <v>0</v>
      </c>
      <c r="O27" s="64">
        <f t="shared" si="5"/>
        <v>7083.5615699999989</v>
      </c>
      <c r="P27" s="66">
        <f t="shared" si="6"/>
        <v>3296.7</v>
      </c>
      <c r="Q27" s="64">
        <f>'Calculo Servicios  (2)'!H25</f>
        <v>0</v>
      </c>
      <c r="R27" s="63">
        <f t="shared" si="3"/>
        <v>10380.261569999999</v>
      </c>
      <c r="U27" s="93" t="s">
        <v>50</v>
      </c>
    </row>
    <row r="28" spans="1:21" ht="21" customHeight="1" x14ac:dyDescent="0.3">
      <c r="A28" s="183"/>
      <c r="B28" s="184"/>
      <c r="C28" s="94" t="s">
        <v>98</v>
      </c>
      <c r="D28" s="165" t="str">
        <f>D16</f>
        <v>Perez Sebastian</v>
      </c>
      <c r="E28" s="162" t="s">
        <v>161</v>
      </c>
      <c r="F28" s="185">
        <v>0.74</v>
      </c>
      <c r="G28" s="66">
        <v>7911.3758160000007</v>
      </c>
      <c r="H28" s="66">
        <v>0</v>
      </c>
      <c r="I28" s="66">
        <f>G28</f>
        <v>7911.3758160000007</v>
      </c>
      <c r="J28" s="66">
        <v>0</v>
      </c>
      <c r="K28" s="66">
        <f t="shared" si="8"/>
        <v>0</v>
      </c>
      <c r="L28" s="66"/>
      <c r="M28" s="178">
        <f t="shared" si="4"/>
        <v>0</v>
      </c>
      <c r="N28" s="178">
        <f t="shared" si="9"/>
        <v>0</v>
      </c>
      <c r="O28" s="66">
        <f t="shared" si="5"/>
        <v>7083.5615699999989</v>
      </c>
      <c r="P28" s="66">
        <f t="shared" si="6"/>
        <v>3296.7</v>
      </c>
      <c r="Q28" s="66">
        <f>'Calculo Servicios  (2)'!H26</f>
        <v>0</v>
      </c>
      <c r="R28" s="178">
        <f t="shared" si="3"/>
        <v>10380.261569999999</v>
      </c>
      <c r="U28" s="93" t="s">
        <v>51</v>
      </c>
    </row>
    <row r="29" spans="1:21" ht="26.25" customHeight="1" thickBot="1" x14ac:dyDescent="0.35">
      <c r="A29" s="159"/>
      <c r="B29" s="172"/>
      <c r="C29" s="94" t="s">
        <v>99</v>
      </c>
      <c r="D29" s="165" t="str">
        <f>D22</f>
        <v>Rodriguez Flavio/Rodriguez Mauro</v>
      </c>
      <c r="E29" s="162" t="s">
        <v>153</v>
      </c>
      <c r="F29" s="181">
        <v>0.74</v>
      </c>
      <c r="G29" s="66">
        <v>7911.3758160000007</v>
      </c>
      <c r="H29" s="158">
        <v>0</v>
      </c>
      <c r="I29" s="66">
        <f>G29</f>
        <v>7911.3758160000007</v>
      </c>
      <c r="J29" s="158" t="e">
        <f>C8*F29/100</f>
        <v>#VALUE!</v>
      </c>
      <c r="K29" s="158">
        <f t="shared" si="8"/>
        <v>0</v>
      </c>
      <c r="L29" s="158"/>
      <c r="M29" s="164">
        <f t="shared" si="4"/>
        <v>0</v>
      </c>
      <c r="N29" s="164">
        <f t="shared" si="9"/>
        <v>0</v>
      </c>
      <c r="O29" s="158">
        <f t="shared" si="5"/>
        <v>7083.5615699999989</v>
      </c>
      <c r="P29" s="66">
        <f t="shared" si="6"/>
        <v>3296.7</v>
      </c>
      <c r="Q29" s="158">
        <f>'Calculo Servicios  (2)'!H27</f>
        <v>0</v>
      </c>
      <c r="R29" s="164">
        <f t="shared" si="3"/>
        <v>10380.261569999999</v>
      </c>
      <c r="U29" s="94" t="s">
        <v>52</v>
      </c>
    </row>
    <row r="30" spans="1:21" ht="21" hidden="1" customHeight="1" thickBot="1" x14ac:dyDescent="0.35">
      <c r="A30" s="72"/>
      <c r="B30" s="70"/>
      <c r="C30" s="69"/>
      <c r="D30" s="69"/>
      <c r="E30" s="69"/>
      <c r="F30" s="68"/>
      <c r="G30" s="67"/>
      <c r="H30" s="64">
        <v>0</v>
      </c>
      <c r="I30" s="66"/>
      <c r="J30" s="65"/>
      <c r="K30" s="64"/>
      <c r="L30" s="65"/>
      <c r="M30" s="63"/>
      <c r="N30" s="63"/>
      <c r="O30" s="64"/>
      <c r="P30" s="64" t="e">
        <f>#REF!*F30/100</f>
        <v>#REF!</v>
      </c>
      <c r="Q30" s="64"/>
      <c r="R30" s="108"/>
      <c r="U30" s="93" t="s">
        <v>53</v>
      </c>
    </row>
    <row r="31" spans="1:21" s="57" customFormat="1" ht="21.6" thickBot="1" x14ac:dyDescent="0.45">
      <c r="A31" s="228"/>
      <c r="B31" s="229"/>
      <c r="C31" s="229"/>
      <c r="D31" s="62"/>
      <c r="E31" s="62"/>
      <c r="F31" s="96"/>
      <c r="G31" s="60">
        <f>SUM(G11:G30)</f>
        <v>1986523.3583134203</v>
      </c>
      <c r="H31" s="60">
        <f>SUM(H11:H30)</f>
        <v>0</v>
      </c>
      <c r="I31" s="61">
        <f>SUM(I11:I30)</f>
        <v>1986523.3583134203</v>
      </c>
      <c r="J31" s="60"/>
      <c r="K31" s="61">
        <f>SUM(K11:K30)</f>
        <v>0</v>
      </c>
      <c r="L31" s="60"/>
      <c r="M31" s="59"/>
      <c r="N31" s="58"/>
      <c r="O31" s="61">
        <f>SUM(O11:O30)</f>
        <v>957046.6023899999</v>
      </c>
      <c r="P31" s="61">
        <f>SUM(P11:P29)</f>
        <v>445410.90000000008</v>
      </c>
      <c r="Q31" s="61">
        <f>SUM(Q11:Q29)</f>
        <v>505785.16967999999</v>
      </c>
      <c r="R31" s="61">
        <f>SUM(R11:R29)</f>
        <v>1908242.672070001</v>
      </c>
      <c r="U31" s="93" t="s">
        <v>54</v>
      </c>
    </row>
    <row r="32" spans="1:21" ht="34.5" hidden="1" customHeight="1" x14ac:dyDescent="0.3">
      <c r="B32" s="225" t="s">
        <v>19</v>
      </c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7"/>
      <c r="U32" s="93" t="s">
        <v>55</v>
      </c>
    </row>
    <row r="33" spans="3:21" x14ac:dyDescent="0.3">
      <c r="F33" s="56"/>
      <c r="G33" s="55"/>
      <c r="H33" s="55"/>
      <c r="I33" s="55"/>
      <c r="J33" s="55"/>
      <c r="K33" s="55" t="s">
        <v>18</v>
      </c>
      <c r="L33" s="55"/>
      <c r="U33" s="93" t="s">
        <v>56</v>
      </c>
    </row>
    <row r="34" spans="3:21" x14ac:dyDescent="0.3"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</row>
    <row r="35" spans="3:21" x14ac:dyDescent="0.3"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</row>
    <row r="36" spans="3:21" x14ac:dyDescent="0.3"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</row>
    <row r="37" spans="3:21" x14ac:dyDescent="0.3"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</row>
    <row r="38" spans="3:21" ht="25.5" customHeight="1" x14ac:dyDescent="0.3"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</row>
  </sheetData>
  <mergeCells count="8">
    <mergeCell ref="C34:O38"/>
    <mergeCell ref="M4:R4"/>
    <mergeCell ref="A1:R1"/>
    <mergeCell ref="B32:R32"/>
    <mergeCell ref="A31:C31"/>
    <mergeCell ref="C7:D7"/>
    <mergeCell ref="C5:D5"/>
    <mergeCell ref="C9:D9"/>
  </mergeCells>
  <pageMargins left="0.25" right="0.25" top="0.75" bottom="0.75" header="0.3" footer="0.3"/>
  <pageSetup scale="69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"/>
  <sheetViews>
    <sheetView zoomScale="90" zoomScaleNormal="90" workbookViewId="0">
      <selection activeCell="C10" sqref="C10"/>
    </sheetView>
  </sheetViews>
  <sheetFormatPr baseColWidth="10" defaultColWidth="11.44140625" defaultRowHeight="13.2" x14ac:dyDescent="0.25"/>
  <cols>
    <col min="1" max="1" width="12.109375" style="113" bestFit="1" customWidth="1"/>
    <col min="2" max="2" width="16.33203125" style="113" bestFit="1" customWidth="1"/>
    <col min="3" max="3" width="15.109375" style="113" bestFit="1" customWidth="1"/>
    <col min="4" max="4" width="13.109375" style="113" bestFit="1" customWidth="1"/>
    <col min="5" max="5" width="16.6640625" style="113" bestFit="1" customWidth="1"/>
    <col min="6" max="7" width="13.44140625" style="113" bestFit="1" customWidth="1"/>
    <col min="8" max="8" width="14" style="113" bestFit="1" customWidth="1"/>
    <col min="9" max="12" width="11.44140625" style="113"/>
    <col min="13" max="13" width="14.6640625" style="113" bestFit="1" customWidth="1"/>
    <col min="14" max="14" width="21.5546875" style="113" bestFit="1" customWidth="1"/>
    <col min="15" max="16384" width="11.44140625" style="113"/>
  </cols>
  <sheetData>
    <row r="1" spans="1:15" ht="13.8" x14ac:dyDescent="0.3">
      <c r="A1" s="232" t="s">
        <v>80</v>
      </c>
      <c r="B1" s="233"/>
      <c r="C1" s="233"/>
      <c r="D1" s="233"/>
      <c r="E1" s="234"/>
    </row>
    <row r="2" spans="1:15" ht="13.8" x14ac:dyDescent="0.3">
      <c r="A2" s="154"/>
      <c r="B2" s="139"/>
      <c r="C2" s="139"/>
      <c r="D2" s="153" t="s">
        <v>79</v>
      </c>
      <c r="E2" s="150"/>
    </row>
    <row r="3" spans="1:15" ht="13.8" x14ac:dyDescent="0.3">
      <c r="A3" s="152">
        <f>13+28+19</f>
        <v>60</v>
      </c>
      <c r="B3" s="107">
        <v>10531.71</v>
      </c>
      <c r="C3" s="151">
        <f>+B3/A3</f>
        <v>175.52849999999998</v>
      </c>
      <c r="D3" s="151">
        <v>4863.8999999999996</v>
      </c>
      <c r="E3" s="150" t="s">
        <v>140</v>
      </c>
      <c r="I3" s="113" t="s">
        <v>78</v>
      </c>
    </row>
    <row r="4" spans="1:15" ht="14.4" thickBot="1" x14ac:dyDescent="0.35">
      <c r="A4" s="149"/>
      <c r="B4" s="148"/>
      <c r="C4" s="148"/>
      <c r="D4" s="148"/>
      <c r="E4" s="147"/>
    </row>
    <row r="5" spans="1:15" ht="13.8" x14ac:dyDescent="0.3">
      <c r="A5" s="146"/>
      <c r="B5" s="146"/>
      <c r="C5" s="146"/>
      <c r="D5" s="146"/>
      <c r="E5" s="146"/>
    </row>
    <row r="6" spans="1:15" ht="14.4" thickBot="1" x14ac:dyDescent="0.35">
      <c r="A6" s="146"/>
      <c r="B6" s="146"/>
      <c r="C6" s="146"/>
      <c r="D6" s="146"/>
      <c r="E6" s="146"/>
    </row>
    <row r="7" spans="1:15" ht="13.8" x14ac:dyDescent="0.3">
      <c r="A7" s="235" t="s">
        <v>77</v>
      </c>
      <c r="B7" s="236"/>
      <c r="C7" s="236"/>
      <c r="D7" s="236"/>
      <c r="E7" s="236"/>
      <c r="F7" s="236"/>
      <c r="G7" s="236"/>
      <c r="H7" s="237"/>
      <c r="L7" s="113" t="s">
        <v>72</v>
      </c>
      <c r="M7" s="113" t="s">
        <v>76</v>
      </c>
    </row>
    <row r="8" spans="1:15" ht="13.8" x14ac:dyDescent="0.3">
      <c r="A8" s="106">
        <v>400523.88</v>
      </c>
      <c r="B8" s="144" t="s">
        <v>75</v>
      </c>
      <c r="C8" s="144" t="s">
        <v>74</v>
      </c>
      <c r="D8" s="144" t="s">
        <v>73</v>
      </c>
      <c r="E8" s="145">
        <f>3935/2</f>
        <v>1967.5</v>
      </c>
      <c r="F8" s="144" t="s">
        <v>72</v>
      </c>
      <c r="G8" s="144" t="s">
        <v>71</v>
      </c>
      <c r="H8" s="143" t="s">
        <v>70</v>
      </c>
      <c r="K8" s="139">
        <v>19</v>
      </c>
      <c r="L8" s="125">
        <v>7502.93</v>
      </c>
      <c r="M8" s="125">
        <v>2365.2600000000002</v>
      </c>
    </row>
    <row r="9" spans="1:15" ht="14.4" x14ac:dyDescent="0.3">
      <c r="A9" s="142" t="s">
        <v>34</v>
      </c>
      <c r="B9" s="139">
        <v>1617</v>
      </c>
      <c r="C9" s="139">
        <f>B9+J25</f>
        <v>1689</v>
      </c>
      <c r="D9" s="139">
        <f t="shared" ref="D9:D20" si="0">+C9-B9</f>
        <v>72</v>
      </c>
      <c r="E9" s="103">
        <f>+D9/E8</f>
        <v>3.6594663278271919E-2</v>
      </c>
      <c r="F9" s="102">
        <f>+A8*E9</f>
        <v>14657.036523506989</v>
      </c>
      <c r="G9" s="102">
        <f>+(A8*A23)/12</f>
        <v>9949.481390088944</v>
      </c>
      <c r="H9" s="101">
        <f>+G9+F9</f>
        <v>24606.517913595933</v>
      </c>
      <c r="K9" s="113">
        <v>106</v>
      </c>
      <c r="L9" s="125">
        <f>+L8*O9</f>
        <v>1575.6152999999999</v>
      </c>
      <c r="M9" s="113">
        <f>M8*21%</f>
        <v>496.70460000000003</v>
      </c>
      <c r="N9" s="113" t="s">
        <v>69</v>
      </c>
      <c r="O9" s="105">
        <v>0.21</v>
      </c>
    </row>
    <row r="10" spans="1:15" ht="14.4" x14ac:dyDescent="0.3">
      <c r="A10" s="140" t="s">
        <v>35</v>
      </c>
      <c r="B10" s="139">
        <v>4104</v>
      </c>
      <c r="C10" s="139">
        <f t="shared" ref="C10:C20" si="1">B10+J26</f>
        <v>4195</v>
      </c>
      <c r="D10" s="139">
        <f t="shared" si="0"/>
        <v>91</v>
      </c>
      <c r="E10" s="103">
        <f>+D10/E8</f>
        <v>4.6251588310038116E-2</v>
      </c>
      <c r="F10" s="102">
        <f>+A8*E10</f>
        <v>18524.865606099109</v>
      </c>
      <c r="G10" s="102">
        <f>+G9</f>
        <v>9949.481390088944</v>
      </c>
      <c r="H10" s="101">
        <f>+G10+F10</f>
        <v>28474.346996188055</v>
      </c>
      <c r="K10" s="113">
        <v>60</v>
      </c>
      <c r="L10" s="125">
        <f>+L8*O10</f>
        <v>481.98822320000005</v>
      </c>
      <c r="M10" s="113">
        <f>+M8*6.424%</f>
        <v>151.94430240000003</v>
      </c>
      <c r="N10" s="113" t="s">
        <v>68</v>
      </c>
      <c r="O10" s="104">
        <v>6.4240000000000005E-2</v>
      </c>
    </row>
    <row r="11" spans="1:15" ht="14.4" x14ac:dyDescent="0.3">
      <c r="A11" s="140" t="s">
        <v>36</v>
      </c>
      <c r="B11" s="139">
        <v>7644</v>
      </c>
      <c r="C11" s="139">
        <f t="shared" si="1"/>
        <v>7807</v>
      </c>
      <c r="D11" s="139">
        <f t="shared" si="0"/>
        <v>163</v>
      </c>
      <c r="E11" s="103">
        <f>+D11/E8</f>
        <v>8.2846251588310035E-2</v>
      </c>
      <c r="F11" s="102">
        <f>+A8*E11</f>
        <v>33181.902129606096</v>
      </c>
      <c r="G11" s="102">
        <f>G10</f>
        <v>9949.481390088944</v>
      </c>
      <c r="H11" s="101">
        <f>+G11+F11</f>
        <v>43131.383519695039</v>
      </c>
      <c r="K11" s="113">
        <v>79</v>
      </c>
      <c r="L11" s="125">
        <f>+L8*0.001%</f>
        <v>7.5029300000000007E-2</v>
      </c>
      <c r="M11" s="113">
        <v>0.03</v>
      </c>
      <c r="N11" s="113" t="s">
        <v>67</v>
      </c>
      <c r="O11" s="125">
        <v>0.1</v>
      </c>
    </row>
    <row r="12" spans="1:15" ht="14.4" x14ac:dyDescent="0.3">
      <c r="A12" s="140" t="s">
        <v>37</v>
      </c>
      <c r="B12" s="139">
        <v>6554</v>
      </c>
      <c r="C12" s="139">
        <f t="shared" si="1"/>
        <v>6730</v>
      </c>
      <c r="D12" s="139">
        <f t="shared" si="0"/>
        <v>176</v>
      </c>
      <c r="E12" s="103">
        <f>+D12/E8</f>
        <v>8.9453621346886919E-2</v>
      </c>
      <c r="F12" s="102">
        <f>+A8*E12</f>
        <v>35828.311501905977</v>
      </c>
      <c r="G12" s="102">
        <f>G9</f>
        <v>9949.481390088944</v>
      </c>
      <c r="H12" s="101">
        <f t="shared" ref="H12:H20" si="2">SUM(F12:G12)</f>
        <v>45777.792891994919</v>
      </c>
      <c r="K12" s="113">
        <v>89</v>
      </c>
      <c r="L12" s="125">
        <v>400</v>
      </c>
      <c r="M12" s="113">
        <v>253</v>
      </c>
      <c r="N12" s="113" t="s">
        <v>66</v>
      </c>
      <c r="O12" s="113">
        <v>653</v>
      </c>
    </row>
    <row r="13" spans="1:15" ht="14.4" x14ac:dyDescent="0.3">
      <c r="A13" s="140" t="s">
        <v>38</v>
      </c>
      <c r="B13" s="139">
        <v>7564</v>
      </c>
      <c r="C13" s="139">
        <f t="shared" si="1"/>
        <v>7767</v>
      </c>
      <c r="D13" s="139">
        <f t="shared" si="0"/>
        <v>203</v>
      </c>
      <c r="E13" s="103">
        <f>+D13/E8</f>
        <v>0.10317662007623889</v>
      </c>
      <c r="F13" s="102">
        <f>+A8*E13</f>
        <v>41324.700198221093</v>
      </c>
      <c r="G13" s="102">
        <f>G9</f>
        <v>9949.481390088944</v>
      </c>
      <c r="H13" s="101">
        <f t="shared" si="2"/>
        <v>51274.181588310035</v>
      </c>
      <c r="K13" s="113">
        <v>140</v>
      </c>
      <c r="L13" s="141">
        <f>SUM(L8:L12)-0.45</f>
        <v>9960.1585524999991</v>
      </c>
      <c r="M13" s="113">
        <f>SUM(M8:M12)</f>
        <v>3266.9389024000006</v>
      </c>
    </row>
    <row r="14" spans="1:15" ht="14.4" x14ac:dyDescent="0.3">
      <c r="A14" s="140" t="s">
        <v>39</v>
      </c>
      <c r="B14" s="139">
        <v>10119</v>
      </c>
      <c r="C14" s="139">
        <f t="shared" si="1"/>
        <v>10334</v>
      </c>
      <c r="D14" s="139">
        <f t="shared" si="0"/>
        <v>215</v>
      </c>
      <c r="E14" s="103">
        <f>+D14/E8</f>
        <v>0.10927573062261753</v>
      </c>
      <c r="F14" s="102">
        <f>+A8*E14</f>
        <v>43767.539618805589</v>
      </c>
      <c r="G14" s="102">
        <f>G9</f>
        <v>9949.481390088944</v>
      </c>
      <c r="H14" s="101">
        <f t="shared" si="2"/>
        <v>53717.021008894531</v>
      </c>
      <c r="K14" s="113">
        <v>143</v>
      </c>
    </row>
    <row r="15" spans="1:15" ht="14.4" x14ac:dyDescent="0.3">
      <c r="A15" s="140" t="s">
        <v>40</v>
      </c>
      <c r="B15" s="139">
        <v>8986</v>
      </c>
      <c r="C15" s="139">
        <f t="shared" si="1"/>
        <v>9068</v>
      </c>
      <c r="D15" s="139">
        <f t="shared" si="0"/>
        <v>82</v>
      </c>
      <c r="E15" s="103">
        <f>+D15/E8</f>
        <v>4.1677255400254132E-2</v>
      </c>
      <c r="F15" s="102">
        <f>+A8*E15</f>
        <v>16692.736040660737</v>
      </c>
      <c r="G15" s="102">
        <f>G9</f>
        <v>9949.481390088944</v>
      </c>
      <c r="H15" s="101">
        <f t="shared" si="2"/>
        <v>26642.217430749683</v>
      </c>
      <c r="K15" s="113">
        <v>221</v>
      </c>
      <c r="L15" s="113">
        <f>+L13+M13</f>
        <v>13227.0974549</v>
      </c>
    </row>
    <row r="16" spans="1:15" ht="14.4" x14ac:dyDescent="0.3">
      <c r="A16" s="140" t="s">
        <v>41</v>
      </c>
      <c r="B16" s="139">
        <v>7032</v>
      </c>
      <c r="C16" s="139">
        <f t="shared" si="1"/>
        <v>7034</v>
      </c>
      <c r="D16" s="139">
        <f t="shared" si="0"/>
        <v>2</v>
      </c>
      <c r="E16" s="103">
        <f>+D16/E8</f>
        <v>1.0165184243964421E-3</v>
      </c>
      <c r="F16" s="102">
        <f>+A8*E16</f>
        <v>407.13990343074965</v>
      </c>
      <c r="G16" s="102">
        <f>G9</f>
        <v>9949.481390088944</v>
      </c>
      <c r="H16" s="101">
        <f t="shared" si="2"/>
        <v>10356.621293519693</v>
      </c>
      <c r="K16" s="113">
        <v>32</v>
      </c>
    </row>
    <row r="17" spans="1:13" ht="14.4" x14ac:dyDescent="0.3">
      <c r="A17" s="140" t="s">
        <v>42</v>
      </c>
      <c r="B17" s="139">
        <v>1623</v>
      </c>
      <c r="C17" s="139">
        <f t="shared" si="1"/>
        <v>1668</v>
      </c>
      <c r="D17" s="139">
        <f t="shared" si="0"/>
        <v>45</v>
      </c>
      <c r="E17" s="103">
        <f>+D17/E8</f>
        <v>2.2871664548919948E-2</v>
      </c>
      <c r="F17" s="102">
        <f>+A8*E17</f>
        <v>9160.6478271918677</v>
      </c>
      <c r="G17" s="102">
        <f>G9</f>
        <v>9949.481390088944</v>
      </c>
      <c r="H17" s="101">
        <f t="shared" si="2"/>
        <v>19110.12921728081</v>
      </c>
      <c r="K17" s="113">
        <v>80</v>
      </c>
    </row>
    <row r="18" spans="1:13" ht="14.4" x14ac:dyDescent="0.3">
      <c r="A18" s="140" t="s">
        <v>43</v>
      </c>
      <c r="B18" s="139">
        <v>3932</v>
      </c>
      <c r="C18" s="139">
        <f t="shared" si="1"/>
        <v>4021</v>
      </c>
      <c r="D18" s="139">
        <f t="shared" si="0"/>
        <v>89</v>
      </c>
      <c r="E18" s="103">
        <f>+D18/E8</f>
        <v>4.5235069885641674E-2</v>
      </c>
      <c r="F18" s="102">
        <f>+A8*E18</f>
        <v>18117.725702668358</v>
      </c>
      <c r="G18" s="102">
        <f>G9</f>
        <v>9949.481390088944</v>
      </c>
      <c r="H18" s="101">
        <f t="shared" si="2"/>
        <v>28067.2070927573</v>
      </c>
      <c r="K18" s="113">
        <v>113</v>
      </c>
    </row>
    <row r="19" spans="1:13" ht="14.4" x14ac:dyDescent="0.3">
      <c r="A19" s="140" t="s">
        <v>44</v>
      </c>
      <c r="B19" s="139">
        <v>6887</v>
      </c>
      <c r="C19" s="139">
        <f t="shared" si="1"/>
        <v>6994</v>
      </c>
      <c r="D19" s="139">
        <f t="shared" si="0"/>
        <v>107</v>
      </c>
      <c r="E19" s="103">
        <f>+D19/E8</f>
        <v>5.4383735705209657E-2</v>
      </c>
      <c r="F19" s="102">
        <f>+A8*E19</f>
        <v>21781.98483354511</v>
      </c>
      <c r="G19" s="102">
        <f>G9</f>
        <v>9949.481390088944</v>
      </c>
      <c r="H19" s="101">
        <f t="shared" si="2"/>
        <v>31731.466223634052</v>
      </c>
      <c r="K19" s="113">
        <v>2</v>
      </c>
    </row>
    <row r="20" spans="1:13" ht="14.4" x14ac:dyDescent="0.3">
      <c r="A20" s="140" t="s">
        <v>45</v>
      </c>
      <c r="B20" s="139">
        <v>1884</v>
      </c>
      <c r="C20" s="139">
        <f t="shared" si="1"/>
        <v>2020</v>
      </c>
      <c r="D20" s="139">
        <f t="shared" si="0"/>
        <v>136</v>
      </c>
      <c r="E20" s="103">
        <f>+D20/E8</f>
        <v>6.9123252858958067E-2</v>
      </c>
      <c r="F20" s="102">
        <f>+A8*E20</f>
        <v>27685.513433290977</v>
      </c>
      <c r="G20" s="102">
        <f>G9</f>
        <v>9949.481390088944</v>
      </c>
      <c r="H20" s="101">
        <f t="shared" si="2"/>
        <v>37634.994823379922</v>
      </c>
    </row>
    <row r="21" spans="1:13" ht="14.4" thickBot="1" x14ac:dyDescent="0.35">
      <c r="A21" s="138" t="s">
        <v>139</v>
      </c>
      <c r="B21" s="137"/>
      <c r="C21" s="137"/>
      <c r="D21" s="136">
        <f>SUM(D9:D20)</f>
        <v>1381</v>
      </c>
      <c r="E21" s="135"/>
      <c r="F21" s="115"/>
      <c r="G21" s="115"/>
      <c r="H21" s="100">
        <f>SUM(H9:H20)</f>
        <v>400523.88</v>
      </c>
      <c r="J21" s="125">
        <f>+H21-A8</f>
        <v>0</v>
      </c>
    </row>
    <row r="22" spans="1:13" ht="13.8" x14ac:dyDescent="0.3">
      <c r="A22" s="99">
        <f>+D21/E8</f>
        <v>0.70190597204574334</v>
      </c>
      <c r="B22" s="134" t="s">
        <v>65</v>
      </c>
      <c r="L22" s="133"/>
    </row>
    <row r="23" spans="1:13" ht="14.4" thickBot="1" x14ac:dyDescent="0.35">
      <c r="A23" s="98">
        <f>100%-A22</f>
        <v>0.29809402795425666</v>
      </c>
      <c r="B23" s="132" t="s">
        <v>64</v>
      </c>
    </row>
    <row r="25" spans="1:13" x14ac:dyDescent="0.25">
      <c r="A25" s="131"/>
      <c r="J25" s="113">
        <v>72</v>
      </c>
    </row>
    <row r="26" spans="1:13" x14ac:dyDescent="0.25">
      <c r="J26" s="113">
        <v>91</v>
      </c>
    </row>
    <row r="27" spans="1:13" ht="13.8" thickBot="1" x14ac:dyDescent="0.3">
      <c r="J27" s="113">
        <v>163</v>
      </c>
    </row>
    <row r="28" spans="1:13" x14ac:dyDescent="0.25">
      <c r="B28" s="238" t="s">
        <v>138</v>
      </c>
      <c r="C28" s="239"/>
      <c r="D28" s="239"/>
      <c r="E28" s="239"/>
      <c r="F28" s="240"/>
      <c r="J28" s="113">
        <v>176</v>
      </c>
    </row>
    <row r="29" spans="1:13" x14ac:dyDescent="0.25">
      <c r="B29" s="130" t="s">
        <v>137</v>
      </c>
      <c r="C29" s="129" t="s">
        <v>136</v>
      </c>
      <c r="D29" s="129" t="s">
        <v>135</v>
      </c>
      <c r="E29" s="129" t="s">
        <v>134</v>
      </c>
      <c r="F29" s="128" t="s">
        <v>133</v>
      </c>
      <c r="J29" s="113">
        <v>203</v>
      </c>
    </row>
    <row r="30" spans="1:13" ht="14.4" x14ac:dyDescent="0.3">
      <c r="B30" s="124" t="s">
        <v>132</v>
      </c>
      <c r="C30" s="102">
        <v>4000</v>
      </c>
      <c r="D30" s="102">
        <v>0</v>
      </c>
      <c r="E30" s="122"/>
      <c r="F30" s="101">
        <f>+C30</f>
        <v>4000</v>
      </c>
      <c r="J30" s="127">
        <v>215</v>
      </c>
      <c r="M30" s="113">
        <f>+H21-A8</f>
        <v>0</v>
      </c>
    </row>
    <row r="31" spans="1:13" ht="14.4" x14ac:dyDescent="0.3">
      <c r="B31" s="124" t="s">
        <v>131</v>
      </c>
      <c r="C31" s="102">
        <v>4000</v>
      </c>
      <c r="D31" s="102">
        <v>0</v>
      </c>
      <c r="E31" s="122"/>
      <c r="F31" s="101">
        <f t="shared" ref="F31:F44" si="3">+F30+C31-D31</f>
        <v>8000</v>
      </c>
      <c r="J31" s="113">
        <v>82</v>
      </c>
    </row>
    <row r="32" spans="1:13" ht="14.4" x14ac:dyDescent="0.3">
      <c r="B32" s="124" t="s">
        <v>130</v>
      </c>
      <c r="C32" s="102">
        <v>4000</v>
      </c>
      <c r="D32" s="102">
        <v>0</v>
      </c>
      <c r="E32" s="122"/>
      <c r="F32" s="101">
        <f t="shared" si="3"/>
        <v>12000</v>
      </c>
      <c r="J32" s="113">
        <v>2</v>
      </c>
    </row>
    <row r="33" spans="2:13" ht="14.4" x14ac:dyDescent="0.3">
      <c r="B33" s="124" t="s">
        <v>129</v>
      </c>
      <c r="C33" s="102">
        <v>4000</v>
      </c>
      <c r="D33" s="102">
        <v>0</v>
      </c>
      <c r="E33" s="122"/>
      <c r="F33" s="101">
        <f t="shared" si="3"/>
        <v>16000</v>
      </c>
      <c r="J33" s="113">
        <v>45</v>
      </c>
      <c r="K33" s="126">
        <f>11934.02-11933.71</f>
        <v>0.31000000000130967</v>
      </c>
    </row>
    <row r="34" spans="2:13" ht="14.4" x14ac:dyDescent="0.3">
      <c r="B34" s="124" t="s">
        <v>128</v>
      </c>
      <c r="C34" s="102">
        <v>4000</v>
      </c>
      <c r="D34" s="102">
        <v>0</v>
      </c>
      <c r="E34" s="122"/>
      <c r="F34" s="101">
        <f t="shared" si="3"/>
        <v>20000</v>
      </c>
      <c r="J34" s="113">
        <v>89</v>
      </c>
    </row>
    <row r="35" spans="2:13" ht="14.4" x14ac:dyDescent="0.3">
      <c r="B35" s="124" t="s">
        <v>127</v>
      </c>
      <c r="C35" s="102">
        <v>4000</v>
      </c>
      <c r="D35" s="102">
        <v>0</v>
      </c>
      <c r="E35" s="122"/>
      <c r="F35" s="101">
        <f t="shared" si="3"/>
        <v>24000</v>
      </c>
      <c r="J35" s="113">
        <v>107</v>
      </c>
    </row>
    <row r="36" spans="2:13" ht="14.4" x14ac:dyDescent="0.3">
      <c r="B36" s="124" t="s">
        <v>126</v>
      </c>
      <c r="C36" s="102">
        <v>4000</v>
      </c>
      <c r="D36" s="102">
        <v>0</v>
      </c>
      <c r="E36" s="122"/>
      <c r="F36" s="101">
        <f t="shared" si="3"/>
        <v>28000</v>
      </c>
      <c r="J36" s="113">
        <v>136</v>
      </c>
    </row>
    <row r="37" spans="2:13" ht="14.4" x14ac:dyDescent="0.3">
      <c r="B37" s="124" t="s">
        <v>125</v>
      </c>
      <c r="C37" s="123">
        <v>4000</v>
      </c>
      <c r="D37" s="102">
        <v>0</v>
      </c>
      <c r="E37" s="122"/>
      <c r="F37" s="101">
        <f t="shared" si="3"/>
        <v>32000</v>
      </c>
    </row>
    <row r="38" spans="2:13" ht="14.4" x14ac:dyDescent="0.3">
      <c r="B38" s="124" t="s">
        <v>124</v>
      </c>
      <c r="C38" s="123">
        <v>4000</v>
      </c>
      <c r="D38" s="123">
        <v>3500</v>
      </c>
      <c r="E38" s="122" t="s">
        <v>123</v>
      </c>
      <c r="F38" s="101">
        <f t="shared" si="3"/>
        <v>32500</v>
      </c>
      <c r="M38" s="125">
        <f>88.05-100</f>
        <v>-11.950000000000003</v>
      </c>
    </row>
    <row r="39" spans="2:13" ht="14.4" x14ac:dyDescent="0.3">
      <c r="B39" s="124" t="s">
        <v>122</v>
      </c>
      <c r="C39" s="123">
        <v>4000</v>
      </c>
      <c r="D39" s="122"/>
      <c r="E39" s="122"/>
      <c r="F39" s="101">
        <f t="shared" si="3"/>
        <v>36500</v>
      </c>
    </row>
    <row r="40" spans="2:13" ht="14.4" x14ac:dyDescent="0.3">
      <c r="B40" s="124" t="s">
        <v>121</v>
      </c>
      <c r="C40" s="123">
        <v>4000</v>
      </c>
      <c r="D40" s="122"/>
      <c r="E40" s="122"/>
      <c r="F40" s="101">
        <f t="shared" si="3"/>
        <v>40500</v>
      </c>
    </row>
    <row r="41" spans="2:13" ht="14.4" x14ac:dyDescent="0.3">
      <c r="B41" s="124" t="s">
        <v>120</v>
      </c>
      <c r="C41" s="123">
        <v>4000</v>
      </c>
      <c r="D41" s="122"/>
      <c r="E41" s="122"/>
      <c r="F41" s="101">
        <f t="shared" si="3"/>
        <v>44500</v>
      </c>
    </row>
    <row r="42" spans="2:13" ht="14.4" x14ac:dyDescent="0.3">
      <c r="B42" s="124" t="s">
        <v>119</v>
      </c>
      <c r="C42" s="123">
        <v>0</v>
      </c>
      <c r="D42" s="122"/>
      <c r="E42" s="122"/>
      <c r="F42" s="101">
        <f t="shared" si="3"/>
        <v>44500</v>
      </c>
    </row>
    <row r="43" spans="2:13" ht="14.4" x14ac:dyDescent="0.3">
      <c r="B43" s="124" t="s">
        <v>118</v>
      </c>
      <c r="C43" s="123">
        <v>0</v>
      </c>
      <c r="D43" s="122"/>
      <c r="E43" s="122"/>
      <c r="F43" s="101">
        <f t="shared" si="3"/>
        <v>44500</v>
      </c>
    </row>
    <row r="44" spans="2:13" ht="14.4" x14ac:dyDescent="0.3">
      <c r="B44" s="121" t="s">
        <v>117</v>
      </c>
      <c r="C44" s="120">
        <v>0</v>
      </c>
      <c r="D44" s="119"/>
      <c r="E44" s="119"/>
      <c r="F44" s="118">
        <f t="shared" si="3"/>
        <v>44500</v>
      </c>
    </row>
    <row r="45" spans="2:13" ht="14.4" x14ac:dyDescent="0.3">
      <c r="B45" s="121" t="s">
        <v>116</v>
      </c>
      <c r="C45" s="120">
        <v>0</v>
      </c>
      <c r="D45" s="119"/>
      <c r="E45" s="119"/>
      <c r="F45" s="118">
        <f>+F43+C45-D45</f>
        <v>44500</v>
      </c>
    </row>
    <row r="46" spans="2:13" ht="14.4" x14ac:dyDescent="0.3">
      <c r="B46" s="121" t="s">
        <v>115</v>
      </c>
      <c r="C46" s="120">
        <v>0</v>
      </c>
      <c r="D46" s="119"/>
      <c r="E46" s="119"/>
      <c r="F46" s="118">
        <f>+F44+C46-D46</f>
        <v>44500</v>
      </c>
    </row>
    <row r="47" spans="2:13" ht="15" thickBot="1" x14ac:dyDescent="0.35">
      <c r="B47" s="117" t="s">
        <v>114</v>
      </c>
      <c r="C47" s="116">
        <f>-A47</f>
        <v>0</v>
      </c>
      <c r="D47" s="115"/>
      <c r="E47" s="115"/>
      <c r="F47" s="114">
        <f>+F45+C47-D47</f>
        <v>44500</v>
      </c>
    </row>
  </sheetData>
  <mergeCells count="3">
    <mergeCell ref="A1:E1"/>
    <mergeCell ref="A7:H7"/>
    <mergeCell ref="B28:F28"/>
  </mergeCells>
  <pageMargins left="0.7" right="0.7" top="0.75" bottom="0.75" header="0.3" footer="0.3"/>
  <pageSetup paperSize="9" scale="8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Gastos</vt:lpstr>
      <vt:lpstr>Planilla</vt:lpstr>
      <vt:lpstr>Calculo Servicios  (2)</vt:lpstr>
      <vt:lpstr>'Calculo Servicios  (2)'!Área_de_impresión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2025-09-28T15:12:08Z</cp:lastPrinted>
  <dcterms:created xsi:type="dcterms:W3CDTF">2021-11-02T15:18:42Z</dcterms:created>
  <dcterms:modified xsi:type="dcterms:W3CDTF">2025-10-16T13:49:38Z</dcterms:modified>
</cp:coreProperties>
</file>