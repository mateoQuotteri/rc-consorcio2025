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OneDrive\Desktop\RC CONSORCIO 2025\TUCUMAN 1061\Abril\"/>
    </mc:Choice>
  </mc:AlternateContent>
  <xr:revisionPtr revIDLastSave="0" documentId="13_ncr:1_{4F9E66C5-51D8-4C41-B1ED-9F347370ED23}" xr6:coauthVersionLast="47" xr6:coauthVersionMax="47" xr10:uidLastSave="{00000000-0000-0000-0000-000000000000}"/>
  <bookViews>
    <workbookView xWindow="-120" yWindow="-120" windowWidth="20730" windowHeight="11160" activeTab="1" xr2:uid="{00000000-000D-0000-FFFF-FFFF00000000}"/>
  </bookViews>
  <sheets>
    <sheet name="Gastos" sheetId="1" r:id="rId1"/>
    <sheet name="Planilla" sheetId="2" r:id="rId2"/>
    <sheet name="Calculo Servicios  (2)" sheetId="4" r:id="rId3"/>
  </sheets>
  <definedNames>
    <definedName name="_xlnm.Print_Area" localSheetId="2">'Calculo Servicios  (2)'!$A$6:$H$23</definedName>
    <definedName name="_xlnm.Print_Area" localSheetId="0">Gastos!$A$1:$H$54</definedName>
    <definedName name="_xlnm.Print_Area" localSheetId="1">Planilla!$A$1:$R$40</definedName>
    <definedName name="CantOper" localSheetId="2">#REF!</definedName>
    <definedName name="CantOper">#REF!</definedName>
    <definedName name="PaseMateriales" localSheetId="2">#REF!</definedName>
    <definedName name="PaseMateriales">#REF!</definedName>
    <definedName name="PaseMdeO" localSheetId="2">#REF!</definedName>
    <definedName name="PaseMdeO">#REF!</definedName>
    <definedName name="PaseSubcontratos" localSheetId="2">#REF!</definedName>
    <definedName name="PaseSubcontratos">#REF!</definedName>
    <definedName name="Plazo" localSheetId="2">#REF!</definedName>
    <definedName name="Plazo">#REF!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23" i="2" l="1"/>
  <c r="I16" i="2" l="1"/>
  <c r="I28" i="2"/>
  <c r="I12" i="2"/>
  <c r="I24" i="2" l="1"/>
  <c r="I18" i="2"/>
  <c r="C9" i="4"/>
  <c r="I15" i="2"/>
  <c r="I13" i="2"/>
  <c r="H16" i="1" l="1"/>
  <c r="H20" i="1"/>
  <c r="C7" i="2" l="1"/>
  <c r="C10" i="4"/>
  <c r="D10" i="4" s="1"/>
  <c r="C11" i="4"/>
  <c r="C12" i="4"/>
  <c r="D12" i="4" s="1"/>
  <c r="C13" i="4"/>
  <c r="D13" i="4" s="1"/>
  <c r="C14" i="4"/>
  <c r="D14" i="4" s="1"/>
  <c r="C15" i="4"/>
  <c r="C16" i="4"/>
  <c r="D16" i="4" s="1"/>
  <c r="C17" i="4"/>
  <c r="D17" i="4" s="1"/>
  <c r="C18" i="4"/>
  <c r="D18" i="4" s="1"/>
  <c r="C19" i="4"/>
  <c r="C20" i="4"/>
  <c r="D20" i="4" s="1"/>
  <c r="D11" i="4"/>
  <c r="D15" i="4"/>
  <c r="D19" i="4"/>
  <c r="Q25" i="2" l="1"/>
  <c r="Q26" i="2"/>
  <c r="Q27" i="2"/>
  <c r="Q28" i="2"/>
  <c r="Q29" i="2"/>
  <c r="Q30" i="2"/>
  <c r="A3" i="4" l="1"/>
  <c r="C3" i="4"/>
  <c r="E8" i="4"/>
  <c r="E11" i="4" s="1"/>
  <c r="D9" i="4"/>
  <c r="E9" i="4" s="1"/>
  <c r="L9" i="4"/>
  <c r="M9" i="4"/>
  <c r="L10" i="4"/>
  <c r="M10" i="4"/>
  <c r="L11" i="4"/>
  <c r="E12" i="4"/>
  <c r="F12" i="4" s="1"/>
  <c r="E13" i="4"/>
  <c r="F13" i="4" s="1"/>
  <c r="L13" i="4"/>
  <c r="E14" i="4"/>
  <c r="E15" i="4"/>
  <c r="F15" i="4"/>
  <c r="E16" i="4"/>
  <c r="E17" i="4"/>
  <c r="E18" i="4"/>
  <c r="F18" i="4" s="1"/>
  <c r="E19" i="4"/>
  <c r="F19" i="4" s="1"/>
  <c r="E20" i="4"/>
  <c r="F30" i="4"/>
  <c r="F31" i="4" s="1"/>
  <c r="F32" i="4" s="1"/>
  <c r="F33" i="4" s="1"/>
  <c r="F34" i="4" s="1"/>
  <c r="F35" i="4" s="1"/>
  <c r="F36" i="4" s="1"/>
  <c r="F37" i="4" s="1"/>
  <c r="F38" i="4" s="1"/>
  <c r="F39" i="4" s="1"/>
  <c r="F40" i="4" s="1"/>
  <c r="F41" i="4" s="1"/>
  <c r="F42" i="4" s="1"/>
  <c r="F43" i="4" s="1"/>
  <c r="K33" i="4"/>
  <c r="M38" i="4"/>
  <c r="C47" i="4"/>
  <c r="D30" i="2"/>
  <c r="D29" i="2"/>
  <c r="D28" i="2"/>
  <c r="D27" i="2"/>
  <c r="D26" i="2"/>
  <c r="D25" i="2"/>
  <c r="D24" i="2"/>
  <c r="M13" i="4" l="1"/>
  <c r="L15" i="4" s="1"/>
  <c r="D21" i="4"/>
  <c r="A22" i="4" s="1"/>
  <c r="A23" i="4" s="1"/>
  <c r="G9" i="4" s="1"/>
  <c r="E10" i="4"/>
  <c r="F10" i="4" s="1"/>
  <c r="F44" i="4"/>
  <c r="F46" i="4" s="1"/>
  <c r="F45" i="4"/>
  <c r="F47" i="4" s="1"/>
  <c r="F17" i="4"/>
  <c r="F14" i="4"/>
  <c r="F9" i="4"/>
  <c r="F20" i="4"/>
  <c r="F11" i="4"/>
  <c r="F16" i="4"/>
  <c r="G13" i="4" l="1"/>
  <c r="H13" i="4" s="1"/>
  <c r="Q16" i="2" s="1"/>
  <c r="G19" i="4"/>
  <c r="H19" i="4" s="1"/>
  <c r="Q22" i="2" s="1"/>
  <c r="G16" i="4"/>
  <c r="H16" i="4" s="1"/>
  <c r="Q19" i="2" s="1"/>
  <c r="G15" i="4"/>
  <c r="H15" i="4" s="1"/>
  <c r="Q18" i="2" s="1"/>
  <c r="G20" i="4"/>
  <c r="H20" i="4" s="1"/>
  <c r="Q23" i="2" s="1"/>
  <c r="G18" i="4"/>
  <c r="H18" i="4" s="1"/>
  <c r="Q21" i="2" s="1"/>
  <c r="G14" i="4"/>
  <c r="H14" i="4" s="1"/>
  <c r="Q17" i="2" s="1"/>
  <c r="G17" i="4"/>
  <c r="H17" i="4" s="1"/>
  <c r="Q20" i="2" s="1"/>
  <c r="H9" i="4"/>
  <c r="Q12" i="2" s="1"/>
  <c r="G12" i="4"/>
  <c r="H12" i="4" s="1"/>
  <c r="Q15" i="2" s="1"/>
  <c r="G10" i="4"/>
  <c r="H10" i="4" l="1"/>
  <c r="Q13" i="2" s="1"/>
  <c r="G11" i="4"/>
  <c r="H11" i="4" s="1"/>
  <c r="H21" i="4" l="1"/>
  <c r="J21" i="4" s="1"/>
  <c r="Q14" i="2"/>
  <c r="M30" i="4" l="1"/>
  <c r="A1" i="2"/>
  <c r="P13" i="2"/>
  <c r="P14" i="2"/>
  <c r="P15" i="2"/>
  <c r="P16" i="2"/>
  <c r="P17" i="2"/>
  <c r="P18" i="2"/>
  <c r="P19" i="2"/>
  <c r="P20" i="2"/>
  <c r="P21" i="2"/>
  <c r="P22" i="2"/>
  <c r="P23" i="2"/>
  <c r="P24" i="2"/>
  <c r="P25" i="2"/>
  <c r="P26" i="2"/>
  <c r="P27" i="2"/>
  <c r="P28" i="2"/>
  <c r="P29" i="2"/>
  <c r="P30" i="2"/>
  <c r="P31" i="2"/>
  <c r="O13" i="2"/>
  <c r="O14" i="2"/>
  <c r="O15" i="2"/>
  <c r="O16" i="2"/>
  <c r="O17" i="2"/>
  <c r="O18" i="2"/>
  <c r="O19" i="2"/>
  <c r="O20" i="2"/>
  <c r="O21" i="2"/>
  <c r="O22" i="2"/>
  <c r="O23" i="2"/>
  <c r="O24" i="2"/>
  <c r="O25" i="2"/>
  <c r="O26" i="2"/>
  <c r="O27" i="2"/>
  <c r="O28" i="2"/>
  <c r="O29" i="2"/>
  <c r="O30" i="2"/>
  <c r="O12" i="2"/>
  <c r="K19" i="2"/>
  <c r="L20" i="2"/>
  <c r="I21" i="2"/>
  <c r="K21" i="2" s="1"/>
  <c r="M21" i="2" s="1"/>
  <c r="K22" i="2"/>
  <c r="M22" i="2" s="1"/>
  <c r="K23" i="2"/>
  <c r="M23" i="2" s="1"/>
  <c r="I26" i="2"/>
  <c r="K26" i="2" s="1"/>
  <c r="M26" i="2" s="1"/>
  <c r="K28" i="2"/>
  <c r="M28" i="2" s="1"/>
  <c r="K29" i="2"/>
  <c r="M29" i="2" s="1"/>
  <c r="K30" i="2"/>
  <c r="M30" i="2" s="1"/>
  <c r="K24" i="2"/>
  <c r="M24" i="2" s="1"/>
  <c r="K25" i="2"/>
  <c r="M25" i="2" s="1"/>
  <c r="K27" i="2"/>
  <c r="K12" i="2"/>
  <c r="M12" i="2" s="1"/>
  <c r="J12" i="2"/>
  <c r="P12" i="2"/>
  <c r="K13" i="2"/>
  <c r="M13" i="2" s="1"/>
  <c r="J13" i="2"/>
  <c r="K14" i="2"/>
  <c r="M14" i="2" s="1"/>
  <c r="J14" i="2"/>
  <c r="K15" i="2"/>
  <c r="M15" i="2" s="1"/>
  <c r="J15" i="2"/>
  <c r="K16" i="2"/>
  <c r="M16" i="2" s="1"/>
  <c r="J16" i="2"/>
  <c r="K17" i="2"/>
  <c r="M17" i="2" s="1"/>
  <c r="J17" i="2"/>
  <c r="K18" i="2"/>
  <c r="J18" i="2"/>
  <c r="J19" i="2"/>
  <c r="J20" i="2"/>
  <c r="J27" i="2"/>
  <c r="J28" i="2"/>
  <c r="J30" i="2"/>
  <c r="G32" i="2"/>
  <c r="H32" i="2"/>
  <c r="M27" i="2" l="1"/>
  <c r="N27" i="2" s="1"/>
  <c r="R27" i="2" s="1"/>
  <c r="M18" i="2"/>
  <c r="N18" i="2" s="1"/>
  <c r="R18" i="2" s="1"/>
  <c r="M19" i="2"/>
  <c r="N19" i="2" s="1"/>
  <c r="R19" i="2" s="1"/>
  <c r="N24" i="2"/>
  <c r="R24" i="2" s="1"/>
  <c r="N22" i="2"/>
  <c r="R22" i="2" s="1"/>
  <c r="N23" i="2"/>
  <c r="R23" i="2" s="1"/>
  <c r="N30" i="2"/>
  <c r="R30" i="2" s="1"/>
  <c r="N29" i="2"/>
  <c r="R29" i="2" s="1"/>
  <c r="N28" i="2"/>
  <c r="R28" i="2" s="1"/>
  <c r="N21" i="2"/>
  <c r="R21" i="2" s="1"/>
  <c r="N26" i="2"/>
  <c r="R26" i="2" s="1"/>
  <c r="N25" i="2"/>
  <c r="R25" i="2" s="1"/>
  <c r="N13" i="2"/>
  <c r="R13" i="2" s="1"/>
  <c r="K20" i="2"/>
  <c r="N15" i="2"/>
  <c r="R15" i="2" s="1"/>
  <c r="N17" i="2"/>
  <c r="R17" i="2" s="1"/>
  <c r="P32" i="2"/>
  <c r="O32" i="2"/>
  <c r="R32" i="2" s="1"/>
  <c r="N14" i="2"/>
  <c r="R14" i="2" s="1"/>
  <c r="N16" i="2"/>
  <c r="R16" i="2" s="1"/>
  <c r="N12" i="2"/>
  <c r="R12" i="2" s="1"/>
  <c r="K32" i="2"/>
  <c r="I32" i="2"/>
  <c r="H50" i="1" s="1"/>
  <c r="M20" i="2" l="1"/>
  <c r="N20" i="2" s="1"/>
  <c r="R20" i="2" s="1"/>
  <c r="H21" i="1"/>
  <c r="H26" i="1"/>
  <c r="H33" i="1" l="1"/>
  <c r="H52" i="1" l="1"/>
  <c r="H40" i="1"/>
  <c r="H46" i="1" s="1"/>
  <c r="H43" i="1" l="1"/>
  <c r="H5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E8" authorId="0" shapeId="0" xr:uid="{00000000-0006-0000-0200-000001000000}">
      <text>
        <r>
          <rPr>
            <b/>
            <sz val="9"/>
            <color indexed="81"/>
            <rFont val="Tahoma"/>
            <family val="2"/>
          </rPr>
          <t xml:space="preserve">Valor Consumo Factura </t>
        </r>
      </text>
    </comment>
  </commentList>
</comments>
</file>

<file path=xl/sharedStrings.xml><?xml version="1.0" encoding="utf-8"?>
<sst xmlns="http://schemas.openxmlformats.org/spreadsheetml/2006/main" count="199" uniqueCount="168">
  <si>
    <t>Domicilio:</t>
  </si>
  <si>
    <t>Cel.</t>
  </si>
  <si>
    <t>e-mail:</t>
  </si>
  <si>
    <t>LIQUIDACION DE EXPENSAS</t>
  </si>
  <si>
    <t xml:space="preserve">Domicilio: </t>
  </si>
  <si>
    <t>Total:</t>
  </si>
  <si>
    <t>2- SERVICIO PUBLICIO</t>
  </si>
  <si>
    <t>Total Servicios publicos:</t>
  </si>
  <si>
    <t>Total mantenimiento:</t>
  </si>
  <si>
    <t xml:space="preserve">Nombre y Apellido: </t>
  </si>
  <si>
    <t>Carolina Canciani</t>
  </si>
  <si>
    <t>1- SERVICIO DE LIMPIEZA Y JARDINERIA</t>
  </si>
  <si>
    <t>GASTOS EXTRAORDINARIOS</t>
  </si>
  <si>
    <t>ESTADO FINANCIERO</t>
  </si>
  <si>
    <t>Saldo al cierre</t>
  </si>
  <si>
    <t>TOTAL DE GASTOS ORDINARIOS 1,2,3,4,5,6;</t>
  </si>
  <si>
    <t>TOTAL</t>
  </si>
  <si>
    <t>MP:1148</t>
  </si>
  <si>
    <t xml:space="preserve">  </t>
  </si>
  <si>
    <t>Señores propietarios e inquilinos: la superficie que ocupa la camara de luz y que forma del porcentaje total construido, el gasto se prorratea por cada unidad funcional. Atte. La Administracion.-</t>
  </si>
  <si>
    <t>Total a Pagar</t>
  </si>
  <si>
    <t>Gasto Extraordinario</t>
  </si>
  <si>
    <t>Gasto Ordinario</t>
  </si>
  <si>
    <t>Total con Mora</t>
  </si>
  <si>
    <t>DEUDA Extra</t>
  </si>
  <si>
    <t xml:space="preserve">DEUDA </t>
  </si>
  <si>
    <t>EDESUR</t>
  </si>
  <si>
    <t xml:space="preserve">PAGOS </t>
  </si>
  <si>
    <t>PAGO EXTRA</t>
  </si>
  <si>
    <t xml:space="preserve">% </t>
  </si>
  <si>
    <t>INQUILINOS</t>
  </si>
  <si>
    <t>PROPIETARIOS</t>
  </si>
  <si>
    <t>PISO - DEPTO</t>
  </si>
  <si>
    <t>U.F.</t>
  </si>
  <si>
    <t>Gastos Extraordinarios:</t>
  </si>
  <si>
    <t>Gastos Extr.</t>
  </si>
  <si>
    <t>Gastos Ordinarios:</t>
  </si>
  <si>
    <t>1ro. "A"</t>
  </si>
  <si>
    <t>1ro. "B"</t>
  </si>
  <si>
    <t>2do. "A"</t>
  </si>
  <si>
    <t>2do. "B"</t>
  </si>
  <si>
    <t>3ro. "A"</t>
  </si>
  <si>
    <t>3ro. "B"</t>
  </si>
  <si>
    <t>4to. "A"</t>
  </si>
  <si>
    <t>4to. "B"</t>
  </si>
  <si>
    <t>5to. "A"</t>
  </si>
  <si>
    <t>5to. "B"</t>
  </si>
  <si>
    <t>6to. "A"</t>
  </si>
  <si>
    <t>6to. "B"</t>
  </si>
  <si>
    <t>7mo. "A"</t>
  </si>
  <si>
    <t>7mo. "B"</t>
  </si>
  <si>
    <t>8vo. "A"</t>
  </si>
  <si>
    <t>8vo. "B"</t>
  </si>
  <si>
    <t>9no. "A"</t>
  </si>
  <si>
    <t xml:space="preserve">COCHERA 1 </t>
  </si>
  <si>
    <t xml:space="preserve">COCHERA 2 </t>
  </si>
  <si>
    <t xml:space="preserve">COCHERA 7 </t>
  </si>
  <si>
    <t>COCHERA 8</t>
  </si>
  <si>
    <t>COCHERA 9</t>
  </si>
  <si>
    <t>COCHERA 10</t>
  </si>
  <si>
    <t>ROSALES 624</t>
  </si>
  <si>
    <t>Edesur</t>
  </si>
  <si>
    <t xml:space="preserve">AYSA </t>
  </si>
  <si>
    <t xml:space="preserve">SUELDO </t>
  </si>
  <si>
    <t>Arituclos de limpieza</t>
  </si>
  <si>
    <t>3- MANTENIMIENTO DE PARTES COMUNES</t>
  </si>
  <si>
    <t>4- GASTO DE ADMINISTRACION</t>
  </si>
  <si>
    <t>5- SEGURO OBLIGATORIO</t>
  </si>
  <si>
    <t xml:space="preserve">General </t>
  </si>
  <si>
    <t xml:space="preserve">Consumo Depto </t>
  </si>
  <si>
    <t xml:space="preserve">Tasa Municipal </t>
  </si>
  <si>
    <t xml:space="preserve">Contribicion Provincial </t>
  </si>
  <si>
    <t xml:space="preserve">Contribucion Municipal </t>
  </si>
  <si>
    <t>Iva</t>
  </si>
  <si>
    <t xml:space="preserve">Total x unidad </t>
  </si>
  <si>
    <t xml:space="preserve">Fijo </t>
  </si>
  <si>
    <t xml:space="preserve">Variable </t>
  </si>
  <si>
    <t xml:space="preserve">Consumo Mes </t>
  </si>
  <si>
    <t xml:space="preserve">Consumo Actual </t>
  </si>
  <si>
    <t xml:space="preserve">Consumo Anterior </t>
  </si>
  <si>
    <t>Fijo</t>
  </si>
  <si>
    <t xml:space="preserve">Edesur </t>
  </si>
  <si>
    <t>17/08 al 18/10</t>
  </si>
  <si>
    <t xml:space="preserve">Q dias Mes </t>
  </si>
  <si>
    <t xml:space="preserve">Aysa </t>
  </si>
  <si>
    <t>1a</t>
  </si>
  <si>
    <t>1b</t>
  </si>
  <si>
    <t>2a</t>
  </si>
  <si>
    <t>2b</t>
  </si>
  <si>
    <t>3a</t>
  </si>
  <si>
    <t>3b</t>
  </si>
  <si>
    <t>4a</t>
  </si>
  <si>
    <t>4b</t>
  </si>
  <si>
    <t>5a</t>
  </si>
  <si>
    <t>5b</t>
  </si>
  <si>
    <t>6a</t>
  </si>
  <si>
    <t>6b</t>
  </si>
  <si>
    <t>COCHERA 1 (4A)</t>
  </si>
  <si>
    <t>COCHERA 2 (6A)</t>
  </si>
  <si>
    <t>COCHERA 3 (5B)</t>
  </si>
  <si>
    <t>COCHERA 4 (4B)</t>
  </si>
  <si>
    <t>COCHERA 5 (3A)</t>
  </si>
  <si>
    <t>COCHERA 6 (3B)</t>
  </si>
  <si>
    <t>COCHERA 7 (6B)</t>
  </si>
  <si>
    <t>Juan Pablo Rodriguez/ Valeria Ruggiero</t>
  </si>
  <si>
    <t>Mendez Juan Carlos</t>
  </si>
  <si>
    <t>Matias Ezequiel Bonfiglio</t>
  </si>
  <si>
    <t>Garcia Milano Maximiliano Gaston</t>
  </si>
  <si>
    <t>Cecilia Mariel Cassettari</t>
  </si>
  <si>
    <t>Grandinetti Leonardo Alberto</t>
  </si>
  <si>
    <t>Estevez Norberto Omar</t>
  </si>
  <si>
    <t>Degl´Innocenti Julieta Antonella</t>
  </si>
  <si>
    <t>Scarlercio Jorge Omar</t>
  </si>
  <si>
    <t>Moro Vanesa Yania / Juan Carlos Moro</t>
  </si>
  <si>
    <t>SALDO  ANTERIOR</t>
  </si>
  <si>
    <t>Maria Elena</t>
  </si>
  <si>
    <t>Facundo</t>
  </si>
  <si>
    <t>TUCUMAN 1061</t>
  </si>
  <si>
    <t xml:space="preserve">tucuman1061rc@gmail.com  </t>
  </si>
  <si>
    <t>Septiembre 2022</t>
  </si>
  <si>
    <t>Agosto  2022</t>
  </si>
  <si>
    <t>Julio  2022</t>
  </si>
  <si>
    <t>Junio  2022</t>
  </si>
  <si>
    <t>Mayo  2022</t>
  </si>
  <si>
    <t>Abril  2022</t>
  </si>
  <si>
    <t>Marzo  2022</t>
  </si>
  <si>
    <t>Febrero 2022</t>
  </si>
  <si>
    <t>Enero 2022</t>
  </si>
  <si>
    <t xml:space="preserve">Arreglo cerradura </t>
  </si>
  <si>
    <t>Diciembre 2021</t>
  </si>
  <si>
    <t>Noviembre 2021</t>
  </si>
  <si>
    <t>Octubre 2021</t>
  </si>
  <si>
    <t>Septiembre 2021</t>
  </si>
  <si>
    <t>Agosto 2021</t>
  </si>
  <si>
    <t>Julio 2021</t>
  </si>
  <si>
    <t>Junio 2021</t>
  </si>
  <si>
    <t>Mayo 2021</t>
  </si>
  <si>
    <t>Abril 2021</t>
  </si>
  <si>
    <t xml:space="preserve">Acumulado </t>
  </si>
  <si>
    <t xml:space="preserve">Concepto </t>
  </si>
  <si>
    <t xml:space="preserve">Utilizado </t>
  </si>
  <si>
    <t xml:space="preserve">Cobrado </t>
  </si>
  <si>
    <t>Mes</t>
  </si>
  <si>
    <t xml:space="preserve">Fondo de Reserva </t>
  </si>
  <si>
    <t>Total Consumo Mes Octubre</t>
  </si>
  <si>
    <t>Tramo 2/2</t>
  </si>
  <si>
    <t>Mora</t>
  </si>
  <si>
    <t>Seguro OBLIGATORIO DE CONSORCIO - POLIZA Nro. 1175840 - Mercantil Andina</t>
  </si>
  <si>
    <t>Sr. Encargado Hernan</t>
  </si>
  <si>
    <t xml:space="preserve">Lema mantenimiento ascensores </t>
  </si>
  <si>
    <t>TOTAL DE GASTOS ORDINARIOS A PRORRATEAR</t>
  </si>
  <si>
    <t>Sofia</t>
  </si>
  <si>
    <t>Yago</t>
  </si>
  <si>
    <t>Lopez Gabriela</t>
  </si>
  <si>
    <t xml:space="preserve">Ingreso pago por expensas </t>
  </si>
  <si>
    <t xml:space="preserve">Egresos gastos del mes </t>
  </si>
  <si>
    <t>Prevision ordinaria</t>
  </si>
  <si>
    <t>SALDO ANTERIOR</t>
  </si>
  <si>
    <t>ANTE LOS DEUDORES SE PREVISIONA PARA PODER HACER FRENTE AL SELLADO DE LAS MEDIANERAS</t>
  </si>
  <si>
    <t>LAS LINEAS ROJAS SIGNIFICAN DEUDORES, ALGUNOS INCLUSO DE VARIOS MESES, A LA FECHA DE COBRO SE LE IMPUTARAN LOS PUNITORIOS, POR LO TANTO CADA UNO QUE DEBA ABONAR Y ADEUDE, ANTES DE IR DEBE CONSULTAR CUAL ES EL MONTO TOTAL QUE DEBE AFRONTAR CON EL TOTAL DE LA DEUDA Y LOS PUNITORIOS CORRESPONDIENTES. SALUDOS CORDIALES. LAS UNIDADES FUNCIONALES MARCAS SON LAS QUE PROVOCARAN EL CORTE DE LUZ. LA MISMA NO SE ABONARA MAS HASTA QUE TODOS PONGAN AL DIA LAS EXPENSAS.</t>
  </si>
  <si>
    <t xml:space="preserve">PERIODO: ABRIL </t>
  </si>
  <si>
    <t>Poliza Sr. De Luca Carlos Hernan - La holando ABRIL</t>
  </si>
  <si>
    <t>Administraciòn ABRIL 2025:</t>
  </si>
  <si>
    <t>subidos en mar 2025</t>
  </si>
  <si>
    <t xml:space="preserve">Javier </t>
  </si>
  <si>
    <t>Rodriguez Flavio/Rodriguez Mauro</t>
  </si>
  <si>
    <t>Punitorios 5A</t>
  </si>
  <si>
    <t>TOTAL DE GASTOS EXTRAORDINARIOS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</si>
</sst>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quot;$&quot;\ #,##0;[Red]\-&quot;$&quot;\ #,##0"/>
    <numFmt numFmtId="165" formatCode="&quot;$&quot;\ #,##0.00;[Red]\-&quot;$&quot;\ #,##0.00"/>
    <numFmt numFmtId="166" formatCode="_-&quot;$&quot;\ * #,##0.00_-;\-&quot;$&quot;\ * #,##0.00_-;_-&quot;$&quot;\ * &quot;-&quot;??_-;_-@_-"/>
    <numFmt numFmtId="167" formatCode="_-&quot;$&quot;\ * #,##0_-;\-&quot;$&quot;\ * #,##0_-;_-&quot;$&quot;\ * &quot;-&quot;??_-;_-@_-"/>
    <numFmt numFmtId="168" formatCode="_-* #,##0.0000_-;\-* #,##0.0000_-;_-* &quot;-&quot;??_-;_-@_-"/>
    <numFmt numFmtId="169" formatCode="&quot;$&quot;\ #,##0.00"/>
    <numFmt numFmtId="170" formatCode="_ &quot;$&quot;\ * #,##0.00_ ;_ &quot;$&quot;\ * \-#,##0.00_ ;_ &quot;$&quot;\ * &quot;-&quot;??_ ;_ @_ "/>
    <numFmt numFmtId="171" formatCode="0.0000"/>
    <numFmt numFmtId="172" formatCode="0.0"/>
    <numFmt numFmtId="173" formatCode="0.000"/>
    <numFmt numFmtId="174" formatCode="0.000%"/>
    <numFmt numFmtId="175" formatCode="0.00000"/>
    <numFmt numFmtId="176" formatCode="#,##0.00_ ;[Red]\-#,##0.00\ "/>
  </numFmts>
  <fonts count="37"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sz val="11"/>
      <name val="Calibri"/>
      <family val="2"/>
      <scheme val="minor"/>
    </font>
    <font>
      <b/>
      <sz val="11"/>
      <name val="Calibri"/>
      <family val="2"/>
      <scheme val="minor"/>
    </font>
    <font>
      <b/>
      <sz val="12"/>
      <name val="Calibri"/>
      <family val="2"/>
      <scheme val="minor"/>
    </font>
    <font>
      <b/>
      <sz val="14"/>
      <name val="Calibri"/>
      <family val="2"/>
      <scheme val="minor"/>
    </font>
    <font>
      <sz val="12"/>
      <name val="Calibri"/>
      <family val="2"/>
      <scheme val="minor"/>
    </font>
    <font>
      <sz val="11"/>
      <color rgb="FFFF0000"/>
      <name val="Calibri"/>
      <family val="2"/>
      <scheme val="minor"/>
    </font>
    <font>
      <sz val="16"/>
      <color theme="1"/>
      <name val="Calibri"/>
      <family val="2"/>
      <scheme val="minor"/>
    </font>
    <font>
      <b/>
      <sz val="10"/>
      <color theme="1"/>
      <name val="Calibri"/>
      <family val="2"/>
      <scheme val="minor"/>
    </font>
    <font>
      <b/>
      <sz val="9"/>
      <color theme="1"/>
      <name val="Calibri"/>
      <family val="2"/>
      <scheme val="minor"/>
    </font>
    <font>
      <b/>
      <sz val="8"/>
      <color theme="1"/>
      <name val="Calibri"/>
      <family val="2"/>
      <scheme val="minor"/>
    </font>
    <font>
      <b/>
      <sz val="12"/>
      <color theme="1"/>
      <name val="Calibri"/>
      <family val="2"/>
      <scheme val="minor"/>
    </font>
    <font>
      <sz val="10"/>
      <color theme="1"/>
      <name val="Calibri"/>
      <family val="2"/>
      <scheme val="minor"/>
    </font>
    <font>
      <sz val="10"/>
      <name val="Calibri"/>
      <family val="2"/>
      <scheme val="minor"/>
    </font>
    <font>
      <sz val="8"/>
      <color theme="1"/>
      <name val="Calibri"/>
      <family val="2"/>
      <scheme val="minor"/>
    </font>
    <font>
      <sz val="9"/>
      <color theme="1"/>
      <name val="Calibri"/>
      <family val="2"/>
      <scheme val="minor"/>
    </font>
    <font>
      <b/>
      <sz val="16"/>
      <color theme="1"/>
      <name val="Calibri"/>
      <family val="2"/>
      <scheme val="minor"/>
    </font>
    <font>
      <sz val="9"/>
      <name val="Calibri"/>
      <family val="2"/>
    </font>
    <font>
      <sz val="11"/>
      <name val="Calibri"/>
      <family val="2"/>
    </font>
    <font>
      <sz val="10"/>
      <name val="Calibri"/>
      <family val="2"/>
    </font>
    <font>
      <sz val="10"/>
      <name val="Arial"/>
    </font>
    <font>
      <sz val="10"/>
      <name val="Arial"/>
      <family val="2"/>
    </font>
    <font>
      <b/>
      <sz val="10"/>
      <name val="Arial"/>
      <family val="2"/>
    </font>
    <font>
      <b/>
      <sz val="10"/>
      <name val="Calibri"/>
      <family val="2"/>
      <scheme val="minor"/>
    </font>
    <font>
      <b/>
      <sz val="9"/>
      <name val="Calibri"/>
      <family val="2"/>
      <scheme val="minor"/>
    </font>
    <font>
      <sz val="9"/>
      <name val="Calibri"/>
      <family val="2"/>
      <scheme val="minor"/>
    </font>
    <font>
      <b/>
      <sz val="9"/>
      <color indexed="81"/>
      <name val="Tahoma"/>
      <family val="2"/>
    </font>
    <font>
      <sz val="8"/>
      <name val="Calibri"/>
      <family val="2"/>
    </font>
    <font>
      <b/>
      <sz val="11"/>
      <color theme="0"/>
      <name val="Calibri"/>
      <family val="2"/>
      <scheme val="minor"/>
    </font>
    <font>
      <sz val="9"/>
      <color theme="1"/>
      <name val="Calibri"/>
      <family val="2"/>
    </font>
    <font>
      <sz val="8"/>
      <color theme="1"/>
      <name val="Calibri"/>
      <family val="2"/>
    </font>
  </fonts>
  <fills count="11">
    <fill>
      <patternFill patternType="none"/>
    </fill>
    <fill>
      <patternFill patternType="gray125"/>
    </fill>
    <fill>
      <patternFill patternType="solid">
        <fgColor theme="4"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theme="2"/>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0000"/>
        <bgColor indexed="64"/>
      </patternFill>
    </fill>
  </fills>
  <borders count="40">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s>
  <cellStyleXfs count="9">
    <xf numFmtId="0" fontId="0" fillId="0" borderId="0"/>
    <xf numFmtId="166" fontId="1" fillId="0" borderId="0" applyFont="0" applyFill="0" applyBorder="0" applyAlignment="0" applyProtection="0"/>
    <xf numFmtId="0" fontId="3"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 fontId="26" fillId="0" borderId="0"/>
    <xf numFmtId="9" fontId="27" fillId="0" borderId="0" applyFont="0" applyFill="0" applyBorder="0" applyAlignment="0" applyProtection="0"/>
    <xf numFmtId="170" fontId="27" fillId="0" borderId="0" applyFont="0" applyFill="0" applyBorder="0" applyAlignment="0" applyProtection="0"/>
    <xf numFmtId="1" fontId="27" fillId="0" borderId="0"/>
  </cellStyleXfs>
  <cellXfs count="251">
    <xf numFmtId="0" fontId="0" fillId="0" borderId="0" xfId="0"/>
    <xf numFmtId="0" fontId="0" fillId="0" borderId="1" xfId="0" applyBorder="1"/>
    <xf numFmtId="0" fontId="0" fillId="0" borderId="2"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4" fillId="3" borderId="9" xfId="0" applyFont="1" applyFill="1" applyBorder="1"/>
    <xf numFmtId="0" fontId="4" fillId="3" borderId="0" xfId="0" applyFont="1" applyFill="1"/>
    <xf numFmtId="0" fontId="5" fillId="3" borderId="0" xfId="0" applyFont="1" applyFill="1"/>
    <xf numFmtId="0" fontId="5" fillId="3" borderId="10" xfId="0" applyFont="1" applyFill="1" applyBorder="1"/>
    <xf numFmtId="0" fontId="2" fillId="0" borderId="0" xfId="0" applyFont="1"/>
    <xf numFmtId="0" fontId="0" fillId="5" borderId="0" xfId="0" applyFill="1"/>
    <xf numFmtId="165" fontId="0" fillId="0" borderId="0" xfId="0" applyNumberFormat="1"/>
    <xf numFmtId="0" fontId="6" fillId="0" borderId="0" xfId="0" applyFont="1"/>
    <xf numFmtId="0" fontId="3" fillId="0" borderId="0" xfId="2" applyBorder="1"/>
    <xf numFmtId="0" fontId="7" fillId="0" borderId="9" xfId="0" applyFont="1" applyBorder="1"/>
    <xf numFmtId="0" fontId="7" fillId="0" borderId="0" xfId="0" applyFont="1"/>
    <xf numFmtId="164" fontId="7" fillId="0" borderId="10" xfId="0" applyNumberFormat="1" applyFont="1" applyBorder="1"/>
    <xf numFmtId="0" fontId="7" fillId="4" borderId="9" xfId="0" applyFont="1" applyFill="1" applyBorder="1"/>
    <xf numFmtId="0" fontId="7" fillId="4" borderId="0" xfId="0" applyFont="1" applyFill="1"/>
    <xf numFmtId="0" fontId="7" fillId="0" borderId="11" xfId="0" applyFont="1" applyBorder="1"/>
    <xf numFmtId="0" fontId="7" fillId="0" borderId="2" xfId="0" applyFont="1" applyBorder="1"/>
    <xf numFmtId="16" fontId="7" fillId="0" borderId="0" xfId="0" applyNumberFormat="1" applyFont="1"/>
    <xf numFmtId="166" fontId="7" fillId="5" borderId="10" xfId="1" applyFont="1" applyFill="1" applyBorder="1"/>
    <xf numFmtId="166" fontId="8" fillId="4" borderId="10" xfId="0" applyNumberFormat="1" applyFont="1" applyFill="1" applyBorder="1"/>
    <xf numFmtId="0" fontId="7" fillId="0" borderId="10" xfId="0" applyFont="1" applyBorder="1"/>
    <xf numFmtId="166" fontId="8" fillId="5" borderId="10" xfId="1" applyFont="1" applyFill="1" applyBorder="1"/>
    <xf numFmtId="0" fontId="9" fillId="2" borderId="4" xfId="0" applyFont="1" applyFill="1" applyBorder="1"/>
    <xf numFmtId="0" fontId="9" fillId="2" borderId="5" xfId="0" applyFont="1" applyFill="1" applyBorder="1"/>
    <xf numFmtId="165" fontId="9" fillId="2" borderId="6" xfId="0" applyNumberFormat="1" applyFont="1" applyFill="1" applyBorder="1"/>
    <xf numFmtId="166" fontId="11" fillId="5" borderId="3" xfId="1" applyFont="1" applyFill="1" applyBorder="1" applyAlignment="1">
      <alignment horizontal="center" vertical="center"/>
    </xf>
    <xf numFmtId="166" fontId="9" fillId="5" borderId="3" xfId="0" applyNumberFormat="1" applyFont="1" applyFill="1" applyBorder="1" applyAlignment="1">
      <alignment horizontal="center" vertical="center"/>
    </xf>
    <xf numFmtId="166" fontId="9" fillId="2" borderId="6" xfId="1" applyFont="1" applyFill="1" applyBorder="1"/>
    <xf numFmtId="0" fontId="7" fillId="5" borderId="4" xfId="0" applyFont="1" applyFill="1" applyBorder="1"/>
    <xf numFmtId="0" fontId="7" fillId="5" borderId="5" xfId="0" applyFont="1" applyFill="1" applyBorder="1"/>
    <xf numFmtId="165" fontId="7" fillId="5" borderId="3" xfId="1" applyNumberFormat="1" applyFont="1" applyFill="1" applyBorder="1"/>
    <xf numFmtId="0" fontId="10" fillId="5" borderId="4" xfId="0" applyFont="1" applyFill="1" applyBorder="1"/>
    <xf numFmtId="0" fontId="10" fillId="5" borderId="5" xfId="0" applyFont="1" applyFill="1" applyBorder="1"/>
    <xf numFmtId="165" fontId="10" fillId="5" borderId="6" xfId="1" applyNumberFormat="1" applyFont="1" applyFill="1" applyBorder="1" applyAlignment="1">
      <alignment horizontal="right"/>
    </xf>
    <xf numFmtId="166" fontId="12" fillId="5" borderId="3" xfId="1" applyFont="1" applyFill="1" applyBorder="1"/>
    <xf numFmtId="0" fontId="0" fillId="0" borderId="3" xfId="0" applyBorder="1"/>
    <xf numFmtId="164" fontId="8" fillId="6" borderId="10" xfId="0" applyNumberFormat="1" applyFont="1" applyFill="1" applyBorder="1"/>
    <xf numFmtId="0" fontId="7" fillId="0" borderId="12" xfId="0" applyFont="1" applyBorder="1"/>
    <xf numFmtId="164" fontId="7" fillId="5" borderId="10" xfId="0" applyNumberFormat="1" applyFont="1" applyFill="1" applyBorder="1"/>
    <xf numFmtId="166" fontId="7" fillId="0" borderId="10" xfId="1" applyFont="1" applyBorder="1"/>
    <xf numFmtId="166" fontId="0" fillId="0" borderId="0" xfId="0" applyNumberFormat="1"/>
    <xf numFmtId="166" fontId="7" fillId="5" borderId="3" xfId="1" applyFont="1" applyFill="1" applyBorder="1"/>
    <xf numFmtId="0" fontId="8" fillId="7" borderId="0" xfId="0" applyFont="1" applyFill="1" applyAlignment="1">
      <alignment vertical="center"/>
    </xf>
    <xf numFmtId="0" fontId="10" fillId="7" borderId="0" xfId="0" applyFont="1" applyFill="1" applyAlignment="1">
      <alignment vertical="center"/>
    </xf>
    <xf numFmtId="165" fontId="8" fillId="7" borderId="0" xfId="0" applyNumberFormat="1" applyFont="1" applyFill="1" applyAlignment="1">
      <alignment vertical="center"/>
    </xf>
    <xf numFmtId="165" fontId="10" fillId="5" borderId="3" xfId="1" applyNumberFormat="1" applyFont="1" applyFill="1" applyBorder="1"/>
    <xf numFmtId="0" fontId="7" fillId="5" borderId="11" xfId="0" applyFont="1" applyFill="1" applyBorder="1"/>
    <xf numFmtId="0" fontId="7" fillId="5" borderId="2" xfId="0" applyFont="1" applyFill="1" applyBorder="1"/>
    <xf numFmtId="166" fontId="7" fillId="5" borderId="12" xfId="1" applyFont="1" applyFill="1" applyBorder="1"/>
    <xf numFmtId="0" fontId="0" fillId="0" borderId="0" xfId="0" applyAlignment="1">
      <alignment horizontal="center"/>
    </xf>
    <xf numFmtId="167" fontId="0" fillId="0" borderId="0" xfId="1" applyNumberFormat="1" applyFont="1"/>
    <xf numFmtId="43" fontId="0" fillId="0" borderId="0" xfId="0" applyNumberFormat="1"/>
    <xf numFmtId="167" fontId="0" fillId="0" borderId="0" xfId="1" applyNumberFormat="1" applyFont="1" applyBorder="1"/>
    <xf numFmtId="43" fontId="0" fillId="0" borderId="0" xfId="3" applyFont="1" applyBorder="1"/>
    <xf numFmtId="0" fontId="13" fillId="0" borderId="0" xfId="0" applyFont="1"/>
    <xf numFmtId="167" fontId="14" fillId="3" borderId="16" xfId="1" applyNumberFormat="1" applyFont="1" applyFill="1" applyBorder="1"/>
    <xf numFmtId="167" fontId="15" fillId="3" borderId="17" xfId="1" applyNumberFormat="1" applyFont="1" applyFill="1" applyBorder="1"/>
    <xf numFmtId="166" fontId="14" fillId="3" borderId="17" xfId="0" applyNumberFormat="1" applyFont="1" applyFill="1" applyBorder="1"/>
    <xf numFmtId="167" fontId="15" fillId="3" borderId="17" xfId="0" applyNumberFormat="1" applyFont="1" applyFill="1" applyBorder="1"/>
    <xf numFmtId="167" fontId="14" fillId="3" borderId="17" xfId="1" applyNumberFormat="1" applyFont="1" applyFill="1" applyBorder="1"/>
    <xf numFmtId="167" fontId="16" fillId="3" borderId="17" xfId="1" applyNumberFormat="1" applyFont="1" applyFill="1" applyBorder="1"/>
    <xf numFmtId="0" fontId="17" fillId="3" borderId="17" xfId="0" applyFont="1" applyFill="1" applyBorder="1" applyAlignment="1">
      <alignment horizontal="center"/>
    </xf>
    <xf numFmtId="167" fontId="18" fillId="0" borderId="3" xfId="0" applyNumberFormat="1" applyFont="1" applyBorder="1"/>
    <xf numFmtId="167" fontId="18" fillId="0" borderId="3" xfId="1" applyNumberFormat="1" applyFont="1" applyBorder="1"/>
    <xf numFmtId="167" fontId="18" fillId="0" borderId="19" xfId="1" applyNumberFormat="1" applyFont="1" applyBorder="1"/>
    <xf numFmtId="167" fontId="19" fillId="5" borderId="3" xfId="1" applyNumberFormat="1" applyFont="1" applyFill="1" applyBorder="1"/>
    <xf numFmtId="167" fontId="19" fillId="0" borderId="19" xfId="1" applyNumberFormat="1" applyFont="1" applyBorder="1"/>
    <xf numFmtId="43" fontId="18" fillId="0" borderId="19" xfId="3" applyFont="1" applyBorder="1"/>
    <xf numFmtId="0" fontId="20" fillId="0" borderId="19" xfId="0" applyFont="1" applyBorder="1"/>
    <xf numFmtId="0" fontId="0" fillId="0" borderId="3" xfId="0" applyBorder="1" applyAlignment="1">
      <alignment horizontal="left"/>
    </xf>
    <xf numFmtId="167" fontId="19" fillId="0" borderId="3" xfId="1" applyNumberFormat="1" applyFont="1" applyBorder="1"/>
    <xf numFmtId="0" fontId="0" fillId="0" borderId="3" xfId="0" applyBorder="1" applyAlignment="1">
      <alignment horizontal="center"/>
    </xf>
    <xf numFmtId="166" fontId="18" fillId="0" borderId="19" xfId="1" applyFont="1" applyBorder="1" applyAlignment="1">
      <alignment horizontal="center" vertical="center" wrapText="1"/>
    </xf>
    <xf numFmtId="0" fontId="0" fillId="0" borderId="19" xfId="0" applyBorder="1" applyAlignment="1">
      <alignment horizontal="left" vertical="center" wrapText="1"/>
    </xf>
    <xf numFmtId="0" fontId="2" fillId="3" borderId="20" xfId="0" applyFont="1" applyFill="1" applyBorder="1" applyAlignment="1">
      <alignment horizontal="center" vertical="center" wrapText="1"/>
    </xf>
    <xf numFmtId="167" fontId="2" fillId="3" borderId="20" xfId="1" applyNumberFormat="1" applyFont="1" applyFill="1" applyBorder="1" applyAlignment="1">
      <alignment horizontal="center" vertical="center" wrapText="1"/>
    </xf>
    <xf numFmtId="43" fontId="2" fillId="3" borderId="20" xfId="1" applyNumberFormat="1" applyFont="1" applyFill="1" applyBorder="1" applyAlignment="1">
      <alignment horizontal="center" vertical="center" wrapText="1"/>
    </xf>
    <xf numFmtId="0" fontId="16" fillId="3" borderId="20" xfId="0" applyFont="1" applyFill="1" applyBorder="1" applyAlignment="1">
      <alignment horizontal="center" vertical="center"/>
    </xf>
    <xf numFmtId="0" fontId="2" fillId="3" borderId="20" xfId="0" applyFont="1" applyFill="1" applyBorder="1" applyAlignment="1">
      <alignment horizontal="center" vertical="center"/>
    </xf>
    <xf numFmtId="9" fontId="0" fillId="0" borderId="2" xfId="4" applyFont="1" applyBorder="1"/>
    <xf numFmtId="167" fontId="0" fillId="0" borderId="2" xfId="1" applyNumberFormat="1" applyFont="1" applyBorder="1"/>
    <xf numFmtId="43" fontId="0" fillId="0" borderId="2" xfId="0" applyNumberFormat="1" applyBorder="1"/>
    <xf numFmtId="164" fontId="2" fillId="0" borderId="2" xfId="1" applyNumberFormat="1" applyFont="1" applyBorder="1"/>
    <xf numFmtId="166" fontId="0" fillId="0" borderId="2" xfId="1" applyFont="1" applyBorder="1"/>
    <xf numFmtId="0" fontId="2" fillId="0" borderId="11" xfId="0" applyFont="1" applyBorder="1" applyAlignment="1">
      <alignment horizontal="center"/>
    </xf>
    <xf numFmtId="166" fontId="2" fillId="0" borderId="0" xfId="1" applyFont="1" applyBorder="1"/>
    <xf numFmtId="0" fontId="2" fillId="0" borderId="9" xfId="0" applyFont="1" applyBorder="1" applyAlignment="1">
      <alignment horizontal="left"/>
    </xf>
    <xf numFmtId="166" fontId="2" fillId="0" borderId="0" xfId="1" applyFont="1" applyBorder="1" applyAlignment="1">
      <alignment horizontal="left" vertical="top"/>
    </xf>
    <xf numFmtId="167" fontId="2" fillId="0" borderId="0" xfId="1" applyNumberFormat="1" applyFont="1" applyBorder="1"/>
    <xf numFmtId="167" fontId="2" fillId="5" borderId="0" xfId="1" applyNumberFormat="1" applyFont="1" applyFill="1" applyBorder="1" applyAlignment="1">
      <alignment horizontal="center" vertical="center" wrapText="1"/>
    </xf>
    <xf numFmtId="0" fontId="0" fillId="0" borderId="9" xfId="0" applyBorder="1" applyAlignment="1">
      <alignment horizontal="left"/>
    </xf>
    <xf numFmtId="0" fontId="23" fillId="0" borderId="20" xfId="0" applyFont="1" applyBorder="1"/>
    <xf numFmtId="0" fontId="23" fillId="0" borderId="3" xfId="0" applyFont="1" applyBorder="1"/>
    <xf numFmtId="0" fontId="23" fillId="5" borderId="3" xfId="0" applyFont="1" applyFill="1" applyBorder="1"/>
    <xf numFmtId="2" fontId="23" fillId="0" borderId="3" xfId="0" applyNumberFormat="1" applyFont="1" applyBorder="1"/>
    <xf numFmtId="168" fontId="6" fillId="3" borderId="17" xfId="3" applyNumberFormat="1" applyFont="1" applyFill="1" applyBorder="1"/>
    <xf numFmtId="2" fontId="24" fillId="0" borderId="9" xfId="0" applyNumberFormat="1" applyFont="1" applyBorder="1" applyAlignment="1">
      <alignment vertical="center"/>
    </xf>
    <xf numFmtId="10" fontId="29" fillId="0" borderId="15" xfId="6" applyNumberFormat="1" applyFont="1" applyBorder="1"/>
    <xf numFmtId="10" fontId="29" fillId="0" borderId="22" xfId="6" applyNumberFormat="1" applyFont="1" applyFill="1" applyBorder="1"/>
    <xf numFmtId="170" fontId="28" fillId="0" borderId="23" xfId="7" applyFont="1" applyFill="1" applyBorder="1"/>
    <xf numFmtId="170" fontId="0" fillId="0" borderId="26" xfId="7" applyFont="1" applyBorder="1"/>
    <xf numFmtId="170" fontId="0" fillId="0" borderId="3" xfId="7" applyFont="1" applyBorder="1"/>
    <xf numFmtId="10" fontId="19" fillId="0" borderId="3" xfId="6" applyNumberFormat="1" applyFont="1" applyBorder="1"/>
    <xf numFmtId="174" fontId="0" fillId="0" borderId="0" xfId="6" applyNumberFormat="1" applyFont="1"/>
    <xf numFmtId="9" fontId="0" fillId="0" borderId="0" xfId="6" applyFont="1"/>
    <xf numFmtId="170" fontId="25" fillId="8" borderId="0" xfId="7" applyFont="1" applyFill="1" applyBorder="1" applyAlignment="1">
      <alignment vertical="center"/>
    </xf>
    <xf numFmtId="170" fontId="18" fillId="0" borderId="3" xfId="7" applyFont="1" applyBorder="1" applyAlignment="1">
      <alignment vertical="center"/>
    </xf>
    <xf numFmtId="167" fontId="18" fillId="0" borderId="19" xfId="0" applyNumberFormat="1" applyFont="1" applyBorder="1"/>
    <xf numFmtId="167" fontId="18" fillId="3" borderId="37" xfId="0" applyNumberFormat="1" applyFont="1" applyFill="1" applyBorder="1"/>
    <xf numFmtId="0" fontId="23" fillId="0" borderId="3" xfId="0" applyFont="1" applyBorder="1" applyAlignment="1">
      <alignment horizontal="centerContinuous"/>
    </xf>
    <xf numFmtId="0" fontId="33" fillId="0" borderId="6" xfId="0" applyFont="1" applyBorder="1" applyAlignment="1">
      <alignment horizontal="left" wrapText="1"/>
    </xf>
    <xf numFmtId="0" fontId="33" fillId="0" borderId="3" xfId="0" applyFont="1" applyBorder="1" applyAlignment="1">
      <alignment horizontal="left" wrapText="1"/>
    </xf>
    <xf numFmtId="0" fontId="33" fillId="0" borderId="3" xfId="0" applyFont="1" applyBorder="1"/>
    <xf numFmtId="1" fontId="27" fillId="0" borderId="0" xfId="8"/>
    <xf numFmtId="170" fontId="0" fillId="0" borderId="23" xfId="7" applyFont="1" applyBorder="1"/>
    <xf numFmtId="1" fontId="27" fillId="0" borderId="24" xfId="8" applyBorder="1"/>
    <xf numFmtId="170" fontId="0" fillId="0" borderId="24" xfId="7" applyFont="1" applyFill="1" applyBorder="1"/>
    <xf numFmtId="49" fontId="27" fillId="0" borderId="25" xfId="8" applyNumberFormat="1" applyBorder="1"/>
    <xf numFmtId="170" fontId="0" fillId="0" borderId="38" xfId="7" applyFont="1" applyBorder="1"/>
    <xf numFmtId="1" fontId="27" fillId="0" borderId="19" xfId="8" applyBorder="1"/>
    <xf numFmtId="170" fontId="0" fillId="0" borderId="19" xfId="7" applyFont="1" applyFill="1" applyBorder="1"/>
    <xf numFmtId="49" fontId="27" fillId="0" borderId="39" xfId="8" applyNumberFormat="1" applyBorder="1"/>
    <xf numFmtId="1" fontId="27" fillId="0" borderId="3" xfId="8" applyBorder="1"/>
    <xf numFmtId="170" fontId="0" fillId="0" borderId="3" xfId="7" applyFont="1" applyFill="1" applyBorder="1"/>
    <xf numFmtId="49" fontId="27" fillId="0" borderId="33" xfId="8" applyNumberFormat="1" applyBorder="1"/>
    <xf numFmtId="2" fontId="27" fillId="0" borderId="0" xfId="8" applyNumberFormat="1"/>
    <xf numFmtId="175" fontId="27" fillId="0" borderId="0" xfId="8" applyNumberFormat="1"/>
    <xf numFmtId="172" fontId="27" fillId="0" borderId="0" xfId="8" applyNumberFormat="1"/>
    <xf numFmtId="1" fontId="28" fillId="0" borderId="26" xfId="8" applyFont="1" applyBorder="1"/>
    <xf numFmtId="1" fontId="28" fillId="0" borderId="3" xfId="8" applyFont="1" applyBorder="1"/>
    <xf numFmtId="1" fontId="28" fillId="0" borderId="33" xfId="8" applyFont="1" applyBorder="1"/>
    <xf numFmtId="1" fontId="27" fillId="0" borderId="0" xfId="8" quotePrefix="1"/>
    <xf numFmtId="1" fontId="28" fillId="0" borderId="13" xfId="8" applyFont="1" applyBorder="1"/>
    <xf numFmtId="169" fontId="27" fillId="0" borderId="0" xfId="8" applyNumberFormat="1"/>
    <xf numFmtId="1" fontId="28" fillId="0" borderId="21" xfId="8" applyFont="1" applyBorder="1"/>
    <xf numFmtId="171" fontId="27" fillId="0" borderId="24" xfId="8" applyNumberFormat="1" applyBorder="1"/>
    <xf numFmtId="1" fontId="19" fillId="0" borderId="24" xfId="8" applyFont="1" applyBorder="1"/>
    <xf numFmtId="1" fontId="28" fillId="0" borderId="24" xfId="8" applyFont="1" applyBorder="1"/>
    <xf numFmtId="1" fontId="30" fillId="0" borderId="25" xfId="8" applyFont="1" applyBorder="1"/>
    <xf numFmtId="1" fontId="19" fillId="0" borderId="3" xfId="8" applyFont="1" applyBorder="1"/>
    <xf numFmtId="1" fontId="31" fillId="0" borderId="27" xfId="8" applyFont="1" applyBorder="1"/>
    <xf numFmtId="173" fontId="27" fillId="0" borderId="0" xfId="8" applyNumberFormat="1"/>
    <xf numFmtId="1" fontId="31" fillId="0" borderId="28" xfId="8" applyFont="1" applyBorder="1"/>
    <xf numFmtId="1" fontId="19" fillId="0" borderId="29" xfId="8" applyFont="1" applyBorder="1"/>
    <xf numFmtId="1" fontId="19" fillId="0" borderId="20" xfId="8" applyFont="1" applyBorder="1"/>
    <xf numFmtId="1" fontId="27" fillId="8" borderId="0" xfId="8" applyFill="1"/>
    <xf numFmtId="1" fontId="19" fillId="0" borderId="0" xfId="8" applyFont="1"/>
    <xf numFmtId="1" fontId="19" fillId="0" borderId="23" xfId="8" applyFont="1" applyBorder="1"/>
    <xf numFmtId="2" fontId="18" fillId="0" borderId="24" xfId="8" applyNumberFormat="1" applyFont="1" applyBorder="1" applyAlignment="1">
      <alignment vertical="center"/>
    </xf>
    <xf numFmtId="2" fontId="18" fillId="0" borderId="25" xfId="8" applyNumberFormat="1" applyFont="1" applyBorder="1" applyAlignment="1">
      <alignment vertical="center"/>
    </xf>
    <xf numFmtId="1" fontId="19" fillId="0" borderId="26" xfId="8" applyFont="1" applyBorder="1"/>
    <xf numFmtId="2" fontId="18" fillId="0" borderId="3" xfId="8" applyNumberFormat="1" applyFont="1" applyBorder="1" applyAlignment="1">
      <alignment vertical="center"/>
    </xf>
    <xf numFmtId="2" fontId="18" fillId="0" borderId="33" xfId="8" applyNumberFormat="1" applyFont="1" applyBorder="1" applyAlignment="1">
      <alignment vertical="center"/>
    </xf>
    <xf numFmtId="1" fontId="19" fillId="0" borderId="3" xfId="8" applyFont="1" applyBorder="1" applyAlignment="1">
      <alignment horizontal="center"/>
    </xf>
    <xf numFmtId="1" fontId="19" fillId="0" borderId="33" xfId="8" applyFont="1" applyBorder="1"/>
    <xf numFmtId="0" fontId="33" fillId="0" borderId="6" xfId="0" applyFont="1" applyBorder="1" applyAlignment="1">
      <alignment horizontal="left" vertical="center" wrapText="1"/>
    </xf>
    <xf numFmtId="0" fontId="34" fillId="0" borderId="0" xfId="0" applyFont="1"/>
    <xf numFmtId="0" fontId="0" fillId="8" borderId="3" xfId="0" applyFill="1" applyBorder="1" applyAlignment="1">
      <alignment horizontal="left"/>
    </xf>
    <xf numFmtId="167" fontId="19" fillId="0" borderId="19" xfId="1" applyNumberFormat="1" applyFont="1" applyBorder="1" applyAlignment="1">
      <alignment horizontal="center" wrapText="1"/>
    </xf>
    <xf numFmtId="167" fontId="18" fillId="5" borderId="3" xfId="1" applyNumberFormat="1" applyFont="1" applyFill="1" applyBorder="1"/>
    <xf numFmtId="0" fontId="23" fillId="5" borderId="3" xfId="0" applyFont="1" applyFill="1" applyBorder="1" applyAlignment="1">
      <alignment horizontal="centerContinuous"/>
    </xf>
    <xf numFmtId="0" fontId="0" fillId="5" borderId="3" xfId="0" applyFill="1" applyBorder="1" applyAlignment="1">
      <alignment horizontal="left"/>
    </xf>
    <xf numFmtId="0" fontId="33" fillId="5" borderId="6" xfId="0" applyFont="1" applyFill="1" applyBorder="1" applyAlignment="1">
      <alignment horizontal="left" wrapText="1"/>
    </xf>
    <xf numFmtId="0" fontId="33" fillId="5" borderId="3" xfId="0" applyFont="1" applyFill="1" applyBorder="1"/>
    <xf numFmtId="2" fontId="23" fillId="5" borderId="3" xfId="0" applyNumberFormat="1" applyFont="1" applyFill="1" applyBorder="1"/>
    <xf numFmtId="167" fontId="18" fillId="5" borderId="3" xfId="0" applyNumberFormat="1" applyFont="1" applyFill="1" applyBorder="1"/>
    <xf numFmtId="0" fontId="33" fillId="5" borderId="3" xfId="0" applyFont="1" applyFill="1" applyBorder="1" applyAlignment="1">
      <alignment horizontal="left" wrapText="1"/>
    </xf>
    <xf numFmtId="176" fontId="0" fillId="0" borderId="0" xfId="0" applyNumberFormat="1"/>
    <xf numFmtId="0" fontId="35" fillId="5" borderId="3" xfId="0" applyFont="1" applyFill="1" applyBorder="1" applyAlignment="1">
      <alignment horizontal="centerContinuous"/>
    </xf>
    <xf numFmtId="0" fontId="35" fillId="5" borderId="3" xfId="0" applyFont="1" applyFill="1" applyBorder="1"/>
    <xf numFmtId="0" fontId="36" fillId="5" borderId="6" xfId="0" applyFont="1" applyFill="1" applyBorder="1" applyAlignment="1">
      <alignment horizontal="left" wrapText="1"/>
    </xf>
    <xf numFmtId="0" fontId="36" fillId="5" borderId="3" xfId="0" applyFont="1" applyFill="1" applyBorder="1"/>
    <xf numFmtId="2" fontId="35" fillId="5" borderId="3" xfId="0" applyNumberFormat="1" applyFont="1" applyFill="1" applyBorder="1"/>
    <xf numFmtId="0" fontId="23" fillId="10" borderId="3" xfId="0" applyFont="1" applyFill="1" applyBorder="1" applyAlignment="1">
      <alignment horizontal="centerContinuous"/>
    </xf>
    <xf numFmtId="0" fontId="0" fillId="10" borderId="3" xfId="0" applyFill="1" applyBorder="1" applyAlignment="1">
      <alignment horizontal="left"/>
    </xf>
    <xf numFmtId="0" fontId="23" fillId="10" borderId="3" xfId="0" applyFont="1" applyFill="1" applyBorder="1"/>
    <xf numFmtId="0" fontId="33" fillId="10" borderId="3" xfId="0" applyFont="1" applyFill="1" applyBorder="1" applyAlignment="1">
      <alignment horizontal="left" wrapText="1"/>
    </xf>
    <xf numFmtId="0" fontId="33" fillId="10" borderId="3" xfId="0" applyFont="1" applyFill="1" applyBorder="1"/>
    <xf numFmtId="2" fontId="21" fillId="10" borderId="3" xfId="3" applyNumberFormat="1" applyFont="1" applyFill="1" applyBorder="1" applyAlignment="1"/>
    <xf numFmtId="167" fontId="19" fillId="10" borderId="3" xfId="1" applyNumberFormat="1" applyFont="1" applyFill="1" applyBorder="1"/>
    <xf numFmtId="167" fontId="18" fillId="10" borderId="3" xfId="1" applyNumberFormat="1" applyFont="1" applyFill="1" applyBorder="1"/>
    <xf numFmtId="167" fontId="18" fillId="10" borderId="3" xfId="0" applyNumberFormat="1" applyFont="1" applyFill="1" applyBorder="1"/>
    <xf numFmtId="2" fontId="18" fillId="10" borderId="3" xfId="3" applyNumberFormat="1" applyFont="1" applyFill="1" applyBorder="1" applyAlignment="1">
      <alignment horizontal="right"/>
    </xf>
    <xf numFmtId="0" fontId="33" fillId="10" borderId="6" xfId="0" applyFont="1" applyFill="1" applyBorder="1" applyAlignment="1">
      <alignment horizontal="left" wrapText="1"/>
    </xf>
    <xf numFmtId="2" fontId="23" fillId="10" borderId="3" xfId="0" applyNumberFormat="1" applyFont="1" applyFill="1" applyBorder="1"/>
    <xf numFmtId="0" fontId="9" fillId="2" borderId="3" xfId="0" applyFont="1" applyFill="1" applyBorder="1" applyAlignment="1">
      <alignment horizontal="center" vertical="center" wrapText="1"/>
    </xf>
    <xf numFmtId="2" fontId="24" fillId="0" borderId="9" xfId="0" applyNumberFormat="1" applyFont="1" applyBorder="1" applyAlignment="1">
      <alignment horizontal="left" vertical="center" wrapText="1"/>
    </xf>
    <xf numFmtId="2" fontId="24" fillId="0" borderId="0" xfId="0" applyNumberFormat="1" applyFont="1" applyAlignment="1">
      <alignment horizontal="left" vertical="center" wrapText="1"/>
    </xf>
    <xf numFmtId="0" fontId="9" fillId="8" borderId="1" xfId="0" applyFont="1" applyFill="1" applyBorder="1" applyAlignment="1">
      <alignment horizontal="center" vertical="center" wrapText="1"/>
    </xf>
    <xf numFmtId="0" fontId="8" fillId="5" borderId="3" xfId="0" applyFont="1" applyFill="1" applyBorder="1" applyAlignment="1">
      <alignment horizontal="left" vertical="center" wrapText="1"/>
    </xf>
    <xf numFmtId="0" fontId="0" fillId="0" borderId="0" xfId="0" applyAlignment="1">
      <alignment horizontal="center"/>
    </xf>
    <xf numFmtId="0" fontId="9" fillId="3" borderId="7"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12" xfId="0" applyFont="1" applyFill="1" applyBorder="1" applyAlignment="1">
      <alignment horizontal="center" vertical="center"/>
    </xf>
    <xf numFmtId="0" fontId="10" fillId="5" borderId="4" xfId="0" applyFont="1" applyFill="1" applyBorder="1" applyAlignment="1">
      <alignment horizontal="center"/>
    </xf>
    <xf numFmtId="0" fontId="10" fillId="5" borderId="5" xfId="0" applyFont="1" applyFill="1" applyBorder="1" applyAlignment="1">
      <alignment horizontal="center"/>
    </xf>
    <xf numFmtId="0" fontId="10" fillId="5" borderId="6" xfId="0" applyFont="1" applyFill="1" applyBorder="1" applyAlignment="1">
      <alignment horizontal="center"/>
    </xf>
    <xf numFmtId="0" fontId="2" fillId="3" borderId="3" xfId="0" applyFont="1" applyFill="1" applyBorder="1" applyAlignment="1">
      <alignment horizontal="center"/>
    </xf>
    <xf numFmtId="0" fontId="8" fillId="3" borderId="4" xfId="0" applyFont="1" applyFill="1" applyBorder="1" applyAlignment="1">
      <alignment horizontal="center"/>
    </xf>
    <xf numFmtId="0" fontId="8" fillId="3" borderId="5" xfId="0" applyFont="1" applyFill="1" applyBorder="1" applyAlignment="1">
      <alignment horizontal="center"/>
    </xf>
    <xf numFmtId="0" fontId="8" fillId="3" borderId="6" xfId="0" applyFont="1" applyFill="1" applyBorder="1" applyAlignment="1">
      <alignment horizontal="center"/>
    </xf>
    <xf numFmtId="0" fontId="8" fillId="3" borderId="3" xfId="0" applyFont="1" applyFill="1" applyBorder="1" applyAlignment="1">
      <alignment horizontal="center"/>
    </xf>
    <xf numFmtId="0" fontId="7" fillId="5" borderId="4" xfId="0" applyFont="1" applyFill="1" applyBorder="1" applyAlignment="1">
      <alignment horizontal="left" vertical="top" wrapText="1"/>
    </xf>
    <xf numFmtId="0" fontId="7" fillId="5" borderId="5" xfId="0" applyFont="1" applyFill="1" applyBorder="1" applyAlignment="1">
      <alignment horizontal="left" vertical="top" wrapText="1"/>
    </xf>
    <xf numFmtId="0" fontId="7" fillId="5" borderId="6" xfId="0" applyFont="1" applyFill="1" applyBorder="1" applyAlignment="1">
      <alignment horizontal="left" vertical="top" wrapText="1"/>
    </xf>
    <xf numFmtId="0" fontId="11" fillId="5" borderId="4" xfId="0" applyFont="1" applyFill="1" applyBorder="1" applyAlignment="1">
      <alignment horizontal="left" vertical="center"/>
    </xf>
    <xf numFmtId="0" fontId="11" fillId="5" borderId="5" xfId="0" applyFont="1" applyFill="1" applyBorder="1" applyAlignment="1">
      <alignment horizontal="left" vertical="center"/>
    </xf>
    <xf numFmtId="0" fontId="11" fillId="5" borderId="6" xfId="0" applyFont="1" applyFill="1" applyBorder="1" applyAlignment="1">
      <alignment horizontal="left" vertical="center"/>
    </xf>
    <xf numFmtId="0" fontId="9" fillId="5" borderId="4" xfId="0" applyFont="1" applyFill="1" applyBorder="1" applyAlignment="1">
      <alignment horizontal="left" vertical="center"/>
    </xf>
    <xf numFmtId="0" fontId="9" fillId="5" borderId="5" xfId="0" applyFont="1" applyFill="1" applyBorder="1" applyAlignment="1">
      <alignment horizontal="left" vertical="center"/>
    </xf>
    <xf numFmtId="0" fontId="9" fillId="5" borderId="6" xfId="0" applyFont="1" applyFill="1" applyBorder="1" applyAlignment="1">
      <alignment horizontal="left" vertical="center"/>
    </xf>
    <xf numFmtId="0" fontId="2" fillId="10" borderId="0" xfId="0" applyFont="1" applyFill="1" applyAlignment="1">
      <alignment horizontal="center" vertical="center" wrapText="1"/>
    </xf>
    <xf numFmtId="0" fontId="0" fillId="0" borderId="0" xfId="0" applyAlignment="1">
      <alignment horizontal="left"/>
    </xf>
    <xf numFmtId="0" fontId="0" fillId="0" borderId="10" xfId="0" applyBorder="1" applyAlignment="1">
      <alignment horizontal="left"/>
    </xf>
    <xf numFmtId="0" fontId="22" fillId="3" borderId="7"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22" fillId="3" borderId="8" xfId="0" applyFont="1" applyFill="1" applyBorder="1" applyAlignment="1">
      <alignment horizontal="center" vertical="center" wrapText="1"/>
    </xf>
    <xf numFmtId="0" fontId="6" fillId="0" borderId="15" xfId="0" applyFont="1" applyBorder="1" applyAlignment="1">
      <alignment horizontal="left" vertical="center" wrapText="1"/>
    </xf>
    <xf numFmtId="0" fontId="6" fillId="0" borderId="14" xfId="0" applyFont="1" applyBorder="1" applyAlignment="1">
      <alignment horizontal="left" vertical="center" wrapText="1"/>
    </xf>
    <xf numFmtId="0" fontId="6" fillId="0" borderId="13" xfId="0" applyFont="1" applyBorder="1" applyAlignment="1">
      <alignment horizontal="left" vertical="center" wrapText="1"/>
    </xf>
    <xf numFmtId="0" fontId="17" fillId="3" borderId="18" xfId="0" applyFont="1" applyFill="1" applyBorder="1" applyAlignment="1">
      <alignment horizontal="center"/>
    </xf>
    <xf numFmtId="0" fontId="17" fillId="3" borderId="17" xfId="0" applyFont="1" applyFill="1" applyBorder="1" applyAlignment="1">
      <alignment horizontal="center"/>
    </xf>
    <xf numFmtId="166" fontId="2" fillId="0" borderId="0" xfId="1" applyFont="1" applyBorder="1" applyAlignment="1">
      <alignment horizontal="center" vertical="top"/>
    </xf>
    <xf numFmtId="1" fontId="29" fillId="9" borderId="36" xfId="8" applyFont="1" applyFill="1" applyBorder="1" applyAlignment="1">
      <alignment horizontal="center" wrapText="1"/>
    </xf>
    <xf numFmtId="1" fontId="29" fillId="9" borderId="35" xfId="8" applyFont="1" applyFill="1" applyBorder="1" applyAlignment="1">
      <alignment horizontal="center" wrapText="1"/>
    </xf>
    <xf numFmtId="1" fontId="29" fillId="9" borderId="34" xfId="8" applyFont="1" applyFill="1" applyBorder="1" applyAlignment="1">
      <alignment horizontal="center" wrapText="1"/>
    </xf>
    <xf numFmtId="1" fontId="29" fillId="9" borderId="32" xfId="8" applyFont="1" applyFill="1" applyBorder="1" applyAlignment="1">
      <alignment horizontal="center"/>
    </xf>
    <xf numFmtId="1" fontId="29" fillId="9" borderId="31" xfId="8" applyFont="1" applyFill="1" applyBorder="1" applyAlignment="1">
      <alignment horizontal="center"/>
    </xf>
    <xf numFmtId="1" fontId="29" fillId="9" borderId="30" xfId="8" applyFont="1" applyFill="1" applyBorder="1" applyAlignment="1">
      <alignment horizontal="center"/>
    </xf>
    <xf numFmtId="1" fontId="28" fillId="9" borderId="32" xfId="8" applyFont="1" applyFill="1" applyBorder="1" applyAlignment="1">
      <alignment horizontal="center"/>
    </xf>
    <xf numFmtId="1" fontId="28" fillId="9" borderId="31" xfId="8" applyFont="1" applyFill="1" applyBorder="1" applyAlignment="1">
      <alignment horizontal="center"/>
    </xf>
    <xf numFmtId="1" fontId="28" fillId="9" borderId="30" xfId="8" applyFont="1" applyFill="1" applyBorder="1" applyAlignment="1">
      <alignment horizontal="center"/>
    </xf>
    <xf numFmtId="166" fontId="8" fillId="4" borderId="10" xfId="1" applyFont="1" applyFill="1" applyBorder="1"/>
    <xf numFmtId="0" fontId="23" fillId="5" borderId="20" xfId="0" applyFont="1" applyFill="1" applyBorder="1" applyAlignment="1">
      <alignment horizontal="center"/>
    </xf>
    <xf numFmtId="0" fontId="7" fillId="5" borderId="3" xfId="0" applyFont="1" applyFill="1" applyBorder="1" applyAlignment="1">
      <alignment horizontal="left"/>
    </xf>
    <xf numFmtId="0" fontId="23" fillId="5" borderId="20" xfId="0" applyFont="1" applyFill="1" applyBorder="1"/>
    <xf numFmtId="0" fontId="33" fillId="5" borderId="0" xfId="0" applyFont="1" applyFill="1" applyAlignment="1">
      <alignment horizontal="left" vertical="center" wrapText="1"/>
    </xf>
    <xf numFmtId="2" fontId="23" fillId="5" borderId="20" xfId="0" applyNumberFormat="1" applyFont="1" applyFill="1" applyBorder="1"/>
    <xf numFmtId="167" fontId="19" fillId="5" borderId="3" xfId="0" applyNumberFormat="1" applyFont="1" applyFill="1" applyBorder="1"/>
    <xf numFmtId="167" fontId="0" fillId="0" borderId="0" xfId="0" applyNumberFormat="1"/>
  </cellXfs>
  <cellStyles count="9">
    <cellStyle name="Hipervínculo" xfId="2" builtinId="8"/>
    <cellStyle name="Millares" xfId="3" builtinId="3"/>
    <cellStyle name="Moneda" xfId="1" builtinId="4"/>
    <cellStyle name="Moneda 2" xfId="7" xr:uid="{00000000-0005-0000-0000-000003000000}"/>
    <cellStyle name="Normal" xfId="0" builtinId="0"/>
    <cellStyle name="Normal 2" xfId="5" xr:uid="{00000000-0005-0000-0000-000005000000}"/>
    <cellStyle name="Normal 3" xfId="8" xr:uid="{00000000-0005-0000-0000-000006000000}"/>
    <cellStyle name="Porcentaje" xfId="4" builtinId="5"/>
    <cellStyle name="Porcentaje 2" xfId="6"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142875</xdr:rowOff>
    </xdr:from>
    <xdr:to>
      <xdr:col>2</xdr:col>
      <xdr:colOff>681875</xdr:colOff>
      <xdr:row>5</xdr:row>
      <xdr:rowOff>47624</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142875"/>
          <a:ext cx="2101100" cy="857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62513</xdr:colOff>
      <xdr:row>1</xdr:row>
      <xdr:rowOff>114300</xdr:rowOff>
    </xdr:from>
    <xdr:to>
      <xdr:col>12</xdr:col>
      <xdr:colOff>676215</xdr:colOff>
      <xdr:row>8</xdr:row>
      <xdr:rowOff>114300</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58188" y="447675"/>
          <a:ext cx="2804452" cy="11430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ucuman1061rc@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3"/>
  <sheetViews>
    <sheetView topLeftCell="A27" zoomScale="90" zoomScaleNormal="90" workbookViewId="0">
      <selection activeCell="H43" sqref="H43"/>
    </sheetView>
  </sheetViews>
  <sheetFormatPr baseColWidth="10" defaultRowHeight="15" x14ac:dyDescent="0.25"/>
  <cols>
    <col min="3" max="3" width="11.85546875" bestFit="1" customWidth="1"/>
    <col min="8" max="8" width="19.5703125" bestFit="1" customWidth="1"/>
    <col min="9" max="9" width="13.85546875" bestFit="1" customWidth="1"/>
    <col min="10" max="10" width="12.5703125" bestFit="1" customWidth="1"/>
  </cols>
  <sheetData>
    <row r="1" spans="1:8" x14ac:dyDescent="0.25">
      <c r="A1" s="3"/>
      <c r="B1" s="1"/>
      <c r="C1" s="1"/>
      <c r="D1" s="1"/>
      <c r="E1" s="1"/>
      <c r="F1" s="1"/>
      <c r="G1" s="1"/>
      <c r="H1" s="4"/>
    </row>
    <row r="2" spans="1:8" x14ac:dyDescent="0.25">
      <c r="A2" s="5"/>
      <c r="D2" s="13" t="s">
        <v>0</v>
      </c>
      <c r="E2" t="s">
        <v>117</v>
      </c>
      <c r="H2" s="6"/>
    </row>
    <row r="3" spans="1:8" x14ac:dyDescent="0.25">
      <c r="A3" s="5"/>
      <c r="D3" s="13" t="s">
        <v>1</v>
      </c>
      <c r="E3" s="198">
        <v>1153202676</v>
      </c>
      <c r="F3" s="198"/>
      <c r="H3" s="6"/>
    </row>
    <row r="4" spans="1:8" x14ac:dyDescent="0.25">
      <c r="A4" s="5"/>
      <c r="D4" s="13" t="s">
        <v>2</v>
      </c>
      <c r="E4" s="17" t="s">
        <v>118</v>
      </c>
      <c r="H4" s="6"/>
    </row>
    <row r="5" spans="1:8" x14ac:dyDescent="0.25">
      <c r="A5" s="5"/>
      <c r="D5" s="43" t="s">
        <v>17</v>
      </c>
      <c r="H5" s="6"/>
    </row>
    <row r="6" spans="1:8" x14ac:dyDescent="0.25">
      <c r="A6" s="5"/>
      <c r="H6" s="6"/>
    </row>
    <row r="7" spans="1:8" ht="18.75" x14ac:dyDescent="0.3">
      <c r="A7" s="9" t="s">
        <v>3</v>
      </c>
      <c r="B7" s="10"/>
      <c r="C7" s="10"/>
      <c r="D7" s="10"/>
      <c r="E7" s="10" t="s">
        <v>160</v>
      </c>
      <c r="F7" s="10"/>
      <c r="G7" s="11"/>
      <c r="H7" s="12"/>
    </row>
    <row r="8" spans="1:8" x14ac:dyDescent="0.25">
      <c r="A8" s="3"/>
      <c r="B8" s="1"/>
      <c r="C8" s="1"/>
      <c r="D8" s="1"/>
      <c r="E8" s="1"/>
      <c r="F8" s="1"/>
      <c r="G8" s="1"/>
      <c r="H8" s="4"/>
    </row>
    <row r="9" spans="1:8" hidden="1" x14ac:dyDescent="0.25">
      <c r="A9" s="5"/>
      <c r="H9" s="6"/>
    </row>
    <row r="10" spans="1:8" hidden="1" x14ac:dyDescent="0.25">
      <c r="A10" s="5" t="s">
        <v>4</v>
      </c>
      <c r="B10" t="s">
        <v>60</v>
      </c>
      <c r="H10" s="6"/>
    </row>
    <row r="11" spans="1:8" x14ac:dyDescent="0.25">
      <c r="A11" s="7"/>
      <c r="B11" s="2"/>
      <c r="C11" s="2"/>
      <c r="D11" s="2"/>
      <c r="E11" s="2"/>
      <c r="F11" s="2"/>
      <c r="G11" s="2"/>
      <c r="H11" s="8"/>
    </row>
    <row r="12" spans="1:8" x14ac:dyDescent="0.25">
      <c r="A12" s="208" t="s">
        <v>11</v>
      </c>
      <c r="B12" s="208"/>
      <c r="C12" s="208"/>
      <c r="D12" s="208"/>
      <c r="E12" s="208"/>
      <c r="F12" s="208"/>
      <c r="G12" s="208"/>
      <c r="H12" s="208"/>
    </row>
    <row r="13" spans="1:8" x14ac:dyDescent="0.25">
      <c r="A13" s="18"/>
      <c r="B13" s="19"/>
      <c r="C13" s="19"/>
      <c r="D13" s="19"/>
      <c r="E13" s="19"/>
      <c r="F13" s="19"/>
      <c r="G13" s="19"/>
      <c r="H13" s="20"/>
    </row>
    <row r="14" spans="1:8" x14ac:dyDescent="0.25">
      <c r="A14" s="18" t="s">
        <v>63</v>
      </c>
      <c r="B14" s="19" t="s">
        <v>148</v>
      </c>
      <c r="C14" s="19"/>
      <c r="D14" s="19"/>
      <c r="E14" s="19"/>
      <c r="F14" s="19"/>
      <c r="G14" s="19"/>
      <c r="H14" s="46">
        <v>373590.5</v>
      </c>
    </row>
    <row r="15" spans="1:8" x14ac:dyDescent="0.25">
      <c r="A15" s="104" t="s">
        <v>161</v>
      </c>
      <c r="B15" s="19"/>
      <c r="C15" s="19"/>
      <c r="D15" s="19"/>
      <c r="E15" s="19"/>
      <c r="F15" s="19"/>
      <c r="G15" s="19"/>
      <c r="H15" s="46">
        <v>4030.28</v>
      </c>
    </row>
    <row r="16" spans="1:8" x14ac:dyDescent="0.25">
      <c r="A16" s="21" t="s">
        <v>5</v>
      </c>
      <c r="B16" s="22"/>
      <c r="C16" s="22"/>
      <c r="D16" s="22"/>
      <c r="E16" s="22"/>
      <c r="F16" s="22"/>
      <c r="G16" s="22"/>
      <c r="H16" s="44">
        <f>SUM(H13:H15)</f>
        <v>377620.78</v>
      </c>
    </row>
    <row r="17" spans="1:14" ht="0.75" customHeight="1" x14ac:dyDescent="0.25">
      <c r="A17" s="23"/>
      <c r="B17" s="24"/>
      <c r="C17" s="24"/>
      <c r="D17" s="24"/>
      <c r="E17" s="24"/>
      <c r="F17" s="24"/>
      <c r="G17" s="24"/>
      <c r="H17" s="45"/>
    </row>
    <row r="18" spans="1:14" x14ac:dyDescent="0.25">
      <c r="A18" s="209" t="s">
        <v>6</v>
      </c>
      <c r="B18" s="210"/>
      <c r="C18" s="210"/>
      <c r="D18" s="210"/>
      <c r="E18" s="210"/>
      <c r="F18" s="210"/>
      <c r="G18" s="210"/>
      <c r="H18" s="211"/>
    </row>
    <row r="19" spans="1:14" x14ac:dyDescent="0.25">
      <c r="A19" s="18" t="s">
        <v>62</v>
      </c>
      <c r="B19" s="19"/>
      <c r="C19" s="25"/>
      <c r="D19" s="19"/>
      <c r="E19" s="19"/>
      <c r="F19" s="19"/>
      <c r="G19" s="19"/>
      <c r="H19" s="26">
        <v>183683.96</v>
      </c>
    </row>
    <row r="20" spans="1:14" x14ac:dyDescent="0.25">
      <c r="A20" s="18" t="s">
        <v>61</v>
      </c>
      <c r="B20" s="19"/>
      <c r="C20" s="25"/>
      <c r="D20" s="19"/>
      <c r="E20" s="19"/>
      <c r="F20" s="19"/>
      <c r="G20" s="19"/>
      <c r="H20" s="26">
        <f>'Calculo Servicios  (2)'!A8</f>
        <v>394926.41</v>
      </c>
    </row>
    <row r="21" spans="1:14" x14ac:dyDescent="0.25">
      <c r="A21" s="21" t="s">
        <v>7</v>
      </c>
      <c r="B21" s="22"/>
      <c r="C21" s="22"/>
      <c r="D21" s="22"/>
      <c r="E21" s="22"/>
      <c r="F21" s="22"/>
      <c r="G21" s="22"/>
      <c r="H21" s="27">
        <f>SUM(H19:H20)</f>
        <v>578610.37</v>
      </c>
    </row>
    <row r="22" spans="1:14" x14ac:dyDescent="0.25">
      <c r="A22" s="212" t="s">
        <v>65</v>
      </c>
      <c r="B22" s="212"/>
      <c r="C22" s="212"/>
      <c r="D22" s="212"/>
      <c r="E22" s="212"/>
      <c r="F22" s="212"/>
      <c r="G22" s="212"/>
      <c r="H22" s="212"/>
    </row>
    <row r="23" spans="1:14" x14ac:dyDescent="0.25">
      <c r="A23" s="194" t="s">
        <v>64</v>
      </c>
      <c r="B23" s="195"/>
      <c r="C23" s="195"/>
      <c r="D23" s="19"/>
      <c r="E23" s="19"/>
      <c r="F23" s="19"/>
      <c r="G23" s="19"/>
      <c r="H23" s="47"/>
    </row>
    <row r="24" spans="1:14" x14ac:dyDescent="0.25">
      <c r="A24" s="104" t="s">
        <v>147</v>
      </c>
      <c r="B24" s="19"/>
      <c r="C24" s="25"/>
      <c r="D24" s="19"/>
      <c r="E24" s="19"/>
      <c r="F24" s="19"/>
      <c r="G24" s="19"/>
      <c r="H24" s="26">
        <v>42645</v>
      </c>
      <c r="I24" s="14"/>
      <c r="J24" s="14"/>
    </row>
    <row r="25" spans="1:14" x14ac:dyDescent="0.25">
      <c r="A25" s="104" t="s">
        <v>149</v>
      </c>
      <c r="B25" s="19"/>
      <c r="C25" s="19"/>
      <c r="D25" s="19"/>
      <c r="E25" s="19"/>
      <c r="F25" s="19"/>
      <c r="G25" s="19"/>
      <c r="H25" s="26">
        <v>65000</v>
      </c>
    </row>
    <row r="26" spans="1:14" x14ac:dyDescent="0.25">
      <c r="A26" s="21" t="s">
        <v>8</v>
      </c>
      <c r="B26" s="22"/>
      <c r="C26" s="22"/>
      <c r="D26" s="22"/>
      <c r="E26" s="22"/>
      <c r="F26" s="22"/>
      <c r="G26" s="22"/>
      <c r="H26" s="27">
        <f>SUM(H23:H25)</f>
        <v>107645</v>
      </c>
    </row>
    <row r="27" spans="1:14" x14ac:dyDescent="0.25">
      <c r="A27" s="209" t="s">
        <v>66</v>
      </c>
      <c r="B27" s="210"/>
      <c r="C27" s="210"/>
      <c r="D27" s="210"/>
      <c r="E27" s="210"/>
      <c r="F27" s="210"/>
      <c r="G27" s="210"/>
      <c r="H27" s="211"/>
    </row>
    <row r="28" spans="1:14" x14ac:dyDescent="0.25">
      <c r="A28" s="18" t="s">
        <v>9</v>
      </c>
      <c r="B28" s="19"/>
      <c r="C28" s="19" t="s">
        <v>10</v>
      </c>
      <c r="D28" s="19"/>
      <c r="E28" s="19"/>
      <c r="F28" s="19"/>
      <c r="G28" s="19"/>
      <c r="H28" s="28"/>
      <c r="I28" s="48"/>
    </row>
    <row r="29" spans="1:14" x14ac:dyDescent="0.25">
      <c r="A29" s="21" t="s">
        <v>162</v>
      </c>
      <c r="B29" s="22"/>
      <c r="C29" s="22"/>
      <c r="D29" s="22"/>
      <c r="E29" s="22"/>
      <c r="F29" s="22"/>
      <c r="G29" s="22"/>
      <c r="H29" s="243">
        <v>60592.67</v>
      </c>
      <c r="I29" s="48"/>
      <c r="N29" t="s">
        <v>163</v>
      </c>
    </row>
    <row r="30" spans="1:14" ht="0.75" customHeight="1" x14ac:dyDescent="0.25">
      <c r="A30" s="18"/>
      <c r="B30" s="19"/>
      <c r="C30" s="19"/>
      <c r="D30" s="19"/>
      <c r="E30" s="19"/>
      <c r="F30" s="19"/>
      <c r="G30" s="19"/>
      <c r="H30" s="29"/>
    </row>
    <row r="31" spans="1:14" x14ac:dyDescent="0.25">
      <c r="A31" s="209" t="s">
        <v>67</v>
      </c>
      <c r="B31" s="210"/>
      <c r="C31" s="210"/>
      <c r="D31" s="210"/>
      <c r="E31" s="210"/>
      <c r="F31" s="210"/>
      <c r="G31" s="210"/>
      <c r="H31" s="211"/>
    </row>
    <row r="32" spans="1:14" x14ac:dyDescent="0.25">
      <c r="A32" s="54"/>
      <c r="B32" s="55"/>
      <c r="C32" s="55"/>
      <c r="D32" s="55"/>
      <c r="E32" s="55"/>
      <c r="F32" s="55"/>
      <c r="G32" s="55"/>
      <c r="H32" s="56"/>
      <c r="J32" s="15"/>
    </row>
    <row r="33" spans="1:11" s="16" customFormat="1" ht="15.75" x14ac:dyDescent="0.25">
      <c r="A33" s="30" t="s">
        <v>15</v>
      </c>
      <c r="B33" s="31"/>
      <c r="C33" s="31"/>
      <c r="D33" s="31"/>
      <c r="E33" s="31"/>
      <c r="F33" s="31"/>
      <c r="G33" s="31"/>
      <c r="H33" s="32">
        <f>H16+H21+H26+H29+H32</f>
        <v>1124468.8199999998</v>
      </c>
    </row>
    <row r="34" spans="1:11" s="14" customFormat="1" ht="18.75" x14ac:dyDescent="0.25">
      <c r="A34" s="50" t="s">
        <v>156</v>
      </c>
      <c r="B34" s="51"/>
      <c r="C34" s="51"/>
      <c r="D34" s="51"/>
      <c r="E34" s="51"/>
      <c r="F34" s="51"/>
      <c r="G34" s="51"/>
      <c r="H34" s="52">
        <v>175531.18</v>
      </c>
    </row>
    <row r="35" spans="1:11" ht="15" customHeight="1" x14ac:dyDescent="0.25">
      <c r="A35" s="199" t="s">
        <v>12</v>
      </c>
      <c r="B35" s="200"/>
      <c r="C35" s="200"/>
      <c r="D35" s="200"/>
      <c r="E35" s="200"/>
      <c r="F35" s="200"/>
      <c r="G35" s="200"/>
      <c r="H35" s="201"/>
      <c r="I35" s="175"/>
      <c r="K35" s="175"/>
    </row>
    <row r="36" spans="1:11" ht="18" customHeight="1" x14ac:dyDescent="0.25">
      <c r="A36" s="202"/>
      <c r="B36" s="203"/>
      <c r="C36" s="203"/>
      <c r="D36" s="203"/>
      <c r="E36" s="203"/>
      <c r="F36" s="203"/>
      <c r="G36" s="203"/>
      <c r="H36" s="204"/>
    </row>
    <row r="37" spans="1:11" ht="16.5" customHeight="1" x14ac:dyDescent="0.25">
      <c r="A37" s="213"/>
      <c r="B37" s="214"/>
      <c r="C37" s="214"/>
      <c r="D37" s="214"/>
      <c r="E37" s="214"/>
      <c r="F37" s="214"/>
      <c r="G37" s="215"/>
      <c r="H37" s="33"/>
    </row>
    <row r="38" spans="1:11" ht="16.5" customHeight="1" x14ac:dyDescent="0.25">
      <c r="A38" s="213"/>
      <c r="B38" s="214"/>
      <c r="C38" s="214"/>
      <c r="D38" s="214"/>
      <c r="E38" s="214"/>
      <c r="F38" s="214"/>
      <c r="G38" s="215"/>
      <c r="H38" s="33"/>
    </row>
    <row r="39" spans="1:11" ht="15.75" customHeight="1" x14ac:dyDescent="0.25">
      <c r="A39" s="216"/>
      <c r="B39" s="217"/>
      <c r="C39" s="217"/>
      <c r="D39" s="217"/>
      <c r="E39" s="217"/>
      <c r="F39" s="217"/>
      <c r="G39" s="218"/>
      <c r="H39" s="33"/>
    </row>
    <row r="40" spans="1:11" s="14" customFormat="1" ht="14.25" customHeight="1" x14ac:dyDescent="0.25">
      <c r="A40" s="219" t="s">
        <v>16</v>
      </c>
      <c r="B40" s="220"/>
      <c r="C40" s="220"/>
      <c r="D40" s="220"/>
      <c r="E40" s="220"/>
      <c r="F40" s="220"/>
      <c r="G40" s="221"/>
      <c r="H40" s="34">
        <f>SUM(H37:H39)</f>
        <v>0</v>
      </c>
    </row>
    <row r="41" spans="1:11" x14ac:dyDescent="0.25">
      <c r="A41" s="19"/>
      <c r="B41" s="19"/>
      <c r="C41" s="19"/>
      <c r="D41" s="19"/>
      <c r="E41" s="19"/>
      <c r="F41" s="19"/>
      <c r="G41" s="19"/>
      <c r="H41" s="19"/>
    </row>
    <row r="42" spans="1:11" ht="15" customHeight="1" x14ac:dyDescent="0.25">
      <c r="H42" s="19"/>
      <c r="J42" s="15"/>
    </row>
    <row r="43" spans="1:11" ht="54.75" customHeight="1" x14ac:dyDescent="0.25">
      <c r="A43" s="193" t="s">
        <v>150</v>
      </c>
      <c r="B43" s="193"/>
      <c r="C43" s="193"/>
      <c r="D43" s="193"/>
      <c r="E43" s="193"/>
      <c r="F43" s="193"/>
      <c r="G43" s="193"/>
      <c r="H43" s="32">
        <f>+H33+H34</f>
        <v>1299999.9999999998</v>
      </c>
      <c r="J43" s="175"/>
    </row>
    <row r="44" spans="1:11" ht="59.25" customHeight="1" x14ac:dyDescent="0.25">
      <c r="A44" s="196" t="s">
        <v>158</v>
      </c>
      <c r="B44" s="196"/>
      <c r="C44" s="196"/>
      <c r="D44" s="196"/>
      <c r="E44" s="196"/>
      <c r="F44" s="196"/>
      <c r="G44" s="196"/>
      <c r="H44" s="196"/>
    </row>
    <row r="45" spans="1:11" x14ac:dyDescent="0.25">
      <c r="A45" s="19"/>
      <c r="B45" s="19"/>
      <c r="C45" s="19"/>
      <c r="D45" s="19"/>
      <c r="E45" s="19"/>
      <c r="F45" s="19"/>
      <c r="G45" s="19"/>
      <c r="H45" s="19"/>
    </row>
    <row r="46" spans="1:11" ht="15.75" x14ac:dyDescent="0.25">
      <c r="A46" s="30" t="s">
        <v>167</v>
      </c>
      <c r="B46" s="31"/>
      <c r="C46" s="31"/>
      <c r="D46" s="31"/>
      <c r="E46" s="31"/>
      <c r="F46" s="31"/>
      <c r="G46" s="31"/>
      <c r="H46" s="35">
        <f>H40</f>
        <v>0</v>
      </c>
    </row>
    <row r="47" spans="1:11" x14ac:dyDescent="0.25">
      <c r="A47" s="19"/>
      <c r="B47" s="19"/>
      <c r="C47" s="19"/>
      <c r="D47" s="19"/>
      <c r="E47" s="19"/>
      <c r="F47" s="19"/>
      <c r="G47" s="19"/>
      <c r="H47" s="19"/>
    </row>
    <row r="48" spans="1:11" ht="18.75" hidden="1" x14ac:dyDescent="0.3">
      <c r="A48" s="205" t="s">
        <v>13</v>
      </c>
      <c r="B48" s="206"/>
      <c r="C48" s="206"/>
      <c r="D48" s="206"/>
      <c r="E48" s="206"/>
      <c r="F48" s="206"/>
      <c r="G48" s="206"/>
      <c r="H48" s="207"/>
    </row>
    <row r="49" spans="1:10" ht="39" customHeight="1" x14ac:dyDescent="0.3">
      <c r="A49" s="197" t="s">
        <v>157</v>
      </c>
      <c r="B49" s="197"/>
      <c r="C49" s="197"/>
      <c r="D49" s="197"/>
      <c r="E49" s="197"/>
      <c r="F49" s="197"/>
      <c r="G49" s="197"/>
      <c r="H49" s="41">
        <v>-33418.360562974354</v>
      </c>
    </row>
    <row r="50" spans="1:10" x14ac:dyDescent="0.25">
      <c r="A50" s="36" t="s">
        <v>154</v>
      </c>
      <c r="B50" s="37"/>
      <c r="C50" s="37"/>
      <c r="D50" s="37"/>
      <c r="E50" s="37"/>
      <c r="F50" s="37"/>
      <c r="G50" s="37"/>
      <c r="H50" s="49">
        <f>Planilla!I32</f>
        <v>2110578.6274750438</v>
      </c>
    </row>
    <row r="51" spans="1:10" x14ac:dyDescent="0.25">
      <c r="A51" s="36" t="s">
        <v>166</v>
      </c>
      <c r="B51" s="37"/>
      <c r="C51" s="37"/>
      <c r="D51" s="37"/>
      <c r="E51" s="37"/>
      <c r="F51" s="37"/>
      <c r="G51" s="37"/>
      <c r="H51" s="42">
        <v>-148615.96846751205</v>
      </c>
    </row>
    <row r="52" spans="1:10" x14ac:dyDescent="0.25">
      <c r="A52" s="36" t="s">
        <v>155</v>
      </c>
      <c r="B52" s="37"/>
      <c r="C52" s="37"/>
      <c r="D52" s="37"/>
      <c r="E52" s="37"/>
      <c r="F52" s="37"/>
      <c r="G52" s="37"/>
      <c r="H52" s="38">
        <f>-(H33+H40)</f>
        <v>-1124468.8199999998</v>
      </c>
      <c r="J52" s="15"/>
    </row>
    <row r="53" spans="1:10" ht="18.75" x14ac:dyDescent="0.3">
      <c r="A53" s="39" t="s">
        <v>14</v>
      </c>
      <c r="B53" s="40"/>
      <c r="C53" s="40"/>
      <c r="D53" s="40"/>
      <c r="E53" s="40"/>
      <c r="F53" s="40"/>
      <c r="G53" s="40"/>
      <c r="H53" s="53">
        <f>SUM(H49:H52)</f>
        <v>804075.47844455764</v>
      </c>
    </row>
  </sheetData>
  <mergeCells count="16">
    <mergeCell ref="A43:G43"/>
    <mergeCell ref="A23:C23"/>
    <mergeCell ref="A44:H44"/>
    <mergeCell ref="A49:G49"/>
    <mergeCell ref="E3:F3"/>
    <mergeCell ref="A35:H36"/>
    <mergeCell ref="A48:H48"/>
    <mergeCell ref="A12:H12"/>
    <mergeCell ref="A18:H18"/>
    <mergeCell ref="A22:H22"/>
    <mergeCell ref="A27:H27"/>
    <mergeCell ref="A31:H31"/>
    <mergeCell ref="A37:G37"/>
    <mergeCell ref="A39:G39"/>
    <mergeCell ref="A40:G40"/>
    <mergeCell ref="A38:G38"/>
  </mergeCells>
  <hyperlinks>
    <hyperlink ref="E4" r:id="rId1" xr:uid="{00000000-0004-0000-0000-000000000000}"/>
  </hyperlinks>
  <pageMargins left="0.25" right="0.25" top="0.75" bottom="0.75" header="0.3" footer="0.3"/>
  <pageSetup scale="9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9"/>
  <sheetViews>
    <sheetView tabSelected="1" zoomScaleNormal="100" workbookViewId="0">
      <selection activeCell="M2" sqref="M1:M1048576"/>
    </sheetView>
  </sheetViews>
  <sheetFormatPr baseColWidth="10" defaultRowHeight="15" x14ac:dyDescent="0.25"/>
  <cols>
    <col min="1" max="1" width="5.42578125" style="57" customWidth="1"/>
    <col min="2" max="2" width="11.28515625" hidden="1" customWidth="1"/>
    <col min="3" max="3" width="12.140625" customWidth="1"/>
    <col min="4" max="4" width="22.140625" customWidth="1"/>
    <col min="5" max="5" width="12.28515625" customWidth="1"/>
    <col min="6" max="6" width="6.28515625" style="59" customWidth="1"/>
    <col min="7" max="7" width="11.5703125" style="58" customWidth="1"/>
    <col min="8" max="8" width="7.5703125" style="58" hidden="1" customWidth="1"/>
    <col min="9" max="9" width="9.85546875" style="58" customWidth="1"/>
    <col min="10" max="10" width="0.140625" style="58" customWidth="1"/>
    <col min="11" max="11" width="11.140625" style="58" customWidth="1"/>
    <col min="12" max="12" width="0.140625" style="58" customWidth="1"/>
    <col min="13" max="13" width="10.28515625" customWidth="1"/>
    <col min="14" max="14" width="14.140625" bestFit="1" customWidth="1"/>
    <col min="15" max="15" width="10" customWidth="1"/>
    <col min="16" max="16" width="11" hidden="1" customWidth="1"/>
    <col min="17" max="17" width="0.140625" customWidth="1"/>
    <col min="18" max="18" width="12.140625" customWidth="1"/>
    <col min="19" max="19" width="11.42578125" hidden="1" customWidth="1"/>
  </cols>
  <sheetData>
    <row r="1" spans="1:21" ht="26.25" customHeight="1" x14ac:dyDescent="0.25">
      <c r="A1" s="225" t="str">
        <f>Gastos!E7</f>
        <v xml:space="preserve">PERIODO: ABRIL </v>
      </c>
      <c r="B1" s="226"/>
      <c r="C1" s="226"/>
      <c r="D1" s="226"/>
      <c r="E1" s="226"/>
      <c r="F1" s="226"/>
      <c r="G1" s="226"/>
      <c r="H1" s="226"/>
      <c r="I1" s="226"/>
      <c r="J1" s="226"/>
      <c r="K1" s="226"/>
      <c r="L1" s="226"/>
      <c r="M1" s="226"/>
      <c r="N1" s="226"/>
      <c r="O1" s="226"/>
      <c r="P1" s="226"/>
      <c r="Q1" s="226"/>
      <c r="R1" s="227"/>
    </row>
    <row r="2" spans="1:21" x14ac:dyDescent="0.25">
      <c r="A2" s="98"/>
      <c r="G2" s="60"/>
      <c r="H2" s="60"/>
      <c r="I2" s="60"/>
      <c r="J2" s="60"/>
      <c r="K2" s="60"/>
      <c r="L2" s="13"/>
      <c r="R2" s="6"/>
    </row>
    <row r="3" spans="1:21" x14ac:dyDescent="0.25">
      <c r="A3" s="94"/>
      <c r="G3" s="60"/>
      <c r="H3" s="60"/>
      <c r="I3" s="60"/>
      <c r="J3" s="60"/>
      <c r="L3" s="96"/>
      <c r="R3" s="6"/>
    </row>
    <row r="4" spans="1:21" x14ac:dyDescent="0.25">
      <c r="A4" s="94"/>
      <c r="G4" s="60"/>
      <c r="H4" s="60"/>
      <c r="I4" s="60"/>
      <c r="J4" s="60"/>
      <c r="L4" s="96"/>
      <c r="M4" s="223"/>
      <c r="N4" s="223"/>
      <c r="O4" s="223"/>
      <c r="P4" s="223"/>
      <c r="Q4" s="223"/>
      <c r="R4" s="224"/>
    </row>
    <row r="5" spans="1:21" x14ac:dyDescent="0.25">
      <c r="A5" s="94"/>
      <c r="B5" s="97"/>
      <c r="C5" s="164">
        <v>1299999.9999999998</v>
      </c>
      <c r="D5" s="13"/>
      <c r="E5" s="13"/>
      <c r="G5" s="60"/>
      <c r="H5" s="60"/>
      <c r="I5" s="60"/>
      <c r="J5" s="60"/>
      <c r="L5" s="96"/>
      <c r="M5" s="17"/>
      <c r="R5" s="6"/>
    </row>
    <row r="6" spans="1:21" x14ac:dyDescent="0.25">
      <c r="A6" s="94"/>
      <c r="C6" s="13" t="s">
        <v>36</v>
      </c>
      <c r="D6" s="13"/>
      <c r="E6" s="13"/>
      <c r="G6" s="60"/>
      <c r="H6" s="60"/>
      <c r="I6" s="60"/>
      <c r="J6" s="60"/>
      <c r="K6" s="60"/>
      <c r="L6" s="60"/>
      <c r="R6" s="6"/>
    </row>
    <row r="7" spans="1:21" x14ac:dyDescent="0.25">
      <c r="A7" s="94"/>
      <c r="B7" s="93"/>
      <c r="C7" s="233">
        <f>C5</f>
        <v>1299999.9999999998</v>
      </c>
      <c r="D7" s="233"/>
      <c r="E7" s="95"/>
      <c r="G7" s="60"/>
      <c r="H7" s="60"/>
      <c r="I7" s="60"/>
      <c r="J7" s="60"/>
      <c r="K7" s="60"/>
      <c r="L7" s="60"/>
      <c r="R7" s="6"/>
    </row>
    <row r="8" spans="1:21" hidden="1" x14ac:dyDescent="0.25">
      <c r="A8" s="94"/>
      <c r="B8" s="93" t="s">
        <v>35</v>
      </c>
      <c r="C8" s="93">
        <v>0</v>
      </c>
      <c r="D8" s="93"/>
      <c r="E8" s="93"/>
      <c r="G8" s="60"/>
      <c r="H8" s="60"/>
      <c r="I8" s="60"/>
      <c r="J8" s="60"/>
      <c r="K8" s="60"/>
      <c r="L8" s="60"/>
      <c r="R8" s="6"/>
    </row>
    <row r="9" spans="1:21" x14ac:dyDescent="0.25">
      <c r="A9" s="94"/>
      <c r="B9" s="93"/>
      <c r="C9" s="93" t="s">
        <v>34</v>
      </c>
      <c r="D9" s="93"/>
      <c r="E9" s="93"/>
      <c r="G9" s="60"/>
      <c r="H9" s="60"/>
      <c r="I9" s="60"/>
      <c r="J9" s="60"/>
      <c r="K9" s="60"/>
      <c r="L9" s="60"/>
      <c r="R9" s="6"/>
    </row>
    <row r="10" spans="1:21" x14ac:dyDescent="0.25">
      <c r="A10" s="92"/>
      <c r="B10" s="91"/>
      <c r="C10" s="90"/>
      <c r="D10" s="90"/>
      <c r="E10" s="90"/>
      <c r="F10" s="89"/>
      <c r="G10" s="88"/>
      <c r="H10" s="88"/>
      <c r="I10" s="88"/>
      <c r="J10" s="88"/>
      <c r="K10" s="88"/>
      <c r="L10" s="87"/>
      <c r="M10" s="2"/>
      <c r="N10" s="2"/>
      <c r="O10" s="2"/>
      <c r="P10" s="2"/>
      <c r="Q10" s="2"/>
      <c r="R10" s="8"/>
    </row>
    <row r="11" spans="1:21" ht="29.25" customHeight="1" x14ac:dyDescent="0.25">
      <c r="A11" s="86" t="s">
        <v>33</v>
      </c>
      <c r="B11" s="82" t="s">
        <v>32</v>
      </c>
      <c r="C11" s="85" t="s">
        <v>31</v>
      </c>
      <c r="D11" s="85" t="s">
        <v>31</v>
      </c>
      <c r="E11" s="85" t="s">
        <v>30</v>
      </c>
      <c r="F11" s="84" t="s">
        <v>29</v>
      </c>
      <c r="G11" s="83" t="s">
        <v>114</v>
      </c>
      <c r="H11" s="83" t="s">
        <v>28</v>
      </c>
      <c r="I11" s="83" t="s">
        <v>27</v>
      </c>
      <c r="J11" s="83" t="s">
        <v>26</v>
      </c>
      <c r="K11" s="83" t="s">
        <v>25</v>
      </c>
      <c r="L11" s="83" t="s">
        <v>24</v>
      </c>
      <c r="M11" s="82" t="s">
        <v>146</v>
      </c>
      <c r="N11" s="82" t="s">
        <v>23</v>
      </c>
      <c r="O11" s="82" t="s">
        <v>22</v>
      </c>
      <c r="P11" s="82" t="s">
        <v>21</v>
      </c>
      <c r="Q11" s="82" t="s">
        <v>26</v>
      </c>
      <c r="R11" s="82" t="s">
        <v>20</v>
      </c>
    </row>
    <row r="12" spans="1:21" ht="29.25" customHeight="1" x14ac:dyDescent="0.25">
      <c r="A12" s="244" t="s">
        <v>85</v>
      </c>
      <c r="B12" s="245"/>
      <c r="C12" s="246" t="s">
        <v>37</v>
      </c>
      <c r="D12" s="247" t="s">
        <v>104</v>
      </c>
      <c r="E12" s="171"/>
      <c r="F12" s="248">
        <v>7.9</v>
      </c>
      <c r="G12" s="73">
        <v>326219.34882955439</v>
      </c>
      <c r="H12" s="73">
        <v>0</v>
      </c>
      <c r="I12" s="73">
        <f>G12</f>
        <v>326219.34882955439</v>
      </c>
      <c r="J12" s="73" t="e">
        <f>C9*F12/100</f>
        <v>#VALUE!</v>
      </c>
      <c r="K12" s="73">
        <f t="shared" ref="K12:K19" si="0">G12-H12-I12</f>
        <v>0</v>
      </c>
      <c r="L12" s="73"/>
      <c r="M12" s="249">
        <f>(K12+L12)*3%</f>
        <v>0</v>
      </c>
      <c r="N12" s="249">
        <f t="shared" ref="N12:N20" si="1">K12+M12+L12</f>
        <v>0</v>
      </c>
      <c r="O12" s="73">
        <f t="shared" ref="O12:O30" si="2">C$7*F12/100</f>
        <v>102699.99999999999</v>
      </c>
      <c r="P12" s="73">
        <f t="shared" ref="P12:P31" si="3">C$10*F12/100</f>
        <v>0</v>
      </c>
      <c r="Q12" s="73">
        <f>'Calculo Servicios  (2)'!H9</f>
        <v>24262.632685514611</v>
      </c>
      <c r="R12" s="249">
        <f>O12+N12+P12+Q12</f>
        <v>126962.6326855146</v>
      </c>
      <c r="U12" s="99" t="s">
        <v>37</v>
      </c>
    </row>
    <row r="13" spans="1:21" ht="21" customHeight="1" x14ac:dyDescent="0.25">
      <c r="A13" s="176" t="s">
        <v>86</v>
      </c>
      <c r="B13" s="169"/>
      <c r="C13" s="177" t="s">
        <v>38</v>
      </c>
      <c r="D13" s="178" t="s">
        <v>105</v>
      </c>
      <c r="E13" s="179"/>
      <c r="F13" s="180">
        <v>7.9</v>
      </c>
      <c r="G13" s="167">
        <v>186076.40741994919</v>
      </c>
      <c r="H13" s="167">
        <v>0</v>
      </c>
      <c r="I13" s="73">
        <f>G13</f>
        <v>186076.40741994919</v>
      </c>
      <c r="J13" s="167" t="e">
        <f>C9*F13/100</f>
        <v>#VALUE!</v>
      </c>
      <c r="K13" s="167">
        <f t="shared" si="0"/>
        <v>0</v>
      </c>
      <c r="L13" s="167"/>
      <c r="M13" s="173">
        <f t="shared" ref="M13:M30" si="4">(K13+L13)*3%</f>
        <v>0</v>
      </c>
      <c r="N13" s="173">
        <f t="shared" si="1"/>
        <v>0</v>
      </c>
      <c r="O13" s="167">
        <f t="shared" si="2"/>
        <v>102699.99999999999</v>
      </c>
      <c r="P13" s="167">
        <f t="shared" si="3"/>
        <v>0</v>
      </c>
      <c r="Q13" s="167">
        <f>'Calculo Servicios  (2)'!H10</f>
        <v>28076.407419949173</v>
      </c>
      <c r="R13" s="173">
        <f t="shared" ref="R13:R30" si="5">O13+N13+P13+Q13</f>
        <v>130776.40741994916</v>
      </c>
      <c r="U13" s="100" t="s">
        <v>38</v>
      </c>
    </row>
    <row r="14" spans="1:21" ht="21" customHeight="1" x14ac:dyDescent="0.25">
      <c r="A14" s="168" t="s">
        <v>87</v>
      </c>
      <c r="B14" s="169"/>
      <c r="C14" s="101" t="s">
        <v>39</v>
      </c>
      <c r="D14" s="170" t="s">
        <v>106</v>
      </c>
      <c r="E14" s="171" t="s">
        <v>115</v>
      </c>
      <c r="F14" s="172">
        <v>7.9</v>
      </c>
      <c r="G14" s="73">
        <v>556836.39827928983</v>
      </c>
      <c r="H14" s="167">
        <v>0</v>
      </c>
      <c r="I14" s="73">
        <v>200000</v>
      </c>
      <c r="J14" s="167" t="e">
        <f>C9*F14/100</f>
        <v>#VALUE!</v>
      </c>
      <c r="K14" s="167">
        <f t="shared" si="0"/>
        <v>356836.39827928983</v>
      </c>
      <c r="L14" s="167"/>
      <c r="M14" s="173">
        <f t="shared" si="4"/>
        <v>10705.091948378695</v>
      </c>
      <c r="N14" s="173">
        <f t="shared" si="1"/>
        <v>367541.49022766855</v>
      </c>
      <c r="O14" s="167">
        <f t="shared" si="2"/>
        <v>102699.99999999999</v>
      </c>
      <c r="P14" s="167">
        <f t="shared" si="3"/>
        <v>0</v>
      </c>
      <c r="Q14" s="167">
        <f>'Calculo Servicios  (2)'!H11</f>
        <v>42528.606413595931</v>
      </c>
      <c r="R14" s="173">
        <f t="shared" si="5"/>
        <v>512770.09664126451</v>
      </c>
      <c r="U14" s="100" t="s">
        <v>39</v>
      </c>
    </row>
    <row r="15" spans="1:21" ht="21" customHeight="1" x14ac:dyDescent="0.25">
      <c r="A15" s="117" t="s">
        <v>88</v>
      </c>
      <c r="B15" s="81"/>
      <c r="C15" s="100" t="s">
        <v>40</v>
      </c>
      <c r="D15" s="163" t="s">
        <v>107</v>
      </c>
      <c r="E15" s="120"/>
      <c r="F15" s="102">
        <v>7.9</v>
      </c>
      <c r="G15" s="166">
        <v>203138.03123189326</v>
      </c>
      <c r="H15" s="80"/>
      <c r="I15" s="73">
        <f>G15</f>
        <v>203138.03123189326</v>
      </c>
      <c r="J15" s="71" t="e">
        <f>C9*F15/100</f>
        <v>#VALUE!</v>
      </c>
      <c r="K15" s="71">
        <f t="shared" si="0"/>
        <v>0</v>
      </c>
      <c r="L15" s="72"/>
      <c r="M15" s="70">
        <f t="shared" si="4"/>
        <v>0</v>
      </c>
      <c r="N15" s="70">
        <f t="shared" si="1"/>
        <v>0</v>
      </c>
      <c r="O15" s="71">
        <f t="shared" si="2"/>
        <v>102699.99999999999</v>
      </c>
      <c r="P15" s="71">
        <f t="shared" si="3"/>
        <v>0</v>
      </c>
      <c r="Q15" s="71">
        <f>'Calculo Servicios  (2)'!H12</f>
        <v>45138.031231893263</v>
      </c>
      <c r="R15" s="70">
        <f t="shared" si="5"/>
        <v>147838.03123189326</v>
      </c>
      <c r="U15" s="100" t="s">
        <v>40</v>
      </c>
    </row>
    <row r="16" spans="1:21" ht="21" customHeight="1" x14ac:dyDescent="0.25">
      <c r="A16" s="117" t="s">
        <v>89</v>
      </c>
      <c r="B16" s="77"/>
      <c r="C16" s="100" t="s">
        <v>41</v>
      </c>
      <c r="D16" s="118" t="s">
        <v>108</v>
      </c>
      <c r="E16" s="120"/>
      <c r="F16" s="102">
        <v>7.9</v>
      </c>
      <c r="G16" s="78">
        <v>371297.6058545108</v>
      </c>
      <c r="H16" s="80">
        <v>0</v>
      </c>
      <c r="I16" s="73">
        <f>345600-G28</f>
        <v>315556</v>
      </c>
      <c r="J16" s="71" t="e">
        <f>C9*F16/100</f>
        <v>#VALUE!</v>
      </c>
      <c r="K16" s="71">
        <f t="shared" si="0"/>
        <v>55741.605854510795</v>
      </c>
      <c r="L16" s="71"/>
      <c r="M16" s="70">
        <f t="shared" si="4"/>
        <v>1672.2481756353238</v>
      </c>
      <c r="N16" s="70">
        <f t="shared" si="1"/>
        <v>57413.854030146118</v>
      </c>
      <c r="O16" s="71">
        <f t="shared" si="2"/>
        <v>102699.99999999999</v>
      </c>
      <c r="P16" s="71">
        <f t="shared" si="3"/>
        <v>0</v>
      </c>
      <c r="Q16" s="71">
        <f>'Calculo Servicios  (2)'!H13</f>
        <v>50557.605854510803</v>
      </c>
      <c r="R16" s="70">
        <f t="shared" si="5"/>
        <v>210671.45988465688</v>
      </c>
      <c r="U16" s="100" t="s">
        <v>41</v>
      </c>
    </row>
    <row r="17" spans="1:21" ht="21" customHeight="1" x14ac:dyDescent="0.25">
      <c r="A17" s="181" t="s">
        <v>90</v>
      </c>
      <c r="B17" s="182"/>
      <c r="C17" s="183" t="s">
        <v>42</v>
      </c>
      <c r="D17" s="191" t="s">
        <v>109</v>
      </c>
      <c r="E17" s="185"/>
      <c r="F17" s="192">
        <v>7.9</v>
      </c>
      <c r="G17" s="187">
        <v>514712.04642052727</v>
      </c>
      <c r="H17" s="188">
        <v>0</v>
      </c>
      <c r="I17" s="187"/>
      <c r="J17" s="188" t="e">
        <f>C9*F17/100</f>
        <v>#VALUE!</v>
      </c>
      <c r="K17" s="188">
        <f t="shared" si="0"/>
        <v>514712.04642052727</v>
      </c>
      <c r="L17" s="188"/>
      <c r="M17" s="189">
        <f t="shared" si="4"/>
        <v>15441.361392615818</v>
      </c>
      <c r="N17" s="189">
        <f t="shared" si="1"/>
        <v>530153.4078131431</v>
      </c>
      <c r="O17" s="188">
        <f t="shared" si="2"/>
        <v>102699.99999999999</v>
      </c>
      <c r="P17" s="188">
        <f t="shared" si="3"/>
        <v>0</v>
      </c>
      <c r="Q17" s="188">
        <f>'Calculo Servicios  (2)'!H14</f>
        <v>52966.305686785257</v>
      </c>
      <c r="R17" s="189">
        <f t="shared" si="5"/>
        <v>685819.71349992836</v>
      </c>
      <c r="U17" s="100" t="s">
        <v>42</v>
      </c>
    </row>
    <row r="18" spans="1:21" ht="21" customHeight="1" x14ac:dyDescent="0.25">
      <c r="A18" s="117" t="s">
        <v>91</v>
      </c>
      <c r="B18" s="77"/>
      <c r="C18" s="100" t="s">
        <v>43</v>
      </c>
      <c r="D18" s="118" t="s">
        <v>110</v>
      </c>
      <c r="E18" s="120" t="s">
        <v>151</v>
      </c>
      <c r="F18" s="102">
        <v>7.9</v>
      </c>
      <c r="G18" s="78">
        <v>184269.88254574331</v>
      </c>
      <c r="H18" s="71">
        <v>0</v>
      </c>
      <c r="I18" s="73">
        <f>G18</f>
        <v>184269.88254574331</v>
      </c>
      <c r="J18" s="71" t="e">
        <f>C9*F18/100</f>
        <v>#VALUE!</v>
      </c>
      <c r="K18" s="71">
        <f t="shared" si="0"/>
        <v>0</v>
      </c>
      <c r="L18" s="71"/>
      <c r="M18" s="70">
        <f t="shared" si="4"/>
        <v>0</v>
      </c>
      <c r="N18" s="70">
        <f t="shared" si="1"/>
        <v>0</v>
      </c>
      <c r="O18" s="71">
        <f t="shared" si="2"/>
        <v>102699.99999999999</v>
      </c>
      <c r="P18" s="71">
        <f t="shared" si="3"/>
        <v>0</v>
      </c>
      <c r="Q18" s="71">
        <f>'Calculo Servicios  (2)'!H15</f>
        <v>26269.882545743327</v>
      </c>
      <c r="R18" s="70">
        <f t="shared" si="5"/>
        <v>128969.88254574331</v>
      </c>
      <c r="U18" s="100" t="s">
        <v>43</v>
      </c>
    </row>
    <row r="19" spans="1:21" ht="21" customHeight="1" x14ac:dyDescent="0.25">
      <c r="A19" s="168" t="s">
        <v>92</v>
      </c>
      <c r="B19" s="169"/>
      <c r="C19" s="101" t="s">
        <v>44</v>
      </c>
      <c r="D19" s="170" t="s">
        <v>153</v>
      </c>
      <c r="E19" s="171" t="s">
        <v>152</v>
      </c>
      <c r="F19" s="172">
        <v>7.9</v>
      </c>
      <c r="G19" s="73">
        <v>330951.88366391358</v>
      </c>
      <c r="H19" s="167">
        <v>0</v>
      </c>
      <c r="I19" s="73"/>
      <c r="J19" s="167" t="e">
        <f>C9*F19/100</f>
        <v>#VALUE!</v>
      </c>
      <c r="K19" s="167">
        <f t="shared" si="0"/>
        <v>330951.88366391358</v>
      </c>
      <c r="L19" s="167"/>
      <c r="M19" s="173">
        <f t="shared" si="4"/>
        <v>9928.5565099174073</v>
      </c>
      <c r="N19" s="173">
        <f t="shared" si="1"/>
        <v>340880.44017383101</v>
      </c>
      <c r="O19" s="167">
        <f t="shared" si="2"/>
        <v>102699.99999999999</v>
      </c>
      <c r="P19" s="167">
        <f t="shared" si="3"/>
        <v>0</v>
      </c>
      <c r="Q19" s="167">
        <f>'Calculo Servicios  (2)'!H16</f>
        <v>10211.883663913593</v>
      </c>
      <c r="R19" s="173">
        <f t="shared" si="5"/>
        <v>453792.3238377446</v>
      </c>
      <c r="U19" s="100" t="s">
        <v>44</v>
      </c>
    </row>
    <row r="20" spans="1:21" ht="24" customHeight="1" x14ac:dyDescent="0.25">
      <c r="A20" s="168" t="s">
        <v>93</v>
      </c>
      <c r="B20" s="169"/>
      <c r="C20" s="101" t="s">
        <v>45</v>
      </c>
      <c r="D20" s="170" t="s">
        <v>111</v>
      </c>
      <c r="E20" s="171"/>
      <c r="F20" s="172">
        <v>7.9</v>
      </c>
      <c r="G20" s="73">
        <v>450000</v>
      </c>
      <c r="H20" s="167">
        <v>0</v>
      </c>
      <c r="I20" s="73">
        <v>450000</v>
      </c>
      <c r="J20" s="167" t="e">
        <f>C9*F20/100</f>
        <v>#VALUE!</v>
      </c>
      <c r="K20" s="167">
        <f t="shared" ref="K20:K30" si="6">G20-H20-I20</f>
        <v>0</v>
      </c>
      <c r="L20" s="167">
        <f>G20-I20</f>
        <v>0</v>
      </c>
      <c r="M20" s="173">
        <f t="shared" si="4"/>
        <v>0</v>
      </c>
      <c r="N20" s="173">
        <f t="shared" si="1"/>
        <v>0</v>
      </c>
      <c r="O20" s="167">
        <f t="shared" si="2"/>
        <v>102699.99999999999</v>
      </c>
      <c r="P20" s="167">
        <f t="shared" si="3"/>
        <v>0</v>
      </c>
      <c r="Q20" s="167">
        <f>'Calculo Servicios  (2)'!H17</f>
        <v>18843.058062897075</v>
      </c>
      <c r="R20" s="173">
        <f t="shared" si="5"/>
        <v>121543.05806289706</v>
      </c>
      <c r="U20" s="100" t="s">
        <v>45</v>
      </c>
    </row>
    <row r="21" spans="1:21" ht="21" customHeight="1" x14ac:dyDescent="0.25">
      <c r="A21" s="117" t="s">
        <v>94</v>
      </c>
      <c r="B21" s="77"/>
      <c r="C21" s="100" t="s">
        <v>46</v>
      </c>
      <c r="D21" s="118" t="s">
        <v>112</v>
      </c>
      <c r="E21" s="120"/>
      <c r="F21" s="102">
        <v>7.9</v>
      </c>
      <c r="G21" s="78">
        <v>185674.95744790343</v>
      </c>
      <c r="H21" s="71"/>
      <c r="I21" s="73">
        <f t="shared" ref="I21:I26" si="7">G21</f>
        <v>185674.95744790343</v>
      </c>
      <c r="J21" s="71"/>
      <c r="K21" s="71">
        <f t="shared" si="6"/>
        <v>0</v>
      </c>
      <c r="L21" s="71"/>
      <c r="M21" s="70">
        <f t="shared" si="4"/>
        <v>0</v>
      </c>
      <c r="N21" s="70">
        <f t="shared" ref="N21:N30" si="8">K21+M21+L21</f>
        <v>0</v>
      </c>
      <c r="O21" s="71">
        <f t="shared" si="2"/>
        <v>102699.99999999999</v>
      </c>
      <c r="P21" s="71">
        <f t="shared" si="3"/>
        <v>0</v>
      </c>
      <c r="Q21" s="71">
        <f>'Calculo Servicios  (2)'!H18</f>
        <v>27674.957447903427</v>
      </c>
      <c r="R21" s="70">
        <f t="shared" si="5"/>
        <v>130374.95744790341</v>
      </c>
      <c r="U21" s="100" t="s">
        <v>46</v>
      </c>
    </row>
    <row r="22" spans="1:21" ht="24" customHeight="1" x14ac:dyDescent="0.25">
      <c r="A22" s="168" t="s">
        <v>95</v>
      </c>
      <c r="B22" s="169"/>
      <c r="C22" s="101" t="s">
        <v>47</v>
      </c>
      <c r="D22" s="170" t="s">
        <v>113</v>
      </c>
      <c r="E22" s="171" t="s">
        <v>116</v>
      </c>
      <c r="F22" s="172">
        <v>7.9</v>
      </c>
      <c r="G22" s="73">
        <v>352028.0071963151</v>
      </c>
      <c r="H22" s="167"/>
      <c r="I22" s="73"/>
      <c r="J22" s="167"/>
      <c r="K22" s="167">
        <f t="shared" si="6"/>
        <v>352028.0071963151</v>
      </c>
      <c r="L22" s="167"/>
      <c r="M22" s="173">
        <f t="shared" si="4"/>
        <v>10560.840215889453</v>
      </c>
      <c r="N22" s="173">
        <f t="shared" si="8"/>
        <v>362588.84741220454</v>
      </c>
      <c r="O22" s="167">
        <f t="shared" si="2"/>
        <v>102699.99999999999</v>
      </c>
      <c r="P22" s="167">
        <f t="shared" si="3"/>
        <v>0</v>
      </c>
      <c r="Q22" s="167">
        <f>'Calculo Servicios  (2)'!H19</f>
        <v>31288.00719631512</v>
      </c>
      <c r="R22" s="173">
        <f t="shared" si="5"/>
        <v>496576.85460851964</v>
      </c>
      <c r="S22">
        <v>598615.96846751205</v>
      </c>
      <c r="U22" s="100" t="s">
        <v>47</v>
      </c>
    </row>
    <row r="23" spans="1:21" ht="24.75" customHeight="1" x14ac:dyDescent="0.25">
      <c r="A23" s="181" t="s">
        <v>96</v>
      </c>
      <c r="B23" s="182"/>
      <c r="C23" s="183" t="s">
        <v>48</v>
      </c>
      <c r="D23" s="191" t="s">
        <v>165</v>
      </c>
      <c r="E23" s="185" t="s">
        <v>164</v>
      </c>
      <c r="F23" s="192">
        <v>7.9</v>
      </c>
      <c r="G23" s="187">
        <v>498854.77252472041</v>
      </c>
      <c r="H23" s="188"/>
      <c r="I23" s="187"/>
      <c r="J23" s="188"/>
      <c r="K23" s="188">
        <f t="shared" si="6"/>
        <v>498854.77252472041</v>
      </c>
      <c r="L23" s="188"/>
      <c r="M23" s="189">
        <f t="shared" si="4"/>
        <v>14965.643175741612</v>
      </c>
      <c r="N23" s="189">
        <f t="shared" si="8"/>
        <v>513820.41570046201</v>
      </c>
      <c r="O23" s="188">
        <f t="shared" si="2"/>
        <v>102699.99999999999</v>
      </c>
      <c r="P23" s="188">
        <f t="shared" si="3"/>
        <v>0</v>
      </c>
      <c r="Q23" s="188">
        <f>'Calculo Servicios  (2)'!H20</f>
        <v>37109.031790978392</v>
      </c>
      <c r="R23" s="189">
        <f t="shared" si="5"/>
        <v>653629.44749144034</v>
      </c>
      <c r="S23" s="250">
        <f>I20-S22</f>
        <v>-148615.96846751205</v>
      </c>
      <c r="U23" s="100" t="s">
        <v>48</v>
      </c>
    </row>
    <row r="24" spans="1:21" ht="21" customHeight="1" x14ac:dyDescent="0.25">
      <c r="A24" s="117"/>
      <c r="B24" s="77"/>
      <c r="C24" s="100" t="s">
        <v>97</v>
      </c>
      <c r="D24" s="119" t="str">
        <f>D18</f>
        <v>Estevez Norberto Omar</v>
      </c>
      <c r="E24" s="120" t="s">
        <v>151</v>
      </c>
      <c r="F24" s="102">
        <v>0.74</v>
      </c>
      <c r="G24" s="78">
        <v>14800</v>
      </c>
      <c r="H24" s="71"/>
      <c r="I24" s="73">
        <f>G24</f>
        <v>14800</v>
      </c>
      <c r="J24" s="71"/>
      <c r="K24" s="71">
        <f t="shared" si="6"/>
        <v>0</v>
      </c>
      <c r="L24" s="71"/>
      <c r="M24" s="70">
        <f t="shared" si="4"/>
        <v>0</v>
      </c>
      <c r="N24" s="70">
        <f t="shared" si="8"/>
        <v>0</v>
      </c>
      <c r="O24" s="71">
        <f t="shared" si="2"/>
        <v>9619.9999999999982</v>
      </c>
      <c r="P24" s="71">
        <f t="shared" si="3"/>
        <v>0</v>
      </c>
      <c r="Q24" s="71"/>
      <c r="R24" s="70">
        <f t="shared" si="5"/>
        <v>9619.9999999999982</v>
      </c>
      <c r="U24" s="100" t="s">
        <v>49</v>
      </c>
    </row>
    <row r="25" spans="1:21" ht="24.75" customHeight="1" x14ac:dyDescent="0.25">
      <c r="A25" s="168"/>
      <c r="B25" s="169"/>
      <c r="C25" s="101" t="s">
        <v>98</v>
      </c>
      <c r="D25" s="174" t="str">
        <f>D22</f>
        <v>Moro Vanesa Yania / Juan Carlos Moro</v>
      </c>
      <c r="E25" s="171" t="s">
        <v>116</v>
      </c>
      <c r="F25" s="172">
        <v>0.74</v>
      </c>
      <c r="G25" s="73">
        <v>30044</v>
      </c>
      <c r="H25" s="167"/>
      <c r="I25" s="73"/>
      <c r="J25" s="167"/>
      <c r="K25" s="167">
        <f t="shared" si="6"/>
        <v>30044</v>
      </c>
      <c r="L25" s="167"/>
      <c r="M25" s="173">
        <f t="shared" si="4"/>
        <v>901.31999999999994</v>
      </c>
      <c r="N25" s="173">
        <f t="shared" si="8"/>
        <v>30945.32</v>
      </c>
      <c r="O25" s="167">
        <f t="shared" si="2"/>
        <v>9619.9999999999982</v>
      </c>
      <c r="P25" s="167">
        <f t="shared" si="3"/>
        <v>0</v>
      </c>
      <c r="Q25" s="167">
        <f>'Calculo Servicios  (2)'!H22</f>
        <v>0</v>
      </c>
      <c r="R25" s="173">
        <f t="shared" si="5"/>
        <v>40565.32</v>
      </c>
      <c r="U25" s="100" t="s">
        <v>50</v>
      </c>
    </row>
    <row r="26" spans="1:21" ht="21" customHeight="1" x14ac:dyDescent="0.25">
      <c r="A26" s="117"/>
      <c r="B26" s="77"/>
      <c r="C26" s="100" t="s">
        <v>99</v>
      </c>
      <c r="D26" s="119" t="str">
        <f>D21</f>
        <v>Scarlercio Jorge Omar</v>
      </c>
      <c r="E26" s="119"/>
      <c r="F26" s="102">
        <v>0.74</v>
      </c>
      <c r="G26" s="78">
        <v>14800</v>
      </c>
      <c r="H26" s="71"/>
      <c r="I26" s="73">
        <f t="shared" si="7"/>
        <v>14800</v>
      </c>
      <c r="J26" s="71"/>
      <c r="K26" s="71">
        <f t="shared" si="6"/>
        <v>0</v>
      </c>
      <c r="L26" s="71"/>
      <c r="M26" s="70">
        <f t="shared" si="4"/>
        <v>0</v>
      </c>
      <c r="N26" s="70">
        <f t="shared" si="8"/>
        <v>0</v>
      </c>
      <c r="O26" s="71">
        <f t="shared" si="2"/>
        <v>9619.9999999999982</v>
      </c>
      <c r="P26" s="71">
        <f t="shared" si="3"/>
        <v>0</v>
      </c>
      <c r="Q26" s="71">
        <f>'Calculo Servicios  (2)'!H23</f>
        <v>0</v>
      </c>
      <c r="R26" s="70">
        <f t="shared" si="5"/>
        <v>9619.9999999999982</v>
      </c>
      <c r="U26" s="100" t="s">
        <v>51</v>
      </c>
    </row>
    <row r="27" spans="1:21" ht="21" customHeight="1" x14ac:dyDescent="0.25">
      <c r="A27" s="168"/>
      <c r="B27" s="165"/>
      <c r="C27" s="101" t="s">
        <v>100</v>
      </c>
      <c r="D27" s="174" t="str">
        <f>D19</f>
        <v>Lopez Gabriela</v>
      </c>
      <c r="E27" s="171" t="s">
        <v>152</v>
      </c>
      <c r="F27" s="172">
        <v>0.74</v>
      </c>
      <c r="G27" s="73">
        <v>30044</v>
      </c>
      <c r="H27" s="167">
        <v>0</v>
      </c>
      <c r="I27" s="73"/>
      <c r="J27" s="167" t="e">
        <f>C9*F27/100</f>
        <v>#VALUE!</v>
      </c>
      <c r="K27" s="167">
        <f t="shared" si="6"/>
        <v>30044</v>
      </c>
      <c r="L27" s="167"/>
      <c r="M27" s="173">
        <f t="shared" si="4"/>
        <v>901.31999999999994</v>
      </c>
      <c r="N27" s="173">
        <f t="shared" si="8"/>
        <v>30945.32</v>
      </c>
      <c r="O27" s="167">
        <f t="shared" si="2"/>
        <v>9619.9999999999982</v>
      </c>
      <c r="P27" s="167">
        <f t="shared" si="3"/>
        <v>0</v>
      </c>
      <c r="Q27" s="167">
        <f>'Calculo Servicios  (2)'!H24</f>
        <v>0</v>
      </c>
      <c r="R27" s="173">
        <f t="shared" si="5"/>
        <v>40565.32</v>
      </c>
      <c r="U27" s="100" t="s">
        <v>52</v>
      </c>
    </row>
    <row r="28" spans="1:21" ht="21" customHeight="1" x14ac:dyDescent="0.25">
      <c r="A28" s="117"/>
      <c r="B28" s="77"/>
      <c r="C28" s="100" t="s">
        <v>101</v>
      </c>
      <c r="D28" s="119" t="str">
        <f>D16</f>
        <v>Cecilia Mariel Cassettari</v>
      </c>
      <c r="E28" s="119"/>
      <c r="F28" s="102">
        <v>0.74</v>
      </c>
      <c r="G28" s="78">
        <v>30044</v>
      </c>
      <c r="H28" s="71">
        <v>0</v>
      </c>
      <c r="I28" s="73">
        <f>G28</f>
        <v>30044</v>
      </c>
      <c r="J28" s="71" t="e">
        <f>C9*F28/100</f>
        <v>#VALUE!</v>
      </c>
      <c r="K28" s="71">
        <f t="shared" si="6"/>
        <v>0</v>
      </c>
      <c r="L28" s="71"/>
      <c r="M28" s="70">
        <f t="shared" si="4"/>
        <v>0</v>
      </c>
      <c r="N28" s="70">
        <f t="shared" si="8"/>
        <v>0</v>
      </c>
      <c r="O28" s="71">
        <f t="shared" si="2"/>
        <v>9619.9999999999982</v>
      </c>
      <c r="P28" s="71">
        <f t="shared" si="3"/>
        <v>0</v>
      </c>
      <c r="Q28" s="71">
        <f>'Calculo Servicios  (2)'!H25</f>
        <v>0</v>
      </c>
      <c r="R28" s="70">
        <f t="shared" si="5"/>
        <v>9619.9999999999982</v>
      </c>
      <c r="U28" s="100" t="s">
        <v>53</v>
      </c>
    </row>
    <row r="29" spans="1:21" ht="21" customHeight="1" x14ac:dyDescent="0.25">
      <c r="A29" s="181"/>
      <c r="B29" s="182"/>
      <c r="C29" s="183" t="s">
        <v>102</v>
      </c>
      <c r="D29" s="184" t="str">
        <f>D17</f>
        <v>Grandinetti Leonardo Alberto</v>
      </c>
      <c r="E29" s="185"/>
      <c r="F29" s="186">
        <v>0.74</v>
      </c>
      <c r="G29" s="187">
        <v>43252.1326763252</v>
      </c>
      <c r="H29" s="188">
        <v>0</v>
      </c>
      <c r="I29" s="187"/>
      <c r="J29" s="188">
        <v>0</v>
      </c>
      <c r="K29" s="188">
        <f t="shared" si="6"/>
        <v>43252.1326763252</v>
      </c>
      <c r="L29" s="188"/>
      <c r="M29" s="189">
        <f t="shared" si="4"/>
        <v>1297.563980289756</v>
      </c>
      <c r="N29" s="189">
        <f t="shared" si="8"/>
        <v>44549.696656614957</v>
      </c>
      <c r="O29" s="188">
        <f t="shared" si="2"/>
        <v>9619.9999999999982</v>
      </c>
      <c r="P29" s="188">
        <f t="shared" si="3"/>
        <v>0</v>
      </c>
      <c r="Q29" s="188">
        <f>'Calculo Servicios  (2)'!H26</f>
        <v>0</v>
      </c>
      <c r="R29" s="189">
        <f t="shared" si="5"/>
        <v>54169.696656614957</v>
      </c>
      <c r="U29" s="100" t="s">
        <v>54</v>
      </c>
    </row>
    <row r="30" spans="1:21" ht="26.25" customHeight="1" thickBot="1" x14ac:dyDescent="0.3">
      <c r="A30" s="181"/>
      <c r="B30" s="182"/>
      <c r="C30" s="183" t="s">
        <v>103</v>
      </c>
      <c r="D30" s="184" t="str">
        <f>D23</f>
        <v>Rodriguez Flavio/Rodriguez Mauro</v>
      </c>
      <c r="E30" s="185" t="s">
        <v>164</v>
      </c>
      <c r="F30" s="190">
        <v>0.74</v>
      </c>
      <c r="G30" s="187">
        <v>43252.1326763252</v>
      </c>
      <c r="H30" s="188">
        <v>0</v>
      </c>
      <c r="I30" s="187"/>
      <c r="J30" s="188" t="e">
        <f>C9*F30/100</f>
        <v>#VALUE!</v>
      </c>
      <c r="K30" s="188">
        <f t="shared" si="6"/>
        <v>43252.1326763252</v>
      </c>
      <c r="L30" s="188"/>
      <c r="M30" s="189">
        <f t="shared" si="4"/>
        <v>1297.563980289756</v>
      </c>
      <c r="N30" s="189">
        <f t="shared" si="8"/>
        <v>44549.696656614957</v>
      </c>
      <c r="O30" s="188">
        <f t="shared" si="2"/>
        <v>9619.9999999999982</v>
      </c>
      <c r="P30" s="188">
        <f t="shared" si="3"/>
        <v>0</v>
      </c>
      <c r="Q30" s="188">
        <f>'Calculo Servicios  (2)'!H27</f>
        <v>0</v>
      </c>
      <c r="R30" s="189">
        <f t="shared" si="5"/>
        <v>54169.696656614957</v>
      </c>
      <c r="U30" s="101" t="s">
        <v>55</v>
      </c>
    </row>
    <row r="31" spans="1:21" ht="21" hidden="1" customHeight="1" thickBot="1" x14ac:dyDescent="0.3">
      <c r="A31" s="79"/>
      <c r="B31" s="77"/>
      <c r="C31" s="76"/>
      <c r="D31" s="76"/>
      <c r="E31" s="76"/>
      <c r="F31" s="75"/>
      <c r="G31" s="74"/>
      <c r="H31" s="71">
        <v>0</v>
      </c>
      <c r="I31" s="73"/>
      <c r="J31" s="72"/>
      <c r="K31" s="71"/>
      <c r="L31" s="72"/>
      <c r="M31" s="70"/>
      <c r="N31" s="70"/>
      <c r="O31" s="71"/>
      <c r="P31" s="71">
        <f t="shared" si="3"/>
        <v>0</v>
      </c>
      <c r="Q31" s="71"/>
      <c r="R31" s="115"/>
      <c r="U31" s="100" t="s">
        <v>56</v>
      </c>
    </row>
    <row r="32" spans="1:21" s="62" customFormat="1" ht="21.75" thickBot="1" x14ac:dyDescent="0.4">
      <c r="A32" s="231"/>
      <c r="B32" s="232"/>
      <c r="C32" s="232"/>
      <c r="D32" s="69"/>
      <c r="E32" s="69"/>
      <c r="F32" s="103"/>
      <c r="G32" s="67">
        <f>SUM(G12:G31)</f>
        <v>4366295.6067669699</v>
      </c>
      <c r="H32" s="67">
        <f>SUM(H12:H31)</f>
        <v>0</v>
      </c>
      <c r="I32" s="68">
        <f>SUM(I12:I31)</f>
        <v>2110578.6274750438</v>
      </c>
      <c r="J32" s="67"/>
      <c r="K32" s="68">
        <f>SUM(K12:K31)</f>
        <v>2255716.9792919275</v>
      </c>
      <c r="L32" s="67"/>
      <c r="M32" s="66"/>
      <c r="N32" s="65"/>
      <c r="O32" s="64">
        <f>SUM(O12:O31)</f>
        <v>1299739.9999999998</v>
      </c>
      <c r="P32" s="63">
        <f>SUM(P12:P31)</f>
        <v>0</v>
      </c>
      <c r="Q32" s="63"/>
      <c r="R32" s="116">
        <f t="shared" ref="R32" si="9">O32+N32+P32+Q32</f>
        <v>1299739.9999999998</v>
      </c>
      <c r="U32" s="100" t="s">
        <v>57</v>
      </c>
    </row>
    <row r="33" spans="2:21" ht="34.5" hidden="1" customHeight="1" thickBot="1" x14ac:dyDescent="0.3">
      <c r="B33" s="228" t="s">
        <v>19</v>
      </c>
      <c r="C33" s="229"/>
      <c r="D33" s="229"/>
      <c r="E33" s="229"/>
      <c r="F33" s="229"/>
      <c r="G33" s="229"/>
      <c r="H33" s="229"/>
      <c r="I33" s="229"/>
      <c r="J33" s="229"/>
      <c r="K33" s="229"/>
      <c r="L33" s="229"/>
      <c r="M33" s="229"/>
      <c r="N33" s="229"/>
      <c r="O33" s="229"/>
      <c r="P33" s="229"/>
      <c r="Q33" s="229"/>
      <c r="R33" s="230"/>
      <c r="U33" s="100" t="s">
        <v>58</v>
      </c>
    </row>
    <row r="34" spans="2:21" x14ac:dyDescent="0.25">
      <c r="F34" s="61"/>
      <c r="G34" s="60"/>
      <c r="H34" s="60"/>
      <c r="I34" s="60"/>
      <c r="J34" s="60"/>
      <c r="K34" s="60" t="s">
        <v>18</v>
      </c>
      <c r="L34" s="60"/>
      <c r="U34" s="100" t="s">
        <v>59</v>
      </c>
    </row>
    <row r="35" spans="2:21" x14ac:dyDescent="0.25">
      <c r="C35" s="222" t="s">
        <v>159</v>
      </c>
      <c r="D35" s="222"/>
      <c r="E35" s="222"/>
      <c r="F35" s="222"/>
      <c r="G35" s="222"/>
      <c r="H35" s="222"/>
      <c r="I35" s="222"/>
      <c r="J35" s="222"/>
      <c r="K35" s="222"/>
      <c r="L35" s="222"/>
      <c r="M35" s="222"/>
      <c r="N35" s="222"/>
      <c r="O35" s="222"/>
    </row>
    <row r="36" spans="2:21" x14ac:dyDescent="0.25">
      <c r="C36" s="222"/>
      <c r="D36" s="222"/>
      <c r="E36" s="222"/>
      <c r="F36" s="222"/>
      <c r="G36" s="222"/>
      <c r="H36" s="222"/>
      <c r="I36" s="222"/>
      <c r="J36" s="222"/>
      <c r="K36" s="222"/>
      <c r="L36" s="222"/>
      <c r="M36" s="222"/>
      <c r="N36" s="222"/>
      <c r="O36" s="222"/>
    </row>
    <row r="37" spans="2:21" x14ac:dyDescent="0.25">
      <c r="C37" s="222"/>
      <c r="D37" s="222"/>
      <c r="E37" s="222"/>
      <c r="F37" s="222"/>
      <c r="G37" s="222"/>
      <c r="H37" s="222"/>
      <c r="I37" s="222"/>
      <c r="J37" s="222"/>
      <c r="K37" s="222"/>
      <c r="L37" s="222"/>
      <c r="M37" s="222"/>
      <c r="N37" s="222"/>
      <c r="O37" s="222"/>
    </row>
    <row r="38" spans="2:21" x14ac:dyDescent="0.25">
      <c r="C38" s="222"/>
      <c r="D38" s="222"/>
      <c r="E38" s="222"/>
      <c r="F38" s="222"/>
      <c r="G38" s="222"/>
      <c r="H38" s="222"/>
      <c r="I38" s="222"/>
      <c r="J38" s="222"/>
      <c r="K38" s="222"/>
      <c r="L38" s="222"/>
      <c r="M38" s="222"/>
      <c r="N38" s="222"/>
      <c r="O38" s="222"/>
    </row>
    <row r="39" spans="2:21" ht="25.5" customHeight="1" x14ac:dyDescent="0.25">
      <c r="C39" s="222"/>
      <c r="D39" s="222"/>
      <c r="E39" s="222"/>
      <c r="F39" s="222"/>
      <c r="G39" s="222"/>
      <c r="H39" s="222"/>
      <c r="I39" s="222"/>
      <c r="J39" s="222"/>
      <c r="K39" s="222"/>
      <c r="L39" s="222"/>
      <c r="M39" s="222"/>
      <c r="N39" s="222"/>
      <c r="O39" s="222"/>
    </row>
  </sheetData>
  <mergeCells count="6">
    <mergeCell ref="C35:O39"/>
    <mergeCell ref="M4:R4"/>
    <mergeCell ref="A1:R1"/>
    <mergeCell ref="B33:R33"/>
    <mergeCell ref="A32:C32"/>
    <mergeCell ref="C7:D7"/>
  </mergeCells>
  <pageMargins left="0.25" right="0.25" top="0.75" bottom="0.75" header="0.3" footer="0.3"/>
  <pageSetup scale="72" fitToWidth="0"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7"/>
  <sheetViews>
    <sheetView zoomScale="90" zoomScaleNormal="90" workbookViewId="0">
      <selection activeCell="C10" sqref="C10"/>
    </sheetView>
  </sheetViews>
  <sheetFormatPr baseColWidth="10" defaultRowHeight="12.75" x14ac:dyDescent="0.2"/>
  <cols>
    <col min="1" max="1" width="12.140625" style="121" bestFit="1" customWidth="1"/>
    <col min="2" max="2" width="16.28515625" style="121" bestFit="1" customWidth="1"/>
    <col min="3" max="3" width="15.140625" style="121" bestFit="1" customWidth="1"/>
    <col min="4" max="4" width="13.140625" style="121" bestFit="1" customWidth="1"/>
    <col min="5" max="5" width="16.7109375" style="121" bestFit="1" customWidth="1"/>
    <col min="6" max="7" width="13.42578125" style="121" bestFit="1" customWidth="1"/>
    <col min="8" max="8" width="14" style="121" bestFit="1" customWidth="1"/>
    <col min="9" max="12" width="11.42578125" style="121"/>
    <col min="13" max="13" width="14.7109375" style="121" bestFit="1" customWidth="1"/>
    <col min="14" max="14" width="21.5703125" style="121" bestFit="1" customWidth="1"/>
    <col min="15" max="16384" width="11.42578125" style="121"/>
  </cols>
  <sheetData>
    <row r="1" spans="1:15" x14ac:dyDescent="0.2">
      <c r="A1" s="234" t="s">
        <v>84</v>
      </c>
      <c r="B1" s="235"/>
      <c r="C1" s="235"/>
      <c r="D1" s="235"/>
      <c r="E1" s="236"/>
    </row>
    <row r="2" spans="1:15" x14ac:dyDescent="0.2">
      <c r="A2" s="162"/>
      <c r="B2" s="147"/>
      <c r="C2" s="147"/>
      <c r="D2" s="161" t="s">
        <v>83</v>
      </c>
      <c r="E2" s="158"/>
    </row>
    <row r="3" spans="1:15" x14ac:dyDescent="0.2">
      <c r="A3" s="160">
        <f>13+28+19</f>
        <v>60</v>
      </c>
      <c r="B3" s="114">
        <v>10531.71</v>
      </c>
      <c r="C3" s="159">
        <f>+B3/A3</f>
        <v>175.52849999999998</v>
      </c>
      <c r="D3" s="159">
        <v>4863.8999999999996</v>
      </c>
      <c r="E3" s="158" t="s">
        <v>145</v>
      </c>
      <c r="I3" s="121" t="s">
        <v>82</v>
      </c>
    </row>
    <row r="4" spans="1:15" ht="13.5" thickBot="1" x14ac:dyDescent="0.25">
      <c r="A4" s="157"/>
      <c r="B4" s="156"/>
      <c r="C4" s="156"/>
      <c r="D4" s="156"/>
      <c r="E4" s="155"/>
    </row>
    <row r="5" spans="1:15" x14ac:dyDescent="0.2">
      <c r="A5" s="154"/>
      <c r="B5" s="154"/>
      <c r="C5" s="154"/>
      <c r="D5" s="154"/>
      <c r="E5" s="154"/>
    </row>
    <row r="6" spans="1:15" ht="13.5" thickBot="1" x14ac:dyDescent="0.25">
      <c r="A6" s="154"/>
      <c r="B6" s="154"/>
      <c r="C6" s="154"/>
      <c r="D6" s="154"/>
      <c r="E6" s="154"/>
    </row>
    <row r="7" spans="1:15" x14ac:dyDescent="0.2">
      <c r="A7" s="237" t="s">
        <v>81</v>
      </c>
      <c r="B7" s="238"/>
      <c r="C7" s="238"/>
      <c r="D7" s="238"/>
      <c r="E7" s="238"/>
      <c r="F7" s="238"/>
      <c r="G7" s="238"/>
      <c r="H7" s="239"/>
      <c r="L7" s="121" t="s">
        <v>76</v>
      </c>
      <c r="M7" s="121" t="s">
        <v>80</v>
      </c>
    </row>
    <row r="8" spans="1:15" x14ac:dyDescent="0.2">
      <c r="A8" s="113">
        <v>394926.41</v>
      </c>
      <c r="B8" s="152" t="s">
        <v>79</v>
      </c>
      <c r="C8" s="152" t="s">
        <v>78</v>
      </c>
      <c r="D8" s="152" t="s">
        <v>77</v>
      </c>
      <c r="E8" s="153">
        <f>3935/2</f>
        <v>1967.5</v>
      </c>
      <c r="F8" s="152" t="s">
        <v>76</v>
      </c>
      <c r="G8" s="152" t="s">
        <v>75</v>
      </c>
      <c r="H8" s="151" t="s">
        <v>74</v>
      </c>
      <c r="K8" s="147">
        <v>19</v>
      </c>
      <c r="L8" s="133">
        <v>7502.93</v>
      </c>
      <c r="M8" s="133">
        <v>2365.2600000000002</v>
      </c>
    </row>
    <row r="9" spans="1:15" ht="15" x14ac:dyDescent="0.25">
      <c r="A9" s="150" t="s">
        <v>37</v>
      </c>
      <c r="B9" s="147">
        <v>1617</v>
      </c>
      <c r="C9" s="147">
        <f>B9+J25</f>
        <v>1689</v>
      </c>
      <c r="D9" s="147">
        <f t="shared" ref="D9:D20" si="0">+C9-B9</f>
        <v>72</v>
      </c>
      <c r="E9" s="110">
        <f>+D9/E8</f>
        <v>3.6594663278271919E-2</v>
      </c>
      <c r="F9" s="109">
        <f>+A8*E9</f>
        <v>14452.19899364676</v>
      </c>
      <c r="G9" s="109">
        <f>+(A8*A23)/12</f>
        <v>9810.4336918678509</v>
      </c>
      <c r="H9" s="108">
        <f>+G9+F9</f>
        <v>24262.632685514611</v>
      </c>
      <c r="K9" s="121">
        <v>106</v>
      </c>
      <c r="L9" s="133">
        <f>+L8*O9</f>
        <v>1575.6152999999999</v>
      </c>
      <c r="M9" s="121">
        <f>M8*21%</f>
        <v>496.70460000000003</v>
      </c>
      <c r="N9" s="121" t="s">
        <v>73</v>
      </c>
      <c r="O9" s="112">
        <v>0.21</v>
      </c>
    </row>
    <row r="10" spans="1:15" ht="15" x14ac:dyDescent="0.25">
      <c r="A10" s="148" t="s">
        <v>38</v>
      </c>
      <c r="B10" s="147">
        <v>4104</v>
      </c>
      <c r="C10" s="147">
        <f t="shared" ref="C10:C20" si="1">B10+J26</f>
        <v>4195</v>
      </c>
      <c r="D10" s="147">
        <f t="shared" si="0"/>
        <v>91</v>
      </c>
      <c r="E10" s="110">
        <f>+D10/E8</f>
        <v>4.6251588310038116E-2</v>
      </c>
      <c r="F10" s="109">
        <f>+A8*E10</f>
        <v>18265.973728081321</v>
      </c>
      <c r="G10" s="109">
        <f>+G9</f>
        <v>9810.4336918678509</v>
      </c>
      <c r="H10" s="108">
        <f>+G10+F10</f>
        <v>28076.407419949173</v>
      </c>
      <c r="K10" s="121">
        <v>60</v>
      </c>
      <c r="L10" s="133">
        <f>+L8*O10</f>
        <v>481.98822320000005</v>
      </c>
      <c r="M10" s="121">
        <f>+M8*6.424%</f>
        <v>151.94430240000003</v>
      </c>
      <c r="N10" s="121" t="s">
        <v>72</v>
      </c>
      <c r="O10" s="111">
        <v>6.4240000000000005E-2</v>
      </c>
    </row>
    <row r="11" spans="1:15" ht="15" x14ac:dyDescent="0.25">
      <c r="A11" s="148" t="s">
        <v>39</v>
      </c>
      <c r="B11" s="147">
        <v>7644</v>
      </c>
      <c r="C11" s="147">
        <f t="shared" si="1"/>
        <v>7807</v>
      </c>
      <c r="D11" s="147">
        <f t="shared" si="0"/>
        <v>163</v>
      </c>
      <c r="E11" s="110">
        <f>+D11/E8</f>
        <v>8.2846251588310035E-2</v>
      </c>
      <c r="F11" s="109">
        <f>+A8*E11</f>
        <v>32718.172721728079</v>
      </c>
      <c r="G11" s="109">
        <f>G10</f>
        <v>9810.4336918678509</v>
      </c>
      <c r="H11" s="108">
        <f>+G11+F11</f>
        <v>42528.606413595931</v>
      </c>
      <c r="K11" s="121">
        <v>79</v>
      </c>
      <c r="L11" s="133">
        <f>+L8*0.001%</f>
        <v>7.5029300000000007E-2</v>
      </c>
      <c r="M11" s="121">
        <v>0.03</v>
      </c>
      <c r="N11" s="121" t="s">
        <v>71</v>
      </c>
      <c r="O11" s="133">
        <v>0.1</v>
      </c>
    </row>
    <row r="12" spans="1:15" ht="15" x14ac:dyDescent="0.25">
      <c r="A12" s="148" t="s">
        <v>40</v>
      </c>
      <c r="B12" s="147">
        <v>6554</v>
      </c>
      <c r="C12" s="147">
        <f t="shared" si="1"/>
        <v>6730</v>
      </c>
      <c r="D12" s="147">
        <f t="shared" si="0"/>
        <v>176</v>
      </c>
      <c r="E12" s="110">
        <f>+D12/E8</f>
        <v>8.9453621346886919E-2</v>
      </c>
      <c r="F12" s="109">
        <f>+A8*E12</f>
        <v>35327.59754002541</v>
      </c>
      <c r="G12" s="109">
        <f>G9</f>
        <v>9810.4336918678509</v>
      </c>
      <c r="H12" s="108">
        <f t="shared" ref="H12:H20" si="2">SUM(F12:G12)</f>
        <v>45138.031231893263</v>
      </c>
      <c r="K12" s="121">
        <v>89</v>
      </c>
      <c r="L12" s="133">
        <v>400</v>
      </c>
      <c r="M12" s="121">
        <v>253</v>
      </c>
      <c r="N12" s="121" t="s">
        <v>70</v>
      </c>
      <c r="O12" s="121">
        <v>653</v>
      </c>
    </row>
    <row r="13" spans="1:15" ht="15" x14ac:dyDescent="0.25">
      <c r="A13" s="148" t="s">
        <v>41</v>
      </c>
      <c r="B13" s="147">
        <v>7564</v>
      </c>
      <c r="C13" s="147">
        <f t="shared" si="1"/>
        <v>7767</v>
      </c>
      <c r="D13" s="147">
        <f t="shared" si="0"/>
        <v>203</v>
      </c>
      <c r="E13" s="110">
        <f>+D13/E8</f>
        <v>0.10317662007623889</v>
      </c>
      <c r="F13" s="109">
        <f>+A8*E13</f>
        <v>40747.17216264295</v>
      </c>
      <c r="G13" s="109">
        <f>G9</f>
        <v>9810.4336918678509</v>
      </c>
      <c r="H13" s="108">
        <f t="shared" si="2"/>
        <v>50557.605854510803</v>
      </c>
      <c r="K13" s="121">
        <v>140</v>
      </c>
      <c r="L13" s="149">
        <f>SUM(L8:L12)-0.45</f>
        <v>9960.1585524999991</v>
      </c>
      <c r="M13" s="121">
        <f>SUM(M8:M12)</f>
        <v>3266.9389024000006</v>
      </c>
    </row>
    <row r="14" spans="1:15" ht="15" x14ac:dyDescent="0.25">
      <c r="A14" s="148" t="s">
        <v>42</v>
      </c>
      <c r="B14" s="147">
        <v>10119</v>
      </c>
      <c r="C14" s="147">
        <f t="shared" si="1"/>
        <v>10334</v>
      </c>
      <c r="D14" s="147">
        <f t="shared" si="0"/>
        <v>215</v>
      </c>
      <c r="E14" s="110">
        <f>+D14/E8</f>
        <v>0.10927573062261753</v>
      </c>
      <c r="F14" s="109">
        <f>+A8*E14</f>
        <v>43155.871994917405</v>
      </c>
      <c r="G14" s="109">
        <f>G9</f>
        <v>9810.4336918678509</v>
      </c>
      <c r="H14" s="108">
        <f t="shared" si="2"/>
        <v>52966.305686785257</v>
      </c>
      <c r="K14" s="121">
        <v>143</v>
      </c>
    </row>
    <row r="15" spans="1:15" ht="15" x14ac:dyDescent="0.25">
      <c r="A15" s="148" t="s">
        <v>43</v>
      </c>
      <c r="B15" s="147">
        <v>8986</v>
      </c>
      <c r="C15" s="147">
        <f t="shared" si="1"/>
        <v>9068</v>
      </c>
      <c r="D15" s="147">
        <f t="shared" si="0"/>
        <v>82</v>
      </c>
      <c r="E15" s="110">
        <f>+D15/E8</f>
        <v>4.1677255400254132E-2</v>
      </c>
      <c r="F15" s="109">
        <f>+A8*E15</f>
        <v>16459.448853875478</v>
      </c>
      <c r="G15" s="109">
        <f>G9</f>
        <v>9810.4336918678509</v>
      </c>
      <c r="H15" s="108">
        <f t="shared" si="2"/>
        <v>26269.882545743327</v>
      </c>
      <c r="K15" s="121">
        <v>221</v>
      </c>
      <c r="L15" s="121">
        <f>+L13+M13</f>
        <v>13227.0974549</v>
      </c>
    </row>
    <row r="16" spans="1:15" ht="15" x14ac:dyDescent="0.25">
      <c r="A16" s="148" t="s">
        <v>44</v>
      </c>
      <c r="B16" s="147">
        <v>7032</v>
      </c>
      <c r="C16" s="147">
        <f t="shared" si="1"/>
        <v>7034</v>
      </c>
      <c r="D16" s="147">
        <f t="shared" si="0"/>
        <v>2</v>
      </c>
      <c r="E16" s="110">
        <f>+D16/E8</f>
        <v>1.0165184243964421E-3</v>
      </c>
      <c r="F16" s="109">
        <f>+A8*E16</f>
        <v>401.44997204574327</v>
      </c>
      <c r="G16" s="109">
        <f>G9</f>
        <v>9810.4336918678509</v>
      </c>
      <c r="H16" s="108">
        <f t="shared" si="2"/>
        <v>10211.883663913593</v>
      </c>
      <c r="K16" s="121">
        <v>32</v>
      </c>
    </row>
    <row r="17" spans="1:13" ht="15" x14ac:dyDescent="0.25">
      <c r="A17" s="148" t="s">
        <v>45</v>
      </c>
      <c r="B17" s="147">
        <v>1623</v>
      </c>
      <c r="C17" s="147">
        <f t="shared" si="1"/>
        <v>1668</v>
      </c>
      <c r="D17" s="147">
        <f t="shared" si="0"/>
        <v>45</v>
      </c>
      <c r="E17" s="110">
        <f>+D17/E8</f>
        <v>2.2871664548919948E-2</v>
      </c>
      <c r="F17" s="109">
        <f>+A8*E17</f>
        <v>9032.6243710292238</v>
      </c>
      <c r="G17" s="109">
        <f>G9</f>
        <v>9810.4336918678509</v>
      </c>
      <c r="H17" s="108">
        <f t="shared" si="2"/>
        <v>18843.058062897075</v>
      </c>
      <c r="K17" s="121">
        <v>80</v>
      </c>
    </row>
    <row r="18" spans="1:13" ht="15" x14ac:dyDescent="0.25">
      <c r="A18" s="148" t="s">
        <v>46</v>
      </c>
      <c r="B18" s="147">
        <v>3932</v>
      </c>
      <c r="C18" s="147">
        <f t="shared" si="1"/>
        <v>4021</v>
      </c>
      <c r="D18" s="147">
        <f t="shared" si="0"/>
        <v>89</v>
      </c>
      <c r="E18" s="110">
        <f>+D18/E8</f>
        <v>4.5235069885641674E-2</v>
      </c>
      <c r="F18" s="109">
        <f>+A8*E18</f>
        <v>17864.523756035574</v>
      </c>
      <c r="G18" s="109">
        <f>G9</f>
        <v>9810.4336918678509</v>
      </c>
      <c r="H18" s="108">
        <f t="shared" si="2"/>
        <v>27674.957447903427</v>
      </c>
      <c r="K18" s="121">
        <v>113</v>
      </c>
    </row>
    <row r="19" spans="1:13" ht="15" x14ac:dyDescent="0.25">
      <c r="A19" s="148" t="s">
        <v>47</v>
      </c>
      <c r="B19" s="147">
        <v>6887</v>
      </c>
      <c r="C19" s="147">
        <f t="shared" si="1"/>
        <v>6994</v>
      </c>
      <c r="D19" s="147">
        <f t="shared" si="0"/>
        <v>107</v>
      </c>
      <c r="E19" s="110">
        <f>+D19/E8</f>
        <v>5.4383735705209657E-2</v>
      </c>
      <c r="F19" s="109">
        <f>+A8*E19</f>
        <v>21477.573504447268</v>
      </c>
      <c r="G19" s="109">
        <f>G9</f>
        <v>9810.4336918678509</v>
      </c>
      <c r="H19" s="108">
        <f t="shared" si="2"/>
        <v>31288.00719631512</v>
      </c>
      <c r="K19" s="121">
        <v>2</v>
      </c>
    </row>
    <row r="20" spans="1:13" ht="15" x14ac:dyDescent="0.25">
      <c r="A20" s="148" t="s">
        <v>48</v>
      </c>
      <c r="B20" s="147">
        <v>1884</v>
      </c>
      <c r="C20" s="147">
        <f t="shared" si="1"/>
        <v>2020</v>
      </c>
      <c r="D20" s="147">
        <f t="shared" si="0"/>
        <v>136</v>
      </c>
      <c r="E20" s="110">
        <f>+D20/E8</f>
        <v>6.9123252858958067E-2</v>
      </c>
      <c r="F20" s="109">
        <f>+A8*E20</f>
        <v>27298.598099110543</v>
      </c>
      <c r="G20" s="109">
        <f>G9</f>
        <v>9810.4336918678509</v>
      </c>
      <c r="H20" s="108">
        <f t="shared" si="2"/>
        <v>37109.031790978392</v>
      </c>
    </row>
    <row r="21" spans="1:13" ht="13.5" thickBot="1" x14ac:dyDescent="0.25">
      <c r="A21" s="146" t="s">
        <v>144</v>
      </c>
      <c r="B21" s="145"/>
      <c r="C21" s="145"/>
      <c r="D21" s="144">
        <f>SUM(D9:D20)</f>
        <v>1381</v>
      </c>
      <c r="E21" s="143"/>
      <c r="F21" s="123"/>
      <c r="G21" s="123"/>
      <c r="H21" s="107">
        <f>SUM(H9:H20)</f>
        <v>394926.40999999992</v>
      </c>
      <c r="J21" s="133">
        <f>+H21-A8</f>
        <v>0</v>
      </c>
    </row>
    <row r="22" spans="1:13" x14ac:dyDescent="0.2">
      <c r="A22" s="106">
        <f>+D21/E8</f>
        <v>0.70190597204574334</v>
      </c>
      <c r="B22" s="142" t="s">
        <v>69</v>
      </c>
      <c r="L22" s="141"/>
    </row>
    <row r="23" spans="1:13" ht="13.5" thickBot="1" x14ac:dyDescent="0.25">
      <c r="A23" s="105">
        <f>100%-A22</f>
        <v>0.29809402795425666</v>
      </c>
      <c r="B23" s="140" t="s">
        <v>68</v>
      </c>
    </row>
    <row r="25" spans="1:13" x14ac:dyDescent="0.2">
      <c r="A25" s="139"/>
      <c r="J25" s="121">
        <v>72</v>
      </c>
    </row>
    <row r="26" spans="1:13" x14ac:dyDescent="0.2">
      <c r="J26" s="121">
        <v>91</v>
      </c>
    </row>
    <row r="27" spans="1:13" ht="13.5" thickBot="1" x14ac:dyDescent="0.25">
      <c r="J27" s="121">
        <v>163</v>
      </c>
    </row>
    <row r="28" spans="1:13" x14ac:dyDescent="0.2">
      <c r="B28" s="240" t="s">
        <v>143</v>
      </c>
      <c r="C28" s="241"/>
      <c r="D28" s="241"/>
      <c r="E28" s="241"/>
      <c r="F28" s="242"/>
      <c r="J28" s="121">
        <v>176</v>
      </c>
    </row>
    <row r="29" spans="1:13" x14ac:dyDescent="0.2">
      <c r="B29" s="138" t="s">
        <v>142</v>
      </c>
      <c r="C29" s="137" t="s">
        <v>141</v>
      </c>
      <c r="D29" s="137" t="s">
        <v>140</v>
      </c>
      <c r="E29" s="137" t="s">
        <v>139</v>
      </c>
      <c r="F29" s="136" t="s">
        <v>138</v>
      </c>
      <c r="J29" s="121">
        <v>203</v>
      </c>
    </row>
    <row r="30" spans="1:13" ht="15" x14ac:dyDescent="0.25">
      <c r="B30" s="132" t="s">
        <v>137</v>
      </c>
      <c r="C30" s="109">
        <v>4000</v>
      </c>
      <c r="D30" s="109">
        <v>0</v>
      </c>
      <c r="E30" s="130"/>
      <c r="F30" s="108">
        <f>+C30</f>
        <v>4000</v>
      </c>
      <c r="J30" s="135">
        <v>215</v>
      </c>
      <c r="M30" s="121">
        <f>+H21-A8</f>
        <v>0</v>
      </c>
    </row>
    <row r="31" spans="1:13" ht="15" x14ac:dyDescent="0.25">
      <c r="B31" s="132" t="s">
        <v>136</v>
      </c>
      <c r="C31" s="109">
        <v>4000</v>
      </c>
      <c r="D31" s="109">
        <v>0</v>
      </c>
      <c r="E31" s="130"/>
      <c r="F31" s="108">
        <f t="shared" ref="F31:F44" si="3">+F30+C31-D31</f>
        <v>8000</v>
      </c>
      <c r="J31" s="121">
        <v>82</v>
      </c>
    </row>
    <row r="32" spans="1:13" ht="15" x14ac:dyDescent="0.25">
      <c r="B32" s="132" t="s">
        <v>135</v>
      </c>
      <c r="C32" s="109">
        <v>4000</v>
      </c>
      <c r="D32" s="109">
        <v>0</v>
      </c>
      <c r="E32" s="130"/>
      <c r="F32" s="108">
        <f t="shared" si="3"/>
        <v>12000</v>
      </c>
      <c r="J32" s="121">
        <v>2</v>
      </c>
    </row>
    <row r="33" spans="2:13" ht="15" x14ac:dyDescent="0.25">
      <c r="B33" s="132" t="s">
        <v>134</v>
      </c>
      <c r="C33" s="109">
        <v>4000</v>
      </c>
      <c r="D33" s="109">
        <v>0</v>
      </c>
      <c r="E33" s="130"/>
      <c r="F33" s="108">
        <f t="shared" si="3"/>
        <v>16000</v>
      </c>
      <c r="J33" s="121">
        <v>45</v>
      </c>
      <c r="K33" s="134">
        <f>11934.02-11933.71</f>
        <v>0.31000000000130967</v>
      </c>
    </row>
    <row r="34" spans="2:13" ht="15" x14ac:dyDescent="0.25">
      <c r="B34" s="132" t="s">
        <v>133</v>
      </c>
      <c r="C34" s="109">
        <v>4000</v>
      </c>
      <c r="D34" s="109">
        <v>0</v>
      </c>
      <c r="E34" s="130"/>
      <c r="F34" s="108">
        <f t="shared" si="3"/>
        <v>20000</v>
      </c>
      <c r="J34" s="121">
        <v>89</v>
      </c>
    </row>
    <row r="35" spans="2:13" ht="15" x14ac:dyDescent="0.25">
      <c r="B35" s="132" t="s">
        <v>132</v>
      </c>
      <c r="C35" s="109">
        <v>4000</v>
      </c>
      <c r="D35" s="109">
        <v>0</v>
      </c>
      <c r="E35" s="130"/>
      <c r="F35" s="108">
        <f t="shared" si="3"/>
        <v>24000</v>
      </c>
      <c r="J35" s="121">
        <v>107</v>
      </c>
    </row>
    <row r="36" spans="2:13" ht="15" x14ac:dyDescent="0.25">
      <c r="B36" s="132" t="s">
        <v>131</v>
      </c>
      <c r="C36" s="109">
        <v>4000</v>
      </c>
      <c r="D36" s="109">
        <v>0</v>
      </c>
      <c r="E36" s="130"/>
      <c r="F36" s="108">
        <f t="shared" si="3"/>
        <v>28000</v>
      </c>
      <c r="J36" s="121">
        <v>136</v>
      </c>
    </row>
    <row r="37" spans="2:13" ht="15" x14ac:dyDescent="0.25">
      <c r="B37" s="132" t="s">
        <v>130</v>
      </c>
      <c r="C37" s="131">
        <v>4000</v>
      </c>
      <c r="D37" s="109">
        <v>0</v>
      </c>
      <c r="E37" s="130"/>
      <c r="F37" s="108">
        <f t="shared" si="3"/>
        <v>32000</v>
      </c>
    </row>
    <row r="38" spans="2:13" ht="15" x14ac:dyDescent="0.25">
      <c r="B38" s="132" t="s">
        <v>129</v>
      </c>
      <c r="C38" s="131">
        <v>4000</v>
      </c>
      <c r="D38" s="131">
        <v>3500</v>
      </c>
      <c r="E38" s="130" t="s">
        <v>128</v>
      </c>
      <c r="F38" s="108">
        <f t="shared" si="3"/>
        <v>32500</v>
      </c>
      <c r="M38" s="133">
        <f>88.05-100</f>
        <v>-11.950000000000003</v>
      </c>
    </row>
    <row r="39" spans="2:13" ht="15" x14ac:dyDescent="0.25">
      <c r="B39" s="132" t="s">
        <v>127</v>
      </c>
      <c r="C39" s="131">
        <v>4000</v>
      </c>
      <c r="D39" s="130"/>
      <c r="E39" s="130"/>
      <c r="F39" s="108">
        <f t="shared" si="3"/>
        <v>36500</v>
      </c>
    </row>
    <row r="40" spans="2:13" ht="15" x14ac:dyDescent="0.25">
      <c r="B40" s="132" t="s">
        <v>126</v>
      </c>
      <c r="C40" s="131">
        <v>4000</v>
      </c>
      <c r="D40" s="130"/>
      <c r="E40" s="130"/>
      <c r="F40" s="108">
        <f t="shared" si="3"/>
        <v>40500</v>
      </c>
    </row>
    <row r="41" spans="2:13" ht="15" x14ac:dyDescent="0.25">
      <c r="B41" s="132" t="s">
        <v>125</v>
      </c>
      <c r="C41" s="131">
        <v>4000</v>
      </c>
      <c r="D41" s="130"/>
      <c r="E41" s="130"/>
      <c r="F41" s="108">
        <f t="shared" si="3"/>
        <v>44500</v>
      </c>
    </row>
    <row r="42" spans="2:13" ht="15" x14ac:dyDescent="0.25">
      <c r="B42" s="132" t="s">
        <v>124</v>
      </c>
      <c r="C42" s="131">
        <v>0</v>
      </c>
      <c r="D42" s="130"/>
      <c r="E42" s="130"/>
      <c r="F42" s="108">
        <f t="shared" si="3"/>
        <v>44500</v>
      </c>
    </row>
    <row r="43" spans="2:13" ht="15" x14ac:dyDescent="0.25">
      <c r="B43" s="132" t="s">
        <v>123</v>
      </c>
      <c r="C43" s="131">
        <v>0</v>
      </c>
      <c r="D43" s="130"/>
      <c r="E43" s="130"/>
      <c r="F43" s="108">
        <f t="shared" si="3"/>
        <v>44500</v>
      </c>
    </row>
    <row r="44" spans="2:13" ht="15" x14ac:dyDescent="0.25">
      <c r="B44" s="129" t="s">
        <v>122</v>
      </c>
      <c r="C44" s="128">
        <v>0</v>
      </c>
      <c r="D44" s="127"/>
      <c r="E44" s="127"/>
      <c r="F44" s="126">
        <f t="shared" si="3"/>
        <v>44500</v>
      </c>
    </row>
    <row r="45" spans="2:13" ht="15" x14ac:dyDescent="0.25">
      <c r="B45" s="129" t="s">
        <v>121</v>
      </c>
      <c r="C45" s="128">
        <v>0</v>
      </c>
      <c r="D45" s="127"/>
      <c r="E45" s="127"/>
      <c r="F45" s="126">
        <f>+F43+C45-D45</f>
        <v>44500</v>
      </c>
    </row>
    <row r="46" spans="2:13" ht="15" x14ac:dyDescent="0.25">
      <c r="B46" s="129" t="s">
        <v>120</v>
      </c>
      <c r="C46" s="128">
        <v>0</v>
      </c>
      <c r="D46" s="127"/>
      <c r="E46" s="127"/>
      <c r="F46" s="126">
        <f>+F44+C46-D46</f>
        <v>44500</v>
      </c>
    </row>
    <row r="47" spans="2:13" ht="15.75" thickBot="1" x14ac:dyDescent="0.3">
      <c r="B47" s="125" t="s">
        <v>119</v>
      </c>
      <c r="C47" s="124">
        <f>-A47</f>
        <v>0</v>
      </c>
      <c r="D47" s="123"/>
      <c r="E47" s="123"/>
      <c r="F47" s="122">
        <f>+F45+C47-D47</f>
        <v>44500</v>
      </c>
    </row>
  </sheetData>
  <mergeCells count="3">
    <mergeCell ref="A1:E1"/>
    <mergeCell ref="A7:H7"/>
    <mergeCell ref="B28:F28"/>
  </mergeCells>
  <pageMargins left="0.7" right="0.7" top="0.75" bottom="0.75" header="0.3" footer="0.3"/>
  <pageSetup paperSize="9" scale="86"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Gastos</vt:lpstr>
      <vt:lpstr>Planilla</vt:lpstr>
      <vt:lpstr>Calculo Servicios  (2)</vt:lpstr>
      <vt:lpstr>'Calculo Servicios  (2)'!Área_de_impresión</vt:lpstr>
      <vt:lpstr>Gastos!Área_de_impresión</vt:lpstr>
      <vt:lpstr>Planilla!Área_de_impresión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2025-01-29T17:08:59Z</cp:lastPrinted>
  <dcterms:created xsi:type="dcterms:W3CDTF">2021-11-02T15:18:42Z</dcterms:created>
  <dcterms:modified xsi:type="dcterms:W3CDTF">2025-05-01T14:56:43Z</dcterms:modified>
</cp:coreProperties>
</file>