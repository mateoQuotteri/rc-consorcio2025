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TUCUMAN 1061\febrero\"/>
    </mc:Choice>
  </mc:AlternateContent>
  <xr:revisionPtr revIDLastSave="0" documentId="13_ncr:1_{45B2DC92-ACC5-487E-B9AE-A1504ECCD5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Gastos!$A$1:$H$60</definedName>
    <definedName name="_xlnm.Print_Area" localSheetId="1">Planilla!$A$1:$R$40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2" l="1"/>
  <c r="I22" i="2"/>
  <c r="I27" i="2"/>
  <c r="I15" i="2"/>
  <c r="I19" i="2"/>
  <c r="H35" i="1" l="1"/>
  <c r="C7" i="2" l="1"/>
  <c r="C10" i="4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C9" i="4"/>
  <c r="Q25" i="2" l="1"/>
  <c r="Q26" i="2"/>
  <c r="Q27" i="2"/>
  <c r="Q28" i="2"/>
  <c r="Q29" i="2"/>
  <c r="Q30" i="2"/>
  <c r="A3" i="4" l="1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30" i="2"/>
  <c r="D29" i="2"/>
  <c r="D28" i="2"/>
  <c r="D27" i="2"/>
  <c r="D26" i="2"/>
  <c r="D25" i="2"/>
  <c r="D24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Q16" i="2" s="1"/>
  <c r="G19" i="4"/>
  <c r="H19" i="4" s="1"/>
  <c r="Q22" i="2" s="1"/>
  <c r="G16" i="4"/>
  <c r="H16" i="4" s="1"/>
  <c r="Q19" i="2" s="1"/>
  <c r="G15" i="4"/>
  <c r="H15" i="4" s="1"/>
  <c r="Q18" i="2" s="1"/>
  <c r="G20" i="4"/>
  <c r="H20" i="4" s="1"/>
  <c r="Q23" i="2" s="1"/>
  <c r="G18" i="4"/>
  <c r="H18" i="4" s="1"/>
  <c r="Q21" i="2" s="1"/>
  <c r="G14" i="4"/>
  <c r="H14" i="4" s="1"/>
  <c r="Q17" i="2" s="1"/>
  <c r="G17" i="4"/>
  <c r="H17" i="4" s="1"/>
  <c r="Q20" i="2" s="1"/>
  <c r="H9" i="4"/>
  <c r="Q12" i="2" s="1"/>
  <c r="G12" i="4"/>
  <c r="H12" i="4" s="1"/>
  <c r="Q15" i="2" s="1"/>
  <c r="G10" i="4"/>
  <c r="H10" i="4" l="1"/>
  <c r="Q13" i="2" s="1"/>
  <c r="G11" i="4"/>
  <c r="H11" i="4" s="1"/>
  <c r="H21" i="4" l="1"/>
  <c r="J21" i="4" s="1"/>
  <c r="Q14" i="2"/>
  <c r="M30" i="4" l="1"/>
  <c r="A1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12" i="2"/>
  <c r="K19" i="2"/>
  <c r="L20" i="2"/>
  <c r="I21" i="2"/>
  <c r="K21" i="2" s="1"/>
  <c r="M21" i="2" s="1"/>
  <c r="K22" i="2"/>
  <c r="M22" i="2" s="1"/>
  <c r="K23" i="2"/>
  <c r="M23" i="2" s="1"/>
  <c r="I24" i="2"/>
  <c r="I26" i="2"/>
  <c r="K26" i="2" s="1"/>
  <c r="M26" i="2" s="1"/>
  <c r="I28" i="2"/>
  <c r="K28" i="2" s="1"/>
  <c r="M28" i="2" s="1"/>
  <c r="K29" i="2"/>
  <c r="M29" i="2" s="1"/>
  <c r="K30" i="2"/>
  <c r="M30" i="2" s="1"/>
  <c r="K24" i="2"/>
  <c r="M24" i="2" s="1"/>
  <c r="K25" i="2"/>
  <c r="M25" i="2" s="1"/>
  <c r="K27" i="2"/>
  <c r="K12" i="2"/>
  <c r="M12" i="2" s="1"/>
  <c r="J12" i="2"/>
  <c r="P12" i="2"/>
  <c r="K13" i="2"/>
  <c r="M13" i="2" s="1"/>
  <c r="J13" i="2"/>
  <c r="K14" i="2"/>
  <c r="M14" i="2" s="1"/>
  <c r="J14" i="2"/>
  <c r="K15" i="2"/>
  <c r="M15" i="2" s="1"/>
  <c r="J15" i="2"/>
  <c r="I16" i="2"/>
  <c r="K16" i="2" s="1"/>
  <c r="M16" i="2" s="1"/>
  <c r="J16" i="2"/>
  <c r="K17" i="2"/>
  <c r="M17" i="2" s="1"/>
  <c r="J17" i="2"/>
  <c r="I18" i="2"/>
  <c r="K18" i="2" s="1"/>
  <c r="J18" i="2"/>
  <c r="J19" i="2"/>
  <c r="J20" i="2"/>
  <c r="J27" i="2"/>
  <c r="J28" i="2"/>
  <c r="J30" i="2"/>
  <c r="G32" i="2"/>
  <c r="H32" i="2"/>
  <c r="M27" i="2" l="1"/>
  <c r="N27" i="2" s="1"/>
  <c r="R27" i="2" s="1"/>
  <c r="M18" i="2"/>
  <c r="N18" i="2" s="1"/>
  <c r="R18" i="2" s="1"/>
  <c r="M19" i="2"/>
  <c r="N19" i="2" s="1"/>
  <c r="R19" i="2" s="1"/>
  <c r="N24" i="2"/>
  <c r="R24" i="2" s="1"/>
  <c r="N22" i="2"/>
  <c r="R22" i="2" s="1"/>
  <c r="N23" i="2"/>
  <c r="R23" i="2" s="1"/>
  <c r="N30" i="2"/>
  <c r="R30" i="2" s="1"/>
  <c r="N29" i="2"/>
  <c r="R29" i="2" s="1"/>
  <c r="N28" i="2"/>
  <c r="R28" i="2" s="1"/>
  <c r="N21" i="2"/>
  <c r="R21" i="2" s="1"/>
  <c r="N26" i="2"/>
  <c r="R26" i="2" s="1"/>
  <c r="N25" i="2"/>
  <c r="R25" i="2" s="1"/>
  <c r="N13" i="2"/>
  <c r="R13" i="2" s="1"/>
  <c r="K20" i="2"/>
  <c r="N15" i="2"/>
  <c r="R15" i="2" s="1"/>
  <c r="N17" i="2"/>
  <c r="R17" i="2" s="1"/>
  <c r="P32" i="2"/>
  <c r="O32" i="2"/>
  <c r="R32" i="2" s="1"/>
  <c r="N14" i="2"/>
  <c r="R14" i="2" s="1"/>
  <c r="N16" i="2"/>
  <c r="R16" i="2" s="1"/>
  <c r="N12" i="2"/>
  <c r="R12" i="2" s="1"/>
  <c r="K32" i="2"/>
  <c r="I32" i="2"/>
  <c r="H56" i="1" s="1"/>
  <c r="M20" i="2" l="1"/>
  <c r="N20" i="2" s="1"/>
  <c r="R20" i="2" s="1"/>
  <c r="H23" i="1"/>
  <c r="H32" i="1"/>
  <c r="H16" i="1" l="1"/>
  <c r="H46" i="1" l="1"/>
  <c r="H52" i="1" s="1"/>
  <c r="H27" i="1" l="1"/>
  <c r="H39" i="1" l="1"/>
  <c r="H49" i="1" s="1"/>
  <c r="H58" i="1" l="1"/>
  <c r="H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<sst xmlns="http://schemas.openxmlformats.org/spreadsheetml/2006/main" count="203" uniqueCount="171">
  <si>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</si>
  <si>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</si>
  <si>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</si>
  <si>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</si>
  <si>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</si>
  <si>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</si>
  <si>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</si>
  <si>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</si>
  <si>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</si>
  <si>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</si>
  <si>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</si>
  <si>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</si>
  <si>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</si>
  <si>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</si>
  <si>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</si>
  <si>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3- IMPUESTOS MUNICIPALES Y PROVINCIALES</t>
  </si>
  <si>
    <t>ARBA</t>
  </si>
  <si>
    <t>TOTAL DE GASTOS ORDINARIOS 1,2,3,4,5,6;</t>
  </si>
  <si>
    <t>TOTAL</t>
  </si>
  <si>
    <t>TOTAL DE GASTOS EXTRAORDINARIO</t>
  </si>
  <si>
    <t>MP:1148</t>
  </si>
  <si>
    <t>Punitorios mal cobrados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</si>
  <si>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</si>
  <si>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</si>
  <si>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Total a Pagar</t>
  </si>
  <si>
    <t>Gasto Extraordinario</t>
  </si>
  <si>
    <t>Gasto Ordinario</t>
  </si>
  <si>
    <t>Total con Mora</t>
  </si>
  <si>
    <t>DEUDA Extra</t>
  </si>
  <si>
    <t xml:space="preserve">DEUDA </t>
  </si>
  <si>
    <t>EDESUR</t>
  </si>
  <si>
    <t xml:space="preserve">PAGOS </t>
  </si>
  <si>
    <t>PAGO EXTRA</t>
  </si>
  <si>
    <t xml:space="preserve">% </t>
  </si>
  <si>
    <t>INQUILINOS</t>
  </si>
  <si>
    <t>PROPIETARIOS</t>
  </si>
  <si>
    <t>PISO - DEPTO</t>
  </si>
  <si>
    <t>U.F.</t>
  </si>
  <si>
    <t>Gastos Extraordinarios:</t>
  </si>
  <si>
    <t>Gastos Extr.</t>
  </si>
  <si>
    <t>Gastos 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</si>
  <si>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</si>
  <si>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</si>
  <si>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</si>
  <si>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</si>
  <si>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</si>
  <si>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</si>
  <si>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</si>
  <si>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</si>
  <si>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</si>
  <si>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</si>
  <si>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</si>
  <si>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</si>
  <si>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7mo. "A"</t>
  </si>
  <si>
    <t>7mo. "B"</t>
  </si>
  <si>
    <t>8vo. "A"</t>
  </si>
  <si>
    <t>8vo. "B"</t>
  </si>
  <si>
    <t>9no. "A"</t>
  </si>
  <si>
    <t xml:space="preserve">COCHERA 1 </t>
  </si>
  <si>
    <t xml:space="preserve">COCHERA 2 </t>
  </si>
  <si>
    <t xml:space="preserve">COCHERA 7 </t>
  </si>
  <si>
    <t>COCHERA 8</t>
  </si>
  <si>
    <t>COCHERA 9</t>
  </si>
  <si>
    <t>COCHERA 10</t>
  </si>
  <si>
    <t>ROSALES 624</t>
  </si>
  <si>
    <t>Edesur</t>
  </si>
  <si>
    <t xml:space="preserve">AYSA </t>
  </si>
  <si>
    <t xml:space="preserve">SUELDO </t>
  </si>
  <si>
    <t>Arituclos de limpieza</t>
  </si>
  <si>
    <t>3- MANTENIMIENTO DE PARTES COMUNES</t>
  </si>
  <si>
    <t>4- GASTO DE ADMINISTRACION</t>
  </si>
  <si>
    <t>5- SEGURO OBLIGATORIO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</si>
  <si>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</si>
  <si>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</si>
  <si>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</si>
  <si>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</si>
  <si>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</si>
  <si>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</si>
  <si>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</si>
  <si>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</si>
  <si>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</si>
  <si>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</si>
  <si>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</si>
  <si>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</si>
  <si>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</si>
  <si>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</si>
  <si>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</si>
  <si>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</si>
  <si>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</si>
  <si>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</si>
  <si>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</si>
  <si>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</si>
  <si>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</si>
  <si>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</si>
  <si>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</si>
  <si>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</si>
  <si>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</si>
  <si>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</si>
  <si>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</si>
  <si>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</si>
  <si>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</si>
  <si>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</si>
  <si>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</si>
  <si>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</si>
  <si>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</si>
  <si>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</si>
  <si>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</si>
  <si>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</si>
  <si>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</si>
  <si>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</si>
  <si>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</si>
  <si>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</si>
  <si>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</si>
  <si>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Grandinetti Leonardo Alberto</t>
  </si>
  <si>
    <t>Estevez Norberto Omar</t>
  </si>
  <si>
    <t>Degl´Innocenti Julieta Antonella</t>
  </si>
  <si>
    <t>Scarlercio Jorge Omar</t>
  </si>
  <si>
    <t>Moro Vanesa Yania / Juan Carlos Moro</t>
  </si>
  <si>
    <t>Rodriguez Flavio// Rodriguez Mauro</t>
  </si>
  <si>
    <t>SALDO  ANTERIOR</t>
  </si>
  <si>
    <t>Cristian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</si>
  <si>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</si>
  <si>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</si>
  <si>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</si>
  <si>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</si>
  <si>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</si>
  <si>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</si>
  <si>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</si>
  <si>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</si>
  <si>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</si>
  <si>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</si>
  <si>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</si>
  <si>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</si>
  <si>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</si>
  <si>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</si>
  <si>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</si>
  <si>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</si>
  <si>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</si>
  <si>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</si>
  <si>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</si>
  <si>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</si>
  <si>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</si>
  <si>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</si>
  <si>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</si>
  <si>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</si>
  <si>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</si>
  <si>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</si>
  <si>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</si>
  <si>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</si>
  <si>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</si>
  <si>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</si>
  <si>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</si>
  <si>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</si>
  <si>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Seguro OBLIGATORIO DE CONSORCIO - POLIZA Nro. 1175840 - Mercantil Andina</t>
  </si>
  <si>
    <t>Sr. Encargado Hernan</t>
  </si>
  <si>
    <t xml:space="preserve">Lema mantenimiento ascensores </t>
  </si>
  <si>
    <t>TOTAL DE GASTOS ORDINARIOS A PRORRATEAR</t>
  </si>
  <si>
    <t>Sofia</t>
  </si>
  <si>
    <t>Marcos</t>
  </si>
  <si>
    <t>Yago</t>
  </si>
  <si>
    <t>Lopez Gabriela</t>
  </si>
  <si>
    <t>LAS LINEAS AMARILLAS SIGNIFICAN DEUDORES, ALGUNOS INCLUSO DE VARIOS MESES, A LA FECHA DE COBRO SE LE IMPUTARAN LOS PUNITORIOS, POR LO TANTO CADA UNO QUE DEBA ABONAR Y ADEUDE, ANTES DE IR DEBE CONSULTAR CUAL ES EL MONTO TOTAL QUE DEBE AFRONTAR CON EL TOTAL DE LA DEUDA Y LOS PUNITORIOS CORRESPONDIENTES. SALUDOS CORDIALES.</t>
  </si>
  <si>
    <t xml:space="preserve">Ingreso pago por expensas </t>
  </si>
  <si>
    <t xml:space="preserve">Egresos gastos del mes </t>
  </si>
  <si>
    <t xml:space="preserve">PERIODO: FEBRERO </t>
  </si>
  <si>
    <t>TSG  ENERO 2024</t>
  </si>
  <si>
    <t>Prevision ordinaria</t>
  </si>
  <si>
    <t>subidos en dic 2024</t>
  </si>
  <si>
    <t>Administraciòn FEBRERO 2025:</t>
  </si>
  <si>
    <t>SALDO ANTERIOR</t>
  </si>
  <si>
    <t>ANTE LOS DEUDORES SE PREVISIONA PARA PODER HACER FRENTE AL SELLADO DE LAS MEDIANERAS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</si>
</sst>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_-* #,##0.0000_-;\-* #,##0.0000_-;_-* &quot;-&quot;??_-;_-@_-"/>
    <numFmt numFmtId="169" formatCode="&quot;$&quot;\ #,##0.00"/>
    <numFmt numFmtId="170" formatCode="_ &quot;$&quot;\ * #,##0.00_ ;_ &quot;$&quot;\ * \-#,##0.00_ ;_ &quot;$&quot;\ * &quot;-&quot;??_ ;_ @_ "/>
    <numFmt numFmtId="171" formatCode="0.0000"/>
    <numFmt numFmtId="172" formatCode="0.0"/>
    <numFmt numFmtId="173" formatCode="0.000"/>
    <numFmt numFmtId="174" formatCode="0.000%"/>
    <numFmt numFmtId="175" formatCode="0.00000"/>
    <numFmt numFmtId="176" formatCode="#,##0.00_ ;[Red]\-#,##0.00\ 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</font>
    <font>
      <sz val="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26" fillId="0" borderId="0"/>
    <xf numFmtId="9" fontId="27" fillId="0" borderId="0" applyFont="0" applyFill="0" applyBorder="0" applyAlignment="0" applyProtection="0"/>
    <xf numFmtId="170" fontId="27" fillId="0" borderId="0" applyFont="0" applyFill="0" applyBorder="0" applyAlignment="0" applyProtection="0"/>
    <xf numFmtId="1" fontId="27" fillId="0" borderId="0"/>
  </cellStyleXfs>
  <cellXfs count="25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164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166" fontId="7" fillId="5" borderId="10" xfId="1" applyFont="1" applyFill="1" applyBorder="1"/>
    <xf numFmtId="166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/>
    <xf numFmtId="166" fontId="7" fillId="5" borderId="10" xfId="0" applyNumberFormat="1" applyFont="1" applyFill="1" applyBorder="1"/>
    <xf numFmtId="0" fontId="7" fillId="0" borderId="10" xfId="0" applyFont="1" applyBorder="1"/>
    <xf numFmtId="166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165" fontId="9" fillId="2" borderId="6" xfId="0" applyNumberFormat="1" applyFont="1" applyFill="1" applyBorder="1"/>
    <xf numFmtId="166" fontId="11" fillId="5" borderId="3" xfId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166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165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165" fontId="10" fillId="5" borderId="6" xfId="1" applyNumberFormat="1" applyFont="1" applyFill="1" applyBorder="1" applyAlignment="1">
      <alignment horizontal="right"/>
    </xf>
    <xf numFmtId="166" fontId="12" fillId="5" borderId="3" xfId="1" applyFont="1" applyFill="1" applyBorder="1"/>
    <xf numFmtId="0" fontId="0" fillId="0" borderId="3" xfId="0" applyBorder="1"/>
    <xf numFmtId="164" fontId="8" fillId="6" borderId="10" xfId="0" applyNumberFormat="1" applyFont="1" applyFill="1" applyBorder="1"/>
    <xf numFmtId="0" fontId="7" fillId="0" borderId="12" xfId="0" applyFont="1" applyBorder="1"/>
    <xf numFmtId="164" fontId="7" fillId="5" borderId="10" xfId="0" applyNumberFormat="1" applyFont="1" applyFill="1" applyBorder="1"/>
    <xf numFmtId="166" fontId="7" fillId="0" borderId="10" xfId="1" applyFont="1" applyBorder="1"/>
    <xf numFmtId="166" fontId="8" fillId="4" borderId="10" xfId="1" applyFont="1" applyFill="1" applyBorder="1"/>
    <xf numFmtId="166" fontId="0" fillId="0" borderId="0" xfId="0" applyNumberFormat="1"/>
    <xf numFmtId="166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165" fontId="8" fillId="7" borderId="0" xfId="0" applyNumberFormat="1" applyFont="1" applyFill="1" applyAlignment="1">
      <alignment vertical="center"/>
    </xf>
    <xf numFmtId="165" fontId="10" fillId="5" borderId="3" xfId="1" applyNumberFormat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166" fontId="7" fillId="5" borderId="12" xfId="1" applyFont="1" applyFill="1" applyBorder="1"/>
    <xf numFmtId="0" fontId="0" fillId="0" borderId="0" xfId="0" applyAlignment="1">
      <alignment horizontal="center"/>
    </xf>
    <xf numFmtId="167" fontId="0" fillId="0" borderId="0" xfId="1" applyNumberFormat="1" applyFont="1"/>
    <xf numFmtId="43" fontId="0" fillId="0" borderId="0" xfId="0" applyNumberFormat="1"/>
    <xf numFmtId="167" fontId="0" fillId="0" borderId="0" xfId="1" applyNumberFormat="1" applyFont="1" applyBorder="1"/>
    <xf numFmtId="43" fontId="0" fillId="0" borderId="0" xfId="3" applyFont="1" applyBorder="1"/>
    <xf numFmtId="0" fontId="13" fillId="0" borderId="0" xfId="0" applyFont="1"/>
    <xf numFmtId="167" fontId="14" fillId="3" borderId="16" xfId="1" applyNumberFormat="1" applyFont="1" applyFill="1" applyBorder="1"/>
    <xf numFmtId="167" fontId="15" fillId="3" borderId="17" xfId="1" applyNumberFormat="1" applyFont="1" applyFill="1" applyBorder="1"/>
    <xf numFmtId="166" fontId="14" fillId="3" borderId="17" xfId="0" applyNumberFormat="1" applyFont="1" applyFill="1" applyBorder="1"/>
    <xf numFmtId="167" fontId="15" fillId="3" borderId="17" xfId="0" applyNumberFormat="1" applyFont="1" applyFill="1" applyBorder="1"/>
    <xf numFmtId="167" fontId="14" fillId="3" borderId="17" xfId="1" applyNumberFormat="1" applyFont="1" applyFill="1" applyBorder="1"/>
    <xf numFmtId="167" fontId="16" fillId="3" borderId="17" xfId="1" applyNumberFormat="1" applyFont="1" applyFill="1" applyBorder="1"/>
    <xf numFmtId="0" fontId="17" fillId="3" borderId="17" xfId="0" applyFont="1" applyFill="1" applyBorder="1" applyAlignment="1">
      <alignment horizontal="center"/>
    </xf>
    <xf numFmtId="167" fontId="18" fillId="0" borderId="3" xfId="0" applyNumberFormat="1" applyFont="1" applyBorder="1"/>
    <xf numFmtId="167" fontId="18" fillId="0" borderId="3" xfId="1" applyNumberFormat="1" applyFont="1" applyBorder="1"/>
    <xf numFmtId="167" fontId="18" fillId="0" borderId="19" xfId="1" applyNumberFormat="1" applyFont="1" applyBorder="1"/>
    <xf numFmtId="167" fontId="19" fillId="5" borderId="3" xfId="1" applyNumberFormat="1" applyFont="1" applyFill="1" applyBorder="1"/>
    <xf numFmtId="167" fontId="19" fillId="0" borderId="19" xfId="1" applyNumberFormat="1" applyFont="1" applyBorder="1"/>
    <xf numFmtId="43" fontId="18" fillId="0" borderId="19" xfId="3" applyFont="1" applyBorder="1"/>
    <xf numFmtId="0" fontId="20" fillId="0" borderId="19" xfId="0" applyFont="1" applyBorder="1"/>
    <xf numFmtId="0" fontId="0" fillId="0" borderId="3" xfId="0" applyBorder="1" applyAlignment="1">
      <alignment horizontal="left"/>
    </xf>
    <xf numFmtId="167" fontId="19" fillId="0" borderId="3" xfId="1" applyNumberFormat="1" applyFont="1" applyBorder="1"/>
    <xf numFmtId="0" fontId="0" fillId="0" borderId="3" xfId="0" applyBorder="1" applyAlignment="1">
      <alignment horizontal="center"/>
    </xf>
    <xf numFmtId="166" fontId="18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2" fillId="3" borderId="20" xfId="0" applyFont="1" applyFill="1" applyBorder="1" applyAlignment="1">
      <alignment horizontal="center" vertical="center" wrapText="1"/>
    </xf>
    <xf numFmtId="167" fontId="2" fillId="3" borderId="20" xfId="1" applyNumberFormat="1" applyFont="1" applyFill="1" applyBorder="1" applyAlignment="1">
      <alignment horizontal="center" vertical="center" wrapText="1"/>
    </xf>
    <xf numFmtId="43" fontId="2" fillId="3" borderId="20" xfId="1" applyNumberFormat="1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9" fontId="0" fillId="0" borderId="2" xfId="4" applyFont="1" applyBorder="1"/>
    <xf numFmtId="167" fontId="0" fillId="0" borderId="2" xfId="1" applyNumberFormat="1" applyFont="1" applyBorder="1"/>
    <xf numFmtId="43" fontId="0" fillId="0" borderId="2" xfId="0" applyNumberFormat="1" applyBorder="1"/>
    <xf numFmtId="164" fontId="2" fillId="0" borderId="2" xfId="1" applyNumberFormat="1" applyFont="1" applyBorder="1"/>
    <xf numFmtId="166" fontId="0" fillId="0" borderId="2" xfId="1" applyFont="1" applyBorder="1"/>
    <xf numFmtId="0" fontId="2" fillId="0" borderId="11" xfId="0" applyFont="1" applyBorder="1" applyAlignment="1">
      <alignment horizontal="center"/>
    </xf>
    <xf numFmtId="166" fontId="2" fillId="0" borderId="0" xfId="1" applyFont="1" applyBorder="1"/>
    <xf numFmtId="0" fontId="2" fillId="0" borderId="9" xfId="0" applyFont="1" applyBorder="1" applyAlignment="1">
      <alignment horizontal="left"/>
    </xf>
    <xf numFmtId="166" fontId="2" fillId="0" borderId="0" xfId="1" applyFont="1" applyBorder="1" applyAlignment="1">
      <alignment horizontal="left" vertical="top"/>
    </xf>
    <xf numFmtId="167" fontId="2" fillId="0" borderId="0" xfId="1" applyNumberFormat="1" applyFont="1" applyBorder="1"/>
    <xf numFmtId="167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3" fillId="0" borderId="20" xfId="0" applyFont="1" applyBorder="1"/>
    <xf numFmtId="0" fontId="23" fillId="0" borderId="3" xfId="0" applyFont="1" applyBorder="1"/>
    <xf numFmtId="0" fontId="23" fillId="5" borderId="3" xfId="0" applyFont="1" applyFill="1" applyBorder="1"/>
    <xf numFmtId="2" fontId="23" fillId="0" borderId="3" xfId="0" applyNumberFormat="1" applyFont="1" applyBorder="1"/>
    <xf numFmtId="168" fontId="6" fillId="3" borderId="17" xfId="3" applyNumberFormat="1" applyFont="1" applyFill="1" applyBorder="1"/>
    <xf numFmtId="2" fontId="24" fillId="0" borderId="9" xfId="0" applyNumberFormat="1" applyFont="1" applyBorder="1" applyAlignment="1">
      <alignment vertical="center"/>
    </xf>
    <xf numFmtId="10" fontId="29" fillId="0" borderId="15" xfId="6" applyNumberFormat="1" applyFont="1" applyBorder="1"/>
    <xf numFmtId="10" fontId="29" fillId="0" borderId="22" xfId="6" applyNumberFormat="1" applyFont="1" applyFill="1" applyBorder="1"/>
    <xf numFmtId="170" fontId="28" fillId="0" borderId="23" xfId="7" applyFont="1" applyFill="1" applyBorder="1"/>
    <xf numFmtId="170" fontId="0" fillId="0" borderId="26" xfId="7" applyFont="1" applyBorder="1"/>
    <xf numFmtId="170" fontId="0" fillId="0" borderId="3" xfId="7" applyFont="1" applyBorder="1"/>
    <xf numFmtId="10" fontId="19" fillId="0" borderId="3" xfId="6" applyNumberFormat="1" applyFont="1" applyBorder="1"/>
    <xf numFmtId="174" fontId="0" fillId="0" borderId="0" xfId="6" applyNumberFormat="1" applyFont="1"/>
    <xf numFmtId="9" fontId="0" fillId="0" borderId="0" xfId="6" applyFont="1"/>
    <xf numFmtId="170" fontId="25" fillId="8" borderId="0" xfId="7" applyFont="1" applyFill="1" applyBorder="1" applyAlignment="1">
      <alignment vertical="center"/>
    </xf>
    <xf numFmtId="170" fontId="18" fillId="0" borderId="3" xfId="7" applyFont="1" applyBorder="1" applyAlignment="1">
      <alignment vertical="center"/>
    </xf>
    <xf numFmtId="167" fontId="18" fillId="0" borderId="19" xfId="0" applyNumberFormat="1" applyFont="1" applyBorder="1"/>
    <xf numFmtId="167" fontId="18" fillId="3" borderId="37" xfId="0" applyNumberFormat="1" applyFont="1" applyFill="1" applyBorder="1"/>
    <xf numFmtId="0" fontId="23" fillId="0" borderId="3" xfId="0" applyFont="1" applyBorder="1" applyAlignment="1">
      <alignment horizontal="centerContinuous"/>
    </xf>
    <xf numFmtId="0" fontId="33" fillId="0" borderId="6" xfId="0" applyFont="1" applyBorder="1" applyAlignment="1">
      <alignment horizontal="left" wrapText="1"/>
    </xf>
    <xf numFmtId="0" fontId="33" fillId="0" borderId="3" xfId="0" applyFont="1" applyBorder="1" applyAlignment="1">
      <alignment horizontal="left" wrapText="1"/>
    </xf>
    <xf numFmtId="0" fontId="33" fillId="0" borderId="3" xfId="0" applyFont="1" applyBorder="1"/>
    <xf numFmtId="1" fontId="27" fillId="0" borderId="0" xfId="8"/>
    <xf numFmtId="170" fontId="0" fillId="0" borderId="23" xfId="7" applyFont="1" applyBorder="1"/>
    <xf numFmtId="1" fontId="27" fillId="0" borderId="24" xfId="8" applyBorder="1"/>
    <xf numFmtId="170" fontId="0" fillId="0" borderId="24" xfId="7" applyFont="1" applyFill="1" applyBorder="1"/>
    <xf numFmtId="49" fontId="27" fillId="0" borderId="25" xfId="8" applyNumberFormat="1" applyBorder="1"/>
    <xf numFmtId="170" fontId="0" fillId="0" borderId="38" xfId="7" applyFont="1" applyBorder="1"/>
    <xf numFmtId="1" fontId="27" fillId="0" borderId="19" xfId="8" applyBorder="1"/>
    <xf numFmtId="170" fontId="0" fillId="0" borderId="19" xfId="7" applyFont="1" applyFill="1" applyBorder="1"/>
    <xf numFmtId="49" fontId="27" fillId="0" borderId="39" xfId="8" applyNumberFormat="1" applyBorder="1"/>
    <xf numFmtId="1" fontId="27" fillId="0" borderId="3" xfId="8" applyBorder="1"/>
    <xf numFmtId="170" fontId="0" fillId="0" borderId="3" xfId="7" applyFont="1" applyFill="1" applyBorder="1"/>
    <xf numFmtId="49" fontId="27" fillId="0" borderId="33" xfId="8" applyNumberFormat="1" applyBorder="1"/>
    <xf numFmtId="2" fontId="27" fillId="0" borderId="0" xfId="8" applyNumberFormat="1"/>
    <xf numFmtId="175" fontId="27" fillId="0" borderId="0" xfId="8" applyNumberFormat="1"/>
    <xf numFmtId="172" fontId="27" fillId="0" borderId="0" xfId="8" applyNumberFormat="1"/>
    <xf numFmtId="1" fontId="28" fillId="0" borderId="26" xfId="8" applyFont="1" applyBorder="1"/>
    <xf numFmtId="1" fontId="28" fillId="0" borderId="3" xfId="8" applyFont="1" applyBorder="1"/>
    <xf numFmtId="1" fontId="28" fillId="0" borderId="33" xfId="8" applyFont="1" applyBorder="1"/>
    <xf numFmtId="1" fontId="27" fillId="0" borderId="0" xfId="8" quotePrefix="1"/>
    <xf numFmtId="1" fontId="28" fillId="0" borderId="13" xfId="8" applyFont="1" applyBorder="1"/>
    <xf numFmtId="169" fontId="27" fillId="0" borderId="0" xfId="8" applyNumberFormat="1"/>
    <xf numFmtId="1" fontId="28" fillId="0" borderId="21" xfId="8" applyFont="1" applyBorder="1"/>
    <xf numFmtId="171" fontId="27" fillId="0" borderId="24" xfId="8" applyNumberFormat="1" applyBorder="1"/>
    <xf numFmtId="1" fontId="19" fillId="0" borderId="24" xfId="8" applyFont="1" applyBorder="1"/>
    <xf numFmtId="1" fontId="28" fillId="0" borderId="24" xfId="8" applyFont="1" applyBorder="1"/>
    <xf numFmtId="1" fontId="30" fillId="0" borderId="25" xfId="8" applyFont="1" applyBorder="1"/>
    <xf numFmtId="1" fontId="19" fillId="0" borderId="3" xfId="8" applyFont="1" applyBorder="1"/>
    <xf numFmtId="1" fontId="31" fillId="0" borderId="27" xfId="8" applyFont="1" applyBorder="1"/>
    <xf numFmtId="173" fontId="27" fillId="0" borderId="0" xfId="8" applyNumberFormat="1"/>
    <xf numFmtId="1" fontId="31" fillId="0" borderId="28" xfId="8" applyFont="1" applyBorder="1"/>
    <xf numFmtId="1" fontId="19" fillId="0" borderId="29" xfId="8" applyFont="1" applyBorder="1"/>
    <xf numFmtId="1" fontId="19" fillId="0" borderId="20" xfId="8" applyFont="1" applyBorder="1"/>
    <xf numFmtId="1" fontId="27" fillId="8" borderId="0" xfId="8" applyFill="1"/>
    <xf numFmtId="1" fontId="19" fillId="0" borderId="0" xfId="8" applyFont="1"/>
    <xf numFmtId="1" fontId="19" fillId="0" borderId="23" xfId="8" applyFont="1" applyBorder="1"/>
    <xf numFmtId="2" fontId="18" fillId="0" borderId="24" xfId="8" applyNumberFormat="1" applyFont="1" applyBorder="1" applyAlignment="1">
      <alignment vertical="center"/>
    </xf>
    <xf numFmtId="2" fontId="18" fillId="0" borderId="25" xfId="8" applyNumberFormat="1" applyFont="1" applyBorder="1" applyAlignment="1">
      <alignment vertical="center"/>
    </xf>
    <xf numFmtId="1" fontId="19" fillId="0" borderId="26" xfId="8" applyFont="1" applyBorder="1"/>
    <xf numFmtId="2" fontId="18" fillId="0" borderId="3" xfId="8" applyNumberFormat="1" applyFont="1" applyBorder="1" applyAlignment="1">
      <alignment vertical="center"/>
    </xf>
    <xf numFmtId="2" fontId="18" fillId="0" borderId="33" xfId="8" applyNumberFormat="1" applyFont="1" applyBorder="1" applyAlignment="1">
      <alignment vertical="center"/>
    </xf>
    <xf numFmtId="1" fontId="19" fillId="0" borderId="3" xfId="8" applyFont="1" applyBorder="1" applyAlignment="1">
      <alignment horizontal="center"/>
    </xf>
    <xf numFmtId="1" fontId="19" fillId="0" borderId="33" xfId="8" applyFont="1" applyBorder="1"/>
    <xf numFmtId="0" fontId="33" fillId="0" borderId="6" xfId="0" applyFont="1" applyBorder="1" applyAlignment="1">
      <alignment horizontal="left" vertical="center" wrapText="1"/>
    </xf>
    <xf numFmtId="0" fontId="34" fillId="0" borderId="0" xfId="0" applyFont="1"/>
    <xf numFmtId="0" fontId="23" fillId="8" borderId="20" xfId="0" applyFont="1" applyFill="1" applyBorder="1" applyAlignment="1">
      <alignment horizontal="center"/>
    </xf>
    <xf numFmtId="0" fontId="0" fillId="8" borderId="3" xfId="0" applyFill="1" applyBorder="1" applyAlignment="1">
      <alignment horizontal="left"/>
    </xf>
    <xf numFmtId="0" fontId="23" fillId="8" borderId="20" xfId="0" applyFont="1" applyFill="1" applyBorder="1"/>
    <xf numFmtId="0" fontId="33" fillId="8" borderId="0" xfId="0" applyFont="1" applyFill="1" applyAlignment="1">
      <alignment horizontal="left" vertical="center" wrapText="1"/>
    </xf>
    <xf numFmtId="0" fontId="33" fillId="8" borderId="3" xfId="0" applyFont="1" applyFill="1" applyBorder="1"/>
    <xf numFmtId="2" fontId="23" fillId="8" borderId="20" xfId="0" applyNumberFormat="1" applyFont="1" applyFill="1" applyBorder="1"/>
    <xf numFmtId="167" fontId="19" fillId="8" borderId="3" xfId="1" applyNumberFormat="1" applyFont="1" applyFill="1" applyBorder="1"/>
    <xf numFmtId="167" fontId="18" fillId="8" borderId="3" xfId="1" applyNumberFormat="1" applyFont="1" applyFill="1" applyBorder="1"/>
    <xf numFmtId="167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Continuous"/>
    </xf>
    <xf numFmtId="0" fontId="23" fillId="8" borderId="3" xfId="0" applyFont="1" applyFill="1" applyBorder="1"/>
    <xf numFmtId="0" fontId="33" fillId="8" borderId="6" xfId="0" applyFont="1" applyFill="1" applyBorder="1" applyAlignment="1">
      <alignment horizontal="left" wrapText="1"/>
    </xf>
    <xf numFmtId="2" fontId="23" fillId="8" borderId="3" xfId="0" applyNumberFormat="1" applyFont="1" applyFill="1" applyBorder="1"/>
    <xf numFmtId="167" fontId="19" fillId="0" borderId="19" xfId="1" applyNumberFormat="1" applyFont="1" applyBorder="1" applyAlignment="1">
      <alignment horizontal="center" wrapText="1"/>
    </xf>
    <xf numFmtId="0" fontId="33" fillId="8" borderId="3" xfId="0" applyFont="1" applyFill="1" applyBorder="1" applyAlignment="1">
      <alignment horizontal="left" wrapText="1"/>
    </xf>
    <xf numFmtId="0" fontId="8" fillId="5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 wrapText="1"/>
    </xf>
    <xf numFmtId="2" fontId="24" fillId="0" borderId="9" xfId="0" applyNumberFormat="1" applyFont="1" applyBorder="1" applyAlignment="1">
      <alignment horizontal="left" vertical="center" wrapText="1"/>
    </xf>
    <xf numFmtId="2" fontId="24" fillId="0" borderId="0" xfId="0" applyNumberFormat="1" applyFont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7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7" fillId="3" borderId="18" xfId="0" applyFont="1" applyFill="1" applyBorder="1" applyAlignment="1">
      <alignment horizontal="center"/>
    </xf>
    <xf numFmtId="0" fontId="17" fillId="3" borderId="17" xfId="0" applyFont="1" applyFill="1" applyBorder="1" applyAlignment="1">
      <alignment horizontal="center"/>
    </xf>
    <xf numFmtId="166" fontId="2" fillId="0" borderId="0" xfId="1" applyFont="1" applyBorder="1" applyAlignment="1">
      <alignment horizontal="center" vertical="top"/>
    </xf>
    <xf numFmtId="1" fontId="29" fillId="9" borderId="36" xfId="8" applyFont="1" applyFill="1" applyBorder="1" applyAlignment="1">
      <alignment horizontal="center" wrapText="1"/>
    </xf>
    <xf numFmtId="1" fontId="29" fillId="9" borderId="35" xfId="8" applyFont="1" applyFill="1" applyBorder="1" applyAlignment="1">
      <alignment horizontal="center" wrapText="1"/>
    </xf>
    <xf numFmtId="1" fontId="29" fillId="9" borderId="34" xfId="8" applyFont="1" applyFill="1" applyBorder="1" applyAlignment="1">
      <alignment horizontal="center" wrapText="1"/>
    </xf>
    <xf numFmtId="1" fontId="29" fillId="9" borderId="32" xfId="8" applyFont="1" applyFill="1" applyBorder="1" applyAlignment="1">
      <alignment horizontal="center"/>
    </xf>
    <xf numFmtId="1" fontId="29" fillId="9" borderId="31" xfId="8" applyFont="1" applyFill="1" applyBorder="1" applyAlignment="1">
      <alignment horizontal="center"/>
    </xf>
    <xf numFmtId="1" fontId="29" fillId="9" borderId="30" xfId="8" applyFont="1" applyFill="1" applyBorder="1" applyAlignment="1">
      <alignment horizontal="center"/>
    </xf>
    <xf numFmtId="1" fontId="28" fillId="9" borderId="32" xfId="8" applyFont="1" applyFill="1" applyBorder="1" applyAlignment="1">
      <alignment horizontal="center"/>
    </xf>
    <xf numFmtId="1" fontId="28" fillId="9" borderId="31" xfId="8" applyFont="1" applyFill="1" applyBorder="1" applyAlignment="1">
      <alignment horizontal="center"/>
    </xf>
    <xf numFmtId="1" fontId="28" fillId="9" borderId="30" xfId="8" applyFont="1" applyFill="1" applyBorder="1" applyAlignment="1">
      <alignment horizontal="center"/>
    </xf>
    <xf numFmtId="167" fontId="18" fillId="5" borderId="3" xfId="1" applyNumberFormat="1" applyFont="1" applyFill="1" applyBorder="1"/>
    <xf numFmtId="0" fontId="35" fillId="8" borderId="3" xfId="0" applyFont="1" applyFill="1" applyBorder="1" applyAlignment="1">
      <alignment horizontal="centerContinuous"/>
    </xf>
    <xf numFmtId="0" fontId="0" fillId="8" borderId="3" xfId="0" applyFont="1" applyFill="1" applyBorder="1" applyAlignment="1">
      <alignment horizontal="left"/>
    </xf>
    <xf numFmtId="0" fontId="35" fillId="8" borderId="3" xfId="0" applyFont="1" applyFill="1" applyBorder="1"/>
    <xf numFmtId="0" fontId="36" fillId="8" borderId="6" xfId="0" applyFont="1" applyFill="1" applyBorder="1" applyAlignment="1">
      <alignment horizontal="left" wrapText="1"/>
    </xf>
    <xf numFmtId="0" fontId="36" fillId="8" borderId="3" xfId="0" applyFont="1" applyFill="1" applyBorder="1"/>
    <xf numFmtId="2" fontId="35" fillId="8" borderId="3" xfId="0" applyNumberFormat="1" applyFont="1" applyFill="1" applyBorder="1"/>
    <xf numFmtId="0" fontId="23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3" fillId="5" borderId="6" xfId="0" applyFont="1" applyFill="1" applyBorder="1" applyAlignment="1">
      <alignment horizontal="left" wrapText="1"/>
    </xf>
    <xf numFmtId="0" fontId="33" fillId="5" borderId="3" xfId="0" applyFont="1" applyFill="1" applyBorder="1"/>
    <xf numFmtId="2" fontId="23" fillId="5" borderId="3" xfId="0" applyNumberFormat="1" applyFont="1" applyFill="1" applyBorder="1"/>
    <xf numFmtId="167" fontId="18" fillId="5" borderId="3" xfId="0" applyNumberFormat="1" applyFont="1" applyFill="1" applyBorder="1"/>
    <xf numFmtId="0" fontId="33" fillId="5" borderId="3" xfId="0" applyFont="1" applyFill="1" applyBorder="1" applyAlignment="1">
      <alignment horizontal="left" wrapText="1"/>
    </xf>
    <xf numFmtId="2" fontId="18" fillId="8" borderId="3" xfId="3" applyNumberFormat="1" applyFont="1" applyFill="1" applyBorder="1" applyAlignment="1">
      <alignment horizontal="right"/>
    </xf>
    <xf numFmtId="2" fontId="21" fillId="8" borderId="3" xfId="3" applyNumberFormat="1" applyFont="1" applyFill="1" applyBorder="1" applyAlignment="1"/>
    <xf numFmtId="0" fontId="7" fillId="8" borderId="3" xfId="0" applyFont="1" applyFill="1" applyBorder="1" applyAlignment="1">
      <alignment horizontal="left"/>
    </xf>
    <xf numFmtId="167" fontId="19" fillId="8" borderId="3" xfId="0" applyNumberFormat="1" applyFont="1" applyFill="1" applyBorder="1"/>
    <xf numFmtId="176" fontId="0" fillId="0" borderId="0" xfId="0" applyNumberFormat="1"/>
    <xf numFmtId="0" fontId="9" fillId="8" borderId="1" xfId="0" applyFont="1" applyFill="1" applyBorder="1" applyAlignment="1">
      <alignment horizontal="center" vertical="center" wrapText="1"/>
    </xf>
  </cellXfs>
  <cellStyles count="9">
    <cellStyle name="Hipervínculo" xfId="2" builtinId="8"/>
    <cellStyle name="Millares" xfId="3" builtinId="3"/>
    <cellStyle name="Moneda" xfId="1" builtinId="4"/>
    <cellStyle name="Moneda 2" xfId="7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Porcentaje" xfId="4" builtinId="5"/>
    <cellStyle name="Porcentaje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62513</xdr:colOff>
      <xdr:row>1</xdr:row>
      <xdr:rowOff>114300</xdr:rowOff>
    </xdr:from>
    <xdr:to>
      <xdr:col>13</xdr:col>
      <xdr:colOff>85665</xdr:colOff>
      <xdr:row>8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8188" y="44767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ucuman1061rc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topLeftCell="A46" zoomScale="90" zoomScaleNormal="90" workbookViewId="0">
      <selection activeCell="J49" sqref="J49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9" width="13.85546875" bestFit="1" customWidth="1"/>
    <col min="10" max="10" width="12.570312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123</v>
      </c>
      <c r="H2" s="6"/>
    </row>
    <row r="3" spans="1:8" x14ac:dyDescent="0.25">
      <c r="A3" s="5"/>
      <c r="D3" s="13" t="s">
        <v>1</v>
      </c>
      <c r="E3" s="185">
        <v>1153202676</v>
      </c>
      <c r="F3" s="185"/>
      <c r="H3" s="6"/>
    </row>
    <row r="4" spans="1:8" x14ac:dyDescent="0.25">
      <c r="A4" s="5"/>
      <c r="D4" s="13" t="s">
        <v>2</v>
      </c>
      <c r="E4" s="17" t="s">
        <v>124</v>
      </c>
      <c r="H4" s="6"/>
    </row>
    <row r="5" spans="1:8" x14ac:dyDescent="0.25">
      <c r="A5" s="5"/>
      <c r="D5" s="46" t="s">
        <v>20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164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hidden="1" x14ac:dyDescent="0.25">
      <c r="A9" s="5"/>
      <c r="H9" s="6"/>
    </row>
    <row r="10" spans="1:8" hidden="1" x14ac:dyDescent="0.25">
      <c r="A10" s="5" t="s">
        <v>4</v>
      </c>
      <c r="B10" t="s">
        <v>64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195" t="s">
        <v>11</v>
      </c>
      <c r="B12" s="195"/>
      <c r="C12" s="195"/>
      <c r="D12" s="195"/>
      <c r="E12" s="195"/>
      <c r="F12" s="195"/>
      <c r="G12" s="195"/>
      <c r="H12" s="195"/>
    </row>
    <row r="13" spans="1:8" x14ac:dyDescent="0.25">
      <c r="A13" s="18"/>
      <c r="B13" s="19"/>
      <c r="C13" s="19"/>
      <c r="D13" s="19"/>
      <c r="E13" s="19"/>
      <c r="F13" s="19"/>
      <c r="G13" s="19"/>
      <c r="H13" s="20"/>
    </row>
    <row r="14" spans="1:8" x14ac:dyDescent="0.25">
      <c r="A14" s="18" t="s">
        <v>67</v>
      </c>
      <c r="B14" s="19" t="s">
        <v>154</v>
      </c>
      <c r="C14" s="19"/>
      <c r="D14" s="19"/>
      <c r="E14" s="19"/>
      <c r="F14" s="19"/>
      <c r="G14" s="19"/>
      <c r="H14" s="49">
        <v>373590.5</v>
      </c>
    </row>
    <row r="15" spans="1:8" hidden="1" x14ac:dyDescent="0.25">
      <c r="A15" s="108"/>
      <c r="B15" s="19"/>
      <c r="C15" s="18"/>
      <c r="D15" s="19"/>
      <c r="E15" s="19"/>
      <c r="F15" s="19"/>
      <c r="G15" s="19"/>
      <c r="H15" s="49"/>
    </row>
    <row r="16" spans="1:8" x14ac:dyDescent="0.25">
      <c r="A16" s="21" t="s">
        <v>5</v>
      </c>
      <c r="B16" s="22"/>
      <c r="C16" s="22"/>
      <c r="D16" s="22"/>
      <c r="E16" s="22"/>
      <c r="F16" s="22"/>
      <c r="G16" s="22"/>
      <c r="H16" s="47">
        <f>SUM(H13:H15)</f>
        <v>373590.5</v>
      </c>
    </row>
    <row r="17" spans="1:10" ht="0.75" customHeight="1" x14ac:dyDescent="0.25">
      <c r="A17" s="23"/>
      <c r="B17" s="24"/>
      <c r="C17" s="24"/>
      <c r="D17" s="24"/>
      <c r="E17" s="24"/>
      <c r="F17" s="24"/>
      <c r="G17" s="24"/>
      <c r="H17" s="48"/>
    </row>
    <row r="18" spans="1:10" x14ac:dyDescent="0.25">
      <c r="A18" s="196" t="s">
        <v>6</v>
      </c>
      <c r="B18" s="197"/>
      <c r="C18" s="197"/>
      <c r="D18" s="197"/>
      <c r="E18" s="197"/>
      <c r="F18" s="197"/>
      <c r="G18" s="197"/>
      <c r="H18" s="198"/>
    </row>
    <row r="19" spans="1:10" x14ac:dyDescent="0.25">
      <c r="A19" s="18" t="s">
        <v>66</v>
      </c>
      <c r="B19" s="19"/>
      <c r="C19" s="25"/>
      <c r="D19" s="19"/>
      <c r="E19" s="19"/>
      <c r="F19" s="19"/>
      <c r="G19" s="19"/>
      <c r="H19" s="26">
        <v>164649.06</v>
      </c>
    </row>
    <row r="20" spans="1:10" x14ac:dyDescent="0.25">
      <c r="A20" s="18" t="s">
        <v>65</v>
      </c>
      <c r="B20" s="19"/>
      <c r="C20" s="25"/>
      <c r="D20" s="19"/>
      <c r="E20" s="19"/>
      <c r="F20" s="19"/>
      <c r="G20" s="19"/>
      <c r="H20" s="26">
        <v>383278.85</v>
      </c>
    </row>
    <row r="21" spans="1:10" x14ac:dyDescent="0.25">
      <c r="A21" s="18"/>
      <c r="B21" s="19"/>
      <c r="C21" s="25"/>
      <c r="D21" s="19"/>
      <c r="E21" s="19"/>
      <c r="F21" s="19"/>
      <c r="G21" s="19"/>
      <c r="H21" s="26"/>
    </row>
    <row r="22" spans="1:10" ht="16.5" customHeight="1" x14ac:dyDescent="0.25">
      <c r="A22" s="18"/>
      <c r="B22" s="19"/>
      <c r="C22" s="19"/>
      <c r="D22" s="19"/>
      <c r="E22" s="25"/>
      <c r="F22" s="19"/>
      <c r="G22" s="19"/>
      <c r="H22" s="26"/>
    </row>
    <row r="23" spans="1:10" x14ac:dyDescent="0.25">
      <c r="A23" s="21" t="s">
        <v>7</v>
      </c>
      <c r="B23" s="22"/>
      <c r="C23" s="22"/>
      <c r="D23" s="22"/>
      <c r="E23" s="22"/>
      <c r="F23" s="22"/>
      <c r="G23" s="22"/>
      <c r="H23" s="27">
        <f>SUM(H19:H22)</f>
        <v>547927.90999999992</v>
      </c>
    </row>
    <row r="24" spans="1:10" ht="0.75" customHeight="1" x14ac:dyDescent="0.25">
      <c r="A24" s="196" t="s">
        <v>15</v>
      </c>
      <c r="B24" s="197"/>
      <c r="C24" s="197"/>
      <c r="D24" s="197"/>
      <c r="E24" s="197"/>
      <c r="F24" s="197"/>
      <c r="G24" s="197"/>
      <c r="H24" s="198"/>
    </row>
    <row r="25" spans="1:10" hidden="1" x14ac:dyDescent="0.25">
      <c r="A25" s="28" t="s">
        <v>16</v>
      </c>
      <c r="B25" s="29"/>
      <c r="C25" s="29"/>
      <c r="D25" s="29"/>
      <c r="E25" s="29"/>
      <c r="F25" s="29"/>
      <c r="G25" s="29"/>
      <c r="H25" s="30">
        <v>0</v>
      </c>
    </row>
    <row r="26" spans="1:10" hidden="1" x14ac:dyDescent="0.25">
      <c r="A26" s="18" t="s">
        <v>165</v>
      </c>
      <c r="B26" s="19"/>
      <c r="C26" s="19"/>
      <c r="D26" s="19"/>
      <c r="E26" s="19"/>
      <c r="F26" s="19"/>
      <c r="G26" s="19"/>
      <c r="H26" s="26">
        <v>0</v>
      </c>
    </row>
    <row r="27" spans="1:10" hidden="1" x14ac:dyDescent="0.25">
      <c r="A27" s="21" t="s">
        <v>5</v>
      </c>
      <c r="B27" s="22"/>
      <c r="C27" s="22"/>
      <c r="D27" s="22"/>
      <c r="E27" s="22"/>
      <c r="F27" s="22"/>
      <c r="G27" s="22"/>
      <c r="H27" s="27">
        <f>SUM(H25:H26)</f>
        <v>0</v>
      </c>
    </row>
    <row r="28" spans="1:10" x14ac:dyDescent="0.25">
      <c r="A28" s="199" t="s">
        <v>69</v>
      </c>
      <c r="B28" s="199"/>
      <c r="C28" s="199"/>
      <c r="D28" s="199"/>
      <c r="E28" s="199"/>
      <c r="F28" s="199"/>
      <c r="G28" s="199"/>
      <c r="H28" s="199"/>
    </row>
    <row r="29" spans="1:10" x14ac:dyDescent="0.25">
      <c r="A29" s="210" t="s">
        <v>68</v>
      </c>
      <c r="B29" s="211"/>
      <c r="C29" s="211"/>
      <c r="D29" s="19"/>
      <c r="E29" s="19"/>
      <c r="F29" s="19"/>
      <c r="G29" s="19"/>
      <c r="H29" s="50">
        <v>75800</v>
      </c>
    </row>
    <row r="30" spans="1:10" x14ac:dyDescent="0.25">
      <c r="A30" s="108" t="s">
        <v>153</v>
      </c>
      <c r="B30" s="19"/>
      <c r="C30" s="25"/>
      <c r="D30" s="19"/>
      <c r="E30" s="19"/>
      <c r="F30" s="19"/>
      <c r="G30" s="19"/>
      <c r="H30" s="26">
        <v>39308</v>
      </c>
      <c r="I30" s="14"/>
      <c r="J30" s="14"/>
    </row>
    <row r="31" spans="1:10" x14ac:dyDescent="0.25">
      <c r="A31" s="108" t="s">
        <v>155</v>
      </c>
      <c r="B31" s="19"/>
      <c r="C31" s="19"/>
      <c r="D31" s="19"/>
      <c r="E31" s="19"/>
      <c r="F31" s="19"/>
      <c r="G31" s="19"/>
      <c r="H31" s="26">
        <v>65000</v>
      </c>
    </row>
    <row r="32" spans="1:10" x14ac:dyDescent="0.25">
      <c r="A32" s="21" t="s">
        <v>8</v>
      </c>
      <c r="B32" s="22"/>
      <c r="C32" s="22"/>
      <c r="D32" s="22"/>
      <c r="E32" s="22"/>
      <c r="F32" s="22"/>
      <c r="G32" s="22"/>
      <c r="H32" s="27">
        <f>SUM(H29:H31)</f>
        <v>180108</v>
      </c>
    </row>
    <row r="33" spans="1:14" x14ac:dyDescent="0.25">
      <c r="A33" s="196" t="s">
        <v>70</v>
      </c>
      <c r="B33" s="197"/>
      <c r="C33" s="197"/>
      <c r="D33" s="197"/>
      <c r="E33" s="197"/>
      <c r="F33" s="197"/>
      <c r="G33" s="197"/>
      <c r="H33" s="198"/>
    </row>
    <row r="34" spans="1:14" x14ac:dyDescent="0.25">
      <c r="A34" s="18" t="s">
        <v>9</v>
      </c>
      <c r="B34" s="19"/>
      <c r="C34" s="19" t="s">
        <v>10</v>
      </c>
      <c r="D34" s="19"/>
      <c r="E34" s="19"/>
      <c r="F34" s="19"/>
      <c r="G34" s="19"/>
      <c r="H34" s="31"/>
      <c r="I34" s="52"/>
    </row>
    <row r="35" spans="1:14" x14ac:dyDescent="0.25">
      <c r="A35" s="21" t="s">
        <v>168</v>
      </c>
      <c r="B35" s="22"/>
      <c r="C35" s="22"/>
      <c r="D35" s="22"/>
      <c r="E35" s="22"/>
      <c r="F35" s="22"/>
      <c r="G35" s="22"/>
      <c r="H35" s="51">
        <f>51243.5+5124.35</f>
        <v>56367.85</v>
      </c>
      <c r="I35" s="52"/>
      <c r="N35" t="s">
        <v>167</v>
      </c>
    </row>
    <row r="36" spans="1:14" ht="0.75" customHeight="1" x14ac:dyDescent="0.25">
      <c r="A36" s="18"/>
      <c r="B36" s="19"/>
      <c r="C36" s="19"/>
      <c r="D36" s="19"/>
      <c r="E36" s="19"/>
      <c r="F36" s="19"/>
      <c r="G36" s="19"/>
      <c r="H36" s="32"/>
    </row>
    <row r="37" spans="1:14" x14ac:dyDescent="0.25">
      <c r="A37" s="196" t="s">
        <v>71</v>
      </c>
      <c r="B37" s="197"/>
      <c r="C37" s="197"/>
      <c r="D37" s="197"/>
      <c r="E37" s="197"/>
      <c r="F37" s="197"/>
      <c r="G37" s="197"/>
      <c r="H37" s="198"/>
    </row>
    <row r="38" spans="1:14" x14ac:dyDescent="0.25">
      <c r="A38" s="58"/>
      <c r="B38" s="59"/>
      <c r="C38" s="59"/>
      <c r="D38" s="59"/>
      <c r="E38" s="59"/>
      <c r="F38" s="59"/>
      <c r="G38" s="59"/>
      <c r="H38" s="60"/>
      <c r="J38" s="15"/>
    </row>
    <row r="39" spans="1:14" s="16" customFormat="1" ht="15.75" x14ac:dyDescent="0.25">
      <c r="A39" s="33" t="s">
        <v>17</v>
      </c>
      <c r="B39" s="34"/>
      <c r="C39" s="34"/>
      <c r="D39" s="34"/>
      <c r="E39" s="34"/>
      <c r="F39" s="34"/>
      <c r="G39" s="34"/>
      <c r="H39" s="35">
        <f>H16+H23+H27+H32+H35+H38</f>
        <v>1157994.26</v>
      </c>
    </row>
    <row r="40" spans="1:14" s="14" customFormat="1" ht="18.75" x14ac:dyDescent="0.25">
      <c r="A40" s="54" t="s">
        <v>166</v>
      </c>
      <c r="B40" s="55"/>
      <c r="C40" s="55"/>
      <c r="D40" s="55"/>
      <c r="E40" s="55"/>
      <c r="F40" s="55"/>
      <c r="G40" s="55"/>
      <c r="H40" s="56">
        <v>842005.74</v>
      </c>
    </row>
    <row r="41" spans="1:14" ht="15" customHeight="1" x14ac:dyDescent="0.25">
      <c r="A41" s="186" t="s">
        <v>12</v>
      </c>
      <c r="B41" s="187"/>
      <c r="C41" s="187"/>
      <c r="D41" s="187"/>
      <c r="E41" s="187"/>
      <c r="F41" s="187"/>
      <c r="G41" s="187"/>
      <c r="H41" s="188"/>
      <c r="K41" s="251"/>
    </row>
    <row r="42" spans="1:14" ht="18" customHeight="1" x14ac:dyDescent="0.25">
      <c r="A42" s="189"/>
      <c r="B42" s="190"/>
      <c r="C42" s="190"/>
      <c r="D42" s="190"/>
      <c r="E42" s="190"/>
      <c r="F42" s="190"/>
      <c r="G42" s="190"/>
      <c r="H42" s="191"/>
    </row>
    <row r="43" spans="1:14" ht="16.5" customHeight="1" x14ac:dyDescent="0.25">
      <c r="A43" s="200"/>
      <c r="B43" s="201"/>
      <c r="C43" s="201"/>
      <c r="D43" s="201"/>
      <c r="E43" s="201"/>
      <c r="F43" s="201"/>
      <c r="G43" s="202"/>
      <c r="H43" s="36"/>
    </row>
    <row r="44" spans="1:14" ht="16.5" customHeight="1" x14ac:dyDescent="0.25">
      <c r="A44" s="200"/>
      <c r="B44" s="201"/>
      <c r="C44" s="201"/>
      <c r="D44" s="201"/>
      <c r="E44" s="201"/>
      <c r="F44" s="201"/>
      <c r="G44" s="202"/>
      <c r="H44" s="36"/>
    </row>
    <row r="45" spans="1:14" ht="15.75" customHeight="1" x14ac:dyDescent="0.25">
      <c r="A45" s="203"/>
      <c r="B45" s="204"/>
      <c r="C45" s="204"/>
      <c r="D45" s="204"/>
      <c r="E45" s="204"/>
      <c r="F45" s="204"/>
      <c r="G45" s="205"/>
      <c r="H45" s="36"/>
    </row>
    <row r="46" spans="1:14" s="14" customFormat="1" ht="14.25" customHeight="1" x14ac:dyDescent="0.25">
      <c r="A46" s="206" t="s">
        <v>18</v>
      </c>
      <c r="B46" s="207"/>
      <c r="C46" s="207"/>
      <c r="D46" s="207"/>
      <c r="E46" s="207"/>
      <c r="F46" s="207"/>
      <c r="G46" s="208"/>
      <c r="H46" s="37">
        <f>SUM(H43:H45)</f>
        <v>0</v>
      </c>
    </row>
    <row r="47" spans="1:14" x14ac:dyDescent="0.25">
      <c r="A47" s="19"/>
      <c r="B47" s="19"/>
      <c r="C47" s="19"/>
      <c r="D47" s="19"/>
      <c r="E47" s="19"/>
      <c r="F47" s="19"/>
      <c r="G47" s="19"/>
      <c r="H47" s="19"/>
    </row>
    <row r="48" spans="1:14" ht="15" customHeight="1" x14ac:dyDescent="0.25">
      <c r="H48" s="19"/>
      <c r="J48" s="15"/>
    </row>
    <row r="49" spans="1:10" ht="54.75" customHeight="1" x14ac:dyDescent="0.25">
      <c r="A49" s="209" t="s">
        <v>156</v>
      </c>
      <c r="B49" s="209"/>
      <c r="C49" s="209"/>
      <c r="D49" s="209"/>
      <c r="E49" s="209"/>
      <c r="F49" s="209"/>
      <c r="G49" s="209"/>
      <c r="H49" s="35">
        <f>+H39+H40</f>
        <v>2000000</v>
      </c>
    </row>
    <row r="50" spans="1:10" ht="59.25" customHeight="1" x14ac:dyDescent="0.25">
      <c r="A50" s="252" t="s">
        <v>170</v>
      </c>
      <c r="B50" s="252"/>
      <c r="C50" s="252"/>
      <c r="D50" s="252"/>
      <c r="E50" s="252"/>
      <c r="F50" s="252"/>
      <c r="G50" s="252"/>
      <c r="H50" s="252"/>
    </row>
    <row r="51" spans="1:10" x14ac:dyDescent="0.25">
      <c r="A51" s="19"/>
      <c r="B51" s="19"/>
      <c r="C51" s="19"/>
      <c r="D51" s="19"/>
      <c r="E51" s="19"/>
      <c r="F51" s="19"/>
      <c r="G51" s="19"/>
      <c r="H51" s="19"/>
    </row>
    <row r="52" spans="1:10" ht="15.75" x14ac:dyDescent="0.25">
      <c r="A52" s="33" t="s">
        <v>19</v>
      </c>
      <c r="B52" s="34"/>
      <c r="C52" s="34"/>
      <c r="D52" s="34"/>
      <c r="E52" s="34"/>
      <c r="F52" s="34"/>
      <c r="G52" s="34"/>
      <c r="H52" s="38">
        <f>H46</f>
        <v>0</v>
      </c>
    </row>
    <row r="53" spans="1:10" x14ac:dyDescent="0.25">
      <c r="A53" s="19"/>
      <c r="B53" s="19"/>
      <c r="C53" s="19"/>
      <c r="D53" s="19"/>
      <c r="E53" s="19"/>
      <c r="F53" s="19"/>
      <c r="G53" s="19"/>
      <c r="H53" s="19"/>
    </row>
    <row r="54" spans="1:10" ht="18.75" hidden="1" x14ac:dyDescent="0.3">
      <c r="A54" s="192" t="s">
        <v>13</v>
      </c>
      <c r="B54" s="193"/>
      <c r="C54" s="193"/>
      <c r="D54" s="193"/>
      <c r="E54" s="193"/>
      <c r="F54" s="193"/>
      <c r="G54" s="193"/>
      <c r="H54" s="194"/>
    </row>
    <row r="55" spans="1:10" ht="39" customHeight="1" x14ac:dyDescent="0.3">
      <c r="A55" s="184" t="s">
        <v>169</v>
      </c>
      <c r="B55" s="184"/>
      <c r="C55" s="184"/>
      <c r="D55" s="184"/>
      <c r="E55" s="184"/>
      <c r="F55" s="184"/>
      <c r="G55" s="184"/>
      <c r="H55" s="44">
        <v>-12027.49</v>
      </c>
    </row>
    <row r="56" spans="1:10" x14ac:dyDescent="0.25">
      <c r="A56" s="39" t="s">
        <v>162</v>
      </c>
      <c r="B56" s="40"/>
      <c r="C56" s="40"/>
      <c r="D56" s="40"/>
      <c r="E56" s="40"/>
      <c r="F56" s="40"/>
      <c r="G56" s="40"/>
      <c r="H56" s="53">
        <f>Planilla!I32</f>
        <v>1356852.2720256257</v>
      </c>
    </row>
    <row r="57" spans="1:10" x14ac:dyDescent="0.25">
      <c r="A57" s="39" t="s">
        <v>21</v>
      </c>
      <c r="B57" s="40"/>
      <c r="C57" s="40"/>
      <c r="D57" s="40"/>
      <c r="E57" s="40"/>
      <c r="F57" s="40"/>
      <c r="G57" s="40"/>
      <c r="H57" s="45"/>
    </row>
    <row r="58" spans="1:10" x14ac:dyDescent="0.25">
      <c r="A58" s="39" t="s">
        <v>163</v>
      </c>
      <c r="B58" s="40"/>
      <c r="C58" s="40"/>
      <c r="D58" s="40"/>
      <c r="E58" s="40"/>
      <c r="F58" s="40"/>
      <c r="G58" s="40"/>
      <c r="H58" s="41">
        <f>-(H39+H46)</f>
        <v>-1157994.26</v>
      </c>
      <c r="J58" s="15"/>
    </row>
    <row r="59" spans="1:10" ht="18.75" x14ac:dyDescent="0.3">
      <c r="A59" s="42" t="s">
        <v>14</v>
      </c>
      <c r="B59" s="43"/>
      <c r="C59" s="43"/>
      <c r="D59" s="43"/>
      <c r="E59" s="43"/>
      <c r="F59" s="43"/>
      <c r="G59" s="43"/>
      <c r="H59" s="57">
        <f>SUM(H55:H58)</f>
        <v>186830.52202562569</v>
      </c>
    </row>
  </sheetData>
  <mergeCells count="17">
    <mergeCell ref="A50:H50"/>
    <mergeCell ref="A55:G55"/>
    <mergeCell ref="E3:F3"/>
    <mergeCell ref="A41:H42"/>
    <mergeCell ref="A54:H54"/>
    <mergeCell ref="A12:H12"/>
    <mergeCell ref="A18:H18"/>
    <mergeCell ref="A28:H28"/>
    <mergeCell ref="A33:H33"/>
    <mergeCell ref="A37:H37"/>
    <mergeCell ref="A24:H24"/>
    <mergeCell ref="A43:G43"/>
    <mergeCell ref="A45:G45"/>
    <mergeCell ref="A46:G46"/>
    <mergeCell ref="A44:G44"/>
    <mergeCell ref="A49:G49"/>
    <mergeCell ref="A29:C29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9"/>
  <sheetViews>
    <sheetView topLeftCell="A21" zoomScaleNormal="100" workbookViewId="0">
      <selection activeCell="G16" sqref="G16:R16"/>
    </sheetView>
  </sheetViews>
  <sheetFormatPr baseColWidth="10" defaultRowHeight="15" x14ac:dyDescent="0.25"/>
  <cols>
    <col min="1" max="1" width="5.42578125" style="61" customWidth="1"/>
    <col min="2" max="2" width="11.28515625" hidden="1" customWidth="1"/>
    <col min="3" max="3" width="12.140625" customWidth="1"/>
    <col min="4" max="4" width="22.140625" customWidth="1"/>
    <col min="5" max="5" width="12.28515625" customWidth="1"/>
    <col min="6" max="6" width="6.28515625" style="63" customWidth="1"/>
    <col min="7" max="7" width="11.5703125" style="62" customWidth="1"/>
    <col min="8" max="8" width="7.5703125" style="62" hidden="1" customWidth="1"/>
    <col min="9" max="9" width="9.85546875" style="62" customWidth="1"/>
    <col min="10" max="10" width="0.140625" style="62" customWidth="1"/>
    <col min="11" max="11" width="11.140625" style="62" customWidth="1"/>
    <col min="12" max="12" width="12.5703125" style="62" hidden="1" customWidth="1"/>
    <col min="13" max="13" width="9" bestFit="1" customWidth="1"/>
    <col min="14" max="14" width="14.140625" bestFit="1" customWidth="1"/>
    <col min="15" max="15" width="10" customWidth="1"/>
    <col min="16" max="16" width="11" hidden="1" customWidth="1"/>
    <col min="17" max="17" width="11.5703125" hidden="1" customWidth="1"/>
    <col min="18" max="18" width="12.140625" customWidth="1"/>
  </cols>
  <sheetData>
    <row r="1" spans="1:21" ht="26.25" customHeight="1" x14ac:dyDescent="0.25">
      <c r="A1" s="215" t="str">
        <f>Gastos!E7</f>
        <v xml:space="preserve">PERIODO: FEBRERO 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21" x14ac:dyDescent="0.25">
      <c r="A2" s="102"/>
      <c r="G2" s="64"/>
      <c r="H2" s="64"/>
      <c r="I2" s="64"/>
      <c r="J2" s="64"/>
      <c r="K2" s="64"/>
      <c r="L2" s="13"/>
      <c r="R2" s="6"/>
    </row>
    <row r="3" spans="1:21" x14ac:dyDescent="0.25">
      <c r="A3" s="98"/>
      <c r="G3" s="64"/>
      <c r="H3" s="64"/>
      <c r="I3" s="64"/>
      <c r="J3" s="64"/>
      <c r="L3" s="100"/>
      <c r="R3" s="6"/>
    </row>
    <row r="4" spans="1:21" x14ac:dyDescent="0.25">
      <c r="A4" s="98"/>
      <c r="G4" s="64"/>
      <c r="H4" s="64"/>
      <c r="I4" s="64"/>
      <c r="J4" s="64"/>
      <c r="L4" s="100"/>
      <c r="M4" s="213"/>
      <c r="N4" s="213"/>
      <c r="O4" s="213"/>
      <c r="P4" s="213"/>
      <c r="Q4" s="213"/>
      <c r="R4" s="214"/>
    </row>
    <row r="5" spans="1:21" x14ac:dyDescent="0.25">
      <c r="A5" s="98"/>
      <c r="B5" s="101"/>
      <c r="C5" s="168">
        <v>2000000</v>
      </c>
      <c r="D5" s="13"/>
      <c r="E5" s="13"/>
      <c r="G5" s="64"/>
      <c r="H5" s="64"/>
      <c r="I5" s="64"/>
      <c r="J5" s="64"/>
      <c r="L5" s="100"/>
      <c r="M5" s="17"/>
      <c r="R5" s="6"/>
    </row>
    <row r="6" spans="1:21" x14ac:dyDescent="0.25">
      <c r="A6" s="98"/>
      <c r="C6" s="13" t="s">
        <v>40</v>
      </c>
      <c r="D6" s="13"/>
      <c r="E6" s="13"/>
      <c r="G6" s="64"/>
      <c r="H6" s="64"/>
      <c r="I6" s="64"/>
      <c r="J6" s="64"/>
      <c r="K6" s="64"/>
      <c r="L6" s="64"/>
      <c r="R6" s="6"/>
    </row>
    <row r="7" spans="1:21" x14ac:dyDescent="0.25">
      <c r="A7" s="98"/>
      <c r="B7" s="97"/>
      <c r="C7" s="223">
        <f>C5</f>
        <v>2000000</v>
      </c>
      <c r="D7" s="223"/>
      <c r="E7" s="99"/>
      <c r="G7" s="64"/>
      <c r="H7" s="64"/>
      <c r="I7" s="64"/>
      <c r="J7" s="64"/>
      <c r="K7" s="64"/>
      <c r="L7" s="64"/>
      <c r="R7" s="6"/>
    </row>
    <row r="8" spans="1:21" hidden="1" x14ac:dyDescent="0.25">
      <c r="A8" s="98"/>
      <c r="B8" s="97" t="s">
        <v>39</v>
      </c>
      <c r="C8" s="97">
        <v>0</v>
      </c>
      <c r="D8" s="97"/>
      <c r="E8" s="97"/>
      <c r="G8" s="64"/>
      <c r="H8" s="64"/>
      <c r="I8" s="64"/>
      <c r="J8" s="64"/>
      <c r="K8" s="64"/>
      <c r="L8" s="64"/>
      <c r="R8" s="6"/>
    </row>
    <row r="9" spans="1:21" x14ac:dyDescent="0.25">
      <c r="A9" s="98"/>
      <c r="B9" s="97"/>
      <c r="C9" s="97" t="s">
        <v>38</v>
      </c>
      <c r="D9" s="97"/>
      <c r="E9" s="97"/>
      <c r="G9" s="64"/>
      <c r="H9" s="64"/>
      <c r="I9" s="64"/>
      <c r="J9" s="64"/>
      <c r="K9" s="64"/>
      <c r="L9" s="64"/>
      <c r="R9" s="6"/>
    </row>
    <row r="10" spans="1:21" x14ac:dyDescent="0.25">
      <c r="A10" s="96"/>
      <c r="B10" s="95"/>
      <c r="C10" s="94"/>
      <c r="D10" s="94"/>
      <c r="E10" s="94"/>
      <c r="F10" s="93"/>
      <c r="G10" s="92"/>
      <c r="H10" s="92"/>
      <c r="I10" s="92"/>
      <c r="J10" s="92"/>
      <c r="K10" s="92"/>
      <c r="L10" s="91"/>
      <c r="M10" s="2"/>
      <c r="N10" s="2"/>
      <c r="O10" s="2"/>
      <c r="P10" s="2"/>
      <c r="Q10" s="2"/>
      <c r="R10" s="8"/>
    </row>
    <row r="11" spans="1:21" ht="29.25" customHeight="1" x14ac:dyDescent="0.25">
      <c r="A11" s="90" t="s">
        <v>37</v>
      </c>
      <c r="B11" s="86" t="s">
        <v>36</v>
      </c>
      <c r="C11" s="89" t="s">
        <v>35</v>
      </c>
      <c r="D11" s="89" t="s">
        <v>35</v>
      </c>
      <c r="E11" s="89" t="s">
        <v>34</v>
      </c>
      <c r="F11" s="88" t="s">
        <v>33</v>
      </c>
      <c r="G11" s="87" t="s">
        <v>119</v>
      </c>
      <c r="H11" s="87" t="s">
        <v>32</v>
      </c>
      <c r="I11" s="87" t="s">
        <v>31</v>
      </c>
      <c r="J11" s="87" t="s">
        <v>30</v>
      </c>
      <c r="K11" s="87" t="s">
        <v>29</v>
      </c>
      <c r="L11" s="87" t="s">
        <v>28</v>
      </c>
      <c r="M11" s="86" t="s">
        <v>152</v>
      </c>
      <c r="N11" s="86" t="s">
        <v>27</v>
      </c>
      <c r="O11" s="86" t="s">
        <v>26</v>
      </c>
      <c r="P11" s="86" t="s">
        <v>25</v>
      </c>
      <c r="Q11" s="86" t="s">
        <v>30</v>
      </c>
      <c r="R11" s="86" t="s">
        <v>24</v>
      </c>
    </row>
    <row r="12" spans="1:21" ht="29.25" customHeight="1" x14ac:dyDescent="0.25">
      <c r="A12" s="169" t="s">
        <v>89</v>
      </c>
      <c r="B12" s="249"/>
      <c r="C12" s="171" t="s">
        <v>41</v>
      </c>
      <c r="D12" s="172" t="s">
        <v>108</v>
      </c>
      <c r="E12" s="173" t="s">
        <v>120</v>
      </c>
      <c r="F12" s="174">
        <v>7.9</v>
      </c>
      <c r="G12" s="175">
        <v>248228.93405979811</v>
      </c>
      <c r="H12" s="175">
        <v>0</v>
      </c>
      <c r="I12" s="175">
        <v>174000</v>
      </c>
      <c r="J12" s="175" t="e">
        <f>C9*F12/100</f>
        <v>#VALUE!</v>
      </c>
      <c r="K12" s="175">
        <f t="shared" ref="K12:K19" si="0">G12-H12-I12</f>
        <v>74228.934059798106</v>
      </c>
      <c r="L12" s="175"/>
      <c r="M12" s="250">
        <f>(K12+L12)*3%</f>
        <v>2226.8680217939432</v>
      </c>
      <c r="N12" s="250">
        <f t="shared" ref="N12:N20" si="1">K12+M12+L12</f>
        <v>76455.802081592046</v>
      </c>
      <c r="O12" s="175">
        <f t="shared" ref="O12:O30" si="2">C$7*F12/100</f>
        <v>158000</v>
      </c>
      <c r="P12" s="175">
        <f t="shared" ref="P12:P31" si="3">C$10*F12/100</f>
        <v>0</v>
      </c>
      <c r="Q12" s="175">
        <f>'Calculo Servicios  (2)'!H9</f>
        <v>0</v>
      </c>
      <c r="R12" s="250">
        <f>O12+N12+P12+Q12</f>
        <v>234455.80208159203</v>
      </c>
      <c r="U12" s="103" t="s">
        <v>41</v>
      </c>
    </row>
    <row r="13" spans="1:21" ht="21" customHeight="1" x14ac:dyDescent="0.25">
      <c r="A13" s="234" t="s">
        <v>90</v>
      </c>
      <c r="B13" s="235"/>
      <c r="C13" s="236" t="s">
        <v>42</v>
      </c>
      <c r="D13" s="237" t="s">
        <v>109</v>
      </c>
      <c r="E13" s="238"/>
      <c r="F13" s="239">
        <v>7.9</v>
      </c>
      <c r="G13" s="176">
        <v>132911.43438000002</v>
      </c>
      <c r="H13" s="176">
        <v>0</v>
      </c>
      <c r="I13" s="175"/>
      <c r="J13" s="176" t="e">
        <f>C9*F13/100</f>
        <v>#VALUE!</v>
      </c>
      <c r="K13" s="176">
        <f t="shared" si="0"/>
        <v>132911.43438000002</v>
      </c>
      <c r="L13" s="176"/>
      <c r="M13" s="177">
        <f t="shared" ref="M13:M30" si="4">(K13+L13)*3%</f>
        <v>3987.3430314000007</v>
      </c>
      <c r="N13" s="177">
        <f t="shared" si="1"/>
        <v>136898.77741140002</v>
      </c>
      <c r="O13" s="176">
        <f t="shared" si="2"/>
        <v>158000</v>
      </c>
      <c r="P13" s="176">
        <f t="shared" si="3"/>
        <v>0</v>
      </c>
      <c r="Q13" s="176">
        <f>'Calculo Servicios  (2)'!H10</f>
        <v>0</v>
      </c>
      <c r="R13" s="177">
        <f t="shared" ref="R13:R30" si="5">O13+N13+P13+Q13</f>
        <v>294898.77741139999</v>
      </c>
      <c r="U13" s="104" t="s">
        <v>42</v>
      </c>
    </row>
    <row r="14" spans="1:21" ht="21" customHeight="1" x14ac:dyDescent="0.25">
      <c r="A14" s="178" t="s">
        <v>91</v>
      </c>
      <c r="B14" s="170"/>
      <c r="C14" s="179" t="s">
        <v>43</v>
      </c>
      <c r="D14" s="180" t="s">
        <v>110</v>
      </c>
      <c r="E14" s="173" t="s">
        <v>121</v>
      </c>
      <c r="F14" s="181">
        <v>7.9</v>
      </c>
      <c r="G14" s="175">
        <v>261931.41875265707</v>
      </c>
      <c r="H14" s="176">
        <v>0</v>
      </c>
      <c r="I14" s="175">
        <v>79475.210000000006</v>
      </c>
      <c r="J14" s="176" t="e">
        <f>C9*F14/100</f>
        <v>#VALUE!</v>
      </c>
      <c r="K14" s="176">
        <f t="shared" si="0"/>
        <v>182456.20875265705</v>
      </c>
      <c r="L14" s="176"/>
      <c r="M14" s="177">
        <f t="shared" si="4"/>
        <v>5473.6862625797112</v>
      </c>
      <c r="N14" s="177">
        <f t="shared" si="1"/>
        <v>187929.89501523678</v>
      </c>
      <c r="O14" s="176">
        <f t="shared" si="2"/>
        <v>158000</v>
      </c>
      <c r="P14" s="176">
        <f t="shared" si="3"/>
        <v>0</v>
      </c>
      <c r="Q14" s="176">
        <f>'Calculo Servicios  (2)'!H11</f>
        <v>0</v>
      </c>
      <c r="R14" s="177">
        <f t="shared" si="5"/>
        <v>345929.89501523681</v>
      </c>
      <c r="U14" s="104" t="s">
        <v>43</v>
      </c>
    </row>
    <row r="15" spans="1:21" ht="21" customHeight="1" x14ac:dyDescent="0.25">
      <c r="A15" s="121" t="s">
        <v>92</v>
      </c>
      <c r="B15" s="85"/>
      <c r="C15" s="104" t="s">
        <v>44</v>
      </c>
      <c r="D15" s="167" t="s">
        <v>111</v>
      </c>
      <c r="E15" s="124"/>
      <c r="F15" s="106">
        <v>7.9</v>
      </c>
      <c r="G15" s="182">
        <v>132911.43438000002</v>
      </c>
      <c r="H15" s="84"/>
      <c r="I15" s="77">
        <f>G15+100</f>
        <v>133011.43438000002</v>
      </c>
      <c r="J15" s="75" t="e">
        <f>C9*F15/100</f>
        <v>#VALUE!</v>
      </c>
      <c r="K15" s="75">
        <f t="shared" si="0"/>
        <v>-100</v>
      </c>
      <c r="L15" s="76"/>
      <c r="M15" s="74">
        <f t="shared" si="4"/>
        <v>-3</v>
      </c>
      <c r="N15" s="74">
        <f t="shared" si="1"/>
        <v>-103</v>
      </c>
      <c r="O15" s="75">
        <f t="shared" si="2"/>
        <v>158000</v>
      </c>
      <c r="P15" s="75">
        <f t="shared" si="3"/>
        <v>0</v>
      </c>
      <c r="Q15" s="75">
        <f>'Calculo Servicios  (2)'!H12</f>
        <v>0</v>
      </c>
      <c r="R15" s="74">
        <f t="shared" si="5"/>
        <v>157897</v>
      </c>
      <c r="U15" s="104" t="s">
        <v>44</v>
      </c>
    </row>
    <row r="16" spans="1:21" ht="21" customHeight="1" x14ac:dyDescent="0.25">
      <c r="A16" s="121" t="s">
        <v>93</v>
      </c>
      <c r="B16" s="81"/>
      <c r="C16" s="104" t="s">
        <v>45</v>
      </c>
      <c r="D16" s="122" t="s">
        <v>112</v>
      </c>
      <c r="E16" s="124"/>
      <c r="F16" s="106">
        <v>7.9</v>
      </c>
      <c r="G16" s="82">
        <v>132911.43438000002</v>
      </c>
      <c r="H16" s="84">
        <v>0</v>
      </c>
      <c r="I16" s="77">
        <f t="shared" ref="I13:I19" si="6">G16</f>
        <v>132911.43438000002</v>
      </c>
      <c r="J16" s="75" t="e">
        <f>C9*F16/100</f>
        <v>#VALUE!</v>
      </c>
      <c r="K16" s="75">
        <f t="shared" si="0"/>
        <v>0</v>
      </c>
      <c r="L16" s="75"/>
      <c r="M16" s="74">
        <f t="shared" si="4"/>
        <v>0</v>
      </c>
      <c r="N16" s="74">
        <f t="shared" si="1"/>
        <v>0</v>
      </c>
      <c r="O16" s="75">
        <f t="shared" si="2"/>
        <v>158000</v>
      </c>
      <c r="P16" s="75">
        <f t="shared" si="3"/>
        <v>0</v>
      </c>
      <c r="Q16" s="75">
        <f>'Calculo Servicios  (2)'!H13</f>
        <v>0</v>
      </c>
      <c r="R16" s="74">
        <f t="shared" si="5"/>
        <v>158000</v>
      </c>
      <c r="U16" s="104" t="s">
        <v>45</v>
      </c>
    </row>
    <row r="17" spans="1:21" ht="21" customHeight="1" x14ac:dyDescent="0.25">
      <c r="A17" s="178" t="s">
        <v>94</v>
      </c>
      <c r="B17" s="170"/>
      <c r="C17" s="179" t="s">
        <v>46</v>
      </c>
      <c r="D17" s="180" t="s">
        <v>113</v>
      </c>
      <c r="E17" s="173" t="s">
        <v>158</v>
      </c>
      <c r="F17" s="181">
        <v>7.9</v>
      </c>
      <c r="G17" s="175">
        <v>132911.43438000002</v>
      </c>
      <c r="H17" s="176">
        <v>0</v>
      </c>
      <c r="I17" s="175"/>
      <c r="J17" s="176" t="e">
        <f>C9*F17/100</f>
        <v>#VALUE!</v>
      </c>
      <c r="K17" s="176">
        <f t="shared" si="0"/>
        <v>132911.43438000002</v>
      </c>
      <c r="L17" s="176"/>
      <c r="M17" s="177">
        <f t="shared" si="4"/>
        <v>3987.3430314000007</v>
      </c>
      <c r="N17" s="177">
        <f t="shared" si="1"/>
        <v>136898.77741140002</v>
      </c>
      <c r="O17" s="176">
        <f t="shared" si="2"/>
        <v>158000</v>
      </c>
      <c r="P17" s="176">
        <f t="shared" si="3"/>
        <v>0</v>
      </c>
      <c r="Q17" s="176">
        <f>'Calculo Servicios  (2)'!H14</f>
        <v>0</v>
      </c>
      <c r="R17" s="177">
        <f t="shared" si="5"/>
        <v>294898.77741139999</v>
      </c>
      <c r="U17" s="104" t="s">
        <v>46</v>
      </c>
    </row>
    <row r="18" spans="1:21" ht="21" customHeight="1" x14ac:dyDescent="0.25">
      <c r="A18" s="121" t="s">
        <v>95</v>
      </c>
      <c r="B18" s="81"/>
      <c r="C18" s="104" t="s">
        <v>47</v>
      </c>
      <c r="D18" s="122" t="s">
        <v>114</v>
      </c>
      <c r="E18" s="124" t="s">
        <v>157</v>
      </c>
      <c r="F18" s="106">
        <v>7.9</v>
      </c>
      <c r="G18" s="82">
        <v>132911.43438000002</v>
      </c>
      <c r="H18" s="75">
        <v>0</v>
      </c>
      <c r="I18" s="77">
        <f t="shared" si="6"/>
        <v>132911.43438000002</v>
      </c>
      <c r="J18" s="75" t="e">
        <f>C9*F18/100</f>
        <v>#VALUE!</v>
      </c>
      <c r="K18" s="75">
        <f t="shared" si="0"/>
        <v>0</v>
      </c>
      <c r="L18" s="75"/>
      <c r="M18" s="74">
        <f t="shared" si="4"/>
        <v>0</v>
      </c>
      <c r="N18" s="74">
        <f t="shared" si="1"/>
        <v>0</v>
      </c>
      <c r="O18" s="75">
        <f t="shared" si="2"/>
        <v>158000</v>
      </c>
      <c r="P18" s="75">
        <f t="shared" si="3"/>
        <v>0</v>
      </c>
      <c r="Q18" s="75">
        <f>'Calculo Servicios  (2)'!H15</f>
        <v>0</v>
      </c>
      <c r="R18" s="74">
        <f t="shared" si="5"/>
        <v>158000</v>
      </c>
      <c r="U18" s="104" t="s">
        <v>47</v>
      </c>
    </row>
    <row r="19" spans="1:21" ht="21" customHeight="1" x14ac:dyDescent="0.25">
      <c r="A19" s="240" t="s">
        <v>96</v>
      </c>
      <c r="B19" s="241"/>
      <c r="C19" s="105" t="s">
        <v>48</v>
      </c>
      <c r="D19" s="242" t="s">
        <v>160</v>
      </c>
      <c r="E19" s="243" t="s">
        <v>159</v>
      </c>
      <c r="F19" s="244">
        <v>7.9</v>
      </c>
      <c r="G19" s="77">
        <v>237688.56121913739</v>
      </c>
      <c r="H19" s="233">
        <v>0</v>
      </c>
      <c r="I19" s="77">
        <f t="shared" si="6"/>
        <v>237688.56121913739</v>
      </c>
      <c r="J19" s="233" t="e">
        <f>C9*F19/100</f>
        <v>#VALUE!</v>
      </c>
      <c r="K19" s="233">
        <f t="shared" si="0"/>
        <v>0</v>
      </c>
      <c r="L19" s="233"/>
      <c r="M19" s="245">
        <f t="shared" si="4"/>
        <v>0</v>
      </c>
      <c r="N19" s="245">
        <f t="shared" si="1"/>
        <v>0</v>
      </c>
      <c r="O19" s="233">
        <f t="shared" si="2"/>
        <v>158000</v>
      </c>
      <c r="P19" s="233">
        <f t="shared" si="3"/>
        <v>0</v>
      </c>
      <c r="Q19" s="233">
        <f>'Calculo Servicios  (2)'!H16</f>
        <v>0</v>
      </c>
      <c r="R19" s="245">
        <f t="shared" si="5"/>
        <v>158000</v>
      </c>
      <c r="U19" s="104" t="s">
        <v>48</v>
      </c>
    </row>
    <row r="20" spans="1:21" ht="24" customHeight="1" x14ac:dyDescent="0.25">
      <c r="A20" s="178" t="s">
        <v>97</v>
      </c>
      <c r="B20" s="170"/>
      <c r="C20" s="179" t="s">
        <v>49</v>
      </c>
      <c r="D20" s="180" t="s">
        <v>115</v>
      </c>
      <c r="E20" s="173"/>
      <c r="F20" s="181">
        <v>7.9</v>
      </c>
      <c r="G20" s="175">
        <v>355415.28897680074</v>
      </c>
      <c r="H20" s="176">
        <v>0</v>
      </c>
      <c r="I20" s="175"/>
      <c r="J20" s="176" t="e">
        <f>C9*F20/100</f>
        <v>#VALUE!</v>
      </c>
      <c r="K20" s="176">
        <f t="shared" ref="K20:K30" si="7">G20-H20-I20</f>
        <v>355415.28897680074</v>
      </c>
      <c r="L20" s="176">
        <f>G20-I20</f>
        <v>355415.28897680074</v>
      </c>
      <c r="M20" s="177">
        <f t="shared" si="4"/>
        <v>21324.917338608044</v>
      </c>
      <c r="N20" s="177">
        <f t="shared" si="1"/>
        <v>732155.49529220955</v>
      </c>
      <c r="O20" s="176">
        <f t="shared" si="2"/>
        <v>158000</v>
      </c>
      <c r="P20" s="176">
        <f t="shared" si="3"/>
        <v>0</v>
      </c>
      <c r="Q20" s="176">
        <f>'Calculo Servicios  (2)'!H17</f>
        <v>0</v>
      </c>
      <c r="R20" s="177">
        <f t="shared" si="5"/>
        <v>890155.49529220955</v>
      </c>
      <c r="U20" s="104" t="s">
        <v>49</v>
      </c>
    </row>
    <row r="21" spans="1:21" ht="21" customHeight="1" x14ac:dyDescent="0.25">
      <c r="A21" s="121" t="s">
        <v>98</v>
      </c>
      <c r="B21" s="81"/>
      <c r="C21" s="104" t="s">
        <v>50</v>
      </c>
      <c r="D21" s="122" t="s">
        <v>116</v>
      </c>
      <c r="E21" s="124"/>
      <c r="F21" s="106">
        <v>7.9</v>
      </c>
      <c r="G21" s="82">
        <v>132911.43438000002</v>
      </c>
      <c r="H21" s="75"/>
      <c r="I21" s="77">
        <f t="shared" ref="I21:I30" si="8">G21</f>
        <v>132911.43438000002</v>
      </c>
      <c r="J21" s="75"/>
      <c r="K21" s="75">
        <f t="shared" si="7"/>
        <v>0</v>
      </c>
      <c r="L21" s="75"/>
      <c r="M21" s="74">
        <f t="shared" si="4"/>
        <v>0</v>
      </c>
      <c r="N21" s="74">
        <f t="shared" ref="N21:N30" si="9">K21+M21+L21</f>
        <v>0</v>
      </c>
      <c r="O21" s="75">
        <f t="shared" si="2"/>
        <v>158000</v>
      </c>
      <c r="P21" s="75">
        <f t="shared" si="3"/>
        <v>0</v>
      </c>
      <c r="Q21" s="75">
        <f>'Calculo Servicios  (2)'!H18</f>
        <v>0</v>
      </c>
      <c r="R21" s="74">
        <f t="shared" si="5"/>
        <v>158000</v>
      </c>
      <c r="U21" s="104" t="s">
        <v>50</v>
      </c>
    </row>
    <row r="22" spans="1:21" ht="24" customHeight="1" x14ac:dyDescent="0.25">
      <c r="A22" s="240" t="s">
        <v>99</v>
      </c>
      <c r="B22" s="241"/>
      <c r="C22" s="105" t="s">
        <v>51</v>
      </c>
      <c r="D22" s="242" t="s">
        <v>117</v>
      </c>
      <c r="E22" s="243" t="s">
        <v>122</v>
      </c>
      <c r="F22" s="244">
        <v>7.9</v>
      </c>
      <c r="G22" s="77">
        <v>253499.12048012851</v>
      </c>
      <c r="H22" s="233"/>
      <c r="I22" s="77">
        <f>G22</f>
        <v>253499.12048012851</v>
      </c>
      <c r="J22" s="233"/>
      <c r="K22" s="233">
        <f t="shared" si="7"/>
        <v>0</v>
      </c>
      <c r="L22" s="233"/>
      <c r="M22" s="245">
        <f t="shared" si="4"/>
        <v>0</v>
      </c>
      <c r="N22" s="245">
        <f t="shared" si="9"/>
        <v>0</v>
      </c>
      <c r="O22" s="233">
        <f t="shared" si="2"/>
        <v>158000</v>
      </c>
      <c r="P22" s="233">
        <f t="shared" si="3"/>
        <v>0</v>
      </c>
      <c r="Q22" s="233">
        <f>'Calculo Servicios  (2)'!H19</f>
        <v>0</v>
      </c>
      <c r="R22" s="245">
        <f t="shared" si="5"/>
        <v>158000</v>
      </c>
      <c r="U22" s="104" t="s">
        <v>51</v>
      </c>
    </row>
    <row r="23" spans="1:21" ht="24.75" customHeight="1" x14ac:dyDescent="0.25">
      <c r="A23" s="178" t="s">
        <v>100</v>
      </c>
      <c r="B23" s="170"/>
      <c r="C23" s="179" t="s">
        <v>52</v>
      </c>
      <c r="D23" s="180" t="s">
        <v>118</v>
      </c>
      <c r="E23" s="173"/>
      <c r="F23" s="181">
        <v>7.9</v>
      </c>
      <c r="G23" s="175">
        <v>132911.43438000002</v>
      </c>
      <c r="H23" s="176"/>
      <c r="I23" s="175"/>
      <c r="J23" s="176"/>
      <c r="K23" s="176">
        <f t="shared" si="7"/>
        <v>132911.43438000002</v>
      </c>
      <c r="L23" s="176"/>
      <c r="M23" s="177">
        <f t="shared" si="4"/>
        <v>3987.3430314000007</v>
      </c>
      <c r="N23" s="177">
        <f t="shared" si="9"/>
        <v>136898.77741140002</v>
      </c>
      <c r="O23" s="176">
        <f t="shared" si="2"/>
        <v>158000</v>
      </c>
      <c r="P23" s="176">
        <f t="shared" si="3"/>
        <v>0</v>
      </c>
      <c r="Q23" s="176">
        <f>'Calculo Servicios  (2)'!H20</f>
        <v>0</v>
      </c>
      <c r="R23" s="177">
        <f t="shared" si="5"/>
        <v>294898.77741139999</v>
      </c>
      <c r="U23" s="104" t="s">
        <v>52</v>
      </c>
    </row>
    <row r="24" spans="1:21" ht="21" customHeight="1" x14ac:dyDescent="0.25">
      <c r="A24" s="121"/>
      <c r="B24" s="81"/>
      <c r="C24" s="104" t="s">
        <v>101</v>
      </c>
      <c r="D24" s="123" t="str">
        <f>D18</f>
        <v>Estevez Norberto Omar</v>
      </c>
      <c r="E24" s="124" t="s">
        <v>157</v>
      </c>
      <c r="F24" s="106">
        <v>0.74</v>
      </c>
      <c r="G24" s="82">
        <v>12449.931828000001</v>
      </c>
      <c r="H24" s="75"/>
      <c r="I24" s="77">
        <f t="shared" si="8"/>
        <v>12449.931828000001</v>
      </c>
      <c r="J24" s="75"/>
      <c r="K24" s="75">
        <f t="shared" si="7"/>
        <v>0</v>
      </c>
      <c r="L24" s="75"/>
      <c r="M24" s="74">
        <f t="shared" si="4"/>
        <v>0</v>
      </c>
      <c r="N24" s="74">
        <f t="shared" si="9"/>
        <v>0</v>
      </c>
      <c r="O24" s="75">
        <f t="shared" si="2"/>
        <v>14800</v>
      </c>
      <c r="P24" s="75">
        <f t="shared" si="3"/>
        <v>0</v>
      </c>
      <c r="Q24" s="75"/>
      <c r="R24" s="74">
        <f t="shared" si="5"/>
        <v>14800</v>
      </c>
      <c r="U24" s="104" t="s">
        <v>53</v>
      </c>
    </row>
    <row r="25" spans="1:21" ht="24.75" customHeight="1" x14ac:dyDescent="0.25">
      <c r="A25" s="240"/>
      <c r="B25" s="241"/>
      <c r="C25" s="105" t="s">
        <v>102</v>
      </c>
      <c r="D25" s="246" t="str">
        <f>D22</f>
        <v>Moro Vanesa Yania / Juan Carlos Moro</v>
      </c>
      <c r="E25" s="243" t="s">
        <v>122</v>
      </c>
      <c r="F25" s="244">
        <v>0.74</v>
      </c>
      <c r="G25" s="77">
        <v>21546.923661180001</v>
      </c>
      <c r="H25" s="233"/>
      <c r="I25" s="77">
        <f>G25</f>
        <v>21546.923661180001</v>
      </c>
      <c r="J25" s="233"/>
      <c r="K25" s="233">
        <f t="shared" si="7"/>
        <v>0</v>
      </c>
      <c r="L25" s="233"/>
      <c r="M25" s="245">
        <f t="shared" si="4"/>
        <v>0</v>
      </c>
      <c r="N25" s="245">
        <f t="shared" si="9"/>
        <v>0</v>
      </c>
      <c r="O25" s="233">
        <f t="shared" si="2"/>
        <v>14800</v>
      </c>
      <c r="P25" s="233">
        <f t="shared" si="3"/>
        <v>0</v>
      </c>
      <c r="Q25" s="233">
        <f>'Calculo Servicios  (2)'!H22</f>
        <v>0</v>
      </c>
      <c r="R25" s="245">
        <f t="shared" si="5"/>
        <v>14800</v>
      </c>
      <c r="U25" s="104" t="s">
        <v>54</v>
      </c>
    </row>
    <row r="26" spans="1:21" ht="21" customHeight="1" x14ac:dyDescent="0.25">
      <c r="A26" s="121"/>
      <c r="B26" s="81"/>
      <c r="C26" s="104" t="s">
        <v>103</v>
      </c>
      <c r="D26" s="123" t="str">
        <f>D21</f>
        <v>Scarlercio Jorge Omar</v>
      </c>
      <c r="E26" s="123"/>
      <c r="F26" s="106">
        <v>0.74</v>
      </c>
      <c r="G26" s="82">
        <v>12449.931828000001</v>
      </c>
      <c r="H26" s="75"/>
      <c r="I26" s="77">
        <f t="shared" si="8"/>
        <v>12449.931828000001</v>
      </c>
      <c r="J26" s="75"/>
      <c r="K26" s="75">
        <f t="shared" si="7"/>
        <v>0</v>
      </c>
      <c r="L26" s="75"/>
      <c r="M26" s="74">
        <f t="shared" si="4"/>
        <v>0</v>
      </c>
      <c r="N26" s="74">
        <f t="shared" si="9"/>
        <v>0</v>
      </c>
      <c r="O26" s="75">
        <f t="shared" si="2"/>
        <v>14800</v>
      </c>
      <c r="P26" s="75">
        <f t="shared" si="3"/>
        <v>0</v>
      </c>
      <c r="Q26" s="75">
        <f>'Calculo Servicios  (2)'!H23</f>
        <v>0</v>
      </c>
      <c r="R26" s="74">
        <f t="shared" si="5"/>
        <v>14800</v>
      </c>
      <c r="U26" s="104" t="s">
        <v>55</v>
      </c>
    </row>
    <row r="27" spans="1:21" ht="21" customHeight="1" x14ac:dyDescent="0.25">
      <c r="A27" s="240"/>
      <c r="B27" s="170"/>
      <c r="C27" s="105" t="s">
        <v>104</v>
      </c>
      <c r="D27" s="246" t="str">
        <f>D19</f>
        <v>Lopez Gabriela</v>
      </c>
      <c r="E27" s="243" t="s">
        <v>159</v>
      </c>
      <c r="F27" s="244">
        <v>0.74</v>
      </c>
      <c r="G27" s="77">
        <v>21546.923661180001</v>
      </c>
      <c r="H27" s="233">
        <v>0</v>
      </c>
      <c r="I27" s="77">
        <f t="shared" si="8"/>
        <v>21546.923661180001</v>
      </c>
      <c r="J27" s="233" t="e">
        <f>C9*F27/100</f>
        <v>#VALUE!</v>
      </c>
      <c r="K27" s="233">
        <f t="shared" si="7"/>
        <v>0</v>
      </c>
      <c r="L27" s="233"/>
      <c r="M27" s="245">
        <f t="shared" si="4"/>
        <v>0</v>
      </c>
      <c r="N27" s="245">
        <f t="shared" si="9"/>
        <v>0</v>
      </c>
      <c r="O27" s="233">
        <f t="shared" si="2"/>
        <v>14800</v>
      </c>
      <c r="P27" s="233">
        <f t="shared" si="3"/>
        <v>0</v>
      </c>
      <c r="Q27" s="233">
        <f>'Calculo Servicios  (2)'!H24</f>
        <v>0</v>
      </c>
      <c r="R27" s="245">
        <f t="shared" si="5"/>
        <v>14800</v>
      </c>
      <c r="U27" s="104" t="s">
        <v>56</v>
      </c>
    </row>
    <row r="28" spans="1:21" ht="21" customHeight="1" x14ac:dyDescent="0.25">
      <c r="A28" s="121"/>
      <c r="B28" s="81"/>
      <c r="C28" s="104" t="s">
        <v>105</v>
      </c>
      <c r="D28" s="123" t="str">
        <f>D16</f>
        <v>Cecilia Mariel Cassettari</v>
      </c>
      <c r="E28" s="123"/>
      <c r="F28" s="106">
        <v>0.74</v>
      </c>
      <c r="G28" s="82">
        <v>12449.931828000001</v>
      </c>
      <c r="H28" s="75">
        <v>0</v>
      </c>
      <c r="I28" s="77">
        <f t="shared" si="8"/>
        <v>12449.931828000001</v>
      </c>
      <c r="J28" s="75" t="e">
        <f>C9*F28/100</f>
        <v>#VALUE!</v>
      </c>
      <c r="K28" s="75">
        <f t="shared" si="7"/>
        <v>0</v>
      </c>
      <c r="L28" s="75"/>
      <c r="M28" s="74">
        <f t="shared" si="4"/>
        <v>0</v>
      </c>
      <c r="N28" s="74">
        <f t="shared" si="9"/>
        <v>0</v>
      </c>
      <c r="O28" s="75">
        <f t="shared" si="2"/>
        <v>14800</v>
      </c>
      <c r="P28" s="75">
        <f t="shared" si="3"/>
        <v>0</v>
      </c>
      <c r="Q28" s="75">
        <f>'Calculo Servicios  (2)'!H25</f>
        <v>0</v>
      </c>
      <c r="R28" s="74">
        <f t="shared" si="5"/>
        <v>14800</v>
      </c>
      <c r="U28" s="104" t="s">
        <v>57</v>
      </c>
    </row>
    <row r="29" spans="1:21" ht="21" customHeight="1" x14ac:dyDescent="0.25">
      <c r="A29" s="178"/>
      <c r="B29" s="170"/>
      <c r="C29" s="179" t="s">
        <v>106</v>
      </c>
      <c r="D29" s="183" t="str">
        <f>D17</f>
        <v>Grandinetti Leonardo Alberto</v>
      </c>
      <c r="E29" s="173" t="s">
        <v>158</v>
      </c>
      <c r="F29" s="248">
        <v>0.74</v>
      </c>
      <c r="G29" s="175">
        <v>12449.931828000001</v>
      </c>
      <c r="H29" s="176">
        <v>0</v>
      </c>
      <c r="I29" s="175"/>
      <c r="J29" s="176">
        <v>0</v>
      </c>
      <c r="K29" s="176">
        <f t="shared" si="7"/>
        <v>12449.931828000001</v>
      </c>
      <c r="L29" s="176"/>
      <c r="M29" s="177">
        <f t="shared" si="4"/>
        <v>373.49795484000003</v>
      </c>
      <c r="N29" s="177">
        <f t="shared" si="9"/>
        <v>12823.429782840001</v>
      </c>
      <c r="O29" s="176">
        <f t="shared" si="2"/>
        <v>14800</v>
      </c>
      <c r="P29" s="176">
        <f t="shared" si="3"/>
        <v>0</v>
      </c>
      <c r="Q29" s="176">
        <f>'Calculo Servicios  (2)'!H26</f>
        <v>0</v>
      </c>
      <c r="R29" s="177">
        <f t="shared" si="5"/>
        <v>27623.429782840001</v>
      </c>
      <c r="U29" s="104" t="s">
        <v>58</v>
      </c>
    </row>
    <row r="30" spans="1:21" ht="26.25" customHeight="1" thickBot="1" x14ac:dyDescent="0.3">
      <c r="A30" s="178"/>
      <c r="B30" s="170"/>
      <c r="C30" s="179" t="s">
        <v>107</v>
      </c>
      <c r="D30" s="183" t="str">
        <f>D23</f>
        <v>Rodriguez Flavio// Rodriguez Mauro</v>
      </c>
      <c r="E30" s="183"/>
      <c r="F30" s="247">
        <v>0.74</v>
      </c>
      <c r="G30" s="175">
        <v>12449.931828000001</v>
      </c>
      <c r="H30" s="176">
        <v>0</v>
      </c>
      <c r="I30" s="175"/>
      <c r="J30" s="176" t="e">
        <f>C9*F30/100</f>
        <v>#VALUE!</v>
      </c>
      <c r="K30" s="176">
        <f t="shared" si="7"/>
        <v>12449.931828000001</v>
      </c>
      <c r="L30" s="176"/>
      <c r="M30" s="177">
        <f t="shared" si="4"/>
        <v>373.49795484000003</v>
      </c>
      <c r="N30" s="177">
        <f t="shared" si="9"/>
        <v>12823.429782840001</v>
      </c>
      <c r="O30" s="176">
        <f t="shared" si="2"/>
        <v>14800</v>
      </c>
      <c r="P30" s="176">
        <f t="shared" si="3"/>
        <v>0</v>
      </c>
      <c r="Q30" s="176">
        <f>'Calculo Servicios  (2)'!H27</f>
        <v>0</v>
      </c>
      <c r="R30" s="177">
        <f t="shared" si="5"/>
        <v>27623.429782840001</v>
      </c>
      <c r="U30" s="105" t="s">
        <v>59</v>
      </c>
    </row>
    <row r="31" spans="1:21" ht="21" hidden="1" customHeight="1" thickBot="1" x14ac:dyDescent="0.3">
      <c r="A31" s="83"/>
      <c r="B31" s="81"/>
      <c r="C31" s="80"/>
      <c r="D31" s="80"/>
      <c r="E31" s="80"/>
      <c r="F31" s="79"/>
      <c r="G31" s="78"/>
      <c r="H31" s="75">
        <v>0</v>
      </c>
      <c r="I31" s="77"/>
      <c r="J31" s="76"/>
      <c r="K31" s="75"/>
      <c r="L31" s="76"/>
      <c r="M31" s="74"/>
      <c r="N31" s="74"/>
      <c r="O31" s="75"/>
      <c r="P31" s="75">
        <f t="shared" si="3"/>
        <v>0</v>
      </c>
      <c r="Q31" s="75"/>
      <c r="R31" s="119"/>
      <c r="U31" s="104" t="s">
        <v>60</v>
      </c>
    </row>
    <row r="32" spans="1:21" s="66" customFormat="1" ht="21.75" thickBot="1" x14ac:dyDescent="0.4">
      <c r="A32" s="221"/>
      <c r="B32" s="222"/>
      <c r="C32" s="222"/>
      <c r="D32" s="73"/>
      <c r="E32" s="73"/>
      <c r="F32" s="107"/>
      <c r="G32" s="71">
        <f>SUM(G12:G31)</f>
        <v>2392486.8706108821</v>
      </c>
      <c r="H32" s="71">
        <f>SUM(H12:H31)</f>
        <v>0</v>
      </c>
      <c r="I32" s="72">
        <f>SUM(I12:I31)</f>
        <v>1356852.2720256257</v>
      </c>
      <c r="J32" s="71"/>
      <c r="K32" s="72">
        <f>SUM(K12:K31)</f>
        <v>1035634.5985852559</v>
      </c>
      <c r="L32" s="71"/>
      <c r="M32" s="70"/>
      <c r="N32" s="69"/>
      <c r="O32" s="68">
        <f>SUM(O12:O31)</f>
        <v>1999600</v>
      </c>
      <c r="P32" s="67">
        <f>SUM(P12:P31)</f>
        <v>0</v>
      </c>
      <c r="Q32" s="67"/>
      <c r="R32" s="120">
        <f t="shared" ref="R32" si="10">O32+N32+P32+Q32</f>
        <v>1999600</v>
      </c>
      <c r="U32" s="104" t="s">
        <v>61</v>
      </c>
    </row>
    <row r="33" spans="2:21" ht="34.5" hidden="1" customHeight="1" thickBot="1" x14ac:dyDescent="0.3">
      <c r="B33" s="218" t="s">
        <v>23</v>
      </c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20"/>
      <c r="U33" s="104" t="s">
        <v>62</v>
      </c>
    </row>
    <row r="34" spans="2:21" x14ac:dyDescent="0.25">
      <c r="F34" s="65"/>
      <c r="G34" s="64"/>
      <c r="H34" s="64"/>
      <c r="I34" s="64"/>
      <c r="J34" s="64"/>
      <c r="K34" s="64" t="s">
        <v>22</v>
      </c>
      <c r="L34" s="64"/>
      <c r="U34" s="104" t="s">
        <v>63</v>
      </c>
    </row>
    <row r="35" spans="2:21" x14ac:dyDescent="0.25">
      <c r="C35" s="212" t="s">
        <v>161</v>
      </c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</row>
    <row r="36" spans="2:21" x14ac:dyDescent="0.25"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</row>
    <row r="37" spans="2:21" x14ac:dyDescent="0.25"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</row>
    <row r="38" spans="2:21" x14ac:dyDescent="0.25"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</row>
    <row r="39" spans="2:21" x14ac:dyDescent="0.25"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</row>
  </sheetData>
  <mergeCells count="6">
    <mergeCell ref="C35:O39"/>
    <mergeCell ref="M4:R4"/>
    <mergeCell ref="A1:R1"/>
    <mergeCell ref="B33:R33"/>
    <mergeCell ref="A32:C32"/>
    <mergeCell ref="C7:D7"/>
  </mergeCells>
  <pageMargins left="0.25" right="0.25" top="0.75" bottom="0.75" header="0.3" footer="0.3"/>
  <pageSetup scale="72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C9" sqref="C9"/>
    </sheetView>
  </sheetViews>
  <sheetFormatPr baseColWidth="10" defaultRowHeight="12.75" x14ac:dyDescent="0.2"/>
  <cols>
    <col min="1" max="1" width="12.140625" style="125" bestFit="1" customWidth="1"/>
    <col min="2" max="2" width="16.28515625" style="125" bestFit="1" customWidth="1"/>
    <col min="3" max="3" width="15.140625" style="125" bestFit="1" customWidth="1"/>
    <col min="4" max="4" width="13.140625" style="125" bestFit="1" customWidth="1"/>
    <col min="5" max="5" width="16.7109375" style="125" bestFit="1" customWidth="1"/>
    <col min="6" max="7" width="13.42578125" style="125" bestFit="1" customWidth="1"/>
    <col min="8" max="8" width="14" style="125" bestFit="1" customWidth="1"/>
    <col min="9" max="12" width="11.42578125" style="125"/>
    <col min="13" max="13" width="14.7109375" style="125" bestFit="1" customWidth="1"/>
    <col min="14" max="14" width="21.5703125" style="125" bestFit="1" customWidth="1"/>
    <col min="15" max="16384" width="11.42578125" style="125"/>
  </cols>
  <sheetData>
    <row r="1" spans="1:15" x14ac:dyDescent="0.2">
      <c r="A1" s="224" t="s">
        <v>88</v>
      </c>
      <c r="B1" s="225"/>
      <c r="C1" s="225"/>
      <c r="D1" s="225"/>
      <c r="E1" s="226"/>
    </row>
    <row r="2" spans="1:15" x14ac:dyDescent="0.2">
      <c r="A2" s="166"/>
      <c r="B2" s="151"/>
      <c r="C2" s="151"/>
      <c r="D2" s="165" t="s">
        <v>87</v>
      </c>
      <c r="E2" s="162"/>
    </row>
    <row r="3" spans="1:15" x14ac:dyDescent="0.2">
      <c r="A3" s="164">
        <f>13+28+19</f>
        <v>60</v>
      </c>
      <c r="B3" s="118">
        <v>10531.71</v>
      </c>
      <c r="C3" s="163">
        <f>+B3/A3</f>
        <v>175.52849999999998</v>
      </c>
      <c r="D3" s="163">
        <v>4863.8999999999996</v>
      </c>
      <c r="E3" s="162" t="s">
        <v>151</v>
      </c>
      <c r="I3" s="125" t="s">
        <v>86</v>
      </c>
    </row>
    <row r="4" spans="1:15" ht="13.5" thickBot="1" x14ac:dyDescent="0.25">
      <c r="A4" s="161"/>
      <c r="B4" s="160"/>
      <c r="C4" s="160"/>
      <c r="D4" s="160"/>
      <c r="E4" s="159"/>
    </row>
    <row r="5" spans="1:15" x14ac:dyDescent="0.2">
      <c r="A5" s="158"/>
      <c r="B5" s="158"/>
      <c r="C5" s="158"/>
      <c r="D5" s="158"/>
      <c r="E5" s="158"/>
    </row>
    <row r="6" spans="1:15" ht="13.5" thickBot="1" x14ac:dyDescent="0.25">
      <c r="A6" s="158"/>
      <c r="B6" s="158"/>
      <c r="C6" s="158"/>
      <c r="D6" s="158"/>
      <c r="E6" s="158"/>
    </row>
    <row r="7" spans="1:15" x14ac:dyDescent="0.2">
      <c r="A7" s="227" t="s">
        <v>85</v>
      </c>
      <c r="B7" s="228"/>
      <c r="C7" s="228"/>
      <c r="D7" s="228"/>
      <c r="E7" s="228"/>
      <c r="F7" s="228"/>
      <c r="G7" s="228"/>
      <c r="H7" s="229"/>
      <c r="L7" s="125" t="s">
        <v>80</v>
      </c>
      <c r="M7" s="125" t="s">
        <v>84</v>
      </c>
    </row>
    <row r="8" spans="1:15" x14ac:dyDescent="0.2">
      <c r="A8" s="117">
        <v>0</v>
      </c>
      <c r="B8" s="156" t="s">
        <v>83</v>
      </c>
      <c r="C8" s="156" t="s">
        <v>82</v>
      </c>
      <c r="D8" s="156" t="s">
        <v>81</v>
      </c>
      <c r="E8" s="157">
        <f>3935/2</f>
        <v>1967.5</v>
      </c>
      <c r="F8" s="156" t="s">
        <v>80</v>
      </c>
      <c r="G8" s="156" t="s">
        <v>79</v>
      </c>
      <c r="H8" s="155" t="s">
        <v>78</v>
      </c>
      <c r="K8" s="151">
        <v>19</v>
      </c>
      <c r="L8" s="137">
        <v>7502.93</v>
      </c>
      <c r="M8" s="137">
        <v>2365.2600000000002</v>
      </c>
    </row>
    <row r="9" spans="1:15" ht="15" x14ac:dyDescent="0.25">
      <c r="A9" s="154" t="s">
        <v>41</v>
      </c>
      <c r="B9" s="151">
        <v>1617</v>
      </c>
      <c r="C9" s="151">
        <f>B9+J25</f>
        <v>1689</v>
      </c>
      <c r="D9" s="151">
        <f t="shared" ref="D9:D20" si="0">+C9-B9</f>
        <v>72</v>
      </c>
      <c r="E9" s="114">
        <f>+D9/E8</f>
        <v>3.6594663278271919E-2</v>
      </c>
      <c r="F9" s="113">
        <f>+A8*E9</f>
        <v>0</v>
      </c>
      <c r="G9" s="113">
        <f>+(A8*A23)/12</f>
        <v>0</v>
      </c>
      <c r="H9" s="112">
        <f>+G9+F9</f>
        <v>0</v>
      </c>
      <c r="K9" s="125">
        <v>106</v>
      </c>
      <c r="L9" s="137">
        <f>+L8*O9</f>
        <v>1575.6152999999999</v>
      </c>
      <c r="M9" s="125">
        <f>M8*21%</f>
        <v>496.70460000000003</v>
      </c>
      <c r="N9" s="125" t="s">
        <v>77</v>
      </c>
      <c r="O9" s="116">
        <v>0.21</v>
      </c>
    </row>
    <row r="10" spans="1:15" ht="15" x14ac:dyDescent="0.25">
      <c r="A10" s="152" t="s">
        <v>42</v>
      </c>
      <c r="B10" s="151">
        <v>4104</v>
      </c>
      <c r="C10" s="151">
        <f t="shared" ref="C10:C20" si="1">B10+J26</f>
        <v>4195</v>
      </c>
      <c r="D10" s="151">
        <f t="shared" si="0"/>
        <v>91</v>
      </c>
      <c r="E10" s="114">
        <f>+D10/E8</f>
        <v>4.6251588310038116E-2</v>
      </c>
      <c r="F10" s="113">
        <f>+A8*E10</f>
        <v>0</v>
      </c>
      <c r="G10" s="113">
        <f>+G9</f>
        <v>0</v>
      </c>
      <c r="H10" s="112">
        <f>+G10+F10</f>
        <v>0</v>
      </c>
      <c r="K10" s="125">
        <v>60</v>
      </c>
      <c r="L10" s="137">
        <f>+L8*O10</f>
        <v>481.98822320000005</v>
      </c>
      <c r="M10" s="125">
        <f>+M8*6.424%</f>
        <v>151.94430240000003</v>
      </c>
      <c r="N10" s="125" t="s">
        <v>76</v>
      </c>
      <c r="O10" s="115">
        <v>6.4240000000000005E-2</v>
      </c>
    </row>
    <row r="11" spans="1:15" ht="15" x14ac:dyDescent="0.25">
      <c r="A11" s="152" t="s">
        <v>43</v>
      </c>
      <c r="B11" s="151">
        <v>7644</v>
      </c>
      <c r="C11" s="151">
        <f t="shared" si="1"/>
        <v>7807</v>
      </c>
      <c r="D11" s="151">
        <f t="shared" si="0"/>
        <v>163</v>
      </c>
      <c r="E11" s="114">
        <f>+D11/E8</f>
        <v>8.2846251588310035E-2</v>
      </c>
      <c r="F11" s="113">
        <f>+A8*E11</f>
        <v>0</v>
      </c>
      <c r="G11" s="113">
        <f>G10</f>
        <v>0</v>
      </c>
      <c r="H11" s="112">
        <f>+G11+F11</f>
        <v>0</v>
      </c>
      <c r="K11" s="125">
        <v>79</v>
      </c>
      <c r="L11" s="137">
        <f>+L8*0.001%</f>
        <v>7.5029300000000007E-2</v>
      </c>
      <c r="M11" s="125">
        <v>0.03</v>
      </c>
      <c r="N11" s="125" t="s">
        <v>75</v>
      </c>
      <c r="O11" s="137">
        <v>0.1</v>
      </c>
    </row>
    <row r="12" spans="1:15" ht="15" x14ac:dyDescent="0.25">
      <c r="A12" s="152" t="s">
        <v>44</v>
      </c>
      <c r="B12" s="151">
        <v>6554</v>
      </c>
      <c r="C12" s="151">
        <f t="shared" si="1"/>
        <v>6730</v>
      </c>
      <c r="D12" s="151">
        <f t="shared" si="0"/>
        <v>176</v>
      </c>
      <c r="E12" s="114">
        <f>+D12/E8</f>
        <v>8.9453621346886919E-2</v>
      </c>
      <c r="F12" s="113">
        <f>+A8*E12</f>
        <v>0</v>
      </c>
      <c r="G12" s="113">
        <f>G9</f>
        <v>0</v>
      </c>
      <c r="H12" s="112">
        <f t="shared" ref="H12:H20" si="2">SUM(F12:G12)</f>
        <v>0</v>
      </c>
      <c r="K12" s="125">
        <v>89</v>
      </c>
      <c r="L12" s="137">
        <v>400</v>
      </c>
      <c r="M12" s="125">
        <v>253</v>
      </c>
      <c r="N12" s="125" t="s">
        <v>74</v>
      </c>
      <c r="O12" s="125">
        <v>653</v>
      </c>
    </row>
    <row r="13" spans="1:15" ht="15" x14ac:dyDescent="0.25">
      <c r="A13" s="152" t="s">
        <v>45</v>
      </c>
      <c r="B13" s="151">
        <v>7564</v>
      </c>
      <c r="C13" s="151">
        <f t="shared" si="1"/>
        <v>7767</v>
      </c>
      <c r="D13" s="151">
        <f t="shared" si="0"/>
        <v>203</v>
      </c>
      <c r="E13" s="114">
        <f>+D13/E8</f>
        <v>0.10317662007623889</v>
      </c>
      <c r="F13" s="113">
        <f>+A8*E13</f>
        <v>0</v>
      </c>
      <c r="G13" s="113">
        <f>G9</f>
        <v>0</v>
      </c>
      <c r="H13" s="112">
        <f t="shared" si="2"/>
        <v>0</v>
      </c>
      <c r="K13" s="125">
        <v>140</v>
      </c>
      <c r="L13" s="153">
        <f>SUM(L8:L12)-0.45</f>
        <v>9960.1585524999991</v>
      </c>
      <c r="M13" s="125">
        <f>SUM(M8:M12)</f>
        <v>3266.9389024000006</v>
      </c>
    </row>
    <row r="14" spans="1:15" ht="15" x14ac:dyDescent="0.25">
      <c r="A14" s="152" t="s">
        <v>46</v>
      </c>
      <c r="B14" s="151">
        <v>10119</v>
      </c>
      <c r="C14" s="151">
        <f t="shared" si="1"/>
        <v>10334</v>
      </c>
      <c r="D14" s="151">
        <f t="shared" si="0"/>
        <v>215</v>
      </c>
      <c r="E14" s="114">
        <f>+D14/E8</f>
        <v>0.10927573062261753</v>
      </c>
      <c r="F14" s="113">
        <f>+A8*E14</f>
        <v>0</v>
      </c>
      <c r="G14" s="113">
        <f>G9</f>
        <v>0</v>
      </c>
      <c r="H14" s="112">
        <f t="shared" si="2"/>
        <v>0</v>
      </c>
      <c r="K14" s="125">
        <v>143</v>
      </c>
    </row>
    <row r="15" spans="1:15" ht="15" x14ac:dyDescent="0.25">
      <c r="A15" s="152" t="s">
        <v>47</v>
      </c>
      <c r="B15" s="151">
        <v>8986</v>
      </c>
      <c r="C15" s="151">
        <f t="shared" si="1"/>
        <v>9068</v>
      </c>
      <c r="D15" s="151">
        <f t="shared" si="0"/>
        <v>82</v>
      </c>
      <c r="E15" s="114">
        <f>+D15/E8</f>
        <v>4.1677255400254132E-2</v>
      </c>
      <c r="F15" s="113">
        <f>+A8*E15</f>
        <v>0</v>
      </c>
      <c r="G15" s="113">
        <f>G9</f>
        <v>0</v>
      </c>
      <c r="H15" s="112">
        <f t="shared" si="2"/>
        <v>0</v>
      </c>
      <c r="K15" s="125">
        <v>221</v>
      </c>
      <c r="L15" s="125">
        <f>+L13+M13</f>
        <v>13227.0974549</v>
      </c>
    </row>
    <row r="16" spans="1:15" ht="15" x14ac:dyDescent="0.25">
      <c r="A16" s="152" t="s">
        <v>48</v>
      </c>
      <c r="B16" s="151">
        <v>7032</v>
      </c>
      <c r="C16" s="151">
        <f t="shared" si="1"/>
        <v>7034</v>
      </c>
      <c r="D16" s="151">
        <f t="shared" si="0"/>
        <v>2</v>
      </c>
      <c r="E16" s="114">
        <f>+D16/E8</f>
        <v>1.0165184243964421E-3</v>
      </c>
      <c r="F16" s="113">
        <f>+A8*E16</f>
        <v>0</v>
      </c>
      <c r="G16" s="113">
        <f>G9</f>
        <v>0</v>
      </c>
      <c r="H16" s="112">
        <f t="shared" si="2"/>
        <v>0</v>
      </c>
      <c r="K16" s="125">
        <v>32</v>
      </c>
    </row>
    <row r="17" spans="1:13" ht="15" x14ac:dyDescent="0.25">
      <c r="A17" s="152" t="s">
        <v>49</v>
      </c>
      <c r="B17" s="151">
        <v>1623</v>
      </c>
      <c r="C17" s="151">
        <f t="shared" si="1"/>
        <v>1668</v>
      </c>
      <c r="D17" s="151">
        <f t="shared" si="0"/>
        <v>45</v>
      </c>
      <c r="E17" s="114">
        <f>+D17/E8</f>
        <v>2.2871664548919948E-2</v>
      </c>
      <c r="F17" s="113">
        <f>+A8*E17</f>
        <v>0</v>
      </c>
      <c r="G17" s="113">
        <f>G9</f>
        <v>0</v>
      </c>
      <c r="H17" s="112">
        <f t="shared" si="2"/>
        <v>0</v>
      </c>
      <c r="K17" s="125">
        <v>80</v>
      </c>
    </row>
    <row r="18" spans="1:13" ht="15" x14ac:dyDescent="0.25">
      <c r="A18" s="152" t="s">
        <v>50</v>
      </c>
      <c r="B18" s="151">
        <v>3932</v>
      </c>
      <c r="C18" s="151">
        <f t="shared" si="1"/>
        <v>4021</v>
      </c>
      <c r="D18" s="151">
        <f t="shared" si="0"/>
        <v>89</v>
      </c>
      <c r="E18" s="114">
        <f>+D18/E8</f>
        <v>4.5235069885641674E-2</v>
      </c>
      <c r="F18" s="113">
        <f>+A8*E18</f>
        <v>0</v>
      </c>
      <c r="G18" s="113">
        <f>G9</f>
        <v>0</v>
      </c>
      <c r="H18" s="112">
        <f t="shared" si="2"/>
        <v>0</v>
      </c>
      <c r="K18" s="125">
        <v>113</v>
      </c>
    </row>
    <row r="19" spans="1:13" ht="15" x14ac:dyDescent="0.25">
      <c r="A19" s="152" t="s">
        <v>51</v>
      </c>
      <c r="B19" s="151">
        <v>6887</v>
      </c>
      <c r="C19" s="151">
        <f t="shared" si="1"/>
        <v>6994</v>
      </c>
      <c r="D19" s="151">
        <f t="shared" si="0"/>
        <v>107</v>
      </c>
      <c r="E19" s="114">
        <f>+D19/E8</f>
        <v>5.4383735705209657E-2</v>
      </c>
      <c r="F19" s="113">
        <f>+A8*E19</f>
        <v>0</v>
      </c>
      <c r="G19" s="113">
        <f>G9</f>
        <v>0</v>
      </c>
      <c r="H19" s="112">
        <f t="shared" si="2"/>
        <v>0</v>
      </c>
      <c r="K19" s="125">
        <v>2</v>
      </c>
    </row>
    <row r="20" spans="1:13" ht="15" x14ac:dyDescent="0.25">
      <c r="A20" s="152" t="s">
        <v>52</v>
      </c>
      <c r="B20" s="151">
        <v>1884</v>
      </c>
      <c r="C20" s="151">
        <f t="shared" si="1"/>
        <v>2020</v>
      </c>
      <c r="D20" s="151">
        <f t="shared" si="0"/>
        <v>136</v>
      </c>
      <c r="E20" s="114">
        <f>+D20/E8</f>
        <v>6.9123252858958067E-2</v>
      </c>
      <c r="F20" s="113">
        <f>+A8*E20</f>
        <v>0</v>
      </c>
      <c r="G20" s="113">
        <f>G9</f>
        <v>0</v>
      </c>
      <c r="H20" s="112">
        <f t="shared" si="2"/>
        <v>0</v>
      </c>
    </row>
    <row r="21" spans="1:13" ht="13.5" thickBot="1" x14ac:dyDescent="0.25">
      <c r="A21" s="150" t="s">
        <v>150</v>
      </c>
      <c r="B21" s="149"/>
      <c r="C21" s="149"/>
      <c r="D21" s="148">
        <f>SUM(D9:D20)</f>
        <v>1381</v>
      </c>
      <c r="E21" s="147"/>
      <c r="F21" s="127"/>
      <c r="G21" s="127"/>
      <c r="H21" s="111">
        <f>SUM(H9:H20)</f>
        <v>0</v>
      </c>
      <c r="J21" s="137">
        <f>+H21-A8</f>
        <v>0</v>
      </c>
    </row>
    <row r="22" spans="1:13" x14ac:dyDescent="0.2">
      <c r="A22" s="110">
        <f>+D21/E8</f>
        <v>0.70190597204574334</v>
      </c>
      <c r="B22" s="146" t="s">
        <v>73</v>
      </c>
      <c r="L22" s="145"/>
    </row>
    <row r="23" spans="1:13" ht="13.5" thickBot="1" x14ac:dyDescent="0.25">
      <c r="A23" s="109">
        <f>100%-A22</f>
        <v>0.29809402795425666</v>
      </c>
      <c r="B23" s="144" t="s">
        <v>72</v>
      </c>
    </row>
    <row r="25" spans="1:13" x14ac:dyDescent="0.2">
      <c r="A25" s="143"/>
      <c r="J25" s="125">
        <v>72</v>
      </c>
    </row>
    <row r="26" spans="1:13" x14ac:dyDescent="0.2">
      <c r="J26" s="125">
        <v>91</v>
      </c>
    </row>
    <row r="27" spans="1:13" ht="13.5" thickBot="1" x14ac:dyDescent="0.25">
      <c r="J27" s="125">
        <v>163</v>
      </c>
    </row>
    <row r="28" spans="1:13" x14ac:dyDescent="0.2">
      <c r="B28" s="230" t="s">
        <v>149</v>
      </c>
      <c r="C28" s="231"/>
      <c r="D28" s="231"/>
      <c r="E28" s="231"/>
      <c r="F28" s="232"/>
      <c r="J28" s="125">
        <v>176</v>
      </c>
    </row>
    <row r="29" spans="1:13" x14ac:dyDescent="0.2">
      <c r="B29" s="142" t="s">
        <v>148</v>
      </c>
      <c r="C29" s="141" t="s">
        <v>147</v>
      </c>
      <c r="D29" s="141" t="s">
        <v>146</v>
      </c>
      <c r="E29" s="141" t="s">
        <v>145</v>
      </c>
      <c r="F29" s="140" t="s">
        <v>144</v>
      </c>
      <c r="J29" s="125">
        <v>203</v>
      </c>
    </row>
    <row r="30" spans="1:13" ht="15" x14ac:dyDescent="0.25">
      <c r="B30" s="136" t="s">
        <v>143</v>
      </c>
      <c r="C30" s="113">
        <v>4000</v>
      </c>
      <c r="D30" s="113">
        <v>0</v>
      </c>
      <c r="E30" s="134"/>
      <c r="F30" s="112">
        <f>+C30</f>
        <v>4000</v>
      </c>
      <c r="J30" s="139">
        <v>215</v>
      </c>
      <c r="M30" s="125">
        <f>+H21-A8</f>
        <v>0</v>
      </c>
    </row>
    <row r="31" spans="1:13" ht="15" x14ac:dyDescent="0.25">
      <c r="B31" s="136" t="s">
        <v>142</v>
      </c>
      <c r="C31" s="113">
        <v>4000</v>
      </c>
      <c r="D31" s="113">
        <v>0</v>
      </c>
      <c r="E31" s="134"/>
      <c r="F31" s="112">
        <f t="shared" ref="F31:F44" si="3">+F30+C31-D31</f>
        <v>8000</v>
      </c>
      <c r="J31" s="125">
        <v>82</v>
      </c>
    </row>
    <row r="32" spans="1:13" ht="15" x14ac:dyDescent="0.25">
      <c r="B32" s="136" t="s">
        <v>141</v>
      </c>
      <c r="C32" s="113">
        <v>4000</v>
      </c>
      <c r="D32" s="113">
        <v>0</v>
      </c>
      <c r="E32" s="134"/>
      <c r="F32" s="112">
        <f t="shared" si="3"/>
        <v>12000</v>
      </c>
      <c r="J32" s="125">
        <v>2</v>
      </c>
    </row>
    <row r="33" spans="2:13" ht="15" x14ac:dyDescent="0.25">
      <c r="B33" s="136" t="s">
        <v>140</v>
      </c>
      <c r="C33" s="113">
        <v>4000</v>
      </c>
      <c r="D33" s="113">
        <v>0</v>
      </c>
      <c r="E33" s="134"/>
      <c r="F33" s="112">
        <f t="shared" si="3"/>
        <v>16000</v>
      </c>
      <c r="J33" s="125">
        <v>45</v>
      </c>
      <c r="K33" s="138">
        <f>11934.02-11933.71</f>
        <v>0.31000000000130967</v>
      </c>
    </row>
    <row r="34" spans="2:13" ht="15" x14ac:dyDescent="0.25">
      <c r="B34" s="136" t="s">
        <v>139</v>
      </c>
      <c r="C34" s="113">
        <v>4000</v>
      </c>
      <c r="D34" s="113">
        <v>0</v>
      </c>
      <c r="E34" s="134"/>
      <c r="F34" s="112">
        <f t="shared" si="3"/>
        <v>20000</v>
      </c>
      <c r="J34" s="125">
        <v>89</v>
      </c>
    </row>
    <row r="35" spans="2:13" ht="15" x14ac:dyDescent="0.25">
      <c r="B35" s="136" t="s">
        <v>138</v>
      </c>
      <c r="C35" s="113">
        <v>4000</v>
      </c>
      <c r="D35" s="113">
        <v>0</v>
      </c>
      <c r="E35" s="134"/>
      <c r="F35" s="112">
        <f t="shared" si="3"/>
        <v>24000</v>
      </c>
      <c r="J35" s="125">
        <v>107</v>
      </c>
    </row>
    <row r="36" spans="2:13" ht="15" x14ac:dyDescent="0.25">
      <c r="B36" s="136" t="s">
        <v>137</v>
      </c>
      <c r="C36" s="113">
        <v>4000</v>
      </c>
      <c r="D36" s="113">
        <v>0</v>
      </c>
      <c r="E36" s="134"/>
      <c r="F36" s="112">
        <f t="shared" si="3"/>
        <v>28000</v>
      </c>
      <c r="J36" s="125">
        <v>136</v>
      </c>
    </row>
    <row r="37" spans="2:13" ht="15" x14ac:dyDescent="0.25">
      <c r="B37" s="136" t="s">
        <v>136</v>
      </c>
      <c r="C37" s="135">
        <v>4000</v>
      </c>
      <c r="D37" s="113">
        <v>0</v>
      </c>
      <c r="E37" s="134"/>
      <c r="F37" s="112">
        <f t="shared" si="3"/>
        <v>32000</v>
      </c>
    </row>
    <row r="38" spans="2:13" ht="15" x14ac:dyDescent="0.25">
      <c r="B38" s="136" t="s">
        <v>135</v>
      </c>
      <c r="C38" s="135">
        <v>4000</v>
      </c>
      <c r="D38" s="135">
        <v>3500</v>
      </c>
      <c r="E38" s="134" t="s">
        <v>134</v>
      </c>
      <c r="F38" s="112">
        <f t="shared" si="3"/>
        <v>32500</v>
      </c>
      <c r="M38" s="137">
        <f>88.05-100</f>
        <v>-11.950000000000003</v>
      </c>
    </row>
    <row r="39" spans="2:13" ht="15" x14ac:dyDescent="0.25">
      <c r="B39" s="136" t="s">
        <v>133</v>
      </c>
      <c r="C39" s="135">
        <v>4000</v>
      </c>
      <c r="D39" s="134"/>
      <c r="E39" s="134"/>
      <c r="F39" s="112">
        <f t="shared" si="3"/>
        <v>36500</v>
      </c>
    </row>
    <row r="40" spans="2:13" ht="15" x14ac:dyDescent="0.25">
      <c r="B40" s="136" t="s">
        <v>132</v>
      </c>
      <c r="C40" s="135">
        <v>4000</v>
      </c>
      <c r="D40" s="134"/>
      <c r="E40" s="134"/>
      <c r="F40" s="112">
        <f t="shared" si="3"/>
        <v>40500</v>
      </c>
    </row>
    <row r="41" spans="2:13" ht="15" x14ac:dyDescent="0.25">
      <c r="B41" s="136" t="s">
        <v>131</v>
      </c>
      <c r="C41" s="135">
        <v>4000</v>
      </c>
      <c r="D41" s="134"/>
      <c r="E41" s="134"/>
      <c r="F41" s="112">
        <f t="shared" si="3"/>
        <v>44500</v>
      </c>
    </row>
    <row r="42" spans="2:13" ht="15" x14ac:dyDescent="0.25">
      <c r="B42" s="136" t="s">
        <v>130</v>
      </c>
      <c r="C42" s="135">
        <v>0</v>
      </c>
      <c r="D42" s="134"/>
      <c r="E42" s="134"/>
      <c r="F42" s="112">
        <f t="shared" si="3"/>
        <v>44500</v>
      </c>
    </row>
    <row r="43" spans="2:13" ht="15" x14ac:dyDescent="0.25">
      <c r="B43" s="136" t="s">
        <v>129</v>
      </c>
      <c r="C43" s="135">
        <v>0</v>
      </c>
      <c r="D43" s="134"/>
      <c r="E43" s="134"/>
      <c r="F43" s="112">
        <f t="shared" si="3"/>
        <v>44500</v>
      </c>
    </row>
    <row r="44" spans="2:13" ht="15" x14ac:dyDescent="0.25">
      <c r="B44" s="133" t="s">
        <v>128</v>
      </c>
      <c r="C44" s="132">
        <v>0</v>
      </c>
      <c r="D44" s="131"/>
      <c r="E44" s="131"/>
      <c r="F44" s="130">
        <f t="shared" si="3"/>
        <v>44500</v>
      </c>
    </row>
    <row r="45" spans="2:13" ht="15" x14ac:dyDescent="0.25">
      <c r="B45" s="133" t="s">
        <v>127</v>
      </c>
      <c r="C45" s="132">
        <v>0</v>
      </c>
      <c r="D45" s="131"/>
      <c r="E45" s="131"/>
      <c r="F45" s="130">
        <f>+F43+C45-D45</f>
        <v>44500</v>
      </c>
    </row>
    <row r="46" spans="2:13" ht="15" x14ac:dyDescent="0.25">
      <c r="B46" s="133" t="s">
        <v>126</v>
      </c>
      <c r="C46" s="132">
        <v>0</v>
      </c>
      <c r="D46" s="131"/>
      <c r="E46" s="131"/>
      <c r="F46" s="130">
        <f>+F44+C46-D46</f>
        <v>44500</v>
      </c>
    </row>
    <row r="47" spans="2:13" ht="15.75" thickBot="1" x14ac:dyDescent="0.3">
      <c r="B47" s="129" t="s">
        <v>125</v>
      </c>
      <c r="C47" s="128">
        <f>-A47</f>
        <v>0</v>
      </c>
      <c r="D47" s="127"/>
      <c r="E47" s="127"/>
      <c r="F47" s="126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2025-01-29T17:08:59Z</cp:lastPrinted>
  <dcterms:created xsi:type="dcterms:W3CDTF">2021-11-02T15:18:42Z</dcterms:created>
  <dcterms:modified xsi:type="dcterms:W3CDTF">2025-02-28T15:21:18Z</dcterms:modified>
</cp:coreProperties>
</file>