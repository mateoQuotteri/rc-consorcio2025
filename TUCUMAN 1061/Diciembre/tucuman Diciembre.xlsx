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TUCUMAN 1061\Diciembre\"/>
    </mc:Choice>
  </mc:AlternateContent>
  <xr:revisionPtr revIDLastSave="0" documentId="13_ncr:1_{57C41C90-A046-452F-A0E9-C6ADF956CB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astos" sheetId="1" r:id="rId1"/>
    <sheet name="Planilla" sheetId="2" r:id="rId2"/>
    <sheet name="Calculo Servicios  (2)" sheetId="4" r:id="rId3"/>
  </sheets>
  <definedNames>
    <definedName name="_xlnm.Print_Area" localSheetId="2">'Calculo Servicios  (2)'!$A$6:$H$23</definedName>
    <definedName name="_xlnm.Print_Area" localSheetId="0">Gastos!$A$2:$H$57</definedName>
    <definedName name="_xlnm.Print_Area" localSheetId="1">Planilla!$A$1:$S$39</definedName>
    <definedName name="CantOper" localSheetId="2">#REF!</definedName>
    <definedName name="CantOper">#REF!</definedName>
    <definedName name="PaseMateriales" localSheetId="2">#REF!</definedName>
    <definedName name="PaseMateriales">#REF!</definedName>
    <definedName name="PaseMdeO" localSheetId="2">#REF!</definedName>
    <definedName name="PaseMdeO">#REF!</definedName>
    <definedName name="PaseSubcontratos" localSheetId="2">#REF!</definedName>
    <definedName name="PaseSubcontratos">#REF!</definedName>
    <definedName name="Plazo" localSheetId="2">#REF!</definedName>
    <definedName name="Plaz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2" l="1"/>
  <c r="R10" i="2"/>
  <c r="A1" i="2"/>
  <c r="I12" i="2"/>
  <c r="I26" i="2"/>
  <c r="I18" i="2"/>
  <c r="I17" i="2"/>
  <c r="I29" i="2"/>
  <c r="I22" i="2" s="1"/>
  <c r="I15" i="2"/>
  <c r="I20" i="2"/>
  <c r="I24" i="2"/>
  <c r="I21" i="2" s="1"/>
  <c r="C2" i="2"/>
  <c r="C7" i="2" s="1"/>
  <c r="H42" i="1" l="1"/>
  <c r="T12" i="2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I23" i="2" l="1"/>
  <c r="H34" i="1" l="1"/>
  <c r="H23" i="1"/>
  <c r="C5" i="2"/>
  <c r="Q11" i="2" s="1"/>
  <c r="H16" i="1"/>
  <c r="P11" i="2" l="1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I28" i="2"/>
  <c r="I16" i="2" s="1"/>
  <c r="P31" i="2" l="1"/>
  <c r="O11" i="2"/>
  <c r="Q12" i="2"/>
  <c r="Q13" i="2"/>
  <c r="Q14" i="2"/>
  <c r="Q15" i="2"/>
  <c r="Q16" i="2"/>
  <c r="Q17" i="2"/>
  <c r="Q18" i="2"/>
  <c r="Q19" i="2"/>
  <c r="Q20" i="2"/>
  <c r="Q21" i="2"/>
  <c r="Q22" i="2"/>
  <c r="C9" i="4"/>
  <c r="P30" i="2" l="1"/>
  <c r="H30" i="1"/>
  <c r="H18" i="1" l="1"/>
  <c r="H38" i="1" s="1"/>
  <c r="C10" i="4" l="1"/>
  <c r="D10" i="4" s="1"/>
  <c r="C11" i="4"/>
  <c r="C12" i="4"/>
  <c r="D12" i="4" s="1"/>
  <c r="C13" i="4"/>
  <c r="D13" i="4" s="1"/>
  <c r="C14" i="4"/>
  <c r="D14" i="4" s="1"/>
  <c r="C15" i="4"/>
  <c r="C16" i="4"/>
  <c r="D16" i="4" s="1"/>
  <c r="C17" i="4"/>
  <c r="D17" i="4" s="1"/>
  <c r="C18" i="4"/>
  <c r="D18" i="4" s="1"/>
  <c r="C19" i="4"/>
  <c r="C20" i="4"/>
  <c r="D20" i="4" s="1"/>
  <c r="D11" i="4"/>
  <c r="D15" i="4"/>
  <c r="D19" i="4"/>
  <c r="Q24" i="2" l="1"/>
  <c r="Q31" i="2" s="1"/>
  <c r="Q25" i="2"/>
  <c r="Q26" i="2"/>
  <c r="Q27" i="2"/>
  <c r="Q28" i="2"/>
  <c r="Q29" i="2"/>
  <c r="A3" i="4" l="1"/>
  <c r="C3" i="4"/>
  <c r="E8" i="4"/>
  <c r="E11" i="4" s="1"/>
  <c r="D9" i="4"/>
  <c r="E9" i="4" s="1"/>
  <c r="L9" i="4"/>
  <c r="M9" i="4"/>
  <c r="L10" i="4"/>
  <c r="M10" i="4"/>
  <c r="L11" i="4"/>
  <c r="E12" i="4"/>
  <c r="F12" i="4" s="1"/>
  <c r="E13" i="4"/>
  <c r="F13" i="4" s="1"/>
  <c r="L13" i="4"/>
  <c r="E14" i="4"/>
  <c r="E15" i="4"/>
  <c r="F15" i="4"/>
  <c r="E16" i="4"/>
  <c r="E17" i="4"/>
  <c r="E18" i="4"/>
  <c r="F18" i="4" s="1"/>
  <c r="E19" i="4"/>
  <c r="F19" i="4" s="1"/>
  <c r="E20" i="4"/>
  <c r="F30" i="4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K33" i="4"/>
  <c r="M38" i="4"/>
  <c r="C47" i="4"/>
  <c r="D29" i="2"/>
  <c r="D28" i="2"/>
  <c r="D27" i="2"/>
  <c r="D26" i="2"/>
  <c r="D25" i="2"/>
  <c r="D24" i="2"/>
  <c r="D23" i="2"/>
  <c r="M13" i="4" l="1"/>
  <c r="L15" i="4" s="1"/>
  <c r="D21" i="4"/>
  <c r="A22" i="4" s="1"/>
  <c r="A23" i="4" s="1"/>
  <c r="G9" i="4" s="1"/>
  <c r="E10" i="4"/>
  <c r="F10" i="4" s="1"/>
  <c r="F44" i="4"/>
  <c r="F46" i="4" s="1"/>
  <c r="F45" i="4"/>
  <c r="F47" i="4" s="1"/>
  <c r="F17" i="4"/>
  <c r="F14" i="4"/>
  <c r="F9" i="4"/>
  <c r="F20" i="4"/>
  <c r="F11" i="4"/>
  <c r="F16" i="4"/>
  <c r="G13" i="4" l="1"/>
  <c r="H13" i="4" s="1"/>
  <c r="G19" i="4"/>
  <c r="H19" i="4" s="1"/>
  <c r="G16" i="4"/>
  <c r="H16" i="4" s="1"/>
  <c r="G15" i="4"/>
  <c r="H15" i="4" s="1"/>
  <c r="G20" i="4"/>
  <c r="H20" i="4" s="1"/>
  <c r="G18" i="4"/>
  <c r="H18" i="4" s="1"/>
  <c r="G14" i="4"/>
  <c r="H14" i="4" s="1"/>
  <c r="G17" i="4"/>
  <c r="H17" i="4" s="1"/>
  <c r="H9" i="4"/>
  <c r="G12" i="4"/>
  <c r="H12" i="4" s="1"/>
  <c r="G10" i="4"/>
  <c r="H10" i="4" l="1"/>
  <c r="G11" i="4"/>
  <c r="H11" i="4" s="1"/>
  <c r="H21" i="4" l="1"/>
  <c r="J21" i="4" s="1"/>
  <c r="M30" i="4" l="1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K18" i="2"/>
  <c r="L19" i="2"/>
  <c r="K20" i="2"/>
  <c r="M20" i="2" s="1"/>
  <c r="K21" i="2"/>
  <c r="M21" i="2" s="1"/>
  <c r="K22" i="2"/>
  <c r="M22" i="2" s="1"/>
  <c r="K25" i="2"/>
  <c r="M25" i="2" s="1"/>
  <c r="K27" i="2"/>
  <c r="M27" i="2" s="1"/>
  <c r="K28" i="2"/>
  <c r="M28" i="2" s="1"/>
  <c r="K29" i="2"/>
  <c r="M29" i="2" s="1"/>
  <c r="K23" i="2"/>
  <c r="M23" i="2" s="1"/>
  <c r="K24" i="2"/>
  <c r="M24" i="2" s="1"/>
  <c r="K26" i="2"/>
  <c r="K11" i="2"/>
  <c r="M11" i="2" s="1"/>
  <c r="J11" i="2"/>
  <c r="K12" i="2"/>
  <c r="M12" i="2" s="1"/>
  <c r="J12" i="2"/>
  <c r="K13" i="2"/>
  <c r="M13" i="2" s="1"/>
  <c r="J13" i="2"/>
  <c r="K14" i="2"/>
  <c r="M14" i="2" s="1"/>
  <c r="J14" i="2"/>
  <c r="K15" i="2"/>
  <c r="M15" i="2" s="1"/>
  <c r="J15" i="2"/>
  <c r="K16" i="2"/>
  <c r="M16" i="2" s="1"/>
  <c r="J16" i="2"/>
  <c r="K17" i="2"/>
  <c r="J17" i="2"/>
  <c r="J18" i="2"/>
  <c r="J19" i="2"/>
  <c r="J26" i="2"/>
  <c r="J27" i="2"/>
  <c r="J29" i="2"/>
  <c r="G31" i="2"/>
  <c r="H31" i="2"/>
  <c r="R28" i="2" l="1"/>
  <c r="S28" i="2" s="1"/>
  <c r="M26" i="2"/>
  <c r="N26" i="2" s="1"/>
  <c r="R26" i="2" s="1"/>
  <c r="S26" i="2" s="1"/>
  <c r="M17" i="2"/>
  <c r="N17" i="2" s="1"/>
  <c r="R17" i="2" s="1"/>
  <c r="S17" i="2" s="1"/>
  <c r="M18" i="2"/>
  <c r="N18" i="2" s="1"/>
  <c r="R18" i="2" s="1"/>
  <c r="S18" i="2" s="1"/>
  <c r="N23" i="2"/>
  <c r="R23" i="2" s="1"/>
  <c r="S23" i="2" s="1"/>
  <c r="N21" i="2"/>
  <c r="R21" i="2" s="1"/>
  <c r="S21" i="2" s="1"/>
  <c r="N22" i="2"/>
  <c r="R22" i="2" s="1"/>
  <c r="S22" i="2" s="1"/>
  <c r="N29" i="2"/>
  <c r="R29" i="2" s="1"/>
  <c r="S29" i="2" s="1"/>
  <c r="N28" i="2"/>
  <c r="N27" i="2"/>
  <c r="R27" i="2" s="1"/>
  <c r="S27" i="2" s="1"/>
  <c r="N20" i="2"/>
  <c r="R20" i="2" s="1"/>
  <c r="N25" i="2"/>
  <c r="R25" i="2" s="1"/>
  <c r="S25" i="2" s="1"/>
  <c r="N24" i="2"/>
  <c r="R24" i="2" s="1"/>
  <c r="S24" i="2" s="1"/>
  <c r="N12" i="2"/>
  <c r="R12" i="2" s="1"/>
  <c r="S12" i="2" s="1"/>
  <c r="K19" i="2"/>
  <c r="K31" i="2" s="1"/>
  <c r="N14" i="2"/>
  <c r="R14" i="2" s="1"/>
  <c r="S14" i="2" s="1"/>
  <c r="N16" i="2"/>
  <c r="R16" i="2" s="1"/>
  <c r="S16" i="2" s="1"/>
  <c r="O31" i="2"/>
  <c r="N13" i="2"/>
  <c r="R13" i="2" s="1"/>
  <c r="S13" i="2" s="1"/>
  <c r="N15" i="2"/>
  <c r="R15" i="2" s="1"/>
  <c r="S15" i="2" s="1"/>
  <c r="N11" i="2"/>
  <c r="R11" i="2" s="1"/>
  <c r="S11" i="2" s="1"/>
  <c r="I31" i="2"/>
  <c r="H53" i="1" s="1"/>
  <c r="S20" i="2" l="1"/>
  <c r="M19" i="2"/>
  <c r="N19" i="2" s="1"/>
  <c r="R19" i="2" s="1"/>
  <c r="S19" i="2" s="1"/>
  <c r="R31" i="2" l="1"/>
  <c r="S31" i="2"/>
  <c r="H44" i="1"/>
  <c r="H49" i="1" s="1"/>
  <c r="H55" i="1" l="1"/>
  <c r="H47" i="1"/>
  <c r="H5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Valor Consumo Factura </t>
        </r>
      </text>
    </comment>
  </commentList>
</comments>
</file>

<file path=xl/sharedStrings.xml><?xml version="1.0" encoding="utf-8"?>
<sst xmlns="http://schemas.openxmlformats.org/spreadsheetml/2006/main" count="187" uniqueCount="167">
  <si>
    <t>Domicilio:</t>
  </si>
  <si>
    <t>Cel.</t>
  </si>
  <si>
    <t>e-mail:</t>
  </si>
  <si>
    <t>LIQUIDACION DE EXPENSAS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</si>
  <si>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</si>
  <si>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</si>
  <si>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</si>
  <si>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</si>
  <si>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</si>
  <si>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</si>
  <si>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</si>
  <si>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</si>
  <si>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</si>
  <si>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</si>
  <si>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</si>
  <si>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TOTAL DE GASTOS ORDINARIOS 1,2,3,4,5,6;</t>
  </si>
  <si>
    <t>TOTAL</t>
  </si>
  <si>
    <t>MP:1148</t>
  </si>
  <si>
    <t xml:space="preserve">  </t>
  </si>
  <si>
    <t>Señores propietarios e inquilinos: la superficie que ocupa la camara de luz y que forma del porcentaje total construido, el gasto se prorratea por cada unidad funcional. Atte. La Administracion.-</t>
  </si>
  <si>
    <t>Gasto Extraordinario</t>
  </si>
  <si>
    <t>Total con Mora</t>
  </si>
  <si>
    <t>DEUDA Extra</t>
  </si>
  <si>
    <t xml:space="preserve">DEUDA </t>
  </si>
  <si>
    <t>EDESUR</t>
  </si>
  <si>
    <t xml:space="preserve">PAGOS </t>
  </si>
  <si>
    <t>PAGO EXTRA</t>
  </si>
  <si>
    <t xml:space="preserve">% </t>
  </si>
  <si>
    <t>INQUILINOS</t>
  </si>
  <si>
    <t>PROPIETARIOS</t>
  </si>
  <si>
    <t>PISO - DEPTO</t>
  </si>
  <si>
    <t>U.F.</t>
  </si>
  <si>
    <t>Gastos Extraordinarios:</t>
  </si>
  <si>
    <t>1ro. "A"</t>
  </si>
  <si>
    <t>1ro. "B"</t>
  </si>
  <si>
    <t>2do. "A"</t>
  </si>
  <si>
    <t>2do. "B"</t>
  </si>
  <si>
    <t>3ro. "A"</t>
  </si>
  <si>
    <t>3ro. "B"</t>
  </si>
  <si>
    <t>4to. "A"</t>
  </si>
  <si>
    <t>4to. "B"</t>
  </si>
  <si>
    <t>5to. "A"</t>
  </si>
  <si>
    <t>5to. "B"</t>
  </si>
  <si>
    <t>6to. "A"</t>
  </si>
  <si>
    <t>6to. "B"</t>
  </si>
  <si>
    <t>ROSALES 624</t>
  </si>
  <si>
    <t>Edesur</t>
  </si>
  <si>
    <t xml:space="preserve">AYSA </t>
  </si>
  <si>
    <t xml:space="preserve">SUELDO </t>
  </si>
  <si>
    <t>3- MANTENIMIENTO DE PARTES COMUNES</t>
  </si>
  <si>
    <t>4- GASTO DE ADMINISTRACION</t>
  </si>
  <si>
    <t xml:space="preserve">General </t>
  </si>
  <si>
    <t xml:space="preserve">Consumo Depto </t>
  </si>
  <si>
    <t xml:space="preserve">Tasa Municipal </t>
  </si>
  <si>
    <t xml:space="preserve">Contribicion Provincial </t>
  </si>
  <si>
    <t xml:space="preserve">Contribucion Municipal </t>
  </si>
  <si>
    <t>Iva</t>
  </si>
  <si>
    <t xml:space="preserve">Total x unidad </t>
  </si>
  <si>
    <t xml:space="preserve">Fijo </t>
  </si>
  <si>
    <t xml:space="preserve">Variable </t>
  </si>
  <si>
    <t xml:space="preserve">Consumo Mes </t>
  </si>
  <si>
    <t xml:space="preserve">Consumo Actual </t>
  </si>
  <si>
    <t xml:space="preserve">Consumo Anterior </t>
  </si>
  <si>
    <t>Fijo</t>
  </si>
  <si>
    <t xml:space="preserve">Edesur </t>
  </si>
  <si>
    <t>17/08 al 18/10</t>
  </si>
  <si>
    <t xml:space="preserve">Q dias Mes </t>
  </si>
  <si>
    <t xml:space="preserve">Aysa 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</si>
  <si>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</si>
  <si>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</si>
  <si>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</si>
  <si>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</si>
  <si>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</si>
  <si>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</si>
  <si>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</si>
  <si>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</si>
  <si>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</si>
  <si>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</si>
  <si>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</si>
  <si>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</si>
  <si>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COCHERA 1 (4A)</t>
  </si>
  <si>
    <t>COCHERA 2 (6A)</t>
  </si>
  <si>
    <t>COCHERA 3 (5B)</t>
  </si>
  <si>
    <t>COCHERA 4 (4B)</t>
  </si>
  <si>
    <t>COCHERA 5 (3A)</t>
  </si>
  <si>
    <t>COCHERA 6 (3B)</t>
  </si>
  <si>
    <t>COCHERA 7 (6B)</t>
  </si>
  <si>
    <t>Juan Pablo Rodriguez/ Valeria Ruggiero</t>
  </si>
  <si>
    <t>Mendez Juan Carlos</t>
  </si>
  <si>
    <t>Matias Ezequiel Bonfiglio</t>
  </si>
  <si>
    <t>Garcia Milano Maximiliano Gaston</t>
  </si>
  <si>
    <t>Cecilia Mariel Cassettari</t>
  </si>
  <si>
    <t>Estevez Norberto Omar</t>
  </si>
  <si>
    <t>Degl´Innocenti Julieta Antonella</t>
  </si>
  <si>
    <t>Scarlercio Jorge Omar</t>
  </si>
  <si>
    <t>Moro Vanesa Yania / Juan Carlos Moro</t>
  </si>
  <si>
    <t>SALDO  ANTERIOR</t>
  </si>
  <si>
    <t>Maria Elena</t>
  </si>
  <si>
    <t>Facundo</t>
  </si>
  <si>
    <t>TUCUMAN 1061</t>
  </si>
  <si>
    <t xml:space="preserve">tucuman1061rc@gmail.com  </t>
  </si>
  <si>
    <t>Septiembre 2022</t>
  </si>
  <si>
    <t>Agosto  2022</t>
  </si>
  <si>
    <t>Julio  2022</t>
  </si>
  <si>
    <t>Junio  2022</t>
  </si>
  <si>
    <t>Mayo  2022</t>
  </si>
  <si>
    <t>Abril  2022</t>
  </si>
  <si>
    <t>Marzo  2022</t>
  </si>
  <si>
    <t>Febrero 2022</t>
  </si>
  <si>
    <t>Enero 2022</t>
  </si>
  <si>
    <t xml:space="preserve">Arreglo cerradura </t>
  </si>
  <si>
    <t>Diciembre 2021</t>
  </si>
  <si>
    <t>Noviembre 2021</t>
  </si>
  <si>
    <t>Octubre 2021</t>
  </si>
  <si>
    <t>Septiembre 2021</t>
  </si>
  <si>
    <t>Agosto 2021</t>
  </si>
  <si>
    <t>Julio 2021</t>
  </si>
  <si>
    <t>Junio 2021</t>
  </si>
  <si>
    <t>Mayo 2021</t>
  </si>
  <si>
    <t>Abril 2021</t>
  </si>
  <si>
    <t xml:space="preserve">Acumulado </t>
  </si>
  <si>
    <t xml:space="preserve">Concepto </t>
  </si>
  <si>
    <t xml:space="preserve">Utilizado </t>
  </si>
  <si>
    <t xml:space="preserve">Cobrado </t>
  </si>
  <si>
    <t>Mes</t>
  </si>
  <si>
    <t xml:space="preserve">Fondo de Reserva </t>
  </si>
  <si>
    <t>Total Consumo Mes Octubre</t>
  </si>
  <si>
    <t>Tramo 2/2</t>
  </si>
  <si>
    <t>Mora</t>
  </si>
  <si>
    <t>Sr. Encargado Hernan</t>
  </si>
  <si>
    <t xml:space="preserve">Lema mantenimiento ascensores </t>
  </si>
  <si>
    <t>TOTAL DE GASTOS ORDINARIOS A PRORRATEAR</t>
  </si>
  <si>
    <t>Sofia</t>
  </si>
  <si>
    <t>Yago</t>
  </si>
  <si>
    <t>Lopez Gabriela</t>
  </si>
  <si>
    <t xml:space="preserve">Ingreso pago por expensas </t>
  </si>
  <si>
    <t xml:space="preserve">Egresos gastos del mes </t>
  </si>
  <si>
    <t>SALDO ANTERIOR</t>
  </si>
  <si>
    <t xml:space="preserve">Javier </t>
  </si>
  <si>
    <t>Rodriguez Flavio/Rodriguez Mauro</t>
  </si>
  <si>
    <t>TOTAL DE GASTOS EXTRAORDINARIOS</t>
  </si>
  <si>
    <t xml:space="preserve">Gasto Ordinario - Sin Edesur </t>
  </si>
  <si>
    <t>Gastos Ordinarios sin edesur:</t>
  </si>
  <si>
    <t>EDESUR:</t>
  </si>
  <si>
    <t>Perez Sebastian</t>
  </si>
  <si>
    <t xml:space="preserve">Banco santander - C DE P TUCUMAN 1061 1063 - Nro. De cuenta : 39-022068/6
CBU: 0720039720000002206868
</t>
  </si>
  <si>
    <t>Articulios de limpieza</t>
  </si>
  <si>
    <t>5 - GASTOS BANCARIOS</t>
  </si>
  <si>
    <t xml:space="preserve">Gastos bancarios </t>
  </si>
  <si>
    <t>Luz / Martin</t>
  </si>
  <si>
    <t>IMPORTANTE
⚠️ Al abonar, respetar los centavos que figuran en la columna “Total a pagar”.
Respetar los centavos facilita la correcta identificación de los pagos y las unidades funcionales.
Si poseen departamento y cochera, les pedimos —en la medida de lo posible— que realicen dos pagos separados, respetando los centavos correspondientes a cada uno.
¡Muchas gracias por la colaboración! 🙌</t>
  </si>
  <si>
    <t xml:space="preserve">Sr. Leonardo Balcazza trabajo en medianera (Altura) - Diferencia </t>
  </si>
  <si>
    <t>Seguro OBLIGATORIO DE CONSORCIO - POLIZA Nro. 191195427 - Mercantil Andina</t>
  </si>
  <si>
    <t xml:space="preserve">Gustavo padron - Contador - Honorarios </t>
  </si>
  <si>
    <t>Prevision ordinaria - Edesur</t>
  </si>
  <si>
    <t>subidos en n0v 2025</t>
  </si>
  <si>
    <t>Punitorios mal cobrados</t>
  </si>
  <si>
    <t>2do vto</t>
  </si>
  <si>
    <t>QUIENES ESTAN MARCADOS EN ROJO NO ESTAN RESPETANDO LOS CENTAVOS AL ABONAR - LEER PORFAVOR EL CARTEL AMARILLO</t>
  </si>
  <si>
    <t>SOLICITAMOS POR FAVOR QUE, SI REALIZAN EL PAGO ANTES DE LA FECHA DEL PRIMER VENCIMIENTO (EN ESTE CASO, EL 15/12), ABONEN ÚNICAMENTE EL MONTO CORRESPONDIENTE A DICHO VENCIMIENTO Y NO EL DEL SEGUNDO.</t>
  </si>
  <si>
    <t>la habiamos puesto impaga</t>
  </si>
  <si>
    <t>VTO: 15/01</t>
  </si>
  <si>
    <t xml:space="preserve">PERIODO: DICIEMBRE </t>
  </si>
  <si>
    <t>Poliza Sr. De Luca Carlos Hernan - La holando DICIEMBRE</t>
  </si>
  <si>
    <t>Administraciòn DICIEMBRE 2025:</t>
  </si>
  <si>
    <t>Casa Ruan - Compra de materiales electricos</t>
  </si>
  <si>
    <t>Servisur -  Fotocelula con cableado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</si>
</sst>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.0000_-;\-* #,##0.0000_-;_-* &quot;-&quot;??_-;_-@_-"/>
    <numFmt numFmtId="166" formatCode="&quot;$&quot;\ #,##0.00"/>
    <numFmt numFmtId="167" formatCode="_ &quot;$&quot;\ * #,##0.00_ ;_ &quot;$&quot;\ * \-#,##0.00_ ;_ &quot;$&quot;\ * &quot;-&quot;??_ ;_ @_ "/>
    <numFmt numFmtId="168" formatCode="0.0000"/>
    <numFmt numFmtId="169" formatCode="0.0"/>
    <numFmt numFmtId="170" formatCode="0.000"/>
    <numFmt numFmtId="171" formatCode="0.000%"/>
    <numFmt numFmtId="172" formatCode="0.00000"/>
    <numFmt numFmtId="173" formatCode="#,##0.00_ ;[Red]\-#,##0.00\ 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</font>
    <font>
      <sz val="1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" fontId="23" fillId="0" borderId="0"/>
    <xf numFmtId="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" fontId="24" fillId="0" borderId="0"/>
  </cellStyleXfs>
  <cellXfs count="29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2" fillId="0" borderId="0" xfId="0" applyFont="1"/>
    <xf numFmtId="0" fontId="0" fillId="5" borderId="0" xfId="0" applyFill="1"/>
    <xf numFmtId="8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0" xfId="0" applyFont="1"/>
    <xf numFmtId="44" fontId="7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8" fontId="9" fillId="2" borderId="6" xfId="0" applyNumberFormat="1" applyFont="1" applyFill="1" applyBorder="1"/>
    <xf numFmtId="44" fontId="11" fillId="5" borderId="3" xfId="1" applyFont="1" applyFill="1" applyBorder="1" applyAlignment="1">
      <alignment horizontal="center" vertical="center"/>
    </xf>
    <xf numFmtId="44" fontId="9" fillId="5" borderId="3" xfId="0" applyNumberFormat="1" applyFont="1" applyFill="1" applyBorder="1" applyAlignment="1">
      <alignment horizontal="center" vertical="center"/>
    </xf>
    <xf numFmtId="44" fontId="9" fillId="2" borderId="6" xfId="1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8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8" fontId="10" fillId="5" borderId="6" xfId="1" applyNumberFormat="1" applyFont="1" applyFill="1" applyBorder="1" applyAlignment="1">
      <alignment horizontal="right"/>
    </xf>
    <xf numFmtId="44" fontId="0" fillId="0" borderId="0" xfId="0" applyNumberFormat="1"/>
    <xf numFmtId="44" fontId="7" fillId="5" borderId="3" xfId="1" applyFont="1" applyFill="1" applyBorder="1"/>
    <xf numFmtId="8" fontId="10" fillId="5" borderId="3" xfId="1" applyNumberFormat="1" applyFont="1" applyFill="1" applyBorder="1"/>
    <xf numFmtId="0" fontId="0" fillId="0" borderId="0" xfId="0" applyAlignment="1">
      <alignment horizontal="center"/>
    </xf>
    <xf numFmtId="164" fontId="0" fillId="0" borderId="0" xfId="1" applyNumberFormat="1" applyFont="1"/>
    <xf numFmtId="43" fontId="0" fillId="0" borderId="0" xfId="0" applyNumberFormat="1"/>
    <xf numFmtId="164" fontId="0" fillId="0" borderId="0" xfId="1" applyNumberFormat="1" applyFont="1" applyBorder="1"/>
    <xf numFmtId="43" fontId="0" fillId="0" borderId="0" xfId="3" applyFont="1" applyBorder="1"/>
    <xf numFmtId="0" fontId="12" fillId="0" borderId="0" xfId="0" applyFont="1"/>
    <xf numFmtId="44" fontId="13" fillId="3" borderId="16" xfId="0" applyNumberFormat="1" applyFont="1" applyFill="1" applyBorder="1"/>
    <xf numFmtId="164" fontId="14" fillId="3" borderId="16" xfId="0" applyNumberFormat="1" applyFont="1" applyFill="1" applyBorder="1"/>
    <xf numFmtId="164" fontId="13" fillId="3" borderId="16" xfId="1" applyNumberFormat="1" applyFont="1" applyFill="1" applyBorder="1"/>
    <xf numFmtId="164" fontId="15" fillId="3" borderId="16" xfId="1" applyNumberFormat="1" applyFont="1" applyFill="1" applyBorder="1"/>
    <xf numFmtId="0" fontId="16" fillId="3" borderId="16" xfId="0" applyFont="1" applyFill="1" applyBorder="1" applyAlignment="1">
      <alignment horizontal="center"/>
    </xf>
    <xf numFmtId="164" fontId="17" fillId="0" borderId="3" xfId="0" applyNumberFormat="1" applyFont="1" applyBorder="1"/>
    <xf numFmtId="164" fontId="17" fillId="0" borderId="3" xfId="1" applyNumberFormat="1" applyFont="1" applyBorder="1"/>
    <xf numFmtId="164" fontId="17" fillId="0" borderId="18" xfId="1" applyNumberFormat="1" applyFont="1" applyBorder="1"/>
    <xf numFmtId="164" fontId="18" fillId="5" borderId="3" xfId="1" applyNumberFormat="1" applyFont="1" applyFill="1" applyBorder="1"/>
    <xf numFmtId="164" fontId="18" fillId="0" borderId="18" xfId="1" applyNumberFormat="1" applyFont="1" applyBorder="1"/>
    <xf numFmtId="43" fontId="17" fillId="0" borderId="18" xfId="3" applyFont="1" applyBorder="1"/>
    <xf numFmtId="0" fontId="19" fillId="0" borderId="18" xfId="0" applyFont="1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 wrapText="1"/>
    </xf>
    <xf numFmtId="164" fontId="2" fillId="3" borderId="19" xfId="1" applyNumberFormat="1" applyFont="1" applyFill="1" applyBorder="1" applyAlignment="1">
      <alignment horizontal="center" vertical="center" wrapText="1"/>
    </xf>
    <xf numFmtId="43" fontId="2" fillId="3" borderId="19" xfId="1" applyNumberFormat="1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9" fontId="0" fillId="0" borderId="2" xfId="4" applyFont="1" applyBorder="1"/>
    <xf numFmtId="6" fontId="2" fillId="0" borderId="2" xfId="1" applyNumberFormat="1" applyFont="1" applyBorder="1"/>
    <xf numFmtId="44" fontId="0" fillId="0" borderId="2" xfId="1" applyFont="1" applyBorder="1"/>
    <xf numFmtId="0" fontId="2" fillId="0" borderId="11" xfId="0" applyFont="1" applyBorder="1" applyAlignment="1">
      <alignment horizontal="center"/>
    </xf>
    <xf numFmtId="44" fontId="2" fillId="0" borderId="0" xfId="1" applyFont="1" applyBorder="1"/>
    <xf numFmtId="0" fontId="2" fillId="0" borderId="9" xfId="0" applyFont="1" applyBorder="1" applyAlignment="1">
      <alignment horizontal="left"/>
    </xf>
    <xf numFmtId="44" fontId="2" fillId="0" borderId="0" xfId="1" applyFont="1" applyBorder="1" applyAlignment="1">
      <alignment horizontal="left" vertical="top"/>
    </xf>
    <xf numFmtId="164" fontId="2" fillId="0" borderId="0" xfId="1" applyNumberFormat="1" applyFont="1" applyBorder="1"/>
    <xf numFmtId="164" fontId="2" fillId="5" borderId="0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21" fillId="0" borderId="3" xfId="0" applyFont="1" applyBorder="1"/>
    <xf numFmtId="0" fontId="21" fillId="5" borderId="3" xfId="0" applyFont="1" applyFill="1" applyBorder="1"/>
    <xf numFmtId="2" fontId="21" fillId="0" borderId="3" xfId="0" applyNumberFormat="1" applyFont="1" applyBorder="1"/>
    <xf numFmtId="165" fontId="6" fillId="3" borderId="16" xfId="3" applyNumberFormat="1" applyFont="1" applyFill="1" applyBorder="1"/>
    <xf numFmtId="10" fontId="26" fillId="0" borderId="15" xfId="6" applyNumberFormat="1" applyFont="1" applyBorder="1"/>
    <xf numFmtId="10" fontId="26" fillId="0" borderId="21" xfId="6" applyNumberFormat="1" applyFont="1" applyFill="1" applyBorder="1"/>
    <xf numFmtId="167" fontId="25" fillId="0" borderId="22" xfId="7" applyFont="1" applyFill="1" applyBorder="1"/>
    <xf numFmtId="167" fontId="0" fillId="0" borderId="25" xfId="7" applyFont="1" applyBorder="1"/>
    <xf numFmtId="167" fontId="0" fillId="0" borderId="3" xfId="7" applyFont="1" applyBorder="1"/>
    <xf numFmtId="10" fontId="18" fillId="0" borderId="3" xfId="6" applyNumberFormat="1" applyFont="1" applyBorder="1"/>
    <xf numFmtId="171" fontId="0" fillId="0" borderId="0" xfId="6" applyNumberFormat="1" applyFont="1"/>
    <xf numFmtId="9" fontId="0" fillId="0" borderId="0" xfId="6" applyFont="1"/>
    <xf numFmtId="167" fontId="22" fillId="7" borderId="0" xfId="7" applyFont="1" applyFill="1" applyBorder="1" applyAlignment="1">
      <alignment vertical="center"/>
    </xf>
    <xf numFmtId="167" fontId="17" fillId="0" borderId="3" xfId="7" applyFont="1" applyBorder="1" applyAlignment="1">
      <alignment vertical="center"/>
    </xf>
    <xf numFmtId="164" fontId="17" fillId="0" borderId="18" xfId="0" applyNumberFormat="1" applyFont="1" applyBorder="1"/>
    <xf numFmtId="0" fontId="21" fillId="0" borderId="3" xfId="0" applyFont="1" applyBorder="1" applyAlignment="1">
      <alignment horizontal="centerContinuous"/>
    </xf>
    <xf numFmtId="0" fontId="30" fillId="0" borderId="6" xfId="0" applyFont="1" applyBorder="1" applyAlignment="1">
      <alignment horizontal="left" wrapText="1"/>
    </xf>
    <xf numFmtId="0" fontId="30" fillId="0" borderId="3" xfId="0" applyFont="1" applyBorder="1" applyAlignment="1">
      <alignment horizontal="left" wrapText="1"/>
    </xf>
    <xf numFmtId="0" fontId="30" fillId="0" borderId="3" xfId="0" applyFont="1" applyBorder="1"/>
    <xf numFmtId="1" fontId="24" fillId="0" borderId="0" xfId="8"/>
    <xf numFmtId="167" fontId="0" fillId="0" borderId="22" xfId="7" applyFont="1" applyBorder="1"/>
    <xf numFmtId="1" fontId="24" fillId="0" borderId="23" xfId="8" applyBorder="1"/>
    <xf numFmtId="167" fontId="0" fillId="0" borderId="23" xfId="7" applyFont="1" applyFill="1" applyBorder="1"/>
    <xf numFmtId="49" fontId="24" fillId="0" borderId="24" xfId="8" applyNumberFormat="1" applyBorder="1"/>
    <xf numFmtId="167" fontId="0" fillId="0" borderId="36" xfId="7" applyFont="1" applyBorder="1"/>
    <xf numFmtId="1" fontId="24" fillId="0" borderId="18" xfId="8" applyBorder="1"/>
    <xf numFmtId="167" fontId="0" fillId="0" borderId="18" xfId="7" applyFont="1" applyFill="1" applyBorder="1"/>
    <xf numFmtId="49" fontId="24" fillId="0" borderId="37" xfId="8" applyNumberFormat="1" applyBorder="1"/>
    <xf numFmtId="1" fontId="24" fillId="0" borderId="3" xfId="8" applyBorder="1"/>
    <xf numFmtId="167" fontId="0" fillId="0" borderId="3" xfId="7" applyFont="1" applyFill="1" applyBorder="1"/>
    <xf numFmtId="49" fontId="24" fillId="0" borderId="32" xfId="8" applyNumberFormat="1" applyBorder="1"/>
    <xf numFmtId="2" fontId="24" fillId="0" borderId="0" xfId="8" applyNumberFormat="1"/>
    <xf numFmtId="172" fontId="24" fillId="0" borderId="0" xfId="8" applyNumberFormat="1"/>
    <xf numFmtId="169" fontId="24" fillId="0" borderId="0" xfId="8" applyNumberFormat="1"/>
    <xf numFmtId="1" fontId="25" fillId="0" borderId="25" xfId="8" applyFont="1" applyBorder="1"/>
    <xf numFmtId="1" fontId="25" fillId="0" borderId="3" xfId="8" applyFont="1" applyBorder="1"/>
    <xf numFmtId="1" fontId="25" fillId="0" borderId="32" xfId="8" applyFont="1" applyBorder="1"/>
    <xf numFmtId="1" fontId="24" fillId="0" borderId="0" xfId="8" quotePrefix="1"/>
    <xf numFmtId="1" fontId="25" fillId="0" borderId="13" xfId="8" applyFont="1" applyBorder="1"/>
    <xf numFmtId="166" fontId="24" fillId="0" borderId="0" xfId="8" applyNumberFormat="1"/>
    <xf numFmtId="1" fontId="25" fillId="0" borderId="20" xfId="8" applyFont="1" applyBorder="1"/>
    <xf numFmtId="168" fontId="24" fillId="0" borderId="23" xfId="8" applyNumberFormat="1" applyBorder="1"/>
    <xf numFmtId="1" fontId="18" fillId="0" borderId="23" xfId="8" applyFont="1" applyBorder="1"/>
    <xf numFmtId="1" fontId="25" fillId="0" borderId="23" xfId="8" applyFont="1" applyBorder="1"/>
    <xf numFmtId="1" fontId="27" fillId="0" borderId="24" xfId="8" applyFont="1" applyBorder="1"/>
    <xf numFmtId="1" fontId="18" fillId="0" borderId="3" xfId="8" applyFont="1" applyBorder="1"/>
    <xf numFmtId="1" fontId="28" fillId="0" borderId="26" xfId="8" applyFont="1" applyBorder="1"/>
    <xf numFmtId="170" fontId="24" fillId="0" borderId="0" xfId="8" applyNumberFormat="1"/>
    <xf numFmtId="1" fontId="28" fillId="0" borderId="27" xfId="8" applyFont="1" applyBorder="1"/>
    <xf numFmtId="1" fontId="18" fillId="0" borderId="28" xfId="8" applyFont="1" applyBorder="1"/>
    <xf numFmtId="1" fontId="18" fillId="0" borderId="19" xfId="8" applyFont="1" applyBorder="1"/>
    <xf numFmtId="1" fontId="24" fillId="7" borderId="0" xfId="8" applyFill="1"/>
    <xf numFmtId="1" fontId="18" fillId="0" borderId="0" xfId="8" applyFont="1"/>
    <xf numFmtId="1" fontId="18" fillId="0" borderId="22" xfId="8" applyFont="1" applyBorder="1"/>
    <xf numFmtId="2" fontId="17" fillId="0" borderId="23" xfId="8" applyNumberFormat="1" applyFont="1" applyBorder="1" applyAlignment="1">
      <alignment vertical="center"/>
    </xf>
    <xf numFmtId="2" fontId="17" fillId="0" borderId="24" xfId="8" applyNumberFormat="1" applyFont="1" applyBorder="1" applyAlignment="1">
      <alignment vertical="center"/>
    </xf>
    <xf numFmtId="1" fontId="18" fillId="0" borderId="25" xfId="8" applyFont="1" applyBorder="1"/>
    <xf numFmtId="2" fontId="17" fillId="0" borderId="3" xfId="8" applyNumberFormat="1" applyFont="1" applyBorder="1" applyAlignment="1">
      <alignment vertical="center"/>
    </xf>
    <xf numFmtId="2" fontId="17" fillId="0" borderId="32" xfId="8" applyNumberFormat="1" applyFont="1" applyBorder="1" applyAlignment="1">
      <alignment vertical="center"/>
    </xf>
    <xf numFmtId="1" fontId="18" fillId="0" borderId="3" xfId="8" applyFont="1" applyBorder="1" applyAlignment="1">
      <alignment horizontal="center"/>
    </xf>
    <xf numFmtId="1" fontId="18" fillId="0" borderId="32" xfId="8" applyFont="1" applyBorder="1"/>
    <xf numFmtId="0" fontId="30" fillId="0" borderId="6" xfId="0" applyFont="1" applyBorder="1" applyAlignment="1">
      <alignment horizontal="left" vertical="center" wrapText="1"/>
    </xf>
    <xf numFmtId="0" fontId="0" fillId="7" borderId="3" xfId="0" applyFill="1" applyBorder="1" applyAlignment="1">
      <alignment horizontal="left"/>
    </xf>
    <xf numFmtId="164" fontId="17" fillId="5" borderId="3" xfId="1" applyNumberFormat="1" applyFont="1" applyFill="1" applyBorder="1"/>
    <xf numFmtId="0" fontId="21" fillId="5" borderId="3" xfId="0" applyFont="1" applyFill="1" applyBorder="1" applyAlignment="1">
      <alignment horizontal="centerContinuous"/>
    </xf>
    <xf numFmtId="0" fontId="0" fillId="5" borderId="3" xfId="0" applyFill="1" applyBorder="1" applyAlignment="1">
      <alignment horizontal="left"/>
    </xf>
    <xf numFmtId="0" fontId="30" fillId="5" borderId="6" xfId="0" applyFont="1" applyFill="1" applyBorder="1" applyAlignment="1">
      <alignment horizontal="left" wrapText="1"/>
    </xf>
    <xf numFmtId="0" fontId="30" fillId="5" borderId="3" xfId="0" applyFont="1" applyFill="1" applyBorder="1"/>
    <xf numFmtId="2" fontId="21" fillId="5" borderId="3" xfId="0" applyNumberFormat="1" applyFont="1" applyFill="1" applyBorder="1"/>
    <xf numFmtId="164" fontId="17" fillId="5" borderId="3" xfId="0" applyNumberFormat="1" applyFont="1" applyFill="1" applyBorder="1"/>
    <xf numFmtId="0" fontId="30" fillId="5" borderId="3" xfId="0" applyFont="1" applyFill="1" applyBorder="1" applyAlignment="1">
      <alignment horizontal="left" wrapText="1"/>
    </xf>
    <xf numFmtId="173" fontId="0" fillId="0" borderId="0" xfId="0" applyNumberFormat="1"/>
    <xf numFmtId="0" fontId="31" fillId="5" borderId="3" xfId="0" applyFont="1" applyFill="1" applyBorder="1" applyAlignment="1">
      <alignment horizontal="centerContinuous"/>
    </xf>
    <xf numFmtId="0" fontId="31" fillId="5" borderId="3" xfId="0" applyFont="1" applyFill="1" applyBorder="1"/>
    <xf numFmtId="0" fontId="32" fillId="5" borderId="6" xfId="0" applyFont="1" applyFill="1" applyBorder="1" applyAlignment="1">
      <alignment horizontal="left" wrapText="1"/>
    </xf>
    <xf numFmtId="0" fontId="32" fillId="5" borderId="3" xfId="0" applyFont="1" applyFill="1" applyBorder="1"/>
    <xf numFmtId="2" fontId="31" fillId="5" borderId="3" xfId="0" applyNumberFormat="1" applyFont="1" applyFill="1" applyBorder="1"/>
    <xf numFmtId="0" fontId="0" fillId="9" borderId="3" xfId="0" applyFill="1" applyBorder="1" applyAlignment="1">
      <alignment horizontal="left"/>
    </xf>
    <xf numFmtId="0" fontId="21" fillId="5" borderId="19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21" fillId="5" borderId="19" xfId="0" applyFont="1" applyFill="1" applyBorder="1"/>
    <xf numFmtId="0" fontId="30" fillId="5" borderId="0" xfId="0" applyFont="1" applyFill="1" applyAlignment="1">
      <alignment horizontal="left" vertical="center" wrapText="1"/>
    </xf>
    <xf numFmtId="2" fontId="21" fillId="5" borderId="19" xfId="0" applyNumberFormat="1" applyFont="1" applyFill="1" applyBorder="1"/>
    <xf numFmtId="164" fontId="18" fillId="5" borderId="3" xfId="0" applyNumberFormat="1" applyFont="1" applyFill="1" applyBorder="1"/>
    <xf numFmtId="0" fontId="33" fillId="0" borderId="0" xfId="0" applyFont="1"/>
    <xf numFmtId="0" fontId="35" fillId="5" borderId="3" xfId="0" applyFont="1" applyFill="1" applyBorder="1" applyAlignment="1">
      <alignment horizontal="centerContinuous"/>
    </xf>
    <xf numFmtId="0" fontId="34" fillId="5" borderId="3" xfId="0" applyFont="1" applyFill="1" applyBorder="1" applyAlignment="1">
      <alignment horizontal="left"/>
    </xf>
    <xf numFmtId="0" fontId="9" fillId="5" borderId="0" xfId="0" applyFont="1" applyFill="1" applyAlignment="1">
      <alignment horizontal="left" vertical="center"/>
    </xf>
    <xf numFmtId="44" fontId="9" fillId="5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44" fontId="18" fillId="5" borderId="3" xfId="0" applyNumberFormat="1" applyFont="1" applyFill="1" applyBorder="1"/>
    <xf numFmtId="44" fontId="18" fillId="5" borderId="3" xfId="1" applyFont="1" applyFill="1" applyBorder="1"/>
    <xf numFmtId="0" fontId="4" fillId="3" borderId="10" xfId="0" applyFont="1" applyFill="1" applyBorder="1"/>
    <xf numFmtId="44" fontId="0" fillId="7" borderId="0" xfId="0" applyNumberFormat="1" applyFill="1"/>
    <xf numFmtId="44" fontId="17" fillId="5" borderId="3" xfId="1" applyFont="1" applyFill="1" applyBorder="1"/>
    <xf numFmtId="44" fontId="18" fillId="0" borderId="18" xfId="1" applyFont="1" applyBorder="1" applyAlignment="1">
      <alignment horizontal="center" wrapText="1"/>
    </xf>
    <xf numFmtId="44" fontId="17" fillId="0" borderId="18" xfId="1" applyFont="1" applyBorder="1" applyAlignment="1">
      <alignment horizontal="center" vertical="center" wrapText="1"/>
    </xf>
    <xf numFmtId="44" fontId="18" fillId="0" borderId="3" xfId="1" applyFont="1" applyBorder="1"/>
    <xf numFmtId="44" fontId="17" fillId="0" borderId="3" xfId="1" applyFont="1" applyBorder="1"/>
    <xf numFmtId="44" fontId="34" fillId="5" borderId="3" xfId="1" applyFont="1" applyFill="1" applyBorder="1"/>
    <xf numFmtId="0" fontId="21" fillId="10" borderId="3" xfId="0" applyFont="1" applyFill="1" applyBorder="1" applyAlignment="1">
      <alignment horizontal="centerContinuous"/>
    </xf>
    <xf numFmtId="0" fontId="0" fillId="10" borderId="3" xfId="0" applyFill="1" applyBorder="1" applyAlignment="1">
      <alignment horizontal="left"/>
    </xf>
    <xf numFmtId="0" fontId="21" fillId="9" borderId="3" xfId="0" applyFont="1" applyFill="1" applyBorder="1"/>
    <xf numFmtId="0" fontId="30" fillId="9" borderId="6" xfId="0" applyFont="1" applyFill="1" applyBorder="1" applyAlignment="1">
      <alignment horizontal="left" wrapText="1"/>
    </xf>
    <xf numFmtId="0" fontId="30" fillId="9" borderId="3" xfId="0" applyFont="1" applyFill="1" applyBorder="1"/>
    <xf numFmtId="2" fontId="21" fillId="9" borderId="3" xfId="0" applyNumberFormat="1" applyFont="1" applyFill="1" applyBorder="1"/>
    <xf numFmtId="44" fontId="18" fillId="9" borderId="3" xfId="1" applyFont="1" applyFill="1" applyBorder="1"/>
    <xf numFmtId="44" fontId="17" fillId="9" borderId="3" xfId="1" applyFont="1" applyFill="1" applyBorder="1"/>
    <xf numFmtId="164" fontId="17" fillId="9" borderId="3" xfId="1" applyNumberFormat="1" applyFont="1" applyFill="1" applyBorder="1"/>
    <xf numFmtId="164" fontId="17" fillId="9" borderId="3" xfId="0" applyNumberFormat="1" applyFont="1" applyFill="1" applyBorder="1"/>
    <xf numFmtId="164" fontId="18" fillId="9" borderId="3" xfId="1" applyNumberFormat="1" applyFont="1" applyFill="1" applyBorder="1"/>
    <xf numFmtId="44" fontId="18" fillId="9" borderId="3" xfId="0" applyNumberFormat="1" applyFont="1" applyFill="1" applyBorder="1"/>
    <xf numFmtId="0" fontId="30" fillId="9" borderId="3" xfId="0" applyFont="1" applyFill="1" applyBorder="1" applyAlignment="1">
      <alignment horizontal="left" wrapText="1"/>
    </xf>
    <xf numFmtId="2" fontId="28" fillId="9" borderId="3" xfId="3" applyNumberFormat="1" applyFont="1" applyFill="1" applyBorder="1" applyAlignment="1"/>
    <xf numFmtId="164" fontId="18" fillId="9" borderId="3" xfId="0" applyNumberFormat="1" applyFont="1" applyFill="1" applyBorder="1"/>
    <xf numFmtId="2" fontId="17" fillId="9" borderId="3" xfId="3" applyNumberFormat="1" applyFont="1" applyFill="1" applyBorder="1" applyAlignment="1">
      <alignment horizontal="right"/>
    </xf>
    <xf numFmtId="6" fontId="0" fillId="0" borderId="10" xfId="0" applyNumberFormat="1" applyBorder="1"/>
    <xf numFmtId="6" fontId="0" fillId="5" borderId="10" xfId="0" applyNumberFormat="1" applyFill="1" applyBorder="1"/>
    <xf numFmtId="2" fontId="37" fillId="0" borderId="9" xfId="0" applyNumberFormat="1" applyFont="1" applyBorder="1" applyAlignment="1">
      <alignment vertical="center"/>
    </xf>
    <xf numFmtId="0" fontId="0" fillId="4" borderId="9" xfId="0" applyFill="1" applyBorder="1"/>
    <xf numFmtId="0" fontId="0" fillId="4" borderId="0" xfId="0" applyFill="1"/>
    <xf numFmtId="6" fontId="2" fillId="4" borderId="10" xfId="0" applyNumberFormat="1" applyFont="1" applyFill="1" applyBorder="1"/>
    <xf numFmtId="16" fontId="0" fillId="0" borderId="0" xfId="0" applyNumberFormat="1"/>
    <xf numFmtId="44" fontId="0" fillId="5" borderId="10" xfId="1" applyFont="1" applyFill="1" applyBorder="1"/>
    <xf numFmtId="44" fontId="2" fillId="4" borderId="10" xfId="0" applyNumberFormat="1" applyFont="1" applyFill="1" applyBorder="1"/>
    <xf numFmtId="44" fontId="0" fillId="0" borderId="10" xfId="1" applyFont="1" applyBorder="1"/>
    <xf numFmtId="44" fontId="2" fillId="4" borderId="10" xfId="1" applyFont="1" applyFill="1" applyBorder="1"/>
    <xf numFmtId="44" fontId="2" fillId="5" borderId="10" xfId="1" applyFont="1" applyFill="1" applyBorder="1"/>
    <xf numFmtId="0" fontId="0" fillId="5" borderId="11" xfId="0" applyFill="1" applyBorder="1"/>
    <xf numFmtId="0" fontId="0" fillId="5" borderId="2" xfId="0" applyFill="1" applyBorder="1"/>
    <xf numFmtId="44" fontId="0" fillId="5" borderId="12" xfId="1" applyFont="1" applyFill="1" applyBorder="1"/>
    <xf numFmtId="0" fontId="16" fillId="2" borderId="4" xfId="0" applyFont="1" applyFill="1" applyBorder="1"/>
    <xf numFmtId="0" fontId="16" fillId="2" borderId="5" xfId="0" applyFont="1" applyFill="1" applyBorder="1"/>
    <xf numFmtId="8" fontId="16" fillId="2" borderId="6" xfId="0" applyNumberFormat="1" applyFont="1" applyFill="1" applyBorder="1"/>
    <xf numFmtId="0" fontId="2" fillId="6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8" fontId="2" fillId="6" borderId="0" xfId="0" applyNumberFormat="1" applyFont="1" applyFill="1" applyAlignment="1">
      <alignment vertical="center"/>
    </xf>
    <xf numFmtId="6" fontId="2" fillId="5" borderId="3" xfId="0" applyNumberFormat="1" applyFont="1" applyFill="1" applyBorder="1" applyAlignment="1">
      <alignment vertical="center"/>
    </xf>
    <xf numFmtId="0" fontId="21" fillId="7" borderId="3" xfId="0" applyFont="1" applyFill="1" applyBorder="1"/>
    <xf numFmtId="0" fontId="30" fillId="7" borderId="3" xfId="0" applyFont="1" applyFill="1" applyBorder="1" applyAlignment="1">
      <alignment horizontal="left" wrapText="1"/>
    </xf>
    <xf numFmtId="2" fontId="21" fillId="7" borderId="3" xfId="0" applyNumberFormat="1" applyFont="1" applyFill="1" applyBorder="1"/>
    <xf numFmtId="44" fontId="18" fillId="7" borderId="3" xfId="1" applyFont="1" applyFill="1" applyBorder="1"/>
    <xf numFmtId="44" fontId="17" fillId="7" borderId="3" xfId="1" applyFont="1" applyFill="1" applyBorder="1"/>
    <xf numFmtId="164" fontId="17" fillId="7" borderId="3" xfId="1" applyNumberFormat="1" applyFont="1" applyFill="1" applyBorder="1"/>
    <xf numFmtId="164" fontId="17" fillId="7" borderId="3" xfId="0" applyNumberFormat="1" applyFont="1" applyFill="1" applyBorder="1"/>
    <xf numFmtId="164" fontId="18" fillId="7" borderId="3" xfId="1" applyNumberFormat="1" applyFont="1" applyFill="1" applyBorder="1"/>
    <xf numFmtId="44" fontId="18" fillId="7" borderId="3" xfId="0" applyNumberFormat="1" applyFont="1" applyFill="1" applyBorder="1"/>
    <xf numFmtId="0" fontId="0" fillId="7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16" fillId="3" borderId="7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0" fillId="5" borderId="4" xfId="0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2" fillId="5" borderId="0" xfId="0" applyFont="1" applyFill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6" fillId="3" borderId="17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44" fontId="2" fillId="0" borderId="0" xfId="1" applyFont="1" applyBorder="1" applyAlignment="1">
      <alignment horizontal="center" vertical="top"/>
    </xf>
    <xf numFmtId="6" fontId="2" fillId="0" borderId="2" xfId="1" applyNumberFormat="1" applyFont="1" applyBorder="1" applyAlignment="1">
      <alignment horizontal="right"/>
    </xf>
    <xf numFmtId="0" fontId="2" fillId="7" borderId="35" xfId="0" applyFont="1" applyFill="1" applyBorder="1" applyAlignment="1">
      <alignment horizontal="left" vertical="center" wrapText="1"/>
    </xf>
    <xf numFmtId="0" fontId="2" fillId="7" borderId="34" xfId="0" applyFont="1" applyFill="1" applyBorder="1" applyAlignment="1">
      <alignment horizontal="left" vertical="center"/>
    </xf>
    <xf numFmtId="0" fontId="2" fillId="7" borderId="33" xfId="0" applyFont="1" applyFill="1" applyBorder="1" applyAlignment="1">
      <alignment horizontal="left" vertical="center"/>
    </xf>
    <xf numFmtId="0" fontId="2" fillId="7" borderId="21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20" xfId="0" applyFont="1" applyFill="1" applyBorder="1" applyAlignment="1">
      <alignment horizontal="left" vertical="center"/>
    </xf>
    <xf numFmtId="0" fontId="2" fillId="7" borderId="15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2" fillId="7" borderId="13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43" fontId="36" fillId="9" borderId="35" xfId="0" applyNumberFormat="1" applyFont="1" applyFill="1" applyBorder="1" applyAlignment="1">
      <alignment horizontal="left" wrapText="1"/>
    </xf>
    <xf numFmtId="43" fontId="36" fillId="9" borderId="34" xfId="0" applyNumberFormat="1" applyFont="1" applyFill="1" applyBorder="1" applyAlignment="1">
      <alignment horizontal="left" wrapText="1"/>
    </xf>
    <xf numFmtId="43" fontId="36" fillId="9" borderId="33" xfId="0" applyNumberFormat="1" applyFont="1" applyFill="1" applyBorder="1" applyAlignment="1">
      <alignment horizontal="left" wrapText="1"/>
    </xf>
    <xf numFmtId="43" fontId="36" fillId="9" borderId="21" xfId="0" applyNumberFormat="1" applyFont="1" applyFill="1" applyBorder="1" applyAlignment="1">
      <alignment horizontal="left" wrapText="1"/>
    </xf>
    <xf numFmtId="43" fontId="36" fillId="9" borderId="0" xfId="0" applyNumberFormat="1" applyFont="1" applyFill="1" applyAlignment="1">
      <alignment horizontal="left" wrapText="1"/>
    </xf>
    <xf numFmtId="43" fontId="36" fillId="9" borderId="20" xfId="0" applyNumberFormat="1" applyFont="1" applyFill="1" applyBorder="1" applyAlignment="1">
      <alignment horizontal="left" wrapText="1"/>
    </xf>
    <xf numFmtId="43" fontId="36" fillId="9" borderId="15" xfId="0" applyNumberFormat="1" applyFont="1" applyFill="1" applyBorder="1" applyAlignment="1">
      <alignment horizontal="left" wrapText="1"/>
    </xf>
    <xf numFmtId="43" fontId="36" fillId="9" borderId="14" xfId="0" applyNumberFormat="1" applyFont="1" applyFill="1" applyBorder="1" applyAlignment="1">
      <alignment horizontal="left" wrapText="1"/>
    </xf>
    <xf numFmtId="43" fontId="36" fillId="9" borderId="13" xfId="0" applyNumberFormat="1" applyFont="1" applyFill="1" applyBorder="1" applyAlignment="1">
      <alignment horizontal="left" wrapText="1"/>
    </xf>
    <xf numFmtId="43" fontId="13" fillId="11" borderId="35" xfId="0" applyNumberFormat="1" applyFont="1" applyFill="1" applyBorder="1" applyAlignment="1">
      <alignment horizontal="left" vertical="center" wrapText="1"/>
    </xf>
    <xf numFmtId="43" fontId="13" fillId="11" borderId="34" xfId="0" applyNumberFormat="1" applyFont="1" applyFill="1" applyBorder="1" applyAlignment="1">
      <alignment horizontal="left" vertical="center" wrapText="1"/>
    </xf>
    <xf numFmtId="43" fontId="13" fillId="11" borderId="33" xfId="0" applyNumberFormat="1" applyFont="1" applyFill="1" applyBorder="1" applyAlignment="1">
      <alignment horizontal="left" vertical="center" wrapText="1"/>
    </xf>
    <xf numFmtId="43" fontId="13" fillId="11" borderId="21" xfId="0" applyNumberFormat="1" applyFont="1" applyFill="1" applyBorder="1" applyAlignment="1">
      <alignment horizontal="left" vertical="center" wrapText="1"/>
    </xf>
    <xf numFmtId="43" fontId="13" fillId="11" borderId="0" xfId="0" applyNumberFormat="1" applyFont="1" applyFill="1" applyAlignment="1">
      <alignment horizontal="left" vertical="center" wrapText="1"/>
    </xf>
    <xf numFmtId="43" fontId="13" fillId="11" borderId="20" xfId="0" applyNumberFormat="1" applyFont="1" applyFill="1" applyBorder="1" applyAlignment="1">
      <alignment horizontal="left" vertical="center" wrapText="1"/>
    </xf>
    <xf numFmtId="43" fontId="13" fillId="11" borderId="15" xfId="0" applyNumberFormat="1" applyFont="1" applyFill="1" applyBorder="1" applyAlignment="1">
      <alignment horizontal="left" vertical="center" wrapText="1"/>
    </xf>
    <xf numFmtId="43" fontId="13" fillId="11" borderId="14" xfId="0" applyNumberFormat="1" applyFont="1" applyFill="1" applyBorder="1" applyAlignment="1">
      <alignment horizontal="left" vertical="center" wrapText="1"/>
    </xf>
    <xf numFmtId="43" fontId="13" fillId="11" borderId="13" xfId="0" applyNumberFormat="1" applyFont="1" applyFill="1" applyBorder="1" applyAlignment="1">
      <alignment horizontal="left" vertical="center" wrapText="1"/>
    </xf>
    <xf numFmtId="1" fontId="26" fillId="8" borderId="35" xfId="8" applyFont="1" applyFill="1" applyBorder="1" applyAlignment="1">
      <alignment horizontal="center" wrapText="1"/>
    </xf>
    <xf numFmtId="1" fontId="26" fillId="8" borderId="34" xfId="8" applyFont="1" applyFill="1" applyBorder="1" applyAlignment="1">
      <alignment horizontal="center" wrapText="1"/>
    </xf>
    <xf numFmtId="1" fontId="26" fillId="8" borderId="33" xfId="8" applyFont="1" applyFill="1" applyBorder="1" applyAlignment="1">
      <alignment horizontal="center" wrapText="1"/>
    </xf>
    <xf numFmtId="1" fontId="26" fillId="8" borderId="31" xfId="8" applyFont="1" applyFill="1" applyBorder="1" applyAlignment="1">
      <alignment horizontal="center"/>
    </xf>
    <xf numFmtId="1" fontId="26" fillId="8" borderId="30" xfId="8" applyFont="1" applyFill="1" applyBorder="1" applyAlignment="1">
      <alignment horizontal="center"/>
    </xf>
    <xf numFmtId="1" fontId="26" fillId="8" borderId="29" xfId="8" applyFont="1" applyFill="1" applyBorder="1" applyAlignment="1">
      <alignment horizontal="center"/>
    </xf>
    <xf numFmtId="1" fontId="25" fillId="8" borderId="31" xfId="8" applyFont="1" applyFill="1" applyBorder="1" applyAlignment="1">
      <alignment horizontal="center"/>
    </xf>
    <xf numFmtId="1" fontId="25" fillId="8" borderId="30" xfId="8" applyFont="1" applyFill="1" applyBorder="1" applyAlignment="1">
      <alignment horizontal="center"/>
    </xf>
    <xf numFmtId="1" fontId="25" fillId="8" borderId="29" xfId="8" applyFont="1" applyFill="1" applyBorder="1" applyAlignment="1">
      <alignment horizontal="center"/>
    </xf>
    <xf numFmtId="44" fontId="34" fillId="5" borderId="10" xfId="1" applyFont="1" applyFill="1" applyBorder="1"/>
    <xf numFmtId="6" fontId="34" fillId="5" borderId="10" xfId="0" applyNumberFormat="1" applyFont="1" applyFill="1" applyBorder="1"/>
  </cellXfs>
  <cellStyles count="9">
    <cellStyle name="Hipervínculo" xfId="2" builtinId="8"/>
    <cellStyle name="Millares" xfId="3" builtinId="3"/>
    <cellStyle name="Moneda" xfId="1" builtinId="4"/>
    <cellStyle name="Moneda 2" xfId="7" xr:uid="{00000000-0005-0000-0000-000003000000}"/>
    <cellStyle name="Normal" xfId="0" builtinId="0"/>
    <cellStyle name="Normal 2" xfId="5" xr:uid="{00000000-0005-0000-0000-000005000000}"/>
    <cellStyle name="Normal 3" xfId="8" xr:uid="{00000000-0005-0000-0000-000006000000}"/>
    <cellStyle name="Porcentaje" xfId="4" builtinId="5"/>
    <cellStyle name="Porcentaje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168275</xdr:rowOff>
    </xdr:from>
    <xdr:to>
      <xdr:col>2</xdr:col>
      <xdr:colOff>733425</xdr:colOff>
      <xdr:row>7</xdr:row>
      <xdr:rowOff>177800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8275"/>
          <a:ext cx="2325158" cy="1127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6"/>
  <sheetViews>
    <sheetView tabSelected="1" topLeftCell="A13" zoomScale="90" zoomScaleNormal="90" workbookViewId="0">
      <selection activeCell="H28" sqref="H28"/>
    </sheetView>
  </sheetViews>
  <sheetFormatPr baseColWidth="10" defaultRowHeight="14.4" x14ac:dyDescent="0.3"/>
  <cols>
    <col min="3" max="3" width="11.88671875" bestFit="1" customWidth="1"/>
    <col min="8" max="8" width="19.5546875" bestFit="1" customWidth="1"/>
    <col min="9" max="10" width="13.88671875" bestFit="1" customWidth="1"/>
  </cols>
  <sheetData>
    <row r="2" spans="1:10" x14ac:dyDescent="0.3">
      <c r="A2" s="3"/>
      <c r="B2" s="1"/>
      <c r="C2" s="1"/>
      <c r="D2" s="12" t="s">
        <v>0</v>
      </c>
      <c r="E2" t="s">
        <v>99</v>
      </c>
      <c r="G2" s="1"/>
      <c r="H2" s="4"/>
    </row>
    <row r="3" spans="1:10" x14ac:dyDescent="0.3">
      <c r="A3" s="5"/>
      <c r="D3" s="12" t="s">
        <v>1</v>
      </c>
      <c r="E3" s="218">
        <v>1153202676</v>
      </c>
      <c r="F3" s="218"/>
      <c r="H3" s="6"/>
    </row>
    <row r="4" spans="1:10" x14ac:dyDescent="0.3">
      <c r="A4" s="5"/>
      <c r="D4" s="12" t="s">
        <v>2</v>
      </c>
      <c r="E4" s="16" t="s">
        <v>100</v>
      </c>
      <c r="H4" s="6"/>
    </row>
    <row r="5" spans="1:10" x14ac:dyDescent="0.3">
      <c r="A5" s="5"/>
      <c r="D5" t="s">
        <v>17</v>
      </c>
      <c r="H5" s="6"/>
      <c r="J5" s="159"/>
    </row>
    <row r="6" spans="1:10" x14ac:dyDescent="0.3">
      <c r="A6" s="5"/>
      <c r="D6" s="219" t="s">
        <v>145</v>
      </c>
      <c r="E6" s="219"/>
      <c r="F6" s="219"/>
      <c r="G6" s="219"/>
      <c r="H6" s="220"/>
    </row>
    <row r="7" spans="1:10" x14ac:dyDescent="0.3">
      <c r="A7" s="5"/>
      <c r="D7" s="219"/>
      <c r="E7" s="219"/>
      <c r="F7" s="219"/>
      <c r="G7" s="219"/>
      <c r="H7" s="220"/>
    </row>
    <row r="8" spans="1:10" ht="22.95" customHeight="1" x14ac:dyDescent="0.3">
      <c r="A8" s="5"/>
      <c r="D8" s="219"/>
      <c r="E8" s="219"/>
      <c r="F8" s="219"/>
      <c r="G8" s="219"/>
      <c r="H8" s="220"/>
    </row>
    <row r="9" spans="1:10" ht="18" x14ac:dyDescent="0.35">
      <c r="A9" s="9" t="s">
        <v>3</v>
      </c>
      <c r="B9" s="10"/>
      <c r="C9" s="10"/>
      <c r="D9" s="10"/>
      <c r="E9" s="10" t="s">
        <v>162</v>
      </c>
      <c r="F9" s="10"/>
      <c r="G9" s="11"/>
      <c r="H9" s="162" t="s">
        <v>161</v>
      </c>
    </row>
    <row r="10" spans="1:10" x14ac:dyDescent="0.3">
      <c r="A10" s="3"/>
      <c r="B10" s="1"/>
      <c r="C10" s="1"/>
      <c r="D10" s="1"/>
      <c r="E10" s="1"/>
      <c r="F10" s="1"/>
      <c r="G10" s="1"/>
      <c r="H10" s="4"/>
    </row>
    <row r="11" spans="1:10" hidden="1" x14ac:dyDescent="0.3">
      <c r="A11" s="5"/>
      <c r="H11" s="6"/>
    </row>
    <row r="12" spans="1:10" hidden="1" x14ac:dyDescent="0.3">
      <c r="A12" s="5" t="s">
        <v>4</v>
      </c>
      <c r="B12" t="s">
        <v>45</v>
      </c>
      <c r="H12" s="6"/>
    </row>
    <row r="13" spans="1:10" x14ac:dyDescent="0.3">
      <c r="A13" s="7"/>
      <c r="B13" s="2"/>
      <c r="C13" s="2"/>
      <c r="D13" s="2"/>
      <c r="E13" s="2"/>
      <c r="F13" s="2"/>
      <c r="G13" s="2"/>
      <c r="H13" s="8"/>
    </row>
    <row r="14" spans="1:10" x14ac:dyDescent="0.3">
      <c r="A14" s="232" t="s">
        <v>11</v>
      </c>
      <c r="B14" s="232"/>
      <c r="C14" s="232"/>
      <c r="D14" s="232"/>
      <c r="E14" s="232"/>
      <c r="F14" s="232"/>
      <c r="G14" s="232"/>
      <c r="H14" s="232"/>
    </row>
    <row r="15" spans="1:10" x14ac:dyDescent="0.3">
      <c r="A15" s="5"/>
      <c r="H15" s="186"/>
    </row>
    <row r="16" spans="1:10" x14ac:dyDescent="0.3">
      <c r="A16" s="5" t="s">
        <v>48</v>
      </c>
      <c r="B16" t="s">
        <v>129</v>
      </c>
      <c r="H16" s="187">
        <f>392270+392270*2%</f>
        <v>400115.4</v>
      </c>
    </row>
    <row r="17" spans="1:10" x14ac:dyDescent="0.3">
      <c r="A17" s="188" t="s">
        <v>163</v>
      </c>
      <c r="H17" s="294">
        <v>4030.28</v>
      </c>
    </row>
    <row r="18" spans="1:10" x14ac:dyDescent="0.3">
      <c r="A18" s="189" t="s">
        <v>5</v>
      </c>
      <c r="B18" s="190"/>
      <c r="C18" s="190"/>
      <c r="D18" s="190"/>
      <c r="E18" s="190"/>
      <c r="F18" s="190"/>
      <c r="G18" s="190"/>
      <c r="H18" s="191">
        <f>SUM(H15:H17)</f>
        <v>404145.68000000005</v>
      </c>
    </row>
    <row r="19" spans="1:10" ht="0.75" customHeight="1" x14ac:dyDescent="0.3">
      <c r="A19" s="7"/>
      <c r="B19" s="2"/>
      <c r="C19" s="2"/>
      <c r="D19" s="2"/>
      <c r="E19" s="2"/>
      <c r="F19" s="2"/>
      <c r="G19" s="2"/>
      <c r="H19" s="8"/>
    </row>
    <row r="20" spans="1:10" x14ac:dyDescent="0.3">
      <c r="A20" s="233" t="s">
        <v>6</v>
      </c>
      <c r="B20" s="234"/>
      <c r="C20" s="234"/>
      <c r="D20" s="234"/>
      <c r="E20" s="234"/>
      <c r="F20" s="234"/>
      <c r="G20" s="234"/>
      <c r="H20" s="235"/>
    </row>
    <row r="21" spans="1:10" x14ac:dyDescent="0.3">
      <c r="A21" s="5" t="s">
        <v>47</v>
      </c>
      <c r="C21" s="192"/>
      <c r="H21" s="293">
        <v>17684.560000000001</v>
      </c>
    </row>
    <row r="22" spans="1:10" x14ac:dyDescent="0.3">
      <c r="A22" s="5" t="s">
        <v>46</v>
      </c>
      <c r="C22" s="192"/>
      <c r="H22" s="293">
        <v>1051844.78</v>
      </c>
    </row>
    <row r="23" spans="1:10" x14ac:dyDescent="0.3">
      <c r="A23" s="189" t="s">
        <v>7</v>
      </c>
      <c r="B23" s="190"/>
      <c r="C23" s="190"/>
      <c r="D23" s="190"/>
      <c r="E23" s="190"/>
      <c r="F23" s="190"/>
      <c r="G23" s="190"/>
      <c r="H23" s="194">
        <f>SUM(H21:H22)</f>
        <v>1069529.3400000001</v>
      </c>
    </row>
    <row r="24" spans="1:10" x14ac:dyDescent="0.3">
      <c r="A24" s="232" t="s">
        <v>49</v>
      </c>
      <c r="B24" s="232"/>
      <c r="C24" s="232"/>
      <c r="D24" s="232"/>
      <c r="E24" s="232"/>
      <c r="F24" s="232"/>
      <c r="G24" s="232"/>
      <c r="H24" s="232"/>
      <c r="J24" s="18"/>
    </row>
    <row r="25" spans="1:10" x14ac:dyDescent="0.3">
      <c r="A25" s="188" t="s">
        <v>152</v>
      </c>
      <c r="C25" s="192"/>
      <c r="H25" s="293">
        <v>48079.519999999997</v>
      </c>
      <c r="I25" s="13"/>
      <c r="J25" s="13"/>
    </row>
    <row r="26" spans="1:10" x14ac:dyDescent="0.3">
      <c r="A26" s="188" t="s">
        <v>146</v>
      </c>
      <c r="C26" s="192"/>
      <c r="H26" s="193">
        <v>0</v>
      </c>
      <c r="I26" s="13"/>
      <c r="J26" s="13"/>
    </row>
    <row r="27" spans="1:10" x14ac:dyDescent="0.3">
      <c r="A27" s="188" t="s">
        <v>165</v>
      </c>
      <c r="C27" s="192"/>
      <c r="H27" s="293">
        <v>200000</v>
      </c>
      <c r="I27" s="13"/>
      <c r="J27" s="13"/>
    </row>
    <row r="28" spans="1:10" x14ac:dyDescent="0.3">
      <c r="A28" s="188" t="s">
        <v>166</v>
      </c>
      <c r="C28" s="192"/>
      <c r="H28" s="293">
        <v>30000</v>
      </c>
      <c r="I28" s="13"/>
      <c r="J28" s="13"/>
    </row>
    <row r="29" spans="1:10" ht="17.25" customHeight="1" x14ac:dyDescent="0.3">
      <c r="A29" s="188" t="s">
        <v>130</v>
      </c>
      <c r="H29" s="293">
        <v>80000</v>
      </c>
    </row>
    <row r="30" spans="1:10" x14ac:dyDescent="0.3">
      <c r="A30" s="189" t="s">
        <v>8</v>
      </c>
      <c r="B30" s="190"/>
      <c r="C30" s="190"/>
      <c r="D30" s="190"/>
      <c r="E30" s="190"/>
      <c r="F30" s="190"/>
      <c r="G30" s="190"/>
      <c r="H30" s="194">
        <f>SUM(H25:H29)</f>
        <v>358079.52</v>
      </c>
    </row>
    <row r="31" spans="1:10" x14ac:dyDescent="0.3">
      <c r="A31" s="233" t="s">
        <v>50</v>
      </c>
      <c r="B31" s="234"/>
      <c r="C31" s="234"/>
      <c r="D31" s="234"/>
      <c r="E31" s="234"/>
      <c r="F31" s="234"/>
      <c r="G31" s="234"/>
      <c r="H31" s="235"/>
    </row>
    <row r="32" spans="1:10" x14ac:dyDescent="0.3">
      <c r="A32" s="5" t="s">
        <v>9</v>
      </c>
      <c r="C32" t="s">
        <v>10</v>
      </c>
      <c r="H32" s="195">
        <v>97600</v>
      </c>
      <c r="I32" s="31"/>
    </row>
    <row r="33" spans="1:14" x14ac:dyDescent="0.3">
      <c r="A33" s="5" t="s">
        <v>153</v>
      </c>
      <c r="H33" s="195">
        <v>0</v>
      </c>
      <c r="I33" s="31"/>
    </row>
    <row r="34" spans="1:14" x14ac:dyDescent="0.3">
      <c r="A34" s="189" t="s">
        <v>164</v>
      </c>
      <c r="B34" s="190"/>
      <c r="C34" s="190"/>
      <c r="D34" s="190"/>
      <c r="E34" s="190"/>
      <c r="F34" s="190"/>
      <c r="G34" s="190"/>
      <c r="H34" s="196">
        <f>SUM(H32:H33)</f>
        <v>97600</v>
      </c>
      <c r="I34" s="31"/>
      <c r="N34" t="s">
        <v>155</v>
      </c>
    </row>
    <row r="35" spans="1:14" x14ac:dyDescent="0.3">
      <c r="A35" s="5"/>
      <c r="H35" s="197"/>
    </row>
    <row r="36" spans="1:14" x14ac:dyDescent="0.3">
      <c r="A36" s="233" t="s">
        <v>147</v>
      </c>
      <c r="B36" s="234"/>
      <c r="C36" s="234"/>
      <c r="D36" s="234"/>
      <c r="E36" s="234"/>
      <c r="F36" s="234"/>
      <c r="G36" s="234"/>
      <c r="H36" s="235"/>
    </row>
    <row r="37" spans="1:14" x14ac:dyDescent="0.3">
      <c r="A37" s="198" t="s">
        <v>148</v>
      </c>
      <c r="B37" s="199"/>
      <c r="C37" s="199"/>
      <c r="D37" s="199"/>
      <c r="E37" s="199"/>
      <c r="F37" s="199"/>
      <c r="G37" s="199"/>
      <c r="H37" s="200">
        <v>19863.259999999998</v>
      </c>
      <c r="J37" s="14"/>
    </row>
    <row r="38" spans="1:14" s="15" customFormat="1" ht="15.6" x14ac:dyDescent="0.3">
      <c r="A38" s="201" t="s">
        <v>15</v>
      </c>
      <c r="B38" s="202"/>
      <c r="C38" s="202"/>
      <c r="D38" s="202"/>
      <c r="E38" s="202"/>
      <c r="F38" s="202"/>
      <c r="G38" s="202"/>
      <c r="H38" s="203">
        <f>H18+H23+H30+H34+H37</f>
        <v>1949217.8</v>
      </c>
    </row>
    <row r="39" spans="1:14" s="13" customFormat="1" ht="18" x14ac:dyDescent="0.3">
      <c r="A39" s="204" t="s">
        <v>154</v>
      </c>
      <c r="B39" s="205"/>
      <c r="C39" s="205"/>
      <c r="D39" s="205"/>
      <c r="E39" s="205"/>
      <c r="F39" s="205"/>
      <c r="G39" s="205"/>
      <c r="H39" s="206">
        <v>500000</v>
      </c>
    </row>
    <row r="40" spans="1:14" ht="15" customHeight="1" x14ac:dyDescent="0.3">
      <c r="A40" s="223" t="s">
        <v>12</v>
      </c>
      <c r="B40" s="224"/>
      <c r="C40" s="224"/>
      <c r="D40" s="224"/>
      <c r="E40" s="224"/>
      <c r="F40" s="224"/>
      <c r="G40" s="224"/>
      <c r="H40" s="225"/>
      <c r="I40" s="141"/>
      <c r="K40" s="141"/>
    </row>
    <row r="41" spans="1:14" ht="18" customHeight="1" x14ac:dyDescent="0.3">
      <c r="A41" s="226"/>
      <c r="B41" s="227"/>
      <c r="C41" s="227"/>
      <c r="D41" s="227"/>
      <c r="E41" s="227"/>
      <c r="F41" s="227"/>
      <c r="G41" s="227"/>
      <c r="H41" s="228"/>
    </row>
    <row r="42" spans="1:14" ht="16.5" customHeight="1" x14ac:dyDescent="0.3">
      <c r="A42" s="242" t="s">
        <v>151</v>
      </c>
      <c r="B42" s="243"/>
      <c r="C42" s="243"/>
      <c r="D42" s="243"/>
      <c r="E42" s="243"/>
      <c r="F42" s="243"/>
      <c r="G42" s="244"/>
      <c r="H42" s="207">
        <f>520000-350000</f>
        <v>170000</v>
      </c>
    </row>
    <row r="43" spans="1:14" ht="15.75" customHeight="1" x14ac:dyDescent="0.3">
      <c r="A43" s="236"/>
      <c r="B43" s="237"/>
      <c r="C43" s="237"/>
      <c r="D43" s="237"/>
      <c r="E43" s="237"/>
      <c r="F43" s="237"/>
      <c r="G43" s="238"/>
      <c r="H43" s="22"/>
    </row>
    <row r="44" spans="1:14" s="13" customFormat="1" ht="14.25" customHeight="1" x14ac:dyDescent="0.3">
      <c r="A44" s="239" t="s">
        <v>16</v>
      </c>
      <c r="B44" s="240"/>
      <c r="C44" s="240"/>
      <c r="D44" s="240"/>
      <c r="E44" s="240"/>
      <c r="F44" s="240"/>
      <c r="G44" s="241"/>
      <c r="H44" s="23">
        <f>SUM(H42:H43)</f>
        <v>170000</v>
      </c>
    </row>
    <row r="45" spans="1:14" s="13" customFormat="1" ht="14.25" customHeight="1" x14ac:dyDescent="0.3">
      <c r="A45" s="157"/>
      <c r="B45" s="157"/>
      <c r="C45" s="157"/>
      <c r="D45" s="157"/>
      <c r="E45" s="157"/>
      <c r="F45" s="157"/>
      <c r="G45" s="157"/>
      <c r="H45" s="158"/>
    </row>
    <row r="46" spans="1:14" ht="15" customHeight="1" x14ac:dyDescent="0.3">
      <c r="H46" s="17"/>
      <c r="J46" s="14"/>
    </row>
    <row r="47" spans="1:14" ht="54.75" customHeight="1" x14ac:dyDescent="0.3">
      <c r="A47" s="221" t="s">
        <v>131</v>
      </c>
      <c r="B47" s="221"/>
      <c r="C47" s="221"/>
      <c r="D47" s="221"/>
      <c r="E47" s="221"/>
      <c r="F47" s="221"/>
      <c r="G47" s="221"/>
      <c r="H47" s="21">
        <f>+H38+H39</f>
        <v>2449217.7999999998</v>
      </c>
      <c r="J47" s="141"/>
    </row>
    <row r="48" spans="1:14" x14ac:dyDescent="0.3">
      <c r="A48" s="17"/>
      <c r="B48" s="17"/>
      <c r="C48" s="17"/>
      <c r="D48" s="17"/>
      <c r="E48" s="17"/>
      <c r="F48" s="17"/>
      <c r="G48" s="17"/>
      <c r="H48" s="17"/>
    </row>
    <row r="49" spans="1:10" ht="15.6" x14ac:dyDescent="0.3">
      <c r="A49" s="19" t="s">
        <v>140</v>
      </c>
      <c r="B49" s="20"/>
      <c r="C49" s="20"/>
      <c r="D49" s="20"/>
      <c r="E49" s="20"/>
      <c r="F49" s="20"/>
      <c r="G49" s="20"/>
      <c r="H49" s="24">
        <f>H44</f>
        <v>170000</v>
      </c>
    </row>
    <row r="50" spans="1:10" x14ac:dyDescent="0.3">
      <c r="A50" s="17"/>
      <c r="B50" s="17"/>
      <c r="C50" s="17"/>
      <c r="D50" s="17"/>
      <c r="E50" s="17"/>
      <c r="F50" s="17"/>
      <c r="G50" s="17"/>
      <c r="H50" s="17"/>
    </row>
    <row r="51" spans="1:10" ht="18" hidden="1" x14ac:dyDescent="0.35">
      <c r="A51" s="229" t="s">
        <v>13</v>
      </c>
      <c r="B51" s="230"/>
      <c r="C51" s="230"/>
      <c r="D51" s="230"/>
      <c r="E51" s="230"/>
      <c r="F51" s="230"/>
      <c r="G51" s="230"/>
      <c r="H51" s="231"/>
    </row>
    <row r="52" spans="1:10" ht="39" customHeight="1" x14ac:dyDescent="0.35">
      <c r="A52" s="222" t="s">
        <v>137</v>
      </c>
      <c r="B52" s="222"/>
      <c r="C52" s="222"/>
      <c r="D52" s="222"/>
      <c r="E52" s="222"/>
      <c r="F52" s="222"/>
      <c r="G52" s="222"/>
      <c r="H52" s="30">
        <v>1627667.8413207317</v>
      </c>
    </row>
    <row r="53" spans="1:10" x14ac:dyDescent="0.3">
      <c r="A53" s="25" t="s">
        <v>135</v>
      </c>
      <c r="B53" s="26"/>
      <c r="C53" s="26"/>
      <c r="D53" s="26"/>
      <c r="E53" s="26"/>
      <c r="F53" s="26"/>
      <c r="G53" s="26"/>
      <c r="H53" s="32">
        <f>Planilla!I31</f>
        <v>2458640.5300000007</v>
      </c>
    </row>
    <row r="54" spans="1:10" x14ac:dyDescent="0.3">
      <c r="A54" s="25" t="s">
        <v>156</v>
      </c>
      <c r="B54" s="26"/>
      <c r="C54" s="26"/>
      <c r="D54" s="26"/>
      <c r="E54" s="26"/>
      <c r="F54" s="26"/>
      <c r="G54" s="26"/>
      <c r="H54" s="169">
        <v>-4586</v>
      </c>
    </row>
    <row r="55" spans="1:10" x14ac:dyDescent="0.3">
      <c r="A55" s="25" t="s">
        <v>136</v>
      </c>
      <c r="B55" s="26"/>
      <c r="C55" s="26"/>
      <c r="D55" s="26"/>
      <c r="E55" s="26"/>
      <c r="F55" s="26"/>
      <c r="G55" s="26"/>
      <c r="H55" s="27">
        <f>-(H38+H44)</f>
        <v>-2119217.7999999998</v>
      </c>
      <c r="J55" s="14"/>
    </row>
    <row r="56" spans="1:10" ht="18" x14ac:dyDescent="0.35">
      <c r="A56" s="28" t="s">
        <v>14</v>
      </c>
      <c r="B56" s="29"/>
      <c r="C56" s="29"/>
      <c r="D56" s="29"/>
      <c r="E56" s="29"/>
      <c r="F56" s="29"/>
      <c r="G56" s="29"/>
      <c r="H56" s="33">
        <f>SUM(H52:H55)</f>
        <v>1962504.5713207326</v>
      </c>
    </row>
  </sheetData>
  <mergeCells count="14">
    <mergeCell ref="E3:F3"/>
    <mergeCell ref="D6:H8"/>
    <mergeCell ref="A47:G47"/>
    <mergeCell ref="A52:G52"/>
    <mergeCell ref="A40:H41"/>
    <mergeCell ref="A51:H51"/>
    <mergeCell ref="A14:H14"/>
    <mergeCell ref="A20:H20"/>
    <mergeCell ref="A24:H24"/>
    <mergeCell ref="A31:H31"/>
    <mergeCell ref="A36:H36"/>
    <mergeCell ref="A43:G43"/>
    <mergeCell ref="A44:G44"/>
    <mergeCell ref="A42:G42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8"/>
  <sheetViews>
    <sheetView topLeftCell="C1" zoomScaleNormal="100" workbookViewId="0">
      <selection sqref="A1:S1"/>
    </sheetView>
  </sheetViews>
  <sheetFormatPr baseColWidth="10" defaultRowHeight="14.4" x14ac:dyDescent="0.3"/>
  <cols>
    <col min="1" max="1" width="5.44140625" style="34" hidden="1" customWidth="1"/>
    <col min="2" max="2" width="11.33203125" hidden="1" customWidth="1"/>
    <col min="3" max="3" width="12.109375" customWidth="1"/>
    <col min="4" max="4" width="22.109375" customWidth="1"/>
    <col min="5" max="5" width="12.33203125" customWidth="1"/>
    <col min="6" max="6" width="6.33203125" style="36" customWidth="1"/>
    <col min="7" max="7" width="13.33203125" style="35" customWidth="1"/>
    <col min="8" max="8" width="7.5546875" style="35" hidden="1" customWidth="1"/>
    <col min="9" max="9" width="14.6640625" style="35" customWidth="1"/>
    <col min="10" max="10" width="0.44140625" style="35" customWidth="1"/>
    <col min="11" max="11" width="11.109375" style="35" customWidth="1"/>
    <col min="12" max="12" width="0.109375" style="35" customWidth="1"/>
    <col min="13" max="13" width="10.33203125" customWidth="1"/>
    <col min="14" max="14" width="12.88671875" customWidth="1"/>
    <col min="15" max="15" width="12.109375" customWidth="1"/>
    <col min="16" max="16" width="13.5546875" bestFit="1" customWidth="1"/>
    <col min="17" max="17" width="9" bestFit="1" customWidth="1"/>
    <col min="18" max="18" width="13.33203125" customWidth="1"/>
    <col min="19" max="19" width="14" customWidth="1"/>
    <col min="20" max="20" width="12" hidden="1" customWidth="1"/>
  </cols>
  <sheetData>
    <row r="1" spans="1:20" ht="26.25" customHeight="1" thickBot="1" x14ac:dyDescent="0.35">
      <c r="A1" s="246" t="str">
        <f>Gastos!E9</f>
        <v xml:space="preserve">PERIODO: DICIEMBRE 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8"/>
    </row>
    <row r="2" spans="1:20" x14ac:dyDescent="0.3">
      <c r="A2" s="69"/>
      <c r="C2" s="154">
        <f>687024.57+500000</f>
        <v>1187024.5699999998</v>
      </c>
      <c r="F2" s="266" t="s">
        <v>158</v>
      </c>
      <c r="G2" s="267"/>
      <c r="H2" s="267"/>
      <c r="I2" s="267"/>
      <c r="J2" s="267"/>
      <c r="K2" s="268"/>
      <c r="L2" s="12"/>
      <c r="M2" s="256" t="s">
        <v>150</v>
      </c>
      <c r="N2" s="257"/>
      <c r="O2" s="257"/>
      <c r="P2" s="257"/>
      <c r="Q2" s="257"/>
      <c r="R2" s="257"/>
      <c r="S2" s="258"/>
    </row>
    <row r="3" spans="1:20" x14ac:dyDescent="0.3">
      <c r="A3" s="65"/>
      <c r="D3" s="154">
        <v>500000</v>
      </c>
      <c r="F3" s="269"/>
      <c r="G3" s="270"/>
      <c r="H3" s="270"/>
      <c r="I3" s="270"/>
      <c r="J3" s="270"/>
      <c r="K3" s="271"/>
      <c r="L3" s="67"/>
      <c r="M3" s="259"/>
      <c r="N3" s="260"/>
      <c r="O3" s="260"/>
      <c r="P3" s="260"/>
      <c r="Q3" s="260"/>
      <c r="R3" s="260"/>
      <c r="S3" s="261"/>
    </row>
    <row r="4" spans="1:20" x14ac:dyDescent="0.3">
      <c r="A4" s="65"/>
      <c r="C4" s="265" t="s">
        <v>143</v>
      </c>
      <c r="D4" s="265"/>
      <c r="F4" s="269"/>
      <c r="G4" s="270"/>
      <c r="H4" s="270"/>
      <c r="I4" s="270"/>
      <c r="J4" s="270"/>
      <c r="K4" s="271"/>
      <c r="L4" s="67"/>
      <c r="M4" s="259"/>
      <c r="N4" s="260"/>
      <c r="O4" s="260"/>
      <c r="P4" s="260"/>
      <c r="Q4" s="260"/>
      <c r="R4" s="260"/>
      <c r="S4" s="261"/>
    </row>
    <row r="5" spans="1:20" ht="15" thickBot="1" x14ac:dyDescent="0.35">
      <c r="A5" s="65"/>
      <c r="B5" s="68"/>
      <c r="C5" s="254">
        <f>D3</f>
        <v>500000</v>
      </c>
      <c r="D5" s="254"/>
      <c r="E5" s="12"/>
      <c r="F5" s="272"/>
      <c r="G5" s="273"/>
      <c r="H5" s="273"/>
      <c r="I5" s="273"/>
      <c r="J5" s="273"/>
      <c r="K5" s="274"/>
      <c r="L5" s="67"/>
      <c r="M5" s="259"/>
      <c r="N5" s="260"/>
      <c r="O5" s="260"/>
      <c r="P5" s="260"/>
      <c r="Q5" s="260"/>
      <c r="R5" s="260"/>
      <c r="S5" s="261"/>
    </row>
    <row r="6" spans="1:20" x14ac:dyDescent="0.3">
      <c r="A6" s="65"/>
      <c r="C6" s="12" t="s">
        <v>142</v>
      </c>
      <c r="D6" s="12"/>
      <c r="E6" s="12"/>
      <c r="F6" s="275" t="s">
        <v>159</v>
      </c>
      <c r="G6" s="276"/>
      <c r="H6" s="276"/>
      <c r="I6" s="276"/>
      <c r="J6" s="276"/>
      <c r="K6" s="277"/>
      <c r="L6" s="37"/>
      <c r="M6" s="259"/>
      <c r="N6" s="260"/>
      <c r="O6" s="260"/>
      <c r="P6" s="260"/>
      <c r="Q6" s="260"/>
      <c r="R6" s="260"/>
      <c r="S6" s="261"/>
    </row>
    <row r="7" spans="1:20" x14ac:dyDescent="0.3">
      <c r="A7" s="65"/>
      <c r="B7" s="64"/>
      <c r="C7" s="254">
        <f>C2-D3</f>
        <v>687024.56999999983</v>
      </c>
      <c r="D7" s="254"/>
      <c r="E7" s="66"/>
      <c r="F7" s="278"/>
      <c r="G7" s="279"/>
      <c r="H7" s="279"/>
      <c r="I7" s="279"/>
      <c r="J7" s="279"/>
      <c r="K7" s="280"/>
      <c r="L7" s="37"/>
      <c r="M7" s="259"/>
      <c r="N7" s="260"/>
      <c r="O7" s="260"/>
      <c r="P7" s="260"/>
      <c r="Q7" s="260"/>
      <c r="R7" s="260"/>
      <c r="S7" s="261"/>
    </row>
    <row r="8" spans="1:20" x14ac:dyDescent="0.3">
      <c r="A8" s="65"/>
      <c r="B8" s="64"/>
      <c r="C8" s="64" t="s">
        <v>32</v>
      </c>
      <c r="D8" s="64"/>
      <c r="E8" s="64"/>
      <c r="F8" s="278"/>
      <c r="G8" s="279"/>
      <c r="H8" s="279"/>
      <c r="I8" s="279"/>
      <c r="J8" s="279"/>
      <c r="K8" s="280"/>
      <c r="L8" s="37"/>
      <c r="M8" s="259"/>
      <c r="N8" s="260"/>
      <c r="O8" s="260"/>
      <c r="P8" s="260"/>
      <c r="Q8" s="260"/>
      <c r="R8" s="260"/>
      <c r="S8" s="261"/>
    </row>
    <row r="9" spans="1:20" ht="39" customHeight="1" thickBot="1" x14ac:dyDescent="0.35">
      <c r="A9" s="63"/>
      <c r="B9" s="62"/>
      <c r="C9" s="255">
        <v>170000</v>
      </c>
      <c r="D9" s="255"/>
      <c r="E9" s="61"/>
      <c r="F9" s="281"/>
      <c r="G9" s="282"/>
      <c r="H9" s="282"/>
      <c r="I9" s="282"/>
      <c r="J9" s="282"/>
      <c r="K9" s="283"/>
      <c r="L9" s="60"/>
      <c r="M9" s="262"/>
      <c r="N9" s="263"/>
      <c r="O9" s="263"/>
      <c r="P9" s="263"/>
      <c r="Q9" s="263"/>
      <c r="R9" s="263"/>
      <c r="S9" s="264"/>
    </row>
    <row r="10" spans="1:20" ht="44.25" customHeight="1" x14ac:dyDescent="0.3">
      <c r="A10" s="59" t="s">
        <v>31</v>
      </c>
      <c r="B10" s="55" t="s">
        <v>30</v>
      </c>
      <c r="C10" s="58" t="s">
        <v>29</v>
      </c>
      <c r="D10" s="58" t="s">
        <v>29</v>
      </c>
      <c r="E10" s="58" t="s">
        <v>28</v>
      </c>
      <c r="F10" s="57" t="s">
        <v>27</v>
      </c>
      <c r="G10" s="56" t="s">
        <v>96</v>
      </c>
      <c r="H10" s="56" t="s">
        <v>26</v>
      </c>
      <c r="I10" s="56" t="s">
        <v>25</v>
      </c>
      <c r="J10" s="56" t="s">
        <v>24</v>
      </c>
      <c r="K10" s="56" t="s">
        <v>23</v>
      </c>
      <c r="L10" s="56" t="s">
        <v>22</v>
      </c>
      <c r="M10" s="55" t="s">
        <v>128</v>
      </c>
      <c r="N10" s="55" t="s">
        <v>21</v>
      </c>
      <c r="O10" s="55" t="s">
        <v>141</v>
      </c>
      <c r="P10" s="55" t="s">
        <v>20</v>
      </c>
      <c r="Q10" s="55" t="s">
        <v>24</v>
      </c>
      <c r="R10" s="55" t="str">
        <f>"1ER vto - " &amp; Gastos!H9 &amp; "'"</f>
        <v>1ER vto - VTO: 15/01'</v>
      </c>
      <c r="S10" s="55" t="s">
        <v>157</v>
      </c>
    </row>
    <row r="11" spans="1:20" ht="29.25" customHeight="1" x14ac:dyDescent="0.3">
      <c r="A11" s="148" t="s">
        <v>68</v>
      </c>
      <c r="B11" s="149"/>
      <c r="C11" s="150" t="s">
        <v>33</v>
      </c>
      <c r="D11" s="151" t="s">
        <v>87</v>
      </c>
      <c r="E11" s="137"/>
      <c r="F11" s="152">
        <v>7.9</v>
      </c>
      <c r="G11" s="161">
        <v>150476.01</v>
      </c>
      <c r="H11" s="161">
        <v>0</v>
      </c>
      <c r="I11" s="164">
        <v>154990.01</v>
      </c>
      <c r="J11" s="48" t="e">
        <f>C8*F11/100</f>
        <v>#VALUE!</v>
      </c>
      <c r="K11" s="48">
        <f t="shared" ref="K11:K18" si="0">G11-H11-I11</f>
        <v>-4514</v>
      </c>
      <c r="L11" s="48"/>
      <c r="M11" s="153">
        <f>(K11+L11)*3%</f>
        <v>-135.41999999999999</v>
      </c>
      <c r="N11" s="153">
        <f t="shared" ref="N11:N19" si="1">K11+M11+L11</f>
        <v>-4649.42</v>
      </c>
      <c r="O11" s="48">
        <f>C$7*F11/100</f>
        <v>54274.941029999994</v>
      </c>
      <c r="P11" s="48">
        <f>C$9*F11/100</f>
        <v>13430</v>
      </c>
      <c r="Q11" s="48">
        <f>C$5*F11/100</f>
        <v>39500</v>
      </c>
      <c r="R11" s="161">
        <f>ROUND(O11+N11+P11+Q11,0) + T11</f>
        <v>102556.01</v>
      </c>
      <c r="S11" s="160">
        <f>ROUND(R11+R11*3%,0) + T11</f>
        <v>105633.01</v>
      </c>
      <c r="T11" s="31">
        <v>0.01</v>
      </c>
    </row>
    <row r="12" spans="1:20" ht="21" customHeight="1" x14ac:dyDescent="0.3">
      <c r="A12" s="142" t="s">
        <v>69</v>
      </c>
      <c r="B12" s="135"/>
      <c r="C12" s="143" t="s">
        <v>34</v>
      </c>
      <c r="D12" s="144" t="s">
        <v>88</v>
      </c>
      <c r="E12" s="145"/>
      <c r="F12" s="146">
        <v>7.9</v>
      </c>
      <c r="G12" s="164">
        <v>150476.01999999999</v>
      </c>
      <c r="H12" s="164">
        <v>0</v>
      </c>
      <c r="I12" s="164">
        <f t="shared" ref="I12" si="2">G12</f>
        <v>150476.01999999999</v>
      </c>
      <c r="J12" s="133" t="e">
        <f>C8*F12/100</f>
        <v>#VALUE!</v>
      </c>
      <c r="K12" s="133">
        <f t="shared" si="0"/>
        <v>0</v>
      </c>
      <c r="L12" s="133"/>
      <c r="M12" s="139">
        <f t="shared" ref="M12:M29" si="3">(K12+L12)*3%</f>
        <v>0</v>
      </c>
      <c r="N12" s="139">
        <f t="shared" si="1"/>
        <v>0</v>
      </c>
      <c r="O12" s="133">
        <f t="shared" ref="O12:O29" si="4">C$7*F12/100</f>
        <v>54274.941029999994</v>
      </c>
      <c r="P12" s="48">
        <f t="shared" ref="P12:P29" si="5">C$9*F12/100</f>
        <v>13430</v>
      </c>
      <c r="Q12" s="48">
        <f t="shared" ref="Q12:Q22" si="6">C$5*F12/100</f>
        <v>39500</v>
      </c>
      <c r="R12" s="161">
        <f t="shared" ref="R12:R29" si="7">ROUND(O12+N12+P12+Q12,0) + T12</f>
        <v>107205.02</v>
      </c>
      <c r="S12" s="160">
        <f t="shared" ref="S12:S29" si="8">ROUND(R12+R12*3%,0) + T12</f>
        <v>110421.02</v>
      </c>
      <c r="T12" s="31">
        <f t="shared" ref="T12:T29" si="9">T11+0.01</f>
        <v>0.02</v>
      </c>
    </row>
    <row r="13" spans="1:20" ht="21" customHeight="1" x14ac:dyDescent="0.3">
      <c r="A13" s="134" t="s">
        <v>70</v>
      </c>
      <c r="B13" s="135"/>
      <c r="C13" s="71" t="s">
        <v>35</v>
      </c>
      <c r="D13" s="136" t="s">
        <v>89</v>
      </c>
      <c r="E13" s="137" t="s">
        <v>97</v>
      </c>
      <c r="F13" s="138">
        <v>7.9</v>
      </c>
      <c r="G13" s="161">
        <v>150476.03</v>
      </c>
      <c r="H13" s="164">
        <v>0</v>
      </c>
      <c r="I13" s="164"/>
      <c r="J13" s="133" t="e">
        <f>C8*F13/100</f>
        <v>#VALUE!</v>
      </c>
      <c r="K13" s="133">
        <f t="shared" si="0"/>
        <v>150476.03</v>
      </c>
      <c r="L13" s="133"/>
      <c r="M13" s="139">
        <f t="shared" si="3"/>
        <v>4514.2808999999997</v>
      </c>
      <c r="N13" s="139">
        <f t="shared" si="1"/>
        <v>154990.31090000001</v>
      </c>
      <c r="O13" s="133">
        <f t="shared" si="4"/>
        <v>54274.941029999994</v>
      </c>
      <c r="P13" s="48">
        <f t="shared" si="5"/>
        <v>13430</v>
      </c>
      <c r="Q13" s="48">
        <f t="shared" si="6"/>
        <v>39500</v>
      </c>
      <c r="R13" s="161">
        <f t="shared" si="7"/>
        <v>262195.03000000003</v>
      </c>
      <c r="S13" s="160">
        <f t="shared" si="8"/>
        <v>270061.03000000003</v>
      </c>
      <c r="T13" s="31">
        <f t="shared" si="9"/>
        <v>0.03</v>
      </c>
    </row>
    <row r="14" spans="1:20" ht="21" customHeight="1" x14ac:dyDescent="0.3">
      <c r="A14" s="85" t="s">
        <v>71</v>
      </c>
      <c r="B14" s="54"/>
      <c r="C14" s="70" t="s">
        <v>36</v>
      </c>
      <c r="D14" s="131" t="s">
        <v>90</v>
      </c>
      <c r="E14" s="88"/>
      <c r="F14" s="72">
        <v>7.9</v>
      </c>
      <c r="G14" s="165">
        <v>150476.04</v>
      </c>
      <c r="H14" s="166"/>
      <c r="I14" s="164">
        <v>154990.04</v>
      </c>
      <c r="J14" s="46" t="e">
        <f>C8*F14/100</f>
        <v>#VALUE!</v>
      </c>
      <c r="K14" s="46">
        <f t="shared" si="0"/>
        <v>-4514</v>
      </c>
      <c r="L14" s="47"/>
      <c r="M14" s="45">
        <f t="shared" si="3"/>
        <v>-135.41999999999999</v>
      </c>
      <c r="N14" s="45">
        <f t="shared" si="1"/>
        <v>-4649.42</v>
      </c>
      <c r="O14" s="46">
        <f t="shared" si="4"/>
        <v>54274.941029999994</v>
      </c>
      <c r="P14" s="48">
        <f t="shared" si="5"/>
        <v>13430</v>
      </c>
      <c r="Q14" s="48">
        <f t="shared" si="6"/>
        <v>39500</v>
      </c>
      <c r="R14" s="161">
        <f t="shared" si="7"/>
        <v>102556.04</v>
      </c>
      <c r="S14" s="160">
        <f t="shared" si="8"/>
        <v>105633.04</v>
      </c>
      <c r="T14" s="31">
        <f t="shared" si="9"/>
        <v>0.04</v>
      </c>
    </row>
    <row r="15" spans="1:20" ht="21" customHeight="1" x14ac:dyDescent="0.3">
      <c r="A15" s="85" t="s">
        <v>72</v>
      </c>
      <c r="B15" s="52"/>
      <c r="C15" s="70" t="s">
        <v>37</v>
      </c>
      <c r="D15" s="86" t="s">
        <v>91</v>
      </c>
      <c r="E15" s="88"/>
      <c r="F15" s="72">
        <v>7.9</v>
      </c>
      <c r="G15" s="167">
        <v>150476.04999999999</v>
      </c>
      <c r="H15" s="166">
        <v>0</v>
      </c>
      <c r="I15" s="164">
        <f>154990.05</f>
        <v>154990.04999999999</v>
      </c>
      <c r="J15" s="46" t="e">
        <f>C8*F15/100</f>
        <v>#VALUE!</v>
      </c>
      <c r="K15" s="46">
        <f t="shared" si="0"/>
        <v>-4514</v>
      </c>
      <c r="L15" s="46"/>
      <c r="M15" s="45">
        <f t="shared" si="3"/>
        <v>-135.41999999999999</v>
      </c>
      <c r="N15" s="45">
        <f t="shared" si="1"/>
        <v>-4649.42</v>
      </c>
      <c r="O15" s="46">
        <f t="shared" si="4"/>
        <v>54274.941029999994</v>
      </c>
      <c r="P15" s="48">
        <f t="shared" si="5"/>
        <v>13430</v>
      </c>
      <c r="Q15" s="48">
        <f t="shared" si="6"/>
        <v>39500</v>
      </c>
      <c r="R15" s="161">
        <f t="shared" si="7"/>
        <v>102556.05</v>
      </c>
      <c r="S15" s="160">
        <f t="shared" si="8"/>
        <v>105633.05</v>
      </c>
      <c r="T15" s="31">
        <f t="shared" si="9"/>
        <v>0.05</v>
      </c>
    </row>
    <row r="16" spans="1:20" ht="21" customHeight="1" x14ac:dyDescent="0.3">
      <c r="A16" s="134" t="s">
        <v>73</v>
      </c>
      <c r="B16" s="135"/>
      <c r="C16" s="172" t="s">
        <v>38</v>
      </c>
      <c r="D16" s="173" t="s">
        <v>144</v>
      </c>
      <c r="E16" s="174" t="s">
        <v>149</v>
      </c>
      <c r="F16" s="175">
        <v>7.9</v>
      </c>
      <c r="G16" s="176">
        <v>150476.06</v>
      </c>
      <c r="H16" s="177">
        <v>0</v>
      </c>
      <c r="I16" s="177">
        <f>163345-I28</f>
        <v>152748.82</v>
      </c>
      <c r="J16" s="178" t="e">
        <f>C8*F16/100</f>
        <v>#VALUE!</v>
      </c>
      <c r="K16" s="178">
        <f t="shared" si="0"/>
        <v>-2272.7600000000093</v>
      </c>
      <c r="L16" s="178"/>
      <c r="M16" s="179">
        <f t="shared" si="3"/>
        <v>-68.18280000000027</v>
      </c>
      <c r="N16" s="179">
        <f t="shared" si="1"/>
        <v>-2340.9428000000098</v>
      </c>
      <c r="O16" s="178">
        <f t="shared" si="4"/>
        <v>54274.941029999994</v>
      </c>
      <c r="P16" s="180">
        <f t="shared" si="5"/>
        <v>13430</v>
      </c>
      <c r="Q16" s="180">
        <f t="shared" si="6"/>
        <v>39500</v>
      </c>
      <c r="R16" s="176">
        <f t="shared" si="7"/>
        <v>104864.06</v>
      </c>
      <c r="S16" s="181">
        <f t="shared" si="8"/>
        <v>108010.06</v>
      </c>
      <c r="T16" s="31">
        <f t="shared" si="9"/>
        <v>6.0000000000000005E-2</v>
      </c>
    </row>
    <row r="17" spans="1:22" ht="21" customHeight="1" x14ac:dyDescent="0.3">
      <c r="A17" s="85" t="s">
        <v>74</v>
      </c>
      <c r="B17" s="52"/>
      <c r="C17" s="172" t="s">
        <v>39</v>
      </c>
      <c r="D17" s="173" t="s">
        <v>92</v>
      </c>
      <c r="E17" s="174" t="s">
        <v>132</v>
      </c>
      <c r="F17" s="175">
        <v>7.9</v>
      </c>
      <c r="G17" s="176">
        <v>161167.07</v>
      </c>
      <c r="H17" s="177">
        <v>0</v>
      </c>
      <c r="I17" s="177">
        <f>176916.2-I23</f>
        <v>166320.07</v>
      </c>
      <c r="J17" s="178" t="e">
        <f>C8*F17/100</f>
        <v>#VALUE!</v>
      </c>
      <c r="K17" s="178">
        <f t="shared" si="0"/>
        <v>-5153</v>
      </c>
      <c r="L17" s="178"/>
      <c r="M17" s="179">
        <f t="shared" si="3"/>
        <v>-154.59</v>
      </c>
      <c r="N17" s="179">
        <f t="shared" si="1"/>
        <v>-5307.59</v>
      </c>
      <c r="O17" s="178">
        <f t="shared" si="4"/>
        <v>54274.941029999994</v>
      </c>
      <c r="P17" s="180">
        <f t="shared" si="5"/>
        <v>13430</v>
      </c>
      <c r="Q17" s="180">
        <f t="shared" si="6"/>
        <v>39500</v>
      </c>
      <c r="R17" s="176">
        <f t="shared" si="7"/>
        <v>101897.07</v>
      </c>
      <c r="S17" s="181">
        <f t="shared" si="8"/>
        <v>104954.07</v>
      </c>
      <c r="T17" s="31">
        <f t="shared" si="9"/>
        <v>7.0000000000000007E-2</v>
      </c>
    </row>
    <row r="18" spans="1:22" ht="21" customHeight="1" x14ac:dyDescent="0.3">
      <c r="A18" s="134" t="s">
        <v>75</v>
      </c>
      <c r="B18" s="135"/>
      <c r="C18" s="71" t="s">
        <v>40</v>
      </c>
      <c r="D18" s="136" t="s">
        <v>134</v>
      </c>
      <c r="E18" s="137" t="s">
        <v>133</v>
      </c>
      <c r="F18" s="138">
        <v>7.9</v>
      </c>
      <c r="G18" s="161">
        <v>308030.08000000002</v>
      </c>
      <c r="H18" s="164">
        <v>0</v>
      </c>
      <c r="I18" s="164">
        <f>G18</f>
        <v>308030.08000000002</v>
      </c>
      <c r="J18" s="133" t="e">
        <f>C8*F18/100</f>
        <v>#VALUE!</v>
      </c>
      <c r="K18" s="133">
        <f t="shared" si="0"/>
        <v>0</v>
      </c>
      <c r="L18" s="133"/>
      <c r="M18" s="139">
        <f t="shared" si="3"/>
        <v>0</v>
      </c>
      <c r="N18" s="139">
        <f t="shared" si="1"/>
        <v>0</v>
      </c>
      <c r="O18" s="133">
        <f t="shared" si="4"/>
        <v>54274.941029999994</v>
      </c>
      <c r="P18" s="48">
        <f t="shared" si="5"/>
        <v>13430</v>
      </c>
      <c r="Q18" s="48">
        <f t="shared" si="6"/>
        <v>39500</v>
      </c>
      <c r="R18" s="161">
        <f t="shared" si="7"/>
        <v>107205.08</v>
      </c>
      <c r="S18" s="160">
        <f t="shared" si="8"/>
        <v>110421.08</v>
      </c>
      <c r="T18" s="31">
        <f t="shared" si="9"/>
        <v>0.08</v>
      </c>
    </row>
    <row r="19" spans="1:22" ht="24" customHeight="1" x14ac:dyDescent="0.3">
      <c r="A19" s="134" t="s">
        <v>76</v>
      </c>
      <c r="B19" s="135"/>
      <c r="C19" s="71" t="s">
        <v>41</v>
      </c>
      <c r="D19" s="136" t="s">
        <v>93</v>
      </c>
      <c r="E19" s="137"/>
      <c r="F19" s="138">
        <v>7.9</v>
      </c>
      <c r="G19" s="161">
        <v>150476.09</v>
      </c>
      <c r="H19" s="164">
        <v>0</v>
      </c>
      <c r="I19" s="164">
        <v>154990.09</v>
      </c>
      <c r="J19" s="133" t="e">
        <f>C8*F19/100</f>
        <v>#VALUE!</v>
      </c>
      <c r="K19" s="133">
        <f t="shared" ref="K19:K29" si="10">G19-H19-I19</f>
        <v>-4514</v>
      </c>
      <c r="L19" s="133">
        <f>G19-I19</f>
        <v>-4514</v>
      </c>
      <c r="M19" s="139">
        <f t="shared" si="3"/>
        <v>-270.83999999999997</v>
      </c>
      <c r="N19" s="139">
        <f t="shared" si="1"/>
        <v>-9298.84</v>
      </c>
      <c r="O19" s="133">
        <f t="shared" si="4"/>
        <v>54274.941029999994</v>
      </c>
      <c r="P19" s="48">
        <f t="shared" si="5"/>
        <v>13430</v>
      </c>
      <c r="Q19" s="48">
        <f t="shared" si="6"/>
        <v>39500</v>
      </c>
      <c r="R19" s="161">
        <f t="shared" si="7"/>
        <v>97906.09</v>
      </c>
      <c r="S19" s="160">
        <f t="shared" si="8"/>
        <v>100843.09</v>
      </c>
      <c r="T19" s="31">
        <f t="shared" si="9"/>
        <v>0.09</v>
      </c>
    </row>
    <row r="20" spans="1:22" ht="21" customHeight="1" x14ac:dyDescent="0.3">
      <c r="A20" s="170" t="s">
        <v>77</v>
      </c>
      <c r="B20" s="135"/>
      <c r="C20" s="172" t="s">
        <v>42</v>
      </c>
      <c r="D20" s="173" t="s">
        <v>94</v>
      </c>
      <c r="E20" s="174"/>
      <c r="F20" s="175">
        <v>7.9</v>
      </c>
      <c r="G20" s="176">
        <v>308030.09999999998</v>
      </c>
      <c r="H20" s="177"/>
      <c r="I20" s="177">
        <f>142126+165904.25</f>
        <v>308030.25</v>
      </c>
      <c r="J20" s="178"/>
      <c r="K20" s="178">
        <f t="shared" si="10"/>
        <v>-0.15000000002328306</v>
      </c>
      <c r="L20" s="178"/>
      <c r="M20" s="179">
        <f t="shared" si="3"/>
        <v>-4.5000000006984921E-3</v>
      </c>
      <c r="N20" s="179">
        <f t="shared" ref="N20:N29" si="11">K20+M20+L20</f>
        <v>-0.15450000002398157</v>
      </c>
      <c r="O20" s="178">
        <f t="shared" si="4"/>
        <v>54274.941029999994</v>
      </c>
      <c r="P20" s="180">
        <f t="shared" si="5"/>
        <v>13430</v>
      </c>
      <c r="Q20" s="180">
        <f t="shared" si="6"/>
        <v>39500</v>
      </c>
      <c r="R20" s="176">
        <f t="shared" si="7"/>
        <v>107205.1</v>
      </c>
      <c r="S20" s="181">
        <f t="shared" si="8"/>
        <v>110421.1</v>
      </c>
      <c r="T20" s="163">
        <f t="shared" si="9"/>
        <v>9.9999999999999992E-2</v>
      </c>
      <c r="U20" s="13"/>
    </row>
    <row r="21" spans="1:22" ht="24" customHeight="1" x14ac:dyDescent="0.3">
      <c r="A21" s="170" t="s">
        <v>78</v>
      </c>
      <c r="B21" s="135"/>
      <c r="C21" s="172" t="s">
        <v>43</v>
      </c>
      <c r="D21" s="173" t="s">
        <v>95</v>
      </c>
      <c r="E21" s="174" t="s">
        <v>98</v>
      </c>
      <c r="F21" s="175">
        <v>7.9</v>
      </c>
      <c r="G21" s="176">
        <v>308030.11</v>
      </c>
      <c r="H21" s="177"/>
      <c r="I21" s="177">
        <f>339197-I24</f>
        <v>317909.86</v>
      </c>
      <c r="J21" s="178"/>
      <c r="K21" s="178">
        <f t="shared" si="10"/>
        <v>-9879.75</v>
      </c>
      <c r="L21" s="178"/>
      <c r="M21" s="179">
        <f t="shared" si="3"/>
        <v>-296.39249999999998</v>
      </c>
      <c r="N21" s="179">
        <f t="shared" si="11"/>
        <v>-10176.1425</v>
      </c>
      <c r="O21" s="178">
        <f t="shared" si="4"/>
        <v>54274.941029999994</v>
      </c>
      <c r="P21" s="180">
        <f t="shared" si="5"/>
        <v>13430</v>
      </c>
      <c r="Q21" s="180">
        <f t="shared" si="6"/>
        <v>39500</v>
      </c>
      <c r="R21" s="176">
        <f t="shared" si="7"/>
        <v>97029.11</v>
      </c>
      <c r="S21" s="181">
        <f t="shared" si="8"/>
        <v>99940.11</v>
      </c>
      <c r="T21" s="31">
        <f t="shared" si="9"/>
        <v>0.10999999999999999</v>
      </c>
    </row>
    <row r="22" spans="1:22" ht="24.75" customHeight="1" x14ac:dyDescent="0.3">
      <c r="A22" s="170" t="s">
        <v>79</v>
      </c>
      <c r="B22" s="171"/>
      <c r="C22" s="172" t="s">
        <v>44</v>
      </c>
      <c r="D22" s="173" t="s">
        <v>139</v>
      </c>
      <c r="E22" s="174" t="s">
        <v>138</v>
      </c>
      <c r="F22" s="175">
        <v>7.9</v>
      </c>
      <c r="G22" s="176">
        <v>308030.12</v>
      </c>
      <c r="H22" s="177"/>
      <c r="I22" s="177">
        <f>339197.31-I29</f>
        <v>317910.12</v>
      </c>
      <c r="J22" s="178"/>
      <c r="K22" s="178">
        <f t="shared" si="10"/>
        <v>-9880</v>
      </c>
      <c r="L22" s="178"/>
      <c r="M22" s="179">
        <f t="shared" si="3"/>
        <v>-296.39999999999998</v>
      </c>
      <c r="N22" s="179">
        <f t="shared" si="11"/>
        <v>-10176.4</v>
      </c>
      <c r="O22" s="178">
        <f t="shared" si="4"/>
        <v>54274.941029999994</v>
      </c>
      <c r="P22" s="180">
        <f t="shared" si="5"/>
        <v>13430</v>
      </c>
      <c r="Q22" s="180">
        <f t="shared" si="6"/>
        <v>39500</v>
      </c>
      <c r="R22" s="176">
        <f t="shared" si="7"/>
        <v>97029.119999999995</v>
      </c>
      <c r="S22" s="181">
        <f t="shared" si="8"/>
        <v>99940.12</v>
      </c>
      <c r="T22" s="31">
        <f t="shared" si="9"/>
        <v>0.11999999999999998</v>
      </c>
    </row>
    <row r="23" spans="1:22" ht="21" customHeight="1" x14ac:dyDescent="0.3">
      <c r="A23" s="85"/>
      <c r="B23" s="52"/>
      <c r="C23" s="172" t="s">
        <v>80</v>
      </c>
      <c r="D23" s="182" t="str">
        <f>D17</f>
        <v>Estevez Norberto Omar</v>
      </c>
      <c r="E23" s="174" t="s">
        <v>132</v>
      </c>
      <c r="F23" s="175">
        <v>0.74</v>
      </c>
      <c r="G23" s="176">
        <v>10596.13</v>
      </c>
      <c r="H23" s="177"/>
      <c r="I23" s="177">
        <f>G23</f>
        <v>10596.13</v>
      </c>
      <c r="J23" s="178"/>
      <c r="K23" s="178">
        <f t="shared" si="10"/>
        <v>0</v>
      </c>
      <c r="L23" s="178"/>
      <c r="M23" s="179">
        <f t="shared" si="3"/>
        <v>0</v>
      </c>
      <c r="N23" s="179">
        <f t="shared" si="11"/>
        <v>0</v>
      </c>
      <c r="O23" s="178">
        <f t="shared" si="4"/>
        <v>5083.9818179999984</v>
      </c>
      <c r="P23" s="180">
        <f t="shared" si="5"/>
        <v>1258</v>
      </c>
      <c r="Q23" s="178"/>
      <c r="R23" s="176">
        <f t="shared" si="7"/>
        <v>6342.13</v>
      </c>
      <c r="S23" s="181">
        <f t="shared" si="8"/>
        <v>6532.13</v>
      </c>
      <c r="T23" s="31">
        <f t="shared" si="9"/>
        <v>0.12999999999999998</v>
      </c>
    </row>
    <row r="24" spans="1:22" ht="24.75" customHeight="1" x14ac:dyDescent="0.3">
      <c r="A24" s="170"/>
      <c r="B24" s="135"/>
      <c r="C24" s="172" t="s">
        <v>81</v>
      </c>
      <c r="D24" s="182" t="str">
        <f>D21</f>
        <v>Moro Vanesa Yania / Juan Carlos Moro</v>
      </c>
      <c r="E24" s="174" t="s">
        <v>98</v>
      </c>
      <c r="F24" s="175">
        <v>0.74</v>
      </c>
      <c r="G24" s="176">
        <v>21287.14</v>
      </c>
      <c r="H24" s="177"/>
      <c r="I24" s="177">
        <f>G24</f>
        <v>21287.14</v>
      </c>
      <c r="J24" s="178"/>
      <c r="K24" s="178">
        <f t="shared" si="10"/>
        <v>0</v>
      </c>
      <c r="L24" s="178"/>
      <c r="M24" s="179">
        <f t="shared" si="3"/>
        <v>0</v>
      </c>
      <c r="N24" s="179">
        <f t="shared" si="11"/>
        <v>0</v>
      </c>
      <c r="O24" s="178">
        <f t="shared" si="4"/>
        <v>5083.9818179999984</v>
      </c>
      <c r="P24" s="180">
        <f t="shared" si="5"/>
        <v>1258</v>
      </c>
      <c r="Q24" s="178">
        <f>'Calculo Servicios  (2)'!H22</f>
        <v>0</v>
      </c>
      <c r="R24" s="176">
        <f t="shared" si="7"/>
        <v>6342.14</v>
      </c>
      <c r="S24" s="181">
        <f t="shared" si="8"/>
        <v>6532.14</v>
      </c>
      <c r="T24" s="31">
        <f t="shared" si="9"/>
        <v>0.13999999999999999</v>
      </c>
    </row>
    <row r="25" spans="1:22" ht="21" customHeight="1" x14ac:dyDescent="0.3">
      <c r="A25" s="85"/>
      <c r="B25" s="52"/>
      <c r="C25" s="208" t="s">
        <v>82</v>
      </c>
      <c r="D25" s="209" t="str">
        <f>D20</f>
        <v>Scarlercio Jorge Omar</v>
      </c>
      <c r="E25" s="209"/>
      <c r="F25" s="210">
        <v>0.74</v>
      </c>
      <c r="G25" s="211">
        <v>21287.15</v>
      </c>
      <c r="H25" s="212"/>
      <c r="I25" s="212">
        <f>G25</f>
        <v>21287.15</v>
      </c>
      <c r="J25" s="213"/>
      <c r="K25" s="213">
        <f t="shared" si="10"/>
        <v>0</v>
      </c>
      <c r="L25" s="213"/>
      <c r="M25" s="214">
        <f t="shared" si="3"/>
        <v>0</v>
      </c>
      <c r="N25" s="214">
        <f t="shared" si="11"/>
        <v>0</v>
      </c>
      <c r="O25" s="213">
        <f t="shared" si="4"/>
        <v>5083.9818179999984</v>
      </c>
      <c r="P25" s="215">
        <f t="shared" si="5"/>
        <v>1258</v>
      </c>
      <c r="Q25" s="213">
        <f>'Calculo Servicios  (2)'!H23</f>
        <v>0</v>
      </c>
      <c r="R25" s="211">
        <f t="shared" si="7"/>
        <v>6342.15</v>
      </c>
      <c r="S25" s="216">
        <f t="shared" si="8"/>
        <v>6532.15</v>
      </c>
      <c r="T25" s="31">
        <f t="shared" si="9"/>
        <v>0.15</v>
      </c>
      <c r="U25" s="217" t="s">
        <v>160</v>
      </c>
    </row>
    <row r="26" spans="1:22" ht="21" customHeight="1" x14ac:dyDescent="0.3">
      <c r="A26" s="134"/>
      <c r="B26" s="132"/>
      <c r="C26" s="71" t="s">
        <v>83</v>
      </c>
      <c r="D26" s="140" t="str">
        <f>D18</f>
        <v>Lopez Gabriela</v>
      </c>
      <c r="E26" s="137" t="s">
        <v>133</v>
      </c>
      <c r="F26" s="138">
        <v>0.74</v>
      </c>
      <c r="G26" s="161">
        <v>21287.16</v>
      </c>
      <c r="H26" s="164">
        <v>0</v>
      </c>
      <c r="I26" s="164">
        <f>G26</f>
        <v>21287.16</v>
      </c>
      <c r="J26" s="133" t="e">
        <f>C8*F26/100</f>
        <v>#VALUE!</v>
      </c>
      <c r="K26" s="133">
        <f t="shared" si="10"/>
        <v>0</v>
      </c>
      <c r="L26" s="133"/>
      <c r="M26" s="139">
        <f t="shared" si="3"/>
        <v>0</v>
      </c>
      <c r="N26" s="139">
        <f t="shared" si="11"/>
        <v>0</v>
      </c>
      <c r="O26" s="133">
        <f t="shared" si="4"/>
        <v>5083.9818179999984</v>
      </c>
      <c r="P26" s="48">
        <f t="shared" si="5"/>
        <v>1258</v>
      </c>
      <c r="Q26" s="133">
        <f>'Calculo Servicios  (2)'!H24</f>
        <v>0</v>
      </c>
      <c r="R26" s="161">
        <f t="shared" si="7"/>
        <v>6342.16</v>
      </c>
      <c r="S26" s="160">
        <f t="shared" si="8"/>
        <v>6532.16</v>
      </c>
      <c r="T26" s="31">
        <f t="shared" si="9"/>
        <v>0.16</v>
      </c>
    </row>
    <row r="27" spans="1:22" ht="21" customHeight="1" x14ac:dyDescent="0.3">
      <c r="A27" s="85"/>
      <c r="B27" s="52"/>
      <c r="C27" s="70" t="s">
        <v>84</v>
      </c>
      <c r="D27" s="87" t="str">
        <f>D15</f>
        <v>Cecilia Mariel Cassettari</v>
      </c>
      <c r="E27" s="87"/>
      <c r="F27" s="72">
        <v>0.74</v>
      </c>
      <c r="G27" s="167">
        <v>10596.17</v>
      </c>
      <c r="H27" s="168">
        <v>0</v>
      </c>
      <c r="I27" s="164">
        <v>10914.17</v>
      </c>
      <c r="J27" s="46" t="e">
        <f>C8*F27/100</f>
        <v>#VALUE!</v>
      </c>
      <c r="K27" s="46">
        <f t="shared" si="10"/>
        <v>-318</v>
      </c>
      <c r="L27" s="46"/>
      <c r="M27" s="45">
        <f t="shared" si="3"/>
        <v>-9.5399999999999991</v>
      </c>
      <c r="N27" s="45">
        <f t="shared" si="11"/>
        <v>-327.54000000000002</v>
      </c>
      <c r="O27" s="46">
        <f t="shared" si="4"/>
        <v>5083.9818179999984</v>
      </c>
      <c r="P27" s="48">
        <f t="shared" si="5"/>
        <v>1258</v>
      </c>
      <c r="Q27" s="46">
        <f>'Calculo Servicios  (2)'!H25</f>
        <v>0</v>
      </c>
      <c r="R27" s="161">
        <f t="shared" si="7"/>
        <v>6014.17</v>
      </c>
      <c r="S27" s="160">
        <f t="shared" si="8"/>
        <v>6195.17</v>
      </c>
      <c r="T27" s="31">
        <f t="shared" si="9"/>
        <v>0.17</v>
      </c>
    </row>
    <row r="28" spans="1:22" ht="21" customHeight="1" x14ac:dyDescent="0.3">
      <c r="A28" s="155"/>
      <c r="B28" s="156"/>
      <c r="C28" s="172" t="s">
        <v>85</v>
      </c>
      <c r="D28" s="182" t="str">
        <f>D16</f>
        <v>Perez Sebastian</v>
      </c>
      <c r="E28" s="174" t="s">
        <v>149</v>
      </c>
      <c r="F28" s="183">
        <v>0.74</v>
      </c>
      <c r="G28" s="176">
        <v>10596.18</v>
      </c>
      <c r="H28" s="176">
        <v>0</v>
      </c>
      <c r="I28" s="177">
        <f>G28</f>
        <v>10596.18</v>
      </c>
      <c r="J28" s="180">
        <v>0</v>
      </c>
      <c r="K28" s="180">
        <f t="shared" si="10"/>
        <v>0</v>
      </c>
      <c r="L28" s="180"/>
      <c r="M28" s="184">
        <f t="shared" si="3"/>
        <v>0</v>
      </c>
      <c r="N28" s="184">
        <f t="shared" si="11"/>
        <v>0</v>
      </c>
      <c r="O28" s="180">
        <f t="shared" si="4"/>
        <v>5083.9818179999984</v>
      </c>
      <c r="P28" s="180">
        <f t="shared" si="5"/>
        <v>1258</v>
      </c>
      <c r="Q28" s="180">
        <f>'Calculo Servicios  (2)'!H26</f>
        <v>0</v>
      </c>
      <c r="R28" s="176">
        <f t="shared" si="7"/>
        <v>6342.18</v>
      </c>
      <c r="S28" s="181">
        <f t="shared" si="8"/>
        <v>6532.18</v>
      </c>
      <c r="T28" s="31">
        <f t="shared" si="9"/>
        <v>0.18000000000000002</v>
      </c>
    </row>
    <row r="29" spans="1:22" ht="26.25" customHeight="1" thickBot="1" x14ac:dyDescent="0.35">
      <c r="A29" s="134"/>
      <c r="B29" s="147"/>
      <c r="C29" s="172" t="s">
        <v>86</v>
      </c>
      <c r="D29" s="182" t="str">
        <f>D22</f>
        <v>Rodriguez Flavio/Rodriguez Mauro</v>
      </c>
      <c r="E29" s="174" t="s">
        <v>138</v>
      </c>
      <c r="F29" s="185">
        <v>0.74</v>
      </c>
      <c r="G29" s="176">
        <v>21287.19</v>
      </c>
      <c r="H29" s="177">
        <v>0</v>
      </c>
      <c r="I29" s="177">
        <f>G29</f>
        <v>21287.19</v>
      </c>
      <c r="J29" s="178" t="e">
        <f>C8*F29/100</f>
        <v>#VALUE!</v>
      </c>
      <c r="K29" s="178">
        <f t="shared" si="10"/>
        <v>0</v>
      </c>
      <c r="L29" s="178"/>
      <c r="M29" s="179">
        <f t="shared" si="3"/>
        <v>0</v>
      </c>
      <c r="N29" s="179">
        <f t="shared" si="11"/>
        <v>0</v>
      </c>
      <c r="O29" s="178">
        <f t="shared" si="4"/>
        <v>5083.9818179999984</v>
      </c>
      <c r="P29" s="180">
        <f t="shared" si="5"/>
        <v>1258</v>
      </c>
      <c r="Q29" s="178">
        <f>'Calculo Servicios  (2)'!H27</f>
        <v>0</v>
      </c>
      <c r="R29" s="176">
        <f t="shared" si="7"/>
        <v>6342.19</v>
      </c>
      <c r="S29" s="181">
        <f t="shared" si="8"/>
        <v>6532.19</v>
      </c>
      <c r="T29" s="31">
        <f t="shared" si="9"/>
        <v>0.19000000000000003</v>
      </c>
    </row>
    <row r="30" spans="1:22" ht="21" hidden="1" customHeight="1" thickBot="1" x14ac:dyDescent="0.35">
      <c r="A30" s="53"/>
      <c r="B30" s="52"/>
      <c r="C30" s="51"/>
      <c r="D30" s="51"/>
      <c r="E30" s="51"/>
      <c r="F30" s="50"/>
      <c r="G30" s="49"/>
      <c r="H30" s="46">
        <v>0</v>
      </c>
      <c r="I30" s="48"/>
      <c r="J30" s="47"/>
      <c r="K30" s="46"/>
      <c r="L30" s="47"/>
      <c r="M30" s="45"/>
      <c r="N30" s="45"/>
      <c r="O30" s="46"/>
      <c r="P30" s="46" t="e">
        <f>#REF!*F30/100</f>
        <v>#REF!</v>
      </c>
      <c r="Q30" s="46"/>
      <c r="R30" s="47"/>
      <c r="S30" s="84"/>
    </row>
    <row r="31" spans="1:22" s="39" customFormat="1" ht="21.6" thickBot="1" x14ac:dyDescent="0.45">
      <c r="A31" s="252"/>
      <c r="B31" s="253"/>
      <c r="C31" s="253"/>
      <c r="D31" s="44"/>
      <c r="E31" s="44"/>
      <c r="F31" s="73"/>
      <c r="G31" s="42">
        <f>SUM(G11:G30)</f>
        <v>2563556.9000000004</v>
      </c>
      <c r="H31" s="42">
        <f>SUM(H11:H30)</f>
        <v>0</v>
      </c>
      <c r="I31" s="43">
        <f>SUM(I11:I30)</f>
        <v>2458640.5300000007</v>
      </c>
      <c r="J31" s="42"/>
      <c r="K31" s="43">
        <f>SUM(K11:K30)</f>
        <v>104916.36999999997</v>
      </c>
      <c r="L31" s="42"/>
      <c r="M31" s="41"/>
      <c r="N31" s="40"/>
      <c r="O31" s="43">
        <f>SUM(O11:O30)</f>
        <v>686887.16508599976</v>
      </c>
      <c r="P31" s="43">
        <f>SUM(P11:P29)</f>
        <v>169966</v>
      </c>
      <c r="Q31" s="43">
        <f>SUM(Q11:Q29)</f>
        <v>474000</v>
      </c>
      <c r="R31" s="43">
        <f>SUM(R11:R29)</f>
        <v>1434270.8999999997</v>
      </c>
      <c r="S31" s="43">
        <f>SUM(S11:S29)</f>
        <v>1477298.8999999997</v>
      </c>
      <c r="V31"/>
    </row>
    <row r="32" spans="1:22" ht="34.5" hidden="1" customHeight="1" x14ac:dyDescent="0.3">
      <c r="B32" s="249" t="s">
        <v>19</v>
      </c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1"/>
    </row>
    <row r="33" spans="3:15" x14ac:dyDescent="0.3">
      <c r="F33" s="38"/>
      <c r="G33" s="37"/>
      <c r="H33" s="37"/>
      <c r="I33" s="37"/>
      <c r="J33" s="37"/>
      <c r="K33" s="37" t="s">
        <v>18</v>
      </c>
      <c r="L33" s="37"/>
    </row>
    <row r="34" spans="3:15" x14ac:dyDescent="0.3"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</row>
    <row r="35" spans="3:15" x14ac:dyDescent="0.3">
      <c r="C35" s="245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</row>
    <row r="36" spans="3:15" x14ac:dyDescent="0.3"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</row>
    <row r="37" spans="3:15" x14ac:dyDescent="0.3"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</row>
    <row r="38" spans="3:15" ht="25.5" customHeight="1" x14ac:dyDescent="0.3">
      <c r="C38" s="245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</row>
  </sheetData>
  <mergeCells count="11">
    <mergeCell ref="C34:O38"/>
    <mergeCell ref="A1:S1"/>
    <mergeCell ref="B32:S32"/>
    <mergeCell ref="A31:C31"/>
    <mergeCell ref="C7:D7"/>
    <mergeCell ref="C5:D5"/>
    <mergeCell ref="C9:D9"/>
    <mergeCell ref="M2:S9"/>
    <mergeCell ref="C4:D4"/>
    <mergeCell ref="F2:K5"/>
    <mergeCell ref="F6:K9"/>
  </mergeCells>
  <pageMargins left="0.25" right="0.25" top="0.75" bottom="0.75" header="0.3" footer="0.3"/>
  <pageSetup scale="64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zoomScale="90" zoomScaleNormal="90" workbookViewId="0">
      <selection activeCell="C10" sqref="C10"/>
    </sheetView>
  </sheetViews>
  <sheetFormatPr baseColWidth="10" defaultColWidth="11.44140625" defaultRowHeight="13.2" x14ac:dyDescent="0.25"/>
  <cols>
    <col min="1" max="1" width="12.109375" style="89" bestFit="1" customWidth="1"/>
    <col min="2" max="2" width="16.33203125" style="89" bestFit="1" customWidth="1"/>
    <col min="3" max="3" width="15.109375" style="89" bestFit="1" customWidth="1"/>
    <col min="4" max="4" width="13.109375" style="89" bestFit="1" customWidth="1"/>
    <col min="5" max="5" width="16.6640625" style="89" bestFit="1" customWidth="1"/>
    <col min="6" max="7" width="13.44140625" style="89" bestFit="1" customWidth="1"/>
    <col min="8" max="8" width="14" style="89" bestFit="1" customWidth="1"/>
    <col min="9" max="12" width="11.44140625" style="89"/>
    <col min="13" max="13" width="14.6640625" style="89" bestFit="1" customWidth="1"/>
    <col min="14" max="14" width="21.5546875" style="89" bestFit="1" customWidth="1"/>
    <col min="15" max="16384" width="11.44140625" style="89"/>
  </cols>
  <sheetData>
    <row r="1" spans="1:15" ht="13.8" x14ac:dyDescent="0.3">
      <c r="A1" s="284" t="s">
        <v>67</v>
      </c>
      <c r="B1" s="285"/>
      <c r="C1" s="285"/>
      <c r="D1" s="285"/>
      <c r="E1" s="286"/>
    </row>
    <row r="2" spans="1:15" ht="13.8" x14ac:dyDescent="0.3">
      <c r="A2" s="130"/>
      <c r="B2" s="115"/>
      <c r="C2" s="115"/>
      <c r="D2" s="129" t="s">
        <v>66</v>
      </c>
      <c r="E2" s="126"/>
    </row>
    <row r="3" spans="1:15" ht="13.8" x14ac:dyDescent="0.3">
      <c r="A3" s="128">
        <f>13+28+19</f>
        <v>60</v>
      </c>
      <c r="B3" s="83">
        <v>10531.71</v>
      </c>
      <c r="C3" s="127">
        <f>+B3/A3</f>
        <v>175.52849999999998</v>
      </c>
      <c r="D3" s="127">
        <v>4863.8999999999996</v>
      </c>
      <c r="E3" s="126" t="s">
        <v>127</v>
      </c>
      <c r="I3" s="89" t="s">
        <v>65</v>
      </c>
    </row>
    <row r="4" spans="1:15" ht="14.4" thickBot="1" x14ac:dyDescent="0.35">
      <c r="A4" s="125"/>
      <c r="B4" s="124"/>
      <c r="C4" s="124"/>
      <c r="D4" s="124"/>
      <c r="E4" s="123"/>
    </row>
    <row r="5" spans="1:15" ht="13.8" x14ac:dyDescent="0.3">
      <c r="A5" s="122"/>
      <c r="B5" s="122"/>
      <c r="C5" s="122"/>
      <c r="D5" s="122"/>
      <c r="E5" s="122"/>
    </row>
    <row r="6" spans="1:15" ht="14.4" thickBot="1" x14ac:dyDescent="0.35">
      <c r="A6" s="122"/>
      <c r="B6" s="122"/>
      <c r="C6" s="122"/>
      <c r="D6" s="122"/>
      <c r="E6" s="122"/>
    </row>
    <row r="7" spans="1:15" ht="13.8" x14ac:dyDescent="0.3">
      <c r="A7" s="287" t="s">
        <v>64</v>
      </c>
      <c r="B7" s="288"/>
      <c r="C7" s="288"/>
      <c r="D7" s="288"/>
      <c r="E7" s="288"/>
      <c r="F7" s="288"/>
      <c r="G7" s="288"/>
      <c r="H7" s="289"/>
      <c r="L7" s="89" t="s">
        <v>59</v>
      </c>
      <c r="M7" s="89" t="s">
        <v>63</v>
      </c>
    </row>
    <row r="8" spans="1:15" ht="13.8" x14ac:dyDescent="0.3">
      <c r="A8" s="82">
        <v>400523.88</v>
      </c>
      <c r="B8" s="120" t="s">
        <v>62</v>
      </c>
      <c r="C8" s="120" t="s">
        <v>61</v>
      </c>
      <c r="D8" s="120" t="s">
        <v>60</v>
      </c>
      <c r="E8" s="121">
        <f>3935/2</f>
        <v>1967.5</v>
      </c>
      <c r="F8" s="120" t="s">
        <v>59</v>
      </c>
      <c r="G8" s="120" t="s">
        <v>58</v>
      </c>
      <c r="H8" s="119" t="s">
        <v>57</v>
      </c>
      <c r="K8" s="115">
        <v>19</v>
      </c>
      <c r="L8" s="101">
        <v>7502.93</v>
      </c>
      <c r="M8" s="101">
        <v>2365.2600000000002</v>
      </c>
    </row>
    <row r="9" spans="1:15" ht="14.4" x14ac:dyDescent="0.3">
      <c r="A9" s="118" t="s">
        <v>33</v>
      </c>
      <c r="B9" s="115">
        <v>1617</v>
      </c>
      <c r="C9" s="115">
        <f>B9+J25</f>
        <v>1689</v>
      </c>
      <c r="D9" s="115">
        <f t="shared" ref="D9:D20" si="0">+C9-B9</f>
        <v>72</v>
      </c>
      <c r="E9" s="79">
        <f>+D9/E8</f>
        <v>3.6594663278271919E-2</v>
      </c>
      <c r="F9" s="78">
        <f>+A8*E9</f>
        <v>14657.036523506989</v>
      </c>
      <c r="G9" s="78">
        <f>+(A8*A23)/12</f>
        <v>9949.481390088944</v>
      </c>
      <c r="H9" s="77">
        <f>+G9+F9</f>
        <v>24606.517913595933</v>
      </c>
      <c r="K9" s="89">
        <v>106</v>
      </c>
      <c r="L9" s="101">
        <f>+L8*O9</f>
        <v>1575.6152999999999</v>
      </c>
      <c r="M9" s="89">
        <f>M8*21%</f>
        <v>496.70460000000003</v>
      </c>
      <c r="N9" s="89" t="s">
        <v>56</v>
      </c>
      <c r="O9" s="81">
        <v>0.21</v>
      </c>
    </row>
    <row r="10" spans="1:15" ht="14.4" x14ac:dyDescent="0.3">
      <c r="A10" s="116" t="s">
        <v>34</v>
      </c>
      <c r="B10" s="115">
        <v>4104</v>
      </c>
      <c r="C10" s="115">
        <f t="shared" ref="C10:C20" si="1">B10+J26</f>
        <v>4195</v>
      </c>
      <c r="D10" s="115">
        <f t="shared" si="0"/>
        <v>91</v>
      </c>
      <c r="E10" s="79">
        <f>+D10/E8</f>
        <v>4.6251588310038116E-2</v>
      </c>
      <c r="F10" s="78">
        <f>+A8*E10</f>
        <v>18524.865606099109</v>
      </c>
      <c r="G10" s="78">
        <f>+G9</f>
        <v>9949.481390088944</v>
      </c>
      <c r="H10" s="77">
        <f>+G10+F10</f>
        <v>28474.346996188055</v>
      </c>
      <c r="K10" s="89">
        <v>60</v>
      </c>
      <c r="L10" s="101">
        <f>+L8*O10</f>
        <v>481.98822320000005</v>
      </c>
      <c r="M10" s="89">
        <f>+M8*6.424%</f>
        <v>151.94430240000003</v>
      </c>
      <c r="N10" s="89" t="s">
        <v>55</v>
      </c>
      <c r="O10" s="80">
        <v>6.4240000000000005E-2</v>
      </c>
    </row>
    <row r="11" spans="1:15" ht="14.4" x14ac:dyDescent="0.3">
      <c r="A11" s="116" t="s">
        <v>35</v>
      </c>
      <c r="B11" s="115">
        <v>7644</v>
      </c>
      <c r="C11" s="115">
        <f t="shared" si="1"/>
        <v>7807</v>
      </c>
      <c r="D11" s="115">
        <f t="shared" si="0"/>
        <v>163</v>
      </c>
      <c r="E11" s="79">
        <f>+D11/E8</f>
        <v>8.2846251588310035E-2</v>
      </c>
      <c r="F11" s="78">
        <f>+A8*E11</f>
        <v>33181.902129606096</v>
      </c>
      <c r="G11" s="78">
        <f>G10</f>
        <v>9949.481390088944</v>
      </c>
      <c r="H11" s="77">
        <f>+G11+F11</f>
        <v>43131.383519695039</v>
      </c>
      <c r="K11" s="89">
        <v>79</v>
      </c>
      <c r="L11" s="101">
        <f>+L8*0.001%</f>
        <v>7.5029300000000007E-2</v>
      </c>
      <c r="M11" s="89">
        <v>0.03</v>
      </c>
      <c r="N11" s="89" t="s">
        <v>54</v>
      </c>
      <c r="O11" s="101">
        <v>0.1</v>
      </c>
    </row>
    <row r="12" spans="1:15" ht="14.4" x14ac:dyDescent="0.3">
      <c r="A12" s="116" t="s">
        <v>36</v>
      </c>
      <c r="B12" s="115">
        <v>6554</v>
      </c>
      <c r="C12" s="115">
        <f t="shared" si="1"/>
        <v>6730</v>
      </c>
      <c r="D12" s="115">
        <f t="shared" si="0"/>
        <v>176</v>
      </c>
      <c r="E12" s="79">
        <f>+D12/E8</f>
        <v>8.9453621346886919E-2</v>
      </c>
      <c r="F12" s="78">
        <f>+A8*E12</f>
        <v>35828.311501905977</v>
      </c>
      <c r="G12" s="78">
        <f>G9</f>
        <v>9949.481390088944</v>
      </c>
      <c r="H12" s="77">
        <f t="shared" ref="H12:H20" si="2">SUM(F12:G12)</f>
        <v>45777.792891994919</v>
      </c>
      <c r="K12" s="89">
        <v>89</v>
      </c>
      <c r="L12" s="101">
        <v>400</v>
      </c>
      <c r="M12" s="89">
        <v>253</v>
      </c>
      <c r="N12" s="89" t="s">
        <v>53</v>
      </c>
      <c r="O12" s="89">
        <v>653</v>
      </c>
    </row>
    <row r="13" spans="1:15" ht="14.4" x14ac:dyDescent="0.3">
      <c r="A13" s="116" t="s">
        <v>37</v>
      </c>
      <c r="B13" s="115">
        <v>7564</v>
      </c>
      <c r="C13" s="115">
        <f t="shared" si="1"/>
        <v>7767</v>
      </c>
      <c r="D13" s="115">
        <f t="shared" si="0"/>
        <v>203</v>
      </c>
      <c r="E13" s="79">
        <f>+D13/E8</f>
        <v>0.10317662007623889</v>
      </c>
      <c r="F13" s="78">
        <f>+A8*E13</f>
        <v>41324.700198221093</v>
      </c>
      <c r="G13" s="78">
        <f>G9</f>
        <v>9949.481390088944</v>
      </c>
      <c r="H13" s="77">
        <f t="shared" si="2"/>
        <v>51274.181588310035</v>
      </c>
      <c r="K13" s="89">
        <v>140</v>
      </c>
      <c r="L13" s="117">
        <f>SUM(L8:L12)-0.45</f>
        <v>9960.1585524999991</v>
      </c>
      <c r="M13" s="89">
        <f>SUM(M8:M12)</f>
        <v>3266.9389024000006</v>
      </c>
    </row>
    <row r="14" spans="1:15" ht="14.4" x14ac:dyDescent="0.3">
      <c r="A14" s="116" t="s">
        <v>38</v>
      </c>
      <c r="B14" s="115">
        <v>10119</v>
      </c>
      <c r="C14" s="115">
        <f t="shared" si="1"/>
        <v>10334</v>
      </c>
      <c r="D14" s="115">
        <f t="shared" si="0"/>
        <v>215</v>
      </c>
      <c r="E14" s="79">
        <f>+D14/E8</f>
        <v>0.10927573062261753</v>
      </c>
      <c r="F14" s="78">
        <f>+A8*E14</f>
        <v>43767.539618805589</v>
      </c>
      <c r="G14" s="78">
        <f>G9</f>
        <v>9949.481390088944</v>
      </c>
      <c r="H14" s="77">
        <f t="shared" si="2"/>
        <v>53717.021008894531</v>
      </c>
      <c r="K14" s="89">
        <v>143</v>
      </c>
    </row>
    <row r="15" spans="1:15" ht="14.4" x14ac:dyDescent="0.3">
      <c r="A15" s="116" t="s">
        <v>39</v>
      </c>
      <c r="B15" s="115">
        <v>8986</v>
      </c>
      <c r="C15" s="115">
        <f t="shared" si="1"/>
        <v>9068</v>
      </c>
      <c r="D15" s="115">
        <f t="shared" si="0"/>
        <v>82</v>
      </c>
      <c r="E15" s="79">
        <f>+D15/E8</f>
        <v>4.1677255400254132E-2</v>
      </c>
      <c r="F15" s="78">
        <f>+A8*E15</f>
        <v>16692.736040660737</v>
      </c>
      <c r="G15" s="78">
        <f>G9</f>
        <v>9949.481390088944</v>
      </c>
      <c r="H15" s="77">
        <f t="shared" si="2"/>
        <v>26642.217430749683</v>
      </c>
      <c r="K15" s="89">
        <v>221</v>
      </c>
      <c r="L15" s="89">
        <f>+L13+M13</f>
        <v>13227.0974549</v>
      </c>
    </row>
    <row r="16" spans="1:15" ht="14.4" x14ac:dyDescent="0.3">
      <c r="A16" s="116" t="s">
        <v>40</v>
      </c>
      <c r="B16" s="115">
        <v>7032</v>
      </c>
      <c r="C16" s="115">
        <f t="shared" si="1"/>
        <v>7034</v>
      </c>
      <c r="D16" s="115">
        <f t="shared" si="0"/>
        <v>2</v>
      </c>
      <c r="E16" s="79">
        <f>+D16/E8</f>
        <v>1.0165184243964421E-3</v>
      </c>
      <c r="F16" s="78">
        <f>+A8*E16</f>
        <v>407.13990343074965</v>
      </c>
      <c r="G16" s="78">
        <f>G9</f>
        <v>9949.481390088944</v>
      </c>
      <c r="H16" s="77">
        <f t="shared" si="2"/>
        <v>10356.621293519693</v>
      </c>
      <c r="K16" s="89">
        <v>32</v>
      </c>
    </row>
    <row r="17" spans="1:13" ht="14.4" x14ac:dyDescent="0.3">
      <c r="A17" s="116" t="s">
        <v>41</v>
      </c>
      <c r="B17" s="115">
        <v>1623</v>
      </c>
      <c r="C17" s="115">
        <f t="shared" si="1"/>
        <v>1668</v>
      </c>
      <c r="D17" s="115">
        <f t="shared" si="0"/>
        <v>45</v>
      </c>
      <c r="E17" s="79">
        <f>+D17/E8</f>
        <v>2.2871664548919948E-2</v>
      </c>
      <c r="F17" s="78">
        <f>+A8*E17</f>
        <v>9160.6478271918677</v>
      </c>
      <c r="G17" s="78">
        <f>G9</f>
        <v>9949.481390088944</v>
      </c>
      <c r="H17" s="77">
        <f t="shared" si="2"/>
        <v>19110.12921728081</v>
      </c>
      <c r="K17" s="89">
        <v>80</v>
      </c>
    </row>
    <row r="18" spans="1:13" ht="14.4" x14ac:dyDescent="0.3">
      <c r="A18" s="116" t="s">
        <v>42</v>
      </c>
      <c r="B18" s="115">
        <v>3932</v>
      </c>
      <c r="C18" s="115">
        <f t="shared" si="1"/>
        <v>4021</v>
      </c>
      <c r="D18" s="115">
        <f t="shared" si="0"/>
        <v>89</v>
      </c>
      <c r="E18" s="79">
        <f>+D18/E8</f>
        <v>4.5235069885641674E-2</v>
      </c>
      <c r="F18" s="78">
        <f>+A8*E18</f>
        <v>18117.725702668358</v>
      </c>
      <c r="G18" s="78">
        <f>G9</f>
        <v>9949.481390088944</v>
      </c>
      <c r="H18" s="77">
        <f t="shared" si="2"/>
        <v>28067.2070927573</v>
      </c>
      <c r="K18" s="89">
        <v>113</v>
      </c>
    </row>
    <row r="19" spans="1:13" ht="14.4" x14ac:dyDescent="0.3">
      <c r="A19" s="116" t="s">
        <v>43</v>
      </c>
      <c r="B19" s="115">
        <v>6887</v>
      </c>
      <c r="C19" s="115">
        <f t="shared" si="1"/>
        <v>6994</v>
      </c>
      <c r="D19" s="115">
        <f t="shared" si="0"/>
        <v>107</v>
      </c>
      <c r="E19" s="79">
        <f>+D19/E8</f>
        <v>5.4383735705209657E-2</v>
      </c>
      <c r="F19" s="78">
        <f>+A8*E19</f>
        <v>21781.98483354511</v>
      </c>
      <c r="G19" s="78">
        <f>G9</f>
        <v>9949.481390088944</v>
      </c>
      <c r="H19" s="77">
        <f t="shared" si="2"/>
        <v>31731.466223634052</v>
      </c>
      <c r="K19" s="89">
        <v>2</v>
      </c>
    </row>
    <row r="20" spans="1:13" ht="14.4" x14ac:dyDescent="0.3">
      <c r="A20" s="116" t="s">
        <v>44</v>
      </c>
      <c r="B20" s="115">
        <v>1884</v>
      </c>
      <c r="C20" s="115">
        <f t="shared" si="1"/>
        <v>2020</v>
      </c>
      <c r="D20" s="115">
        <f t="shared" si="0"/>
        <v>136</v>
      </c>
      <c r="E20" s="79">
        <f>+D20/E8</f>
        <v>6.9123252858958067E-2</v>
      </c>
      <c r="F20" s="78">
        <f>+A8*E20</f>
        <v>27685.513433290977</v>
      </c>
      <c r="G20" s="78">
        <f>G9</f>
        <v>9949.481390088944</v>
      </c>
      <c r="H20" s="77">
        <f t="shared" si="2"/>
        <v>37634.994823379922</v>
      </c>
    </row>
    <row r="21" spans="1:13" ht="14.4" thickBot="1" x14ac:dyDescent="0.35">
      <c r="A21" s="114" t="s">
        <v>126</v>
      </c>
      <c r="B21" s="113"/>
      <c r="C21" s="113"/>
      <c r="D21" s="112">
        <f>SUM(D9:D20)</f>
        <v>1381</v>
      </c>
      <c r="E21" s="111"/>
      <c r="F21" s="91"/>
      <c r="G21" s="91"/>
      <c r="H21" s="76">
        <f>SUM(H9:H20)</f>
        <v>400523.88</v>
      </c>
      <c r="J21" s="101">
        <f>+H21-A8</f>
        <v>0</v>
      </c>
    </row>
    <row r="22" spans="1:13" ht="13.8" x14ac:dyDescent="0.3">
      <c r="A22" s="75">
        <f>+D21/E8</f>
        <v>0.70190597204574334</v>
      </c>
      <c r="B22" s="110" t="s">
        <v>52</v>
      </c>
      <c r="L22" s="109"/>
    </row>
    <row r="23" spans="1:13" ht="14.4" thickBot="1" x14ac:dyDescent="0.35">
      <c r="A23" s="74">
        <f>100%-A22</f>
        <v>0.29809402795425666</v>
      </c>
      <c r="B23" s="108" t="s">
        <v>51</v>
      </c>
    </row>
    <row r="25" spans="1:13" x14ac:dyDescent="0.25">
      <c r="A25" s="107"/>
      <c r="J25" s="89">
        <v>72</v>
      </c>
    </row>
    <row r="26" spans="1:13" x14ac:dyDescent="0.25">
      <c r="J26" s="89">
        <v>91</v>
      </c>
    </row>
    <row r="27" spans="1:13" ht="13.8" thickBot="1" x14ac:dyDescent="0.3">
      <c r="J27" s="89">
        <v>163</v>
      </c>
    </row>
    <row r="28" spans="1:13" x14ac:dyDescent="0.25">
      <c r="B28" s="290" t="s">
        <v>125</v>
      </c>
      <c r="C28" s="291"/>
      <c r="D28" s="291"/>
      <c r="E28" s="291"/>
      <c r="F28" s="292"/>
      <c r="J28" s="89">
        <v>176</v>
      </c>
    </row>
    <row r="29" spans="1:13" x14ac:dyDescent="0.25">
      <c r="B29" s="106" t="s">
        <v>124</v>
      </c>
      <c r="C29" s="105" t="s">
        <v>123</v>
      </c>
      <c r="D29" s="105" t="s">
        <v>122</v>
      </c>
      <c r="E29" s="105" t="s">
        <v>121</v>
      </c>
      <c r="F29" s="104" t="s">
        <v>120</v>
      </c>
      <c r="J29" s="89">
        <v>203</v>
      </c>
    </row>
    <row r="30" spans="1:13" ht="14.4" x14ac:dyDescent="0.3">
      <c r="B30" s="100" t="s">
        <v>119</v>
      </c>
      <c r="C30" s="78">
        <v>4000</v>
      </c>
      <c r="D30" s="78">
        <v>0</v>
      </c>
      <c r="E30" s="98"/>
      <c r="F30" s="77">
        <f>+C30</f>
        <v>4000</v>
      </c>
      <c r="J30" s="103">
        <v>215</v>
      </c>
      <c r="M30" s="89">
        <f>+H21-A8</f>
        <v>0</v>
      </c>
    </row>
    <row r="31" spans="1:13" ht="14.4" x14ac:dyDescent="0.3">
      <c r="B31" s="100" t="s">
        <v>118</v>
      </c>
      <c r="C31" s="78">
        <v>4000</v>
      </c>
      <c r="D31" s="78">
        <v>0</v>
      </c>
      <c r="E31" s="98"/>
      <c r="F31" s="77">
        <f t="shared" ref="F31:F44" si="3">+F30+C31-D31</f>
        <v>8000</v>
      </c>
      <c r="J31" s="89">
        <v>82</v>
      </c>
    </row>
    <row r="32" spans="1:13" ht="14.4" x14ac:dyDescent="0.3">
      <c r="B32" s="100" t="s">
        <v>117</v>
      </c>
      <c r="C32" s="78">
        <v>4000</v>
      </c>
      <c r="D32" s="78">
        <v>0</v>
      </c>
      <c r="E32" s="98"/>
      <c r="F32" s="77">
        <f t="shared" si="3"/>
        <v>12000</v>
      </c>
      <c r="J32" s="89">
        <v>2</v>
      </c>
    </row>
    <row r="33" spans="2:13" ht="14.4" x14ac:dyDescent="0.3">
      <c r="B33" s="100" t="s">
        <v>116</v>
      </c>
      <c r="C33" s="78">
        <v>4000</v>
      </c>
      <c r="D33" s="78">
        <v>0</v>
      </c>
      <c r="E33" s="98"/>
      <c r="F33" s="77">
        <f t="shared" si="3"/>
        <v>16000</v>
      </c>
      <c r="J33" s="89">
        <v>45</v>
      </c>
      <c r="K33" s="102">
        <f>11934.02-11933.71</f>
        <v>0.31000000000130967</v>
      </c>
    </row>
    <row r="34" spans="2:13" ht="14.4" x14ac:dyDescent="0.3">
      <c r="B34" s="100" t="s">
        <v>115</v>
      </c>
      <c r="C34" s="78">
        <v>4000</v>
      </c>
      <c r="D34" s="78">
        <v>0</v>
      </c>
      <c r="E34" s="98"/>
      <c r="F34" s="77">
        <f t="shared" si="3"/>
        <v>20000</v>
      </c>
      <c r="J34" s="89">
        <v>89</v>
      </c>
    </row>
    <row r="35" spans="2:13" ht="14.4" x14ac:dyDescent="0.3">
      <c r="B35" s="100" t="s">
        <v>114</v>
      </c>
      <c r="C35" s="78">
        <v>4000</v>
      </c>
      <c r="D35" s="78">
        <v>0</v>
      </c>
      <c r="E35" s="98"/>
      <c r="F35" s="77">
        <f t="shared" si="3"/>
        <v>24000</v>
      </c>
      <c r="J35" s="89">
        <v>107</v>
      </c>
    </row>
    <row r="36" spans="2:13" ht="14.4" x14ac:dyDescent="0.3">
      <c r="B36" s="100" t="s">
        <v>113</v>
      </c>
      <c r="C36" s="78">
        <v>4000</v>
      </c>
      <c r="D36" s="78">
        <v>0</v>
      </c>
      <c r="E36" s="98"/>
      <c r="F36" s="77">
        <f t="shared" si="3"/>
        <v>28000</v>
      </c>
      <c r="J36" s="89">
        <v>136</v>
      </c>
    </row>
    <row r="37" spans="2:13" ht="14.4" x14ac:dyDescent="0.3">
      <c r="B37" s="100" t="s">
        <v>112</v>
      </c>
      <c r="C37" s="99">
        <v>4000</v>
      </c>
      <c r="D37" s="78">
        <v>0</v>
      </c>
      <c r="E37" s="98"/>
      <c r="F37" s="77">
        <f t="shared" si="3"/>
        <v>32000</v>
      </c>
    </row>
    <row r="38" spans="2:13" ht="14.4" x14ac:dyDescent="0.3">
      <c r="B38" s="100" t="s">
        <v>111</v>
      </c>
      <c r="C38" s="99">
        <v>4000</v>
      </c>
      <c r="D38" s="99">
        <v>3500</v>
      </c>
      <c r="E38" s="98" t="s">
        <v>110</v>
      </c>
      <c r="F38" s="77">
        <f t="shared" si="3"/>
        <v>32500</v>
      </c>
      <c r="M38" s="101">
        <f>88.05-100</f>
        <v>-11.950000000000003</v>
      </c>
    </row>
    <row r="39" spans="2:13" ht="14.4" x14ac:dyDescent="0.3">
      <c r="B39" s="100" t="s">
        <v>109</v>
      </c>
      <c r="C39" s="99">
        <v>4000</v>
      </c>
      <c r="D39" s="98"/>
      <c r="E39" s="98"/>
      <c r="F39" s="77">
        <f t="shared" si="3"/>
        <v>36500</v>
      </c>
    </row>
    <row r="40" spans="2:13" ht="14.4" x14ac:dyDescent="0.3">
      <c r="B40" s="100" t="s">
        <v>108</v>
      </c>
      <c r="C40" s="99">
        <v>4000</v>
      </c>
      <c r="D40" s="98"/>
      <c r="E40" s="98"/>
      <c r="F40" s="77">
        <f t="shared" si="3"/>
        <v>40500</v>
      </c>
    </row>
    <row r="41" spans="2:13" ht="14.4" x14ac:dyDescent="0.3">
      <c r="B41" s="100" t="s">
        <v>107</v>
      </c>
      <c r="C41" s="99">
        <v>4000</v>
      </c>
      <c r="D41" s="98"/>
      <c r="E41" s="98"/>
      <c r="F41" s="77">
        <f t="shared" si="3"/>
        <v>44500</v>
      </c>
    </row>
    <row r="42" spans="2:13" ht="14.4" x14ac:dyDescent="0.3">
      <c r="B42" s="100" t="s">
        <v>106</v>
      </c>
      <c r="C42" s="99">
        <v>0</v>
      </c>
      <c r="D42" s="98"/>
      <c r="E42" s="98"/>
      <c r="F42" s="77">
        <f t="shared" si="3"/>
        <v>44500</v>
      </c>
    </row>
    <row r="43" spans="2:13" ht="14.4" x14ac:dyDescent="0.3">
      <c r="B43" s="100" t="s">
        <v>105</v>
      </c>
      <c r="C43" s="99">
        <v>0</v>
      </c>
      <c r="D43" s="98"/>
      <c r="E43" s="98"/>
      <c r="F43" s="77">
        <f t="shared" si="3"/>
        <v>44500</v>
      </c>
    </row>
    <row r="44" spans="2:13" ht="14.4" x14ac:dyDescent="0.3">
      <c r="B44" s="97" t="s">
        <v>104</v>
      </c>
      <c r="C44" s="96">
        <v>0</v>
      </c>
      <c r="D44" s="95"/>
      <c r="E44" s="95"/>
      <c r="F44" s="94">
        <f t="shared" si="3"/>
        <v>44500</v>
      </c>
    </row>
    <row r="45" spans="2:13" ht="14.4" x14ac:dyDescent="0.3">
      <c r="B45" s="97" t="s">
        <v>103</v>
      </c>
      <c r="C45" s="96">
        <v>0</v>
      </c>
      <c r="D45" s="95"/>
      <c r="E45" s="95"/>
      <c r="F45" s="94">
        <f>+F43+C45-D45</f>
        <v>44500</v>
      </c>
    </row>
    <row r="46" spans="2:13" ht="14.4" x14ac:dyDescent="0.3">
      <c r="B46" s="97" t="s">
        <v>102</v>
      </c>
      <c r="C46" s="96">
        <v>0</v>
      </c>
      <c r="D46" s="95"/>
      <c r="E46" s="95"/>
      <c r="F46" s="94">
        <f>+F44+C46-D46</f>
        <v>44500</v>
      </c>
    </row>
    <row r="47" spans="2:13" ht="15" thickBot="1" x14ac:dyDescent="0.35">
      <c r="B47" s="93" t="s">
        <v>101</v>
      </c>
      <c r="C47" s="92">
        <f>-A47</f>
        <v>0</v>
      </c>
      <c r="D47" s="91"/>
      <c r="E47" s="91"/>
      <c r="F47" s="90">
        <f>+F45+C47-D47</f>
        <v>44500</v>
      </c>
    </row>
  </sheetData>
  <mergeCells count="3">
    <mergeCell ref="A1:E1"/>
    <mergeCell ref="A7:H7"/>
    <mergeCell ref="B28:F28"/>
  </mergeCells>
  <pageMargins left="0.7" right="0.7" top="0.75" bottom="0.75" header="0.3" footer="0.3"/>
  <pageSetup paperSize="9" scale="8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Gastos</vt:lpstr>
      <vt:lpstr>Planilla</vt:lpstr>
      <vt:lpstr>Calculo Servicios  (2)</vt:lpstr>
      <vt:lpstr>'Calculo Servicios  (2)'!Área_de_impresión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Mateo Quotteri</cp:lastModifiedBy>
  <cp:lastPrinted>2025-12-04T17:43:52Z</cp:lastPrinted>
  <dcterms:created xsi:type="dcterms:W3CDTF">2021-11-02T15:18:42Z</dcterms:created>
  <dcterms:modified xsi:type="dcterms:W3CDTF">2025-12-28T15:25:20Z</dcterms:modified>
</cp:coreProperties>
</file>