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Noviembre\"/>
    </mc:Choice>
  </mc:AlternateContent>
  <xr:revisionPtr revIDLastSave="0" documentId="13_ncr:1_{8D0D6E23-21CC-4C33-8905-5B3BE48FF4A9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RESUMEN!$A$1:$D$119</definedName>
  </definedNames>
  <calcPr calcId="181029"/>
</workbook>
</file>

<file path=xl/calcChain.xml><?xml version="1.0" encoding="utf-8"?>
<calcChain xmlns="http://schemas.openxmlformats.org/spreadsheetml/2006/main">
  <c r="D74" i="1" l="1"/>
  <c r="F66" i="1"/>
  <c r="D68" i="1"/>
  <c r="D72" i="1"/>
  <c r="D38" i="1"/>
  <c r="D57" i="1"/>
  <c r="H12" i="2"/>
  <c r="H6" i="2"/>
  <c r="H11" i="2"/>
  <c r="H19" i="2"/>
  <c r="H30" i="2"/>
  <c r="C24" i="1"/>
  <c r="C71" i="1"/>
  <c r="C61" i="1"/>
  <c r="D42" i="1"/>
  <c r="H28" i="2" l="1"/>
  <c r="H29" i="2"/>
  <c r="H24" i="2"/>
  <c r="H22" i="2"/>
  <c r="J14" i="2" l="1"/>
  <c r="H26" i="2"/>
  <c r="H16" i="2"/>
  <c r="D48" i="1"/>
  <c r="H20" i="2" l="1"/>
  <c r="H27" i="2"/>
  <c r="M32" i="2" l="1"/>
  <c r="M6" i="2"/>
  <c r="C27" i="1"/>
  <c r="C32" i="1"/>
  <c r="J24" i="2"/>
  <c r="K24" i="2" s="1"/>
  <c r="J28" i="2"/>
  <c r="K28" i="2" s="1"/>
  <c r="J31" i="2"/>
  <c r="K31" i="2" s="1"/>
  <c r="J7" i="2"/>
  <c r="K7" i="2" s="1"/>
  <c r="H25" i="2"/>
  <c r="J25" i="2" s="1"/>
  <c r="K25" i="2" s="1"/>
  <c r="J22" i="2"/>
  <c r="K22" i="2" s="1"/>
  <c r="J23" i="2"/>
  <c r="K23" i="2" s="1"/>
  <c r="J29" i="2"/>
  <c r="K29" i="2" s="1"/>
  <c r="J19" i="2"/>
  <c r="K19" i="2" s="1"/>
  <c r="J18" i="2"/>
  <c r="K18" i="2" s="1"/>
  <c r="J32" i="2"/>
  <c r="K32" i="2" s="1"/>
  <c r="J21" i="2"/>
  <c r="K21" i="2" s="1"/>
  <c r="J26" i="2"/>
  <c r="K26" i="2" s="1"/>
  <c r="J16" i="2"/>
  <c r="K16" i="2" s="1"/>
  <c r="J11" i="2"/>
  <c r="K11" i="2" s="1"/>
  <c r="D46" i="1"/>
  <c r="D47" i="1" s="1"/>
  <c r="J8" i="2"/>
  <c r="K8" i="2" s="1"/>
  <c r="J9" i="2"/>
  <c r="K9" i="2" s="1"/>
  <c r="J10" i="2"/>
  <c r="K10" i="2" s="1"/>
  <c r="J12" i="2"/>
  <c r="K12" i="2" s="1"/>
  <c r="J13" i="2"/>
  <c r="K13" i="2" s="1"/>
  <c r="K14" i="2"/>
  <c r="J15" i="2"/>
  <c r="K15" i="2" s="1"/>
  <c r="J17" i="2"/>
  <c r="K17" i="2" s="1"/>
  <c r="J20" i="2"/>
  <c r="K20" i="2" s="1"/>
  <c r="J27" i="2"/>
  <c r="K27" i="2" s="1"/>
  <c r="J30" i="2"/>
  <c r="K30" i="2" s="1"/>
  <c r="D33" i="1" l="1"/>
  <c r="I34" i="2"/>
  <c r="H33" i="2" l="1"/>
  <c r="J33" i="2" s="1"/>
  <c r="O33" i="2" s="1"/>
  <c r="L33" i="2"/>
  <c r="M33" i="2"/>
  <c r="P33" i="2" l="1"/>
  <c r="K33" i="2"/>
  <c r="B118" i="1" l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3" i="1" l="1"/>
  <c r="D88" i="1" s="1"/>
  <c r="B92" i="1" s="1"/>
  <c r="B106" i="1" s="1"/>
  <c r="B103" i="1" l="1"/>
  <c r="D76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2" i="1" s="1"/>
  <c r="F34" i="2"/>
  <c r="G34" i="2"/>
  <c r="J6" i="2" l="1"/>
  <c r="K6" i="2" s="1"/>
  <c r="B93" i="1" l="1"/>
  <c r="L34" i="2"/>
  <c r="B91" i="1" l="1"/>
  <c r="B105" i="1" s="1"/>
  <c r="B107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0" i="1" l="1"/>
  <c r="N34" i="2" l="1"/>
</calcChain>
</file>

<file path=xl/sharedStrings.xml><?xml version="1.0" encoding="utf-8"?>
<sst xmlns="http://schemas.openxmlformats.org/spreadsheetml/2006/main" count="218" uniqueCount="185">
  <si>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</si>
  <si>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</si>
  <si>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</si>
  <si>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</si>
  <si>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</si>
  <si>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</si>
  <si>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</si>
  <si>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</si>
  <si>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</si>
  <si>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</si>
  <si>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</si>
  <si>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</si>
  <si>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</si>
  <si>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</si>
  <si>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</si>
  <si>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</si>
  <si>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</si>
  <si>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</si>
  <si>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</si>
  <si>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</si>
  <si>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</si>
  <si>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</si>
  <si>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</si>
  <si>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</si>
  <si>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</si>
  <si>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</si>
  <si>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</si>
  <si>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</si>
  <si>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</si>
  <si>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</si>
  <si>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</si>
  <si>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</si>
  <si>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</si>
  <si>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</si>
  <si>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</si>
  <si>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</si>
  <si>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</si>
  <si>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</si>
  <si>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</si>
  <si>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</si>
  <si>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</si>
  <si>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</si>
  <si>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</si>
  <si>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</si>
  <si>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</si>
  <si>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</si>
  <si>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</si>
  <si>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</si>
  <si>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</si>
  <si>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</si>
  <si>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</si>
  <si>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</si>
  <si>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</si>
  <si>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</si>
  <si>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</si>
  <si>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</si>
  <si>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</si>
  <si>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</si>
  <si>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</si>
  <si>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</si>
  <si>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</si>
  <si>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</si>
  <si>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</si>
  <si>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</si>
  <si>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</si>
  <si>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</si>
  <si>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</si>
  <si>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</si>
  <si>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</si>
  <si>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</si>
  <si>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</si>
  <si>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</si>
  <si>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</si>
  <si>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</si>
  <si>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</si>
  <si>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</si>
  <si>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</si>
  <si>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</si>
  <si>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</si>
  <si>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</si>
  <si>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</si>
  <si>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</si>
  <si>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</si>
  <si>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</si>
  <si>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</si>
  <si>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</si>
  <si>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</si>
  <si>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</si>
  <si>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</si>
  <si>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</si>
  <si>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</si>
  <si>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</si>
  <si>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</si>
  <si>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</si>
  <si>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</si>
  <si>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</si>
  <si>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</si>
  <si>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</si>
  <si>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</si>
  <si>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</si>
  <si>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</si>
  <si>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</si>
  <si>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</si>
  <si>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</si>
  <si>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</si>
  <si>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</si>
  <si>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</si>
  <si>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</si>
  <si>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</si>
  <si>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</si>
  <si>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</si>
  <si>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</si>
  <si>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</si>
  <si>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</si>
  <si>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</si>
  <si>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</si>
  <si>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</si>
  <si>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</si>
  <si>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</si>
  <si>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</si>
  <si>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</si>
  <si>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</si>
  <si>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</si>
  <si>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</si>
  <si>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</si>
  <si>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</si>
  <si>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</si>
  <si>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</si>
  <si>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</si>
  <si>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</si>
  <si>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</si>
  <si>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</si>
  <si>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</si>
  <si>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</si>
  <si>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</si>
  <si>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</si>
  <si>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</si>
  <si>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</si>
  <si>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</si>
  <si>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</si>
  <si>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</si>
  <si>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</si>
  <si>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Efectivo Administracion</t>
  </si>
  <si>
    <t>SONIA</t>
  </si>
  <si>
    <t>Colombres Sur</t>
  </si>
  <si>
    <t>Punitorios mal cobrados</t>
  </si>
  <si>
    <t>PREVISION ORDINARIA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</si>
  <si>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</si>
  <si>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</si>
  <si>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</si>
  <si>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Fotocopias - tauge</t>
  </si>
  <si>
    <t>SI EN LA COLUMNA LLAMADA DEUDA O SALDO A FAVOR FIGURA UN NUMERO EN NEGATIVO SIGNIFICA QUE LA UF POSEE DINERO A FAVOR (ES DECIR PAGO DE MAS)</t>
  </si>
  <si>
    <t>Claudia Guidobono</t>
  </si>
  <si>
    <t>PABLO GARCIA</t>
  </si>
  <si>
    <t xml:space="preserve">
Raquel Martinez</t>
  </si>
  <si>
    <t>Diego Varas</t>
  </si>
  <si>
    <t>VTO 15/12</t>
  </si>
  <si>
    <t>Articulos de limpieza -  Mes de NOVIEMBRE</t>
  </si>
  <si>
    <t>Mes de OCTUBRE</t>
  </si>
  <si>
    <t>Transf 18/11</t>
  </si>
  <si>
    <t>Transf 13/11</t>
  </si>
  <si>
    <t>Transf 11/11</t>
  </si>
  <si>
    <t>Sobres oficio</t>
  </si>
  <si>
    <t>Triñares Marta - Informe patologias piso 13</t>
  </si>
  <si>
    <t>Transf 04/11</t>
  </si>
  <si>
    <t>Debito 05/11</t>
  </si>
  <si>
    <t>Debito 07/11</t>
  </si>
  <si>
    <t xml:space="preserve">Cerrajeria Ayram - Arreglo de bisagra </t>
  </si>
  <si>
    <t>Frank Matias Wallace - Mantenimiento ascensor NOVIEMBRE</t>
  </si>
  <si>
    <t>Frank Matias Wallace - Mantenimiento ascensor OCTUBRE</t>
  </si>
  <si>
    <t>Debito 11/11</t>
  </si>
  <si>
    <t>Basile Maria Celeste - Segundo testimonio escribana</t>
  </si>
  <si>
    <t>Transf 14/11</t>
  </si>
  <si>
    <t>Colmeiro Oscar - Arreglo terraza y Atillo</t>
  </si>
  <si>
    <t>Pago parcial 14/11</t>
  </si>
  <si>
    <t>Servicio de fumigacion - Ortega Daniel - Mes de Octubre</t>
  </si>
  <si>
    <t>Transf 25/11</t>
  </si>
  <si>
    <t xml:space="preserve">Compra de bordeadora </t>
  </si>
  <si>
    <t>Loschi Bruno - Mantenimiento de gripo electrogeno</t>
  </si>
  <si>
    <t>Transf 26/11</t>
  </si>
  <si>
    <t>Servisur - Cambio de reloj de iluminacion - Mano de obra y material</t>
  </si>
  <si>
    <t>Noviembre</t>
  </si>
  <si>
    <t xml:space="preserve">Octubre </t>
  </si>
  <si>
    <t>Transf 27/11</t>
  </si>
  <si>
    <t>Debito 17/11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</si>
</sst>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8" fontId="4" fillId="2" borderId="1" xfId="0" applyNumberFormat="1" applyFont="1" applyFill="1" applyBorder="1"/>
    <xf numFmtId="8" fontId="19" fillId="11" borderId="1" xfId="0" applyNumberFormat="1" applyFont="1" applyFill="1" applyBorder="1"/>
    <xf numFmtId="44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44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4" fontId="1" fillId="0" borderId="1" xfId="1" applyFont="1" applyBorder="1" applyAlignment="1">
      <alignment vertical="center"/>
    </xf>
    <xf numFmtId="165" fontId="0" fillId="3" borderId="0" xfId="1" applyNumberFormat="1" applyFont="1" applyFill="1" applyAlignment="1"/>
    <xf numFmtId="43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5" fillId="2" borderId="1" xfId="1" applyFont="1" applyFill="1" applyBorder="1"/>
    <xf numFmtId="0" fontId="14" fillId="0" borderId="1" xfId="0" applyFont="1" applyBorder="1" applyAlignment="1">
      <alignment horizontal="left" vertical="center" wrapText="1"/>
    </xf>
    <xf numFmtId="165" fontId="20" fillId="2" borderId="1" xfId="0" applyNumberFormat="1" applyFont="1" applyFill="1" applyBorder="1"/>
    <xf numFmtId="166" fontId="20" fillId="2" borderId="1" xfId="1" applyNumberFormat="1" applyFont="1" applyFill="1" applyBorder="1"/>
    <xf numFmtId="44" fontId="4" fillId="2" borderId="1" xfId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23" fillId="0" borderId="1" xfId="1" applyFont="1" applyBorder="1"/>
    <xf numFmtId="0" fontId="15" fillId="2" borderId="2" xfId="1" applyNumberFormat="1" applyFont="1" applyFill="1" applyBorder="1" applyAlignment="1">
      <alignment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4" fillId="0" borderId="1" xfId="1" applyFont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topLeftCell="A82" workbookViewId="0">
      <selection activeCell="D87" sqref="D8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25" t="s">
        <v>122</v>
      </c>
      <c r="B1" s="118"/>
      <c r="C1" s="6"/>
      <c r="D1" s="6"/>
    </row>
    <row r="2" spans="1:4" x14ac:dyDescent="0.25">
      <c r="A2" s="119" t="s">
        <v>124</v>
      </c>
      <c r="B2" s="119"/>
      <c r="C2" s="119"/>
      <c r="D2" s="119"/>
    </row>
    <row r="3" spans="1:4" ht="16.899999999999999" customHeight="1" x14ac:dyDescent="0.25">
      <c r="A3" s="119" t="s">
        <v>123</v>
      </c>
      <c r="B3" s="119"/>
      <c r="C3" s="119"/>
      <c r="D3" s="119"/>
    </row>
    <row r="4" spans="1:4" ht="32.25" customHeight="1" x14ac:dyDescent="0.25">
      <c r="A4" s="163" t="s">
        <v>125</v>
      </c>
      <c r="B4" s="163"/>
      <c r="C4" s="120"/>
      <c r="D4" s="120"/>
    </row>
    <row r="5" spans="1:4" x14ac:dyDescent="0.25">
      <c r="A5" s="163"/>
      <c r="B5" s="163"/>
      <c r="C5" s="120"/>
      <c r="D5" s="120"/>
    </row>
    <row r="6" spans="1:4" x14ac:dyDescent="0.25">
      <c r="A6" s="163"/>
      <c r="B6" s="163"/>
      <c r="C6" s="120"/>
      <c r="D6" s="120"/>
    </row>
    <row r="7" spans="1:4" ht="27" customHeight="1" x14ac:dyDescent="0.25">
      <c r="A7" s="163"/>
      <c r="B7" s="163"/>
      <c r="C7" s="120"/>
      <c r="D7" s="120"/>
    </row>
    <row r="9" spans="1:4" x14ac:dyDescent="0.25">
      <c r="B9" s="162" t="s">
        <v>156</v>
      </c>
    </row>
    <row r="10" spans="1:4" x14ac:dyDescent="0.25">
      <c r="B10" s="162"/>
    </row>
    <row r="11" spans="1:4" x14ac:dyDescent="0.25">
      <c r="B11" s="162"/>
    </row>
    <row r="13" spans="1:4" hidden="1" x14ac:dyDescent="0.25"/>
    <row r="14" spans="1:4" ht="15" customHeight="1" x14ac:dyDescent="0.25">
      <c r="A14" s="164" t="s">
        <v>92</v>
      </c>
      <c r="B14" s="164"/>
      <c r="C14" s="164"/>
      <c r="D14" s="164"/>
    </row>
    <row r="15" spans="1:4" ht="15" customHeight="1" x14ac:dyDescent="0.25">
      <c r="A15" s="164"/>
      <c r="B15" s="164"/>
      <c r="C15" s="164"/>
      <c r="D15" s="164"/>
    </row>
    <row r="16" spans="1:4" ht="15" customHeight="1" x14ac:dyDescent="0.25">
      <c r="A16" s="164"/>
      <c r="B16" s="164"/>
      <c r="C16" s="164"/>
      <c r="D16" s="164"/>
    </row>
    <row r="17" spans="1:7" ht="53.25" customHeight="1" x14ac:dyDescent="0.25">
      <c r="A17" s="164"/>
      <c r="B17" s="164"/>
      <c r="C17" s="164"/>
      <c r="D17" s="164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131</v>
      </c>
      <c r="B23" s="5" t="s">
        <v>158</v>
      </c>
      <c r="C23" s="113">
        <v>1289041</v>
      </c>
      <c r="D23" s="83"/>
    </row>
    <row r="24" spans="1:7" x14ac:dyDescent="0.25">
      <c r="A24" s="5" t="s">
        <v>84</v>
      </c>
      <c r="B24" s="5"/>
      <c r="C24" s="113">
        <f>-532535.06+252168.64</f>
        <v>-280366.42000000004</v>
      </c>
      <c r="D24" s="83"/>
    </row>
    <row r="25" spans="1:7" x14ac:dyDescent="0.25">
      <c r="A25" s="5" t="s">
        <v>83</v>
      </c>
      <c r="B25" s="5"/>
      <c r="C25" s="113">
        <v>0.06</v>
      </c>
      <c r="D25" s="83"/>
      <c r="G25" s="14"/>
    </row>
    <row r="26" spans="1:7" x14ac:dyDescent="0.25">
      <c r="A26" s="5"/>
      <c r="B26" s="5"/>
      <c r="C26" s="113"/>
      <c r="D26" s="83"/>
      <c r="G26" s="14"/>
    </row>
    <row r="27" spans="1:7" x14ac:dyDescent="0.25">
      <c r="A27" s="49" t="s">
        <v>82</v>
      </c>
      <c r="B27" s="49"/>
      <c r="C27" s="114">
        <f>SUM(C23:C26)</f>
        <v>1008674.64</v>
      </c>
      <c r="D27" s="84"/>
      <c r="F27" s="160" t="s">
        <v>147</v>
      </c>
      <c r="G27" s="161"/>
    </row>
    <row r="28" spans="1:7" x14ac:dyDescent="0.25">
      <c r="A28" s="5" t="s">
        <v>130</v>
      </c>
      <c r="B28" s="5" t="s">
        <v>158</v>
      </c>
      <c r="C28" s="113">
        <v>1126658.44</v>
      </c>
      <c r="D28" s="124"/>
    </row>
    <row r="29" spans="1:7" x14ac:dyDescent="0.25">
      <c r="A29" s="5" t="s">
        <v>81</v>
      </c>
      <c r="B29" s="5"/>
      <c r="C29" s="113">
        <v>-245048.2</v>
      </c>
      <c r="D29" s="124"/>
    </row>
    <row r="30" spans="1:7" x14ac:dyDescent="0.25">
      <c r="A30" s="5" t="s">
        <v>83</v>
      </c>
      <c r="B30" s="5"/>
      <c r="C30" s="113">
        <v>0.76</v>
      </c>
      <c r="D30" s="124"/>
    </row>
    <row r="31" spans="1:7" x14ac:dyDescent="0.25">
      <c r="A31" s="5"/>
      <c r="B31" s="5"/>
      <c r="C31" s="109"/>
      <c r="D31" s="124"/>
    </row>
    <row r="32" spans="1:7" x14ac:dyDescent="0.25">
      <c r="A32" s="49" t="s">
        <v>82</v>
      </c>
      <c r="B32" s="123"/>
      <c r="C32" s="50">
        <f>SUM(C28:C31)</f>
        <v>881611</v>
      </c>
      <c r="D32" s="84"/>
    </row>
    <row r="33" spans="1:7" ht="14.25" customHeight="1" thickBot="1" x14ac:dyDescent="0.3">
      <c r="A33" s="18" t="s">
        <v>0</v>
      </c>
      <c r="B33" s="18"/>
      <c r="C33" s="20"/>
      <c r="D33" s="85">
        <f>C27+C32</f>
        <v>1890285.6400000001</v>
      </c>
      <c r="E33" s="14"/>
      <c r="F33" s="14"/>
    </row>
    <row r="34" spans="1:7" x14ac:dyDescent="0.25">
      <c r="A34" s="27" t="s">
        <v>38</v>
      </c>
      <c r="B34" s="27"/>
      <c r="C34" s="28"/>
      <c r="D34" s="86"/>
      <c r="F34" s="14"/>
    </row>
    <row r="35" spans="1:7" ht="22.5" customHeight="1" x14ac:dyDescent="0.25">
      <c r="A35" s="58" t="s">
        <v>39</v>
      </c>
      <c r="B35" s="5"/>
      <c r="C35" s="113">
        <v>70000</v>
      </c>
      <c r="D35" s="142" t="s">
        <v>161</v>
      </c>
      <c r="G35" s="14"/>
    </row>
    <row r="36" spans="1:7" ht="22.5" customHeight="1" x14ac:dyDescent="0.25">
      <c r="A36" s="126" t="s">
        <v>132</v>
      </c>
      <c r="B36" s="116" t="s">
        <v>182</v>
      </c>
      <c r="C36" s="113">
        <v>195000</v>
      </c>
      <c r="D36" s="142" t="s">
        <v>161</v>
      </c>
      <c r="G36" s="14"/>
    </row>
    <row r="37" spans="1:7" ht="21" customHeight="1" x14ac:dyDescent="0.25">
      <c r="A37" s="126" t="s">
        <v>132</v>
      </c>
      <c r="B37" s="117" t="s">
        <v>181</v>
      </c>
      <c r="C37" s="113">
        <v>195000</v>
      </c>
      <c r="D37" s="142" t="s">
        <v>183</v>
      </c>
      <c r="G37" s="14"/>
    </row>
    <row r="38" spans="1:7" ht="15.75" thickBot="1" x14ac:dyDescent="0.3">
      <c r="A38" s="18" t="s">
        <v>34</v>
      </c>
      <c r="B38" s="18"/>
      <c r="C38" s="31"/>
      <c r="D38" s="85">
        <f>SUM(C35:C37)</f>
        <v>460000</v>
      </c>
    </row>
    <row r="39" spans="1:7" x14ac:dyDescent="0.25">
      <c r="A39" s="25" t="s">
        <v>77</v>
      </c>
      <c r="B39" s="26"/>
      <c r="C39" s="29"/>
      <c r="D39" s="60"/>
    </row>
    <row r="40" spans="1:7" s="34" customFormat="1" ht="29.25" customHeight="1" x14ac:dyDescent="0.25">
      <c r="A40" s="151" t="s">
        <v>128</v>
      </c>
      <c r="B40" s="152"/>
      <c r="C40" s="140">
        <v>175052</v>
      </c>
      <c r="D40" s="110" t="s">
        <v>184</v>
      </c>
    </row>
    <row r="41" spans="1:7" ht="30" customHeight="1" x14ac:dyDescent="0.25">
      <c r="A41" s="151" t="s">
        <v>129</v>
      </c>
      <c r="B41" s="152"/>
      <c r="C41" s="141">
        <v>4203</v>
      </c>
      <c r="D41" s="110" t="s">
        <v>165</v>
      </c>
    </row>
    <row r="42" spans="1:7" ht="15.75" thickBot="1" x14ac:dyDescent="0.3">
      <c r="A42" s="18" t="s">
        <v>1</v>
      </c>
      <c r="B42" s="18"/>
      <c r="C42" s="31"/>
      <c r="D42" s="87">
        <f>SUM(C40:C41)</f>
        <v>179255</v>
      </c>
    </row>
    <row r="43" spans="1:7" x14ac:dyDescent="0.25">
      <c r="A43" s="27" t="s">
        <v>35</v>
      </c>
      <c r="B43" s="19"/>
      <c r="C43" s="32"/>
      <c r="D43" s="88"/>
    </row>
    <row r="44" spans="1:7" x14ac:dyDescent="0.25">
      <c r="A44" s="5" t="s">
        <v>133</v>
      </c>
      <c r="B44" s="5" t="s">
        <v>158</v>
      </c>
      <c r="C44" s="147">
        <v>1298549.8600000001</v>
      </c>
      <c r="D44" s="110" t="s">
        <v>166</v>
      </c>
      <c r="F44" s="127"/>
    </row>
    <row r="45" spans="1:7" x14ac:dyDescent="0.25">
      <c r="A45" s="5" t="s">
        <v>134</v>
      </c>
      <c r="B45" s="5" t="s">
        <v>158</v>
      </c>
      <c r="C45" s="139">
        <v>15003.51</v>
      </c>
      <c r="D45" s="110" t="s">
        <v>170</v>
      </c>
    </row>
    <row r="46" spans="1:7" x14ac:dyDescent="0.25">
      <c r="A46" s="5" t="s">
        <v>135</v>
      </c>
      <c r="B46" s="5" t="s">
        <v>158</v>
      </c>
      <c r="C46" s="139">
        <v>135031.6</v>
      </c>
      <c r="D46" s="110" t="str">
        <f>D45</f>
        <v>Debito 11/11</v>
      </c>
    </row>
    <row r="47" spans="1:7" x14ac:dyDescent="0.25">
      <c r="A47" s="5" t="s">
        <v>136</v>
      </c>
      <c r="B47" s="5" t="s">
        <v>158</v>
      </c>
      <c r="C47" s="139">
        <v>272601.64</v>
      </c>
      <c r="D47" s="111" t="str">
        <f>D46</f>
        <v>Debito 11/11</v>
      </c>
    </row>
    <row r="48" spans="1:7" ht="15" customHeight="1" thickBot="1" x14ac:dyDescent="0.3">
      <c r="A48" s="18" t="s">
        <v>2</v>
      </c>
      <c r="B48" s="19"/>
      <c r="C48" s="33"/>
      <c r="D48" s="87">
        <f>SUM(C44:C47)</f>
        <v>1721186.6100000003</v>
      </c>
    </row>
    <row r="49" spans="1:4" x14ac:dyDescent="0.25">
      <c r="A49" s="27" t="s">
        <v>37</v>
      </c>
      <c r="B49" s="19"/>
      <c r="C49" s="32"/>
      <c r="D49" s="88"/>
    </row>
    <row r="50" spans="1:4" ht="14.25" customHeight="1" x14ac:dyDescent="0.25">
      <c r="A50" t="s">
        <v>137</v>
      </c>
      <c r="B50" s="5"/>
      <c r="C50" s="139">
        <v>538874.73</v>
      </c>
      <c r="D50" s="92" t="s">
        <v>164</v>
      </c>
    </row>
    <row r="51" spans="1:4" ht="14.25" customHeight="1" x14ac:dyDescent="0.25">
      <c r="A51" s="5" t="s">
        <v>126</v>
      </c>
      <c r="B51" s="5"/>
      <c r="C51" s="139">
        <v>26232.46</v>
      </c>
      <c r="D51" s="111" t="s">
        <v>161</v>
      </c>
    </row>
    <row r="52" spans="1:4" ht="14.25" customHeight="1" x14ac:dyDescent="0.25">
      <c r="A52" s="5" t="s">
        <v>139</v>
      </c>
      <c r="B52" s="5"/>
      <c r="C52" s="139">
        <v>675127.84</v>
      </c>
      <c r="D52" s="92" t="s">
        <v>164</v>
      </c>
    </row>
    <row r="53" spans="1:4" ht="33" customHeight="1" x14ac:dyDescent="0.25">
      <c r="A53" s="158" t="s">
        <v>169</v>
      </c>
      <c r="B53" s="159"/>
      <c r="C53" s="139">
        <v>177521</v>
      </c>
      <c r="D53" s="92" t="s">
        <v>161</v>
      </c>
    </row>
    <row r="54" spans="1:4" ht="33" customHeight="1" x14ac:dyDescent="0.25">
      <c r="A54" s="158" t="s">
        <v>168</v>
      </c>
      <c r="B54" s="159"/>
      <c r="C54" s="139">
        <v>177521</v>
      </c>
      <c r="D54" s="92" t="s">
        <v>161</v>
      </c>
    </row>
    <row r="55" spans="1:4" ht="33" customHeight="1" x14ac:dyDescent="0.25">
      <c r="A55" s="151" t="s">
        <v>178</v>
      </c>
      <c r="B55" s="152"/>
      <c r="C55" s="139">
        <v>100000</v>
      </c>
      <c r="D55" s="122" t="s">
        <v>179</v>
      </c>
    </row>
    <row r="56" spans="1:4" x14ac:dyDescent="0.25">
      <c r="A56" s="5" t="s">
        <v>175</v>
      </c>
      <c r="B56" s="116"/>
      <c r="C56" s="139">
        <v>30600</v>
      </c>
      <c r="D56" s="122" t="s">
        <v>159</v>
      </c>
    </row>
    <row r="57" spans="1:4" ht="15.75" thickBot="1" x14ac:dyDescent="0.3">
      <c r="A57" s="18" t="s">
        <v>3</v>
      </c>
      <c r="B57" s="18"/>
      <c r="C57" s="31"/>
      <c r="D57" s="87">
        <f>SUM(C50:C56)</f>
        <v>1725877.0299999998</v>
      </c>
    </row>
    <row r="58" spans="1:4" ht="15.75" thickBot="1" x14ac:dyDescent="0.3">
      <c r="A58" s="27" t="s">
        <v>36</v>
      </c>
      <c r="B58" s="18"/>
      <c r="C58" s="31"/>
      <c r="D58" s="90"/>
    </row>
    <row r="59" spans="1:4" ht="28.5" customHeight="1" x14ac:dyDescent="0.25">
      <c r="A59" s="131" t="s">
        <v>150</v>
      </c>
      <c r="B59" s="132"/>
      <c r="C59" s="139">
        <v>11200</v>
      </c>
      <c r="D59" s="133" t="s">
        <v>142</v>
      </c>
    </row>
    <row r="60" spans="1:4" ht="28.5" customHeight="1" x14ac:dyDescent="0.25">
      <c r="A60" s="131" t="s">
        <v>162</v>
      </c>
      <c r="B60" s="132"/>
      <c r="C60" s="139">
        <v>5600</v>
      </c>
      <c r="D60" s="133" t="s">
        <v>142</v>
      </c>
    </row>
    <row r="61" spans="1:4" ht="28.5" customHeight="1" x14ac:dyDescent="0.25">
      <c r="A61" s="151" t="s">
        <v>171</v>
      </c>
      <c r="B61" s="152"/>
      <c r="C61" s="139">
        <f>135699+433009</f>
        <v>568708</v>
      </c>
      <c r="D61" s="143" t="s">
        <v>172</v>
      </c>
    </row>
    <row r="62" spans="1:4" ht="28.5" customHeight="1" x14ac:dyDescent="0.25">
      <c r="A62" s="151" t="s">
        <v>173</v>
      </c>
      <c r="B62" s="152"/>
      <c r="C62" s="139">
        <v>800000</v>
      </c>
      <c r="D62" s="143" t="s">
        <v>174</v>
      </c>
    </row>
    <row r="63" spans="1:4" ht="28.5" customHeight="1" x14ac:dyDescent="0.25">
      <c r="A63" s="144" t="s">
        <v>177</v>
      </c>
      <c r="B63" s="145"/>
      <c r="C63" s="139">
        <v>116163</v>
      </c>
      <c r="D63" s="143" t="s">
        <v>176</v>
      </c>
    </row>
    <row r="64" spans="1:4" ht="28.5" customHeight="1" x14ac:dyDescent="0.25">
      <c r="A64" s="156" t="s">
        <v>180</v>
      </c>
      <c r="B64" s="157"/>
      <c r="C64" s="139">
        <v>58500</v>
      </c>
      <c r="D64" s="143" t="s">
        <v>159</v>
      </c>
    </row>
    <row r="65" spans="1:6" ht="22.5" customHeight="1" x14ac:dyDescent="0.25">
      <c r="A65" s="107" t="s">
        <v>167</v>
      </c>
      <c r="B65" s="146"/>
      <c r="C65" s="139">
        <v>85000</v>
      </c>
      <c r="D65" s="122" t="s">
        <v>161</v>
      </c>
    </row>
    <row r="66" spans="1:6" ht="28.5" customHeight="1" x14ac:dyDescent="0.25">
      <c r="A66" s="151" t="s">
        <v>163</v>
      </c>
      <c r="B66" s="152"/>
      <c r="C66" s="139">
        <v>250000</v>
      </c>
      <c r="D66" s="122" t="s">
        <v>161</v>
      </c>
      <c r="F66">
        <f>7221852.61</f>
        <v>7221852.6100000003</v>
      </c>
    </row>
    <row r="67" spans="1:6" ht="16.5" customHeight="1" x14ac:dyDescent="0.25">
      <c r="A67" s="156" t="s">
        <v>157</v>
      </c>
      <c r="B67" s="157"/>
      <c r="C67" s="147">
        <v>68800</v>
      </c>
      <c r="D67" s="122" t="s">
        <v>160</v>
      </c>
    </row>
    <row r="68" spans="1:6" ht="15.75" thickBot="1" x14ac:dyDescent="0.3">
      <c r="A68" s="18" t="s">
        <v>11</v>
      </c>
      <c r="B68" s="27"/>
      <c r="C68" s="25"/>
      <c r="D68" s="94">
        <f>SUM(C59:C67)</f>
        <v>1963971</v>
      </c>
    </row>
    <row r="69" spans="1:6" ht="15.75" thickBot="1" x14ac:dyDescent="0.3">
      <c r="A69" s="27" t="s">
        <v>29</v>
      </c>
      <c r="B69" s="59"/>
      <c r="C69" s="20"/>
      <c r="D69" s="90"/>
    </row>
    <row r="70" spans="1:6" x14ac:dyDescent="0.25">
      <c r="A70" s="5" t="s">
        <v>138</v>
      </c>
      <c r="B70" s="5"/>
      <c r="C70" s="139">
        <v>56820.35</v>
      </c>
      <c r="D70" s="95"/>
    </row>
    <row r="71" spans="1:6" x14ac:dyDescent="0.25">
      <c r="A71" s="5" t="s">
        <v>127</v>
      </c>
      <c r="B71" s="5"/>
      <c r="C71" s="139">
        <f>1040.56+1170+119411.66</f>
        <v>121622.22</v>
      </c>
      <c r="D71" s="93"/>
    </row>
    <row r="72" spans="1:6" ht="15.75" thickBot="1" x14ac:dyDescent="0.3">
      <c r="A72" s="45" t="s">
        <v>34</v>
      </c>
      <c r="B72" s="45"/>
      <c r="C72" s="96"/>
      <c r="D72" s="87">
        <f>SUM(C70:C71)</f>
        <v>178442.57</v>
      </c>
    </row>
    <row r="73" spans="1:6" ht="15.75" thickBot="1" x14ac:dyDescent="0.3">
      <c r="A73" s="5"/>
      <c r="B73" s="5"/>
      <c r="C73" s="83"/>
      <c r="D73" s="97"/>
    </row>
    <row r="74" spans="1:6" ht="22.5" customHeight="1" thickBot="1" x14ac:dyDescent="0.3">
      <c r="A74" s="153" t="s">
        <v>146</v>
      </c>
      <c r="B74" s="154"/>
      <c r="C74" s="155"/>
      <c r="D74" s="98">
        <f>9000000-8119017.85</f>
        <v>880982.15000000037</v>
      </c>
    </row>
    <row r="75" spans="1:6" ht="15.75" thickBot="1" x14ac:dyDescent="0.3">
      <c r="A75" s="1"/>
      <c r="C75" s="99"/>
      <c r="D75" s="100"/>
      <c r="E75" s="40"/>
    </row>
    <row r="76" spans="1:6" ht="15.75" thickBot="1" x14ac:dyDescent="0.3">
      <c r="A76" s="3" t="s">
        <v>30</v>
      </c>
      <c r="B76" s="10"/>
      <c r="C76" s="101"/>
      <c r="D76" s="102">
        <f>(SUM(D28:D74))</f>
        <v>9000000</v>
      </c>
      <c r="E76" s="40"/>
    </row>
    <row r="77" spans="1:6" x14ac:dyDescent="0.25">
      <c r="C77" s="99"/>
      <c r="D77" s="99"/>
      <c r="F77" s="130"/>
    </row>
    <row r="78" spans="1:6" ht="15.75" thickBot="1" x14ac:dyDescent="0.3">
      <c r="C78" s="99"/>
      <c r="D78" s="99"/>
    </row>
    <row r="79" spans="1:6" x14ac:dyDescent="0.25">
      <c r="A79" s="11" t="s">
        <v>40</v>
      </c>
      <c r="B79" s="12"/>
      <c r="C79" s="103"/>
      <c r="D79" s="104"/>
    </row>
    <row r="80" spans="1:6" x14ac:dyDescent="0.25">
      <c r="A80" s="151"/>
      <c r="B80" s="152"/>
      <c r="C80" s="91"/>
      <c r="D80" s="89"/>
    </row>
    <row r="81" spans="1:4" x14ac:dyDescent="0.25">
      <c r="A81" s="151"/>
      <c r="B81" s="152"/>
      <c r="C81" s="91"/>
      <c r="D81" s="89"/>
    </row>
    <row r="82" spans="1:4" x14ac:dyDescent="0.25">
      <c r="A82" s="107"/>
      <c r="B82" s="108"/>
      <c r="C82" s="91"/>
      <c r="D82" s="89"/>
    </row>
    <row r="83" spans="1:4" x14ac:dyDescent="0.25">
      <c r="A83" s="43"/>
      <c r="B83" s="42"/>
      <c r="C83" s="51"/>
      <c r="D83" s="51">
        <f>SUM(C80:C82)</f>
        <v>0</v>
      </c>
    </row>
    <row r="84" spans="1:4" ht="15" customHeight="1" x14ac:dyDescent="0.25"/>
    <row r="85" spans="1:4" hidden="1" x14ac:dyDescent="0.25"/>
    <row r="86" spans="1:4" x14ac:dyDescent="0.25">
      <c r="A86" s="21" t="s">
        <v>41</v>
      </c>
      <c r="B86" s="21"/>
      <c r="C86" s="22"/>
      <c r="D86" s="115">
        <v>1000000</v>
      </c>
    </row>
    <row r="87" spans="1:4" ht="15.75" thickBot="1" x14ac:dyDescent="0.3"/>
    <row r="88" spans="1:4" ht="15.75" thickBot="1" x14ac:dyDescent="0.3">
      <c r="A88" s="3" t="s">
        <v>42</v>
      </c>
      <c r="B88" s="10"/>
      <c r="C88" s="4"/>
      <c r="D88" s="61">
        <f>D83+D86</f>
        <v>1000000</v>
      </c>
    </row>
    <row r="89" spans="1:4" ht="15.75" thickBot="1" x14ac:dyDescent="0.3"/>
    <row r="90" spans="1:4" ht="15.75" thickBot="1" x14ac:dyDescent="0.3">
      <c r="A90" s="81" t="s">
        <v>31</v>
      </c>
      <c r="B90" s="82">
        <f>D76</f>
        <v>9000000</v>
      </c>
      <c r="C90" s="40"/>
    </row>
    <row r="91" spans="1:4" ht="15.75" thickBot="1" x14ac:dyDescent="0.3">
      <c r="A91" s="81" t="s">
        <v>32</v>
      </c>
      <c r="B91" s="82">
        <f>D76-D74</f>
        <v>8119017.8499999996</v>
      </c>
    </row>
    <row r="92" spans="1:4" ht="15.75" thickBot="1" x14ac:dyDescent="0.3">
      <c r="A92" s="81" t="s">
        <v>43</v>
      </c>
      <c r="B92" s="82">
        <f>D88-D86</f>
        <v>0</v>
      </c>
    </row>
    <row r="93" spans="1:4" ht="15.75" thickBot="1" x14ac:dyDescent="0.3">
      <c r="A93" s="81" t="s">
        <v>88</v>
      </c>
      <c r="B93" s="82">
        <f>D88</f>
        <v>1000000</v>
      </c>
    </row>
    <row r="94" spans="1:4" ht="14.25" customHeight="1" x14ac:dyDescent="0.25"/>
    <row r="95" spans="1:4" hidden="1" x14ac:dyDescent="0.25"/>
    <row r="96" spans="1:4" hidden="1" x14ac:dyDescent="0.25">
      <c r="A96" s="150"/>
      <c r="B96" s="150"/>
      <c r="C96" s="150"/>
      <c r="D96" s="150"/>
    </row>
    <row r="97" spans="1:4" hidden="1" x14ac:dyDescent="0.25">
      <c r="A97" s="150"/>
      <c r="B97" s="150"/>
      <c r="C97" s="150"/>
      <c r="D97" s="150"/>
    </row>
    <row r="98" spans="1:4" ht="38.25" hidden="1" customHeight="1" x14ac:dyDescent="0.25">
      <c r="A98" s="150"/>
      <c r="B98" s="150"/>
      <c r="C98" s="150"/>
      <c r="D98" s="150"/>
    </row>
    <row r="100" spans="1:4" x14ac:dyDescent="0.25">
      <c r="A100" s="15" t="s">
        <v>79</v>
      </c>
      <c r="B100" s="36"/>
    </row>
    <row r="101" spans="1:4" ht="25.5" customHeight="1" x14ac:dyDescent="0.25">
      <c r="A101" s="24" t="s">
        <v>33</v>
      </c>
      <c r="B101" s="112">
        <v>3705340.9299999988</v>
      </c>
    </row>
    <row r="102" spans="1:4" ht="14.25" customHeight="1" x14ac:dyDescent="0.25">
      <c r="A102" s="16" t="s">
        <v>91</v>
      </c>
      <c r="B102" s="37">
        <f>PRORRATEO!H34</f>
        <v>8734155.0999999996</v>
      </c>
    </row>
    <row r="103" spans="1:4" ht="14.25" customHeight="1" x14ac:dyDescent="0.25">
      <c r="A103" s="16" t="s">
        <v>90</v>
      </c>
      <c r="B103" s="93">
        <f>B118</f>
        <v>0</v>
      </c>
    </row>
    <row r="104" spans="1:4" ht="18" customHeight="1" x14ac:dyDescent="0.25">
      <c r="A104" s="17" t="s">
        <v>145</v>
      </c>
      <c r="B104" s="135"/>
    </row>
    <row r="105" spans="1:4" x14ac:dyDescent="0.25">
      <c r="A105" s="35" t="s">
        <v>44</v>
      </c>
      <c r="B105" s="93">
        <f>-B91</f>
        <v>-8119017.8499999996</v>
      </c>
    </row>
    <row r="106" spans="1:4" x14ac:dyDescent="0.25">
      <c r="A106" s="17" t="s">
        <v>45</v>
      </c>
      <c r="B106" s="93">
        <f>-(B92)</f>
        <v>0</v>
      </c>
    </row>
    <row r="107" spans="1:4" x14ac:dyDescent="0.25">
      <c r="A107" s="23" t="s">
        <v>11</v>
      </c>
      <c r="B107" s="112">
        <f>SUM(B101:B106)</f>
        <v>4320478.1799999978</v>
      </c>
    </row>
    <row r="108" spans="1:4" ht="34.5" customHeight="1" x14ac:dyDescent="0.25">
      <c r="B108" s="38"/>
      <c r="C108" s="40"/>
    </row>
    <row r="110" spans="1:4" x14ac:dyDescent="0.25">
      <c r="A110" s="149" t="s">
        <v>78</v>
      </c>
      <c r="B110" s="149"/>
    </row>
    <row r="111" spans="1:4" ht="27.75" customHeight="1" x14ac:dyDescent="0.25">
      <c r="A111" s="149"/>
      <c r="B111" s="149"/>
    </row>
    <row r="112" spans="1:4" ht="32.25" customHeight="1" x14ac:dyDescent="0.25">
      <c r="A112" s="105"/>
      <c r="B112" s="30"/>
    </row>
    <row r="113" spans="1:12" ht="32.25" customHeight="1" x14ac:dyDescent="0.25">
      <c r="A113" s="105"/>
      <c r="B113" s="30"/>
    </row>
    <row r="114" spans="1:12" ht="32.25" customHeight="1" x14ac:dyDescent="0.25">
      <c r="A114" s="105"/>
      <c r="B114" s="30"/>
    </row>
    <row r="115" spans="1:12" ht="32.25" customHeight="1" x14ac:dyDescent="0.25">
      <c r="A115" s="105"/>
      <c r="B115" s="30"/>
    </row>
    <row r="116" spans="1:12" ht="32.25" customHeight="1" x14ac:dyDescent="0.25">
      <c r="A116" s="105"/>
      <c r="B116" s="30"/>
    </row>
    <row r="117" spans="1:12" ht="24.75" customHeight="1" x14ac:dyDescent="0.25">
      <c r="A117" s="105"/>
      <c r="B117" s="128"/>
    </row>
    <row r="118" spans="1:12" x14ac:dyDescent="0.25">
      <c r="A118" s="41" t="s">
        <v>11</v>
      </c>
      <c r="B118" s="106">
        <f>SUM(B112:B117)</f>
        <v>0</v>
      </c>
    </row>
    <row r="119" spans="1:12" x14ac:dyDescent="0.25">
      <c r="L119" s="8"/>
    </row>
    <row r="120" spans="1:12" ht="15" customHeight="1" x14ac:dyDescent="0.25">
      <c r="A120" s="148"/>
      <c r="B120" s="148"/>
      <c r="C120" s="148"/>
      <c r="D120" s="148"/>
    </row>
    <row r="121" spans="1:12" x14ac:dyDescent="0.25">
      <c r="A121" s="148"/>
      <c r="B121" s="148"/>
      <c r="C121" s="148"/>
      <c r="D121" s="148"/>
    </row>
    <row r="122" spans="1:12" x14ac:dyDescent="0.25">
      <c r="A122" s="148"/>
      <c r="B122" s="148"/>
      <c r="C122" s="148"/>
      <c r="D122" s="148"/>
    </row>
    <row r="123" spans="1:12" x14ac:dyDescent="0.25">
      <c r="A123" s="148"/>
      <c r="B123" s="148"/>
      <c r="C123" s="148"/>
      <c r="D123" s="148"/>
    </row>
  </sheetData>
  <mergeCells count="20">
    <mergeCell ref="F27:G27"/>
    <mergeCell ref="B9:B11"/>
    <mergeCell ref="A40:B40"/>
    <mergeCell ref="A4:B7"/>
    <mergeCell ref="A41:B41"/>
    <mergeCell ref="A14:D17"/>
    <mergeCell ref="A74:C74"/>
    <mergeCell ref="A67:B67"/>
    <mergeCell ref="A53:B53"/>
    <mergeCell ref="A64:B64"/>
    <mergeCell ref="A66:B66"/>
    <mergeCell ref="A54:B54"/>
    <mergeCell ref="A61:B61"/>
    <mergeCell ref="A62:B62"/>
    <mergeCell ref="A55:B55"/>
    <mergeCell ref="A120:D123"/>
    <mergeCell ref="A110:B111"/>
    <mergeCell ref="A96:D98"/>
    <mergeCell ref="A81:B81"/>
    <mergeCell ref="A80:B8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B1" zoomScaleNormal="100" workbookViewId="0">
      <selection activeCell="O4" sqref="O4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71" t="s">
        <v>149</v>
      </c>
      <c r="C1" s="171"/>
      <c r="D1" s="171"/>
      <c r="E1" s="171"/>
      <c r="F1" s="171"/>
      <c r="G1" s="171"/>
      <c r="H1" s="171"/>
      <c r="I1" s="171"/>
      <c r="J1" s="171"/>
      <c r="K1" s="171"/>
      <c r="L1" s="6"/>
      <c r="M1" s="6"/>
      <c r="N1" s="6"/>
      <c r="O1" s="6"/>
      <c r="P1" s="6"/>
    </row>
    <row r="2" spans="1:19" ht="33.75" customHeight="1" x14ac:dyDescent="0.25">
      <c r="A2" s="6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7" t="s">
        <v>4</v>
      </c>
      <c r="M2" s="6"/>
      <c r="N2" s="6"/>
      <c r="O2" s="129">
        <v>9000000</v>
      </c>
      <c r="P2" s="47"/>
      <c r="Q2" s="14"/>
    </row>
    <row r="3" spans="1:19" ht="15.75" customHeight="1" thickBot="1" x14ac:dyDescent="0.3">
      <c r="A3" s="6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7" t="s">
        <v>93</v>
      </c>
      <c r="M3" s="6"/>
      <c r="N3" s="6"/>
      <c r="O3" s="48">
        <v>1000000</v>
      </c>
      <c r="P3" s="52"/>
    </row>
    <row r="4" spans="1:19" x14ac:dyDescent="0.25">
      <c r="A4" s="165" t="s">
        <v>5</v>
      </c>
      <c r="B4" s="167" t="s">
        <v>6</v>
      </c>
      <c r="C4" s="169" t="s">
        <v>7</v>
      </c>
      <c r="D4" s="169" t="s">
        <v>8</v>
      </c>
      <c r="E4" s="169" t="s">
        <v>48</v>
      </c>
      <c r="F4" s="169" t="s">
        <v>28</v>
      </c>
      <c r="G4" s="169" t="s">
        <v>89</v>
      </c>
      <c r="H4" s="169" t="s">
        <v>9</v>
      </c>
      <c r="I4" s="169" t="s">
        <v>49</v>
      </c>
      <c r="J4" s="178" t="s">
        <v>50</v>
      </c>
      <c r="K4" s="176" t="s">
        <v>47</v>
      </c>
      <c r="L4" s="176" t="s">
        <v>10</v>
      </c>
      <c r="M4" s="176" t="s">
        <v>46</v>
      </c>
      <c r="N4" s="181" t="s">
        <v>87</v>
      </c>
      <c r="O4" s="55" t="s">
        <v>86</v>
      </c>
      <c r="P4" s="173" t="s">
        <v>85</v>
      </c>
      <c r="S4" s="40"/>
    </row>
    <row r="5" spans="1:19" ht="15.75" customHeight="1" x14ac:dyDescent="0.25">
      <c r="A5" s="166"/>
      <c r="B5" s="168"/>
      <c r="C5" s="170"/>
      <c r="D5" s="170"/>
      <c r="E5" s="175"/>
      <c r="F5" s="170"/>
      <c r="G5" s="170"/>
      <c r="H5" s="170"/>
      <c r="I5" s="175"/>
      <c r="J5" s="179"/>
      <c r="K5" s="177"/>
      <c r="L5" s="180"/>
      <c r="M5" s="177"/>
      <c r="N5" s="182"/>
      <c r="O5" s="53" t="str">
        <f>RESUMEN!B9</f>
        <v>VTO 15/12</v>
      </c>
      <c r="P5" s="174"/>
    </row>
    <row r="6" spans="1:19" ht="17.100000000000001" customHeight="1" x14ac:dyDescent="0.25">
      <c r="A6" s="5" t="s">
        <v>12</v>
      </c>
      <c r="B6" s="56">
        <v>1</v>
      </c>
      <c r="C6" s="56" t="s">
        <v>51</v>
      </c>
      <c r="D6" s="56" t="s">
        <v>95</v>
      </c>
      <c r="E6" s="56"/>
      <c r="F6" s="62">
        <v>4.57</v>
      </c>
      <c r="G6" s="63">
        <v>421389.01</v>
      </c>
      <c r="H6" s="64">
        <f>G6</f>
        <v>421389.01</v>
      </c>
      <c r="I6" s="65"/>
      <c r="J6" s="66">
        <f>G6-H6</f>
        <v>0</v>
      </c>
      <c r="K6" s="66">
        <f>IF(J6&gt;0,J6*2.95%,0)</f>
        <v>0</v>
      </c>
      <c r="L6" s="67">
        <f>O$3*F6%</f>
        <v>45700.000000000007</v>
      </c>
      <c r="M6" s="67">
        <f>O$2*F6%</f>
        <v>411300.00000000006</v>
      </c>
      <c r="N6" s="68">
        <v>0</v>
      </c>
      <c r="O6" s="69">
        <f t="shared" ref="O6:O33" si="0">ROUND(SUM(J6:N6),0) + Q6</f>
        <v>457000.01</v>
      </c>
      <c r="P6" s="70">
        <f t="shared" ref="P6:P33" si="1">ROUND(O6*3%,0) + O6</f>
        <v>470710.01</v>
      </c>
      <c r="Q6" s="40">
        <v>0.01</v>
      </c>
    </row>
    <row r="7" spans="1:19" ht="17.100000000000001" customHeight="1" x14ac:dyDescent="0.25">
      <c r="A7" s="5" t="s">
        <v>13</v>
      </c>
      <c r="B7" s="56">
        <v>2</v>
      </c>
      <c r="C7" s="56" t="s">
        <v>52</v>
      </c>
      <c r="D7" s="56" t="s">
        <v>96</v>
      </c>
      <c r="E7" s="57"/>
      <c r="F7" s="62">
        <v>3.07</v>
      </c>
      <c r="G7" s="63">
        <v>509365.02</v>
      </c>
      <c r="H7" s="64"/>
      <c r="I7" s="65"/>
      <c r="J7" s="66">
        <f t="shared" ref="J7:J31" si="2">G7-H7</f>
        <v>509365.02</v>
      </c>
      <c r="K7" s="66">
        <f t="shared" ref="K7:K32" si="3">IF(J7&gt;0,J7*2.95%,0)</f>
        <v>15026.268090000001</v>
      </c>
      <c r="L7" s="67">
        <f t="shared" ref="L7:L33" si="4">O$3*F7%</f>
        <v>30699.999999999996</v>
      </c>
      <c r="M7" s="67">
        <f t="shared" ref="M7:M33" si="5">O$2*F7%</f>
        <v>276300</v>
      </c>
      <c r="N7" s="68">
        <v>0</v>
      </c>
      <c r="O7" s="69">
        <f t="shared" si="0"/>
        <v>831391.02</v>
      </c>
      <c r="P7" s="70">
        <f t="shared" si="1"/>
        <v>856333.02</v>
      </c>
      <c r="Q7" s="40">
        <f>Q6+0.01</f>
        <v>0.02</v>
      </c>
      <c r="R7" s="40" t="s">
        <v>153</v>
      </c>
    </row>
    <row r="8" spans="1:19" ht="32.25" customHeight="1" x14ac:dyDescent="0.25">
      <c r="A8" s="5" t="s">
        <v>13</v>
      </c>
      <c r="B8" s="56">
        <v>3</v>
      </c>
      <c r="C8" s="56" t="s">
        <v>53</v>
      </c>
      <c r="D8" s="136" t="s">
        <v>148</v>
      </c>
      <c r="E8" s="57"/>
      <c r="F8" s="62">
        <v>4.55</v>
      </c>
      <c r="G8" s="63">
        <v>2339136.0299999998</v>
      </c>
      <c r="H8" s="64">
        <v>409500</v>
      </c>
      <c r="I8" s="65"/>
      <c r="J8" s="66">
        <f t="shared" si="2"/>
        <v>1929636.0299999998</v>
      </c>
      <c r="K8" s="66">
        <f t="shared" si="3"/>
        <v>56924.262884999996</v>
      </c>
      <c r="L8" s="67">
        <f t="shared" si="4"/>
        <v>45500</v>
      </c>
      <c r="M8" s="67">
        <f t="shared" si="5"/>
        <v>409500</v>
      </c>
      <c r="N8" s="68">
        <v>0</v>
      </c>
      <c r="O8" s="69">
        <f t="shared" si="0"/>
        <v>2441560.0299999998</v>
      </c>
      <c r="P8" s="70">
        <f t="shared" si="1"/>
        <v>2514807.0299999998</v>
      </c>
      <c r="Q8" s="40">
        <f t="shared" ref="Q8:Q32" si="6">Q7+0.01</f>
        <v>0.03</v>
      </c>
    </row>
    <row r="9" spans="1:19" ht="17.100000000000001" customHeight="1" x14ac:dyDescent="0.25">
      <c r="A9" s="5" t="s">
        <v>14</v>
      </c>
      <c r="B9" s="56">
        <v>4</v>
      </c>
      <c r="C9" s="56" t="s">
        <v>54</v>
      </c>
      <c r="D9" s="56" t="s">
        <v>97</v>
      </c>
      <c r="E9" s="57"/>
      <c r="F9" s="62">
        <v>3.05</v>
      </c>
      <c r="G9" s="63">
        <v>253358.04</v>
      </c>
      <c r="H9" s="64">
        <v>210000</v>
      </c>
      <c r="I9" s="65"/>
      <c r="J9" s="66">
        <f t="shared" si="2"/>
        <v>43358.040000000008</v>
      </c>
      <c r="K9" s="66">
        <f t="shared" si="3"/>
        <v>1279.0621800000004</v>
      </c>
      <c r="L9" s="67">
        <f t="shared" si="4"/>
        <v>30500</v>
      </c>
      <c r="M9" s="67">
        <f t="shared" si="5"/>
        <v>274500</v>
      </c>
      <c r="N9" s="68">
        <v>0</v>
      </c>
      <c r="O9" s="69">
        <f t="shared" si="0"/>
        <v>349637.04</v>
      </c>
      <c r="P9" s="70">
        <f t="shared" si="1"/>
        <v>360126.04</v>
      </c>
      <c r="Q9" s="40">
        <f t="shared" si="6"/>
        <v>0.04</v>
      </c>
      <c r="R9" t="s">
        <v>143</v>
      </c>
      <c r="S9" s="40"/>
    </row>
    <row r="10" spans="1:19" ht="17.100000000000001" customHeight="1" x14ac:dyDescent="0.25">
      <c r="A10" s="5" t="s">
        <v>14</v>
      </c>
      <c r="B10" s="56">
        <v>5</v>
      </c>
      <c r="C10" s="56" t="s">
        <v>55</v>
      </c>
      <c r="D10" s="56" t="s">
        <v>98</v>
      </c>
      <c r="E10" s="57"/>
      <c r="F10" s="62">
        <v>4.55</v>
      </c>
      <c r="G10" s="63">
        <v>409348.05</v>
      </c>
      <c r="H10" s="64">
        <v>410000</v>
      </c>
      <c r="I10" s="65"/>
      <c r="J10" s="66">
        <f t="shared" si="2"/>
        <v>-651.95000000001164</v>
      </c>
      <c r="K10" s="66">
        <f t="shared" si="3"/>
        <v>0</v>
      </c>
      <c r="L10" s="67">
        <f t="shared" si="4"/>
        <v>45500</v>
      </c>
      <c r="M10" s="67">
        <f t="shared" si="5"/>
        <v>409500</v>
      </c>
      <c r="N10" s="68">
        <v>0</v>
      </c>
      <c r="O10" s="69">
        <f t="shared" si="0"/>
        <v>454348.05</v>
      </c>
      <c r="P10" s="70">
        <f t="shared" si="1"/>
        <v>467978.05</v>
      </c>
      <c r="Q10" s="40">
        <f t="shared" si="6"/>
        <v>0.05</v>
      </c>
      <c r="S10" s="40"/>
    </row>
    <row r="11" spans="1:19" ht="17.100000000000001" customHeight="1" x14ac:dyDescent="0.25">
      <c r="A11" s="5" t="s">
        <v>15</v>
      </c>
      <c r="B11" s="56">
        <v>6</v>
      </c>
      <c r="C11" s="56" t="s">
        <v>56</v>
      </c>
      <c r="D11" s="56" t="s">
        <v>99</v>
      </c>
      <c r="E11" s="56"/>
      <c r="F11" s="62">
        <v>3.05</v>
      </c>
      <c r="G11" s="63">
        <v>268095.06</v>
      </c>
      <c r="H11" s="64">
        <f>G11</f>
        <v>268095.06</v>
      </c>
      <c r="I11" s="65"/>
      <c r="J11" s="66">
        <f t="shared" si="2"/>
        <v>0</v>
      </c>
      <c r="K11" s="66">
        <f t="shared" si="3"/>
        <v>0</v>
      </c>
      <c r="L11" s="67">
        <f t="shared" si="4"/>
        <v>30500</v>
      </c>
      <c r="M11" s="67">
        <f t="shared" si="5"/>
        <v>274500</v>
      </c>
      <c r="N11" s="68">
        <v>0</v>
      </c>
      <c r="O11" s="69">
        <f t="shared" si="0"/>
        <v>305000.06</v>
      </c>
      <c r="P11" s="70">
        <f t="shared" si="1"/>
        <v>314150.06</v>
      </c>
      <c r="Q11" s="40">
        <f t="shared" si="6"/>
        <v>6.0000000000000005E-2</v>
      </c>
    </row>
    <row r="12" spans="1:19" ht="17.100000000000001" customHeight="1" x14ac:dyDescent="0.25">
      <c r="A12" s="5" t="s">
        <v>15</v>
      </c>
      <c r="B12" s="56">
        <v>7</v>
      </c>
      <c r="C12" s="134" t="s">
        <v>57</v>
      </c>
      <c r="D12" s="134" t="s">
        <v>100</v>
      </c>
      <c r="E12" s="56"/>
      <c r="F12" s="62">
        <v>4.55</v>
      </c>
      <c r="G12" s="63">
        <v>408000.07</v>
      </c>
      <c r="H12" s="64">
        <f>28000+380000</f>
        <v>408000</v>
      </c>
      <c r="I12" s="65"/>
      <c r="J12" s="66">
        <f t="shared" si="2"/>
        <v>7.0000000006984919E-2</v>
      </c>
      <c r="K12" s="66">
        <f t="shared" si="3"/>
        <v>2.0650000002060552E-3</v>
      </c>
      <c r="L12" s="67">
        <f t="shared" si="4"/>
        <v>45500</v>
      </c>
      <c r="M12" s="67">
        <f t="shared" si="5"/>
        <v>409500</v>
      </c>
      <c r="N12" s="68">
        <v>0</v>
      </c>
      <c r="O12" s="69">
        <f t="shared" si="0"/>
        <v>455000.07</v>
      </c>
      <c r="P12" s="70">
        <f t="shared" si="1"/>
        <v>468650.07</v>
      </c>
      <c r="Q12" s="40">
        <f t="shared" si="6"/>
        <v>7.0000000000000007E-2</v>
      </c>
      <c r="R12" s="130"/>
      <c r="S12" s="127"/>
    </row>
    <row r="13" spans="1:19" ht="17.100000000000001" customHeight="1" x14ac:dyDescent="0.25">
      <c r="A13" s="5" t="s">
        <v>16</v>
      </c>
      <c r="B13" s="56">
        <v>8</v>
      </c>
      <c r="C13" s="56" t="s">
        <v>58</v>
      </c>
      <c r="D13" s="56" t="s">
        <v>101</v>
      </c>
      <c r="E13" s="57"/>
      <c r="F13" s="62">
        <v>3.05</v>
      </c>
      <c r="G13" s="63">
        <v>268695.08</v>
      </c>
      <c r="H13" s="64">
        <v>276756.08</v>
      </c>
      <c r="I13" s="65"/>
      <c r="J13" s="66">
        <f t="shared" si="2"/>
        <v>-8061</v>
      </c>
      <c r="K13" s="66">
        <f t="shared" si="3"/>
        <v>0</v>
      </c>
      <c r="L13" s="67">
        <f t="shared" si="4"/>
        <v>30500</v>
      </c>
      <c r="M13" s="67">
        <f t="shared" si="5"/>
        <v>274500</v>
      </c>
      <c r="N13" s="68">
        <v>0</v>
      </c>
      <c r="O13" s="69">
        <f t="shared" si="0"/>
        <v>296939.08</v>
      </c>
      <c r="P13" s="70">
        <f t="shared" si="1"/>
        <v>305847.08</v>
      </c>
      <c r="Q13" s="40">
        <f t="shared" si="6"/>
        <v>0.08</v>
      </c>
    </row>
    <row r="14" spans="1:19" ht="17.100000000000001" customHeight="1" x14ac:dyDescent="0.25">
      <c r="A14" s="5" t="s">
        <v>16</v>
      </c>
      <c r="B14" s="56">
        <v>9</v>
      </c>
      <c r="C14" s="56" t="s">
        <v>59</v>
      </c>
      <c r="D14" s="56" t="s">
        <v>102</v>
      </c>
      <c r="E14" s="57"/>
      <c r="F14" s="62">
        <v>4.5599999999999996</v>
      </c>
      <c r="G14" s="63">
        <v>409600.09</v>
      </c>
      <c r="H14" s="137">
        <v>410000</v>
      </c>
      <c r="I14" s="65"/>
      <c r="J14" s="66">
        <f t="shared" si="2"/>
        <v>-399.90999999997439</v>
      </c>
      <c r="K14" s="66">
        <f t="shared" si="3"/>
        <v>0</v>
      </c>
      <c r="L14" s="67">
        <f t="shared" si="4"/>
        <v>45599.999999999993</v>
      </c>
      <c r="M14" s="67">
        <f t="shared" si="5"/>
        <v>410399.99999999994</v>
      </c>
      <c r="N14" s="68">
        <v>0</v>
      </c>
      <c r="O14" s="69">
        <f t="shared" si="0"/>
        <v>455600.09</v>
      </c>
      <c r="P14" s="70">
        <f t="shared" si="1"/>
        <v>469268.09</v>
      </c>
      <c r="Q14" s="40">
        <f t="shared" si="6"/>
        <v>0.09</v>
      </c>
      <c r="R14" t="s">
        <v>152</v>
      </c>
    </row>
    <row r="15" spans="1:19" ht="17.100000000000001" customHeight="1" x14ac:dyDescent="0.25">
      <c r="A15" s="5" t="s">
        <v>17</v>
      </c>
      <c r="B15" s="56">
        <v>10</v>
      </c>
      <c r="C15" s="56" t="s">
        <v>60</v>
      </c>
      <c r="D15" s="56" t="s">
        <v>103</v>
      </c>
      <c r="E15" s="57"/>
      <c r="F15" s="62">
        <v>3.05</v>
      </c>
      <c r="G15" s="63">
        <v>505930.1</v>
      </c>
      <c r="H15" s="64">
        <v>505500</v>
      </c>
      <c r="I15" s="65"/>
      <c r="J15" s="66">
        <f t="shared" si="2"/>
        <v>430.09999999997672</v>
      </c>
      <c r="K15" s="66">
        <f t="shared" si="3"/>
        <v>12.687949999999313</v>
      </c>
      <c r="L15" s="67">
        <f t="shared" si="4"/>
        <v>30500</v>
      </c>
      <c r="M15" s="67">
        <f t="shared" si="5"/>
        <v>274500</v>
      </c>
      <c r="N15" s="68">
        <v>0</v>
      </c>
      <c r="O15" s="69">
        <f t="shared" si="0"/>
        <v>305443.09999999998</v>
      </c>
      <c r="P15" s="70">
        <f t="shared" si="1"/>
        <v>314606.09999999998</v>
      </c>
      <c r="Q15" s="40">
        <f t="shared" si="6"/>
        <v>9.9999999999999992E-2</v>
      </c>
      <c r="R15" t="s">
        <v>155</v>
      </c>
    </row>
    <row r="16" spans="1:19" ht="17.100000000000001" customHeight="1" x14ac:dyDescent="0.25">
      <c r="A16" s="5" t="s">
        <v>17</v>
      </c>
      <c r="B16" s="56">
        <v>11</v>
      </c>
      <c r="C16" s="56" t="s">
        <v>61</v>
      </c>
      <c r="D16" s="56" t="s">
        <v>104</v>
      </c>
      <c r="E16" s="57"/>
      <c r="F16" s="62">
        <v>4.55</v>
      </c>
      <c r="G16" s="63">
        <v>409500.11</v>
      </c>
      <c r="H16" s="65">
        <f>G16</f>
        <v>409500.11</v>
      </c>
      <c r="I16" s="65"/>
      <c r="J16" s="66">
        <f t="shared" si="2"/>
        <v>0</v>
      </c>
      <c r="K16" s="66">
        <f t="shared" si="3"/>
        <v>0</v>
      </c>
      <c r="L16" s="67">
        <f t="shared" si="4"/>
        <v>45500</v>
      </c>
      <c r="M16" s="67">
        <f t="shared" si="5"/>
        <v>409500</v>
      </c>
      <c r="N16" s="68">
        <v>0</v>
      </c>
      <c r="O16" s="69">
        <f t="shared" si="0"/>
        <v>455000.11</v>
      </c>
      <c r="P16" s="70">
        <f t="shared" si="1"/>
        <v>468650.11</v>
      </c>
      <c r="Q16" s="40">
        <f t="shared" si="6"/>
        <v>0.10999999999999999</v>
      </c>
    </row>
    <row r="17" spans="1:19" ht="17.100000000000001" customHeight="1" x14ac:dyDescent="0.25">
      <c r="A17" s="5" t="s">
        <v>18</v>
      </c>
      <c r="B17" s="56">
        <v>12</v>
      </c>
      <c r="C17" s="56" t="s">
        <v>62</v>
      </c>
      <c r="D17" s="56" t="s">
        <v>105</v>
      </c>
      <c r="E17" s="57"/>
      <c r="F17" s="62">
        <v>3.05</v>
      </c>
      <c r="G17" s="63">
        <v>274500.12</v>
      </c>
      <c r="H17" s="64"/>
      <c r="I17" s="65"/>
      <c r="J17" s="66">
        <f t="shared" si="2"/>
        <v>274500.12</v>
      </c>
      <c r="K17" s="66">
        <f t="shared" si="3"/>
        <v>8097.7535400000006</v>
      </c>
      <c r="L17" s="67">
        <f t="shared" si="4"/>
        <v>30500</v>
      </c>
      <c r="M17" s="67">
        <f t="shared" si="5"/>
        <v>274500</v>
      </c>
      <c r="N17" s="68">
        <v>0</v>
      </c>
      <c r="O17" s="69">
        <f t="shared" si="0"/>
        <v>587598.12</v>
      </c>
      <c r="P17" s="70">
        <f t="shared" si="1"/>
        <v>605226.12</v>
      </c>
      <c r="Q17" s="40">
        <f t="shared" si="6"/>
        <v>0.11999999999999998</v>
      </c>
    </row>
    <row r="18" spans="1:19" ht="17.100000000000001" customHeight="1" x14ac:dyDescent="0.25">
      <c r="A18" s="5" t="s">
        <v>18</v>
      </c>
      <c r="B18" s="56">
        <v>13</v>
      </c>
      <c r="C18" s="56" t="s">
        <v>63</v>
      </c>
      <c r="D18" s="56" t="s">
        <v>106</v>
      </c>
      <c r="E18" s="57"/>
      <c r="F18" s="62">
        <v>4.55</v>
      </c>
      <c r="G18" s="63">
        <v>400232.13</v>
      </c>
      <c r="H18" s="65">
        <v>412239.13</v>
      </c>
      <c r="I18" s="65"/>
      <c r="J18" s="66">
        <f t="shared" si="2"/>
        <v>-12007</v>
      </c>
      <c r="K18" s="66">
        <f t="shared" si="3"/>
        <v>0</v>
      </c>
      <c r="L18" s="67">
        <f t="shared" si="4"/>
        <v>45500</v>
      </c>
      <c r="M18" s="67">
        <f t="shared" si="5"/>
        <v>409500</v>
      </c>
      <c r="N18" s="68">
        <v>0</v>
      </c>
      <c r="O18" s="69">
        <f t="shared" si="0"/>
        <v>442993.13</v>
      </c>
      <c r="P18" s="70">
        <f t="shared" si="1"/>
        <v>456283.13</v>
      </c>
      <c r="Q18" s="40">
        <f t="shared" si="6"/>
        <v>0.12999999999999998</v>
      </c>
    </row>
    <row r="19" spans="1:19" ht="17.100000000000001" customHeight="1" x14ac:dyDescent="0.25">
      <c r="A19" s="5" t="s">
        <v>19</v>
      </c>
      <c r="B19" s="56">
        <v>14</v>
      </c>
      <c r="C19" s="56" t="s">
        <v>64</v>
      </c>
      <c r="D19" s="56" t="s">
        <v>107</v>
      </c>
      <c r="E19" s="57"/>
      <c r="F19" s="62">
        <v>3.18</v>
      </c>
      <c r="G19" s="63">
        <v>279522.14</v>
      </c>
      <c r="H19" s="64">
        <f>272844+6678.14</f>
        <v>279522.14</v>
      </c>
      <c r="I19" s="65"/>
      <c r="J19" s="66">
        <f t="shared" si="2"/>
        <v>0</v>
      </c>
      <c r="K19" s="66">
        <f t="shared" si="3"/>
        <v>0</v>
      </c>
      <c r="L19" s="67">
        <f t="shared" si="4"/>
        <v>31800.000000000004</v>
      </c>
      <c r="M19" s="67">
        <f t="shared" si="5"/>
        <v>286200</v>
      </c>
      <c r="N19" s="68">
        <v>0</v>
      </c>
      <c r="O19" s="69">
        <f t="shared" si="0"/>
        <v>318000.14</v>
      </c>
      <c r="P19" s="70">
        <f t="shared" si="1"/>
        <v>327540.14</v>
      </c>
      <c r="Q19" s="40">
        <f t="shared" si="6"/>
        <v>0.13999999999999999</v>
      </c>
    </row>
    <row r="20" spans="1:19" ht="17.100000000000001" customHeight="1" x14ac:dyDescent="0.25">
      <c r="A20" s="5" t="s">
        <v>19</v>
      </c>
      <c r="B20" s="56">
        <v>15</v>
      </c>
      <c r="C20" s="56" t="s">
        <v>65</v>
      </c>
      <c r="D20" s="56" t="s">
        <v>108</v>
      </c>
      <c r="E20" s="57"/>
      <c r="F20" s="62">
        <v>4.55</v>
      </c>
      <c r="G20" s="63">
        <v>409500.15</v>
      </c>
      <c r="H20" s="64">
        <f>G20</f>
        <v>409500.15</v>
      </c>
      <c r="I20" s="65"/>
      <c r="J20" s="66">
        <f t="shared" si="2"/>
        <v>0</v>
      </c>
      <c r="K20" s="66">
        <f t="shared" si="3"/>
        <v>0</v>
      </c>
      <c r="L20" s="67">
        <f t="shared" si="4"/>
        <v>45500</v>
      </c>
      <c r="M20" s="67">
        <f t="shared" si="5"/>
        <v>409500</v>
      </c>
      <c r="N20" s="68">
        <v>0</v>
      </c>
      <c r="O20" s="69">
        <f t="shared" si="0"/>
        <v>455000.15</v>
      </c>
      <c r="P20" s="70">
        <f t="shared" si="1"/>
        <v>468650.15</v>
      </c>
      <c r="Q20" s="40">
        <f t="shared" si="6"/>
        <v>0.15</v>
      </c>
    </row>
    <row r="21" spans="1:19" ht="17.100000000000001" customHeight="1" x14ac:dyDescent="0.25">
      <c r="A21" s="5" t="s">
        <v>20</v>
      </c>
      <c r="B21" s="56">
        <v>16</v>
      </c>
      <c r="C21" s="56" t="s">
        <v>66</v>
      </c>
      <c r="D21" s="56" t="s">
        <v>109</v>
      </c>
      <c r="E21" s="56"/>
      <c r="F21" s="62">
        <v>3.17</v>
      </c>
      <c r="G21" s="63">
        <v>278200.15999999997</v>
      </c>
      <c r="H21" s="64">
        <v>287000</v>
      </c>
      <c r="I21" s="65"/>
      <c r="J21" s="66">
        <f t="shared" si="2"/>
        <v>-8799.8400000000256</v>
      </c>
      <c r="K21" s="66">
        <f t="shared" si="3"/>
        <v>0</v>
      </c>
      <c r="L21" s="67">
        <f t="shared" si="4"/>
        <v>31700</v>
      </c>
      <c r="M21" s="67">
        <f t="shared" si="5"/>
        <v>285300</v>
      </c>
      <c r="N21" s="68">
        <v>0</v>
      </c>
      <c r="O21" s="69">
        <f t="shared" si="0"/>
        <v>308200.15999999997</v>
      </c>
      <c r="P21" s="70">
        <f t="shared" si="1"/>
        <v>317446.15999999997</v>
      </c>
      <c r="Q21" s="40">
        <f t="shared" si="6"/>
        <v>0.16</v>
      </c>
      <c r="R21" t="s">
        <v>154</v>
      </c>
      <c r="S21" s="39"/>
    </row>
    <row r="22" spans="1:19" ht="17.100000000000001" customHeight="1" x14ac:dyDescent="0.25">
      <c r="A22" s="5" t="s">
        <v>20</v>
      </c>
      <c r="B22" s="56">
        <v>17</v>
      </c>
      <c r="C22" s="56" t="s">
        <v>67</v>
      </c>
      <c r="D22" s="56" t="s">
        <v>110</v>
      </c>
      <c r="E22" s="57"/>
      <c r="F22" s="62">
        <v>4.55</v>
      </c>
      <c r="G22" s="64">
        <v>421785.17</v>
      </c>
      <c r="H22" s="64">
        <f>G22</f>
        <v>421785.17</v>
      </c>
      <c r="I22" s="65"/>
      <c r="J22" s="66">
        <f t="shared" si="2"/>
        <v>0</v>
      </c>
      <c r="K22" s="66">
        <f t="shared" si="3"/>
        <v>0</v>
      </c>
      <c r="L22" s="67">
        <f t="shared" si="4"/>
        <v>45500</v>
      </c>
      <c r="M22" s="67">
        <f t="shared" si="5"/>
        <v>409500</v>
      </c>
      <c r="N22" s="68">
        <v>0</v>
      </c>
      <c r="O22" s="69">
        <f t="shared" si="0"/>
        <v>455000.17</v>
      </c>
      <c r="P22" s="70">
        <f t="shared" si="1"/>
        <v>468650.17</v>
      </c>
      <c r="Q22" s="40">
        <f t="shared" si="6"/>
        <v>0.17</v>
      </c>
    </row>
    <row r="23" spans="1:19" ht="17.100000000000001" customHeight="1" x14ac:dyDescent="0.25">
      <c r="A23" s="5" t="s">
        <v>21</v>
      </c>
      <c r="B23" s="56">
        <v>18</v>
      </c>
      <c r="C23" s="56" t="s">
        <v>68</v>
      </c>
      <c r="D23" s="56" t="s">
        <v>111</v>
      </c>
      <c r="E23" s="56"/>
      <c r="F23" s="62">
        <v>3.17</v>
      </c>
      <c r="G23" s="63">
        <v>285300.18</v>
      </c>
      <c r="H23" s="64">
        <v>293859.18</v>
      </c>
      <c r="I23" s="65"/>
      <c r="J23" s="66">
        <f t="shared" si="2"/>
        <v>-8559</v>
      </c>
      <c r="K23" s="66">
        <f t="shared" si="3"/>
        <v>0</v>
      </c>
      <c r="L23" s="67">
        <f t="shared" si="4"/>
        <v>31700</v>
      </c>
      <c r="M23" s="67">
        <f t="shared" si="5"/>
        <v>285300</v>
      </c>
      <c r="N23" s="68">
        <v>0</v>
      </c>
      <c r="O23" s="69">
        <f t="shared" si="0"/>
        <v>308441.18</v>
      </c>
      <c r="P23" s="70">
        <f t="shared" si="1"/>
        <v>317694.18</v>
      </c>
      <c r="Q23" s="40">
        <f t="shared" si="6"/>
        <v>0.18000000000000002</v>
      </c>
    </row>
    <row r="24" spans="1:19" ht="17.100000000000001" customHeight="1" x14ac:dyDescent="0.25">
      <c r="A24" s="5" t="s">
        <v>21</v>
      </c>
      <c r="B24" s="56">
        <v>19</v>
      </c>
      <c r="C24" s="56" t="s">
        <v>69</v>
      </c>
      <c r="D24" s="56" t="s">
        <v>112</v>
      </c>
      <c r="E24" s="57"/>
      <c r="F24" s="62">
        <v>4.55</v>
      </c>
      <c r="G24" s="63">
        <v>409500.19</v>
      </c>
      <c r="H24" s="138">
        <f>G24</f>
        <v>409500.19</v>
      </c>
      <c r="I24" s="65"/>
      <c r="J24" s="66">
        <f t="shared" si="2"/>
        <v>0</v>
      </c>
      <c r="K24" s="66">
        <f t="shared" si="3"/>
        <v>0</v>
      </c>
      <c r="L24" s="67">
        <f t="shared" si="4"/>
        <v>45500</v>
      </c>
      <c r="M24" s="67">
        <f t="shared" si="5"/>
        <v>409500</v>
      </c>
      <c r="N24" s="68">
        <v>0</v>
      </c>
      <c r="O24" s="69">
        <f t="shared" si="0"/>
        <v>455000.19</v>
      </c>
      <c r="P24" s="70">
        <f t="shared" si="1"/>
        <v>468650.19</v>
      </c>
      <c r="Q24" s="40">
        <f t="shared" si="6"/>
        <v>0.19000000000000003</v>
      </c>
    </row>
    <row r="25" spans="1:19" ht="17.100000000000001" customHeight="1" x14ac:dyDescent="0.25">
      <c r="A25" s="5" t="s">
        <v>22</v>
      </c>
      <c r="B25" s="56">
        <v>20</v>
      </c>
      <c r="C25" s="56" t="s">
        <v>70</v>
      </c>
      <c r="D25" s="56" t="s">
        <v>113</v>
      </c>
      <c r="E25" s="56"/>
      <c r="F25" s="62">
        <v>3.17</v>
      </c>
      <c r="G25" s="64">
        <v>285300.2</v>
      </c>
      <c r="H25" s="64">
        <f>G25</f>
        <v>285300.2</v>
      </c>
      <c r="I25" s="65"/>
      <c r="J25" s="66">
        <f t="shared" si="2"/>
        <v>0</v>
      </c>
      <c r="K25" s="66">
        <f t="shared" si="3"/>
        <v>0</v>
      </c>
      <c r="L25" s="67">
        <f t="shared" si="4"/>
        <v>31700</v>
      </c>
      <c r="M25" s="67">
        <f t="shared" si="5"/>
        <v>285300</v>
      </c>
      <c r="N25" s="68">
        <v>0</v>
      </c>
      <c r="O25" s="69">
        <f t="shared" si="0"/>
        <v>317000.2</v>
      </c>
      <c r="P25" s="70">
        <f t="shared" si="1"/>
        <v>326510.2</v>
      </c>
      <c r="Q25" s="40">
        <f t="shared" si="6"/>
        <v>0.20000000000000004</v>
      </c>
      <c r="S25" t="s">
        <v>140</v>
      </c>
    </row>
    <row r="26" spans="1:19" ht="17.100000000000001" customHeight="1" x14ac:dyDescent="0.25">
      <c r="A26" s="5" t="s">
        <v>23</v>
      </c>
      <c r="B26" s="56">
        <v>21</v>
      </c>
      <c r="C26" s="56" t="s">
        <v>71</v>
      </c>
      <c r="D26" s="56" t="s">
        <v>114</v>
      </c>
      <c r="E26" s="57"/>
      <c r="F26" s="62">
        <v>4.55</v>
      </c>
      <c r="G26" s="63">
        <v>409500.21</v>
      </c>
      <c r="H26" s="65">
        <f>G26</f>
        <v>409500.21</v>
      </c>
      <c r="I26" s="65"/>
      <c r="J26" s="66">
        <f t="shared" si="2"/>
        <v>0</v>
      </c>
      <c r="K26" s="66">
        <f t="shared" si="3"/>
        <v>0</v>
      </c>
      <c r="L26" s="67">
        <f t="shared" si="4"/>
        <v>45500</v>
      </c>
      <c r="M26" s="67">
        <f t="shared" si="5"/>
        <v>409500</v>
      </c>
      <c r="N26" s="68">
        <v>0</v>
      </c>
      <c r="O26" s="69">
        <f t="shared" si="0"/>
        <v>455000.21</v>
      </c>
      <c r="P26" s="70">
        <f t="shared" si="1"/>
        <v>468650.21</v>
      </c>
      <c r="Q26" s="40">
        <f t="shared" si="6"/>
        <v>0.21000000000000005</v>
      </c>
    </row>
    <row r="27" spans="1:19" ht="17.100000000000001" customHeight="1" x14ac:dyDescent="0.25">
      <c r="A27" s="5" t="s">
        <v>24</v>
      </c>
      <c r="B27" s="56">
        <v>22</v>
      </c>
      <c r="C27" s="56" t="s">
        <v>72</v>
      </c>
      <c r="D27" s="56" t="s">
        <v>115</v>
      </c>
      <c r="E27" s="57"/>
      <c r="F27" s="62">
        <v>3.17</v>
      </c>
      <c r="G27" s="63">
        <v>-37579.78</v>
      </c>
      <c r="H27" s="64">
        <f>381870.22</f>
        <v>381870.22</v>
      </c>
      <c r="I27" s="65"/>
      <c r="J27" s="66">
        <f t="shared" si="2"/>
        <v>-419450</v>
      </c>
      <c r="K27" s="66">
        <f t="shared" si="3"/>
        <v>0</v>
      </c>
      <c r="L27" s="67">
        <f t="shared" si="4"/>
        <v>31700</v>
      </c>
      <c r="M27" s="67">
        <f t="shared" si="5"/>
        <v>285300</v>
      </c>
      <c r="N27" s="68">
        <v>0</v>
      </c>
      <c r="O27" s="69">
        <f t="shared" si="0"/>
        <v>-102449.78</v>
      </c>
      <c r="P27" s="70">
        <f t="shared" si="1"/>
        <v>-105522.78</v>
      </c>
      <c r="Q27" s="40">
        <f t="shared" si="6"/>
        <v>0.22000000000000006</v>
      </c>
    </row>
    <row r="28" spans="1:19" ht="17.100000000000001" customHeight="1" x14ac:dyDescent="0.25">
      <c r="A28" s="5" t="s">
        <v>25</v>
      </c>
      <c r="B28" s="56">
        <v>23</v>
      </c>
      <c r="C28" s="56" t="s">
        <v>73</v>
      </c>
      <c r="D28" s="56" t="s">
        <v>116</v>
      </c>
      <c r="E28" s="57"/>
      <c r="F28" s="62">
        <v>4.66</v>
      </c>
      <c r="G28" s="63">
        <v>419400.23</v>
      </c>
      <c r="H28" s="65">
        <f>G28</f>
        <v>419400.23</v>
      </c>
      <c r="I28" s="65"/>
      <c r="J28" s="66">
        <f t="shared" si="2"/>
        <v>0</v>
      </c>
      <c r="K28" s="66">
        <f t="shared" si="3"/>
        <v>0</v>
      </c>
      <c r="L28" s="67">
        <f t="shared" si="4"/>
        <v>46600</v>
      </c>
      <c r="M28" s="67">
        <f t="shared" si="5"/>
        <v>419400</v>
      </c>
      <c r="N28" s="68">
        <v>0</v>
      </c>
      <c r="O28" s="69">
        <f t="shared" si="0"/>
        <v>466000.23</v>
      </c>
      <c r="P28" s="70">
        <f t="shared" si="1"/>
        <v>479980.23</v>
      </c>
      <c r="Q28" s="40">
        <f t="shared" si="6"/>
        <v>0.23000000000000007</v>
      </c>
    </row>
    <row r="29" spans="1:19" ht="17.100000000000001" customHeight="1" x14ac:dyDescent="0.25">
      <c r="A29" s="5" t="s">
        <v>27</v>
      </c>
      <c r="B29" s="56">
        <v>24</v>
      </c>
      <c r="C29" s="56" t="s">
        <v>74</v>
      </c>
      <c r="D29" s="56" t="s">
        <v>117</v>
      </c>
      <c r="E29" s="57"/>
      <c r="F29" s="62">
        <v>3.21</v>
      </c>
      <c r="G29" s="63">
        <v>288900.24</v>
      </c>
      <c r="H29" s="65">
        <f>G29</f>
        <v>288900.24</v>
      </c>
      <c r="I29" s="65"/>
      <c r="J29" s="66">
        <f t="shared" si="2"/>
        <v>0</v>
      </c>
      <c r="K29" s="66">
        <f t="shared" si="3"/>
        <v>0</v>
      </c>
      <c r="L29" s="67">
        <f t="shared" si="4"/>
        <v>32099.999999999996</v>
      </c>
      <c r="M29" s="67">
        <f t="shared" si="5"/>
        <v>288899.99999999994</v>
      </c>
      <c r="N29" s="68">
        <v>0</v>
      </c>
      <c r="O29" s="69">
        <f t="shared" si="0"/>
        <v>321000.24</v>
      </c>
      <c r="P29" s="70">
        <f t="shared" si="1"/>
        <v>330630.24</v>
      </c>
      <c r="Q29" s="40">
        <f t="shared" si="6"/>
        <v>0.24000000000000007</v>
      </c>
    </row>
    <row r="30" spans="1:19" ht="17.100000000000001" customHeight="1" x14ac:dyDescent="0.25">
      <c r="A30" s="5" t="s">
        <v>27</v>
      </c>
      <c r="B30" s="56">
        <v>25</v>
      </c>
      <c r="C30" s="56" t="s">
        <v>75</v>
      </c>
      <c r="D30" s="56" t="s">
        <v>118</v>
      </c>
      <c r="E30" s="56"/>
      <c r="F30" s="62">
        <v>4.6900000000000004</v>
      </c>
      <c r="G30" s="63">
        <v>412251.25</v>
      </c>
      <c r="H30" s="65">
        <f>G30</f>
        <v>412251.25</v>
      </c>
      <c r="I30" s="65"/>
      <c r="J30" s="66">
        <f t="shared" si="2"/>
        <v>0</v>
      </c>
      <c r="K30" s="66">
        <f t="shared" si="3"/>
        <v>0</v>
      </c>
      <c r="L30" s="67">
        <f t="shared" si="4"/>
        <v>46900.000000000007</v>
      </c>
      <c r="M30" s="67">
        <f t="shared" si="5"/>
        <v>422100.00000000006</v>
      </c>
      <c r="N30" s="68">
        <v>0</v>
      </c>
      <c r="O30" s="69">
        <f t="shared" si="0"/>
        <v>469000.25</v>
      </c>
      <c r="P30" s="70">
        <f t="shared" si="1"/>
        <v>483070.25</v>
      </c>
      <c r="Q30" s="40">
        <f t="shared" si="6"/>
        <v>0.25000000000000006</v>
      </c>
      <c r="R30" t="s">
        <v>144</v>
      </c>
    </row>
    <row r="31" spans="1:19" ht="17.100000000000001" customHeight="1" x14ac:dyDescent="0.25">
      <c r="A31" s="5" t="s">
        <v>27</v>
      </c>
      <c r="B31" s="56">
        <v>26</v>
      </c>
      <c r="C31" s="56" t="s">
        <v>76</v>
      </c>
      <c r="D31" s="56" t="s">
        <v>119</v>
      </c>
      <c r="E31" s="56"/>
      <c r="F31" s="62">
        <v>3.02</v>
      </c>
      <c r="G31" s="63">
        <v>271800.26</v>
      </c>
      <c r="H31" s="65">
        <v>279954.26</v>
      </c>
      <c r="I31" s="65"/>
      <c r="J31" s="66">
        <f t="shared" si="2"/>
        <v>-8154</v>
      </c>
      <c r="K31" s="66">
        <f t="shared" si="3"/>
        <v>0</v>
      </c>
      <c r="L31" s="67">
        <f t="shared" si="4"/>
        <v>30200</v>
      </c>
      <c r="M31" s="67">
        <f t="shared" si="5"/>
        <v>271800</v>
      </c>
      <c r="N31" s="68">
        <v>0</v>
      </c>
      <c r="O31" s="69">
        <f t="shared" si="0"/>
        <v>293846.26</v>
      </c>
      <c r="P31" s="70">
        <f t="shared" si="1"/>
        <v>302661.26</v>
      </c>
      <c r="Q31" s="121">
        <f t="shared" si="6"/>
        <v>0.26000000000000006</v>
      </c>
      <c r="R31" s="127"/>
      <c r="S31" t="s">
        <v>141</v>
      </c>
    </row>
    <row r="32" spans="1:19" ht="17.100000000000001" customHeight="1" thickBot="1" x14ac:dyDescent="0.3">
      <c r="A32" s="5" t="s">
        <v>27</v>
      </c>
      <c r="B32" s="56">
        <v>27</v>
      </c>
      <c r="C32" s="56" t="s">
        <v>120</v>
      </c>
      <c r="D32" s="56" t="s">
        <v>121</v>
      </c>
      <c r="E32" s="57"/>
      <c r="F32" s="62">
        <v>0.16</v>
      </c>
      <c r="G32" s="63">
        <v>14400.27</v>
      </c>
      <c r="H32" s="65">
        <v>14832.27</v>
      </c>
      <c r="I32" s="65"/>
      <c r="J32" s="66">
        <f>G32-H32</f>
        <v>-432</v>
      </c>
      <c r="K32" s="66">
        <f t="shared" si="3"/>
        <v>0</v>
      </c>
      <c r="L32" s="67">
        <f t="shared" si="4"/>
        <v>1600</v>
      </c>
      <c r="M32" s="67">
        <f>O$2*F32%</f>
        <v>14400</v>
      </c>
      <c r="N32" s="68">
        <v>0</v>
      </c>
      <c r="O32" s="69">
        <f t="shared" si="0"/>
        <v>15568.27</v>
      </c>
      <c r="P32" s="70">
        <f t="shared" si="1"/>
        <v>16035.27</v>
      </c>
      <c r="Q32" s="40">
        <f t="shared" si="6"/>
        <v>0.27000000000000007</v>
      </c>
    </row>
    <row r="33" spans="1:17" ht="15.75" hidden="1" thickBot="1" x14ac:dyDescent="0.3">
      <c r="A33" s="5" t="s">
        <v>27</v>
      </c>
      <c r="B33" s="56"/>
      <c r="C33" s="56"/>
      <c r="D33" s="56"/>
      <c r="E33" s="56"/>
      <c r="F33" s="62"/>
      <c r="G33" s="71" t="s">
        <v>94</v>
      </c>
      <c r="H33" s="64" t="str">
        <f t="shared" ref="H33" si="7">G33</f>
        <v>162450.31</v>
      </c>
      <c r="I33" s="72"/>
      <c r="J33" s="73" t="e">
        <f t="shared" ref="J33" si="8">G33-H33</f>
        <v>#VALUE!</v>
      </c>
      <c r="K33" s="66" t="e">
        <f t="shared" ref="K33" si="9">IF(J33&gt;0,J33*3%,0)</f>
        <v>#VALUE!</v>
      </c>
      <c r="L33" s="67">
        <f t="shared" si="4"/>
        <v>0</v>
      </c>
      <c r="M33" s="74">
        <f t="shared" si="5"/>
        <v>0</v>
      </c>
      <c r="N33" s="75">
        <v>0</v>
      </c>
      <c r="O33" s="69" t="e">
        <f t="shared" si="0"/>
        <v>#VALUE!</v>
      </c>
      <c r="P33" s="70" t="e">
        <f t="shared" si="1"/>
        <v>#VALUE!</v>
      </c>
      <c r="Q33" s="40"/>
    </row>
    <row r="34" spans="1:17" ht="17.100000000000001" customHeight="1" thickBot="1" x14ac:dyDescent="0.3">
      <c r="B34" s="76"/>
      <c r="C34" s="77"/>
      <c r="D34" s="78"/>
      <c r="E34" s="78"/>
      <c r="F34" s="79">
        <f>SUM(F6:F33)</f>
        <v>99.999999999999972</v>
      </c>
      <c r="G34" s="46">
        <f>SUM(G6:G33)</f>
        <v>11024929.779999999</v>
      </c>
      <c r="H34" s="54">
        <f>SUM(H6:H33)</f>
        <v>8734155.0999999996</v>
      </c>
      <c r="I34" s="54">
        <f t="shared" ref="I34" si="10">SUM(I6:I33)</f>
        <v>0</v>
      </c>
      <c r="J34" s="54"/>
      <c r="K34" s="54"/>
      <c r="L34" s="54">
        <f>SUM(L6:L33)</f>
        <v>1000000</v>
      </c>
      <c r="M34" s="54">
        <f>SUM(M6:M33)</f>
        <v>9000000</v>
      </c>
      <c r="N34" s="54">
        <f>SUM(N6:N33)</f>
        <v>0</v>
      </c>
      <c r="O34" s="80">
        <f>SUM(O6:O32)</f>
        <v>12372117.779999999</v>
      </c>
      <c r="P34" s="80">
        <f>SUM(P6:P32)</f>
        <v>12743280.779999999</v>
      </c>
    </row>
    <row r="35" spans="1:17" ht="12.75" customHeight="1" x14ac:dyDescent="0.25">
      <c r="D35" s="44"/>
      <c r="E35" s="44"/>
    </row>
    <row r="36" spans="1:17" hidden="1" x14ac:dyDescent="0.25"/>
    <row r="37" spans="1:17" ht="9" customHeight="1" x14ac:dyDescent="0.25">
      <c r="D37" s="148" t="s">
        <v>151</v>
      </c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</row>
    <row r="38" spans="1:17" ht="12" hidden="1" customHeight="1" x14ac:dyDescent="0.25"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</row>
    <row r="39" spans="1:17" ht="12" hidden="1" customHeight="1" x14ac:dyDescent="0.25"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  <row r="40" spans="1:17" ht="12" hidden="1" customHeight="1" x14ac:dyDescent="0.25"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</row>
    <row r="41" spans="1:17" ht="12" hidden="1" customHeight="1" x14ac:dyDescent="0.25"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</row>
    <row r="42" spans="1:17" ht="65.25" customHeight="1" x14ac:dyDescent="0.25"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</sheetData>
  <mergeCells count="17"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2025-12-04T11:25:52Z</cp:lastPrinted>
  <dcterms:created xsi:type="dcterms:W3CDTF">2023-09-17T12:29:07Z</dcterms:created>
  <dcterms:modified xsi:type="dcterms:W3CDTF">2025-12-04T11:26:01Z</dcterms:modified>
</cp:coreProperties>
</file>