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JULIO\"/>
    </mc:Choice>
  </mc:AlternateContent>
  <xr:revisionPtr revIDLastSave="0" documentId="13_ncr:1_{1D811B4C-EDEF-4A76-BD11-BE3973EFDCBD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RESUMEN!$A$1:$D$121</definedName>
  </definedNames>
  <calcPr calcId="181029"/>
</workbook>
</file>

<file path=xl/calcChain.xml><?xml version="1.0" encoding="utf-8"?>
<calcChain xmlns="http://schemas.openxmlformats.org/spreadsheetml/2006/main">
  <c r="M32" i="2" l="1"/>
  <c r="M6" i="2"/>
  <c r="C27" i="1"/>
  <c r="C32" i="1"/>
  <c r="C37" i="1"/>
  <c r="D73" i="1"/>
  <c r="H24" i="2"/>
  <c r="J24" i="2" s="1"/>
  <c r="K24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5" i="2"/>
  <c r="K26" i="2"/>
  <c r="K27" i="2"/>
  <c r="K28" i="2"/>
  <c r="K29" i="2"/>
  <c r="K30" i="2"/>
  <c r="K31" i="2"/>
  <c r="K32" i="2"/>
  <c r="K6" i="2"/>
  <c r="H28" i="2"/>
  <c r="J28" i="2" s="1"/>
  <c r="H31" i="2"/>
  <c r="H7" i="2"/>
  <c r="J7" i="2" s="1"/>
  <c r="H25" i="2"/>
  <c r="J25" i="2" s="1"/>
  <c r="H22" i="2"/>
  <c r="J22" i="2" s="1"/>
  <c r="H23" i="2"/>
  <c r="H6" i="2"/>
  <c r="H29" i="2"/>
  <c r="J29" i="2" s="1"/>
  <c r="H19" i="2"/>
  <c r="J19" i="2" s="1"/>
  <c r="H18" i="2"/>
  <c r="H32" i="2"/>
  <c r="J32" i="2" s="1"/>
  <c r="H21" i="2"/>
  <c r="H26" i="2"/>
  <c r="J26" i="2" s="1"/>
  <c r="H16" i="2"/>
  <c r="J16" i="2" s="1"/>
  <c r="H11" i="2"/>
  <c r="J11" i="2" s="1"/>
  <c r="D51" i="1"/>
  <c r="D52" i="1" s="1"/>
  <c r="J8" i="2"/>
  <c r="J9" i="2"/>
  <c r="J10" i="2"/>
  <c r="J12" i="2"/>
  <c r="J13" i="2"/>
  <c r="J14" i="2"/>
  <c r="J15" i="2"/>
  <c r="J17" i="2"/>
  <c r="J18" i="2"/>
  <c r="J20" i="2"/>
  <c r="J21" i="2"/>
  <c r="J23" i="2"/>
  <c r="J27" i="2"/>
  <c r="J30" i="2"/>
  <c r="J31" i="2"/>
  <c r="D38" i="1" l="1"/>
  <c r="I34" i="2"/>
  <c r="D53" i="1"/>
  <c r="H33" i="2" l="1"/>
  <c r="J33" i="2" s="1"/>
  <c r="O33" i="2" s="1"/>
  <c r="L33" i="2"/>
  <c r="M33" i="2"/>
  <c r="D60" i="1"/>
  <c r="P33" i="2" l="1"/>
  <c r="K33" i="2"/>
  <c r="D43" i="1" l="1"/>
  <c r="D47" i="1"/>
  <c r="B120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4" i="1" l="1"/>
  <c r="D89" i="1" s="1"/>
  <c r="B93" i="1" s="1"/>
  <c r="B108" i="1" s="1"/>
  <c r="B104" i="1" l="1"/>
  <c r="D69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3" i="1" s="1"/>
  <c r="F34" i="2"/>
  <c r="G34" i="2"/>
  <c r="J6" i="2" l="1"/>
  <c r="B94" i="1" l="1"/>
  <c r="L34" i="2"/>
  <c r="D77" i="1" l="1"/>
  <c r="B92" i="1" l="1"/>
  <c r="B107" i="1" s="1"/>
  <c r="B109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1" i="1" l="1"/>
  <c r="N34" i="2" l="1"/>
</calcChain>
</file>

<file path=xl/sharedStrings.xml><?xml version="1.0" encoding="utf-8"?>
<sst xmlns="http://schemas.openxmlformats.org/spreadsheetml/2006/main" count="203" uniqueCount="176">
  <si>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</si>
  <si>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</si>
  <si>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</si>
  <si>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</si>
  <si>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</si>
  <si>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</si>
  <si>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</si>
  <si>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</si>
  <si>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</si>
  <si>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</si>
  <si>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</si>
  <si>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</si>
  <si>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</si>
  <si>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</si>
  <si>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</si>
  <si>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</si>
  <si>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</si>
  <si>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</si>
  <si>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</si>
  <si>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</si>
  <si>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</si>
  <si>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</si>
  <si>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</si>
  <si>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</si>
  <si>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</si>
  <si>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</si>
  <si>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</si>
  <si>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</si>
  <si>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</si>
  <si>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</si>
  <si>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</si>
  <si>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</si>
  <si>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</si>
  <si>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</si>
  <si>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</si>
  <si>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</si>
  <si>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</si>
  <si>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</si>
  <si>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</si>
  <si>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</si>
  <si>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</si>
  <si>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</si>
  <si>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</si>
  <si>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</si>
  <si>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</si>
  <si>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</si>
  <si>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</si>
  <si>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</si>
  <si>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</si>
  <si>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</si>
  <si>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</si>
  <si>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</si>
  <si>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</si>
  <si>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</si>
  <si>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</si>
  <si>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</si>
  <si>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</si>
  <si>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</si>
  <si>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</si>
  <si>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</si>
  <si>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</si>
  <si>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</si>
  <si>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</si>
  <si>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</si>
  <si>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</si>
  <si>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</si>
  <si>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</si>
  <si>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</si>
  <si>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</si>
  <si>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</si>
  <si>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</si>
  <si>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</si>
  <si>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</si>
  <si>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</si>
  <si>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</si>
  <si>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</si>
  <si>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</si>
  <si>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</si>
  <si>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</si>
  <si>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</si>
  <si>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</si>
  <si>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</si>
  <si>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</si>
  <si>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</si>
  <si>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</si>
  <si>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</si>
  <si>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</si>
  <si>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</si>
  <si>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</si>
  <si>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</si>
  <si>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</si>
  <si>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</si>
  <si>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</si>
  <si>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</si>
  <si>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</si>
  <si>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</si>
  <si>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</si>
  <si>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MAGRO HECTOR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</si>
  <si>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</si>
  <si>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</si>
  <si>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</si>
  <si>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</si>
  <si>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</si>
  <si>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</si>
  <si>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</si>
  <si>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</si>
  <si>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</si>
  <si>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</si>
  <si>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</si>
  <si>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</si>
  <si>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</si>
  <si>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</si>
  <si>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</si>
  <si>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</si>
  <si>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</si>
  <si>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</si>
  <si>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</si>
  <si>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</si>
  <si>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</si>
  <si>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</si>
  <si>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</si>
  <si>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</si>
  <si>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</si>
  <si>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Titular: CONS. DE PROPIETARIOS COLOMBRES 360
Banco: SUPERVIELLE
Sucursal: Lomas de Zamora
CBU: 02700151 10040979780018
Nº de cuenta: 04097978-001
Código de Pago Electrónico: abonar con los centavos de la UF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</si>
  <si>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</si>
  <si>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</si>
  <si>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</si>
  <si>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</si>
  <si>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>VTO 14/08</t>
  </si>
  <si>
    <t xml:space="preserve">METROGAS - Cliente 30008873781 </t>
  </si>
  <si>
    <t>Ortega Daniel O. - CUIT 20-22388558-7 - Servicio - Fumigación</t>
  </si>
  <si>
    <t xml:space="preserve">Ascensores Premec - Mantenimiento junio 2025 </t>
  </si>
  <si>
    <t>G Group - Ramón Falcón 395, Lomas de Zamora - CUIT 33-71473408-9  - Service grupo electrógeno</t>
  </si>
  <si>
    <t xml:space="preserve">Pinturería Giannoni S.A. - CUIT 30-55691769-4 - Materiales terraza </t>
  </si>
  <si>
    <t>Borel V. Nora - CUIT 27-27273620-6 - Impermeabilización 4 terrazas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</si>
  <si>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</si>
  <si>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</si>
  <si>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</si>
  <si>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</si>
  <si>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</si>
  <si>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</si>
  <si>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</si>
  <si>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</si>
  <si>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</si>
  <si>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</si>
  <si>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</si>
  <si>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</si>
  <si>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</si>
  <si>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</si>
  <si>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Debito 04/07</t>
  </si>
  <si>
    <t>Debito 14/07</t>
  </si>
  <si>
    <t>Debito 16/07</t>
  </si>
  <si>
    <t>Transf 14/07</t>
  </si>
  <si>
    <t>Transf 29/07</t>
  </si>
  <si>
    <t xml:space="preserve">Benitez Nicolas - Cambio de automatico tanque de terraza - Administracion anterior </t>
  </si>
  <si>
    <t>Esenciales (Jerez V.)  - Bolsas, cloro, LED, papel, aromatizante - Administracion anterior</t>
  </si>
  <si>
    <t>Transf 08/07</t>
  </si>
  <si>
    <t>Sasa - Servicio de confeccion y liquidacion de datos - Junio 2025 - Administracion anterior</t>
  </si>
  <si>
    <t>Transf 07/07</t>
  </si>
  <si>
    <t>Estudio Juridico - Dra. Berta A Villarreal Carta documento de despido al Sr. Alvarez Sanchez - Administracion anterior</t>
  </si>
  <si>
    <t>María Josefina Conti y Nicolás Massaro</t>
  </si>
  <si>
    <t>Transf no identificada - Colombres Sur - 05/07</t>
  </si>
  <si>
    <t>Deposito en efectivo 07/07</t>
  </si>
  <si>
    <t>Deposito en efectivo 08/07</t>
  </si>
  <si>
    <t>Deposito en efectivo 10/07</t>
  </si>
  <si>
    <t>Deposito en efectivo 11/07</t>
  </si>
  <si>
    <t>Punitorios mal cobrados por administracion saliente</t>
  </si>
  <si>
    <t>Mozart Srl</t>
  </si>
  <si>
    <t>SAC neto</t>
  </si>
  <si>
    <t>Transf 03/07</t>
  </si>
  <si>
    <t>Honorarios administracion anterior</t>
  </si>
  <si>
    <t>Transf 15/07</t>
  </si>
  <si>
    <t>MES QUE VIENE (EN AGOST0 QUEDA PENDIENTE AGREGAR EL TRASPASO DE ADMINISTRACION QUE ES DE $180MIL PESOS</t>
  </si>
  <si>
    <t>Devolucion anticipo SAC mes pasado (Gestionado por administracion saliente)</t>
  </si>
  <si>
    <t>PREVISION ORDINARIA - ARREGLOS DE ASCENSOR QUE SE HICIERON - BOMBAS (QUE SE DEBEN ABONAR EN LOS PRIMEROS DIAS)</t>
  </si>
  <si>
    <t>EL DEPOSITO DEL MES PASADO DE 545.000 ES DE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</si>
</sst>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164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164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4" fontId="11" fillId="4" borderId="1" xfId="0" applyNumberFormat="1" applyFont="1" applyFill="1" applyBorder="1"/>
    <xf numFmtId="165" fontId="7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7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165" fontId="14" fillId="4" borderId="13" xfId="0" applyNumberFormat="1" applyFont="1" applyFill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164" fontId="19" fillId="11" borderId="6" xfId="0" applyNumberFormat="1" applyFont="1" applyFill="1" applyBorder="1"/>
    <xf numFmtId="165" fontId="0" fillId="4" borderId="0" xfId="1" applyFont="1" applyFill="1"/>
    <xf numFmtId="165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7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165" fontId="20" fillId="0" borderId="1" xfId="1" applyFont="1" applyBorder="1"/>
    <xf numFmtId="165" fontId="20" fillId="2" borderId="1" xfId="1" applyFont="1" applyFill="1" applyBorder="1"/>
    <xf numFmtId="167" fontId="20" fillId="2" borderId="1" xfId="1" applyNumberFormat="1" applyFont="1" applyFill="1" applyBorder="1"/>
    <xf numFmtId="167" fontId="14" fillId="0" borderId="1" xfId="0" applyNumberFormat="1" applyFont="1" applyBorder="1"/>
    <xf numFmtId="167" fontId="14" fillId="0" borderId="1" xfId="1" applyNumberFormat="1" applyFont="1" applyBorder="1"/>
    <xf numFmtId="165" fontId="14" fillId="0" borderId="6" xfId="1" applyFont="1" applyBorder="1"/>
    <xf numFmtId="165" fontId="20" fillId="0" borderId="25" xfId="1" applyFont="1" applyBorder="1"/>
    <xf numFmtId="165" fontId="20" fillId="0" borderId="27" xfId="1" applyFont="1" applyBorder="1"/>
    <xf numFmtId="165" fontId="21" fillId="0" borderId="1" xfId="1" applyFont="1" applyBorder="1"/>
    <xf numFmtId="167" fontId="21" fillId="2" borderId="1" xfId="1" applyNumberFormat="1" applyFont="1" applyFill="1" applyBorder="1"/>
    <xf numFmtId="167" fontId="21" fillId="0" borderId="1" xfId="0" applyNumberFormat="1" applyFont="1" applyBorder="1"/>
    <xf numFmtId="167" fontId="21" fillId="0" borderId="1" xfId="1" applyNumberFormat="1" applyFont="1" applyBorder="1"/>
    <xf numFmtId="165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165" fontId="14" fillId="4" borderId="21" xfId="0" applyNumberFormat="1" applyFont="1" applyFill="1" applyBorder="1"/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5" fontId="23" fillId="0" borderId="1" xfId="1" applyFont="1" applyBorder="1"/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165" fontId="9" fillId="6" borderId="0" xfId="0" applyNumberFormat="1" applyFont="1" applyFill="1"/>
    <xf numFmtId="165" fontId="4" fillId="2" borderId="1" xfId="1" applyFont="1" applyFill="1" applyBorder="1"/>
    <xf numFmtId="165" fontId="23" fillId="2" borderId="1" xfId="1" applyFont="1" applyFill="1" applyBorder="1" applyAlignment="1">
      <alignment wrapText="1"/>
    </xf>
    <xf numFmtId="0" fontId="0" fillId="9" borderId="0" xfId="0" applyFill="1"/>
    <xf numFmtId="0" fontId="15" fillId="0" borderId="1" xfId="1" applyNumberFormat="1" applyFont="1" applyBorder="1"/>
    <xf numFmtId="0" fontId="15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164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164" fontId="4" fillId="2" borderId="1" xfId="0" applyNumberFormat="1" applyFont="1" applyFill="1" applyBorder="1"/>
    <xf numFmtId="164" fontId="19" fillId="11" borderId="1" xfId="0" applyNumberFormat="1" applyFont="1" applyFill="1" applyBorder="1"/>
    <xf numFmtId="164" fontId="0" fillId="0" borderId="1" xfId="0" applyNumberFormat="1" applyBorder="1"/>
    <xf numFmtId="165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165" fontId="0" fillId="2" borderId="0" xfId="0" applyNumberFormat="1" applyFill="1"/>
    <xf numFmtId="165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168" fontId="20" fillId="2" borderId="1" xfId="1" applyNumberFormat="1" applyFont="1" applyFill="1" applyBorder="1"/>
    <xf numFmtId="165" fontId="1" fillId="0" borderId="1" xfId="1" applyFont="1" applyBorder="1" applyAlignment="1">
      <alignment vertical="center"/>
    </xf>
    <xf numFmtId="165" fontId="23" fillId="0" borderId="3" xfId="1" applyFont="1" applyBorder="1" applyAlignment="1">
      <alignment horizontal="left"/>
    </xf>
    <xf numFmtId="167" fontId="0" fillId="3" borderId="0" xfId="1" applyNumberFormat="1" applyFont="1" applyFill="1" applyAlignment="1"/>
    <xf numFmtId="43" fontId="0" fillId="0" borderId="0" xfId="0" applyNumberFormat="1"/>
    <xf numFmtId="165" fontId="4" fillId="0" borderId="1" xfId="1" applyFont="1" applyBorder="1" applyAlignment="1">
      <alignment vertical="center" wrapText="1"/>
    </xf>
    <xf numFmtId="165" fontId="4" fillId="2" borderId="1" xfId="1" applyFont="1" applyFill="1" applyBorder="1" applyAlignment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4" fillId="9" borderId="1" xfId="0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opLeftCell="A111" workbookViewId="0">
      <selection activeCell="C72" sqref="C23:C7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36" t="s">
        <v>124</v>
      </c>
      <c r="B1" s="128"/>
      <c r="C1" s="6"/>
      <c r="D1" s="6"/>
    </row>
    <row r="2" spans="1:4" x14ac:dyDescent="0.25">
      <c r="A2" s="129" t="s">
        <v>126</v>
      </c>
      <c r="B2" s="129"/>
      <c r="C2" s="129"/>
      <c r="D2" s="129"/>
    </row>
    <row r="3" spans="1:4" ht="16.899999999999999" customHeight="1" x14ac:dyDescent="0.25">
      <c r="A3" s="129" t="s">
        <v>125</v>
      </c>
      <c r="B3" s="129"/>
      <c r="C3" s="129"/>
      <c r="D3" s="129"/>
    </row>
    <row r="4" spans="1:4" ht="32.25" customHeight="1" x14ac:dyDescent="0.25">
      <c r="A4" s="156" t="s">
        <v>127</v>
      </c>
      <c r="B4" s="156"/>
      <c r="C4" s="130"/>
      <c r="D4" s="130"/>
    </row>
    <row r="5" spans="1:4" x14ac:dyDescent="0.25">
      <c r="A5" s="156"/>
      <c r="B5" s="156"/>
      <c r="C5" s="130"/>
      <c r="D5" s="130"/>
    </row>
    <row r="6" spans="1:4" x14ac:dyDescent="0.25">
      <c r="A6" s="156"/>
      <c r="B6" s="156"/>
      <c r="C6" s="130"/>
      <c r="D6" s="130"/>
    </row>
    <row r="7" spans="1:4" ht="27" customHeight="1" x14ac:dyDescent="0.25">
      <c r="A7" s="156"/>
      <c r="B7" s="156"/>
      <c r="C7" s="130"/>
      <c r="D7" s="130"/>
    </row>
    <row r="9" spans="1:4" x14ac:dyDescent="0.25">
      <c r="B9" s="153" t="s">
        <v>128</v>
      </c>
    </row>
    <row r="10" spans="1:4" x14ac:dyDescent="0.25">
      <c r="B10" s="153"/>
    </row>
    <row r="11" spans="1:4" x14ac:dyDescent="0.25">
      <c r="B11" s="153"/>
    </row>
    <row r="13" spans="1:4" hidden="1" x14ac:dyDescent="0.25"/>
    <row r="14" spans="1:4" ht="15" customHeight="1" x14ac:dyDescent="0.25">
      <c r="A14" s="152" t="s">
        <v>92</v>
      </c>
      <c r="B14" s="152"/>
      <c r="C14" s="152"/>
      <c r="D14" s="152"/>
    </row>
    <row r="15" spans="1:4" ht="15" customHeight="1" x14ac:dyDescent="0.25">
      <c r="A15" s="152"/>
      <c r="B15" s="152"/>
      <c r="C15" s="152"/>
      <c r="D15" s="152"/>
    </row>
    <row r="16" spans="1:4" ht="15" customHeight="1" x14ac:dyDescent="0.25">
      <c r="A16" s="152"/>
      <c r="B16" s="152"/>
      <c r="C16" s="152"/>
      <c r="D16" s="152"/>
    </row>
    <row r="17" spans="1:7" ht="53.25" customHeight="1" x14ac:dyDescent="0.25">
      <c r="A17" s="152"/>
      <c r="B17" s="152"/>
      <c r="C17" s="152"/>
      <c r="D17" s="152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139</v>
      </c>
      <c r="B23" s="5"/>
      <c r="C23" s="122">
        <v>1144385.8999999999</v>
      </c>
      <c r="D23" s="84"/>
    </row>
    <row r="24" spans="1:7" x14ac:dyDescent="0.25">
      <c r="A24" s="5" t="s">
        <v>84</v>
      </c>
      <c r="B24" s="5"/>
      <c r="C24" s="122">
        <v>-466337.9</v>
      </c>
      <c r="D24" s="84"/>
    </row>
    <row r="25" spans="1:7" x14ac:dyDescent="0.25">
      <c r="A25" s="5" t="s">
        <v>83</v>
      </c>
      <c r="B25" s="5"/>
      <c r="C25" s="122"/>
      <c r="D25" s="84"/>
      <c r="G25" s="14"/>
    </row>
    <row r="26" spans="1:7" x14ac:dyDescent="0.25">
      <c r="A26" s="5" t="s">
        <v>168</v>
      </c>
      <c r="B26" s="5"/>
      <c r="C26" s="122">
        <v>470408</v>
      </c>
      <c r="D26" s="84"/>
      <c r="G26" s="14"/>
    </row>
    <row r="27" spans="1:7" x14ac:dyDescent="0.25">
      <c r="A27" s="50" t="s">
        <v>82</v>
      </c>
      <c r="B27" s="50"/>
      <c r="C27" s="123">
        <f>SUM(C23:C26)</f>
        <v>1148456</v>
      </c>
      <c r="D27" s="85"/>
      <c r="G27" s="124"/>
    </row>
    <row r="28" spans="1:7" x14ac:dyDescent="0.25">
      <c r="A28" s="135" t="s">
        <v>140</v>
      </c>
      <c r="B28" s="5"/>
      <c r="C28" s="122">
        <v>1005541.03</v>
      </c>
      <c r="D28" s="84"/>
      <c r="G28" s="124"/>
    </row>
    <row r="29" spans="1:7" x14ac:dyDescent="0.25">
      <c r="A29" s="5" t="s">
        <v>81</v>
      </c>
      <c r="B29" s="5"/>
      <c r="C29" s="118">
        <v>-218705.03</v>
      </c>
      <c r="D29" s="84"/>
      <c r="G29" s="14"/>
    </row>
    <row r="30" spans="1:7" x14ac:dyDescent="0.25">
      <c r="A30" s="5" t="s">
        <v>83</v>
      </c>
      <c r="B30" s="5"/>
      <c r="C30" s="118"/>
      <c r="D30" s="84"/>
      <c r="G30" s="14"/>
    </row>
    <row r="31" spans="1:7" x14ac:dyDescent="0.25">
      <c r="A31" s="5" t="s">
        <v>168</v>
      </c>
      <c r="B31" s="5"/>
      <c r="C31" s="118">
        <v>526597</v>
      </c>
      <c r="D31" s="84"/>
      <c r="G31" s="14"/>
    </row>
    <row r="32" spans="1:7" x14ac:dyDescent="0.25">
      <c r="A32" s="50" t="s">
        <v>82</v>
      </c>
      <c r="B32" s="50"/>
      <c r="C32" s="51">
        <f>SUM(C28:C31)</f>
        <v>1313433</v>
      </c>
      <c r="D32" s="85"/>
    </row>
    <row r="33" spans="1:7" x14ac:dyDescent="0.25">
      <c r="A33" s="5" t="s">
        <v>138</v>
      </c>
      <c r="B33" s="5"/>
      <c r="C33" s="122">
        <v>1418273.25</v>
      </c>
      <c r="D33" s="134"/>
    </row>
    <row r="34" spans="1:7" x14ac:dyDescent="0.25">
      <c r="A34" s="5" t="s">
        <v>81</v>
      </c>
      <c r="B34" s="5"/>
      <c r="C34" s="122">
        <v>-308474.25</v>
      </c>
      <c r="D34" s="134"/>
    </row>
    <row r="35" spans="1:7" x14ac:dyDescent="0.25">
      <c r="A35" s="5" t="s">
        <v>83</v>
      </c>
      <c r="B35" s="5"/>
      <c r="C35" s="122"/>
      <c r="D35" s="134"/>
    </row>
    <row r="36" spans="1:7" x14ac:dyDescent="0.25">
      <c r="A36" s="5" t="s">
        <v>168</v>
      </c>
      <c r="B36" s="5"/>
      <c r="C36" s="118">
        <v>690667</v>
      </c>
      <c r="D36" s="134"/>
    </row>
    <row r="37" spans="1:7" x14ac:dyDescent="0.25">
      <c r="A37" s="50" t="s">
        <v>82</v>
      </c>
      <c r="B37" s="133"/>
      <c r="C37" s="51">
        <f>SUM(C33:C36)</f>
        <v>1800466</v>
      </c>
      <c r="D37" s="85"/>
    </row>
    <row r="38" spans="1:7" ht="14.25" customHeight="1" thickBot="1" x14ac:dyDescent="0.3">
      <c r="A38" s="18" t="s">
        <v>0</v>
      </c>
      <c r="B38" s="18"/>
      <c r="C38" s="20"/>
      <c r="D38" s="86">
        <f>C27+C32+C37</f>
        <v>4262355</v>
      </c>
      <c r="E38" s="14"/>
      <c r="F38" s="14"/>
    </row>
    <row r="39" spans="1:7" x14ac:dyDescent="0.25">
      <c r="A39" s="27" t="s">
        <v>38</v>
      </c>
      <c r="B39" s="27"/>
      <c r="C39" s="28"/>
      <c r="D39" s="87"/>
      <c r="F39" s="14"/>
    </row>
    <row r="40" spans="1:7" ht="22.5" customHeight="1" x14ac:dyDescent="0.25">
      <c r="A40" s="59" t="s">
        <v>39</v>
      </c>
      <c r="B40" s="5"/>
      <c r="C40" s="122"/>
      <c r="D40" s="88"/>
      <c r="G40" s="14"/>
    </row>
    <row r="41" spans="1:7" ht="21" customHeight="1" x14ac:dyDescent="0.25">
      <c r="A41" s="137" t="s">
        <v>141</v>
      </c>
      <c r="B41" s="127"/>
      <c r="C41" s="122"/>
      <c r="D41" s="88"/>
      <c r="G41" s="14"/>
    </row>
    <row r="42" spans="1:7" ht="21.75" customHeight="1" thickBot="1" x14ac:dyDescent="0.3">
      <c r="A42" s="137" t="s">
        <v>170</v>
      </c>
      <c r="B42" s="127"/>
      <c r="C42" s="122">
        <v>392500</v>
      </c>
      <c r="D42" s="141" t="s">
        <v>171</v>
      </c>
      <c r="G42" t="s">
        <v>172</v>
      </c>
    </row>
    <row r="43" spans="1:7" ht="15.75" thickBot="1" x14ac:dyDescent="0.3">
      <c r="A43" s="18" t="s">
        <v>34</v>
      </c>
      <c r="B43" s="18"/>
      <c r="C43" s="32"/>
      <c r="D43" s="89">
        <f>SUM(C40:C42)</f>
        <v>392500</v>
      </c>
    </row>
    <row r="44" spans="1:7" x14ac:dyDescent="0.25">
      <c r="A44" s="25" t="s">
        <v>77</v>
      </c>
      <c r="B44" s="26"/>
      <c r="C44" s="29"/>
      <c r="D44" s="61"/>
    </row>
    <row r="45" spans="1:7" s="35" customFormat="1" ht="29.25" customHeight="1" x14ac:dyDescent="0.25">
      <c r="A45" s="154" t="s">
        <v>136</v>
      </c>
      <c r="B45" s="155"/>
      <c r="C45" s="144">
        <v>175052</v>
      </c>
      <c r="D45" s="112" t="s">
        <v>151</v>
      </c>
    </row>
    <row r="46" spans="1:7" ht="30" customHeight="1" x14ac:dyDescent="0.25">
      <c r="A46" s="154" t="s">
        <v>137</v>
      </c>
      <c r="B46" s="155"/>
      <c r="C46" s="145">
        <v>4203</v>
      </c>
      <c r="D46" s="112" t="s">
        <v>149</v>
      </c>
    </row>
    <row r="47" spans="1:7" ht="15.75" thickBot="1" x14ac:dyDescent="0.3">
      <c r="A47" s="18" t="s">
        <v>1</v>
      </c>
      <c r="B47" s="18"/>
      <c r="C47" s="32"/>
      <c r="D47" s="90">
        <f>SUM(C45:C46)</f>
        <v>179255</v>
      </c>
    </row>
    <row r="48" spans="1:7" x14ac:dyDescent="0.25">
      <c r="A48" s="27" t="s">
        <v>35</v>
      </c>
      <c r="B48" s="19"/>
      <c r="C48" s="33"/>
      <c r="D48" s="91"/>
    </row>
    <row r="49" spans="1:6" x14ac:dyDescent="0.25">
      <c r="A49" s="5" t="s">
        <v>142</v>
      </c>
      <c r="B49" s="5"/>
      <c r="C49" s="31">
        <v>2530143.65</v>
      </c>
      <c r="D49" s="119" t="s">
        <v>150</v>
      </c>
      <c r="F49" s="138"/>
    </row>
    <row r="50" spans="1:6" x14ac:dyDescent="0.25">
      <c r="A50" s="5" t="s">
        <v>143</v>
      </c>
      <c r="B50" s="5"/>
      <c r="C50" s="111">
        <v>29588.720000000001</v>
      </c>
      <c r="D50" s="119" t="s">
        <v>150</v>
      </c>
    </row>
    <row r="51" spans="1:6" x14ac:dyDescent="0.25">
      <c r="A51" s="5" t="s">
        <v>144</v>
      </c>
      <c r="B51" s="5"/>
      <c r="C51" s="111">
        <v>266298.44</v>
      </c>
      <c r="D51" s="119" t="str">
        <f>D50</f>
        <v>Debito 14/07</v>
      </c>
    </row>
    <row r="52" spans="1:6" x14ac:dyDescent="0.25">
      <c r="A52" s="5" t="s">
        <v>145</v>
      </c>
      <c r="B52" s="5"/>
      <c r="C52" s="111">
        <v>493841.29</v>
      </c>
      <c r="D52" s="120" t="str">
        <f>D51</f>
        <v>Debito 14/07</v>
      </c>
    </row>
    <row r="53" spans="1:6" ht="15" customHeight="1" thickBot="1" x14ac:dyDescent="0.3">
      <c r="A53" s="18" t="s">
        <v>2</v>
      </c>
      <c r="B53" s="19"/>
      <c r="C53" s="34"/>
      <c r="D53" s="90">
        <f>SUM(C49:C52)</f>
        <v>3319872.1</v>
      </c>
    </row>
    <row r="54" spans="1:6" x14ac:dyDescent="0.25">
      <c r="A54" s="27" t="s">
        <v>37</v>
      </c>
      <c r="B54" s="19"/>
      <c r="C54" s="33"/>
      <c r="D54" s="91"/>
    </row>
    <row r="55" spans="1:6" ht="14.25" customHeight="1" x14ac:dyDescent="0.25">
      <c r="A55" t="s">
        <v>146</v>
      </c>
      <c r="B55" s="5"/>
      <c r="C55" s="111">
        <v>529265.89</v>
      </c>
      <c r="D55" s="96" t="s">
        <v>169</v>
      </c>
    </row>
    <row r="56" spans="1:6" ht="14.25" customHeight="1" x14ac:dyDescent="0.25">
      <c r="A56" s="5" t="s">
        <v>129</v>
      </c>
      <c r="B56" s="5"/>
      <c r="C56" s="111">
        <v>54600.160000000003</v>
      </c>
      <c r="D56" s="120" t="s">
        <v>152</v>
      </c>
    </row>
    <row r="57" spans="1:6" ht="14.25" customHeight="1" x14ac:dyDescent="0.25">
      <c r="A57" s="5" t="s">
        <v>148</v>
      </c>
      <c r="B57" s="5"/>
      <c r="C57" s="111">
        <v>727695.66</v>
      </c>
      <c r="D57" s="96" t="s">
        <v>153</v>
      </c>
    </row>
    <row r="58" spans="1:6" ht="14.25" customHeight="1" x14ac:dyDescent="0.25">
      <c r="A58" s="146" t="s">
        <v>131</v>
      </c>
      <c r="B58" s="147"/>
      <c r="C58" s="111"/>
      <c r="D58" s="96"/>
    </row>
    <row r="59" spans="1:6" x14ac:dyDescent="0.25">
      <c r="A59" s="5" t="s">
        <v>130</v>
      </c>
      <c r="B59" s="126"/>
      <c r="C59" s="111"/>
      <c r="D59" s="96"/>
    </row>
    <row r="60" spans="1:6" ht="15.75" thickBot="1" x14ac:dyDescent="0.3">
      <c r="A60" s="18" t="s">
        <v>3</v>
      </c>
      <c r="B60" s="18"/>
      <c r="C60" s="32"/>
      <c r="D60" s="90">
        <f>SUM(C55:C59)</f>
        <v>1311561.71</v>
      </c>
    </row>
    <row r="61" spans="1:6" ht="15.75" thickBot="1" x14ac:dyDescent="0.3">
      <c r="A61" s="27" t="s">
        <v>36</v>
      </c>
      <c r="B61" s="18"/>
      <c r="C61" s="32"/>
      <c r="D61" s="94"/>
    </row>
    <row r="62" spans="1:6" ht="39" customHeight="1" x14ac:dyDescent="0.25">
      <c r="A62" s="148" t="s">
        <v>132</v>
      </c>
      <c r="B62" s="149"/>
      <c r="C62" s="111"/>
      <c r="D62" s="115"/>
    </row>
    <row r="63" spans="1:6" ht="22.5" customHeight="1" x14ac:dyDescent="0.25">
      <c r="A63" s="148" t="s">
        <v>133</v>
      </c>
      <c r="B63" s="149"/>
      <c r="C63" s="111"/>
      <c r="D63" s="114"/>
    </row>
    <row r="64" spans="1:6" ht="19.5" customHeight="1" x14ac:dyDescent="0.25">
      <c r="A64" s="150" t="s">
        <v>134</v>
      </c>
      <c r="B64" s="151"/>
      <c r="C64" s="31"/>
      <c r="D64" s="93"/>
    </row>
    <row r="65" spans="1:6" ht="39" customHeight="1" x14ac:dyDescent="0.25">
      <c r="A65" s="157" t="s">
        <v>154</v>
      </c>
      <c r="B65" s="158"/>
      <c r="C65" s="31">
        <v>250000</v>
      </c>
      <c r="D65" s="132" t="s">
        <v>152</v>
      </c>
    </row>
    <row r="66" spans="1:6" ht="39" customHeight="1" x14ac:dyDescent="0.25">
      <c r="A66" s="157" t="s">
        <v>157</v>
      </c>
      <c r="B66" s="158"/>
      <c r="C66" s="31">
        <v>33429</v>
      </c>
      <c r="D66" s="132" t="s">
        <v>158</v>
      </c>
    </row>
    <row r="67" spans="1:6" ht="39" customHeight="1" x14ac:dyDescent="0.25">
      <c r="A67" s="157" t="s">
        <v>159</v>
      </c>
      <c r="B67" s="158"/>
      <c r="C67" s="31">
        <v>70000</v>
      </c>
      <c r="D67" s="132" t="s">
        <v>156</v>
      </c>
    </row>
    <row r="68" spans="1:6" ht="30" customHeight="1" x14ac:dyDescent="0.25">
      <c r="A68" s="157" t="s">
        <v>155</v>
      </c>
      <c r="B68" s="158"/>
      <c r="C68" s="31">
        <v>191330</v>
      </c>
      <c r="D68" s="132" t="s">
        <v>156</v>
      </c>
    </row>
    <row r="69" spans="1:6" ht="15.75" thickBot="1" x14ac:dyDescent="0.3">
      <c r="A69" s="18" t="s">
        <v>11</v>
      </c>
      <c r="B69" s="27"/>
      <c r="C69" s="25"/>
      <c r="D69" s="98">
        <f>SUM(C62:C64)</f>
        <v>0</v>
      </c>
    </row>
    <row r="70" spans="1:6" ht="15.75" thickBot="1" x14ac:dyDescent="0.3">
      <c r="A70" s="27" t="s">
        <v>29</v>
      </c>
      <c r="B70" s="60"/>
      <c r="C70" s="20"/>
      <c r="D70" s="94"/>
    </row>
    <row r="71" spans="1:6" x14ac:dyDescent="0.25">
      <c r="A71" s="5" t="s">
        <v>147</v>
      </c>
      <c r="B71" s="5"/>
      <c r="C71" s="111">
        <v>56820.35</v>
      </c>
      <c r="D71" s="99"/>
    </row>
    <row r="72" spans="1:6" x14ac:dyDescent="0.25">
      <c r="A72" s="5" t="s">
        <v>135</v>
      </c>
      <c r="B72" s="5"/>
      <c r="C72" s="111">
        <v>142713.93</v>
      </c>
      <c r="D72" s="97"/>
    </row>
    <row r="73" spans="1:6" ht="15.75" thickBot="1" x14ac:dyDescent="0.3">
      <c r="A73" s="46" t="s">
        <v>34</v>
      </c>
      <c r="B73" s="46"/>
      <c r="C73" s="100"/>
      <c r="D73" s="90">
        <f>SUM(C71:C72)</f>
        <v>199534.28</v>
      </c>
    </row>
    <row r="74" spans="1:6" ht="15.75" thickBot="1" x14ac:dyDescent="0.3">
      <c r="A74" s="5"/>
      <c r="B74" s="5"/>
      <c r="C74" s="84"/>
      <c r="D74" s="101"/>
    </row>
    <row r="75" spans="1:6" ht="51.75" customHeight="1" thickBot="1" x14ac:dyDescent="0.3">
      <c r="A75" s="159" t="s">
        <v>174</v>
      </c>
      <c r="B75" s="160"/>
      <c r="C75" s="161"/>
      <c r="D75" s="102">
        <v>2334921.91</v>
      </c>
    </row>
    <row r="76" spans="1:6" ht="15.75" thickBot="1" x14ac:dyDescent="0.3">
      <c r="A76" s="1"/>
      <c r="C76" s="103"/>
      <c r="D76" s="104"/>
      <c r="E76" s="41"/>
    </row>
    <row r="77" spans="1:6" ht="15.75" thickBot="1" x14ac:dyDescent="0.3">
      <c r="A77" s="3" t="s">
        <v>30</v>
      </c>
      <c r="B77" s="10"/>
      <c r="C77" s="105"/>
      <c r="D77" s="106">
        <f>(SUM(D29:D75))</f>
        <v>11999999.999999998</v>
      </c>
      <c r="E77" s="41"/>
    </row>
    <row r="78" spans="1:6" x14ac:dyDescent="0.25">
      <c r="C78" s="103"/>
      <c r="D78" s="103"/>
      <c r="F78" s="143"/>
    </row>
    <row r="79" spans="1:6" ht="15.75" thickBot="1" x14ac:dyDescent="0.3">
      <c r="C79" s="103"/>
      <c r="D79" s="103"/>
    </row>
    <row r="80" spans="1:6" x14ac:dyDescent="0.25">
      <c r="A80" s="11" t="s">
        <v>40</v>
      </c>
      <c r="B80" s="12"/>
      <c r="C80" s="107"/>
      <c r="D80" s="108"/>
    </row>
    <row r="81" spans="1:4" x14ac:dyDescent="0.25">
      <c r="A81" s="154"/>
      <c r="B81" s="155"/>
      <c r="C81" s="95"/>
      <c r="D81" s="92"/>
    </row>
    <row r="82" spans="1:4" x14ac:dyDescent="0.25">
      <c r="A82" s="154"/>
      <c r="B82" s="155"/>
      <c r="C82" s="95"/>
      <c r="D82" s="92"/>
    </row>
    <row r="83" spans="1:4" x14ac:dyDescent="0.25">
      <c r="A83" s="116"/>
      <c r="B83" s="117"/>
      <c r="C83" s="95"/>
      <c r="D83" s="92"/>
    </row>
    <row r="84" spans="1:4" x14ac:dyDescent="0.25">
      <c r="A84" s="44"/>
      <c r="B84" s="43"/>
      <c r="C84" s="52"/>
      <c r="D84" s="52">
        <f>SUM(C81:C83)</f>
        <v>0</v>
      </c>
    </row>
    <row r="85" spans="1:4" ht="15" customHeight="1" x14ac:dyDescent="0.25"/>
    <row r="86" spans="1:4" hidden="1" x14ac:dyDescent="0.25"/>
    <row r="87" spans="1:4" x14ac:dyDescent="0.25">
      <c r="A87" s="21" t="s">
        <v>41</v>
      </c>
      <c r="B87" s="21"/>
      <c r="C87" s="22"/>
      <c r="D87" s="125"/>
    </row>
    <row r="88" spans="1:4" ht="15.75" thickBot="1" x14ac:dyDescent="0.3"/>
    <row r="89" spans="1:4" ht="15.75" thickBot="1" x14ac:dyDescent="0.3">
      <c r="A89" s="3" t="s">
        <v>42</v>
      </c>
      <c r="B89" s="10"/>
      <c r="C89" s="4"/>
      <c r="D89" s="62">
        <f>D84+D87</f>
        <v>0</v>
      </c>
    </row>
    <row r="90" spans="1:4" ht="15.75" thickBot="1" x14ac:dyDescent="0.3"/>
    <row r="91" spans="1:4" ht="15.75" thickBot="1" x14ac:dyDescent="0.3">
      <c r="A91" s="82" t="s">
        <v>31</v>
      </c>
      <c r="B91" s="83">
        <f>D77</f>
        <v>11999999.999999998</v>
      </c>
      <c r="C91" s="41"/>
    </row>
    <row r="92" spans="1:4" ht="15.75" thickBot="1" x14ac:dyDescent="0.3">
      <c r="A92" s="82" t="s">
        <v>32</v>
      </c>
      <c r="B92" s="83">
        <f>D77-D75</f>
        <v>9665078.089999998</v>
      </c>
    </row>
    <row r="93" spans="1:4" ht="15.75" thickBot="1" x14ac:dyDescent="0.3">
      <c r="A93" s="82" t="s">
        <v>43</v>
      </c>
      <c r="B93" s="83">
        <f>D89-D87</f>
        <v>0</v>
      </c>
    </row>
    <row r="94" spans="1:4" ht="15.75" thickBot="1" x14ac:dyDescent="0.3">
      <c r="A94" s="82" t="s">
        <v>88</v>
      </c>
      <c r="B94" s="83">
        <f>D89</f>
        <v>0</v>
      </c>
    </row>
    <row r="95" spans="1:4" ht="14.25" customHeight="1" x14ac:dyDescent="0.25"/>
    <row r="96" spans="1:4" hidden="1" x14ac:dyDescent="0.25"/>
    <row r="97" spans="1:4" hidden="1" x14ac:dyDescent="0.25">
      <c r="A97" s="164"/>
      <c r="B97" s="164"/>
      <c r="C97" s="164"/>
      <c r="D97" s="164"/>
    </row>
    <row r="98" spans="1:4" hidden="1" x14ac:dyDescent="0.25">
      <c r="A98" s="164"/>
      <c r="B98" s="164"/>
      <c r="C98" s="164"/>
      <c r="D98" s="164"/>
    </row>
    <row r="99" spans="1:4" ht="38.25" hidden="1" customHeight="1" x14ac:dyDescent="0.25">
      <c r="A99" s="164"/>
      <c r="B99" s="164"/>
      <c r="C99" s="164"/>
      <c r="D99" s="164"/>
    </row>
    <row r="101" spans="1:4" x14ac:dyDescent="0.25">
      <c r="A101" s="15" t="s">
        <v>79</v>
      </c>
      <c r="B101" s="37"/>
    </row>
    <row r="102" spans="1:4" ht="25.5" customHeight="1" x14ac:dyDescent="0.25">
      <c r="A102" s="24" t="s">
        <v>33</v>
      </c>
      <c r="B102" s="121">
        <v>-847927.83</v>
      </c>
    </row>
    <row r="103" spans="1:4" ht="14.25" customHeight="1" x14ac:dyDescent="0.25">
      <c r="A103" s="16" t="s">
        <v>91</v>
      </c>
      <c r="B103" s="38">
        <f>PRORRATEO!H34</f>
        <v>9758198.1199999992</v>
      </c>
    </row>
    <row r="104" spans="1:4" ht="14.25" customHeight="1" x14ac:dyDescent="0.25">
      <c r="A104" s="16" t="s">
        <v>90</v>
      </c>
      <c r="B104" s="97">
        <f>B120</f>
        <v>2145810</v>
      </c>
    </row>
    <row r="105" spans="1:4" ht="33.75" customHeight="1" x14ac:dyDescent="0.25">
      <c r="A105" s="17" t="s">
        <v>173</v>
      </c>
      <c r="B105" s="97">
        <v>-1650000</v>
      </c>
    </row>
    <row r="106" spans="1:4" ht="33" customHeight="1" x14ac:dyDescent="0.25">
      <c r="A106" s="17" t="s">
        <v>166</v>
      </c>
      <c r="B106" s="97">
        <v>-39552</v>
      </c>
    </row>
    <row r="107" spans="1:4" x14ac:dyDescent="0.25">
      <c r="A107" s="36" t="s">
        <v>44</v>
      </c>
      <c r="B107" s="97">
        <f>-B92</f>
        <v>-9665078.089999998</v>
      </c>
    </row>
    <row r="108" spans="1:4" x14ac:dyDescent="0.25">
      <c r="A108" s="17" t="s">
        <v>45</v>
      </c>
      <c r="B108" s="97">
        <f>-(B93)</f>
        <v>0</v>
      </c>
    </row>
    <row r="109" spans="1:4" x14ac:dyDescent="0.25">
      <c r="A109" s="23" t="s">
        <v>11</v>
      </c>
      <c r="B109" s="121">
        <f>SUM(B102:B108)</f>
        <v>-298549.79999999888</v>
      </c>
    </row>
    <row r="110" spans="1:4" ht="34.5" customHeight="1" x14ac:dyDescent="0.25">
      <c r="B110" s="39"/>
      <c r="C110" s="41"/>
    </row>
    <row r="112" spans="1:4" x14ac:dyDescent="0.25">
      <c r="A112" s="163" t="s">
        <v>78</v>
      </c>
      <c r="B112" s="163"/>
    </row>
    <row r="113" spans="1:12" ht="27.75" customHeight="1" x14ac:dyDescent="0.25">
      <c r="A113" s="163"/>
      <c r="B113" s="163"/>
    </row>
    <row r="114" spans="1:12" ht="32.25" customHeight="1" x14ac:dyDescent="0.25">
      <c r="A114" s="109" t="s">
        <v>161</v>
      </c>
      <c r="B114" s="30">
        <v>562800</v>
      </c>
    </row>
    <row r="115" spans="1:12" ht="32.25" customHeight="1" x14ac:dyDescent="0.25">
      <c r="A115" s="109" t="s">
        <v>163</v>
      </c>
      <c r="B115" s="30">
        <v>400000</v>
      </c>
    </row>
    <row r="116" spans="1:12" ht="32.25" customHeight="1" x14ac:dyDescent="0.25">
      <c r="A116" s="109" t="s">
        <v>163</v>
      </c>
      <c r="B116" s="30">
        <v>146000</v>
      </c>
    </row>
    <row r="117" spans="1:12" ht="32.25" customHeight="1" x14ac:dyDescent="0.25">
      <c r="A117" s="109" t="s">
        <v>164</v>
      </c>
      <c r="B117" s="30">
        <v>366010</v>
      </c>
    </row>
    <row r="118" spans="1:12" ht="32.25" customHeight="1" x14ac:dyDescent="0.25">
      <c r="A118" s="109" t="s">
        <v>165</v>
      </c>
      <c r="B118" s="30">
        <v>545000</v>
      </c>
    </row>
    <row r="119" spans="1:12" ht="24.75" customHeight="1" x14ac:dyDescent="0.25">
      <c r="A119" s="109" t="s">
        <v>162</v>
      </c>
      <c r="B119" s="140">
        <v>126000</v>
      </c>
    </row>
    <row r="120" spans="1:12" x14ac:dyDescent="0.25">
      <c r="A120" s="42" t="s">
        <v>11</v>
      </c>
      <c r="B120" s="110">
        <f>SUM(B114:B119)</f>
        <v>2145810</v>
      </c>
    </row>
    <row r="121" spans="1:12" x14ac:dyDescent="0.25">
      <c r="L121" s="8"/>
    </row>
    <row r="122" spans="1:12" ht="15" customHeight="1" x14ac:dyDescent="0.25">
      <c r="A122" s="162"/>
      <c r="B122" s="162"/>
      <c r="C122" s="162"/>
      <c r="D122" s="162"/>
    </row>
    <row r="123" spans="1:12" x14ac:dyDescent="0.25">
      <c r="A123" s="162"/>
      <c r="B123" s="162"/>
      <c r="C123" s="162"/>
      <c r="D123" s="162"/>
    </row>
    <row r="124" spans="1:12" x14ac:dyDescent="0.25">
      <c r="A124" s="162"/>
      <c r="B124" s="162"/>
      <c r="C124" s="162"/>
      <c r="D124" s="162"/>
    </row>
    <row r="125" spans="1:12" x14ac:dyDescent="0.25">
      <c r="A125" s="162"/>
      <c r="B125" s="162"/>
      <c r="C125" s="162"/>
      <c r="D125" s="162"/>
    </row>
  </sheetData>
  <mergeCells count="19">
    <mergeCell ref="A75:C75"/>
    <mergeCell ref="A122:D125"/>
    <mergeCell ref="A112:B113"/>
    <mergeCell ref="A97:D99"/>
    <mergeCell ref="A82:B82"/>
    <mergeCell ref="A81:B81"/>
    <mergeCell ref="B9:B11"/>
    <mergeCell ref="A45:B45"/>
    <mergeCell ref="A4:B7"/>
    <mergeCell ref="A46:B46"/>
    <mergeCell ref="A68:B68"/>
    <mergeCell ref="A65:B65"/>
    <mergeCell ref="A66:B66"/>
    <mergeCell ref="A67:B67"/>
    <mergeCell ref="A58:B58"/>
    <mergeCell ref="A62:B62"/>
    <mergeCell ref="A63:B63"/>
    <mergeCell ref="A64:B64"/>
    <mergeCell ref="A14:D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abSelected="1" topLeftCell="B2" zoomScaleNormal="100" workbookViewId="0">
      <selection activeCell="D12" sqref="D12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65" t="s">
        <v>123</v>
      </c>
      <c r="C1" s="165"/>
      <c r="D1" s="165"/>
      <c r="E1" s="165"/>
      <c r="F1" s="165"/>
      <c r="G1" s="165"/>
      <c r="H1" s="165"/>
      <c r="I1" s="165"/>
      <c r="J1" s="165"/>
      <c r="K1" s="165"/>
      <c r="L1" s="6"/>
      <c r="M1" s="6"/>
      <c r="N1" s="6"/>
      <c r="O1" s="6"/>
      <c r="P1" s="6"/>
    </row>
    <row r="2" spans="1:19" ht="64.150000000000006" customHeight="1" x14ac:dyDescent="0.25">
      <c r="A2" s="6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7" t="s">
        <v>4</v>
      </c>
      <c r="M2" s="6"/>
      <c r="N2" s="6"/>
      <c r="O2" s="142">
        <v>12000000</v>
      </c>
      <c r="P2" s="48"/>
      <c r="Q2" s="14"/>
    </row>
    <row r="3" spans="1:19" ht="21.6" customHeight="1" thickBot="1" x14ac:dyDescent="0.3">
      <c r="A3" s="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7" t="s">
        <v>93</v>
      </c>
      <c r="M3" s="6"/>
      <c r="N3" s="6"/>
      <c r="O3" s="49"/>
      <c r="P3" s="53"/>
    </row>
    <row r="4" spans="1:19" x14ac:dyDescent="0.25">
      <c r="A4" s="179" t="s">
        <v>5</v>
      </c>
      <c r="B4" s="181" t="s">
        <v>6</v>
      </c>
      <c r="C4" s="169" t="s">
        <v>7</v>
      </c>
      <c r="D4" s="169" t="s">
        <v>8</v>
      </c>
      <c r="E4" s="169" t="s">
        <v>48</v>
      </c>
      <c r="F4" s="169" t="s">
        <v>28</v>
      </c>
      <c r="G4" s="169" t="s">
        <v>89</v>
      </c>
      <c r="H4" s="169" t="s">
        <v>9</v>
      </c>
      <c r="I4" s="169" t="s">
        <v>49</v>
      </c>
      <c r="J4" s="174" t="s">
        <v>50</v>
      </c>
      <c r="K4" s="171" t="s">
        <v>47</v>
      </c>
      <c r="L4" s="171" t="s">
        <v>10</v>
      </c>
      <c r="M4" s="171" t="s">
        <v>46</v>
      </c>
      <c r="N4" s="177" t="s">
        <v>87</v>
      </c>
      <c r="O4" s="56" t="s">
        <v>86</v>
      </c>
      <c r="P4" s="167" t="s">
        <v>85</v>
      </c>
      <c r="S4" s="41"/>
    </row>
    <row r="5" spans="1:19" ht="15.75" customHeight="1" x14ac:dyDescent="0.25">
      <c r="A5" s="180"/>
      <c r="B5" s="182"/>
      <c r="C5" s="173"/>
      <c r="D5" s="173"/>
      <c r="E5" s="170"/>
      <c r="F5" s="173"/>
      <c r="G5" s="173"/>
      <c r="H5" s="173"/>
      <c r="I5" s="170"/>
      <c r="J5" s="175"/>
      <c r="K5" s="172"/>
      <c r="L5" s="176"/>
      <c r="M5" s="172"/>
      <c r="N5" s="178"/>
      <c r="O5" s="54" t="str">
        <f>RESUMEN!B9</f>
        <v>VTO 14/08</v>
      </c>
      <c r="P5" s="168"/>
    </row>
    <row r="6" spans="1:19" ht="17.100000000000001" customHeight="1" x14ac:dyDescent="0.25">
      <c r="A6" s="5" t="s">
        <v>12</v>
      </c>
      <c r="B6" s="57">
        <v>1</v>
      </c>
      <c r="C6" s="57" t="s">
        <v>51</v>
      </c>
      <c r="D6" s="57" t="s">
        <v>95</v>
      </c>
      <c r="E6" s="57"/>
      <c r="F6" s="63">
        <v>4.57</v>
      </c>
      <c r="G6" s="64">
        <v>548400.01</v>
      </c>
      <c r="H6" s="65">
        <f>158442+389958</f>
        <v>548400</v>
      </c>
      <c r="I6" s="66"/>
      <c r="J6" s="67">
        <f>G6-H6</f>
        <v>1.0000000009313226E-2</v>
      </c>
      <c r="K6" s="67">
        <f>IF(J6&gt;0,J6*2.95%,0)</f>
        <v>2.9500000027474015E-4</v>
      </c>
      <c r="L6" s="68">
        <f>O$3*F6%</f>
        <v>0</v>
      </c>
      <c r="M6" s="68">
        <f>O$2*F6%</f>
        <v>548400</v>
      </c>
      <c r="N6" s="69">
        <v>5000</v>
      </c>
      <c r="O6" s="70">
        <f t="shared" ref="O6:O33" si="0">ROUND(SUM(J6:N6),0) + Q6</f>
        <v>553400.01</v>
      </c>
      <c r="P6" s="71">
        <f t="shared" ref="P6:P33" si="1">ROUND(O6*3%,0) + O6</f>
        <v>570002.01</v>
      </c>
      <c r="Q6" s="41">
        <v>0.01</v>
      </c>
    </row>
    <row r="7" spans="1:19" ht="17.100000000000001" customHeight="1" x14ac:dyDescent="0.25">
      <c r="A7" s="5" t="s">
        <v>13</v>
      </c>
      <c r="B7" s="57">
        <v>2</v>
      </c>
      <c r="C7" s="57" t="s">
        <v>52</v>
      </c>
      <c r="D7" s="57" t="s">
        <v>96</v>
      </c>
      <c r="E7" s="58"/>
      <c r="F7" s="63">
        <v>3.07</v>
      </c>
      <c r="G7" s="64">
        <v>368400.02</v>
      </c>
      <c r="H7" s="65">
        <f>300000+255195</f>
        <v>555195</v>
      </c>
      <c r="I7" s="66"/>
      <c r="J7" s="67">
        <f t="shared" ref="J7:J31" si="2">G7-H7</f>
        <v>-186794.97999999998</v>
      </c>
      <c r="K7" s="67">
        <f t="shared" ref="K7:K32" si="3">IF(J7&gt;0,J7*2.95%,0)</f>
        <v>0</v>
      </c>
      <c r="L7" s="68">
        <f t="shared" ref="L7:L33" si="4">O$3*F7%</f>
        <v>0</v>
      </c>
      <c r="M7" s="68">
        <f t="shared" ref="M7:M33" si="5">O$2*F7%</f>
        <v>368400</v>
      </c>
      <c r="N7" s="69">
        <v>5000</v>
      </c>
      <c r="O7" s="70">
        <f t="shared" si="0"/>
        <v>186605.02</v>
      </c>
      <c r="P7" s="71">
        <f t="shared" si="1"/>
        <v>192203.02</v>
      </c>
      <c r="Q7" s="41">
        <f>Q6+0.01</f>
        <v>0.02</v>
      </c>
      <c r="R7" s="41"/>
    </row>
    <row r="8" spans="1:19" ht="17.100000000000001" customHeight="1" x14ac:dyDescent="0.25">
      <c r="A8" s="5" t="s">
        <v>13</v>
      </c>
      <c r="B8" s="57">
        <v>3</v>
      </c>
      <c r="C8" s="57" t="s">
        <v>53</v>
      </c>
      <c r="D8" s="57" t="s">
        <v>97</v>
      </c>
      <c r="E8" s="58"/>
      <c r="F8" s="63">
        <v>4.55</v>
      </c>
      <c r="G8" s="64">
        <v>1719204.03</v>
      </c>
      <c r="H8" s="65">
        <v>0</v>
      </c>
      <c r="I8" s="66"/>
      <c r="J8" s="67">
        <f t="shared" si="2"/>
        <v>1719204.03</v>
      </c>
      <c r="K8" s="67">
        <f t="shared" si="3"/>
        <v>50716.518885000005</v>
      </c>
      <c r="L8" s="68">
        <f t="shared" si="4"/>
        <v>0</v>
      </c>
      <c r="M8" s="68">
        <f t="shared" si="5"/>
        <v>546000</v>
      </c>
      <c r="N8" s="69"/>
      <c r="O8" s="70">
        <f t="shared" si="0"/>
        <v>2315921.0299999998</v>
      </c>
      <c r="P8" s="71">
        <f t="shared" si="1"/>
        <v>2385399.0299999998</v>
      </c>
      <c r="Q8" s="41">
        <f t="shared" ref="Q8:Q32" si="6">Q7+0.01</f>
        <v>0.03</v>
      </c>
    </row>
    <row r="9" spans="1:19" ht="17.100000000000001" customHeight="1" x14ac:dyDescent="0.25">
      <c r="A9" s="5" t="s">
        <v>14</v>
      </c>
      <c r="B9" s="57">
        <v>4</v>
      </c>
      <c r="C9" s="57" t="s">
        <v>54</v>
      </c>
      <c r="D9" s="57" t="s">
        <v>98</v>
      </c>
      <c r="E9" s="58"/>
      <c r="F9" s="63">
        <v>3.05</v>
      </c>
      <c r="G9" s="64">
        <v>352902.04</v>
      </c>
      <c r="H9" s="65">
        <v>400000.04</v>
      </c>
      <c r="I9" s="66"/>
      <c r="J9" s="67">
        <f t="shared" si="2"/>
        <v>-47098</v>
      </c>
      <c r="K9" s="67">
        <f t="shared" si="3"/>
        <v>0</v>
      </c>
      <c r="L9" s="68">
        <f t="shared" si="4"/>
        <v>0</v>
      </c>
      <c r="M9" s="68">
        <f t="shared" si="5"/>
        <v>366000</v>
      </c>
      <c r="N9" s="69">
        <v>0</v>
      </c>
      <c r="O9" s="70">
        <f t="shared" si="0"/>
        <v>318902.03999999998</v>
      </c>
      <c r="P9" s="71">
        <f t="shared" si="1"/>
        <v>328469.03999999998</v>
      </c>
      <c r="Q9" s="41">
        <f t="shared" si="6"/>
        <v>0.04</v>
      </c>
      <c r="S9" s="41"/>
    </row>
    <row r="10" spans="1:19" ht="17.100000000000001" customHeight="1" x14ac:dyDescent="0.25">
      <c r="A10" s="5" t="s">
        <v>14</v>
      </c>
      <c r="B10" s="57">
        <v>5</v>
      </c>
      <c r="C10" s="57" t="s">
        <v>55</v>
      </c>
      <c r="D10" s="57" t="s">
        <v>99</v>
      </c>
      <c r="E10" s="58"/>
      <c r="F10" s="63">
        <v>4.55</v>
      </c>
      <c r="G10" s="64">
        <v>545848.05000000005</v>
      </c>
      <c r="H10" s="65">
        <v>550000</v>
      </c>
      <c r="I10" s="66"/>
      <c r="J10" s="67">
        <f t="shared" si="2"/>
        <v>-4151.9499999999534</v>
      </c>
      <c r="K10" s="67">
        <f t="shared" si="3"/>
        <v>0</v>
      </c>
      <c r="L10" s="68">
        <f t="shared" si="4"/>
        <v>0</v>
      </c>
      <c r="M10" s="68">
        <f t="shared" si="5"/>
        <v>546000</v>
      </c>
      <c r="N10" s="69">
        <v>0</v>
      </c>
      <c r="O10" s="70">
        <f t="shared" si="0"/>
        <v>541848.05000000005</v>
      </c>
      <c r="P10" s="71">
        <f t="shared" si="1"/>
        <v>558103.05000000005</v>
      </c>
      <c r="Q10" s="41">
        <f t="shared" si="6"/>
        <v>0.05</v>
      </c>
      <c r="S10" s="41"/>
    </row>
    <row r="11" spans="1:19" ht="17.100000000000001" customHeight="1" x14ac:dyDescent="0.25">
      <c r="A11" s="5" t="s">
        <v>15</v>
      </c>
      <c r="B11" s="57">
        <v>6</v>
      </c>
      <c r="C11" s="57" t="s">
        <v>56</v>
      </c>
      <c r="D11" s="57" t="s">
        <v>100</v>
      </c>
      <c r="E11" s="57"/>
      <c r="F11" s="63">
        <v>3.05</v>
      </c>
      <c r="G11" s="64">
        <v>366000.06</v>
      </c>
      <c r="H11" s="65">
        <f>G11</f>
        <v>366000.06</v>
      </c>
      <c r="I11" s="66"/>
      <c r="J11" s="67">
        <f t="shared" si="2"/>
        <v>0</v>
      </c>
      <c r="K11" s="67">
        <f t="shared" si="3"/>
        <v>0</v>
      </c>
      <c r="L11" s="68">
        <f t="shared" si="4"/>
        <v>0</v>
      </c>
      <c r="M11" s="68">
        <f t="shared" si="5"/>
        <v>366000</v>
      </c>
      <c r="N11" s="69">
        <v>5000</v>
      </c>
      <c r="O11" s="70">
        <f t="shared" si="0"/>
        <v>371000.06</v>
      </c>
      <c r="P11" s="71">
        <f t="shared" si="1"/>
        <v>382130.06</v>
      </c>
      <c r="Q11" s="41">
        <f t="shared" si="6"/>
        <v>6.0000000000000005E-2</v>
      </c>
    </row>
    <row r="12" spans="1:19" ht="17.100000000000001" customHeight="1" x14ac:dyDescent="0.25">
      <c r="A12" s="5" t="s">
        <v>15</v>
      </c>
      <c r="B12" s="57">
        <v>7</v>
      </c>
      <c r="C12" s="183" t="s">
        <v>57</v>
      </c>
      <c r="D12" s="183" t="s">
        <v>101</v>
      </c>
      <c r="E12" s="57"/>
      <c r="F12" s="63">
        <v>4.55</v>
      </c>
      <c r="G12" s="64">
        <v>543639.06999999995</v>
      </c>
      <c r="H12" s="65">
        <v>0</v>
      </c>
      <c r="I12" s="66"/>
      <c r="J12" s="67">
        <f t="shared" si="2"/>
        <v>543639.06999999995</v>
      </c>
      <c r="K12" s="67">
        <f t="shared" si="3"/>
        <v>16037.352564999999</v>
      </c>
      <c r="L12" s="68">
        <f t="shared" si="4"/>
        <v>0</v>
      </c>
      <c r="M12" s="68">
        <f t="shared" si="5"/>
        <v>546000</v>
      </c>
      <c r="N12" s="69">
        <v>0</v>
      </c>
      <c r="O12" s="70">
        <f t="shared" si="0"/>
        <v>1105676.07</v>
      </c>
      <c r="P12" s="71">
        <f t="shared" si="1"/>
        <v>1138846.07</v>
      </c>
      <c r="Q12" s="41">
        <f t="shared" si="6"/>
        <v>7.0000000000000007E-2</v>
      </c>
      <c r="S12" s="113" t="s">
        <v>175</v>
      </c>
    </row>
    <row r="13" spans="1:19" ht="17.100000000000001" customHeight="1" x14ac:dyDescent="0.25">
      <c r="A13" s="5" t="s">
        <v>16</v>
      </c>
      <c r="B13" s="57">
        <v>8</v>
      </c>
      <c r="C13" s="57" t="s">
        <v>58</v>
      </c>
      <c r="D13" s="57" t="s">
        <v>102</v>
      </c>
      <c r="E13" s="58"/>
      <c r="F13" s="63">
        <v>3.05</v>
      </c>
      <c r="G13" s="64">
        <v>366000.08</v>
      </c>
      <c r="H13" s="65">
        <v>0</v>
      </c>
      <c r="I13" s="66"/>
      <c r="J13" s="67">
        <f t="shared" si="2"/>
        <v>366000.08</v>
      </c>
      <c r="K13" s="67">
        <f t="shared" si="3"/>
        <v>10797.00236</v>
      </c>
      <c r="L13" s="68">
        <f t="shared" si="4"/>
        <v>0</v>
      </c>
      <c r="M13" s="68">
        <f t="shared" si="5"/>
        <v>366000</v>
      </c>
      <c r="N13" s="69">
        <v>0</v>
      </c>
      <c r="O13" s="70">
        <f t="shared" si="0"/>
        <v>742797.08</v>
      </c>
      <c r="P13" s="71">
        <f t="shared" si="1"/>
        <v>765081.08</v>
      </c>
      <c r="Q13" s="41">
        <f t="shared" si="6"/>
        <v>0.08</v>
      </c>
    </row>
    <row r="14" spans="1:19" ht="17.100000000000001" customHeight="1" x14ac:dyDescent="0.25">
      <c r="A14" s="5" t="s">
        <v>16</v>
      </c>
      <c r="B14" s="57">
        <v>9</v>
      </c>
      <c r="C14" s="57" t="s">
        <v>59</v>
      </c>
      <c r="D14" s="57" t="s">
        <v>103</v>
      </c>
      <c r="E14" s="58"/>
      <c r="F14" s="63">
        <v>4.5599999999999996</v>
      </c>
      <c r="G14" s="64">
        <v>545707.09</v>
      </c>
      <c r="H14" s="65">
        <v>0</v>
      </c>
      <c r="I14" s="66"/>
      <c r="J14" s="67">
        <f t="shared" si="2"/>
        <v>545707.09</v>
      </c>
      <c r="K14" s="67">
        <f t="shared" si="3"/>
        <v>16098.359155</v>
      </c>
      <c r="L14" s="68">
        <f t="shared" si="4"/>
        <v>0</v>
      </c>
      <c r="M14" s="68">
        <f t="shared" si="5"/>
        <v>547199.99999999988</v>
      </c>
      <c r="N14" s="69">
        <v>0</v>
      </c>
      <c r="O14" s="70">
        <f t="shared" si="0"/>
        <v>1109005.0900000001</v>
      </c>
      <c r="P14" s="71">
        <f t="shared" si="1"/>
        <v>1142275.0900000001</v>
      </c>
      <c r="Q14" s="41">
        <f t="shared" si="6"/>
        <v>0.09</v>
      </c>
    </row>
    <row r="15" spans="1:19" ht="17.100000000000001" customHeight="1" x14ac:dyDescent="0.25">
      <c r="A15" s="5" t="s">
        <v>17</v>
      </c>
      <c r="B15" s="57">
        <v>10</v>
      </c>
      <c r="C15" s="57" t="s">
        <v>60</v>
      </c>
      <c r="D15" s="57" t="s">
        <v>104</v>
      </c>
      <c r="E15" s="58"/>
      <c r="F15" s="63">
        <v>3.05</v>
      </c>
      <c r="G15" s="64">
        <v>365999.1</v>
      </c>
      <c r="H15" s="65">
        <v>366000</v>
      </c>
      <c r="I15" s="66"/>
      <c r="J15" s="67">
        <f t="shared" si="2"/>
        <v>-0.90000000002328306</v>
      </c>
      <c r="K15" s="67">
        <f t="shared" si="3"/>
        <v>0</v>
      </c>
      <c r="L15" s="68">
        <f t="shared" si="4"/>
        <v>0</v>
      </c>
      <c r="M15" s="68">
        <f t="shared" si="5"/>
        <v>366000</v>
      </c>
      <c r="N15" s="69">
        <v>0</v>
      </c>
      <c r="O15" s="70">
        <f t="shared" si="0"/>
        <v>365999.1</v>
      </c>
      <c r="P15" s="71">
        <f t="shared" si="1"/>
        <v>376979.1</v>
      </c>
      <c r="Q15" s="41">
        <f t="shared" si="6"/>
        <v>9.9999999999999992E-2</v>
      </c>
    </row>
    <row r="16" spans="1:19" ht="17.100000000000001" customHeight="1" x14ac:dyDescent="0.25">
      <c r="A16" s="5" t="s">
        <v>17</v>
      </c>
      <c r="B16" s="57">
        <v>11</v>
      </c>
      <c r="C16" s="57" t="s">
        <v>61</v>
      </c>
      <c r="D16" s="57" t="s">
        <v>105</v>
      </c>
      <c r="E16" s="58"/>
      <c r="F16" s="63">
        <v>4.55</v>
      </c>
      <c r="G16" s="64">
        <v>546000.11</v>
      </c>
      <c r="H16" s="65">
        <f>G16</f>
        <v>546000.11</v>
      </c>
      <c r="I16" s="66"/>
      <c r="J16" s="67">
        <f t="shared" si="2"/>
        <v>0</v>
      </c>
      <c r="K16" s="67">
        <f t="shared" si="3"/>
        <v>0</v>
      </c>
      <c r="L16" s="68">
        <f t="shared" si="4"/>
        <v>0</v>
      </c>
      <c r="M16" s="68">
        <f t="shared" si="5"/>
        <v>546000</v>
      </c>
      <c r="N16" s="69">
        <v>0</v>
      </c>
      <c r="O16" s="70">
        <f t="shared" si="0"/>
        <v>546000.11</v>
      </c>
      <c r="P16" s="71">
        <f t="shared" si="1"/>
        <v>562380.11</v>
      </c>
      <c r="Q16" s="41">
        <f t="shared" si="6"/>
        <v>0.10999999999999999</v>
      </c>
    </row>
    <row r="17" spans="1:19" ht="17.100000000000001" customHeight="1" x14ac:dyDescent="0.25">
      <c r="A17" s="5" t="s">
        <v>18</v>
      </c>
      <c r="B17" s="57">
        <v>12</v>
      </c>
      <c r="C17" s="57" t="s">
        <v>62</v>
      </c>
      <c r="D17" s="57" t="s">
        <v>106</v>
      </c>
      <c r="E17" s="58"/>
      <c r="F17" s="63">
        <v>3.05</v>
      </c>
      <c r="G17" s="64">
        <v>125926.12</v>
      </c>
      <c r="H17" s="65">
        <v>0</v>
      </c>
      <c r="I17" s="66"/>
      <c r="J17" s="67">
        <f t="shared" si="2"/>
        <v>125926.12</v>
      </c>
      <c r="K17" s="67">
        <f t="shared" si="3"/>
        <v>3714.8205400000002</v>
      </c>
      <c r="L17" s="68">
        <f t="shared" si="4"/>
        <v>0</v>
      </c>
      <c r="M17" s="68">
        <f t="shared" si="5"/>
        <v>366000</v>
      </c>
      <c r="N17" s="69">
        <v>0</v>
      </c>
      <c r="O17" s="70">
        <f t="shared" si="0"/>
        <v>495641.12</v>
      </c>
      <c r="P17" s="71">
        <f t="shared" si="1"/>
        <v>510510.12</v>
      </c>
      <c r="Q17" s="41">
        <f t="shared" si="6"/>
        <v>0.11999999999999998</v>
      </c>
    </row>
    <row r="18" spans="1:19" ht="17.100000000000001" customHeight="1" x14ac:dyDescent="0.25">
      <c r="A18" s="5" t="s">
        <v>18</v>
      </c>
      <c r="B18" s="57">
        <v>13</v>
      </c>
      <c r="C18" s="57" t="s">
        <v>63</v>
      </c>
      <c r="D18" s="57" t="s">
        <v>107</v>
      </c>
      <c r="E18" s="58"/>
      <c r="F18" s="63">
        <v>4.55</v>
      </c>
      <c r="G18" s="64">
        <v>546000.13</v>
      </c>
      <c r="H18" s="65">
        <f>G18</f>
        <v>546000.13</v>
      </c>
      <c r="I18" s="66"/>
      <c r="J18" s="67">
        <f t="shared" si="2"/>
        <v>0</v>
      </c>
      <c r="K18" s="67">
        <f t="shared" si="3"/>
        <v>0</v>
      </c>
      <c r="L18" s="68">
        <f t="shared" si="4"/>
        <v>0</v>
      </c>
      <c r="M18" s="68">
        <f t="shared" si="5"/>
        <v>546000</v>
      </c>
      <c r="N18" s="69">
        <v>0</v>
      </c>
      <c r="O18" s="70">
        <f t="shared" si="0"/>
        <v>546000.13</v>
      </c>
      <c r="P18" s="71">
        <f t="shared" si="1"/>
        <v>562380.13</v>
      </c>
      <c r="Q18" s="41">
        <f t="shared" si="6"/>
        <v>0.12999999999999998</v>
      </c>
    </row>
    <row r="19" spans="1:19" ht="17.100000000000001" customHeight="1" x14ac:dyDescent="0.25">
      <c r="A19" s="5" t="s">
        <v>19</v>
      </c>
      <c r="B19" s="57">
        <v>14</v>
      </c>
      <c r="C19" s="57" t="s">
        <v>64</v>
      </c>
      <c r="D19" s="57" t="s">
        <v>108</v>
      </c>
      <c r="E19" s="58"/>
      <c r="F19" s="63">
        <v>3.18</v>
      </c>
      <c r="G19" s="64">
        <v>381600.14</v>
      </c>
      <c r="H19" s="65">
        <f>G19</f>
        <v>381600.14</v>
      </c>
      <c r="I19" s="66"/>
      <c r="J19" s="67">
        <f t="shared" si="2"/>
        <v>0</v>
      </c>
      <c r="K19" s="67">
        <f t="shared" si="3"/>
        <v>0</v>
      </c>
      <c r="L19" s="68">
        <f t="shared" si="4"/>
        <v>0</v>
      </c>
      <c r="M19" s="68">
        <f t="shared" si="5"/>
        <v>381600</v>
      </c>
      <c r="N19" s="69">
        <v>0</v>
      </c>
      <c r="O19" s="70">
        <f t="shared" si="0"/>
        <v>381600.14</v>
      </c>
      <c r="P19" s="71">
        <f t="shared" si="1"/>
        <v>393048.14</v>
      </c>
      <c r="Q19" s="41">
        <f t="shared" si="6"/>
        <v>0.13999999999999999</v>
      </c>
    </row>
    <row r="20" spans="1:19" ht="17.100000000000001" customHeight="1" x14ac:dyDescent="0.25">
      <c r="A20" s="5" t="s">
        <v>19</v>
      </c>
      <c r="B20" s="57">
        <v>15</v>
      </c>
      <c r="C20" s="57" t="s">
        <v>65</v>
      </c>
      <c r="D20" s="57" t="s">
        <v>109</v>
      </c>
      <c r="E20" s="58"/>
      <c r="F20" s="63">
        <v>4.55</v>
      </c>
      <c r="G20" s="64">
        <v>546000.15</v>
      </c>
      <c r="H20" s="65">
        <v>573300.15</v>
      </c>
      <c r="I20" s="66"/>
      <c r="J20" s="67">
        <f t="shared" si="2"/>
        <v>-27300</v>
      </c>
      <c r="K20" s="67">
        <f t="shared" si="3"/>
        <v>0</v>
      </c>
      <c r="L20" s="68">
        <f t="shared" si="4"/>
        <v>0</v>
      </c>
      <c r="M20" s="68">
        <f t="shared" si="5"/>
        <v>546000</v>
      </c>
      <c r="N20" s="69">
        <v>0</v>
      </c>
      <c r="O20" s="70">
        <f t="shared" si="0"/>
        <v>518700.15</v>
      </c>
      <c r="P20" s="71">
        <f t="shared" si="1"/>
        <v>534261.15</v>
      </c>
      <c r="Q20" s="41">
        <f t="shared" si="6"/>
        <v>0.15</v>
      </c>
    </row>
    <row r="21" spans="1:19" ht="17.100000000000001" customHeight="1" x14ac:dyDescent="0.25">
      <c r="A21" s="5" t="s">
        <v>20</v>
      </c>
      <c r="B21" s="57">
        <v>16</v>
      </c>
      <c r="C21" s="57" t="s">
        <v>66</v>
      </c>
      <c r="D21" s="57" t="s">
        <v>110</v>
      </c>
      <c r="E21" s="57"/>
      <c r="F21" s="63">
        <v>3.17</v>
      </c>
      <c r="G21" s="64">
        <v>380400.16</v>
      </c>
      <c r="H21" s="65">
        <f>G21</f>
        <v>380400.16</v>
      </c>
      <c r="I21" s="66"/>
      <c r="J21" s="67">
        <f t="shared" si="2"/>
        <v>0</v>
      </c>
      <c r="K21" s="67">
        <f t="shared" si="3"/>
        <v>0</v>
      </c>
      <c r="L21" s="68">
        <f t="shared" si="4"/>
        <v>0</v>
      </c>
      <c r="M21" s="68">
        <f t="shared" si="5"/>
        <v>380400</v>
      </c>
      <c r="N21" s="69">
        <v>0</v>
      </c>
      <c r="O21" s="70">
        <f t="shared" si="0"/>
        <v>380400.16</v>
      </c>
      <c r="P21" s="71">
        <f t="shared" si="1"/>
        <v>391812.16</v>
      </c>
      <c r="Q21" s="41">
        <f t="shared" si="6"/>
        <v>0.16</v>
      </c>
      <c r="S21" s="40"/>
    </row>
    <row r="22" spans="1:19" ht="17.100000000000001" customHeight="1" x14ac:dyDescent="0.25">
      <c r="A22" s="5" t="s">
        <v>20</v>
      </c>
      <c r="B22" s="57">
        <v>17</v>
      </c>
      <c r="C22" s="57" t="s">
        <v>67</v>
      </c>
      <c r="D22" s="57" t="s">
        <v>111</v>
      </c>
      <c r="E22" s="58"/>
      <c r="F22" s="63">
        <v>4.55</v>
      </c>
      <c r="G22" s="65">
        <v>546000.17000000004</v>
      </c>
      <c r="H22" s="65">
        <f>G22</f>
        <v>546000.17000000004</v>
      </c>
      <c r="I22" s="66"/>
      <c r="J22" s="67">
        <f t="shared" si="2"/>
        <v>0</v>
      </c>
      <c r="K22" s="67">
        <f t="shared" si="3"/>
        <v>0</v>
      </c>
      <c r="L22" s="68">
        <f t="shared" si="4"/>
        <v>0</v>
      </c>
      <c r="M22" s="68">
        <f t="shared" si="5"/>
        <v>546000</v>
      </c>
      <c r="N22" s="69">
        <v>0</v>
      </c>
      <c r="O22" s="70">
        <f t="shared" si="0"/>
        <v>546000.17000000004</v>
      </c>
      <c r="P22" s="71">
        <f t="shared" si="1"/>
        <v>562380.17000000004</v>
      </c>
      <c r="Q22" s="41">
        <f t="shared" si="6"/>
        <v>0.17</v>
      </c>
    </row>
    <row r="23" spans="1:19" ht="17.100000000000001" customHeight="1" x14ac:dyDescent="0.25">
      <c r="A23" s="5" t="s">
        <v>21</v>
      </c>
      <c r="B23" s="57">
        <v>18</v>
      </c>
      <c r="C23" s="57" t="s">
        <v>68</v>
      </c>
      <c r="D23" s="57" t="s">
        <v>112</v>
      </c>
      <c r="E23" s="57"/>
      <c r="F23" s="63">
        <v>3.17</v>
      </c>
      <c r="G23" s="64">
        <v>380400.18</v>
      </c>
      <c r="H23" s="65">
        <f>G23</f>
        <v>380400.18</v>
      </c>
      <c r="I23" s="66"/>
      <c r="J23" s="67">
        <f t="shared" si="2"/>
        <v>0</v>
      </c>
      <c r="K23" s="67">
        <f t="shared" si="3"/>
        <v>0</v>
      </c>
      <c r="L23" s="68">
        <f t="shared" si="4"/>
        <v>0</v>
      </c>
      <c r="M23" s="68">
        <f t="shared" si="5"/>
        <v>380400</v>
      </c>
      <c r="N23" s="69">
        <v>0</v>
      </c>
      <c r="O23" s="70">
        <f t="shared" si="0"/>
        <v>380400.18</v>
      </c>
      <c r="P23" s="71">
        <f t="shared" si="1"/>
        <v>391812.18</v>
      </c>
      <c r="Q23" s="41">
        <f t="shared" si="6"/>
        <v>0.18000000000000002</v>
      </c>
    </row>
    <row r="24" spans="1:19" ht="17.100000000000001" customHeight="1" x14ac:dyDescent="0.25">
      <c r="A24" s="5" t="s">
        <v>21</v>
      </c>
      <c r="B24" s="57">
        <v>19</v>
      </c>
      <c r="C24" s="57" t="s">
        <v>69</v>
      </c>
      <c r="D24" s="57" t="s">
        <v>113</v>
      </c>
      <c r="E24" s="58"/>
      <c r="F24" s="63">
        <v>4.55</v>
      </c>
      <c r="G24" s="64">
        <v>1438864.19</v>
      </c>
      <c r="H24" s="139">
        <f>388251.19+546000.19+465061.19+39552</f>
        <v>1438864.5699999998</v>
      </c>
      <c r="I24" s="66"/>
      <c r="J24" s="67">
        <f t="shared" si="2"/>
        <v>-0.37999999988824129</v>
      </c>
      <c r="K24" s="67">
        <f t="shared" si="3"/>
        <v>0</v>
      </c>
      <c r="L24" s="68">
        <f t="shared" si="4"/>
        <v>0</v>
      </c>
      <c r="M24" s="68">
        <f t="shared" si="5"/>
        <v>546000</v>
      </c>
      <c r="N24" s="69">
        <v>0</v>
      </c>
      <c r="O24" s="70">
        <f t="shared" si="0"/>
        <v>546000.18999999994</v>
      </c>
      <c r="P24" s="71">
        <f t="shared" si="1"/>
        <v>562380.18999999994</v>
      </c>
      <c r="Q24" s="41">
        <f t="shared" si="6"/>
        <v>0.19000000000000003</v>
      </c>
    </row>
    <row r="25" spans="1:19" ht="17.100000000000001" customHeight="1" x14ac:dyDescent="0.25">
      <c r="A25" s="5" t="s">
        <v>22</v>
      </c>
      <c r="B25" s="57">
        <v>20</v>
      </c>
      <c r="C25" s="57" t="s">
        <v>70</v>
      </c>
      <c r="D25" s="57" t="s">
        <v>114</v>
      </c>
      <c r="E25" s="57"/>
      <c r="F25" s="63">
        <v>3.17</v>
      </c>
      <c r="G25" s="65">
        <v>380400.2</v>
      </c>
      <c r="H25" s="65">
        <f>G25</f>
        <v>380400.2</v>
      </c>
      <c r="I25" s="66"/>
      <c r="J25" s="67">
        <f t="shared" si="2"/>
        <v>0</v>
      </c>
      <c r="K25" s="67">
        <f t="shared" si="3"/>
        <v>0</v>
      </c>
      <c r="L25" s="68">
        <f t="shared" si="4"/>
        <v>0</v>
      </c>
      <c r="M25" s="68">
        <f t="shared" si="5"/>
        <v>380400</v>
      </c>
      <c r="N25" s="69">
        <v>0</v>
      </c>
      <c r="O25" s="70">
        <f t="shared" si="0"/>
        <v>380400.2</v>
      </c>
      <c r="P25" s="71">
        <f t="shared" si="1"/>
        <v>391812.2</v>
      </c>
      <c r="Q25" s="41">
        <f t="shared" si="6"/>
        <v>0.20000000000000004</v>
      </c>
      <c r="S25" t="s">
        <v>160</v>
      </c>
    </row>
    <row r="26" spans="1:19" ht="17.100000000000001" customHeight="1" x14ac:dyDescent="0.25">
      <c r="A26" s="5" t="s">
        <v>23</v>
      </c>
      <c r="B26" s="57">
        <v>21</v>
      </c>
      <c r="C26" s="57" t="s">
        <v>71</v>
      </c>
      <c r="D26" s="57" t="s">
        <v>115</v>
      </c>
      <c r="E26" s="58"/>
      <c r="F26" s="63">
        <v>4.55</v>
      </c>
      <c r="G26" s="64">
        <v>546000.21</v>
      </c>
      <c r="H26" s="65">
        <f>G26</f>
        <v>546000.21</v>
      </c>
      <c r="I26" s="66"/>
      <c r="J26" s="67">
        <f t="shared" si="2"/>
        <v>0</v>
      </c>
      <c r="K26" s="67">
        <f t="shared" si="3"/>
        <v>0</v>
      </c>
      <c r="L26" s="68">
        <f t="shared" si="4"/>
        <v>0</v>
      </c>
      <c r="M26" s="68">
        <f t="shared" si="5"/>
        <v>546000</v>
      </c>
      <c r="N26" s="69">
        <v>0</v>
      </c>
      <c r="O26" s="70">
        <f t="shared" si="0"/>
        <v>546000.21</v>
      </c>
      <c r="P26" s="71">
        <f t="shared" si="1"/>
        <v>562380.21</v>
      </c>
      <c r="Q26" s="41">
        <f t="shared" si="6"/>
        <v>0.21000000000000005</v>
      </c>
    </row>
    <row r="27" spans="1:19" ht="17.100000000000001" customHeight="1" x14ac:dyDescent="0.25">
      <c r="A27" s="5" t="s">
        <v>24</v>
      </c>
      <c r="B27" s="57">
        <v>22</v>
      </c>
      <c r="C27" s="57" t="s">
        <v>72</v>
      </c>
      <c r="D27" s="57" t="s">
        <v>116</v>
      </c>
      <c r="E27" s="58"/>
      <c r="F27" s="63">
        <v>3.17</v>
      </c>
      <c r="G27" s="64">
        <v>-1470.22</v>
      </c>
      <c r="H27" s="65">
        <v>0</v>
      </c>
      <c r="I27" s="66"/>
      <c r="J27" s="67">
        <f t="shared" si="2"/>
        <v>-1470.22</v>
      </c>
      <c r="K27" s="67">
        <f t="shared" si="3"/>
        <v>0</v>
      </c>
      <c r="L27" s="68">
        <f t="shared" si="4"/>
        <v>0</v>
      </c>
      <c r="M27" s="68">
        <f t="shared" si="5"/>
        <v>380400</v>
      </c>
      <c r="N27" s="69">
        <v>0</v>
      </c>
      <c r="O27" s="70">
        <f t="shared" si="0"/>
        <v>378930.22</v>
      </c>
      <c r="P27" s="71">
        <f t="shared" si="1"/>
        <v>390298.22</v>
      </c>
      <c r="Q27" s="41">
        <f t="shared" si="6"/>
        <v>0.22000000000000006</v>
      </c>
    </row>
    <row r="28" spans="1:19" ht="17.100000000000001" customHeight="1" x14ac:dyDescent="0.25">
      <c r="A28" s="5" t="s">
        <v>25</v>
      </c>
      <c r="B28" s="57">
        <v>23</v>
      </c>
      <c r="C28" s="57" t="s">
        <v>73</v>
      </c>
      <c r="D28" s="57" t="s">
        <v>117</v>
      </c>
      <c r="E28" s="58"/>
      <c r="F28" s="63">
        <v>4.66</v>
      </c>
      <c r="G28" s="64">
        <v>486837.23</v>
      </c>
      <c r="H28" s="65">
        <f>G28</f>
        <v>486837.23</v>
      </c>
      <c r="I28" s="66"/>
      <c r="J28" s="67">
        <f t="shared" si="2"/>
        <v>0</v>
      </c>
      <c r="K28" s="67">
        <f t="shared" si="3"/>
        <v>0</v>
      </c>
      <c r="L28" s="68">
        <f t="shared" si="4"/>
        <v>0</v>
      </c>
      <c r="M28" s="68">
        <f t="shared" si="5"/>
        <v>559200</v>
      </c>
      <c r="N28" s="69">
        <v>0</v>
      </c>
      <c r="O28" s="70">
        <f t="shared" si="0"/>
        <v>559200.23</v>
      </c>
      <c r="P28" s="71">
        <f t="shared" si="1"/>
        <v>575976.23</v>
      </c>
      <c r="Q28" s="41">
        <f t="shared" si="6"/>
        <v>0.23000000000000007</v>
      </c>
    </row>
    <row r="29" spans="1:19" ht="17.100000000000001" customHeight="1" x14ac:dyDescent="0.25">
      <c r="A29" s="5" t="s">
        <v>27</v>
      </c>
      <c r="B29" s="57">
        <v>24</v>
      </c>
      <c r="C29" s="57" t="s">
        <v>74</v>
      </c>
      <c r="D29" s="57" t="s">
        <v>118</v>
      </c>
      <c r="E29" s="58"/>
      <c r="F29" s="63">
        <v>3.21</v>
      </c>
      <c r="G29" s="64">
        <v>385200.24</v>
      </c>
      <c r="H29" s="65">
        <f>G29</f>
        <v>385200.24</v>
      </c>
      <c r="I29" s="66"/>
      <c r="J29" s="67">
        <f t="shared" si="2"/>
        <v>0</v>
      </c>
      <c r="K29" s="67">
        <f t="shared" si="3"/>
        <v>0</v>
      </c>
      <c r="L29" s="68">
        <f t="shared" si="4"/>
        <v>0</v>
      </c>
      <c r="M29" s="68">
        <f t="shared" si="5"/>
        <v>385199.99999999994</v>
      </c>
      <c r="N29" s="69">
        <v>0</v>
      </c>
      <c r="O29" s="70">
        <f t="shared" si="0"/>
        <v>385200.24</v>
      </c>
      <c r="P29" s="71">
        <f t="shared" si="1"/>
        <v>396756.24</v>
      </c>
      <c r="Q29" s="41">
        <f t="shared" si="6"/>
        <v>0.24000000000000007</v>
      </c>
    </row>
    <row r="30" spans="1:19" ht="17.100000000000001" customHeight="1" x14ac:dyDescent="0.25">
      <c r="A30" s="5" t="s">
        <v>27</v>
      </c>
      <c r="B30" s="57">
        <v>25</v>
      </c>
      <c r="C30" s="57" t="s">
        <v>75</v>
      </c>
      <c r="D30" s="57" t="s">
        <v>119</v>
      </c>
      <c r="E30" s="57"/>
      <c r="F30" s="63">
        <v>4.6900000000000004</v>
      </c>
      <c r="G30" s="64">
        <v>562800.25</v>
      </c>
      <c r="H30" s="65">
        <v>0</v>
      </c>
      <c r="I30" s="66"/>
      <c r="J30" s="67">
        <f t="shared" si="2"/>
        <v>562800.25</v>
      </c>
      <c r="K30" s="67">
        <f t="shared" si="3"/>
        <v>16602.607375</v>
      </c>
      <c r="L30" s="68">
        <f t="shared" si="4"/>
        <v>0</v>
      </c>
      <c r="M30" s="68">
        <f t="shared" si="5"/>
        <v>562800</v>
      </c>
      <c r="N30" s="69">
        <v>0</v>
      </c>
      <c r="O30" s="70">
        <f t="shared" si="0"/>
        <v>1142203.25</v>
      </c>
      <c r="P30" s="71">
        <f t="shared" si="1"/>
        <v>1176469.25</v>
      </c>
      <c r="Q30" s="41">
        <f t="shared" si="6"/>
        <v>0.25000000000000006</v>
      </c>
    </row>
    <row r="31" spans="1:19" ht="17.100000000000001" customHeight="1" x14ac:dyDescent="0.25">
      <c r="A31" s="5" t="s">
        <v>27</v>
      </c>
      <c r="B31" s="57">
        <v>26</v>
      </c>
      <c r="C31" s="57" t="s">
        <v>76</v>
      </c>
      <c r="D31" s="57" t="s">
        <v>120</v>
      </c>
      <c r="E31" s="57"/>
      <c r="F31" s="63">
        <v>3.02</v>
      </c>
      <c r="G31" s="64">
        <v>362399.26</v>
      </c>
      <c r="H31" s="65">
        <f>G31</f>
        <v>362399.26</v>
      </c>
      <c r="I31" s="66"/>
      <c r="J31" s="67">
        <f t="shared" si="2"/>
        <v>0</v>
      </c>
      <c r="K31" s="67">
        <f t="shared" si="3"/>
        <v>0</v>
      </c>
      <c r="L31" s="68">
        <f t="shared" si="4"/>
        <v>0</v>
      </c>
      <c r="M31" s="68">
        <f t="shared" si="5"/>
        <v>362400</v>
      </c>
      <c r="N31" s="69">
        <v>0</v>
      </c>
      <c r="O31" s="70">
        <f t="shared" si="0"/>
        <v>362400.26</v>
      </c>
      <c r="P31" s="71">
        <f t="shared" si="1"/>
        <v>373272.26</v>
      </c>
      <c r="Q31" s="131">
        <f t="shared" si="6"/>
        <v>0.26000000000000006</v>
      </c>
      <c r="R31" s="113"/>
      <c r="S31" t="s">
        <v>167</v>
      </c>
    </row>
    <row r="32" spans="1:19" ht="17.100000000000001" customHeight="1" thickBot="1" x14ac:dyDescent="0.3">
      <c r="A32" s="5" t="s">
        <v>27</v>
      </c>
      <c r="B32" s="57">
        <v>27</v>
      </c>
      <c r="C32" s="57" t="s">
        <v>121</v>
      </c>
      <c r="D32" s="57" t="s">
        <v>122</v>
      </c>
      <c r="E32" s="58"/>
      <c r="F32" s="63">
        <v>0.16</v>
      </c>
      <c r="G32" s="64">
        <v>19200.27</v>
      </c>
      <c r="H32" s="65">
        <f>G32</f>
        <v>19200.27</v>
      </c>
      <c r="I32" s="66"/>
      <c r="J32" s="67">
        <f>G32-H32</f>
        <v>0</v>
      </c>
      <c r="K32" s="67">
        <f t="shared" si="3"/>
        <v>0</v>
      </c>
      <c r="L32" s="68">
        <f t="shared" si="4"/>
        <v>0</v>
      </c>
      <c r="M32" s="68">
        <f>O$2*F32%</f>
        <v>19200</v>
      </c>
      <c r="N32" s="69">
        <v>0</v>
      </c>
      <c r="O32" s="70">
        <f t="shared" si="0"/>
        <v>19200.27</v>
      </c>
      <c r="P32" s="71">
        <f t="shared" si="1"/>
        <v>19776.27</v>
      </c>
      <c r="Q32" s="41">
        <f t="shared" si="6"/>
        <v>0.27000000000000007</v>
      </c>
    </row>
    <row r="33" spans="1:17" ht="15.75" hidden="1" thickBot="1" x14ac:dyDescent="0.3">
      <c r="A33" s="5" t="s">
        <v>27</v>
      </c>
      <c r="B33" s="57"/>
      <c r="C33" s="57"/>
      <c r="D33" s="57"/>
      <c r="E33" s="57"/>
      <c r="F33" s="63"/>
      <c r="G33" s="72" t="s">
        <v>94</v>
      </c>
      <c r="H33" s="65" t="str">
        <f t="shared" ref="H33" si="7">G33</f>
        <v>162450.31</v>
      </c>
      <c r="I33" s="73"/>
      <c r="J33" s="74" t="e">
        <f t="shared" ref="J33" si="8">G33-H33</f>
        <v>#VALUE!</v>
      </c>
      <c r="K33" s="67" t="e">
        <f t="shared" ref="K33" si="9">IF(J33&gt;0,J33*3%,0)</f>
        <v>#VALUE!</v>
      </c>
      <c r="L33" s="68">
        <f t="shared" si="4"/>
        <v>0</v>
      </c>
      <c r="M33" s="75">
        <f t="shared" si="5"/>
        <v>0</v>
      </c>
      <c r="N33" s="76">
        <v>0</v>
      </c>
      <c r="O33" s="70" t="e">
        <f t="shared" si="0"/>
        <v>#VALUE!</v>
      </c>
      <c r="P33" s="71" t="e">
        <f t="shared" si="1"/>
        <v>#VALUE!</v>
      </c>
      <c r="Q33" s="41"/>
    </row>
    <row r="34" spans="1:17" ht="17.100000000000001" customHeight="1" thickBot="1" x14ac:dyDescent="0.3">
      <c r="B34" s="77"/>
      <c r="C34" s="78"/>
      <c r="D34" s="79"/>
      <c r="E34" s="79"/>
      <c r="F34" s="80">
        <f>SUM(F6:F33)</f>
        <v>99.999999999999972</v>
      </c>
      <c r="G34" s="47">
        <f>SUM(G6:G33)</f>
        <v>13354658.339999998</v>
      </c>
      <c r="H34" s="55">
        <f>SUM(H6:H33)</f>
        <v>9758198.1199999992</v>
      </c>
      <c r="I34" s="55">
        <f t="shared" ref="I34" si="10">SUM(I6:I33)</f>
        <v>0</v>
      </c>
      <c r="J34" s="55"/>
      <c r="K34" s="55"/>
      <c r="L34" s="55">
        <f>SUM(L6:L33)</f>
        <v>0</v>
      </c>
      <c r="M34" s="55">
        <f>SUM(M6:M33)</f>
        <v>12000000</v>
      </c>
      <c r="N34" s="55">
        <f>SUM(N6:N33)</f>
        <v>15000</v>
      </c>
      <c r="O34" s="81">
        <f>SUM(O6:O32)</f>
        <v>15725430.779999999</v>
      </c>
      <c r="P34" s="81">
        <f>SUM(P6:P32)</f>
        <v>16197192.779999999</v>
      </c>
    </row>
    <row r="35" spans="1:17" ht="12.75" customHeight="1" x14ac:dyDescent="0.25">
      <c r="D35" s="45"/>
      <c r="E35" s="45"/>
    </row>
    <row r="36" spans="1:17" hidden="1" x14ac:dyDescent="0.25"/>
    <row r="37" spans="1:17" ht="9" customHeight="1" x14ac:dyDescent="0.25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</row>
    <row r="38" spans="1:17" ht="12" hidden="1" customHeight="1" x14ac:dyDescent="0.25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</row>
    <row r="39" spans="1:17" ht="12" hidden="1" customHeight="1" x14ac:dyDescent="0.25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</row>
    <row r="40" spans="1:17" ht="12" hidden="1" customHeight="1" x14ac:dyDescent="0.25"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</row>
    <row r="41" spans="1:17" ht="12" hidden="1" customHeight="1" x14ac:dyDescent="0.25"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</row>
    <row r="42" spans="1:17" ht="65.25" customHeight="1" x14ac:dyDescent="0.25"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</row>
  </sheetData>
  <mergeCells count="17">
    <mergeCell ref="A4:A5"/>
    <mergeCell ref="B4:B5"/>
    <mergeCell ref="C4:C5"/>
    <mergeCell ref="D4:D5"/>
    <mergeCell ref="F4:F5"/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2025-08-06T17:56:59Z</cp:lastPrinted>
  <dcterms:created xsi:type="dcterms:W3CDTF">2023-09-17T12:29:07Z</dcterms:created>
  <dcterms:modified xsi:type="dcterms:W3CDTF">2025-08-12T12:28:38Z</dcterms:modified>
</cp:coreProperties>
</file>