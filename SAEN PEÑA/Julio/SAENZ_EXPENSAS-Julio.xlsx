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SAEN PEÑA\Julio\"/>
    </mc:Choice>
  </mc:AlternateContent>
  <xr:revisionPtr revIDLastSave="0" documentId="13_ncr:1_{B0A63EF5-8F17-4C3E-BD6C-D8263AFCDA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F6" i="1" l="1"/>
  <c r="F10" i="1"/>
  <c r="C19" i="3"/>
  <c r="C20" i="3"/>
  <c r="F9" i="1" l="1"/>
  <c r="C18" i="3"/>
  <c r="C23" i="3" l="1"/>
  <c r="C16" i="3" l="1"/>
  <c r="C24" i="3" s="1"/>
  <c r="C34" i="3" l="1"/>
  <c r="C36" i="3" s="1"/>
  <c r="A2" i="1"/>
  <c r="C35" i="3" l="1"/>
  <c r="F5" i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<sst xmlns="http://schemas.openxmlformats.org/spreadsheetml/2006/main" count="96" uniqueCount="75">
  <si>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</si>
  <si>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</si>
  <si>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</si>
  <si>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</si>
  <si>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</si>
  <si>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</si>
  <si>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</si>
  <si>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</si>
  <si>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</si>
  <si>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</si>
  <si>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</si>
  <si>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</si>
  <si>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</si>
  <si>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</si>
  <si>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</si>
  <si>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</si>
  <si>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</si>
  <si>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</si>
  <si>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</si>
  <si>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</si>
  <si>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</si>
  <si>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</si>
  <si>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</si>
  <si>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</si>
  <si>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</si>
  <si>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</si>
  <si>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</si>
  <si>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</si>
  <si>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</si>
  <si>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</si>
  <si>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</si>
  <si>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</si>
  <si>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</si>
  <si>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</si>
  <si>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</si>
  <si>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</si>
  <si>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</si>
  <si>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</si>
  <si>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</si>
  <si>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</si>
  <si>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</si>
  <si>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</si>
  <si>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</si>
  <si>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</si>
  <si>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</si>
  <si>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</si>
  <si>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</si>
  <si>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</si>
  <si>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</si>
  <si>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</si>
  <si>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</si>
  <si>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</si>
  <si>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</si>
  <si>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</si>
  <si>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</si>
  <si>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</si>
  <si>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</si>
  <si>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</si>
  <si>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</si>
  <si>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</si>
  <si>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</si>
  <si>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</si>
  <si>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</si>
  <si>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</si>
  <si>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</si>
  <si>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</si>
  <si>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</si>
  <si>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</si>
  <si>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Honorarios</t>
  </si>
  <si>
    <t>Prevision</t>
  </si>
  <si>
    <t>Camion Villar -  Destapaciones</t>
  </si>
  <si>
    <t>SAC</t>
  </si>
  <si>
    <t>Articulos de limpieza</t>
  </si>
  <si>
    <t>Liquidacion mes de JULIO</t>
  </si>
  <si>
    <t xml:space="preserve">Período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</si>
</sst>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4" fontId="9" fillId="6" borderId="10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4" fontId="14" fillId="6" borderId="1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abSelected="1" workbookViewId="0">
      <selection activeCell="C14" sqref="C14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6" x14ac:dyDescent="0.3">
      <c r="B1" t="s">
        <v>64</v>
      </c>
    </row>
    <row r="2" spans="1:6" x14ac:dyDescent="0.3">
      <c r="B2" t="s">
        <v>20</v>
      </c>
      <c r="C2" s="102" t="s">
        <v>63</v>
      </c>
    </row>
    <row r="3" spans="1:6" x14ac:dyDescent="0.3">
      <c r="B3" t="s">
        <v>11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/>
      <c r="F6" s="28"/>
    </row>
    <row r="7" spans="1:6" x14ac:dyDescent="0.3">
      <c r="A7" s="24" t="s">
        <v>43</v>
      </c>
      <c r="B7" s="24"/>
      <c r="C7" s="62"/>
      <c r="D7" s="62"/>
      <c r="E7" s="24" t="s">
        <v>73</v>
      </c>
      <c r="F7" s="103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13</v>
      </c>
    </row>
    <row r="11" spans="1:6" ht="15" thickBot="1" x14ac:dyDescent="0.35">
      <c r="A11" s="106" t="s">
        <v>12</v>
      </c>
      <c r="B11" s="102"/>
      <c r="C11" s="12"/>
      <c r="D11" s="5"/>
      <c r="E11" s="113" t="s">
        <v>24</v>
      </c>
      <c r="F11" s="113"/>
    </row>
    <row r="12" spans="1:6" x14ac:dyDescent="0.3">
      <c r="A12" s="104" t="s">
        <v>61</v>
      </c>
      <c r="B12" s="104" t="s">
        <v>65</v>
      </c>
      <c r="C12" s="111">
        <v>32362.99</v>
      </c>
      <c r="D12" s="5"/>
      <c r="E12" s="49" t="s">
        <v>48</v>
      </c>
      <c r="F12" s="50">
        <v>437075.38143240911</v>
      </c>
    </row>
    <row r="13" spans="1:6" x14ac:dyDescent="0.3">
      <c r="A13" s="102" t="s">
        <v>66</v>
      </c>
      <c r="B13" s="102" t="s">
        <v>67</v>
      </c>
      <c r="C13" s="112">
        <v>35601</v>
      </c>
      <c r="D13" s="36"/>
      <c r="E13" s="51" t="s">
        <v>9</v>
      </c>
      <c r="F13" s="52">
        <f>'prorrateo '!F11</f>
        <v>286780.71501932398</v>
      </c>
    </row>
    <row r="14" spans="1:6" x14ac:dyDescent="0.3">
      <c r="A14" s="104" t="s">
        <v>26</v>
      </c>
      <c r="B14" s="104" t="s">
        <v>62</v>
      </c>
      <c r="C14" s="112">
        <v>34213.629999999997</v>
      </c>
      <c r="D14" s="5"/>
      <c r="E14" s="51" t="s">
        <v>22</v>
      </c>
      <c r="F14" s="52">
        <f>-(C36)</f>
        <v>-364669.3775</v>
      </c>
    </row>
    <row r="15" spans="1:6" x14ac:dyDescent="0.3">
      <c r="A15" s="102" t="s">
        <v>21</v>
      </c>
      <c r="B15" s="102" t="s">
        <v>68</v>
      </c>
      <c r="C15" s="75">
        <v>32800</v>
      </c>
      <c r="E15" s="51"/>
      <c r="F15" s="52"/>
    </row>
    <row r="16" spans="1:6" ht="15" thickBot="1" x14ac:dyDescent="0.35">
      <c r="A16" s="107"/>
      <c r="B16" s="108"/>
      <c r="C16" s="82">
        <f>SUM(C12:C15)</f>
        <v>134977.62</v>
      </c>
      <c r="E16" s="53" t="s">
        <v>49</v>
      </c>
      <c r="F16" s="54">
        <f>SUM(F12:F15)</f>
        <v>359186.71895173303</v>
      </c>
    </row>
    <row r="17" spans="1:7" x14ac:dyDescent="0.3">
      <c r="A17" s="106" t="s">
        <v>23</v>
      </c>
      <c r="B17" s="102"/>
      <c r="C17" s="109"/>
      <c r="D17" s="5"/>
      <c r="E17" s="19"/>
      <c r="F17" s="20"/>
    </row>
    <row r="18" spans="1:7" ht="13.5" customHeight="1" x14ac:dyDescent="0.3">
      <c r="A18" s="102" t="s">
        <v>42</v>
      </c>
      <c r="B18" s="110" t="s">
        <v>74</v>
      </c>
      <c r="C18" s="75">
        <f xml:space="preserve"> 51328.1+51328.1*5%</f>
        <v>53894.504999999997</v>
      </c>
      <c r="D18" s="5"/>
      <c r="E18" s="19"/>
      <c r="F18" s="20"/>
    </row>
    <row r="19" spans="1:7" ht="13.5" customHeight="1" x14ac:dyDescent="0.3">
      <c r="A19" s="102" t="s">
        <v>71</v>
      </c>
      <c r="B19" s="110"/>
      <c r="C19" s="75">
        <f>C18/2</f>
        <v>26947.252499999999</v>
      </c>
      <c r="D19" s="5"/>
      <c r="E19" s="19"/>
      <c r="F19" s="20"/>
    </row>
    <row r="20" spans="1:7" ht="13.5" customHeight="1" x14ac:dyDescent="0.3">
      <c r="A20" s="102" t="s">
        <v>70</v>
      </c>
      <c r="B20" s="110"/>
      <c r="C20" s="75">
        <f>80000+50000</f>
        <v>130000</v>
      </c>
      <c r="D20" s="5"/>
      <c r="E20" s="19"/>
      <c r="F20" s="20"/>
    </row>
    <row r="21" spans="1:7" ht="13.5" customHeight="1" x14ac:dyDescent="0.3">
      <c r="A21" s="102" t="s">
        <v>72</v>
      </c>
      <c r="B21" s="110"/>
      <c r="C21" s="112">
        <v>18850</v>
      </c>
      <c r="D21" s="5"/>
      <c r="E21" s="19"/>
      <c r="F21" s="20"/>
    </row>
    <row r="22" spans="1:7" x14ac:dyDescent="0.3">
      <c r="A22" s="102" t="s">
        <v>69</v>
      </c>
      <c r="B22" s="110"/>
      <c r="C22" s="111"/>
      <c r="D22" s="5"/>
      <c r="E22" s="19"/>
      <c r="F22" s="20"/>
    </row>
    <row r="23" spans="1:7" x14ac:dyDescent="0.3">
      <c r="A23" s="107"/>
      <c r="B23" s="108"/>
      <c r="C23" s="82">
        <f>SUM(C17:C22)</f>
        <v>229691.75750000001</v>
      </c>
      <c r="D23" s="5"/>
      <c r="E23" s="5"/>
      <c r="F23" s="48"/>
      <c r="G23" s="6"/>
    </row>
    <row r="24" spans="1:7" x14ac:dyDescent="0.3">
      <c r="A24" s="40" t="s">
        <v>14</v>
      </c>
      <c r="B24" s="41"/>
      <c r="C24" s="42">
        <f>+C23+C16</f>
        <v>364669.3775</v>
      </c>
      <c r="D24" s="5"/>
      <c r="E24" s="19"/>
      <c r="F24" s="20"/>
    </row>
    <row r="25" spans="1:7" ht="14.25" customHeight="1" x14ac:dyDescent="0.3">
      <c r="A25" s="63" t="s">
        <v>27</v>
      </c>
      <c r="B25" s="77"/>
      <c r="C25" s="78"/>
      <c r="E25" s="19"/>
      <c r="F25" s="20"/>
    </row>
    <row r="26" spans="1:7" hidden="1" x14ac:dyDescent="0.3">
      <c r="A26" s="22" t="s">
        <v>27</v>
      </c>
    </row>
    <row r="27" spans="1:7" hidden="1" x14ac:dyDescent="0.3">
      <c r="A27" s="37"/>
      <c r="B27" s="28"/>
      <c r="C27" s="47"/>
      <c r="F27" s="6"/>
    </row>
    <row r="28" spans="1:7" hidden="1" x14ac:dyDescent="0.3">
      <c r="A28" s="45"/>
      <c r="B28" s="44"/>
      <c r="C28" s="46">
        <v>0</v>
      </c>
      <c r="F28" s="6"/>
    </row>
    <row r="29" spans="1:7" hidden="1" x14ac:dyDescent="0.3">
      <c r="A29" s="55"/>
      <c r="B29" s="56"/>
      <c r="C29" s="46">
        <v>0</v>
      </c>
      <c r="F29" s="6"/>
    </row>
    <row r="30" spans="1:7" x14ac:dyDescent="0.3">
      <c r="A30" s="73"/>
      <c r="B30" s="74"/>
      <c r="C30" s="76"/>
      <c r="F30" s="6"/>
    </row>
    <row r="31" spans="1:7" x14ac:dyDescent="0.3">
      <c r="A31" s="73"/>
      <c r="B31" s="80"/>
      <c r="C31" s="81"/>
      <c r="F31" s="6"/>
    </row>
    <row r="32" spans="1:7" x14ac:dyDescent="0.3">
      <c r="A32" s="73"/>
      <c r="B32" s="79"/>
      <c r="C32" s="76">
        <v>0</v>
      </c>
      <c r="F32" s="6"/>
    </row>
    <row r="33" spans="1:6" x14ac:dyDescent="0.3">
      <c r="A33" s="57" t="s">
        <v>25</v>
      </c>
      <c r="B33" s="58"/>
      <c r="C33" s="59">
        <f>SUM(C28:C32)</f>
        <v>0</v>
      </c>
    </row>
    <row r="34" spans="1:6" x14ac:dyDescent="0.3">
      <c r="A34" t="s">
        <v>59</v>
      </c>
      <c r="C34" s="46">
        <f>C24-C22</f>
        <v>364669.3775</v>
      </c>
      <c r="F34" s="6"/>
    </row>
    <row r="35" spans="1:6" x14ac:dyDescent="0.3">
      <c r="A35" s="5" t="s">
        <v>54</v>
      </c>
      <c r="C35" s="72">
        <f>+C24</f>
        <v>364669.3775</v>
      </c>
      <c r="E35" s="105"/>
      <c r="F35" s="6"/>
    </row>
    <row r="36" spans="1:6" x14ac:dyDescent="0.3">
      <c r="A36" s="57" t="s">
        <v>15</v>
      </c>
      <c r="B36" s="58"/>
      <c r="C36" s="59">
        <f>C34</f>
        <v>364669.3775</v>
      </c>
      <c r="E36" s="16"/>
    </row>
    <row r="41" spans="1:6" x14ac:dyDescent="0.3">
      <c r="D41" s="6"/>
    </row>
    <row r="42" spans="1:6" x14ac:dyDescent="0.3">
      <c r="D42" s="16"/>
      <c r="E42" s="16"/>
    </row>
    <row r="43" spans="1:6" x14ac:dyDescent="0.3">
      <c r="D43" s="16"/>
      <c r="E43" s="16"/>
    </row>
    <row r="44" spans="1:6" x14ac:dyDescent="0.3">
      <c r="D44" s="16"/>
    </row>
    <row r="45" spans="1:6" x14ac:dyDescent="0.3">
      <c r="D45" s="16"/>
    </row>
    <row r="57" spans="1:3" x14ac:dyDescent="0.3">
      <c r="A57" s="19"/>
      <c r="B57" s="18"/>
      <c r="C57" s="20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C28" sqref="C28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100" t="s">
        <v>60</v>
      </c>
      <c r="B1" s="101"/>
      <c r="C1" s="101"/>
      <c r="D1" s="26"/>
      <c r="E1" s="25" t="s">
        <v>41</v>
      </c>
      <c r="F1" s="26"/>
      <c r="G1" s="25" t="s">
        <v>52</v>
      </c>
      <c r="H1" s="26"/>
      <c r="I1" s="26"/>
      <c r="J1" s="26"/>
      <c r="K1" s="65">
        <v>396675.17749999999</v>
      </c>
      <c r="L1" s="27"/>
    </row>
    <row r="2" spans="1:12" ht="15" thickBot="1" x14ac:dyDescent="0.35">
      <c r="A2" s="66" t="str">
        <f>'detalle y gastos'!E7</f>
        <v>Liquidacion mes de JULIO</v>
      </c>
      <c r="B2" s="67"/>
      <c r="C2" s="67"/>
      <c r="D2" s="68"/>
      <c r="E2" s="69"/>
      <c r="F2" s="68"/>
      <c r="G2" s="69" t="s">
        <v>53</v>
      </c>
      <c r="H2" s="68"/>
      <c r="I2" s="68"/>
      <c r="J2" s="68"/>
      <c r="K2" s="70"/>
      <c r="L2" s="71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60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28244.470716</v>
      </c>
      <c r="F5" s="75">
        <f t="shared" ref="F5" si="0">E5</f>
        <v>28244.470716</v>
      </c>
      <c r="G5" s="61">
        <f>E5-F5</f>
        <v>0</v>
      </c>
      <c r="H5" s="64">
        <f>IF(G5&gt;0,G5*8.4%,0)</f>
        <v>0</v>
      </c>
      <c r="I5" s="15">
        <v>0</v>
      </c>
      <c r="J5" s="31">
        <f>K1*D5</f>
        <v>59977.286838</v>
      </c>
      <c r="K5" s="15">
        <f>K2*D5</f>
        <v>0</v>
      </c>
      <c r="L5" s="32">
        <f>J5+K5+H5+G5</f>
        <v>59977.286838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63987.357147324001</v>
      </c>
      <c r="F6" s="75">
        <f>E6</f>
        <v>63987.357147324001</v>
      </c>
      <c r="G6" s="61">
        <f t="shared" ref="G6:G8" si="1">E6-F6</f>
        <v>0</v>
      </c>
      <c r="H6" s="64">
        <f t="shared" ref="H6:H10" si="2">IF(G6&gt;0,G6*8.4%,0)</f>
        <v>0</v>
      </c>
      <c r="I6" s="15">
        <v>0</v>
      </c>
      <c r="J6" s="31">
        <f>K1*D6</f>
        <v>62238.335349750007</v>
      </c>
      <c r="K6" s="15">
        <f>K2*D6</f>
        <v>0</v>
      </c>
      <c r="L6" s="32">
        <f>J6+K6+H6+G6</f>
        <v>62238.335349750007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29552.085101000001</v>
      </c>
      <c r="F7" s="75"/>
      <c r="G7" s="61">
        <f t="shared" si="1"/>
        <v>29552.085101000001</v>
      </c>
      <c r="H7" s="64">
        <f t="shared" si="2"/>
        <v>2482.3751484840004</v>
      </c>
      <c r="I7" s="15">
        <v>0</v>
      </c>
      <c r="J7" s="31">
        <f>K1*D7</f>
        <v>62754.013080500001</v>
      </c>
      <c r="K7" s="15">
        <f>K2*D7</f>
        <v>0</v>
      </c>
      <c r="L7" s="32">
        <f t="shared" ref="L7:L9" si="3">J7+K7+H7+G7</f>
        <v>94788.473329984001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36986.80689</v>
      </c>
      <c r="F8" s="75"/>
      <c r="G8" s="61">
        <f t="shared" si="1"/>
        <v>36986.80689</v>
      </c>
      <c r="H8" s="64">
        <f t="shared" si="2"/>
        <v>3106.8917787600003</v>
      </c>
      <c r="I8" s="15">
        <v>0</v>
      </c>
      <c r="J8" s="31">
        <f>K1*D8</f>
        <v>78541.685144999996</v>
      </c>
      <c r="K8" s="15">
        <f>K2*D8</f>
        <v>0</v>
      </c>
      <c r="L8" s="32">
        <f t="shared" si="3"/>
        <v>118635.38381376001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29738.887156000001</v>
      </c>
      <c r="F9" s="75">
        <f>E9</f>
        <v>29738.887156000001</v>
      </c>
      <c r="G9" s="61">
        <f>E9-F9</f>
        <v>0</v>
      </c>
      <c r="H9" s="64">
        <f t="shared" si="2"/>
        <v>0</v>
      </c>
      <c r="I9" s="15">
        <v>0</v>
      </c>
      <c r="J9" s="31">
        <f>K1*D9</f>
        <v>63150.688258000002</v>
      </c>
      <c r="K9" s="15">
        <f>K2*D9</f>
        <v>0</v>
      </c>
      <c r="L9" s="32">
        <f t="shared" si="3"/>
        <v>63150.688258000002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145959.83607930463</v>
      </c>
      <c r="F10" s="75">
        <f>145960+'detalle y gastos'!C21</f>
        <v>164810</v>
      </c>
      <c r="G10" s="61">
        <f>E10-F10</f>
        <v>-18850.16392069537</v>
      </c>
      <c r="H10" s="64">
        <f t="shared" si="2"/>
        <v>0</v>
      </c>
      <c r="I10" s="15">
        <v>0</v>
      </c>
      <c r="J10" s="31">
        <f>K1*D10</f>
        <v>70013.16882875</v>
      </c>
      <c r="K10" s="15">
        <f>K2*D10</f>
        <v>0</v>
      </c>
      <c r="L10" s="32">
        <f>J10+K10+H10+G10</f>
        <v>51163.004908054631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334469.44308962865</v>
      </c>
      <c r="F11" s="35">
        <f>SUM(F5:F10)</f>
        <v>286780.71501932398</v>
      </c>
      <c r="G11" s="43">
        <f>SUM(G5:G10)</f>
        <v>47688.728070304627</v>
      </c>
      <c r="H11" s="43">
        <f t="shared" ref="H11:K11" si="5">SUM(H5:H10)</f>
        <v>5589.2669272440007</v>
      </c>
      <c r="I11" s="11">
        <f t="shared" si="5"/>
        <v>0</v>
      </c>
      <c r="J11" s="39">
        <f t="shared" si="5"/>
        <v>396675.17749999999</v>
      </c>
      <c r="K11" s="39">
        <f t="shared" si="5"/>
        <v>0</v>
      </c>
      <c r="L11" s="43">
        <f>SUM(L5:L10)</f>
        <v>449953.17249754863</v>
      </c>
    </row>
    <row r="12" spans="1:12" ht="51.75" hidden="1" customHeight="1" x14ac:dyDescent="0.3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20" t="s">
        <v>27</v>
      </c>
      <c r="B1" s="121"/>
      <c r="C1" s="121"/>
      <c r="D1" s="121"/>
      <c r="E1" s="122"/>
      <c r="F1" s="83"/>
      <c r="G1" s="83"/>
    </row>
    <row r="2" spans="1:7" ht="15" thickBot="1" x14ac:dyDescent="0.35">
      <c r="A2" s="123" t="s">
        <v>55</v>
      </c>
      <c r="B2" s="124"/>
      <c r="C2" s="125"/>
      <c r="D2" s="126">
        <v>565</v>
      </c>
      <c r="E2" s="127"/>
      <c r="F2" s="84"/>
      <c r="G2" s="84"/>
    </row>
    <row r="3" spans="1:7" ht="15" thickTop="1" x14ac:dyDescent="0.3">
      <c r="A3" s="128" t="s">
        <v>0</v>
      </c>
      <c r="B3" s="128" t="s">
        <v>1</v>
      </c>
      <c r="C3" s="128" t="s">
        <v>2</v>
      </c>
      <c r="D3" s="130" t="s">
        <v>6</v>
      </c>
      <c r="E3" s="115" t="s">
        <v>56</v>
      </c>
      <c r="F3" s="115" t="s">
        <v>57</v>
      </c>
      <c r="G3" s="115" t="s">
        <v>50</v>
      </c>
    </row>
    <row r="4" spans="1:7" ht="15" thickBot="1" x14ac:dyDescent="0.35">
      <c r="A4" s="129"/>
      <c r="B4" s="129"/>
      <c r="C4" s="129"/>
      <c r="D4" s="131"/>
      <c r="E4" s="116"/>
      <c r="F4" s="116"/>
      <c r="G4" s="116"/>
    </row>
    <row r="5" spans="1:7" ht="15.6" thickTop="1" thickBot="1" x14ac:dyDescent="0.35">
      <c r="A5" s="85">
        <v>1</v>
      </c>
      <c r="B5" s="87" t="s">
        <v>29</v>
      </c>
      <c r="C5" s="88" t="s">
        <v>37</v>
      </c>
      <c r="D5" s="86">
        <v>0.1512</v>
      </c>
      <c r="E5" s="89">
        <v>85</v>
      </c>
      <c r="F5" s="89">
        <v>0</v>
      </c>
      <c r="G5" s="89">
        <v>0</v>
      </c>
    </row>
    <row r="6" spans="1:7" ht="15" thickBot="1" x14ac:dyDescent="0.35">
      <c r="A6" s="85">
        <v>2</v>
      </c>
      <c r="B6" s="87" t="s">
        <v>30</v>
      </c>
      <c r="C6" s="88" t="s">
        <v>38</v>
      </c>
      <c r="D6" s="86">
        <v>0.15690000000000001</v>
      </c>
      <c r="E6" s="89">
        <v>89</v>
      </c>
      <c r="F6" s="89">
        <v>0</v>
      </c>
      <c r="G6" s="89">
        <v>0</v>
      </c>
    </row>
    <row r="7" spans="1:7" ht="15" thickBot="1" x14ac:dyDescent="0.35">
      <c r="A7" s="85">
        <v>3</v>
      </c>
      <c r="B7" s="87" t="s">
        <v>31</v>
      </c>
      <c r="C7" s="88" t="s">
        <v>39</v>
      </c>
      <c r="D7" s="86">
        <v>0.15820000000000001</v>
      </c>
      <c r="E7" s="89">
        <v>89</v>
      </c>
      <c r="F7" s="89">
        <v>0</v>
      </c>
      <c r="G7" s="89">
        <v>0</v>
      </c>
    </row>
    <row r="8" spans="1:7" ht="18" customHeight="1" thickBot="1" x14ac:dyDescent="0.35">
      <c r="A8" s="85">
        <v>4</v>
      </c>
      <c r="B8" s="87" t="s">
        <v>33</v>
      </c>
      <c r="C8" s="99" t="s">
        <v>40</v>
      </c>
      <c r="D8" s="86">
        <v>0.19800000000000001</v>
      </c>
      <c r="E8" s="89">
        <v>112</v>
      </c>
      <c r="F8" s="89">
        <v>0</v>
      </c>
      <c r="G8" s="89">
        <v>0</v>
      </c>
    </row>
    <row r="9" spans="1:7" ht="15" thickBot="1" x14ac:dyDescent="0.35">
      <c r="A9" s="85">
        <v>5</v>
      </c>
      <c r="B9" s="87" t="s">
        <v>32</v>
      </c>
      <c r="C9" s="88" t="s">
        <v>35</v>
      </c>
      <c r="D9" s="86">
        <v>0.15920000000000001</v>
      </c>
      <c r="E9" s="89">
        <v>90</v>
      </c>
      <c r="F9" s="89">
        <v>0</v>
      </c>
      <c r="G9" s="89">
        <v>0</v>
      </c>
    </row>
    <row r="10" spans="1:7" ht="15" thickBot="1" x14ac:dyDescent="0.35">
      <c r="A10" s="90">
        <v>6</v>
      </c>
      <c r="B10" s="92" t="s">
        <v>34</v>
      </c>
      <c r="C10" s="93" t="s">
        <v>36</v>
      </c>
      <c r="D10" s="91">
        <v>0.17649999999999999</v>
      </c>
      <c r="E10" s="94">
        <v>100</v>
      </c>
      <c r="F10" s="94">
        <v>0</v>
      </c>
      <c r="G10" s="94">
        <v>0</v>
      </c>
    </row>
    <row r="11" spans="1:7" ht="15.6" thickTop="1" thickBot="1" x14ac:dyDescent="0.35">
      <c r="A11" s="95" t="s">
        <v>10</v>
      </c>
      <c r="B11" s="96"/>
      <c r="C11" s="96"/>
      <c r="D11" s="97">
        <v>1</v>
      </c>
      <c r="E11" s="97">
        <v>565</v>
      </c>
      <c r="F11" s="97" t="s">
        <v>58</v>
      </c>
      <c r="G11" s="98" t="s">
        <v>58</v>
      </c>
    </row>
    <row r="12" spans="1:7" ht="15.6" thickTop="1" thickBot="1" x14ac:dyDescent="0.35">
      <c r="A12" s="117"/>
      <c r="B12" s="118"/>
      <c r="C12" s="118"/>
      <c r="D12" s="118"/>
      <c r="E12" s="119"/>
      <c r="F12" s="83"/>
      <c r="G12" s="83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detalle y gastos</vt:lpstr>
      <vt:lpstr>prorrateo 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2025-06-29T15:09:28Z</cp:lastPrinted>
  <dcterms:created xsi:type="dcterms:W3CDTF">2020-12-10T00:27:53Z</dcterms:created>
  <dcterms:modified xsi:type="dcterms:W3CDTF">2025-07-25T19:01:01Z</dcterms:modified>
</cp:coreProperties>
</file>