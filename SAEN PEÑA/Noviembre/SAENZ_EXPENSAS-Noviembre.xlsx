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Octubre\"/>
    </mc:Choice>
  </mc:AlternateContent>
  <xr:revisionPtr revIDLastSave="0" documentId="13_ncr:1_{7831841E-FF16-420E-AC41-75843587D6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gastos'!$A$1:$F$43</definedName>
  </definedNames>
  <calcPr calcId="181029"/>
</workbook>
</file>

<file path=xl/calcChain.xml><?xml version="1.0" encoding="utf-8"?>
<calcChain xmlns="http://schemas.openxmlformats.org/spreadsheetml/2006/main">
  <c r="F7" i="1" l="1"/>
  <c r="F8" i="1"/>
  <c r="F9" i="1"/>
  <c r="F10" i="1"/>
  <c r="C19" i="3" l="1"/>
  <c r="C29" i="3" s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30" i="3"/>
  <c r="C40" i="3" l="1"/>
  <c r="C42" i="3" s="1"/>
  <c r="A2" i="1"/>
  <c r="C41" i="3" l="1"/>
  <c r="C39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<sst xmlns="http://schemas.openxmlformats.org/spreadsheetml/2006/main" count="129" uniqueCount="81">
  <si>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</si>
  <si>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</si>
  <si>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</si>
  <si>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</si>
  <si>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</si>
  <si>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</si>
  <si>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</si>
  <si>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</si>
  <si>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</si>
  <si>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</si>
  <si>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</si>
  <si>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</si>
  <si>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</si>
  <si>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</si>
  <si>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</si>
  <si>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</si>
  <si>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</si>
  <si>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</si>
  <si>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</si>
  <si>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</si>
  <si>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</si>
  <si>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</si>
  <si>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</si>
  <si>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</si>
  <si>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</si>
  <si>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</si>
  <si>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</si>
  <si>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</si>
  <si>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</si>
  <si>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</si>
  <si>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</si>
  <si>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</si>
  <si>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</si>
  <si>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</si>
  <si>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</si>
  <si>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</si>
  <si>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</si>
  <si>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</si>
  <si>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</si>
  <si>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</si>
  <si>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</si>
  <si>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</si>
  <si>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</si>
  <si>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</si>
  <si>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</si>
  <si>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</si>
  <si>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</si>
  <si>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</si>
  <si>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</si>
  <si>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</si>
  <si>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</si>
  <si>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</si>
  <si>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</si>
  <si>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</si>
  <si>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</si>
  <si>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</si>
  <si>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</si>
  <si>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</si>
  <si>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</si>
  <si>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</si>
  <si>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</si>
  <si>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</si>
  <si>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</si>
  <si>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</si>
  <si>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</si>
  <si>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</si>
  <si>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</si>
  <si>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</si>
  <si>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</si>
  <si>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</si>
  <si>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Liquidacion mes de OCTUBRE</t>
  </si>
  <si>
    <t xml:space="preserve">Período OCTUBRE </t>
  </si>
  <si>
    <t>Ladrisur - Arena, ladrillos, cemento</t>
  </si>
  <si>
    <t>Matafuegos Fire - Recarga de matafuegos, manguera ABC p/ polvo - Cambio de marbete/precinto - P/ hidraulica matafuegos/ pres. manuales</t>
  </si>
  <si>
    <t>Julio Doartero - cambio de llave de gas vereda - Materiales y mano de obra</t>
  </si>
  <si>
    <t>Diferencia materiales (instalacion de gas)</t>
  </si>
  <si>
    <t>Transportes villar - Camion 27/09</t>
  </si>
  <si>
    <t>Banchero Sanitarios Sa - compra acople</t>
  </si>
  <si>
    <t>Banchero Sanitarios Sa - compra cupla, buje, codos varios, sellador, teflon</t>
  </si>
  <si>
    <t>Ingeso de extraordinarias</t>
  </si>
  <si>
    <t>Egreso de extraordinarias Sr. Julio Doartero - Resta abonar $500.000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</si>
</sst>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166" fontId="10" fillId="0" borderId="19" xfId="2" applyNumberFormat="1" applyFont="1" applyBorder="1"/>
    <xf numFmtId="4" fontId="0" fillId="6" borderId="1" xfId="0" applyNumberFormat="1" applyFont="1" applyFill="1" applyBorder="1"/>
    <xf numFmtId="4" fontId="0" fillId="0" borderId="1" xfId="0" applyNumberFormat="1" applyFont="1" applyBorder="1"/>
    <xf numFmtId="164" fontId="1" fillId="2" borderId="1" xfId="2" applyFont="1" applyFill="1" applyBorder="1"/>
    <xf numFmtId="0" fontId="0" fillId="0" borderId="1" xfId="0" applyFont="1" applyBorder="1" applyAlignment="1">
      <alignment horizontal="center"/>
    </xf>
    <xf numFmtId="0" fontId="0" fillId="0" borderId="15" xfId="0" applyBorder="1" applyAlignment="1">
      <alignment wrapText="1"/>
    </xf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0"/>
  <sheetViews>
    <sheetView tabSelected="1" topLeftCell="A13" workbookViewId="0">
      <selection activeCell="C30" sqref="C30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7" x14ac:dyDescent="0.25">
      <c r="B1" t="s">
        <v>63</v>
      </c>
    </row>
    <row r="2" spans="1:7" x14ac:dyDescent="0.25">
      <c r="B2" t="s">
        <v>20</v>
      </c>
      <c r="C2" s="97" t="s">
        <v>62</v>
      </c>
    </row>
    <row r="3" spans="1:7" x14ac:dyDescent="0.25">
      <c r="B3" t="s">
        <v>11</v>
      </c>
    </row>
    <row r="4" spans="1:7" x14ac:dyDescent="0.25">
      <c r="B4" s="4" t="s">
        <v>8</v>
      </c>
    </row>
    <row r="5" spans="1:7" ht="8.25" customHeight="1" x14ac:dyDescent="0.25">
      <c r="A5" s="3"/>
      <c r="B5" s="23"/>
      <c r="C5" s="3"/>
    </row>
    <row r="6" spans="1:7" x14ac:dyDescent="0.25">
      <c r="D6" s="28"/>
      <c r="E6" s="28"/>
      <c r="F6" s="28"/>
    </row>
    <row r="7" spans="1:7" x14ac:dyDescent="0.25">
      <c r="A7" s="24" t="s">
        <v>43</v>
      </c>
      <c r="B7" s="24"/>
      <c r="C7" s="59"/>
      <c r="D7" s="59"/>
      <c r="E7" s="24" t="s">
        <v>70</v>
      </c>
      <c r="F7" s="98"/>
    </row>
    <row r="8" spans="1:7" x14ac:dyDescent="0.25">
      <c r="A8" s="3"/>
      <c r="B8" s="3"/>
      <c r="C8" s="3"/>
      <c r="D8" s="3"/>
      <c r="E8" s="3"/>
      <c r="F8" s="3"/>
    </row>
    <row r="10" spans="1:7" x14ac:dyDescent="0.25">
      <c r="A10" s="22" t="s">
        <v>13</v>
      </c>
    </row>
    <row r="11" spans="1:7" ht="15.75" thickBot="1" x14ac:dyDescent="0.3">
      <c r="A11" s="101" t="s">
        <v>12</v>
      </c>
      <c r="B11" s="97"/>
      <c r="C11" s="12"/>
      <c r="D11" s="5"/>
      <c r="E11" s="121" t="s">
        <v>24</v>
      </c>
      <c r="F11" s="121"/>
    </row>
    <row r="12" spans="1:7" x14ac:dyDescent="0.25">
      <c r="A12" s="99"/>
      <c r="B12" s="99"/>
      <c r="C12" s="144"/>
      <c r="D12" s="5"/>
      <c r="E12" s="48" t="s">
        <v>48</v>
      </c>
      <c r="F12" s="143">
        <v>1355249.5529328201</v>
      </c>
    </row>
    <row r="13" spans="1:7" x14ac:dyDescent="0.25">
      <c r="A13" s="97" t="s">
        <v>64</v>
      </c>
      <c r="B13" s="97" t="s">
        <v>65</v>
      </c>
      <c r="C13" s="144">
        <v>35601</v>
      </c>
      <c r="D13" s="36"/>
      <c r="E13" s="49" t="s">
        <v>9</v>
      </c>
      <c r="F13" s="50">
        <f>'prorrateo '!F11</f>
        <v>125902.75973000002</v>
      </c>
    </row>
    <row r="14" spans="1:7" x14ac:dyDescent="0.25">
      <c r="A14" s="99" t="s">
        <v>26</v>
      </c>
      <c r="B14" s="99" t="s">
        <v>61</v>
      </c>
      <c r="C14" s="144">
        <v>31704.36</v>
      </c>
      <c r="D14" s="5"/>
      <c r="E14" s="49" t="s">
        <v>22</v>
      </c>
      <c r="F14" s="50">
        <f>-(C42)</f>
        <v>-1710814.9800000002</v>
      </c>
    </row>
    <row r="15" spans="1:7" x14ac:dyDescent="0.25">
      <c r="A15" s="97" t="s">
        <v>21</v>
      </c>
      <c r="B15" s="97" t="s">
        <v>66</v>
      </c>
      <c r="C15" s="145">
        <v>32800</v>
      </c>
      <c r="D15" s="5"/>
      <c r="E15" s="49" t="s">
        <v>79</v>
      </c>
      <c r="F15" s="50">
        <v>4500000</v>
      </c>
    </row>
    <row r="16" spans="1:7" ht="29.25" customHeight="1" x14ac:dyDescent="0.25">
      <c r="A16" s="97"/>
      <c r="B16" s="97"/>
      <c r="C16" s="145"/>
      <c r="E16" s="148" t="s">
        <v>80</v>
      </c>
      <c r="F16" s="50">
        <v>-4000000</v>
      </c>
      <c r="G16" s="16"/>
    </row>
    <row r="17" spans="1:7" ht="15.75" thickBot="1" x14ac:dyDescent="0.3">
      <c r="A17" s="102"/>
      <c r="B17" s="103"/>
      <c r="C17" s="146">
        <f>SUM(C12:C16)</f>
        <v>100105.36</v>
      </c>
      <c r="E17" s="51" t="s">
        <v>49</v>
      </c>
      <c r="F17" s="118">
        <f>SUM(F12:F16)</f>
        <v>270337.33266281988</v>
      </c>
    </row>
    <row r="18" spans="1:7" x14ac:dyDescent="0.25">
      <c r="A18" s="101" t="s">
        <v>23</v>
      </c>
      <c r="B18" s="97"/>
      <c r="C18" s="147"/>
      <c r="D18" s="5"/>
      <c r="E18" s="19"/>
      <c r="F18" s="20"/>
    </row>
    <row r="19" spans="1:7" ht="13.5" customHeight="1" x14ac:dyDescent="0.25">
      <c r="A19" s="97" t="s">
        <v>42</v>
      </c>
      <c r="B19" s="104" t="s">
        <v>71</v>
      </c>
      <c r="C19" s="145">
        <f xml:space="preserve"> 56588+56588*3%</f>
        <v>58285.64</v>
      </c>
      <c r="D19" s="5"/>
      <c r="E19" s="19"/>
      <c r="F19" s="20"/>
    </row>
    <row r="20" spans="1:7" ht="33.6" customHeight="1" x14ac:dyDescent="0.25">
      <c r="A20" s="122" t="s">
        <v>73</v>
      </c>
      <c r="B20" s="123"/>
      <c r="C20" s="145">
        <v>45399.98</v>
      </c>
      <c r="D20" s="5"/>
      <c r="E20" s="19"/>
      <c r="F20" s="20"/>
    </row>
    <row r="21" spans="1:7" ht="13.5" customHeight="1" x14ac:dyDescent="0.25">
      <c r="A21" s="97" t="s">
        <v>74</v>
      </c>
      <c r="B21" s="104"/>
      <c r="C21" s="145">
        <v>635000</v>
      </c>
      <c r="D21" s="5"/>
      <c r="E21" s="19"/>
      <c r="F21" s="20"/>
    </row>
    <row r="22" spans="1:7" ht="13.5" customHeight="1" x14ac:dyDescent="0.25">
      <c r="A22" s="97" t="s">
        <v>72</v>
      </c>
      <c r="B22" s="104"/>
      <c r="C22" s="145">
        <v>118270</v>
      </c>
      <c r="D22" s="5"/>
      <c r="E22" s="19"/>
      <c r="F22" s="20"/>
    </row>
    <row r="23" spans="1:7" ht="13.5" customHeight="1" x14ac:dyDescent="0.25">
      <c r="A23" s="97" t="s">
        <v>77</v>
      </c>
      <c r="B23" s="104"/>
      <c r="C23" s="145">
        <v>3918.62</v>
      </c>
      <c r="D23" s="5"/>
      <c r="E23" s="19"/>
      <c r="F23" s="20"/>
    </row>
    <row r="24" spans="1:7" ht="13.5" customHeight="1" x14ac:dyDescent="0.25">
      <c r="A24" s="97" t="s">
        <v>78</v>
      </c>
      <c r="B24" s="104"/>
      <c r="C24" s="145">
        <v>176142.38</v>
      </c>
      <c r="D24" s="5"/>
      <c r="E24" s="19"/>
      <c r="F24" s="20"/>
    </row>
    <row r="25" spans="1:7" ht="13.5" customHeight="1" x14ac:dyDescent="0.25">
      <c r="A25" s="97" t="s">
        <v>75</v>
      </c>
      <c r="B25" s="104"/>
      <c r="C25" s="145">
        <v>363693</v>
      </c>
      <c r="D25" s="5"/>
      <c r="E25" s="19"/>
      <c r="F25" s="20"/>
    </row>
    <row r="26" spans="1:7" ht="13.5" customHeight="1" x14ac:dyDescent="0.25">
      <c r="A26" s="97" t="s">
        <v>76</v>
      </c>
      <c r="B26" s="104"/>
      <c r="C26" s="144">
        <v>210000</v>
      </c>
      <c r="D26" s="5"/>
      <c r="E26" s="19"/>
      <c r="F26" s="20"/>
    </row>
    <row r="27" spans="1:7" ht="13.5" customHeight="1" x14ac:dyDescent="0.25">
      <c r="A27" s="97" t="s">
        <v>68</v>
      </c>
      <c r="B27" s="104"/>
      <c r="C27" s="144"/>
      <c r="D27" s="5"/>
      <c r="E27" s="19"/>
      <c r="F27" s="20"/>
    </row>
    <row r="28" spans="1:7" x14ac:dyDescent="0.25">
      <c r="A28" s="97" t="s">
        <v>67</v>
      </c>
      <c r="B28" s="104"/>
      <c r="C28" s="105"/>
      <c r="D28" s="5"/>
      <c r="E28" s="19"/>
      <c r="F28" s="20"/>
    </row>
    <row r="29" spans="1:7" x14ac:dyDescent="0.25">
      <c r="A29" s="102"/>
      <c r="B29" s="103"/>
      <c r="C29" s="119">
        <f>SUM(C18:C28)</f>
        <v>1610709.62</v>
      </c>
      <c r="D29" s="5"/>
      <c r="E29" s="5"/>
      <c r="F29" s="47"/>
      <c r="G29" s="6"/>
    </row>
    <row r="30" spans="1:7" x14ac:dyDescent="0.25">
      <c r="A30" s="40" t="s">
        <v>14</v>
      </c>
      <c r="B30" s="41"/>
      <c r="C30" s="120">
        <f>+C29+C17</f>
        <v>1710814.9800000002</v>
      </c>
      <c r="D30" s="5"/>
      <c r="E30" s="19"/>
      <c r="F30" s="20"/>
    </row>
    <row r="31" spans="1:7" ht="14.25" customHeight="1" x14ac:dyDescent="0.25">
      <c r="A31" s="60" t="s">
        <v>27</v>
      </c>
      <c r="B31" s="73"/>
      <c r="C31" s="74"/>
      <c r="E31" s="19"/>
      <c r="F31" s="20"/>
    </row>
    <row r="32" spans="1:7" hidden="1" x14ac:dyDescent="0.25">
      <c r="A32" s="22" t="s">
        <v>27</v>
      </c>
    </row>
    <row r="33" spans="1:6" hidden="1" x14ac:dyDescent="0.25">
      <c r="A33" s="37"/>
      <c r="B33" s="28"/>
      <c r="C33" s="46"/>
      <c r="F33" s="6"/>
    </row>
    <row r="34" spans="1:6" hidden="1" x14ac:dyDescent="0.25">
      <c r="A34" s="44"/>
      <c r="B34" s="43"/>
      <c r="C34" s="45">
        <v>0</v>
      </c>
      <c r="F34" s="6"/>
    </row>
    <row r="35" spans="1:6" hidden="1" x14ac:dyDescent="0.25">
      <c r="A35" s="52"/>
      <c r="B35" s="53"/>
      <c r="C35" s="45">
        <v>0</v>
      </c>
      <c r="F35" s="6"/>
    </row>
    <row r="36" spans="1:6" x14ac:dyDescent="0.25">
      <c r="A36" s="69"/>
      <c r="B36" s="70"/>
      <c r="C36" s="72"/>
      <c r="F36" s="6"/>
    </row>
    <row r="37" spans="1:6" x14ac:dyDescent="0.25">
      <c r="A37" s="69"/>
      <c r="B37" s="76"/>
      <c r="C37" s="77"/>
      <c r="F37" s="6"/>
    </row>
    <row r="38" spans="1:6" x14ac:dyDescent="0.25">
      <c r="A38" s="69"/>
      <c r="B38" s="75"/>
      <c r="C38" s="72">
        <v>0</v>
      </c>
      <c r="F38" s="6"/>
    </row>
    <row r="39" spans="1:6" x14ac:dyDescent="0.25">
      <c r="A39" s="54" t="s">
        <v>25</v>
      </c>
      <c r="B39" s="55"/>
      <c r="C39" s="56">
        <f>SUM(C34:C38)</f>
        <v>0</v>
      </c>
    </row>
    <row r="40" spans="1:6" x14ac:dyDescent="0.25">
      <c r="A40" t="s">
        <v>59</v>
      </c>
      <c r="C40" s="149">
        <f>C30-C28</f>
        <v>1710814.9800000002</v>
      </c>
      <c r="F40" s="6"/>
    </row>
    <row r="41" spans="1:6" x14ac:dyDescent="0.25">
      <c r="A41" s="5" t="s">
        <v>54</v>
      </c>
      <c r="C41" s="150">
        <f>+C30</f>
        <v>1710814.9800000002</v>
      </c>
      <c r="E41" s="100"/>
      <c r="F41" s="6"/>
    </row>
    <row r="42" spans="1:6" x14ac:dyDescent="0.25">
      <c r="A42" s="54" t="s">
        <v>15</v>
      </c>
      <c r="B42" s="55"/>
      <c r="C42" s="151">
        <f>C40</f>
        <v>1710814.9800000002</v>
      </c>
      <c r="E42" s="16"/>
    </row>
    <row r="47" spans="1:6" x14ac:dyDescent="0.25">
      <c r="D47" s="6"/>
    </row>
    <row r="48" spans="1:6" x14ac:dyDescent="0.25">
      <c r="D48" s="16"/>
      <c r="E48" s="16"/>
    </row>
    <row r="49" spans="1:5" x14ac:dyDescent="0.25">
      <c r="D49" s="16"/>
      <c r="E49" s="16"/>
    </row>
    <row r="50" spans="1:5" x14ac:dyDescent="0.25">
      <c r="D50" s="16"/>
    </row>
    <row r="51" spans="1:5" x14ac:dyDescent="0.25">
      <c r="D51" s="16"/>
    </row>
    <row r="63" spans="1:5" x14ac:dyDescent="0.25">
      <c r="A63" s="19"/>
      <c r="B63" s="18"/>
      <c r="C63" s="20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  <row r="69" spans="1:3" x14ac:dyDescent="0.25">
      <c r="A69" s="18"/>
      <c r="B69" s="18"/>
      <c r="C69" s="18"/>
    </row>
    <row r="70" spans="1:3" x14ac:dyDescent="0.25">
      <c r="A70" s="18"/>
      <c r="B70" s="18"/>
      <c r="C70" s="18"/>
    </row>
  </sheetData>
  <mergeCells count="2">
    <mergeCell ref="E11:F11"/>
    <mergeCell ref="A20:B20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F7" sqref="F7:F10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1710814.9800000002</v>
      </c>
      <c r="L1" s="27"/>
    </row>
    <row r="2" spans="1:12" ht="15.75" thickBot="1" x14ac:dyDescent="0.3">
      <c r="A2" s="63" t="str">
        <f>'detalle y gastos'!E7</f>
        <v>Liquidacion mes de OCTUBRE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27513.365040000001</v>
      </c>
      <c r="F5" s="71"/>
      <c r="G5" s="58">
        <f>E5-F5</f>
        <v>27513.365040000001</v>
      </c>
      <c r="H5" s="61">
        <f>IF(G5&gt;0,G5*8.4%,0)</f>
        <v>2311.1226633600004</v>
      </c>
      <c r="I5" s="15">
        <v>0</v>
      </c>
      <c r="J5" s="31">
        <f>K1*D5</f>
        <v>258675.22497600003</v>
      </c>
      <c r="K5" s="15">
        <f>K2*D5</f>
        <v>0</v>
      </c>
      <c r="L5" s="32">
        <f>J5+K5+H5+G5</f>
        <v>288499.71267936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28550.575230000002</v>
      </c>
      <c r="F6" s="71"/>
      <c r="G6" s="58">
        <f t="shared" ref="G6:G8" si="0">E6-F6</f>
        <v>28550.575230000002</v>
      </c>
      <c r="H6" s="61">
        <f t="shared" ref="H6:H10" si="1">IF(G6&gt;0,G6*8.4%,0)</f>
        <v>2398.2483193200005</v>
      </c>
      <c r="I6" s="15">
        <v>0</v>
      </c>
      <c r="J6" s="31">
        <f>K1*D6</f>
        <v>268426.87036200007</v>
      </c>
      <c r="K6" s="15">
        <f>K2*D6</f>
        <v>0</v>
      </c>
      <c r="L6" s="32">
        <f>J6+K6+H6+G6</f>
        <v>299375.69391132006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28787.131940000003</v>
      </c>
      <c r="F7" s="71">
        <f t="shared" ref="F6:F10" si="2">E7</f>
        <v>28787.131940000003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270650.92983600002</v>
      </c>
      <c r="K7" s="15">
        <f>K2*D7</f>
        <v>0</v>
      </c>
      <c r="L7" s="32">
        <f t="shared" ref="L7:L9" si="3">J7+K7+H7+G7</f>
        <v>270650.92983600002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36029.406600000002</v>
      </c>
      <c r="F8" s="71">
        <f t="shared" si="2"/>
        <v>36029.406600000002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338741.36604000005</v>
      </c>
      <c r="K8" s="15">
        <f>K2*D8</f>
        <v>0</v>
      </c>
      <c r="L8" s="32">
        <f t="shared" si="3"/>
        <v>338741.36604000005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28969.098640000004</v>
      </c>
      <c r="F9" s="71">
        <f t="shared" si="2"/>
        <v>28969.098640000004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272361.74481600005</v>
      </c>
      <c r="K9" s="15">
        <f>K2*D9</f>
        <v>0</v>
      </c>
      <c r="L9" s="32">
        <f t="shared" si="3"/>
        <v>272361.74481600005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32117.12255</v>
      </c>
      <c r="F10" s="71">
        <f t="shared" si="2"/>
        <v>32117.12255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301958.84397000005</v>
      </c>
      <c r="K10" s="15">
        <f>K2*D10</f>
        <v>0</v>
      </c>
      <c r="L10" s="32">
        <f>J10+K10+H10+G10</f>
        <v>301958.84397000005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181966.7</v>
      </c>
      <c r="F11" s="35">
        <f>SUM(F5:F10)</f>
        <v>125902.75973000002</v>
      </c>
      <c r="G11" s="42">
        <f>SUM(G5:G10)</f>
        <v>56063.940270000006</v>
      </c>
      <c r="H11" s="42">
        <f t="shared" ref="H11:K11" si="5">SUM(H5:H10)</f>
        <v>4709.3709826800005</v>
      </c>
      <c r="I11" s="11">
        <f t="shared" si="5"/>
        <v>0</v>
      </c>
      <c r="J11" s="39">
        <f t="shared" si="5"/>
        <v>1710814.9800000002</v>
      </c>
      <c r="K11" s="39">
        <f t="shared" si="5"/>
        <v>0</v>
      </c>
      <c r="L11" s="42">
        <f>SUM(L5:L10)</f>
        <v>1771588.2912526804</v>
      </c>
    </row>
    <row r="12" spans="1:12" ht="51.75" hidden="1" customHeight="1" x14ac:dyDescent="0.25">
      <c r="A12" s="124"/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12.7109375" customWidth="1"/>
    <col min="9" max="9" width="12.42578125" bestFit="1" customWidth="1"/>
    <col min="11" max="11" width="11.42578125" style="21"/>
  </cols>
  <sheetData>
    <row r="1" spans="1:9" x14ac:dyDescent="0.25">
      <c r="A1" s="106" t="s">
        <v>69</v>
      </c>
      <c r="B1" s="107"/>
      <c r="C1" s="107"/>
      <c r="D1" s="108"/>
      <c r="E1" s="109"/>
      <c r="F1" s="108"/>
      <c r="G1" s="142">
        <v>4500000</v>
      </c>
      <c r="H1" s="142"/>
      <c r="I1" s="110"/>
    </row>
    <row r="2" spans="1:9" x14ac:dyDescent="0.2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2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25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25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25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25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25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25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25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">
      <c r="A11" s="124"/>
      <c r="B11" s="124"/>
      <c r="C11" s="124"/>
      <c r="D11" s="124"/>
      <c r="E11" s="124"/>
      <c r="F11" s="124"/>
      <c r="G11" s="124"/>
      <c r="H11" s="124"/>
      <c r="I11" s="124"/>
    </row>
    <row r="12" spans="1:9" x14ac:dyDescent="0.25">
      <c r="I12" s="6"/>
    </row>
    <row r="15" spans="1:9" x14ac:dyDescent="0.2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0" t="s">
        <v>27</v>
      </c>
      <c r="B1" s="131"/>
      <c r="C1" s="131"/>
      <c r="D1" s="131"/>
      <c r="E1" s="132"/>
      <c r="F1" s="78"/>
      <c r="G1" s="78"/>
    </row>
    <row r="2" spans="1:7" ht="15.75" thickBot="1" x14ac:dyDescent="0.3">
      <c r="A2" s="133" t="s">
        <v>55</v>
      </c>
      <c r="B2" s="134"/>
      <c r="C2" s="135"/>
      <c r="D2" s="136">
        <v>565</v>
      </c>
      <c r="E2" s="137"/>
      <c r="F2" s="79"/>
      <c r="G2" s="79"/>
    </row>
    <row r="3" spans="1:7" ht="15.75" thickTop="1" x14ac:dyDescent="0.25">
      <c r="A3" s="138" t="s">
        <v>0</v>
      </c>
      <c r="B3" s="138" t="s">
        <v>1</v>
      </c>
      <c r="C3" s="138" t="s">
        <v>2</v>
      </c>
      <c r="D3" s="140" t="s">
        <v>6</v>
      </c>
      <c r="E3" s="125" t="s">
        <v>56</v>
      </c>
      <c r="F3" s="125" t="s">
        <v>57</v>
      </c>
      <c r="G3" s="125" t="s">
        <v>50</v>
      </c>
    </row>
    <row r="4" spans="1:7" ht="15.75" thickBot="1" x14ac:dyDescent="0.3">
      <c r="A4" s="139"/>
      <c r="B4" s="139"/>
      <c r="C4" s="139"/>
      <c r="D4" s="141"/>
      <c r="E4" s="126"/>
      <c r="F4" s="126"/>
      <c r="G4" s="126"/>
    </row>
    <row r="5" spans="1:7" ht="16.5" thickTop="1" thickBot="1" x14ac:dyDescent="0.3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.75" thickBot="1" x14ac:dyDescent="0.3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.75" thickBot="1" x14ac:dyDescent="0.3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.75" thickBot="1" x14ac:dyDescent="0.3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.75" thickBot="1" x14ac:dyDescent="0.3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6.5" thickTop="1" thickBot="1" x14ac:dyDescent="0.3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6.5" thickTop="1" thickBot="1" x14ac:dyDescent="0.3">
      <c r="A12" s="127"/>
      <c r="B12" s="128"/>
      <c r="C12" s="128"/>
      <c r="D12" s="128"/>
      <c r="E12" s="129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2025-10-29T14:54:08Z</cp:lastPrinted>
  <dcterms:created xsi:type="dcterms:W3CDTF">2020-12-10T00:27:53Z</dcterms:created>
  <dcterms:modified xsi:type="dcterms:W3CDTF">2025-10-29T14:54:14Z</dcterms:modified>
</cp:coreProperties>
</file>