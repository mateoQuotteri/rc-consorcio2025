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EN PEÑA\Agosto\"/>
    </mc:Choice>
  </mc:AlternateContent>
  <xr:revisionPtr revIDLastSave="0" documentId="13_ncr:1_{495F02FA-2AE1-459D-9695-4FCE886C08E2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etalle y gastos" sheetId="3" r:id="rId1"/>
    <sheet name="prorrateo " sheetId="1" r:id="rId2"/>
    <sheet name="extraordinaria" sheetId="4" r:id="rId3"/>
    <sheet name="prorrateo  (2)" sheetId="5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C22" i="3" l="1"/>
  <c r="C17" i="3"/>
  <c r="C23" i="3"/>
  <c r="F6" i="1"/>
  <c r="F7" i="1"/>
  <c r="F8" i="1"/>
  <c r="F9" i="1"/>
  <c r="F10" i="1"/>
  <c r="C19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F17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<sst xmlns="http://schemas.openxmlformats.org/spreadsheetml/2006/main" count="123" uniqueCount="75">
  <si>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</si>
  <si>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</si>
  <si>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</si>
  <si>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</si>
  <si>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</si>
  <si>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</si>
  <si>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</si>
  <si>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</si>
  <si>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</si>
  <si>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</si>
  <si>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</si>
  <si>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</si>
  <si>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</si>
  <si>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</si>
  <si>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</si>
  <si>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</si>
  <si>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</si>
  <si>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</si>
  <si>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</si>
  <si>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</si>
  <si>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</si>
  <si>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</si>
  <si>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</si>
  <si>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</si>
  <si>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</si>
  <si>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</si>
  <si>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</si>
  <si>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</si>
  <si>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</si>
  <si>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</si>
  <si>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</si>
  <si>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</si>
  <si>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</si>
  <si>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</si>
  <si>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</si>
  <si>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</si>
  <si>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</si>
  <si>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</si>
  <si>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</si>
  <si>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</si>
  <si>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</si>
  <si>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</si>
  <si>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</si>
  <si>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</si>
  <si>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</si>
  <si>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</si>
  <si>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</si>
  <si>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</si>
  <si>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</si>
  <si>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</si>
  <si>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</si>
  <si>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</si>
  <si>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</si>
  <si>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</si>
  <si>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</si>
  <si>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</si>
  <si>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</si>
  <si>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</si>
  <si>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</si>
  <si>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</si>
  <si>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</si>
  <si>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</si>
  <si>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</si>
  <si>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</si>
  <si>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</si>
  <si>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</si>
  <si>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</si>
  <si>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</si>
  <si>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</si>
  <si>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Liquidacion mes de AGOSTO</t>
  </si>
  <si>
    <t xml:space="preserve">Período AGOSTO </t>
  </si>
  <si>
    <t>Salvatierra Nicolas - Trabajos realizados para intentar desobstruir camara septica - No se consigue, se encuentra pozo lleno y se sugiere desagotar</t>
  </si>
  <si>
    <t>Materiales para la obra</t>
  </si>
  <si>
    <t>Ingreso por pago de materiales de obra</t>
  </si>
  <si>
    <t>PRESUPUESTO APROBADO - MANO DE OBRA GAS Y CLOACAS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</si>
</sst>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164" fontId="10" fillId="0" borderId="19" xfId="2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164" fontId="9" fillId="0" borderId="21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164" fontId="9" fillId="6" borderId="17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164" fontId="9" fillId="2" borderId="1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17" fontId="0" fillId="0" borderId="1" xfId="0" applyNumberFormat="1" applyBorder="1"/>
    <xf numFmtId="4" fontId="10" fillId="6" borderId="1" xfId="0" applyNumberFormat="1" applyFont="1" applyFill="1" applyBorder="1"/>
    <xf numFmtId="4" fontId="14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4" fontId="15" fillId="2" borderId="1" xfId="2" applyFont="1" applyFill="1" applyBorder="1"/>
    <xf numFmtId="164" fontId="15" fillId="6" borderId="10" xfId="0" applyNumberFormat="1" applyFont="1" applyFill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opLeftCell="A13" workbookViewId="0">
      <selection activeCell="C23" sqref="C23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3.5703125" customWidth="1"/>
  </cols>
  <sheetData>
    <row r="1" spans="1:7" x14ac:dyDescent="0.25">
      <c r="B1" t="s">
        <v>63</v>
      </c>
    </row>
    <row r="2" spans="1:7" x14ac:dyDescent="0.25">
      <c r="B2" t="s">
        <v>20</v>
      </c>
      <c r="C2" s="101" t="s">
        <v>62</v>
      </c>
    </row>
    <row r="3" spans="1:7" x14ac:dyDescent="0.25">
      <c r="B3" t="s">
        <v>11</v>
      </c>
    </row>
    <row r="4" spans="1:7" x14ac:dyDescent="0.25">
      <c r="B4" s="4" t="s">
        <v>8</v>
      </c>
    </row>
    <row r="5" spans="1:7" ht="8.25" customHeight="1" x14ac:dyDescent="0.25">
      <c r="A5" s="3"/>
      <c r="B5" s="23"/>
      <c r="C5" s="3"/>
    </row>
    <row r="6" spans="1:7" x14ac:dyDescent="0.25">
      <c r="D6" s="28"/>
      <c r="E6" s="28"/>
      <c r="F6" s="28"/>
    </row>
    <row r="7" spans="1:7" x14ac:dyDescent="0.25">
      <c r="A7" s="24" t="s">
        <v>43</v>
      </c>
      <c r="B7" s="24"/>
      <c r="C7" s="61"/>
      <c r="D7" s="61"/>
      <c r="E7" s="24" t="s">
        <v>69</v>
      </c>
      <c r="F7" s="102"/>
    </row>
    <row r="8" spans="1:7" x14ac:dyDescent="0.25">
      <c r="A8" s="3"/>
      <c r="B8" s="3"/>
      <c r="C8" s="3"/>
      <c r="D8" s="3"/>
      <c r="E8" s="3"/>
      <c r="F8" s="3"/>
    </row>
    <row r="10" spans="1:7" x14ac:dyDescent="0.25">
      <c r="A10" s="22" t="s">
        <v>13</v>
      </c>
    </row>
    <row r="11" spans="1:7" ht="15.75" thickBot="1" x14ac:dyDescent="0.3">
      <c r="A11" s="105" t="s">
        <v>12</v>
      </c>
      <c r="B11" s="101"/>
      <c r="C11" s="12"/>
      <c r="D11" s="5"/>
      <c r="E11" s="126" t="s">
        <v>24</v>
      </c>
      <c r="F11" s="126"/>
    </row>
    <row r="12" spans="1:7" x14ac:dyDescent="0.25">
      <c r="A12" s="103"/>
      <c r="B12" s="103"/>
      <c r="C12" s="111"/>
      <c r="D12" s="5"/>
      <c r="E12" s="48" t="s">
        <v>48</v>
      </c>
      <c r="F12" s="49">
        <v>135981.60904773313</v>
      </c>
    </row>
    <row r="13" spans="1:7" x14ac:dyDescent="0.25">
      <c r="A13" s="101" t="s">
        <v>64</v>
      </c>
      <c r="B13" s="101" t="s">
        <v>65</v>
      </c>
      <c r="C13" s="110">
        <v>35601</v>
      </c>
      <c r="D13" s="36"/>
      <c r="E13" s="50" t="s">
        <v>9</v>
      </c>
      <c r="F13" s="51">
        <f>'prorrateo '!F11</f>
        <v>781188.82237127877</v>
      </c>
    </row>
    <row r="14" spans="1:7" x14ac:dyDescent="0.25">
      <c r="A14" s="103" t="s">
        <v>26</v>
      </c>
      <c r="B14" s="103" t="s">
        <v>61</v>
      </c>
      <c r="C14" s="110">
        <v>33767.160000000003</v>
      </c>
      <c r="D14" s="5"/>
      <c r="E14" s="50" t="s">
        <v>22</v>
      </c>
      <c r="F14" s="51">
        <f>-(C36)</f>
        <v>-232356.86</v>
      </c>
    </row>
    <row r="15" spans="1:7" x14ac:dyDescent="0.25">
      <c r="A15" s="101" t="s">
        <v>21</v>
      </c>
      <c r="B15" s="101" t="s">
        <v>66</v>
      </c>
      <c r="C15" s="74">
        <v>32800</v>
      </c>
      <c r="D15" s="5"/>
      <c r="E15" s="50" t="s">
        <v>73</v>
      </c>
      <c r="F15" s="51">
        <v>1200000</v>
      </c>
    </row>
    <row r="16" spans="1:7" x14ac:dyDescent="0.25">
      <c r="A16" s="101"/>
      <c r="B16" s="101"/>
      <c r="C16" s="74"/>
      <c r="E16" s="50" t="s">
        <v>72</v>
      </c>
      <c r="F16" s="51">
        <v>-993980.26</v>
      </c>
      <c r="G16" s="16"/>
    </row>
    <row r="17" spans="1:7" ht="15.75" thickBot="1" x14ac:dyDescent="0.3">
      <c r="A17" s="106"/>
      <c r="B17" s="107"/>
      <c r="C17" s="81">
        <f>SUM(C12:C16)</f>
        <v>102168.16</v>
      </c>
      <c r="E17" s="52" t="s">
        <v>49</v>
      </c>
      <c r="F17" s="53">
        <f>SUM(F12:F16)</f>
        <v>890833.31141901179</v>
      </c>
    </row>
    <row r="18" spans="1:7" x14ac:dyDescent="0.25">
      <c r="A18" s="105" t="s">
        <v>23</v>
      </c>
      <c r="B18" s="101"/>
      <c r="C18" s="108"/>
      <c r="D18" s="5"/>
      <c r="E18" s="19"/>
      <c r="F18" s="20"/>
    </row>
    <row r="19" spans="1:7" ht="13.5" customHeight="1" x14ac:dyDescent="0.25">
      <c r="A19" s="101" t="s">
        <v>42</v>
      </c>
      <c r="B19" s="109" t="s">
        <v>70</v>
      </c>
      <c r="C19" s="74">
        <f xml:space="preserve"> 53894+53894*5%</f>
        <v>56588.7</v>
      </c>
      <c r="D19" s="5"/>
      <c r="E19" s="19"/>
      <c r="F19" s="20"/>
    </row>
    <row r="20" spans="1:7" ht="36.75" customHeight="1" x14ac:dyDescent="0.25">
      <c r="A20" s="127" t="s">
        <v>71</v>
      </c>
      <c r="B20" s="128"/>
      <c r="C20" s="74">
        <v>73600</v>
      </c>
      <c r="D20" s="5"/>
      <c r="E20" s="19"/>
      <c r="F20" s="20"/>
    </row>
    <row r="21" spans="1:7" ht="13.5" customHeight="1" x14ac:dyDescent="0.25">
      <c r="A21" s="101" t="s">
        <v>68</v>
      </c>
      <c r="B21" s="109"/>
      <c r="C21" s="110"/>
      <c r="D21" s="5"/>
      <c r="E21" s="19"/>
      <c r="F21" s="20"/>
    </row>
    <row r="22" spans="1:7" x14ac:dyDescent="0.25">
      <c r="A22" s="101" t="s">
        <v>67</v>
      </c>
      <c r="B22" s="109"/>
      <c r="C22" s="110">
        <f>555359-232356.86</f>
        <v>323002.14</v>
      </c>
      <c r="D22" s="5"/>
      <c r="E22" s="19"/>
      <c r="F22" s="20"/>
    </row>
    <row r="23" spans="1:7" x14ac:dyDescent="0.25">
      <c r="A23" s="106"/>
      <c r="B23" s="107"/>
      <c r="C23" s="124">
        <f>SUM(C18:C22)</f>
        <v>453190.84</v>
      </c>
      <c r="D23" s="5"/>
      <c r="E23" s="5"/>
      <c r="F23" s="47"/>
      <c r="G23" s="6"/>
    </row>
    <row r="24" spans="1:7" x14ac:dyDescent="0.25">
      <c r="A24" s="40" t="s">
        <v>14</v>
      </c>
      <c r="B24" s="41"/>
      <c r="C24" s="125">
        <f>+C23+C17</f>
        <v>555359</v>
      </c>
      <c r="D24" s="5"/>
      <c r="E24" s="19"/>
      <c r="F24" s="20"/>
    </row>
    <row r="25" spans="1:7" ht="14.25" customHeight="1" x14ac:dyDescent="0.25">
      <c r="A25" s="62" t="s">
        <v>27</v>
      </c>
      <c r="B25" s="76"/>
      <c r="C25" s="77"/>
      <c r="E25" s="19"/>
      <c r="F25" s="20"/>
    </row>
    <row r="26" spans="1:7" hidden="1" x14ac:dyDescent="0.25">
      <c r="A26" s="22" t="s">
        <v>27</v>
      </c>
    </row>
    <row r="27" spans="1:7" hidden="1" x14ac:dyDescent="0.25">
      <c r="A27" s="37"/>
      <c r="B27" s="28"/>
      <c r="C27" s="46"/>
      <c r="F27" s="6"/>
    </row>
    <row r="28" spans="1:7" hidden="1" x14ac:dyDescent="0.25">
      <c r="A28" s="44"/>
      <c r="B28" s="43"/>
      <c r="C28" s="45">
        <v>0</v>
      </c>
      <c r="F28" s="6"/>
    </row>
    <row r="29" spans="1:7" hidden="1" x14ac:dyDescent="0.25">
      <c r="A29" s="54"/>
      <c r="B29" s="55"/>
      <c r="C29" s="45">
        <v>0</v>
      </c>
      <c r="F29" s="6"/>
    </row>
    <row r="30" spans="1:7" x14ac:dyDescent="0.25">
      <c r="A30" s="72"/>
      <c r="B30" s="73"/>
      <c r="C30" s="75"/>
      <c r="F30" s="6"/>
    </row>
    <row r="31" spans="1:7" x14ac:dyDescent="0.25">
      <c r="A31" s="72"/>
      <c r="B31" s="79"/>
      <c r="C31" s="80"/>
      <c r="F31" s="6"/>
    </row>
    <row r="32" spans="1:7" x14ac:dyDescent="0.25">
      <c r="A32" s="72"/>
      <c r="B32" s="78"/>
      <c r="C32" s="75">
        <v>0</v>
      </c>
      <c r="F32" s="6"/>
    </row>
    <row r="33" spans="1:6" x14ac:dyDescent="0.25">
      <c r="A33" s="56" t="s">
        <v>25</v>
      </c>
      <c r="B33" s="57"/>
      <c r="C33" s="58">
        <f>SUM(C28:C32)</f>
        <v>0</v>
      </c>
    </row>
    <row r="34" spans="1:6" x14ac:dyDescent="0.25">
      <c r="A34" t="s">
        <v>59</v>
      </c>
      <c r="C34" s="45">
        <f>C24-C22</f>
        <v>232356.86</v>
      </c>
      <c r="F34" s="6"/>
    </row>
    <row r="35" spans="1:6" x14ac:dyDescent="0.25">
      <c r="A35" s="5" t="s">
        <v>54</v>
      </c>
      <c r="C35" s="71">
        <f>+C24</f>
        <v>555359</v>
      </c>
      <c r="E35" s="104"/>
      <c r="F35" s="6"/>
    </row>
    <row r="36" spans="1:6" x14ac:dyDescent="0.25">
      <c r="A36" s="56" t="s">
        <v>15</v>
      </c>
      <c r="B36" s="57"/>
      <c r="C36" s="58">
        <f>C34</f>
        <v>232356.86</v>
      </c>
      <c r="E36" s="16"/>
    </row>
    <row r="41" spans="1:6" x14ac:dyDescent="0.25">
      <c r="D41" s="6"/>
    </row>
    <row r="42" spans="1:6" x14ac:dyDescent="0.25">
      <c r="D42" s="16"/>
      <c r="E42" s="16"/>
    </row>
    <row r="43" spans="1:6" x14ac:dyDescent="0.25">
      <c r="D43" s="16"/>
      <c r="E43" s="16"/>
    </row>
    <row r="44" spans="1:6" x14ac:dyDescent="0.25">
      <c r="D44" s="16"/>
    </row>
    <row r="45" spans="1:6" x14ac:dyDescent="0.25">
      <c r="D45" s="16"/>
    </row>
    <row r="57" spans="1:3" x14ac:dyDescent="0.25">
      <c r="A57" s="19"/>
      <c r="B57" s="18"/>
      <c r="C57" s="20"/>
    </row>
    <row r="58" spans="1:3" x14ac:dyDescent="0.25">
      <c r="A58" s="18"/>
      <c r="B58" s="18"/>
      <c r="C58" s="18"/>
    </row>
    <row r="59" spans="1:3" x14ac:dyDescent="0.25">
      <c r="A59" s="18"/>
      <c r="B59" s="18"/>
      <c r="C59" s="18"/>
    </row>
    <row r="60" spans="1:3" x14ac:dyDescent="0.25">
      <c r="A60" s="18"/>
      <c r="B60" s="18"/>
      <c r="C60" s="18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</sheetData>
  <mergeCells count="2">
    <mergeCell ref="E11:F11"/>
    <mergeCell ref="A20:B20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9.28515625" bestFit="1" customWidth="1"/>
    <col min="9" max="9" width="12.42578125" hidden="1" customWidth="1"/>
    <col min="10" max="10" width="12.7109375" customWidth="1"/>
    <col min="11" max="11" width="14.28515625" bestFit="1" customWidth="1"/>
    <col min="12" max="12" width="12.42578125" bestFit="1" customWidth="1"/>
    <col min="14" max="14" width="11.42578125" style="21"/>
  </cols>
  <sheetData>
    <row r="1" spans="1:12" x14ac:dyDescent="0.25">
      <c r="A1" s="99" t="s">
        <v>60</v>
      </c>
      <c r="B1" s="100"/>
      <c r="C1" s="100"/>
      <c r="D1" s="26"/>
      <c r="E1" s="25" t="s">
        <v>41</v>
      </c>
      <c r="F1" s="26"/>
      <c r="G1" s="25" t="s">
        <v>52</v>
      </c>
      <c r="H1" s="26"/>
      <c r="I1" s="26"/>
      <c r="J1" s="26"/>
      <c r="K1" s="64">
        <v>555359.13500000001</v>
      </c>
      <c r="L1" s="27"/>
    </row>
    <row r="2" spans="1:12" ht="15.75" thickBot="1" x14ac:dyDescent="0.3">
      <c r="A2" s="65" t="str">
        <f>'detalle y gastos'!E7</f>
        <v>Liquidacion mes de AGOSTO</v>
      </c>
      <c r="B2" s="66"/>
      <c r="C2" s="66"/>
      <c r="D2" s="67"/>
      <c r="E2" s="68"/>
      <c r="F2" s="67"/>
      <c r="G2" s="68" t="s">
        <v>53</v>
      </c>
      <c r="H2" s="67"/>
      <c r="I2" s="67"/>
      <c r="J2" s="67"/>
      <c r="K2" s="69"/>
      <c r="L2" s="70"/>
    </row>
    <row r="3" spans="1:12" x14ac:dyDescent="0.25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25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9" t="s">
        <v>5</v>
      </c>
    </row>
    <row r="5" spans="1:12" x14ac:dyDescent="0.25">
      <c r="A5" s="12">
        <v>1</v>
      </c>
      <c r="B5" s="13" t="s">
        <v>29</v>
      </c>
      <c r="C5" s="14" t="s">
        <v>37</v>
      </c>
      <c r="D5" s="17">
        <v>0.1512</v>
      </c>
      <c r="E5" s="34">
        <v>83970.301212000006</v>
      </c>
      <c r="F5" s="74"/>
      <c r="G5" s="60">
        <f>E5-F5</f>
        <v>83970.301212000006</v>
      </c>
      <c r="H5" s="63">
        <f>IF(G5&gt;0,G5*8.4%,0)</f>
        <v>7053.5053018080007</v>
      </c>
      <c r="I5" s="15">
        <v>0</v>
      </c>
      <c r="J5" s="31">
        <f>K1*D5</f>
        <v>83970.301212000006</v>
      </c>
      <c r="K5" s="15">
        <f>K2*D5</f>
        <v>0</v>
      </c>
      <c r="L5" s="32">
        <f>J5+K5+H5+G5</f>
        <v>174994.10772580802</v>
      </c>
    </row>
    <row r="6" spans="1:12" x14ac:dyDescent="0.25">
      <c r="A6" s="12">
        <v>2</v>
      </c>
      <c r="B6" s="13" t="s">
        <v>30</v>
      </c>
      <c r="C6" s="14" t="s">
        <v>38</v>
      </c>
      <c r="D6" s="17">
        <v>0.15690000000000001</v>
      </c>
      <c r="E6" s="34">
        <v>154602.20380062901</v>
      </c>
      <c r="F6" s="74">
        <f t="shared" ref="F6:F10" si="0">E6</f>
        <v>154602.20380062901</v>
      </c>
      <c r="G6" s="60">
        <f t="shared" ref="G6:G8" si="1">E6-F6</f>
        <v>0</v>
      </c>
      <c r="H6" s="63">
        <f t="shared" ref="H6:H10" si="2">IF(G6&gt;0,G6*8.4%,0)</f>
        <v>0</v>
      </c>
      <c r="I6" s="15">
        <v>0</v>
      </c>
      <c r="J6" s="31">
        <f>K1*D6</f>
        <v>87135.848281500002</v>
      </c>
      <c r="K6" s="15">
        <f>K2*D6</f>
        <v>0</v>
      </c>
      <c r="L6" s="32">
        <f>J6+K6+H6+G6</f>
        <v>87135.848281500002</v>
      </c>
    </row>
    <row r="7" spans="1:12" x14ac:dyDescent="0.25">
      <c r="A7" s="12">
        <v>3</v>
      </c>
      <c r="B7" s="13" t="s">
        <v>31</v>
      </c>
      <c r="C7" s="14" t="s">
        <v>39</v>
      </c>
      <c r="D7" s="17">
        <v>0.15820000000000001</v>
      </c>
      <c r="E7" s="34">
        <v>190608.52024670265</v>
      </c>
      <c r="F7" s="74">
        <f t="shared" si="0"/>
        <v>190608.52024670265</v>
      </c>
      <c r="G7" s="60">
        <f t="shared" si="1"/>
        <v>0</v>
      </c>
      <c r="H7" s="63">
        <f t="shared" si="2"/>
        <v>0</v>
      </c>
      <c r="I7" s="15">
        <v>0</v>
      </c>
      <c r="J7" s="31">
        <f>K1*D7</f>
        <v>87857.815157000005</v>
      </c>
      <c r="K7" s="15">
        <f>K2*D7</f>
        <v>0</v>
      </c>
      <c r="L7" s="32">
        <f t="shared" ref="L7:L9" si="3">J7+K7+H7+G7</f>
        <v>87857.815157000005</v>
      </c>
    </row>
    <row r="8" spans="1:12" x14ac:dyDescent="0.25">
      <c r="A8" s="12">
        <v>4</v>
      </c>
      <c r="B8" s="13" t="s">
        <v>33</v>
      </c>
      <c r="C8" s="14" t="s">
        <v>40</v>
      </c>
      <c r="D8" s="17">
        <v>0.19800000000000001</v>
      </c>
      <c r="E8" s="34">
        <v>238561.86478411587</v>
      </c>
      <c r="F8" s="74">
        <f t="shared" si="0"/>
        <v>238561.86478411587</v>
      </c>
      <c r="G8" s="60">
        <f t="shared" si="1"/>
        <v>0</v>
      </c>
      <c r="H8" s="63">
        <f t="shared" si="2"/>
        <v>0</v>
      </c>
      <c r="I8" s="15">
        <v>0</v>
      </c>
      <c r="J8" s="31">
        <f>K1*D8</f>
        <v>109961.10873000001</v>
      </c>
      <c r="K8" s="15">
        <f>K2*D8</f>
        <v>0</v>
      </c>
      <c r="L8" s="32">
        <f t="shared" si="3"/>
        <v>109961.10873000001</v>
      </c>
    </row>
    <row r="9" spans="1:12" x14ac:dyDescent="0.25">
      <c r="A9" s="12">
        <v>5</v>
      </c>
      <c r="B9" s="13" t="s">
        <v>32</v>
      </c>
      <c r="C9" s="14" t="s">
        <v>35</v>
      </c>
      <c r="D9" s="17">
        <v>0.15920000000000001</v>
      </c>
      <c r="E9" s="34">
        <v>88413.174292000011</v>
      </c>
      <c r="F9" s="74">
        <f t="shared" si="0"/>
        <v>88413.174292000011</v>
      </c>
      <c r="G9" s="60">
        <f>E9-F9</f>
        <v>0</v>
      </c>
      <c r="H9" s="63">
        <f t="shared" si="2"/>
        <v>0</v>
      </c>
      <c r="I9" s="15">
        <v>0</v>
      </c>
      <c r="J9" s="31">
        <f>K1*D9</f>
        <v>88413.174292000011</v>
      </c>
      <c r="K9" s="15">
        <f>K2*D9</f>
        <v>0</v>
      </c>
      <c r="L9" s="32">
        <f t="shared" si="3"/>
        <v>88413.174292000011</v>
      </c>
    </row>
    <row r="10" spans="1:12" x14ac:dyDescent="0.25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109003.0592478312</v>
      </c>
      <c r="F10" s="74">
        <f t="shared" si="0"/>
        <v>109003.0592478312</v>
      </c>
      <c r="G10" s="60">
        <f>E10-F10</f>
        <v>0</v>
      </c>
      <c r="H10" s="63">
        <f t="shared" si="2"/>
        <v>0</v>
      </c>
      <c r="I10" s="15">
        <v>0</v>
      </c>
      <c r="J10" s="31">
        <f>K1*D10</f>
        <v>98020.887327499993</v>
      </c>
      <c r="K10" s="15">
        <f>K2*D10</f>
        <v>0</v>
      </c>
      <c r="L10" s="32">
        <f>J10+K10+H10+G10</f>
        <v>98020.887327499993</v>
      </c>
    </row>
    <row r="11" spans="1:12" ht="15" customHeight="1" thickBot="1" x14ac:dyDescent="0.3">
      <c r="A11" s="8" t="s">
        <v>10</v>
      </c>
      <c r="B11" s="9"/>
      <c r="C11" s="10"/>
      <c r="D11" s="38">
        <f>SUM(D5:D10)</f>
        <v>1</v>
      </c>
      <c r="E11" s="35">
        <f t="shared" ref="E11" si="4">SUM(E5:E10)</f>
        <v>865159.12358327874</v>
      </c>
      <c r="F11" s="35">
        <f>SUM(F5:F10)</f>
        <v>781188.82237127877</v>
      </c>
      <c r="G11" s="42">
        <f>SUM(G5:G10)</f>
        <v>83970.301212000006</v>
      </c>
      <c r="H11" s="42">
        <f t="shared" ref="H11:K11" si="5">SUM(H5:H10)</f>
        <v>7053.5053018080007</v>
      </c>
      <c r="I11" s="11">
        <f t="shared" si="5"/>
        <v>0</v>
      </c>
      <c r="J11" s="39">
        <f t="shared" si="5"/>
        <v>555359.13500000001</v>
      </c>
      <c r="K11" s="39">
        <f t="shared" si="5"/>
        <v>0</v>
      </c>
      <c r="L11" s="42">
        <f>SUM(L5:L10)</f>
        <v>646382.94151380809</v>
      </c>
    </row>
    <row r="12" spans="1:12" ht="51.75" hidden="1" customHeight="1" x14ac:dyDescent="0.25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</row>
    <row r="13" spans="1:12" x14ac:dyDescent="0.25">
      <c r="L13" s="6"/>
    </row>
    <row r="16" spans="1:12" x14ac:dyDescent="0.25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5" x14ac:dyDescent="0.25"/>
  <cols>
    <col min="3" max="3" width="13.140625" customWidth="1"/>
  </cols>
  <sheetData>
    <row r="1" spans="1:7" ht="19.5" thickBot="1" x14ac:dyDescent="0.35">
      <c r="A1" s="135" t="s">
        <v>27</v>
      </c>
      <c r="B1" s="136"/>
      <c r="C1" s="136"/>
      <c r="D1" s="136"/>
      <c r="E1" s="137"/>
      <c r="F1" s="82"/>
      <c r="G1" s="82"/>
    </row>
    <row r="2" spans="1:7" ht="15.75" thickBot="1" x14ac:dyDescent="0.3">
      <c r="A2" s="138" t="s">
        <v>55</v>
      </c>
      <c r="B2" s="139"/>
      <c r="C2" s="140"/>
      <c r="D2" s="141">
        <v>565</v>
      </c>
      <c r="E2" s="142"/>
      <c r="F2" s="83"/>
      <c r="G2" s="83"/>
    </row>
    <row r="3" spans="1:7" ht="15.75" thickTop="1" x14ac:dyDescent="0.25">
      <c r="A3" s="143" t="s">
        <v>0</v>
      </c>
      <c r="B3" s="143" t="s">
        <v>1</v>
      </c>
      <c r="C3" s="143" t="s">
        <v>2</v>
      </c>
      <c r="D3" s="145" t="s">
        <v>6</v>
      </c>
      <c r="E3" s="130" t="s">
        <v>56</v>
      </c>
      <c r="F3" s="130" t="s">
        <v>57</v>
      </c>
      <c r="G3" s="130" t="s">
        <v>50</v>
      </c>
    </row>
    <row r="4" spans="1:7" ht="15.75" thickBot="1" x14ac:dyDescent="0.3">
      <c r="A4" s="144"/>
      <c r="B4" s="144"/>
      <c r="C4" s="144"/>
      <c r="D4" s="146"/>
      <c r="E4" s="131"/>
      <c r="F4" s="131"/>
      <c r="G4" s="131"/>
    </row>
    <row r="5" spans="1:7" ht="16.5" thickTop="1" thickBot="1" x14ac:dyDescent="0.3">
      <c r="A5" s="84">
        <v>1</v>
      </c>
      <c r="B5" s="86" t="s">
        <v>29</v>
      </c>
      <c r="C5" s="87" t="s">
        <v>37</v>
      </c>
      <c r="D5" s="85">
        <v>0.1512</v>
      </c>
      <c r="E5" s="88">
        <v>85</v>
      </c>
      <c r="F5" s="88">
        <v>0</v>
      </c>
      <c r="G5" s="88">
        <v>0</v>
      </c>
    </row>
    <row r="6" spans="1:7" ht="15.75" thickBot="1" x14ac:dyDescent="0.3">
      <c r="A6" s="84">
        <v>2</v>
      </c>
      <c r="B6" s="86" t="s">
        <v>30</v>
      </c>
      <c r="C6" s="87" t="s">
        <v>38</v>
      </c>
      <c r="D6" s="85">
        <v>0.15690000000000001</v>
      </c>
      <c r="E6" s="88">
        <v>89</v>
      </c>
      <c r="F6" s="88">
        <v>0</v>
      </c>
      <c r="G6" s="88">
        <v>0</v>
      </c>
    </row>
    <row r="7" spans="1:7" ht="15.75" thickBot="1" x14ac:dyDescent="0.3">
      <c r="A7" s="84">
        <v>3</v>
      </c>
      <c r="B7" s="86" t="s">
        <v>31</v>
      </c>
      <c r="C7" s="87" t="s">
        <v>39</v>
      </c>
      <c r="D7" s="85">
        <v>0.15820000000000001</v>
      </c>
      <c r="E7" s="88">
        <v>89</v>
      </c>
      <c r="F7" s="88">
        <v>0</v>
      </c>
      <c r="G7" s="88">
        <v>0</v>
      </c>
    </row>
    <row r="8" spans="1:7" ht="18" customHeight="1" thickBot="1" x14ac:dyDescent="0.3">
      <c r="A8" s="84">
        <v>4</v>
      </c>
      <c r="B8" s="86" t="s">
        <v>33</v>
      </c>
      <c r="C8" s="98" t="s">
        <v>40</v>
      </c>
      <c r="D8" s="85">
        <v>0.19800000000000001</v>
      </c>
      <c r="E8" s="88">
        <v>112</v>
      </c>
      <c r="F8" s="88">
        <v>0</v>
      </c>
      <c r="G8" s="88">
        <v>0</v>
      </c>
    </row>
    <row r="9" spans="1:7" ht="15.75" thickBot="1" x14ac:dyDescent="0.3">
      <c r="A9" s="84">
        <v>5</v>
      </c>
      <c r="B9" s="86" t="s">
        <v>32</v>
      </c>
      <c r="C9" s="87" t="s">
        <v>35</v>
      </c>
      <c r="D9" s="85">
        <v>0.15920000000000001</v>
      </c>
      <c r="E9" s="88">
        <v>90</v>
      </c>
      <c r="F9" s="88">
        <v>0</v>
      </c>
      <c r="G9" s="88">
        <v>0</v>
      </c>
    </row>
    <row r="10" spans="1:7" ht="15.75" thickBot="1" x14ac:dyDescent="0.3">
      <c r="A10" s="89">
        <v>6</v>
      </c>
      <c r="B10" s="91" t="s">
        <v>34</v>
      </c>
      <c r="C10" s="92" t="s">
        <v>36</v>
      </c>
      <c r="D10" s="90">
        <v>0.17649999999999999</v>
      </c>
      <c r="E10" s="93">
        <v>100</v>
      </c>
      <c r="F10" s="93">
        <v>0</v>
      </c>
      <c r="G10" s="93">
        <v>0</v>
      </c>
    </row>
    <row r="11" spans="1:7" ht="16.5" thickTop="1" thickBot="1" x14ac:dyDescent="0.3">
      <c r="A11" s="94" t="s">
        <v>10</v>
      </c>
      <c r="B11" s="95"/>
      <c r="C11" s="95"/>
      <c r="D11" s="96">
        <v>1</v>
      </c>
      <c r="E11" s="96">
        <v>565</v>
      </c>
      <c r="F11" s="96" t="s">
        <v>58</v>
      </c>
      <c r="G11" s="97" t="s">
        <v>58</v>
      </c>
    </row>
    <row r="12" spans="1:7" ht="16.5" thickTop="1" thickBot="1" x14ac:dyDescent="0.3">
      <c r="A12" s="132"/>
      <c r="B12" s="133"/>
      <c r="C12" s="133"/>
      <c r="D12" s="133"/>
      <c r="E12" s="134"/>
      <c r="F12" s="82"/>
      <c r="G12" s="82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tabSelected="1" workbookViewId="0">
      <selection activeCell="G2" sqref="G2"/>
    </sheetView>
  </sheetViews>
  <sheetFormatPr baseColWidth="10" defaultRowHeight="15" x14ac:dyDescent="0.25"/>
  <cols>
    <col min="1" max="1" width="5.28515625" style="1" customWidth="1"/>
    <col min="2" max="2" width="8.42578125" style="1" customWidth="1"/>
    <col min="3" max="3" width="19.28515625" customWidth="1"/>
    <col min="4" max="4" width="10.5703125" bestFit="1" customWidth="1"/>
    <col min="5" max="5" width="13.7109375" customWidth="1"/>
    <col min="6" max="6" width="12.42578125" bestFit="1" customWidth="1"/>
    <col min="7" max="7" width="12.42578125" customWidth="1"/>
    <col min="8" max="8" width="12.7109375" customWidth="1"/>
    <col min="9" max="9" width="12.42578125" bestFit="1" customWidth="1"/>
    <col min="11" max="11" width="11.42578125" style="21"/>
  </cols>
  <sheetData>
    <row r="1" spans="1:9" x14ac:dyDescent="0.25">
      <c r="A1" s="112" t="s">
        <v>74</v>
      </c>
      <c r="B1" s="113"/>
      <c r="C1" s="113"/>
      <c r="D1" s="114"/>
      <c r="E1" s="115"/>
      <c r="F1" s="114"/>
      <c r="G1" s="147">
        <v>4500000</v>
      </c>
      <c r="H1" s="147"/>
      <c r="I1" s="116"/>
    </row>
    <row r="2" spans="1:9" x14ac:dyDescent="0.25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25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25">
      <c r="A4" s="12">
        <v>1</v>
      </c>
      <c r="B4" s="13" t="s">
        <v>29</v>
      </c>
      <c r="C4" s="14" t="s">
        <v>37</v>
      </c>
      <c r="D4" s="117">
        <v>0.1512</v>
      </c>
      <c r="E4" s="34">
        <v>0</v>
      </c>
      <c r="F4" s="74">
        <v>0</v>
      </c>
      <c r="G4" s="118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25">
      <c r="A5" s="12">
        <v>2</v>
      </c>
      <c r="B5" s="13" t="s">
        <v>30</v>
      </c>
      <c r="C5" s="14" t="s">
        <v>38</v>
      </c>
      <c r="D5" s="117">
        <v>0.15690000000000001</v>
      </c>
      <c r="E5" s="34">
        <v>0</v>
      </c>
      <c r="F5" s="74">
        <v>0</v>
      </c>
      <c r="G5" s="118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25">
      <c r="A6" s="12">
        <v>3</v>
      </c>
      <c r="B6" s="13" t="s">
        <v>31</v>
      </c>
      <c r="C6" s="14" t="s">
        <v>39</v>
      </c>
      <c r="D6" s="117">
        <v>0.15820000000000001</v>
      </c>
      <c r="E6" s="34">
        <v>0</v>
      </c>
      <c r="F6" s="74">
        <v>0</v>
      </c>
      <c r="G6" s="118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25">
      <c r="A7" s="12">
        <v>4</v>
      </c>
      <c r="B7" s="13" t="s">
        <v>33</v>
      </c>
      <c r="C7" s="14" t="s">
        <v>40</v>
      </c>
      <c r="D7" s="117">
        <v>0.19800000000000001</v>
      </c>
      <c r="E7" s="34">
        <v>0</v>
      </c>
      <c r="F7" s="74">
        <v>0</v>
      </c>
      <c r="G7" s="118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25">
      <c r="A8" s="12">
        <v>5</v>
      </c>
      <c r="B8" s="13" t="s">
        <v>32</v>
      </c>
      <c r="C8" s="14" t="s">
        <v>35</v>
      </c>
      <c r="D8" s="117">
        <v>0.15920000000000001</v>
      </c>
      <c r="E8" s="34">
        <v>0</v>
      </c>
      <c r="F8" s="74">
        <v>0</v>
      </c>
      <c r="G8" s="118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25">
      <c r="A9" s="12">
        <v>6</v>
      </c>
      <c r="B9" s="13" t="s">
        <v>34</v>
      </c>
      <c r="C9" s="14" t="s">
        <v>36</v>
      </c>
      <c r="D9" s="117">
        <v>0.17649999999999999</v>
      </c>
      <c r="E9" s="34">
        <v>0</v>
      </c>
      <c r="F9" s="74">
        <v>0</v>
      </c>
      <c r="G9" s="118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25">
      <c r="A10" s="119" t="s">
        <v>10</v>
      </c>
      <c r="B10" s="120"/>
      <c r="C10" s="121"/>
      <c r="D10" s="122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23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">
      <c r="A11" s="129"/>
      <c r="B11" s="129"/>
      <c r="C11" s="129"/>
      <c r="D11" s="129"/>
      <c r="E11" s="129"/>
      <c r="F11" s="129"/>
      <c r="G11" s="129"/>
      <c r="H11" s="129"/>
      <c r="I11" s="129"/>
    </row>
    <row r="12" spans="1:9" x14ac:dyDescent="0.25">
      <c r="I12" s="6"/>
    </row>
    <row r="15" spans="1:9" x14ac:dyDescent="0.25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extraordinaria</vt:lpstr>
      <vt:lpstr>prorrateo  (2)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2025-08-28T15:53:48Z</cp:lastPrinted>
  <dcterms:created xsi:type="dcterms:W3CDTF">2020-12-10T00:27:53Z</dcterms:created>
  <dcterms:modified xsi:type="dcterms:W3CDTF">2025-08-28T16:52:45Z</dcterms:modified>
</cp:coreProperties>
</file>