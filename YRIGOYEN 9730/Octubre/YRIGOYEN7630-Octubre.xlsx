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730\Octubre\"/>
    </mc:Choice>
  </mc:AlternateContent>
  <xr:revisionPtr revIDLastSave="0" documentId="13_ncr:1_{B6EC6701-4550-4046-9A80-1ABA31030E0B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RESUMEN!$A$1:$E$123</definedName>
  </definedNames>
  <calcPr calcId="181029"/>
</workbook>
</file>

<file path=xl/calcChain.xml><?xml version="1.0" encoding="utf-8"?>
<calcChain xmlns="http://schemas.openxmlformats.org/spreadsheetml/2006/main">
  <c r="E69" i="1" l="1"/>
  <c r="F21" i="2"/>
  <c r="F13" i="2"/>
  <c r="F10" i="2"/>
  <c r="F20" i="2"/>
  <c r="F22" i="2"/>
  <c r="E43" i="1" l="1"/>
  <c r="F15" i="2"/>
  <c r="E42" i="1"/>
  <c r="E52" i="1"/>
  <c r="F12" i="2" l="1"/>
  <c r="E67" i="1" l="1"/>
  <c r="E63" i="1"/>
  <c r="E58" i="1"/>
  <c r="F18" i="2" l="1"/>
  <c r="E38" i="1" l="1"/>
  <c r="E50" i="1" l="1"/>
  <c r="E51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E48" i="1"/>
  <c r="F9" i="2" l="1"/>
  <c r="F11" i="2"/>
  <c r="F14" i="2"/>
  <c r="F16" i="2"/>
  <c r="F17" i="2"/>
  <c r="F23" i="2"/>
  <c r="F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9" i="1" l="1"/>
  <c r="E84" i="1" s="1"/>
  <c r="B88" i="1" s="1"/>
  <c r="B104" i="1" l="1"/>
  <c r="B111" i="1"/>
  <c r="B122" i="1"/>
  <c r="B100" i="1" l="1"/>
  <c r="B112" i="1"/>
  <c r="G20" i="2" l="1"/>
  <c r="D33" i="1" l="1"/>
  <c r="L5" i="2" l="1"/>
  <c r="D24" i="1" l="1"/>
  <c r="E34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8" i="1" l="1"/>
  <c r="B113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9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50" i="1"/>
  <c r="A51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E71" i="1"/>
  <c r="B87" i="1" s="1"/>
  <c r="B103" i="1" l="1"/>
  <c r="B105" i="1" s="1"/>
  <c r="B110" i="1"/>
  <c r="B115" i="1" s="1"/>
  <c r="B86" i="1"/>
</calcChain>
</file>

<file path=xl/sharedStrings.xml><?xml version="1.0" encoding="utf-8"?>
<sst xmlns="http://schemas.openxmlformats.org/spreadsheetml/2006/main" count="128" uniqueCount="120">
  <si>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</si>
  <si>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</si>
  <si>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</si>
  <si>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</si>
  <si>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</si>
  <si>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</si>
  <si>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</si>
  <si>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</si>
  <si>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</si>
  <si>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</si>
  <si>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</si>
  <si>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</si>
  <si>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</si>
  <si>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</si>
  <si>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</si>
  <si>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</si>
  <si>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</si>
  <si>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</si>
  <si>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</si>
  <si>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</si>
  <si>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</si>
  <si>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</si>
  <si>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</si>
  <si>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</si>
  <si>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</si>
  <si>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</si>
  <si>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</si>
  <si>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</si>
  <si>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</si>
  <si>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</si>
  <si>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</si>
  <si>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</si>
  <si>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</si>
  <si>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</si>
  <si>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</si>
  <si>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</si>
  <si>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</si>
  <si>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</si>
  <si>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</si>
  <si>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</si>
  <si>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</si>
  <si>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</si>
  <si>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</si>
  <si>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</si>
  <si>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</si>
  <si>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</si>
  <si>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</si>
  <si>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</si>
  <si>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</si>
  <si>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</si>
  <si>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</si>
  <si>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</si>
  <si>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</si>
  <si>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</si>
  <si>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</si>
  <si>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</si>
  <si>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</si>
  <si>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</si>
  <si>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</si>
  <si>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</si>
  <si>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</si>
  <si>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</si>
  <si>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</si>
  <si>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</si>
  <si>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</si>
  <si>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</si>
  <si>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</si>
  <si>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</si>
  <si>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</si>
  <si>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</si>
  <si>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</si>
  <si>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</si>
  <si>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</si>
  <si>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</si>
  <si>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</si>
  <si>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</si>
  <si>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</si>
  <si>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</si>
  <si>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</si>
  <si>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</si>
  <si>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</si>
  <si>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</si>
  <si>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</si>
  <si>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</si>
  <si>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</si>
  <si>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</si>
  <si>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</si>
  <si>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</si>
  <si>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</si>
  <si>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</si>
  <si>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</si>
  <si>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</si>
  <si>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laurasmiet@gmail.com</t>
  </si>
  <si>
    <t>AGREGAR A LA CADENA</t>
  </si>
  <si>
    <t>Gastos bancarios</t>
  </si>
  <si>
    <t>Mantenimiento de cuenta</t>
  </si>
  <si>
    <t>Honorarios administracion</t>
  </si>
  <si>
    <t>Subidos en Agost000</t>
  </si>
  <si>
    <t>Federacion patronal - Seguro de vida Poliza nro. 211840604</t>
  </si>
  <si>
    <t>Federacion patronal  Seguro obligatorio de consorcio</t>
  </si>
  <si>
    <t>Ascensores lema - Mantenimiento agosto</t>
  </si>
  <si>
    <t>Transf 11/09</t>
  </si>
  <si>
    <t xml:space="preserve">Fumigacion </t>
  </si>
  <si>
    <t>Articulos de limpieza</t>
  </si>
  <si>
    <t>-</t>
  </si>
  <si>
    <t>Transf 14/10</t>
  </si>
  <si>
    <t>VTO 14/11</t>
  </si>
  <si>
    <t>PERÍODO: OCTUBRE</t>
  </si>
  <si>
    <t>Gustavo padron - Sr contador honorarios OCTUBRE</t>
  </si>
  <si>
    <t>Sindicatos mes de OCTUBRE</t>
  </si>
  <si>
    <t>Debito 02/10</t>
  </si>
  <si>
    <t>Debito 08/10</t>
  </si>
  <si>
    <t>Debito 13/10</t>
  </si>
  <si>
    <t>Debito 16/10</t>
  </si>
  <si>
    <t>Federacion patronal - Seguro de vida obligatorio Sr. Walter</t>
  </si>
  <si>
    <t>Debito 17/10</t>
  </si>
  <si>
    <t>Debito 20/10</t>
  </si>
  <si>
    <t>Punitorios de periodos pago fuera de terminos</t>
  </si>
  <si>
    <t>Debito 29/10</t>
  </si>
  <si>
    <t>Transf 29/10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</si>
</sst>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12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8" fillId="4" borderId="6" xfId="1" applyFont="1" applyFill="1" applyBorder="1"/>
    <xf numFmtId="44" fontId="8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7" fillId="0" borderId="1" xfId="1" applyFont="1" applyBorder="1" applyAlignment="1">
      <alignment horizontal="left" vertical="center" wrapText="1"/>
    </xf>
    <xf numFmtId="0" fontId="28" fillId="0" borderId="0" xfId="3"/>
    <xf numFmtId="0" fontId="23" fillId="2" borderId="1" xfId="0" applyFont="1" applyFill="1" applyBorder="1" applyAlignment="1">
      <alignment horizontal="center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44" fontId="4" fillId="0" borderId="1" xfId="1" applyFont="1" applyBorder="1"/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opLeftCell="A59" workbookViewId="0">
      <selection activeCell="D66" sqref="D22:D66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58</v>
      </c>
      <c r="C1" s="71"/>
      <c r="D1" s="71"/>
      <c r="E1" s="72"/>
    </row>
    <row r="2" spans="1:5" x14ac:dyDescent="0.25">
      <c r="A2" s="16"/>
      <c r="B2" s="73" t="s">
        <v>28</v>
      </c>
      <c r="C2" s="73"/>
      <c r="D2" s="73"/>
      <c r="E2" s="74"/>
    </row>
    <row r="3" spans="1:5" ht="70.5" customHeight="1" thickBot="1" x14ac:dyDescent="0.3">
      <c r="A3" s="16"/>
      <c r="B3" s="192" t="s">
        <v>82</v>
      </c>
      <c r="C3" s="192"/>
      <c r="D3" s="192"/>
      <c r="E3" s="193"/>
    </row>
    <row r="4" spans="1:5" ht="15.75" thickBot="1" x14ac:dyDescent="0.3">
      <c r="A4" s="19" t="s">
        <v>0</v>
      </c>
      <c r="B4" s="101" t="s">
        <v>40</v>
      </c>
      <c r="C4" s="20"/>
      <c r="D4" s="20"/>
      <c r="E4" s="21"/>
    </row>
    <row r="5" spans="1:5" ht="15.75" thickBot="1" x14ac:dyDescent="0.3">
      <c r="A5" s="16" t="s">
        <v>60</v>
      </c>
      <c r="B5" s="20" t="s">
        <v>107</v>
      </c>
      <c r="C5" s="17"/>
      <c r="D5" s="73" t="s">
        <v>29</v>
      </c>
      <c r="E5" s="18"/>
    </row>
    <row r="6" spans="1:5" ht="15.75" thickBot="1" x14ac:dyDescent="0.3">
      <c r="A6" s="19" t="s">
        <v>59</v>
      </c>
      <c r="B6" s="20"/>
      <c r="C6" s="20"/>
      <c r="D6" s="20" t="s">
        <v>30</v>
      </c>
      <c r="E6" s="21"/>
    </row>
    <row r="8" spans="1:5" x14ac:dyDescent="0.25">
      <c r="B8" s="195" t="s">
        <v>106</v>
      </c>
      <c r="C8" s="195"/>
    </row>
    <row r="9" spans="1:5" x14ac:dyDescent="0.25">
      <c r="B9" s="195"/>
      <c r="C9" s="195"/>
    </row>
    <row r="10" spans="1:5" x14ac:dyDescent="0.25">
      <c r="B10" s="195"/>
      <c r="C10" s="195"/>
    </row>
    <row r="12" spans="1:5" hidden="1" x14ac:dyDescent="0.25"/>
    <row r="13" spans="1:5" ht="15" customHeight="1" x14ac:dyDescent="0.25">
      <c r="A13" s="194" t="s">
        <v>45</v>
      </c>
      <c r="B13" s="194"/>
      <c r="C13" s="194"/>
      <c r="D13" s="194"/>
      <c r="E13" s="194"/>
    </row>
    <row r="14" spans="1:5" ht="15" customHeight="1" x14ac:dyDescent="0.25">
      <c r="A14" s="194"/>
      <c r="B14" s="194"/>
      <c r="C14" s="194"/>
      <c r="D14" s="194"/>
      <c r="E14" s="194"/>
    </row>
    <row r="15" spans="1:5" ht="15" customHeight="1" x14ac:dyDescent="0.25">
      <c r="A15" s="194"/>
      <c r="B15" s="194"/>
      <c r="C15" s="194"/>
      <c r="D15" s="194"/>
      <c r="E15" s="194"/>
    </row>
    <row r="16" spans="1:5" ht="53.25" customHeight="1" x14ac:dyDescent="0.25">
      <c r="A16" s="194"/>
      <c r="B16" s="194"/>
      <c r="C16" s="194"/>
      <c r="D16" s="194"/>
      <c r="E16" s="194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35</v>
      </c>
      <c r="B21" s="36"/>
      <c r="C21" s="36"/>
      <c r="D21" s="35"/>
      <c r="E21" s="35"/>
    </row>
    <row r="22" spans="1:7" x14ac:dyDescent="0.25">
      <c r="A22" s="5" t="s">
        <v>79</v>
      </c>
      <c r="B22" s="5"/>
      <c r="C22" s="5"/>
      <c r="D22" s="160">
        <v>760763</v>
      </c>
      <c r="E22" s="5"/>
    </row>
    <row r="23" spans="1:7" hidden="1" x14ac:dyDescent="0.25">
      <c r="A23" s="5"/>
      <c r="B23" s="5"/>
      <c r="C23" s="5"/>
      <c r="D23" s="160"/>
      <c r="E23" s="5"/>
    </row>
    <row r="24" spans="1:7" ht="14.25" customHeight="1" x14ac:dyDescent="0.25">
      <c r="A24" s="59" t="s">
        <v>36</v>
      </c>
      <c r="B24" s="59"/>
      <c r="C24" s="59"/>
      <c r="D24" s="169">
        <f>SUM(D22:D23)</f>
        <v>760763</v>
      </c>
      <c r="E24" s="144"/>
      <c r="G24" s="22"/>
    </row>
    <row r="25" spans="1:7" ht="14.25" hidden="1" customHeight="1" x14ac:dyDescent="0.25">
      <c r="A25" s="5" t="s">
        <v>47</v>
      </c>
      <c r="B25" s="5"/>
      <c r="C25" s="5"/>
      <c r="D25" s="160"/>
      <c r="E25" s="5"/>
    </row>
    <row r="26" spans="1:7" hidden="1" x14ac:dyDescent="0.25">
      <c r="A26" s="29"/>
      <c r="B26" s="5"/>
      <c r="C26" s="5"/>
      <c r="D26" s="160"/>
      <c r="E26" s="5"/>
    </row>
    <row r="27" spans="1:7" hidden="1" x14ac:dyDescent="0.25">
      <c r="A27" s="5"/>
      <c r="B27" s="5"/>
      <c r="C27" s="5"/>
      <c r="D27" s="160"/>
      <c r="E27" s="5"/>
    </row>
    <row r="28" spans="1:7" hidden="1" x14ac:dyDescent="0.25">
      <c r="A28" s="5"/>
      <c r="B28" s="5"/>
      <c r="C28" s="5"/>
      <c r="D28" s="170"/>
      <c r="E28" s="5"/>
    </row>
    <row r="29" spans="1:7" ht="0.75" hidden="1" customHeight="1" x14ac:dyDescent="0.25">
      <c r="A29" s="5" t="s">
        <v>42</v>
      </c>
      <c r="B29" s="5"/>
      <c r="C29" s="5"/>
      <c r="D29" s="170"/>
      <c r="E29" s="5"/>
    </row>
    <row r="30" spans="1:7" hidden="1" x14ac:dyDescent="0.25">
      <c r="A30" s="5" t="s">
        <v>41</v>
      </c>
      <c r="B30" s="5"/>
      <c r="C30" s="5"/>
      <c r="D30" s="170"/>
      <c r="E30" s="5"/>
    </row>
    <row r="31" spans="1:7" hidden="1" x14ac:dyDescent="0.25">
      <c r="A31" s="5" t="s">
        <v>37</v>
      </c>
      <c r="B31" s="5"/>
      <c r="C31" s="5"/>
      <c r="D31" s="170">
        <v>0</v>
      </c>
      <c r="E31" s="5"/>
    </row>
    <row r="32" spans="1:7" ht="1.5" hidden="1" customHeight="1" x14ac:dyDescent="0.25">
      <c r="A32" s="5"/>
      <c r="B32" s="5"/>
      <c r="C32" s="5"/>
      <c r="D32" s="170"/>
      <c r="E32" s="5"/>
    </row>
    <row r="33" spans="1:8" hidden="1" x14ac:dyDescent="0.25">
      <c r="A33" s="59" t="s">
        <v>36</v>
      </c>
      <c r="B33" s="59"/>
      <c r="C33" s="59"/>
      <c r="D33" s="171">
        <f>SUM(D25:D32)</f>
        <v>0</v>
      </c>
      <c r="E33" s="144"/>
    </row>
    <row r="34" spans="1:8" ht="15.75" thickBot="1" x14ac:dyDescent="0.3">
      <c r="A34" s="30" t="s">
        <v>1</v>
      </c>
      <c r="B34" s="30"/>
      <c r="C34" s="30"/>
      <c r="D34" s="172"/>
      <c r="E34" s="145">
        <f>D24+D33</f>
        <v>760763</v>
      </c>
      <c r="F34" s="22"/>
    </row>
    <row r="35" spans="1:8" x14ac:dyDescent="0.25">
      <c r="A35" s="36" t="s">
        <v>19</v>
      </c>
      <c r="B35" s="36"/>
      <c r="C35" s="36"/>
      <c r="D35" s="173"/>
      <c r="E35" s="146"/>
    </row>
    <row r="36" spans="1:8" ht="15" customHeight="1" x14ac:dyDescent="0.25">
      <c r="A36" s="190" t="s">
        <v>108</v>
      </c>
      <c r="B36" s="191"/>
      <c r="C36" s="54"/>
      <c r="D36" s="160">
        <v>35000</v>
      </c>
      <c r="E36" s="147"/>
    </row>
    <row r="37" spans="1:8" ht="15" customHeight="1" thickBot="1" x14ac:dyDescent="0.3">
      <c r="A37" s="190" t="s">
        <v>96</v>
      </c>
      <c r="B37" s="191"/>
      <c r="C37" s="54"/>
      <c r="D37" s="174">
        <v>112400</v>
      </c>
      <c r="E37" s="147"/>
      <c r="H37" s="158" t="s">
        <v>97</v>
      </c>
    </row>
    <row r="38" spans="1:8" ht="15.75" thickBot="1" x14ac:dyDescent="0.3">
      <c r="A38" s="30" t="s">
        <v>16</v>
      </c>
      <c r="B38" s="30"/>
      <c r="C38" s="30"/>
      <c r="D38" s="175"/>
      <c r="E38" s="148">
        <f>SUM(D36:D37)</f>
        <v>147400</v>
      </c>
    </row>
    <row r="39" spans="1:8" x14ac:dyDescent="0.25">
      <c r="A39" s="36" t="s">
        <v>32</v>
      </c>
      <c r="B39" s="30"/>
      <c r="C39" s="30"/>
      <c r="D39" s="176"/>
      <c r="E39" s="149"/>
    </row>
    <row r="40" spans="1:8" s="39" customFormat="1" ht="14.25" customHeight="1" x14ac:dyDescent="0.25">
      <c r="A40" s="188" t="s">
        <v>98</v>
      </c>
      <c r="B40" s="189"/>
      <c r="C40" s="56"/>
      <c r="D40" s="177">
        <v>26570</v>
      </c>
      <c r="E40" s="161" t="s">
        <v>110</v>
      </c>
    </row>
    <row r="41" spans="1:8" s="39" customFormat="1" ht="14.25" customHeight="1" x14ac:dyDescent="0.25">
      <c r="A41" s="166" t="s">
        <v>114</v>
      </c>
      <c r="B41" s="159"/>
      <c r="C41" s="56"/>
      <c r="D41" s="177">
        <v>6152</v>
      </c>
      <c r="E41" s="161" t="s">
        <v>115</v>
      </c>
    </row>
    <row r="42" spans="1:8" ht="14.25" customHeight="1" x14ac:dyDescent="0.25">
      <c r="A42" s="188" t="s">
        <v>99</v>
      </c>
      <c r="B42" s="189"/>
      <c r="C42" s="56"/>
      <c r="D42" s="178">
        <v>54278</v>
      </c>
      <c r="E42" s="150" t="str">
        <f>E40</f>
        <v>Debito 02/10</v>
      </c>
    </row>
    <row r="43" spans="1:8" ht="15.75" thickBot="1" x14ac:dyDescent="0.3">
      <c r="A43" s="30" t="s">
        <v>2</v>
      </c>
      <c r="B43" s="30"/>
      <c r="C43" s="30"/>
      <c r="D43" s="175"/>
      <c r="E43" s="151">
        <f>SUM(D40:D42)</f>
        <v>87000</v>
      </c>
    </row>
    <row r="44" spans="1:8" x14ac:dyDescent="0.25">
      <c r="A44" s="36" t="s">
        <v>17</v>
      </c>
      <c r="B44" s="152"/>
      <c r="C44" s="152"/>
      <c r="D44" s="179"/>
      <c r="E44" s="153"/>
    </row>
    <row r="45" spans="1:8" x14ac:dyDescent="0.25">
      <c r="A45" s="5" t="s">
        <v>50</v>
      </c>
      <c r="B45" s="5"/>
      <c r="C45" s="54"/>
      <c r="D45" s="211">
        <v>544619.34</v>
      </c>
      <c r="E45" s="161" t="s">
        <v>116</v>
      </c>
      <c r="G45" s="127"/>
    </row>
    <row r="46" spans="1:8" x14ac:dyDescent="0.25">
      <c r="A46" s="5" t="s">
        <v>117</v>
      </c>
      <c r="B46" s="5"/>
      <c r="C46" s="54"/>
      <c r="D46" s="211">
        <v>119008</v>
      </c>
      <c r="E46" s="161" t="s">
        <v>118</v>
      </c>
      <c r="G46" s="127"/>
    </row>
    <row r="47" spans="1:8" x14ac:dyDescent="0.25">
      <c r="A47" s="5" t="s">
        <v>83</v>
      </c>
      <c r="B47" s="5"/>
      <c r="C47" s="54"/>
      <c r="D47" s="211">
        <v>10602.27</v>
      </c>
      <c r="E47" s="161" t="s">
        <v>113</v>
      </c>
    </row>
    <row r="48" spans="1:8" x14ac:dyDescent="0.25">
      <c r="A48" s="5" t="s">
        <v>83</v>
      </c>
      <c r="B48" s="5"/>
      <c r="C48" s="54"/>
      <c r="D48" s="211">
        <v>75532.289999999994</v>
      </c>
      <c r="E48" s="161" t="str">
        <f>E47</f>
        <v>Debito 16/10</v>
      </c>
      <c r="G48" s="143"/>
    </row>
    <row r="49" spans="1:10" x14ac:dyDescent="0.25">
      <c r="A49" s="5" t="s">
        <v>109</v>
      </c>
      <c r="B49" s="5"/>
      <c r="C49" s="5"/>
      <c r="D49" s="164">
        <v>77379.429999999993</v>
      </c>
      <c r="E49" s="161" t="s">
        <v>112</v>
      </c>
    </row>
    <row r="50" spans="1:10" x14ac:dyDescent="0.25">
      <c r="A50" s="5" t="str">
        <f>A49</f>
        <v>Sindicatos mes de OCTUBRE</v>
      </c>
      <c r="B50" s="5"/>
      <c r="C50" s="5"/>
      <c r="D50" s="164">
        <v>4974.57</v>
      </c>
      <c r="E50" s="162" t="str">
        <f>E49</f>
        <v>Debito 13/10</v>
      </c>
    </row>
    <row r="51" spans="1:10" x14ac:dyDescent="0.25">
      <c r="A51" s="5" t="str">
        <f>A50</f>
        <v>Sindicatos mes de OCTUBRE</v>
      </c>
      <c r="B51" s="5"/>
      <c r="C51" s="5"/>
      <c r="D51" s="164">
        <v>44771.13</v>
      </c>
      <c r="E51" s="163" t="str">
        <f>E50</f>
        <v>Debito 13/10</v>
      </c>
    </row>
    <row r="52" spans="1:10" ht="15" customHeight="1" thickBot="1" x14ac:dyDescent="0.3">
      <c r="A52" s="30" t="s">
        <v>3</v>
      </c>
      <c r="B52" s="152"/>
      <c r="C52" s="152"/>
      <c r="D52" s="180"/>
      <c r="E52" s="151">
        <f>SUM(D45:D51)</f>
        <v>876887.03</v>
      </c>
    </row>
    <row r="53" spans="1:10" x14ac:dyDescent="0.25">
      <c r="A53" s="36" t="s">
        <v>18</v>
      </c>
      <c r="B53" s="152"/>
      <c r="C53" s="152"/>
      <c r="D53" s="179"/>
      <c r="E53" s="153"/>
    </row>
    <row r="54" spans="1:10" ht="14.25" customHeight="1" x14ac:dyDescent="0.25">
      <c r="A54" s="5" t="s">
        <v>81</v>
      </c>
      <c r="B54" s="5"/>
      <c r="C54" s="5"/>
      <c r="D54" s="164">
        <v>54234.99</v>
      </c>
      <c r="E54" s="161" t="s">
        <v>111</v>
      </c>
    </row>
    <row r="55" spans="1:10" ht="14.25" customHeight="1" x14ac:dyDescent="0.25">
      <c r="A55" s="5" t="s">
        <v>85</v>
      </c>
      <c r="B55" s="164"/>
      <c r="C55" s="5"/>
      <c r="D55" s="164">
        <v>27593.64</v>
      </c>
      <c r="E55" s="185" t="s">
        <v>104</v>
      </c>
    </row>
    <row r="56" spans="1:10" x14ac:dyDescent="0.25">
      <c r="A56" s="5" t="s">
        <v>84</v>
      </c>
      <c r="B56" s="5"/>
      <c r="C56" s="5"/>
      <c r="D56" s="164">
        <v>26441.68</v>
      </c>
      <c r="E56" s="161" t="s">
        <v>111</v>
      </c>
    </row>
    <row r="57" spans="1:10" x14ac:dyDescent="0.25">
      <c r="A57" s="188" t="s">
        <v>80</v>
      </c>
      <c r="B57" s="189"/>
      <c r="C57" s="5"/>
      <c r="D57" s="164">
        <v>426357.06</v>
      </c>
      <c r="E57" s="165" t="s">
        <v>105</v>
      </c>
    </row>
    <row r="58" spans="1:10" ht="15.75" thickBot="1" x14ac:dyDescent="0.3">
      <c r="A58" s="30" t="s">
        <v>4</v>
      </c>
      <c r="B58" s="30"/>
      <c r="C58" s="30"/>
      <c r="D58" s="181"/>
      <c r="E58" s="151">
        <f>SUM(D54:D57)</f>
        <v>534627.37</v>
      </c>
    </row>
    <row r="59" spans="1:10" ht="15" customHeight="1" thickBot="1" x14ac:dyDescent="0.3">
      <c r="A59" s="36"/>
      <c r="B59" s="30"/>
      <c r="C59" s="30"/>
      <c r="D59" s="175"/>
      <c r="E59" s="154"/>
    </row>
    <row r="60" spans="1:10" ht="20.100000000000001" customHeight="1" x14ac:dyDescent="0.25">
      <c r="A60" s="166" t="s">
        <v>100</v>
      </c>
      <c r="B60" s="159"/>
      <c r="C60" s="5"/>
      <c r="D60" s="164">
        <v>77500</v>
      </c>
      <c r="E60" s="165" t="s">
        <v>105</v>
      </c>
    </row>
    <row r="61" spans="1:10" ht="20.100000000000001" customHeight="1" x14ac:dyDescent="0.25">
      <c r="A61" s="166" t="s">
        <v>103</v>
      </c>
      <c r="B61" s="159"/>
      <c r="C61" s="5"/>
      <c r="D61" s="164">
        <v>61350</v>
      </c>
      <c r="E61" s="165" t="s">
        <v>119</v>
      </c>
    </row>
    <row r="62" spans="1:10" ht="20.100000000000001" customHeight="1" x14ac:dyDescent="0.25">
      <c r="A62" s="188" t="s">
        <v>102</v>
      </c>
      <c r="B62" s="189"/>
      <c r="C62" s="5"/>
      <c r="D62" s="109">
        <v>0</v>
      </c>
      <c r="E62" s="165" t="s">
        <v>101</v>
      </c>
      <c r="I62" s="188"/>
      <c r="J62" s="189"/>
    </row>
    <row r="63" spans="1:10" ht="15.75" thickBot="1" x14ac:dyDescent="0.3">
      <c r="A63" s="30" t="s">
        <v>9</v>
      </c>
      <c r="B63" s="36"/>
      <c r="C63" s="36"/>
      <c r="D63" s="35"/>
      <c r="E63" s="155">
        <f>SUM(D60:D62)</f>
        <v>138850</v>
      </c>
    </row>
    <row r="64" spans="1:10" ht="15.75" thickBot="1" x14ac:dyDescent="0.3">
      <c r="A64" s="36" t="s">
        <v>12</v>
      </c>
      <c r="B64" s="69"/>
      <c r="C64" s="30"/>
      <c r="D64" s="172"/>
      <c r="E64" s="154"/>
    </row>
    <row r="65" spans="1:8" x14ac:dyDescent="0.25">
      <c r="A65" s="5" t="s">
        <v>95</v>
      </c>
      <c r="B65" s="5"/>
      <c r="C65" s="5"/>
      <c r="D65" s="164">
        <v>53000</v>
      </c>
      <c r="E65" s="156"/>
    </row>
    <row r="66" spans="1:8" x14ac:dyDescent="0.25">
      <c r="A66" s="5" t="s">
        <v>94</v>
      </c>
      <c r="B66" s="5"/>
      <c r="C66" s="5"/>
      <c r="D66" s="164">
        <v>62873.69</v>
      </c>
      <c r="E66" s="41"/>
    </row>
    <row r="67" spans="1:8" ht="15.75" thickBot="1" x14ac:dyDescent="0.3">
      <c r="A67" s="53" t="s">
        <v>16</v>
      </c>
      <c r="B67" s="53"/>
      <c r="C67" s="53"/>
      <c r="D67" s="112"/>
      <c r="E67" s="106">
        <f>SUM(D65:D66)</f>
        <v>115873.69</v>
      </c>
    </row>
    <row r="68" spans="1:8" ht="15.75" thickBot="1" x14ac:dyDescent="0.3">
      <c r="A68" s="5"/>
      <c r="B68" s="5"/>
      <c r="C68" s="5"/>
      <c r="D68" s="105"/>
      <c r="E68" s="113"/>
    </row>
    <row r="69" spans="1:8" ht="15.75" thickBot="1" x14ac:dyDescent="0.3">
      <c r="A69" s="31" t="s">
        <v>53</v>
      </c>
      <c r="B69" s="31"/>
      <c r="C69" s="31"/>
      <c r="D69" s="114"/>
      <c r="E69" s="115">
        <f>3774269.17-2661401.09</f>
        <v>1112868.08</v>
      </c>
    </row>
    <row r="70" spans="1:8" ht="15.75" thickBot="1" x14ac:dyDescent="0.3">
      <c r="A70" s="1"/>
      <c r="D70" s="116"/>
      <c r="E70" s="117"/>
      <c r="F70" s="45"/>
    </row>
    <row r="71" spans="1:8" ht="15.75" thickBot="1" x14ac:dyDescent="0.3">
      <c r="A71" s="3" t="s">
        <v>13</v>
      </c>
      <c r="B71" s="10"/>
      <c r="C71" s="4"/>
      <c r="D71" s="118"/>
      <c r="E71" s="119">
        <f>(SUM(E27:E69))</f>
        <v>3774269.17</v>
      </c>
      <c r="F71" s="143"/>
      <c r="G71" s="45"/>
    </row>
    <row r="72" spans="1:8" x14ac:dyDescent="0.25">
      <c r="D72" s="116"/>
      <c r="E72" s="116"/>
    </row>
    <row r="73" spans="1:8" ht="15.75" thickBot="1" x14ac:dyDescent="0.3">
      <c r="D73" s="116"/>
      <c r="E73" s="116"/>
      <c r="H73" s="182"/>
    </row>
    <row r="74" spans="1:8" x14ac:dyDescent="0.25">
      <c r="A74" s="11" t="s">
        <v>48</v>
      </c>
      <c r="B74" s="12"/>
      <c r="C74" s="13"/>
      <c r="D74" s="120"/>
      <c r="E74" s="121"/>
    </row>
    <row r="75" spans="1:8" ht="15" customHeight="1" x14ac:dyDescent="0.25">
      <c r="A75" s="188"/>
      <c r="B75" s="189"/>
      <c r="C75" s="5"/>
      <c r="D75" s="131"/>
      <c r="E75" s="107"/>
    </row>
    <row r="76" spans="1:8" x14ac:dyDescent="0.25">
      <c r="A76" s="188"/>
      <c r="B76" s="189"/>
      <c r="C76" s="5"/>
      <c r="D76" s="109"/>
      <c r="E76" s="107"/>
    </row>
    <row r="77" spans="1:8" ht="15.75" customHeight="1" x14ac:dyDescent="0.25">
      <c r="A77" s="190"/>
      <c r="B77" s="191"/>
      <c r="C77" s="5"/>
      <c r="D77" s="109"/>
      <c r="E77" s="107"/>
    </row>
    <row r="78" spans="1:8" x14ac:dyDescent="0.25">
      <c r="A78" s="108"/>
      <c r="B78" s="110"/>
      <c r="C78" s="5"/>
      <c r="D78" s="109"/>
      <c r="E78" s="107"/>
    </row>
    <row r="79" spans="1:8" x14ac:dyDescent="0.25">
      <c r="A79" s="51"/>
      <c r="B79" s="50"/>
      <c r="C79" s="50"/>
      <c r="D79" s="60"/>
      <c r="E79" s="60">
        <f>SUM(D75:D78)</f>
        <v>0</v>
      </c>
    </row>
    <row r="80" spans="1:8" ht="15" customHeight="1" x14ac:dyDescent="0.25"/>
    <row r="81" spans="1:5" ht="15.75" hidden="1" thickBot="1" x14ac:dyDescent="0.3"/>
    <row r="82" spans="1:5" ht="15.75" thickBot="1" x14ac:dyDescent="0.3">
      <c r="A82" s="31" t="s">
        <v>20</v>
      </c>
      <c r="B82" s="31"/>
      <c r="C82" s="31"/>
      <c r="D82" s="32"/>
      <c r="E82" s="104"/>
    </row>
    <row r="83" spans="1:5" ht="15.75" thickBot="1" x14ac:dyDescent="0.3"/>
    <row r="84" spans="1:5" ht="15.75" thickBot="1" x14ac:dyDescent="0.3">
      <c r="A84" s="3" t="s">
        <v>21</v>
      </c>
      <c r="B84" s="10"/>
      <c r="C84" s="4"/>
      <c r="D84" s="4"/>
      <c r="E84" s="70">
        <f>E79+E82</f>
        <v>0</v>
      </c>
    </row>
    <row r="85" spans="1:5" ht="15.75" thickBot="1" x14ac:dyDescent="0.3"/>
    <row r="86" spans="1:5" ht="15.75" thickBot="1" x14ac:dyDescent="0.3">
      <c r="A86" s="102" t="s">
        <v>14</v>
      </c>
      <c r="B86" s="103">
        <f>E71</f>
        <v>3774269.17</v>
      </c>
    </row>
    <row r="87" spans="1:5" ht="15.75" thickBot="1" x14ac:dyDescent="0.3">
      <c r="A87" s="102" t="s">
        <v>15</v>
      </c>
      <c r="B87" s="103">
        <f>E71-E69</f>
        <v>2661401.09</v>
      </c>
    </row>
    <row r="88" spans="1:5" ht="15.75" thickBot="1" x14ac:dyDescent="0.3">
      <c r="A88" s="102" t="s">
        <v>22</v>
      </c>
      <c r="B88" s="103">
        <f>E84-E82</f>
        <v>0</v>
      </c>
    </row>
    <row r="89" spans="1:5" ht="15.75" thickBot="1" x14ac:dyDescent="0.3">
      <c r="A89" s="102" t="s">
        <v>43</v>
      </c>
      <c r="B89" s="103">
        <f>E84</f>
        <v>0</v>
      </c>
    </row>
    <row r="90" spans="1:5" ht="73.5" customHeight="1" x14ac:dyDescent="0.25"/>
    <row r="91" spans="1:5" ht="34.5" hidden="1" customHeight="1" x14ac:dyDescent="0.25"/>
    <row r="92" spans="1:5" hidden="1" x14ac:dyDescent="0.25">
      <c r="A92" s="186"/>
      <c r="B92" s="186"/>
      <c r="C92" s="186"/>
      <c r="D92" s="186"/>
      <c r="E92" s="186"/>
    </row>
    <row r="93" spans="1:5" ht="106.5" hidden="1" customHeight="1" x14ac:dyDescent="0.25">
      <c r="A93" s="186"/>
      <c r="B93" s="186"/>
      <c r="C93" s="186"/>
      <c r="D93" s="186"/>
      <c r="E93" s="186"/>
    </row>
    <row r="94" spans="1:5" ht="15.75" hidden="1" customHeight="1" x14ac:dyDescent="0.25">
      <c r="A94" s="186"/>
      <c r="B94" s="186"/>
      <c r="C94" s="186"/>
      <c r="D94" s="186"/>
      <c r="E94" s="186"/>
    </row>
    <row r="96" spans="1:5" ht="0.75" customHeight="1" x14ac:dyDescent="0.25">
      <c r="A96" s="23" t="s">
        <v>34</v>
      </c>
      <c r="B96" s="128"/>
      <c r="C96" s="24"/>
    </row>
    <row r="97" spans="1:6" hidden="1" x14ac:dyDescent="0.25">
      <c r="A97" s="34"/>
      <c r="B97" s="61">
        <v>0</v>
      </c>
      <c r="C97" s="26"/>
    </row>
    <row r="98" spans="1:6" ht="14.25" hidden="1" customHeight="1" x14ac:dyDescent="0.25">
      <c r="A98" s="25" t="s">
        <v>7</v>
      </c>
      <c r="B98" s="41">
        <f>PRORRATEO!F29</f>
        <v>3982800.4400000004</v>
      </c>
      <c r="C98" s="24"/>
    </row>
    <row r="99" spans="1:6" hidden="1" x14ac:dyDescent="0.25">
      <c r="A99" s="25"/>
      <c r="B99" s="41">
        <v>0</v>
      </c>
      <c r="C99" s="24"/>
    </row>
    <row r="100" spans="1:6" hidden="1" x14ac:dyDescent="0.25">
      <c r="A100" s="25" t="s">
        <v>44</v>
      </c>
      <c r="B100" s="111">
        <f>B122</f>
        <v>0</v>
      </c>
      <c r="C100" s="24"/>
    </row>
    <row r="101" spans="1:6" hidden="1" x14ac:dyDescent="0.25">
      <c r="A101" s="28"/>
      <c r="B101" s="49"/>
      <c r="C101" s="24"/>
    </row>
    <row r="102" spans="1:6" hidden="1" x14ac:dyDescent="0.25">
      <c r="A102" s="126" t="s">
        <v>49</v>
      </c>
      <c r="B102" s="49"/>
      <c r="C102" s="24"/>
    </row>
    <row r="103" spans="1:6" hidden="1" x14ac:dyDescent="0.25">
      <c r="A103" s="40" t="s">
        <v>23</v>
      </c>
      <c r="B103" s="49">
        <f>-B87</f>
        <v>-2661401.09</v>
      </c>
      <c r="C103" s="24"/>
    </row>
    <row r="104" spans="1:6" hidden="1" x14ac:dyDescent="0.25">
      <c r="A104" s="28" t="s">
        <v>24</v>
      </c>
      <c r="B104" s="49">
        <f>-(B88)</f>
        <v>0</v>
      </c>
      <c r="C104" s="24"/>
    </row>
    <row r="105" spans="1:6" hidden="1" x14ac:dyDescent="0.25">
      <c r="A105" s="33" t="s">
        <v>9</v>
      </c>
      <c r="B105" s="61">
        <f>SUM(B97:B104)</f>
        <v>1321399.3500000006</v>
      </c>
      <c r="C105" s="27"/>
      <c r="D105" s="45"/>
    </row>
    <row r="106" spans="1:6" ht="34.5" hidden="1" customHeight="1" x14ac:dyDescent="0.25">
      <c r="B106" s="42"/>
      <c r="C106" s="27"/>
      <c r="D106" s="45"/>
      <c r="E106" s="129"/>
      <c r="F106" s="130"/>
    </row>
    <row r="107" spans="1:6" ht="14.25" hidden="1" customHeight="1" x14ac:dyDescent="0.25">
      <c r="B107" s="43"/>
      <c r="C107" s="27"/>
    </row>
    <row r="108" spans="1:6" s="39" customFormat="1" ht="27" hidden="1" customHeight="1" x14ac:dyDescent="0.25">
      <c r="A108"/>
      <c r="B108" s="42"/>
      <c r="C108" s="38"/>
    </row>
    <row r="109" spans="1:6" s="39" customFormat="1" x14ac:dyDescent="0.25">
      <c r="A109" s="134" t="s">
        <v>91</v>
      </c>
      <c r="B109" s="135">
        <v>-1100839.9560999968</v>
      </c>
      <c r="C109" s="38"/>
      <c r="D109" s="48"/>
    </row>
    <row r="110" spans="1:6" x14ac:dyDescent="0.25">
      <c r="A110" s="56" t="s">
        <v>54</v>
      </c>
      <c r="B110" s="140">
        <f>-B87</f>
        <v>-2661401.09</v>
      </c>
    </row>
    <row r="111" spans="1:6" x14ac:dyDescent="0.25">
      <c r="A111" s="56" t="s">
        <v>55</v>
      </c>
      <c r="B111" s="140">
        <f>-B88</f>
        <v>0</v>
      </c>
    </row>
    <row r="112" spans="1:6" x14ac:dyDescent="0.25">
      <c r="A112" s="56" t="s">
        <v>89</v>
      </c>
      <c r="B112" s="140">
        <f>B122</f>
        <v>0</v>
      </c>
    </row>
    <row r="113" spans="1:13" x14ac:dyDescent="0.25">
      <c r="A113" s="56" t="s">
        <v>56</v>
      </c>
      <c r="B113" s="141">
        <f>PRORRATEO!F29</f>
        <v>3982800.4400000004</v>
      </c>
    </row>
    <row r="114" spans="1:13" x14ac:dyDescent="0.25">
      <c r="A114" s="142" t="s">
        <v>57</v>
      </c>
      <c r="B114" s="183"/>
    </row>
    <row r="115" spans="1:13" ht="15.75" thickBot="1" x14ac:dyDescent="0.3">
      <c r="A115" s="138" t="s">
        <v>51</v>
      </c>
      <c r="B115" s="139">
        <f>SUM(B109:C114)</f>
        <v>220559.39390000375</v>
      </c>
    </row>
    <row r="116" spans="1:13" x14ac:dyDescent="0.25">
      <c r="A116" s="136"/>
      <c r="B116" s="136"/>
    </row>
    <row r="117" spans="1:13" ht="34.5" customHeight="1" x14ac:dyDescent="0.25"/>
    <row r="118" spans="1:13" x14ac:dyDescent="0.25">
      <c r="A118" s="187" t="s">
        <v>33</v>
      </c>
      <c r="B118" s="187"/>
      <c r="C118" s="187"/>
    </row>
    <row r="119" spans="1:13" x14ac:dyDescent="0.25">
      <c r="A119" s="187"/>
      <c r="B119" s="187"/>
      <c r="C119" s="187"/>
    </row>
    <row r="120" spans="1:13" ht="35.25" customHeight="1" x14ac:dyDescent="0.25">
      <c r="A120" s="123"/>
      <c r="B120" s="37"/>
      <c r="C120" s="37">
        <v>40000</v>
      </c>
      <c r="E120" s="143"/>
    </row>
    <row r="121" spans="1:13" ht="27" customHeight="1" x14ac:dyDescent="0.25">
      <c r="A121" s="123"/>
      <c r="B121" s="125"/>
      <c r="C121" s="122"/>
      <c r="D121" s="143"/>
    </row>
    <row r="122" spans="1:13" x14ac:dyDescent="0.25">
      <c r="A122" s="46" t="s">
        <v>9</v>
      </c>
      <c r="B122" s="124">
        <f>SUM(B120:B121)</f>
        <v>0</v>
      </c>
      <c r="C122" s="47"/>
    </row>
    <row r="123" spans="1:13" x14ac:dyDescent="0.25">
      <c r="M123" s="8"/>
    </row>
    <row r="124" spans="1:13" ht="15" customHeight="1" x14ac:dyDescent="0.25">
      <c r="A124" s="186"/>
      <c r="B124" s="186"/>
      <c r="C124" s="186"/>
      <c r="D124" s="186"/>
      <c r="E124" s="186"/>
    </row>
    <row r="125" spans="1:13" x14ac:dyDescent="0.25">
      <c r="A125" s="186"/>
      <c r="B125" s="186"/>
      <c r="C125" s="186"/>
      <c r="D125" s="186"/>
      <c r="E125" s="186"/>
    </row>
    <row r="126" spans="1:13" x14ac:dyDescent="0.25">
      <c r="A126" s="186"/>
      <c r="B126" s="186"/>
      <c r="C126" s="186"/>
      <c r="D126" s="186"/>
      <c r="E126" s="186"/>
    </row>
    <row r="127" spans="1:13" x14ac:dyDescent="0.25">
      <c r="A127" s="186"/>
      <c r="B127" s="186"/>
      <c r="C127" s="186"/>
      <c r="D127" s="186"/>
      <c r="E127" s="186"/>
    </row>
  </sheetData>
  <mergeCells count="16">
    <mergeCell ref="A37:B37"/>
    <mergeCell ref="A36:B36"/>
    <mergeCell ref="B3:E3"/>
    <mergeCell ref="I62:J62"/>
    <mergeCell ref="A62:B62"/>
    <mergeCell ref="A13:E16"/>
    <mergeCell ref="B8:C10"/>
    <mergeCell ref="A40:B40"/>
    <mergeCell ref="A42:B42"/>
    <mergeCell ref="A57:B57"/>
    <mergeCell ref="A124:E127"/>
    <mergeCell ref="A118:C119"/>
    <mergeCell ref="A92:E94"/>
    <mergeCell ref="A76:B76"/>
    <mergeCell ref="A75:B75"/>
    <mergeCell ref="A77:B7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abSelected="1" zoomScaleNormal="100" workbookViewId="0">
      <selection activeCell="F6" sqref="F6:F23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0.140625" customWidth="1"/>
    <col min="10" max="10" width="12.42578125" customWidth="1"/>
    <col min="11" max="11" width="10.42578125" bestFit="1" customWidth="1"/>
    <col min="12" max="12" width="14.7109375" customWidth="1"/>
    <col min="13" max="13" width="12" hidden="1" customWidth="1"/>
    <col min="14" max="14" width="14.28515625" customWidth="1"/>
    <col min="15" max="15" width="0.140625" customWidth="1"/>
    <col min="16" max="16" width="12" bestFit="1" customWidth="1"/>
    <col min="17" max="17" width="13" bestFit="1" customWidth="1"/>
  </cols>
  <sheetData>
    <row r="1" spans="1:17" ht="12.95" customHeight="1" x14ac:dyDescent="0.25">
      <c r="A1" s="6"/>
      <c r="B1" s="6"/>
      <c r="C1" s="6"/>
      <c r="D1" s="201"/>
      <c r="E1" s="201"/>
      <c r="F1" s="201"/>
      <c r="G1" s="201"/>
      <c r="H1" s="201"/>
      <c r="I1" s="201"/>
      <c r="J1" s="201"/>
      <c r="K1" s="201"/>
      <c r="L1" s="201"/>
      <c r="M1" s="6"/>
      <c r="N1" s="6"/>
    </row>
    <row r="2" spans="1:17" ht="12.95" customHeight="1" x14ac:dyDescent="0.25">
      <c r="A2" s="6"/>
      <c r="B2" s="6"/>
      <c r="C2" s="6"/>
      <c r="D2" s="6" t="s">
        <v>88</v>
      </c>
      <c r="E2" s="6"/>
      <c r="F2" s="167">
        <v>86134.56</v>
      </c>
      <c r="G2" s="6"/>
      <c r="H2" s="6"/>
      <c r="I2" s="7"/>
      <c r="J2" s="6" t="s">
        <v>87</v>
      </c>
      <c r="K2" s="6"/>
      <c r="L2" s="133">
        <v>3774269.1700000004</v>
      </c>
      <c r="M2" s="57"/>
      <c r="N2" s="57"/>
      <c r="O2" s="22"/>
    </row>
    <row r="3" spans="1:17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8"/>
      <c r="M3" s="58"/>
      <c r="N3" s="62"/>
    </row>
    <row r="4" spans="1:17" x14ac:dyDescent="0.25">
      <c r="A4" s="198" t="s">
        <v>5</v>
      </c>
      <c r="B4" s="198" t="s">
        <v>6</v>
      </c>
      <c r="C4" s="198" t="s">
        <v>27</v>
      </c>
      <c r="D4" s="198" t="s">
        <v>11</v>
      </c>
      <c r="E4" s="202" t="s">
        <v>52</v>
      </c>
      <c r="F4" s="198" t="s">
        <v>7</v>
      </c>
      <c r="G4" s="206" t="s">
        <v>31</v>
      </c>
      <c r="H4" s="202" t="s">
        <v>46</v>
      </c>
      <c r="I4" s="202" t="s">
        <v>8</v>
      </c>
      <c r="J4" s="202" t="s">
        <v>26</v>
      </c>
      <c r="K4" s="209" t="s">
        <v>86</v>
      </c>
      <c r="L4" s="65" t="s">
        <v>39</v>
      </c>
      <c r="M4" s="204" t="s">
        <v>25</v>
      </c>
      <c r="N4" s="196" t="s">
        <v>38</v>
      </c>
      <c r="Q4" s="45"/>
    </row>
    <row r="5" spans="1:17" ht="15.75" customHeight="1" x14ac:dyDescent="0.25">
      <c r="A5" s="200"/>
      <c r="B5" s="200"/>
      <c r="C5" s="199"/>
      <c r="D5" s="200"/>
      <c r="E5" s="203"/>
      <c r="F5" s="200"/>
      <c r="G5" s="207"/>
      <c r="H5" s="203"/>
      <c r="I5" s="208"/>
      <c r="J5" s="203"/>
      <c r="K5" s="210"/>
      <c r="L5" s="63" t="str">
        <f>RESUMEN!B8</f>
        <v>VTO 14/11</v>
      </c>
      <c r="M5" s="205"/>
      <c r="N5" s="197"/>
    </row>
    <row r="6" spans="1:17" ht="17.100000000000001" customHeight="1" x14ac:dyDescent="0.25">
      <c r="A6" s="66">
        <v>1</v>
      </c>
      <c r="B6" s="66" t="s">
        <v>61</v>
      </c>
      <c r="C6" s="66"/>
      <c r="D6" s="75">
        <v>6.69</v>
      </c>
      <c r="E6" s="76">
        <v>258261.01</v>
      </c>
      <c r="F6" s="78">
        <f>E6</f>
        <v>258261.01</v>
      </c>
      <c r="G6" s="79">
        <f t="shared" ref="G6:G23" si="0">E6-F6</f>
        <v>0</v>
      </c>
      <c r="H6" s="79">
        <f>IF(G6&gt;0,G6*3%,0)</f>
        <v>0</v>
      </c>
      <c r="I6" s="80">
        <v>0</v>
      </c>
      <c r="J6" s="81">
        <f>L$2*D6/100</f>
        <v>252498.60747300004</v>
      </c>
      <c r="K6" s="168">
        <f t="shared" ref="K6:K23" si="1">F$2*D6/100</f>
        <v>5762.4020639999999</v>
      </c>
      <c r="L6" s="83">
        <f>ROUND(SUM(G6:K6),0) + O6</f>
        <v>258261.01</v>
      </c>
      <c r="M6" s="84">
        <f>ROUND(L6*6% + L6,0) + O6</f>
        <v>273757.01</v>
      </c>
      <c r="N6" s="85">
        <f>ROUND(L6*3%,0) + L6</f>
        <v>266009.01</v>
      </c>
      <c r="O6" s="45">
        <v>0.01</v>
      </c>
    </row>
    <row r="7" spans="1:17" ht="17.100000000000001" customHeight="1" x14ac:dyDescent="0.25">
      <c r="A7" s="66">
        <f>A6+1</f>
        <v>2</v>
      </c>
      <c r="B7" s="66" t="s">
        <v>62</v>
      </c>
      <c r="C7" s="67"/>
      <c r="D7" s="75">
        <v>5.88</v>
      </c>
      <c r="E7" s="76">
        <v>463995.02</v>
      </c>
      <c r="F7" s="78"/>
      <c r="G7" s="79">
        <f t="shared" si="0"/>
        <v>463995.02</v>
      </c>
      <c r="H7" s="79">
        <f t="shared" ref="H7:H23" si="2">IF(G7&gt;0,G7*3%,0)</f>
        <v>13919.8506</v>
      </c>
      <c r="I7" s="80">
        <v>0</v>
      </c>
      <c r="J7" s="81">
        <f t="shared" ref="J7:J23" si="3">L$2*D7%</f>
        <v>221927.02719600001</v>
      </c>
      <c r="K7" s="168">
        <f t="shared" si="1"/>
        <v>5064.7121280000001</v>
      </c>
      <c r="L7" s="83">
        <f t="shared" ref="L7:L23" si="4">ROUND(SUM(G7:K7),0) + O7</f>
        <v>704907.02</v>
      </c>
      <c r="M7" s="84">
        <f t="shared" ref="M7:M23" si="5">ROUND(L7*6% + L7,0) + O7</f>
        <v>747201.02</v>
      </c>
      <c r="N7" s="85">
        <f t="shared" ref="N7:N23" si="6">ROUND(L7*3%,0) + L7</f>
        <v>726054.02</v>
      </c>
      <c r="O7" s="45">
        <f>O6+0.01</f>
        <v>0.02</v>
      </c>
      <c r="P7" s="45"/>
    </row>
    <row r="8" spans="1:17" ht="17.100000000000001" customHeight="1" x14ac:dyDescent="0.25">
      <c r="A8" s="66">
        <f t="shared" ref="A8:A23" si="7">A7+1</f>
        <v>3</v>
      </c>
      <c r="B8" s="66" t="s">
        <v>63</v>
      </c>
      <c r="C8" s="67"/>
      <c r="D8" s="75">
        <v>6.65</v>
      </c>
      <c r="E8" s="76">
        <v>264419.03000000003</v>
      </c>
      <c r="F8" s="78">
        <v>256717</v>
      </c>
      <c r="G8" s="79">
        <f t="shared" si="0"/>
        <v>7702.0300000000279</v>
      </c>
      <c r="H8" s="79">
        <f t="shared" si="2"/>
        <v>231.06090000000083</v>
      </c>
      <c r="I8" s="80">
        <v>0</v>
      </c>
      <c r="J8" s="81">
        <f t="shared" si="3"/>
        <v>250988.89980500005</v>
      </c>
      <c r="K8" s="168">
        <f t="shared" si="1"/>
        <v>5727.9482400000006</v>
      </c>
      <c r="L8" s="83">
        <f t="shared" si="4"/>
        <v>264650.03000000003</v>
      </c>
      <c r="M8" s="84">
        <f t="shared" si="5"/>
        <v>280529.03000000003</v>
      </c>
      <c r="N8" s="85">
        <f t="shared" si="6"/>
        <v>272590.03000000003</v>
      </c>
      <c r="O8" s="45">
        <f t="shared" ref="O8:O24" si="8">O7+0.01</f>
        <v>0.03</v>
      </c>
    </row>
    <row r="9" spans="1:17" ht="17.100000000000001" customHeight="1" x14ac:dyDescent="0.25">
      <c r="A9" s="66">
        <f t="shared" si="7"/>
        <v>4</v>
      </c>
      <c r="B9" s="66" t="s">
        <v>64</v>
      </c>
      <c r="C9" s="67"/>
      <c r="D9" s="75">
        <v>6.73</v>
      </c>
      <c r="E9" s="76">
        <v>259805.04</v>
      </c>
      <c r="F9" s="78">
        <f t="shared" ref="F9:F23" si="9">E9</f>
        <v>259805.04</v>
      </c>
      <c r="G9" s="79">
        <f t="shared" si="0"/>
        <v>0</v>
      </c>
      <c r="H9" s="79">
        <f t="shared" si="2"/>
        <v>0</v>
      </c>
      <c r="I9" s="80">
        <v>0</v>
      </c>
      <c r="J9" s="81">
        <f t="shared" si="3"/>
        <v>254008.31514100003</v>
      </c>
      <c r="K9" s="168">
        <f t="shared" si="1"/>
        <v>5796.855888</v>
      </c>
      <c r="L9" s="83">
        <f t="shared" si="4"/>
        <v>259805.04</v>
      </c>
      <c r="M9" s="84">
        <f t="shared" si="5"/>
        <v>275393.03999999998</v>
      </c>
      <c r="N9" s="85">
        <f t="shared" si="6"/>
        <v>267599.04000000004</v>
      </c>
      <c r="O9" s="45">
        <f t="shared" si="8"/>
        <v>0.04</v>
      </c>
      <c r="Q9" s="45"/>
    </row>
    <row r="10" spans="1:17" ht="17.100000000000001" customHeight="1" x14ac:dyDescent="0.25">
      <c r="A10" s="66">
        <f t="shared" si="7"/>
        <v>5</v>
      </c>
      <c r="B10" s="66" t="s">
        <v>65</v>
      </c>
      <c r="C10" s="67"/>
      <c r="D10" s="75">
        <v>8.0399999999999991</v>
      </c>
      <c r="E10" s="76">
        <v>607351.05000000005</v>
      </c>
      <c r="F10" s="78">
        <f>288325.05+320000</f>
        <v>608325.05000000005</v>
      </c>
      <c r="G10" s="79">
        <f t="shared" si="0"/>
        <v>-974</v>
      </c>
      <c r="H10" s="79">
        <f t="shared" si="2"/>
        <v>0</v>
      </c>
      <c r="I10" s="80">
        <v>0</v>
      </c>
      <c r="J10" s="81">
        <f t="shared" si="3"/>
        <v>303451.24126799998</v>
      </c>
      <c r="K10" s="168">
        <f t="shared" si="1"/>
        <v>6925.2186239999983</v>
      </c>
      <c r="L10" s="83">
        <f t="shared" si="4"/>
        <v>309402.05</v>
      </c>
      <c r="M10" s="84">
        <f t="shared" si="5"/>
        <v>327966.05</v>
      </c>
      <c r="N10" s="85">
        <f t="shared" si="6"/>
        <v>318684.05</v>
      </c>
      <c r="O10" s="45">
        <f t="shared" si="8"/>
        <v>0.05</v>
      </c>
      <c r="Q10" s="45"/>
    </row>
    <row r="11" spans="1:17" ht="17.100000000000001" customHeight="1" x14ac:dyDescent="0.25">
      <c r="A11" s="66">
        <f t="shared" si="7"/>
        <v>6</v>
      </c>
      <c r="B11" s="66" t="s">
        <v>66</v>
      </c>
      <c r="C11" s="66"/>
      <c r="D11" s="75">
        <v>4.7300000000000004</v>
      </c>
      <c r="E11" s="76">
        <v>182597.06</v>
      </c>
      <c r="F11" s="78">
        <f t="shared" si="9"/>
        <v>182597.06</v>
      </c>
      <c r="G11" s="79">
        <f t="shared" si="0"/>
        <v>0</v>
      </c>
      <c r="H11" s="79">
        <f t="shared" si="2"/>
        <v>0</v>
      </c>
      <c r="I11" s="80">
        <v>0</v>
      </c>
      <c r="J11" s="81">
        <f t="shared" si="3"/>
        <v>178522.93174100004</v>
      </c>
      <c r="K11" s="168">
        <f t="shared" si="1"/>
        <v>4074.1646880000003</v>
      </c>
      <c r="L11" s="83">
        <f t="shared" si="4"/>
        <v>182597.06</v>
      </c>
      <c r="M11" s="84">
        <f t="shared" si="5"/>
        <v>193553.06</v>
      </c>
      <c r="N11" s="85">
        <f t="shared" si="6"/>
        <v>188075.06</v>
      </c>
      <c r="O11" s="45">
        <f t="shared" si="8"/>
        <v>6.0000000000000005E-2</v>
      </c>
    </row>
    <row r="12" spans="1:17" ht="17.100000000000001" customHeight="1" x14ac:dyDescent="0.25">
      <c r="A12" s="66">
        <f t="shared" si="7"/>
        <v>7</v>
      </c>
      <c r="B12" s="66" t="s">
        <v>67</v>
      </c>
      <c r="C12" s="66"/>
      <c r="D12" s="75">
        <v>5.67</v>
      </c>
      <c r="E12" s="76">
        <v>218885.07</v>
      </c>
      <c r="F12" s="78">
        <f>E12</f>
        <v>218885.07</v>
      </c>
      <c r="G12" s="79">
        <f t="shared" si="0"/>
        <v>0</v>
      </c>
      <c r="H12" s="79">
        <f t="shared" si="2"/>
        <v>0</v>
      </c>
      <c r="I12" s="80">
        <v>0</v>
      </c>
      <c r="J12" s="81">
        <f t="shared" si="3"/>
        <v>214001.06193900004</v>
      </c>
      <c r="K12" s="168">
        <f t="shared" si="1"/>
        <v>4883.8295519999992</v>
      </c>
      <c r="L12" s="83">
        <f t="shared" si="4"/>
        <v>218885.07</v>
      </c>
      <c r="M12" s="84">
        <f t="shared" si="5"/>
        <v>232018.07</v>
      </c>
      <c r="N12" s="85">
        <f t="shared" si="6"/>
        <v>225452.07</v>
      </c>
      <c r="O12" s="45">
        <f t="shared" si="8"/>
        <v>7.0000000000000007E-2</v>
      </c>
    </row>
    <row r="13" spans="1:17" ht="17.100000000000001" customHeight="1" x14ac:dyDescent="0.25">
      <c r="A13" s="66">
        <f t="shared" si="7"/>
        <v>8</v>
      </c>
      <c r="B13" s="66" t="s">
        <v>68</v>
      </c>
      <c r="C13" s="67"/>
      <c r="D13" s="75">
        <v>5.67</v>
      </c>
      <c r="E13" s="76">
        <v>321893.08</v>
      </c>
      <c r="F13" s="78">
        <f>160000</f>
        <v>160000</v>
      </c>
      <c r="G13" s="79">
        <f t="shared" si="0"/>
        <v>161893.08000000002</v>
      </c>
      <c r="H13" s="79">
        <f t="shared" si="2"/>
        <v>4856.7924000000003</v>
      </c>
      <c r="I13" s="80">
        <v>0</v>
      </c>
      <c r="J13" s="81">
        <f t="shared" si="3"/>
        <v>214001.06193900004</v>
      </c>
      <c r="K13" s="168">
        <f t="shared" si="1"/>
        <v>4883.8295519999992</v>
      </c>
      <c r="L13" s="83">
        <f t="shared" si="4"/>
        <v>385635.08</v>
      </c>
      <c r="M13" s="84">
        <f t="shared" si="5"/>
        <v>408773.08</v>
      </c>
      <c r="N13" s="85">
        <f t="shared" si="6"/>
        <v>397204.08</v>
      </c>
      <c r="O13" s="45">
        <f t="shared" si="8"/>
        <v>0.08</v>
      </c>
      <c r="Q13" t="s">
        <v>90</v>
      </c>
    </row>
    <row r="14" spans="1:17" ht="17.100000000000001" customHeight="1" x14ac:dyDescent="0.25">
      <c r="A14" s="66">
        <f t="shared" si="7"/>
        <v>9</v>
      </c>
      <c r="B14" s="66" t="s">
        <v>69</v>
      </c>
      <c r="C14" s="67"/>
      <c r="D14" s="75">
        <v>7.67</v>
      </c>
      <c r="E14" s="76">
        <v>296093.09000000003</v>
      </c>
      <c r="F14" s="78">
        <f t="shared" si="9"/>
        <v>296093.09000000003</v>
      </c>
      <c r="G14" s="79">
        <f t="shared" si="0"/>
        <v>0</v>
      </c>
      <c r="H14" s="79">
        <f t="shared" si="2"/>
        <v>0</v>
      </c>
      <c r="I14" s="80">
        <v>0</v>
      </c>
      <c r="J14" s="81">
        <f t="shared" si="3"/>
        <v>289486.44533900003</v>
      </c>
      <c r="K14" s="168">
        <f t="shared" si="1"/>
        <v>6606.5207519999994</v>
      </c>
      <c r="L14" s="83">
        <f t="shared" si="4"/>
        <v>296093.09000000003</v>
      </c>
      <c r="M14" s="84">
        <f t="shared" si="5"/>
        <v>313859.09000000003</v>
      </c>
      <c r="N14" s="85">
        <f t="shared" si="6"/>
        <v>304976.09000000003</v>
      </c>
      <c r="O14" s="45">
        <f t="shared" si="8"/>
        <v>0.09</v>
      </c>
    </row>
    <row r="15" spans="1:17" ht="17.100000000000001" customHeight="1" x14ac:dyDescent="0.25">
      <c r="A15" s="66">
        <f t="shared" si="7"/>
        <v>10</v>
      </c>
      <c r="B15" s="66" t="s">
        <v>70</v>
      </c>
      <c r="C15" s="67"/>
      <c r="D15" s="75">
        <v>4.9000000000000004</v>
      </c>
      <c r="E15" s="76">
        <v>189160.1</v>
      </c>
      <c r="F15" s="78">
        <f>E15</f>
        <v>189160.1</v>
      </c>
      <c r="G15" s="79">
        <f t="shared" si="0"/>
        <v>0</v>
      </c>
      <c r="H15" s="79">
        <f t="shared" si="2"/>
        <v>0</v>
      </c>
      <c r="I15" s="80">
        <v>0</v>
      </c>
      <c r="J15" s="81">
        <f t="shared" si="3"/>
        <v>184939.18933000002</v>
      </c>
      <c r="K15" s="168">
        <f t="shared" si="1"/>
        <v>4220.5934400000006</v>
      </c>
      <c r="L15" s="83">
        <f t="shared" si="4"/>
        <v>189160.1</v>
      </c>
      <c r="M15" s="84">
        <f t="shared" si="5"/>
        <v>200510.1</v>
      </c>
      <c r="N15" s="85">
        <f t="shared" si="6"/>
        <v>194835.1</v>
      </c>
      <c r="O15" s="45">
        <f t="shared" si="8"/>
        <v>9.9999999999999992E-2</v>
      </c>
    </row>
    <row r="16" spans="1:17" ht="17.100000000000001" customHeight="1" x14ac:dyDescent="0.25">
      <c r="A16" s="66">
        <f t="shared" si="7"/>
        <v>11</v>
      </c>
      <c r="B16" s="66" t="s">
        <v>71</v>
      </c>
      <c r="C16" s="67"/>
      <c r="D16" s="75">
        <v>5.63</v>
      </c>
      <c r="E16" s="76">
        <v>217341.11</v>
      </c>
      <c r="F16" s="78">
        <f t="shared" si="9"/>
        <v>217341.11</v>
      </c>
      <c r="G16" s="79">
        <f t="shared" si="0"/>
        <v>0</v>
      </c>
      <c r="H16" s="79">
        <f t="shared" si="2"/>
        <v>0</v>
      </c>
      <c r="I16" s="80">
        <v>0</v>
      </c>
      <c r="J16" s="81">
        <f t="shared" si="3"/>
        <v>212491.35427100002</v>
      </c>
      <c r="K16" s="168">
        <f t="shared" si="1"/>
        <v>4849.375728</v>
      </c>
      <c r="L16" s="83">
        <f t="shared" si="4"/>
        <v>217341.11</v>
      </c>
      <c r="M16" s="84">
        <f t="shared" si="5"/>
        <v>230382.11</v>
      </c>
      <c r="N16" s="85">
        <f t="shared" si="6"/>
        <v>223861.11</v>
      </c>
      <c r="O16" s="45">
        <f t="shared" si="8"/>
        <v>0.10999999999999999</v>
      </c>
    </row>
    <row r="17" spans="1:17" ht="17.100000000000001" customHeight="1" x14ac:dyDescent="0.25">
      <c r="A17" s="66">
        <f t="shared" si="7"/>
        <v>12</v>
      </c>
      <c r="B17" s="66" t="s">
        <v>72</v>
      </c>
      <c r="C17" s="67"/>
      <c r="D17" s="75">
        <v>5.55</v>
      </c>
      <c r="E17" s="76">
        <v>214252.12</v>
      </c>
      <c r="F17" s="78">
        <f t="shared" si="9"/>
        <v>214252.12</v>
      </c>
      <c r="G17" s="79">
        <f t="shared" si="0"/>
        <v>0</v>
      </c>
      <c r="H17" s="79">
        <f t="shared" si="2"/>
        <v>0</v>
      </c>
      <c r="I17" s="80">
        <v>0</v>
      </c>
      <c r="J17" s="81">
        <f t="shared" si="3"/>
        <v>209471.93893500001</v>
      </c>
      <c r="K17" s="168">
        <f t="shared" si="1"/>
        <v>4780.4680799999996</v>
      </c>
      <c r="L17" s="83">
        <f t="shared" si="4"/>
        <v>214252.12</v>
      </c>
      <c r="M17" s="84">
        <f t="shared" si="5"/>
        <v>227107.12</v>
      </c>
      <c r="N17" s="85">
        <f t="shared" si="6"/>
        <v>220680.12</v>
      </c>
      <c r="O17" s="45">
        <f t="shared" si="8"/>
        <v>0.11999999999999998</v>
      </c>
    </row>
    <row r="18" spans="1:17" ht="17.100000000000001" customHeight="1" x14ac:dyDescent="0.25">
      <c r="A18" s="66">
        <f t="shared" si="7"/>
        <v>13</v>
      </c>
      <c r="B18" s="66" t="s">
        <v>73</v>
      </c>
      <c r="C18" s="67"/>
      <c r="D18" s="75">
        <v>11.06</v>
      </c>
      <c r="E18" s="76">
        <v>426961.13</v>
      </c>
      <c r="F18" s="78">
        <f>E18</f>
        <v>426961.13</v>
      </c>
      <c r="G18" s="79">
        <f t="shared" si="0"/>
        <v>0</v>
      </c>
      <c r="H18" s="79">
        <f t="shared" si="2"/>
        <v>0</v>
      </c>
      <c r="I18" s="80">
        <v>0</v>
      </c>
      <c r="J18" s="81">
        <f t="shared" si="3"/>
        <v>417434.17020200007</v>
      </c>
      <c r="K18" s="168">
        <f t="shared" si="1"/>
        <v>9526.4823360000009</v>
      </c>
      <c r="L18" s="83">
        <f t="shared" si="4"/>
        <v>426961.13</v>
      </c>
      <c r="M18" s="84">
        <f t="shared" si="5"/>
        <v>452579.13</v>
      </c>
      <c r="N18" s="85">
        <f t="shared" si="6"/>
        <v>439770.13</v>
      </c>
      <c r="O18" s="45">
        <f t="shared" si="8"/>
        <v>0.12999999999999998</v>
      </c>
    </row>
    <row r="19" spans="1:17" ht="17.100000000000001" customHeight="1" x14ac:dyDescent="0.25">
      <c r="A19" s="66">
        <f t="shared" si="7"/>
        <v>14</v>
      </c>
      <c r="B19" s="66" t="s">
        <v>74</v>
      </c>
      <c r="C19" s="67"/>
      <c r="D19" s="75">
        <v>3.3</v>
      </c>
      <c r="E19" s="76">
        <v>350668.14</v>
      </c>
      <c r="F19" s="78">
        <v>50000</v>
      </c>
      <c r="G19" s="79">
        <f t="shared" si="0"/>
        <v>300668.14</v>
      </c>
      <c r="H19" s="79">
        <f t="shared" si="2"/>
        <v>9020.0442000000003</v>
      </c>
      <c r="I19" s="80">
        <v>0</v>
      </c>
      <c r="J19" s="81">
        <f t="shared" si="3"/>
        <v>124550.88261000002</v>
      </c>
      <c r="K19" s="168">
        <f t="shared" si="1"/>
        <v>2842.4404799999993</v>
      </c>
      <c r="L19" s="83">
        <f t="shared" si="4"/>
        <v>437082.14</v>
      </c>
      <c r="M19" s="84">
        <f t="shared" si="5"/>
        <v>463307.14</v>
      </c>
      <c r="N19" s="85">
        <f t="shared" si="6"/>
        <v>450194.14</v>
      </c>
      <c r="O19" s="45">
        <f t="shared" si="8"/>
        <v>0.13999999999999999</v>
      </c>
    </row>
    <row r="20" spans="1:17" ht="17.100000000000001" customHeight="1" x14ac:dyDescent="0.25">
      <c r="A20" s="66">
        <f t="shared" si="7"/>
        <v>15</v>
      </c>
      <c r="B20" s="66" t="s">
        <v>75</v>
      </c>
      <c r="C20" s="67"/>
      <c r="D20" s="75">
        <v>1.8</v>
      </c>
      <c r="E20" s="76">
        <v>69487.149999999994</v>
      </c>
      <c r="F20" s="78">
        <f>E20</f>
        <v>69487.149999999994</v>
      </c>
      <c r="G20" s="79">
        <f t="shared" si="0"/>
        <v>0</v>
      </c>
      <c r="H20" s="79">
        <f t="shared" si="2"/>
        <v>0</v>
      </c>
      <c r="I20" s="80">
        <v>0</v>
      </c>
      <c r="J20" s="81">
        <f t="shared" si="3"/>
        <v>67936.845060000021</v>
      </c>
      <c r="K20" s="168">
        <f t="shared" si="1"/>
        <v>1550.4220800000001</v>
      </c>
      <c r="L20" s="83">
        <f t="shared" si="4"/>
        <v>69487.149999999994</v>
      </c>
      <c r="M20" s="84">
        <f t="shared" si="5"/>
        <v>73656.149999999994</v>
      </c>
      <c r="N20" s="85">
        <f t="shared" si="6"/>
        <v>71572.149999999994</v>
      </c>
      <c r="O20" s="45">
        <f t="shared" si="8"/>
        <v>0.15</v>
      </c>
    </row>
    <row r="21" spans="1:17" ht="17.100000000000001" customHeight="1" x14ac:dyDescent="0.25">
      <c r="A21" s="66">
        <f t="shared" si="7"/>
        <v>16</v>
      </c>
      <c r="B21" s="66" t="s">
        <v>76</v>
      </c>
      <c r="C21" s="66"/>
      <c r="D21" s="75">
        <v>3.22</v>
      </c>
      <c r="E21" s="76">
        <v>124305.16</v>
      </c>
      <c r="F21" s="78">
        <f>E21</f>
        <v>124305.16</v>
      </c>
      <c r="G21" s="79">
        <f t="shared" si="0"/>
        <v>0</v>
      </c>
      <c r="H21" s="79">
        <f t="shared" si="2"/>
        <v>0</v>
      </c>
      <c r="I21" s="80">
        <v>0</v>
      </c>
      <c r="J21" s="81">
        <f t="shared" si="3"/>
        <v>121531.46727400001</v>
      </c>
      <c r="K21" s="168">
        <f t="shared" si="1"/>
        <v>2773.5328319999999</v>
      </c>
      <c r="L21" s="83">
        <f t="shared" si="4"/>
        <v>124305.16</v>
      </c>
      <c r="M21" s="84">
        <f t="shared" si="5"/>
        <v>131763.16</v>
      </c>
      <c r="N21" s="85">
        <f t="shared" si="6"/>
        <v>128034.16</v>
      </c>
      <c r="O21" s="45">
        <f t="shared" si="8"/>
        <v>0.16</v>
      </c>
      <c r="Q21" s="44"/>
    </row>
    <row r="22" spans="1:17" ht="17.100000000000001" customHeight="1" x14ac:dyDescent="0.25">
      <c r="A22" s="66">
        <f t="shared" si="7"/>
        <v>17</v>
      </c>
      <c r="B22" s="66" t="s">
        <v>77</v>
      </c>
      <c r="C22" s="67"/>
      <c r="D22" s="75">
        <v>2.61</v>
      </c>
      <c r="E22" s="77">
        <v>285385.17</v>
      </c>
      <c r="F22" s="78">
        <f>E22</f>
        <v>285385.17</v>
      </c>
      <c r="G22" s="79">
        <f t="shared" si="0"/>
        <v>0</v>
      </c>
      <c r="H22" s="79">
        <f t="shared" si="2"/>
        <v>0</v>
      </c>
      <c r="I22" s="80">
        <v>0</v>
      </c>
      <c r="J22" s="81">
        <f t="shared" si="3"/>
        <v>98508.425337000008</v>
      </c>
      <c r="K22" s="168">
        <f t="shared" si="1"/>
        <v>2248.1120159999996</v>
      </c>
      <c r="L22" s="83">
        <f t="shared" si="4"/>
        <v>100757.17</v>
      </c>
      <c r="M22" s="84">
        <f t="shared" si="5"/>
        <v>106803.17</v>
      </c>
      <c r="N22" s="85">
        <f t="shared" si="6"/>
        <v>103780.17</v>
      </c>
      <c r="O22" s="45">
        <f t="shared" si="8"/>
        <v>0.17</v>
      </c>
    </row>
    <row r="23" spans="1:17" ht="17.100000000000001" customHeight="1" x14ac:dyDescent="0.25">
      <c r="A23" s="66">
        <f t="shared" si="7"/>
        <v>18</v>
      </c>
      <c r="B23" s="66" t="s">
        <v>78</v>
      </c>
      <c r="C23" s="132"/>
      <c r="D23" s="75">
        <v>4.28</v>
      </c>
      <c r="E23" s="76">
        <v>165225.18</v>
      </c>
      <c r="F23" s="78">
        <f t="shared" si="9"/>
        <v>165225.18</v>
      </c>
      <c r="G23" s="79">
        <f t="shared" si="0"/>
        <v>0</v>
      </c>
      <c r="H23" s="79">
        <f t="shared" si="2"/>
        <v>0</v>
      </c>
      <c r="I23" s="80">
        <v>0</v>
      </c>
      <c r="J23" s="81">
        <f t="shared" si="3"/>
        <v>161538.72047600005</v>
      </c>
      <c r="K23" s="168">
        <f t="shared" si="1"/>
        <v>3686.5591680000002</v>
      </c>
      <c r="L23" s="83">
        <f t="shared" si="4"/>
        <v>165225.18</v>
      </c>
      <c r="M23" s="84">
        <f t="shared" si="5"/>
        <v>175139.18</v>
      </c>
      <c r="N23" s="85">
        <f t="shared" si="6"/>
        <v>170182.18</v>
      </c>
      <c r="O23" s="45">
        <f t="shared" si="8"/>
        <v>0.18000000000000002</v>
      </c>
    </row>
    <row r="24" spans="1:17" ht="17.100000000000001" customHeight="1" x14ac:dyDescent="0.25">
      <c r="A24" s="66"/>
      <c r="B24" s="66"/>
      <c r="C24" s="67"/>
      <c r="D24" s="75"/>
      <c r="E24" s="76"/>
      <c r="F24" s="157"/>
      <c r="G24" s="79"/>
      <c r="H24" s="79"/>
      <c r="I24" s="80"/>
      <c r="J24" s="81"/>
      <c r="K24" s="82"/>
      <c r="L24" s="83"/>
      <c r="M24" s="84"/>
      <c r="N24" s="85"/>
      <c r="O24" s="45">
        <f t="shared" si="8"/>
        <v>0.19000000000000003</v>
      </c>
    </row>
    <row r="25" spans="1:17" ht="16.5" hidden="1" customHeight="1" x14ac:dyDescent="0.25">
      <c r="A25" s="86"/>
      <c r="B25" s="66"/>
      <c r="C25" s="67"/>
      <c r="D25" s="75"/>
      <c r="E25" s="88"/>
      <c r="F25" s="89"/>
      <c r="G25" s="90"/>
      <c r="H25" s="79"/>
      <c r="I25" s="80"/>
      <c r="J25" s="91"/>
      <c r="K25" s="92"/>
      <c r="L25" s="83"/>
      <c r="M25" s="84"/>
      <c r="N25" s="85"/>
      <c r="O25" s="45"/>
    </row>
    <row r="26" spans="1:17" ht="22.5" hidden="1" customHeight="1" thickBot="1" x14ac:dyDescent="0.3">
      <c r="A26" s="86"/>
      <c r="B26" s="68"/>
      <c r="C26" s="67"/>
      <c r="D26" s="75"/>
      <c r="E26" s="88"/>
      <c r="F26" s="89"/>
      <c r="G26" s="90"/>
      <c r="H26" s="79"/>
      <c r="I26" s="80"/>
      <c r="J26" s="91"/>
      <c r="K26" s="92"/>
      <c r="L26" s="83"/>
      <c r="M26" s="84"/>
      <c r="N26" s="85"/>
      <c r="O26" s="45"/>
    </row>
    <row r="27" spans="1:17" ht="16.5" hidden="1" customHeight="1" thickBot="1" x14ac:dyDescent="0.3">
      <c r="A27" s="87"/>
      <c r="B27" s="66"/>
      <c r="C27" s="67"/>
      <c r="D27" s="75"/>
      <c r="E27" s="88"/>
      <c r="F27" s="89"/>
      <c r="G27" s="90"/>
      <c r="H27" s="79"/>
      <c r="I27" s="80"/>
      <c r="J27" s="91"/>
      <c r="K27" s="92"/>
      <c r="L27" s="83"/>
      <c r="M27" s="84"/>
      <c r="N27" s="85"/>
      <c r="O27" s="45"/>
    </row>
    <row r="28" spans="1:17" ht="17.100000000000001" customHeight="1" thickBot="1" x14ac:dyDescent="0.3">
      <c r="A28" s="66"/>
      <c r="B28" s="93"/>
      <c r="C28" s="93"/>
      <c r="D28" s="75"/>
      <c r="E28" s="88"/>
      <c r="F28" s="89"/>
      <c r="G28" s="90"/>
      <c r="H28" s="79"/>
      <c r="I28" s="80"/>
      <c r="J28" s="91"/>
      <c r="K28" s="92"/>
      <c r="L28" s="94"/>
      <c r="M28" s="95"/>
      <c r="N28" s="96"/>
      <c r="O28" s="45"/>
    </row>
    <row r="29" spans="1:17" ht="17.100000000000001" customHeight="1" thickBot="1" x14ac:dyDescent="0.3">
      <c r="A29" s="97"/>
      <c r="B29" s="98"/>
      <c r="C29" s="98"/>
      <c r="D29" s="99">
        <f>SUM(D6:D28)</f>
        <v>100.08</v>
      </c>
      <c r="E29" s="55">
        <f>SUM(E6:E28)</f>
        <v>4916084.71</v>
      </c>
      <c r="F29" s="64">
        <f>SUM(F6:F28)</f>
        <v>3982800.4400000004</v>
      </c>
      <c r="G29" s="64">
        <f>SUM(G6:G28)</f>
        <v>933284.27000000014</v>
      </c>
      <c r="H29" s="64">
        <f t="shared" ref="H29:M29" si="10">SUM(H6:H28)</f>
        <v>28027.748100000001</v>
      </c>
      <c r="I29" s="64">
        <f t="shared" si="10"/>
        <v>0</v>
      </c>
      <c r="J29" s="137">
        <f t="shared" si="10"/>
        <v>3777288.5853360011</v>
      </c>
      <c r="K29" s="64">
        <f t="shared" si="10"/>
        <v>86203.467647999991</v>
      </c>
      <c r="L29" s="100">
        <f>SUM(L6:L23)</f>
        <v>4824806.71</v>
      </c>
      <c r="M29" s="100">
        <f t="shared" si="10"/>
        <v>5114296.71</v>
      </c>
      <c r="N29" s="100">
        <f>SUM(N6:N28)</f>
        <v>4969552.71</v>
      </c>
    </row>
    <row r="30" spans="1:17" ht="12.75" customHeight="1" x14ac:dyDescent="0.25">
      <c r="B30" s="52"/>
      <c r="C30" s="52"/>
    </row>
    <row r="31" spans="1:17" hidden="1" x14ac:dyDescent="0.25"/>
    <row r="32" spans="1:17" ht="9" customHeight="1" x14ac:dyDescent="0.25">
      <c r="B32" s="186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86"/>
      <c r="D32" s="186"/>
      <c r="E32" s="186"/>
      <c r="F32" s="186"/>
      <c r="G32" s="186"/>
      <c r="H32" s="186"/>
      <c r="I32" s="186"/>
      <c r="J32" s="186"/>
      <c r="K32" s="186"/>
      <c r="L32" s="186"/>
    </row>
    <row r="33" spans="2:12" ht="12" hidden="1" customHeight="1" x14ac:dyDescent="0.25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</row>
    <row r="34" spans="2:12" ht="12" hidden="1" customHeight="1" x14ac:dyDescent="0.25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</row>
    <row r="35" spans="2:12" ht="12" hidden="1" customHeight="1" x14ac:dyDescent="0.25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spans="2:12" ht="12" hidden="1" customHeight="1" x14ac:dyDescent="0.25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</row>
    <row r="37" spans="2:12" ht="67.5" customHeight="1" x14ac:dyDescent="0.25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</row>
  </sheetData>
  <mergeCells count="15">
    <mergeCell ref="D1:L1"/>
    <mergeCell ref="H4:H5"/>
    <mergeCell ref="E4:E5"/>
    <mergeCell ref="M4:M5"/>
    <mergeCell ref="F4:F5"/>
    <mergeCell ref="G4:G5"/>
    <mergeCell ref="I4:I5"/>
    <mergeCell ref="J4:J5"/>
    <mergeCell ref="K4:K5"/>
    <mergeCell ref="N4:N5"/>
    <mergeCell ref="B32:L37"/>
    <mergeCell ref="C4:C5"/>
    <mergeCell ref="A4:A5"/>
    <mergeCell ref="B4:B5"/>
    <mergeCell ref="D4:D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5" x14ac:dyDescent="0.25"/>
  <sheetData>
    <row r="5" spans="3:5" x14ac:dyDescent="0.25">
      <c r="C5" s="184" t="s">
        <v>92</v>
      </c>
      <c r="E5" t="s">
        <v>93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2025-11-02T18:18:38Z</cp:lastPrinted>
  <dcterms:created xsi:type="dcterms:W3CDTF">2023-09-17T12:29:07Z</dcterms:created>
  <dcterms:modified xsi:type="dcterms:W3CDTF">2025-11-02T18:18:49Z</dcterms:modified>
</cp:coreProperties>
</file>