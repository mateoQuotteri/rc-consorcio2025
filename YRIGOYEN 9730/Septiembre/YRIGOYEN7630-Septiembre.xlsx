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YRIGOYEN 9730\Septiembre\"/>
    </mc:Choice>
  </mc:AlternateContent>
  <xr:revisionPtr revIDLastSave="0" documentId="13_ncr:1_{81FA899B-4E6E-4302-BCCF-B3A1672B5091}" xr6:coauthVersionLast="47" xr6:coauthVersionMax="47" xr10:uidLastSave="{00000000-0000-0000-0000-000000000000}"/>
  <bookViews>
    <workbookView xWindow="-120" yWindow="-120" windowWidth="20730" windowHeight="11160" tabRatio="850" xr2:uid="{00000000-000D-0000-FFFF-FFFF00000000}"/>
  </bookViews>
  <sheets>
    <sheet name="RESUMEN" sheetId="1" r:id="rId1"/>
    <sheet name="PRORRATEO" sheetId="2" r:id="rId2"/>
    <sheet name="ANOTACIONES" sheetId="3" r:id="rId3"/>
  </sheets>
  <definedNames>
    <definedName name="_xlnm.Print_Area" localSheetId="1">PRORRATEO!$A$1:$N$30</definedName>
    <definedName name="_xlnm.Print_Area" localSheetId="0">RESUMEN!$A$1:$E$123</definedName>
  </definedNames>
  <calcPr calcId="181029"/>
</workbook>
</file>

<file path=xl/calcChain.xml><?xml version="1.0" encoding="utf-8"?>
<calcChain xmlns="http://schemas.openxmlformats.org/spreadsheetml/2006/main">
  <c r="F13" i="2" l="1"/>
  <c r="F15" i="2"/>
  <c r="F7" i="2"/>
  <c r="E41" i="1"/>
  <c r="E50" i="1"/>
  <c r="D36" i="1"/>
  <c r="F12" i="2" l="1"/>
  <c r="E67" i="1" l="1"/>
  <c r="E63" i="1"/>
  <c r="E57" i="1"/>
  <c r="E42" i="1"/>
  <c r="F8" i="2" l="1"/>
  <c r="F18" i="2"/>
  <c r="F20" i="2"/>
  <c r="E38" i="1" l="1"/>
  <c r="F21" i="2"/>
  <c r="E48" i="1" l="1"/>
  <c r="E49" i="1" s="1"/>
  <c r="J6" i="2" l="1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6" i="2"/>
  <c r="E46" i="1"/>
  <c r="F9" i="2" l="1"/>
  <c r="F11" i="2"/>
  <c r="F14" i="2"/>
  <c r="F16" i="2"/>
  <c r="F17" i="2"/>
  <c r="F23" i="2"/>
  <c r="F6" i="2"/>
  <c r="B32" i="2" l="1"/>
  <c r="G17" i="2" l="1"/>
  <c r="A7" i="2" l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E79" i="1" l="1"/>
  <c r="E84" i="1" s="1"/>
  <c r="B88" i="1" s="1"/>
  <c r="B104" i="1" l="1"/>
  <c r="B111" i="1"/>
  <c r="B122" i="1"/>
  <c r="B100" i="1" l="1"/>
  <c r="B112" i="1"/>
  <c r="G20" i="2" l="1"/>
  <c r="D33" i="1" l="1"/>
  <c r="L5" i="2" l="1"/>
  <c r="D24" i="1" l="1"/>
  <c r="E34" i="1" s="1"/>
  <c r="O7" i="2" l="1"/>
  <c r="O8" i="2" s="1"/>
  <c r="O9" i="2" s="1"/>
  <c r="O10" i="2" s="1"/>
  <c r="O11" i="2" s="1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F29" i="2" l="1"/>
  <c r="D29" i="2"/>
  <c r="E29" i="2"/>
  <c r="B98" i="1" l="1"/>
  <c r="B113" i="1"/>
  <c r="G7" i="2"/>
  <c r="G8" i="2"/>
  <c r="G9" i="2"/>
  <c r="G10" i="2"/>
  <c r="G11" i="2"/>
  <c r="G12" i="2"/>
  <c r="G13" i="2"/>
  <c r="G14" i="2"/>
  <c r="G15" i="2"/>
  <c r="G16" i="2"/>
  <c r="G18" i="2"/>
  <c r="G19" i="2"/>
  <c r="G21" i="2"/>
  <c r="G22" i="2"/>
  <c r="G23" i="2"/>
  <c r="G6" i="2"/>
  <c r="B89" i="1" l="1"/>
  <c r="G29" i="2"/>
  <c r="H23" i="2"/>
  <c r="H11" i="2"/>
  <c r="H22" i="2"/>
  <c r="H18" i="2"/>
  <c r="H14" i="2"/>
  <c r="H10" i="2"/>
  <c r="H19" i="2"/>
  <c r="H7" i="2"/>
  <c r="H21" i="2"/>
  <c r="H17" i="2"/>
  <c r="H13" i="2"/>
  <c r="H9" i="2"/>
  <c r="H15" i="2"/>
  <c r="H20" i="2"/>
  <c r="H16" i="2"/>
  <c r="H12" i="2"/>
  <c r="H8" i="2"/>
  <c r="H6" i="2"/>
  <c r="I29" i="2"/>
  <c r="H29" i="2" l="1"/>
  <c r="A48" i="1"/>
  <c r="A49" i="1" s="1"/>
  <c r="E71" i="1" l="1"/>
  <c r="J7" i="2" l="1"/>
  <c r="L7" i="2" s="1"/>
  <c r="J8" i="2"/>
  <c r="L8" i="2" s="1"/>
  <c r="J9" i="2"/>
  <c r="L9" i="2" s="1"/>
  <c r="J10" i="2"/>
  <c r="L10" i="2" s="1"/>
  <c r="J11" i="2"/>
  <c r="L11" i="2" s="1"/>
  <c r="J12" i="2"/>
  <c r="L12" i="2" s="1"/>
  <c r="J13" i="2"/>
  <c r="L13" i="2" s="1"/>
  <c r="J14" i="2"/>
  <c r="L14" i="2" s="1"/>
  <c r="J15" i="2"/>
  <c r="L15" i="2" s="1"/>
  <c r="J16" i="2"/>
  <c r="L16" i="2" s="1"/>
  <c r="J17" i="2"/>
  <c r="L17" i="2" s="1"/>
  <c r="J18" i="2"/>
  <c r="L18" i="2" s="1"/>
  <c r="J19" i="2"/>
  <c r="L19" i="2" s="1"/>
  <c r="J20" i="2"/>
  <c r="L20" i="2" s="1"/>
  <c r="J21" i="2"/>
  <c r="L21" i="2" s="1"/>
  <c r="J22" i="2"/>
  <c r="L22" i="2" s="1"/>
  <c r="J23" i="2"/>
  <c r="L23" i="2" s="1"/>
  <c r="L6" i="2"/>
  <c r="L29" i="2" l="1"/>
  <c r="N23" i="2"/>
  <c r="N19" i="2"/>
  <c r="N15" i="2"/>
  <c r="N11" i="2"/>
  <c r="N7" i="2"/>
  <c r="N6" i="2"/>
  <c r="N22" i="2"/>
  <c r="N18" i="2"/>
  <c r="N14" i="2"/>
  <c r="N10" i="2"/>
  <c r="N21" i="2"/>
  <c r="N17" i="2"/>
  <c r="N13" i="2"/>
  <c r="N9" i="2"/>
  <c r="N20" i="2"/>
  <c r="N16" i="2"/>
  <c r="N12" i="2"/>
  <c r="N8" i="2"/>
  <c r="M14" i="2"/>
  <c r="M21" i="2"/>
  <c r="M17" i="2"/>
  <c r="M13" i="2"/>
  <c r="M9" i="2"/>
  <c r="M6" i="2"/>
  <c r="M18" i="2"/>
  <c r="M20" i="2"/>
  <c r="M16" i="2"/>
  <c r="M12" i="2"/>
  <c r="M8" i="2"/>
  <c r="M22" i="2"/>
  <c r="M10" i="2"/>
  <c r="M23" i="2"/>
  <c r="M19" i="2"/>
  <c r="M15" i="2"/>
  <c r="M11" i="2"/>
  <c r="M7" i="2"/>
  <c r="J29" i="2"/>
  <c r="N29" i="2" l="1"/>
  <c r="B87" i="1"/>
  <c r="B110" i="1" s="1"/>
  <c r="B115" i="1" s="1"/>
  <c r="B103" i="1" l="1"/>
  <c r="B105" i="1" s="1"/>
  <c r="B86" i="1"/>
  <c r="K29" i="2" l="1"/>
  <c r="M29" i="2" l="1"/>
</calcChain>
</file>

<file path=xl/sharedStrings.xml><?xml version="1.0" encoding="utf-8"?>
<sst xmlns="http://schemas.openxmlformats.org/spreadsheetml/2006/main" count="129" uniqueCount="116">
  <si>
    <t>LIQUIDACION DE EXPENSAS</t>
  </si>
  <si>
    <t>TOTAL SUELDO</t>
  </si>
  <si>
    <t>TOTAL IMPUESTO</t>
  </si>
  <si>
    <t>TOTAL Aportes y Contribuciones - Sindicato</t>
  </si>
  <si>
    <t>TOTAL ABONOS Y SERVICIOS</t>
  </si>
  <si>
    <t>UF</t>
  </si>
  <si>
    <t>Propietario</t>
  </si>
  <si>
    <t xml:space="preserve">Ingreso </t>
  </si>
  <si>
    <t>Expensas extraor.</t>
  </si>
  <si>
    <t>TOTAL</t>
  </si>
  <si>
    <t>GASTOS ORDINARIOS UNIDADES FUNCIONALES: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</si>
  <si>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</si>
  <si>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</si>
  <si>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</si>
  <si>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</si>
  <si>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</si>
  <si>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 xml:space="preserve">TOTAL </t>
  </si>
  <si>
    <t>APORTES Y CONTRIBUCIONES</t>
  </si>
  <si>
    <t>ABONOS Y SERVICIOS</t>
  </si>
  <si>
    <t>HONORARIOS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</si>
  <si>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</si>
  <si>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</si>
  <si>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</si>
  <si>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</si>
  <si>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</si>
  <si>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Total 2do Vto.</t>
  </si>
  <si>
    <t>Expensas ord.</t>
  </si>
  <si>
    <t>Inquilinos</t>
  </si>
  <si>
    <t>CUIT ADMINISTRACION: 27231256879</t>
  </si>
  <si>
    <t>HORARIOS DE ATENCION: LUNES A VIERNES</t>
  </si>
  <si>
    <t>10 A 16HS - EMERGENCIAS 24HS</t>
  </si>
  <si>
    <t>Deuda o Saldo a favor</t>
  </si>
  <si>
    <t xml:space="preserve">SEGUROS </t>
  </si>
  <si>
    <t>DEPOSITOS NO IDENTIFICADOS</t>
  </si>
  <si>
    <t>RESUMEN</t>
  </si>
  <si>
    <t>HABERES ENCARGADOS</t>
  </si>
  <si>
    <t>Neto</t>
  </si>
  <si>
    <t>Retenciones</t>
  </si>
  <si>
    <t>Total 2do Vto</t>
  </si>
  <si>
    <t>Total 1er Vto</t>
  </si>
  <si>
    <t>ADMINISTRADORA: CAROLINA CANCIANI MP:1148</t>
  </si>
  <si>
    <t>Retenciones SAC</t>
  </si>
  <si>
    <t>SAC</t>
  </si>
  <si>
    <t>GASTOS EXTRAORDINARIOS CON PREVISION:</t>
  </si>
  <si>
    <t xml:space="preserve">Deposito sin identificar 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</si>
  <si>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t>
  </si>
  <si>
    <t>Interes 3%</t>
  </si>
  <si>
    <t>Sueldo encargado Balcazza Leonardo</t>
  </si>
  <si>
    <t>GASTOS EXTRAORDINARIOS:</t>
  </si>
  <si>
    <t>Punitorios mal cobrados</t>
  </si>
  <si>
    <t xml:space="preserve">ARCA </t>
  </si>
  <si>
    <t>CAJA REAL</t>
  </si>
  <si>
    <t xml:space="preserve">Saldo Ord </t>
  </si>
  <si>
    <t xml:space="preserve">PREVISION ORDINARIA </t>
  </si>
  <si>
    <t>Egresos del mes ordinarios</t>
  </si>
  <si>
    <t>Egresos del mes extrordinarios</t>
  </si>
  <si>
    <t>Ingresos</t>
  </si>
  <si>
    <t xml:space="preserve">Punitorios mal cobrados </t>
  </si>
  <si>
    <t xml:space="preserve">MAIL: yrigoyen7630@gmail.com
</t>
  </si>
  <si>
    <t>CONSORCIO DE PROPIETARIOS DEL EDIFICIO CALLE YRIGOYEN 9730</t>
  </si>
  <si>
    <t>CUIT DEL EDIFICIO: 30-55421584-6</t>
  </si>
  <si>
    <t>Diaz Joaquin Andres</t>
  </si>
  <si>
    <t>Marquez, Miguel</t>
  </si>
  <si>
    <t>Matheu, Martha F.</t>
  </si>
  <si>
    <t xml:space="preserve">Hernandez, Susana </t>
  </si>
  <si>
    <t>Rossi, Raul Alfredo</t>
  </si>
  <si>
    <t>Medaglia, Amadeo Juan</t>
  </si>
  <si>
    <t>Solerno, Raul Anibal</t>
  </si>
  <si>
    <t>Cavalli, Maria</t>
  </si>
  <si>
    <t>Lencina, Suzana</t>
  </si>
  <si>
    <t>Castro, Ana Maria</t>
  </si>
  <si>
    <t>Penerbosa, Miguel Angel</t>
  </si>
  <si>
    <t>Smietniansky, Laura</t>
  </si>
  <si>
    <t>Llobera, Fernando</t>
  </si>
  <si>
    <t>Stancati, Victor Dario</t>
  </si>
  <si>
    <t>Russo, Mabel</t>
  </si>
  <si>
    <t>Gamboa, Ana Cecilia</t>
  </si>
  <si>
    <t>Rodriguez, Stella Maris</t>
  </si>
  <si>
    <t>Sieira, Leonardo</t>
  </si>
  <si>
    <t>Sueldo encargado Walter Fernandez</t>
  </si>
  <si>
    <t>AYSA - Nro de cliente 3477073</t>
  </si>
  <si>
    <t>EDESUR - Cliente nro. 1481147</t>
  </si>
  <si>
    <t xml:space="preserve">CBU: 0440060830000011423569                                                                                                          / ALIAS: OMBU.TECLEO.AMOROSAS /                                            TELEFONO: 11 5320-2676  </t>
  </si>
  <si>
    <t xml:space="preserve">Plan de pagos ARCA </t>
  </si>
  <si>
    <t>Metrogas Porteria</t>
  </si>
  <si>
    <t>EDESUR Porteria</t>
  </si>
  <si>
    <t>Arca plan de pagos</t>
  </si>
  <si>
    <t>Ordinarios</t>
  </si>
  <si>
    <t>Arca plan de pagos:</t>
  </si>
  <si>
    <t>Pagos sin identificar</t>
  </si>
  <si>
    <t>CONSTANZA</t>
  </si>
  <si>
    <t>SALDO EN BANCO</t>
  </si>
  <si>
    <t>laurasmiet@gmail.com</t>
  </si>
  <si>
    <t>AGREGAR A LA CADENA</t>
  </si>
  <si>
    <t>Gastos bancarios</t>
  </si>
  <si>
    <t>Mantenimiento de cuenta</t>
  </si>
  <si>
    <t>Honorarios administracion</t>
  </si>
  <si>
    <t>Transf 26/08</t>
  </si>
  <si>
    <t>Subidos en Agost000</t>
  </si>
  <si>
    <t>Federacion patronal - Seguro de vida Poliza nro. 211840604</t>
  </si>
  <si>
    <t>Federacion patronal  Seguro obligatorio de consorcio</t>
  </si>
  <si>
    <t>PENDIENTE PASAR COSAS DE DOARTERO ARREGLO DPTO AGUSTIN</t>
  </si>
  <si>
    <t>VTO 15/10</t>
  </si>
  <si>
    <t>PERÍODO: SEPTIEMBRE</t>
  </si>
  <si>
    <t>Sindicatos mes de SEPTIEMBRE</t>
  </si>
  <si>
    <t>Ascensores lema - Mantenimiento agosto</t>
  </si>
  <si>
    <t>Transf 11/09</t>
  </si>
  <si>
    <t>Gustavo padron - Sr contador honorarios SEPTIEMBRE</t>
  </si>
  <si>
    <t xml:space="preserve">Fumigacion </t>
  </si>
  <si>
    <t>Debito 08/09</t>
  </si>
  <si>
    <t>Articulos de limpieza</t>
  </si>
  <si>
    <t>Debito 12/09</t>
  </si>
  <si>
    <t>Debito 16/09</t>
  </si>
  <si>
    <t>Debito 04/09</t>
  </si>
  <si>
    <t>Doartero Julio  - Cambio de cañeria interna del baño completa y ramal cloacal (Dpto. 10)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</si>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</sst>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-&quot;$&quot;\ * #,##0.0_-;\-&quot;$&quot;\ * #,##0.0_-;_-&quot;$&quot;\ * &quot;-&quot;??_-;_-@_-"/>
    <numFmt numFmtId="167" formatCode="_-&quot;$&quot;\ * #,##0.0_-;\-&quot;$&quot;\ * #,##0.0_-;_-&quot;$&quot;\ * &quot;-&quot;?_-;_-@_-"/>
    <numFmt numFmtId="168" formatCode="_-[$$-2C0A]\ * #,##0.00_-;\-[$$-2C0A]\ * #,##0.00_-;_-[$$-2C0A]\ * &quot;-&quot;??_-;_-@_-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rgb="FFEE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8" fillId="0" borderId="0" applyNumberFormat="0" applyFill="0" applyBorder="0" applyAlignment="0" applyProtection="0"/>
  </cellStyleXfs>
  <cellXfs count="212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8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0" fontId="2" fillId="3" borderId="14" xfId="0" applyFont="1" applyFill="1" applyBorder="1"/>
    <xf numFmtId="0" fontId="2" fillId="3" borderId="16" xfId="0" applyFont="1" applyFill="1" applyBorder="1"/>
    <xf numFmtId="0" fontId="2" fillId="3" borderId="0" xfId="0" applyFont="1" applyFill="1"/>
    <xf numFmtId="0" fontId="2" fillId="3" borderId="17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8" fontId="0" fillId="0" borderId="0" xfId="0" applyNumberFormat="1"/>
    <xf numFmtId="0" fontId="5" fillId="6" borderId="0" xfId="0" applyFont="1" applyFill="1"/>
    <xf numFmtId="164" fontId="3" fillId="0" borderId="0" xfId="0" applyNumberFormat="1" applyFont="1"/>
    <xf numFmtId="0" fontId="6" fillId="0" borderId="1" xfId="0" applyFont="1" applyBorder="1"/>
    <xf numFmtId="4" fontId="0" fillId="0" borderId="0" xfId="0" applyNumberFormat="1"/>
    <xf numFmtId="4" fontId="6" fillId="0" borderId="0" xfId="0" applyNumberFormat="1" applyFont="1"/>
    <xf numFmtId="0" fontId="6" fillId="0" borderId="1" xfId="0" applyFont="1" applyBorder="1" applyAlignment="1">
      <alignment vertical="center" wrapText="1"/>
    </xf>
    <xf numFmtId="0" fontId="7" fillId="0" borderId="1" xfId="0" applyFont="1" applyBorder="1"/>
    <xf numFmtId="0" fontId="2" fillId="4" borderId="1" xfId="0" applyFont="1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1" fillId="2" borderId="0" xfId="0" applyFont="1" applyFill="1"/>
    <xf numFmtId="0" fontId="12" fillId="4" borderId="1" xfId="0" applyFont="1" applyFill="1" applyBorder="1"/>
    <xf numFmtId="0" fontId="13" fillId="4" borderId="1" xfId="0" applyFont="1" applyFill="1" applyBorder="1"/>
    <xf numFmtId="44" fontId="0" fillId="0" borderId="1" xfId="1" applyFont="1" applyBorder="1"/>
    <xf numFmtId="4" fontId="6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44" fontId="3" fillId="2" borderId="1" xfId="1" applyFont="1" applyFill="1" applyBorder="1"/>
    <xf numFmtId="44" fontId="0" fillId="0" borderId="0" xfId="1" applyFont="1"/>
    <xf numFmtId="44" fontId="3" fillId="0" borderId="0" xfId="1" applyFont="1"/>
    <xf numFmtId="0" fontId="9" fillId="2" borderId="0" xfId="0" applyFont="1" applyFill="1"/>
    <xf numFmtId="44" fontId="0" fillId="0" borderId="0" xfId="0" applyNumberFormat="1"/>
    <xf numFmtId="0" fontId="10" fillId="6" borderId="0" xfId="0" applyFont="1" applyFill="1"/>
    <xf numFmtId="44" fontId="10" fillId="6" borderId="0" xfId="1" applyFont="1" applyFill="1"/>
    <xf numFmtId="44" fontId="0" fillId="0" borderId="0" xfId="0" applyNumberFormat="1" applyAlignment="1">
      <alignment wrapText="1"/>
    </xf>
    <xf numFmtId="44" fontId="15" fillId="2" borderId="1" xfId="1" applyFont="1" applyFill="1" applyBorder="1"/>
    <xf numFmtId="0" fontId="0" fillId="4" borderId="0" xfId="0" applyFill="1"/>
    <xf numFmtId="0" fontId="2" fillId="4" borderId="0" xfId="0" applyFont="1" applyFill="1"/>
    <xf numFmtId="0" fontId="14" fillId="0" borderId="0" xfId="0" applyFont="1"/>
    <xf numFmtId="0" fontId="2" fillId="4" borderId="3" xfId="0" applyFont="1" applyFill="1" applyBorder="1"/>
    <xf numFmtId="0" fontId="0" fillId="2" borderId="1" xfId="0" applyFill="1" applyBorder="1"/>
    <xf numFmtId="44" fontId="16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44" fontId="0" fillId="3" borderId="0" xfId="1" applyFont="1" applyFill="1" applyAlignment="1"/>
    <xf numFmtId="44" fontId="0" fillId="3" borderId="8" xfId="1" applyFont="1" applyFill="1" applyBorder="1" applyAlignment="1">
      <alignment vertical="center"/>
    </xf>
    <xf numFmtId="0" fontId="20" fillId="10" borderId="1" xfId="0" applyFont="1" applyFill="1" applyBorder="1"/>
    <xf numFmtId="44" fontId="0" fillId="4" borderId="0" xfId="1" applyFont="1" applyFill="1"/>
    <xf numFmtId="44" fontId="8" fillId="0" borderId="1" xfId="1" applyFont="1" applyBorder="1"/>
    <xf numFmtId="44" fontId="0" fillId="3" borderId="0" xfId="1" applyFont="1" applyFill="1" applyBorder="1" applyAlignment="1">
      <alignment vertical="center"/>
    </xf>
    <xf numFmtId="0" fontId="17" fillId="3" borderId="20" xfId="0" applyFont="1" applyFill="1" applyBorder="1" applyAlignment="1">
      <alignment horizontal="center" vertical="center" wrapText="1"/>
    </xf>
    <xf numFmtId="165" fontId="16" fillId="4" borderId="13" xfId="0" applyNumberFormat="1" applyFont="1" applyFill="1" applyBorder="1"/>
    <xf numFmtId="0" fontId="17" fillId="3" borderId="18" xfId="0" applyFont="1" applyFill="1" applyBorder="1" applyAlignment="1">
      <alignment horizontal="center" vertical="center" wrapText="1"/>
    </xf>
    <xf numFmtId="0" fontId="16" fillId="0" borderId="1" xfId="0" applyFont="1" applyBorder="1"/>
    <xf numFmtId="0" fontId="16" fillId="0" borderId="1" xfId="0" applyFont="1" applyBorder="1" applyAlignment="1">
      <alignment wrapText="1"/>
    </xf>
    <xf numFmtId="0" fontId="16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wrapText="1"/>
    </xf>
    <xf numFmtId="44" fontId="6" fillId="5" borderId="11" xfId="0" applyNumberFormat="1" applyFont="1" applyFill="1" applyBorder="1"/>
    <xf numFmtId="0" fontId="6" fillId="3" borderId="12" xfId="0" applyFont="1" applyFill="1" applyBorder="1"/>
    <xf numFmtId="0" fontId="6" fillId="3" borderId="15" xfId="0" applyFont="1" applyFill="1" applyBorder="1"/>
    <xf numFmtId="0" fontId="6" fillId="3" borderId="0" xfId="0" applyFont="1" applyFill="1"/>
    <xf numFmtId="0" fontId="6" fillId="3" borderId="17" xfId="0" applyFont="1" applyFill="1" applyBorder="1"/>
    <xf numFmtId="0" fontId="16" fillId="0" borderId="1" xfId="0" applyFont="1" applyBorder="1" applyAlignment="1">
      <alignment horizontal="center"/>
    </xf>
    <xf numFmtId="44" fontId="21" fillId="0" borderId="1" xfId="1" applyFont="1" applyBorder="1"/>
    <xf numFmtId="44" fontId="21" fillId="2" borderId="1" xfId="1" applyFont="1" applyFill="1" applyBorder="1"/>
    <xf numFmtId="165" fontId="21" fillId="2" borderId="1" xfId="1" applyNumberFormat="1" applyFont="1" applyFill="1" applyBorder="1"/>
    <xf numFmtId="165" fontId="16" fillId="0" borderId="1" xfId="0" applyNumberFormat="1" applyFont="1" applyBorder="1"/>
    <xf numFmtId="44" fontId="16" fillId="0" borderId="1" xfId="1" applyFont="1" applyBorder="1"/>
    <xf numFmtId="165" fontId="16" fillId="0" borderId="1" xfId="1" applyNumberFormat="1" applyFont="1" applyBorder="1"/>
    <xf numFmtId="44" fontId="16" fillId="0" borderId="6" xfId="1" applyFont="1" applyBorder="1"/>
    <xf numFmtId="44" fontId="21" fillId="0" borderId="27" xfId="1" applyFont="1" applyBorder="1"/>
    <xf numFmtId="44" fontId="21" fillId="0" borderId="6" xfId="1" applyFont="1" applyBorder="1"/>
    <xf numFmtId="44" fontId="21" fillId="0" borderId="31" xfId="1" applyFont="1" applyBorder="1"/>
    <xf numFmtId="0" fontId="16" fillId="0" borderId="7" xfId="0" applyFont="1" applyBorder="1"/>
    <xf numFmtId="0" fontId="16" fillId="0" borderId="23" xfId="0" applyFont="1" applyBorder="1"/>
    <xf numFmtId="44" fontId="21" fillId="0" borderId="2" xfId="1" applyFont="1" applyBorder="1"/>
    <xf numFmtId="44" fontId="21" fillId="2" borderId="2" xfId="1" applyFont="1" applyFill="1" applyBorder="1"/>
    <xf numFmtId="165" fontId="16" fillId="0" borderId="2" xfId="0" applyNumberFormat="1" applyFont="1" applyBorder="1"/>
    <xf numFmtId="165" fontId="16" fillId="0" borderId="2" xfId="1" applyNumberFormat="1" applyFont="1" applyBorder="1"/>
    <xf numFmtId="44" fontId="16" fillId="0" borderId="26" xfId="1" applyFont="1" applyBorder="1"/>
    <xf numFmtId="0" fontId="16" fillId="0" borderId="2" xfId="0" applyFont="1" applyBorder="1"/>
    <xf numFmtId="44" fontId="21" fillId="0" borderId="28" xfId="1" applyFont="1" applyBorder="1"/>
    <xf numFmtId="44" fontId="21" fillId="0" borderId="30" xfId="1" applyFont="1" applyBorder="1"/>
    <xf numFmtId="44" fontId="21" fillId="0" borderId="32" xfId="1" applyFont="1" applyBorder="1"/>
    <xf numFmtId="0" fontId="16" fillId="4" borderId="29" xfId="0" applyFont="1" applyFill="1" applyBorder="1"/>
    <xf numFmtId="0" fontId="16" fillId="4" borderId="13" xfId="0" applyFont="1" applyFill="1" applyBorder="1"/>
    <xf numFmtId="0" fontId="16" fillId="4" borderId="13" xfId="0" applyFont="1" applyFill="1" applyBorder="1" applyAlignment="1">
      <alignment horizontal="center"/>
    </xf>
    <xf numFmtId="44" fontId="16" fillId="4" borderId="21" xfId="0" applyNumberFormat="1" applyFont="1" applyFill="1" applyBorder="1"/>
    <xf numFmtId="0" fontId="2" fillId="3" borderId="10" xfId="0" applyFont="1" applyFill="1" applyBorder="1" applyAlignment="1">
      <alignment horizontal="left"/>
    </xf>
    <xf numFmtId="0" fontId="6" fillId="7" borderId="9" xfId="0" applyFont="1" applyFill="1" applyBorder="1"/>
    <xf numFmtId="44" fontId="6" fillId="7" borderId="11" xfId="0" applyNumberFormat="1" applyFont="1" applyFill="1" applyBorder="1"/>
    <xf numFmtId="44" fontId="14" fillId="8" borderId="8" xfId="1" applyFont="1" applyFill="1" applyBorder="1" applyAlignment="1">
      <alignment vertical="center"/>
    </xf>
    <xf numFmtId="0" fontId="4" fillId="0" borderId="1" xfId="0" applyFont="1" applyBorder="1"/>
    <xf numFmtId="44" fontId="11" fillId="4" borderId="21" xfId="1" applyFont="1" applyFill="1" applyBorder="1"/>
    <xf numFmtId="0" fontId="23" fillId="0" borderId="1" xfId="1" applyNumberFormat="1" applyFont="1" applyBorder="1" applyAlignment="1">
      <alignment horizontal="left"/>
    </xf>
    <xf numFmtId="0" fontId="0" fillId="0" borderId="6" xfId="0" applyBorder="1" applyAlignment="1">
      <alignment horizontal="left" vertical="center" wrapText="1"/>
    </xf>
    <xf numFmtId="44" fontId="4" fillId="2" borderId="6" xfId="1" applyFont="1" applyFill="1" applyBorder="1"/>
    <xf numFmtId="0" fontId="0" fillId="0" borderId="25" xfId="0" applyBorder="1" applyAlignment="1">
      <alignment horizontal="left" vertical="center" wrapText="1"/>
    </xf>
    <xf numFmtId="44" fontId="23" fillId="2" borderId="1" xfId="1" applyFont="1" applyFill="1" applyBorder="1"/>
    <xf numFmtId="8" fontId="8" fillId="4" borderId="22" xfId="0" applyNumberFormat="1" applyFont="1" applyFill="1" applyBorder="1"/>
    <xf numFmtId="0" fontId="23" fillId="0" borderId="4" xfId="0" applyFont="1" applyBorder="1"/>
    <xf numFmtId="0" fontId="8" fillId="8" borderId="6" xfId="0" applyFont="1" applyFill="1" applyBorder="1"/>
    <xf numFmtId="44" fontId="11" fillId="8" borderId="13" xfId="1" applyFont="1" applyFill="1" applyBorder="1"/>
    <xf numFmtId="0" fontId="4" fillId="0" borderId="0" xfId="0" applyFont="1"/>
    <xf numFmtId="0" fontId="23" fillId="0" borderId="17" xfId="0" applyFont="1" applyBorder="1"/>
    <xf numFmtId="0" fontId="8" fillId="5" borderId="10" xfId="0" applyFont="1" applyFill="1" applyBorder="1"/>
    <xf numFmtId="44" fontId="11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44" fontId="0" fillId="0" borderId="0" xfId="1" applyFont="1" applyBorder="1"/>
    <xf numFmtId="0" fontId="3" fillId="0" borderId="1" xfId="0" applyFont="1" applyBorder="1" applyAlignment="1">
      <alignment vertical="center" wrapText="1"/>
    </xf>
    <xf numFmtId="44" fontId="10" fillId="6" borderId="0" xfId="0" applyNumberFormat="1" applyFont="1" applyFill="1"/>
    <xf numFmtId="44" fontId="3" fillId="0" borderId="1" xfId="1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0" fillId="2" borderId="0" xfId="0" applyFill="1"/>
    <xf numFmtId="44" fontId="6" fillId="6" borderId="1" xfId="1" applyFont="1" applyFill="1" applyBorder="1"/>
    <xf numFmtId="166" fontId="0" fillId="0" borderId="0" xfId="0" applyNumberFormat="1"/>
    <xf numFmtId="167" fontId="0" fillId="0" borderId="0" xfId="0" applyNumberFormat="1"/>
    <xf numFmtId="44" fontId="9" fillId="2" borderId="6" xfId="1" applyFont="1" applyFill="1" applyBorder="1"/>
    <xf numFmtId="0" fontId="22" fillId="0" borderId="1" xfId="0" applyFont="1" applyBorder="1"/>
    <xf numFmtId="166" fontId="0" fillId="3" borderId="0" xfId="1" applyNumberFormat="1" applyFont="1" applyFill="1" applyAlignment="1"/>
    <xf numFmtId="0" fontId="10" fillId="6" borderId="2" xfId="0" applyFont="1" applyFill="1" applyBorder="1"/>
    <xf numFmtId="44" fontId="0" fillId="0" borderId="2" xfId="1" applyFont="1" applyBorder="1"/>
    <xf numFmtId="0" fontId="0" fillId="0" borderId="0" xfId="0" applyAlignment="1">
      <alignment horizontal="left" vertical="center" wrapText="1"/>
    </xf>
    <xf numFmtId="166" fontId="16" fillId="4" borderId="13" xfId="0" applyNumberFormat="1" applyFont="1" applyFill="1" applyBorder="1"/>
    <xf numFmtId="0" fontId="2" fillId="11" borderId="33" xfId="0" applyFont="1" applyFill="1" applyBorder="1" applyAlignment="1">
      <alignment horizontal="left" vertical="center" wrapText="1"/>
    </xf>
    <xf numFmtId="44" fontId="2" fillId="11" borderId="29" xfId="1" applyFont="1" applyFill="1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44" fontId="0" fillId="0" borderId="1" xfId="1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43" fontId="0" fillId="0" borderId="0" xfId="0" applyNumberFormat="1"/>
    <xf numFmtId="0" fontId="0" fillId="10" borderId="1" xfId="0" applyFill="1" applyBorder="1"/>
    <xf numFmtId="8" fontId="6" fillId="4" borderId="21" xfId="1" applyNumberFormat="1" applyFont="1" applyFill="1" applyBorder="1"/>
    <xf numFmtId="44" fontId="24" fillId="4" borderId="3" xfId="1" applyFont="1" applyFill="1" applyBorder="1"/>
    <xf numFmtId="44" fontId="3" fillId="0" borderId="3" xfId="1" applyFont="1" applyBorder="1" applyAlignment="1">
      <alignment wrapText="1"/>
    </xf>
    <xf numFmtId="8" fontId="6" fillId="4" borderId="13" xfId="1" applyNumberFormat="1" applyFont="1" applyFill="1" applyBorder="1"/>
    <xf numFmtId="44" fontId="6" fillId="4" borderId="1" xfId="1" applyFont="1" applyFill="1" applyBorder="1"/>
    <xf numFmtId="44" fontId="3" fillId="2" borderId="1" xfId="1" applyFont="1" applyFill="1" applyBorder="1" applyAlignment="1">
      <alignment wrapText="1"/>
    </xf>
    <xf numFmtId="44" fontId="6" fillId="4" borderId="21" xfId="1" applyFont="1" applyFill="1" applyBorder="1"/>
    <xf numFmtId="0" fontId="0" fillId="4" borderId="1" xfId="0" applyFill="1" applyBorder="1"/>
    <xf numFmtId="44" fontId="3" fillId="4" borderId="3" xfId="1" applyFont="1" applyFill="1" applyBorder="1"/>
    <xf numFmtId="44" fontId="6" fillId="4" borderId="13" xfId="1" applyFont="1" applyFill="1" applyBorder="1"/>
    <xf numFmtId="44" fontId="6" fillId="4" borderId="2" xfId="1" applyFont="1" applyFill="1" applyBorder="1"/>
    <xf numFmtId="44" fontId="3" fillId="2" borderId="3" xfId="1" applyFont="1" applyFill="1" applyBorder="1"/>
    <xf numFmtId="166" fontId="25" fillId="2" borderId="1" xfId="1" applyNumberFormat="1" applyFont="1" applyFill="1" applyBorder="1"/>
    <xf numFmtId="0" fontId="0" fillId="9" borderId="0" xfId="0" applyFill="1"/>
    <xf numFmtId="0" fontId="0" fillId="0" borderId="7" xfId="0" applyBorder="1" applyAlignment="1">
      <alignment horizontal="left" vertical="center" wrapText="1"/>
    </xf>
    <xf numFmtId="8" fontId="4" fillId="2" borderId="1" xfId="0" applyNumberFormat="1" applyFont="1" applyFill="1" applyBorder="1"/>
    <xf numFmtId="0" fontId="23" fillId="2" borderId="1" xfId="0" applyFont="1" applyFill="1" applyBorder="1"/>
    <xf numFmtId="0" fontId="23" fillId="2" borderId="1" xfId="1" applyNumberFormat="1" applyFont="1" applyFill="1" applyBorder="1" applyAlignment="1"/>
    <xf numFmtId="0" fontId="23" fillId="2" borderId="2" xfId="1" applyNumberFormat="1" applyFont="1" applyFill="1" applyBorder="1" applyAlignment="1"/>
    <xf numFmtId="44" fontId="4" fillId="2" borderId="1" xfId="1" applyFont="1" applyFill="1" applyBorder="1"/>
    <xf numFmtId="0" fontId="17" fillId="0" borderId="1" xfId="1" applyNumberFormat="1" applyFont="1" applyBorder="1"/>
    <xf numFmtId="0" fontId="0" fillId="0" borderId="6" xfId="0" applyBorder="1" applyAlignment="1">
      <alignment horizontal="left" vertical="center"/>
    </xf>
    <xf numFmtId="168" fontId="0" fillId="3" borderId="0" xfId="0" applyNumberFormat="1" applyFill="1"/>
    <xf numFmtId="165" fontId="16" fillId="0" borderId="6" xfId="1" applyNumberFormat="1" applyFont="1" applyBorder="1"/>
    <xf numFmtId="8" fontId="26" fillId="10" borderId="1" xfId="0" applyNumberFormat="1" applyFont="1" applyFill="1" applyBorder="1"/>
    <xf numFmtId="8" fontId="4" fillId="2" borderId="6" xfId="0" applyNumberFormat="1" applyFont="1" applyFill="1" applyBorder="1"/>
    <xf numFmtId="8" fontId="26" fillId="10" borderId="6" xfId="0" applyNumberFormat="1" applyFont="1" applyFill="1" applyBorder="1"/>
    <xf numFmtId="8" fontId="8" fillId="4" borderId="6" xfId="0" applyNumberFormat="1" applyFont="1" applyFill="1" applyBorder="1"/>
    <xf numFmtId="8" fontId="12" fillId="4" borderId="1" xfId="0" applyNumberFormat="1" applyFont="1" applyFill="1" applyBorder="1"/>
    <xf numFmtId="8" fontId="4" fillId="2" borderId="1" xfId="0" applyNumberFormat="1" applyFont="1" applyFill="1" applyBorder="1" applyAlignment="1">
      <alignment horizontal="right"/>
    </xf>
    <xf numFmtId="44" fontId="8" fillId="4" borderId="6" xfId="1" applyFont="1" applyFill="1" applyBorder="1"/>
    <xf numFmtId="44" fontId="8" fillId="4" borderId="1" xfId="1" applyFont="1" applyFill="1" applyBorder="1"/>
    <xf numFmtId="44" fontId="4" fillId="2" borderId="1" xfId="1" applyFont="1" applyFill="1" applyBorder="1" applyAlignment="1">
      <alignment wrapText="1"/>
    </xf>
    <xf numFmtId="44" fontId="4" fillId="2" borderId="1" xfId="1" applyFont="1" applyFill="1" applyBorder="1" applyAlignment="1"/>
    <xf numFmtId="44" fontId="4" fillId="4" borderId="1" xfId="1" applyFont="1" applyFill="1" applyBorder="1"/>
    <xf numFmtId="44" fontId="4" fillId="0" borderId="1" xfId="1" applyFont="1" applyBorder="1"/>
    <xf numFmtId="44" fontId="4" fillId="4" borderId="6" xfId="1" applyFont="1" applyFill="1" applyBorder="1"/>
    <xf numFmtId="44" fontId="8" fillId="4" borderId="6" xfId="1" applyFont="1" applyFill="1" applyBorder="1" applyAlignment="1">
      <alignment horizontal="center"/>
    </xf>
    <xf numFmtId="166" fontId="0" fillId="2" borderId="0" xfId="1" applyNumberFormat="1" applyFont="1" applyFill="1" applyAlignment="1"/>
    <xf numFmtId="44" fontId="27" fillId="0" borderId="1" xfId="1" applyFont="1" applyBorder="1" applyAlignment="1">
      <alignment horizontal="left" vertical="center" wrapText="1"/>
    </xf>
    <xf numFmtId="0" fontId="28" fillId="0" borderId="0" xfId="3"/>
    <xf numFmtId="0" fontId="2" fillId="9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29" xfId="0" applyFont="1" applyFill="1" applyBorder="1" applyAlignment="1">
      <alignment horizontal="left" vertical="center" wrapText="1"/>
    </xf>
    <xf numFmtId="0" fontId="18" fillId="7" borderId="0" xfId="0" applyFont="1" applyFill="1" applyAlignment="1">
      <alignment horizontal="center" vertical="center" wrapText="1"/>
    </xf>
    <xf numFmtId="0" fontId="19" fillId="9" borderId="0" xfId="0" applyFont="1" applyFill="1" applyAlignment="1">
      <alignment horizontal="center" vertical="center"/>
    </xf>
    <xf numFmtId="0" fontId="17" fillId="3" borderId="18" xfId="0" applyFont="1" applyFill="1" applyBorder="1" applyAlignment="1">
      <alignment horizontal="center" vertical="center" wrapText="1"/>
    </xf>
    <xf numFmtId="0" fontId="17" fillId="3" borderId="19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/>
    </xf>
    <xf numFmtId="0" fontId="14" fillId="3" borderId="20" xfId="0" applyFont="1" applyFill="1" applyBorder="1" applyAlignment="1">
      <alignment horizontal="center" vertical="center"/>
    </xf>
    <xf numFmtId="0" fontId="14" fillId="3" borderId="19" xfId="0" applyFont="1" applyFill="1" applyBorder="1" applyAlignment="1">
      <alignment horizontal="center" vertical="center"/>
    </xf>
    <xf numFmtId="0" fontId="0" fillId="3" borderId="0" xfId="0" applyFill="1" applyAlignment="1">
      <alignment horizontal="left"/>
    </xf>
    <xf numFmtId="0" fontId="14" fillId="3" borderId="18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17" fillId="3" borderId="14" xfId="0" applyFont="1" applyFill="1" applyBorder="1" applyAlignment="1">
      <alignment horizontal="center" vertical="center" wrapText="1"/>
    </xf>
    <xf numFmtId="0" fontId="17" fillId="3" borderId="16" xfId="0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center" vertical="center" wrapText="1"/>
    </xf>
    <xf numFmtId="0" fontId="16" fillId="3" borderId="20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/>
    </xf>
  </cellXfs>
  <cellStyles count="4">
    <cellStyle name="Hipervínculo" xfId="3" builtinId="8"/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47625</xdr:rowOff>
    </xdr:from>
    <xdr:to>
      <xdr:col>0</xdr:col>
      <xdr:colOff>2247900</xdr:colOff>
      <xdr:row>2</xdr:row>
      <xdr:rowOff>742950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47650"/>
          <a:ext cx="2162175" cy="10763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laurasmie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7"/>
  <sheetViews>
    <sheetView tabSelected="1" topLeftCell="A62" workbookViewId="0">
      <selection activeCell="E71" sqref="E71"/>
    </sheetView>
  </sheetViews>
  <sheetFormatPr baseColWidth="10" defaultRowHeight="15" x14ac:dyDescent="0.25"/>
  <cols>
    <col min="1" max="1" width="37.5703125" customWidth="1"/>
    <col min="2" max="2" width="24.7109375" customWidth="1"/>
    <col min="3" max="3" width="15.85546875" hidden="1" customWidth="1"/>
    <col min="4" max="4" width="21.7109375" customWidth="1"/>
    <col min="5" max="5" width="14.7109375" customWidth="1"/>
    <col min="6" max="6" width="13" bestFit="1" customWidth="1"/>
    <col min="7" max="7" width="14.5703125" bestFit="1" customWidth="1"/>
    <col min="8" max="8" width="12" bestFit="1" customWidth="1"/>
    <col min="11" max="11" width="18" customWidth="1"/>
    <col min="12" max="12" width="18.28515625" customWidth="1"/>
  </cols>
  <sheetData>
    <row r="1" spans="1:5" x14ac:dyDescent="0.25">
      <c r="A1" s="15"/>
      <c r="B1" s="71" t="s">
        <v>58</v>
      </c>
      <c r="C1" s="71"/>
      <c r="D1" s="71"/>
      <c r="E1" s="72"/>
    </row>
    <row r="2" spans="1:5" x14ac:dyDescent="0.25">
      <c r="A2" s="16"/>
      <c r="B2" s="73" t="s">
        <v>28</v>
      </c>
      <c r="C2" s="73"/>
      <c r="D2" s="73"/>
      <c r="E2" s="74"/>
    </row>
    <row r="3" spans="1:5" ht="70.5" customHeight="1" thickBot="1" x14ac:dyDescent="0.3">
      <c r="A3" s="16"/>
      <c r="B3" s="192" t="s">
        <v>82</v>
      </c>
      <c r="C3" s="192"/>
      <c r="D3" s="192"/>
      <c r="E3" s="193"/>
    </row>
    <row r="4" spans="1:5" ht="15.75" thickBot="1" x14ac:dyDescent="0.3">
      <c r="A4" s="19" t="s">
        <v>0</v>
      </c>
      <c r="B4" s="101" t="s">
        <v>40</v>
      </c>
      <c r="C4" s="20"/>
      <c r="D4" s="20"/>
      <c r="E4" s="21"/>
    </row>
    <row r="5" spans="1:5" ht="15.75" thickBot="1" x14ac:dyDescent="0.3">
      <c r="A5" s="16" t="s">
        <v>60</v>
      </c>
      <c r="B5" s="20" t="s">
        <v>103</v>
      </c>
      <c r="C5" s="17"/>
      <c r="D5" s="73" t="s">
        <v>29</v>
      </c>
      <c r="E5" s="18"/>
    </row>
    <row r="6" spans="1:5" ht="15.75" thickBot="1" x14ac:dyDescent="0.3">
      <c r="A6" s="19" t="s">
        <v>59</v>
      </c>
      <c r="B6" s="20"/>
      <c r="C6" s="20"/>
      <c r="D6" s="20" t="s">
        <v>30</v>
      </c>
      <c r="E6" s="21"/>
    </row>
    <row r="8" spans="1:5" x14ac:dyDescent="0.25">
      <c r="B8" s="195" t="s">
        <v>102</v>
      </c>
      <c r="C8" s="195"/>
    </row>
    <row r="9" spans="1:5" x14ac:dyDescent="0.25">
      <c r="B9" s="195"/>
      <c r="C9" s="195"/>
    </row>
    <row r="10" spans="1:5" x14ac:dyDescent="0.25">
      <c r="B10" s="195"/>
      <c r="C10" s="195"/>
    </row>
    <row r="12" spans="1:5" hidden="1" x14ac:dyDescent="0.25"/>
    <row r="13" spans="1:5" ht="15" customHeight="1" x14ac:dyDescent="0.25">
      <c r="A13" s="194" t="s">
        <v>45</v>
      </c>
      <c r="B13" s="194"/>
      <c r="C13" s="194"/>
      <c r="D13" s="194"/>
      <c r="E13" s="194"/>
    </row>
    <row r="14" spans="1:5" ht="15" customHeight="1" x14ac:dyDescent="0.25">
      <c r="A14" s="194"/>
      <c r="B14" s="194"/>
      <c r="C14" s="194"/>
      <c r="D14" s="194"/>
      <c r="E14" s="194"/>
    </row>
    <row r="15" spans="1:5" ht="15" customHeight="1" x14ac:dyDescent="0.25">
      <c r="A15" s="194"/>
      <c r="B15" s="194"/>
      <c r="C15" s="194"/>
      <c r="D15" s="194"/>
      <c r="E15" s="194"/>
    </row>
    <row r="16" spans="1:5" ht="53.25" customHeight="1" x14ac:dyDescent="0.25">
      <c r="A16" s="194"/>
      <c r="B16" s="194"/>
      <c r="C16" s="194"/>
      <c r="D16" s="194"/>
      <c r="E16" s="194"/>
    </row>
    <row r="17" spans="1:7" ht="14.25" customHeight="1" thickBot="1" x14ac:dyDescent="0.3"/>
    <row r="18" spans="1:7" hidden="1" x14ac:dyDescent="0.25">
      <c r="A18" s="2"/>
    </row>
    <row r="19" spans="1:7" ht="15.75" hidden="1" thickBot="1" x14ac:dyDescent="0.3"/>
    <row r="20" spans="1:7" x14ac:dyDescent="0.25">
      <c r="A20" s="11" t="s">
        <v>10</v>
      </c>
      <c r="B20" s="12"/>
      <c r="C20" s="13"/>
      <c r="D20" s="9"/>
      <c r="E20" s="14"/>
    </row>
    <row r="21" spans="1:7" x14ac:dyDescent="0.25">
      <c r="A21" s="36" t="s">
        <v>35</v>
      </c>
      <c r="B21" s="36"/>
      <c r="C21" s="36"/>
      <c r="D21" s="35"/>
      <c r="E21" s="35"/>
    </row>
    <row r="22" spans="1:7" x14ac:dyDescent="0.25">
      <c r="A22" s="5" t="s">
        <v>79</v>
      </c>
      <c r="B22" s="5"/>
      <c r="C22" s="5"/>
      <c r="D22" s="160">
        <v>748673</v>
      </c>
      <c r="E22" s="5"/>
    </row>
    <row r="23" spans="1:7" hidden="1" x14ac:dyDescent="0.25">
      <c r="A23" s="5"/>
      <c r="B23" s="5"/>
      <c r="C23" s="5"/>
      <c r="D23" s="160"/>
      <c r="E23" s="5"/>
    </row>
    <row r="24" spans="1:7" ht="14.25" customHeight="1" x14ac:dyDescent="0.25">
      <c r="A24" s="59" t="s">
        <v>36</v>
      </c>
      <c r="B24" s="59"/>
      <c r="C24" s="59"/>
      <c r="D24" s="169">
        <f>SUM(D22:D23)</f>
        <v>748673</v>
      </c>
      <c r="E24" s="144"/>
      <c r="G24" s="22"/>
    </row>
    <row r="25" spans="1:7" ht="14.25" hidden="1" customHeight="1" x14ac:dyDescent="0.25">
      <c r="A25" s="5" t="s">
        <v>47</v>
      </c>
      <c r="B25" s="5"/>
      <c r="C25" s="5"/>
      <c r="D25" s="160"/>
      <c r="E25" s="5"/>
    </row>
    <row r="26" spans="1:7" hidden="1" x14ac:dyDescent="0.25">
      <c r="A26" s="29"/>
      <c r="B26" s="5"/>
      <c r="C26" s="5"/>
      <c r="D26" s="160"/>
      <c r="E26" s="5"/>
    </row>
    <row r="27" spans="1:7" hidden="1" x14ac:dyDescent="0.25">
      <c r="A27" s="5"/>
      <c r="B27" s="5"/>
      <c r="C27" s="5"/>
      <c r="D27" s="160"/>
      <c r="E27" s="5"/>
    </row>
    <row r="28" spans="1:7" hidden="1" x14ac:dyDescent="0.25">
      <c r="A28" s="5"/>
      <c r="B28" s="5"/>
      <c r="C28" s="5"/>
      <c r="D28" s="170"/>
      <c r="E28" s="5"/>
    </row>
    <row r="29" spans="1:7" ht="0.75" hidden="1" customHeight="1" x14ac:dyDescent="0.25">
      <c r="A29" s="5" t="s">
        <v>42</v>
      </c>
      <c r="B29" s="5"/>
      <c r="C29" s="5"/>
      <c r="D29" s="170"/>
      <c r="E29" s="5"/>
    </row>
    <row r="30" spans="1:7" hidden="1" x14ac:dyDescent="0.25">
      <c r="A30" s="5" t="s">
        <v>41</v>
      </c>
      <c r="B30" s="5"/>
      <c r="C30" s="5"/>
      <c r="D30" s="170"/>
      <c r="E30" s="5"/>
    </row>
    <row r="31" spans="1:7" hidden="1" x14ac:dyDescent="0.25">
      <c r="A31" s="5" t="s">
        <v>37</v>
      </c>
      <c r="B31" s="5"/>
      <c r="C31" s="5"/>
      <c r="D31" s="170">
        <v>0</v>
      </c>
      <c r="E31" s="5"/>
    </row>
    <row r="32" spans="1:7" ht="1.5" hidden="1" customHeight="1" x14ac:dyDescent="0.25">
      <c r="A32" s="5"/>
      <c r="B32" s="5"/>
      <c r="C32" s="5"/>
      <c r="D32" s="170"/>
      <c r="E32" s="5"/>
    </row>
    <row r="33" spans="1:8" hidden="1" x14ac:dyDescent="0.25">
      <c r="A33" s="59" t="s">
        <v>36</v>
      </c>
      <c r="B33" s="59"/>
      <c r="C33" s="59"/>
      <c r="D33" s="171">
        <f>SUM(D25:D32)</f>
        <v>0</v>
      </c>
      <c r="E33" s="144"/>
    </row>
    <row r="34" spans="1:8" ht="15.75" thickBot="1" x14ac:dyDescent="0.3">
      <c r="A34" s="30" t="s">
        <v>1</v>
      </c>
      <c r="B34" s="30"/>
      <c r="C34" s="30"/>
      <c r="D34" s="172"/>
      <c r="E34" s="145">
        <f>D24+D33</f>
        <v>748673</v>
      </c>
      <c r="F34" s="22"/>
    </row>
    <row r="35" spans="1:8" x14ac:dyDescent="0.25">
      <c r="A35" s="36" t="s">
        <v>19</v>
      </c>
      <c r="B35" s="36"/>
      <c r="C35" s="36"/>
      <c r="D35" s="173"/>
      <c r="E35" s="146"/>
    </row>
    <row r="36" spans="1:8" ht="15" customHeight="1" x14ac:dyDescent="0.25">
      <c r="A36" s="190" t="s">
        <v>107</v>
      </c>
      <c r="B36" s="191"/>
      <c r="C36" s="54"/>
      <c r="D36" s="160">
        <f>30000</f>
        <v>30000</v>
      </c>
      <c r="E36" s="147"/>
    </row>
    <row r="37" spans="1:8" ht="15" customHeight="1" thickBot="1" x14ac:dyDescent="0.3">
      <c r="A37" s="190" t="s">
        <v>96</v>
      </c>
      <c r="B37" s="191"/>
      <c r="C37" s="54"/>
      <c r="D37" s="174">
        <v>112400</v>
      </c>
      <c r="E37" s="147"/>
      <c r="H37" s="158" t="s">
        <v>98</v>
      </c>
    </row>
    <row r="38" spans="1:8" ht="15.75" thickBot="1" x14ac:dyDescent="0.3">
      <c r="A38" s="30" t="s">
        <v>16</v>
      </c>
      <c r="B38" s="30"/>
      <c r="C38" s="30"/>
      <c r="D38" s="175"/>
      <c r="E38" s="148">
        <f>SUM(D36:D37)</f>
        <v>142400</v>
      </c>
    </row>
    <row r="39" spans="1:8" x14ac:dyDescent="0.25">
      <c r="A39" s="36" t="s">
        <v>32</v>
      </c>
      <c r="B39" s="30"/>
      <c r="C39" s="30"/>
      <c r="D39" s="176"/>
      <c r="E39" s="149"/>
    </row>
    <row r="40" spans="1:8" s="39" customFormat="1" ht="14.25" customHeight="1" x14ac:dyDescent="0.25">
      <c r="A40" s="188" t="s">
        <v>99</v>
      </c>
      <c r="B40" s="189"/>
      <c r="C40" s="56"/>
      <c r="D40" s="177">
        <v>26570</v>
      </c>
      <c r="E40" s="161" t="s">
        <v>113</v>
      </c>
    </row>
    <row r="41" spans="1:8" ht="14.25" customHeight="1" x14ac:dyDescent="0.25">
      <c r="A41" s="188" t="s">
        <v>100</v>
      </c>
      <c r="B41" s="189"/>
      <c r="C41" s="56"/>
      <c r="D41" s="178">
        <v>54278</v>
      </c>
      <c r="E41" s="150" t="str">
        <f>E40</f>
        <v>Debito 04/09</v>
      </c>
    </row>
    <row r="42" spans="1:8" ht="15.75" thickBot="1" x14ac:dyDescent="0.3">
      <c r="A42" s="30" t="s">
        <v>2</v>
      </c>
      <c r="B42" s="30"/>
      <c r="C42" s="30"/>
      <c r="D42" s="175"/>
      <c r="E42" s="151">
        <f>SUM(D40:D41)</f>
        <v>80848</v>
      </c>
    </row>
    <row r="43" spans="1:8" x14ac:dyDescent="0.25">
      <c r="A43" s="36" t="s">
        <v>17</v>
      </c>
      <c r="B43" s="152"/>
      <c r="C43" s="152"/>
      <c r="D43" s="179"/>
      <c r="E43" s="153"/>
    </row>
    <row r="44" spans="1:8" x14ac:dyDescent="0.25">
      <c r="A44" s="5" t="s">
        <v>50</v>
      </c>
      <c r="B44" s="5"/>
      <c r="C44" s="54"/>
      <c r="D44" s="180">
        <v>562727.52</v>
      </c>
      <c r="E44" s="161" t="s">
        <v>109</v>
      </c>
      <c r="G44" s="127"/>
    </row>
    <row r="45" spans="1:8" x14ac:dyDescent="0.25">
      <c r="A45" s="5" t="s">
        <v>83</v>
      </c>
      <c r="B45" s="5"/>
      <c r="C45" s="54"/>
      <c r="D45" s="180">
        <v>10602.27</v>
      </c>
      <c r="E45" s="161" t="s">
        <v>112</v>
      </c>
    </row>
    <row r="46" spans="1:8" x14ac:dyDescent="0.25">
      <c r="A46" s="5" t="s">
        <v>83</v>
      </c>
      <c r="B46" s="5"/>
      <c r="C46" s="54"/>
      <c r="D46" s="180">
        <v>75532.289999999994</v>
      </c>
      <c r="E46" s="161" t="str">
        <f>E45</f>
        <v>Debito 16/09</v>
      </c>
      <c r="G46" s="143"/>
    </row>
    <row r="47" spans="1:8" x14ac:dyDescent="0.25">
      <c r="A47" s="5" t="s">
        <v>104</v>
      </c>
      <c r="B47" s="5"/>
      <c r="C47" s="5"/>
      <c r="D47" s="164">
        <v>79308.399999999994</v>
      </c>
      <c r="E47" s="161" t="s">
        <v>111</v>
      </c>
    </row>
    <row r="48" spans="1:8" x14ac:dyDescent="0.25">
      <c r="A48" s="5" t="str">
        <f>A47</f>
        <v>Sindicatos mes de SEPTIEMBRE</v>
      </c>
      <c r="B48" s="5"/>
      <c r="C48" s="5"/>
      <c r="D48" s="164">
        <v>5140.8</v>
      </c>
      <c r="E48" s="162" t="str">
        <f>E47</f>
        <v>Debito 12/09</v>
      </c>
    </row>
    <row r="49" spans="1:10" x14ac:dyDescent="0.25">
      <c r="A49" s="5" t="str">
        <f>A48</f>
        <v>Sindicatos mes de SEPTIEMBRE</v>
      </c>
      <c r="B49" s="5"/>
      <c r="C49" s="5"/>
      <c r="D49" s="164">
        <v>46261.66</v>
      </c>
      <c r="E49" s="163" t="str">
        <f>E48</f>
        <v>Debito 12/09</v>
      </c>
    </row>
    <row r="50" spans="1:10" ht="15" customHeight="1" thickBot="1" x14ac:dyDescent="0.3">
      <c r="A50" s="30" t="s">
        <v>3</v>
      </c>
      <c r="B50" s="152"/>
      <c r="C50" s="152"/>
      <c r="D50" s="181"/>
      <c r="E50" s="151">
        <f>SUM(D44:D49)</f>
        <v>779572.94000000018</v>
      </c>
    </row>
    <row r="51" spans="1:10" x14ac:dyDescent="0.25">
      <c r="A51" s="36" t="s">
        <v>18</v>
      </c>
      <c r="B51" s="152"/>
      <c r="C51" s="152"/>
      <c r="D51" s="179"/>
      <c r="E51" s="153"/>
    </row>
    <row r="52" spans="1:10" ht="14.25" customHeight="1" x14ac:dyDescent="0.25">
      <c r="A52" s="5" t="s">
        <v>81</v>
      </c>
      <c r="B52" s="5"/>
      <c r="C52" s="5"/>
      <c r="D52" s="164">
        <v>48142.59</v>
      </c>
      <c r="E52" s="161" t="s">
        <v>109</v>
      </c>
    </row>
    <row r="53" spans="1:10" ht="14.25" customHeight="1" x14ac:dyDescent="0.25">
      <c r="A53" s="5" t="s">
        <v>85</v>
      </c>
      <c r="B53" s="164"/>
      <c r="C53" s="5"/>
      <c r="D53" s="164">
        <v>0</v>
      </c>
      <c r="E53" s="211" t="s">
        <v>115</v>
      </c>
    </row>
    <row r="54" spans="1:10" x14ac:dyDescent="0.25">
      <c r="A54" s="5" t="s">
        <v>84</v>
      </c>
      <c r="B54" s="5"/>
      <c r="C54" s="5"/>
      <c r="D54" s="164">
        <v>26472.2</v>
      </c>
      <c r="E54" s="161" t="s">
        <v>109</v>
      </c>
    </row>
    <row r="55" spans="1:10" x14ac:dyDescent="0.25">
      <c r="A55" s="188" t="s">
        <v>80</v>
      </c>
      <c r="B55" s="189"/>
      <c r="C55" s="5"/>
      <c r="D55" s="164">
        <v>303116.46999999997</v>
      </c>
      <c r="E55" s="165" t="s">
        <v>106</v>
      </c>
    </row>
    <row r="56" spans="1:10" x14ac:dyDescent="0.25">
      <c r="A56" s="188" t="s">
        <v>80</v>
      </c>
      <c r="B56" s="189"/>
      <c r="C56" s="5"/>
      <c r="D56" s="164">
        <v>309335.53999999998</v>
      </c>
      <c r="E56" s="165" t="s">
        <v>106</v>
      </c>
    </row>
    <row r="57" spans="1:10" ht="15.75" thickBot="1" x14ac:dyDescent="0.3">
      <c r="A57" s="30" t="s">
        <v>4</v>
      </c>
      <c r="B57" s="30"/>
      <c r="C57" s="30"/>
      <c r="D57" s="182"/>
      <c r="E57" s="151">
        <f>SUM(D52:D56)</f>
        <v>687066.79999999993</v>
      </c>
    </row>
    <row r="58" spans="1:10" ht="15" customHeight="1" thickBot="1" x14ac:dyDescent="0.3">
      <c r="A58" s="36"/>
      <c r="B58" s="30"/>
      <c r="C58" s="30"/>
      <c r="D58" s="175"/>
      <c r="E58" s="154"/>
    </row>
    <row r="59" spans="1:10" ht="20.100000000000001" customHeight="1" x14ac:dyDescent="0.25">
      <c r="A59" s="166" t="s">
        <v>105</v>
      </c>
      <c r="B59" s="159"/>
      <c r="C59" s="5"/>
      <c r="D59" s="164">
        <v>71200</v>
      </c>
      <c r="E59" s="165" t="s">
        <v>106</v>
      </c>
    </row>
    <row r="60" spans="1:10" ht="20.100000000000001" customHeight="1" x14ac:dyDescent="0.25">
      <c r="A60" s="166" t="s">
        <v>110</v>
      </c>
      <c r="B60" s="159"/>
      <c r="C60" s="5"/>
      <c r="D60" s="164">
        <v>65500</v>
      </c>
      <c r="E60" s="165" t="s">
        <v>106</v>
      </c>
    </row>
    <row r="61" spans="1:10" ht="33.75" customHeight="1" x14ac:dyDescent="0.25">
      <c r="A61" s="190" t="s">
        <v>114</v>
      </c>
      <c r="B61" s="191"/>
      <c r="C61" s="5"/>
      <c r="D61" s="164">
        <v>1050000</v>
      </c>
      <c r="E61" s="165" t="s">
        <v>97</v>
      </c>
      <c r="H61" t="s">
        <v>101</v>
      </c>
    </row>
    <row r="62" spans="1:10" ht="20.100000000000001" customHeight="1" x14ac:dyDescent="0.25">
      <c r="A62" s="188" t="s">
        <v>108</v>
      </c>
      <c r="B62" s="189"/>
      <c r="C62" s="5"/>
      <c r="D62" s="109">
        <v>40000</v>
      </c>
      <c r="E62" s="165" t="s">
        <v>106</v>
      </c>
      <c r="I62" s="188"/>
      <c r="J62" s="189"/>
    </row>
    <row r="63" spans="1:10" ht="15.75" thickBot="1" x14ac:dyDescent="0.3">
      <c r="A63" s="30" t="s">
        <v>9</v>
      </c>
      <c r="B63" s="36"/>
      <c r="C63" s="36"/>
      <c r="D63" s="35"/>
      <c r="E63" s="155">
        <f>SUM(D59:D62)</f>
        <v>1226700</v>
      </c>
    </row>
    <row r="64" spans="1:10" ht="15.75" thickBot="1" x14ac:dyDescent="0.3">
      <c r="A64" s="36" t="s">
        <v>12</v>
      </c>
      <c r="B64" s="69"/>
      <c r="C64" s="30"/>
      <c r="D64" s="172"/>
      <c r="E64" s="154"/>
    </row>
    <row r="65" spans="1:8" x14ac:dyDescent="0.25">
      <c r="A65" s="5" t="s">
        <v>95</v>
      </c>
      <c r="B65" s="5"/>
      <c r="C65" s="5"/>
      <c r="D65" s="164">
        <v>53000</v>
      </c>
      <c r="E65" s="156"/>
    </row>
    <row r="66" spans="1:8" x14ac:dyDescent="0.25">
      <c r="A66" s="5" t="s">
        <v>94</v>
      </c>
      <c r="B66" s="5"/>
      <c r="C66" s="5"/>
      <c r="D66" s="164">
        <v>56008.43</v>
      </c>
      <c r="E66" s="41"/>
    </row>
    <row r="67" spans="1:8" ht="15.75" thickBot="1" x14ac:dyDescent="0.3">
      <c r="A67" s="53" t="s">
        <v>16</v>
      </c>
      <c r="B67" s="53"/>
      <c r="C67" s="53"/>
      <c r="D67" s="112"/>
      <c r="E67" s="106">
        <f>SUM(D65:D66)</f>
        <v>109008.43</v>
      </c>
    </row>
    <row r="68" spans="1:8" ht="15.75" thickBot="1" x14ac:dyDescent="0.3">
      <c r="A68" s="5"/>
      <c r="B68" s="5"/>
      <c r="C68" s="5"/>
      <c r="D68" s="105"/>
      <c r="E68" s="113"/>
    </row>
    <row r="69" spans="1:8" ht="15.75" thickBot="1" x14ac:dyDescent="0.3">
      <c r="A69" s="31" t="s">
        <v>53</v>
      </c>
      <c r="B69" s="31"/>
      <c r="C69" s="31"/>
      <c r="D69" s="114"/>
      <c r="E69" s="115"/>
    </row>
    <row r="70" spans="1:8" ht="15.75" thickBot="1" x14ac:dyDescent="0.3">
      <c r="A70" s="1"/>
      <c r="D70" s="116"/>
      <c r="E70" s="117"/>
      <c r="F70" s="45"/>
    </row>
    <row r="71" spans="1:8" ht="15.75" thickBot="1" x14ac:dyDescent="0.3">
      <c r="A71" s="3" t="s">
        <v>13</v>
      </c>
      <c r="B71" s="10"/>
      <c r="C71" s="4"/>
      <c r="D71" s="118"/>
      <c r="E71" s="119">
        <f>(SUM(E27:E69))</f>
        <v>3774269.1700000004</v>
      </c>
      <c r="F71" s="143"/>
      <c r="G71" s="45"/>
    </row>
    <row r="72" spans="1:8" x14ac:dyDescent="0.25">
      <c r="D72" s="116"/>
      <c r="E72" s="116"/>
    </row>
    <row r="73" spans="1:8" ht="15.75" thickBot="1" x14ac:dyDescent="0.3">
      <c r="D73" s="116"/>
      <c r="E73" s="116"/>
      <c r="H73" s="183"/>
    </row>
    <row r="74" spans="1:8" x14ac:dyDescent="0.25">
      <c r="A74" s="11" t="s">
        <v>48</v>
      </c>
      <c r="B74" s="12"/>
      <c r="C74" s="13"/>
      <c r="D74" s="120"/>
      <c r="E74" s="121"/>
    </row>
    <row r="75" spans="1:8" ht="15" customHeight="1" x14ac:dyDescent="0.25">
      <c r="A75" s="188"/>
      <c r="B75" s="189"/>
      <c r="C75" s="5"/>
      <c r="D75" s="131"/>
      <c r="E75" s="107"/>
    </row>
    <row r="76" spans="1:8" x14ac:dyDescent="0.25">
      <c r="A76" s="188"/>
      <c r="B76" s="189"/>
      <c r="C76" s="5"/>
      <c r="D76" s="109"/>
      <c r="E76" s="107"/>
    </row>
    <row r="77" spans="1:8" ht="15.75" customHeight="1" x14ac:dyDescent="0.25">
      <c r="A77" s="190"/>
      <c r="B77" s="191"/>
      <c r="C77" s="5"/>
      <c r="D77" s="109"/>
      <c r="E77" s="107"/>
    </row>
    <row r="78" spans="1:8" x14ac:dyDescent="0.25">
      <c r="A78" s="108"/>
      <c r="B78" s="110"/>
      <c r="C78" s="5"/>
      <c r="D78" s="109"/>
      <c r="E78" s="107"/>
    </row>
    <row r="79" spans="1:8" x14ac:dyDescent="0.25">
      <c r="A79" s="51"/>
      <c r="B79" s="50"/>
      <c r="C79" s="50"/>
      <c r="D79" s="60"/>
      <c r="E79" s="60">
        <f>SUM(D75:D78)</f>
        <v>0</v>
      </c>
    </row>
    <row r="80" spans="1:8" ht="15" customHeight="1" x14ac:dyDescent="0.25"/>
    <row r="81" spans="1:5" ht="15.75" hidden="1" thickBot="1" x14ac:dyDescent="0.3"/>
    <row r="82" spans="1:5" ht="15.75" thickBot="1" x14ac:dyDescent="0.3">
      <c r="A82" s="31" t="s">
        <v>20</v>
      </c>
      <c r="B82" s="31"/>
      <c r="C82" s="31"/>
      <c r="D82" s="32"/>
      <c r="E82" s="104"/>
    </row>
    <row r="83" spans="1:5" ht="15.75" thickBot="1" x14ac:dyDescent="0.3"/>
    <row r="84" spans="1:5" ht="15.75" thickBot="1" x14ac:dyDescent="0.3">
      <c r="A84" s="3" t="s">
        <v>21</v>
      </c>
      <c r="B84" s="10"/>
      <c r="C84" s="4"/>
      <c r="D84" s="4"/>
      <c r="E84" s="70">
        <f>E79+E82</f>
        <v>0</v>
      </c>
    </row>
    <row r="85" spans="1:5" ht="15.75" thickBot="1" x14ac:dyDescent="0.3"/>
    <row r="86" spans="1:5" ht="15.75" thickBot="1" x14ac:dyDescent="0.3">
      <c r="A86" s="102" t="s">
        <v>14</v>
      </c>
      <c r="B86" s="103">
        <f>E71</f>
        <v>3774269.1700000004</v>
      </c>
    </row>
    <row r="87" spans="1:5" ht="15.75" thickBot="1" x14ac:dyDescent="0.3">
      <c r="A87" s="102" t="s">
        <v>15</v>
      </c>
      <c r="B87" s="103">
        <f>E71-E69</f>
        <v>3774269.1700000004</v>
      </c>
    </row>
    <row r="88" spans="1:5" ht="15.75" thickBot="1" x14ac:dyDescent="0.3">
      <c r="A88" s="102" t="s">
        <v>22</v>
      </c>
      <c r="B88" s="103">
        <f>E84-E82</f>
        <v>0</v>
      </c>
    </row>
    <row r="89" spans="1:5" ht="15.75" thickBot="1" x14ac:dyDescent="0.3">
      <c r="A89" s="102" t="s">
        <v>43</v>
      </c>
      <c r="B89" s="103">
        <f>E84</f>
        <v>0</v>
      </c>
    </row>
    <row r="90" spans="1:5" ht="73.5" customHeight="1" x14ac:dyDescent="0.25"/>
    <row r="91" spans="1:5" ht="34.5" hidden="1" customHeight="1" x14ac:dyDescent="0.25"/>
    <row r="92" spans="1:5" hidden="1" x14ac:dyDescent="0.25">
      <c r="A92" s="186"/>
      <c r="B92" s="186"/>
      <c r="C92" s="186"/>
      <c r="D92" s="186"/>
      <c r="E92" s="186"/>
    </row>
    <row r="93" spans="1:5" ht="106.5" hidden="1" customHeight="1" x14ac:dyDescent="0.25">
      <c r="A93" s="186"/>
      <c r="B93" s="186"/>
      <c r="C93" s="186"/>
      <c r="D93" s="186"/>
      <c r="E93" s="186"/>
    </row>
    <row r="94" spans="1:5" ht="15.75" hidden="1" customHeight="1" x14ac:dyDescent="0.25">
      <c r="A94" s="186"/>
      <c r="B94" s="186"/>
      <c r="C94" s="186"/>
      <c r="D94" s="186"/>
      <c r="E94" s="186"/>
    </row>
    <row r="96" spans="1:5" ht="0.75" customHeight="1" x14ac:dyDescent="0.25">
      <c r="A96" s="23" t="s">
        <v>34</v>
      </c>
      <c r="B96" s="128"/>
      <c r="C96" s="24"/>
    </row>
    <row r="97" spans="1:6" hidden="1" x14ac:dyDescent="0.25">
      <c r="A97" s="34"/>
      <c r="B97" s="61">
        <v>0</v>
      </c>
      <c r="C97" s="26"/>
    </row>
    <row r="98" spans="1:6" ht="14.25" hidden="1" customHeight="1" x14ac:dyDescent="0.25">
      <c r="A98" s="25" t="s">
        <v>7</v>
      </c>
      <c r="B98" s="41">
        <f>PRORRATEO!F29</f>
        <v>2888514.2500000005</v>
      </c>
      <c r="C98" s="24"/>
    </row>
    <row r="99" spans="1:6" hidden="1" x14ac:dyDescent="0.25">
      <c r="A99" s="25"/>
      <c r="B99" s="41">
        <v>0</v>
      </c>
      <c r="C99" s="24"/>
    </row>
    <row r="100" spans="1:6" hidden="1" x14ac:dyDescent="0.25">
      <c r="A100" s="25" t="s">
        <v>44</v>
      </c>
      <c r="B100" s="111">
        <f>B122</f>
        <v>0</v>
      </c>
      <c r="C100" s="24"/>
    </row>
    <row r="101" spans="1:6" hidden="1" x14ac:dyDescent="0.25">
      <c r="A101" s="28"/>
      <c r="B101" s="49"/>
      <c r="C101" s="24"/>
    </row>
    <row r="102" spans="1:6" hidden="1" x14ac:dyDescent="0.25">
      <c r="A102" s="126" t="s">
        <v>49</v>
      </c>
      <c r="B102" s="49"/>
      <c r="C102" s="24"/>
    </row>
    <row r="103" spans="1:6" hidden="1" x14ac:dyDescent="0.25">
      <c r="A103" s="40" t="s">
        <v>23</v>
      </c>
      <c r="B103" s="49">
        <f>-B87</f>
        <v>-3774269.1700000004</v>
      </c>
      <c r="C103" s="24"/>
    </row>
    <row r="104" spans="1:6" hidden="1" x14ac:dyDescent="0.25">
      <c r="A104" s="28" t="s">
        <v>24</v>
      </c>
      <c r="B104" s="49">
        <f>-(B88)</f>
        <v>0</v>
      </c>
      <c r="C104" s="24"/>
    </row>
    <row r="105" spans="1:6" hidden="1" x14ac:dyDescent="0.25">
      <c r="A105" s="33" t="s">
        <v>9</v>
      </c>
      <c r="B105" s="61">
        <f>SUM(B97:B104)</f>
        <v>-885754.91999999993</v>
      </c>
      <c r="C105" s="27"/>
      <c r="D105" s="45"/>
    </row>
    <row r="106" spans="1:6" ht="34.5" hidden="1" customHeight="1" x14ac:dyDescent="0.25">
      <c r="B106" s="42"/>
      <c r="C106" s="27"/>
      <c r="D106" s="45"/>
      <c r="E106" s="129"/>
      <c r="F106" s="130"/>
    </row>
    <row r="107" spans="1:6" ht="14.25" hidden="1" customHeight="1" x14ac:dyDescent="0.25">
      <c r="B107" s="43"/>
      <c r="C107" s="27"/>
    </row>
    <row r="108" spans="1:6" s="39" customFormat="1" ht="27" hidden="1" customHeight="1" x14ac:dyDescent="0.25">
      <c r="A108"/>
      <c r="B108" s="42"/>
      <c r="C108" s="38"/>
    </row>
    <row r="109" spans="1:6" s="39" customFormat="1" x14ac:dyDescent="0.25">
      <c r="A109" s="134" t="s">
        <v>91</v>
      </c>
      <c r="B109" s="135">
        <v>-215085.03609999688</v>
      </c>
      <c r="C109" s="38"/>
      <c r="D109" s="48"/>
    </row>
    <row r="110" spans="1:6" x14ac:dyDescent="0.25">
      <c r="A110" s="56" t="s">
        <v>54</v>
      </c>
      <c r="B110" s="140">
        <f>-B87</f>
        <v>-3774269.1700000004</v>
      </c>
    </row>
    <row r="111" spans="1:6" x14ac:dyDescent="0.25">
      <c r="A111" s="56" t="s">
        <v>55</v>
      </c>
      <c r="B111" s="140">
        <f>-B88</f>
        <v>0</v>
      </c>
    </row>
    <row r="112" spans="1:6" x14ac:dyDescent="0.25">
      <c r="A112" s="56" t="s">
        <v>89</v>
      </c>
      <c r="B112" s="140">
        <f>B122</f>
        <v>0</v>
      </c>
    </row>
    <row r="113" spans="1:13" x14ac:dyDescent="0.25">
      <c r="A113" s="56" t="s">
        <v>56</v>
      </c>
      <c r="B113" s="141">
        <f>PRORRATEO!F29</f>
        <v>2888514.2500000005</v>
      </c>
    </row>
    <row r="114" spans="1:13" x14ac:dyDescent="0.25">
      <c r="A114" s="142" t="s">
        <v>57</v>
      </c>
      <c r="B114" s="184"/>
    </row>
    <row r="115" spans="1:13" ht="15.75" thickBot="1" x14ac:dyDescent="0.3">
      <c r="A115" s="138" t="s">
        <v>51</v>
      </c>
      <c r="B115" s="139">
        <f>SUM(B109:C114)</f>
        <v>-1100839.9560999968</v>
      </c>
    </row>
    <row r="116" spans="1:13" x14ac:dyDescent="0.25">
      <c r="A116" s="136"/>
      <c r="B116" s="136"/>
    </row>
    <row r="117" spans="1:13" ht="34.5" customHeight="1" x14ac:dyDescent="0.25"/>
    <row r="118" spans="1:13" x14ac:dyDescent="0.25">
      <c r="A118" s="187" t="s">
        <v>33</v>
      </c>
      <c r="B118" s="187"/>
      <c r="C118" s="187"/>
    </row>
    <row r="119" spans="1:13" x14ac:dyDescent="0.25">
      <c r="A119" s="187"/>
      <c r="B119" s="187"/>
      <c r="C119" s="187"/>
    </row>
    <row r="120" spans="1:13" ht="35.25" customHeight="1" x14ac:dyDescent="0.25">
      <c r="A120" s="123"/>
      <c r="B120" s="37"/>
      <c r="C120" s="37">
        <v>40000</v>
      </c>
      <c r="E120" s="143"/>
    </row>
    <row r="121" spans="1:13" ht="27" customHeight="1" x14ac:dyDescent="0.25">
      <c r="A121" s="123"/>
      <c r="B121" s="125"/>
      <c r="C121" s="122"/>
      <c r="D121" s="143"/>
    </row>
    <row r="122" spans="1:13" x14ac:dyDescent="0.25">
      <c r="A122" s="46" t="s">
        <v>9</v>
      </c>
      <c r="B122" s="124">
        <f>SUM(B120:B121)</f>
        <v>0</v>
      </c>
      <c r="C122" s="47"/>
    </row>
    <row r="123" spans="1:13" x14ac:dyDescent="0.25">
      <c r="M123" s="8"/>
    </row>
    <row r="124" spans="1:13" ht="15" customHeight="1" x14ac:dyDescent="0.25">
      <c r="A124" s="186"/>
      <c r="B124" s="186"/>
      <c r="C124" s="186"/>
      <c r="D124" s="186"/>
      <c r="E124" s="186"/>
    </row>
    <row r="125" spans="1:13" x14ac:dyDescent="0.25">
      <c r="A125" s="186"/>
      <c r="B125" s="186"/>
      <c r="C125" s="186"/>
      <c r="D125" s="186"/>
      <c r="E125" s="186"/>
    </row>
    <row r="126" spans="1:13" x14ac:dyDescent="0.25">
      <c r="A126" s="186"/>
      <c r="B126" s="186"/>
      <c r="C126" s="186"/>
      <c r="D126" s="186"/>
      <c r="E126" s="186"/>
    </row>
    <row r="127" spans="1:13" x14ac:dyDescent="0.25">
      <c r="A127" s="186"/>
      <c r="B127" s="186"/>
      <c r="C127" s="186"/>
      <c r="D127" s="186"/>
      <c r="E127" s="186"/>
    </row>
  </sheetData>
  <mergeCells count="18">
    <mergeCell ref="A56:B56"/>
    <mergeCell ref="A37:B37"/>
    <mergeCell ref="A36:B36"/>
    <mergeCell ref="B3:E3"/>
    <mergeCell ref="I62:J62"/>
    <mergeCell ref="A61:B61"/>
    <mergeCell ref="A62:B62"/>
    <mergeCell ref="A13:E16"/>
    <mergeCell ref="B8:C10"/>
    <mergeCell ref="A40:B40"/>
    <mergeCell ref="A41:B41"/>
    <mergeCell ref="A55:B55"/>
    <mergeCell ref="A124:E127"/>
    <mergeCell ref="A118:C119"/>
    <mergeCell ref="A92:E94"/>
    <mergeCell ref="A76:B76"/>
    <mergeCell ref="A75:B75"/>
    <mergeCell ref="A77:B77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7"/>
  <sheetViews>
    <sheetView zoomScaleNormal="100" workbookViewId="0">
      <selection activeCell="L2" sqref="L2"/>
    </sheetView>
  </sheetViews>
  <sheetFormatPr baseColWidth="10" defaultRowHeight="15" x14ac:dyDescent="0.25"/>
  <cols>
    <col min="1" max="1" width="4.28515625" customWidth="1"/>
    <col min="2" max="2" width="18.5703125" customWidth="1"/>
    <col min="3" max="3" width="0.140625" customWidth="1"/>
    <col min="4" max="4" width="8.42578125" customWidth="1"/>
    <col min="5" max="5" width="14.140625" customWidth="1"/>
    <col min="6" max="6" width="12.28515625" customWidth="1"/>
    <col min="7" max="7" width="10.5703125" customWidth="1"/>
    <col min="8" max="8" width="9.5703125" customWidth="1"/>
    <col min="9" max="9" width="0.140625" customWidth="1"/>
    <col min="10" max="10" width="12.42578125" customWidth="1"/>
    <col min="11" max="11" width="10.42578125" bestFit="1" customWidth="1"/>
    <col min="12" max="12" width="14.7109375" customWidth="1"/>
    <col min="13" max="13" width="12" hidden="1" customWidth="1"/>
    <col min="14" max="14" width="14.28515625" customWidth="1"/>
    <col min="15" max="15" width="0.140625" customWidth="1"/>
    <col min="16" max="16" width="12" bestFit="1" customWidth="1"/>
    <col min="17" max="17" width="13" bestFit="1" customWidth="1"/>
  </cols>
  <sheetData>
    <row r="1" spans="1:17" ht="12.95" customHeight="1" x14ac:dyDescent="0.25">
      <c r="A1" s="6"/>
      <c r="B1" s="6"/>
      <c r="C1" s="6"/>
      <c r="D1" s="201"/>
      <c r="E1" s="201"/>
      <c r="F1" s="201"/>
      <c r="G1" s="201"/>
      <c r="H1" s="201"/>
      <c r="I1" s="201"/>
      <c r="J1" s="201"/>
      <c r="K1" s="201"/>
      <c r="L1" s="201"/>
      <c r="M1" s="6"/>
      <c r="N1" s="6"/>
    </row>
    <row r="2" spans="1:17" ht="12.95" customHeight="1" x14ac:dyDescent="0.25">
      <c r="A2" s="6"/>
      <c r="B2" s="6"/>
      <c r="C2" s="6"/>
      <c r="D2" s="6" t="s">
        <v>88</v>
      </c>
      <c r="E2" s="6"/>
      <c r="F2" s="167">
        <v>86134.56</v>
      </c>
      <c r="G2" s="6"/>
      <c r="H2" s="6"/>
      <c r="I2" s="7"/>
      <c r="J2" s="6" t="s">
        <v>87</v>
      </c>
      <c r="K2" s="6"/>
      <c r="L2" s="133">
        <v>3774269.1700000004</v>
      </c>
      <c r="M2" s="57"/>
      <c r="N2" s="57"/>
      <c r="O2" s="22"/>
    </row>
    <row r="3" spans="1:17" ht="12.95" customHeight="1" thickBot="1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58"/>
      <c r="M3" s="58"/>
      <c r="N3" s="62"/>
    </row>
    <row r="4" spans="1:17" x14ac:dyDescent="0.25">
      <c r="A4" s="198" t="s">
        <v>5</v>
      </c>
      <c r="B4" s="198" t="s">
        <v>6</v>
      </c>
      <c r="C4" s="198" t="s">
        <v>27</v>
      </c>
      <c r="D4" s="198" t="s">
        <v>11</v>
      </c>
      <c r="E4" s="202" t="s">
        <v>52</v>
      </c>
      <c r="F4" s="198" t="s">
        <v>7</v>
      </c>
      <c r="G4" s="206" t="s">
        <v>31</v>
      </c>
      <c r="H4" s="202" t="s">
        <v>46</v>
      </c>
      <c r="I4" s="202" t="s">
        <v>8</v>
      </c>
      <c r="J4" s="202" t="s">
        <v>26</v>
      </c>
      <c r="K4" s="209" t="s">
        <v>86</v>
      </c>
      <c r="L4" s="65" t="s">
        <v>39</v>
      </c>
      <c r="M4" s="204" t="s">
        <v>25</v>
      </c>
      <c r="N4" s="196" t="s">
        <v>38</v>
      </c>
      <c r="Q4" s="45"/>
    </row>
    <row r="5" spans="1:17" ht="15.75" customHeight="1" x14ac:dyDescent="0.25">
      <c r="A5" s="200"/>
      <c r="B5" s="200"/>
      <c r="C5" s="199"/>
      <c r="D5" s="200"/>
      <c r="E5" s="203"/>
      <c r="F5" s="200"/>
      <c r="G5" s="207"/>
      <c r="H5" s="203"/>
      <c r="I5" s="208"/>
      <c r="J5" s="203"/>
      <c r="K5" s="210"/>
      <c r="L5" s="63" t="str">
        <f>RESUMEN!B8</f>
        <v>VTO 15/10</v>
      </c>
      <c r="M5" s="205"/>
      <c r="N5" s="197"/>
    </row>
    <row r="6" spans="1:17" ht="17.100000000000001" customHeight="1" x14ac:dyDescent="0.25">
      <c r="A6" s="66">
        <v>1</v>
      </c>
      <c r="B6" s="66" t="s">
        <v>61</v>
      </c>
      <c r="C6" s="66"/>
      <c r="D6" s="75">
        <v>6.69</v>
      </c>
      <c r="E6" s="76">
        <v>239912.01</v>
      </c>
      <c r="F6" s="78">
        <f>E6</f>
        <v>239912.01</v>
      </c>
      <c r="G6" s="79">
        <f t="shared" ref="G6:G23" si="0">E6-F6</f>
        <v>0</v>
      </c>
      <c r="H6" s="79">
        <f>IF(G6&gt;0,G6*3%,0)</f>
        <v>0</v>
      </c>
      <c r="I6" s="80">
        <v>0</v>
      </c>
      <c r="J6" s="81">
        <f>L$2*D6/100</f>
        <v>252498.60747300004</v>
      </c>
      <c r="K6" s="168">
        <f t="shared" ref="K6:K23" si="1">F$2*D6/100</f>
        <v>5762.4020639999999</v>
      </c>
      <c r="L6" s="83">
        <f>ROUND(SUM(G6:K6),0) + O6</f>
        <v>258261.01</v>
      </c>
      <c r="M6" s="84">
        <f>ROUND(L6*6% + L6,0) + O6</f>
        <v>273757.01</v>
      </c>
      <c r="N6" s="85">
        <f>ROUND(L6*3%,0) + L6</f>
        <v>266009.01</v>
      </c>
      <c r="O6" s="45">
        <v>0.01</v>
      </c>
    </row>
    <row r="7" spans="1:17" ht="17.100000000000001" customHeight="1" x14ac:dyDescent="0.25">
      <c r="A7" s="66">
        <f>A6+1</f>
        <v>2</v>
      </c>
      <c r="B7" s="66" t="s">
        <v>62</v>
      </c>
      <c r="C7" s="67"/>
      <c r="D7" s="75">
        <v>5.88</v>
      </c>
      <c r="E7" s="76">
        <v>330100.02</v>
      </c>
      <c r="F7" s="78">
        <f>100000</f>
        <v>100000</v>
      </c>
      <c r="G7" s="79">
        <f t="shared" si="0"/>
        <v>230100.02000000002</v>
      </c>
      <c r="H7" s="79">
        <f t="shared" ref="H7:H23" si="2">IF(G7&gt;0,G7*3%,0)</f>
        <v>6903.0006000000003</v>
      </c>
      <c r="I7" s="80">
        <v>0</v>
      </c>
      <c r="J7" s="81">
        <f t="shared" ref="J7:J23" si="3">L$2*D7%</f>
        <v>221927.02719600001</v>
      </c>
      <c r="K7" s="168">
        <f t="shared" si="1"/>
        <v>5064.7121280000001</v>
      </c>
      <c r="L7" s="83">
        <f t="shared" ref="L7:L23" si="4">ROUND(SUM(G7:K7),0) + O7</f>
        <v>463995.02</v>
      </c>
      <c r="M7" s="84">
        <f t="shared" ref="M7:M23" si="5">ROUND(L7*6% + L7,0) + O7</f>
        <v>491835.02</v>
      </c>
      <c r="N7" s="85">
        <f t="shared" ref="N7:N23" si="6">ROUND(L7*3%,0) + L7</f>
        <v>477915.02</v>
      </c>
      <c r="O7" s="45">
        <f>O6+0.01</f>
        <v>0.02</v>
      </c>
      <c r="P7" s="45"/>
    </row>
    <row r="8" spans="1:17" ht="17.100000000000001" customHeight="1" x14ac:dyDescent="0.25">
      <c r="A8" s="66">
        <f t="shared" ref="A8:A23" si="7">A7+1</f>
        <v>3</v>
      </c>
      <c r="B8" s="66" t="s">
        <v>63</v>
      </c>
      <c r="C8" s="67"/>
      <c r="D8" s="75">
        <v>6.65</v>
      </c>
      <c r="E8" s="76">
        <v>238478.03</v>
      </c>
      <c r="F8" s="78">
        <f>E8</f>
        <v>238478.03</v>
      </c>
      <c r="G8" s="79">
        <f t="shared" si="0"/>
        <v>0</v>
      </c>
      <c r="H8" s="79">
        <f t="shared" si="2"/>
        <v>0</v>
      </c>
      <c r="I8" s="80">
        <v>0</v>
      </c>
      <c r="J8" s="81">
        <f t="shared" si="3"/>
        <v>250988.89980500005</v>
      </c>
      <c r="K8" s="168">
        <f t="shared" si="1"/>
        <v>5727.9482400000006</v>
      </c>
      <c r="L8" s="83">
        <f t="shared" si="4"/>
        <v>256717.03</v>
      </c>
      <c r="M8" s="84">
        <f t="shared" si="5"/>
        <v>272120.03000000003</v>
      </c>
      <c r="N8" s="85">
        <f t="shared" si="6"/>
        <v>264419.03000000003</v>
      </c>
      <c r="O8" s="45">
        <f t="shared" ref="O8:O24" si="8">O7+0.01</f>
        <v>0.03</v>
      </c>
    </row>
    <row r="9" spans="1:17" ht="17.100000000000001" customHeight="1" x14ac:dyDescent="0.25">
      <c r="A9" s="66">
        <f t="shared" si="7"/>
        <v>4</v>
      </c>
      <c r="B9" s="66" t="s">
        <v>64</v>
      </c>
      <c r="C9" s="67"/>
      <c r="D9" s="75">
        <v>6.73</v>
      </c>
      <c r="E9" s="76">
        <v>241347.04</v>
      </c>
      <c r="F9" s="78">
        <f t="shared" ref="F9:F23" si="9">E9</f>
        <v>241347.04</v>
      </c>
      <c r="G9" s="79">
        <f t="shared" si="0"/>
        <v>0</v>
      </c>
      <c r="H9" s="79">
        <f t="shared" si="2"/>
        <v>0</v>
      </c>
      <c r="I9" s="80">
        <v>0</v>
      </c>
      <c r="J9" s="81">
        <f t="shared" si="3"/>
        <v>254008.31514100003</v>
      </c>
      <c r="K9" s="168">
        <f t="shared" si="1"/>
        <v>5796.855888</v>
      </c>
      <c r="L9" s="83">
        <f t="shared" si="4"/>
        <v>259805.04</v>
      </c>
      <c r="M9" s="84">
        <f t="shared" si="5"/>
        <v>275393.03999999998</v>
      </c>
      <c r="N9" s="85">
        <f t="shared" si="6"/>
        <v>267599.04000000004</v>
      </c>
      <c r="O9" s="45">
        <f t="shared" si="8"/>
        <v>0.04</v>
      </c>
      <c r="Q9" s="45"/>
    </row>
    <row r="10" spans="1:17" ht="17.100000000000001" customHeight="1" x14ac:dyDescent="0.25">
      <c r="A10" s="66">
        <f t="shared" si="7"/>
        <v>5</v>
      </c>
      <c r="B10" s="66" t="s">
        <v>65</v>
      </c>
      <c r="C10" s="67"/>
      <c r="D10" s="75">
        <v>8.0399999999999991</v>
      </c>
      <c r="E10" s="76">
        <v>288325.05</v>
      </c>
      <c r="F10" s="78"/>
      <c r="G10" s="79">
        <f t="shared" si="0"/>
        <v>288325.05</v>
      </c>
      <c r="H10" s="79">
        <f t="shared" si="2"/>
        <v>8649.7514999999985</v>
      </c>
      <c r="I10" s="80">
        <v>0</v>
      </c>
      <c r="J10" s="81">
        <f t="shared" si="3"/>
        <v>303451.24126799998</v>
      </c>
      <c r="K10" s="168">
        <f t="shared" si="1"/>
        <v>6925.2186239999983</v>
      </c>
      <c r="L10" s="83">
        <f t="shared" si="4"/>
        <v>607351.05000000005</v>
      </c>
      <c r="M10" s="84">
        <f t="shared" si="5"/>
        <v>643792.05000000005</v>
      </c>
      <c r="N10" s="85">
        <f t="shared" si="6"/>
        <v>625572.05000000005</v>
      </c>
      <c r="O10" s="45">
        <f t="shared" si="8"/>
        <v>0.05</v>
      </c>
      <c r="Q10" s="45"/>
    </row>
    <row r="11" spans="1:17" ht="17.100000000000001" customHeight="1" x14ac:dyDescent="0.25">
      <c r="A11" s="66">
        <f t="shared" si="7"/>
        <v>6</v>
      </c>
      <c r="B11" s="66" t="s">
        <v>66</v>
      </c>
      <c r="C11" s="66"/>
      <c r="D11" s="75">
        <v>4.7300000000000004</v>
      </c>
      <c r="E11" s="76">
        <v>169624.06</v>
      </c>
      <c r="F11" s="78">
        <f t="shared" si="9"/>
        <v>169624.06</v>
      </c>
      <c r="G11" s="79">
        <f t="shared" si="0"/>
        <v>0</v>
      </c>
      <c r="H11" s="79">
        <f t="shared" si="2"/>
        <v>0</v>
      </c>
      <c r="I11" s="80">
        <v>0</v>
      </c>
      <c r="J11" s="81">
        <f t="shared" si="3"/>
        <v>178522.93174100004</v>
      </c>
      <c r="K11" s="168">
        <f t="shared" si="1"/>
        <v>4074.1646880000003</v>
      </c>
      <c r="L11" s="83">
        <f t="shared" si="4"/>
        <v>182597.06</v>
      </c>
      <c r="M11" s="84">
        <f t="shared" si="5"/>
        <v>193553.06</v>
      </c>
      <c r="N11" s="85">
        <f t="shared" si="6"/>
        <v>188075.06</v>
      </c>
      <c r="O11" s="45">
        <f t="shared" si="8"/>
        <v>6.0000000000000005E-2</v>
      </c>
    </row>
    <row r="12" spans="1:17" ht="17.100000000000001" customHeight="1" x14ac:dyDescent="0.25">
      <c r="A12" s="66">
        <f t="shared" si="7"/>
        <v>7</v>
      </c>
      <c r="B12" s="66" t="s">
        <v>67</v>
      </c>
      <c r="C12" s="66"/>
      <c r="D12" s="75">
        <v>5.67</v>
      </c>
      <c r="E12" s="76">
        <v>203334.07</v>
      </c>
      <c r="F12" s="78">
        <f>E12</f>
        <v>203334.07</v>
      </c>
      <c r="G12" s="79">
        <f t="shared" si="0"/>
        <v>0</v>
      </c>
      <c r="H12" s="79">
        <f t="shared" si="2"/>
        <v>0</v>
      </c>
      <c r="I12" s="80">
        <v>0</v>
      </c>
      <c r="J12" s="81">
        <f t="shared" si="3"/>
        <v>214001.06193900004</v>
      </c>
      <c r="K12" s="168">
        <f t="shared" si="1"/>
        <v>4883.8295519999992</v>
      </c>
      <c r="L12" s="83">
        <f t="shared" si="4"/>
        <v>218885.07</v>
      </c>
      <c r="M12" s="84">
        <f t="shared" si="5"/>
        <v>232018.07</v>
      </c>
      <c r="N12" s="85">
        <f t="shared" si="6"/>
        <v>225452.07</v>
      </c>
      <c r="O12" s="45">
        <f t="shared" si="8"/>
        <v>7.0000000000000007E-2</v>
      </c>
    </row>
    <row r="13" spans="1:17" ht="17.100000000000001" customHeight="1" x14ac:dyDescent="0.25">
      <c r="A13" s="66">
        <f t="shared" si="7"/>
        <v>8</v>
      </c>
      <c r="B13" s="66" t="s">
        <v>68</v>
      </c>
      <c r="C13" s="67"/>
      <c r="D13" s="75">
        <v>5.67</v>
      </c>
      <c r="E13" s="76">
        <v>204008.08</v>
      </c>
      <c r="F13" s="78">
        <f>104000</f>
        <v>104000</v>
      </c>
      <c r="G13" s="79">
        <f t="shared" si="0"/>
        <v>100008.07999999999</v>
      </c>
      <c r="H13" s="79">
        <f t="shared" si="2"/>
        <v>3000.2423999999996</v>
      </c>
      <c r="I13" s="80">
        <v>0</v>
      </c>
      <c r="J13" s="81">
        <f t="shared" si="3"/>
        <v>214001.06193900004</v>
      </c>
      <c r="K13" s="168">
        <f t="shared" si="1"/>
        <v>4883.8295519999992</v>
      </c>
      <c r="L13" s="83">
        <f t="shared" si="4"/>
        <v>321893.08</v>
      </c>
      <c r="M13" s="84">
        <f t="shared" si="5"/>
        <v>341207.08</v>
      </c>
      <c r="N13" s="85">
        <f t="shared" si="6"/>
        <v>331550.08000000002</v>
      </c>
      <c r="O13" s="45">
        <f t="shared" si="8"/>
        <v>0.08</v>
      </c>
      <c r="Q13" t="s">
        <v>90</v>
      </c>
    </row>
    <row r="14" spans="1:17" ht="17.100000000000001" customHeight="1" x14ac:dyDescent="0.25">
      <c r="A14" s="66">
        <f t="shared" si="7"/>
        <v>9</v>
      </c>
      <c r="B14" s="66" t="s">
        <v>69</v>
      </c>
      <c r="C14" s="67"/>
      <c r="D14" s="75">
        <v>7.67</v>
      </c>
      <c r="E14" s="76">
        <v>275057.09000000003</v>
      </c>
      <c r="F14" s="78">
        <f t="shared" si="9"/>
        <v>275057.09000000003</v>
      </c>
      <c r="G14" s="79">
        <f t="shared" si="0"/>
        <v>0</v>
      </c>
      <c r="H14" s="79">
        <f t="shared" si="2"/>
        <v>0</v>
      </c>
      <c r="I14" s="80">
        <v>0</v>
      </c>
      <c r="J14" s="81">
        <f t="shared" si="3"/>
        <v>289486.44533900003</v>
      </c>
      <c r="K14" s="168">
        <f t="shared" si="1"/>
        <v>6606.5207519999994</v>
      </c>
      <c r="L14" s="83">
        <f t="shared" si="4"/>
        <v>296093.09000000003</v>
      </c>
      <c r="M14" s="84">
        <f t="shared" si="5"/>
        <v>313859.09000000003</v>
      </c>
      <c r="N14" s="85">
        <f t="shared" si="6"/>
        <v>304976.09000000003</v>
      </c>
      <c r="O14" s="45">
        <f t="shared" si="8"/>
        <v>0.09</v>
      </c>
    </row>
    <row r="15" spans="1:17" ht="17.100000000000001" customHeight="1" x14ac:dyDescent="0.25">
      <c r="A15" s="66">
        <f t="shared" si="7"/>
        <v>10</v>
      </c>
      <c r="B15" s="66" t="s">
        <v>70</v>
      </c>
      <c r="C15" s="67"/>
      <c r="D15" s="75">
        <v>4.9000000000000004</v>
      </c>
      <c r="E15" s="76">
        <v>185695.1</v>
      </c>
      <c r="F15" s="78">
        <f>E15</f>
        <v>185695.1</v>
      </c>
      <c r="G15" s="79">
        <f t="shared" si="0"/>
        <v>0</v>
      </c>
      <c r="H15" s="79">
        <f t="shared" si="2"/>
        <v>0</v>
      </c>
      <c r="I15" s="80">
        <v>0</v>
      </c>
      <c r="J15" s="81">
        <f t="shared" si="3"/>
        <v>184939.18933000002</v>
      </c>
      <c r="K15" s="168">
        <f t="shared" si="1"/>
        <v>4220.5934400000006</v>
      </c>
      <c r="L15" s="83">
        <f t="shared" si="4"/>
        <v>189160.1</v>
      </c>
      <c r="M15" s="84">
        <f t="shared" si="5"/>
        <v>200510.1</v>
      </c>
      <c r="N15" s="85">
        <f t="shared" si="6"/>
        <v>194835.1</v>
      </c>
      <c r="O15" s="45">
        <f t="shared" si="8"/>
        <v>9.9999999999999992E-2</v>
      </c>
    </row>
    <row r="16" spans="1:17" ht="17.100000000000001" customHeight="1" x14ac:dyDescent="0.25">
      <c r="A16" s="66">
        <f t="shared" si="7"/>
        <v>11</v>
      </c>
      <c r="B16" s="66" t="s">
        <v>71</v>
      </c>
      <c r="C16" s="67"/>
      <c r="D16" s="75">
        <v>5.63</v>
      </c>
      <c r="E16" s="76">
        <v>201899.11</v>
      </c>
      <c r="F16" s="78">
        <f t="shared" si="9"/>
        <v>201899.11</v>
      </c>
      <c r="G16" s="79">
        <f t="shared" si="0"/>
        <v>0</v>
      </c>
      <c r="H16" s="79">
        <f t="shared" si="2"/>
        <v>0</v>
      </c>
      <c r="I16" s="80">
        <v>0</v>
      </c>
      <c r="J16" s="81">
        <f t="shared" si="3"/>
        <v>212491.35427100002</v>
      </c>
      <c r="K16" s="168">
        <f t="shared" si="1"/>
        <v>4849.375728</v>
      </c>
      <c r="L16" s="83">
        <f t="shared" si="4"/>
        <v>217341.11</v>
      </c>
      <c r="M16" s="84">
        <f t="shared" si="5"/>
        <v>230382.11</v>
      </c>
      <c r="N16" s="85">
        <f t="shared" si="6"/>
        <v>223861.11</v>
      </c>
      <c r="O16" s="45">
        <f t="shared" si="8"/>
        <v>0.10999999999999999</v>
      </c>
    </row>
    <row r="17" spans="1:17" ht="17.100000000000001" customHeight="1" x14ac:dyDescent="0.25">
      <c r="A17" s="66">
        <f t="shared" si="7"/>
        <v>12</v>
      </c>
      <c r="B17" s="66" t="s">
        <v>72</v>
      </c>
      <c r="C17" s="67"/>
      <c r="D17" s="75">
        <v>5.55</v>
      </c>
      <c r="E17" s="76">
        <v>199030.12</v>
      </c>
      <c r="F17" s="78">
        <f t="shared" si="9"/>
        <v>199030.12</v>
      </c>
      <c r="G17" s="79">
        <f t="shared" si="0"/>
        <v>0</v>
      </c>
      <c r="H17" s="79">
        <f t="shared" si="2"/>
        <v>0</v>
      </c>
      <c r="I17" s="80">
        <v>0</v>
      </c>
      <c r="J17" s="81">
        <f t="shared" si="3"/>
        <v>209471.93893500001</v>
      </c>
      <c r="K17" s="168">
        <f t="shared" si="1"/>
        <v>4780.4680799999996</v>
      </c>
      <c r="L17" s="83">
        <f t="shared" si="4"/>
        <v>214252.12</v>
      </c>
      <c r="M17" s="84">
        <f t="shared" si="5"/>
        <v>227107.12</v>
      </c>
      <c r="N17" s="85">
        <f t="shared" si="6"/>
        <v>220680.12</v>
      </c>
      <c r="O17" s="45">
        <f t="shared" si="8"/>
        <v>0.11999999999999998</v>
      </c>
    </row>
    <row r="18" spans="1:17" ht="17.100000000000001" customHeight="1" x14ac:dyDescent="0.25">
      <c r="A18" s="66">
        <f t="shared" si="7"/>
        <v>13</v>
      </c>
      <c r="B18" s="66" t="s">
        <v>73</v>
      </c>
      <c r="C18" s="67"/>
      <c r="D18" s="75">
        <v>11.06</v>
      </c>
      <c r="E18" s="76">
        <v>396626.13</v>
      </c>
      <c r="F18" s="78">
        <f>E18</f>
        <v>396626.13</v>
      </c>
      <c r="G18" s="79">
        <f t="shared" si="0"/>
        <v>0</v>
      </c>
      <c r="H18" s="79">
        <f t="shared" si="2"/>
        <v>0</v>
      </c>
      <c r="I18" s="80">
        <v>0</v>
      </c>
      <c r="J18" s="81">
        <f t="shared" si="3"/>
        <v>417434.17020200007</v>
      </c>
      <c r="K18" s="168">
        <f t="shared" si="1"/>
        <v>9526.4823360000009</v>
      </c>
      <c r="L18" s="83">
        <f t="shared" si="4"/>
        <v>426961.13</v>
      </c>
      <c r="M18" s="84">
        <f t="shared" si="5"/>
        <v>452579.13</v>
      </c>
      <c r="N18" s="85">
        <f t="shared" si="6"/>
        <v>439770.13</v>
      </c>
      <c r="O18" s="45">
        <f t="shared" si="8"/>
        <v>0.12999999999999998</v>
      </c>
    </row>
    <row r="19" spans="1:17" ht="17.100000000000001" customHeight="1" x14ac:dyDescent="0.25">
      <c r="A19" s="66">
        <f t="shared" si="7"/>
        <v>14</v>
      </c>
      <c r="B19" s="66" t="s">
        <v>74</v>
      </c>
      <c r="C19" s="67"/>
      <c r="D19" s="75">
        <v>3.3</v>
      </c>
      <c r="E19" s="76">
        <v>216771.14</v>
      </c>
      <c r="F19" s="78"/>
      <c r="G19" s="79">
        <f t="shared" si="0"/>
        <v>216771.14</v>
      </c>
      <c r="H19" s="79">
        <f t="shared" si="2"/>
        <v>6503.1342000000004</v>
      </c>
      <c r="I19" s="80">
        <v>0</v>
      </c>
      <c r="J19" s="81">
        <f t="shared" si="3"/>
        <v>124550.88261000002</v>
      </c>
      <c r="K19" s="168">
        <f t="shared" si="1"/>
        <v>2842.4404799999993</v>
      </c>
      <c r="L19" s="83">
        <f t="shared" si="4"/>
        <v>350668.14</v>
      </c>
      <c r="M19" s="84">
        <f t="shared" si="5"/>
        <v>371708.14</v>
      </c>
      <c r="N19" s="85">
        <f t="shared" si="6"/>
        <v>361188.14</v>
      </c>
      <c r="O19" s="45">
        <f t="shared" si="8"/>
        <v>0.13999999999999999</v>
      </c>
    </row>
    <row r="20" spans="1:17" ht="17.100000000000001" customHeight="1" x14ac:dyDescent="0.25">
      <c r="A20" s="66">
        <f t="shared" si="7"/>
        <v>15</v>
      </c>
      <c r="B20" s="66" t="s">
        <v>75</v>
      </c>
      <c r="C20" s="67"/>
      <c r="D20" s="75">
        <v>1.8</v>
      </c>
      <c r="E20" s="76">
        <v>64550.15</v>
      </c>
      <c r="F20" s="78">
        <f>E20</f>
        <v>64550.15</v>
      </c>
      <c r="G20" s="79">
        <f t="shared" si="0"/>
        <v>0</v>
      </c>
      <c r="H20" s="79">
        <f t="shared" si="2"/>
        <v>0</v>
      </c>
      <c r="I20" s="80">
        <v>0</v>
      </c>
      <c r="J20" s="81">
        <f t="shared" si="3"/>
        <v>67936.845060000021</v>
      </c>
      <c r="K20" s="168">
        <f t="shared" si="1"/>
        <v>1550.4220800000001</v>
      </c>
      <c r="L20" s="83">
        <f t="shared" si="4"/>
        <v>69487.149999999994</v>
      </c>
      <c r="M20" s="84">
        <f t="shared" si="5"/>
        <v>73656.149999999994</v>
      </c>
      <c r="N20" s="85">
        <f t="shared" si="6"/>
        <v>71572.149999999994</v>
      </c>
      <c r="O20" s="45">
        <f t="shared" si="8"/>
        <v>0.15</v>
      </c>
    </row>
    <row r="21" spans="1:17" ht="17.100000000000001" customHeight="1" x14ac:dyDescent="0.25">
      <c r="A21" s="66">
        <f t="shared" si="7"/>
        <v>16</v>
      </c>
      <c r="B21" s="66" t="s">
        <v>76</v>
      </c>
      <c r="C21" s="66"/>
      <c r="D21" s="75">
        <v>3.22</v>
      </c>
      <c r="E21" s="76">
        <v>115474.16</v>
      </c>
      <c r="F21" s="78">
        <f>E21</f>
        <v>115474.16</v>
      </c>
      <c r="G21" s="79">
        <f t="shared" si="0"/>
        <v>0</v>
      </c>
      <c r="H21" s="79">
        <f t="shared" si="2"/>
        <v>0</v>
      </c>
      <c r="I21" s="80">
        <v>0</v>
      </c>
      <c r="J21" s="81">
        <f t="shared" si="3"/>
        <v>121531.46727400001</v>
      </c>
      <c r="K21" s="168">
        <f t="shared" si="1"/>
        <v>2773.5328319999999</v>
      </c>
      <c r="L21" s="83">
        <f t="shared" si="4"/>
        <v>124305.16</v>
      </c>
      <c r="M21" s="84">
        <f t="shared" si="5"/>
        <v>131763.16</v>
      </c>
      <c r="N21" s="85">
        <f t="shared" si="6"/>
        <v>128034.16</v>
      </c>
      <c r="O21" s="45">
        <f t="shared" si="8"/>
        <v>0.16</v>
      </c>
      <c r="Q21" s="44"/>
    </row>
    <row r="22" spans="1:17" ht="17.100000000000001" customHeight="1" x14ac:dyDescent="0.25">
      <c r="A22" s="66">
        <f t="shared" si="7"/>
        <v>17</v>
      </c>
      <c r="B22" s="66" t="s">
        <v>77</v>
      </c>
      <c r="C22" s="67"/>
      <c r="D22" s="75">
        <v>2.61</v>
      </c>
      <c r="E22" s="77">
        <v>179251.17</v>
      </c>
      <c r="F22" s="78"/>
      <c r="G22" s="79">
        <f t="shared" si="0"/>
        <v>179251.17</v>
      </c>
      <c r="H22" s="79">
        <f t="shared" si="2"/>
        <v>5377.5351000000001</v>
      </c>
      <c r="I22" s="80">
        <v>0</v>
      </c>
      <c r="J22" s="81">
        <f t="shared" si="3"/>
        <v>98508.425337000008</v>
      </c>
      <c r="K22" s="168">
        <f t="shared" si="1"/>
        <v>2248.1120159999996</v>
      </c>
      <c r="L22" s="83">
        <f t="shared" si="4"/>
        <v>285385.17</v>
      </c>
      <c r="M22" s="84">
        <f t="shared" si="5"/>
        <v>302508.17</v>
      </c>
      <c r="N22" s="85">
        <f t="shared" si="6"/>
        <v>293947.17</v>
      </c>
      <c r="O22" s="45">
        <f t="shared" si="8"/>
        <v>0.17</v>
      </c>
    </row>
    <row r="23" spans="1:17" ht="17.100000000000001" customHeight="1" x14ac:dyDescent="0.25">
      <c r="A23" s="66">
        <f t="shared" si="7"/>
        <v>18</v>
      </c>
      <c r="B23" s="66" t="s">
        <v>78</v>
      </c>
      <c r="C23" s="132"/>
      <c r="D23" s="75">
        <v>4.28</v>
      </c>
      <c r="E23" s="76">
        <v>153487.18</v>
      </c>
      <c r="F23" s="78">
        <f t="shared" si="9"/>
        <v>153487.18</v>
      </c>
      <c r="G23" s="79">
        <f t="shared" si="0"/>
        <v>0</v>
      </c>
      <c r="H23" s="79">
        <f t="shared" si="2"/>
        <v>0</v>
      </c>
      <c r="I23" s="80">
        <v>0</v>
      </c>
      <c r="J23" s="81">
        <f t="shared" si="3"/>
        <v>161538.72047600005</v>
      </c>
      <c r="K23" s="168">
        <f t="shared" si="1"/>
        <v>3686.5591680000002</v>
      </c>
      <c r="L23" s="83">
        <f t="shared" si="4"/>
        <v>165225.18</v>
      </c>
      <c r="M23" s="84">
        <f t="shared" si="5"/>
        <v>175139.18</v>
      </c>
      <c r="N23" s="85">
        <f t="shared" si="6"/>
        <v>170182.18</v>
      </c>
      <c r="O23" s="45">
        <f t="shared" si="8"/>
        <v>0.18000000000000002</v>
      </c>
    </row>
    <row r="24" spans="1:17" ht="17.100000000000001" customHeight="1" x14ac:dyDescent="0.25">
      <c r="A24" s="66"/>
      <c r="B24" s="66"/>
      <c r="C24" s="67"/>
      <c r="D24" s="75"/>
      <c r="E24" s="76"/>
      <c r="F24" s="157"/>
      <c r="G24" s="79"/>
      <c r="H24" s="79"/>
      <c r="I24" s="80"/>
      <c r="J24" s="81"/>
      <c r="K24" s="82"/>
      <c r="L24" s="83"/>
      <c r="M24" s="84"/>
      <c r="N24" s="85"/>
      <c r="O24" s="45">
        <f t="shared" si="8"/>
        <v>0.19000000000000003</v>
      </c>
    </row>
    <row r="25" spans="1:17" ht="16.5" hidden="1" customHeight="1" x14ac:dyDescent="0.25">
      <c r="A25" s="86"/>
      <c r="B25" s="66"/>
      <c r="C25" s="67"/>
      <c r="D25" s="75"/>
      <c r="E25" s="88"/>
      <c r="F25" s="89"/>
      <c r="G25" s="90"/>
      <c r="H25" s="79"/>
      <c r="I25" s="80"/>
      <c r="J25" s="91"/>
      <c r="K25" s="92"/>
      <c r="L25" s="83"/>
      <c r="M25" s="84"/>
      <c r="N25" s="85"/>
      <c r="O25" s="45"/>
    </row>
    <row r="26" spans="1:17" ht="22.5" hidden="1" customHeight="1" thickBot="1" x14ac:dyDescent="0.3">
      <c r="A26" s="86"/>
      <c r="B26" s="68"/>
      <c r="C26" s="67"/>
      <c r="D26" s="75"/>
      <c r="E26" s="88"/>
      <c r="F26" s="89"/>
      <c r="G26" s="90"/>
      <c r="H26" s="79"/>
      <c r="I26" s="80"/>
      <c r="J26" s="91"/>
      <c r="K26" s="92"/>
      <c r="L26" s="83"/>
      <c r="M26" s="84"/>
      <c r="N26" s="85"/>
      <c r="O26" s="45"/>
    </row>
    <row r="27" spans="1:17" ht="16.5" hidden="1" customHeight="1" thickBot="1" x14ac:dyDescent="0.3">
      <c r="A27" s="87"/>
      <c r="B27" s="66"/>
      <c r="C27" s="67"/>
      <c r="D27" s="75"/>
      <c r="E27" s="88"/>
      <c r="F27" s="89"/>
      <c r="G27" s="90"/>
      <c r="H27" s="79"/>
      <c r="I27" s="80"/>
      <c r="J27" s="91"/>
      <c r="K27" s="92"/>
      <c r="L27" s="83"/>
      <c r="M27" s="84"/>
      <c r="N27" s="85"/>
      <c r="O27" s="45"/>
    </row>
    <row r="28" spans="1:17" ht="17.100000000000001" customHeight="1" thickBot="1" x14ac:dyDescent="0.3">
      <c r="A28" s="66"/>
      <c r="B28" s="93"/>
      <c r="C28" s="93"/>
      <c r="D28" s="75"/>
      <c r="E28" s="88"/>
      <c r="F28" s="89"/>
      <c r="G28" s="90"/>
      <c r="H28" s="79"/>
      <c r="I28" s="80"/>
      <c r="J28" s="91"/>
      <c r="K28" s="92"/>
      <c r="L28" s="94"/>
      <c r="M28" s="95"/>
      <c r="N28" s="96"/>
      <c r="O28" s="45"/>
    </row>
    <row r="29" spans="1:17" ht="17.100000000000001" customHeight="1" thickBot="1" x14ac:dyDescent="0.3">
      <c r="A29" s="97"/>
      <c r="B29" s="98"/>
      <c r="C29" s="98"/>
      <c r="D29" s="99">
        <f>SUM(D6:D28)</f>
        <v>100.08</v>
      </c>
      <c r="E29" s="55">
        <f>SUM(E6:E28)</f>
        <v>3902969.7100000004</v>
      </c>
      <c r="F29" s="64">
        <f>SUM(F6:F28)</f>
        <v>2888514.2500000005</v>
      </c>
      <c r="G29" s="64">
        <f>SUM(G6:G28)</f>
        <v>1014455.4600000001</v>
      </c>
      <c r="H29" s="64">
        <f t="shared" ref="H29:M29" si="10">SUM(H6:H28)</f>
        <v>30433.663799999998</v>
      </c>
      <c r="I29" s="64">
        <f t="shared" si="10"/>
        <v>0</v>
      </c>
      <c r="J29" s="137">
        <f t="shared" si="10"/>
        <v>3777288.5853360011</v>
      </c>
      <c r="K29" s="64">
        <f t="shared" si="10"/>
        <v>86203.467647999991</v>
      </c>
      <c r="L29" s="100">
        <f>SUM(L6:L23)</f>
        <v>4908382.71</v>
      </c>
      <c r="M29" s="100">
        <f t="shared" si="10"/>
        <v>5202887.71</v>
      </c>
      <c r="N29" s="100">
        <f>SUM(N6:N28)</f>
        <v>5055637.71</v>
      </c>
    </row>
    <row r="30" spans="1:17" ht="12.75" customHeight="1" x14ac:dyDescent="0.25">
      <c r="B30" s="52"/>
      <c r="C30" s="52"/>
    </row>
    <row r="31" spans="1:17" hidden="1" x14ac:dyDescent="0.25"/>
    <row r="32" spans="1:17" ht="9" customHeight="1" x14ac:dyDescent="0.25">
      <c r="B32" s="186" t="str">
        <f>RESUMEN!A13</f>
        <v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v>
      </c>
      <c r="C32" s="186"/>
      <c r="D32" s="186"/>
      <c r="E32" s="186"/>
      <c r="F32" s="186"/>
      <c r="G32" s="186"/>
      <c r="H32" s="186"/>
      <c r="I32" s="186"/>
      <c r="J32" s="186"/>
      <c r="K32" s="186"/>
      <c r="L32" s="186"/>
    </row>
    <row r="33" spans="2:12" ht="12" hidden="1" customHeight="1" x14ac:dyDescent="0.25">
      <c r="B33" s="186"/>
      <c r="C33" s="186"/>
      <c r="D33" s="186"/>
      <c r="E33" s="186"/>
      <c r="F33" s="186"/>
      <c r="G33" s="186"/>
      <c r="H33" s="186"/>
      <c r="I33" s="186"/>
      <c r="J33" s="186"/>
      <c r="K33" s="186"/>
      <c r="L33" s="186"/>
    </row>
    <row r="34" spans="2:12" ht="12" hidden="1" customHeight="1" x14ac:dyDescent="0.25">
      <c r="B34" s="186"/>
      <c r="C34" s="186"/>
      <c r="D34" s="186"/>
      <c r="E34" s="186"/>
      <c r="F34" s="186"/>
      <c r="G34" s="186"/>
      <c r="H34" s="186"/>
      <c r="I34" s="186"/>
      <c r="J34" s="186"/>
      <c r="K34" s="186"/>
      <c r="L34" s="186"/>
    </row>
    <row r="35" spans="2:12" ht="12" hidden="1" customHeight="1" x14ac:dyDescent="0.25">
      <c r="B35" s="186"/>
      <c r="C35" s="186"/>
      <c r="D35" s="186"/>
      <c r="E35" s="186"/>
      <c r="F35" s="186"/>
      <c r="G35" s="186"/>
      <c r="H35" s="186"/>
      <c r="I35" s="186"/>
      <c r="J35" s="186"/>
      <c r="K35" s="186"/>
      <c r="L35" s="186"/>
    </row>
    <row r="36" spans="2:12" ht="12" hidden="1" customHeight="1" x14ac:dyDescent="0.25">
      <c r="B36" s="186"/>
      <c r="C36" s="186"/>
      <c r="D36" s="186"/>
      <c r="E36" s="186"/>
      <c r="F36" s="186"/>
      <c r="G36" s="186"/>
      <c r="H36" s="186"/>
      <c r="I36" s="186"/>
      <c r="J36" s="186"/>
      <c r="K36" s="186"/>
      <c r="L36" s="186"/>
    </row>
    <row r="37" spans="2:12" ht="67.5" customHeight="1" x14ac:dyDescent="0.25">
      <c r="B37" s="186"/>
      <c r="C37" s="186"/>
      <c r="D37" s="186"/>
      <c r="E37" s="186"/>
      <c r="F37" s="186"/>
      <c r="G37" s="186"/>
      <c r="H37" s="186"/>
      <c r="I37" s="186"/>
      <c r="J37" s="186"/>
      <c r="K37" s="186"/>
      <c r="L37" s="186"/>
    </row>
  </sheetData>
  <mergeCells count="15">
    <mergeCell ref="D1:L1"/>
    <mergeCell ref="H4:H5"/>
    <mergeCell ref="E4:E5"/>
    <mergeCell ref="M4:M5"/>
    <mergeCell ref="F4:F5"/>
    <mergeCell ref="G4:G5"/>
    <mergeCell ref="I4:I5"/>
    <mergeCell ref="J4:J5"/>
    <mergeCell ref="K4:K5"/>
    <mergeCell ref="N4:N5"/>
    <mergeCell ref="B32:L37"/>
    <mergeCell ref="C4:C5"/>
    <mergeCell ref="A4:A5"/>
    <mergeCell ref="B4:B5"/>
    <mergeCell ref="D4:D5"/>
  </mergeCells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123E2-E76E-40B2-9631-974509386176}">
  <dimension ref="C5:E5"/>
  <sheetViews>
    <sheetView workbookViewId="0">
      <selection activeCell="E6" sqref="E6"/>
    </sheetView>
  </sheetViews>
  <sheetFormatPr baseColWidth="10" defaultRowHeight="15" x14ac:dyDescent="0.25"/>
  <sheetData>
    <row r="5" spans="3:5" x14ac:dyDescent="0.25">
      <c r="C5" s="185" t="s">
        <v>92</v>
      </c>
      <c r="E5" t="s">
        <v>93</v>
      </c>
    </row>
  </sheetData>
  <hyperlinks>
    <hyperlink ref="C5" r:id="rId1" xr:uid="{44B2E0B3-0977-4FBD-9355-9C344C7DE16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PRORRATEO</vt:lpstr>
      <vt:lpstr>ANOTACIONES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2025-10-03T14:55:56Z</cp:lastPrinted>
  <dcterms:created xsi:type="dcterms:W3CDTF">2023-09-17T12:29:07Z</dcterms:created>
  <dcterms:modified xsi:type="dcterms:W3CDTF">2025-10-03T14:56:02Z</dcterms:modified>
</cp:coreProperties>
</file>