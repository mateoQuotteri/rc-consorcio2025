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Julio\"/>
    </mc:Choice>
  </mc:AlternateContent>
  <xr:revisionPtr revIDLastSave="0" documentId="13_ncr:1_{CBBA05BC-ED7C-4946-85E3-05F590C3EB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15" i="1"/>
  <c r="G16" i="1"/>
  <c r="G13" i="1" l="1"/>
  <c r="G19" i="1"/>
  <c r="G11" i="1" l="1"/>
  <c r="G32" i="1"/>
  <c r="G18" i="1" l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<sst xmlns="http://schemas.openxmlformats.org/spreadsheetml/2006/main" count="144" uniqueCount="83">
  <si>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</si>
  <si>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</si>
  <si>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</si>
  <si>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</si>
  <si>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</si>
  <si>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</si>
  <si>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</si>
  <si>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</si>
  <si>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</si>
  <si>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</si>
  <si>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</si>
  <si>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</si>
  <si>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</si>
  <si>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</si>
  <si>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</si>
  <si>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</si>
  <si>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</si>
  <si>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</si>
  <si>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</si>
  <si>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</si>
  <si>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</si>
  <si>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</si>
  <si>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</si>
  <si>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</si>
  <si>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</si>
  <si>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</si>
  <si>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</si>
  <si>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</si>
  <si>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</si>
  <si>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</si>
  <si>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</si>
  <si>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</si>
  <si>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</si>
  <si>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</si>
  <si>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</si>
  <si>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</si>
  <si>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</si>
  <si>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</si>
  <si>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</si>
  <si>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</si>
  <si>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</si>
  <si>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</si>
  <si>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</si>
  <si>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</si>
  <si>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</si>
  <si>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</si>
  <si>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</si>
  <si>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</si>
  <si>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</si>
  <si>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</si>
  <si>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</si>
  <si>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</si>
  <si>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</si>
  <si>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</si>
  <si>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</si>
  <si>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</si>
  <si>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</si>
  <si>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</si>
  <si>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</si>
  <si>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</si>
  <si>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</si>
  <si>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</si>
  <si>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</si>
  <si>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</si>
  <si>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</si>
  <si>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</si>
  <si>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</si>
  <si>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</si>
  <si>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</si>
  <si>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</si>
  <si>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</si>
  <si>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</si>
  <si>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</si>
  <si>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</si>
  <si>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</si>
  <si>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</si>
  <si>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</si>
  <si>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</si>
  <si>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</si>
  <si>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</si>
  <si>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</si>
  <si>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Federico</t>
  </si>
  <si>
    <t>EXPENSAS - VENCIMIENTO 14/08  LIQUIDACION :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</si>
</sst>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9" fillId="3" borderId="1" xfId="2" applyNumberFormat="1" applyFont="1" applyFill="1" applyBorder="1"/>
    <xf numFmtId="166" fontId="9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22" zoomScaleNormal="100" workbookViewId="0">
      <selection activeCell="G35" sqref="G35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8" t="s">
        <v>71</v>
      </c>
      <c r="J3" s="57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0">
        <v>1302201.98</v>
      </c>
      <c r="D7" s="53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>
        <v>700000</v>
      </c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98107.897020000004</v>
      </c>
      <c r="G11" s="62">
        <f>F11</f>
        <v>98107.897020000004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63807.897020000004</v>
      </c>
      <c r="M11" s="5">
        <f>C8*E11/100</f>
        <v>34300.000000000007</v>
      </c>
      <c r="N11" s="44">
        <f>K11+L11+M11</f>
        <v>98107.897020000004</v>
      </c>
    </row>
    <row r="12" spans="1:14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663787.08654741221</v>
      </c>
      <c r="G12" s="62"/>
      <c r="H12" s="8">
        <f t="shared" ref="H12:H34" si="0">F12-G12</f>
        <v>663787.08654741221</v>
      </c>
      <c r="I12" s="5">
        <v>0</v>
      </c>
      <c r="J12" s="9">
        <f t="shared" ref="J12:J34" si="1">H12*8.8%</f>
        <v>58413.263616172284</v>
      </c>
      <c r="K12" s="44">
        <f>H12+I12+J12</f>
        <v>722200.35016358446</v>
      </c>
      <c r="L12" s="5">
        <f>C7*E12/100</f>
        <v>50655.657021999999</v>
      </c>
      <c r="M12" s="5">
        <f>C8*E12/100</f>
        <v>27230</v>
      </c>
      <c r="N12" s="44">
        <f>K12+L12+M12</f>
        <v>800086.0071855844</v>
      </c>
    </row>
    <row r="13" spans="1:14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80088.079200000007</v>
      </c>
      <c r="G13" s="62">
        <f>F13</f>
        <v>80088.079200000007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52088.0792</v>
      </c>
      <c r="M13" s="5">
        <f>C8*E13/100</f>
        <v>28000</v>
      </c>
      <c r="N13" s="44">
        <f>K13+L13+M13</f>
        <v>80088.079200000007</v>
      </c>
    </row>
    <row r="14" spans="1:14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98107.897020000004</v>
      </c>
      <c r="G14" s="62">
        <f t="shared" ref="G14" si="2">F14</f>
        <v>98107.897020000004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63807.897020000004</v>
      </c>
      <c r="M14" s="5">
        <f>C8*E14/100</f>
        <v>34300.000000000007</v>
      </c>
      <c r="N14" s="44">
        <f t="shared" ref="N14:N24" si="3">K14+L14+M14</f>
        <v>98107.897020000004</v>
      </c>
    </row>
    <row r="15" spans="1:14" x14ac:dyDescent="0.25">
      <c r="A15" s="11">
        <v>5</v>
      </c>
      <c r="B15" s="11" t="s">
        <v>15</v>
      </c>
      <c r="C15" s="55" t="s">
        <v>8</v>
      </c>
      <c r="D15" s="55" t="s">
        <v>73</v>
      </c>
      <c r="E15" s="1">
        <v>3.89</v>
      </c>
      <c r="F15" s="5">
        <v>77885.657021999999</v>
      </c>
      <c r="G15" s="62">
        <f>F15-27230</f>
        <v>50655.657021999999</v>
      </c>
      <c r="H15" s="8">
        <f t="shared" si="0"/>
        <v>27230</v>
      </c>
      <c r="I15" s="8">
        <v>0</v>
      </c>
      <c r="J15" s="9">
        <f t="shared" si="1"/>
        <v>2396.2400000000002</v>
      </c>
      <c r="K15" s="44">
        <f>H15+J15+I15</f>
        <v>29626.240000000002</v>
      </c>
      <c r="L15" s="5">
        <f>C7*E15/100</f>
        <v>50655.657021999999</v>
      </c>
      <c r="M15" s="5">
        <f>C8*E15/100</f>
        <v>27230</v>
      </c>
      <c r="N15" s="44">
        <f>K15+L15+M15</f>
        <v>107511.897022</v>
      </c>
    </row>
    <row r="16" spans="1:14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229160.65879505922</v>
      </c>
      <c r="G16" s="62">
        <f>F16</f>
        <v>229160.65879505922</v>
      </c>
      <c r="H16" s="8">
        <f t="shared" si="0"/>
        <v>0</v>
      </c>
      <c r="I16" s="5">
        <v>0</v>
      </c>
      <c r="J16" s="9">
        <f t="shared" si="1"/>
        <v>0</v>
      </c>
      <c r="K16" s="44">
        <f>H16+J16+I16</f>
        <v>0</v>
      </c>
      <c r="L16" s="5">
        <f>C7*E16/100</f>
        <v>52088.0792</v>
      </c>
      <c r="M16" s="5">
        <f>C8*E16/100</f>
        <v>28000</v>
      </c>
      <c r="N16" s="44">
        <f t="shared" si="3"/>
        <v>80088.079200000007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98107.897020000004</v>
      </c>
      <c r="G17" s="62">
        <f t="shared" ref="G15:G21" si="4">F17</f>
        <v>98107.897020000004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63807.897020000004</v>
      </c>
      <c r="M17" s="5">
        <f>C8*E17/100</f>
        <v>34300.000000000007</v>
      </c>
      <c r="N17" s="44">
        <f>K17+L17+M17</f>
        <v>98107.897020000004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77885.657021999999</v>
      </c>
      <c r="G18" s="62">
        <f t="shared" si="4"/>
        <v>77885.657021999999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50655.657021999999</v>
      </c>
      <c r="M18" s="5">
        <f>C8*E18/100</f>
        <v>27230</v>
      </c>
      <c r="N18" s="44">
        <f t="shared" si="3"/>
        <v>77885.657021999999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80088.079200000007</v>
      </c>
      <c r="G19" s="62">
        <f>F19</f>
        <v>80088.079200000007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52088.0792</v>
      </c>
      <c r="M19" s="5">
        <f>C8*E19/100</f>
        <v>28000</v>
      </c>
      <c r="N19" s="44">
        <f t="shared" si="3"/>
        <v>80088.079200000007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-4377.2293319999881</v>
      </c>
      <c r="G20" s="62">
        <v>0</v>
      </c>
      <c r="H20" s="8">
        <f t="shared" si="0"/>
        <v>-4377.2293319999881</v>
      </c>
      <c r="I20" s="5">
        <v>0</v>
      </c>
      <c r="J20" s="9">
        <f t="shared" si="1"/>
        <v>-385.19618121599899</v>
      </c>
      <c r="K20" s="44">
        <f>H20+J20+I20</f>
        <v>-4762.4255132159869</v>
      </c>
      <c r="L20" s="5">
        <f>C7*E20/100</f>
        <v>164858.77066800001</v>
      </c>
      <c r="M20" s="5">
        <f>C8*E20/100</f>
        <v>88620</v>
      </c>
      <c r="N20" s="44">
        <f>K20+L20+M20</f>
        <v>248716.34515478404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155170.65345000001</v>
      </c>
      <c r="G21" s="63">
        <f t="shared" si="4"/>
        <v>155170.65345000001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100920.65345000001</v>
      </c>
      <c r="M21" s="5">
        <f>C8*E21/100</f>
        <v>54250</v>
      </c>
      <c r="N21" s="44">
        <f t="shared" si="3"/>
        <v>155170.65345000001</v>
      </c>
    </row>
    <row r="22" spans="1:14" x14ac:dyDescent="0.25">
      <c r="A22" s="11">
        <v>12</v>
      </c>
      <c r="B22" s="11" t="s">
        <v>24</v>
      </c>
      <c r="C22" s="55" t="s">
        <v>79</v>
      </c>
      <c r="D22" s="55"/>
      <c r="E22" s="1">
        <v>7.51</v>
      </c>
      <c r="F22" s="5">
        <v>150365.36869799998</v>
      </c>
      <c r="G22" s="62"/>
      <c r="H22" s="8">
        <f t="shared" si="0"/>
        <v>150365.36869799998</v>
      </c>
      <c r="I22" s="5">
        <v>0</v>
      </c>
      <c r="J22" s="9">
        <f t="shared" si="1"/>
        <v>13232.152445423999</v>
      </c>
      <c r="K22" s="44">
        <f t="shared" ref="K22:K24" si="6">H22+J22+I22</f>
        <v>163597.52114342398</v>
      </c>
      <c r="L22" s="5">
        <f>C7*E22/100</f>
        <v>97795.368697999991</v>
      </c>
      <c r="M22" s="5">
        <f>C8*E22/100</f>
        <v>52570</v>
      </c>
      <c r="N22" s="44">
        <f t="shared" si="3"/>
        <v>313962.88984142395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308691.5767484465</v>
      </c>
      <c r="G23" s="62"/>
      <c r="H23" s="8">
        <f t="shared" si="0"/>
        <v>308691.5767484465</v>
      </c>
      <c r="I23" s="5">
        <v>0</v>
      </c>
      <c r="J23" s="9">
        <f t="shared" si="1"/>
        <v>27164.858753863296</v>
      </c>
      <c r="K23" s="44">
        <f>H23+J23+I23</f>
        <v>335856.43550230982</v>
      </c>
      <c r="L23" s="5">
        <f>C7*E23/100</f>
        <v>57947.988109999998</v>
      </c>
      <c r="M23" s="5">
        <f>C8*E23/100</f>
        <v>31150</v>
      </c>
      <c r="N23" s="44">
        <f>K23+L23+M23</f>
        <v>424954.42361230979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123535.86216600001</v>
      </c>
      <c r="G24" s="62">
        <f>F24</f>
        <v>123535.86216600001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80345.862166000006</v>
      </c>
      <c r="M24" s="5">
        <f>C8*E24/100</f>
        <v>43190</v>
      </c>
      <c r="N24" s="44">
        <f t="shared" si="3"/>
        <v>123535.86216600001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369989.25462959788</v>
      </c>
      <c r="G25" s="62">
        <v>57949</v>
      </c>
      <c r="H25" s="8">
        <f t="shared" si="0"/>
        <v>312040.25462959788</v>
      </c>
      <c r="I25" s="5">
        <v>0</v>
      </c>
      <c r="J25" s="9">
        <f t="shared" si="1"/>
        <v>27459.542407404617</v>
      </c>
      <c r="K25" s="44">
        <f>H25+J25+I25</f>
        <v>339499.79703700251</v>
      </c>
      <c r="L25" s="5">
        <f>C7*E25/100+1</f>
        <v>57948.988109999998</v>
      </c>
      <c r="M25" s="5">
        <f>C8*E25/100</f>
        <v>31150</v>
      </c>
      <c r="N25" s="44">
        <f>K25+L25+M25</f>
        <v>428598.78514700249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960634.16311672679</v>
      </c>
      <c r="G26" s="62"/>
      <c r="H26" s="8">
        <f t="shared" si="0"/>
        <v>960634.16311672679</v>
      </c>
      <c r="I26" s="5">
        <v>0</v>
      </c>
      <c r="J26" s="9">
        <f t="shared" si="1"/>
        <v>84535.806354271961</v>
      </c>
      <c r="K26" s="44">
        <f>H26+J26+I26</f>
        <v>1045169.9694709987</v>
      </c>
      <c r="L26" s="5">
        <f>C7*E26/100+1</f>
        <v>119673.36196199998</v>
      </c>
      <c r="M26" s="5">
        <f>C8*E26/100</f>
        <v>64330</v>
      </c>
      <c r="N26" s="44">
        <f>K26+L26+M26</f>
        <v>1229173.3314329986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23626.983364</v>
      </c>
      <c r="G27" s="62">
        <f>F27</f>
        <v>23626.983364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15366.983364</v>
      </c>
      <c r="M27" s="5">
        <f>C8*E27/100</f>
        <v>8260</v>
      </c>
      <c r="N27" s="44">
        <f>K27+L27+M27</f>
        <v>23626.983364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67605.666088542464</v>
      </c>
      <c r="G28" s="62"/>
      <c r="H28" s="8">
        <f t="shared" si="0"/>
        <v>67605.666088542464</v>
      </c>
      <c r="I28" s="5">
        <v>0</v>
      </c>
      <c r="J28" s="9">
        <f t="shared" si="1"/>
        <v>5949.2986157917376</v>
      </c>
      <c r="K28" s="44">
        <f t="shared" si="7"/>
        <v>73554.964704334197</v>
      </c>
      <c r="L28" s="5">
        <f>C7*E28/100+1</f>
        <v>15366.983364</v>
      </c>
      <c r="M28" s="5">
        <f>C8*E28/100</f>
        <v>8260</v>
      </c>
      <c r="N28" s="44">
        <f t="shared" ref="N28:N34" si="8">K28+L28+M28</f>
        <v>97181.948068334197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67605.666088542464</v>
      </c>
      <c r="G29" s="62"/>
      <c r="H29" s="8">
        <f t="shared" si="0"/>
        <v>67605.666088542464</v>
      </c>
      <c r="I29" s="5">
        <v>0</v>
      </c>
      <c r="J29" s="9">
        <f t="shared" si="1"/>
        <v>5949.2986157917376</v>
      </c>
      <c r="K29" s="44">
        <f t="shared" si="7"/>
        <v>73554.964704334197</v>
      </c>
      <c r="L29" s="5">
        <f>C7*E29/100+1</f>
        <v>15366.983364</v>
      </c>
      <c r="M29" s="5">
        <f>C8*E29/100</f>
        <v>8260</v>
      </c>
      <c r="N29" s="44">
        <f t="shared" si="8"/>
        <v>97181.948068334197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97666.237953030359</v>
      </c>
      <c r="G30" s="62">
        <f>F30</f>
        <v>97666.237953030359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15366.983364</v>
      </c>
      <c r="M30" s="5">
        <f>C8*E30/100</f>
        <v>8260</v>
      </c>
      <c r="N30" s="44">
        <f>K30+L30+M30</f>
        <v>23626.983364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23626.983364</v>
      </c>
      <c r="G31" s="62">
        <f t="shared" ref="G31:G33" si="9">F31</f>
        <v>23626.983364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15366.983364</v>
      </c>
      <c r="M31" s="5">
        <f>C8*E31/100</f>
        <v>8260</v>
      </c>
      <c r="N31" s="44">
        <f>K31+L31+M31</f>
        <v>23626.983364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23626.983364</v>
      </c>
      <c r="G32" s="62">
        <f>F32</f>
        <v>23626.983364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15366.983364</v>
      </c>
      <c r="M32" s="5">
        <f>C8*E32/100</f>
        <v>8260</v>
      </c>
      <c r="N32" s="44">
        <f t="shared" si="8"/>
        <v>23626.983364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23626.983364</v>
      </c>
      <c r="G33" s="62">
        <f t="shared" si="9"/>
        <v>23626.983364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15366.983364</v>
      </c>
      <c r="M33" s="5">
        <f>C8*E33/100</f>
        <v>8260</v>
      </c>
      <c r="N33" s="44">
        <f>K33+L33+M33</f>
        <v>23626.983364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 t="s">
        <v>81</v>
      </c>
      <c r="E34" s="1">
        <v>1.18</v>
      </c>
      <c r="F34" s="5">
        <v>23626.983364</v>
      </c>
      <c r="G34" s="62"/>
      <c r="H34" s="8">
        <f t="shared" si="0"/>
        <v>23626.983364</v>
      </c>
      <c r="I34" s="5">
        <v>0</v>
      </c>
      <c r="J34" s="9">
        <f t="shared" si="1"/>
        <v>2079.1745360320001</v>
      </c>
      <c r="K34" s="44">
        <f t="shared" si="7"/>
        <v>25706.157900031998</v>
      </c>
      <c r="L34" s="5">
        <f>C7*E34/100+1</f>
        <v>15366.983364</v>
      </c>
      <c r="M34" s="5">
        <f>C8*E34/100</f>
        <v>8260</v>
      </c>
      <c r="N34" s="44">
        <f t="shared" si="8"/>
        <v>49333.141264031998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3918241.045273358</v>
      </c>
      <c r="G35" s="61">
        <f>SUM(G11:G34)</f>
        <v>1341031.5093240894</v>
      </c>
      <c r="H35" s="47">
        <f>SUM(H11:H34)</f>
        <v>2577209.5359492684</v>
      </c>
      <c r="I35" s="47">
        <f>SUM(I12:I34)</f>
        <v>0</v>
      </c>
      <c r="J35" s="48">
        <f>SUM(J11:J34)</f>
        <v>226794.43916353563</v>
      </c>
      <c r="K35" s="48"/>
      <c r="L35" s="47">
        <f>SUM(L11:L34)</f>
        <v>1302081.7598019997</v>
      </c>
      <c r="M35" s="51">
        <f>SUM(M11:M34)</f>
        <v>699930</v>
      </c>
      <c r="N35" s="56">
        <f>SUM(N11:N34)</f>
        <v>4806015.734914802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2025-07-29T22:19:52Z</dcterms:modified>
</cp:coreProperties>
</file>