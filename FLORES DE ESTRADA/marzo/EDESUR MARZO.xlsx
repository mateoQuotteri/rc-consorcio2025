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D:\OneDrive\Desktop\RC CONSORCIO 2025\FLORES DE ESTRADA\marzo\"/>
    </mc:Choice>
  </mc:AlternateContent>
  <xr:revisionPtr revIDLastSave="0" documentId="13_ncr:1_{239FC6AD-868A-481B-A8A9-5610EFCAA49C}"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(2)'!$A$1:$M$33</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<sst xmlns="http://schemas.openxmlformats.org/spreadsheetml/2006/main" count="160" uniqueCount="66">
  <si>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</si>
  <si>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</si>
  <si>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</si>
  <si>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</si>
  <si>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</si>
  <si>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</si>
  <si>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</si>
  <si>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</si>
  <si>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</si>
  <si>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</si>
  <si>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</si>
  <si>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</si>
  <si>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</si>
  <si>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</si>
  <si>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</si>
  <si>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</si>
  <si>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</si>
  <si>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</si>
  <si>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</si>
  <si>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</si>
  <si>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</si>
  <si>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</si>
  <si>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</si>
  <si>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</si>
  <si>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</si>
  <si>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</si>
  <si>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</si>
  <si>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</si>
  <si>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</si>
  <si>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</si>
  <si>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</si>
  <si>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</si>
  <si>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</si>
  <si>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</si>
  <si>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</si>
  <si>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</si>
  <si>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</si>
  <si>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</si>
  <si>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</si>
  <si>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</si>
  <si>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</si>
  <si>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</si>
  <si>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</si>
  <si>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</si>
  <si>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</si>
  <si>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</si>
  <si>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</si>
  <si>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</si>
  <si>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</si>
  <si>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</si>
  <si>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</si>
  <si>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</si>
  <si>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</si>
  <si>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</si>
  <si>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</si>
  <si>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</si>
  <si>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</si>
  <si>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</si>
  <si>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</si>
  <si>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</si>
  <si>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</si>
  <si>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</si>
  <si>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</si>
  <si>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</si>
  <si>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</si>
  <si>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EDESUR - VENCIMIENTO 14/04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</si>
</sst>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2"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b/>
      <sz val="10"/>
      <name val="Calibri"/>
      <family val="2"/>
    </font>
    <font>
      <sz val="10"/>
      <color theme="1"/>
      <name val="Calibri"/>
      <family val="2"/>
      <scheme val="minor"/>
    </font>
  </fonts>
  <fills count="8">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164" fontId="9" fillId="0" borderId="0" xfId="0" applyNumberFormat="1" applyFont="1"/>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5" fontId="8" fillId="7" borderId="10" xfId="0" applyNumberFormat="1" applyFont="1" applyFill="1" applyBorder="1"/>
    <xf numFmtId="166" fontId="4" fillId="7" borderId="10" xfId="0" applyNumberFormat="1" applyFont="1" applyFill="1" applyBorder="1"/>
    <xf numFmtId="2" fontId="4" fillId="7" borderId="10" xfId="0" applyNumberFormat="1" applyFont="1" applyFill="1" applyBorder="1"/>
    <xf numFmtId="165" fontId="4" fillId="7" borderId="10" xfId="0" applyNumberFormat="1" applyFont="1" applyFill="1" applyBorder="1"/>
    <xf numFmtId="166" fontId="10" fillId="0" borderId="8" xfId="0" applyNumberFormat="1" applyFont="1" applyBorder="1"/>
    <xf numFmtId="0" fontId="3" fillId="7" borderId="10" xfId="0"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5" borderId="1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1" zoomScale="90" zoomScaleNormal="90" workbookViewId="0">
      <selection activeCell="B33" sqref="B33:M33"/>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7109375" hidden="1" customWidth="1"/>
    <col min="6" max="6" width="10.42578125" hidden="1" customWidth="1"/>
    <col min="7" max="7" width="10" hidden="1" customWidth="1"/>
    <col min="8" max="8" width="7.7109375" hidden="1" customWidth="1"/>
    <col min="9" max="9" width="10.42578125" hidden="1" customWidth="1"/>
    <col min="10" max="10" width="15" hidden="1" customWidth="1"/>
    <col min="11" max="11" width="13.85546875" hidden="1" customWidth="1"/>
    <col min="12" max="12" width="13.4257812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55" t="s">
        <v>65</v>
      </c>
      <c r="B1" s="56"/>
      <c r="C1" s="56"/>
      <c r="D1" s="56"/>
      <c r="E1" s="56"/>
      <c r="F1" s="56"/>
      <c r="G1" s="56"/>
      <c r="H1" s="56"/>
      <c r="I1" s="56"/>
      <c r="J1" s="56"/>
      <c r="K1" s="56"/>
      <c r="L1" s="56"/>
      <c r="M1" s="57"/>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53">
        <v>791071.07</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6">
        <f>C8-J34</f>
        <v>444166.65859999979</v>
      </c>
      <c r="M9" s="14" t="s">
        <v>19</v>
      </c>
      <c r="N9" s="17"/>
      <c r="O9" s="14" t="s">
        <v>20</v>
      </c>
      <c r="P9" s="14" t="s">
        <v>21</v>
      </c>
    </row>
    <row r="10" spans="1:25" x14ac:dyDescent="0.25">
      <c r="A10" s="18">
        <v>1</v>
      </c>
      <c r="B10" s="18">
        <v>1</v>
      </c>
      <c r="C10" s="18" t="s">
        <v>22</v>
      </c>
      <c r="D10" s="18" t="s">
        <v>23</v>
      </c>
      <c r="E10" s="18">
        <v>4.9000000000000004</v>
      </c>
      <c r="F10" s="18">
        <v>17452.599999999999</v>
      </c>
      <c r="G10" s="41">
        <v>17743.900000000001</v>
      </c>
      <c r="H10" s="19">
        <v>0</v>
      </c>
      <c r="I10" s="20">
        <f t="shared" ref="I10:I33" si="0">H10*7%</f>
        <v>0</v>
      </c>
      <c r="J10" s="20">
        <f>(G10-F10)*93.78</f>
        <v>27318.114000000274</v>
      </c>
      <c r="K10" s="21">
        <f>G10-F10</f>
        <v>291.30000000000291</v>
      </c>
      <c r="L10" s="19">
        <f>L9*E10/100</f>
        <v>21764.16627139999</v>
      </c>
      <c r="M10" s="19">
        <f>J10+L10+3</f>
        <v>49085.280271400261</v>
      </c>
      <c r="N10" s="22">
        <f>J10/C7*100</f>
        <v>35.000786675208552</v>
      </c>
      <c r="O10" s="23">
        <f>J10/L9*100</f>
        <v>6.1504197739889266</v>
      </c>
      <c r="P10" s="20">
        <f>C7*O10/100</f>
        <v>4800.4026335983572</v>
      </c>
      <c r="Q10" s="24">
        <v>0.31</v>
      </c>
      <c r="R10" s="25">
        <f t="shared" ref="R10:R11" si="1">4000*Q10</f>
        <v>1240</v>
      </c>
    </row>
    <row r="11" spans="1:25" x14ac:dyDescent="0.25">
      <c r="A11" s="18">
        <v>2</v>
      </c>
      <c r="B11" s="37">
        <v>2</v>
      </c>
      <c r="C11" s="37" t="s">
        <v>24</v>
      </c>
      <c r="D11" s="37" t="s">
        <v>25</v>
      </c>
      <c r="E11" s="37">
        <v>3.89</v>
      </c>
      <c r="F11" s="37">
        <v>16723.900000000001</v>
      </c>
      <c r="G11" s="42">
        <f>F11+70</f>
        <v>16793.900000000001</v>
      </c>
      <c r="H11" s="38">
        <v>0</v>
      </c>
      <c r="I11" s="39">
        <f t="shared" si="0"/>
        <v>0</v>
      </c>
      <c r="J11" s="39">
        <f>(G11-F11)*93.78</f>
        <v>6564.6</v>
      </c>
      <c r="K11" s="40">
        <f t="shared" ref="K11:K25" si="2">G11-F11</f>
        <v>70</v>
      </c>
      <c r="L11" s="38">
        <f>L9*E11/100</f>
        <v>17278.083019539994</v>
      </c>
      <c r="M11" s="38">
        <f t="shared" ref="M11:M24" si="3">J11+L11+1</f>
        <v>23843.683019539996</v>
      </c>
      <c r="N11" s="22" t="e">
        <f t="shared" ref="N11:N33" si="4">J11/C9*100</f>
        <v>#VALUE!</v>
      </c>
      <c r="O11" s="23">
        <f>L11/L9*100</f>
        <v>3.8900000000000006</v>
      </c>
      <c r="P11" s="20">
        <f>C7*O11/100</f>
        <v>3036.1450000000004</v>
      </c>
      <c r="Q11" s="24">
        <v>0.19</v>
      </c>
      <c r="R11" s="25">
        <f t="shared" si="1"/>
        <v>760</v>
      </c>
      <c r="U11" s="33"/>
    </row>
    <row r="12" spans="1:25" x14ac:dyDescent="0.25">
      <c r="A12" s="43">
        <v>3</v>
      </c>
      <c r="B12" s="37">
        <v>3</v>
      </c>
      <c r="C12" s="37" t="s">
        <v>26</v>
      </c>
      <c r="D12" s="37" t="s">
        <v>27</v>
      </c>
      <c r="E12" s="37">
        <v>4</v>
      </c>
      <c r="F12" s="37">
        <v>11076.3</v>
      </c>
      <c r="G12" s="42">
        <f>F12+85</f>
        <v>11161.3</v>
      </c>
      <c r="H12" s="38">
        <v>0</v>
      </c>
      <c r="I12" s="39">
        <f t="shared" si="0"/>
        <v>0</v>
      </c>
      <c r="J12" s="39">
        <f t="shared" ref="J12:J33" si="5">(G12-F12)*93.78</f>
        <v>7971.3</v>
      </c>
      <c r="K12" s="40">
        <f>G12-F12</f>
        <v>85</v>
      </c>
      <c r="L12" s="38">
        <f>L9*E12/100</f>
        <v>17766.66634399999</v>
      </c>
      <c r="M12" s="38">
        <f t="shared" si="3"/>
        <v>25738.966343999989</v>
      </c>
      <c r="N12" s="22" t="e">
        <f t="shared" si="4"/>
        <v>#VALUE!</v>
      </c>
      <c r="O12" s="23">
        <f>J12/L9*100</f>
        <v>1.7946641976967166</v>
      </c>
      <c r="P12" s="20">
        <f>C7*O12/100</f>
        <v>1400.7354063022874</v>
      </c>
    </row>
    <row r="13" spans="1:25" x14ac:dyDescent="0.25">
      <c r="A13" s="18">
        <v>4</v>
      </c>
      <c r="B13" s="18">
        <v>4</v>
      </c>
      <c r="C13" s="18" t="s">
        <v>28</v>
      </c>
      <c r="D13" s="18" t="s">
        <v>29</v>
      </c>
      <c r="E13" s="18">
        <v>4.9000000000000004</v>
      </c>
      <c r="F13" s="18">
        <v>26120.7</v>
      </c>
      <c r="G13" s="41">
        <v>26521.5</v>
      </c>
      <c r="H13" s="26">
        <v>0</v>
      </c>
      <c r="I13" s="20">
        <f t="shared" si="0"/>
        <v>0</v>
      </c>
      <c r="J13" s="20">
        <f t="shared" si="5"/>
        <v>37587.023999999932</v>
      </c>
      <c r="K13" s="21">
        <f t="shared" si="2"/>
        <v>400.79999999999927</v>
      </c>
      <c r="L13" s="19">
        <f>L9*E13/100</f>
        <v>21764.16627139999</v>
      </c>
      <c r="M13" s="19">
        <f t="shared" si="3"/>
        <v>59352.190271399922</v>
      </c>
      <c r="N13" s="22" t="e">
        <f t="shared" si="4"/>
        <v>#VALUE!</v>
      </c>
      <c r="O13" s="23">
        <f>J13/L9*100</f>
        <v>8.4623695345510903</v>
      </c>
      <c r="P13" s="20">
        <f>C7*O13/100</f>
        <v>6604.8794217171262</v>
      </c>
    </row>
    <row r="14" spans="1:25" x14ac:dyDescent="0.25">
      <c r="A14" s="18">
        <v>5</v>
      </c>
      <c r="B14" s="43">
        <v>5</v>
      </c>
      <c r="C14" s="43" t="s">
        <v>30</v>
      </c>
      <c r="D14" s="43" t="s">
        <v>31</v>
      </c>
      <c r="E14" s="43">
        <v>3.89</v>
      </c>
      <c r="F14" s="43">
        <v>4917.8</v>
      </c>
      <c r="G14" s="41">
        <v>5244.4</v>
      </c>
      <c r="H14" s="26">
        <v>0</v>
      </c>
      <c r="I14" s="45">
        <f t="shared" si="0"/>
        <v>0</v>
      </c>
      <c r="J14" s="45">
        <f t="shared" si="5"/>
        <v>30628.547999999948</v>
      </c>
      <c r="K14" s="46">
        <f t="shared" si="2"/>
        <v>326.59999999999945</v>
      </c>
      <c r="L14" s="44">
        <f>L9*E14/100</f>
        <v>17278.083019539994</v>
      </c>
      <c r="M14" s="44">
        <f t="shared" si="3"/>
        <v>47907.631019539942</v>
      </c>
      <c r="N14" s="22" t="e">
        <f t="shared" si="4"/>
        <v>#VALUE!</v>
      </c>
      <c r="O14" s="23">
        <f>J14/L9*100</f>
        <v>6.8957332584440785</v>
      </c>
      <c r="P14" s="20">
        <f>C7*O14/100</f>
        <v>5382.1198082156034</v>
      </c>
      <c r="R14">
        <v>2540.8200000000002</v>
      </c>
    </row>
    <row r="15" spans="1:25" x14ac:dyDescent="0.25">
      <c r="A15" s="18">
        <v>6</v>
      </c>
      <c r="B15" s="43">
        <v>6</v>
      </c>
      <c r="C15" s="43" t="s">
        <v>32</v>
      </c>
      <c r="D15" s="43" t="s">
        <v>33</v>
      </c>
      <c r="E15" s="43">
        <v>4</v>
      </c>
      <c r="F15" s="43">
        <v>12276.7</v>
      </c>
      <c r="G15" s="41">
        <f>F15+270</f>
        <v>12546.7</v>
      </c>
      <c r="H15" s="44">
        <v>0</v>
      </c>
      <c r="I15" s="45">
        <f t="shared" si="0"/>
        <v>0</v>
      </c>
      <c r="J15" s="45">
        <f t="shared" si="5"/>
        <v>25320.6</v>
      </c>
      <c r="K15" s="46">
        <f t="shared" si="2"/>
        <v>270</v>
      </c>
      <c r="L15" s="44">
        <f>L9*E15/100</f>
        <v>17766.66634399999</v>
      </c>
      <c r="M15" s="44">
        <f t="shared" si="3"/>
        <v>43088.266343999989</v>
      </c>
      <c r="N15" s="22" t="e">
        <f t="shared" si="4"/>
        <v>#VALUE!</v>
      </c>
      <c r="O15" s="23">
        <f>J15/L9*100</f>
        <v>5.7006980397425107</v>
      </c>
      <c r="P15" s="20">
        <f>C7*O15/100</f>
        <v>4449.3948200190298</v>
      </c>
      <c r="Y15" s="36"/>
    </row>
    <row r="16" spans="1:25" x14ac:dyDescent="0.25">
      <c r="A16" s="18">
        <v>7</v>
      </c>
      <c r="B16" s="18">
        <v>7</v>
      </c>
      <c r="C16" s="18" t="s">
        <v>34</v>
      </c>
      <c r="D16" s="18" t="s">
        <v>35</v>
      </c>
      <c r="E16" s="18">
        <v>4.9000000000000004</v>
      </c>
      <c r="F16" s="18">
        <v>17327.8</v>
      </c>
      <c r="G16" s="41">
        <v>17599.3</v>
      </c>
      <c r="H16" s="19">
        <v>0</v>
      </c>
      <c r="I16" s="20">
        <f t="shared" si="0"/>
        <v>0</v>
      </c>
      <c r="J16" s="20">
        <f t="shared" si="5"/>
        <v>25461.27</v>
      </c>
      <c r="K16" s="21">
        <f t="shared" si="2"/>
        <v>271.5</v>
      </c>
      <c r="L16" s="19">
        <f>L9*E16/100</f>
        <v>21764.16627139999</v>
      </c>
      <c r="M16" s="19">
        <f t="shared" si="3"/>
        <v>47226.436271399987</v>
      </c>
      <c r="N16" s="22" t="e">
        <f t="shared" si="4"/>
        <v>#VALUE!</v>
      </c>
      <c r="O16" s="23">
        <f>J16/L9*100</f>
        <v>5.7323685844077472</v>
      </c>
      <c r="P16" s="20">
        <f>C7*O16/100</f>
        <v>4474.1136801302464</v>
      </c>
    </row>
    <row r="17" spans="1:16" x14ac:dyDescent="0.25">
      <c r="A17" s="18">
        <v>8</v>
      </c>
      <c r="B17" s="18">
        <v>8</v>
      </c>
      <c r="C17" s="18" t="s">
        <v>36</v>
      </c>
      <c r="D17" s="18" t="s">
        <v>37</v>
      </c>
      <c r="E17" s="18">
        <v>3.89</v>
      </c>
      <c r="F17" s="18">
        <v>5566.39</v>
      </c>
      <c r="G17" s="41">
        <v>5711.11</v>
      </c>
      <c r="H17" s="26">
        <v>0</v>
      </c>
      <c r="I17" s="20">
        <f t="shared" si="0"/>
        <v>0</v>
      </c>
      <c r="J17" s="20">
        <f t="shared" si="5"/>
        <v>13571.841599999938</v>
      </c>
      <c r="K17" s="21">
        <f t="shared" si="2"/>
        <v>144.71999999999935</v>
      </c>
      <c r="L17" s="19">
        <f>L9*E17/100</f>
        <v>17278.083019539994</v>
      </c>
      <c r="M17" s="19">
        <f t="shared" si="3"/>
        <v>30850.924619539932</v>
      </c>
      <c r="N17" s="22" t="e">
        <f t="shared" si="4"/>
        <v>#VALUE!</v>
      </c>
      <c r="O17" s="23">
        <f>J17/L9*100</f>
        <v>3.0555741493019721</v>
      </c>
      <c r="P17" s="20">
        <f>C7*O17/100</f>
        <v>2384.8756235301894</v>
      </c>
    </row>
    <row r="18" spans="1:16" x14ac:dyDescent="0.25">
      <c r="A18" s="18">
        <v>9</v>
      </c>
      <c r="B18" s="48">
        <v>9</v>
      </c>
      <c r="C18" s="48" t="s">
        <v>38</v>
      </c>
      <c r="D18" s="48" t="s">
        <v>39</v>
      </c>
      <c r="E18" s="48">
        <v>4</v>
      </c>
      <c r="F18" s="48">
        <v>19324.400000000001</v>
      </c>
      <c r="G18" s="54">
        <v>19518.599999999999</v>
      </c>
      <c r="H18" s="49">
        <v>0</v>
      </c>
      <c r="I18" s="50">
        <f t="shared" si="0"/>
        <v>0</v>
      </c>
      <c r="J18" s="50">
        <f t="shared" si="5"/>
        <v>18212.075999999728</v>
      </c>
      <c r="K18" s="51">
        <f t="shared" si="2"/>
        <v>194.19999999999709</v>
      </c>
      <c r="L18" s="52">
        <f>L9*E18/100</f>
        <v>17766.66634399999</v>
      </c>
      <c r="M18" s="52">
        <f t="shared" si="3"/>
        <v>35979.742343999722</v>
      </c>
      <c r="N18" s="22" t="e">
        <f t="shared" si="4"/>
        <v>#VALUE!</v>
      </c>
      <c r="O18" s="23">
        <f>J18/L9*100</f>
        <v>4.1002798493258492</v>
      </c>
      <c r="P18" s="20">
        <f>C7*O18/100</f>
        <v>3200.2684223988249</v>
      </c>
    </row>
    <row r="19" spans="1:16" x14ac:dyDescent="0.25">
      <c r="A19" s="18">
        <v>10</v>
      </c>
      <c r="B19" s="48">
        <v>10</v>
      </c>
      <c r="C19" s="48" t="s">
        <v>40</v>
      </c>
      <c r="D19" s="48" t="s">
        <v>63</v>
      </c>
      <c r="E19" s="48">
        <v>12.66</v>
      </c>
      <c r="F19" s="48">
        <v>22367.200000000001</v>
      </c>
      <c r="G19" s="54">
        <v>22826.9</v>
      </c>
      <c r="H19" s="52">
        <v>0</v>
      </c>
      <c r="I19" s="50">
        <f t="shared" si="0"/>
        <v>0</v>
      </c>
      <c r="J19" s="50">
        <f t="shared" si="5"/>
        <v>43110.66600000007</v>
      </c>
      <c r="K19" s="51">
        <f t="shared" si="2"/>
        <v>459.70000000000073</v>
      </c>
      <c r="L19" s="52">
        <f>L9*E19/100</f>
        <v>56231.49897875997</v>
      </c>
      <c r="M19" s="52">
        <f>J19+L19+1</f>
        <v>99343.164978760033</v>
      </c>
      <c r="N19" s="22" t="e">
        <f t="shared" si="4"/>
        <v>#VALUE!</v>
      </c>
      <c r="O19" s="23">
        <f>J19/L9*100</f>
        <v>9.7059662550727293</v>
      </c>
      <c r="P19" s="20">
        <f>C7*O19/100</f>
        <v>7575.5066620842645</v>
      </c>
    </row>
    <row r="20" spans="1:16" x14ac:dyDescent="0.25">
      <c r="A20" s="43">
        <v>11</v>
      </c>
      <c r="B20" s="43">
        <v>11</v>
      </c>
      <c r="C20" s="43" t="s">
        <v>42</v>
      </c>
      <c r="D20" s="43" t="s">
        <v>29</v>
      </c>
      <c r="E20" s="43">
        <v>7.75</v>
      </c>
      <c r="F20" s="43">
        <v>17074.8</v>
      </c>
      <c r="G20" s="41">
        <v>17353.2</v>
      </c>
      <c r="H20" s="26">
        <v>0</v>
      </c>
      <c r="I20" s="45">
        <f t="shared" si="0"/>
        <v>0</v>
      </c>
      <c r="J20" s="45">
        <f t="shared" si="5"/>
        <v>26108.352000000137</v>
      </c>
      <c r="K20" s="46">
        <f t="shared" si="2"/>
        <v>278.40000000000146</v>
      </c>
      <c r="L20" s="44">
        <f>L9*E20/100</f>
        <v>34422.916041499979</v>
      </c>
      <c r="M20" s="44">
        <f t="shared" si="3"/>
        <v>60532.268041500116</v>
      </c>
      <c r="N20" s="22" t="e">
        <f t="shared" si="4"/>
        <v>#VALUE!</v>
      </c>
      <c r="O20" s="23">
        <f>J20/L9*100</f>
        <v>5.8780530898678647</v>
      </c>
      <c r="P20" s="20">
        <f>C7*O20/100</f>
        <v>4587.8204366418686</v>
      </c>
    </row>
    <row r="21" spans="1:16" ht="15.75" customHeight="1" x14ac:dyDescent="0.25">
      <c r="A21" s="37">
        <v>12</v>
      </c>
      <c r="B21" s="43">
        <v>12</v>
      </c>
      <c r="C21" s="43" t="s">
        <v>43</v>
      </c>
      <c r="D21" s="60" t="s">
        <v>64</v>
      </c>
      <c r="E21" s="43">
        <v>7.51</v>
      </c>
      <c r="F21" s="43">
        <v>14027.1</v>
      </c>
      <c r="G21" s="41">
        <v>14046.5</v>
      </c>
      <c r="H21" s="26">
        <v>0</v>
      </c>
      <c r="I21" s="45">
        <f t="shared" si="0"/>
        <v>0</v>
      </c>
      <c r="J21" s="45">
        <f t="shared" si="5"/>
        <v>1819.331999999966</v>
      </c>
      <c r="K21" s="46">
        <f t="shared" si="2"/>
        <v>19.399999999999636</v>
      </c>
      <c r="L21" s="44">
        <f>L9*E21/100</f>
        <v>33356.916060859985</v>
      </c>
      <c r="M21" s="44">
        <f t="shared" si="3"/>
        <v>35177.248060859951</v>
      </c>
      <c r="N21" s="22" t="e">
        <f t="shared" si="4"/>
        <v>#VALUE!</v>
      </c>
      <c r="O21" s="23">
        <f>J21/L9*100</f>
        <v>0.40960571100371351</v>
      </c>
      <c r="P21" s="20">
        <f>C7*O21/100</f>
        <v>319.69725743839842</v>
      </c>
    </row>
    <row r="22" spans="1:16" ht="15.75" customHeight="1" x14ac:dyDescent="0.25">
      <c r="A22" s="43">
        <v>13</v>
      </c>
      <c r="B22" s="43">
        <v>13</v>
      </c>
      <c r="C22" s="43" t="s">
        <v>45</v>
      </c>
      <c r="D22" s="43" t="s">
        <v>46</v>
      </c>
      <c r="E22" s="43">
        <v>4.45</v>
      </c>
      <c r="F22" s="43">
        <v>10243.4</v>
      </c>
      <c r="G22" s="41">
        <v>10509.2</v>
      </c>
      <c r="H22" s="26">
        <v>0</v>
      </c>
      <c r="I22" s="45">
        <f t="shared" si="0"/>
        <v>0</v>
      </c>
      <c r="J22" s="45">
        <f t="shared" si="5"/>
        <v>24926.724000000104</v>
      </c>
      <c r="K22" s="46">
        <f t="shared" si="2"/>
        <v>265.80000000000109</v>
      </c>
      <c r="L22" s="44">
        <f>L9*E22/100</f>
        <v>19765.416307699994</v>
      </c>
      <c r="M22" s="44">
        <f t="shared" si="3"/>
        <v>44693.140307700101</v>
      </c>
      <c r="N22" s="22" t="e">
        <f t="shared" si="4"/>
        <v>#VALUE!</v>
      </c>
      <c r="O22" s="23">
        <f>J22/L9*100</f>
        <v>5.6120205146798732</v>
      </c>
      <c r="P22" s="20">
        <f>C7*O22/100</f>
        <v>4380.1820117076413</v>
      </c>
    </row>
    <row r="23" spans="1:16" ht="15.75" customHeight="1" x14ac:dyDescent="0.25">
      <c r="A23" s="18">
        <v>14</v>
      </c>
      <c r="B23" s="43">
        <v>14</v>
      </c>
      <c r="C23" s="43" t="s">
        <v>47</v>
      </c>
      <c r="D23" s="43" t="s">
        <v>48</v>
      </c>
      <c r="E23" s="43">
        <v>6.17</v>
      </c>
      <c r="F23" s="43">
        <v>20106.25</v>
      </c>
      <c r="G23" s="41">
        <v>20411.060000000001</v>
      </c>
      <c r="H23" s="44">
        <v>0</v>
      </c>
      <c r="I23" s="45">
        <f t="shared" si="0"/>
        <v>0</v>
      </c>
      <c r="J23" s="45">
        <f t="shared" si="5"/>
        <v>28585.081800000124</v>
      </c>
      <c r="K23" s="46">
        <f t="shared" si="2"/>
        <v>304.81000000000131</v>
      </c>
      <c r="L23" s="44">
        <f>L9*E23/100</f>
        <v>27405.082835619985</v>
      </c>
      <c r="M23" s="44">
        <f>J23+L23+1</f>
        <v>55991.164635620109</v>
      </c>
      <c r="N23" s="22" t="e">
        <f t="shared" si="4"/>
        <v>#VALUE!</v>
      </c>
      <c r="O23" s="23">
        <f>J23/L9*100</f>
        <v>6.4356658129404529</v>
      </c>
      <c r="P23" s="20">
        <f>C7*O23/100</f>
        <v>5023.0371670000241</v>
      </c>
    </row>
    <row r="24" spans="1:16" ht="15.75" customHeight="1" x14ac:dyDescent="0.25">
      <c r="A24" s="18">
        <v>15</v>
      </c>
      <c r="B24" s="43">
        <v>15</v>
      </c>
      <c r="C24" s="43" t="s">
        <v>49</v>
      </c>
      <c r="D24" s="43" t="s">
        <v>25</v>
      </c>
      <c r="E24" s="43">
        <v>4.45</v>
      </c>
      <c r="F24" s="43">
        <v>29595.8</v>
      </c>
      <c r="G24" s="41">
        <v>29776.3</v>
      </c>
      <c r="H24" s="44">
        <v>0</v>
      </c>
      <c r="I24" s="45">
        <f t="shared" si="0"/>
        <v>0</v>
      </c>
      <c r="J24" s="45">
        <f t="shared" si="5"/>
        <v>16927.29</v>
      </c>
      <c r="K24" s="46">
        <f t="shared" si="2"/>
        <v>180.5</v>
      </c>
      <c r="L24" s="44">
        <f>L9*E24/100</f>
        <v>19765.416307699994</v>
      </c>
      <c r="M24" s="44">
        <f t="shared" si="3"/>
        <v>36693.706307699991</v>
      </c>
      <c r="N24" s="22" t="e">
        <f t="shared" si="4"/>
        <v>#VALUE!</v>
      </c>
      <c r="O24" s="23">
        <f>J24/L9*100</f>
        <v>3.8110222080500864</v>
      </c>
      <c r="P24" s="20">
        <f>C7*O24/100</f>
        <v>2974.5028333830928</v>
      </c>
    </row>
    <row r="25" spans="1:16" ht="15.75" customHeight="1" x14ac:dyDescent="0.25">
      <c r="A25" s="18">
        <v>16</v>
      </c>
      <c r="B25" s="18">
        <v>16</v>
      </c>
      <c r="C25" s="18" t="s">
        <v>50</v>
      </c>
      <c r="D25" s="18" t="s">
        <v>41</v>
      </c>
      <c r="E25" s="18">
        <v>9.19</v>
      </c>
      <c r="F25" s="18">
        <v>10870.9</v>
      </c>
      <c r="G25" s="41">
        <v>11007.3</v>
      </c>
      <c r="H25" s="19">
        <v>0</v>
      </c>
      <c r="I25" s="20">
        <f t="shared" si="0"/>
        <v>0</v>
      </c>
      <c r="J25" s="20">
        <f t="shared" si="5"/>
        <v>12791.591999999966</v>
      </c>
      <c r="K25" s="21">
        <f t="shared" si="2"/>
        <v>136.39999999999964</v>
      </c>
      <c r="L25" s="19">
        <f>L9*E25/100</f>
        <v>40818.915925339978</v>
      </c>
      <c r="M25" s="19">
        <f>J25+L25+1</f>
        <v>53611.507925339945</v>
      </c>
      <c r="N25" s="22" t="e">
        <f t="shared" si="4"/>
        <v>#VALUE!</v>
      </c>
      <c r="O25" s="23">
        <f>J25/L9*100</f>
        <v>2.8799081948921352</v>
      </c>
      <c r="P25" s="20">
        <f>C7*O25/100</f>
        <v>2247.7683461133115</v>
      </c>
    </row>
    <row r="26" spans="1:16"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5241.1665714799974</v>
      </c>
      <c r="M26" s="44">
        <f t="shared" ref="M26:M33" si="6">J26+L26</f>
        <v>5241.1665714799974</v>
      </c>
      <c r="N26" s="22" t="e">
        <f t="shared" si="4"/>
        <v>#VALUE!</v>
      </c>
      <c r="O26" s="23">
        <f>J26/L9*100</f>
        <v>0</v>
      </c>
      <c r="P26" s="20">
        <f>C7*O26/100</f>
        <v>0</v>
      </c>
    </row>
    <row r="27" spans="1:16" ht="15.75" customHeight="1" x14ac:dyDescent="0.25">
      <c r="A27" s="18">
        <v>18</v>
      </c>
      <c r="B27" s="43">
        <v>18</v>
      </c>
      <c r="C27" s="43" t="s">
        <v>52</v>
      </c>
      <c r="D27" s="43" t="s">
        <v>53</v>
      </c>
      <c r="E27" s="43">
        <v>1.18</v>
      </c>
      <c r="F27" s="43">
        <v>0</v>
      </c>
      <c r="G27" s="43">
        <v>0</v>
      </c>
      <c r="H27" s="44">
        <v>0</v>
      </c>
      <c r="I27" s="45">
        <f t="shared" si="0"/>
        <v>0</v>
      </c>
      <c r="J27" s="45">
        <f t="shared" si="5"/>
        <v>0</v>
      </c>
      <c r="K27" s="44"/>
      <c r="L27" s="44">
        <f>L26</f>
        <v>5241.1665714799974</v>
      </c>
      <c r="M27" s="44">
        <f t="shared" si="6"/>
        <v>5241.1665714799974</v>
      </c>
      <c r="N27" s="22" t="e">
        <f t="shared" si="4"/>
        <v>#VALUE!</v>
      </c>
      <c r="O27" s="23">
        <f>J27/L9*100</f>
        <v>0</v>
      </c>
      <c r="P27" s="20">
        <f>C7*O27/100</f>
        <v>0</v>
      </c>
    </row>
    <row r="28" spans="1:16" ht="15.75" customHeight="1" x14ac:dyDescent="0.25">
      <c r="A28" s="18">
        <v>19</v>
      </c>
      <c r="B28" s="43">
        <v>19</v>
      </c>
      <c r="C28" s="43" t="s">
        <v>54</v>
      </c>
      <c r="D28" s="43" t="s">
        <v>53</v>
      </c>
      <c r="E28" s="43">
        <v>1.18</v>
      </c>
      <c r="F28" s="43">
        <v>0</v>
      </c>
      <c r="G28" s="43">
        <v>0</v>
      </c>
      <c r="H28" s="44">
        <v>0</v>
      </c>
      <c r="I28" s="45">
        <f t="shared" si="0"/>
        <v>0</v>
      </c>
      <c r="J28" s="45">
        <f t="shared" si="5"/>
        <v>0</v>
      </c>
      <c r="K28" s="44"/>
      <c r="L28" s="44">
        <f>L27</f>
        <v>5241.1665714799974</v>
      </c>
      <c r="M28" s="44">
        <f t="shared" si="6"/>
        <v>5241.1665714799974</v>
      </c>
      <c r="N28" s="22" t="e">
        <f t="shared" si="4"/>
        <v>#VALUE!</v>
      </c>
      <c r="O28" s="23">
        <f>J28/L9*100</f>
        <v>0</v>
      </c>
      <c r="P28" s="20">
        <f>C7*O28/100</f>
        <v>0</v>
      </c>
    </row>
    <row r="29" spans="1:16" ht="15.75" customHeight="1" x14ac:dyDescent="0.25">
      <c r="A29" s="43">
        <v>20</v>
      </c>
      <c r="B29" s="37">
        <v>20</v>
      </c>
      <c r="C29" s="37" t="s">
        <v>55</v>
      </c>
      <c r="D29" s="37" t="s">
        <v>27</v>
      </c>
      <c r="E29" s="37">
        <v>1.18</v>
      </c>
      <c r="F29" s="37">
        <v>0</v>
      </c>
      <c r="G29" s="37">
        <v>0</v>
      </c>
      <c r="H29" s="38">
        <v>0</v>
      </c>
      <c r="I29" s="39">
        <f t="shared" si="0"/>
        <v>0</v>
      </c>
      <c r="J29" s="39">
        <f t="shared" si="5"/>
        <v>0</v>
      </c>
      <c r="K29" s="38"/>
      <c r="L29" s="38">
        <f>L28</f>
        <v>5241.1665714799974</v>
      </c>
      <c r="M29" s="38">
        <f t="shared" si="6"/>
        <v>5241.1665714799974</v>
      </c>
      <c r="N29" s="22" t="e">
        <f t="shared" si="4"/>
        <v>#VALUE!</v>
      </c>
      <c r="O29" s="23">
        <f>J29/L9*100</f>
        <v>0</v>
      </c>
      <c r="P29" s="20">
        <f>C7*O29/100</f>
        <v>0</v>
      </c>
    </row>
    <row r="30" spans="1:16"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5241.1665714799974</v>
      </c>
      <c r="M30" s="19">
        <f t="shared" si="6"/>
        <v>5241.1665714799974</v>
      </c>
      <c r="N30" s="22" t="e">
        <f t="shared" si="4"/>
        <v>#VALUE!</v>
      </c>
      <c r="O30" s="23">
        <f>J30/L9*100</f>
        <v>0</v>
      </c>
      <c r="P30" s="20">
        <f>C7*O30/100</f>
        <v>0</v>
      </c>
    </row>
    <row r="31" spans="1:16"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5241.1665714799974</v>
      </c>
      <c r="M31" s="19">
        <f t="shared" si="6"/>
        <v>5241.1665714799974</v>
      </c>
      <c r="N31" s="22" t="e">
        <f t="shared" si="4"/>
        <v>#VALUE!</v>
      </c>
      <c r="O31" s="23">
        <f>J31/L9*100</f>
        <v>0</v>
      </c>
      <c r="P31" s="20">
        <f>C7*O31/100</f>
        <v>0</v>
      </c>
    </row>
    <row r="32" spans="1:16"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5241.1665714799974</v>
      </c>
      <c r="M32" s="44">
        <f t="shared" si="6"/>
        <v>5241.1665714799974</v>
      </c>
      <c r="N32" s="22" t="e">
        <f t="shared" si="4"/>
        <v>#VALUE!</v>
      </c>
      <c r="O32" s="23">
        <f>J32/L9*100</f>
        <v>0</v>
      </c>
      <c r="P32" s="20">
        <f>C7*O32/100</f>
        <v>0</v>
      </c>
    </row>
    <row r="33" spans="1:16" x14ac:dyDescent="0.25">
      <c r="A33" s="18">
        <v>24</v>
      </c>
      <c r="B33" s="43">
        <v>24</v>
      </c>
      <c r="C33" s="43" t="s">
        <v>60</v>
      </c>
      <c r="D33" s="60" t="s">
        <v>64</v>
      </c>
      <c r="E33" s="43">
        <v>1.18</v>
      </c>
      <c r="F33" s="43">
        <v>0</v>
      </c>
      <c r="G33" s="43">
        <v>0</v>
      </c>
      <c r="H33" s="44">
        <v>0</v>
      </c>
      <c r="I33" s="45">
        <f t="shared" si="0"/>
        <v>0</v>
      </c>
      <c r="J33" s="45">
        <f t="shared" si="5"/>
        <v>0</v>
      </c>
      <c r="K33" s="44"/>
      <c r="L33" s="44">
        <f t="shared" si="7"/>
        <v>5241.1665714799974</v>
      </c>
      <c r="M33" s="44">
        <f t="shared" si="6"/>
        <v>5241.1665714799974</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346904.41140000016</v>
      </c>
      <c r="K34" s="29">
        <f>SUM(K10:K33)</f>
        <v>3699.1300000000019</v>
      </c>
      <c r="L34" s="29">
        <f>SUM(L10:L33)</f>
        <v>444122.24193413969</v>
      </c>
      <c r="M34" s="29">
        <f>SUM(M10:M33)</f>
        <v>791044.65333414008</v>
      </c>
      <c r="N34" s="5"/>
      <c r="O34" s="2" t="e">
        <f t="shared" ref="O34:O35" si="9">J34/C32*100</f>
        <v>#VALUE!</v>
      </c>
    </row>
    <row r="35" spans="1:16" ht="30" hidden="1" x14ac:dyDescent="0.25">
      <c r="A35" s="31" t="s">
        <v>61</v>
      </c>
      <c r="C35" s="58" t="s">
        <v>62</v>
      </c>
      <c r="D35" s="56"/>
      <c r="E35" s="56"/>
      <c r="F35" s="56"/>
      <c r="G35" s="56"/>
      <c r="H35" s="56"/>
      <c r="I35" s="56"/>
      <c r="J35" s="56"/>
      <c r="K35" s="56"/>
      <c r="L35" s="56"/>
      <c r="M35" s="59"/>
      <c r="N35" s="31"/>
      <c r="O35" s="2" t="e">
        <f t="shared" si="9"/>
        <v>#VALUE!</v>
      </c>
    </row>
    <row r="36" spans="1:16" x14ac:dyDescent="0.25">
      <c r="H36" s="5"/>
      <c r="J36" s="32"/>
      <c r="L36" s="32"/>
      <c r="M36" s="33"/>
      <c r="O36" s="2"/>
    </row>
    <row r="37" spans="1:16" ht="37.5" hidden="1" customHeight="1" x14ac:dyDescent="0.25">
      <c r="H37" s="5"/>
      <c r="K37" s="34">
        <f>J34+L34</f>
        <v>791026.65333413985</v>
      </c>
      <c r="L37" s="34"/>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55" t="s">
        <v>0</v>
      </c>
      <c r="B1" s="56"/>
      <c r="C1" s="56"/>
      <c r="D1" s="56"/>
      <c r="E1" s="56"/>
      <c r="F1" s="56"/>
      <c r="G1" s="56"/>
      <c r="H1" s="56"/>
      <c r="I1" s="56"/>
      <c r="J1" s="56"/>
      <c r="K1" s="56"/>
      <c r="L1" s="56"/>
      <c r="M1" s="57"/>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58" t="s">
        <v>62</v>
      </c>
      <c r="D35" s="56"/>
      <c r="E35" s="56"/>
      <c r="F35" s="56"/>
      <c r="G35" s="56"/>
      <c r="H35" s="56"/>
      <c r="I35" s="56"/>
      <c r="J35" s="56"/>
      <c r="K35" s="56"/>
      <c r="L35" s="56"/>
      <c r="M35" s="59"/>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2025-02-03T19:12:56Z</cp:lastPrinted>
  <dcterms:created xsi:type="dcterms:W3CDTF">2021-11-02T15:21:56Z</dcterms:created>
  <dcterms:modified xsi:type="dcterms:W3CDTF">2025-04-03T12:35:19Z</dcterms:modified>
</cp:coreProperties>
</file>